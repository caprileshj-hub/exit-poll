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5" yWindow="660" windowWidth="19230" windowHeight="7875" tabRatio="855" firstSheet="1" activeTab="2"/>
  </bookViews>
  <sheets>
    <sheet name="Entrada" sheetId="2" r:id="rId1"/>
    <sheet name="Hector" sheetId="33" r:id="rId2"/>
    <sheet name="Alejandro" sheetId="35" r:id="rId3"/>
    <sheet name="AM" sheetId="6" r:id="rId4"/>
    <sheet name="AN" sheetId="7" r:id="rId5"/>
    <sheet name="AP" sheetId="8" r:id="rId6"/>
    <sheet name="AR" sheetId="9" r:id="rId7"/>
    <sheet name="BA" sheetId="10" r:id="rId8"/>
    <sheet name="BO" sheetId="11" r:id="rId9"/>
    <sheet name="CA" sheetId="12" r:id="rId10"/>
    <sheet name="CO" sheetId="13" r:id="rId11"/>
    <sheet name="DA" sheetId="14" r:id="rId12"/>
    <sheet name="FA" sheetId="16" r:id="rId13"/>
    <sheet name="GU" sheetId="17" r:id="rId14"/>
    <sheet name="LA" sheetId="18" r:id="rId15"/>
    <sheet name="ME" sheetId="19" r:id="rId16"/>
    <sheet name="MI" sheetId="20" r:id="rId17"/>
    <sheet name="MO" sheetId="21" r:id="rId18"/>
    <sheet name="NE" sheetId="22" r:id="rId19"/>
    <sheet name="PO" sheetId="23" r:id="rId20"/>
    <sheet name="SU" sheetId="24" r:id="rId21"/>
    <sheet name="TA" sheetId="25" r:id="rId22"/>
    <sheet name="TR" sheetId="26" r:id="rId23"/>
    <sheet name="VA" sheetId="1" r:id="rId24"/>
    <sheet name="YA" sheetId="28" r:id="rId25"/>
    <sheet name="ZU" sheetId="29" r:id="rId26"/>
  </sheets>
  <definedNames>
    <definedName name="_xlnm._FilterDatabase" localSheetId="0" hidden="1">Entrada!#REF!</definedName>
    <definedName name="centro">Tabla_Trans_dic_2012.accdb[[#All],[centro]]</definedName>
    <definedName name="ind">Tabla_Trans_dic_2012.accdb[[#All],[INDEPENDIENTE]]</definedName>
    <definedName name="independiente">Tabla_Trans_dic_2012.accdb[[#All],[INDEPENDIENTE]]</definedName>
    <definedName name="mud">Tabla_Trans_dic_2012.accdb[[#All],[MUD]]</definedName>
    <definedName name="municipio">Tabla_Trans_dic_2012.accdb[[#All],[municipio]]</definedName>
    <definedName name="otro">Tabla_Trans_dic_2012.accdb[[#All],[Otro]]</definedName>
    <definedName name="psuv">Tabla_Trans_dic_2012.accdb[[#All],[PSUV]]</definedName>
    <definedName name="totalv">Tabla_Trans_dic_2012.accdb[[#All],[totalv]]</definedName>
    <definedName name="Trans_dic_2012.accdb" localSheetId="0" hidden="1">Entrada!$B$1:$K$4625</definedName>
    <definedName name="turno">Tabla_Trans_dic_2012.accdb[[#All],[turno]]</definedName>
  </definedNames>
  <calcPr calcId="144525"/>
</workbook>
</file>

<file path=xl/calcChain.xml><?xml version="1.0" encoding="utf-8"?>
<calcChain xmlns="http://schemas.openxmlformats.org/spreadsheetml/2006/main">
  <c r="F7" i="21" l="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5" i="21"/>
  <c r="F4" i="21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W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I4" i="28"/>
  <c r="H4" i="28"/>
  <c r="G4" i="28"/>
  <c r="F4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F6" i="21"/>
  <c r="F3" i="21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G136" i="35" l="1"/>
  <c r="G132" i="35"/>
  <c r="G137" i="35"/>
  <c r="G133" i="35"/>
  <c r="H136" i="35"/>
  <c r="H132" i="35"/>
  <c r="J136" i="35"/>
  <c r="J132" i="35"/>
  <c r="L136" i="35"/>
  <c r="L132" i="35"/>
  <c r="N136" i="35"/>
  <c r="N132" i="35"/>
  <c r="P136" i="35"/>
  <c r="P132" i="35"/>
  <c r="R136" i="35"/>
  <c r="R132" i="35"/>
  <c r="T136" i="35"/>
  <c r="T132" i="35"/>
  <c r="V136" i="35"/>
  <c r="V132" i="35"/>
  <c r="X136" i="35"/>
  <c r="X132" i="35"/>
  <c r="I137" i="35"/>
  <c r="I133" i="35"/>
  <c r="K137" i="35"/>
  <c r="K133" i="35"/>
  <c r="M137" i="35"/>
  <c r="M133" i="35"/>
  <c r="O137" i="35"/>
  <c r="O133" i="35"/>
  <c r="Q137" i="35"/>
  <c r="Q133" i="35"/>
  <c r="S137" i="35"/>
  <c r="S133" i="35"/>
  <c r="U137" i="35"/>
  <c r="U133" i="35"/>
  <c r="W137" i="35"/>
  <c r="W133" i="35"/>
  <c r="H138" i="35"/>
  <c r="H134" i="35"/>
  <c r="J138" i="35"/>
  <c r="J134" i="35"/>
  <c r="L138" i="35"/>
  <c r="L134" i="35"/>
  <c r="N138" i="35"/>
  <c r="N134" i="35"/>
  <c r="P138" i="35"/>
  <c r="P134" i="35"/>
  <c r="R138" i="35"/>
  <c r="R134" i="35"/>
  <c r="T138" i="35"/>
  <c r="T134" i="35"/>
  <c r="V138" i="35"/>
  <c r="V134" i="35"/>
  <c r="X138" i="35"/>
  <c r="X134" i="35"/>
  <c r="I139" i="35"/>
  <c r="I135" i="35"/>
  <c r="K139" i="35"/>
  <c r="K135" i="35"/>
  <c r="M139" i="35"/>
  <c r="M135" i="35"/>
  <c r="O139" i="35"/>
  <c r="O135" i="35"/>
  <c r="Q139" i="35"/>
  <c r="Q135" i="35"/>
  <c r="S139" i="35"/>
  <c r="S135" i="35"/>
  <c r="U139" i="35"/>
  <c r="U135" i="35"/>
  <c r="W139" i="35"/>
  <c r="W135" i="35"/>
  <c r="G139" i="35"/>
  <c r="G135" i="35"/>
  <c r="G138" i="35"/>
  <c r="G134" i="35"/>
  <c r="I136" i="35"/>
  <c r="I132" i="35"/>
  <c r="K136" i="35"/>
  <c r="K132" i="35"/>
  <c r="M136" i="35"/>
  <c r="M132" i="35"/>
  <c r="O136" i="35"/>
  <c r="O132" i="35"/>
  <c r="Q136" i="35"/>
  <c r="Q132" i="35"/>
  <c r="S136" i="35"/>
  <c r="S132" i="35"/>
  <c r="U136" i="35"/>
  <c r="U132" i="35"/>
  <c r="W136" i="35"/>
  <c r="W132" i="35"/>
  <c r="H137" i="35"/>
  <c r="H133" i="35"/>
  <c r="J137" i="35"/>
  <c r="J133" i="35"/>
  <c r="L137" i="35"/>
  <c r="L133" i="35"/>
  <c r="N137" i="35"/>
  <c r="N133" i="35"/>
  <c r="P137" i="35"/>
  <c r="P133" i="35"/>
  <c r="R137" i="35"/>
  <c r="R133" i="35"/>
  <c r="T137" i="35"/>
  <c r="T133" i="35"/>
  <c r="V137" i="35"/>
  <c r="V133" i="35"/>
  <c r="X137" i="35"/>
  <c r="X133" i="35"/>
  <c r="I138" i="35"/>
  <c r="I134" i="35"/>
  <c r="K138" i="35"/>
  <c r="K134" i="35"/>
  <c r="M138" i="35"/>
  <c r="M134" i="35"/>
  <c r="O138" i="35"/>
  <c r="O134" i="35"/>
  <c r="Q138" i="35"/>
  <c r="Q134" i="35"/>
  <c r="S138" i="35"/>
  <c r="S134" i="35"/>
  <c r="U138" i="35"/>
  <c r="U134" i="35"/>
  <c r="W138" i="35"/>
  <c r="W134" i="35"/>
  <c r="H139" i="35"/>
  <c r="H135" i="35"/>
  <c r="J139" i="35"/>
  <c r="J135" i="35"/>
  <c r="L139" i="35"/>
  <c r="L135" i="35"/>
  <c r="N139" i="35"/>
  <c r="N135" i="35"/>
  <c r="P139" i="35"/>
  <c r="P135" i="35"/>
  <c r="R139" i="35"/>
  <c r="R135" i="35"/>
  <c r="T139" i="35"/>
  <c r="T135" i="35"/>
  <c r="V139" i="35"/>
  <c r="V135" i="35"/>
  <c r="X139" i="35"/>
  <c r="X135" i="35"/>
  <c r="H152" i="35"/>
  <c r="H155" i="35"/>
  <c r="J152" i="35"/>
  <c r="J155" i="35"/>
  <c r="L152" i="35"/>
  <c r="L155" i="35"/>
  <c r="N152" i="35"/>
  <c r="N155" i="35"/>
  <c r="P152" i="35"/>
  <c r="P155" i="35"/>
  <c r="R152" i="35"/>
  <c r="R155" i="35"/>
  <c r="T152" i="35"/>
  <c r="T155" i="35"/>
  <c r="V152" i="35"/>
  <c r="V155" i="35"/>
  <c r="X152" i="35"/>
  <c r="X155" i="35"/>
  <c r="H153" i="35"/>
  <c r="H156" i="35"/>
  <c r="J153" i="35"/>
  <c r="J156" i="35"/>
  <c r="L153" i="35"/>
  <c r="L156" i="35"/>
  <c r="N153" i="35"/>
  <c r="N156" i="35"/>
  <c r="P153" i="35"/>
  <c r="P156" i="35"/>
  <c r="R153" i="35"/>
  <c r="R156" i="35"/>
  <c r="T153" i="35"/>
  <c r="T156" i="35"/>
  <c r="V153" i="35"/>
  <c r="V156" i="35"/>
  <c r="X153" i="35"/>
  <c r="X156" i="35"/>
  <c r="H154" i="35"/>
  <c r="H157" i="35"/>
  <c r="J154" i="35"/>
  <c r="J157" i="35"/>
  <c r="L154" i="35"/>
  <c r="L157" i="35"/>
  <c r="N154" i="35"/>
  <c r="N157" i="35"/>
  <c r="P154" i="35"/>
  <c r="P157" i="35"/>
  <c r="R154" i="35"/>
  <c r="R157" i="35"/>
  <c r="T154" i="35"/>
  <c r="T157" i="35"/>
  <c r="V154" i="35"/>
  <c r="V157" i="35"/>
  <c r="X154" i="35"/>
  <c r="X157" i="35"/>
  <c r="G152" i="35"/>
  <c r="G155" i="35"/>
  <c r="I152" i="35"/>
  <c r="I155" i="35"/>
  <c r="K152" i="35"/>
  <c r="K155" i="35"/>
  <c r="M152" i="35"/>
  <c r="M155" i="35"/>
  <c r="O152" i="35"/>
  <c r="O155" i="35"/>
  <c r="Q152" i="35"/>
  <c r="Q155" i="35"/>
  <c r="S152" i="35"/>
  <c r="S155" i="35"/>
  <c r="U152" i="35"/>
  <c r="U155" i="35"/>
  <c r="W152" i="35"/>
  <c r="W155" i="35"/>
  <c r="G153" i="35"/>
  <c r="G156" i="35"/>
  <c r="I153" i="35"/>
  <c r="I156" i="35"/>
  <c r="K153" i="35"/>
  <c r="K156" i="35"/>
  <c r="M153" i="35"/>
  <c r="M156" i="35"/>
  <c r="O153" i="35"/>
  <c r="O156" i="35"/>
  <c r="Q153" i="35"/>
  <c r="Q156" i="35"/>
  <c r="S153" i="35"/>
  <c r="S156" i="35"/>
  <c r="U153" i="35"/>
  <c r="U156" i="35"/>
  <c r="W153" i="35"/>
  <c r="W156" i="35"/>
  <c r="G154" i="35"/>
  <c r="G157" i="35"/>
  <c r="I154" i="35"/>
  <c r="I157" i="35"/>
  <c r="K154" i="35"/>
  <c r="K157" i="35"/>
  <c r="M154" i="35"/>
  <c r="M157" i="35"/>
  <c r="O154" i="35"/>
  <c r="O157" i="35"/>
  <c r="Q154" i="35"/>
  <c r="Q157" i="35"/>
  <c r="S154" i="35"/>
  <c r="S157" i="35"/>
  <c r="U154" i="35"/>
  <c r="U157" i="35"/>
  <c r="W154" i="35"/>
  <c r="W157" i="35"/>
  <c r="G161" i="35"/>
  <c r="G164" i="35"/>
  <c r="I161" i="35"/>
  <c r="I164" i="35"/>
  <c r="K161" i="35"/>
  <c r="K164" i="35"/>
  <c r="M161" i="35"/>
  <c r="M164" i="35"/>
  <c r="O161" i="35"/>
  <c r="O164" i="35"/>
  <c r="Q161" i="35"/>
  <c r="Q164" i="35"/>
  <c r="S161" i="35"/>
  <c r="S164" i="35"/>
  <c r="U161" i="35"/>
  <c r="U164" i="35"/>
  <c r="W161" i="35"/>
  <c r="W164" i="35"/>
  <c r="G162" i="35"/>
  <c r="G165" i="35"/>
  <c r="I162" i="35"/>
  <c r="I165" i="35"/>
  <c r="K162" i="35"/>
  <c r="K165" i="35"/>
  <c r="M162" i="35"/>
  <c r="M165" i="35"/>
  <c r="O162" i="35"/>
  <c r="O165" i="35"/>
  <c r="Q162" i="35"/>
  <c r="Q165" i="35"/>
  <c r="S162" i="35"/>
  <c r="S165" i="35"/>
  <c r="U162" i="35"/>
  <c r="U165" i="35"/>
  <c r="W162" i="35"/>
  <c r="W165" i="35"/>
  <c r="G163" i="35"/>
  <c r="G166" i="35"/>
  <c r="I163" i="35"/>
  <c r="I166" i="35"/>
  <c r="K163" i="35"/>
  <c r="K166" i="35"/>
  <c r="M163" i="35"/>
  <c r="M166" i="35"/>
  <c r="O163" i="35"/>
  <c r="O166" i="35"/>
  <c r="Q163" i="35"/>
  <c r="Q166" i="35"/>
  <c r="S163" i="35"/>
  <c r="S166" i="35"/>
  <c r="U163" i="35"/>
  <c r="U166" i="35"/>
  <c r="W163" i="35"/>
  <c r="W166" i="35"/>
  <c r="H161" i="35"/>
  <c r="H164" i="35"/>
  <c r="J161" i="35"/>
  <c r="J164" i="35"/>
  <c r="L161" i="35"/>
  <c r="L164" i="35"/>
  <c r="N161" i="35"/>
  <c r="N164" i="35"/>
  <c r="P161" i="35"/>
  <c r="P164" i="35"/>
  <c r="R161" i="35"/>
  <c r="R164" i="35"/>
  <c r="T161" i="35"/>
  <c r="T164" i="35"/>
  <c r="V161" i="35"/>
  <c r="V164" i="35"/>
  <c r="X161" i="35"/>
  <c r="X164" i="35"/>
  <c r="H162" i="35"/>
  <c r="H165" i="35"/>
  <c r="J162" i="35"/>
  <c r="J165" i="35"/>
  <c r="L162" i="35"/>
  <c r="L165" i="35"/>
  <c r="N162" i="35"/>
  <c r="N165" i="35"/>
  <c r="P162" i="35"/>
  <c r="P165" i="35"/>
  <c r="R162" i="35"/>
  <c r="R165" i="35"/>
  <c r="T162" i="35"/>
  <c r="T165" i="35"/>
  <c r="V162" i="35"/>
  <c r="V165" i="35"/>
  <c r="X162" i="35"/>
  <c r="X165" i="35"/>
  <c r="H163" i="35"/>
  <c r="H166" i="35"/>
  <c r="J163" i="35"/>
  <c r="J166" i="35"/>
  <c r="L163" i="35"/>
  <c r="L166" i="35"/>
  <c r="N163" i="35"/>
  <c r="N166" i="35"/>
  <c r="P163" i="35"/>
  <c r="P166" i="35"/>
  <c r="R163" i="35"/>
  <c r="R166" i="35"/>
  <c r="T163" i="35"/>
  <c r="T166" i="35"/>
  <c r="V163" i="35"/>
  <c r="V166" i="35"/>
  <c r="X163" i="35"/>
  <c r="X166" i="35"/>
  <c r="H170" i="35"/>
  <c r="H173" i="35"/>
  <c r="J170" i="35"/>
  <c r="J173" i="35"/>
  <c r="L170" i="35"/>
  <c r="L173" i="35"/>
  <c r="N170" i="35"/>
  <c r="N173" i="35"/>
  <c r="P170" i="35"/>
  <c r="P173" i="35"/>
  <c r="R170" i="35"/>
  <c r="R173" i="35"/>
  <c r="T170" i="35"/>
  <c r="T173" i="35"/>
  <c r="V170" i="35"/>
  <c r="V173" i="35"/>
  <c r="X170" i="35"/>
  <c r="X173" i="35"/>
  <c r="H171" i="35"/>
  <c r="H174" i="35"/>
  <c r="J171" i="35"/>
  <c r="J174" i="35"/>
  <c r="L171" i="35"/>
  <c r="L174" i="35"/>
  <c r="N171" i="35"/>
  <c r="N174" i="35"/>
  <c r="P171" i="35"/>
  <c r="P174" i="35"/>
  <c r="R171" i="35"/>
  <c r="R174" i="35"/>
  <c r="T171" i="35"/>
  <c r="T174" i="35"/>
  <c r="V171" i="35"/>
  <c r="V174" i="35"/>
  <c r="X171" i="35"/>
  <c r="X174" i="35"/>
  <c r="H172" i="35"/>
  <c r="H175" i="35"/>
  <c r="J172" i="35"/>
  <c r="J175" i="35"/>
  <c r="L172" i="35"/>
  <c r="L175" i="35"/>
  <c r="N172" i="35"/>
  <c r="N175" i="35"/>
  <c r="P172" i="35"/>
  <c r="P175" i="35"/>
  <c r="R172" i="35"/>
  <c r="R175" i="35"/>
  <c r="T172" i="35"/>
  <c r="T175" i="35"/>
  <c r="V172" i="35"/>
  <c r="V175" i="35"/>
  <c r="X172" i="35"/>
  <c r="X175" i="35"/>
  <c r="G170" i="35"/>
  <c r="G173" i="35"/>
  <c r="I170" i="35"/>
  <c r="I173" i="35"/>
  <c r="K170" i="35"/>
  <c r="K173" i="35"/>
  <c r="M170" i="35"/>
  <c r="M173" i="35"/>
  <c r="O170" i="35"/>
  <c r="O173" i="35"/>
  <c r="Q170" i="35"/>
  <c r="Q173" i="35"/>
  <c r="S170" i="35"/>
  <c r="S173" i="35"/>
  <c r="U170" i="35"/>
  <c r="U173" i="35"/>
  <c r="W170" i="35"/>
  <c r="W173" i="35"/>
  <c r="G171" i="35"/>
  <c r="G174" i="35"/>
  <c r="I171" i="35"/>
  <c r="I174" i="35"/>
  <c r="K171" i="35"/>
  <c r="K174" i="35"/>
  <c r="M171" i="35"/>
  <c r="M174" i="35"/>
  <c r="O171" i="35"/>
  <c r="O174" i="35"/>
  <c r="Q171" i="35"/>
  <c r="Q174" i="35"/>
  <c r="S171" i="35"/>
  <c r="S174" i="35"/>
  <c r="U171" i="35"/>
  <c r="U174" i="35"/>
  <c r="W171" i="35"/>
  <c r="W174" i="35"/>
  <c r="G172" i="35"/>
  <c r="G175" i="35"/>
  <c r="I172" i="35"/>
  <c r="I175" i="35"/>
  <c r="K172" i="35"/>
  <c r="K175" i="35"/>
  <c r="M172" i="35"/>
  <c r="M175" i="35"/>
  <c r="O172" i="35"/>
  <c r="O175" i="35"/>
  <c r="Q172" i="35"/>
  <c r="Q175" i="35"/>
  <c r="S172" i="35"/>
  <c r="S175" i="35"/>
  <c r="U172" i="35"/>
  <c r="U175" i="35"/>
  <c r="W172" i="35"/>
  <c r="W175" i="35"/>
  <c r="G179" i="35"/>
  <c r="G182" i="35"/>
  <c r="I179" i="35"/>
  <c r="I182" i="35"/>
  <c r="K179" i="35"/>
  <c r="K182" i="35"/>
  <c r="M179" i="35"/>
  <c r="M182" i="35"/>
  <c r="O179" i="35"/>
  <c r="O182" i="35"/>
  <c r="Q179" i="35"/>
  <c r="Q182" i="35"/>
  <c r="S179" i="35"/>
  <c r="S182" i="35"/>
  <c r="U179" i="35"/>
  <c r="U182" i="35"/>
  <c r="W179" i="35"/>
  <c r="W182" i="35"/>
  <c r="G180" i="35"/>
  <c r="G183" i="35"/>
  <c r="I180" i="35"/>
  <c r="I183" i="35"/>
  <c r="K180" i="35"/>
  <c r="K183" i="35"/>
  <c r="M180" i="35"/>
  <c r="M183" i="35"/>
  <c r="O180" i="35"/>
  <c r="O183" i="35"/>
  <c r="Q180" i="35"/>
  <c r="Q183" i="35"/>
  <c r="S180" i="35"/>
  <c r="S183" i="35"/>
  <c r="U180" i="35"/>
  <c r="U183" i="35"/>
  <c r="W180" i="35"/>
  <c r="W183" i="35"/>
  <c r="G181" i="35"/>
  <c r="G184" i="35"/>
  <c r="I181" i="35"/>
  <c r="I184" i="35"/>
  <c r="K181" i="35"/>
  <c r="K184" i="35"/>
  <c r="M181" i="35"/>
  <c r="M184" i="35"/>
  <c r="O181" i="35"/>
  <c r="O184" i="35"/>
  <c r="Q181" i="35"/>
  <c r="Q184" i="35"/>
  <c r="S181" i="35"/>
  <c r="S184" i="35"/>
  <c r="U181" i="35"/>
  <c r="U184" i="35"/>
  <c r="W181" i="35"/>
  <c r="W184" i="35"/>
  <c r="H179" i="35"/>
  <c r="H182" i="35"/>
  <c r="J179" i="35"/>
  <c r="J182" i="35"/>
  <c r="L179" i="35"/>
  <c r="L182" i="35"/>
  <c r="N179" i="35"/>
  <c r="N182" i="35"/>
  <c r="P179" i="35"/>
  <c r="P182" i="35"/>
  <c r="R179" i="35"/>
  <c r="R182" i="35"/>
  <c r="T179" i="35"/>
  <c r="T182" i="35"/>
  <c r="V179" i="35"/>
  <c r="V182" i="35"/>
  <c r="X179" i="35"/>
  <c r="X182" i="35"/>
  <c r="H180" i="35"/>
  <c r="H183" i="35"/>
  <c r="J180" i="35"/>
  <c r="J183" i="35"/>
  <c r="L180" i="35"/>
  <c r="L183" i="35"/>
  <c r="N180" i="35"/>
  <c r="N183" i="35"/>
  <c r="P180" i="35"/>
  <c r="P183" i="35"/>
  <c r="R180" i="35"/>
  <c r="R183" i="35"/>
  <c r="T180" i="35"/>
  <c r="T183" i="35"/>
  <c r="V180" i="35"/>
  <c r="V183" i="35"/>
  <c r="X180" i="35"/>
  <c r="X183" i="35"/>
  <c r="H181" i="35"/>
  <c r="H184" i="35"/>
  <c r="J181" i="35"/>
  <c r="J184" i="35"/>
  <c r="L181" i="35"/>
  <c r="L184" i="35"/>
  <c r="N181" i="35"/>
  <c r="N184" i="35"/>
  <c r="P181" i="35"/>
  <c r="P184" i="35"/>
  <c r="R181" i="35"/>
  <c r="R184" i="35"/>
  <c r="T181" i="35"/>
  <c r="T184" i="35"/>
  <c r="V181" i="35"/>
  <c r="V184" i="35"/>
  <c r="X181" i="35"/>
  <c r="X184" i="35"/>
  <c r="H188" i="35"/>
  <c r="H191" i="35"/>
  <c r="J188" i="35"/>
  <c r="J191" i="35"/>
  <c r="L188" i="35"/>
  <c r="L191" i="35"/>
  <c r="N188" i="35"/>
  <c r="N191" i="35"/>
  <c r="P188" i="35"/>
  <c r="P191" i="35"/>
  <c r="R188" i="35"/>
  <c r="R191" i="35"/>
  <c r="T188" i="35"/>
  <c r="T191" i="35"/>
  <c r="V188" i="35"/>
  <c r="V191" i="35"/>
  <c r="X188" i="35"/>
  <c r="X191" i="35"/>
  <c r="H189" i="35"/>
  <c r="H192" i="35"/>
  <c r="J189" i="35"/>
  <c r="J192" i="35"/>
  <c r="L189" i="35"/>
  <c r="L192" i="35"/>
  <c r="N189" i="35"/>
  <c r="N192" i="35"/>
  <c r="P189" i="35"/>
  <c r="P192" i="35"/>
  <c r="R189" i="35"/>
  <c r="R192" i="35"/>
  <c r="T189" i="35"/>
  <c r="T192" i="35"/>
  <c r="V189" i="35"/>
  <c r="V192" i="35"/>
  <c r="X189" i="35"/>
  <c r="X192" i="35"/>
  <c r="H190" i="35"/>
  <c r="H193" i="35"/>
  <c r="J190" i="35"/>
  <c r="J193" i="35"/>
  <c r="L190" i="35"/>
  <c r="L193" i="35"/>
  <c r="N190" i="35"/>
  <c r="N193" i="35"/>
  <c r="P190" i="35"/>
  <c r="P193" i="35"/>
  <c r="R190" i="35"/>
  <c r="R193" i="35"/>
  <c r="T190" i="35"/>
  <c r="T193" i="35"/>
  <c r="V190" i="35"/>
  <c r="V193" i="35"/>
  <c r="X190" i="35"/>
  <c r="X193" i="35"/>
  <c r="G188" i="35"/>
  <c r="G191" i="35"/>
  <c r="I188" i="35"/>
  <c r="I191" i="35"/>
  <c r="K188" i="35"/>
  <c r="K191" i="35"/>
  <c r="M188" i="35"/>
  <c r="M191" i="35"/>
  <c r="O188" i="35"/>
  <c r="O191" i="35"/>
  <c r="Q188" i="35"/>
  <c r="Q191" i="35"/>
  <c r="S188" i="35"/>
  <c r="S191" i="35"/>
  <c r="U188" i="35"/>
  <c r="U191" i="35"/>
  <c r="W188" i="35"/>
  <c r="W191" i="35"/>
  <c r="G189" i="35"/>
  <c r="G192" i="35"/>
  <c r="I189" i="35"/>
  <c r="I192" i="35"/>
  <c r="K189" i="35"/>
  <c r="K192" i="35"/>
  <c r="M189" i="35"/>
  <c r="M192" i="35"/>
  <c r="O189" i="35"/>
  <c r="O192" i="35"/>
  <c r="Q189" i="35"/>
  <c r="Q192" i="35"/>
  <c r="S189" i="35"/>
  <c r="S192" i="35"/>
  <c r="U189" i="35"/>
  <c r="U192" i="35"/>
  <c r="W189" i="35"/>
  <c r="W192" i="35"/>
  <c r="G190" i="35"/>
  <c r="G193" i="35"/>
  <c r="I190" i="35"/>
  <c r="I193" i="35"/>
  <c r="K190" i="35"/>
  <c r="K193" i="35"/>
  <c r="M190" i="35"/>
  <c r="M193" i="35"/>
  <c r="O190" i="35"/>
  <c r="O193" i="35"/>
  <c r="Q190" i="35"/>
  <c r="Q193" i="35"/>
  <c r="S190" i="35"/>
  <c r="S193" i="35"/>
  <c r="U190" i="35"/>
  <c r="U193" i="35"/>
  <c r="W190" i="35"/>
  <c r="W193" i="35"/>
  <c r="G197" i="35"/>
  <c r="G200" i="35"/>
  <c r="K197" i="35"/>
  <c r="K200" i="35"/>
  <c r="M197" i="35"/>
  <c r="M200" i="35"/>
  <c r="O197" i="35"/>
  <c r="O200" i="35"/>
  <c r="Q197" i="35"/>
  <c r="Q200" i="35"/>
  <c r="S197" i="35"/>
  <c r="S200" i="35"/>
  <c r="U197" i="35"/>
  <c r="U200" i="35"/>
  <c r="W197" i="35"/>
  <c r="W200" i="35"/>
  <c r="G198" i="35"/>
  <c r="G201" i="35"/>
  <c r="I198" i="35"/>
  <c r="I201" i="35"/>
  <c r="K198" i="35"/>
  <c r="K201" i="35"/>
  <c r="M198" i="35"/>
  <c r="M201" i="35"/>
  <c r="O198" i="35"/>
  <c r="O201" i="35"/>
  <c r="Q198" i="35"/>
  <c r="Q201" i="35"/>
  <c r="S198" i="35"/>
  <c r="S201" i="35"/>
  <c r="U198" i="35"/>
  <c r="U201" i="35"/>
  <c r="W198" i="35"/>
  <c r="W201" i="35"/>
  <c r="G199" i="35"/>
  <c r="G202" i="35"/>
  <c r="I199" i="35"/>
  <c r="I202" i="35"/>
  <c r="K199" i="35"/>
  <c r="K202" i="35"/>
  <c r="M199" i="35"/>
  <c r="M202" i="35"/>
  <c r="O199" i="35"/>
  <c r="O202" i="35"/>
  <c r="Q199" i="35"/>
  <c r="Q202" i="35"/>
  <c r="S199" i="35"/>
  <c r="S202" i="35"/>
  <c r="U199" i="35"/>
  <c r="U202" i="35"/>
  <c r="W199" i="35"/>
  <c r="W202" i="35"/>
  <c r="I197" i="35"/>
  <c r="I200" i="35"/>
  <c r="H197" i="35"/>
  <c r="H200" i="35"/>
  <c r="J197" i="35"/>
  <c r="J200" i="35"/>
  <c r="L197" i="35"/>
  <c r="L200" i="35"/>
  <c r="N197" i="35"/>
  <c r="N200" i="35"/>
  <c r="P197" i="35"/>
  <c r="P200" i="35"/>
  <c r="R197" i="35"/>
  <c r="R200" i="35"/>
  <c r="T197" i="35"/>
  <c r="T200" i="35"/>
  <c r="V197" i="35"/>
  <c r="V200" i="35"/>
  <c r="X197" i="35"/>
  <c r="X200" i="35"/>
  <c r="H198" i="35"/>
  <c r="H201" i="35"/>
  <c r="J198" i="35"/>
  <c r="J201" i="35"/>
  <c r="L198" i="35"/>
  <c r="L201" i="35"/>
  <c r="N198" i="35"/>
  <c r="N201" i="35"/>
  <c r="P198" i="35"/>
  <c r="P201" i="35"/>
  <c r="R198" i="35"/>
  <c r="R201" i="35"/>
  <c r="T198" i="35"/>
  <c r="T201" i="35"/>
  <c r="V198" i="35"/>
  <c r="V201" i="35"/>
  <c r="X198" i="35"/>
  <c r="X201" i="35"/>
  <c r="H199" i="35"/>
  <c r="H202" i="35"/>
  <c r="J199" i="35"/>
  <c r="J202" i="35"/>
  <c r="L199" i="35"/>
  <c r="L202" i="35"/>
  <c r="N199" i="35"/>
  <c r="N202" i="35"/>
  <c r="P199" i="35"/>
  <c r="P202" i="35"/>
  <c r="R199" i="35"/>
  <c r="R202" i="35"/>
  <c r="T199" i="35"/>
  <c r="T202" i="35"/>
  <c r="V199" i="35"/>
  <c r="V202" i="35"/>
  <c r="X199" i="35"/>
  <c r="X202" i="35"/>
  <c r="I143" i="35"/>
  <c r="I146" i="35"/>
  <c r="K143" i="35"/>
  <c r="K146" i="35"/>
  <c r="O143" i="35"/>
  <c r="O146" i="35"/>
  <c r="Q143" i="35"/>
  <c r="Q146" i="35"/>
  <c r="S143" i="35"/>
  <c r="S146" i="35"/>
  <c r="U143" i="35"/>
  <c r="U146" i="35"/>
  <c r="W143" i="35"/>
  <c r="W146" i="35"/>
  <c r="G144" i="35"/>
  <c r="G147" i="35"/>
  <c r="I144" i="35"/>
  <c r="I147" i="35"/>
  <c r="K144" i="35"/>
  <c r="K147" i="35"/>
  <c r="M144" i="35"/>
  <c r="M147" i="35"/>
  <c r="O144" i="35"/>
  <c r="O147" i="35"/>
  <c r="Q144" i="35"/>
  <c r="Q147" i="35"/>
  <c r="S144" i="35"/>
  <c r="S147" i="35"/>
  <c r="U144" i="35"/>
  <c r="U147" i="35"/>
  <c r="W144" i="35"/>
  <c r="W147" i="35"/>
  <c r="G145" i="35"/>
  <c r="G148" i="35"/>
  <c r="I145" i="35"/>
  <c r="I148" i="35"/>
  <c r="K145" i="35"/>
  <c r="K148" i="35"/>
  <c r="M145" i="35"/>
  <c r="M148" i="35"/>
  <c r="O145" i="35"/>
  <c r="O148" i="35"/>
  <c r="Q145" i="35"/>
  <c r="Q148" i="35"/>
  <c r="S145" i="35"/>
  <c r="S148" i="35"/>
  <c r="U145" i="35"/>
  <c r="U148" i="35"/>
  <c r="W145" i="35"/>
  <c r="W148" i="35"/>
  <c r="G143" i="35"/>
  <c r="G146" i="35"/>
  <c r="M143" i="35"/>
  <c r="M146" i="35"/>
  <c r="H143" i="35"/>
  <c r="H146" i="35"/>
  <c r="J143" i="35"/>
  <c r="J146" i="35"/>
  <c r="L143" i="35"/>
  <c r="L146" i="35"/>
  <c r="N143" i="35"/>
  <c r="N146" i="35"/>
  <c r="P143" i="35"/>
  <c r="P146" i="35"/>
  <c r="R143" i="35"/>
  <c r="R146" i="35"/>
  <c r="T143" i="35"/>
  <c r="T146" i="35"/>
  <c r="V143" i="35"/>
  <c r="V146" i="35"/>
  <c r="X143" i="35"/>
  <c r="X146" i="35"/>
  <c r="H144" i="35"/>
  <c r="H147" i="35"/>
  <c r="J144" i="35"/>
  <c r="J147" i="35"/>
  <c r="L144" i="35"/>
  <c r="L147" i="35"/>
  <c r="N144" i="35"/>
  <c r="N147" i="35"/>
  <c r="P144" i="35"/>
  <c r="P147" i="35"/>
  <c r="R144" i="35"/>
  <c r="R147" i="35"/>
  <c r="T144" i="35"/>
  <c r="T147" i="35"/>
  <c r="V144" i="35"/>
  <c r="V147" i="35"/>
  <c r="X144" i="35"/>
  <c r="X147" i="35"/>
  <c r="H145" i="35"/>
  <c r="H148" i="35"/>
  <c r="J145" i="35"/>
  <c r="J148" i="35"/>
  <c r="L145" i="35"/>
  <c r="L148" i="35"/>
  <c r="N145" i="35"/>
  <c r="N148" i="35"/>
  <c r="P145" i="35"/>
  <c r="P148" i="35"/>
  <c r="R145" i="35"/>
  <c r="R148" i="35"/>
  <c r="T145" i="35"/>
  <c r="T148" i="35"/>
  <c r="V145" i="35"/>
  <c r="V148" i="35"/>
  <c r="X145" i="35"/>
  <c r="X148" i="35"/>
  <c r="G68" i="35"/>
  <c r="G71" i="35"/>
  <c r="I68" i="35"/>
  <c r="I71" i="35"/>
  <c r="K68" i="35"/>
  <c r="K71" i="35"/>
  <c r="M68" i="35"/>
  <c r="M71" i="35"/>
  <c r="O68" i="35"/>
  <c r="O71" i="35"/>
  <c r="Q68" i="35"/>
  <c r="Q71" i="35"/>
  <c r="S68" i="35"/>
  <c r="S71" i="35"/>
  <c r="U68" i="35"/>
  <c r="U71" i="35"/>
  <c r="W68" i="35"/>
  <c r="W71" i="35"/>
  <c r="G69" i="35"/>
  <c r="G72" i="35"/>
  <c r="I69" i="35"/>
  <c r="I72" i="35"/>
  <c r="K69" i="35"/>
  <c r="K72" i="35"/>
  <c r="M69" i="35"/>
  <c r="M72" i="35"/>
  <c r="O69" i="35"/>
  <c r="O72" i="35"/>
  <c r="Q69" i="35"/>
  <c r="Q72" i="35"/>
  <c r="S69" i="35"/>
  <c r="S72" i="35"/>
  <c r="U69" i="35"/>
  <c r="U72" i="35"/>
  <c r="W69" i="35"/>
  <c r="W72" i="35"/>
  <c r="G70" i="35"/>
  <c r="G73" i="35"/>
  <c r="I70" i="35"/>
  <c r="I73" i="35"/>
  <c r="K70" i="35"/>
  <c r="K73" i="35"/>
  <c r="M70" i="35"/>
  <c r="M73" i="35"/>
  <c r="O70" i="35"/>
  <c r="O73" i="35"/>
  <c r="Q70" i="35"/>
  <c r="Q73" i="35"/>
  <c r="S70" i="35"/>
  <c r="S73" i="35"/>
  <c r="U70" i="35"/>
  <c r="U73" i="35"/>
  <c r="W70" i="35"/>
  <c r="W73" i="35"/>
  <c r="H68" i="35"/>
  <c r="H71" i="35"/>
  <c r="J68" i="35"/>
  <c r="J71" i="35"/>
  <c r="L68" i="35"/>
  <c r="L71" i="35"/>
  <c r="N68" i="35"/>
  <c r="N71" i="35"/>
  <c r="P68" i="35"/>
  <c r="P71" i="35"/>
  <c r="R68" i="35"/>
  <c r="R71" i="35"/>
  <c r="T68" i="35"/>
  <c r="T71" i="35"/>
  <c r="V68" i="35"/>
  <c r="V71" i="35"/>
  <c r="X68" i="35"/>
  <c r="X71" i="35"/>
  <c r="H69" i="35"/>
  <c r="H72" i="35"/>
  <c r="J69" i="35"/>
  <c r="J72" i="35"/>
  <c r="L69" i="35"/>
  <c r="L72" i="35"/>
  <c r="N69" i="35"/>
  <c r="N72" i="35"/>
  <c r="P69" i="35"/>
  <c r="P72" i="35"/>
  <c r="R69" i="35"/>
  <c r="R72" i="35"/>
  <c r="T69" i="35"/>
  <c r="T72" i="35"/>
  <c r="V69" i="35"/>
  <c r="V72" i="35"/>
  <c r="X69" i="35"/>
  <c r="X72" i="35"/>
  <c r="H70" i="35"/>
  <c r="H73" i="35"/>
  <c r="J70" i="35"/>
  <c r="J73" i="35"/>
  <c r="L70" i="35"/>
  <c r="L73" i="35"/>
  <c r="N70" i="35"/>
  <c r="N73" i="35"/>
  <c r="P70" i="35"/>
  <c r="P73" i="35"/>
  <c r="R70" i="35"/>
  <c r="R73" i="35"/>
  <c r="T70" i="35"/>
  <c r="T73" i="35"/>
  <c r="V70" i="35"/>
  <c r="V73" i="35"/>
  <c r="X70" i="35"/>
  <c r="X73" i="35"/>
  <c r="I113" i="35"/>
  <c r="I116" i="35"/>
  <c r="M113" i="35"/>
  <c r="M116" i="35"/>
  <c r="Q113" i="35"/>
  <c r="Q116" i="35"/>
  <c r="U113" i="35"/>
  <c r="U116" i="35"/>
  <c r="W113" i="35"/>
  <c r="W116" i="35"/>
  <c r="I114" i="35"/>
  <c r="I117" i="35"/>
  <c r="M114" i="35"/>
  <c r="M117" i="35"/>
  <c r="Q114" i="35"/>
  <c r="Q117" i="35"/>
  <c r="U114" i="35"/>
  <c r="U117" i="35"/>
  <c r="W114" i="35"/>
  <c r="W117" i="35"/>
  <c r="I115" i="35"/>
  <c r="I118" i="35"/>
  <c r="M115" i="35"/>
  <c r="M118" i="35"/>
  <c r="Q115" i="35"/>
  <c r="Q118" i="35"/>
  <c r="U115" i="35"/>
  <c r="U118" i="35"/>
  <c r="H113" i="35"/>
  <c r="H116" i="35"/>
  <c r="J113" i="35"/>
  <c r="J116" i="35"/>
  <c r="L113" i="35"/>
  <c r="L116" i="35"/>
  <c r="N113" i="35"/>
  <c r="N116" i="35"/>
  <c r="P113" i="35"/>
  <c r="P116" i="35"/>
  <c r="R113" i="35"/>
  <c r="R116" i="35"/>
  <c r="T113" i="35"/>
  <c r="T116" i="35"/>
  <c r="V113" i="35"/>
  <c r="V116" i="35"/>
  <c r="X113" i="35"/>
  <c r="X116" i="35"/>
  <c r="H114" i="35"/>
  <c r="H117" i="35"/>
  <c r="J114" i="35"/>
  <c r="J117" i="35"/>
  <c r="L114" i="35"/>
  <c r="L117" i="35"/>
  <c r="N114" i="35"/>
  <c r="N117" i="35"/>
  <c r="P114" i="35"/>
  <c r="P117" i="35"/>
  <c r="R114" i="35"/>
  <c r="R117" i="35"/>
  <c r="T114" i="35"/>
  <c r="T117" i="35"/>
  <c r="V114" i="35"/>
  <c r="V117" i="35"/>
  <c r="X114" i="35"/>
  <c r="X117" i="35"/>
  <c r="H115" i="35"/>
  <c r="H118" i="35"/>
  <c r="J115" i="35"/>
  <c r="J118" i="35"/>
  <c r="L115" i="35"/>
  <c r="L118" i="35"/>
  <c r="N115" i="35"/>
  <c r="N118" i="35"/>
  <c r="P115" i="35"/>
  <c r="P118" i="35"/>
  <c r="R115" i="35"/>
  <c r="R118" i="35"/>
  <c r="T115" i="35"/>
  <c r="T118" i="35"/>
  <c r="V115" i="35"/>
  <c r="V118" i="35"/>
  <c r="X115" i="35"/>
  <c r="X118" i="35"/>
  <c r="G113" i="35"/>
  <c r="G116" i="35"/>
  <c r="K113" i="35"/>
  <c r="K116" i="35"/>
  <c r="O113" i="35"/>
  <c r="O116" i="35"/>
  <c r="S113" i="35"/>
  <c r="S116" i="35"/>
  <c r="G114" i="35"/>
  <c r="G117" i="35"/>
  <c r="K114" i="35"/>
  <c r="K117" i="35"/>
  <c r="O114" i="35"/>
  <c r="O117" i="35"/>
  <c r="S114" i="35"/>
  <c r="S117" i="35"/>
  <c r="G115" i="35"/>
  <c r="G118" i="35"/>
  <c r="K115" i="35"/>
  <c r="K118" i="35"/>
  <c r="O115" i="35"/>
  <c r="O118" i="35"/>
  <c r="S115" i="35"/>
  <c r="S118" i="35"/>
  <c r="W115" i="35"/>
  <c r="W118" i="35"/>
  <c r="I104" i="35"/>
  <c r="I107" i="35"/>
  <c r="M104" i="35"/>
  <c r="M107" i="35"/>
  <c r="Q104" i="35"/>
  <c r="Q107" i="35"/>
  <c r="S104" i="35"/>
  <c r="S107" i="35"/>
  <c r="W104" i="35"/>
  <c r="W107" i="35"/>
  <c r="G105" i="35"/>
  <c r="G108" i="35"/>
  <c r="I105" i="35"/>
  <c r="I108" i="35"/>
  <c r="K105" i="35"/>
  <c r="K108" i="35"/>
  <c r="M105" i="35"/>
  <c r="M108" i="35"/>
  <c r="O105" i="35"/>
  <c r="O108" i="35"/>
  <c r="Q105" i="35"/>
  <c r="Q108" i="35"/>
  <c r="S105" i="35"/>
  <c r="S108" i="35"/>
  <c r="U105" i="35"/>
  <c r="U108" i="35"/>
  <c r="W105" i="35"/>
  <c r="W108" i="35"/>
  <c r="G106" i="35"/>
  <c r="G109" i="35"/>
  <c r="I106" i="35"/>
  <c r="I109" i="35"/>
  <c r="K106" i="35"/>
  <c r="K109" i="35"/>
  <c r="M106" i="35"/>
  <c r="M109" i="35"/>
  <c r="O106" i="35"/>
  <c r="O109" i="35"/>
  <c r="Q106" i="35"/>
  <c r="Q109" i="35"/>
  <c r="S106" i="35"/>
  <c r="S109" i="35"/>
  <c r="U106" i="35"/>
  <c r="U109" i="35"/>
  <c r="W106" i="35"/>
  <c r="W109" i="35"/>
  <c r="G104" i="35"/>
  <c r="G107" i="35"/>
  <c r="K104" i="35"/>
  <c r="K107" i="35"/>
  <c r="O104" i="35"/>
  <c r="O107" i="35"/>
  <c r="U104" i="35"/>
  <c r="U107" i="35"/>
  <c r="H104" i="35"/>
  <c r="H107" i="35"/>
  <c r="J104" i="35"/>
  <c r="J107" i="35"/>
  <c r="L104" i="35"/>
  <c r="L107" i="35"/>
  <c r="N104" i="35"/>
  <c r="N107" i="35"/>
  <c r="P104" i="35"/>
  <c r="P107" i="35"/>
  <c r="R104" i="35"/>
  <c r="R107" i="35"/>
  <c r="T104" i="35"/>
  <c r="T107" i="35"/>
  <c r="V104" i="35"/>
  <c r="V107" i="35"/>
  <c r="X104" i="35"/>
  <c r="X107" i="35"/>
  <c r="H105" i="35"/>
  <c r="H108" i="35"/>
  <c r="J105" i="35"/>
  <c r="J108" i="35"/>
  <c r="L105" i="35"/>
  <c r="L108" i="35"/>
  <c r="N105" i="35"/>
  <c r="N108" i="35"/>
  <c r="P105" i="35"/>
  <c r="P108" i="35"/>
  <c r="R105" i="35"/>
  <c r="R108" i="35"/>
  <c r="T105" i="35"/>
  <c r="T108" i="35"/>
  <c r="V105" i="35"/>
  <c r="V108" i="35"/>
  <c r="X105" i="35"/>
  <c r="X108" i="35"/>
  <c r="H106" i="35"/>
  <c r="H109" i="35"/>
  <c r="J106" i="35"/>
  <c r="J109" i="35"/>
  <c r="L106" i="35"/>
  <c r="L109" i="35"/>
  <c r="N106" i="35"/>
  <c r="N109" i="35"/>
  <c r="P106" i="35"/>
  <c r="P109" i="35"/>
  <c r="R106" i="35"/>
  <c r="R109" i="35"/>
  <c r="T106" i="35"/>
  <c r="T109" i="35"/>
  <c r="V106" i="35"/>
  <c r="V109" i="35"/>
  <c r="X106" i="35"/>
  <c r="X109" i="35"/>
  <c r="G95" i="35"/>
  <c r="G98" i="35"/>
  <c r="I95" i="35"/>
  <c r="I98" i="35"/>
  <c r="K95" i="35"/>
  <c r="K98" i="35"/>
  <c r="M95" i="35"/>
  <c r="M98" i="35"/>
  <c r="O95" i="35"/>
  <c r="O98" i="35"/>
  <c r="Q95" i="35"/>
  <c r="Q98" i="35"/>
  <c r="S95" i="35"/>
  <c r="S98" i="35"/>
  <c r="U95" i="35"/>
  <c r="U98" i="35"/>
  <c r="W95" i="35"/>
  <c r="W98" i="35"/>
  <c r="G96" i="35"/>
  <c r="G99" i="35"/>
  <c r="I96" i="35"/>
  <c r="I99" i="35"/>
  <c r="K96" i="35"/>
  <c r="K99" i="35"/>
  <c r="M96" i="35"/>
  <c r="M99" i="35"/>
  <c r="O96" i="35"/>
  <c r="O99" i="35"/>
  <c r="Q96" i="35"/>
  <c r="Q99" i="35"/>
  <c r="S96" i="35"/>
  <c r="S99" i="35"/>
  <c r="U96" i="35"/>
  <c r="U99" i="35"/>
  <c r="W96" i="35"/>
  <c r="W99" i="35"/>
  <c r="G97" i="35"/>
  <c r="G100" i="35"/>
  <c r="I97" i="35"/>
  <c r="I100" i="35"/>
  <c r="K97" i="35"/>
  <c r="K100" i="35"/>
  <c r="M97" i="35"/>
  <c r="M100" i="35"/>
  <c r="O97" i="35"/>
  <c r="O100" i="35"/>
  <c r="Q97" i="35"/>
  <c r="Q100" i="35"/>
  <c r="S97" i="35"/>
  <c r="S100" i="35"/>
  <c r="U97" i="35"/>
  <c r="U100" i="35"/>
  <c r="W97" i="35"/>
  <c r="W100" i="35"/>
  <c r="H95" i="35"/>
  <c r="H98" i="35"/>
  <c r="J95" i="35"/>
  <c r="J98" i="35"/>
  <c r="L95" i="35"/>
  <c r="L98" i="35"/>
  <c r="N95" i="35"/>
  <c r="N98" i="35"/>
  <c r="P95" i="35"/>
  <c r="P98" i="35"/>
  <c r="R95" i="35"/>
  <c r="R98" i="35"/>
  <c r="T95" i="35"/>
  <c r="T98" i="35"/>
  <c r="V95" i="35"/>
  <c r="V98" i="35"/>
  <c r="X95" i="35"/>
  <c r="X98" i="35"/>
  <c r="H96" i="35"/>
  <c r="H99" i="35"/>
  <c r="J96" i="35"/>
  <c r="J99" i="35"/>
  <c r="L96" i="35"/>
  <c r="L99" i="35"/>
  <c r="N96" i="35"/>
  <c r="N99" i="35"/>
  <c r="P96" i="35"/>
  <c r="P99" i="35"/>
  <c r="R96" i="35"/>
  <c r="R99" i="35"/>
  <c r="T96" i="35"/>
  <c r="T99" i="35"/>
  <c r="V96" i="35"/>
  <c r="V99" i="35"/>
  <c r="X96" i="35"/>
  <c r="X99" i="35"/>
  <c r="H97" i="35"/>
  <c r="H100" i="35"/>
  <c r="J97" i="35"/>
  <c r="J100" i="35"/>
  <c r="L97" i="35"/>
  <c r="L100" i="35"/>
  <c r="N97" i="35"/>
  <c r="N100" i="35"/>
  <c r="P97" i="35"/>
  <c r="P100" i="35"/>
  <c r="R97" i="35"/>
  <c r="R100" i="35"/>
  <c r="T97" i="35"/>
  <c r="T100" i="35"/>
  <c r="V97" i="35"/>
  <c r="V100" i="35"/>
  <c r="X97" i="35"/>
  <c r="X100" i="35"/>
  <c r="J86" i="35"/>
  <c r="J89" i="35"/>
  <c r="N86" i="35"/>
  <c r="N89" i="35"/>
  <c r="R86" i="35"/>
  <c r="R89" i="35"/>
  <c r="V86" i="35"/>
  <c r="V89" i="35"/>
  <c r="H87" i="35"/>
  <c r="H90" i="35"/>
  <c r="L87" i="35"/>
  <c r="L90" i="35"/>
  <c r="P87" i="35"/>
  <c r="P90" i="35"/>
  <c r="T87" i="35"/>
  <c r="T90" i="35"/>
  <c r="X87" i="35"/>
  <c r="X90" i="35"/>
  <c r="J88" i="35"/>
  <c r="J91" i="35"/>
  <c r="N88" i="35"/>
  <c r="N91" i="35"/>
  <c r="R88" i="35"/>
  <c r="R91" i="35"/>
  <c r="V88" i="35"/>
  <c r="V91" i="35"/>
  <c r="G86" i="35"/>
  <c r="G89" i="35"/>
  <c r="I86" i="35"/>
  <c r="I89" i="35"/>
  <c r="K86" i="35"/>
  <c r="K89" i="35"/>
  <c r="M86" i="35"/>
  <c r="M89" i="35"/>
  <c r="O86" i="35"/>
  <c r="O89" i="35"/>
  <c r="Q86" i="35"/>
  <c r="Q89" i="35"/>
  <c r="S86" i="35"/>
  <c r="S89" i="35"/>
  <c r="U86" i="35"/>
  <c r="U89" i="35"/>
  <c r="W86" i="35"/>
  <c r="W89" i="35"/>
  <c r="G87" i="35"/>
  <c r="G90" i="35"/>
  <c r="I87" i="35"/>
  <c r="I90" i="35"/>
  <c r="K87" i="35"/>
  <c r="K90" i="35"/>
  <c r="M87" i="35"/>
  <c r="M90" i="35"/>
  <c r="O87" i="35"/>
  <c r="O90" i="35"/>
  <c r="Q87" i="35"/>
  <c r="Q90" i="35"/>
  <c r="S87" i="35"/>
  <c r="S90" i="35"/>
  <c r="U87" i="35"/>
  <c r="U90" i="35"/>
  <c r="W87" i="35"/>
  <c r="W90" i="35"/>
  <c r="G88" i="35"/>
  <c r="G91" i="35"/>
  <c r="I88" i="35"/>
  <c r="I91" i="35"/>
  <c r="K88" i="35"/>
  <c r="K91" i="35"/>
  <c r="M88" i="35"/>
  <c r="M91" i="35"/>
  <c r="O88" i="35"/>
  <c r="O91" i="35"/>
  <c r="Q88" i="35"/>
  <c r="Q91" i="35"/>
  <c r="S88" i="35"/>
  <c r="S91" i="35"/>
  <c r="U88" i="35"/>
  <c r="U91" i="35"/>
  <c r="W88" i="35"/>
  <c r="W91" i="35"/>
  <c r="H86" i="35"/>
  <c r="H89" i="35"/>
  <c r="L86" i="35"/>
  <c r="L89" i="35"/>
  <c r="P86" i="35"/>
  <c r="P89" i="35"/>
  <c r="T86" i="35"/>
  <c r="T89" i="35"/>
  <c r="X86" i="35"/>
  <c r="X89" i="35"/>
  <c r="J87" i="35"/>
  <c r="J90" i="35"/>
  <c r="N87" i="35"/>
  <c r="N90" i="35"/>
  <c r="R87" i="35"/>
  <c r="R90" i="35"/>
  <c r="V87" i="35"/>
  <c r="V90" i="35"/>
  <c r="H88" i="35"/>
  <c r="H91" i="35"/>
  <c r="L88" i="35"/>
  <c r="L91" i="35"/>
  <c r="P88" i="35"/>
  <c r="P91" i="35"/>
  <c r="T88" i="35"/>
  <c r="T91" i="35"/>
  <c r="X88" i="35"/>
  <c r="X91" i="35"/>
  <c r="H77" i="35"/>
  <c r="H80" i="35"/>
  <c r="J77" i="35"/>
  <c r="J80" i="35"/>
  <c r="L77" i="35"/>
  <c r="L80" i="35"/>
  <c r="N77" i="35"/>
  <c r="N80" i="35"/>
  <c r="P77" i="35"/>
  <c r="P80" i="35"/>
  <c r="R77" i="35"/>
  <c r="R80" i="35"/>
  <c r="T77" i="35"/>
  <c r="T80" i="35"/>
  <c r="V77" i="35"/>
  <c r="V80" i="35"/>
  <c r="X77" i="35"/>
  <c r="X80" i="35"/>
  <c r="H78" i="35"/>
  <c r="H81" i="35"/>
  <c r="J78" i="35"/>
  <c r="J81" i="35"/>
  <c r="L78" i="35"/>
  <c r="L81" i="35"/>
  <c r="N78" i="35"/>
  <c r="N81" i="35"/>
  <c r="P78" i="35"/>
  <c r="P81" i="35"/>
  <c r="R78" i="35"/>
  <c r="R81" i="35"/>
  <c r="T78" i="35"/>
  <c r="T81" i="35"/>
  <c r="V78" i="35"/>
  <c r="V81" i="35"/>
  <c r="X78" i="35"/>
  <c r="X81" i="35"/>
  <c r="H79" i="35"/>
  <c r="H82" i="35"/>
  <c r="J79" i="35"/>
  <c r="J82" i="35"/>
  <c r="L79" i="35"/>
  <c r="L82" i="35"/>
  <c r="N79" i="35"/>
  <c r="N82" i="35"/>
  <c r="P79" i="35"/>
  <c r="P82" i="35"/>
  <c r="R79" i="35"/>
  <c r="R82" i="35"/>
  <c r="T79" i="35"/>
  <c r="T82" i="35"/>
  <c r="V79" i="35"/>
  <c r="V82" i="35"/>
  <c r="X79" i="35"/>
  <c r="X82" i="35"/>
  <c r="G77" i="35"/>
  <c r="G80" i="35"/>
  <c r="I77" i="35"/>
  <c r="I80" i="35"/>
  <c r="K77" i="35"/>
  <c r="K80" i="35"/>
  <c r="M77" i="35"/>
  <c r="M80" i="35"/>
  <c r="O77" i="35"/>
  <c r="O80" i="35"/>
  <c r="Q77" i="35"/>
  <c r="Q80" i="35"/>
  <c r="S77" i="35"/>
  <c r="S80" i="35"/>
  <c r="U77" i="35"/>
  <c r="U80" i="35"/>
  <c r="W77" i="35"/>
  <c r="W80" i="35"/>
  <c r="G78" i="35"/>
  <c r="G81" i="35"/>
  <c r="I78" i="35"/>
  <c r="I81" i="35"/>
  <c r="K78" i="35"/>
  <c r="K81" i="35"/>
  <c r="M78" i="35"/>
  <c r="M81" i="35"/>
  <c r="O78" i="35"/>
  <c r="O81" i="35"/>
  <c r="Q78" i="35"/>
  <c r="Q81" i="35"/>
  <c r="S78" i="35"/>
  <c r="S81" i="35"/>
  <c r="U78" i="35"/>
  <c r="U81" i="35"/>
  <c r="W78" i="35"/>
  <c r="W81" i="35"/>
  <c r="G79" i="35"/>
  <c r="G82" i="35"/>
  <c r="I79" i="35"/>
  <c r="I82" i="35"/>
  <c r="K79" i="35"/>
  <c r="K82" i="35"/>
  <c r="M79" i="35"/>
  <c r="M82" i="35"/>
  <c r="O79" i="35"/>
  <c r="O82" i="35"/>
  <c r="Q79" i="35"/>
  <c r="Q82" i="35"/>
  <c r="S79" i="35"/>
  <c r="S82" i="35"/>
  <c r="U79" i="35"/>
  <c r="U82" i="35"/>
  <c r="W79" i="35"/>
  <c r="W82" i="35"/>
  <c r="J50" i="35"/>
  <c r="J53" i="35"/>
  <c r="N50" i="35"/>
  <c r="N53" i="35"/>
  <c r="R50" i="35"/>
  <c r="R53" i="35"/>
  <c r="T50" i="35"/>
  <c r="T53" i="35"/>
  <c r="V50" i="35"/>
  <c r="V53" i="35"/>
  <c r="X50" i="35"/>
  <c r="X53" i="35"/>
  <c r="H51" i="35"/>
  <c r="H54" i="35"/>
  <c r="J51" i="35"/>
  <c r="J54" i="35"/>
  <c r="L51" i="35"/>
  <c r="L54" i="35"/>
  <c r="N51" i="35"/>
  <c r="N54" i="35"/>
  <c r="P51" i="35"/>
  <c r="P54" i="35"/>
  <c r="R51" i="35"/>
  <c r="R54" i="35"/>
  <c r="T51" i="35"/>
  <c r="T54" i="35"/>
  <c r="V51" i="35"/>
  <c r="V54" i="35"/>
  <c r="X51" i="35"/>
  <c r="X54" i="35"/>
  <c r="H52" i="35"/>
  <c r="H55" i="35"/>
  <c r="J52" i="35"/>
  <c r="J55" i="35"/>
  <c r="L52" i="35"/>
  <c r="L55" i="35"/>
  <c r="N52" i="35"/>
  <c r="N55" i="35"/>
  <c r="P52" i="35"/>
  <c r="P55" i="35"/>
  <c r="R52" i="35"/>
  <c r="R55" i="35"/>
  <c r="T52" i="35"/>
  <c r="T55" i="35"/>
  <c r="V52" i="35"/>
  <c r="V55" i="35"/>
  <c r="X52" i="35"/>
  <c r="X55" i="35"/>
  <c r="H50" i="35"/>
  <c r="H53" i="35"/>
  <c r="L50" i="35"/>
  <c r="L53" i="35"/>
  <c r="P50" i="35"/>
  <c r="P53" i="35"/>
  <c r="G50" i="35"/>
  <c r="G53" i="35"/>
  <c r="I50" i="35"/>
  <c r="I53" i="35"/>
  <c r="K50" i="35"/>
  <c r="K53" i="35"/>
  <c r="M50" i="35"/>
  <c r="M53" i="35"/>
  <c r="O50" i="35"/>
  <c r="O53" i="35"/>
  <c r="Q50" i="35"/>
  <c r="Q53" i="35"/>
  <c r="S50" i="35"/>
  <c r="S53" i="35"/>
  <c r="U50" i="35"/>
  <c r="U53" i="35"/>
  <c r="W50" i="35"/>
  <c r="W53" i="35"/>
  <c r="G51" i="35"/>
  <c r="G54" i="35"/>
  <c r="I51" i="35"/>
  <c r="I54" i="35"/>
  <c r="K51" i="35"/>
  <c r="K54" i="35"/>
  <c r="M51" i="35"/>
  <c r="M54" i="35"/>
  <c r="O51" i="35"/>
  <c r="O54" i="35"/>
  <c r="Q51" i="35"/>
  <c r="Q54" i="35"/>
  <c r="S51" i="35"/>
  <c r="S54" i="35"/>
  <c r="U51" i="35"/>
  <c r="U54" i="35"/>
  <c r="W51" i="35"/>
  <c r="W54" i="35"/>
  <c r="G52" i="35"/>
  <c r="G55" i="35"/>
  <c r="I52" i="35"/>
  <c r="I55" i="35"/>
  <c r="K52" i="35"/>
  <c r="K55" i="35"/>
  <c r="M52" i="35"/>
  <c r="M55" i="35"/>
  <c r="O52" i="35"/>
  <c r="O55" i="35"/>
  <c r="Q52" i="35"/>
  <c r="Q55" i="35"/>
  <c r="S52" i="35"/>
  <c r="S55" i="35"/>
  <c r="U52" i="35"/>
  <c r="U55" i="35"/>
  <c r="W52" i="35"/>
  <c r="W55" i="35"/>
  <c r="H41" i="35"/>
  <c r="H44" i="35"/>
  <c r="L41" i="35"/>
  <c r="L44" i="35"/>
  <c r="P41" i="35"/>
  <c r="P44" i="35"/>
  <c r="T41" i="35"/>
  <c r="T44" i="35"/>
  <c r="X41" i="35"/>
  <c r="X44" i="35"/>
  <c r="J42" i="35"/>
  <c r="J45" i="35"/>
  <c r="N42" i="35"/>
  <c r="N45" i="35"/>
  <c r="R42" i="35"/>
  <c r="R45" i="35"/>
  <c r="V42" i="35"/>
  <c r="V45" i="35"/>
  <c r="H43" i="35"/>
  <c r="H46" i="35"/>
  <c r="L43" i="35"/>
  <c r="L46" i="35"/>
  <c r="P43" i="35"/>
  <c r="P46" i="35"/>
  <c r="T43" i="35"/>
  <c r="T46" i="35"/>
  <c r="X43" i="35"/>
  <c r="X46" i="35"/>
  <c r="G41" i="35"/>
  <c r="G44" i="35"/>
  <c r="I41" i="35"/>
  <c r="I44" i="35"/>
  <c r="K41" i="35"/>
  <c r="K44" i="35"/>
  <c r="M41" i="35"/>
  <c r="M44" i="35"/>
  <c r="O41" i="35"/>
  <c r="O44" i="35"/>
  <c r="Q41" i="35"/>
  <c r="Q44" i="35"/>
  <c r="S41" i="35"/>
  <c r="S44" i="35"/>
  <c r="U41" i="35"/>
  <c r="U44" i="35"/>
  <c r="W41" i="35"/>
  <c r="W44" i="35"/>
  <c r="G42" i="35"/>
  <c r="G45" i="35"/>
  <c r="I42" i="35"/>
  <c r="I45" i="35"/>
  <c r="K42" i="35"/>
  <c r="K45" i="35"/>
  <c r="M42" i="35"/>
  <c r="M45" i="35"/>
  <c r="O42" i="35"/>
  <c r="O45" i="35"/>
  <c r="Q42" i="35"/>
  <c r="Q45" i="35"/>
  <c r="S42" i="35"/>
  <c r="S45" i="35"/>
  <c r="U42" i="35"/>
  <c r="U45" i="35"/>
  <c r="W42" i="35"/>
  <c r="W45" i="35"/>
  <c r="G43" i="35"/>
  <c r="G46" i="35"/>
  <c r="I43" i="35"/>
  <c r="I46" i="35"/>
  <c r="K43" i="35"/>
  <c r="K46" i="35"/>
  <c r="M43" i="35"/>
  <c r="M46" i="35"/>
  <c r="O43" i="35"/>
  <c r="O46" i="35"/>
  <c r="Q43" i="35"/>
  <c r="Q46" i="35"/>
  <c r="S43" i="35"/>
  <c r="S46" i="35"/>
  <c r="U43" i="35"/>
  <c r="U46" i="35"/>
  <c r="W43" i="35"/>
  <c r="W46" i="35"/>
  <c r="J41" i="35"/>
  <c r="J44" i="35"/>
  <c r="N41" i="35"/>
  <c r="N44" i="35"/>
  <c r="R41" i="35"/>
  <c r="R44" i="35"/>
  <c r="V41" i="35"/>
  <c r="V44" i="35"/>
  <c r="H42" i="35"/>
  <c r="H45" i="35"/>
  <c r="L42" i="35"/>
  <c r="L45" i="35"/>
  <c r="P42" i="35"/>
  <c r="P45" i="35"/>
  <c r="T42" i="35"/>
  <c r="T45" i="35"/>
  <c r="X42" i="35"/>
  <c r="X45" i="35"/>
  <c r="J43" i="35"/>
  <c r="J46" i="35"/>
  <c r="N43" i="35"/>
  <c r="N46" i="35"/>
  <c r="R43" i="35"/>
  <c r="R46" i="35"/>
  <c r="V43" i="35"/>
  <c r="V46" i="35"/>
  <c r="G32" i="35"/>
  <c r="G35" i="35"/>
  <c r="I32" i="35"/>
  <c r="I35" i="35"/>
  <c r="K32" i="35"/>
  <c r="K35" i="35"/>
  <c r="M32" i="35"/>
  <c r="M35" i="35"/>
  <c r="O32" i="35"/>
  <c r="O35" i="35"/>
  <c r="Q32" i="35"/>
  <c r="Q35" i="35"/>
  <c r="S32" i="35"/>
  <c r="S35" i="35"/>
  <c r="U32" i="35"/>
  <c r="U35" i="35"/>
  <c r="W32" i="35"/>
  <c r="W35" i="35"/>
  <c r="G33" i="35"/>
  <c r="G36" i="35"/>
  <c r="I33" i="35"/>
  <c r="I36" i="35"/>
  <c r="K33" i="35"/>
  <c r="K36" i="35"/>
  <c r="M33" i="35"/>
  <c r="M36" i="35"/>
  <c r="O33" i="35"/>
  <c r="O36" i="35"/>
  <c r="Q33" i="35"/>
  <c r="Q36" i="35"/>
  <c r="S33" i="35"/>
  <c r="S36" i="35"/>
  <c r="U33" i="35"/>
  <c r="U36" i="35"/>
  <c r="W33" i="35"/>
  <c r="W36" i="35"/>
  <c r="G34" i="35"/>
  <c r="G37" i="35"/>
  <c r="I34" i="35"/>
  <c r="I37" i="35"/>
  <c r="K34" i="35"/>
  <c r="K37" i="35"/>
  <c r="M34" i="35"/>
  <c r="M37" i="35"/>
  <c r="O34" i="35"/>
  <c r="O37" i="35"/>
  <c r="Q34" i="35"/>
  <c r="Q37" i="35"/>
  <c r="S34" i="35"/>
  <c r="S37" i="35"/>
  <c r="U34" i="35"/>
  <c r="U37" i="35"/>
  <c r="W34" i="35"/>
  <c r="W37" i="35"/>
  <c r="H32" i="35"/>
  <c r="H35" i="35"/>
  <c r="J32" i="35"/>
  <c r="J35" i="35"/>
  <c r="L32" i="35"/>
  <c r="L35" i="35"/>
  <c r="N32" i="35"/>
  <c r="N35" i="35"/>
  <c r="P32" i="35"/>
  <c r="P35" i="35"/>
  <c r="R32" i="35"/>
  <c r="R35" i="35"/>
  <c r="T32" i="35"/>
  <c r="T35" i="35"/>
  <c r="V32" i="35"/>
  <c r="V35" i="35"/>
  <c r="X32" i="35"/>
  <c r="X35" i="35"/>
  <c r="H33" i="35"/>
  <c r="H36" i="35"/>
  <c r="J33" i="35"/>
  <c r="J36" i="35"/>
  <c r="L33" i="35"/>
  <c r="L36" i="35"/>
  <c r="N33" i="35"/>
  <c r="N36" i="35"/>
  <c r="P33" i="35"/>
  <c r="P36" i="35"/>
  <c r="R33" i="35"/>
  <c r="R36" i="35"/>
  <c r="T33" i="35"/>
  <c r="T36" i="35"/>
  <c r="V33" i="35"/>
  <c r="V36" i="35"/>
  <c r="X33" i="35"/>
  <c r="X36" i="35"/>
  <c r="H34" i="35"/>
  <c r="H37" i="35"/>
  <c r="J34" i="35"/>
  <c r="J37" i="35"/>
  <c r="L34" i="35"/>
  <c r="L37" i="35"/>
  <c r="N34" i="35"/>
  <c r="N37" i="35"/>
  <c r="P34" i="35"/>
  <c r="P37" i="35"/>
  <c r="R34" i="35"/>
  <c r="R37" i="35"/>
  <c r="T34" i="35"/>
  <c r="T37" i="35"/>
  <c r="V34" i="35"/>
  <c r="V37" i="35"/>
  <c r="X34" i="35"/>
  <c r="X37" i="35"/>
  <c r="H23" i="35"/>
  <c r="H26" i="35"/>
  <c r="L23" i="35"/>
  <c r="L26" i="35"/>
  <c r="N23" i="35"/>
  <c r="N26" i="35"/>
  <c r="P23" i="35"/>
  <c r="P26" i="35"/>
  <c r="R23" i="35"/>
  <c r="R26" i="35"/>
  <c r="T23" i="35"/>
  <c r="T26" i="35"/>
  <c r="V23" i="35"/>
  <c r="V26" i="35"/>
  <c r="X23" i="35"/>
  <c r="X26" i="35"/>
  <c r="H24" i="35"/>
  <c r="H27" i="35"/>
  <c r="J24" i="35"/>
  <c r="J27" i="35"/>
  <c r="L24" i="35"/>
  <c r="L27" i="35"/>
  <c r="N24" i="35"/>
  <c r="N27" i="35"/>
  <c r="P24" i="35"/>
  <c r="P27" i="35"/>
  <c r="R24" i="35"/>
  <c r="R27" i="35"/>
  <c r="T24" i="35"/>
  <c r="T27" i="35"/>
  <c r="V24" i="35"/>
  <c r="V27" i="35"/>
  <c r="X24" i="35"/>
  <c r="X27" i="35"/>
  <c r="H25" i="35"/>
  <c r="H28" i="35"/>
  <c r="J25" i="35"/>
  <c r="J28" i="35"/>
  <c r="L25" i="35"/>
  <c r="L28" i="35"/>
  <c r="N25" i="35"/>
  <c r="N28" i="35"/>
  <c r="P25" i="35"/>
  <c r="P28" i="35"/>
  <c r="R25" i="35"/>
  <c r="R28" i="35"/>
  <c r="T25" i="35"/>
  <c r="T28" i="35"/>
  <c r="V25" i="35"/>
  <c r="V28" i="35"/>
  <c r="X25" i="35"/>
  <c r="X28" i="35"/>
  <c r="J23" i="35"/>
  <c r="J26" i="35"/>
  <c r="G23" i="35"/>
  <c r="G26" i="35"/>
  <c r="I23" i="35"/>
  <c r="I26" i="35"/>
  <c r="K23" i="35"/>
  <c r="K26" i="35"/>
  <c r="M23" i="35"/>
  <c r="M26" i="35"/>
  <c r="O23" i="35"/>
  <c r="O26" i="35"/>
  <c r="Q23" i="35"/>
  <c r="Q26" i="35"/>
  <c r="S23" i="35"/>
  <c r="S26" i="35"/>
  <c r="U23" i="35"/>
  <c r="U26" i="35"/>
  <c r="W23" i="35"/>
  <c r="W26" i="35"/>
  <c r="G24" i="35"/>
  <c r="G27" i="35"/>
  <c r="I24" i="35"/>
  <c r="I27" i="35"/>
  <c r="K24" i="35"/>
  <c r="K27" i="35"/>
  <c r="M24" i="35"/>
  <c r="M27" i="35"/>
  <c r="O24" i="35"/>
  <c r="O27" i="35"/>
  <c r="Q24" i="35"/>
  <c r="Q27" i="35"/>
  <c r="S24" i="35"/>
  <c r="S27" i="35"/>
  <c r="U24" i="35"/>
  <c r="U27" i="35"/>
  <c r="W24" i="35"/>
  <c r="W27" i="35"/>
  <c r="G25" i="35"/>
  <c r="G28" i="35"/>
  <c r="I25" i="35"/>
  <c r="I28" i="35"/>
  <c r="K25" i="35"/>
  <c r="K28" i="35"/>
  <c r="M25" i="35"/>
  <c r="M28" i="35"/>
  <c r="O25" i="35"/>
  <c r="O28" i="35"/>
  <c r="Q25" i="35"/>
  <c r="Q28" i="35"/>
  <c r="S25" i="35"/>
  <c r="S28" i="35"/>
  <c r="U25" i="35"/>
  <c r="U28" i="35"/>
  <c r="W25" i="35"/>
  <c r="W28" i="35"/>
  <c r="E22" i="21"/>
  <c r="E20" i="21"/>
  <c r="E19" i="21"/>
  <c r="E18" i="21"/>
  <c r="E16" i="21"/>
  <c r="E15" i="21"/>
  <c r="E14" i="21"/>
  <c r="E12" i="21"/>
  <c r="E11" i="21"/>
  <c r="E10" i="21"/>
  <c r="E8" i="21"/>
  <c r="E7" i="21"/>
  <c r="E21" i="21"/>
  <c r="E17" i="21"/>
  <c r="E13" i="21"/>
  <c r="E9" i="21"/>
  <c r="E16" i="22"/>
  <c r="E5" i="24"/>
  <c r="E6" i="24"/>
  <c r="E9" i="25"/>
  <c r="E10" i="25"/>
  <c r="E11" i="25"/>
  <c r="E12" i="25"/>
  <c r="E13" i="25"/>
  <c r="E14" i="25"/>
  <c r="E15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3" i="24"/>
  <c r="E4" i="24"/>
  <c r="E7" i="24"/>
  <c r="E8" i="24"/>
  <c r="E9" i="24"/>
  <c r="E10" i="24"/>
  <c r="E11" i="24"/>
  <c r="E12" i="24"/>
  <c r="E13" i="24"/>
  <c r="E14" i="24"/>
  <c r="E15" i="24"/>
  <c r="E16" i="24"/>
  <c r="E17" i="24"/>
  <c r="E14" i="26"/>
  <c r="E15" i="26"/>
  <c r="E16" i="26"/>
  <c r="E17" i="26"/>
  <c r="E3" i="1"/>
  <c r="E4" i="1"/>
  <c r="E5" i="1"/>
  <c r="E5" i="21"/>
  <c r="E6" i="21"/>
  <c r="E3" i="26"/>
  <c r="E4" i="26"/>
  <c r="E5" i="26"/>
  <c r="E6" i="26"/>
  <c r="E7" i="26"/>
  <c r="E8" i="26"/>
  <c r="E9" i="26"/>
  <c r="E10" i="26"/>
  <c r="E11" i="26"/>
  <c r="E12" i="26"/>
  <c r="E13" i="26"/>
  <c r="E16" i="25"/>
  <c r="E17" i="25"/>
  <c r="E7" i="19"/>
  <c r="E8" i="19"/>
  <c r="E10" i="19"/>
  <c r="E11" i="19"/>
  <c r="E12" i="19"/>
  <c r="E13" i="19"/>
  <c r="E14" i="19"/>
  <c r="E15" i="19"/>
  <c r="E16" i="19"/>
  <c r="E17" i="19"/>
  <c r="E19" i="22"/>
  <c r="E20" i="22"/>
  <c r="E4" i="25"/>
  <c r="E5" i="25"/>
  <c r="E6" i="25"/>
  <c r="E7" i="25"/>
  <c r="E8" i="25"/>
  <c r="E3" i="25"/>
  <c r="E3" i="21"/>
  <c r="E4" i="21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17" i="22"/>
  <c r="E18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3" i="19"/>
  <c r="E4" i="19"/>
  <c r="E5" i="19"/>
  <c r="E6" i="19"/>
  <c r="E9" i="19"/>
  <c r="E5" i="17"/>
  <c r="E6" i="17"/>
  <c r="E7" i="17"/>
  <c r="E8" i="17"/>
  <c r="E9" i="17"/>
  <c r="E10" i="17"/>
  <c r="E11" i="17"/>
  <c r="E12" i="17"/>
  <c r="E13" i="17"/>
  <c r="E3" i="16"/>
  <c r="E4" i="16"/>
  <c r="E14" i="17"/>
  <c r="E15" i="17"/>
  <c r="E16" i="17"/>
  <c r="E17" i="17"/>
  <c r="E18" i="17"/>
  <c r="E19" i="17"/>
  <c r="E20" i="17"/>
  <c r="E25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6" i="18"/>
  <c r="E3" i="17"/>
  <c r="E4" i="17"/>
  <c r="E11" i="13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3" i="14"/>
  <c r="E4" i="14"/>
  <c r="E5" i="14"/>
  <c r="E3" i="13"/>
  <c r="E4" i="13"/>
  <c r="E5" i="13"/>
  <c r="E6" i="13"/>
  <c r="E7" i="13"/>
  <c r="E8" i="13"/>
  <c r="E9" i="13"/>
  <c r="E10" i="13"/>
  <c r="E20" i="11"/>
  <c r="E12" i="11"/>
  <c r="E7" i="10"/>
  <c r="E8" i="10"/>
  <c r="E9" i="10"/>
  <c r="E10" i="10"/>
  <c r="E11" i="10"/>
  <c r="E12" i="10"/>
  <c r="E13" i="10"/>
  <c r="E14" i="10"/>
  <c r="E15" i="10"/>
  <c r="E23" i="10"/>
  <c r="E4" i="11"/>
  <c r="E8" i="11"/>
  <c r="E10" i="11"/>
  <c r="E11" i="11"/>
  <c r="E3" i="11"/>
  <c r="E16" i="11"/>
  <c r="E18" i="11"/>
  <c r="E19" i="11"/>
  <c r="E6" i="11"/>
  <c r="E7" i="11"/>
  <c r="E14" i="11"/>
  <c r="E15" i="11"/>
  <c r="E5" i="11"/>
  <c r="E9" i="11"/>
  <c r="E13" i="11"/>
  <c r="E17" i="11"/>
  <c r="E17" i="9"/>
  <c r="E19" i="9"/>
  <c r="E20" i="9"/>
  <c r="E22" i="9"/>
  <c r="E23" i="9"/>
  <c r="E24" i="9"/>
  <c r="E25" i="9"/>
  <c r="E26" i="9"/>
  <c r="E28" i="9"/>
  <c r="E29" i="9"/>
  <c r="E30" i="9"/>
  <c r="E31" i="9"/>
  <c r="E32" i="9"/>
  <c r="E33" i="9"/>
  <c r="E34" i="9"/>
  <c r="E35" i="9"/>
  <c r="E36" i="9"/>
  <c r="E37" i="9"/>
  <c r="E3" i="10"/>
  <c r="E4" i="10"/>
  <c r="E5" i="10"/>
  <c r="E6" i="10"/>
  <c r="E16" i="10"/>
  <c r="E17" i="10"/>
  <c r="E18" i="10"/>
  <c r="E19" i="10"/>
  <c r="E20" i="10"/>
  <c r="E21" i="10"/>
  <c r="E22" i="10"/>
  <c r="E18" i="9"/>
  <c r="E38" i="9"/>
  <c r="E21" i="9"/>
  <c r="E11" i="9"/>
  <c r="E12" i="9"/>
  <c r="E13" i="9"/>
  <c r="E14" i="9"/>
  <c r="E15" i="9"/>
  <c r="E16" i="9"/>
  <c r="E5" i="9"/>
  <c r="E6" i="9"/>
  <c r="E7" i="9"/>
  <c r="E8" i="9"/>
  <c r="E9" i="9"/>
  <c r="E10" i="9"/>
  <c r="E3" i="9"/>
  <c r="E4" i="9"/>
  <c r="E27" i="9"/>
  <c r="E8" i="8"/>
  <c r="E9" i="8"/>
  <c r="E10" i="8"/>
  <c r="E11" i="8"/>
  <c r="E12" i="8"/>
  <c r="E13" i="8"/>
  <c r="E14" i="8"/>
  <c r="E3" i="8"/>
  <c r="E4" i="8"/>
  <c r="E5" i="8"/>
  <c r="E6" i="8"/>
  <c r="E7" i="8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H131" i="35" l="1"/>
  <c r="I131" i="35" s="1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H129" i="35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H130" i="35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H128" i="35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G131" i="35"/>
  <c r="G129" i="35"/>
  <c r="G130" i="35"/>
  <c r="G128" i="35"/>
  <c r="D29" i="25"/>
  <c r="G22" i="35"/>
  <c r="H22" i="35" s="1"/>
  <c r="I22" i="35" s="1"/>
  <c r="J22" i="35" s="1"/>
  <c r="K22" i="35" s="1"/>
  <c r="L22" i="35" s="1"/>
  <c r="M22" i="35" s="1"/>
  <c r="N22" i="35" s="1"/>
  <c r="O22" i="35" s="1"/>
  <c r="P22" i="35" s="1"/>
  <c r="Q22" i="35" s="1"/>
  <c r="R22" i="35" s="1"/>
  <c r="S22" i="35" s="1"/>
  <c r="T22" i="35" s="1"/>
  <c r="U22" i="35" s="1"/>
  <c r="V22" i="35" s="1"/>
  <c r="W22" i="35" s="1"/>
  <c r="X22" i="35" s="1"/>
  <c r="G21" i="35"/>
  <c r="H21" i="35" s="1"/>
  <c r="I21" i="35" s="1"/>
  <c r="J21" i="35" s="1"/>
  <c r="K21" i="35" s="1"/>
  <c r="L21" i="35" s="1"/>
  <c r="M21" i="35" s="1"/>
  <c r="N21" i="35" s="1"/>
  <c r="O21" i="35" s="1"/>
  <c r="P21" i="35" s="1"/>
  <c r="Q21" i="35" s="1"/>
  <c r="R21" i="35" s="1"/>
  <c r="S21" i="35" s="1"/>
  <c r="T21" i="35" s="1"/>
  <c r="U21" i="35" s="1"/>
  <c r="V21" i="35" s="1"/>
  <c r="W21" i="35" s="1"/>
  <c r="X21" i="35" s="1"/>
  <c r="G20" i="35"/>
  <c r="H20" i="35" s="1"/>
  <c r="I20" i="35" s="1"/>
  <c r="G31" i="35"/>
  <c r="H31" i="35" s="1"/>
  <c r="I31" i="35" s="1"/>
  <c r="J31" i="35" s="1"/>
  <c r="K31" i="35" s="1"/>
  <c r="L31" i="35" s="1"/>
  <c r="M31" i="35" s="1"/>
  <c r="N31" i="35" s="1"/>
  <c r="O31" i="35" s="1"/>
  <c r="P31" i="35" s="1"/>
  <c r="Q31" i="35" s="1"/>
  <c r="R31" i="35" s="1"/>
  <c r="S31" i="35" s="1"/>
  <c r="T31" i="35" s="1"/>
  <c r="U31" i="35" s="1"/>
  <c r="V31" i="35" s="1"/>
  <c r="W31" i="35" s="1"/>
  <c r="X31" i="35" s="1"/>
  <c r="G30" i="35"/>
  <c r="H30" i="35" s="1"/>
  <c r="I30" i="35" s="1"/>
  <c r="J30" i="35" s="1"/>
  <c r="K30" i="35" s="1"/>
  <c r="L30" i="35" s="1"/>
  <c r="M30" i="35" s="1"/>
  <c r="N30" i="35" s="1"/>
  <c r="O30" i="35" s="1"/>
  <c r="P30" i="35" s="1"/>
  <c r="Q30" i="35" s="1"/>
  <c r="R30" i="35" s="1"/>
  <c r="S30" i="35" s="1"/>
  <c r="T30" i="35" s="1"/>
  <c r="U30" i="35" s="1"/>
  <c r="V30" i="35" s="1"/>
  <c r="W30" i="35" s="1"/>
  <c r="G29" i="35"/>
  <c r="H29" i="35" s="1"/>
  <c r="I29" i="35" s="1"/>
  <c r="J29" i="35" s="1"/>
  <c r="K29" i="35" s="1"/>
  <c r="L29" i="35" s="1"/>
  <c r="G40" i="35"/>
  <c r="H40" i="35" s="1"/>
  <c r="I40" i="35" s="1"/>
  <c r="J40" i="35" s="1"/>
  <c r="K40" i="35" s="1"/>
  <c r="L40" i="35" s="1"/>
  <c r="M40" i="35" s="1"/>
  <c r="N40" i="35" s="1"/>
  <c r="O40" i="35" s="1"/>
  <c r="G39" i="35"/>
  <c r="H39" i="35" s="1"/>
  <c r="I39" i="35" s="1"/>
  <c r="J39" i="35" s="1"/>
  <c r="K39" i="35" s="1"/>
  <c r="L39" i="35" s="1"/>
  <c r="M39" i="35" s="1"/>
  <c r="N39" i="35" s="1"/>
  <c r="O39" i="35" s="1"/>
  <c r="G38" i="35"/>
  <c r="H38" i="35" s="1"/>
  <c r="I38" i="35" s="1"/>
  <c r="J38" i="35" s="1"/>
  <c r="K38" i="35" s="1"/>
  <c r="L38" i="35" s="1"/>
  <c r="M38" i="35" s="1"/>
  <c r="N38" i="35" s="1"/>
  <c r="O38" i="35" s="1"/>
  <c r="P40" i="35"/>
  <c r="Q40" i="35" s="1"/>
  <c r="R40" i="35" s="1"/>
  <c r="S40" i="35" s="1"/>
  <c r="T40" i="35" s="1"/>
  <c r="U40" i="35" s="1"/>
  <c r="V40" i="35" s="1"/>
  <c r="W40" i="35" s="1"/>
  <c r="X40" i="35" s="1"/>
  <c r="P39" i="35"/>
  <c r="Q39" i="35" s="1"/>
  <c r="R39" i="35" s="1"/>
  <c r="S39" i="35" s="1"/>
  <c r="T39" i="35" s="1"/>
  <c r="U39" i="35" s="1"/>
  <c r="V39" i="35" s="1"/>
  <c r="W39" i="35" s="1"/>
  <c r="P38" i="35"/>
  <c r="Q38" i="35" s="1"/>
  <c r="R38" i="35" s="1"/>
  <c r="S38" i="35" s="1"/>
  <c r="T38" i="35" s="1"/>
  <c r="U38" i="35" s="1"/>
  <c r="V38" i="35" s="1"/>
  <c r="W38" i="35" s="1"/>
  <c r="X38" i="35" s="1"/>
  <c r="G49" i="35"/>
  <c r="H49" i="35" s="1"/>
  <c r="I49" i="35" s="1"/>
  <c r="J49" i="35" s="1"/>
  <c r="K49" i="35" s="1"/>
  <c r="L49" i="35" s="1"/>
  <c r="M49" i="35" s="1"/>
  <c r="N49" i="35" s="1"/>
  <c r="O49" i="35" s="1"/>
  <c r="P49" i="35" s="1"/>
  <c r="Q49" i="35" s="1"/>
  <c r="R49" i="35" s="1"/>
  <c r="S49" i="35" s="1"/>
  <c r="T49" i="35" s="1"/>
  <c r="U49" i="35" s="1"/>
  <c r="V49" i="35" s="1"/>
  <c r="W49" i="35" s="1"/>
  <c r="X49" i="35" s="1"/>
  <c r="G48" i="35"/>
  <c r="H48" i="35" s="1"/>
  <c r="G47" i="35"/>
  <c r="H47" i="35" s="1"/>
  <c r="I47" i="35" s="1"/>
  <c r="J47" i="35" s="1"/>
  <c r="G76" i="35"/>
  <c r="G75" i="35"/>
  <c r="H75" i="35" s="1"/>
  <c r="I75" i="35" s="1"/>
  <c r="J75" i="35" s="1"/>
  <c r="K75" i="35" s="1"/>
  <c r="L75" i="35" s="1"/>
  <c r="M75" i="35" s="1"/>
  <c r="N75" i="35" s="1"/>
  <c r="O75" i="35" s="1"/>
  <c r="P75" i="35" s="1"/>
  <c r="Q75" i="35" s="1"/>
  <c r="R75" i="35" s="1"/>
  <c r="S75" i="35" s="1"/>
  <c r="G74" i="35"/>
  <c r="H74" i="35" s="1"/>
  <c r="I74" i="35" s="1"/>
  <c r="J74" i="35" s="1"/>
  <c r="K74" i="35" s="1"/>
  <c r="L74" i="35" s="1"/>
  <c r="M74" i="35" s="1"/>
  <c r="N74" i="35" s="1"/>
  <c r="T75" i="35"/>
  <c r="U75" i="35" s="1"/>
  <c r="V75" i="35" s="1"/>
  <c r="W75" i="35" s="1"/>
  <c r="X75" i="35" s="1"/>
  <c r="H76" i="35"/>
  <c r="I76" i="35" s="1"/>
  <c r="J76" i="35" s="1"/>
  <c r="K76" i="35" s="1"/>
  <c r="L76" i="35" s="1"/>
  <c r="M76" i="35" s="1"/>
  <c r="N76" i="35" s="1"/>
  <c r="O76" i="35" s="1"/>
  <c r="P76" i="35" s="1"/>
  <c r="Q76" i="35" s="1"/>
  <c r="R76" i="35" s="1"/>
  <c r="S76" i="35" s="1"/>
  <c r="T76" i="35" s="1"/>
  <c r="U76" i="35" s="1"/>
  <c r="V76" i="35" s="1"/>
  <c r="W76" i="35" s="1"/>
  <c r="X76" i="35" s="1"/>
  <c r="G85" i="35"/>
  <c r="H85" i="35" s="1"/>
  <c r="I85" i="35" s="1"/>
  <c r="J85" i="35" s="1"/>
  <c r="K85" i="35" s="1"/>
  <c r="L85" i="35" s="1"/>
  <c r="M85" i="35" s="1"/>
  <c r="N85" i="35" s="1"/>
  <c r="O85" i="35" s="1"/>
  <c r="P85" i="35" s="1"/>
  <c r="Q85" i="35" s="1"/>
  <c r="R85" i="35" s="1"/>
  <c r="S85" i="35" s="1"/>
  <c r="T85" i="35" s="1"/>
  <c r="U85" i="35" s="1"/>
  <c r="V85" i="35" s="1"/>
  <c r="W85" i="35" s="1"/>
  <c r="X85" i="35" s="1"/>
  <c r="G84" i="35"/>
  <c r="H84" i="35" s="1"/>
  <c r="I84" i="35" s="1"/>
  <c r="J84" i="35" s="1"/>
  <c r="K84" i="35" s="1"/>
  <c r="L84" i="35" s="1"/>
  <c r="M84" i="35" s="1"/>
  <c r="N84" i="35" s="1"/>
  <c r="O84" i="35" s="1"/>
  <c r="P84" i="35" s="1"/>
  <c r="Q84" i="35" s="1"/>
  <c r="R84" i="35" s="1"/>
  <c r="S84" i="35" s="1"/>
  <c r="T84" i="35" s="1"/>
  <c r="U84" i="35" s="1"/>
  <c r="V84" i="35" s="1"/>
  <c r="W84" i="35" s="1"/>
  <c r="X84" i="35" s="1"/>
  <c r="G83" i="35"/>
  <c r="H83" i="35" s="1"/>
  <c r="I83" i="35" s="1"/>
  <c r="J83" i="35" s="1"/>
  <c r="K83" i="35" s="1"/>
  <c r="L83" i="35" s="1"/>
  <c r="M83" i="35" s="1"/>
  <c r="N83" i="35" s="1"/>
  <c r="O83" i="35" s="1"/>
  <c r="G94" i="35"/>
  <c r="H94" i="35" s="1"/>
  <c r="I94" i="35" s="1"/>
  <c r="J94" i="35" s="1"/>
  <c r="K94" i="35" s="1"/>
  <c r="L94" i="35" s="1"/>
  <c r="M94" i="35" s="1"/>
  <c r="N94" i="35" s="1"/>
  <c r="O94" i="35" s="1"/>
  <c r="P94" i="35" s="1"/>
  <c r="Q94" i="35" s="1"/>
  <c r="R94" i="35" s="1"/>
  <c r="S94" i="35" s="1"/>
  <c r="T94" i="35" s="1"/>
  <c r="U94" i="35" s="1"/>
  <c r="V94" i="35" s="1"/>
  <c r="W94" i="35" s="1"/>
  <c r="X94" i="35" s="1"/>
  <c r="G93" i="35"/>
  <c r="H93" i="35" s="1"/>
  <c r="I93" i="35" s="1"/>
  <c r="J93" i="35" s="1"/>
  <c r="K93" i="35" s="1"/>
  <c r="L93" i="35" s="1"/>
  <c r="M93" i="35" s="1"/>
  <c r="N93" i="35" s="1"/>
  <c r="O93" i="35" s="1"/>
  <c r="P93" i="35" s="1"/>
  <c r="Q93" i="35" s="1"/>
  <c r="R93" i="35" s="1"/>
  <c r="S93" i="35" s="1"/>
  <c r="T93" i="35" s="1"/>
  <c r="U93" i="35" s="1"/>
  <c r="V93" i="35" s="1"/>
  <c r="W93" i="35" s="1"/>
  <c r="X93" i="35" s="1"/>
  <c r="G92" i="35"/>
  <c r="H92" i="35" s="1"/>
  <c r="I92" i="35" s="1"/>
  <c r="J92" i="35" s="1"/>
  <c r="K92" i="35" s="1"/>
  <c r="L92" i="35" s="1"/>
  <c r="M92" i="35" s="1"/>
  <c r="N92" i="35" s="1"/>
  <c r="G103" i="35"/>
  <c r="H103" i="35" s="1"/>
  <c r="I103" i="35" s="1"/>
  <c r="J103" i="35" s="1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G102" i="35"/>
  <c r="H102" i="35" s="1"/>
  <c r="I102" i="35" s="1"/>
  <c r="J102" i="35" s="1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U102" i="35" s="1"/>
  <c r="V102" i="35" s="1"/>
  <c r="W102" i="35" s="1"/>
  <c r="X102" i="35" s="1"/>
  <c r="G101" i="35"/>
  <c r="H101" i="35" s="1"/>
  <c r="I101" i="35" s="1"/>
  <c r="J101" i="35" s="1"/>
  <c r="K101" i="35" s="1"/>
  <c r="L101" i="35" s="1"/>
  <c r="M101" i="35" s="1"/>
  <c r="N101" i="35" s="1"/>
  <c r="O101" i="35" s="1"/>
  <c r="G112" i="35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G111" i="35"/>
  <c r="H111" i="35" s="1"/>
  <c r="I111" i="35" s="1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G110" i="35"/>
  <c r="H110" i="35" s="1"/>
  <c r="I110" i="35" s="1"/>
  <c r="J110" i="35" s="1"/>
  <c r="K110" i="35" s="1"/>
  <c r="G67" i="35"/>
  <c r="H67" i="35" s="1"/>
  <c r="I67" i="35" s="1"/>
  <c r="J67" i="35" s="1"/>
  <c r="K67" i="35" s="1"/>
  <c r="L67" i="35" s="1"/>
  <c r="M67" i="35" s="1"/>
  <c r="N67" i="35" s="1"/>
  <c r="O67" i="35" s="1"/>
  <c r="P67" i="35" s="1"/>
  <c r="Q67" i="35" s="1"/>
  <c r="R67" i="35" s="1"/>
  <c r="S67" i="35" s="1"/>
  <c r="T67" i="35" s="1"/>
  <c r="U67" i="35" s="1"/>
  <c r="V67" i="35" s="1"/>
  <c r="W67" i="35" s="1"/>
  <c r="X67" i="35" s="1"/>
  <c r="G66" i="35"/>
  <c r="H66" i="35" s="1"/>
  <c r="I66" i="35" s="1"/>
  <c r="J66" i="35" s="1"/>
  <c r="K66" i="35" s="1"/>
  <c r="L66" i="35" s="1"/>
  <c r="M66" i="35" s="1"/>
  <c r="N66" i="35" s="1"/>
  <c r="O66" i="35" s="1"/>
  <c r="P66" i="35" s="1"/>
  <c r="Q66" i="35" s="1"/>
  <c r="R66" i="35" s="1"/>
  <c r="S66" i="35" s="1"/>
  <c r="T66" i="35" s="1"/>
  <c r="U66" i="35" s="1"/>
  <c r="V66" i="35" s="1"/>
  <c r="W66" i="35" s="1"/>
  <c r="X66" i="35" s="1"/>
  <c r="G65" i="35"/>
  <c r="H65" i="35" s="1"/>
  <c r="I65" i="35" s="1"/>
  <c r="J65" i="35" s="1"/>
  <c r="K65" i="35" s="1"/>
  <c r="L65" i="35" s="1"/>
  <c r="M65" i="35" s="1"/>
  <c r="N65" i="35" s="1"/>
  <c r="O65" i="35" s="1"/>
  <c r="P65" i="35" s="1"/>
  <c r="Q65" i="35" s="1"/>
  <c r="R65" i="35" s="1"/>
  <c r="S65" i="35" s="1"/>
  <c r="T65" i="35" s="1"/>
  <c r="U65" i="35" s="1"/>
  <c r="V65" i="35" s="1"/>
  <c r="W65" i="35" s="1"/>
  <c r="X65" i="35" s="1"/>
  <c r="G142" i="35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G141" i="35"/>
  <c r="H141" i="35" s="1"/>
  <c r="I141" i="35" s="1"/>
  <c r="J141" i="35" s="1"/>
  <c r="G140" i="35"/>
  <c r="H140" i="35" s="1"/>
  <c r="I140" i="35" s="1"/>
  <c r="J140" i="35" s="1"/>
  <c r="K140" i="35" s="1"/>
  <c r="L140" i="35" s="1"/>
  <c r="M140" i="35" s="1"/>
  <c r="N140" i="35" s="1"/>
  <c r="K141" i="35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G196" i="35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G195" i="35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G194" i="35"/>
  <c r="H194" i="35" s="1"/>
  <c r="G187" i="35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G186" i="35"/>
  <c r="G185" i="35"/>
  <c r="H185" i="35" s="1"/>
  <c r="H186" i="35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G178" i="35"/>
  <c r="H178" i="35" s="1"/>
  <c r="I178" i="35" s="1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T178" i="35" s="1"/>
  <c r="U178" i="35" s="1"/>
  <c r="V178" i="35" s="1"/>
  <c r="W178" i="35" s="1"/>
  <c r="X178" i="35" s="1"/>
  <c r="G177" i="35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G176" i="35"/>
  <c r="H176" i="35" s="1"/>
  <c r="I176" i="35" s="1"/>
  <c r="J176" i="35" s="1"/>
  <c r="K176" i="35" s="1"/>
  <c r="G169" i="35"/>
  <c r="H169" i="35" s="1"/>
  <c r="I169" i="35" s="1"/>
  <c r="J169" i="35" s="1"/>
  <c r="K169" i="35" s="1"/>
  <c r="L169" i="35" s="1"/>
  <c r="M169" i="35" s="1"/>
  <c r="N169" i="35" s="1"/>
  <c r="O169" i="35" s="1"/>
  <c r="P169" i="35" s="1"/>
  <c r="Q169" i="35" s="1"/>
  <c r="R169" i="35" s="1"/>
  <c r="S169" i="35" s="1"/>
  <c r="T169" i="35" s="1"/>
  <c r="U169" i="35" s="1"/>
  <c r="V169" i="35" s="1"/>
  <c r="W169" i="35" s="1"/>
  <c r="X169" i="35" s="1"/>
  <c r="G168" i="35"/>
  <c r="G167" i="35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H168" i="35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G160" i="35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G159" i="35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G158" i="35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G151" i="35"/>
  <c r="G150" i="35"/>
  <c r="H150" i="35" s="1"/>
  <c r="I150" i="35" s="1"/>
  <c r="J150" i="35" s="1"/>
  <c r="K150" i="35" s="1"/>
  <c r="L150" i="35" s="1"/>
  <c r="M150" i="35" s="1"/>
  <c r="N150" i="35" s="1"/>
  <c r="O150" i="35" s="1"/>
  <c r="P150" i="35" s="1"/>
  <c r="Q150" i="35" s="1"/>
  <c r="G149" i="35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R150" i="35"/>
  <c r="S150" i="35" s="1"/>
  <c r="T150" i="35" s="1"/>
  <c r="U150" i="35" s="1"/>
  <c r="V150" i="35" s="1"/>
  <c r="W150" i="35" s="1"/>
  <c r="X150" i="35" s="1"/>
  <c r="H151" i="35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F135" i="35"/>
  <c r="F133" i="35"/>
  <c r="F134" i="35"/>
  <c r="F132" i="35"/>
  <c r="F138" i="35"/>
  <c r="F139" i="35"/>
  <c r="F137" i="35"/>
  <c r="F136" i="35"/>
  <c r="F156" i="35"/>
  <c r="F155" i="35"/>
  <c r="F157" i="35"/>
  <c r="F154" i="35"/>
  <c r="F153" i="35"/>
  <c r="F152" i="35"/>
  <c r="F166" i="35"/>
  <c r="F165" i="35"/>
  <c r="F164" i="35"/>
  <c r="F163" i="35"/>
  <c r="F162" i="35"/>
  <c r="F161" i="35"/>
  <c r="F175" i="35"/>
  <c r="F174" i="35"/>
  <c r="F173" i="35"/>
  <c r="F172" i="35"/>
  <c r="F171" i="35"/>
  <c r="F170" i="35"/>
  <c r="F184" i="35"/>
  <c r="F183" i="35"/>
  <c r="F182" i="35"/>
  <c r="F181" i="35"/>
  <c r="F180" i="35"/>
  <c r="F179" i="35"/>
  <c r="F193" i="35"/>
  <c r="F192" i="35"/>
  <c r="F191" i="35"/>
  <c r="F190" i="35"/>
  <c r="F189" i="35"/>
  <c r="F188" i="35"/>
  <c r="F202" i="35"/>
  <c r="F201" i="35"/>
  <c r="F200" i="35"/>
  <c r="F199" i="35"/>
  <c r="F198" i="35"/>
  <c r="F197" i="35"/>
  <c r="F143" i="35"/>
  <c r="F145" i="35"/>
  <c r="F144" i="35"/>
  <c r="F146" i="35"/>
  <c r="F148" i="35"/>
  <c r="F147" i="35"/>
  <c r="I59" i="35"/>
  <c r="I62" i="35"/>
  <c r="M59" i="35"/>
  <c r="M62" i="35"/>
  <c r="Q59" i="35"/>
  <c r="Q62" i="35"/>
  <c r="S59" i="35"/>
  <c r="S62" i="35"/>
  <c r="W59" i="35"/>
  <c r="W62" i="35"/>
  <c r="I60" i="35"/>
  <c r="I63" i="35"/>
  <c r="M60" i="35"/>
  <c r="M63" i="35"/>
  <c r="Q60" i="35"/>
  <c r="Q63" i="35"/>
  <c r="U60" i="35"/>
  <c r="U63" i="35"/>
  <c r="W60" i="35"/>
  <c r="W63" i="35"/>
  <c r="I61" i="35"/>
  <c r="I64" i="35"/>
  <c r="M61" i="35"/>
  <c r="M64" i="35"/>
  <c r="Q61" i="35"/>
  <c r="Q64" i="35"/>
  <c r="U61" i="35"/>
  <c r="U64" i="35"/>
  <c r="W61" i="35"/>
  <c r="W64" i="35"/>
  <c r="H59" i="35"/>
  <c r="H62" i="35"/>
  <c r="J59" i="35"/>
  <c r="J62" i="35"/>
  <c r="L59" i="35"/>
  <c r="L62" i="35"/>
  <c r="N59" i="35"/>
  <c r="N62" i="35"/>
  <c r="P59" i="35"/>
  <c r="P62" i="35"/>
  <c r="R59" i="35"/>
  <c r="R62" i="35"/>
  <c r="T59" i="35"/>
  <c r="T62" i="35"/>
  <c r="V59" i="35"/>
  <c r="V62" i="35"/>
  <c r="X59" i="35"/>
  <c r="X62" i="35"/>
  <c r="H60" i="35"/>
  <c r="H63" i="35"/>
  <c r="J60" i="35"/>
  <c r="J63" i="35"/>
  <c r="L60" i="35"/>
  <c r="L63" i="35"/>
  <c r="N60" i="35"/>
  <c r="N63" i="35"/>
  <c r="P60" i="35"/>
  <c r="P63" i="35"/>
  <c r="R60" i="35"/>
  <c r="R63" i="35"/>
  <c r="T60" i="35"/>
  <c r="T63" i="35"/>
  <c r="V60" i="35"/>
  <c r="V63" i="35"/>
  <c r="X60" i="35"/>
  <c r="X63" i="35"/>
  <c r="H61" i="35"/>
  <c r="H64" i="35"/>
  <c r="J61" i="35"/>
  <c r="J64" i="35"/>
  <c r="L61" i="35"/>
  <c r="L64" i="35"/>
  <c r="N61" i="35"/>
  <c r="N64" i="35"/>
  <c r="P61" i="35"/>
  <c r="P64" i="35"/>
  <c r="R61" i="35"/>
  <c r="R64" i="35"/>
  <c r="T61" i="35"/>
  <c r="T64" i="35"/>
  <c r="V61" i="35"/>
  <c r="V64" i="35"/>
  <c r="X61" i="35"/>
  <c r="X64" i="35"/>
  <c r="G59" i="35"/>
  <c r="G62" i="35"/>
  <c r="K59" i="35"/>
  <c r="K62" i="35"/>
  <c r="O59" i="35"/>
  <c r="O62" i="35"/>
  <c r="U59" i="35"/>
  <c r="U62" i="35"/>
  <c r="G60" i="35"/>
  <c r="G63" i="35"/>
  <c r="K60" i="35"/>
  <c r="K63" i="35"/>
  <c r="O60" i="35"/>
  <c r="O63" i="35"/>
  <c r="S60" i="35"/>
  <c r="S63" i="35"/>
  <c r="G61" i="35"/>
  <c r="G64" i="35"/>
  <c r="K61" i="35"/>
  <c r="K64" i="35"/>
  <c r="O61" i="35"/>
  <c r="O64" i="35"/>
  <c r="S61" i="35"/>
  <c r="S64" i="35"/>
  <c r="F73" i="35"/>
  <c r="F72" i="35"/>
  <c r="F71" i="35"/>
  <c r="F70" i="35"/>
  <c r="F69" i="35"/>
  <c r="F68" i="35"/>
  <c r="F118" i="35"/>
  <c r="F117" i="35"/>
  <c r="F116" i="35"/>
  <c r="F115" i="35"/>
  <c r="F114" i="35"/>
  <c r="F113" i="35"/>
  <c r="J122" i="35"/>
  <c r="J125" i="35"/>
  <c r="N122" i="35"/>
  <c r="N125" i="35"/>
  <c r="R122" i="35"/>
  <c r="R125" i="35"/>
  <c r="V122" i="35"/>
  <c r="V125" i="35"/>
  <c r="H123" i="35"/>
  <c r="H126" i="35"/>
  <c r="L123" i="35"/>
  <c r="L126" i="35"/>
  <c r="P123" i="35"/>
  <c r="P126" i="35"/>
  <c r="T123" i="35"/>
  <c r="T126" i="35"/>
  <c r="X123" i="35"/>
  <c r="X126" i="35"/>
  <c r="J124" i="35"/>
  <c r="J127" i="35"/>
  <c r="N124" i="35"/>
  <c r="N127" i="35"/>
  <c r="R124" i="35"/>
  <c r="R127" i="35"/>
  <c r="V124" i="35"/>
  <c r="V127" i="35"/>
  <c r="G122" i="35"/>
  <c r="G125" i="35"/>
  <c r="I122" i="35"/>
  <c r="I125" i="35"/>
  <c r="K122" i="35"/>
  <c r="K125" i="35"/>
  <c r="M122" i="35"/>
  <c r="M125" i="35"/>
  <c r="O122" i="35"/>
  <c r="O125" i="35"/>
  <c r="Q122" i="35"/>
  <c r="Q125" i="35"/>
  <c r="S122" i="35"/>
  <c r="S125" i="35"/>
  <c r="U122" i="35"/>
  <c r="U125" i="35"/>
  <c r="W122" i="35"/>
  <c r="W125" i="35"/>
  <c r="G123" i="35"/>
  <c r="G126" i="35"/>
  <c r="I123" i="35"/>
  <c r="I126" i="35"/>
  <c r="K123" i="35"/>
  <c r="K126" i="35"/>
  <c r="M123" i="35"/>
  <c r="M126" i="35"/>
  <c r="O123" i="35"/>
  <c r="O126" i="35"/>
  <c r="Q123" i="35"/>
  <c r="Q126" i="35"/>
  <c r="S123" i="35"/>
  <c r="S126" i="35"/>
  <c r="U123" i="35"/>
  <c r="U126" i="35"/>
  <c r="W123" i="35"/>
  <c r="W126" i="35"/>
  <c r="G124" i="35"/>
  <c r="G127" i="35"/>
  <c r="I124" i="35"/>
  <c r="I127" i="35"/>
  <c r="K124" i="35"/>
  <c r="K127" i="35"/>
  <c r="M124" i="35"/>
  <c r="M127" i="35"/>
  <c r="O124" i="35"/>
  <c r="O127" i="35"/>
  <c r="Q124" i="35"/>
  <c r="Q127" i="35"/>
  <c r="S124" i="35"/>
  <c r="S127" i="35"/>
  <c r="U124" i="35"/>
  <c r="U127" i="35"/>
  <c r="W124" i="35"/>
  <c r="W127" i="35"/>
  <c r="H122" i="35"/>
  <c r="H125" i="35"/>
  <c r="L122" i="35"/>
  <c r="L125" i="35"/>
  <c r="P122" i="35"/>
  <c r="P125" i="35"/>
  <c r="T122" i="35"/>
  <c r="T125" i="35"/>
  <c r="X122" i="35"/>
  <c r="X125" i="35"/>
  <c r="J123" i="35"/>
  <c r="J126" i="35"/>
  <c r="N123" i="35"/>
  <c r="N126" i="35"/>
  <c r="R123" i="35"/>
  <c r="R126" i="35"/>
  <c r="V123" i="35"/>
  <c r="V126" i="35"/>
  <c r="H124" i="35"/>
  <c r="H127" i="35"/>
  <c r="L124" i="35"/>
  <c r="L127" i="35"/>
  <c r="P124" i="35"/>
  <c r="P127" i="35"/>
  <c r="T124" i="35"/>
  <c r="T127" i="35"/>
  <c r="X124" i="35"/>
  <c r="X127" i="35"/>
  <c r="F109" i="35"/>
  <c r="F107" i="35"/>
  <c r="F108" i="35"/>
  <c r="F104" i="35"/>
  <c r="F106" i="35"/>
  <c r="F105" i="35"/>
  <c r="F100" i="35"/>
  <c r="F99" i="35"/>
  <c r="F98" i="35"/>
  <c r="F97" i="35"/>
  <c r="F96" i="35"/>
  <c r="F95" i="35"/>
  <c r="F91" i="35"/>
  <c r="F90" i="35"/>
  <c r="F89" i="35"/>
  <c r="F88" i="35"/>
  <c r="F87" i="35"/>
  <c r="F86" i="35"/>
  <c r="F79" i="35"/>
  <c r="F78" i="35"/>
  <c r="F77" i="35"/>
  <c r="F82" i="35"/>
  <c r="F81" i="35"/>
  <c r="F80" i="35"/>
  <c r="F52" i="35"/>
  <c r="F51" i="35"/>
  <c r="F50" i="35"/>
  <c r="F55" i="35"/>
  <c r="F54" i="35"/>
  <c r="F53" i="35"/>
  <c r="F46" i="35"/>
  <c r="F45" i="35"/>
  <c r="F44" i="35"/>
  <c r="F43" i="35"/>
  <c r="F42" i="35"/>
  <c r="F41" i="35"/>
  <c r="D11" i="25"/>
  <c r="F37" i="35"/>
  <c r="F36" i="35"/>
  <c r="F35" i="35"/>
  <c r="F34" i="35"/>
  <c r="F33" i="35"/>
  <c r="F32" i="35"/>
  <c r="D23" i="25"/>
  <c r="D35" i="25"/>
  <c r="D33" i="25"/>
  <c r="D27" i="25"/>
  <c r="D21" i="25"/>
  <c r="D9" i="25"/>
  <c r="F27" i="35"/>
  <c r="F26" i="35"/>
  <c r="F28" i="35"/>
  <c r="F25" i="35"/>
  <c r="F24" i="35"/>
  <c r="F23" i="35"/>
  <c r="D63" i="33"/>
  <c r="D32" i="25"/>
  <c r="D24" i="25"/>
  <c r="D20" i="25"/>
  <c r="D34" i="25"/>
  <c r="D28" i="25"/>
  <c r="D22" i="25"/>
  <c r="D10" i="25"/>
  <c r="D11" i="24"/>
  <c r="D30" i="25"/>
  <c r="D26" i="25"/>
  <c r="D18" i="25"/>
  <c r="D13" i="25"/>
  <c r="D55" i="33"/>
  <c r="D13" i="28"/>
  <c r="D3" i="13"/>
  <c r="D19" i="28"/>
  <c r="D7" i="28"/>
  <c r="D21" i="21"/>
  <c r="D16" i="28"/>
  <c r="D10" i="28"/>
  <c r="D4" i="28"/>
  <c r="D19" i="21"/>
  <c r="D17" i="28"/>
  <c r="D11" i="28"/>
  <c r="D5" i="28"/>
  <c r="D15" i="28"/>
  <c r="D9" i="28"/>
  <c r="D3" i="28"/>
  <c r="D22" i="21"/>
  <c r="D20" i="21"/>
  <c r="D20" i="28"/>
  <c r="D14" i="28"/>
  <c r="D8" i="28"/>
  <c r="D31" i="25"/>
  <c r="D25" i="25"/>
  <c r="D19" i="25"/>
  <c r="D14" i="25"/>
  <c r="D15" i="24"/>
  <c r="D12" i="25"/>
  <c r="D13" i="26"/>
  <c r="D18" i="28"/>
  <c r="D12" i="28"/>
  <c r="D6" i="28"/>
  <c r="D5" i="1"/>
  <c r="D16" i="24"/>
  <c r="D10" i="24"/>
  <c r="D8" i="24"/>
  <c r="D4" i="24"/>
  <c r="D11" i="10"/>
  <c r="D7" i="17"/>
  <c r="D9" i="19"/>
  <c r="D17" i="22"/>
  <c r="D3" i="25"/>
  <c r="D12" i="19"/>
  <c r="D15" i="25"/>
  <c r="D13" i="24"/>
  <c r="D3" i="24"/>
  <c r="D17" i="17"/>
  <c r="D14" i="24"/>
  <c r="D17" i="24"/>
  <c r="D9" i="24"/>
  <c r="D7" i="24"/>
  <c r="D5" i="24"/>
  <c r="D26" i="18"/>
  <c r="D12" i="24"/>
  <c r="D6" i="24"/>
  <c r="D20" i="23"/>
  <c r="D10" i="23"/>
  <c r="D4" i="19"/>
  <c r="D14" i="21"/>
  <c r="D3" i="26"/>
  <c r="D3" i="1"/>
  <c r="D13" i="10"/>
  <c r="D19" i="17"/>
  <c r="D15" i="17"/>
  <c r="D11" i="17"/>
  <c r="D7" i="19"/>
  <c r="D3" i="19"/>
  <c r="D23" i="23"/>
  <c r="D17" i="23"/>
  <c r="D11" i="23"/>
  <c r="D3" i="23"/>
  <c r="D5" i="25"/>
  <c r="D15" i="19"/>
  <c r="D10" i="19"/>
  <c r="D16" i="25"/>
  <c r="D16" i="21"/>
  <c r="D13" i="21"/>
  <c r="D9" i="21"/>
  <c r="D11" i="26"/>
  <c r="D6" i="18"/>
  <c r="D13" i="17"/>
  <c r="D18" i="23"/>
  <c r="D14" i="23"/>
  <c r="D6" i="23"/>
  <c r="D7" i="25"/>
  <c r="D14" i="19"/>
  <c r="D17" i="26"/>
  <c r="D26" i="9"/>
  <c r="D9" i="17"/>
  <c r="D16" i="19"/>
  <c r="D8" i="19"/>
  <c r="D22" i="23"/>
  <c r="D12" i="23"/>
  <c r="D8" i="23"/>
  <c r="D17" i="25"/>
  <c r="D16" i="26"/>
  <c r="D14" i="26"/>
  <c r="D10" i="26"/>
  <c r="D7" i="26"/>
  <c r="D4" i="26"/>
  <c r="D31" i="9"/>
  <c r="D3" i="16"/>
  <c r="D4" i="17"/>
  <c r="D6" i="19"/>
  <c r="D11" i="19"/>
  <c r="D20" i="22"/>
  <c r="D16" i="23"/>
  <c r="D5" i="23"/>
  <c r="D8" i="25"/>
  <c r="D4" i="25"/>
  <c r="D15" i="26"/>
  <c r="D9" i="26"/>
  <c r="D5" i="26"/>
  <c r="D4" i="1"/>
  <c r="D19" i="23"/>
  <c r="D13" i="23"/>
  <c r="D7" i="23"/>
  <c r="D8" i="26"/>
  <c r="D21" i="23"/>
  <c r="D15" i="23"/>
  <c r="D9" i="23"/>
  <c r="D4" i="23"/>
  <c r="D6" i="25"/>
  <c r="D12" i="26"/>
  <c r="D6" i="26"/>
  <c r="D12" i="21"/>
  <c r="D7" i="21"/>
  <c r="D11" i="21"/>
  <c r="D18" i="21"/>
  <c r="D10" i="21"/>
  <c r="D5" i="21"/>
  <c r="D8" i="21"/>
  <c r="D15" i="21"/>
  <c r="D17" i="21"/>
  <c r="D4" i="21"/>
  <c r="D3" i="21"/>
  <c r="D6" i="21"/>
  <c r="D17" i="19"/>
  <c r="D13" i="19"/>
  <c r="D16" i="22"/>
  <c r="D33" i="9"/>
  <c r="D9" i="22"/>
  <c r="D5" i="22"/>
  <c r="D15" i="22"/>
  <c r="D10" i="22"/>
  <c r="D7" i="22"/>
  <c r="D4" i="22"/>
  <c r="D14" i="22"/>
  <c r="D8" i="22"/>
  <c r="D19" i="22"/>
  <c r="D13" i="22"/>
  <c r="D11" i="22"/>
  <c r="D3" i="22"/>
  <c r="D18" i="22"/>
  <c r="D12" i="22"/>
  <c r="D6" i="22"/>
  <c r="D8" i="17"/>
  <c r="D16" i="17"/>
  <c r="D13" i="16"/>
  <c r="D16" i="18"/>
  <c r="D5" i="19"/>
  <c r="D37" i="9"/>
  <c r="D35" i="9"/>
  <c r="D24" i="9"/>
  <c r="D20" i="9"/>
  <c r="D11" i="11"/>
  <c r="D9" i="10"/>
  <c r="D7" i="10"/>
  <c r="D11" i="13"/>
  <c r="D15" i="16"/>
  <c r="D11" i="16"/>
  <c r="D5" i="17"/>
  <c r="D24" i="18"/>
  <c r="D18" i="18"/>
  <c r="D14" i="18"/>
  <c r="D4" i="18"/>
  <c r="D14" i="17"/>
  <c r="D10" i="17"/>
  <c r="D20" i="17"/>
  <c r="D9" i="13"/>
  <c r="D7" i="13"/>
  <c r="D5" i="13"/>
  <c r="D4" i="14"/>
  <c r="D17" i="16"/>
  <c r="D9" i="16"/>
  <c r="D7" i="16"/>
  <c r="D4" i="16"/>
  <c r="D18" i="17"/>
  <c r="D12" i="17"/>
  <c r="D6" i="17"/>
  <c r="D22" i="18"/>
  <c r="D20" i="18"/>
  <c r="D12" i="18"/>
  <c r="D10" i="18"/>
  <c r="D8" i="18"/>
  <c r="D36" i="9"/>
  <c r="D18" i="9"/>
  <c r="D5" i="16"/>
  <c r="D3" i="17"/>
  <c r="D23" i="18"/>
  <c r="D17" i="18"/>
  <c r="D11" i="18"/>
  <c r="D5" i="18"/>
  <c r="D25" i="18"/>
  <c r="D19" i="18"/>
  <c r="D13" i="18"/>
  <c r="D7" i="18"/>
  <c r="D21" i="18"/>
  <c r="D15" i="18"/>
  <c r="D9" i="18"/>
  <c r="D3" i="18"/>
  <c r="D5" i="14"/>
  <c r="D14" i="16"/>
  <c r="D8" i="16"/>
  <c r="D22" i="10"/>
  <c r="D34" i="9"/>
  <c r="D25" i="9"/>
  <c r="D14" i="10"/>
  <c r="D20" i="10"/>
  <c r="D38" i="9"/>
  <c r="D32" i="9"/>
  <c r="D22" i="9"/>
  <c r="D19" i="9"/>
  <c r="D10" i="10"/>
  <c r="D8" i="10"/>
  <c r="D10" i="13"/>
  <c r="D8" i="13"/>
  <c r="D4" i="13"/>
  <c r="D16" i="11"/>
  <c r="D6" i="11"/>
  <c r="D18" i="11"/>
  <c r="D16" i="16"/>
  <c r="D10" i="16"/>
  <c r="D30" i="9"/>
  <c r="D28" i="9"/>
  <c r="D23" i="9"/>
  <c r="D12" i="10"/>
  <c r="D6" i="10"/>
  <c r="D6" i="13"/>
  <c r="D3" i="14"/>
  <c r="D12" i="16"/>
  <c r="D6" i="16"/>
  <c r="D16" i="10"/>
  <c r="D18" i="10"/>
  <c r="D4" i="10"/>
  <c r="D21" i="9"/>
  <c r="D11" i="8"/>
  <c r="D13" i="11"/>
  <c r="D7" i="11"/>
  <c r="D20" i="11"/>
  <c r="D3" i="11"/>
  <c r="D12" i="11"/>
  <c r="D8" i="11"/>
  <c r="D15" i="11"/>
  <c r="D9" i="11"/>
  <c r="D5" i="9"/>
  <c r="D10" i="9"/>
  <c r="D16" i="9"/>
  <c r="D12" i="8"/>
  <c r="D4" i="11"/>
  <c r="D23" i="10"/>
  <c r="D19" i="10"/>
  <c r="D17" i="10"/>
  <c r="D5" i="10"/>
  <c r="D21" i="10"/>
  <c r="D15" i="10"/>
  <c r="D3" i="10"/>
  <c r="D19" i="11"/>
  <c r="D10" i="11"/>
  <c r="D9" i="8"/>
  <c r="D8" i="9"/>
  <c r="D12" i="9"/>
  <c r="D14" i="11"/>
  <c r="D5" i="11"/>
  <c r="D6" i="9"/>
  <c r="D14" i="9"/>
  <c r="D17" i="11"/>
  <c r="D4" i="9"/>
  <c r="D11" i="9"/>
  <c r="D7" i="9"/>
  <c r="D17" i="9"/>
  <c r="D13" i="9"/>
  <c r="D14" i="8"/>
  <c r="D15" i="9"/>
  <c r="D9" i="9"/>
  <c r="D29" i="9"/>
  <c r="D3" i="9"/>
  <c r="D7" i="8"/>
  <c r="D5" i="8"/>
  <c r="D13" i="8"/>
  <c r="D10" i="8"/>
  <c r="D27" i="9"/>
  <c r="D3" i="8"/>
  <c r="D8" i="8"/>
  <c r="D4" i="8"/>
  <c r="E38" i="12"/>
  <c r="D6" i="8"/>
  <c r="E33" i="12"/>
  <c r="E34" i="12"/>
  <c r="E35" i="12"/>
  <c r="E36" i="12"/>
  <c r="E37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5" i="12"/>
  <c r="E4" i="12"/>
  <c r="E6" i="12"/>
  <c r="E20" i="12"/>
  <c r="E51" i="20"/>
  <c r="E52" i="20"/>
  <c r="E53" i="20"/>
  <c r="E32" i="29"/>
  <c r="E33" i="29"/>
  <c r="E34" i="29"/>
  <c r="E35" i="29"/>
  <c r="E36" i="29"/>
  <c r="E37" i="29"/>
  <c r="E38" i="29"/>
  <c r="E39" i="29"/>
  <c r="E40" i="29"/>
  <c r="E41" i="29"/>
  <c r="E42" i="29"/>
  <c r="E43" i="29"/>
  <c r="E45" i="29"/>
  <c r="E44" i="29"/>
  <c r="E46" i="29"/>
  <c r="E47" i="29"/>
  <c r="E48" i="29"/>
  <c r="E49" i="29"/>
  <c r="E50" i="29"/>
  <c r="E51" i="29"/>
  <c r="E52" i="29"/>
  <c r="E53" i="29"/>
  <c r="E11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7" i="20"/>
  <c r="E38" i="20"/>
  <c r="E39" i="20"/>
  <c r="E40" i="20"/>
  <c r="E41" i="20"/>
  <c r="E50" i="20"/>
  <c r="E43" i="20"/>
  <c r="E44" i="20"/>
  <c r="E45" i="20"/>
  <c r="E46" i="20"/>
  <c r="E47" i="20"/>
  <c r="E49" i="20"/>
  <c r="E3" i="20"/>
  <c r="E4" i="20"/>
  <c r="E5" i="20"/>
  <c r="E6" i="20"/>
  <c r="E7" i="20"/>
  <c r="E8" i="20"/>
  <c r="E9" i="20"/>
  <c r="E10" i="20"/>
  <c r="E42" i="20"/>
  <c r="E36" i="20"/>
  <c r="E48" i="20"/>
  <c r="E12" i="20"/>
  <c r="E13" i="20"/>
  <c r="E14" i="20"/>
  <c r="E15" i="20"/>
  <c r="E16" i="20"/>
  <c r="E17" i="20"/>
  <c r="E18" i="20"/>
  <c r="E19" i="20"/>
  <c r="E30" i="29"/>
  <c r="E31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W5" i="29"/>
  <c r="X211" i="35" s="1"/>
  <c r="V5" i="29"/>
  <c r="W211" i="35" s="1"/>
  <c r="U5" i="29"/>
  <c r="V211" i="35" s="1"/>
  <c r="T5" i="29"/>
  <c r="U211" i="35" s="1"/>
  <c r="S5" i="29"/>
  <c r="T211" i="35" s="1"/>
  <c r="R5" i="29"/>
  <c r="S211" i="35" s="1"/>
  <c r="Q5" i="29"/>
  <c r="R211" i="35" s="1"/>
  <c r="P5" i="29"/>
  <c r="Q211" i="35" s="1"/>
  <c r="O5" i="29"/>
  <c r="P211" i="35" s="1"/>
  <c r="N5" i="29"/>
  <c r="O211" i="35" s="1"/>
  <c r="M5" i="29"/>
  <c r="N211" i="35" s="1"/>
  <c r="L5" i="29"/>
  <c r="M211" i="35" s="1"/>
  <c r="K5" i="29"/>
  <c r="L211" i="35" s="1"/>
  <c r="J5" i="29"/>
  <c r="K211" i="35" s="1"/>
  <c r="I5" i="29"/>
  <c r="J211" i="35" s="1"/>
  <c r="H5" i="29"/>
  <c r="I211" i="35" s="1"/>
  <c r="G5" i="29"/>
  <c r="H211" i="35" s="1"/>
  <c r="F5" i="29"/>
  <c r="G211" i="35" s="1"/>
  <c r="W4" i="29"/>
  <c r="X210" i="35" s="1"/>
  <c r="V4" i="29"/>
  <c r="W210" i="35" s="1"/>
  <c r="U4" i="29"/>
  <c r="V210" i="35" s="1"/>
  <c r="T4" i="29"/>
  <c r="U210" i="35" s="1"/>
  <c r="S4" i="29"/>
  <c r="T210" i="35" s="1"/>
  <c r="R4" i="29"/>
  <c r="S210" i="35" s="1"/>
  <c r="Q4" i="29"/>
  <c r="R210" i="35" s="1"/>
  <c r="P4" i="29"/>
  <c r="Q210" i="35" s="1"/>
  <c r="O4" i="29"/>
  <c r="P210" i="35" s="1"/>
  <c r="N4" i="29"/>
  <c r="O210" i="35" s="1"/>
  <c r="M4" i="29"/>
  <c r="N210" i="35" s="1"/>
  <c r="L4" i="29"/>
  <c r="M210" i="35" s="1"/>
  <c r="K4" i="29"/>
  <c r="L210" i="35" s="1"/>
  <c r="J4" i="29"/>
  <c r="K210" i="35" s="1"/>
  <c r="I4" i="29"/>
  <c r="J210" i="35" s="1"/>
  <c r="H4" i="29"/>
  <c r="I210" i="35" s="1"/>
  <c r="G4" i="29"/>
  <c r="H210" i="35" s="1"/>
  <c r="F4" i="29"/>
  <c r="G210" i="35" s="1"/>
  <c r="W3" i="29"/>
  <c r="X209" i="35" s="1"/>
  <c r="V3" i="29"/>
  <c r="W209" i="35" s="1"/>
  <c r="U3" i="29"/>
  <c r="V209" i="35" s="1"/>
  <c r="T3" i="29"/>
  <c r="U209" i="35" s="1"/>
  <c r="S3" i="29"/>
  <c r="T209" i="35" s="1"/>
  <c r="R3" i="29"/>
  <c r="S209" i="35" s="1"/>
  <c r="Q3" i="29"/>
  <c r="R209" i="35" s="1"/>
  <c r="P3" i="29"/>
  <c r="Q209" i="35" s="1"/>
  <c r="O3" i="29"/>
  <c r="P209" i="35" s="1"/>
  <c r="N3" i="29"/>
  <c r="O209" i="35" s="1"/>
  <c r="M3" i="29"/>
  <c r="N209" i="35" s="1"/>
  <c r="L3" i="29"/>
  <c r="M209" i="35" s="1"/>
  <c r="K3" i="29"/>
  <c r="L209" i="35" s="1"/>
  <c r="J3" i="29"/>
  <c r="K209" i="35" s="1"/>
  <c r="I3" i="29"/>
  <c r="J209" i="35" s="1"/>
  <c r="H3" i="29"/>
  <c r="I209" i="35" s="1"/>
  <c r="G3" i="29"/>
  <c r="H209" i="35" s="1"/>
  <c r="F3" i="29"/>
  <c r="G209" i="35" s="1"/>
  <c r="O16" i="33" l="1"/>
  <c r="U17" i="33"/>
  <c r="X39" i="35"/>
  <c r="V16" i="33" s="1"/>
  <c r="X30" i="35"/>
  <c r="E58" i="33"/>
  <c r="D58" i="33"/>
  <c r="E18" i="33"/>
  <c r="M16" i="33"/>
  <c r="L34" i="33"/>
  <c r="O140" i="35"/>
  <c r="M49" i="33" s="1"/>
  <c r="L49" i="33"/>
  <c r="M30" i="33"/>
  <c r="P83" i="35"/>
  <c r="Q83" i="35" s="1"/>
  <c r="O30" i="33" s="1"/>
  <c r="M37" i="33"/>
  <c r="M36" i="33"/>
  <c r="P101" i="35"/>
  <c r="Q101" i="35" s="1"/>
  <c r="R101" i="35" s="1"/>
  <c r="S101" i="35" s="1"/>
  <c r="Q38" i="33" s="1"/>
  <c r="L28" i="33"/>
  <c r="O74" i="35"/>
  <c r="P74" i="35" s="1"/>
  <c r="N28" i="33" s="1"/>
  <c r="O92" i="35"/>
  <c r="P92" i="35" s="1"/>
  <c r="N33" i="33" s="1"/>
  <c r="K51" i="33"/>
  <c r="I185" i="35"/>
  <c r="G64" i="33" s="1"/>
  <c r="F65" i="33"/>
  <c r="I62" i="33"/>
  <c r="K32" i="33"/>
  <c r="K15" i="33"/>
  <c r="L110" i="35"/>
  <c r="M110" i="35" s="1"/>
  <c r="N110" i="35" s="1"/>
  <c r="O110" i="35" s="1"/>
  <c r="P110" i="35" s="1"/>
  <c r="Q110" i="35" s="1"/>
  <c r="R110" i="35" s="1"/>
  <c r="S110" i="35" s="1"/>
  <c r="T110" i="35" s="1"/>
  <c r="R41" i="33" s="1"/>
  <c r="I40" i="33"/>
  <c r="K38" i="33"/>
  <c r="J51" i="33"/>
  <c r="K35" i="33"/>
  <c r="K28" i="33"/>
  <c r="M29" i="35"/>
  <c r="K12" i="33" s="1"/>
  <c r="J12" i="33"/>
  <c r="J13" i="33"/>
  <c r="J14" i="33"/>
  <c r="L176" i="35"/>
  <c r="M176" i="35" s="1"/>
  <c r="N176" i="35" s="1"/>
  <c r="O176" i="35" s="1"/>
  <c r="P176" i="35" s="1"/>
  <c r="Q176" i="35" s="1"/>
  <c r="R176" i="35" s="1"/>
  <c r="S176" i="35" s="1"/>
  <c r="T176" i="35" s="1"/>
  <c r="R62" i="33" s="1"/>
  <c r="F67" i="33"/>
  <c r="I27" i="33"/>
  <c r="I48" i="35"/>
  <c r="J48" i="35" s="1"/>
  <c r="K48" i="35" s="1"/>
  <c r="L48" i="35" s="1"/>
  <c r="M48" i="35" s="1"/>
  <c r="N48" i="35" s="1"/>
  <c r="O48" i="35" s="1"/>
  <c r="P48" i="35" s="1"/>
  <c r="Q48" i="35" s="1"/>
  <c r="R48" i="35" s="1"/>
  <c r="S48" i="35" s="1"/>
  <c r="T48" i="35" s="1"/>
  <c r="U48" i="35" s="1"/>
  <c r="V48" i="35" s="1"/>
  <c r="W48" i="35" s="1"/>
  <c r="X48" i="35" s="1"/>
  <c r="F19" i="33"/>
  <c r="H18" i="33"/>
  <c r="I15" i="33"/>
  <c r="I32" i="33"/>
  <c r="I25" i="33"/>
  <c r="I24" i="33"/>
  <c r="I38" i="33"/>
  <c r="I57" i="33"/>
  <c r="I56" i="33"/>
  <c r="I60" i="33"/>
  <c r="K47" i="35"/>
  <c r="L47" i="35" s="1"/>
  <c r="I54" i="33"/>
  <c r="I53" i="33"/>
  <c r="J185" i="35"/>
  <c r="K185" i="35" s="1"/>
  <c r="I66" i="33" s="1"/>
  <c r="G25" i="33"/>
  <c r="G24" i="33"/>
  <c r="H51" i="33"/>
  <c r="H50" i="33"/>
  <c r="J20" i="35"/>
  <c r="H11" i="33" s="1"/>
  <c r="G11" i="33"/>
  <c r="I194" i="35"/>
  <c r="J194" i="35" s="1"/>
  <c r="K194" i="35" s="1"/>
  <c r="I68" i="33" s="1"/>
  <c r="I52" i="33"/>
  <c r="I55" i="33"/>
  <c r="F66" i="33"/>
  <c r="H49" i="33"/>
  <c r="G26" i="33"/>
  <c r="I26" i="33"/>
  <c r="M38" i="33"/>
  <c r="H34" i="33"/>
  <c r="E14" i="33"/>
  <c r="D61" i="33"/>
  <c r="U48" i="33"/>
  <c r="I58" i="33"/>
  <c r="I59" i="33"/>
  <c r="I61" i="33"/>
  <c r="I63" i="33"/>
  <c r="F61" i="33"/>
  <c r="F62" i="33"/>
  <c r="F63" i="33"/>
  <c r="I49" i="33"/>
  <c r="I50" i="33"/>
  <c r="I51" i="33"/>
  <c r="K49" i="33"/>
  <c r="K50" i="33"/>
  <c r="J49" i="33"/>
  <c r="J50" i="33"/>
  <c r="L50" i="33"/>
  <c r="L51" i="33"/>
  <c r="I41" i="33"/>
  <c r="I39" i="33"/>
  <c r="K36" i="33"/>
  <c r="K37" i="33"/>
  <c r="I37" i="33"/>
  <c r="I36" i="33"/>
  <c r="I34" i="33"/>
  <c r="I35" i="33"/>
  <c r="I33" i="33"/>
  <c r="I30" i="33"/>
  <c r="I31" i="33"/>
  <c r="K30" i="33"/>
  <c r="K31" i="33"/>
  <c r="M32" i="33"/>
  <c r="M31" i="33"/>
  <c r="H27" i="33"/>
  <c r="H28" i="33"/>
  <c r="J27" i="33"/>
  <c r="J28" i="33"/>
  <c r="J29" i="33"/>
  <c r="L27" i="33"/>
  <c r="L29" i="33"/>
  <c r="I28" i="33"/>
  <c r="I29" i="33"/>
  <c r="K27" i="33"/>
  <c r="K29" i="33"/>
  <c r="I16" i="33"/>
  <c r="I17" i="33"/>
  <c r="K16" i="33"/>
  <c r="K17" i="33"/>
  <c r="M15" i="33"/>
  <c r="M17" i="33"/>
  <c r="O15" i="33"/>
  <c r="O17" i="33"/>
  <c r="Q16" i="33"/>
  <c r="Q17" i="33"/>
  <c r="Q15" i="33"/>
  <c r="S16" i="33"/>
  <c r="S17" i="33"/>
  <c r="S15" i="33"/>
  <c r="U15" i="33"/>
  <c r="U16" i="33"/>
  <c r="G9" i="33"/>
  <c r="G10" i="33"/>
  <c r="H33" i="33"/>
  <c r="V48" i="33"/>
  <c r="N46" i="33"/>
  <c r="P45" i="33"/>
  <c r="R46" i="33"/>
  <c r="T45" i="33"/>
  <c r="V46" i="33"/>
  <c r="M45" i="33"/>
  <c r="O47" i="33"/>
  <c r="Q45" i="33"/>
  <c r="S47" i="33"/>
  <c r="U47" i="33"/>
  <c r="Q47" i="33"/>
  <c r="P47" i="33"/>
  <c r="T47" i="33"/>
  <c r="M47" i="33"/>
  <c r="S46" i="33"/>
  <c r="R48" i="33"/>
  <c r="O46" i="33"/>
  <c r="N48" i="33"/>
  <c r="N47" i="33"/>
  <c r="P48" i="33"/>
  <c r="R47" i="33"/>
  <c r="T48" i="33"/>
  <c r="V47" i="33"/>
  <c r="M48" i="33"/>
  <c r="O45" i="33"/>
  <c r="Q48" i="33"/>
  <c r="S45" i="33"/>
  <c r="U45" i="33"/>
  <c r="N45" i="33"/>
  <c r="P46" i="33"/>
  <c r="R45" i="33"/>
  <c r="T46" i="33"/>
  <c r="V45" i="33"/>
  <c r="M46" i="33"/>
  <c r="O48" i="33"/>
  <c r="Q46" i="33"/>
  <c r="S48" i="33"/>
  <c r="U46" i="33"/>
  <c r="E69" i="33"/>
  <c r="E48" i="33"/>
  <c r="E47" i="33"/>
  <c r="E45" i="33"/>
  <c r="E46" i="33"/>
  <c r="K34" i="33"/>
  <c r="L33" i="33"/>
  <c r="E60" i="33"/>
  <c r="E23" i="35"/>
  <c r="E50" i="35"/>
  <c r="E77" i="35"/>
  <c r="E105" i="35"/>
  <c r="H35" i="33"/>
  <c r="J35" i="33"/>
  <c r="L35" i="33"/>
  <c r="E62" i="33"/>
  <c r="E113" i="35"/>
  <c r="E68" i="35"/>
  <c r="E197" i="35"/>
  <c r="E170" i="35"/>
  <c r="H29" i="33"/>
  <c r="K33" i="33"/>
  <c r="E144" i="35"/>
  <c r="H54" i="33"/>
  <c r="H52" i="33"/>
  <c r="H53" i="33"/>
  <c r="L54" i="33"/>
  <c r="L53" i="33"/>
  <c r="L52" i="33"/>
  <c r="P54" i="33"/>
  <c r="P52" i="33"/>
  <c r="P53" i="33"/>
  <c r="T54" i="33"/>
  <c r="T53" i="33"/>
  <c r="T52" i="33"/>
  <c r="M52" i="33"/>
  <c r="M53" i="33"/>
  <c r="M54" i="33"/>
  <c r="Q52" i="33"/>
  <c r="Q54" i="33"/>
  <c r="Q53" i="33"/>
  <c r="U52" i="33"/>
  <c r="U53" i="33"/>
  <c r="U54" i="33"/>
  <c r="K55" i="33"/>
  <c r="K56" i="33"/>
  <c r="K57" i="33"/>
  <c r="O55" i="33"/>
  <c r="O57" i="33"/>
  <c r="O56" i="33"/>
  <c r="S55" i="33"/>
  <c r="S56" i="33"/>
  <c r="S57" i="33"/>
  <c r="J55" i="33"/>
  <c r="J56" i="33"/>
  <c r="J57" i="33"/>
  <c r="N55" i="33"/>
  <c r="N56" i="33"/>
  <c r="N57" i="33"/>
  <c r="R56" i="33"/>
  <c r="R57" i="33"/>
  <c r="R55" i="33"/>
  <c r="V56" i="33"/>
  <c r="V55" i="33"/>
  <c r="V57" i="33"/>
  <c r="H59" i="33"/>
  <c r="H60" i="33"/>
  <c r="H58" i="33"/>
  <c r="L59" i="33"/>
  <c r="L60" i="33"/>
  <c r="L58" i="33"/>
  <c r="P59" i="33"/>
  <c r="P60" i="33"/>
  <c r="P58" i="33"/>
  <c r="T59" i="33"/>
  <c r="T60" i="33"/>
  <c r="T58" i="33"/>
  <c r="M58" i="33"/>
  <c r="M59" i="33"/>
  <c r="M60" i="33"/>
  <c r="Q58" i="33"/>
  <c r="Q59" i="33"/>
  <c r="Q60" i="33"/>
  <c r="U58" i="33"/>
  <c r="U59" i="33"/>
  <c r="U60" i="33"/>
  <c r="K62" i="33"/>
  <c r="K26" i="33"/>
  <c r="K24" i="33"/>
  <c r="K25" i="33"/>
  <c r="O26" i="33"/>
  <c r="O25" i="33"/>
  <c r="O24" i="33"/>
  <c r="S26" i="33"/>
  <c r="S24" i="33"/>
  <c r="S25" i="33"/>
  <c r="F25" i="33"/>
  <c r="F26" i="33"/>
  <c r="F24" i="33"/>
  <c r="J25" i="33"/>
  <c r="J26" i="33"/>
  <c r="J24" i="33"/>
  <c r="N25" i="33"/>
  <c r="N26" i="33"/>
  <c r="N24" i="33"/>
  <c r="R25" i="33"/>
  <c r="R26" i="33"/>
  <c r="R24" i="33"/>
  <c r="V25" i="33"/>
  <c r="V26" i="33"/>
  <c r="V24" i="33"/>
  <c r="K41" i="33"/>
  <c r="J36" i="33"/>
  <c r="J38" i="33"/>
  <c r="J37" i="33"/>
  <c r="J33" i="33"/>
  <c r="J34" i="33"/>
  <c r="L30" i="33"/>
  <c r="L32" i="33"/>
  <c r="L31" i="33"/>
  <c r="J17" i="33"/>
  <c r="J15" i="33"/>
  <c r="J16" i="33"/>
  <c r="R17" i="33"/>
  <c r="R15" i="33"/>
  <c r="R16" i="33"/>
  <c r="L15" i="33"/>
  <c r="L16" i="33"/>
  <c r="L17" i="33"/>
  <c r="T15" i="33"/>
  <c r="T16" i="33"/>
  <c r="T17" i="33"/>
  <c r="E32" i="35"/>
  <c r="E41" i="35"/>
  <c r="E86" i="35"/>
  <c r="E95" i="35"/>
  <c r="X121" i="35"/>
  <c r="X120" i="35"/>
  <c r="X119" i="35"/>
  <c r="G121" i="35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G120" i="35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G119" i="35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21" i="35"/>
  <c r="W121" i="35" s="1"/>
  <c r="V120" i="35"/>
  <c r="W120" i="35" s="1"/>
  <c r="V119" i="35"/>
  <c r="W119" i="35" s="1"/>
  <c r="G58" i="35"/>
  <c r="H58" i="35" s="1"/>
  <c r="I58" i="35" s="1"/>
  <c r="J58" i="35" s="1"/>
  <c r="K58" i="35" s="1"/>
  <c r="L58" i="35" s="1"/>
  <c r="M58" i="35" s="1"/>
  <c r="N58" i="35" s="1"/>
  <c r="O58" i="35" s="1"/>
  <c r="P58" i="35" s="1"/>
  <c r="Q58" i="35" s="1"/>
  <c r="R58" i="35" s="1"/>
  <c r="S58" i="35" s="1"/>
  <c r="T58" i="35" s="1"/>
  <c r="U58" i="35" s="1"/>
  <c r="V58" i="35" s="1"/>
  <c r="W58" i="35" s="1"/>
  <c r="X58" i="35" s="1"/>
  <c r="G57" i="35"/>
  <c r="G56" i="35"/>
  <c r="H56" i="35" s="1"/>
  <c r="I56" i="35" s="1"/>
  <c r="J56" i="35" s="1"/>
  <c r="H57" i="35"/>
  <c r="I57" i="35" s="1"/>
  <c r="J57" i="35" s="1"/>
  <c r="K57" i="35" s="1"/>
  <c r="L57" i="35" s="1"/>
  <c r="M57" i="35" s="1"/>
  <c r="N57" i="35" s="1"/>
  <c r="O57" i="35" s="1"/>
  <c r="P57" i="35" s="1"/>
  <c r="Q57" i="35" s="1"/>
  <c r="R57" i="35" s="1"/>
  <c r="S57" i="35" s="1"/>
  <c r="T57" i="35" s="1"/>
  <c r="U57" i="35" s="1"/>
  <c r="V57" i="35" s="1"/>
  <c r="W57" i="35" s="1"/>
  <c r="X57" i="35" s="1"/>
  <c r="E188" i="35"/>
  <c r="E179" i="35"/>
  <c r="E161" i="35"/>
  <c r="E152" i="35"/>
  <c r="J52" i="33"/>
  <c r="J53" i="33"/>
  <c r="J54" i="33"/>
  <c r="N52" i="33"/>
  <c r="N53" i="33"/>
  <c r="N54" i="33"/>
  <c r="R52" i="33"/>
  <c r="R53" i="33"/>
  <c r="R54" i="33"/>
  <c r="V52" i="33"/>
  <c r="V53" i="33"/>
  <c r="V54" i="33"/>
  <c r="K53" i="33"/>
  <c r="K54" i="33"/>
  <c r="K52" i="33"/>
  <c r="O53" i="33"/>
  <c r="O54" i="33"/>
  <c r="O52" i="33"/>
  <c r="S53" i="33"/>
  <c r="S54" i="33"/>
  <c r="S52" i="33"/>
  <c r="M56" i="33"/>
  <c r="M57" i="33"/>
  <c r="M55" i="33"/>
  <c r="Q56" i="33"/>
  <c r="Q57" i="33"/>
  <c r="Q55" i="33"/>
  <c r="U56" i="33"/>
  <c r="U57" i="33"/>
  <c r="U55" i="33"/>
  <c r="H57" i="33"/>
  <c r="H56" i="33"/>
  <c r="H55" i="33"/>
  <c r="L57" i="33"/>
  <c r="L55" i="33"/>
  <c r="L56" i="33"/>
  <c r="P55" i="33"/>
  <c r="P56" i="33"/>
  <c r="P57" i="33"/>
  <c r="T55" i="33"/>
  <c r="T57" i="33"/>
  <c r="T56" i="33"/>
  <c r="J58" i="33"/>
  <c r="J60" i="33"/>
  <c r="J59" i="33"/>
  <c r="N58" i="33"/>
  <c r="N59" i="33"/>
  <c r="N60" i="33"/>
  <c r="R58" i="33"/>
  <c r="R60" i="33"/>
  <c r="R59" i="33"/>
  <c r="V58" i="33"/>
  <c r="V59" i="33"/>
  <c r="V60" i="33"/>
  <c r="K60" i="33"/>
  <c r="K59" i="33"/>
  <c r="K58" i="33"/>
  <c r="O60" i="33"/>
  <c r="O58" i="33"/>
  <c r="O59" i="33"/>
  <c r="S60" i="33"/>
  <c r="S59" i="33"/>
  <c r="S58" i="33"/>
  <c r="M61" i="33"/>
  <c r="H63" i="33"/>
  <c r="H61" i="33"/>
  <c r="H62" i="33"/>
  <c r="P63" i="33"/>
  <c r="F64" i="33"/>
  <c r="G68" i="33"/>
  <c r="M24" i="33"/>
  <c r="M25" i="33"/>
  <c r="M26" i="33"/>
  <c r="Q24" i="33"/>
  <c r="Q25" i="33"/>
  <c r="Q26" i="33"/>
  <c r="U24" i="33"/>
  <c r="U25" i="33"/>
  <c r="U26" i="33"/>
  <c r="H24" i="33"/>
  <c r="H25" i="33"/>
  <c r="H26" i="33"/>
  <c r="L24" i="33"/>
  <c r="L26" i="33"/>
  <c r="L25" i="33"/>
  <c r="P24" i="33"/>
  <c r="P25" i="33"/>
  <c r="P26" i="33"/>
  <c r="T24" i="33"/>
  <c r="T26" i="33"/>
  <c r="T25" i="33"/>
  <c r="H39" i="33"/>
  <c r="H40" i="33"/>
  <c r="H41" i="33"/>
  <c r="M40" i="33"/>
  <c r="H37" i="33"/>
  <c r="H36" i="33"/>
  <c r="H38" i="33"/>
  <c r="L37" i="33"/>
  <c r="L38" i="33"/>
  <c r="L36" i="33"/>
  <c r="H30" i="33"/>
  <c r="H31" i="33"/>
  <c r="H32" i="33"/>
  <c r="J31" i="33"/>
  <c r="J32" i="33"/>
  <c r="J30" i="33"/>
  <c r="N17" i="33"/>
  <c r="N16" i="33"/>
  <c r="N15" i="33"/>
  <c r="H15" i="33"/>
  <c r="H16" i="33"/>
  <c r="H17" i="33"/>
  <c r="P15" i="33"/>
  <c r="P16" i="33"/>
  <c r="P17" i="33"/>
  <c r="E9" i="33"/>
  <c r="E13" i="33"/>
  <c r="E67" i="33"/>
  <c r="E61" i="33"/>
  <c r="E50" i="33"/>
  <c r="E68" i="33"/>
  <c r="D38" i="33"/>
  <c r="D25" i="33"/>
  <c r="E59" i="33"/>
  <c r="E12" i="33"/>
  <c r="D26" i="33"/>
  <c r="D62" i="33"/>
  <c r="D37" i="33"/>
  <c r="D24" i="33"/>
  <c r="E44" i="35"/>
  <c r="E54" i="35"/>
  <c r="E89" i="35"/>
  <c r="E116" i="35"/>
  <c r="E136" i="35"/>
  <c r="E191" i="35"/>
  <c r="E173" i="35"/>
  <c r="D29" i="33"/>
  <c r="E49" i="33"/>
  <c r="D66" i="33"/>
  <c r="D59" i="33"/>
  <c r="D60" i="33"/>
  <c r="E157" i="35"/>
  <c r="E137" i="35"/>
  <c r="E138" i="35"/>
  <c r="E134" i="35"/>
  <c r="D47" i="33" s="1"/>
  <c r="E139" i="35"/>
  <c r="E135" i="35"/>
  <c r="D48" i="33" s="1"/>
  <c r="E132" i="35"/>
  <c r="D45" i="33" s="1"/>
  <c r="E133" i="35"/>
  <c r="D46" i="33" s="1"/>
  <c r="D14" i="33"/>
  <c r="D19" i="33"/>
  <c r="D18" i="33"/>
  <c r="D30" i="33"/>
  <c r="E63" i="33"/>
  <c r="D13" i="33"/>
  <c r="E11" i="33"/>
  <c r="E10" i="33"/>
  <c r="E80" i="35"/>
  <c r="E98" i="35"/>
  <c r="E108" i="35"/>
  <c r="E71" i="35"/>
  <c r="E200" i="35"/>
  <c r="E182" i="35"/>
  <c r="E164" i="35"/>
  <c r="E147" i="35"/>
  <c r="E51" i="33"/>
  <c r="E155" i="35"/>
  <c r="E153" i="35"/>
  <c r="E154" i="35"/>
  <c r="E156" i="35"/>
  <c r="E162" i="35"/>
  <c r="E163" i="35"/>
  <c r="E165" i="35"/>
  <c r="E166" i="35"/>
  <c r="E174" i="35"/>
  <c r="E171" i="35"/>
  <c r="E172" i="35"/>
  <c r="E175" i="35"/>
  <c r="E183" i="35"/>
  <c r="E180" i="35"/>
  <c r="E181" i="35"/>
  <c r="E184" i="35"/>
  <c r="E192" i="35"/>
  <c r="E189" i="35"/>
  <c r="E190" i="35"/>
  <c r="E193" i="35"/>
  <c r="E201" i="35"/>
  <c r="E198" i="35"/>
  <c r="E199" i="35"/>
  <c r="E202" i="35"/>
  <c r="J206" i="35"/>
  <c r="N206" i="35"/>
  <c r="R206" i="35"/>
  <c r="V206" i="35"/>
  <c r="H207" i="35"/>
  <c r="L207" i="35"/>
  <c r="P207" i="35"/>
  <c r="T207" i="35"/>
  <c r="X207" i="35"/>
  <c r="J208" i="35"/>
  <c r="N208" i="35"/>
  <c r="R208" i="35"/>
  <c r="V208" i="35"/>
  <c r="H206" i="35"/>
  <c r="L206" i="35"/>
  <c r="P206" i="35"/>
  <c r="T206" i="35"/>
  <c r="X206" i="35"/>
  <c r="J207" i="35"/>
  <c r="N207" i="35"/>
  <c r="R207" i="35"/>
  <c r="V207" i="35"/>
  <c r="H208" i="35"/>
  <c r="L208" i="35"/>
  <c r="P208" i="35"/>
  <c r="T208" i="35"/>
  <c r="X208" i="35"/>
  <c r="G206" i="35"/>
  <c r="I206" i="35"/>
  <c r="K206" i="35"/>
  <c r="M206" i="35"/>
  <c r="O206" i="35"/>
  <c r="Q206" i="35"/>
  <c r="S206" i="35"/>
  <c r="U206" i="35"/>
  <c r="W206" i="35"/>
  <c r="G207" i="35"/>
  <c r="I207" i="35"/>
  <c r="K207" i="35"/>
  <c r="M207" i="35"/>
  <c r="O207" i="35"/>
  <c r="Q207" i="35"/>
  <c r="S207" i="35"/>
  <c r="U207" i="35"/>
  <c r="W207" i="35"/>
  <c r="G208" i="35"/>
  <c r="I208" i="35"/>
  <c r="K208" i="35"/>
  <c r="M208" i="35"/>
  <c r="O208" i="35"/>
  <c r="Q208" i="35"/>
  <c r="S208" i="35"/>
  <c r="U208" i="35"/>
  <c r="W208" i="35"/>
  <c r="E146" i="35"/>
  <c r="E148" i="35"/>
  <c r="E145" i="35"/>
  <c r="E143" i="35"/>
  <c r="F64" i="35"/>
  <c r="F63" i="35"/>
  <c r="F62" i="35"/>
  <c r="F61" i="35"/>
  <c r="F60" i="35"/>
  <c r="F59" i="35"/>
  <c r="E72" i="35"/>
  <c r="E69" i="35"/>
  <c r="E70" i="35"/>
  <c r="E73" i="35"/>
  <c r="E117" i="35"/>
  <c r="E114" i="35"/>
  <c r="E115" i="35"/>
  <c r="E118" i="35"/>
  <c r="F125" i="35"/>
  <c r="F126" i="35"/>
  <c r="F127" i="35"/>
  <c r="F124" i="35"/>
  <c r="F123" i="35"/>
  <c r="F122" i="35"/>
  <c r="E107" i="35"/>
  <c r="E106" i="35"/>
  <c r="E104" i="35"/>
  <c r="D36" i="33"/>
  <c r="E109" i="35"/>
  <c r="E96" i="35"/>
  <c r="E97" i="35"/>
  <c r="E100" i="35"/>
  <c r="E99" i="35"/>
  <c r="E90" i="35"/>
  <c r="E87" i="35"/>
  <c r="E88" i="35"/>
  <c r="E91" i="35"/>
  <c r="E82" i="35"/>
  <c r="E81" i="35"/>
  <c r="E78" i="35"/>
  <c r="E79" i="35"/>
  <c r="E51" i="35"/>
  <c r="E52" i="35"/>
  <c r="D20" i="33"/>
  <c r="E53" i="35"/>
  <c r="E55" i="35"/>
  <c r="E45" i="35"/>
  <c r="E42" i="35"/>
  <c r="E43" i="35"/>
  <c r="E46" i="35"/>
  <c r="D15" i="33"/>
  <c r="F9" i="33"/>
  <c r="F10" i="33"/>
  <c r="F11" i="33"/>
  <c r="D35" i="12"/>
  <c r="E33" i="35"/>
  <c r="E34" i="35"/>
  <c r="E36" i="35"/>
  <c r="E35" i="35"/>
  <c r="E37" i="35"/>
  <c r="D51" i="33"/>
  <c r="D53" i="33"/>
  <c r="D41" i="33"/>
  <c r="D33" i="33"/>
  <c r="E38" i="33"/>
  <c r="E28" i="35"/>
  <c r="E24" i="35"/>
  <c r="E25" i="35"/>
  <c r="E27" i="35"/>
  <c r="D10" i="33"/>
  <c r="E26" i="35"/>
  <c r="D12" i="33"/>
  <c r="D27" i="33"/>
  <c r="D67" i="33"/>
  <c r="D9" i="33"/>
  <c r="D50" i="33"/>
  <c r="G12" i="33"/>
  <c r="G14" i="33"/>
  <c r="G13" i="33"/>
  <c r="F27" i="33"/>
  <c r="F29" i="33"/>
  <c r="F28" i="33"/>
  <c r="G34" i="33"/>
  <c r="G33" i="33"/>
  <c r="G35" i="33"/>
  <c r="E53" i="33"/>
  <c r="E52" i="33"/>
  <c r="E54" i="33"/>
  <c r="G58" i="33"/>
  <c r="G60" i="33"/>
  <c r="G59" i="33"/>
  <c r="F40" i="33"/>
  <c r="F41" i="33"/>
  <c r="F39" i="33"/>
  <c r="F13" i="33"/>
  <c r="F12" i="33"/>
  <c r="F14" i="33"/>
  <c r="F59" i="33"/>
  <c r="F58" i="33"/>
  <c r="F60" i="33"/>
  <c r="F33" i="33"/>
  <c r="F35" i="33"/>
  <c r="F34" i="33"/>
  <c r="E56" i="33"/>
  <c r="E55" i="33"/>
  <c r="E57" i="33"/>
  <c r="D68" i="33"/>
  <c r="D11" i="33"/>
  <c r="F69" i="33"/>
  <c r="F68" i="33"/>
  <c r="D52" i="33"/>
  <c r="D28" i="33"/>
  <c r="E34" i="33"/>
  <c r="E33" i="33"/>
  <c r="E35" i="33"/>
  <c r="E28" i="33"/>
  <c r="E27" i="33"/>
  <c r="E29" i="33"/>
  <c r="E17" i="33"/>
  <c r="E16" i="33"/>
  <c r="E20" i="33"/>
  <c r="E36" i="33"/>
  <c r="E37" i="33"/>
  <c r="E65" i="33"/>
  <c r="E64" i="33"/>
  <c r="E66" i="33"/>
  <c r="D56" i="33"/>
  <c r="D54" i="33"/>
  <c r="D39" i="33"/>
  <c r="D40" i="33"/>
  <c r="D35" i="33"/>
  <c r="F18" i="33"/>
  <c r="D16" i="33"/>
  <c r="D49" i="33"/>
  <c r="G16" i="33"/>
  <c r="G15" i="33"/>
  <c r="G17" i="33"/>
  <c r="F15" i="33"/>
  <c r="F17" i="33"/>
  <c r="F16" i="33"/>
  <c r="E24" i="33"/>
  <c r="E26" i="33"/>
  <c r="E25" i="33"/>
  <c r="E30" i="33"/>
  <c r="E32" i="33"/>
  <c r="E31" i="33"/>
  <c r="G39" i="33"/>
  <c r="G41" i="33"/>
  <c r="G40" i="33"/>
  <c r="G62" i="33"/>
  <c r="G61" i="33"/>
  <c r="G63" i="33"/>
  <c r="F50" i="33"/>
  <c r="F49" i="33"/>
  <c r="F51" i="33"/>
  <c r="D57" i="33"/>
  <c r="D34" i="33"/>
  <c r="E15" i="33"/>
  <c r="E19" i="33"/>
  <c r="D64" i="33"/>
  <c r="D65" i="33"/>
  <c r="E39" i="33"/>
  <c r="E41" i="33"/>
  <c r="E40" i="33"/>
  <c r="D32" i="33"/>
  <c r="D31" i="33"/>
  <c r="F20" i="33"/>
  <c r="D17" i="33"/>
  <c r="D69" i="33"/>
  <c r="G36" i="33"/>
  <c r="D37" i="12"/>
  <c r="D16" i="12"/>
  <c r="D29" i="12"/>
  <c r="D33" i="12"/>
  <c r="D19" i="12"/>
  <c r="D3" i="12"/>
  <c r="D12" i="12"/>
  <c r="D31" i="12"/>
  <c r="D27" i="12"/>
  <c r="D23" i="12"/>
  <c r="D10" i="12"/>
  <c r="D25" i="12"/>
  <c r="D21" i="12"/>
  <c r="D14" i="12"/>
  <c r="D7" i="12"/>
  <c r="G18" i="33"/>
  <c r="D6" i="20"/>
  <c r="D44" i="29"/>
  <c r="D17" i="12"/>
  <c r="D11" i="12"/>
  <c r="D32" i="12"/>
  <c r="D26" i="12"/>
  <c r="D40" i="20"/>
  <c r="D25" i="20"/>
  <c r="D48" i="29"/>
  <c r="D53" i="20"/>
  <c r="D18" i="12"/>
  <c r="D13" i="12"/>
  <c r="D4" i="12"/>
  <c r="D28" i="12"/>
  <c r="D22" i="12"/>
  <c r="D38" i="12"/>
  <c r="D34" i="12"/>
  <c r="D46" i="29"/>
  <c r="D36" i="29"/>
  <c r="D20" i="12"/>
  <c r="D36" i="12"/>
  <c r="D30" i="12"/>
  <c r="D24" i="12"/>
  <c r="D15" i="12"/>
  <c r="D9" i="12"/>
  <c r="D8" i="12"/>
  <c r="D5" i="12"/>
  <c r="D38" i="20"/>
  <c r="D19" i="20"/>
  <c r="D13" i="20"/>
  <c r="D37" i="20"/>
  <c r="D8" i="20"/>
  <c r="D41" i="20"/>
  <c r="D32" i="20"/>
  <c r="D26" i="20"/>
  <c r="D35" i="29"/>
  <c r="D10" i="20"/>
  <c r="D43" i="20"/>
  <c r="D49" i="20"/>
  <c r="D53" i="29"/>
  <c r="D47" i="29"/>
  <c r="D38" i="29"/>
  <c r="D52" i="20"/>
  <c r="D6" i="12"/>
  <c r="D31" i="29"/>
  <c r="D4" i="20"/>
  <c r="D46" i="20"/>
  <c r="D34" i="20"/>
  <c r="D27" i="20"/>
  <c r="D23" i="20"/>
  <c r="D43" i="29"/>
  <c r="D30" i="29"/>
  <c r="D15" i="20"/>
  <c r="D36" i="20"/>
  <c r="D33" i="20"/>
  <c r="D28" i="20"/>
  <c r="D22" i="20"/>
  <c r="D49" i="29"/>
  <c r="D41" i="29"/>
  <c r="D34" i="29"/>
  <c r="D39" i="29"/>
  <c r="D33" i="29"/>
  <c r="D52" i="29"/>
  <c r="D50" i="29"/>
  <c r="D42" i="29"/>
  <c r="D51" i="20"/>
  <c r="D31" i="20"/>
  <c r="D29" i="20"/>
  <c r="D21" i="20"/>
  <c r="D35" i="20"/>
  <c r="D50" i="20"/>
  <c r="D44" i="20"/>
  <c r="D11" i="20"/>
  <c r="D7" i="20"/>
  <c r="D5" i="20"/>
  <c r="D45" i="20"/>
  <c r="D40" i="29"/>
  <c r="D37" i="29"/>
  <c r="D51" i="29"/>
  <c r="D45" i="29"/>
  <c r="D48" i="20"/>
  <c r="D42" i="20"/>
  <c r="D39" i="20"/>
  <c r="D30" i="20"/>
  <c r="D24" i="20"/>
  <c r="D9" i="20"/>
  <c r="D3" i="20"/>
  <c r="D32" i="29"/>
  <c r="D17" i="20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4" i="29"/>
  <c r="E3" i="29"/>
  <c r="E4" i="29"/>
  <c r="E5" i="29"/>
  <c r="E23" i="29"/>
  <c r="E25" i="29"/>
  <c r="E26" i="29"/>
  <c r="E27" i="29"/>
  <c r="E28" i="29"/>
  <c r="E29" i="29"/>
  <c r="D20" i="20"/>
  <c r="D16" i="20"/>
  <c r="D47" i="20"/>
  <c r="D14" i="20"/>
  <c r="D18" i="20"/>
  <c r="D12" i="20"/>
  <c r="P38" i="33" l="1"/>
  <c r="P39" i="33"/>
  <c r="R40" i="33"/>
  <c r="N61" i="33"/>
  <c r="P37" i="33"/>
  <c r="P41" i="33"/>
  <c r="L41" i="33"/>
  <c r="O40" i="33"/>
  <c r="H68" i="33"/>
  <c r="G69" i="33"/>
  <c r="P62" i="33"/>
  <c r="L62" i="33"/>
  <c r="Q63" i="33"/>
  <c r="M62" i="33"/>
  <c r="N37" i="33"/>
  <c r="Q41" i="33"/>
  <c r="J41" i="33"/>
  <c r="O62" i="33"/>
  <c r="I19" i="33"/>
  <c r="P36" i="33"/>
  <c r="M39" i="33"/>
  <c r="M41" i="33"/>
  <c r="P40" i="33"/>
  <c r="L40" i="33"/>
  <c r="L39" i="33"/>
  <c r="O41" i="33"/>
  <c r="O39" i="33"/>
  <c r="H69" i="33"/>
  <c r="H67" i="33"/>
  <c r="G67" i="33"/>
  <c r="P61" i="33"/>
  <c r="L61" i="33"/>
  <c r="L63" i="33"/>
  <c r="Q61" i="33"/>
  <c r="Q62" i="33"/>
  <c r="M63" i="33"/>
  <c r="N36" i="33"/>
  <c r="Q40" i="33"/>
  <c r="N39" i="33"/>
  <c r="J40" i="33"/>
  <c r="K39" i="33"/>
  <c r="N63" i="33"/>
  <c r="J62" i="33"/>
  <c r="K61" i="33"/>
  <c r="O38" i="33"/>
  <c r="M27" i="33"/>
  <c r="G66" i="33"/>
  <c r="V15" i="33"/>
  <c r="V17" i="33"/>
  <c r="M34" i="33"/>
  <c r="N32" i="33"/>
  <c r="H20" i="33"/>
  <c r="K13" i="33"/>
  <c r="N27" i="33"/>
  <c r="M51" i="33"/>
  <c r="I69" i="33"/>
  <c r="I18" i="33"/>
  <c r="H64" i="33"/>
  <c r="R61" i="33"/>
  <c r="U176" i="35"/>
  <c r="R39" i="33"/>
  <c r="U110" i="35"/>
  <c r="N38" i="33"/>
  <c r="Q39" i="33"/>
  <c r="N41" i="33"/>
  <c r="N40" i="33"/>
  <c r="J39" i="33"/>
  <c r="K40" i="33"/>
  <c r="R63" i="33"/>
  <c r="N62" i="33"/>
  <c r="J63" i="33"/>
  <c r="J61" i="33"/>
  <c r="O63" i="33"/>
  <c r="O61" i="33"/>
  <c r="K63" i="33"/>
  <c r="O37" i="33"/>
  <c r="O36" i="33"/>
  <c r="I20" i="33"/>
  <c r="G65" i="33"/>
  <c r="M35" i="33"/>
  <c r="J20" i="33"/>
  <c r="I65" i="33"/>
  <c r="N29" i="33"/>
  <c r="Q74" i="35"/>
  <c r="T101" i="35"/>
  <c r="U101" i="35" s="1"/>
  <c r="Q36" i="33"/>
  <c r="Q37" i="33"/>
  <c r="N35" i="33"/>
  <c r="Q92" i="35"/>
  <c r="O32" i="33"/>
  <c r="R83" i="35"/>
  <c r="N30" i="33"/>
  <c r="N31" i="33"/>
  <c r="N34" i="33"/>
  <c r="H65" i="33"/>
  <c r="H66" i="33"/>
  <c r="M33" i="33"/>
  <c r="J19" i="33"/>
  <c r="H19" i="33"/>
  <c r="O31" i="33"/>
  <c r="K14" i="33"/>
  <c r="N29" i="35"/>
  <c r="M29" i="33"/>
  <c r="M28" i="33"/>
  <c r="P140" i="35"/>
  <c r="M50" i="33"/>
  <c r="H21" i="33"/>
  <c r="K44" i="33"/>
  <c r="I64" i="33"/>
  <c r="L185" i="35"/>
  <c r="M47" i="35"/>
  <c r="N47" i="35" s="1"/>
  <c r="J18" i="33"/>
  <c r="J44" i="33"/>
  <c r="L194" i="35"/>
  <c r="M194" i="35" s="1"/>
  <c r="N194" i="35" s="1"/>
  <c r="O194" i="35" s="1"/>
  <c r="I67" i="33"/>
  <c r="H10" i="33"/>
  <c r="K20" i="35"/>
  <c r="L20" i="35" s="1"/>
  <c r="K56" i="35"/>
  <c r="L56" i="35" s="1"/>
  <c r="M56" i="35" s="1"/>
  <c r="K22" i="33" s="1"/>
  <c r="H9" i="33"/>
  <c r="H42" i="33"/>
  <c r="F43" i="33"/>
  <c r="H43" i="33"/>
  <c r="L44" i="33"/>
  <c r="P42" i="33"/>
  <c r="K43" i="33"/>
  <c r="M42" i="33"/>
  <c r="O42" i="33"/>
  <c r="Q42" i="33"/>
  <c r="S42" i="33"/>
  <c r="U42" i="33"/>
  <c r="N42" i="33"/>
  <c r="R43" i="33"/>
  <c r="P43" i="33"/>
  <c r="F42" i="33"/>
  <c r="N43" i="33"/>
  <c r="F47" i="33"/>
  <c r="F48" i="33"/>
  <c r="F46" i="33"/>
  <c r="F45" i="33"/>
  <c r="J23" i="33"/>
  <c r="H23" i="33"/>
  <c r="I21" i="33"/>
  <c r="H44" i="33"/>
  <c r="L42" i="33"/>
  <c r="E59" i="35"/>
  <c r="P44" i="33"/>
  <c r="T42" i="33"/>
  <c r="K42" i="33"/>
  <c r="M43" i="33"/>
  <c r="O43" i="33"/>
  <c r="Q43" i="33"/>
  <c r="S43" i="33"/>
  <c r="U44" i="33"/>
  <c r="V42" i="33"/>
  <c r="T43" i="33"/>
  <c r="J22" i="33"/>
  <c r="F44" i="33"/>
  <c r="J42" i="33"/>
  <c r="N44" i="33"/>
  <c r="R44" i="33"/>
  <c r="V43" i="33"/>
  <c r="O44" i="33"/>
  <c r="M44" i="33"/>
  <c r="J43" i="33"/>
  <c r="Q44" i="33"/>
  <c r="S44" i="33"/>
  <c r="L43" i="33"/>
  <c r="V44" i="33"/>
  <c r="H22" i="33"/>
  <c r="U43" i="33"/>
  <c r="R42" i="33"/>
  <c r="G205" i="35"/>
  <c r="H205" i="35" s="1"/>
  <c r="I205" i="35" s="1"/>
  <c r="J205" i="35" s="1"/>
  <c r="K205" i="35" s="1"/>
  <c r="L205" i="35" s="1"/>
  <c r="M205" i="35" s="1"/>
  <c r="N205" i="35" s="1"/>
  <c r="O205" i="35" s="1"/>
  <c r="P205" i="35" s="1"/>
  <c r="Q205" i="35" s="1"/>
  <c r="R205" i="35" s="1"/>
  <c r="S205" i="35" s="1"/>
  <c r="T205" i="35" s="1"/>
  <c r="U205" i="35" s="1"/>
  <c r="G204" i="35"/>
  <c r="H204" i="35" s="1"/>
  <c r="I204" i="35" s="1"/>
  <c r="J204" i="35" s="1"/>
  <c r="K204" i="35" s="1"/>
  <c r="L204" i="35" s="1"/>
  <c r="M204" i="35" s="1"/>
  <c r="N204" i="35" s="1"/>
  <c r="O204" i="35" s="1"/>
  <c r="P204" i="35" s="1"/>
  <c r="Q204" i="35" s="1"/>
  <c r="R204" i="35" s="1"/>
  <c r="S204" i="35" s="1"/>
  <c r="T204" i="35" s="1"/>
  <c r="U204" i="35" s="1"/>
  <c r="V204" i="35" s="1"/>
  <c r="W204" i="35" s="1"/>
  <c r="X204" i="35" s="1"/>
  <c r="G203" i="35"/>
  <c r="H203" i="35" s="1"/>
  <c r="I203" i="35" s="1"/>
  <c r="J203" i="35" s="1"/>
  <c r="K203" i="35" s="1"/>
  <c r="L203" i="35" s="1"/>
  <c r="M203" i="35" s="1"/>
  <c r="N203" i="35" s="1"/>
  <c r="O203" i="35" s="1"/>
  <c r="P203" i="35" s="1"/>
  <c r="Q203" i="35" s="1"/>
  <c r="R203" i="35" s="1"/>
  <c r="S203" i="35" s="1"/>
  <c r="T203" i="35" s="1"/>
  <c r="U203" i="35" s="1"/>
  <c r="V203" i="35" s="1"/>
  <c r="W203" i="35" s="1"/>
  <c r="X203" i="35" s="1"/>
  <c r="V205" i="35"/>
  <c r="W205" i="35" s="1"/>
  <c r="X205" i="35" s="1"/>
  <c r="T44" i="33"/>
  <c r="D23" i="33"/>
  <c r="E122" i="35"/>
  <c r="E127" i="35"/>
  <c r="E62" i="35"/>
  <c r="F211" i="35"/>
  <c r="F210" i="35"/>
  <c r="F209" i="35"/>
  <c r="F208" i="35"/>
  <c r="F207" i="35"/>
  <c r="F206" i="35"/>
  <c r="E63" i="35"/>
  <c r="E60" i="35"/>
  <c r="E61" i="35"/>
  <c r="E64" i="35"/>
  <c r="E126" i="35"/>
  <c r="E123" i="35"/>
  <c r="E124" i="35"/>
  <c r="E125" i="35"/>
  <c r="D42" i="33"/>
  <c r="E22" i="33"/>
  <c r="E21" i="33"/>
  <c r="E23" i="33"/>
  <c r="G30" i="33"/>
  <c r="G32" i="33"/>
  <c r="G31" i="33"/>
  <c r="G43" i="33"/>
  <c r="G42" i="33"/>
  <c r="G44" i="33"/>
  <c r="H13" i="33"/>
  <c r="H12" i="33"/>
  <c r="H14" i="33"/>
  <c r="G20" i="33"/>
  <c r="G38" i="33"/>
  <c r="G37" i="33"/>
  <c r="E43" i="33"/>
  <c r="E42" i="33"/>
  <c r="E44" i="33"/>
  <c r="I22" i="33"/>
  <c r="F57" i="33"/>
  <c r="D43" i="33"/>
  <c r="G28" i="33"/>
  <c r="G27" i="33"/>
  <c r="G29" i="33"/>
  <c r="F52" i="33"/>
  <c r="F54" i="33"/>
  <c r="F53" i="33"/>
  <c r="G56" i="33"/>
  <c r="G55" i="33"/>
  <c r="G57" i="33"/>
  <c r="I43" i="33"/>
  <c r="I42" i="33"/>
  <c r="I44" i="33"/>
  <c r="F37" i="33"/>
  <c r="F36" i="33"/>
  <c r="F38" i="33"/>
  <c r="G49" i="33"/>
  <c r="G51" i="33"/>
  <c r="G50" i="33"/>
  <c r="F31" i="33"/>
  <c r="F30" i="33"/>
  <c r="F32" i="33"/>
  <c r="G19" i="33"/>
  <c r="D44" i="33"/>
  <c r="F56" i="33"/>
  <c r="F55" i="33"/>
  <c r="D21" i="33"/>
  <c r="D22" i="33"/>
  <c r="D15" i="29"/>
  <c r="D5" i="29"/>
  <c r="D25" i="29"/>
  <c r="D23" i="29"/>
  <c r="D8" i="29"/>
  <c r="D27" i="29"/>
  <c r="D3" i="29"/>
  <c r="D21" i="29"/>
  <c r="D17" i="29"/>
  <c r="D10" i="29"/>
  <c r="D29" i="29"/>
  <c r="D13" i="29"/>
  <c r="D19" i="29"/>
  <c r="D6" i="29"/>
  <c r="D26" i="29"/>
  <c r="D22" i="29"/>
  <c r="D16" i="29"/>
  <c r="D11" i="29"/>
  <c r="D4" i="29"/>
  <c r="D20" i="29"/>
  <c r="D14" i="29"/>
  <c r="D7" i="29"/>
  <c r="D28" i="29"/>
  <c r="D9" i="29"/>
  <c r="D24" i="29"/>
  <c r="D18" i="29"/>
  <c r="D12" i="29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V110" i="35" l="1"/>
  <c r="S39" i="33"/>
  <c r="S41" i="33"/>
  <c r="S40" i="33"/>
  <c r="V176" i="35"/>
  <c r="S63" i="33"/>
  <c r="S62" i="33"/>
  <c r="S61" i="33"/>
  <c r="V101" i="35"/>
  <c r="S36" i="33"/>
  <c r="S38" i="33"/>
  <c r="S37" i="33"/>
  <c r="I23" i="33"/>
  <c r="K23" i="33"/>
  <c r="J21" i="33"/>
  <c r="R74" i="35"/>
  <c r="O28" i="33"/>
  <c r="O27" i="33"/>
  <c r="O29" i="33"/>
  <c r="S83" i="35"/>
  <c r="P30" i="33"/>
  <c r="P32" i="33"/>
  <c r="P31" i="33"/>
  <c r="R92" i="35"/>
  <c r="O35" i="33"/>
  <c r="O34" i="33"/>
  <c r="O33" i="33"/>
  <c r="R38" i="33"/>
  <c r="R36" i="33"/>
  <c r="R37" i="33"/>
  <c r="K21" i="33"/>
  <c r="N56" i="35"/>
  <c r="P194" i="35"/>
  <c r="Q194" i="35" s="1"/>
  <c r="M69" i="33"/>
  <c r="M67" i="33"/>
  <c r="M68" i="33"/>
  <c r="O29" i="35"/>
  <c r="P29" i="35" s="1"/>
  <c r="L13" i="33"/>
  <c r="L14" i="33"/>
  <c r="L12" i="33"/>
  <c r="L19" i="33"/>
  <c r="O47" i="35"/>
  <c r="P47" i="35" s="1"/>
  <c r="L18" i="33"/>
  <c r="L20" i="33"/>
  <c r="Q140" i="35"/>
  <c r="R140" i="35" s="1"/>
  <c r="N49" i="33"/>
  <c r="N51" i="33"/>
  <c r="N50" i="33"/>
  <c r="L67" i="33"/>
  <c r="L68" i="33"/>
  <c r="L69" i="33"/>
  <c r="K67" i="33"/>
  <c r="K69" i="33"/>
  <c r="K68" i="33"/>
  <c r="M185" i="35"/>
  <c r="N185" i="35" s="1"/>
  <c r="J65" i="33"/>
  <c r="J64" i="33"/>
  <c r="J66" i="33"/>
  <c r="M20" i="35"/>
  <c r="N20" i="35" s="1"/>
  <c r="J11" i="33"/>
  <c r="J10" i="33"/>
  <c r="J9" i="33"/>
  <c r="K19" i="33"/>
  <c r="K18" i="33"/>
  <c r="K20" i="33"/>
  <c r="J69" i="33"/>
  <c r="J68" i="33"/>
  <c r="J67" i="33"/>
  <c r="I9" i="33"/>
  <c r="I10" i="33"/>
  <c r="I11" i="33"/>
  <c r="R71" i="33"/>
  <c r="O70" i="33"/>
  <c r="G48" i="33"/>
  <c r="G46" i="33"/>
  <c r="G47" i="33"/>
  <c r="G45" i="33"/>
  <c r="O71" i="33"/>
  <c r="U72" i="33"/>
  <c r="O72" i="33"/>
  <c r="U70" i="33"/>
  <c r="R72" i="33"/>
  <c r="I72" i="33"/>
  <c r="M72" i="33"/>
  <c r="Q72" i="33"/>
  <c r="I71" i="33"/>
  <c r="I70" i="33"/>
  <c r="M71" i="33"/>
  <c r="S71" i="33"/>
  <c r="K70" i="33"/>
  <c r="M70" i="33"/>
  <c r="Q71" i="33"/>
  <c r="S70" i="33"/>
  <c r="E206" i="35"/>
  <c r="K72" i="33"/>
  <c r="U71" i="33"/>
  <c r="S72" i="33"/>
  <c r="Q70" i="33"/>
  <c r="K71" i="33"/>
  <c r="L70" i="33"/>
  <c r="L72" i="33"/>
  <c r="L71" i="33"/>
  <c r="T70" i="33"/>
  <c r="T71" i="33"/>
  <c r="T72" i="33"/>
  <c r="J72" i="33"/>
  <c r="J70" i="33"/>
  <c r="J71" i="33"/>
  <c r="R70" i="33"/>
  <c r="H70" i="33"/>
  <c r="H72" i="33"/>
  <c r="H71" i="33"/>
  <c r="P71" i="33"/>
  <c r="P72" i="33"/>
  <c r="P70" i="33"/>
  <c r="N72" i="33"/>
  <c r="N70" i="33"/>
  <c r="N71" i="33"/>
  <c r="V70" i="33"/>
  <c r="V72" i="33"/>
  <c r="V71" i="33"/>
  <c r="D70" i="33"/>
  <c r="E209" i="35"/>
  <c r="E207" i="35"/>
  <c r="E208" i="35"/>
  <c r="D72" i="33"/>
  <c r="E211" i="35"/>
  <c r="D71" i="33"/>
  <c r="E210" i="35"/>
  <c r="H5" i="35"/>
  <c r="H8" i="35"/>
  <c r="J5" i="35"/>
  <c r="J8" i="35"/>
  <c r="L5" i="35"/>
  <c r="L8" i="35"/>
  <c r="N5" i="35"/>
  <c r="N8" i="35"/>
  <c r="P5" i="35"/>
  <c r="P8" i="35"/>
  <c r="R5" i="35"/>
  <c r="R8" i="35"/>
  <c r="T5" i="35"/>
  <c r="T8" i="35"/>
  <c r="V5" i="35"/>
  <c r="V8" i="35"/>
  <c r="X5" i="35"/>
  <c r="X8" i="35"/>
  <c r="H6" i="35"/>
  <c r="H9" i="35"/>
  <c r="J6" i="35"/>
  <c r="J9" i="35"/>
  <c r="L6" i="35"/>
  <c r="L9" i="35"/>
  <c r="N6" i="35"/>
  <c r="N9" i="35"/>
  <c r="P6" i="35"/>
  <c r="P9" i="35"/>
  <c r="R6" i="35"/>
  <c r="R9" i="35"/>
  <c r="T6" i="35"/>
  <c r="T9" i="35"/>
  <c r="V6" i="35"/>
  <c r="V9" i="35"/>
  <c r="X6" i="35"/>
  <c r="X9" i="35"/>
  <c r="H7" i="35"/>
  <c r="H10" i="35"/>
  <c r="J7" i="35"/>
  <c r="J10" i="35"/>
  <c r="L7" i="35"/>
  <c r="L10" i="35"/>
  <c r="N7" i="35"/>
  <c r="N10" i="35"/>
  <c r="P7" i="35"/>
  <c r="P10" i="35"/>
  <c r="R7" i="35"/>
  <c r="R10" i="35"/>
  <c r="T7" i="35"/>
  <c r="T10" i="35"/>
  <c r="V7" i="35"/>
  <c r="V10" i="35"/>
  <c r="X7" i="35"/>
  <c r="X10" i="35"/>
  <c r="G5" i="35"/>
  <c r="G8" i="35"/>
  <c r="I5" i="35"/>
  <c r="I8" i="35"/>
  <c r="K5" i="35"/>
  <c r="K8" i="35"/>
  <c r="M5" i="35"/>
  <c r="M8" i="35"/>
  <c r="O5" i="35"/>
  <c r="O8" i="35"/>
  <c r="Q5" i="35"/>
  <c r="Q8" i="35"/>
  <c r="S5" i="35"/>
  <c r="S8" i="35"/>
  <c r="U5" i="35"/>
  <c r="U8" i="35"/>
  <c r="W5" i="35"/>
  <c r="W8" i="35"/>
  <c r="G6" i="35"/>
  <c r="G9" i="35"/>
  <c r="I6" i="35"/>
  <c r="I9" i="35"/>
  <c r="K6" i="35"/>
  <c r="K9" i="35"/>
  <c r="M6" i="35"/>
  <c r="M9" i="35"/>
  <c r="O6" i="35"/>
  <c r="O9" i="35"/>
  <c r="Q6" i="35"/>
  <c r="Q9" i="35"/>
  <c r="S6" i="35"/>
  <c r="S9" i="35"/>
  <c r="U6" i="35"/>
  <c r="U9" i="35"/>
  <c r="W6" i="35"/>
  <c r="W9" i="35"/>
  <c r="G7" i="35"/>
  <c r="G10" i="35"/>
  <c r="I7" i="35"/>
  <c r="I10" i="35"/>
  <c r="K7" i="35"/>
  <c r="K10" i="35"/>
  <c r="M7" i="35"/>
  <c r="M10" i="35"/>
  <c r="O7" i="35"/>
  <c r="O10" i="35"/>
  <c r="Q7" i="35"/>
  <c r="Q10" i="35"/>
  <c r="S7" i="35"/>
  <c r="S10" i="35"/>
  <c r="U7" i="35"/>
  <c r="U10" i="35"/>
  <c r="W7" i="35"/>
  <c r="W10" i="35"/>
  <c r="E71" i="33"/>
  <c r="E70" i="33"/>
  <c r="E72" i="33"/>
  <c r="I12" i="33"/>
  <c r="I14" i="33"/>
  <c r="I13" i="33"/>
  <c r="G22" i="33"/>
  <c r="G21" i="33"/>
  <c r="G23" i="33"/>
  <c r="G53" i="33"/>
  <c r="G52" i="33"/>
  <c r="G54" i="33"/>
  <c r="F21" i="33"/>
  <c r="F22" i="33"/>
  <c r="F23" i="33"/>
  <c r="E3" i="6"/>
  <c r="E4" i="6"/>
  <c r="E5" i="6"/>
  <c r="J3" i="7"/>
  <c r="W101" i="35" l="1"/>
  <c r="T38" i="33"/>
  <c r="T37" i="33"/>
  <c r="T36" i="33"/>
  <c r="W176" i="35"/>
  <c r="T63" i="33"/>
  <c r="T61" i="33"/>
  <c r="T62" i="33"/>
  <c r="W110" i="35"/>
  <c r="X110" i="35" s="1"/>
  <c r="T39" i="33"/>
  <c r="T40" i="33"/>
  <c r="T41" i="33"/>
  <c r="S140" i="35"/>
  <c r="T140" i="35" s="1"/>
  <c r="U140" i="35" s="1"/>
  <c r="P50" i="33"/>
  <c r="P51" i="33"/>
  <c r="P49" i="33"/>
  <c r="Q29" i="35"/>
  <c r="N13" i="33"/>
  <c r="N14" i="33"/>
  <c r="N12" i="33"/>
  <c r="R194" i="35"/>
  <c r="O68" i="33"/>
  <c r="O67" i="33"/>
  <c r="O69" i="33"/>
  <c r="Q47" i="35"/>
  <c r="N19" i="33"/>
  <c r="N20" i="33"/>
  <c r="N18" i="33"/>
  <c r="S92" i="35"/>
  <c r="P34" i="33"/>
  <c r="P33" i="33"/>
  <c r="P35" i="33"/>
  <c r="T83" i="35"/>
  <c r="Q30" i="33"/>
  <c r="Q32" i="33"/>
  <c r="Q31" i="33"/>
  <c r="S74" i="35"/>
  <c r="T74" i="35" s="1"/>
  <c r="U74" i="35" s="1"/>
  <c r="P27" i="33"/>
  <c r="P29" i="33"/>
  <c r="P28" i="33"/>
  <c r="M20" i="33"/>
  <c r="M18" i="33"/>
  <c r="M19" i="33"/>
  <c r="L23" i="33"/>
  <c r="O56" i="35"/>
  <c r="L22" i="33"/>
  <c r="L21" i="33"/>
  <c r="O20" i="35"/>
  <c r="P20" i="35" s="1"/>
  <c r="L10" i="33"/>
  <c r="L11" i="33"/>
  <c r="L9" i="33"/>
  <c r="O185" i="35"/>
  <c r="L66" i="33"/>
  <c r="L64" i="33"/>
  <c r="L65" i="33"/>
  <c r="O49" i="33"/>
  <c r="O50" i="33"/>
  <c r="O51" i="33"/>
  <c r="M12" i="33"/>
  <c r="M13" i="33"/>
  <c r="M14" i="33"/>
  <c r="N69" i="33"/>
  <c r="N68" i="33"/>
  <c r="N67" i="33"/>
  <c r="K11" i="33"/>
  <c r="K9" i="33"/>
  <c r="K10" i="33"/>
  <c r="K66" i="33"/>
  <c r="K64" i="33"/>
  <c r="K65" i="33"/>
  <c r="H45" i="33"/>
  <c r="H48" i="33"/>
  <c r="H46" i="33"/>
  <c r="H47" i="33"/>
  <c r="G4" i="35"/>
  <c r="H4" i="35" s="1"/>
  <c r="I4" i="35" s="1"/>
  <c r="J4" i="35" s="1"/>
  <c r="K4" i="35" s="1"/>
  <c r="L4" i="35" s="1"/>
  <c r="M4" i="35" s="1"/>
  <c r="N4" i="35" s="1"/>
  <c r="O4" i="35" s="1"/>
  <c r="P4" i="35" s="1"/>
  <c r="Q4" i="35" s="1"/>
  <c r="R4" i="35" s="1"/>
  <c r="S4" i="35" s="1"/>
  <c r="T4" i="35" s="1"/>
  <c r="U4" i="35" s="1"/>
  <c r="V4" i="35" s="1"/>
  <c r="W4" i="35" s="1"/>
  <c r="X4" i="35" s="1"/>
  <c r="G3" i="35"/>
  <c r="H3" i="35" s="1"/>
  <c r="I3" i="35" s="1"/>
  <c r="J3" i="35" s="1"/>
  <c r="K3" i="35" s="1"/>
  <c r="G2" i="35"/>
  <c r="H2" i="35" s="1"/>
  <c r="I2" i="35" s="1"/>
  <c r="J2" i="35" s="1"/>
  <c r="K2" i="35" s="1"/>
  <c r="L2" i="35" s="1"/>
  <c r="M2" i="35" s="1"/>
  <c r="N2" i="35" s="1"/>
  <c r="O2" i="35" s="1"/>
  <c r="P2" i="35" s="1"/>
  <c r="Q2" i="35" s="1"/>
  <c r="R2" i="35" s="1"/>
  <c r="S2" i="35" s="1"/>
  <c r="T2" i="35" s="1"/>
  <c r="U2" i="35" s="1"/>
  <c r="V2" i="35" s="1"/>
  <c r="W2" i="35" s="1"/>
  <c r="X2" i="35" s="1"/>
  <c r="L3" i="35"/>
  <c r="M3" i="35" s="1"/>
  <c r="N3" i="35" s="1"/>
  <c r="O3" i="35" s="1"/>
  <c r="P3" i="35" s="1"/>
  <c r="Q3" i="35" s="1"/>
  <c r="R3" i="35" s="1"/>
  <c r="S3" i="35" s="1"/>
  <c r="T3" i="35" s="1"/>
  <c r="U3" i="35" s="1"/>
  <c r="V3" i="35" s="1"/>
  <c r="W3" i="35" s="1"/>
  <c r="X3" i="35" s="1"/>
  <c r="F10" i="35"/>
  <c r="F9" i="35"/>
  <c r="F8" i="35"/>
  <c r="F7" i="35"/>
  <c r="F6" i="35"/>
  <c r="F5" i="35"/>
  <c r="F70" i="33"/>
  <c r="F72" i="33"/>
  <c r="F71" i="33"/>
  <c r="D3" i="6"/>
  <c r="D5" i="6"/>
  <c r="D4" i="6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K14" i="35" s="1"/>
  <c r="I6" i="7"/>
  <c r="H6" i="7"/>
  <c r="G6" i="7"/>
  <c r="F6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W3" i="7"/>
  <c r="V3" i="7"/>
  <c r="U3" i="7"/>
  <c r="T3" i="7"/>
  <c r="S3" i="7"/>
  <c r="R3" i="7"/>
  <c r="Q3" i="7"/>
  <c r="P3" i="7"/>
  <c r="O3" i="7"/>
  <c r="N3" i="7"/>
  <c r="M3" i="7"/>
  <c r="L3" i="7"/>
  <c r="K3" i="7"/>
  <c r="I3" i="7"/>
  <c r="H3" i="7"/>
  <c r="G3" i="7"/>
  <c r="F3" i="7"/>
  <c r="V39" i="33" l="1"/>
  <c r="V40" i="33"/>
  <c r="V41" i="33"/>
  <c r="V74" i="35"/>
  <c r="S29" i="33"/>
  <c r="S27" i="33"/>
  <c r="S28" i="33"/>
  <c r="V140" i="35"/>
  <c r="S51" i="33"/>
  <c r="S50" i="33"/>
  <c r="S49" i="33"/>
  <c r="U41" i="33"/>
  <c r="U39" i="33"/>
  <c r="U40" i="33"/>
  <c r="X176" i="35"/>
  <c r="U61" i="33"/>
  <c r="U62" i="33"/>
  <c r="U63" i="33"/>
  <c r="X101" i="35"/>
  <c r="U38" i="33"/>
  <c r="U37" i="33"/>
  <c r="U36" i="33"/>
  <c r="R29" i="33"/>
  <c r="R27" i="33"/>
  <c r="R28" i="33"/>
  <c r="R50" i="33"/>
  <c r="R49" i="33"/>
  <c r="R51" i="33"/>
  <c r="Q20" i="35"/>
  <c r="N9" i="33"/>
  <c r="N11" i="33"/>
  <c r="N10" i="33"/>
  <c r="Q27" i="33"/>
  <c r="Q29" i="33"/>
  <c r="Q28" i="33"/>
  <c r="U83" i="35"/>
  <c r="R31" i="33"/>
  <c r="R30" i="33"/>
  <c r="R32" i="33"/>
  <c r="T92" i="35"/>
  <c r="U92" i="35" s="1"/>
  <c r="Q34" i="33"/>
  <c r="Q33" i="33"/>
  <c r="Q35" i="33"/>
  <c r="R47" i="35"/>
  <c r="O19" i="33"/>
  <c r="O18" i="33"/>
  <c r="O20" i="33"/>
  <c r="S194" i="35"/>
  <c r="T194" i="35" s="1"/>
  <c r="U194" i="35" s="1"/>
  <c r="P68" i="33"/>
  <c r="P67" i="33"/>
  <c r="P69" i="33"/>
  <c r="R29" i="35"/>
  <c r="O14" i="33"/>
  <c r="O13" i="33"/>
  <c r="O12" i="33"/>
  <c r="Q51" i="33"/>
  <c r="Q50" i="33"/>
  <c r="Q49" i="33"/>
  <c r="P185" i="35"/>
  <c r="Q185" i="35" s="1"/>
  <c r="M66" i="33"/>
  <c r="M65" i="33"/>
  <c r="M64" i="33"/>
  <c r="M10" i="33"/>
  <c r="M9" i="33"/>
  <c r="M11" i="33"/>
  <c r="M22" i="33"/>
  <c r="P56" i="35"/>
  <c r="M23" i="33"/>
  <c r="M21" i="33"/>
  <c r="I47" i="33"/>
  <c r="I45" i="33"/>
  <c r="I48" i="33"/>
  <c r="I46" i="33"/>
  <c r="E5" i="35"/>
  <c r="E4" i="33"/>
  <c r="E3" i="33"/>
  <c r="H14" i="35"/>
  <c r="H17" i="35"/>
  <c r="M14" i="35"/>
  <c r="M17" i="35"/>
  <c r="Q14" i="35"/>
  <c r="Q17" i="35"/>
  <c r="U14" i="35"/>
  <c r="U17" i="35"/>
  <c r="G15" i="35"/>
  <c r="G18" i="35"/>
  <c r="K15" i="35"/>
  <c r="K18" i="35"/>
  <c r="O15" i="35"/>
  <c r="O18" i="35"/>
  <c r="S15" i="35"/>
  <c r="S18" i="35"/>
  <c r="W15" i="35"/>
  <c r="W18" i="35"/>
  <c r="I16" i="35"/>
  <c r="I19" i="35"/>
  <c r="G14" i="35"/>
  <c r="G17" i="35"/>
  <c r="I14" i="35"/>
  <c r="I17" i="35"/>
  <c r="L14" i="35"/>
  <c r="L17" i="35"/>
  <c r="N14" i="35"/>
  <c r="N17" i="35"/>
  <c r="P14" i="35"/>
  <c r="P17" i="35"/>
  <c r="R14" i="35"/>
  <c r="R17" i="35"/>
  <c r="T14" i="35"/>
  <c r="T17" i="35"/>
  <c r="V14" i="35"/>
  <c r="V17" i="35"/>
  <c r="X14" i="35"/>
  <c r="X17" i="35"/>
  <c r="H15" i="35"/>
  <c r="H18" i="35"/>
  <c r="J15" i="35"/>
  <c r="J18" i="35"/>
  <c r="L15" i="35"/>
  <c r="L18" i="35"/>
  <c r="N15" i="35"/>
  <c r="N18" i="35"/>
  <c r="P15" i="35"/>
  <c r="P18" i="35"/>
  <c r="R15" i="35"/>
  <c r="R18" i="35"/>
  <c r="T15" i="35"/>
  <c r="T18" i="35"/>
  <c r="V15" i="35"/>
  <c r="V18" i="35"/>
  <c r="X15" i="35"/>
  <c r="X18" i="35"/>
  <c r="H16" i="35"/>
  <c r="H19" i="35"/>
  <c r="J16" i="35"/>
  <c r="J19" i="35"/>
  <c r="L16" i="35"/>
  <c r="L19" i="35"/>
  <c r="N16" i="35"/>
  <c r="N19" i="35"/>
  <c r="P16" i="35"/>
  <c r="P19" i="35"/>
  <c r="R16" i="35"/>
  <c r="R19" i="35"/>
  <c r="T16" i="35"/>
  <c r="T19" i="35"/>
  <c r="V16" i="35"/>
  <c r="V19" i="35"/>
  <c r="X16" i="35"/>
  <c r="X19" i="35"/>
  <c r="K17" i="35"/>
  <c r="J14" i="35"/>
  <c r="J17" i="35"/>
  <c r="O14" i="35"/>
  <c r="O17" i="35"/>
  <c r="S14" i="35"/>
  <c r="S17" i="35"/>
  <c r="W14" i="35"/>
  <c r="W17" i="35"/>
  <c r="I15" i="35"/>
  <c r="I18" i="35"/>
  <c r="M15" i="35"/>
  <c r="M18" i="35"/>
  <c r="Q15" i="35"/>
  <c r="Q18" i="35"/>
  <c r="U15" i="35"/>
  <c r="U18" i="35"/>
  <c r="G16" i="35"/>
  <c r="G19" i="35"/>
  <c r="K16" i="35"/>
  <c r="K19" i="35"/>
  <c r="M16" i="35"/>
  <c r="M19" i="35"/>
  <c r="O16" i="35"/>
  <c r="O19" i="35"/>
  <c r="Q16" i="35"/>
  <c r="Q19" i="35"/>
  <c r="S16" i="35"/>
  <c r="S19" i="35"/>
  <c r="U16" i="35"/>
  <c r="U19" i="35"/>
  <c r="W16" i="35"/>
  <c r="W19" i="35"/>
  <c r="E9" i="35"/>
  <c r="E5" i="33"/>
  <c r="E6" i="35"/>
  <c r="E7" i="35"/>
  <c r="E8" i="35"/>
  <c r="E10" i="35"/>
  <c r="D3" i="33"/>
  <c r="D5" i="33"/>
  <c r="G71" i="33"/>
  <c r="G70" i="33"/>
  <c r="G72" i="33"/>
  <c r="D4" i="33"/>
  <c r="V36" i="33" l="1"/>
  <c r="V37" i="33"/>
  <c r="V38" i="33"/>
  <c r="V61" i="33"/>
  <c r="V63" i="33"/>
  <c r="V62" i="33"/>
  <c r="V194" i="35"/>
  <c r="S67" i="33"/>
  <c r="S69" i="33"/>
  <c r="S68" i="33"/>
  <c r="V92" i="35"/>
  <c r="S35" i="33"/>
  <c r="S34" i="33"/>
  <c r="S33" i="33"/>
  <c r="W140" i="35"/>
  <c r="X140" i="35" s="1"/>
  <c r="T51" i="33"/>
  <c r="T50" i="33"/>
  <c r="T49" i="33"/>
  <c r="W74" i="35"/>
  <c r="T28" i="33"/>
  <c r="T29" i="33"/>
  <c r="T27" i="33"/>
  <c r="R69" i="33"/>
  <c r="R68" i="33"/>
  <c r="R67" i="33"/>
  <c r="S29" i="35"/>
  <c r="P12" i="33"/>
  <c r="P13" i="33"/>
  <c r="P14" i="33"/>
  <c r="Q69" i="33"/>
  <c r="Q68" i="33"/>
  <c r="Q67" i="33"/>
  <c r="S47" i="35"/>
  <c r="T47" i="35" s="1"/>
  <c r="U47" i="35" s="1"/>
  <c r="P19" i="33"/>
  <c r="P18" i="33"/>
  <c r="P20" i="33"/>
  <c r="R35" i="33"/>
  <c r="R33" i="33"/>
  <c r="R34" i="33"/>
  <c r="V83" i="35"/>
  <c r="W83" i="35" s="1"/>
  <c r="S30" i="33"/>
  <c r="S31" i="33"/>
  <c r="S32" i="33"/>
  <c r="R185" i="35"/>
  <c r="O65" i="33"/>
  <c r="O64" i="33"/>
  <c r="O66" i="33"/>
  <c r="R20" i="35"/>
  <c r="O10" i="33"/>
  <c r="O9" i="33"/>
  <c r="O11" i="33"/>
  <c r="Q56" i="35"/>
  <c r="R56" i="35" s="1"/>
  <c r="N21" i="33"/>
  <c r="N23" i="33"/>
  <c r="N22" i="33"/>
  <c r="N64" i="33"/>
  <c r="N66" i="33"/>
  <c r="N65" i="33"/>
  <c r="J48" i="33"/>
  <c r="J46" i="33"/>
  <c r="J47" i="33"/>
  <c r="J45" i="33"/>
  <c r="G13" i="35"/>
  <c r="H13" i="35" s="1"/>
  <c r="I13" i="35" s="1"/>
  <c r="J13" i="35" s="1"/>
  <c r="K13" i="35" s="1"/>
  <c r="L13" i="35" s="1"/>
  <c r="M13" i="35" s="1"/>
  <c r="N13" i="35" s="1"/>
  <c r="O13" i="35" s="1"/>
  <c r="P13" i="35" s="1"/>
  <c r="Q13" i="35" s="1"/>
  <c r="R13" i="35" s="1"/>
  <c r="S13" i="35" s="1"/>
  <c r="T13" i="35" s="1"/>
  <c r="U13" i="35" s="1"/>
  <c r="V13" i="35" s="1"/>
  <c r="W13" i="35" s="1"/>
  <c r="X13" i="35" s="1"/>
  <c r="G12" i="35"/>
  <c r="H12" i="35" s="1"/>
  <c r="I12" i="35" s="1"/>
  <c r="J12" i="35" s="1"/>
  <c r="K12" i="35" s="1"/>
  <c r="L12" i="35" s="1"/>
  <c r="M12" i="35" s="1"/>
  <c r="N12" i="35" s="1"/>
  <c r="O12" i="35" s="1"/>
  <c r="P12" i="35" s="1"/>
  <c r="G11" i="35"/>
  <c r="H11" i="35" s="1"/>
  <c r="I11" i="35" s="1"/>
  <c r="J11" i="35" s="1"/>
  <c r="K11" i="35" s="1"/>
  <c r="L11" i="35" s="1"/>
  <c r="M11" i="35" s="1"/>
  <c r="N11" i="35" s="1"/>
  <c r="O11" i="35" s="1"/>
  <c r="P11" i="35" s="1"/>
  <c r="Q11" i="35" s="1"/>
  <c r="R11" i="35" s="1"/>
  <c r="S11" i="35" s="1"/>
  <c r="T11" i="35" s="1"/>
  <c r="U11" i="35" s="1"/>
  <c r="V11" i="35" s="1"/>
  <c r="W11" i="35" s="1"/>
  <c r="X11" i="35" s="1"/>
  <c r="Q12" i="35"/>
  <c r="R12" i="35" s="1"/>
  <c r="S12" i="35" s="1"/>
  <c r="T12" i="35" s="1"/>
  <c r="U12" i="35" s="1"/>
  <c r="V12" i="35" s="1"/>
  <c r="W12" i="35" s="1"/>
  <c r="X12" i="35" s="1"/>
  <c r="J3" i="33"/>
  <c r="J4" i="33"/>
  <c r="J5" i="33"/>
  <c r="F3" i="33"/>
  <c r="F4" i="33"/>
  <c r="F5" i="33"/>
  <c r="F17" i="35"/>
  <c r="F18" i="35"/>
  <c r="F16" i="35"/>
  <c r="F19" i="35"/>
  <c r="F14" i="35"/>
  <c r="F15" i="35"/>
  <c r="E8" i="7"/>
  <c r="E11" i="7"/>
  <c r="E14" i="7"/>
  <c r="E17" i="7"/>
  <c r="E20" i="7"/>
  <c r="E23" i="7"/>
  <c r="E26" i="7"/>
  <c r="E29" i="7"/>
  <c r="E6" i="7"/>
  <c r="E9" i="7"/>
  <c r="E12" i="7"/>
  <c r="E15" i="7"/>
  <c r="E18" i="7"/>
  <c r="E21" i="7"/>
  <c r="E24" i="7"/>
  <c r="E27" i="7"/>
  <c r="E7" i="7"/>
  <c r="E10" i="7"/>
  <c r="E13" i="7"/>
  <c r="E16" i="7"/>
  <c r="E19" i="7"/>
  <c r="E22" i="7"/>
  <c r="E25" i="7"/>
  <c r="E28" i="7"/>
  <c r="E3" i="7"/>
  <c r="E4" i="7"/>
  <c r="E5" i="7"/>
  <c r="V50" i="33" l="1"/>
  <c r="V49" i="33"/>
  <c r="V51" i="33"/>
  <c r="U31" i="33"/>
  <c r="X83" i="35"/>
  <c r="U32" i="33"/>
  <c r="U30" i="33"/>
  <c r="V47" i="35"/>
  <c r="S19" i="33"/>
  <c r="S18" i="33"/>
  <c r="S20" i="33"/>
  <c r="X74" i="35"/>
  <c r="U28" i="33"/>
  <c r="U29" i="33"/>
  <c r="U27" i="33"/>
  <c r="U49" i="33"/>
  <c r="U50" i="33"/>
  <c r="U51" i="33"/>
  <c r="W92" i="35"/>
  <c r="T34" i="33"/>
  <c r="T33" i="33"/>
  <c r="T35" i="33"/>
  <c r="W194" i="35"/>
  <c r="T69" i="33"/>
  <c r="T67" i="33"/>
  <c r="T68" i="33"/>
  <c r="R20" i="33"/>
  <c r="R19" i="33"/>
  <c r="R18" i="33"/>
  <c r="Q20" i="33"/>
  <c r="Q18" i="33"/>
  <c r="Q19" i="33"/>
  <c r="S56" i="35"/>
  <c r="P23" i="33"/>
  <c r="P21" i="33"/>
  <c r="P22" i="33"/>
  <c r="S20" i="35"/>
  <c r="T20" i="35" s="1"/>
  <c r="U20" i="35" s="1"/>
  <c r="P10" i="33"/>
  <c r="P9" i="33"/>
  <c r="P11" i="33"/>
  <c r="S185" i="35"/>
  <c r="P66" i="33"/>
  <c r="P65" i="33"/>
  <c r="P64" i="33"/>
  <c r="T32" i="33"/>
  <c r="T30" i="33"/>
  <c r="T31" i="33"/>
  <c r="T29" i="35"/>
  <c r="U29" i="35" s="1"/>
  <c r="Q12" i="33"/>
  <c r="Q13" i="33"/>
  <c r="Q14" i="33"/>
  <c r="O21" i="33"/>
  <c r="O23" i="33"/>
  <c r="O22" i="33"/>
  <c r="K48" i="33"/>
  <c r="K46" i="33"/>
  <c r="K47" i="33"/>
  <c r="K45" i="33"/>
  <c r="K4" i="33"/>
  <c r="K5" i="33"/>
  <c r="K3" i="33"/>
  <c r="H3" i="33"/>
  <c r="H4" i="33"/>
  <c r="H5" i="33"/>
  <c r="G3" i="33"/>
  <c r="G4" i="33"/>
  <c r="G5" i="33"/>
  <c r="E15" i="35"/>
  <c r="E19" i="35"/>
  <c r="E14" i="35"/>
  <c r="E18" i="35"/>
  <c r="E16" i="35"/>
  <c r="E17" i="35"/>
  <c r="D6" i="33"/>
  <c r="D5" i="7"/>
  <c r="D3" i="7"/>
  <c r="D4" i="7"/>
  <c r="D29" i="7"/>
  <c r="D27" i="7"/>
  <c r="D28" i="7"/>
  <c r="D23" i="7"/>
  <c r="D21" i="7"/>
  <c r="D22" i="7"/>
  <c r="D17" i="7"/>
  <c r="D15" i="7"/>
  <c r="D16" i="7"/>
  <c r="D11" i="7"/>
  <c r="D9" i="7"/>
  <c r="D10" i="7"/>
  <c r="D25" i="7"/>
  <c r="D26" i="7"/>
  <c r="D24" i="7"/>
  <c r="D19" i="7"/>
  <c r="D20" i="7"/>
  <c r="D18" i="7"/>
  <c r="D13" i="7"/>
  <c r="D14" i="7"/>
  <c r="D12" i="7"/>
  <c r="D7" i="7"/>
  <c r="D8" i="7"/>
  <c r="D6" i="7"/>
  <c r="V20" i="35" l="1"/>
  <c r="S11" i="33"/>
  <c r="S9" i="33"/>
  <c r="S10" i="33"/>
  <c r="X194" i="35"/>
  <c r="U69" i="33"/>
  <c r="U67" i="33"/>
  <c r="U68" i="33"/>
  <c r="X92" i="35"/>
  <c r="U35" i="33"/>
  <c r="U33" i="33"/>
  <c r="U34" i="33"/>
  <c r="V32" i="33"/>
  <c r="V31" i="33"/>
  <c r="V30" i="33"/>
  <c r="S14" i="33"/>
  <c r="V29" i="35"/>
  <c r="S12" i="33"/>
  <c r="S13" i="33"/>
  <c r="V27" i="33"/>
  <c r="V28" i="33"/>
  <c r="V29" i="33"/>
  <c r="W47" i="35"/>
  <c r="T19" i="33"/>
  <c r="T20" i="33"/>
  <c r="T18" i="33"/>
  <c r="R11" i="33"/>
  <c r="R10" i="33"/>
  <c r="R9" i="33"/>
  <c r="T185" i="35"/>
  <c r="U185" i="35" s="1"/>
  <c r="Q65" i="33"/>
  <c r="Q64" i="33"/>
  <c r="Q66" i="33"/>
  <c r="Q11" i="33"/>
  <c r="Q10" i="33"/>
  <c r="Q9" i="33"/>
  <c r="T56" i="35"/>
  <c r="U56" i="35" s="1"/>
  <c r="V56" i="35" s="1"/>
  <c r="Q21" i="33"/>
  <c r="Q23" i="33"/>
  <c r="Q22" i="33"/>
  <c r="R12" i="33"/>
  <c r="R14" i="33"/>
  <c r="R13" i="33"/>
  <c r="L47" i="33"/>
  <c r="L45" i="33"/>
  <c r="L48" i="33"/>
  <c r="L46" i="33"/>
  <c r="L5" i="33"/>
  <c r="L3" i="33"/>
  <c r="L4" i="33"/>
  <c r="I3" i="33"/>
  <c r="I4" i="33"/>
  <c r="I5" i="33"/>
  <c r="F7" i="33"/>
  <c r="F6" i="33"/>
  <c r="F8" i="33"/>
  <c r="E6" i="33"/>
  <c r="E8" i="33"/>
  <c r="E7" i="33"/>
  <c r="D8" i="33"/>
  <c r="D7" i="33"/>
  <c r="V185" i="35" l="1"/>
  <c r="S66" i="33"/>
  <c r="S64" i="33"/>
  <c r="S65" i="33"/>
  <c r="W56" i="35"/>
  <c r="T23" i="33"/>
  <c r="T21" i="33"/>
  <c r="T22" i="33"/>
  <c r="X47" i="35"/>
  <c r="U20" i="33"/>
  <c r="U19" i="33"/>
  <c r="U18" i="33"/>
  <c r="T13" i="33"/>
  <c r="W29" i="35"/>
  <c r="T14" i="33"/>
  <c r="T12" i="33"/>
  <c r="V33" i="33"/>
  <c r="V35" i="33"/>
  <c r="V34" i="33"/>
  <c r="V69" i="33"/>
  <c r="V68" i="33"/>
  <c r="V67" i="33"/>
  <c r="W20" i="35"/>
  <c r="X20" i="35" s="1"/>
  <c r="T11" i="33"/>
  <c r="T10" i="33"/>
  <c r="T9" i="33"/>
  <c r="S22" i="33"/>
  <c r="S21" i="33"/>
  <c r="S23" i="33"/>
  <c r="R22" i="33"/>
  <c r="R23" i="33"/>
  <c r="R21" i="33"/>
  <c r="R65" i="33"/>
  <c r="R64" i="33"/>
  <c r="R66" i="33"/>
  <c r="M3" i="33"/>
  <c r="M4" i="33"/>
  <c r="M5" i="33"/>
  <c r="G6" i="33"/>
  <c r="G8" i="33"/>
  <c r="G7" i="33"/>
  <c r="V9" i="33" l="1"/>
  <c r="V11" i="33"/>
  <c r="V10" i="33"/>
  <c r="X29" i="35"/>
  <c r="U13" i="33"/>
  <c r="U14" i="33"/>
  <c r="U12" i="33"/>
  <c r="U9" i="33"/>
  <c r="U10" i="33"/>
  <c r="U11" i="33"/>
  <c r="V20" i="33"/>
  <c r="V19" i="33"/>
  <c r="V18" i="33"/>
  <c r="X56" i="35"/>
  <c r="U21" i="33"/>
  <c r="U23" i="33"/>
  <c r="U22" i="33"/>
  <c r="W185" i="35"/>
  <c r="T66" i="33"/>
  <c r="T64" i="33"/>
  <c r="T65" i="33"/>
  <c r="N3" i="33"/>
  <c r="N4" i="33"/>
  <c r="N5" i="33"/>
  <c r="H7" i="33"/>
  <c r="H6" i="33"/>
  <c r="H8" i="33"/>
  <c r="X185" i="35" l="1"/>
  <c r="U66" i="33"/>
  <c r="U65" i="33"/>
  <c r="U64" i="33"/>
  <c r="V23" i="33"/>
  <c r="V21" i="33"/>
  <c r="V22" i="33"/>
  <c r="V12" i="33"/>
  <c r="V13" i="33"/>
  <c r="V14" i="33"/>
  <c r="O4" i="33"/>
  <c r="O5" i="33"/>
  <c r="O3" i="33"/>
  <c r="I6" i="33"/>
  <c r="I8" i="33"/>
  <c r="I7" i="33"/>
  <c r="V64" i="33" l="1"/>
  <c r="V65" i="33"/>
  <c r="V66" i="33"/>
  <c r="P5" i="33"/>
  <c r="P3" i="33"/>
  <c r="P4" i="33"/>
  <c r="J7" i="33"/>
  <c r="J6" i="33"/>
  <c r="J8" i="33"/>
  <c r="Q3" i="33" l="1"/>
  <c r="Q4" i="33"/>
  <c r="Q5" i="33"/>
  <c r="K6" i="33"/>
  <c r="K8" i="33"/>
  <c r="K7" i="33"/>
  <c r="R3" i="33" l="1"/>
  <c r="R4" i="33"/>
  <c r="R5" i="33"/>
  <c r="L7" i="33"/>
  <c r="L6" i="33"/>
  <c r="L8" i="33"/>
  <c r="S4" i="33" l="1"/>
  <c r="S5" i="33"/>
  <c r="S3" i="33"/>
  <c r="M6" i="33"/>
  <c r="M8" i="33"/>
  <c r="M7" i="33"/>
  <c r="T5" i="33" l="1"/>
  <c r="T3" i="33"/>
  <c r="T4" i="33"/>
  <c r="N7" i="33"/>
  <c r="N6" i="33"/>
  <c r="N8" i="33"/>
  <c r="U3" i="33" l="1"/>
  <c r="U4" i="33"/>
  <c r="U5" i="33"/>
  <c r="O6" i="33"/>
  <c r="O8" i="33"/>
  <c r="O7" i="33"/>
  <c r="V3" i="33" l="1"/>
  <c r="V4" i="33"/>
  <c r="V5" i="33"/>
  <c r="P7" i="33"/>
  <c r="P6" i="33"/>
  <c r="P8" i="33"/>
  <c r="R7" i="33"/>
  <c r="R6" i="33"/>
  <c r="R8" i="33"/>
  <c r="S6" i="33" l="1"/>
  <c r="S8" i="33"/>
  <c r="S7" i="33"/>
  <c r="Q6" i="33"/>
  <c r="Q8" i="33"/>
  <c r="Q7" i="33"/>
  <c r="T7" i="33" l="1"/>
  <c r="T6" i="33"/>
  <c r="T8" i="33"/>
  <c r="U6" i="33" l="1"/>
  <c r="U8" i="33"/>
  <c r="U7" i="33"/>
  <c r="V7" i="33" l="1"/>
  <c r="V6" i="33"/>
  <c r="V8" i="33"/>
</calcChain>
</file>

<file path=xl/connections.xml><?xml version="1.0" encoding="utf-8"?>
<connections xmlns="http://schemas.openxmlformats.org/spreadsheetml/2006/main">
  <connection id="1" sourceFile="C:\htdocs\Trans_dic_2012.accdb" keepAlive="1" interval="5" name="Trans_dic_2012" type="5" refreshedVersion="4" background="1" saveData="1">
    <dbPr connection="Provider=Microsoft.ACE.OLEDB.12.0;User ID=Admin;Data Source=C:\htdocs\Trans_dic_2012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datos" commandType="3"/>
  </connection>
</connections>
</file>

<file path=xl/sharedStrings.xml><?xml version="1.0" encoding="utf-8"?>
<sst xmlns="http://schemas.openxmlformats.org/spreadsheetml/2006/main" count="5771" uniqueCount="253">
  <si>
    <t>Otro</t>
  </si>
  <si>
    <t>Candidato</t>
  </si>
  <si>
    <t>Anzoategui</t>
  </si>
  <si>
    <t>Municipio</t>
  </si>
  <si>
    <t>ANACO</t>
  </si>
  <si>
    <t>BOLIVAR</t>
  </si>
  <si>
    <t>FREITES</t>
  </si>
  <si>
    <t>GUANIPA</t>
  </si>
  <si>
    <t>MIRANDA</t>
  </si>
  <si>
    <t>SIMON RODRIGUEZ</t>
  </si>
  <si>
    <t>SOTILLO</t>
  </si>
  <si>
    <t>ACHAGUAS</t>
  </si>
  <si>
    <t>BIRUACA</t>
  </si>
  <si>
    <t>PAEZ</t>
  </si>
  <si>
    <t>SAN FERNANDO</t>
  </si>
  <si>
    <t>GIRARDOT</t>
  </si>
  <si>
    <t>JOSE FELIX RIBAS</t>
  </si>
  <si>
    <t>LIBERTADOR</t>
  </si>
  <si>
    <t>SANTIAGO MARIÑO</t>
  </si>
  <si>
    <t>SUCRE</t>
  </si>
  <si>
    <t>ZAMORA</t>
  </si>
  <si>
    <t>BARINAS</t>
  </si>
  <si>
    <t>EZEQUIEL ZAMORA</t>
  </si>
  <si>
    <t>PEDRAZA</t>
  </si>
  <si>
    <t>CARONI</t>
  </si>
  <si>
    <t>CEDEÑO</t>
  </si>
  <si>
    <t>HERES</t>
  </si>
  <si>
    <t>PIAR</t>
  </si>
  <si>
    <t>CARABOBO</t>
  </si>
  <si>
    <t>BEJUMA</t>
  </si>
  <si>
    <t>CARLOS ARVELO</t>
  </si>
  <si>
    <t>DIEGO IBARRA</t>
  </si>
  <si>
    <t>GUACARA</t>
  </si>
  <si>
    <t>JUAN JOSE MORA</t>
  </si>
  <si>
    <t>LOS GUAYOS</t>
  </si>
  <si>
    <t>NAGUANAGUA</t>
  </si>
  <si>
    <t>PUERTO CABELLO</t>
  </si>
  <si>
    <t>SAN DIEGO</t>
  </si>
  <si>
    <t>SAN JOAQUIN</t>
  </si>
  <si>
    <t>VALENCIA</t>
  </si>
  <si>
    <t>COJEDES</t>
  </si>
  <si>
    <t>FALCON</t>
  </si>
  <si>
    <t>DELTA AMACURO</t>
  </si>
  <si>
    <t>CARIRUBANA</t>
  </si>
  <si>
    <t>LOS TAQUES</t>
  </si>
  <si>
    <t>GUARICO</t>
  </si>
  <si>
    <t>LARA</t>
  </si>
  <si>
    <t>CRESPO</t>
  </si>
  <si>
    <t>IRIBARREN</t>
  </si>
  <si>
    <t>JIMENEZ</t>
  </si>
  <si>
    <t>MORAN</t>
  </si>
  <si>
    <t>PALAVECINO</t>
  </si>
  <si>
    <t>TORRES</t>
  </si>
  <si>
    <t>URDANETA</t>
  </si>
  <si>
    <t>MERIDA</t>
  </si>
  <si>
    <t>ALBERTO ADRIANI</t>
  </si>
  <si>
    <t>CAMPO ELIAS</t>
  </si>
  <si>
    <t>ACEVEDO</t>
  </si>
  <si>
    <t>BARUTA</t>
  </si>
  <si>
    <t>CARRIZAL</t>
  </si>
  <si>
    <t>CHACAO</t>
  </si>
  <si>
    <t>CRISTOBAL ROJAS</t>
  </si>
  <si>
    <t>EL HATILLO</t>
  </si>
  <si>
    <t>GUAICAIPURO</t>
  </si>
  <si>
    <t>INDEPENDENCIA</t>
  </si>
  <si>
    <t>LANDER</t>
  </si>
  <si>
    <t>LOS SALIAS</t>
  </si>
  <si>
    <t>PAZ CASTILLO</t>
  </si>
  <si>
    <t>PLAZA</t>
  </si>
  <si>
    <t>MONAGAS</t>
  </si>
  <si>
    <t>MATURIN</t>
  </si>
  <si>
    <t>NUEVA ESPARTA</t>
  </si>
  <si>
    <t>DIAZ</t>
  </si>
  <si>
    <t>GARCIA</t>
  </si>
  <si>
    <t>MANEIRO</t>
  </si>
  <si>
    <t>MARIÑO</t>
  </si>
  <si>
    <t>PORTUGUESA</t>
  </si>
  <si>
    <t>ARAURE</t>
  </si>
  <si>
    <t>GUANARE</t>
  </si>
  <si>
    <t>TUREN</t>
  </si>
  <si>
    <t>ARISMENDI</t>
  </si>
  <si>
    <t>BERMUDEZ</t>
  </si>
  <si>
    <t>MONTES</t>
  </si>
  <si>
    <t>TACHIRA</t>
  </si>
  <si>
    <t>AYACUCHO</t>
  </si>
  <si>
    <t>CARDENAS</t>
  </si>
  <si>
    <t>GARCIA DE HEVIA</t>
  </si>
  <si>
    <t>JUNIN</t>
  </si>
  <si>
    <t>PEDRO MARIA UREÑA</t>
  </si>
  <si>
    <t>SAN CRISTOBAL</t>
  </si>
  <si>
    <t>TRUJILLO</t>
  </si>
  <si>
    <t>VARGAS</t>
  </si>
  <si>
    <t>YARACUY</t>
  </si>
  <si>
    <t>BRUZUAL</t>
  </si>
  <si>
    <t>NIRGUA</t>
  </si>
  <si>
    <t>PEÑA</t>
  </si>
  <si>
    <t>SAN FELIPE</t>
  </si>
  <si>
    <t>FRANCISCO LINARES</t>
  </si>
  <si>
    <t>JOSE R REVENGA</t>
  </si>
  <si>
    <t>MARIO B IRAGORRY</t>
  </si>
  <si>
    <t>A JOSE DE SUCRE</t>
  </si>
  <si>
    <t>TINAQUILLO</t>
  </si>
  <si>
    <t>INFANTE</t>
  </si>
  <si>
    <t>ROSCIO</t>
  </si>
  <si>
    <t>ZARAZA</t>
  </si>
  <si>
    <t>*</t>
  </si>
  <si>
    <t>PSUV</t>
  </si>
  <si>
    <t>MUD</t>
  </si>
  <si>
    <t>IND</t>
  </si>
  <si>
    <t>GUANTA</t>
  </si>
  <si>
    <t>LIBERTAD</t>
  </si>
  <si>
    <t>Recibidos</t>
  </si>
  <si>
    <t>Resultado</t>
  </si>
  <si>
    <t>JOSE ANGEL LAMAS</t>
  </si>
  <si>
    <t>SANTOS MICHELENA</t>
  </si>
  <si>
    <t>ROJAS</t>
  </si>
  <si>
    <t>Antonio Barreto Sira</t>
  </si>
  <si>
    <t>ATURES</t>
  </si>
  <si>
    <t>Amazonas</t>
  </si>
  <si>
    <t>ANZOATEGUI</t>
  </si>
  <si>
    <t>AMAZONAS</t>
  </si>
  <si>
    <t>Zulia</t>
  </si>
  <si>
    <t>Francisco Arias Cárdenas</t>
  </si>
  <si>
    <t>Pablo Pérez</t>
  </si>
  <si>
    <t>ZULIA</t>
  </si>
  <si>
    <t>BARALT</t>
  </si>
  <si>
    <t>CABIMAS</t>
  </si>
  <si>
    <t>COLON</t>
  </si>
  <si>
    <t>GUAJIRA</t>
  </si>
  <si>
    <t>JESUS ENRIQUE LOSSADA</t>
  </si>
  <si>
    <t>LA CAÑADA DE URDANETA</t>
  </si>
  <si>
    <t>LAGUNILLAS</t>
  </si>
  <si>
    <t>MACHIQUES DE PERIJA</t>
  </si>
  <si>
    <t>MARA</t>
  </si>
  <si>
    <t>MARACAIBO</t>
  </si>
  <si>
    <t>ROSARIO DE PERIJA</t>
  </si>
  <si>
    <t>SAN FRANCISCO</t>
  </si>
  <si>
    <t>SANTA RITA</t>
  </si>
  <si>
    <t>SIMON BOLIVAR</t>
  </si>
  <si>
    <t>VALMORE RODRIGUEZ</t>
  </si>
  <si>
    <t>Miranda</t>
  </si>
  <si>
    <t>Henrique Capriles Radonski</t>
  </si>
  <si>
    <t>Elías Jaua Milano</t>
  </si>
  <si>
    <t>Carabobo</t>
  </si>
  <si>
    <t>º</t>
  </si>
  <si>
    <t>Francisco Ameliach</t>
  </si>
  <si>
    <t>Henrique Salas Feo</t>
  </si>
  <si>
    <t>APURE</t>
  </si>
  <si>
    <t>Apure</t>
  </si>
  <si>
    <t>Ramón Carrizález</t>
  </si>
  <si>
    <t>Luis Lippa</t>
  </si>
  <si>
    <t>ARAGUA</t>
  </si>
  <si>
    <t>Aragua</t>
  </si>
  <si>
    <t xml:space="preserve"> Tareck El Aissami</t>
  </si>
  <si>
    <t>Richard Mardo</t>
  </si>
  <si>
    <t>Barinas</t>
  </si>
  <si>
    <t>Adán Chávez</t>
  </si>
  <si>
    <t>Julio Cesar Reyes</t>
  </si>
  <si>
    <t>ALBERTO ARVELO</t>
  </si>
  <si>
    <t>Bolivar</t>
  </si>
  <si>
    <t>ANGOSTURA</t>
  </si>
  <si>
    <t>Francisco Rangel Gómez</t>
  </si>
  <si>
    <t>Andrés Velásquez</t>
  </si>
  <si>
    <t>Cojedes</t>
  </si>
  <si>
    <t>Érika Farías</t>
  </si>
  <si>
    <t>Alberto Galindez</t>
  </si>
  <si>
    <t>TINACO</t>
  </si>
  <si>
    <t>Delta Amacuro</t>
  </si>
  <si>
    <t>TUCUPITA</t>
  </si>
  <si>
    <t>Nicia Maldonado</t>
  </si>
  <si>
    <t>Liborio Guarulla</t>
  </si>
  <si>
    <t>Lizzeta Hernández</t>
  </si>
  <si>
    <t>Arévalo Salazar</t>
  </si>
  <si>
    <t>Falcon</t>
  </si>
  <si>
    <t>COLINA</t>
  </si>
  <si>
    <t>Stella Lugo</t>
  </si>
  <si>
    <t>Gregorio Graterol</t>
  </si>
  <si>
    <t>Guarico</t>
  </si>
  <si>
    <t>Ramón Rodríguez Chacín</t>
  </si>
  <si>
    <t>José Gonzalez</t>
  </si>
  <si>
    <t>RIBAS</t>
  </si>
  <si>
    <t>Lara</t>
  </si>
  <si>
    <t>ANDRES E BLANCO</t>
  </si>
  <si>
    <t>Luis Reyes Reyes</t>
  </si>
  <si>
    <t>Henri Falcón</t>
  </si>
  <si>
    <t>Merida</t>
  </si>
  <si>
    <t>Alexis Ramírez</t>
  </si>
  <si>
    <t>Lester Rodríguez</t>
  </si>
  <si>
    <t>TULIO F CORDERO</t>
  </si>
  <si>
    <t>Monagas</t>
  </si>
  <si>
    <t>Nueva Esparta</t>
  </si>
  <si>
    <t>Carlos Mata Figueroa</t>
  </si>
  <si>
    <t>Morel Rodríguez</t>
  </si>
  <si>
    <t>GOMEZ</t>
  </si>
  <si>
    <t>MARCANO</t>
  </si>
  <si>
    <t>Portuguesa</t>
  </si>
  <si>
    <t>Wilmar Castro Soteldo</t>
  </si>
  <si>
    <t>Iván Colmenares</t>
  </si>
  <si>
    <t>ESTELLER</t>
  </si>
  <si>
    <t>GUANARITO</t>
  </si>
  <si>
    <t>Sucre</t>
  </si>
  <si>
    <t>Luis Acuña</t>
  </si>
  <si>
    <t>Hernán Núñez</t>
  </si>
  <si>
    <t>VALDEZ</t>
  </si>
  <si>
    <t>Tachira</t>
  </si>
  <si>
    <t>FERNANDEZ FEO</t>
  </si>
  <si>
    <t>GUASIMOS</t>
  </si>
  <si>
    <t>JAUREGUI</t>
  </si>
  <si>
    <t>TORBES</t>
  </si>
  <si>
    <t>José Vielma Mora</t>
  </si>
  <si>
    <t>César Pérez Vivas</t>
  </si>
  <si>
    <t>Trujillo</t>
  </si>
  <si>
    <t>Henri Rangel Silva</t>
  </si>
  <si>
    <t>José Hernández</t>
  </si>
  <si>
    <t>BOCONO</t>
  </si>
  <si>
    <t>PAMPAN</t>
  </si>
  <si>
    <t>S RAFAEL CARVAJAL</t>
  </si>
  <si>
    <t>VALERA</t>
  </si>
  <si>
    <t>Vargas</t>
  </si>
  <si>
    <t>Jorge Luis García Carneiro</t>
  </si>
  <si>
    <t>José Manuel Olivares</t>
  </si>
  <si>
    <t>Yaracuy</t>
  </si>
  <si>
    <t>COCOROTE</t>
  </si>
  <si>
    <t>Julio León Heredia</t>
  </si>
  <si>
    <t>Biagio Pilieri</t>
  </si>
  <si>
    <t>Yelitza Santaella</t>
  </si>
  <si>
    <t>José Gregorio Briceño</t>
  </si>
  <si>
    <t>Soraya Hernández</t>
  </si>
  <si>
    <t>Estado</t>
  </si>
  <si>
    <t>Total</t>
  </si>
  <si>
    <t>Votos</t>
  </si>
  <si>
    <t>Pesados acumulados</t>
  </si>
  <si>
    <t xml:space="preserve"> Pesados</t>
  </si>
  <si>
    <t>Id</t>
  </si>
  <si>
    <t>INDEPENDIENTE</t>
  </si>
  <si>
    <t>turno</t>
  </si>
  <si>
    <t>usuario</t>
  </si>
  <si>
    <t>Aristóbulo Iztúriz</t>
  </si>
  <si>
    <t>centro</t>
  </si>
  <si>
    <t>municipio</t>
  </si>
  <si>
    <t>totalv</t>
  </si>
  <si>
    <t>gibran</t>
  </si>
  <si>
    <t>jonathan</t>
  </si>
  <si>
    <t>wendy</t>
  </si>
  <si>
    <t>juan</t>
  </si>
  <si>
    <t>michelle</t>
  </si>
  <si>
    <t>geraldine</t>
  </si>
  <si>
    <t>eugenia</t>
  </si>
  <si>
    <t>moises</t>
  </si>
  <si>
    <t>rodolfo</t>
  </si>
  <si>
    <t>yari</t>
  </si>
  <si>
    <t>andriamar</t>
  </si>
  <si>
    <t>octavio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</si>
</sst>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2" tint="-0.74999237037263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2" tint="-0.74999237037263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2" tint="-0.74999237037263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 style="medium">
        <color indexed="64"/>
      </top>
      <bottom style="thin">
        <color theme="7"/>
      </bottom>
      <diagonal/>
    </border>
    <border>
      <left style="thin">
        <color theme="7"/>
      </left>
      <right style="medium">
        <color indexed="64"/>
      </right>
      <top style="medium">
        <color indexed="64"/>
      </top>
      <bottom style="thin">
        <color theme="7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indexed="64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 style="medium">
        <color indexed="64"/>
      </bottom>
      <diagonal/>
    </border>
    <border>
      <left style="thin">
        <color theme="7"/>
      </left>
      <right style="medium">
        <color indexed="64"/>
      </right>
      <top style="thin">
        <color theme="7"/>
      </top>
      <bottom/>
      <diagonal/>
    </border>
    <border>
      <left style="thin">
        <color theme="7"/>
      </left>
      <right style="medium">
        <color indexed="64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 style="medium">
        <color indexed="64"/>
      </top>
      <bottom style="medium">
        <color indexed="64"/>
      </bottom>
      <diagonal/>
    </border>
    <border>
      <left/>
      <right style="thin">
        <color theme="7"/>
      </right>
      <top style="medium">
        <color indexed="64"/>
      </top>
      <bottom style="medium">
        <color indexed="64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medium">
        <color indexed="64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thin">
        <color theme="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Dashed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Dash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7"/>
      </bottom>
      <diagonal/>
    </border>
    <border>
      <left style="medium">
        <color indexed="64"/>
      </left>
      <right style="thin">
        <color indexed="64"/>
      </right>
      <top style="thin">
        <color theme="7"/>
      </top>
      <bottom style="thin">
        <color theme="7"/>
      </bottom>
      <diagonal/>
    </border>
    <border>
      <left style="medium">
        <color indexed="64"/>
      </left>
      <right style="thin">
        <color indexed="64"/>
      </right>
      <top style="thin">
        <color theme="7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7"/>
      </bottom>
      <diagonal/>
    </border>
    <border>
      <left style="medium">
        <color indexed="64"/>
      </left>
      <right style="thin">
        <color indexed="64"/>
      </right>
      <top style="thin">
        <color theme="7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Dash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11" xfId="0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right" indent="1"/>
    </xf>
    <xf numFmtId="0" fontId="2" fillId="2" borderId="13" xfId="0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right" indent="1"/>
    </xf>
    <xf numFmtId="0" fontId="2" fillId="2" borderId="14" xfId="0" applyFont="1" applyFill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right" indent="1"/>
    </xf>
    <xf numFmtId="0" fontId="2" fillId="2" borderId="17" xfId="0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right" indent="1"/>
    </xf>
    <xf numFmtId="0" fontId="2" fillId="2" borderId="12" xfId="0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right" indent="1"/>
    </xf>
    <xf numFmtId="0" fontId="3" fillId="2" borderId="21" xfId="0" applyFont="1" applyFill="1" applyBorder="1" applyAlignment="1">
      <alignment horizontal="center" vertical="center"/>
    </xf>
    <xf numFmtId="1" fontId="3" fillId="2" borderId="21" xfId="0" applyNumberFormat="1" applyFont="1" applyFill="1" applyBorder="1" applyAlignment="1">
      <alignment horizontal="center" vertical="center" wrapText="1"/>
    </xf>
    <xf numFmtId="1" fontId="3" fillId="2" borderId="2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1" fontId="2" fillId="2" borderId="30" xfId="0" applyNumberFormat="1" applyFont="1" applyFill="1" applyBorder="1" applyAlignment="1">
      <alignment horizontal="center" vertical="center" wrapText="1"/>
    </xf>
    <xf numFmtId="165" fontId="2" fillId="2" borderId="28" xfId="0" applyNumberFormat="1" applyFont="1" applyFill="1" applyBorder="1" applyAlignment="1">
      <alignment horizontal="center" vertical="center" wrapText="1"/>
    </xf>
    <xf numFmtId="165" fontId="2" fillId="2" borderId="31" xfId="0" applyNumberFormat="1" applyFont="1" applyFill="1" applyBorder="1" applyAlignment="1">
      <alignment horizontal="center" vertical="center" wrapText="1"/>
    </xf>
    <xf numFmtId="1" fontId="2" fillId="2" borderId="27" xfId="0" applyNumberFormat="1" applyFont="1" applyFill="1" applyBorder="1" applyAlignment="1">
      <alignment horizontal="center" vertical="center" wrapText="1"/>
    </xf>
    <xf numFmtId="1" fontId="2" fillId="2" borderId="28" xfId="0" applyNumberFormat="1" applyFont="1" applyFill="1" applyBorder="1" applyAlignment="1">
      <alignment horizontal="center" vertical="center" wrapText="1"/>
    </xf>
    <xf numFmtId="165" fontId="2" fillId="2" borderId="29" xfId="0" applyNumberFormat="1" applyFont="1" applyFill="1" applyBorder="1" applyAlignment="1">
      <alignment horizontal="center" vertical="center" wrapText="1"/>
    </xf>
    <xf numFmtId="1" fontId="2" fillId="2" borderId="15" xfId="0" applyNumberFormat="1" applyFont="1" applyFill="1" applyBorder="1" applyAlignment="1">
      <alignment horizontal="right" indent="1"/>
    </xf>
    <xf numFmtId="1" fontId="2" fillId="2" borderId="16" xfId="0" applyNumberFormat="1" applyFont="1" applyFill="1" applyBorder="1" applyAlignment="1">
      <alignment horizontal="right" indent="1"/>
    </xf>
    <xf numFmtId="1" fontId="2" fillId="2" borderId="18" xfId="0" applyNumberFormat="1" applyFont="1" applyFill="1" applyBorder="1" applyAlignment="1">
      <alignment horizontal="right" indent="1"/>
    </xf>
    <xf numFmtId="1" fontId="2" fillId="2" borderId="20" xfId="0" applyNumberFormat="1" applyFont="1" applyFill="1" applyBorder="1" applyAlignment="1">
      <alignment horizontal="right" indent="1"/>
    </xf>
    <xf numFmtId="1" fontId="2" fillId="2" borderId="19" xfId="0" applyNumberFormat="1" applyFont="1" applyFill="1" applyBorder="1" applyAlignment="1">
      <alignment horizontal="right" indent="1"/>
    </xf>
    <xf numFmtId="0" fontId="4" fillId="2" borderId="14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17" xfId="0" applyFont="1" applyFill="1" applyBorder="1" applyAlignment="1">
      <alignment horizontal="left" vertical="center" indent="1"/>
    </xf>
    <xf numFmtId="1" fontId="3" fillId="2" borderId="36" xfId="0" applyNumberFormat="1" applyFont="1" applyFill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0" fontId="2" fillId="2" borderId="25" xfId="1" applyNumberFormat="1" applyFont="1" applyFill="1" applyBorder="1" applyAlignment="1">
      <alignment horizontal="right" indent="1"/>
    </xf>
    <xf numFmtId="10" fontId="2" fillId="2" borderId="23" xfId="1" applyNumberFormat="1" applyFont="1" applyFill="1" applyBorder="1" applyAlignment="1">
      <alignment horizontal="right" indent="1"/>
    </xf>
    <xf numFmtId="10" fontId="2" fillId="2" borderId="26" xfId="1" applyNumberFormat="1" applyFont="1" applyFill="1" applyBorder="1" applyAlignment="1">
      <alignment horizontal="right" indent="1"/>
    </xf>
    <xf numFmtId="165" fontId="0" fillId="0" borderId="0" xfId="0" applyNumberFormat="1" applyAlignment="1">
      <alignment horizont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right" indent="1"/>
    </xf>
    <xf numFmtId="1" fontId="2" fillId="2" borderId="24" xfId="0" applyNumberFormat="1" applyFont="1" applyFill="1" applyBorder="1" applyAlignment="1">
      <alignment horizontal="right" indent="1"/>
    </xf>
    <xf numFmtId="10" fontId="2" fillId="2" borderId="14" xfId="1" applyNumberFormat="1" applyFont="1" applyFill="1" applyBorder="1" applyAlignment="1">
      <alignment horizontal="right" indent="1"/>
    </xf>
    <xf numFmtId="10" fontId="2" fillId="2" borderId="11" xfId="1" applyNumberFormat="1" applyFont="1" applyFill="1" applyBorder="1" applyAlignment="1">
      <alignment horizontal="right" indent="1"/>
    </xf>
    <xf numFmtId="10" fontId="2" fillId="2" borderId="12" xfId="1" applyNumberFormat="1" applyFont="1" applyFill="1" applyBorder="1" applyAlignment="1">
      <alignment horizontal="right" indent="1"/>
    </xf>
    <xf numFmtId="10" fontId="2" fillId="2" borderId="17" xfId="1" applyNumberFormat="1" applyFont="1" applyFill="1" applyBorder="1" applyAlignment="1">
      <alignment horizontal="right" indent="1"/>
    </xf>
    <xf numFmtId="165" fontId="2" fillId="2" borderId="29" xfId="0" applyNumberFormat="1" applyFont="1" applyFill="1" applyBorder="1" applyAlignment="1">
      <alignment horizontal="center" vertical="center" wrapText="1"/>
    </xf>
    <xf numFmtId="0" fontId="5" fillId="0" borderId="39" xfId="0" applyFont="1" applyBorder="1" applyAlignment="1">
      <alignment vertical="center" textRotation="255"/>
    </xf>
    <xf numFmtId="0" fontId="5" fillId="0" borderId="0" xfId="0" applyFont="1" applyBorder="1" applyAlignment="1">
      <alignment vertical="center" textRotation="255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1" fontId="10" fillId="6" borderId="7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" fontId="10" fillId="6" borderId="2" xfId="0" applyNumberFormat="1" applyFont="1" applyFill="1" applyBorder="1" applyAlignment="1">
      <alignment horizontal="center" vertical="center"/>
    </xf>
    <xf numFmtId="1" fontId="10" fillId="6" borderId="3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Fill="1"/>
    <xf numFmtId="0" fontId="12" fillId="3" borderId="40" xfId="0" applyFont="1" applyFill="1" applyBorder="1" applyAlignment="1">
      <alignment horizontal="left" vertical="center" indent="1"/>
    </xf>
    <xf numFmtId="10" fontId="12" fillId="3" borderId="40" xfId="1" applyNumberFormat="1" applyFont="1" applyFill="1" applyBorder="1" applyAlignment="1">
      <alignment horizontal="right" indent="1"/>
    </xf>
    <xf numFmtId="164" fontId="12" fillId="3" borderId="40" xfId="0" applyNumberFormat="1" applyFont="1" applyFill="1" applyBorder="1" applyAlignment="1">
      <alignment vertical="center" wrapText="1"/>
    </xf>
    <xf numFmtId="164" fontId="12" fillId="3" borderId="43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indent="1"/>
    </xf>
    <xf numFmtId="10" fontId="12" fillId="3" borderId="1" xfId="1" applyNumberFormat="1" applyFont="1" applyFill="1" applyBorder="1" applyAlignment="1">
      <alignment horizontal="right" indent="1"/>
    </xf>
    <xf numFmtId="164" fontId="12" fillId="3" borderId="1" xfId="0" applyNumberFormat="1" applyFont="1" applyFill="1" applyBorder="1" applyAlignment="1">
      <alignment vertical="center" wrapText="1"/>
    </xf>
    <xf numFmtId="164" fontId="12" fillId="3" borderId="6" xfId="0" applyNumberFormat="1" applyFont="1" applyFill="1" applyBorder="1" applyAlignment="1">
      <alignment vertical="center" wrapText="1"/>
    </xf>
    <xf numFmtId="0" fontId="12" fillId="3" borderId="41" xfId="0" applyFont="1" applyFill="1" applyBorder="1" applyAlignment="1">
      <alignment horizontal="left" vertical="center" indent="1"/>
    </xf>
    <xf numFmtId="10" fontId="12" fillId="3" borderId="41" xfId="1" applyNumberFormat="1" applyFont="1" applyFill="1" applyBorder="1" applyAlignment="1">
      <alignment horizontal="right" indent="1"/>
    </xf>
    <xf numFmtId="164" fontId="12" fillId="3" borderId="41" xfId="0" applyNumberFormat="1" applyFont="1" applyFill="1" applyBorder="1" applyAlignment="1">
      <alignment vertical="center" wrapText="1"/>
    </xf>
    <xf numFmtId="164" fontId="12" fillId="3" borderId="45" xfId="0" applyNumberFormat="1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left" vertical="center" indent="1"/>
    </xf>
    <xf numFmtId="10" fontId="12" fillId="4" borderId="4" xfId="1" applyNumberFormat="1" applyFont="1" applyFill="1" applyBorder="1" applyAlignment="1">
      <alignment horizontal="right" indent="1"/>
    </xf>
    <xf numFmtId="164" fontId="12" fillId="4" borderId="4" xfId="0" applyNumberFormat="1" applyFont="1" applyFill="1" applyBorder="1" applyAlignment="1">
      <alignment vertical="center" wrapText="1"/>
    </xf>
    <xf numFmtId="164" fontId="12" fillId="4" borderId="5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indent="1"/>
    </xf>
    <xf numFmtId="10" fontId="12" fillId="4" borderId="1" xfId="1" applyNumberFormat="1" applyFont="1" applyFill="1" applyBorder="1" applyAlignment="1">
      <alignment horizontal="right" indent="1"/>
    </xf>
    <xf numFmtId="164" fontId="12" fillId="4" borderId="1" xfId="0" applyNumberFormat="1" applyFont="1" applyFill="1" applyBorder="1" applyAlignment="1">
      <alignment vertical="center" wrapText="1"/>
    </xf>
    <xf numFmtId="164" fontId="12" fillId="4" borderId="6" xfId="0" applyNumberFormat="1" applyFont="1" applyFill="1" applyBorder="1" applyAlignment="1">
      <alignment vertical="center" wrapText="1"/>
    </xf>
    <xf numFmtId="0" fontId="12" fillId="4" borderId="8" xfId="0" applyFont="1" applyFill="1" applyBorder="1" applyAlignment="1">
      <alignment horizontal="left" vertical="center" indent="1"/>
    </xf>
    <xf numFmtId="10" fontId="12" fillId="4" borderId="8" xfId="1" applyNumberFormat="1" applyFont="1" applyFill="1" applyBorder="1" applyAlignment="1">
      <alignment horizontal="right" indent="1"/>
    </xf>
    <xf numFmtId="164" fontId="12" fillId="4" borderId="8" xfId="0" applyNumberFormat="1" applyFont="1" applyFill="1" applyBorder="1" applyAlignment="1">
      <alignment vertical="center" wrapText="1"/>
    </xf>
    <xf numFmtId="164" fontId="12" fillId="4" borderId="9" xfId="0" applyNumberFormat="1" applyFont="1" applyFill="1" applyBorder="1" applyAlignment="1">
      <alignment vertical="center" wrapText="1"/>
    </xf>
    <xf numFmtId="0" fontId="12" fillId="3" borderId="40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2" fillId="3" borderId="41" xfId="0" applyFont="1" applyFill="1" applyBorder="1" applyAlignment="1">
      <alignment horizontal="left" vertical="center" wrapText="1" indent="1"/>
    </xf>
    <xf numFmtId="0" fontId="12" fillId="4" borderId="4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2" fillId="4" borderId="8" xfId="0" applyFont="1" applyFill="1" applyBorder="1" applyAlignment="1">
      <alignment horizontal="left" vertical="center" wrapText="1" indent="1"/>
    </xf>
    <xf numFmtId="0" fontId="12" fillId="4" borderId="41" xfId="0" applyFont="1" applyFill="1" applyBorder="1" applyAlignment="1">
      <alignment horizontal="left" vertical="center" wrapText="1" indent="1"/>
    </xf>
    <xf numFmtId="10" fontId="12" fillId="4" borderId="41" xfId="1" applyNumberFormat="1" applyFont="1" applyFill="1" applyBorder="1" applyAlignment="1">
      <alignment horizontal="right" indent="1"/>
    </xf>
    <xf numFmtId="164" fontId="12" fillId="4" borderId="41" xfId="0" applyNumberFormat="1" applyFont="1" applyFill="1" applyBorder="1" applyAlignment="1">
      <alignment vertical="center" wrapText="1"/>
    </xf>
    <xf numFmtId="164" fontId="12" fillId="4" borderId="45" xfId="0" applyNumberFormat="1" applyFont="1" applyFill="1" applyBorder="1" applyAlignment="1">
      <alignment vertical="center" wrapText="1"/>
    </xf>
    <xf numFmtId="0" fontId="12" fillId="3" borderId="4" xfId="0" applyFont="1" applyFill="1" applyBorder="1" applyAlignment="1">
      <alignment horizontal="left" vertical="center" wrapText="1" indent="1"/>
    </xf>
    <xf numFmtId="10" fontId="12" fillId="3" borderId="4" xfId="1" applyNumberFormat="1" applyFont="1" applyFill="1" applyBorder="1" applyAlignment="1">
      <alignment horizontal="right" indent="1"/>
    </xf>
    <xf numFmtId="164" fontId="12" fillId="3" borderId="4" xfId="0" applyNumberFormat="1" applyFont="1" applyFill="1" applyBorder="1" applyAlignment="1">
      <alignment vertical="center" wrapText="1"/>
    </xf>
    <xf numFmtId="164" fontId="12" fillId="3" borderId="5" xfId="0" applyNumberFormat="1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left" vertical="center" wrapText="1" indent="1"/>
    </xf>
    <xf numFmtId="10" fontId="12" fillId="3" borderId="8" xfId="1" applyNumberFormat="1" applyFont="1" applyFill="1" applyBorder="1" applyAlignment="1">
      <alignment horizontal="right" indent="1"/>
    </xf>
    <xf numFmtId="164" fontId="12" fillId="3" borderId="8" xfId="0" applyNumberFormat="1" applyFont="1" applyFill="1" applyBorder="1" applyAlignment="1">
      <alignment vertical="center" wrapText="1"/>
    </xf>
    <xf numFmtId="164" fontId="12" fillId="3" borderId="9" xfId="0" applyNumberFormat="1" applyFont="1" applyFill="1" applyBorder="1" applyAlignment="1">
      <alignment vertical="center" wrapText="1"/>
    </xf>
    <xf numFmtId="0" fontId="12" fillId="4" borderId="40" xfId="0" applyFont="1" applyFill="1" applyBorder="1" applyAlignment="1">
      <alignment horizontal="left" vertical="center" wrapText="1" indent="1"/>
    </xf>
    <xf numFmtId="10" fontId="12" fillId="4" borderId="40" xfId="1" applyNumberFormat="1" applyFont="1" applyFill="1" applyBorder="1" applyAlignment="1">
      <alignment horizontal="right" indent="1"/>
    </xf>
    <xf numFmtId="164" fontId="12" fillId="4" borderId="40" xfId="0" applyNumberFormat="1" applyFont="1" applyFill="1" applyBorder="1" applyAlignment="1">
      <alignment vertical="center" wrapText="1"/>
    </xf>
    <xf numFmtId="164" fontId="12" fillId="4" borderId="43" xfId="0" applyNumberFormat="1" applyFont="1" applyFill="1" applyBorder="1" applyAlignment="1">
      <alignment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0" fontId="13" fillId="0" borderId="0" xfId="0" applyFont="1"/>
    <xf numFmtId="1" fontId="14" fillId="8" borderId="49" xfId="0" applyNumberFormat="1" applyFont="1" applyFill="1" applyBorder="1" applyAlignment="1">
      <alignment horizontal="center" vertical="center" wrapText="1"/>
    </xf>
    <xf numFmtId="0" fontId="14" fillId="8" borderId="52" xfId="0" applyFont="1" applyFill="1" applyBorder="1" applyAlignment="1">
      <alignment horizontal="center" vertical="center"/>
    </xf>
    <xf numFmtId="0" fontId="14" fillId="8" borderId="52" xfId="0" applyFont="1" applyFill="1" applyBorder="1" applyAlignment="1">
      <alignment horizontal="center" vertical="center" wrapText="1"/>
    </xf>
    <xf numFmtId="1" fontId="14" fillId="8" borderId="52" xfId="0" applyNumberFormat="1" applyFont="1" applyFill="1" applyBorder="1" applyAlignment="1">
      <alignment horizontal="center" vertical="center" wrapText="1"/>
    </xf>
    <xf numFmtId="1" fontId="14" fillId="8" borderId="52" xfId="0" applyNumberFormat="1" applyFont="1" applyFill="1" applyBorder="1" applyAlignment="1">
      <alignment horizontal="center" vertical="center"/>
    </xf>
    <xf numFmtId="1" fontId="14" fillId="8" borderId="53" xfId="0" applyNumberFormat="1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left" vertical="center" indent="1"/>
    </xf>
    <xf numFmtId="10" fontId="12" fillId="7" borderId="55" xfId="1" applyNumberFormat="1" applyFont="1" applyFill="1" applyBorder="1" applyAlignment="1">
      <alignment horizontal="right" indent="1"/>
    </xf>
    <xf numFmtId="2" fontId="12" fillId="7" borderId="55" xfId="0" applyNumberFormat="1" applyFont="1" applyFill="1" applyBorder="1" applyAlignment="1">
      <alignment horizontal="right" vertical="center" wrapText="1" indent="1"/>
    </xf>
    <xf numFmtId="0" fontId="12" fillId="7" borderId="56" xfId="0" applyFont="1" applyFill="1" applyBorder="1" applyAlignment="1">
      <alignment horizontal="left" vertical="center" indent="1"/>
    </xf>
    <xf numFmtId="10" fontId="12" fillId="7" borderId="56" xfId="1" applyNumberFormat="1" applyFont="1" applyFill="1" applyBorder="1" applyAlignment="1">
      <alignment horizontal="right" indent="1"/>
    </xf>
    <xf numFmtId="2" fontId="12" fillId="7" borderId="56" xfId="0" applyNumberFormat="1" applyFont="1" applyFill="1" applyBorder="1" applyAlignment="1">
      <alignment horizontal="right" vertical="center" wrapText="1" indent="1"/>
    </xf>
    <xf numFmtId="0" fontId="12" fillId="7" borderId="57" xfId="0" applyFont="1" applyFill="1" applyBorder="1" applyAlignment="1">
      <alignment horizontal="left" vertical="center" indent="1"/>
    </xf>
    <xf numFmtId="10" fontId="12" fillId="7" borderId="57" xfId="1" applyNumberFormat="1" applyFont="1" applyFill="1" applyBorder="1" applyAlignment="1">
      <alignment horizontal="right" indent="1"/>
    </xf>
    <xf numFmtId="2" fontId="12" fillId="7" borderId="57" xfId="0" applyNumberFormat="1" applyFont="1" applyFill="1" applyBorder="1" applyAlignment="1">
      <alignment horizontal="right" vertical="center" wrapText="1" indent="1"/>
    </xf>
    <xf numFmtId="1" fontId="12" fillId="7" borderId="57" xfId="0" applyNumberFormat="1" applyFont="1" applyFill="1" applyBorder="1" applyAlignment="1">
      <alignment horizontal="right" vertical="center" wrapText="1" indent="1"/>
    </xf>
    <xf numFmtId="1" fontId="12" fillId="7" borderId="55" xfId="0" applyNumberFormat="1" applyFont="1" applyFill="1" applyBorder="1" applyAlignment="1">
      <alignment horizontal="right" vertical="center" wrapText="1" indent="1"/>
    </xf>
    <xf numFmtId="0" fontId="12" fillId="7" borderId="61" xfId="0" applyFont="1" applyFill="1" applyBorder="1" applyAlignment="1">
      <alignment horizontal="left" vertical="center" indent="1"/>
    </xf>
    <xf numFmtId="10" fontId="12" fillId="7" borderId="61" xfId="1" applyNumberFormat="1" applyFont="1" applyFill="1" applyBorder="1" applyAlignment="1">
      <alignment horizontal="right" indent="1"/>
    </xf>
    <xf numFmtId="2" fontId="12" fillId="7" borderId="61" xfId="0" applyNumberFormat="1" applyFont="1" applyFill="1" applyBorder="1" applyAlignment="1">
      <alignment horizontal="right" vertical="center" wrapText="1" indent="1"/>
    </xf>
    <xf numFmtId="2" fontId="12" fillId="7" borderId="62" xfId="0" applyNumberFormat="1" applyFont="1" applyFill="1" applyBorder="1" applyAlignment="1">
      <alignment horizontal="right" vertical="center" wrapText="1" indent="1"/>
    </xf>
    <xf numFmtId="2" fontId="12" fillId="7" borderId="64" xfId="0" applyNumberFormat="1" applyFont="1" applyFill="1" applyBorder="1" applyAlignment="1">
      <alignment horizontal="right" vertical="center" wrapText="1" indent="1"/>
    </xf>
    <xf numFmtId="2" fontId="12" fillId="7" borderId="66" xfId="0" applyNumberFormat="1" applyFont="1" applyFill="1" applyBorder="1" applyAlignment="1">
      <alignment horizontal="right" vertical="center" wrapText="1" indent="1"/>
    </xf>
    <xf numFmtId="2" fontId="12" fillId="7" borderId="68" xfId="0" applyNumberFormat="1" applyFont="1" applyFill="1" applyBorder="1" applyAlignment="1">
      <alignment horizontal="right" vertical="center" wrapText="1" indent="1"/>
    </xf>
    <xf numFmtId="1" fontId="12" fillId="7" borderId="68" xfId="0" applyNumberFormat="1" applyFont="1" applyFill="1" applyBorder="1" applyAlignment="1">
      <alignment horizontal="right" vertical="center" wrapText="1" indent="1"/>
    </xf>
    <xf numFmtId="1" fontId="12" fillId="7" borderId="64" xfId="0" applyNumberFormat="1" applyFont="1" applyFill="1" applyBorder="1" applyAlignment="1">
      <alignment horizontal="right" vertical="center" wrapText="1" indent="1"/>
    </xf>
    <xf numFmtId="0" fontId="12" fillId="7" borderId="70" xfId="0" applyFont="1" applyFill="1" applyBorder="1" applyAlignment="1">
      <alignment horizontal="left" vertical="center" indent="1"/>
    </xf>
    <xf numFmtId="10" fontId="12" fillId="7" borderId="70" xfId="1" applyNumberFormat="1" applyFont="1" applyFill="1" applyBorder="1" applyAlignment="1">
      <alignment horizontal="right" indent="1"/>
    </xf>
    <xf numFmtId="1" fontId="12" fillId="7" borderId="70" xfId="0" applyNumberFormat="1" applyFont="1" applyFill="1" applyBorder="1" applyAlignment="1">
      <alignment horizontal="right" vertical="center" wrapText="1" indent="1"/>
    </xf>
    <xf numFmtId="1" fontId="12" fillId="7" borderId="71" xfId="0" applyNumberFormat="1" applyFont="1" applyFill="1" applyBorder="1" applyAlignment="1">
      <alignment horizontal="right" vertical="center" wrapText="1" indent="1"/>
    </xf>
    <xf numFmtId="0" fontId="12" fillId="5" borderId="61" xfId="0" applyFont="1" applyFill="1" applyBorder="1" applyAlignment="1">
      <alignment horizontal="left" vertical="center" indent="1"/>
    </xf>
    <xf numFmtId="10" fontId="12" fillId="5" borderId="61" xfId="1" applyNumberFormat="1" applyFont="1" applyFill="1" applyBorder="1" applyAlignment="1">
      <alignment horizontal="right" indent="1"/>
    </xf>
    <xf numFmtId="2" fontId="12" fillId="5" borderId="61" xfId="0" applyNumberFormat="1" applyFont="1" applyFill="1" applyBorder="1" applyAlignment="1">
      <alignment horizontal="right" vertical="center" wrapText="1" indent="1"/>
    </xf>
    <xf numFmtId="2" fontId="12" fillId="5" borderId="62" xfId="0" applyNumberFormat="1" applyFont="1" applyFill="1" applyBorder="1" applyAlignment="1">
      <alignment horizontal="right" vertical="center" wrapText="1" indent="1"/>
    </xf>
    <xf numFmtId="0" fontId="12" fillId="5" borderId="55" xfId="0" applyFont="1" applyFill="1" applyBorder="1" applyAlignment="1">
      <alignment horizontal="left" vertical="center" indent="1"/>
    </xf>
    <xf numFmtId="10" fontId="12" fillId="5" borderId="55" xfId="1" applyNumberFormat="1" applyFont="1" applyFill="1" applyBorder="1" applyAlignment="1">
      <alignment horizontal="right" indent="1"/>
    </xf>
    <xf numFmtId="2" fontId="12" fillId="5" borderId="55" xfId="0" applyNumberFormat="1" applyFont="1" applyFill="1" applyBorder="1" applyAlignment="1">
      <alignment horizontal="right" vertical="center" wrapText="1" indent="1"/>
    </xf>
    <xf numFmtId="2" fontId="12" fillId="5" borderId="64" xfId="0" applyNumberFormat="1" applyFont="1" applyFill="1" applyBorder="1" applyAlignment="1">
      <alignment horizontal="right" vertical="center" wrapText="1" indent="1"/>
    </xf>
    <xf numFmtId="0" fontId="12" fillId="5" borderId="56" xfId="0" applyFont="1" applyFill="1" applyBorder="1" applyAlignment="1">
      <alignment horizontal="left" vertical="center" indent="1"/>
    </xf>
    <xf numFmtId="10" fontId="12" fillId="5" borderId="56" xfId="1" applyNumberFormat="1" applyFont="1" applyFill="1" applyBorder="1" applyAlignment="1">
      <alignment horizontal="right" indent="1"/>
    </xf>
    <xf numFmtId="2" fontId="12" fillId="5" borderId="56" xfId="0" applyNumberFormat="1" applyFont="1" applyFill="1" applyBorder="1" applyAlignment="1">
      <alignment horizontal="right" vertical="center" wrapText="1" indent="1"/>
    </xf>
    <xf numFmtId="2" fontId="12" fillId="5" borderId="66" xfId="0" applyNumberFormat="1" applyFont="1" applyFill="1" applyBorder="1" applyAlignment="1">
      <alignment horizontal="right" vertical="center" wrapText="1" indent="1"/>
    </xf>
    <xf numFmtId="0" fontId="12" fillId="5" borderId="57" xfId="0" applyFont="1" applyFill="1" applyBorder="1" applyAlignment="1">
      <alignment horizontal="left" vertical="center" indent="1"/>
    </xf>
    <xf numFmtId="10" fontId="12" fillId="5" borderId="57" xfId="1" applyNumberFormat="1" applyFont="1" applyFill="1" applyBorder="1" applyAlignment="1">
      <alignment horizontal="right" indent="1"/>
    </xf>
    <xf numFmtId="2" fontId="12" fillId="5" borderId="57" xfId="0" applyNumberFormat="1" applyFont="1" applyFill="1" applyBorder="1" applyAlignment="1">
      <alignment horizontal="right" vertical="center" wrapText="1" indent="1"/>
    </xf>
    <xf numFmtId="2" fontId="12" fillId="5" borderId="68" xfId="0" applyNumberFormat="1" applyFont="1" applyFill="1" applyBorder="1" applyAlignment="1">
      <alignment horizontal="right" vertical="center" wrapText="1" indent="1"/>
    </xf>
    <xf numFmtId="1" fontId="12" fillId="5" borderId="57" xfId="0" applyNumberFormat="1" applyFont="1" applyFill="1" applyBorder="1" applyAlignment="1">
      <alignment horizontal="right" vertical="center" wrapText="1" indent="1"/>
    </xf>
    <xf numFmtId="1" fontId="12" fillId="5" borderId="68" xfId="0" applyNumberFormat="1" applyFont="1" applyFill="1" applyBorder="1" applyAlignment="1">
      <alignment horizontal="right" vertical="center" wrapText="1" indent="1"/>
    </xf>
    <xf numFmtId="1" fontId="12" fillId="5" borderId="55" xfId="0" applyNumberFormat="1" applyFont="1" applyFill="1" applyBorder="1" applyAlignment="1">
      <alignment horizontal="right" vertical="center" wrapText="1" indent="1"/>
    </xf>
    <xf numFmtId="1" fontId="12" fillId="5" borderId="64" xfId="0" applyNumberFormat="1" applyFont="1" applyFill="1" applyBorder="1" applyAlignment="1">
      <alignment horizontal="right" vertical="center" wrapText="1" indent="1"/>
    </xf>
    <xf numFmtId="0" fontId="12" fillId="5" borderId="73" xfId="0" applyFont="1" applyFill="1" applyBorder="1" applyAlignment="1">
      <alignment horizontal="left" vertical="center" indent="1"/>
    </xf>
    <xf numFmtId="10" fontId="12" fillId="5" borderId="73" xfId="1" applyNumberFormat="1" applyFont="1" applyFill="1" applyBorder="1" applyAlignment="1">
      <alignment horizontal="right" indent="1"/>
    </xf>
    <xf numFmtId="1" fontId="12" fillId="5" borderId="73" xfId="0" applyNumberFormat="1" applyFont="1" applyFill="1" applyBorder="1" applyAlignment="1">
      <alignment horizontal="right" vertical="center" wrapText="1" indent="1"/>
    </xf>
    <xf numFmtId="1" fontId="12" fillId="5" borderId="74" xfId="0" applyNumberFormat="1" applyFont="1" applyFill="1" applyBorder="1" applyAlignment="1">
      <alignment horizontal="right" vertical="center" wrapText="1" indent="1"/>
    </xf>
    <xf numFmtId="0" fontId="12" fillId="7" borderId="76" xfId="0" applyFont="1" applyFill="1" applyBorder="1" applyAlignment="1">
      <alignment horizontal="left" vertical="center" indent="1"/>
    </xf>
    <xf numFmtId="10" fontId="12" fillId="7" borderId="76" xfId="1" applyNumberFormat="1" applyFont="1" applyFill="1" applyBorder="1" applyAlignment="1">
      <alignment horizontal="right" indent="1"/>
    </xf>
    <xf numFmtId="2" fontId="12" fillId="7" borderId="76" xfId="0" applyNumberFormat="1" applyFont="1" applyFill="1" applyBorder="1" applyAlignment="1">
      <alignment horizontal="right" vertical="center" wrapText="1" indent="1"/>
    </xf>
    <xf numFmtId="2" fontId="12" fillId="7" borderId="77" xfId="0" applyNumberFormat="1" applyFont="1" applyFill="1" applyBorder="1" applyAlignment="1">
      <alignment horizontal="right" vertical="center" wrapText="1" indent="1"/>
    </xf>
    <xf numFmtId="0" fontId="3" fillId="2" borderId="2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" fontId="2" fillId="2" borderId="78" xfId="0" applyNumberFormat="1" applyFont="1" applyFill="1" applyBorder="1" applyAlignment="1">
      <alignment horizontal="center" vertical="center" wrapText="1"/>
    </xf>
    <xf numFmtId="165" fontId="2" fillId="2" borderId="79" xfId="0" applyNumberFormat="1" applyFont="1" applyFill="1" applyBorder="1" applyAlignment="1">
      <alignment horizontal="center" vertical="center" wrapText="1"/>
    </xf>
    <xf numFmtId="165" fontId="2" fillId="2" borderId="80" xfId="0" applyNumberFormat="1" applyFont="1" applyFill="1" applyBorder="1" applyAlignment="1">
      <alignment horizontal="center" vertical="center" wrapText="1"/>
    </xf>
    <xf numFmtId="1" fontId="2" fillId="2" borderId="81" xfId="0" applyNumberFormat="1" applyFont="1" applyFill="1" applyBorder="1" applyAlignment="1">
      <alignment horizontal="center" vertical="center" wrapText="1"/>
    </xf>
    <xf numFmtId="1" fontId="2" fillId="2" borderId="79" xfId="0" applyNumberFormat="1" applyFont="1" applyFill="1" applyBorder="1" applyAlignment="1">
      <alignment horizontal="center" vertical="center" wrapText="1"/>
    </xf>
    <xf numFmtId="165" fontId="2" fillId="2" borderId="82" xfId="0" applyNumberFormat="1" applyFont="1" applyFill="1" applyBorder="1" applyAlignment="1">
      <alignment horizontal="center" vertical="center" wrapText="1"/>
    </xf>
    <xf numFmtId="0" fontId="12" fillId="5" borderId="70" xfId="0" applyFont="1" applyFill="1" applyBorder="1" applyAlignment="1">
      <alignment horizontal="left" vertical="center" indent="1"/>
    </xf>
    <xf numFmtId="10" fontId="12" fillId="5" borderId="70" xfId="1" applyNumberFormat="1" applyFont="1" applyFill="1" applyBorder="1" applyAlignment="1">
      <alignment horizontal="right" indent="1"/>
    </xf>
    <xf numFmtId="1" fontId="12" fillId="5" borderId="70" xfId="0" applyNumberFormat="1" applyFont="1" applyFill="1" applyBorder="1" applyAlignment="1">
      <alignment horizontal="right" vertical="center" wrapText="1" indent="1"/>
    </xf>
    <xf numFmtId="1" fontId="12" fillId="5" borderId="71" xfId="0" applyNumberFormat="1" applyFont="1" applyFill="1" applyBorder="1" applyAlignment="1">
      <alignment horizontal="right" vertical="center" wrapText="1" indent="1"/>
    </xf>
    <xf numFmtId="0" fontId="12" fillId="5" borderId="76" xfId="0" applyFont="1" applyFill="1" applyBorder="1" applyAlignment="1">
      <alignment horizontal="left" vertical="center" indent="1"/>
    </xf>
    <xf numFmtId="10" fontId="12" fillId="5" borderId="76" xfId="1" applyNumberFormat="1" applyFont="1" applyFill="1" applyBorder="1" applyAlignment="1">
      <alignment horizontal="right" indent="1"/>
    </xf>
    <xf numFmtId="2" fontId="12" fillId="5" borderId="76" xfId="0" applyNumberFormat="1" applyFont="1" applyFill="1" applyBorder="1" applyAlignment="1">
      <alignment horizontal="right" vertical="center" wrapText="1" indent="1"/>
    </xf>
    <xf numFmtId="2" fontId="12" fillId="5" borderId="77" xfId="0" applyNumberFormat="1" applyFont="1" applyFill="1" applyBorder="1" applyAlignment="1">
      <alignment horizontal="right" vertical="center" wrapText="1" indent="1"/>
    </xf>
    <xf numFmtId="0" fontId="12" fillId="7" borderId="83" xfId="0" applyFont="1" applyFill="1" applyBorder="1" applyAlignment="1">
      <alignment horizontal="left" vertical="center" indent="1"/>
    </xf>
    <xf numFmtId="0" fontId="12" fillId="7" borderId="84" xfId="0" applyFont="1" applyFill="1" applyBorder="1" applyAlignment="1">
      <alignment horizontal="left" vertical="center" indent="1"/>
    </xf>
    <xf numFmtId="0" fontId="12" fillId="7" borderId="85" xfId="0" applyFont="1" applyFill="1" applyBorder="1" applyAlignment="1">
      <alignment horizontal="left" vertical="center" indent="1"/>
    </xf>
    <xf numFmtId="10" fontId="12" fillId="7" borderId="73" xfId="1" applyNumberFormat="1" applyFont="1" applyFill="1" applyBorder="1" applyAlignment="1">
      <alignment horizontal="right" indent="1"/>
    </xf>
    <xf numFmtId="1" fontId="12" fillId="7" borderId="73" xfId="0" applyNumberFormat="1" applyFont="1" applyFill="1" applyBorder="1" applyAlignment="1">
      <alignment horizontal="right" vertical="center" wrapText="1" indent="1"/>
    </xf>
    <xf numFmtId="1" fontId="12" fillId="7" borderId="74" xfId="0" applyNumberFormat="1" applyFont="1" applyFill="1" applyBorder="1" applyAlignment="1">
      <alignment horizontal="right" vertical="center" wrapText="1" indent="1"/>
    </xf>
    <xf numFmtId="0" fontId="12" fillId="7" borderId="86" xfId="0" applyFont="1" applyFill="1" applyBorder="1" applyAlignment="1">
      <alignment horizontal="left" vertical="center" indent="1"/>
    </xf>
    <xf numFmtId="2" fontId="12" fillId="7" borderId="70" xfId="0" applyNumberFormat="1" applyFont="1" applyFill="1" applyBorder="1" applyAlignment="1">
      <alignment horizontal="right" vertical="center" wrapText="1" indent="1"/>
    </xf>
    <xf numFmtId="2" fontId="12" fillId="7" borderId="71" xfId="0" applyNumberFormat="1" applyFont="1" applyFill="1" applyBorder="1" applyAlignment="1">
      <alignment horizontal="right" vertical="center" wrapText="1" indent="1"/>
    </xf>
    <xf numFmtId="0" fontId="12" fillId="7" borderId="87" xfId="0" applyFont="1" applyFill="1" applyBorder="1" applyAlignment="1">
      <alignment horizontal="left" vertical="center" indent="1"/>
    </xf>
    <xf numFmtId="1" fontId="12" fillId="7" borderId="76" xfId="0" applyNumberFormat="1" applyFont="1" applyFill="1" applyBorder="1" applyAlignment="1">
      <alignment horizontal="right" vertical="center" wrapText="1" indent="1"/>
    </xf>
    <xf numFmtId="1" fontId="12" fillId="7" borderId="77" xfId="0" applyNumberFormat="1" applyFont="1" applyFill="1" applyBorder="1" applyAlignment="1">
      <alignment horizontal="right" vertical="center" wrapText="1" indent="1"/>
    </xf>
    <xf numFmtId="0" fontId="12" fillId="7" borderId="88" xfId="0" applyFont="1" applyFill="1" applyBorder="1" applyAlignment="1">
      <alignment horizontal="left" vertical="center" indent="1"/>
    </xf>
    <xf numFmtId="0" fontId="12" fillId="7" borderId="89" xfId="0" applyFont="1" applyFill="1" applyBorder="1" applyAlignment="1">
      <alignment horizontal="left" vertical="center" indent="1"/>
    </xf>
    <xf numFmtId="164" fontId="12" fillId="3" borderId="4" xfId="0" applyNumberFormat="1" applyFont="1" applyFill="1" applyBorder="1" applyAlignment="1">
      <alignment horizontal="right" vertical="center" wrapText="1" indent="1"/>
    </xf>
    <xf numFmtId="164" fontId="12" fillId="3" borderId="1" xfId="0" applyNumberFormat="1" applyFont="1" applyFill="1" applyBorder="1" applyAlignment="1">
      <alignment horizontal="right" vertical="center" wrapText="1" indent="1"/>
    </xf>
    <xf numFmtId="164" fontId="12" fillId="3" borderId="8" xfId="0" applyNumberFormat="1" applyFont="1" applyFill="1" applyBorder="1" applyAlignment="1">
      <alignment horizontal="right" vertical="center" wrapText="1" indent="1"/>
    </xf>
    <xf numFmtId="1" fontId="12" fillId="3" borderId="49" xfId="0" applyNumberFormat="1" applyFont="1" applyFill="1" applyBorder="1" applyAlignment="1">
      <alignment horizontal="center" vertical="center" wrapText="1"/>
    </xf>
    <xf numFmtId="1" fontId="12" fillId="3" borderId="50" xfId="0" applyNumberFormat="1" applyFont="1" applyFill="1" applyBorder="1" applyAlignment="1">
      <alignment horizontal="center" vertical="center" wrapText="1"/>
    </xf>
    <xf numFmtId="1" fontId="12" fillId="3" borderId="51" xfId="0" applyNumberFormat="1" applyFont="1" applyFill="1" applyBorder="1" applyAlignment="1">
      <alignment horizontal="center" vertical="center" wrapText="1"/>
    </xf>
    <xf numFmtId="1" fontId="12" fillId="4" borderId="49" xfId="0" applyNumberFormat="1" applyFont="1" applyFill="1" applyBorder="1" applyAlignment="1">
      <alignment horizontal="center" vertical="center" wrapText="1"/>
    </xf>
    <xf numFmtId="1" fontId="12" fillId="4" borderId="50" xfId="0" applyNumberFormat="1" applyFont="1" applyFill="1" applyBorder="1" applyAlignment="1">
      <alignment horizontal="center" vertical="center" wrapText="1"/>
    </xf>
    <xf numFmtId="1" fontId="12" fillId="4" borderId="51" xfId="0" applyNumberFormat="1" applyFont="1" applyFill="1" applyBorder="1" applyAlignment="1">
      <alignment horizontal="center" vertical="center" wrapText="1"/>
    </xf>
    <xf numFmtId="1" fontId="12" fillId="3" borderId="42" xfId="0" applyNumberFormat="1" applyFont="1" applyFill="1" applyBorder="1" applyAlignment="1">
      <alignment horizontal="center" vertical="center" wrapText="1"/>
    </xf>
    <xf numFmtId="1" fontId="12" fillId="4" borderId="44" xfId="0" applyNumberFormat="1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textRotation="255"/>
    </xf>
    <xf numFmtId="0" fontId="7" fillId="0" borderId="47" xfId="0" applyFont="1" applyBorder="1" applyAlignment="1">
      <alignment horizontal="center" vertical="center" textRotation="255"/>
    </xf>
    <xf numFmtId="0" fontId="7" fillId="0" borderId="48" xfId="0" applyFont="1" applyBorder="1" applyAlignment="1">
      <alignment horizontal="center" vertical="center" textRotation="255"/>
    </xf>
    <xf numFmtId="1" fontId="6" fillId="5" borderId="60" xfId="0" applyNumberFormat="1" applyFont="1" applyFill="1" applyBorder="1" applyAlignment="1">
      <alignment horizontal="center" vertical="center" wrapText="1"/>
    </xf>
    <xf numFmtId="1" fontId="6" fillId="5" borderId="63" xfId="0" applyNumberFormat="1" applyFont="1" applyFill="1" applyBorder="1" applyAlignment="1">
      <alignment horizontal="center" vertical="center" wrapText="1"/>
    </xf>
    <xf numFmtId="1" fontId="6" fillId="5" borderId="65" xfId="0" applyNumberFormat="1" applyFont="1" applyFill="1" applyBorder="1" applyAlignment="1">
      <alignment horizontal="center" vertical="center" wrapText="1"/>
    </xf>
    <xf numFmtId="1" fontId="6" fillId="5" borderId="67" xfId="0" applyNumberFormat="1" applyFont="1" applyFill="1" applyBorder="1" applyAlignment="1">
      <alignment horizontal="center" vertical="center" wrapText="1"/>
    </xf>
    <xf numFmtId="1" fontId="6" fillId="5" borderId="72" xfId="0" applyNumberFormat="1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textRotation="255"/>
    </xf>
    <xf numFmtId="0" fontId="7" fillId="0" borderId="58" xfId="0" applyFont="1" applyBorder="1" applyAlignment="1">
      <alignment horizontal="center" vertical="center" textRotation="255"/>
    </xf>
    <xf numFmtId="0" fontId="7" fillId="0" borderId="59" xfId="0" applyFont="1" applyBorder="1" applyAlignment="1">
      <alignment horizontal="center" vertical="center" textRotation="255"/>
    </xf>
    <xf numFmtId="1" fontId="6" fillId="7" borderId="75" xfId="0" applyNumberFormat="1" applyFont="1" applyFill="1" applyBorder="1" applyAlignment="1">
      <alignment horizontal="center" vertical="center" wrapText="1"/>
    </xf>
    <xf numFmtId="1" fontId="6" fillId="7" borderId="63" xfId="0" applyNumberFormat="1" applyFont="1" applyFill="1" applyBorder="1" applyAlignment="1">
      <alignment horizontal="center" vertical="center" wrapText="1"/>
    </xf>
    <xf numFmtId="1" fontId="6" fillId="7" borderId="65" xfId="0" applyNumberFormat="1" applyFont="1" applyFill="1" applyBorder="1" applyAlignment="1">
      <alignment horizontal="center" vertical="center" wrapText="1"/>
    </xf>
    <xf numFmtId="1" fontId="6" fillId="7" borderId="67" xfId="0" applyNumberFormat="1" applyFont="1" applyFill="1" applyBorder="1" applyAlignment="1">
      <alignment horizontal="center" vertical="center" wrapText="1"/>
    </xf>
    <xf numFmtId="1" fontId="6" fillId="7" borderId="69" xfId="0" applyNumberFormat="1" applyFont="1" applyFill="1" applyBorder="1" applyAlignment="1">
      <alignment horizontal="center" vertical="center" wrapText="1"/>
    </xf>
    <xf numFmtId="1" fontId="6" fillId="7" borderId="60" xfId="0" applyNumberFormat="1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255" wrapText="1"/>
    </xf>
    <xf numFmtId="0" fontId="7" fillId="0" borderId="32" xfId="0" applyFont="1" applyBorder="1" applyAlignment="1">
      <alignment horizontal="center" vertical="center" textRotation="255" wrapText="1"/>
    </xf>
    <xf numFmtId="0" fontId="7" fillId="0" borderId="34" xfId="0" applyFont="1" applyBorder="1" applyAlignment="1">
      <alignment horizontal="center" vertical="center" textRotation="255" wrapText="1"/>
    </xf>
    <xf numFmtId="1" fontId="6" fillId="5" borderId="69" xfId="0" applyNumberFormat="1" applyFont="1" applyFill="1" applyBorder="1" applyAlignment="1">
      <alignment horizontal="center" vertical="center" wrapText="1"/>
    </xf>
    <xf numFmtId="1" fontId="6" fillId="7" borderId="72" xfId="0" applyNumberFormat="1" applyFont="1" applyFill="1" applyBorder="1" applyAlignment="1">
      <alignment horizontal="center" vertical="center" wrapText="1"/>
    </xf>
    <xf numFmtId="1" fontId="6" fillId="5" borderId="75" xfId="0" applyNumberFormat="1" applyFont="1" applyFill="1" applyBorder="1" applyAlignment="1">
      <alignment horizontal="center" vertical="center" wrapText="1"/>
    </xf>
    <xf numFmtId="165" fontId="2" fillId="2" borderId="29" xfId="0" applyNumberFormat="1" applyFont="1" applyFill="1" applyBorder="1" applyAlignment="1">
      <alignment horizontal="center" vertical="center" wrapText="1"/>
    </xf>
    <xf numFmtId="165" fontId="2" fillId="2" borderId="27" xfId="0" applyNumberFormat="1" applyFont="1" applyFill="1" applyBorder="1" applyAlignment="1">
      <alignment horizontal="center" vertical="center" wrapText="1"/>
    </xf>
    <xf numFmtId="1" fontId="12" fillId="7" borderId="56" xfId="0" applyNumberFormat="1" applyFont="1" applyFill="1" applyBorder="1" applyAlignment="1">
      <alignment horizontal="right" vertical="center" wrapText="1" indent="1"/>
    </xf>
    <xf numFmtId="2" fontId="8" fillId="0" borderId="0" xfId="0" applyNumberFormat="1" applyFont="1"/>
    <xf numFmtId="1" fontId="12" fillId="7" borderId="66" xfId="0" applyNumberFormat="1" applyFont="1" applyFill="1" applyBorder="1" applyAlignment="1">
      <alignment horizontal="right" vertical="center" wrapText="1" inden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9BBB59"/>
      <color rgb="FF368A46"/>
      <color rgb="FFF8FF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Trans_dic_2012.accdb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centro" tableColumnId="2"/>
      <queryTableField id="3" name="municipio" tableColumnId="3"/>
      <queryTableField id="4" name="turno" tableColumnId="4"/>
      <queryTableField id="5" name="PSUV" tableColumnId="5"/>
      <queryTableField id="6" name="MUD" tableColumnId="6"/>
      <queryTableField id="7" name="Otro" tableColumnId="7"/>
      <queryTableField id="8" name="INDEPENDIENTE" tableColumnId="8"/>
      <queryTableField id="9" name="totalv" tableColumnId="9"/>
      <queryTableField id="10" name="usuari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Trans_dic_2012.accdb" displayName="Tabla_Trans_dic_2012.accdb" ref="B1:K4625" tableType="queryTable" totalsRowShown="0">
  <autoFilter ref="B1:K4625"/>
  <tableColumns count="10">
    <tableColumn id="1" uniqueName="1" name="Id" queryTableFieldId="1"/>
    <tableColumn id="2" uniqueName="2" name="centro" queryTableFieldId="2"/>
    <tableColumn id="3" uniqueName="3" name="municipio" queryTableFieldId="3"/>
    <tableColumn id="4" uniqueName="4" name="turno" queryTableFieldId="4"/>
    <tableColumn id="5" uniqueName="5" name="PSUV" queryTableFieldId="5"/>
    <tableColumn id="6" uniqueName="6" name="MUD" queryTableFieldId="6"/>
    <tableColumn id="7" uniqueName="7" name="Otro" queryTableFieldId="7"/>
    <tableColumn id="8" uniqueName="8" name="INDEPENDIENTE" queryTableFieldId="8"/>
    <tableColumn id="9" uniqueName="9" name="totalv" queryTableFieldId="9"/>
    <tableColumn id="10" uniqueName="10" name="usuario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4625"/>
  <sheetViews>
    <sheetView workbookViewId="0">
      <selection activeCell="I1" sqref="I1:I89"/>
    </sheetView>
  </sheetViews>
  <sheetFormatPr baseColWidth="10" defaultRowHeight="15" x14ac:dyDescent="0.25"/>
  <cols>
    <col min="2" max="2" width="5" customWidth="1"/>
    <col min="3" max="3" width="8.85546875" customWidth="1"/>
    <col min="4" max="4" width="12" customWidth="1"/>
    <col min="5" max="6" width="8" customWidth="1"/>
    <col min="7" max="7" width="7.7109375" customWidth="1"/>
    <col min="8" max="8" width="7.140625" customWidth="1"/>
    <col min="9" max="9" width="17.28515625" customWidth="1"/>
    <col min="10" max="10" width="8.28515625" customWidth="1"/>
    <col min="11" max="11" width="10" bestFit="1" customWidth="1"/>
  </cols>
  <sheetData>
    <row r="1" spans="2:11" x14ac:dyDescent="0.25">
      <c r="B1" t="s">
        <v>233</v>
      </c>
      <c r="C1" t="s">
        <v>238</v>
      </c>
      <c r="D1" t="s">
        <v>239</v>
      </c>
      <c r="E1" t="s">
        <v>235</v>
      </c>
      <c r="F1" t="s">
        <v>106</v>
      </c>
      <c r="G1" t="s">
        <v>107</v>
      </c>
      <c r="H1" t="s">
        <v>0</v>
      </c>
      <c r="I1" t="s">
        <v>234</v>
      </c>
      <c r="J1" t="s">
        <v>240</v>
      </c>
      <c r="K1" t="s">
        <v>236</v>
      </c>
    </row>
    <row r="2" spans="2:11" x14ac:dyDescent="0.25">
      <c r="B2">
        <v>2</v>
      </c>
      <c r="C2">
        <v>11</v>
      </c>
      <c r="D2">
        <v>3</v>
      </c>
      <c r="E2">
        <v>16</v>
      </c>
      <c r="F2">
        <v>2</v>
      </c>
      <c r="G2">
        <v>0</v>
      </c>
      <c r="H2">
        <v>0</v>
      </c>
      <c r="I2">
        <v>0</v>
      </c>
      <c r="J2">
        <v>2</v>
      </c>
      <c r="K2" t="s">
        <v>249</v>
      </c>
    </row>
    <row r="3" spans="2:11" x14ac:dyDescent="0.25">
      <c r="B3">
        <v>3</v>
      </c>
      <c r="C3">
        <v>9</v>
      </c>
      <c r="D3">
        <v>3</v>
      </c>
      <c r="E3">
        <v>15</v>
      </c>
      <c r="F3">
        <v>22</v>
      </c>
      <c r="G3">
        <v>8</v>
      </c>
      <c r="H3">
        <v>0</v>
      </c>
      <c r="I3">
        <v>0</v>
      </c>
      <c r="J3">
        <v>30</v>
      </c>
      <c r="K3" t="s">
        <v>242</v>
      </c>
    </row>
    <row r="4" spans="2:11" x14ac:dyDescent="0.25">
      <c r="B4">
        <v>4</v>
      </c>
      <c r="C4">
        <v>75</v>
      </c>
      <c r="D4">
        <v>37</v>
      </c>
      <c r="E4">
        <v>15</v>
      </c>
      <c r="F4">
        <v>4</v>
      </c>
      <c r="G4">
        <v>3</v>
      </c>
      <c r="H4">
        <v>3</v>
      </c>
      <c r="I4">
        <v>0</v>
      </c>
      <c r="J4">
        <v>10</v>
      </c>
      <c r="K4" t="s">
        <v>242</v>
      </c>
    </row>
    <row r="5" spans="2:11" x14ac:dyDescent="0.25">
      <c r="B5">
        <v>5</v>
      </c>
      <c r="C5">
        <v>272</v>
      </c>
      <c r="D5">
        <v>123</v>
      </c>
      <c r="E5">
        <v>1</v>
      </c>
      <c r="F5">
        <v>13</v>
      </c>
      <c r="G5">
        <v>17</v>
      </c>
      <c r="H5">
        <v>0</v>
      </c>
      <c r="I5">
        <v>0</v>
      </c>
      <c r="J5">
        <v>30</v>
      </c>
      <c r="K5" t="s">
        <v>242</v>
      </c>
    </row>
    <row r="6" spans="2:11" x14ac:dyDescent="0.25">
      <c r="B6">
        <v>6</v>
      </c>
      <c r="C6">
        <v>273</v>
      </c>
      <c r="D6">
        <v>124</v>
      </c>
      <c r="E6">
        <v>1</v>
      </c>
      <c r="F6">
        <v>19</v>
      </c>
      <c r="G6">
        <v>11</v>
      </c>
      <c r="H6">
        <v>0</v>
      </c>
      <c r="I6">
        <v>0</v>
      </c>
      <c r="J6">
        <v>30</v>
      </c>
      <c r="K6" t="s">
        <v>242</v>
      </c>
    </row>
    <row r="7" spans="2:11" x14ac:dyDescent="0.25">
      <c r="B7">
        <v>7</v>
      </c>
      <c r="C7">
        <v>255</v>
      </c>
      <c r="D7">
        <v>116</v>
      </c>
      <c r="E7">
        <v>1</v>
      </c>
      <c r="F7">
        <v>14</v>
      </c>
      <c r="G7">
        <v>2</v>
      </c>
      <c r="H7">
        <v>1</v>
      </c>
      <c r="I7">
        <v>0</v>
      </c>
      <c r="J7">
        <v>17</v>
      </c>
      <c r="K7" t="s">
        <v>242</v>
      </c>
    </row>
    <row r="8" spans="2:11" x14ac:dyDescent="0.25">
      <c r="B8">
        <v>14</v>
      </c>
      <c r="C8">
        <v>22</v>
      </c>
      <c r="D8">
        <v>10</v>
      </c>
      <c r="E8">
        <v>2</v>
      </c>
      <c r="F8">
        <v>4</v>
      </c>
      <c r="G8">
        <v>6</v>
      </c>
      <c r="H8">
        <v>0</v>
      </c>
      <c r="I8">
        <v>0</v>
      </c>
      <c r="J8">
        <v>10</v>
      </c>
      <c r="K8" t="s">
        <v>242</v>
      </c>
    </row>
    <row r="9" spans="2:11" x14ac:dyDescent="0.25">
      <c r="B9">
        <v>16</v>
      </c>
      <c r="C9">
        <v>3</v>
      </c>
      <c r="D9">
        <v>1</v>
      </c>
      <c r="E9">
        <v>2</v>
      </c>
      <c r="F9">
        <v>9</v>
      </c>
      <c r="G9">
        <v>9</v>
      </c>
      <c r="H9">
        <v>0</v>
      </c>
      <c r="I9">
        <v>0</v>
      </c>
      <c r="J9">
        <v>18</v>
      </c>
      <c r="K9" t="s">
        <v>242</v>
      </c>
    </row>
    <row r="10" spans="2:11" x14ac:dyDescent="0.25">
      <c r="B10">
        <v>17</v>
      </c>
      <c r="C10">
        <v>24</v>
      </c>
      <c r="D10">
        <v>12</v>
      </c>
      <c r="E10">
        <v>2</v>
      </c>
      <c r="F10">
        <v>20</v>
      </c>
      <c r="G10">
        <v>4</v>
      </c>
      <c r="H10">
        <v>1</v>
      </c>
      <c r="I10">
        <v>0</v>
      </c>
      <c r="J10">
        <v>25</v>
      </c>
      <c r="K10" t="s">
        <v>242</v>
      </c>
    </row>
    <row r="11" spans="2:11" x14ac:dyDescent="0.25">
      <c r="B11">
        <v>19</v>
      </c>
      <c r="C11">
        <v>26</v>
      </c>
      <c r="D11">
        <v>14</v>
      </c>
      <c r="E11">
        <v>2</v>
      </c>
      <c r="F11">
        <v>11</v>
      </c>
      <c r="G11">
        <v>8</v>
      </c>
      <c r="H11">
        <v>4</v>
      </c>
      <c r="I11">
        <v>0</v>
      </c>
      <c r="J11">
        <v>23</v>
      </c>
      <c r="K11" t="s">
        <v>242</v>
      </c>
    </row>
    <row r="12" spans="2:11" x14ac:dyDescent="0.25">
      <c r="B12">
        <v>20</v>
      </c>
      <c r="C12">
        <v>7</v>
      </c>
      <c r="D12">
        <v>2</v>
      </c>
      <c r="E12">
        <v>2</v>
      </c>
      <c r="F12">
        <v>15</v>
      </c>
      <c r="G12">
        <v>13</v>
      </c>
      <c r="H12">
        <v>0</v>
      </c>
      <c r="I12">
        <v>0</v>
      </c>
      <c r="J12">
        <v>28</v>
      </c>
      <c r="K12" t="s">
        <v>242</v>
      </c>
    </row>
    <row r="13" spans="2:11" x14ac:dyDescent="0.25">
      <c r="B13">
        <v>21</v>
      </c>
      <c r="C13">
        <v>129</v>
      </c>
      <c r="D13">
        <v>57</v>
      </c>
      <c r="E13">
        <v>2</v>
      </c>
      <c r="F13">
        <v>3</v>
      </c>
      <c r="G13">
        <v>16</v>
      </c>
      <c r="H13">
        <v>0</v>
      </c>
      <c r="I13">
        <v>0</v>
      </c>
      <c r="J13">
        <v>19</v>
      </c>
      <c r="K13" t="s">
        <v>242</v>
      </c>
    </row>
    <row r="14" spans="2:11" x14ac:dyDescent="0.25">
      <c r="B14">
        <v>24</v>
      </c>
      <c r="C14">
        <v>316</v>
      </c>
      <c r="D14">
        <v>146</v>
      </c>
      <c r="E14">
        <v>2</v>
      </c>
      <c r="F14">
        <v>1</v>
      </c>
      <c r="G14">
        <v>2</v>
      </c>
      <c r="H14">
        <v>0</v>
      </c>
      <c r="I14">
        <v>0</v>
      </c>
      <c r="J14">
        <v>3</v>
      </c>
      <c r="K14" t="s">
        <v>242</v>
      </c>
    </row>
    <row r="15" spans="2:11" x14ac:dyDescent="0.25">
      <c r="B15">
        <v>28</v>
      </c>
      <c r="C15">
        <v>318</v>
      </c>
      <c r="D15">
        <v>147</v>
      </c>
      <c r="E15">
        <v>2</v>
      </c>
      <c r="F15">
        <v>14</v>
      </c>
      <c r="G15">
        <v>16</v>
      </c>
      <c r="H15">
        <v>0</v>
      </c>
      <c r="I15">
        <v>0</v>
      </c>
      <c r="J15">
        <v>30</v>
      </c>
      <c r="K15" t="s">
        <v>242</v>
      </c>
    </row>
    <row r="16" spans="2:11" x14ac:dyDescent="0.25">
      <c r="B16">
        <v>29</v>
      </c>
      <c r="C16">
        <v>286</v>
      </c>
      <c r="D16">
        <v>133</v>
      </c>
      <c r="E16">
        <v>2</v>
      </c>
      <c r="F16">
        <v>9</v>
      </c>
      <c r="G16">
        <v>0</v>
      </c>
      <c r="H16">
        <v>0</v>
      </c>
      <c r="I16">
        <v>0</v>
      </c>
      <c r="J16">
        <v>9</v>
      </c>
      <c r="K16" t="s">
        <v>242</v>
      </c>
    </row>
    <row r="17" spans="2:11" x14ac:dyDescent="0.25">
      <c r="B17">
        <v>30</v>
      </c>
      <c r="C17">
        <v>19</v>
      </c>
      <c r="D17">
        <v>9</v>
      </c>
      <c r="E17">
        <v>1</v>
      </c>
      <c r="F17">
        <v>25</v>
      </c>
      <c r="G17">
        <v>5</v>
      </c>
      <c r="H17">
        <v>0</v>
      </c>
      <c r="I17">
        <v>0</v>
      </c>
      <c r="J17">
        <v>30</v>
      </c>
      <c r="K17" t="s">
        <v>248</v>
      </c>
    </row>
    <row r="18" spans="2:11" x14ac:dyDescent="0.25">
      <c r="B18">
        <v>31</v>
      </c>
      <c r="C18">
        <v>285</v>
      </c>
      <c r="D18">
        <v>132</v>
      </c>
      <c r="E18">
        <v>2</v>
      </c>
      <c r="F18">
        <v>20</v>
      </c>
      <c r="G18">
        <v>4</v>
      </c>
      <c r="H18">
        <v>2</v>
      </c>
      <c r="I18">
        <v>0</v>
      </c>
      <c r="J18">
        <v>26</v>
      </c>
      <c r="K18" t="s">
        <v>242</v>
      </c>
    </row>
    <row r="19" spans="2:11" x14ac:dyDescent="0.25">
      <c r="B19">
        <v>33</v>
      </c>
      <c r="C19">
        <v>92</v>
      </c>
      <c r="D19">
        <v>46</v>
      </c>
      <c r="E19">
        <v>1</v>
      </c>
      <c r="F19">
        <v>9</v>
      </c>
      <c r="G19">
        <v>7</v>
      </c>
      <c r="H19">
        <v>1</v>
      </c>
      <c r="I19">
        <v>0</v>
      </c>
      <c r="J19">
        <v>17</v>
      </c>
      <c r="K19" t="s">
        <v>244</v>
      </c>
    </row>
    <row r="20" spans="2:11" x14ac:dyDescent="0.25">
      <c r="B20">
        <v>34</v>
      </c>
      <c r="C20">
        <v>66</v>
      </c>
      <c r="D20">
        <v>35</v>
      </c>
      <c r="E20">
        <v>1</v>
      </c>
      <c r="F20">
        <v>3</v>
      </c>
      <c r="G20">
        <v>5</v>
      </c>
      <c r="H20">
        <v>2</v>
      </c>
      <c r="I20">
        <v>0</v>
      </c>
      <c r="J20">
        <v>10</v>
      </c>
      <c r="K20" t="s">
        <v>241</v>
      </c>
    </row>
    <row r="21" spans="2:11" x14ac:dyDescent="0.25">
      <c r="B21">
        <v>36</v>
      </c>
      <c r="C21">
        <v>268</v>
      </c>
      <c r="D21">
        <v>120</v>
      </c>
      <c r="E21">
        <v>1</v>
      </c>
      <c r="F21">
        <v>9</v>
      </c>
      <c r="G21">
        <v>8</v>
      </c>
      <c r="H21">
        <v>0</v>
      </c>
      <c r="I21">
        <v>0</v>
      </c>
      <c r="J21">
        <v>17</v>
      </c>
      <c r="K21" t="s">
        <v>247</v>
      </c>
    </row>
    <row r="22" spans="2:11" x14ac:dyDescent="0.25">
      <c r="B22">
        <v>37</v>
      </c>
      <c r="C22">
        <v>237</v>
      </c>
      <c r="D22">
        <v>104</v>
      </c>
      <c r="E22">
        <v>1</v>
      </c>
      <c r="F22">
        <v>5</v>
      </c>
      <c r="G22">
        <v>8</v>
      </c>
      <c r="H22">
        <v>0</v>
      </c>
      <c r="I22">
        <v>0</v>
      </c>
      <c r="J22">
        <v>13</v>
      </c>
      <c r="K22" t="s">
        <v>247</v>
      </c>
    </row>
    <row r="23" spans="2:11" x14ac:dyDescent="0.25">
      <c r="B23">
        <v>38</v>
      </c>
      <c r="C23">
        <v>236</v>
      </c>
      <c r="D23">
        <v>103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247</v>
      </c>
    </row>
    <row r="24" spans="2:11" x14ac:dyDescent="0.25">
      <c r="B24">
        <v>40</v>
      </c>
      <c r="C24">
        <v>78</v>
      </c>
      <c r="D24">
        <v>40</v>
      </c>
      <c r="E24">
        <v>1</v>
      </c>
      <c r="F24">
        <v>3</v>
      </c>
      <c r="G24">
        <v>2</v>
      </c>
      <c r="H24">
        <v>0</v>
      </c>
      <c r="I24">
        <v>0</v>
      </c>
      <c r="J24">
        <v>5</v>
      </c>
      <c r="K24" t="s">
        <v>241</v>
      </c>
    </row>
    <row r="25" spans="2:11" x14ac:dyDescent="0.25">
      <c r="B25">
        <v>41</v>
      </c>
      <c r="C25">
        <v>133</v>
      </c>
      <c r="D25">
        <v>60</v>
      </c>
      <c r="E25">
        <v>1</v>
      </c>
      <c r="F25">
        <v>10</v>
      </c>
      <c r="G25">
        <v>3</v>
      </c>
      <c r="H25">
        <v>0</v>
      </c>
      <c r="I25">
        <v>0</v>
      </c>
      <c r="J25">
        <v>13</v>
      </c>
      <c r="K25" t="s">
        <v>248</v>
      </c>
    </row>
    <row r="26" spans="2:11" x14ac:dyDescent="0.25">
      <c r="B26">
        <v>42</v>
      </c>
      <c r="C26">
        <v>65</v>
      </c>
      <c r="D26">
        <v>35</v>
      </c>
      <c r="E26">
        <v>1</v>
      </c>
      <c r="F26">
        <v>3</v>
      </c>
      <c r="G26">
        <v>1</v>
      </c>
      <c r="H26">
        <v>5</v>
      </c>
      <c r="I26">
        <v>0</v>
      </c>
      <c r="J26">
        <v>9</v>
      </c>
      <c r="K26" t="s">
        <v>241</v>
      </c>
    </row>
    <row r="27" spans="2:11" x14ac:dyDescent="0.25">
      <c r="B27">
        <v>43</v>
      </c>
      <c r="C27">
        <v>145</v>
      </c>
      <c r="D27">
        <v>65</v>
      </c>
      <c r="E27">
        <v>1</v>
      </c>
      <c r="F27">
        <v>8</v>
      </c>
      <c r="G27">
        <v>4</v>
      </c>
      <c r="H27">
        <v>0</v>
      </c>
      <c r="I27">
        <v>0</v>
      </c>
      <c r="J27">
        <v>12</v>
      </c>
      <c r="K27" t="s">
        <v>246</v>
      </c>
    </row>
    <row r="28" spans="2:11" x14ac:dyDescent="0.25">
      <c r="B28">
        <v>45</v>
      </c>
      <c r="C28">
        <v>165</v>
      </c>
      <c r="D28">
        <v>71</v>
      </c>
      <c r="E28">
        <v>1</v>
      </c>
      <c r="F28">
        <v>8</v>
      </c>
      <c r="G28">
        <v>7</v>
      </c>
      <c r="H28">
        <v>0</v>
      </c>
      <c r="I28">
        <v>0</v>
      </c>
      <c r="J28">
        <v>15</v>
      </c>
      <c r="K28" t="s">
        <v>246</v>
      </c>
    </row>
    <row r="29" spans="2:11" x14ac:dyDescent="0.25">
      <c r="B29">
        <v>46</v>
      </c>
      <c r="C29">
        <v>61</v>
      </c>
      <c r="D29">
        <v>32</v>
      </c>
      <c r="E29">
        <v>1</v>
      </c>
      <c r="F29">
        <v>7</v>
      </c>
      <c r="G29">
        <v>13</v>
      </c>
      <c r="H29">
        <v>0</v>
      </c>
      <c r="I29">
        <v>0</v>
      </c>
      <c r="J29">
        <v>20</v>
      </c>
      <c r="K29" t="s">
        <v>241</v>
      </c>
    </row>
    <row r="30" spans="2:11" x14ac:dyDescent="0.25">
      <c r="B30">
        <v>47</v>
      </c>
      <c r="C30">
        <v>239</v>
      </c>
      <c r="D30">
        <v>106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244</v>
      </c>
    </row>
    <row r="31" spans="2:11" x14ac:dyDescent="0.25">
      <c r="B31">
        <v>48</v>
      </c>
      <c r="C31">
        <v>71</v>
      </c>
      <c r="D31">
        <v>35</v>
      </c>
      <c r="E31">
        <v>1</v>
      </c>
      <c r="F31">
        <v>6</v>
      </c>
      <c r="G31">
        <v>19</v>
      </c>
      <c r="H31">
        <v>4</v>
      </c>
      <c r="I31">
        <v>0</v>
      </c>
      <c r="J31">
        <v>29</v>
      </c>
      <c r="K31" t="s">
        <v>243</v>
      </c>
    </row>
    <row r="32" spans="2:11" x14ac:dyDescent="0.25">
      <c r="B32">
        <v>49</v>
      </c>
      <c r="C32">
        <v>26</v>
      </c>
      <c r="D32">
        <v>14</v>
      </c>
      <c r="E32">
        <v>1</v>
      </c>
      <c r="F32">
        <v>8</v>
      </c>
      <c r="G32">
        <v>6</v>
      </c>
      <c r="H32">
        <v>5</v>
      </c>
      <c r="I32">
        <v>0</v>
      </c>
      <c r="J32">
        <v>19</v>
      </c>
      <c r="K32" t="s">
        <v>246</v>
      </c>
    </row>
    <row r="33" spans="2:11" x14ac:dyDescent="0.25">
      <c r="B33">
        <v>51</v>
      </c>
      <c r="C33">
        <v>79</v>
      </c>
      <c r="D33">
        <v>41</v>
      </c>
      <c r="E33">
        <v>1</v>
      </c>
      <c r="F33">
        <v>5</v>
      </c>
      <c r="G33">
        <v>4</v>
      </c>
      <c r="H33">
        <v>0</v>
      </c>
      <c r="I33">
        <v>0</v>
      </c>
      <c r="J33">
        <v>9</v>
      </c>
      <c r="K33" t="s">
        <v>246</v>
      </c>
    </row>
    <row r="34" spans="2:11" x14ac:dyDescent="0.25">
      <c r="B34">
        <v>52</v>
      </c>
      <c r="C34">
        <v>31</v>
      </c>
      <c r="D34">
        <v>17</v>
      </c>
      <c r="E34">
        <v>1</v>
      </c>
      <c r="F34">
        <v>3</v>
      </c>
      <c r="G34">
        <v>0</v>
      </c>
      <c r="H34">
        <v>0</v>
      </c>
      <c r="I34">
        <v>0</v>
      </c>
      <c r="J34">
        <v>3</v>
      </c>
      <c r="K34" t="s">
        <v>243</v>
      </c>
    </row>
    <row r="35" spans="2:11" x14ac:dyDescent="0.25">
      <c r="B35">
        <v>53</v>
      </c>
      <c r="C35">
        <v>175</v>
      </c>
      <c r="D35">
        <v>76</v>
      </c>
      <c r="E35">
        <v>1</v>
      </c>
      <c r="F35">
        <v>5</v>
      </c>
      <c r="G35">
        <v>7</v>
      </c>
      <c r="H35">
        <v>5</v>
      </c>
      <c r="I35">
        <v>0</v>
      </c>
      <c r="J35">
        <v>17</v>
      </c>
      <c r="K35" t="s">
        <v>246</v>
      </c>
    </row>
    <row r="36" spans="2:11" x14ac:dyDescent="0.25">
      <c r="B36">
        <v>54</v>
      </c>
      <c r="C36">
        <v>19</v>
      </c>
      <c r="D36">
        <v>9</v>
      </c>
      <c r="E36">
        <v>2</v>
      </c>
      <c r="F36">
        <v>20</v>
      </c>
      <c r="G36">
        <v>10</v>
      </c>
      <c r="H36">
        <v>0</v>
      </c>
      <c r="I36">
        <v>0</v>
      </c>
      <c r="J36">
        <v>30</v>
      </c>
      <c r="K36" t="s">
        <v>241</v>
      </c>
    </row>
    <row r="37" spans="2:11" x14ac:dyDescent="0.25">
      <c r="B37">
        <v>55</v>
      </c>
      <c r="C37">
        <v>289</v>
      </c>
      <c r="D37">
        <v>135</v>
      </c>
      <c r="E37">
        <v>1</v>
      </c>
      <c r="F37">
        <v>29</v>
      </c>
      <c r="G37">
        <v>1</v>
      </c>
      <c r="H37">
        <v>0</v>
      </c>
      <c r="I37">
        <v>0</v>
      </c>
      <c r="J37">
        <v>30</v>
      </c>
      <c r="K37" t="s">
        <v>247</v>
      </c>
    </row>
    <row r="38" spans="2:11" x14ac:dyDescent="0.25">
      <c r="B38">
        <v>56</v>
      </c>
      <c r="C38">
        <v>131</v>
      </c>
      <c r="D38">
        <v>59</v>
      </c>
      <c r="E38">
        <v>1</v>
      </c>
      <c r="F38">
        <v>1</v>
      </c>
      <c r="G38">
        <v>9</v>
      </c>
      <c r="H38">
        <v>0</v>
      </c>
      <c r="I38">
        <v>0</v>
      </c>
      <c r="J38">
        <v>10</v>
      </c>
      <c r="K38" t="s">
        <v>246</v>
      </c>
    </row>
    <row r="39" spans="2:11" x14ac:dyDescent="0.25">
      <c r="B39">
        <v>57</v>
      </c>
      <c r="C39">
        <v>60</v>
      </c>
      <c r="D39">
        <v>31</v>
      </c>
      <c r="E39">
        <v>1</v>
      </c>
      <c r="F39">
        <v>15</v>
      </c>
      <c r="G39">
        <v>5</v>
      </c>
      <c r="H39">
        <v>0</v>
      </c>
      <c r="I39">
        <v>0</v>
      </c>
      <c r="J39">
        <v>20</v>
      </c>
      <c r="K39" t="s">
        <v>245</v>
      </c>
    </row>
    <row r="40" spans="2:11" x14ac:dyDescent="0.25">
      <c r="B40">
        <v>58</v>
      </c>
      <c r="C40">
        <v>135</v>
      </c>
      <c r="D40">
        <v>60</v>
      </c>
      <c r="E40">
        <v>1</v>
      </c>
      <c r="F40">
        <v>8</v>
      </c>
      <c r="G40">
        <v>10</v>
      </c>
      <c r="H40">
        <v>3</v>
      </c>
      <c r="I40">
        <v>0</v>
      </c>
      <c r="J40">
        <v>21</v>
      </c>
      <c r="K40" t="s">
        <v>248</v>
      </c>
    </row>
    <row r="41" spans="2:11" x14ac:dyDescent="0.25">
      <c r="B41">
        <v>59</v>
      </c>
      <c r="C41">
        <v>64</v>
      </c>
      <c r="D41">
        <v>35</v>
      </c>
      <c r="E41">
        <v>1</v>
      </c>
      <c r="F41">
        <v>8</v>
      </c>
      <c r="G41">
        <v>13</v>
      </c>
      <c r="H41">
        <v>3</v>
      </c>
      <c r="I41">
        <v>0</v>
      </c>
      <c r="J41">
        <v>24</v>
      </c>
      <c r="K41" t="s">
        <v>241</v>
      </c>
    </row>
    <row r="42" spans="2:11" x14ac:dyDescent="0.25">
      <c r="B42">
        <v>60</v>
      </c>
      <c r="C42">
        <v>51</v>
      </c>
      <c r="D42">
        <v>26</v>
      </c>
      <c r="E42">
        <v>1</v>
      </c>
      <c r="F42">
        <v>5</v>
      </c>
      <c r="G42">
        <v>3</v>
      </c>
      <c r="H42">
        <v>0</v>
      </c>
      <c r="I42">
        <v>0</v>
      </c>
      <c r="J42">
        <v>8</v>
      </c>
      <c r="K42" t="s">
        <v>244</v>
      </c>
    </row>
    <row r="43" spans="2:11" x14ac:dyDescent="0.25">
      <c r="B43">
        <v>61</v>
      </c>
      <c r="C43">
        <v>91</v>
      </c>
      <c r="D43">
        <v>45</v>
      </c>
      <c r="E43">
        <v>1</v>
      </c>
      <c r="F43">
        <v>10</v>
      </c>
      <c r="G43">
        <v>2</v>
      </c>
      <c r="H43">
        <v>0</v>
      </c>
      <c r="I43">
        <v>0</v>
      </c>
      <c r="J43">
        <v>12</v>
      </c>
      <c r="K43" t="s">
        <v>246</v>
      </c>
    </row>
    <row r="44" spans="2:11" x14ac:dyDescent="0.25">
      <c r="B44">
        <v>64</v>
      </c>
      <c r="C44">
        <v>289</v>
      </c>
      <c r="D44">
        <v>135</v>
      </c>
      <c r="E44">
        <v>2</v>
      </c>
      <c r="F44">
        <v>20</v>
      </c>
      <c r="G44">
        <v>0</v>
      </c>
      <c r="H44">
        <v>0</v>
      </c>
      <c r="I44">
        <v>0</v>
      </c>
      <c r="J44">
        <v>20</v>
      </c>
      <c r="K44" t="s">
        <v>243</v>
      </c>
    </row>
    <row r="45" spans="2:11" x14ac:dyDescent="0.25">
      <c r="B45">
        <v>65</v>
      </c>
      <c r="C45">
        <v>8</v>
      </c>
      <c r="D45">
        <v>3</v>
      </c>
      <c r="E45">
        <v>1</v>
      </c>
      <c r="F45">
        <v>7</v>
      </c>
      <c r="G45">
        <v>5</v>
      </c>
      <c r="H45">
        <v>1</v>
      </c>
      <c r="I45">
        <v>0</v>
      </c>
      <c r="J45">
        <v>13</v>
      </c>
      <c r="K45" t="s">
        <v>241</v>
      </c>
    </row>
    <row r="46" spans="2:11" x14ac:dyDescent="0.25">
      <c r="B46">
        <v>67</v>
      </c>
      <c r="C46">
        <v>59</v>
      </c>
      <c r="D46">
        <v>30</v>
      </c>
      <c r="E46">
        <v>1</v>
      </c>
      <c r="F46">
        <v>18</v>
      </c>
      <c r="G46">
        <v>11</v>
      </c>
      <c r="H46">
        <v>0</v>
      </c>
      <c r="I46">
        <v>0</v>
      </c>
      <c r="J46">
        <v>29</v>
      </c>
      <c r="K46" t="s">
        <v>245</v>
      </c>
    </row>
    <row r="47" spans="2:11" x14ac:dyDescent="0.25">
      <c r="B47">
        <v>68</v>
      </c>
      <c r="C47">
        <v>171</v>
      </c>
      <c r="D47">
        <v>73</v>
      </c>
      <c r="E47">
        <v>1</v>
      </c>
      <c r="F47">
        <v>2</v>
      </c>
      <c r="G47">
        <v>6</v>
      </c>
      <c r="H47">
        <v>0</v>
      </c>
      <c r="I47">
        <v>0</v>
      </c>
      <c r="J47">
        <v>8</v>
      </c>
      <c r="K47" t="s">
        <v>248</v>
      </c>
    </row>
    <row r="48" spans="2:11" x14ac:dyDescent="0.25">
      <c r="B48">
        <v>69</v>
      </c>
      <c r="C48">
        <v>325</v>
      </c>
      <c r="D48">
        <v>151</v>
      </c>
      <c r="E48">
        <v>1</v>
      </c>
      <c r="F48">
        <v>20</v>
      </c>
      <c r="G48">
        <v>10</v>
      </c>
      <c r="H48">
        <v>0</v>
      </c>
      <c r="I48">
        <v>0</v>
      </c>
      <c r="J48">
        <v>30</v>
      </c>
      <c r="K48" t="s">
        <v>247</v>
      </c>
    </row>
    <row r="49" spans="2:11" x14ac:dyDescent="0.25">
      <c r="B49">
        <v>70</v>
      </c>
      <c r="C49">
        <v>283</v>
      </c>
      <c r="D49">
        <v>131</v>
      </c>
      <c r="E49">
        <v>1</v>
      </c>
      <c r="F49">
        <v>12</v>
      </c>
      <c r="G49">
        <v>3</v>
      </c>
      <c r="H49">
        <v>0</v>
      </c>
      <c r="I49">
        <v>0</v>
      </c>
      <c r="J49">
        <v>15</v>
      </c>
      <c r="K49" t="s">
        <v>243</v>
      </c>
    </row>
    <row r="50" spans="2:11" x14ac:dyDescent="0.25">
      <c r="B50">
        <v>71</v>
      </c>
      <c r="C50">
        <v>130</v>
      </c>
      <c r="D50">
        <v>58</v>
      </c>
      <c r="E50">
        <v>1</v>
      </c>
      <c r="F50">
        <v>12</v>
      </c>
      <c r="G50">
        <v>15</v>
      </c>
      <c r="H50">
        <v>0</v>
      </c>
      <c r="I50">
        <v>0</v>
      </c>
      <c r="J50">
        <v>27</v>
      </c>
      <c r="K50" t="s">
        <v>246</v>
      </c>
    </row>
    <row r="51" spans="2:11" x14ac:dyDescent="0.25">
      <c r="B51">
        <v>73</v>
      </c>
      <c r="C51">
        <v>179</v>
      </c>
      <c r="D51">
        <v>77</v>
      </c>
      <c r="E51">
        <v>1</v>
      </c>
      <c r="F51">
        <v>1</v>
      </c>
      <c r="G51">
        <v>2</v>
      </c>
      <c r="H51">
        <v>2</v>
      </c>
      <c r="I51">
        <v>0</v>
      </c>
      <c r="J51">
        <v>5</v>
      </c>
      <c r="K51" t="s">
        <v>241</v>
      </c>
    </row>
    <row r="52" spans="2:11" x14ac:dyDescent="0.25">
      <c r="B52">
        <v>74</v>
      </c>
      <c r="C52">
        <v>285</v>
      </c>
      <c r="D52">
        <v>132</v>
      </c>
      <c r="E52">
        <v>1</v>
      </c>
      <c r="F52">
        <v>17</v>
      </c>
      <c r="G52">
        <v>3</v>
      </c>
      <c r="H52">
        <v>1</v>
      </c>
      <c r="I52">
        <v>0</v>
      </c>
      <c r="J52">
        <v>21</v>
      </c>
      <c r="K52" t="s">
        <v>243</v>
      </c>
    </row>
    <row r="53" spans="2:11" x14ac:dyDescent="0.25">
      <c r="B53">
        <v>75</v>
      </c>
      <c r="C53">
        <v>70</v>
      </c>
      <c r="D53">
        <v>35</v>
      </c>
      <c r="E53">
        <v>1</v>
      </c>
      <c r="F53">
        <v>2</v>
      </c>
      <c r="G53">
        <v>1</v>
      </c>
      <c r="H53">
        <v>0</v>
      </c>
      <c r="I53">
        <v>0</v>
      </c>
      <c r="J53">
        <v>3</v>
      </c>
      <c r="K53" t="s">
        <v>248</v>
      </c>
    </row>
    <row r="54" spans="2:11" x14ac:dyDescent="0.25">
      <c r="B54">
        <v>76</v>
      </c>
      <c r="C54">
        <v>153</v>
      </c>
      <c r="D54">
        <v>69</v>
      </c>
      <c r="E54">
        <v>2</v>
      </c>
      <c r="F54">
        <v>10</v>
      </c>
      <c r="G54">
        <v>3</v>
      </c>
      <c r="H54">
        <v>0</v>
      </c>
      <c r="I54">
        <v>0</v>
      </c>
      <c r="J54">
        <v>13</v>
      </c>
      <c r="K54" t="s">
        <v>241</v>
      </c>
    </row>
    <row r="55" spans="2:11" x14ac:dyDescent="0.25">
      <c r="B55">
        <v>77</v>
      </c>
      <c r="C55">
        <v>57</v>
      </c>
      <c r="D55">
        <v>29</v>
      </c>
      <c r="E55">
        <v>1</v>
      </c>
      <c r="F55">
        <v>7</v>
      </c>
      <c r="G55">
        <v>16</v>
      </c>
      <c r="H55">
        <v>0</v>
      </c>
      <c r="I55">
        <v>0</v>
      </c>
      <c r="J55">
        <v>23</v>
      </c>
      <c r="K55" t="s">
        <v>245</v>
      </c>
    </row>
    <row r="56" spans="2:11" x14ac:dyDescent="0.25">
      <c r="B56">
        <v>79</v>
      </c>
      <c r="C56">
        <v>143</v>
      </c>
      <c r="D56">
        <v>63</v>
      </c>
      <c r="E56">
        <v>1</v>
      </c>
      <c r="F56">
        <v>10</v>
      </c>
      <c r="G56">
        <v>0</v>
      </c>
      <c r="H56">
        <v>0</v>
      </c>
      <c r="I56">
        <v>0</v>
      </c>
      <c r="J56">
        <v>10</v>
      </c>
      <c r="K56" t="s">
        <v>248</v>
      </c>
    </row>
    <row r="57" spans="2:11" x14ac:dyDescent="0.25">
      <c r="B57">
        <v>80</v>
      </c>
      <c r="C57">
        <v>55</v>
      </c>
      <c r="D57">
        <v>29</v>
      </c>
      <c r="E57">
        <v>1</v>
      </c>
      <c r="F57">
        <v>5</v>
      </c>
      <c r="G57">
        <v>14</v>
      </c>
      <c r="H57">
        <v>0</v>
      </c>
      <c r="I57">
        <v>0</v>
      </c>
      <c r="J57">
        <v>19</v>
      </c>
      <c r="K57" t="s">
        <v>245</v>
      </c>
    </row>
    <row r="58" spans="2:11" x14ac:dyDescent="0.25">
      <c r="B58">
        <v>81</v>
      </c>
      <c r="C58">
        <v>125</v>
      </c>
      <c r="D58">
        <v>56</v>
      </c>
      <c r="E58">
        <v>1</v>
      </c>
      <c r="F58">
        <v>7</v>
      </c>
      <c r="G58">
        <v>9</v>
      </c>
      <c r="H58">
        <v>0</v>
      </c>
      <c r="I58">
        <v>0</v>
      </c>
      <c r="J58">
        <v>16</v>
      </c>
      <c r="K58" t="s">
        <v>248</v>
      </c>
    </row>
    <row r="59" spans="2:11" x14ac:dyDescent="0.25">
      <c r="B59">
        <v>83</v>
      </c>
      <c r="C59">
        <v>54</v>
      </c>
      <c r="D59">
        <v>28</v>
      </c>
      <c r="E59">
        <v>1</v>
      </c>
      <c r="F59">
        <v>10</v>
      </c>
      <c r="G59">
        <v>1</v>
      </c>
      <c r="H59">
        <v>0</v>
      </c>
      <c r="I59">
        <v>0</v>
      </c>
      <c r="J59">
        <v>11</v>
      </c>
      <c r="K59" t="s">
        <v>245</v>
      </c>
    </row>
    <row r="60" spans="2:11" x14ac:dyDescent="0.25">
      <c r="B60">
        <v>84</v>
      </c>
      <c r="C60">
        <v>332</v>
      </c>
      <c r="D60">
        <v>152</v>
      </c>
      <c r="E60">
        <v>1</v>
      </c>
      <c r="F60">
        <v>10</v>
      </c>
      <c r="G60">
        <v>20</v>
      </c>
      <c r="H60">
        <v>0</v>
      </c>
      <c r="I60">
        <v>0</v>
      </c>
      <c r="J60">
        <v>30</v>
      </c>
      <c r="K60" t="s">
        <v>243</v>
      </c>
    </row>
    <row r="61" spans="2:11" x14ac:dyDescent="0.25">
      <c r="B61">
        <v>85</v>
      </c>
      <c r="C61">
        <v>53</v>
      </c>
      <c r="D61">
        <v>27</v>
      </c>
      <c r="E61">
        <v>1</v>
      </c>
      <c r="F61">
        <v>4</v>
      </c>
      <c r="G61">
        <v>5</v>
      </c>
      <c r="H61">
        <v>0</v>
      </c>
      <c r="I61">
        <v>0</v>
      </c>
      <c r="J61">
        <v>9</v>
      </c>
      <c r="K61" t="s">
        <v>245</v>
      </c>
    </row>
    <row r="62" spans="2:11" x14ac:dyDescent="0.25">
      <c r="B62">
        <v>5189</v>
      </c>
      <c r="C62">
        <v>181</v>
      </c>
      <c r="D62">
        <v>78</v>
      </c>
      <c r="E62">
        <v>3</v>
      </c>
      <c r="F62">
        <v>10</v>
      </c>
      <c r="G62">
        <v>3</v>
      </c>
      <c r="H62">
        <v>0</v>
      </c>
      <c r="I62">
        <v>0</v>
      </c>
      <c r="J62">
        <v>13</v>
      </c>
      <c r="K62" t="s">
        <v>241</v>
      </c>
    </row>
    <row r="63" spans="2:11" x14ac:dyDescent="0.25">
      <c r="B63">
        <v>5190</v>
      </c>
      <c r="C63">
        <v>181</v>
      </c>
      <c r="D63">
        <v>78</v>
      </c>
      <c r="E63">
        <v>4</v>
      </c>
      <c r="F63">
        <v>8</v>
      </c>
      <c r="G63">
        <v>9</v>
      </c>
      <c r="H63">
        <v>1</v>
      </c>
      <c r="I63">
        <v>0</v>
      </c>
      <c r="J63">
        <v>18</v>
      </c>
      <c r="K63" t="s">
        <v>241</v>
      </c>
    </row>
    <row r="64" spans="2:11" x14ac:dyDescent="0.25">
      <c r="B64">
        <v>5191</v>
      </c>
      <c r="C64">
        <v>181</v>
      </c>
      <c r="D64">
        <v>78</v>
      </c>
      <c r="E64">
        <v>5</v>
      </c>
      <c r="F64">
        <v>9</v>
      </c>
      <c r="G64">
        <v>1</v>
      </c>
      <c r="H64">
        <v>0</v>
      </c>
      <c r="I64">
        <v>0</v>
      </c>
      <c r="J64">
        <v>10</v>
      </c>
      <c r="K64" t="s">
        <v>241</v>
      </c>
    </row>
    <row r="65" spans="2:11" x14ac:dyDescent="0.25">
      <c r="B65">
        <v>5192</v>
      </c>
      <c r="C65">
        <v>181</v>
      </c>
      <c r="D65">
        <v>78</v>
      </c>
      <c r="E65">
        <v>6</v>
      </c>
      <c r="F65">
        <v>9</v>
      </c>
      <c r="G65">
        <v>1</v>
      </c>
      <c r="H65">
        <v>2</v>
      </c>
      <c r="I65">
        <v>0</v>
      </c>
      <c r="J65">
        <v>12</v>
      </c>
      <c r="K65" t="s">
        <v>241</v>
      </c>
    </row>
    <row r="66" spans="2:11" x14ac:dyDescent="0.25">
      <c r="B66">
        <v>5194</v>
      </c>
      <c r="C66">
        <v>3</v>
      </c>
      <c r="D66">
        <v>1</v>
      </c>
      <c r="E66">
        <v>18</v>
      </c>
      <c r="F66">
        <v>8</v>
      </c>
      <c r="G66">
        <v>6</v>
      </c>
      <c r="H66">
        <v>0</v>
      </c>
      <c r="I66">
        <v>0</v>
      </c>
      <c r="J66">
        <v>14</v>
      </c>
      <c r="K66" t="s">
        <v>252</v>
      </c>
    </row>
    <row r="67" spans="2:11" x14ac:dyDescent="0.25">
      <c r="B67">
        <v>5195</v>
      </c>
      <c r="C67">
        <v>181</v>
      </c>
      <c r="D67">
        <v>78</v>
      </c>
      <c r="E67">
        <v>7</v>
      </c>
      <c r="F67">
        <v>5</v>
      </c>
      <c r="G67">
        <v>3</v>
      </c>
      <c r="H67">
        <v>0</v>
      </c>
      <c r="I67">
        <v>0</v>
      </c>
      <c r="J67">
        <v>8</v>
      </c>
      <c r="K67" t="s">
        <v>241</v>
      </c>
    </row>
    <row r="68" spans="2:11" x14ac:dyDescent="0.25">
      <c r="B68">
        <v>5196</v>
      </c>
      <c r="C68">
        <v>181</v>
      </c>
      <c r="D68">
        <v>78</v>
      </c>
      <c r="E68">
        <v>8</v>
      </c>
      <c r="F68">
        <v>11</v>
      </c>
      <c r="G68">
        <v>4</v>
      </c>
      <c r="H68">
        <v>0</v>
      </c>
      <c r="I68">
        <v>0</v>
      </c>
      <c r="J68">
        <v>15</v>
      </c>
      <c r="K68" t="s">
        <v>241</v>
      </c>
    </row>
    <row r="69" spans="2:11" x14ac:dyDescent="0.25">
      <c r="B69">
        <v>5198</v>
      </c>
      <c r="C69">
        <v>196</v>
      </c>
      <c r="D69">
        <v>86</v>
      </c>
      <c r="E69">
        <v>1</v>
      </c>
      <c r="F69">
        <v>12</v>
      </c>
      <c r="G69">
        <v>11</v>
      </c>
      <c r="H69">
        <v>0</v>
      </c>
      <c r="I69">
        <v>0</v>
      </c>
      <c r="J69">
        <v>23</v>
      </c>
      <c r="K69" t="s">
        <v>246</v>
      </c>
    </row>
    <row r="70" spans="2:11" x14ac:dyDescent="0.25">
      <c r="B70">
        <v>5199</v>
      </c>
      <c r="C70">
        <v>196</v>
      </c>
      <c r="D70">
        <v>86</v>
      </c>
      <c r="E70">
        <v>2</v>
      </c>
      <c r="F70">
        <v>16</v>
      </c>
      <c r="G70">
        <v>9</v>
      </c>
      <c r="H70">
        <v>2</v>
      </c>
      <c r="I70">
        <v>0</v>
      </c>
      <c r="J70">
        <v>27</v>
      </c>
      <c r="K70" t="s">
        <v>246</v>
      </c>
    </row>
    <row r="71" spans="2:11" x14ac:dyDescent="0.25">
      <c r="B71">
        <v>5197</v>
      </c>
      <c r="C71">
        <v>212</v>
      </c>
      <c r="D71">
        <v>94</v>
      </c>
      <c r="E71">
        <v>2</v>
      </c>
      <c r="F71">
        <v>5</v>
      </c>
      <c r="G71">
        <v>15</v>
      </c>
      <c r="H71">
        <v>0</v>
      </c>
      <c r="I71">
        <v>0</v>
      </c>
      <c r="J71">
        <v>20</v>
      </c>
      <c r="K71" t="s">
        <v>245</v>
      </c>
    </row>
    <row r="72" spans="2:11" x14ac:dyDescent="0.25">
      <c r="B72">
        <v>5200</v>
      </c>
      <c r="C72">
        <v>196</v>
      </c>
      <c r="D72">
        <v>86</v>
      </c>
      <c r="E72">
        <v>3</v>
      </c>
      <c r="F72">
        <v>9</v>
      </c>
      <c r="G72">
        <v>12</v>
      </c>
      <c r="H72">
        <v>3</v>
      </c>
      <c r="I72">
        <v>0</v>
      </c>
      <c r="J72">
        <v>24</v>
      </c>
      <c r="K72" t="s">
        <v>246</v>
      </c>
    </row>
    <row r="73" spans="2:11" x14ac:dyDescent="0.25">
      <c r="B73">
        <v>86</v>
      </c>
      <c r="C73">
        <v>334</v>
      </c>
      <c r="D73">
        <v>152</v>
      </c>
      <c r="E73">
        <v>1</v>
      </c>
      <c r="F73">
        <v>19</v>
      </c>
      <c r="G73">
        <v>11</v>
      </c>
      <c r="H73">
        <v>0</v>
      </c>
      <c r="I73">
        <v>0</v>
      </c>
      <c r="J73">
        <v>30</v>
      </c>
      <c r="K73" t="s">
        <v>243</v>
      </c>
    </row>
    <row r="74" spans="2:11" x14ac:dyDescent="0.25">
      <c r="B74">
        <v>87</v>
      </c>
      <c r="C74">
        <v>336</v>
      </c>
      <c r="D74">
        <v>152</v>
      </c>
      <c r="E74">
        <v>1</v>
      </c>
      <c r="F74">
        <v>4</v>
      </c>
      <c r="G74">
        <v>26</v>
      </c>
      <c r="H74">
        <v>0</v>
      </c>
      <c r="I74">
        <v>0</v>
      </c>
      <c r="J74">
        <v>30</v>
      </c>
      <c r="K74" t="s">
        <v>243</v>
      </c>
    </row>
    <row r="75" spans="2:11" x14ac:dyDescent="0.25">
      <c r="B75">
        <v>92</v>
      </c>
      <c r="C75">
        <v>317</v>
      </c>
      <c r="D75">
        <v>146</v>
      </c>
      <c r="E75">
        <v>1</v>
      </c>
      <c r="F75">
        <v>11</v>
      </c>
      <c r="G75">
        <v>19</v>
      </c>
      <c r="H75">
        <v>0</v>
      </c>
      <c r="I75">
        <v>0</v>
      </c>
      <c r="J75">
        <v>30</v>
      </c>
      <c r="K75" t="s">
        <v>241</v>
      </c>
    </row>
    <row r="76" spans="2:11" x14ac:dyDescent="0.25">
      <c r="B76">
        <v>93</v>
      </c>
      <c r="C76">
        <v>297</v>
      </c>
      <c r="D76">
        <v>136</v>
      </c>
      <c r="E76">
        <v>2</v>
      </c>
      <c r="F76">
        <v>5</v>
      </c>
      <c r="G76">
        <v>0</v>
      </c>
      <c r="H76">
        <v>0</v>
      </c>
      <c r="I76">
        <v>0</v>
      </c>
      <c r="J76">
        <v>5</v>
      </c>
      <c r="K76" t="s">
        <v>246</v>
      </c>
    </row>
    <row r="77" spans="2:11" x14ac:dyDescent="0.25">
      <c r="B77">
        <v>95</v>
      </c>
      <c r="C77">
        <v>316</v>
      </c>
      <c r="D77">
        <v>146</v>
      </c>
      <c r="E77">
        <v>1</v>
      </c>
      <c r="F77">
        <v>10</v>
      </c>
      <c r="G77">
        <v>4</v>
      </c>
      <c r="H77">
        <v>2</v>
      </c>
      <c r="I77">
        <v>0</v>
      </c>
      <c r="J77">
        <v>16</v>
      </c>
      <c r="K77" t="s">
        <v>241</v>
      </c>
    </row>
    <row r="78" spans="2:11" x14ac:dyDescent="0.25">
      <c r="B78">
        <v>96</v>
      </c>
      <c r="C78">
        <v>292</v>
      </c>
      <c r="D78">
        <v>135</v>
      </c>
      <c r="E78">
        <v>1</v>
      </c>
      <c r="F78">
        <v>16</v>
      </c>
      <c r="G78">
        <v>0</v>
      </c>
      <c r="H78">
        <v>0</v>
      </c>
      <c r="I78">
        <v>0</v>
      </c>
      <c r="J78">
        <v>16</v>
      </c>
      <c r="K78" t="s">
        <v>244</v>
      </c>
    </row>
    <row r="79" spans="2:11" x14ac:dyDescent="0.25">
      <c r="B79">
        <v>97</v>
      </c>
      <c r="C79">
        <v>313</v>
      </c>
      <c r="D79">
        <v>144</v>
      </c>
      <c r="E79">
        <v>1</v>
      </c>
      <c r="F79">
        <v>10</v>
      </c>
      <c r="G79">
        <v>5</v>
      </c>
      <c r="H79">
        <v>0</v>
      </c>
      <c r="I79">
        <v>0</v>
      </c>
      <c r="J79">
        <v>15</v>
      </c>
      <c r="K79" t="s">
        <v>248</v>
      </c>
    </row>
    <row r="80" spans="2:11" x14ac:dyDescent="0.25">
      <c r="B80">
        <v>98</v>
      </c>
      <c r="C80">
        <v>315</v>
      </c>
      <c r="D80">
        <v>145</v>
      </c>
      <c r="E80">
        <v>1</v>
      </c>
      <c r="F80">
        <v>4</v>
      </c>
      <c r="G80">
        <v>9</v>
      </c>
      <c r="H80">
        <v>0</v>
      </c>
      <c r="I80">
        <v>0</v>
      </c>
      <c r="J80">
        <v>13</v>
      </c>
      <c r="K80" t="s">
        <v>246</v>
      </c>
    </row>
    <row r="81" spans="2:11" x14ac:dyDescent="0.25">
      <c r="B81">
        <v>99</v>
      </c>
      <c r="C81">
        <v>299</v>
      </c>
      <c r="D81">
        <v>137</v>
      </c>
      <c r="E81">
        <v>2</v>
      </c>
      <c r="F81">
        <v>10</v>
      </c>
      <c r="G81">
        <v>7</v>
      </c>
      <c r="H81">
        <v>0</v>
      </c>
      <c r="I81">
        <v>0</v>
      </c>
      <c r="J81">
        <v>17</v>
      </c>
      <c r="K81" t="s">
        <v>245</v>
      </c>
    </row>
    <row r="82" spans="2:11" x14ac:dyDescent="0.25">
      <c r="B82">
        <v>100</v>
      </c>
      <c r="C82">
        <v>30</v>
      </c>
      <c r="D82">
        <v>16</v>
      </c>
      <c r="E82">
        <v>1</v>
      </c>
      <c r="F82">
        <v>2</v>
      </c>
      <c r="G82">
        <v>6</v>
      </c>
      <c r="H82">
        <v>0</v>
      </c>
      <c r="I82">
        <v>0</v>
      </c>
      <c r="J82">
        <v>8</v>
      </c>
      <c r="K82" t="s">
        <v>244</v>
      </c>
    </row>
    <row r="83" spans="2:11" x14ac:dyDescent="0.25">
      <c r="B83">
        <v>101</v>
      </c>
      <c r="C83">
        <v>274</v>
      </c>
      <c r="D83">
        <v>125</v>
      </c>
      <c r="E83">
        <v>1</v>
      </c>
      <c r="F83">
        <v>8</v>
      </c>
      <c r="G83">
        <v>5</v>
      </c>
      <c r="H83">
        <v>2</v>
      </c>
      <c r="I83">
        <v>0</v>
      </c>
      <c r="J83">
        <v>15</v>
      </c>
      <c r="K83" t="s">
        <v>244</v>
      </c>
    </row>
    <row r="84" spans="2:11" x14ac:dyDescent="0.25">
      <c r="B84">
        <v>102</v>
      </c>
      <c r="C84">
        <v>240</v>
      </c>
      <c r="D84">
        <v>107</v>
      </c>
      <c r="E84">
        <v>1</v>
      </c>
      <c r="F84">
        <v>6</v>
      </c>
      <c r="G84">
        <v>2</v>
      </c>
      <c r="H84">
        <v>0</v>
      </c>
      <c r="I84">
        <v>0</v>
      </c>
      <c r="J84">
        <v>8</v>
      </c>
      <c r="K84" t="s">
        <v>244</v>
      </c>
    </row>
    <row r="85" spans="2:11" x14ac:dyDescent="0.25">
      <c r="B85">
        <v>105</v>
      </c>
      <c r="C85">
        <v>291</v>
      </c>
      <c r="D85">
        <v>135</v>
      </c>
      <c r="E85">
        <v>2</v>
      </c>
      <c r="F85">
        <v>14</v>
      </c>
      <c r="G85">
        <v>0</v>
      </c>
      <c r="H85">
        <v>1</v>
      </c>
      <c r="I85">
        <v>0</v>
      </c>
      <c r="J85">
        <v>15</v>
      </c>
      <c r="K85" t="s">
        <v>241</v>
      </c>
    </row>
    <row r="86" spans="2:11" x14ac:dyDescent="0.25">
      <c r="B86">
        <v>106</v>
      </c>
      <c r="C86">
        <v>320</v>
      </c>
      <c r="D86">
        <v>148</v>
      </c>
      <c r="E86">
        <v>1</v>
      </c>
      <c r="F86">
        <v>17</v>
      </c>
      <c r="G86">
        <v>12</v>
      </c>
      <c r="H86">
        <v>0</v>
      </c>
      <c r="I86">
        <v>0</v>
      </c>
      <c r="J86">
        <v>29</v>
      </c>
      <c r="K86" t="s">
        <v>246</v>
      </c>
    </row>
    <row r="87" spans="2:11" x14ac:dyDescent="0.25">
      <c r="B87">
        <v>108</v>
      </c>
      <c r="C87">
        <v>324</v>
      </c>
      <c r="D87">
        <v>150</v>
      </c>
      <c r="E87">
        <v>2</v>
      </c>
      <c r="F87">
        <v>6</v>
      </c>
      <c r="G87">
        <v>14</v>
      </c>
      <c r="H87">
        <v>0</v>
      </c>
      <c r="I87">
        <v>0</v>
      </c>
      <c r="J87">
        <v>20</v>
      </c>
      <c r="K87" t="s">
        <v>248</v>
      </c>
    </row>
    <row r="88" spans="2:11" x14ac:dyDescent="0.25">
      <c r="B88">
        <v>109</v>
      </c>
      <c r="C88">
        <v>311</v>
      </c>
      <c r="D88">
        <v>144</v>
      </c>
      <c r="E88">
        <v>2</v>
      </c>
      <c r="F88">
        <v>6</v>
      </c>
      <c r="G88">
        <v>8</v>
      </c>
      <c r="H88">
        <v>0</v>
      </c>
      <c r="I88">
        <v>0</v>
      </c>
      <c r="J88">
        <v>14</v>
      </c>
      <c r="K88" t="s">
        <v>244</v>
      </c>
    </row>
    <row r="89" spans="2:11" x14ac:dyDescent="0.25">
      <c r="B89">
        <v>110</v>
      </c>
      <c r="C89">
        <v>318</v>
      </c>
      <c r="D89">
        <v>147</v>
      </c>
      <c r="E89">
        <v>1</v>
      </c>
      <c r="F89">
        <v>10</v>
      </c>
      <c r="G89">
        <v>3</v>
      </c>
      <c r="H89">
        <v>0</v>
      </c>
      <c r="I89">
        <v>0</v>
      </c>
      <c r="J89">
        <v>13</v>
      </c>
      <c r="K89" t="s">
        <v>246</v>
      </c>
    </row>
    <row r="90" spans="2:11" x14ac:dyDescent="0.25">
      <c r="B90">
        <v>111</v>
      </c>
      <c r="C90">
        <v>324</v>
      </c>
      <c r="D90">
        <v>150</v>
      </c>
      <c r="E90">
        <v>1</v>
      </c>
      <c r="F90">
        <v>11</v>
      </c>
      <c r="G90">
        <v>2</v>
      </c>
      <c r="H90">
        <v>0</v>
      </c>
      <c r="I90">
        <v>0</v>
      </c>
      <c r="J90">
        <v>13</v>
      </c>
      <c r="K90" t="s">
        <v>241</v>
      </c>
    </row>
    <row r="91" spans="2:11" x14ac:dyDescent="0.25">
      <c r="B91">
        <v>113</v>
      </c>
      <c r="C91">
        <v>93</v>
      </c>
      <c r="D91">
        <v>46</v>
      </c>
      <c r="E91">
        <v>1</v>
      </c>
      <c r="F91">
        <v>13</v>
      </c>
      <c r="G91">
        <v>3</v>
      </c>
      <c r="H91">
        <v>0</v>
      </c>
      <c r="I91">
        <v>0</v>
      </c>
      <c r="J91">
        <v>16</v>
      </c>
      <c r="K91" t="s">
        <v>243</v>
      </c>
    </row>
    <row r="92" spans="2:11" x14ac:dyDescent="0.25">
      <c r="B92">
        <v>114</v>
      </c>
      <c r="C92">
        <v>161</v>
      </c>
      <c r="D92">
        <v>69</v>
      </c>
      <c r="E92">
        <v>2</v>
      </c>
      <c r="F92">
        <v>4</v>
      </c>
      <c r="G92">
        <v>4</v>
      </c>
      <c r="H92">
        <v>0</v>
      </c>
      <c r="I92">
        <v>0</v>
      </c>
      <c r="J92">
        <v>8</v>
      </c>
      <c r="K92" t="s">
        <v>245</v>
      </c>
    </row>
    <row r="93" spans="2:11" x14ac:dyDescent="0.25">
      <c r="B93">
        <v>115</v>
      </c>
      <c r="C93">
        <v>1</v>
      </c>
      <c r="D93">
        <v>1</v>
      </c>
      <c r="E93">
        <v>2</v>
      </c>
      <c r="F93">
        <v>7</v>
      </c>
      <c r="G93">
        <v>5</v>
      </c>
      <c r="H93">
        <v>0</v>
      </c>
      <c r="I93">
        <v>0</v>
      </c>
      <c r="J93">
        <v>12</v>
      </c>
      <c r="K93" t="s">
        <v>246</v>
      </c>
    </row>
    <row r="94" spans="2:11" x14ac:dyDescent="0.25">
      <c r="B94">
        <v>116</v>
      </c>
      <c r="C94">
        <v>300</v>
      </c>
      <c r="D94">
        <v>138</v>
      </c>
      <c r="E94">
        <v>2</v>
      </c>
      <c r="F94">
        <v>12</v>
      </c>
      <c r="G94">
        <v>1</v>
      </c>
      <c r="H94">
        <v>0</v>
      </c>
      <c r="I94">
        <v>0</v>
      </c>
      <c r="J94">
        <v>13</v>
      </c>
      <c r="K94" t="s">
        <v>247</v>
      </c>
    </row>
    <row r="95" spans="2:11" x14ac:dyDescent="0.25">
      <c r="B95">
        <v>117</v>
      </c>
      <c r="C95">
        <v>12</v>
      </c>
      <c r="D95">
        <v>3</v>
      </c>
      <c r="E95">
        <v>1</v>
      </c>
      <c r="F95">
        <v>13</v>
      </c>
      <c r="G95">
        <v>3</v>
      </c>
      <c r="H95">
        <v>0</v>
      </c>
      <c r="I95">
        <v>0</v>
      </c>
      <c r="J95">
        <v>16</v>
      </c>
      <c r="K95" t="s">
        <v>241</v>
      </c>
    </row>
    <row r="96" spans="2:11" x14ac:dyDescent="0.25">
      <c r="B96">
        <v>118</v>
      </c>
      <c r="C96">
        <v>85</v>
      </c>
      <c r="D96">
        <v>41</v>
      </c>
      <c r="E96">
        <v>1</v>
      </c>
      <c r="F96">
        <v>20</v>
      </c>
      <c r="G96">
        <v>9</v>
      </c>
      <c r="H96">
        <v>0</v>
      </c>
      <c r="I96">
        <v>0</v>
      </c>
      <c r="J96">
        <v>29</v>
      </c>
      <c r="K96" t="s">
        <v>246</v>
      </c>
    </row>
    <row r="97" spans="2:11" x14ac:dyDescent="0.25">
      <c r="B97">
        <v>119</v>
      </c>
      <c r="C97">
        <v>110</v>
      </c>
      <c r="D97">
        <v>51</v>
      </c>
      <c r="E97">
        <v>1</v>
      </c>
      <c r="F97">
        <v>3</v>
      </c>
      <c r="G97">
        <v>19</v>
      </c>
      <c r="H97">
        <v>0</v>
      </c>
      <c r="I97">
        <v>0</v>
      </c>
      <c r="J97">
        <v>22</v>
      </c>
      <c r="K97" t="s">
        <v>243</v>
      </c>
    </row>
    <row r="98" spans="2:11" x14ac:dyDescent="0.25">
      <c r="B98">
        <v>120</v>
      </c>
      <c r="C98">
        <v>123</v>
      </c>
      <c r="D98">
        <v>56</v>
      </c>
      <c r="E98">
        <v>2</v>
      </c>
      <c r="F98">
        <v>6</v>
      </c>
      <c r="G98">
        <v>4</v>
      </c>
      <c r="H98">
        <v>3</v>
      </c>
      <c r="I98">
        <v>0</v>
      </c>
      <c r="J98">
        <v>13</v>
      </c>
      <c r="K98" t="s">
        <v>245</v>
      </c>
    </row>
    <row r="99" spans="2:11" x14ac:dyDescent="0.25">
      <c r="B99">
        <v>121</v>
      </c>
      <c r="C99">
        <v>2</v>
      </c>
      <c r="D99">
        <v>1</v>
      </c>
      <c r="E99">
        <v>2</v>
      </c>
      <c r="F99">
        <v>2</v>
      </c>
      <c r="G99">
        <v>6</v>
      </c>
      <c r="H99">
        <v>0</v>
      </c>
      <c r="I99">
        <v>0</v>
      </c>
      <c r="J99">
        <v>8</v>
      </c>
      <c r="K99" t="s">
        <v>248</v>
      </c>
    </row>
    <row r="100" spans="2:11" x14ac:dyDescent="0.25">
      <c r="B100">
        <v>122</v>
      </c>
      <c r="C100">
        <v>62</v>
      </c>
      <c r="D100">
        <v>33</v>
      </c>
      <c r="E100">
        <v>1</v>
      </c>
      <c r="F100">
        <v>14</v>
      </c>
      <c r="G100">
        <v>16</v>
      </c>
      <c r="H100">
        <v>0</v>
      </c>
      <c r="I100">
        <v>0</v>
      </c>
      <c r="J100">
        <v>30</v>
      </c>
      <c r="K100" t="s">
        <v>241</v>
      </c>
    </row>
    <row r="101" spans="2:11" x14ac:dyDescent="0.25">
      <c r="B101">
        <v>123</v>
      </c>
      <c r="C101">
        <v>67</v>
      </c>
      <c r="D101">
        <v>35</v>
      </c>
      <c r="E101">
        <v>1</v>
      </c>
      <c r="F101">
        <v>15</v>
      </c>
      <c r="G101">
        <v>15</v>
      </c>
      <c r="H101">
        <v>0</v>
      </c>
      <c r="I101">
        <v>0</v>
      </c>
      <c r="J101">
        <v>30</v>
      </c>
      <c r="K101" t="s">
        <v>246</v>
      </c>
    </row>
    <row r="102" spans="2:11" x14ac:dyDescent="0.25">
      <c r="B102">
        <v>124</v>
      </c>
      <c r="C102">
        <v>11</v>
      </c>
      <c r="D102">
        <v>3</v>
      </c>
      <c r="E102">
        <v>1</v>
      </c>
      <c r="F102">
        <v>6</v>
      </c>
      <c r="G102">
        <v>4</v>
      </c>
      <c r="H102">
        <v>0</v>
      </c>
      <c r="I102">
        <v>0</v>
      </c>
      <c r="J102">
        <v>10</v>
      </c>
      <c r="K102" t="s">
        <v>241</v>
      </c>
    </row>
    <row r="103" spans="2:11" x14ac:dyDescent="0.25">
      <c r="B103">
        <v>125</v>
      </c>
      <c r="C103">
        <v>14</v>
      </c>
      <c r="D103">
        <v>5</v>
      </c>
      <c r="E103">
        <v>2</v>
      </c>
      <c r="F103">
        <v>10</v>
      </c>
      <c r="G103">
        <v>2</v>
      </c>
      <c r="H103">
        <v>0</v>
      </c>
      <c r="I103">
        <v>0</v>
      </c>
      <c r="J103">
        <v>12</v>
      </c>
      <c r="K103" t="s">
        <v>246</v>
      </c>
    </row>
    <row r="104" spans="2:11" x14ac:dyDescent="0.25">
      <c r="B104">
        <v>126</v>
      </c>
      <c r="C104">
        <v>129</v>
      </c>
      <c r="D104">
        <v>57</v>
      </c>
      <c r="E104">
        <v>1</v>
      </c>
      <c r="F104">
        <v>14</v>
      </c>
      <c r="G104">
        <v>0</v>
      </c>
      <c r="H104">
        <v>0</v>
      </c>
      <c r="I104">
        <v>0</v>
      </c>
      <c r="J104">
        <v>14</v>
      </c>
      <c r="K104" t="s">
        <v>245</v>
      </c>
    </row>
    <row r="105" spans="2:11" x14ac:dyDescent="0.25">
      <c r="B105">
        <v>127</v>
      </c>
      <c r="C105">
        <v>25</v>
      </c>
      <c r="D105">
        <v>13</v>
      </c>
      <c r="E105">
        <v>1</v>
      </c>
      <c r="F105">
        <v>1</v>
      </c>
      <c r="G105">
        <v>2</v>
      </c>
      <c r="H105">
        <v>0</v>
      </c>
      <c r="I105">
        <v>0</v>
      </c>
      <c r="J105">
        <v>3</v>
      </c>
      <c r="K105" t="s">
        <v>241</v>
      </c>
    </row>
    <row r="106" spans="2:11" x14ac:dyDescent="0.25">
      <c r="B106">
        <v>128</v>
      </c>
      <c r="C106">
        <v>111</v>
      </c>
      <c r="D106">
        <v>51</v>
      </c>
      <c r="E106">
        <v>1</v>
      </c>
      <c r="F106">
        <v>25</v>
      </c>
      <c r="G106">
        <v>2</v>
      </c>
      <c r="H106">
        <v>0</v>
      </c>
      <c r="I106">
        <v>0</v>
      </c>
      <c r="J106">
        <v>27</v>
      </c>
      <c r="K106" t="s">
        <v>243</v>
      </c>
    </row>
    <row r="107" spans="2:11" x14ac:dyDescent="0.25">
      <c r="B107">
        <v>129</v>
      </c>
      <c r="C107">
        <v>92</v>
      </c>
      <c r="D107">
        <v>46</v>
      </c>
      <c r="E107">
        <v>2</v>
      </c>
      <c r="F107">
        <v>21</v>
      </c>
      <c r="G107">
        <v>4</v>
      </c>
      <c r="H107">
        <v>0</v>
      </c>
      <c r="I107">
        <v>0</v>
      </c>
      <c r="J107">
        <v>25</v>
      </c>
      <c r="K107" t="s">
        <v>245</v>
      </c>
    </row>
    <row r="108" spans="2:11" x14ac:dyDescent="0.25">
      <c r="B108">
        <v>130</v>
      </c>
      <c r="C108">
        <v>113</v>
      </c>
      <c r="D108">
        <v>52</v>
      </c>
      <c r="E108">
        <v>1</v>
      </c>
      <c r="F108">
        <v>12</v>
      </c>
      <c r="G108">
        <v>17</v>
      </c>
      <c r="H108">
        <v>1</v>
      </c>
      <c r="I108">
        <v>0</v>
      </c>
      <c r="J108">
        <v>30</v>
      </c>
      <c r="K108" t="s">
        <v>243</v>
      </c>
    </row>
    <row r="109" spans="2:11" x14ac:dyDescent="0.25">
      <c r="B109">
        <v>131</v>
      </c>
      <c r="C109">
        <v>275</v>
      </c>
      <c r="D109">
        <v>126</v>
      </c>
      <c r="E109">
        <v>2</v>
      </c>
      <c r="F109">
        <v>11</v>
      </c>
      <c r="G109">
        <v>6</v>
      </c>
      <c r="H109">
        <v>0</v>
      </c>
      <c r="I109">
        <v>0</v>
      </c>
      <c r="J109">
        <v>17</v>
      </c>
      <c r="K109" t="s">
        <v>247</v>
      </c>
    </row>
    <row r="110" spans="2:11" x14ac:dyDescent="0.25">
      <c r="B110">
        <v>133</v>
      </c>
      <c r="C110">
        <v>100</v>
      </c>
      <c r="D110">
        <v>50</v>
      </c>
      <c r="E110">
        <v>1</v>
      </c>
      <c r="F110">
        <v>12</v>
      </c>
      <c r="G110">
        <v>5</v>
      </c>
      <c r="H110">
        <v>0</v>
      </c>
      <c r="I110">
        <v>0</v>
      </c>
      <c r="J110">
        <v>17</v>
      </c>
      <c r="K110" t="s">
        <v>245</v>
      </c>
    </row>
    <row r="111" spans="2:11" x14ac:dyDescent="0.25">
      <c r="B111">
        <v>134</v>
      </c>
      <c r="C111">
        <v>168</v>
      </c>
      <c r="D111">
        <v>72</v>
      </c>
      <c r="E111">
        <v>2</v>
      </c>
      <c r="F111">
        <v>8</v>
      </c>
      <c r="G111">
        <v>10</v>
      </c>
      <c r="H111">
        <v>0</v>
      </c>
      <c r="I111">
        <v>0</v>
      </c>
      <c r="J111">
        <v>18</v>
      </c>
      <c r="K111" t="s">
        <v>243</v>
      </c>
    </row>
    <row r="112" spans="2:11" x14ac:dyDescent="0.25">
      <c r="B112">
        <v>135</v>
      </c>
      <c r="C112">
        <v>245</v>
      </c>
      <c r="D112">
        <v>109</v>
      </c>
      <c r="E112">
        <v>2</v>
      </c>
      <c r="F112">
        <v>10</v>
      </c>
      <c r="G112">
        <v>4</v>
      </c>
      <c r="H112">
        <v>1</v>
      </c>
      <c r="I112">
        <v>0</v>
      </c>
      <c r="J112">
        <v>15</v>
      </c>
      <c r="K112" t="s">
        <v>247</v>
      </c>
    </row>
    <row r="113" spans="2:11" x14ac:dyDescent="0.25">
      <c r="B113">
        <v>139</v>
      </c>
      <c r="C113">
        <v>121</v>
      </c>
      <c r="D113">
        <v>55</v>
      </c>
      <c r="E113">
        <v>1</v>
      </c>
      <c r="F113">
        <v>12</v>
      </c>
      <c r="G113">
        <v>1</v>
      </c>
      <c r="H113">
        <v>0</v>
      </c>
      <c r="I113">
        <v>0</v>
      </c>
      <c r="J113">
        <v>13</v>
      </c>
      <c r="K113" t="s">
        <v>241</v>
      </c>
    </row>
    <row r="114" spans="2:11" x14ac:dyDescent="0.25">
      <c r="B114">
        <v>140</v>
      </c>
      <c r="C114">
        <v>122</v>
      </c>
      <c r="D114">
        <v>55</v>
      </c>
      <c r="E114">
        <v>1</v>
      </c>
      <c r="F114">
        <v>4</v>
      </c>
      <c r="G114">
        <v>2</v>
      </c>
      <c r="H114">
        <v>0</v>
      </c>
      <c r="I114">
        <v>0</v>
      </c>
      <c r="J114">
        <v>6</v>
      </c>
      <c r="K114" t="s">
        <v>241</v>
      </c>
    </row>
    <row r="115" spans="2:11" x14ac:dyDescent="0.25">
      <c r="B115">
        <v>141</v>
      </c>
      <c r="C115">
        <v>277</v>
      </c>
      <c r="D115">
        <v>128</v>
      </c>
      <c r="E115">
        <v>1</v>
      </c>
      <c r="F115">
        <v>21</v>
      </c>
      <c r="G115">
        <v>9</v>
      </c>
      <c r="H115">
        <v>0</v>
      </c>
      <c r="I115">
        <v>0</v>
      </c>
      <c r="J115">
        <v>30</v>
      </c>
      <c r="K115" t="s">
        <v>248</v>
      </c>
    </row>
    <row r="116" spans="2:11" x14ac:dyDescent="0.25">
      <c r="B116">
        <v>142</v>
      </c>
      <c r="C116">
        <v>93</v>
      </c>
      <c r="D116">
        <v>46</v>
      </c>
      <c r="E116">
        <v>2</v>
      </c>
      <c r="F116">
        <v>9</v>
      </c>
      <c r="G116">
        <v>7</v>
      </c>
      <c r="H116">
        <v>0</v>
      </c>
      <c r="I116">
        <v>0</v>
      </c>
      <c r="J116">
        <v>16</v>
      </c>
      <c r="K116" t="s">
        <v>241</v>
      </c>
    </row>
    <row r="117" spans="2:11" x14ac:dyDescent="0.25">
      <c r="B117">
        <v>143</v>
      </c>
      <c r="C117">
        <v>276</v>
      </c>
      <c r="D117">
        <v>127</v>
      </c>
      <c r="E117">
        <v>1</v>
      </c>
      <c r="F117">
        <v>10</v>
      </c>
      <c r="G117">
        <v>12</v>
      </c>
      <c r="H117">
        <v>4</v>
      </c>
      <c r="I117">
        <v>0</v>
      </c>
      <c r="J117">
        <v>26</v>
      </c>
      <c r="K117" t="s">
        <v>247</v>
      </c>
    </row>
    <row r="118" spans="2:11" x14ac:dyDescent="0.25">
      <c r="B118">
        <v>144</v>
      </c>
      <c r="C118">
        <v>136</v>
      </c>
      <c r="D118">
        <v>60</v>
      </c>
      <c r="E118">
        <v>1</v>
      </c>
      <c r="F118">
        <v>6</v>
      </c>
      <c r="G118">
        <v>8</v>
      </c>
      <c r="H118">
        <v>4</v>
      </c>
      <c r="I118">
        <v>0</v>
      </c>
      <c r="J118">
        <v>18</v>
      </c>
      <c r="K118" t="s">
        <v>243</v>
      </c>
    </row>
    <row r="119" spans="2:11" x14ac:dyDescent="0.25">
      <c r="B119">
        <v>145</v>
      </c>
      <c r="C119">
        <v>302</v>
      </c>
      <c r="D119">
        <v>140</v>
      </c>
      <c r="E119">
        <v>2</v>
      </c>
      <c r="F119">
        <v>6</v>
      </c>
      <c r="G119">
        <v>9</v>
      </c>
      <c r="H119">
        <v>1</v>
      </c>
      <c r="I119">
        <v>0</v>
      </c>
      <c r="J119">
        <v>16</v>
      </c>
      <c r="K119" t="s">
        <v>244</v>
      </c>
    </row>
    <row r="120" spans="2:11" x14ac:dyDescent="0.25">
      <c r="B120">
        <v>147</v>
      </c>
      <c r="C120">
        <v>277</v>
      </c>
      <c r="D120">
        <v>128</v>
      </c>
      <c r="E120">
        <v>2</v>
      </c>
      <c r="F120">
        <v>8</v>
      </c>
      <c r="G120">
        <v>3</v>
      </c>
      <c r="H120">
        <v>0</v>
      </c>
      <c r="I120">
        <v>0</v>
      </c>
      <c r="J120">
        <v>11</v>
      </c>
      <c r="K120" t="s">
        <v>248</v>
      </c>
    </row>
    <row r="121" spans="2:11" x14ac:dyDescent="0.25">
      <c r="B121">
        <v>148</v>
      </c>
      <c r="C121">
        <v>141</v>
      </c>
      <c r="D121">
        <v>62</v>
      </c>
      <c r="E121">
        <v>2</v>
      </c>
      <c r="F121">
        <v>23</v>
      </c>
      <c r="G121">
        <v>5</v>
      </c>
      <c r="H121">
        <v>1</v>
      </c>
      <c r="I121">
        <v>0</v>
      </c>
      <c r="J121">
        <v>29</v>
      </c>
      <c r="K121" t="s">
        <v>243</v>
      </c>
    </row>
    <row r="122" spans="2:11" x14ac:dyDescent="0.25">
      <c r="B122">
        <v>150</v>
      </c>
      <c r="C122">
        <v>21</v>
      </c>
      <c r="D122">
        <v>10</v>
      </c>
      <c r="E122">
        <v>2</v>
      </c>
      <c r="F122">
        <v>7</v>
      </c>
      <c r="G122">
        <v>4</v>
      </c>
      <c r="H122">
        <v>0</v>
      </c>
      <c r="I122">
        <v>0</v>
      </c>
      <c r="J122">
        <v>11</v>
      </c>
      <c r="K122" t="s">
        <v>241</v>
      </c>
    </row>
    <row r="123" spans="2:11" x14ac:dyDescent="0.25">
      <c r="B123">
        <v>151</v>
      </c>
      <c r="C123">
        <v>61</v>
      </c>
      <c r="D123">
        <v>32</v>
      </c>
      <c r="E123">
        <v>2</v>
      </c>
      <c r="F123">
        <v>12</v>
      </c>
      <c r="G123">
        <v>10</v>
      </c>
      <c r="H123">
        <v>1</v>
      </c>
      <c r="I123">
        <v>0</v>
      </c>
      <c r="J123">
        <v>23</v>
      </c>
      <c r="K123" t="s">
        <v>246</v>
      </c>
    </row>
    <row r="124" spans="2:11" x14ac:dyDescent="0.25">
      <c r="B124">
        <v>152</v>
      </c>
      <c r="C124">
        <v>76</v>
      </c>
      <c r="D124">
        <v>38</v>
      </c>
      <c r="E124">
        <v>2</v>
      </c>
      <c r="F124">
        <v>11</v>
      </c>
      <c r="G124">
        <v>17</v>
      </c>
      <c r="H124">
        <v>0</v>
      </c>
      <c r="I124">
        <v>0</v>
      </c>
      <c r="J124">
        <v>28</v>
      </c>
      <c r="K124" t="s">
        <v>241</v>
      </c>
    </row>
    <row r="125" spans="2:11" x14ac:dyDescent="0.25">
      <c r="B125">
        <v>153</v>
      </c>
      <c r="C125">
        <v>62</v>
      </c>
      <c r="D125">
        <v>33</v>
      </c>
      <c r="E125">
        <v>2</v>
      </c>
      <c r="F125">
        <v>13</v>
      </c>
      <c r="G125">
        <v>17</v>
      </c>
      <c r="H125">
        <v>0</v>
      </c>
      <c r="I125">
        <v>0</v>
      </c>
      <c r="J125">
        <v>30</v>
      </c>
      <c r="K125" t="s">
        <v>246</v>
      </c>
    </row>
    <row r="126" spans="2:11" x14ac:dyDescent="0.25">
      <c r="B126">
        <v>154</v>
      </c>
      <c r="C126">
        <v>4</v>
      </c>
      <c r="D126">
        <v>1</v>
      </c>
      <c r="E126">
        <v>2</v>
      </c>
      <c r="F126">
        <v>6</v>
      </c>
      <c r="G126">
        <v>6</v>
      </c>
      <c r="H126">
        <v>0</v>
      </c>
      <c r="I126">
        <v>0</v>
      </c>
      <c r="J126">
        <v>12</v>
      </c>
      <c r="K126" t="s">
        <v>246</v>
      </c>
    </row>
    <row r="127" spans="2:11" x14ac:dyDescent="0.25">
      <c r="B127">
        <v>155</v>
      </c>
      <c r="C127">
        <v>81</v>
      </c>
      <c r="D127">
        <v>38</v>
      </c>
      <c r="E127">
        <v>1</v>
      </c>
      <c r="F127">
        <v>17</v>
      </c>
      <c r="G127">
        <v>12</v>
      </c>
      <c r="H127">
        <v>0</v>
      </c>
      <c r="I127">
        <v>0</v>
      </c>
      <c r="J127">
        <v>29</v>
      </c>
      <c r="K127" t="s">
        <v>248</v>
      </c>
    </row>
    <row r="128" spans="2:11" x14ac:dyDescent="0.25">
      <c r="B128">
        <v>156</v>
      </c>
      <c r="C128">
        <v>96</v>
      </c>
      <c r="D128">
        <v>48</v>
      </c>
      <c r="E128">
        <v>1</v>
      </c>
      <c r="F128">
        <v>2</v>
      </c>
      <c r="G128">
        <v>1</v>
      </c>
      <c r="H128">
        <v>0</v>
      </c>
      <c r="I128">
        <v>0</v>
      </c>
      <c r="J128">
        <v>3</v>
      </c>
      <c r="K128" t="s">
        <v>246</v>
      </c>
    </row>
    <row r="129" spans="2:11" x14ac:dyDescent="0.25">
      <c r="B129">
        <v>157</v>
      </c>
      <c r="C129">
        <v>166</v>
      </c>
      <c r="D129">
        <v>71</v>
      </c>
      <c r="E129">
        <v>2</v>
      </c>
      <c r="F129">
        <v>6</v>
      </c>
      <c r="G129">
        <v>12</v>
      </c>
      <c r="H129">
        <v>0</v>
      </c>
      <c r="I129">
        <v>0</v>
      </c>
      <c r="J129">
        <v>18</v>
      </c>
      <c r="K129" t="s">
        <v>248</v>
      </c>
    </row>
    <row r="130" spans="2:11" x14ac:dyDescent="0.25">
      <c r="B130">
        <v>158</v>
      </c>
      <c r="C130">
        <v>143</v>
      </c>
      <c r="D130">
        <v>63</v>
      </c>
      <c r="E130">
        <v>2</v>
      </c>
      <c r="F130">
        <v>8</v>
      </c>
      <c r="G130">
        <v>2</v>
      </c>
      <c r="H130">
        <v>0</v>
      </c>
      <c r="I130">
        <v>0</v>
      </c>
      <c r="J130">
        <v>10</v>
      </c>
      <c r="K130" t="s">
        <v>246</v>
      </c>
    </row>
    <row r="131" spans="2:11" x14ac:dyDescent="0.25">
      <c r="B131">
        <v>159</v>
      </c>
      <c r="C131">
        <v>164</v>
      </c>
      <c r="D131">
        <v>70</v>
      </c>
      <c r="E131">
        <v>2</v>
      </c>
      <c r="F131">
        <v>11</v>
      </c>
      <c r="G131">
        <v>5</v>
      </c>
      <c r="H131">
        <v>0</v>
      </c>
      <c r="I131">
        <v>0</v>
      </c>
      <c r="J131">
        <v>16</v>
      </c>
      <c r="K131" t="s">
        <v>246</v>
      </c>
    </row>
    <row r="132" spans="2:11" x14ac:dyDescent="0.25">
      <c r="B132">
        <v>160</v>
      </c>
      <c r="C132">
        <v>124</v>
      </c>
      <c r="D132">
        <v>56</v>
      </c>
      <c r="E132">
        <v>2</v>
      </c>
      <c r="F132">
        <v>15</v>
      </c>
      <c r="G132">
        <v>3</v>
      </c>
      <c r="H132">
        <v>0</v>
      </c>
      <c r="I132">
        <v>0</v>
      </c>
      <c r="J132">
        <v>18</v>
      </c>
      <c r="K132" t="s">
        <v>248</v>
      </c>
    </row>
    <row r="133" spans="2:11" x14ac:dyDescent="0.25">
      <c r="B133">
        <v>161</v>
      </c>
      <c r="C133">
        <v>163</v>
      </c>
      <c r="D133">
        <v>69</v>
      </c>
      <c r="E133">
        <v>2</v>
      </c>
      <c r="F133">
        <v>5</v>
      </c>
      <c r="G133">
        <v>9</v>
      </c>
      <c r="H133">
        <v>0</v>
      </c>
      <c r="I133">
        <v>0</v>
      </c>
      <c r="J133">
        <v>14</v>
      </c>
      <c r="K133" t="s">
        <v>246</v>
      </c>
    </row>
    <row r="134" spans="2:11" x14ac:dyDescent="0.25">
      <c r="B134">
        <v>162</v>
      </c>
      <c r="C134">
        <v>141</v>
      </c>
      <c r="D134">
        <v>62</v>
      </c>
      <c r="E134">
        <v>1</v>
      </c>
      <c r="F134">
        <v>28</v>
      </c>
      <c r="G134">
        <v>4</v>
      </c>
      <c r="H134">
        <v>2</v>
      </c>
      <c r="I134">
        <v>0</v>
      </c>
      <c r="J134">
        <v>34</v>
      </c>
      <c r="K134" t="s">
        <v>249</v>
      </c>
    </row>
    <row r="135" spans="2:11" x14ac:dyDescent="0.25">
      <c r="B135">
        <v>5202</v>
      </c>
      <c r="C135">
        <v>212</v>
      </c>
      <c r="D135">
        <v>94</v>
      </c>
      <c r="E135">
        <v>3</v>
      </c>
      <c r="F135">
        <v>1</v>
      </c>
      <c r="G135">
        <v>23</v>
      </c>
      <c r="H135">
        <v>0</v>
      </c>
      <c r="I135">
        <v>0</v>
      </c>
      <c r="J135">
        <v>24</v>
      </c>
      <c r="K135" t="s">
        <v>245</v>
      </c>
    </row>
    <row r="136" spans="2:11" x14ac:dyDescent="0.25">
      <c r="B136">
        <v>5203</v>
      </c>
      <c r="C136">
        <v>196</v>
      </c>
      <c r="D136">
        <v>86</v>
      </c>
      <c r="E136">
        <v>4</v>
      </c>
      <c r="F136">
        <v>13</v>
      </c>
      <c r="G136">
        <v>8</v>
      </c>
      <c r="H136">
        <v>0</v>
      </c>
      <c r="I136">
        <v>0</v>
      </c>
      <c r="J136">
        <v>21</v>
      </c>
      <c r="K136" t="s">
        <v>246</v>
      </c>
    </row>
    <row r="137" spans="2:11" x14ac:dyDescent="0.25">
      <c r="B137">
        <v>5201</v>
      </c>
      <c r="C137">
        <v>181</v>
      </c>
      <c r="D137">
        <v>78</v>
      </c>
      <c r="E137">
        <v>9</v>
      </c>
      <c r="F137">
        <v>2</v>
      </c>
      <c r="G137">
        <v>2</v>
      </c>
      <c r="H137">
        <v>1</v>
      </c>
      <c r="I137">
        <v>0</v>
      </c>
      <c r="J137">
        <v>5</v>
      </c>
      <c r="K137" t="s">
        <v>241</v>
      </c>
    </row>
    <row r="138" spans="2:11" x14ac:dyDescent="0.25">
      <c r="B138">
        <v>5206</v>
      </c>
      <c r="C138">
        <v>181</v>
      </c>
      <c r="D138">
        <v>78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241</v>
      </c>
    </row>
    <row r="139" spans="2:11" x14ac:dyDescent="0.25">
      <c r="B139">
        <v>5205</v>
      </c>
      <c r="C139">
        <v>196</v>
      </c>
      <c r="D139">
        <v>86</v>
      </c>
      <c r="E139">
        <v>5</v>
      </c>
      <c r="F139">
        <v>14</v>
      </c>
      <c r="G139">
        <v>11</v>
      </c>
      <c r="H139">
        <v>0</v>
      </c>
      <c r="I139">
        <v>0</v>
      </c>
      <c r="J139">
        <v>25</v>
      </c>
      <c r="K139" t="s">
        <v>246</v>
      </c>
    </row>
    <row r="140" spans="2:11" x14ac:dyDescent="0.25">
      <c r="B140">
        <v>5207</v>
      </c>
      <c r="C140">
        <v>181</v>
      </c>
      <c r="D140">
        <v>78</v>
      </c>
      <c r="E140">
        <v>11</v>
      </c>
      <c r="F140">
        <v>8</v>
      </c>
      <c r="G140">
        <v>2</v>
      </c>
      <c r="H140">
        <v>0</v>
      </c>
      <c r="I140">
        <v>0</v>
      </c>
      <c r="J140">
        <v>10</v>
      </c>
      <c r="K140" t="s">
        <v>241</v>
      </c>
    </row>
    <row r="141" spans="2:11" x14ac:dyDescent="0.25">
      <c r="B141">
        <v>5208</v>
      </c>
      <c r="C141">
        <v>196</v>
      </c>
      <c r="D141">
        <v>86</v>
      </c>
      <c r="E141">
        <v>6</v>
      </c>
      <c r="F141">
        <v>11</v>
      </c>
      <c r="G141">
        <v>10</v>
      </c>
      <c r="H141">
        <v>2</v>
      </c>
      <c r="I141">
        <v>0</v>
      </c>
      <c r="J141">
        <v>23</v>
      </c>
      <c r="K141" t="s">
        <v>246</v>
      </c>
    </row>
    <row r="142" spans="2:11" x14ac:dyDescent="0.25">
      <c r="B142">
        <v>5209</v>
      </c>
      <c r="C142">
        <v>212</v>
      </c>
      <c r="D142">
        <v>94</v>
      </c>
      <c r="E142">
        <v>5</v>
      </c>
      <c r="F142">
        <v>2</v>
      </c>
      <c r="G142">
        <v>13</v>
      </c>
      <c r="H142">
        <v>0</v>
      </c>
      <c r="I142">
        <v>0</v>
      </c>
      <c r="J142">
        <v>15</v>
      </c>
      <c r="K142" t="s">
        <v>245</v>
      </c>
    </row>
    <row r="143" spans="2:11" x14ac:dyDescent="0.25">
      <c r="B143">
        <v>163</v>
      </c>
      <c r="C143">
        <v>78</v>
      </c>
      <c r="D143">
        <v>40</v>
      </c>
      <c r="E143">
        <v>2</v>
      </c>
      <c r="F143">
        <v>6</v>
      </c>
      <c r="G143">
        <v>3</v>
      </c>
      <c r="H143">
        <v>1</v>
      </c>
      <c r="I143">
        <v>0</v>
      </c>
      <c r="J143">
        <v>10</v>
      </c>
      <c r="K143" t="s">
        <v>241</v>
      </c>
    </row>
    <row r="144" spans="2:11" x14ac:dyDescent="0.25">
      <c r="B144">
        <v>164</v>
      </c>
      <c r="C144">
        <v>147</v>
      </c>
      <c r="D144">
        <v>66</v>
      </c>
      <c r="E144">
        <v>1</v>
      </c>
      <c r="F144">
        <v>36</v>
      </c>
      <c r="G144">
        <v>1</v>
      </c>
      <c r="H144">
        <v>0</v>
      </c>
      <c r="I144">
        <v>0</v>
      </c>
      <c r="J144">
        <v>37</v>
      </c>
      <c r="K144" t="s">
        <v>249</v>
      </c>
    </row>
    <row r="145" spans="2:11" x14ac:dyDescent="0.25">
      <c r="B145">
        <v>165</v>
      </c>
      <c r="C145">
        <v>44</v>
      </c>
      <c r="D145">
        <v>22</v>
      </c>
      <c r="E145">
        <v>2</v>
      </c>
      <c r="F145">
        <v>2</v>
      </c>
      <c r="G145">
        <v>3</v>
      </c>
      <c r="H145">
        <v>0</v>
      </c>
      <c r="I145">
        <v>0</v>
      </c>
      <c r="J145">
        <v>5</v>
      </c>
      <c r="K145" t="s">
        <v>241</v>
      </c>
    </row>
    <row r="146" spans="2:11" x14ac:dyDescent="0.25">
      <c r="B146">
        <v>166</v>
      </c>
      <c r="C146">
        <v>63</v>
      </c>
      <c r="D146">
        <v>34</v>
      </c>
      <c r="E146">
        <v>2</v>
      </c>
      <c r="F146">
        <v>12</v>
      </c>
      <c r="G146">
        <v>1</v>
      </c>
      <c r="H146">
        <v>1</v>
      </c>
      <c r="I146">
        <v>0</v>
      </c>
      <c r="J146">
        <v>14</v>
      </c>
      <c r="K146" t="s">
        <v>241</v>
      </c>
    </row>
    <row r="147" spans="2:11" x14ac:dyDescent="0.25">
      <c r="B147">
        <v>167</v>
      </c>
      <c r="C147">
        <v>140</v>
      </c>
      <c r="D147">
        <v>62</v>
      </c>
      <c r="E147">
        <v>2</v>
      </c>
      <c r="F147">
        <v>28</v>
      </c>
      <c r="G147">
        <v>2</v>
      </c>
      <c r="H147">
        <v>2</v>
      </c>
      <c r="I147">
        <v>0</v>
      </c>
      <c r="J147">
        <v>32</v>
      </c>
      <c r="K147" t="s">
        <v>249</v>
      </c>
    </row>
    <row r="148" spans="2:11" x14ac:dyDescent="0.25">
      <c r="B148">
        <v>174</v>
      </c>
      <c r="C148">
        <v>53</v>
      </c>
      <c r="D148">
        <v>27</v>
      </c>
      <c r="E148">
        <v>2</v>
      </c>
      <c r="F148">
        <v>7</v>
      </c>
      <c r="G148">
        <v>4</v>
      </c>
      <c r="H148">
        <v>0</v>
      </c>
      <c r="I148">
        <v>0</v>
      </c>
      <c r="J148">
        <v>11</v>
      </c>
      <c r="K148" t="s">
        <v>243</v>
      </c>
    </row>
    <row r="149" spans="2:11" x14ac:dyDescent="0.25">
      <c r="B149">
        <v>175</v>
      </c>
      <c r="C149">
        <v>310</v>
      </c>
      <c r="D149">
        <v>144</v>
      </c>
      <c r="E149">
        <v>2</v>
      </c>
      <c r="F149">
        <v>12</v>
      </c>
      <c r="G149">
        <v>15</v>
      </c>
      <c r="H149">
        <v>0</v>
      </c>
      <c r="I149">
        <v>0</v>
      </c>
      <c r="J149">
        <v>27</v>
      </c>
      <c r="K149" t="s">
        <v>247</v>
      </c>
    </row>
    <row r="150" spans="2:11" x14ac:dyDescent="0.25">
      <c r="B150">
        <v>176</v>
      </c>
      <c r="C150">
        <v>56</v>
      </c>
      <c r="D150">
        <v>29</v>
      </c>
      <c r="E150">
        <v>2</v>
      </c>
      <c r="F150">
        <v>2</v>
      </c>
      <c r="G150">
        <v>6</v>
      </c>
      <c r="H150">
        <v>0</v>
      </c>
      <c r="I150">
        <v>0</v>
      </c>
      <c r="J150">
        <v>8</v>
      </c>
      <c r="K150" t="s">
        <v>245</v>
      </c>
    </row>
    <row r="151" spans="2:11" x14ac:dyDescent="0.25">
      <c r="B151">
        <v>177</v>
      </c>
      <c r="C151">
        <v>55</v>
      </c>
      <c r="D151">
        <v>29</v>
      </c>
      <c r="E151">
        <v>2</v>
      </c>
      <c r="F151">
        <v>1</v>
      </c>
      <c r="G151">
        <v>9</v>
      </c>
      <c r="H151">
        <v>0</v>
      </c>
      <c r="I151">
        <v>0</v>
      </c>
      <c r="J151">
        <v>10</v>
      </c>
      <c r="K151" t="s">
        <v>243</v>
      </c>
    </row>
    <row r="152" spans="2:11" x14ac:dyDescent="0.25">
      <c r="B152">
        <v>178</v>
      </c>
      <c r="C152">
        <v>79</v>
      </c>
      <c r="D152">
        <v>41</v>
      </c>
      <c r="E152">
        <v>2</v>
      </c>
      <c r="F152">
        <v>3</v>
      </c>
      <c r="G152">
        <v>8</v>
      </c>
      <c r="H152">
        <v>2</v>
      </c>
      <c r="I152">
        <v>0</v>
      </c>
      <c r="J152">
        <v>13</v>
      </c>
      <c r="K152" t="s">
        <v>245</v>
      </c>
    </row>
    <row r="153" spans="2:11" x14ac:dyDescent="0.25">
      <c r="B153">
        <v>180</v>
      </c>
      <c r="C153">
        <v>54</v>
      </c>
      <c r="D153">
        <v>28</v>
      </c>
      <c r="E153">
        <v>2</v>
      </c>
      <c r="F153">
        <v>9</v>
      </c>
      <c r="G153">
        <v>1</v>
      </c>
      <c r="H153">
        <v>1</v>
      </c>
      <c r="I153">
        <v>0</v>
      </c>
      <c r="J153">
        <v>11</v>
      </c>
      <c r="K153" t="s">
        <v>243</v>
      </c>
    </row>
    <row r="154" spans="2:11" x14ac:dyDescent="0.25">
      <c r="B154">
        <v>182</v>
      </c>
      <c r="C154">
        <v>57</v>
      </c>
      <c r="D154">
        <v>29</v>
      </c>
      <c r="E154">
        <v>2</v>
      </c>
      <c r="F154">
        <v>10</v>
      </c>
      <c r="G154">
        <v>9</v>
      </c>
      <c r="H154">
        <v>0</v>
      </c>
      <c r="I154">
        <v>0</v>
      </c>
      <c r="J154">
        <v>19</v>
      </c>
      <c r="K154" t="s">
        <v>243</v>
      </c>
    </row>
    <row r="155" spans="2:11" x14ac:dyDescent="0.25">
      <c r="B155">
        <v>183</v>
      </c>
      <c r="C155">
        <v>64</v>
      </c>
      <c r="D155">
        <v>35</v>
      </c>
      <c r="E155">
        <v>2</v>
      </c>
      <c r="F155">
        <v>7</v>
      </c>
      <c r="G155">
        <v>20</v>
      </c>
      <c r="H155">
        <v>1</v>
      </c>
      <c r="I155">
        <v>0</v>
      </c>
      <c r="J155">
        <v>28</v>
      </c>
      <c r="K155" t="s">
        <v>245</v>
      </c>
    </row>
    <row r="156" spans="2:11" x14ac:dyDescent="0.25">
      <c r="B156">
        <v>184</v>
      </c>
      <c r="C156">
        <v>307</v>
      </c>
      <c r="D156">
        <v>142</v>
      </c>
      <c r="E156">
        <v>2</v>
      </c>
      <c r="F156">
        <v>3</v>
      </c>
      <c r="G156">
        <v>9</v>
      </c>
      <c r="H156">
        <v>0</v>
      </c>
      <c r="I156">
        <v>0</v>
      </c>
      <c r="J156">
        <v>12</v>
      </c>
      <c r="K156" t="s">
        <v>247</v>
      </c>
    </row>
    <row r="157" spans="2:11" x14ac:dyDescent="0.25">
      <c r="B157">
        <v>185</v>
      </c>
      <c r="C157">
        <v>59</v>
      </c>
      <c r="D157">
        <v>30</v>
      </c>
      <c r="E157">
        <v>2</v>
      </c>
      <c r="F157">
        <v>15</v>
      </c>
      <c r="G157">
        <v>15</v>
      </c>
      <c r="H157">
        <v>0</v>
      </c>
      <c r="I157">
        <v>0</v>
      </c>
      <c r="J157">
        <v>30</v>
      </c>
      <c r="K157" t="s">
        <v>243</v>
      </c>
    </row>
    <row r="158" spans="2:11" x14ac:dyDescent="0.25">
      <c r="B158">
        <v>186</v>
      </c>
      <c r="C158">
        <v>298</v>
      </c>
      <c r="D158">
        <v>137</v>
      </c>
      <c r="E158">
        <v>2</v>
      </c>
      <c r="F158">
        <v>4</v>
      </c>
      <c r="G158">
        <v>12</v>
      </c>
      <c r="H158">
        <v>0</v>
      </c>
      <c r="I158">
        <v>0</v>
      </c>
      <c r="J158">
        <v>16</v>
      </c>
      <c r="K158" t="s">
        <v>247</v>
      </c>
    </row>
    <row r="159" spans="2:11" x14ac:dyDescent="0.25">
      <c r="B159">
        <v>187</v>
      </c>
      <c r="C159">
        <v>145</v>
      </c>
      <c r="D159">
        <v>65</v>
      </c>
      <c r="E159">
        <v>2</v>
      </c>
      <c r="F159">
        <v>9</v>
      </c>
      <c r="G159">
        <v>8</v>
      </c>
      <c r="H159">
        <v>0</v>
      </c>
      <c r="I159">
        <v>0</v>
      </c>
      <c r="J159">
        <v>17</v>
      </c>
      <c r="K159" t="s">
        <v>246</v>
      </c>
    </row>
    <row r="160" spans="2:11" x14ac:dyDescent="0.25">
      <c r="B160">
        <v>188</v>
      </c>
      <c r="C160">
        <v>171</v>
      </c>
      <c r="D160">
        <v>73</v>
      </c>
      <c r="E160">
        <v>2</v>
      </c>
      <c r="F160">
        <v>6</v>
      </c>
      <c r="G160">
        <v>4</v>
      </c>
      <c r="H160">
        <v>0</v>
      </c>
      <c r="I160">
        <v>0</v>
      </c>
      <c r="J160">
        <v>10</v>
      </c>
      <c r="K160" t="s">
        <v>249</v>
      </c>
    </row>
    <row r="161" spans="2:11" x14ac:dyDescent="0.25">
      <c r="B161">
        <v>189</v>
      </c>
      <c r="C161">
        <v>147</v>
      </c>
      <c r="D161">
        <v>66</v>
      </c>
      <c r="E161">
        <v>2</v>
      </c>
      <c r="F161">
        <v>18</v>
      </c>
      <c r="G161">
        <v>4</v>
      </c>
      <c r="H161">
        <v>0</v>
      </c>
      <c r="I161">
        <v>0</v>
      </c>
      <c r="J161">
        <v>22</v>
      </c>
      <c r="K161" t="s">
        <v>241</v>
      </c>
    </row>
    <row r="162" spans="2:11" x14ac:dyDescent="0.25">
      <c r="B162">
        <v>190</v>
      </c>
      <c r="C162">
        <v>125</v>
      </c>
      <c r="D162">
        <v>56</v>
      </c>
      <c r="E162">
        <v>2</v>
      </c>
      <c r="F162">
        <v>4</v>
      </c>
      <c r="G162">
        <v>3</v>
      </c>
      <c r="H162">
        <v>0</v>
      </c>
      <c r="I162">
        <v>0</v>
      </c>
      <c r="J162">
        <v>7</v>
      </c>
      <c r="K162" t="s">
        <v>246</v>
      </c>
    </row>
    <row r="163" spans="2:11" x14ac:dyDescent="0.25">
      <c r="B163">
        <v>192</v>
      </c>
      <c r="C163">
        <v>173</v>
      </c>
      <c r="D163">
        <v>75</v>
      </c>
      <c r="E163">
        <v>2</v>
      </c>
      <c r="F163">
        <v>8</v>
      </c>
      <c r="G163">
        <v>10</v>
      </c>
      <c r="H163">
        <v>0</v>
      </c>
      <c r="I163">
        <v>0</v>
      </c>
      <c r="J163">
        <v>18</v>
      </c>
      <c r="K163" t="s">
        <v>246</v>
      </c>
    </row>
    <row r="164" spans="2:11" x14ac:dyDescent="0.25">
      <c r="B164">
        <v>193</v>
      </c>
      <c r="C164">
        <v>146</v>
      </c>
      <c r="D164">
        <v>65</v>
      </c>
      <c r="E164">
        <v>2</v>
      </c>
      <c r="F164">
        <v>30</v>
      </c>
      <c r="G164">
        <v>19</v>
      </c>
      <c r="H164">
        <v>0</v>
      </c>
      <c r="I164">
        <v>0</v>
      </c>
      <c r="J164">
        <v>49</v>
      </c>
      <c r="K164" t="s">
        <v>249</v>
      </c>
    </row>
    <row r="165" spans="2:11" x14ac:dyDescent="0.25">
      <c r="B165">
        <v>195</v>
      </c>
      <c r="C165">
        <v>237</v>
      </c>
      <c r="D165">
        <v>104</v>
      </c>
      <c r="E165">
        <v>3</v>
      </c>
      <c r="F165">
        <v>11</v>
      </c>
      <c r="G165">
        <v>2</v>
      </c>
      <c r="H165">
        <v>0</v>
      </c>
      <c r="I165">
        <v>0</v>
      </c>
      <c r="J165">
        <v>13</v>
      </c>
      <c r="K165" t="s">
        <v>247</v>
      </c>
    </row>
    <row r="166" spans="2:11" x14ac:dyDescent="0.25">
      <c r="B166">
        <v>196</v>
      </c>
      <c r="C166">
        <v>238</v>
      </c>
      <c r="D166">
        <v>105</v>
      </c>
      <c r="E166">
        <v>2</v>
      </c>
      <c r="F166">
        <v>10</v>
      </c>
      <c r="G166">
        <v>5</v>
      </c>
      <c r="H166">
        <v>2</v>
      </c>
      <c r="I166">
        <v>0</v>
      </c>
      <c r="J166">
        <v>17</v>
      </c>
      <c r="K166" t="s">
        <v>241</v>
      </c>
    </row>
    <row r="167" spans="2:11" x14ac:dyDescent="0.25">
      <c r="B167">
        <v>197</v>
      </c>
      <c r="C167">
        <v>256</v>
      </c>
      <c r="D167">
        <v>117</v>
      </c>
      <c r="E167">
        <v>1</v>
      </c>
      <c r="F167">
        <v>5</v>
      </c>
      <c r="G167">
        <v>4</v>
      </c>
      <c r="H167">
        <v>1</v>
      </c>
      <c r="I167">
        <v>0</v>
      </c>
      <c r="J167">
        <v>10</v>
      </c>
      <c r="K167" t="s">
        <v>248</v>
      </c>
    </row>
    <row r="168" spans="2:11" x14ac:dyDescent="0.25">
      <c r="B168">
        <v>198</v>
      </c>
      <c r="C168">
        <v>295</v>
      </c>
      <c r="D168">
        <v>136</v>
      </c>
      <c r="E168">
        <v>2</v>
      </c>
      <c r="F168">
        <v>10</v>
      </c>
      <c r="G168">
        <v>2</v>
      </c>
      <c r="H168">
        <v>0</v>
      </c>
      <c r="I168">
        <v>0</v>
      </c>
      <c r="J168">
        <v>12</v>
      </c>
      <c r="K168" t="s">
        <v>247</v>
      </c>
    </row>
    <row r="169" spans="2:11" x14ac:dyDescent="0.25">
      <c r="B169">
        <v>199</v>
      </c>
      <c r="C169">
        <v>256</v>
      </c>
      <c r="D169">
        <v>117</v>
      </c>
      <c r="E169">
        <v>2</v>
      </c>
      <c r="F169">
        <v>3</v>
      </c>
      <c r="G169">
        <v>5</v>
      </c>
      <c r="H169">
        <v>0</v>
      </c>
      <c r="I169">
        <v>0</v>
      </c>
      <c r="J169">
        <v>8</v>
      </c>
      <c r="K169" t="s">
        <v>248</v>
      </c>
    </row>
    <row r="170" spans="2:11" x14ac:dyDescent="0.25">
      <c r="B170">
        <v>200</v>
      </c>
      <c r="C170">
        <v>308</v>
      </c>
      <c r="D170">
        <v>143</v>
      </c>
      <c r="E170">
        <v>2</v>
      </c>
      <c r="F170">
        <v>2</v>
      </c>
      <c r="G170">
        <v>6</v>
      </c>
      <c r="H170">
        <v>0</v>
      </c>
      <c r="I170">
        <v>0</v>
      </c>
      <c r="J170">
        <v>8</v>
      </c>
      <c r="K170" t="s">
        <v>246</v>
      </c>
    </row>
    <row r="171" spans="2:11" x14ac:dyDescent="0.25">
      <c r="B171">
        <v>201</v>
      </c>
      <c r="C171">
        <v>325</v>
      </c>
      <c r="D171">
        <v>151</v>
      </c>
      <c r="E171">
        <v>2</v>
      </c>
      <c r="F171">
        <v>15</v>
      </c>
      <c r="G171">
        <v>15</v>
      </c>
      <c r="H171">
        <v>0</v>
      </c>
      <c r="I171">
        <v>0</v>
      </c>
      <c r="J171">
        <v>30</v>
      </c>
      <c r="K171" t="s">
        <v>241</v>
      </c>
    </row>
    <row r="172" spans="2:11" x14ac:dyDescent="0.25">
      <c r="B172">
        <v>202</v>
      </c>
      <c r="C172">
        <v>294</v>
      </c>
      <c r="D172">
        <v>136</v>
      </c>
      <c r="E172">
        <v>2</v>
      </c>
      <c r="F172">
        <v>16</v>
      </c>
      <c r="G172">
        <v>1</v>
      </c>
      <c r="H172">
        <v>0</v>
      </c>
      <c r="I172">
        <v>0</v>
      </c>
      <c r="J172">
        <v>17</v>
      </c>
      <c r="K172" t="s">
        <v>247</v>
      </c>
    </row>
    <row r="173" spans="2:11" x14ac:dyDescent="0.25">
      <c r="B173">
        <v>203</v>
      </c>
      <c r="C173">
        <v>315</v>
      </c>
      <c r="D173">
        <v>145</v>
      </c>
      <c r="E173">
        <v>2</v>
      </c>
      <c r="F173">
        <v>4</v>
      </c>
      <c r="G173">
        <v>12</v>
      </c>
      <c r="H173">
        <v>0</v>
      </c>
      <c r="I173">
        <v>0</v>
      </c>
      <c r="J173">
        <v>16</v>
      </c>
      <c r="K173" t="s">
        <v>246</v>
      </c>
    </row>
    <row r="174" spans="2:11" x14ac:dyDescent="0.25">
      <c r="B174">
        <v>204</v>
      </c>
      <c r="C174">
        <v>326</v>
      </c>
      <c r="D174">
        <v>151</v>
      </c>
      <c r="E174">
        <v>2</v>
      </c>
      <c r="F174">
        <v>15</v>
      </c>
      <c r="G174">
        <v>8</v>
      </c>
      <c r="H174">
        <v>0</v>
      </c>
      <c r="I174">
        <v>0</v>
      </c>
      <c r="J174">
        <v>23</v>
      </c>
      <c r="K174" t="s">
        <v>241</v>
      </c>
    </row>
    <row r="175" spans="2:11" x14ac:dyDescent="0.25">
      <c r="B175">
        <v>205</v>
      </c>
      <c r="C175">
        <v>292</v>
      </c>
      <c r="D175">
        <v>135</v>
      </c>
      <c r="E175">
        <v>2</v>
      </c>
      <c r="F175">
        <v>16</v>
      </c>
      <c r="G175">
        <v>0</v>
      </c>
      <c r="H175">
        <v>0</v>
      </c>
      <c r="I175">
        <v>0</v>
      </c>
      <c r="J175">
        <v>16</v>
      </c>
      <c r="K175" t="s">
        <v>247</v>
      </c>
    </row>
    <row r="176" spans="2:11" x14ac:dyDescent="0.25">
      <c r="B176">
        <v>206</v>
      </c>
      <c r="C176">
        <v>330</v>
      </c>
      <c r="D176">
        <v>152</v>
      </c>
      <c r="E176">
        <v>2</v>
      </c>
      <c r="F176">
        <v>6</v>
      </c>
      <c r="G176">
        <v>14</v>
      </c>
      <c r="H176">
        <v>0</v>
      </c>
      <c r="I176">
        <v>0</v>
      </c>
      <c r="J176">
        <v>20</v>
      </c>
      <c r="K176" t="s">
        <v>241</v>
      </c>
    </row>
    <row r="177" spans="2:11" x14ac:dyDescent="0.25">
      <c r="B177">
        <v>207</v>
      </c>
      <c r="C177">
        <v>313</v>
      </c>
      <c r="D177">
        <v>144</v>
      </c>
      <c r="E177">
        <v>2</v>
      </c>
      <c r="F177">
        <v>5</v>
      </c>
      <c r="G177">
        <v>8</v>
      </c>
      <c r="H177">
        <v>0</v>
      </c>
      <c r="I177">
        <v>0</v>
      </c>
      <c r="J177">
        <v>13</v>
      </c>
      <c r="K177" t="s">
        <v>246</v>
      </c>
    </row>
    <row r="178" spans="2:11" x14ac:dyDescent="0.25">
      <c r="B178">
        <v>208</v>
      </c>
      <c r="C178">
        <v>330</v>
      </c>
      <c r="D178">
        <v>152</v>
      </c>
      <c r="E178">
        <v>1</v>
      </c>
      <c r="F178">
        <v>9</v>
      </c>
      <c r="G178">
        <v>15</v>
      </c>
      <c r="H178">
        <v>0</v>
      </c>
      <c r="I178">
        <v>0</v>
      </c>
      <c r="J178">
        <v>24</v>
      </c>
      <c r="K178" t="s">
        <v>243</v>
      </c>
    </row>
    <row r="179" spans="2:11" x14ac:dyDescent="0.25">
      <c r="B179">
        <v>210</v>
      </c>
      <c r="C179">
        <v>258</v>
      </c>
      <c r="D179">
        <v>118</v>
      </c>
      <c r="E179">
        <v>2</v>
      </c>
      <c r="F179">
        <v>5</v>
      </c>
      <c r="G179">
        <v>0</v>
      </c>
      <c r="H179">
        <v>0</v>
      </c>
      <c r="I179">
        <v>0</v>
      </c>
      <c r="J179">
        <v>5</v>
      </c>
      <c r="K179" t="s">
        <v>248</v>
      </c>
    </row>
    <row r="180" spans="2:11" x14ac:dyDescent="0.25">
      <c r="B180">
        <v>212</v>
      </c>
      <c r="C180">
        <v>278</v>
      </c>
      <c r="D180">
        <v>129</v>
      </c>
      <c r="E180">
        <v>1</v>
      </c>
      <c r="F180">
        <v>10</v>
      </c>
      <c r="G180">
        <v>17</v>
      </c>
      <c r="H180">
        <v>0</v>
      </c>
      <c r="I180">
        <v>0</v>
      </c>
      <c r="J180">
        <v>27</v>
      </c>
      <c r="K180" t="s">
        <v>243</v>
      </c>
    </row>
    <row r="181" spans="2:11" x14ac:dyDescent="0.25">
      <c r="B181">
        <v>213</v>
      </c>
      <c r="C181">
        <v>258</v>
      </c>
      <c r="D181">
        <v>118</v>
      </c>
      <c r="E181">
        <v>1</v>
      </c>
      <c r="F181">
        <v>5</v>
      </c>
      <c r="G181">
        <v>1</v>
      </c>
      <c r="H181">
        <v>0</v>
      </c>
      <c r="I181">
        <v>0</v>
      </c>
      <c r="J181">
        <v>6</v>
      </c>
      <c r="K181" t="s">
        <v>248</v>
      </c>
    </row>
    <row r="182" spans="2:11" x14ac:dyDescent="0.25">
      <c r="B182">
        <v>214</v>
      </c>
      <c r="C182">
        <v>257</v>
      </c>
      <c r="D182">
        <v>117</v>
      </c>
      <c r="E182">
        <v>2</v>
      </c>
      <c r="F182">
        <v>3</v>
      </c>
      <c r="G182">
        <v>2</v>
      </c>
      <c r="H182">
        <v>0</v>
      </c>
      <c r="I182">
        <v>0</v>
      </c>
      <c r="J182">
        <v>5</v>
      </c>
      <c r="K182" t="s">
        <v>248</v>
      </c>
    </row>
    <row r="183" spans="2:11" x14ac:dyDescent="0.25">
      <c r="B183">
        <v>216</v>
      </c>
      <c r="C183">
        <v>257</v>
      </c>
      <c r="D183">
        <v>117</v>
      </c>
      <c r="E183">
        <v>1</v>
      </c>
      <c r="F183">
        <v>2</v>
      </c>
      <c r="G183">
        <v>0</v>
      </c>
      <c r="H183">
        <v>0</v>
      </c>
      <c r="I183">
        <v>0</v>
      </c>
      <c r="J183">
        <v>2</v>
      </c>
      <c r="K183" t="s">
        <v>248</v>
      </c>
    </row>
    <row r="184" spans="2:11" x14ac:dyDescent="0.25">
      <c r="B184">
        <v>217</v>
      </c>
      <c r="C184">
        <v>31</v>
      </c>
      <c r="D184">
        <v>17</v>
      </c>
      <c r="E184">
        <v>3</v>
      </c>
      <c r="F184">
        <v>6</v>
      </c>
      <c r="G184">
        <v>5</v>
      </c>
      <c r="H184">
        <v>0</v>
      </c>
      <c r="I184">
        <v>0</v>
      </c>
      <c r="J184">
        <v>11</v>
      </c>
      <c r="K184" t="s">
        <v>247</v>
      </c>
    </row>
    <row r="185" spans="2:11" x14ac:dyDescent="0.25">
      <c r="B185">
        <v>221</v>
      </c>
      <c r="C185">
        <v>6</v>
      </c>
      <c r="D185">
        <v>2</v>
      </c>
      <c r="E185">
        <v>2</v>
      </c>
      <c r="F185">
        <v>10</v>
      </c>
      <c r="G185">
        <v>5</v>
      </c>
      <c r="H185">
        <v>0</v>
      </c>
      <c r="I185">
        <v>0</v>
      </c>
      <c r="J185">
        <v>15</v>
      </c>
      <c r="K185" t="s">
        <v>247</v>
      </c>
    </row>
    <row r="186" spans="2:11" x14ac:dyDescent="0.25">
      <c r="B186">
        <v>222</v>
      </c>
      <c r="C186">
        <v>67</v>
      </c>
      <c r="D186">
        <v>35</v>
      </c>
      <c r="E186">
        <v>2</v>
      </c>
      <c r="F186">
        <v>14</v>
      </c>
      <c r="G186">
        <v>8</v>
      </c>
      <c r="H186">
        <v>8</v>
      </c>
      <c r="I186">
        <v>0</v>
      </c>
      <c r="J186">
        <v>30</v>
      </c>
      <c r="K186" t="s">
        <v>241</v>
      </c>
    </row>
    <row r="187" spans="2:11" x14ac:dyDescent="0.25">
      <c r="B187">
        <v>223</v>
      </c>
      <c r="C187">
        <v>251</v>
      </c>
      <c r="D187">
        <v>113</v>
      </c>
      <c r="E187">
        <v>3</v>
      </c>
      <c r="F187">
        <v>6</v>
      </c>
      <c r="G187">
        <v>4</v>
      </c>
      <c r="H187">
        <v>5</v>
      </c>
      <c r="I187">
        <v>0</v>
      </c>
      <c r="J187">
        <v>15</v>
      </c>
      <c r="K187" t="s">
        <v>246</v>
      </c>
    </row>
    <row r="188" spans="2:11" x14ac:dyDescent="0.25">
      <c r="B188">
        <v>224</v>
      </c>
      <c r="C188">
        <v>80</v>
      </c>
      <c r="D188">
        <v>38</v>
      </c>
      <c r="E188">
        <v>2</v>
      </c>
      <c r="F188">
        <v>5</v>
      </c>
      <c r="G188">
        <v>5</v>
      </c>
      <c r="H188">
        <v>0</v>
      </c>
      <c r="I188">
        <v>0</v>
      </c>
      <c r="J188">
        <v>10</v>
      </c>
      <c r="K188" t="s">
        <v>248</v>
      </c>
    </row>
    <row r="189" spans="2:11" x14ac:dyDescent="0.25">
      <c r="B189">
        <v>225</v>
      </c>
      <c r="C189">
        <v>5</v>
      </c>
      <c r="D189">
        <v>1</v>
      </c>
      <c r="E189">
        <v>2</v>
      </c>
      <c r="F189">
        <v>2</v>
      </c>
      <c r="G189">
        <v>4</v>
      </c>
      <c r="H189">
        <v>0</v>
      </c>
      <c r="I189">
        <v>0</v>
      </c>
      <c r="J189">
        <v>6</v>
      </c>
      <c r="K189" t="s">
        <v>247</v>
      </c>
    </row>
    <row r="190" spans="2:11" x14ac:dyDescent="0.25">
      <c r="B190">
        <v>226</v>
      </c>
      <c r="C190">
        <v>81</v>
      </c>
      <c r="D190">
        <v>38</v>
      </c>
      <c r="E190">
        <v>2</v>
      </c>
      <c r="F190">
        <v>8</v>
      </c>
      <c r="G190">
        <v>7</v>
      </c>
      <c r="H190">
        <v>0</v>
      </c>
      <c r="I190">
        <v>0</v>
      </c>
      <c r="J190">
        <v>15</v>
      </c>
      <c r="K190" t="s">
        <v>241</v>
      </c>
    </row>
    <row r="191" spans="2:11" x14ac:dyDescent="0.25">
      <c r="B191">
        <v>228</v>
      </c>
      <c r="C191">
        <v>66</v>
      </c>
      <c r="D191">
        <v>35</v>
      </c>
      <c r="E191">
        <v>2</v>
      </c>
      <c r="F191">
        <v>10</v>
      </c>
      <c r="G191">
        <v>9</v>
      </c>
      <c r="H191">
        <v>4</v>
      </c>
      <c r="I191">
        <v>0</v>
      </c>
      <c r="J191">
        <v>23</v>
      </c>
      <c r="K191" t="s">
        <v>248</v>
      </c>
    </row>
    <row r="192" spans="2:11" x14ac:dyDescent="0.25">
      <c r="B192">
        <v>230</v>
      </c>
      <c r="C192">
        <v>260</v>
      </c>
      <c r="D192">
        <v>118</v>
      </c>
      <c r="E192">
        <v>2</v>
      </c>
      <c r="F192">
        <v>12</v>
      </c>
      <c r="G192">
        <v>2</v>
      </c>
      <c r="H192">
        <v>0</v>
      </c>
      <c r="I192">
        <v>0</v>
      </c>
      <c r="J192">
        <v>14</v>
      </c>
      <c r="K192" t="s">
        <v>245</v>
      </c>
    </row>
    <row r="193" spans="2:11" x14ac:dyDescent="0.25">
      <c r="B193">
        <v>231</v>
      </c>
      <c r="C193">
        <v>238</v>
      </c>
      <c r="D193">
        <v>105</v>
      </c>
      <c r="E193">
        <v>3</v>
      </c>
      <c r="F193">
        <v>15</v>
      </c>
      <c r="G193">
        <v>22</v>
      </c>
      <c r="H193">
        <v>0</v>
      </c>
      <c r="I193">
        <v>0</v>
      </c>
      <c r="J193">
        <v>37</v>
      </c>
      <c r="K193" t="s">
        <v>249</v>
      </c>
    </row>
    <row r="194" spans="2:11" x14ac:dyDescent="0.25">
      <c r="B194">
        <v>232</v>
      </c>
      <c r="C194">
        <v>261</v>
      </c>
      <c r="D194">
        <v>118</v>
      </c>
      <c r="E194">
        <v>2</v>
      </c>
      <c r="F194">
        <v>19</v>
      </c>
      <c r="G194">
        <v>7</v>
      </c>
      <c r="H194">
        <v>0</v>
      </c>
      <c r="I194">
        <v>0</v>
      </c>
      <c r="J194">
        <v>26</v>
      </c>
      <c r="K194" t="s">
        <v>245</v>
      </c>
    </row>
    <row r="195" spans="2:11" x14ac:dyDescent="0.25">
      <c r="B195">
        <v>233</v>
      </c>
      <c r="C195">
        <v>65</v>
      </c>
      <c r="D195">
        <v>35</v>
      </c>
      <c r="E195">
        <v>2</v>
      </c>
      <c r="F195">
        <v>15</v>
      </c>
      <c r="G195">
        <v>10</v>
      </c>
      <c r="H195">
        <v>5</v>
      </c>
      <c r="I195">
        <v>0</v>
      </c>
      <c r="J195">
        <v>30</v>
      </c>
      <c r="K195" t="s">
        <v>248</v>
      </c>
    </row>
    <row r="196" spans="2:11" x14ac:dyDescent="0.25">
      <c r="B196">
        <v>234</v>
      </c>
      <c r="C196">
        <v>261</v>
      </c>
      <c r="D196">
        <v>118</v>
      </c>
      <c r="E196">
        <v>1</v>
      </c>
      <c r="F196">
        <v>16</v>
      </c>
      <c r="G196">
        <v>12</v>
      </c>
      <c r="H196">
        <v>0</v>
      </c>
      <c r="I196">
        <v>0</v>
      </c>
      <c r="J196">
        <v>28</v>
      </c>
      <c r="K196" t="s">
        <v>245</v>
      </c>
    </row>
    <row r="197" spans="2:11" x14ac:dyDescent="0.25">
      <c r="B197">
        <v>235</v>
      </c>
      <c r="C197">
        <v>137</v>
      </c>
      <c r="D197">
        <v>60</v>
      </c>
      <c r="E197">
        <v>2</v>
      </c>
      <c r="F197">
        <v>2</v>
      </c>
      <c r="G197">
        <v>10</v>
      </c>
      <c r="H197">
        <v>7</v>
      </c>
      <c r="I197">
        <v>0</v>
      </c>
      <c r="J197">
        <v>19</v>
      </c>
      <c r="K197" t="s">
        <v>241</v>
      </c>
    </row>
    <row r="198" spans="2:11" x14ac:dyDescent="0.25">
      <c r="B198">
        <v>236</v>
      </c>
      <c r="C198">
        <v>175</v>
      </c>
      <c r="D198">
        <v>76</v>
      </c>
      <c r="E198">
        <v>2</v>
      </c>
      <c r="F198">
        <v>6</v>
      </c>
      <c r="G198">
        <v>8</v>
      </c>
      <c r="H198">
        <v>1</v>
      </c>
      <c r="I198">
        <v>0</v>
      </c>
      <c r="J198">
        <v>15</v>
      </c>
      <c r="K198" t="s">
        <v>247</v>
      </c>
    </row>
    <row r="199" spans="2:11" x14ac:dyDescent="0.25">
      <c r="B199">
        <v>5204</v>
      </c>
      <c r="C199">
        <v>212</v>
      </c>
      <c r="D199">
        <v>94</v>
      </c>
      <c r="E199">
        <v>4</v>
      </c>
      <c r="F199">
        <v>1</v>
      </c>
      <c r="G199">
        <v>9</v>
      </c>
      <c r="H199">
        <v>0</v>
      </c>
      <c r="I199">
        <v>0</v>
      </c>
      <c r="J199">
        <v>10</v>
      </c>
      <c r="K199" t="s">
        <v>245</v>
      </c>
    </row>
    <row r="200" spans="2:11" x14ac:dyDescent="0.25">
      <c r="B200">
        <v>5210</v>
      </c>
      <c r="C200">
        <v>181</v>
      </c>
      <c r="D200">
        <v>78</v>
      </c>
      <c r="E200">
        <v>12</v>
      </c>
      <c r="F200">
        <v>5</v>
      </c>
      <c r="G200">
        <v>3</v>
      </c>
      <c r="H200">
        <v>0</v>
      </c>
      <c r="I200">
        <v>0</v>
      </c>
      <c r="J200">
        <v>8</v>
      </c>
      <c r="K200" t="s">
        <v>241</v>
      </c>
    </row>
    <row r="201" spans="2:11" x14ac:dyDescent="0.25">
      <c r="B201">
        <v>5211</v>
      </c>
      <c r="C201">
        <v>181</v>
      </c>
      <c r="D201">
        <v>78</v>
      </c>
      <c r="E201">
        <v>13</v>
      </c>
      <c r="F201">
        <v>5</v>
      </c>
      <c r="G201">
        <v>6</v>
      </c>
      <c r="H201">
        <v>1</v>
      </c>
      <c r="I201">
        <v>0</v>
      </c>
      <c r="J201">
        <v>12</v>
      </c>
      <c r="K201" t="s">
        <v>241</v>
      </c>
    </row>
    <row r="202" spans="2:11" x14ac:dyDescent="0.25">
      <c r="B202">
        <v>5216</v>
      </c>
      <c r="C202">
        <v>212</v>
      </c>
      <c r="D202">
        <v>94</v>
      </c>
      <c r="E202">
        <v>7</v>
      </c>
      <c r="F202">
        <v>1</v>
      </c>
      <c r="G202">
        <v>11</v>
      </c>
      <c r="H202">
        <v>0</v>
      </c>
      <c r="I202">
        <v>0</v>
      </c>
      <c r="J202">
        <v>12</v>
      </c>
      <c r="K202" t="s">
        <v>245</v>
      </c>
    </row>
    <row r="203" spans="2:11" x14ac:dyDescent="0.25">
      <c r="B203">
        <v>5214</v>
      </c>
      <c r="C203">
        <v>181</v>
      </c>
      <c r="D203">
        <v>78</v>
      </c>
      <c r="E203">
        <v>14</v>
      </c>
      <c r="F203">
        <v>13</v>
      </c>
      <c r="G203">
        <v>5</v>
      </c>
      <c r="H203">
        <v>1</v>
      </c>
      <c r="I203">
        <v>0</v>
      </c>
      <c r="J203">
        <v>19</v>
      </c>
      <c r="K203" t="s">
        <v>241</v>
      </c>
    </row>
    <row r="204" spans="2:11" x14ac:dyDescent="0.25">
      <c r="B204">
        <v>5215</v>
      </c>
      <c r="C204">
        <v>196</v>
      </c>
      <c r="D204">
        <v>86</v>
      </c>
      <c r="E204">
        <v>8</v>
      </c>
      <c r="F204">
        <v>13</v>
      </c>
      <c r="G204">
        <v>13</v>
      </c>
      <c r="H204">
        <v>0</v>
      </c>
      <c r="I204">
        <v>0</v>
      </c>
      <c r="J204">
        <v>26</v>
      </c>
      <c r="K204" t="s">
        <v>246</v>
      </c>
    </row>
    <row r="205" spans="2:11" x14ac:dyDescent="0.25">
      <c r="B205">
        <v>5217</v>
      </c>
      <c r="C205">
        <v>212</v>
      </c>
      <c r="D205">
        <v>94</v>
      </c>
      <c r="E205">
        <v>8</v>
      </c>
      <c r="F205">
        <v>1</v>
      </c>
      <c r="G205">
        <v>13</v>
      </c>
      <c r="H205">
        <v>0</v>
      </c>
      <c r="I205">
        <v>0</v>
      </c>
      <c r="J205">
        <v>14</v>
      </c>
      <c r="K205" t="s">
        <v>245</v>
      </c>
    </row>
    <row r="206" spans="2:11" x14ac:dyDescent="0.25">
      <c r="B206">
        <v>5218</v>
      </c>
      <c r="C206">
        <v>196</v>
      </c>
      <c r="D206">
        <v>86</v>
      </c>
      <c r="E206">
        <v>9</v>
      </c>
      <c r="F206">
        <v>9</v>
      </c>
      <c r="G206">
        <v>7</v>
      </c>
      <c r="H206">
        <v>1</v>
      </c>
      <c r="I206">
        <v>0</v>
      </c>
      <c r="J206">
        <v>17</v>
      </c>
      <c r="K206" t="s">
        <v>246</v>
      </c>
    </row>
    <row r="207" spans="2:11" x14ac:dyDescent="0.25">
      <c r="B207">
        <v>5220</v>
      </c>
      <c r="C207">
        <v>212</v>
      </c>
      <c r="D207">
        <v>94</v>
      </c>
      <c r="E207">
        <v>9</v>
      </c>
      <c r="F207">
        <v>0</v>
      </c>
      <c r="G207">
        <v>22</v>
      </c>
      <c r="H207">
        <v>0</v>
      </c>
      <c r="I207">
        <v>0</v>
      </c>
      <c r="J207">
        <v>22</v>
      </c>
      <c r="K207" t="s">
        <v>245</v>
      </c>
    </row>
    <row r="208" spans="2:11" x14ac:dyDescent="0.25">
      <c r="B208">
        <v>5221</v>
      </c>
      <c r="C208">
        <v>196</v>
      </c>
      <c r="D208">
        <v>86</v>
      </c>
      <c r="E208">
        <v>10</v>
      </c>
      <c r="F208">
        <v>12</v>
      </c>
      <c r="G208">
        <v>10</v>
      </c>
      <c r="H208">
        <v>3</v>
      </c>
      <c r="I208">
        <v>0</v>
      </c>
      <c r="J208">
        <v>25</v>
      </c>
      <c r="K208" t="s">
        <v>246</v>
      </c>
    </row>
    <row r="209" spans="2:11" x14ac:dyDescent="0.25">
      <c r="B209">
        <v>5222</v>
      </c>
      <c r="C209">
        <v>212</v>
      </c>
      <c r="D209">
        <v>94</v>
      </c>
      <c r="E209">
        <v>10</v>
      </c>
      <c r="F209">
        <v>1</v>
      </c>
      <c r="G209">
        <v>11</v>
      </c>
      <c r="H209">
        <v>0</v>
      </c>
      <c r="I209">
        <v>0</v>
      </c>
      <c r="J209">
        <v>12</v>
      </c>
      <c r="K209" t="s">
        <v>245</v>
      </c>
    </row>
    <row r="210" spans="2:11" x14ac:dyDescent="0.25">
      <c r="B210">
        <v>5225</v>
      </c>
      <c r="C210">
        <v>212</v>
      </c>
      <c r="D210">
        <v>94</v>
      </c>
      <c r="E210">
        <v>11</v>
      </c>
      <c r="F210">
        <v>2</v>
      </c>
      <c r="G210">
        <v>15</v>
      </c>
      <c r="H210">
        <v>0</v>
      </c>
      <c r="I210">
        <v>0</v>
      </c>
      <c r="J210">
        <v>17</v>
      </c>
      <c r="K210" t="s">
        <v>245</v>
      </c>
    </row>
    <row r="211" spans="2:11" x14ac:dyDescent="0.25">
      <c r="B211">
        <v>5223</v>
      </c>
      <c r="C211">
        <v>182</v>
      </c>
      <c r="D211">
        <v>79</v>
      </c>
      <c r="E211">
        <v>5</v>
      </c>
      <c r="F211">
        <v>2</v>
      </c>
      <c r="G211">
        <v>0</v>
      </c>
      <c r="H211">
        <v>0</v>
      </c>
      <c r="I211">
        <v>0</v>
      </c>
      <c r="J211">
        <v>2</v>
      </c>
      <c r="K211" t="s">
        <v>241</v>
      </c>
    </row>
    <row r="212" spans="2:11" x14ac:dyDescent="0.25">
      <c r="B212">
        <v>5224</v>
      </c>
      <c r="C212">
        <v>196</v>
      </c>
      <c r="D212">
        <v>86</v>
      </c>
      <c r="E212">
        <v>11</v>
      </c>
      <c r="F212">
        <v>14</v>
      </c>
      <c r="G212">
        <v>9</v>
      </c>
      <c r="H212">
        <v>0</v>
      </c>
      <c r="I212">
        <v>0</v>
      </c>
      <c r="J212">
        <v>23</v>
      </c>
      <c r="K212" t="s">
        <v>246</v>
      </c>
    </row>
    <row r="213" spans="2:11" x14ac:dyDescent="0.25">
      <c r="B213">
        <v>5226</v>
      </c>
      <c r="C213">
        <v>212</v>
      </c>
      <c r="D213">
        <v>94</v>
      </c>
      <c r="E213">
        <v>12</v>
      </c>
      <c r="F213">
        <v>3</v>
      </c>
      <c r="G213">
        <v>12</v>
      </c>
      <c r="H213">
        <v>0</v>
      </c>
      <c r="I213">
        <v>0</v>
      </c>
      <c r="J213">
        <v>15</v>
      </c>
      <c r="K213" t="s">
        <v>245</v>
      </c>
    </row>
    <row r="214" spans="2:11" x14ac:dyDescent="0.25">
      <c r="B214">
        <v>237</v>
      </c>
      <c r="C214">
        <v>137</v>
      </c>
      <c r="D214">
        <v>60</v>
      </c>
      <c r="E214">
        <v>3</v>
      </c>
      <c r="F214">
        <v>4</v>
      </c>
      <c r="G214">
        <v>9</v>
      </c>
      <c r="H214">
        <v>8</v>
      </c>
      <c r="I214">
        <v>0</v>
      </c>
      <c r="J214">
        <v>21</v>
      </c>
      <c r="K214" t="s">
        <v>241</v>
      </c>
    </row>
    <row r="215" spans="2:11" x14ac:dyDescent="0.25">
      <c r="B215">
        <v>238</v>
      </c>
      <c r="C215">
        <v>68</v>
      </c>
      <c r="D215">
        <v>35</v>
      </c>
      <c r="E215">
        <v>2</v>
      </c>
      <c r="F215">
        <v>14</v>
      </c>
      <c r="G215">
        <v>8</v>
      </c>
      <c r="H215">
        <v>4</v>
      </c>
      <c r="I215">
        <v>0</v>
      </c>
      <c r="J215">
        <v>26</v>
      </c>
      <c r="K215" t="s">
        <v>249</v>
      </c>
    </row>
    <row r="216" spans="2:11" x14ac:dyDescent="0.25">
      <c r="B216">
        <v>239</v>
      </c>
      <c r="C216">
        <v>174</v>
      </c>
      <c r="D216">
        <v>75</v>
      </c>
      <c r="E216">
        <v>2</v>
      </c>
      <c r="F216">
        <v>15</v>
      </c>
      <c r="G216">
        <v>7</v>
      </c>
      <c r="H216">
        <v>0</v>
      </c>
      <c r="I216">
        <v>0</v>
      </c>
      <c r="J216">
        <v>22</v>
      </c>
      <c r="K216" t="s">
        <v>247</v>
      </c>
    </row>
    <row r="217" spans="2:11" x14ac:dyDescent="0.25">
      <c r="B217">
        <v>240</v>
      </c>
      <c r="C217">
        <v>142</v>
      </c>
      <c r="D217">
        <v>62</v>
      </c>
      <c r="E217">
        <v>2</v>
      </c>
      <c r="F217">
        <v>16</v>
      </c>
      <c r="G217">
        <v>0</v>
      </c>
      <c r="H217">
        <v>0</v>
      </c>
      <c r="I217">
        <v>0</v>
      </c>
      <c r="J217">
        <v>16</v>
      </c>
      <c r="K217" t="s">
        <v>241</v>
      </c>
    </row>
    <row r="218" spans="2:11" x14ac:dyDescent="0.25">
      <c r="B218">
        <v>241</v>
      </c>
      <c r="C218">
        <v>84</v>
      </c>
      <c r="D218">
        <v>41</v>
      </c>
      <c r="E218">
        <v>2</v>
      </c>
      <c r="F218">
        <v>12</v>
      </c>
      <c r="G218">
        <v>7</v>
      </c>
      <c r="H218">
        <v>0</v>
      </c>
      <c r="I218">
        <v>0</v>
      </c>
      <c r="J218">
        <v>19</v>
      </c>
      <c r="K218" t="s">
        <v>249</v>
      </c>
    </row>
    <row r="219" spans="2:11" x14ac:dyDescent="0.25">
      <c r="B219">
        <v>242</v>
      </c>
      <c r="C219">
        <v>69</v>
      </c>
      <c r="D219">
        <v>35</v>
      </c>
      <c r="E219">
        <v>2</v>
      </c>
      <c r="F219">
        <v>10</v>
      </c>
      <c r="G219">
        <v>12</v>
      </c>
      <c r="H219">
        <v>3</v>
      </c>
      <c r="I219">
        <v>0</v>
      </c>
      <c r="J219">
        <v>25</v>
      </c>
      <c r="K219" t="s">
        <v>249</v>
      </c>
    </row>
    <row r="220" spans="2:11" x14ac:dyDescent="0.25">
      <c r="B220">
        <v>243</v>
      </c>
      <c r="C220">
        <v>278</v>
      </c>
      <c r="D220">
        <v>129</v>
      </c>
      <c r="E220">
        <v>2</v>
      </c>
      <c r="F220">
        <v>10</v>
      </c>
      <c r="G220">
        <v>22</v>
      </c>
      <c r="H220">
        <v>0</v>
      </c>
      <c r="I220">
        <v>0</v>
      </c>
      <c r="J220">
        <v>32</v>
      </c>
      <c r="K220" t="s">
        <v>249</v>
      </c>
    </row>
    <row r="221" spans="2:11" x14ac:dyDescent="0.25">
      <c r="B221">
        <v>244</v>
      </c>
      <c r="C221">
        <v>334</v>
      </c>
      <c r="D221">
        <v>152</v>
      </c>
      <c r="E221">
        <v>2</v>
      </c>
      <c r="F221">
        <v>17</v>
      </c>
      <c r="G221">
        <v>15</v>
      </c>
      <c r="H221">
        <v>0</v>
      </c>
      <c r="I221">
        <v>0</v>
      </c>
      <c r="J221">
        <v>32</v>
      </c>
      <c r="K221" t="s">
        <v>249</v>
      </c>
    </row>
    <row r="222" spans="2:11" x14ac:dyDescent="0.25">
      <c r="B222">
        <v>245</v>
      </c>
      <c r="C222">
        <v>317</v>
      </c>
      <c r="D222">
        <v>146</v>
      </c>
      <c r="E222">
        <v>2</v>
      </c>
      <c r="F222">
        <v>6</v>
      </c>
      <c r="G222">
        <v>9</v>
      </c>
      <c r="H222">
        <v>3</v>
      </c>
      <c r="I222">
        <v>0</v>
      </c>
      <c r="J222">
        <v>18</v>
      </c>
      <c r="K222" t="s">
        <v>245</v>
      </c>
    </row>
    <row r="223" spans="2:11" x14ac:dyDescent="0.25">
      <c r="B223">
        <v>246</v>
      </c>
      <c r="C223">
        <v>20</v>
      </c>
      <c r="D223">
        <v>10</v>
      </c>
      <c r="E223">
        <v>2</v>
      </c>
      <c r="F223">
        <v>7</v>
      </c>
      <c r="G223">
        <v>5</v>
      </c>
      <c r="H223">
        <v>0</v>
      </c>
      <c r="I223">
        <v>0</v>
      </c>
      <c r="J223">
        <v>12</v>
      </c>
      <c r="K223" t="s">
        <v>247</v>
      </c>
    </row>
    <row r="224" spans="2:11" x14ac:dyDescent="0.25">
      <c r="B224">
        <v>247</v>
      </c>
      <c r="C224">
        <v>325</v>
      </c>
      <c r="D224">
        <v>151</v>
      </c>
      <c r="E224">
        <v>3</v>
      </c>
      <c r="F224">
        <v>10</v>
      </c>
      <c r="G224">
        <v>5</v>
      </c>
      <c r="H224">
        <v>0</v>
      </c>
      <c r="I224">
        <v>0</v>
      </c>
      <c r="J224">
        <v>15</v>
      </c>
      <c r="K224" t="s">
        <v>248</v>
      </c>
    </row>
    <row r="225" spans="2:11" x14ac:dyDescent="0.25">
      <c r="B225">
        <v>249</v>
      </c>
      <c r="C225">
        <v>326</v>
      </c>
      <c r="D225">
        <v>151</v>
      </c>
      <c r="E225">
        <v>3</v>
      </c>
      <c r="F225">
        <v>18</v>
      </c>
      <c r="G225">
        <v>12</v>
      </c>
      <c r="H225">
        <v>0</v>
      </c>
      <c r="I225">
        <v>0</v>
      </c>
      <c r="J225">
        <v>30</v>
      </c>
      <c r="K225" t="s">
        <v>248</v>
      </c>
    </row>
    <row r="226" spans="2:11" x14ac:dyDescent="0.25">
      <c r="B226">
        <v>251</v>
      </c>
      <c r="C226">
        <v>8</v>
      </c>
      <c r="D226">
        <v>3</v>
      </c>
      <c r="E226">
        <v>2</v>
      </c>
      <c r="F226">
        <v>12</v>
      </c>
      <c r="G226">
        <v>14</v>
      </c>
      <c r="H226">
        <v>0</v>
      </c>
      <c r="I226">
        <v>0</v>
      </c>
      <c r="J226">
        <v>26</v>
      </c>
      <c r="K226" t="s">
        <v>247</v>
      </c>
    </row>
    <row r="227" spans="2:11" x14ac:dyDescent="0.25">
      <c r="B227">
        <v>252</v>
      </c>
      <c r="C227">
        <v>70</v>
      </c>
      <c r="D227">
        <v>35</v>
      </c>
      <c r="E227">
        <v>2</v>
      </c>
      <c r="F227">
        <v>12</v>
      </c>
      <c r="G227">
        <v>7</v>
      </c>
      <c r="H227">
        <v>11</v>
      </c>
      <c r="I227">
        <v>0</v>
      </c>
      <c r="J227">
        <v>30</v>
      </c>
      <c r="K227" t="s">
        <v>247</v>
      </c>
    </row>
    <row r="228" spans="2:11" x14ac:dyDescent="0.25">
      <c r="B228">
        <v>253</v>
      </c>
      <c r="C228">
        <v>85</v>
      </c>
      <c r="D228">
        <v>41</v>
      </c>
      <c r="E228">
        <v>2</v>
      </c>
      <c r="F228">
        <v>14</v>
      </c>
      <c r="G228">
        <v>6</v>
      </c>
      <c r="H228">
        <v>0</v>
      </c>
      <c r="I228">
        <v>0</v>
      </c>
      <c r="J228">
        <v>20</v>
      </c>
      <c r="K228" t="s">
        <v>247</v>
      </c>
    </row>
    <row r="229" spans="2:11" x14ac:dyDescent="0.25">
      <c r="B229">
        <v>255</v>
      </c>
      <c r="C229">
        <v>139</v>
      </c>
      <c r="D229">
        <v>61</v>
      </c>
      <c r="E229">
        <v>3</v>
      </c>
      <c r="F229">
        <v>20</v>
      </c>
      <c r="G229">
        <v>30</v>
      </c>
      <c r="H229">
        <v>0</v>
      </c>
      <c r="I229">
        <v>0</v>
      </c>
      <c r="J229">
        <v>50</v>
      </c>
      <c r="K229" t="s">
        <v>249</v>
      </c>
    </row>
    <row r="230" spans="2:11" x14ac:dyDescent="0.25">
      <c r="B230">
        <v>256</v>
      </c>
      <c r="C230">
        <v>35</v>
      </c>
      <c r="D230">
        <v>17</v>
      </c>
      <c r="E230">
        <v>3</v>
      </c>
      <c r="F230">
        <v>2</v>
      </c>
      <c r="G230">
        <v>2</v>
      </c>
      <c r="H230">
        <v>0</v>
      </c>
      <c r="I230">
        <v>0</v>
      </c>
      <c r="J230">
        <v>4</v>
      </c>
      <c r="K230" t="s">
        <v>241</v>
      </c>
    </row>
    <row r="231" spans="2:11" x14ac:dyDescent="0.25">
      <c r="B231">
        <v>257</v>
      </c>
      <c r="C231">
        <v>11</v>
      </c>
      <c r="D231">
        <v>3</v>
      </c>
      <c r="E231">
        <v>2</v>
      </c>
      <c r="F231">
        <v>5</v>
      </c>
      <c r="G231">
        <v>1</v>
      </c>
      <c r="H231">
        <v>0</v>
      </c>
      <c r="I231">
        <v>0</v>
      </c>
      <c r="J231">
        <v>6</v>
      </c>
      <c r="K231" t="s">
        <v>246</v>
      </c>
    </row>
    <row r="232" spans="2:11" x14ac:dyDescent="0.25">
      <c r="B232">
        <v>258</v>
      </c>
      <c r="C232">
        <v>33</v>
      </c>
      <c r="D232">
        <v>17</v>
      </c>
      <c r="E232">
        <v>3</v>
      </c>
      <c r="F232">
        <v>9</v>
      </c>
      <c r="G232">
        <v>17</v>
      </c>
      <c r="H232">
        <v>0</v>
      </c>
      <c r="I232">
        <v>0</v>
      </c>
      <c r="J232">
        <v>26</v>
      </c>
      <c r="K232" t="s">
        <v>247</v>
      </c>
    </row>
    <row r="233" spans="2:11" x14ac:dyDescent="0.25">
      <c r="B233">
        <v>259</v>
      </c>
      <c r="C233">
        <v>13</v>
      </c>
      <c r="D233">
        <v>4</v>
      </c>
      <c r="E233">
        <v>1</v>
      </c>
      <c r="F233">
        <v>2</v>
      </c>
      <c r="G233">
        <v>15</v>
      </c>
      <c r="H233">
        <v>5</v>
      </c>
      <c r="I233">
        <v>0</v>
      </c>
      <c r="J233">
        <v>22</v>
      </c>
      <c r="K233" t="s">
        <v>241</v>
      </c>
    </row>
    <row r="234" spans="2:11" x14ac:dyDescent="0.25">
      <c r="B234">
        <v>260</v>
      </c>
      <c r="C234">
        <v>78</v>
      </c>
      <c r="D234">
        <v>40</v>
      </c>
      <c r="E234">
        <v>3</v>
      </c>
      <c r="F234">
        <v>2</v>
      </c>
      <c r="G234">
        <v>3</v>
      </c>
      <c r="H234">
        <v>1</v>
      </c>
      <c r="I234">
        <v>0</v>
      </c>
      <c r="J234">
        <v>6</v>
      </c>
      <c r="K234" t="s">
        <v>246</v>
      </c>
    </row>
    <row r="235" spans="2:11" x14ac:dyDescent="0.25">
      <c r="B235">
        <v>261</v>
      </c>
      <c r="C235">
        <v>73</v>
      </c>
      <c r="D235">
        <v>35</v>
      </c>
      <c r="E235">
        <v>2</v>
      </c>
      <c r="F235">
        <v>15</v>
      </c>
      <c r="G235">
        <v>15</v>
      </c>
      <c r="H235">
        <v>0</v>
      </c>
      <c r="I235">
        <v>0</v>
      </c>
      <c r="J235">
        <v>30</v>
      </c>
      <c r="K235" t="s">
        <v>249</v>
      </c>
    </row>
    <row r="236" spans="2:11" x14ac:dyDescent="0.25">
      <c r="B236">
        <v>262</v>
      </c>
      <c r="C236">
        <v>280</v>
      </c>
      <c r="D236">
        <v>129</v>
      </c>
      <c r="E236">
        <v>1</v>
      </c>
      <c r="F236">
        <v>15</v>
      </c>
      <c r="G236">
        <v>10</v>
      </c>
      <c r="H236">
        <v>0</v>
      </c>
      <c r="I236">
        <v>0</v>
      </c>
      <c r="J236">
        <v>25</v>
      </c>
      <c r="K236" t="s">
        <v>243</v>
      </c>
    </row>
    <row r="237" spans="2:11" x14ac:dyDescent="0.25">
      <c r="B237">
        <v>263</v>
      </c>
      <c r="C237">
        <v>71</v>
      </c>
      <c r="D237">
        <v>35</v>
      </c>
      <c r="E237">
        <v>2</v>
      </c>
      <c r="F237">
        <v>9</v>
      </c>
      <c r="G237">
        <v>13</v>
      </c>
      <c r="H237">
        <v>8</v>
      </c>
      <c r="I237">
        <v>0</v>
      </c>
      <c r="J237">
        <v>30</v>
      </c>
      <c r="K237" t="s">
        <v>249</v>
      </c>
    </row>
    <row r="238" spans="2:11" x14ac:dyDescent="0.25">
      <c r="B238">
        <v>264</v>
      </c>
      <c r="C238">
        <v>279</v>
      </c>
      <c r="D238">
        <v>129</v>
      </c>
      <c r="E238">
        <v>1</v>
      </c>
      <c r="F238">
        <v>8</v>
      </c>
      <c r="G238">
        <v>5</v>
      </c>
      <c r="H238">
        <v>1</v>
      </c>
      <c r="I238">
        <v>0</v>
      </c>
      <c r="J238">
        <v>14</v>
      </c>
      <c r="K238" t="s">
        <v>243</v>
      </c>
    </row>
    <row r="239" spans="2:11" x14ac:dyDescent="0.25">
      <c r="B239">
        <v>266</v>
      </c>
      <c r="C239">
        <v>72</v>
      </c>
      <c r="D239">
        <v>35</v>
      </c>
      <c r="E239">
        <v>2</v>
      </c>
      <c r="F239">
        <v>5</v>
      </c>
      <c r="G239">
        <v>16</v>
      </c>
      <c r="H239">
        <v>1</v>
      </c>
      <c r="I239">
        <v>0</v>
      </c>
      <c r="J239">
        <v>22</v>
      </c>
      <c r="K239" t="s">
        <v>249</v>
      </c>
    </row>
    <row r="240" spans="2:11" x14ac:dyDescent="0.25">
      <c r="B240">
        <v>267</v>
      </c>
      <c r="C240">
        <v>253</v>
      </c>
      <c r="D240">
        <v>115</v>
      </c>
      <c r="E240">
        <v>3</v>
      </c>
      <c r="F240">
        <v>18</v>
      </c>
      <c r="G240">
        <v>6</v>
      </c>
      <c r="H240">
        <v>3</v>
      </c>
      <c r="I240">
        <v>0</v>
      </c>
      <c r="J240">
        <v>27</v>
      </c>
      <c r="K240" t="s">
        <v>242</v>
      </c>
    </row>
    <row r="241" spans="2:11" x14ac:dyDescent="0.25">
      <c r="B241">
        <v>269</v>
      </c>
      <c r="C241">
        <v>79</v>
      </c>
      <c r="D241">
        <v>41</v>
      </c>
      <c r="E241">
        <v>3</v>
      </c>
      <c r="F241">
        <v>2</v>
      </c>
      <c r="G241">
        <v>2</v>
      </c>
      <c r="H241">
        <v>0</v>
      </c>
      <c r="I241">
        <v>0</v>
      </c>
      <c r="J241">
        <v>4</v>
      </c>
      <c r="K241" t="s">
        <v>241</v>
      </c>
    </row>
    <row r="242" spans="2:11" x14ac:dyDescent="0.25">
      <c r="B242">
        <v>270</v>
      </c>
      <c r="C242">
        <v>279</v>
      </c>
      <c r="D242">
        <v>129</v>
      </c>
      <c r="E242">
        <v>2</v>
      </c>
      <c r="F242">
        <v>11</v>
      </c>
      <c r="G242">
        <v>18</v>
      </c>
      <c r="H242">
        <v>0</v>
      </c>
      <c r="I242">
        <v>0</v>
      </c>
      <c r="J242">
        <v>29</v>
      </c>
      <c r="K242" t="s">
        <v>243</v>
      </c>
    </row>
    <row r="243" spans="2:11" x14ac:dyDescent="0.25">
      <c r="B243">
        <v>272</v>
      </c>
      <c r="C243">
        <v>240</v>
      </c>
      <c r="D243">
        <v>107</v>
      </c>
      <c r="E243">
        <v>3</v>
      </c>
      <c r="F243">
        <v>2</v>
      </c>
      <c r="G243">
        <v>1</v>
      </c>
      <c r="H243">
        <v>0</v>
      </c>
      <c r="I243">
        <v>0</v>
      </c>
      <c r="J243">
        <v>3</v>
      </c>
      <c r="K243" t="s">
        <v>242</v>
      </c>
    </row>
    <row r="244" spans="2:11" x14ac:dyDescent="0.25">
      <c r="B244">
        <v>273</v>
      </c>
      <c r="C244">
        <v>74</v>
      </c>
      <c r="D244">
        <v>36</v>
      </c>
      <c r="E244">
        <v>2</v>
      </c>
      <c r="F244">
        <v>16</v>
      </c>
      <c r="G244">
        <v>10</v>
      </c>
      <c r="H244">
        <v>0</v>
      </c>
      <c r="I244">
        <v>0</v>
      </c>
      <c r="J244">
        <v>26</v>
      </c>
      <c r="K244" t="s">
        <v>241</v>
      </c>
    </row>
    <row r="245" spans="2:11" x14ac:dyDescent="0.25">
      <c r="B245">
        <v>274</v>
      </c>
      <c r="C245">
        <v>258</v>
      </c>
      <c r="D245">
        <v>118</v>
      </c>
      <c r="E245">
        <v>3</v>
      </c>
      <c r="F245">
        <v>0</v>
      </c>
      <c r="G245">
        <v>1</v>
      </c>
      <c r="H245">
        <v>0</v>
      </c>
      <c r="I245">
        <v>0</v>
      </c>
      <c r="J245">
        <v>1</v>
      </c>
      <c r="K245" t="s">
        <v>247</v>
      </c>
    </row>
    <row r="246" spans="2:11" x14ac:dyDescent="0.25">
      <c r="B246">
        <v>275</v>
      </c>
      <c r="C246">
        <v>242</v>
      </c>
      <c r="D246">
        <v>107</v>
      </c>
      <c r="E246">
        <v>3</v>
      </c>
      <c r="F246">
        <v>6</v>
      </c>
      <c r="G246">
        <v>10</v>
      </c>
      <c r="H246">
        <v>0</v>
      </c>
      <c r="I246">
        <v>0</v>
      </c>
      <c r="J246">
        <v>16</v>
      </c>
      <c r="K246" t="s">
        <v>242</v>
      </c>
    </row>
    <row r="247" spans="2:11" x14ac:dyDescent="0.25">
      <c r="B247">
        <v>276</v>
      </c>
      <c r="C247">
        <v>12</v>
      </c>
      <c r="D247">
        <v>3</v>
      </c>
      <c r="E247">
        <v>2</v>
      </c>
      <c r="F247">
        <v>20</v>
      </c>
      <c r="G247">
        <v>4</v>
      </c>
      <c r="H247">
        <v>0</v>
      </c>
      <c r="I247">
        <v>0</v>
      </c>
      <c r="J247">
        <v>24</v>
      </c>
      <c r="K247" t="s">
        <v>249</v>
      </c>
    </row>
    <row r="248" spans="2:11" x14ac:dyDescent="0.25">
      <c r="B248">
        <v>277</v>
      </c>
      <c r="C248">
        <v>257</v>
      </c>
      <c r="D248">
        <v>117</v>
      </c>
      <c r="E248">
        <v>3</v>
      </c>
      <c r="F248">
        <v>4</v>
      </c>
      <c r="G248">
        <v>5</v>
      </c>
      <c r="H248">
        <v>0</v>
      </c>
      <c r="I248">
        <v>0</v>
      </c>
      <c r="J248">
        <v>9</v>
      </c>
      <c r="K248" t="s">
        <v>247</v>
      </c>
    </row>
    <row r="249" spans="2:11" x14ac:dyDescent="0.25">
      <c r="B249">
        <v>278</v>
      </c>
      <c r="C249">
        <v>44</v>
      </c>
      <c r="D249">
        <v>22</v>
      </c>
      <c r="E249">
        <v>3</v>
      </c>
      <c r="F249">
        <v>4</v>
      </c>
      <c r="G249">
        <v>10</v>
      </c>
      <c r="H249">
        <v>0</v>
      </c>
      <c r="I249">
        <v>0</v>
      </c>
      <c r="J249">
        <v>14</v>
      </c>
      <c r="K249" t="s">
        <v>241</v>
      </c>
    </row>
    <row r="250" spans="2:11" x14ac:dyDescent="0.25">
      <c r="B250">
        <v>279</v>
      </c>
      <c r="C250">
        <v>13</v>
      </c>
      <c r="D250">
        <v>4</v>
      </c>
      <c r="E250">
        <v>2</v>
      </c>
      <c r="F250">
        <v>4</v>
      </c>
      <c r="G250">
        <v>20</v>
      </c>
      <c r="H250">
        <v>3</v>
      </c>
      <c r="I250">
        <v>0</v>
      </c>
      <c r="J250">
        <v>27</v>
      </c>
      <c r="K250" t="s">
        <v>249</v>
      </c>
    </row>
    <row r="251" spans="2:11" x14ac:dyDescent="0.25">
      <c r="B251">
        <v>280</v>
      </c>
      <c r="C251">
        <v>280</v>
      </c>
      <c r="D251">
        <v>129</v>
      </c>
      <c r="E251">
        <v>2</v>
      </c>
      <c r="F251">
        <v>18</v>
      </c>
      <c r="G251">
        <v>14</v>
      </c>
      <c r="H251">
        <v>0</v>
      </c>
      <c r="I251">
        <v>0</v>
      </c>
      <c r="J251">
        <v>32</v>
      </c>
      <c r="K251" t="s">
        <v>249</v>
      </c>
    </row>
    <row r="252" spans="2:11" x14ac:dyDescent="0.25">
      <c r="B252">
        <v>281</v>
      </c>
      <c r="C252">
        <v>324</v>
      </c>
      <c r="D252">
        <v>150</v>
      </c>
      <c r="E252">
        <v>3</v>
      </c>
      <c r="F252">
        <v>1</v>
      </c>
      <c r="G252">
        <v>9</v>
      </c>
      <c r="H252">
        <v>0</v>
      </c>
      <c r="I252">
        <v>0</v>
      </c>
      <c r="J252">
        <v>10</v>
      </c>
      <c r="K252" t="s">
        <v>246</v>
      </c>
    </row>
    <row r="253" spans="2:11" x14ac:dyDescent="0.25">
      <c r="B253">
        <v>283</v>
      </c>
      <c r="C253">
        <v>133</v>
      </c>
      <c r="D253">
        <v>60</v>
      </c>
      <c r="E253">
        <v>2</v>
      </c>
      <c r="F253">
        <v>15</v>
      </c>
      <c r="G253">
        <v>5</v>
      </c>
      <c r="H253">
        <v>0</v>
      </c>
      <c r="I253">
        <v>0</v>
      </c>
      <c r="J253">
        <v>20</v>
      </c>
      <c r="K253" t="s">
        <v>241</v>
      </c>
    </row>
    <row r="254" spans="2:11" x14ac:dyDescent="0.25">
      <c r="B254">
        <v>284</v>
      </c>
      <c r="C254">
        <v>303</v>
      </c>
      <c r="D254">
        <v>140</v>
      </c>
      <c r="E254">
        <v>3</v>
      </c>
      <c r="F254">
        <v>5</v>
      </c>
      <c r="G254">
        <v>1</v>
      </c>
      <c r="H254">
        <v>0</v>
      </c>
      <c r="I254">
        <v>0</v>
      </c>
      <c r="J254">
        <v>6</v>
      </c>
      <c r="K254" t="s">
        <v>248</v>
      </c>
    </row>
    <row r="255" spans="2:11" x14ac:dyDescent="0.25">
      <c r="B255">
        <v>285</v>
      </c>
      <c r="C255">
        <v>321</v>
      </c>
      <c r="D255">
        <v>149</v>
      </c>
      <c r="E255">
        <v>2</v>
      </c>
      <c r="F255">
        <v>10</v>
      </c>
      <c r="G255">
        <v>1</v>
      </c>
      <c r="H255">
        <v>0</v>
      </c>
      <c r="I255">
        <v>0</v>
      </c>
      <c r="J255">
        <v>11</v>
      </c>
      <c r="K255" t="s">
        <v>247</v>
      </c>
    </row>
    <row r="256" spans="2:11" x14ac:dyDescent="0.25">
      <c r="B256">
        <v>286</v>
      </c>
      <c r="C256">
        <v>140</v>
      </c>
      <c r="D256">
        <v>62</v>
      </c>
      <c r="E256">
        <v>3</v>
      </c>
      <c r="F256">
        <v>18</v>
      </c>
      <c r="G256">
        <v>6</v>
      </c>
      <c r="H256">
        <v>0</v>
      </c>
      <c r="I256">
        <v>0</v>
      </c>
      <c r="J256">
        <v>24</v>
      </c>
      <c r="K256" t="s">
        <v>243</v>
      </c>
    </row>
    <row r="257" spans="2:11" x14ac:dyDescent="0.25">
      <c r="B257">
        <v>287</v>
      </c>
      <c r="C257">
        <v>131</v>
      </c>
      <c r="D257">
        <v>59</v>
      </c>
      <c r="E257">
        <v>2</v>
      </c>
      <c r="F257">
        <v>1</v>
      </c>
      <c r="G257">
        <v>9</v>
      </c>
      <c r="H257">
        <v>0</v>
      </c>
      <c r="I257">
        <v>0</v>
      </c>
      <c r="J257">
        <v>10</v>
      </c>
      <c r="K257" t="s">
        <v>241</v>
      </c>
    </row>
    <row r="258" spans="2:11" x14ac:dyDescent="0.25">
      <c r="B258">
        <v>288</v>
      </c>
      <c r="C258">
        <v>322</v>
      </c>
      <c r="D258">
        <v>149</v>
      </c>
      <c r="E258">
        <v>2</v>
      </c>
      <c r="F258">
        <v>12</v>
      </c>
      <c r="G258">
        <v>3</v>
      </c>
      <c r="H258">
        <v>8</v>
      </c>
      <c r="I258">
        <v>0</v>
      </c>
      <c r="J258">
        <v>23</v>
      </c>
      <c r="K258" t="s">
        <v>247</v>
      </c>
    </row>
    <row r="259" spans="2:11" x14ac:dyDescent="0.25">
      <c r="B259">
        <v>289</v>
      </c>
      <c r="C259">
        <v>161</v>
      </c>
      <c r="D259">
        <v>69</v>
      </c>
      <c r="E259">
        <v>3</v>
      </c>
      <c r="F259">
        <v>1</v>
      </c>
      <c r="G259">
        <v>4</v>
      </c>
      <c r="H259">
        <v>0</v>
      </c>
      <c r="I259">
        <v>0</v>
      </c>
      <c r="J259">
        <v>5</v>
      </c>
      <c r="K259" t="s">
        <v>245</v>
      </c>
    </row>
    <row r="260" spans="2:11" x14ac:dyDescent="0.25">
      <c r="B260">
        <v>291</v>
      </c>
      <c r="C260">
        <v>179</v>
      </c>
      <c r="D260">
        <v>77</v>
      </c>
      <c r="E260">
        <v>2</v>
      </c>
      <c r="F260">
        <v>0</v>
      </c>
      <c r="G260">
        <v>7</v>
      </c>
      <c r="H260">
        <v>0</v>
      </c>
      <c r="I260">
        <v>0</v>
      </c>
      <c r="J260">
        <v>7</v>
      </c>
      <c r="K260" t="s">
        <v>241</v>
      </c>
    </row>
    <row r="261" spans="2:11" x14ac:dyDescent="0.25">
      <c r="B261">
        <v>292</v>
      </c>
      <c r="C261">
        <v>302</v>
      </c>
      <c r="D261">
        <v>140</v>
      </c>
      <c r="E261">
        <v>3</v>
      </c>
      <c r="F261">
        <v>5</v>
      </c>
      <c r="G261">
        <v>8</v>
      </c>
      <c r="H261">
        <v>0</v>
      </c>
      <c r="I261">
        <v>0</v>
      </c>
      <c r="J261">
        <v>13</v>
      </c>
      <c r="K261" t="s">
        <v>242</v>
      </c>
    </row>
    <row r="262" spans="2:11" x14ac:dyDescent="0.25">
      <c r="B262">
        <v>294</v>
      </c>
      <c r="C262">
        <v>165</v>
      </c>
      <c r="D262">
        <v>71</v>
      </c>
      <c r="E262">
        <v>2</v>
      </c>
      <c r="F262">
        <v>13</v>
      </c>
      <c r="G262">
        <v>10</v>
      </c>
      <c r="H262">
        <v>0</v>
      </c>
      <c r="I262">
        <v>0</v>
      </c>
      <c r="J262">
        <v>23</v>
      </c>
      <c r="K262" t="s">
        <v>246</v>
      </c>
    </row>
    <row r="263" spans="2:11" x14ac:dyDescent="0.25">
      <c r="B263">
        <v>295</v>
      </c>
      <c r="C263">
        <v>96</v>
      </c>
      <c r="D263">
        <v>48</v>
      </c>
      <c r="E263">
        <v>6</v>
      </c>
      <c r="F263">
        <v>18</v>
      </c>
      <c r="G263">
        <v>16</v>
      </c>
      <c r="H263">
        <v>4</v>
      </c>
      <c r="I263">
        <v>0</v>
      </c>
      <c r="J263">
        <v>38</v>
      </c>
      <c r="K263" t="s">
        <v>249</v>
      </c>
    </row>
    <row r="264" spans="2:11" x14ac:dyDescent="0.25">
      <c r="B264">
        <v>296</v>
      </c>
      <c r="C264">
        <v>106</v>
      </c>
      <c r="D264">
        <v>51</v>
      </c>
      <c r="E264">
        <v>3</v>
      </c>
      <c r="F264">
        <v>13</v>
      </c>
      <c r="G264">
        <v>0</v>
      </c>
      <c r="H264">
        <v>0</v>
      </c>
      <c r="I264">
        <v>0</v>
      </c>
      <c r="J264">
        <v>13</v>
      </c>
      <c r="K264" t="s">
        <v>245</v>
      </c>
    </row>
    <row r="265" spans="2:11" x14ac:dyDescent="0.25">
      <c r="B265">
        <v>297</v>
      </c>
      <c r="C265">
        <v>110</v>
      </c>
      <c r="D265">
        <v>51</v>
      </c>
      <c r="E265">
        <v>2</v>
      </c>
      <c r="F265">
        <v>2</v>
      </c>
      <c r="G265">
        <v>23</v>
      </c>
      <c r="H265">
        <v>0</v>
      </c>
      <c r="I265">
        <v>0</v>
      </c>
      <c r="J265">
        <v>25</v>
      </c>
      <c r="K265" t="s">
        <v>246</v>
      </c>
    </row>
    <row r="266" spans="2:11" x14ac:dyDescent="0.25">
      <c r="B266">
        <v>300</v>
      </c>
      <c r="C266">
        <v>332</v>
      </c>
      <c r="D266">
        <v>152</v>
      </c>
      <c r="E266">
        <v>3</v>
      </c>
      <c r="F266">
        <v>15</v>
      </c>
      <c r="G266">
        <v>15</v>
      </c>
      <c r="H266">
        <v>0</v>
      </c>
      <c r="I266">
        <v>0</v>
      </c>
      <c r="J266">
        <v>30</v>
      </c>
      <c r="K266" t="s">
        <v>243</v>
      </c>
    </row>
    <row r="267" spans="2:11" x14ac:dyDescent="0.25">
      <c r="B267">
        <v>302</v>
      </c>
      <c r="C267">
        <v>114</v>
      </c>
      <c r="D267">
        <v>52</v>
      </c>
      <c r="E267">
        <v>2</v>
      </c>
      <c r="F267">
        <v>5</v>
      </c>
      <c r="G267">
        <v>6</v>
      </c>
      <c r="H267">
        <v>19</v>
      </c>
      <c r="I267">
        <v>0</v>
      </c>
      <c r="J267">
        <v>30</v>
      </c>
      <c r="K267" t="s">
        <v>246</v>
      </c>
    </row>
    <row r="268" spans="2:11" x14ac:dyDescent="0.25">
      <c r="B268">
        <v>303</v>
      </c>
      <c r="C268">
        <v>153</v>
      </c>
      <c r="D268">
        <v>69</v>
      </c>
      <c r="E268">
        <v>3</v>
      </c>
      <c r="F268">
        <v>2</v>
      </c>
      <c r="G268">
        <v>11</v>
      </c>
      <c r="H268">
        <v>0</v>
      </c>
      <c r="I268">
        <v>0</v>
      </c>
      <c r="J268">
        <v>13</v>
      </c>
      <c r="K268" t="s">
        <v>245</v>
      </c>
    </row>
    <row r="269" spans="2:11" x14ac:dyDescent="0.25">
      <c r="B269">
        <v>304</v>
      </c>
      <c r="C269">
        <v>334</v>
      </c>
      <c r="D269">
        <v>152</v>
      </c>
      <c r="E269">
        <v>3</v>
      </c>
      <c r="F269">
        <v>20</v>
      </c>
      <c r="G269">
        <v>26</v>
      </c>
      <c r="H269">
        <v>0</v>
      </c>
      <c r="I269">
        <v>0</v>
      </c>
      <c r="J269">
        <v>46</v>
      </c>
      <c r="K269" t="s">
        <v>249</v>
      </c>
    </row>
    <row r="270" spans="2:11" x14ac:dyDescent="0.25">
      <c r="B270">
        <v>306</v>
      </c>
      <c r="C270">
        <v>163</v>
      </c>
      <c r="D270">
        <v>69</v>
      </c>
      <c r="E270">
        <v>3</v>
      </c>
      <c r="F270">
        <v>5</v>
      </c>
      <c r="G270">
        <v>4</v>
      </c>
      <c r="H270">
        <v>0</v>
      </c>
      <c r="I270">
        <v>0</v>
      </c>
      <c r="J270">
        <v>9</v>
      </c>
      <c r="K270" t="s">
        <v>245</v>
      </c>
    </row>
    <row r="271" spans="2:11" x14ac:dyDescent="0.25">
      <c r="B271">
        <v>307</v>
      </c>
      <c r="C271">
        <v>299</v>
      </c>
      <c r="D271">
        <v>137</v>
      </c>
      <c r="E271">
        <v>3</v>
      </c>
      <c r="F271">
        <v>7</v>
      </c>
      <c r="G271">
        <v>13</v>
      </c>
      <c r="H271">
        <v>0</v>
      </c>
      <c r="I271">
        <v>0</v>
      </c>
      <c r="J271">
        <v>20</v>
      </c>
      <c r="K271" t="s">
        <v>242</v>
      </c>
    </row>
    <row r="272" spans="2:11" x14ac:dyDescent="0.25">
      <c r="B272">
        <v>309</v>
      </c>
      <c r="C272">
        <v>97</v>
      </c>
      <c r="D272">
        <v>48</v>
      </c>
      <c r="E272">
        <v>2</v>
      </c>
      <c r="F272">
        <v>20</v>
      </c>
      <c r="G272">
        <v>13</v>
      </c>
      <c r="H272">
        <v>0</v>
      </c>
      <c r="I272">
        <v>0</v>
      </c>
      <c r="J272">
        <v>33</v>
      </c>
      <c r="K272" t="s">
        <v>249</v>
      </c>
    </row>
    <row r="273" spans="2:11" x14ac:dyDescent="0.25">
      <c r="B273">
        <v>311</v>
      </c>
      <c r="C273">
        <v>135</v>
      </c>
      <c r="D273">
        <v>60</v>
      </c>
      <c r="E273">
        <v>2</v>
      </c>
      <c r="F273">
        <v>7</v>
      </c>
      <c r="G273">
        <v>12</v>
      </c>
      <c r="H273">
        <v>1</v>
      </c>
      <c r="I273">
        <v>0</v>
      </c>
      <c r="J273">
        <v>20</v>
      </c>
      <c r="K273" t="s">
        <v>248</v>
      </c>
    </row>
    <row r="274" spans="2:11" x14ac:dyDescent="0.25">
      <c r="B274">
        <v>312</v>
      </c>
      <c r="C274">
        <v>298</v>
      </c>
      <c r="D274">
        <v>137</v>
      </c>
      <c r="E274">
        <v>3</v>
      </c>
      <c r="F274">
        <v>6</v>
      </c>
      <c r="G274">
        <v>12</v>
      </c>
      <c r="H274">
        <v>0</v>
      </c>
      <c r="I274">
        <v>0</v>
      </c>
      <c r="J274">
        <v>18</v>
      </c>
      <c r="K274" t="s">
        <v>242</v>
      </c>
    </row>
    <row r="275" spans="2:11" x14ac:dyDescent="0.25">
      <c r="B275">
        <v>313</v>
      </c>
      <c r="C275">
        <v>134</v>
      </c>
      <c r="D275">
        <v>60</v>
      </c>
      <c r="E275">
        <v>2</v>
      </c>
      <c r="F275">
        <v>8</v>
      </c>
      <c r="G275">
        <v>8</v>
      </c>
      <c r="H275">
        <v>2</v>
      </c>
      <c r="I275">
        <v>0</v>
      </c>
      <c r="J275">
        <v>18</v>
      </c>
      <c r="K275" t="s">
        <v>248</v>
      </c>
    </row>
    <row r="276" spans="2:11" x14ac:dyDescent="0.25">
      <c r="B276">
        <v>314</v>
      </c>
      <c r="C276">
        <v>142</v>
      </c>
      <c r="D276">
        <v>62</v>
      </c>
      <c r="E276">
        <v>3</v>
      </c>
      <c r="F276">
        <v>13</v>
      </c>
      <c r="G276">
        <v>5</v>
      </c>
      <c r="H276">
        <v>2</v>
      </c>
      <c r="I276">
        <v>0</v>
      </c>
      <c r="J276">
        <v>20</v>
      </c>
      <c r="K276" t="s">
        <v>242</v>
      </c>
    </row>
    <row r="277" spans="2:11" x14ac:dyDescent="0.25">
      <c r="B277">
        <v>315</v>
      </c>
      <c r="C277">
        <v>291</v>
      </c>
      <c r="D277">
        <v>135</v>
      </c>
      <c r="E277">
        <v>3</v>
      </c>
      <c r="F277">
        <v>14</v>
      </c>
      <c r="G277">
        <v>1</v>
      </c>
      <c r="H277">
        <v>2</v>
      </c>
      <c r="I277">
        <v>0</v>
      </c>
      <c r="J277">
        <v>17</v>
      </c>
      <c r="K277" t="s">
        <v>243</v>
      </c>
    </row>
    <row r="278" spans="2:11" x14ac:dyDescent="0.25">
      <c r="B278">
        <v>5212</v>
      </c>
      <c r="C278">
        <v>196</v>
      </c>
      <c r="D278">
        <v>86</v>
      </c>
      <c r="E278">
        <v>7</v>
      </c>
      <c r="F278">
        <v>10</v>
      </c>
      <c r="G278">
        <v>16</v>
      </c>
      <c r="H278">
        <v>4</v>
      </c>
      <c r="I278">
        <v>0</v>
      </c>
      <c r="J278">
        <v>30</v>
      </c>
      <c r="K278" t="s">
        <v>246</v>
      </c>
    </row>
    <row r="279" spans="2:11" x14ac:dyDescent="0.25">
      <c r="B279">
        <v>5227</v>
      </c>
      <c r="C279">
        <v>182</v>
      </c>
      <c r="D279">
        <v>79</v>
      </c>
      <c r="E279">
        <v>6</v>
      </c>
      <c r="F279">
        <v>3</v>
      </c>
      <c r="G279">
        <v>0</v>
      </c>
      <c r="H279">
        <v>0</v>
      </c>
      <c r="I279">
        <v>0</v>
      </c>
      <c r="J279">
        <v>3</v>
      </c>
      <c r="K279" t="s">
        <v>241</v>
      </c>
    </row>
    <row r="280" spans="2:11" x14ac:dyDescent="0.25">
      <c r="B280">
        <v>5228</v>
      </c>
      <c r="C280">
        <v>196</v>
      </c>
      <c r="D280">
        <v>86</v>
      </c>
      <c r="E280">
        <v>12</v>
      </c>
      <c r="F280">
        <v>10</v>
      </c>
      <c r="G280">
        <v>12</v>
      </c>
      <c r="H280">
        <v>0</v>
      </c>
      <c r="I280">
        <v>0</v>
      </c>
      <c r="J280">
        <v>22</v>
      </c>
      <c r="K280" t="s">
        <v>246</v>
      </c>
    </row>
    <row r="281" spans="2:11" x14ac:dyDescent="0.25">
      <c r="B281">
        <v>5229</v>
      </c>
      <c r="C281">
        <v>212</v>
      </c>
      <c r="D281">
        <v>94</v>
      </c>
      <c r="E281">
        <v>13</v>
      </c>
      <c r="F281">
        <v>0</v>
      </c>
      <c r="G281">
        <v>10</v>
      </c>
      <c r="H281">
        <v>0</v>
      </c>
      <c r="I281">
        <v>0</v>
      </c>
      <c r="J281">
        <v>10</v>
      </c>
      <c r="K281" t="s">
        <v>245</v>
      </c>
    </row>
    <row r="282" spans="2:11" x14ac:dyDescent="0.25">
      <c r="B282">
        <v>5232</v>
      </c>
      <c r="C282">
        <v>212</v>
      </c>
      <c r="D282">
        <v>94</v>
      </c>
      <c r="E282">
        <v>14</v>
      </c>
      <c r="F282">
        <v>2</v>
      </c>
      <c r="G282">
        <v>18</v>
      </c>
      <c r="H282">
        <v>0</v>
      </c>
      <c r="I282">
        <v>0</v>
      </c>
      <c r="J282">
        <v>20</v>
      </c>
      <c r="K282" t="s">
        <v>245</v>
      </c>
    </row>
    <row r="283" spans="2:11" x14ac:dyDescent="0.25">
      <c r="B283">
        <v>5231</v>
      </c>
      <c r="C283">
        <v>196</v>
      </c>
      <c r="D283">
        <v>86</v>
      </c>
      <c r="E283">
        <v>13</v>
      </c>
      <c r="F283">
        <v>8</v>
      </c>
      <c r="G283">
        <v>9</v>
      </c>
      <c r="H283">
        <v>1</v>
      </c>
      <c r="I283">
        <v>0</v>
      </c>
      <c r="J283">
        <v>18</v>
      </c>
      <c r="K283" t="s">
        <v>246</v>
      </c>
    </row>
    <row r="284" spans="2:11" x14ac:dyDescent="0.25">
      <c r="B284">
        <v>316</v>
      </c>
      <c r="C284">
        <v>18</v>
      </c>
      <c r="D284">
        <v>9</v>
      </c>
      <c r="E284">
        <v>2</v>
      </c>
      <c r="F284">
        <v>10</v>
      </c>
      <c r="G284">
        <v>2</v>
      </c>
      <c r="H284">
        <v>0</v>
      </c>
      <c r="I284">
        <v>0</v>
      </c>
      <c r="J284">
        <v>12</v>
      </c>
      <c r="K284" t="s">
        <v>241</v>
      </c>
    </row>
    <row r="285" spans="2:11" x14ac:dyDescent="0.25">
      <c r="B285">
        <v>317</v>
      </c>
      <c r="C285">
        <v>75</v>
      </c>
      <c r="D285">
        <v>37</v>
      </c>
      <c r="E285">
        <v>2</v>
      </c>
      <c r="F285">
        <v>3</v>
      </c>
      <c r="G285">
        <v>3</v>
      </c>
      <c r="H285">
        <v>3</v>
      </c>
      <c r="I285">
        <v>0</v>
      </c>
      <c r="J285">
        <v>9</v>
      </c>
      <c r="K285" t="s">
        <v>247</v>
      </c>
    </row>
    <row r="286" spans="2:11" x14ac:dyDescent="0.25">
      <c r="B286">
        <v>318</v>
      </c>
      <c r="C286">
        <v>42</v>
      </c>
      <c r="D286">
        <v>21</v>
      </c>
      <c r="E286">
        <v>2</v>
      </c>
      <c r="F286">
        <v>18</v>
      </c>
      <c r="G286">
        <v>12</v>
      </c>
      <c r="H286">
        <v>0</v>
      </c>
      <c r="I286">
        <v>0</v>
      </c>
      <c r="J286">
        <v>30</v>
      </c>
      <c r="K286" t="s">
        <v>249</v>
      </c>
    </row>
    <row r="287" spans="2:11" x14ac:dyDescent="0.25">
      <c r="B287">
        <v>319</v>
      </c>
      <c r="C287">
        <v>18</v>
      </c>
      <c r="D287">
        <v>9</v>
      </c>
      <c r="E287">
        <v>1</v>
      </c>
      <c r="F287">
        <v>20</v>
      </c>
      <c r="G287">
        <v>6</v>
      </c>
      <c r="H287">
        <v>1</v>
      </c>
      <c r="I287">
        <v>0</v>
      </c>
      <c r="J287">
        <v>27</v>
      </c>
      <c r="K287" t="s">
        <v>249</v>
      </c>
    </row>
    <row r="288" spans="2:11" x14ac:dyDescent="0.25">
      <c r="B288">
        <v>320</v>
      </c>
      <c r="C288">
        <v>100</v>
      </c>
      <c r="D288">
        <v>50</v>
      </c>
      <c r="E288">
        <v>2</v>
      </c>
      <c r="F288">
        <v>17</v>
      </c>
      <c r="G288">
        <v>15</v>
      </c>
      <c r="H288">
        <v>0</v>
      </c>
      <c r="I288">
        <v>0</v>
      </c>
      <c r="J288">
        <v>32</v>
      </c>
      <c r="K288" t="s">
        <v>249</v>
      </c>
    </row>
    <row r="289" spans="2:11" x14ac:dyDescent="0.25">
      <c r="B289">
        <v>321</v>
      </c>
      <c r="C289">
        <v>261</v>
      </c>
      <c r="D289">
        <v>118</v>
      </c>
      <c r="E289">
        <v>3</v>
      </c>
      <c r="F289">
        <v>10</v>
      </c>
      <c r="G289">
        <v>20</v>
      </c>
      <c r="H289">
        <v>0</v>
      </c>
      <c r="I289">
        <v>0</v>
      </c>
      <c r="J289">
        <v>30</v>
      </c>
      <c r="K289" t="s">
        <v>249</v>
      </c>
    </row>
    <row r="290" spans="2:11" x14ac:dyDescent="0.25">
      <c r="B290">
        <v>323</v>
      </c>
      <c r="C290">
        <v>81</v>
      </c>
      <c r="D290">
        <v>38</v>
      </c>
      <c r="E290">
        <v>3</v>
      </c>
      <c r="F290">
        <v>9</v>
      </c>
      <c r="G290">
        <v>6</v>
      </c>
      <c r="H290">
        <v>0</v>
      </c>
      <c r="I290">
        <v>0</v>
      </c>
      <c r="J290">
        <v>15</v>
      </c>
      <c r="K290" t="s">
        <v>247</v>
      </c>
    </row>
    <row r="291" spans="2:11" x14ac:dyDescent="0.25">
      <c r="B291">
        <v>324</v>
      </c>
      <c r="C291">
        <v>245</v>
      </c>
      <c r="D291">
        <v>109</v>
      </c>
      <c r="E291">
        <v>3</v>
      </c>
      <c r="F291">
        <v>14</v>
      </c>
      <c r="G291">
        <v>0</v>
      </c>
      <c r="H291">
        <v>7</v>
      </c>
      <c r="I291">
        <v>0</v>
      </c>
      <c r="J291">
        <v>21</v>
      </c>
      <c r="K291" t="s">
        <v>243</v>
      </c>
    </row>
    <row r="292" spans="2:11" x14ac:dyDescent="0.25">
      <c r="B292">
        <v>325</v>
      </c>
      <c r="C292">
        <v>121</v>
      </c>
      <c r="D292">
        <v>55</v>
      </c>
      <c r="E292">
        <v>2</v>
      </c>
      <c r="F292">
        <v>7</v>
      </c>
      <c r="G292">
        <v>5</v>
      </c>
      <c r="H292">
        <v>0</v>
      </c>
      <c r="I292">
        <v>0</v>
      </c>
      <c r="J292">
        <v>12</v>
      </c>
      <c r="K292" t="s">
        <v>245</v>
      </c>
    </row>
    <row r="293" spans="2:11" x14ac:dyDescent="0.25">
      <c r="B293">
        <v>326</v>
      </c>
      <c r="C293">
        <v>121</v>
      </c>
      <c r="D293">
        <v>55</v>
      </c>
      <c r="E293">
        <v>3</v>
      </c>
      <c r="F293">
        <v>10</v>
      </c>
      <c r="G293">
        <v>4</v>
      </c>
      <c r="H293">
        <v>0</v>
      </c>
      <c r="I293">
        <v>0</v>
      </c>
      <c r="J293">
        <v>14</v>
      </c>
      <c r="K293" t="s">
        <v>247</v>
      </c>
    </row>
    <row r="294" spans="2:11" x14ac:dyDescent="0.25">
      <c r="B294">
        <v>327</v>
      </c>
      <c r="C294">
        <v>268</v>
      </c>
      <c r="D294">
        <v>120</v>
      </c>
      <c r="E294">
        <v>3</v>
      </c>
      <c r="F294">
        <v>8</v>
      </c>
      <c r="G294">
        <v>10</v>
      </c>
      <c r="H294">
        <v>2</v>
      </c>
      <c r="I294">
        <v>0</v>
      </c>
      <c r="J294">
        <v>20</v>
      </c>
      <c r="K294" t="s">
        <v>242</v>
      </c>
    </row>
    <row r="295" spans="2:11" x14ac:dyDescent="0.25">
      <c r="B295">
        <v>328</v>
      </c>
      <c r="C295">
        <v>99</v>
      </c>
      <c r="D295">
        <v>49</v>
      </c>
      <c r="E295">
        <v>2</v>
      </c>
      <c r="F295">
        <v>6</v>
      </c>
      <c r="G295">
        <v>12</v>
      </c>
      <c r="H295">
        <v>1</v>
      </c>
      <c r="I295">
        <v>0</v>
      </c>
      <c r="J295">
        <v>19</v>
      </c>
      <c r="K295" t="s">
        <v>245</v>
      </c>
    </row>
    <row r="296" spans="2:11" x14ac:dyDescent="0.25">
      <c r="B296">
        <v>330</v>
      </c>
      <c r="C296">
        <v>145</v>
      </c>
      <c r="D296">
        <v>65</v>
      </c>
      <c r="E296">
        <v>3</v>
      </c>
      <c r="F296">
        <v>6</v>
      </c>
      <c r="G296">
        <v>2</v>
      </c>
      <c r="H296">
        <v>0</v>
      </c>
      <c r="I296">
        <v>0</v>
      </c>
      <c r="J296">
        <v>8</v>
      </c>
      <c r="K296" t="s">
        <v>247</v>
      </c>
    </row>
    <row r="297" spans="2:11" x14ac:dyDescent="0.25">
      <c r="B297">
        <v>331</v>
      </c>
      <c r="C297">
        <v>143</v>
      </c>
      <c r="D297">
        <v>63</v>
      </c>
      <c r="E297">
        <v>3</v>
      </c>
      <c r="F297">
        <v>13</v>
      </c>
      <c r="G297">
        <v>0</v>
      </c>
      <c r="H297">
        <v>0</v>
      </c>
      <c r="I297">
        <v>0</v>
      </c>
      <c r="J297">
        <v>13</v>
      </c>
      <c r="K297" t="s">
        <v>247</v>
      </c>
    </row>
    <row r="298" spans="2:11" x14ac:dyDescent="0.25">
      <c r="B298">
        <v>332</v>
      </c>
      <c r="C298">
        <v>264</v>
      </c>
      <c r="D298">
        <v>118</v>
      </c>
      <c r="E298">
        <v>3</v>
      </c>
      <c r="F298">
        <v>14</v>
      </c>
      <c r="G298">
        <v>1</v>
      </c>
      <c r="H298">
        <v>0</v>
      </c>
      <c r="I298">
        <v>0</v>
      </c>
      <c r="J298">
        <v>15</v>
      </c>
      <c r="K298" t="s">
        <v>242</v>
      </c>
    </row>
    <row r="299" spans="2:11" x14ac:dyDescent="0.25">
      <c r="B299">
        <v>333</v>
      </c>
      <c r="C299">
        <v>268</v>
      </c>
      <c r="D299">
        <v>120</v>
      </c>
      <c r="E299">
        <v>2</v>
      </c>
      <c r="F299">
        <v>9</v>
      </c>
      <c r="G299">
        <v>16</v>
      </c>
      <c r="H299">
        <v>1</v>
      </c>
      <c r="I299">
        <v>0</v>
      </c>
      <c r="J299">
        <v>26</v>
      </c>
      <c r="K299" t="s">
        <v>245</v>
      </c>
    </row>
    <row r="300" spans="2:11" x14ac:dyDescent="0.25">
      <c r="B300">
        <v>335</v>
      </c>
      <c r="C300">
        <v>307</v>
      </c>
      <c r="D300">
        <v>142</v>
      </c>
      <c r="E300">
        <v>3</v>
      </c>
      <c r="F300">
        <v>10</v>
      </c>
      <c r="G300">
        <v>7</v>
      </c>
      <c r="H300">
        <v>0</v>
      </c>
      <c r="I300">
        <v>0</v>
      </c>
      <c r="J300">
        <v>17</v>
      </c>
      <c r="K300" t="s">
        <v>242</v>
      </c>
    </row>
    <row r="301" spans="2:11" x14ac:dyDescent="0.25">
      <c r="B301">
        <v>336</v>
      </c>
      <c r="C301">
        <v>310</v>
      </c>
      <c r="D301">
        <v>144</v>
      </c>
      <c r="E301">
        <v>3</v>
      </c>
      <c r="F301">
        <v>9</v>
      </c>
      <c r="G301">
        <v>18</v>
      </c>
      <c r="H301">
        <v>0</v>
      </c>
      <c r="I301">
        <v>0</v>
      </c>
      <c r="J301">
        <v>27</v>
      </c>
      <c r="K301" t="s">
        <v>246</v>
      </c>
    </row>
    <row r="302" spans="2:11" x14ac:dyDescent="0.25">
      <c r="B302">
        <v>337</v>
      </c>
      <c r="C302">
        <v>263</v>
      </c>
      <c r="D302">
        <v>118</v>
      </c>
      <c r="E302">
        <v>3</v>
      </c>
      <c r="F302">
        <v>0</v>
      </c>
      <c r="G302">
        <v>1</v>
      </c>
      <c r="H302">
        <v>1</v>
      </c>
      <c r="I302">
        <v>0</v>
      </c>
      <c r="J302">
        <v>2</v>
      </c>
      <c r="K302" t="s">
        <v>242</v>
      </c>
    </row>
    <row r="303" spans="2:11" x14ac:dyDescent="0.25">
      <c r="B303">
        <v>338</v>
      </c>
      <c r="C303">
        <v>308</v>
      </c>
      <c r="D303">
        <v>143</v>
      </c>
      <c r="E303">
        <v>3</v>
      </c>
      <c r="F303">
        <v>16</v>
      </c>
      <c r="G303">
        <v>6</v>
      </c>
      <c r="H303">
        <v>0</v>
      </c>
      <c r="I303">
        <v>0</v>
      </c>
      <c r="J303">
        <v>22</v>
      </c>
      <c r="K303" t="s">
        <v>246</v>
      </c>
    </row>
    <row r="304" spans="2:11" x14ac:dyDescent="0.25">
      <c r="B304">
        <v>339</v>
      </c>
      <c r="C304">
        <v>286</v>
      </c>
      <c r="D304">
        <v>133</v>
      </c>
      <c r="E304">
        <v>3</v>
      </c>
      <c r="F304">
        <v>5</v>
      </c>
      <c r="G304">
        <v>0</v>
      </c>
      <c r="H304">
        <v>0</v>
      </c>
      <c r="I304">
        <v>0</v>
      </c>
      <c r="J304">
        <v>5</v>
      </c>
      <c r="K304" t="s">
        <v>248</v>
      </c>
    </row>
    <row r="305" spans="2:11" x14ac:dyDescent="0.25">
      <c r="B305">
        <v>340</v>
      </c>
      <c r="C305">
        <v>295</v>
      </c>
      <c r="D305">
        <v>136</v>
      </c>
      <c r="E305">
        <v>3</v>
      </c>
      <c r="F305">
        <v>23</v>
      </c>
      <c r="G305">
        <v>7</v>
      </c>
      <c r="H305">
        <v>0</v>
      </c>
      <c r="I305">
        <v>0</v>
      </c>
      <c r="J305">
        <v>30</v>
      </c>
      <c r="K305" t="s">
        <v>248</v>
      </c>
    </row>
    <row r="306" spans="2:11" x14ac:dyDescent="0.25">
      <c r="B306">
        <v>341</v>
      </c>
      <c r="C306">
        <v>1</v>
      </c>
      <c r="D306">
        <v>1</v>
      </c>
      <c r="E306">
        <v>3</v>
      </c>
      <c r="F306">
        <v>9</v>
      </c>
      <c r="G306">
        <v>10</v>
      </c>
      <c r="H306">
        <v>1</v>
      </c>
      <c r="I306">
        <v>0</v>
      </c>
      <c r="J306">
        <v>20</v>
      </c>
      <c r="K306" t="s">
        <v>241</v>
      </c>
    </row>
    <row r="307" spans="2:11" x14ac:dyDescent="0.25">
      <c r="B307">
        <v>342</v>
      </c>
      <c r="C307">
        <v>336</v>
      </c>
      <c r="D307">
        <v>152</v>
      </c>
      <c r="E307">
        <v>3</v>
      </c>
      <c r="F307">
        <v>8</v>
      </c>
      <c r="G307">
        <v>22</v>
      </c>
      <c r="H307">
        <v>0</v>
      </c>
      <c r="I307">
        <v>0</v>
      </c>
      <c r="J307">
        <v>30</v>
      </c>
      <c r="K307" t="s">
        <v>248</v>
      </c>
    </row>
    <row r="308" spans="2:11" x14ac:dyDescent="0.25">
      <c r="B308">
        <v>343</v>
      </c>
      <c r="C308">
        <v>335</v>
      </c>
      <c r="D308">
        <v>152</v>
      </c>
      <c r="E308">
        <v>3</v>
      </c>
      <c r="F308">
        <v>7</v>
      </c>
      <c r="G308">
        <v>16</v>
      </c>
      <c r="H308">
        <v>2</v>
      </c>
      <c r="I308">
        <v>0</v>
      </c>
      <c r="J308">
        <v>25</v>
      </c>
      <c r="K308" t="s">
        <v>248</v>
      </c>
    </row>
    <row r="309" spans="2:11" x14ac:dyDescent="0.25">
      <c r="B309">
        <v>344</v>
      </c>
      <c r="C309">
        <v>164</v>
      </c>
      <c r="D309">
        <v>70</v>
      </c>
      <c r="E309">
        <v>3</v>
      </c>
      <c r="F309">
        <v>5</v>
      </c>
      <c r="G309">
        <v>5</v>
      </c>
      <c r="H309">
        <v>0</v>
      </c>
      <c r="I309">
        <v>0</v>
      </c>
      <c r="J309">
        <v>10</v>
      </c>
      <c r="K309" t="s">
        <v>241</v>
      </c>
    </row>
    <row r="310" spans="2:11" x14ac:dyDescent="0.25">
      <c r="B310">
        <v>346</v>
      </c>
      <c r="C310">
        <v>152</v>
      </c>
      <c r="D310">
        <v>69</v>
      </c>
      <c r="E310">
        <v>3</v>
      </c>
      <c r="F310">
        <v>1</v>
      </c>
      <c r="G310">
        <v>5</v>
      </c>
      <c r="H310">
        <v>0</v>
      </c>
      <c r="I310">
        <v>0</v>
      </c>
      <c r="J310">
        <v>6</v>
      </c>
      <c r="K310" t="s">
        <v>241</v>
      </c>
    </row>
    <row r="311" spans="2:11" x14ac:dyDescent="0.25">
      <c r="B311">
        <v>347</v>
      </c>
      <c r="C311">
        <v>147</v>
      </c>
      <c r="D311">
        <v>66</v>
      </c>
      <c r="E311">
        <v>3</v>
      </c>
      <c r="F311">
        <v>21</v>
      </c>
      <c r="G311">
        <v>5</v>
      </c>
      <c r="H311">
        <v>0</v>
      </c>
      <c r="I311">
        <v>0</v>
      </c>
      <c r="J311">
        <v>26</v>
      </c>
      <c r="K311" t="s">
        <v>248</v>
      </c>
    </row>
    <row r="312" spans="2:11" x14ac:dyDescent="0.25">
      <c r="B312">
        <v>348</v>
      </c>
      <c r="C312">
        <v>269</v>
      </c>
      <c r="D312">
        <v>121</v>
      </c>
      <c r="E312">
        <v>2</v>
      </c>
      <c r="F312">
        <v>8</v>
      </c>
      <c r="G312">
        <v>7</v>
      </c>
      <c r="H312">
        <v>0</v>
      </c>
      <c r="I312">
        <v>0</v>
      </c>
      <c r="J312">
        <v>15</v>
      </c>
      <c r="K312" t="s">
        <v>247</v>
      </c>
    </row>
    <row r="313" spans="2:11" x14ac:dyDescent="0.25">
      <c r="B313">
        <v>349</v>
      </c>
      <c r="C313">
        <v>19</v>
      </c>
      <c r="D313">
        <v>9</v>
      </c>
      <c r="E313">
        <v>3</v>
      </c>
      <c r="F313">
        <v>18</v>
      </c>
      <c r="G313">
        <v>12</v>
      </c>
      <c r="H313">
        <v>0</v>
      </c>
      <c r="I313">
        <v>0</v>
      </c>
      <c r="J313">
        <v>30</v>
      </c>
      <c r="K313" t="s">
        <v>249</v>
      </c>
    </row>
    <row r="314" spans="2:11" x14ac:dyDescent="0.25">
      <c r="B314">
        <v>350</v>
      </c>
      <c r="C314">
        <v>250</v>
      </c>
      <c r="D314">
        <v>112</v>
      </c>
      <c r="E314">
        <v>3</v>
      </c>
      <c r="F314">
        <v>2</v>
      </c>
      <c r="G314">
        <v>1</v>
      </c>
      <c r="H314">
        <v>0</v>
      </c>
      <c r="I314">
        <v>0</v>
      </c>
      <c r="J314">
        <v>3</v>
      </c>
      <c r="K314" t="s">
        <v>246</v>
      </c>
    </row>
    <row r="315" spans="2:11" x14ac:dyDescent="0.25">
      <c r="B315">
        <v>351</v>
      </c>
      <c r="C315">
        <v>251</v>
      </c>
      <c r="D315">
        <v>113</v>
      </c>
      <c r="E315">
        <v>4</v>
      </c>
      <c r="F315">
        <v>10</v>
      </c>
      <c r="G315">
        <v>8</v>
      </c>
      <c r="H315">
        <v>7</v>
      </c>
      <c r="I315">
        <v>0</v>
      </c>
      <c r="J315">
        <v>25</v>
      </c>
      <c r="K315" t="s">
        <v>247</v>
      </c>
    </row>
    <row r="316" spans="2:11" x14ac:dyDescent="0.25">
      <c r="B316">
        <v>352</v>
      </c>
      <c r="C316">
        <v>269</v>
      </c>
      <c r="D316">
        <v>121</v>
      </c>
      <c r="E316">
        <v>3</v>
      </c>
      <c r="F316">
        <v>6</v>
      </c>
      <c r="G316">
        <v>9</v>
      </c>
      <c r="H316">
        <v>1</v>
      </c>
      <c r="I316">
        <v>0</v>
      </c>
      <c r="J316">
        <v>16</v>
      </c>
      <c r="K316" t="s">
        <v>242</v>
      </c>
    </row>
    <row r="317" spans="2:11" x14ac:dyDescent="0.25">
      <c r="B317">
        <v>353</v>
      </c>
      <c r="C317">
        <v>166</v>
      </c>
      <c r="D317">
        <v>71</v>
      </c>
      <c r="E317">
        <v>3</v>
      </c>
      <c r="F317">
        <v>2</v>
      </c>
      <c r="G317">
        <v>16</v>
      </c>
      <c r="H317">
        <v>0</v>
      </c>
      <c r="I317">
        <v>0</v>
      </c>
      <c r="J317">
        <v>18</v>
      </c>
      <c r="K317" t="s">
        <v>241</v>
      </c>
    </row>
    <row r="318" spans="2:11" x14ac:dyDescent="0.25">
      <c r="B318">
        <v>354</v>
      </c>
      <c r="C318">
        <v>146</v>
      </c>
      <c r="D318">
        <v>65</v>
      </c>
      <c r="E318">
        <v>3</v>
      </c>
      <c r="F318">
        <v>17</v>
      </c>
      <c r="G318">
        <v>13</v>
      </c>
      <c r="H318">
        <v>0</v>
      </c>
      <c r="I318">
        <v>0</v>
      </c>
      <c r="J318">
        <v>30</v>
      </c>
      <c r="K318" t="s">
        <v>248</v>
      </c>
    </row>
    <row r="319" spans="2:11" x14ac:dyDescent="0.25">
      <c r="B319">
        <v>358</v>
      </c>
      <c r="C319">
        <v>337</v>
      </c>
      <c r="D319">
        <v>152</v>
      </c>
      <c r="E319">
        <v>3</v>
      </c>
      <c r="F319">
        <v>13</v>
      </c>
      <c r="G319">
        <v>17</v>
      </c>
      <c r="H319">
        <v>0</v>
      </c>
      <c r="I319">
        <v>0</v>
      </c>
      <c r="J319">
        <v>30</v>
      </c>
      <c r="K319" t="s">
        <v>248</v>
      </c>
    </row>
    <row r="320" spans="2:11" x14ac:dyDescent="0.25">
      <c r="B320">
        <v>362</v>
      </c>
      <c r="C320">
        <v>20</v>
      </c>
      <c r="D320">
        <v>10</v>
      </c>
      <c r="E320">
        <v>3</v>
      </c>
      <c r="F320">
        <v>9</v>
      </c>
      <c r="G320">
        <v>6</v>
      </c>
      <c r="H320">
        <v>0</v>
      </c>
      <c r="I320">
        <v>0</v>
      </c>
      <c r="J320">
        <v>15</v>
      </c>
      <c r="K320" t="s">
        <v>246</v>
      </c>
    </row>
    <row r="321" spans="2:11" x14ac:dyDescent="0.25">
      <c r="B321">
        <v>363</v>
      </c>
      <c r="C321">
        <v>153</v>
      </c>
      <c r="D321">
        <v>69</v>
      </c>
      <c r="E321">
        <v>4</v>
      </c>
      <c r="F321">
        <v>6</v>
      </c>
      <c r="G321">
        <v>6</v>
      </c>
      <c r="H321">
        <v>0</v>
      </c>
      <c r="I321">
        <v>0</v>
      </c>
      <c r="J321">
        <v>12</v>
      </c>
      <c r="K321" t="s">
        <v>243</v>
      </c>
    </row>
    <row r="322" spans="2:11" x14ac:dyDescent="0.25">
      <c r="B322">
        <v>364</v>
      </c>
      <c r="C322">
        <v>289</v>
      </c>
      <c r="D322">
        <v>135</v>
      </c>
      <c r="E322">
        <v>3</v>
      </c>
      <c r="F322">
        <v>5</v>
      </c>
      <c r="G322">
        <v>5</v>
      </c>
      <c r="H322">
        <v>0</v>
      </c>
      <c r="I322">
        <v>0</v>
      </c>
      <c r="J322">
        <v>10</v>
      </c>
      <c r="K322" t="s">
        <v>245</v>
      </c>
    </row>
    <row r="323" spans="2:11" x14ac:dyDescent="0.25">
      <c r="B323">
        <v>365</v>
      </c>
      <c r="C323">
        <v>330</v>
      </c>
      <c r="D323">
        <v>152</v>
      </c>
      <c r="E323">
        <v>3</v>
      </c>
      <c r="F323">
        <v>2</v>
      </c>
      <c r="G323">
        <v>7</v>
      </c>
      <c r="H323">
        <v>0</v>
      </c>
      <c r="I323">
        <v>0</v>
      </c>
      <c r="J323">
        <v>9</v>
      </c>
      <c r="K323" t="s">
        <v>246</v>
      </c>
    </row>
    <row r="324" spans="2:11" x14ac:dyDescent="0.25">
      <c r="B324">
        <v>366</v>
      </c>
      <c r="C324">
        <v>61</v>
      </c>
      <c r="D324">
        <v>32</v>
      </c>
      <c r="E324">
        <v>3</v>
      </c>
      <c r="F324">
        <v>15</v>
      </c>
      <c r="G324">
        <v>9</v>
      </c>
      <c r="H324">
        <v>2</v>
      </c>
      <c r="I324">
        <v>0</v>
      </c>
      <c r="J324">
        <v>26</v>
      </c>
      <c r="K324" t="s">
        <v>249</v>
      </c>
    </row>
    <row r="325" spans="2:11" x14ac:dyDescent="0.25">
      <c r="B325">
        <v>367</v>
      </c>
      <c r="C325">
        <v>150</v>
      </c>
      <c r="D325">
        <v>69</v>
      </c>
      <c r="E325">
        <v>3</v>
      </c>
      <c r="F325">
        <v>12</v>
      </c>
      <c r="G325">
        <v>7</v>
      </c>
      <c r="H325">
        <v>0</v>
      </c>
      <c r="I325">
        <v>0</v>
      </c>
      <c r="J325">
        <v>19</v>
      </c>
      <c r="K325" t="s">
        <v>243</v>
      </c>
    </row>
    <row r="326" spans="2:11" x14ac:dyDescent="0.25">
      <c r="B326">
        <v>368</v>
      </c>
      <c r="C326">
        <v>288</v>
      </c>
      <c r="D326">
        <v>134</v>
      </c>
      <c r="E326">
        <v>3</v>
      </c>
      <c r="F326">
        <v>12</v>
      </c>
      <c r="G326">
        <v>2</v>
      </c>
      <c r="H326">
        <v>0</v>
      </c>
      <c r="I326">
        <v>0</v>
      </c>
      <c r="J326">
        <v>14</v>
      </c>
      <c r="K326" t="s">
        <v>246</v>
      </c>
    </row>
    <row r="327" spans="2:11" x14ac:dyDescent="0.25">
      <c r="B327">
        <v>369</v>
      </c>
      <c r="C327">
        <v>122</v>
      </c>
      <c r="D327">
        <v>55</v>
      </c>
      <c r="E327">
        <v>2</v>
      </c>
      <c r="F327">
        <v>14</v>
      </c>
      <c r="G327">
        <v>4</v>
      </c>
      <c r="H327">
        <v>0</v>
      </c>
      <c r="I327">
        <v>0</v>
      </c>
      <c r="J327">
        <v>18</v>
      </c>
      <c r="K327" t="s">
        <v>242</v>
      </c>
    </row>
    <row r="328" spans="2:11" x14ac:dyDescent="0.25">
      <c r="B328">
        <v>370</v>
      </c>
      <c r="C328">
        <v>322</v>
      </c>
      <c r="D328">
        <v>149</v>
      </c>
      <c r="E328">
        <v>3</v>
      </c>
      <c r="F328">
        <v>11</v>
      </c>
      <c r="G328">
        <v>8</v>
      </c>
      <c r="H328">
        <v>0</v>
      </c>
      <c r="I328">
        <v>0</v>
      </c>
      <c r="J328">
        <v>19</v>
      </c>
      <c r="K328" t="s">
        <v>245</v>
      </c>
    </row>
    <row r="329" spans="2:11" x14ac:dyDescent="0.25">
      <c r="B329">
        <v>371</v>
      </c>
      <c r="C329">
        <v>169</v>
      </c>
      <c r="D329">
        <v>73</v>
      </c>
      <c r="E329">
        <v>3</v>
      </c>
      <c r="F329">
        <v>12</v>
      </c>
      <c r="G329">
        <v>9</v>
      </c>
      <c r="H329">
        <v>0</v>
      </c>
      <c r="I329">
        <v>0</v>
      </c>
      <c r="J329">
        <v>21</v>
      </c>
      <c r="K329" t="s">
        <v>243</v>
      </c>
    </row>
    <row r="330" spans="2:11" x14ac:dyDescent="0.25">
      <c r="B330">
        <v>372</v>
      </c>
      <c r="C330">
        <v>322</v>
      </c>
      <c r="D330">
        <v>149</v>
      </c>
      <c r="E330">
        <v>4</v>
      </c>
      <c r="F330">
        <v>10</v>
      </c>
      <c r="G330">
        <v>2</v>
      </c>
      <c r="H330">
        <v>0</v>
      </c>
      <c r="I330">
        <v>0</v>
      </c>
      <c r="J330">
        <v>12</v>
      </c>
      <c r="K330" t="s">
        <v>249</v>
      </c>
    </row>
    <row r="331" spans="2:11" x14ac:dyDescent="0.25">
      <c r="B331">
        <v>373</v>
      </c>
      <c r="C331">
        <v>62</v>
      </c>
      <c r="D331">
        <v>33</v>
      </c>
      <c r="E331">
        <v>3</v>
      </c>
      <c r="F331">
        <v>12</v>
      </c>
      <c r="G331">
        <v>18</v>
      </c>
      <c r="H331">
        <v>0</v>
      </c>
      <c r="I331">
        <v>0</v>
      </c>
      <c r="J331">
        <v>30</v>
      </c>
      <c r="K331" t="s">
        <v>245</v>
      </c>
    </row>
    <row r="332" spans="2:11" x14ac:dyDescent="0.25">
      <c r="B332">
        <v>374</v>
      </c>
      <c r="C332">
        <v>123</v>
      </c>
      <c r="D332">
        <v>56</v>
      </c>
      <c r="E332">
        <v>3</v>
      </c>
      <c r="F332">
        <v>8</v>
      </c>
      <c r="G332">
        <v>5</v>
      </c>
      <c r="H332">
        <v>1</v>
      </c>
      <c r="I332">
        <v>0</v>
      </c>
      <c r="J332">
        <v>14</v>
      </c>
      <c r="K332" t="s">
        <v>243</v>
      </c>
    </row>
    <row r="333" spans="2:11" x14ac:dyDescent="0.25">
      <c r="B333">
        <v>375</v>
      </c>
      <c r="C333">
        <v>92</v>
      </c>
      <c r="D333">
        <v>46</v>
      </c>
      <c r="E333">
        <v>3</v>
      </c>
      <c r="F333">
        <v>23</v>
      </c>
      <c r="G333">
        <v>5</v>
      </c>
      <c r="H333">
        <v>0</v>
      </c>
      <c r="I333">
        <v>0</v>
      </c>
      <c r="J333">
        <v>28</v>
      </c>
      <c r="K333" t="s">
        <v>242</v>
      </c>
    </row>
    <row r="334" spans="2:11" x14ac:dyDescent="0.25">
      <c r="B334">
        <v>376</v>
      </c>
      <c r="C334">
        <v>321</v>
      </c>
      <c r="D334">
        <v>149</v>
      </c>
      <c r="E334">
        <v>3</v>
      </c>
      <c r="F334">
        <v>15</v>
      </c>
      <c r="G334">
        <v>7</v>
      </c>
      <c r="H334">
        <v>0</v>
      </c>
      <c r="I334">
        <v>0</v>
      </c>
      <c r="J334">
        <v>22</v>
      </c>
      <c r="K334" t="s">
        <v>242</v>
      </c>
    </row>
    <row r="335" spans="2:11" x14ac:dyDescent="0.25">
      <c r="B335">
        <v>377</v>
      </c>
      <c r="C335">
        <v>136</v>
      </c>
      <c r="D335">
        <v>60</v>
      </c>
      <c r="E335">
        <v>4</v>
      </c>
      <c r="F335">
        <v>6</v>
      </c>
      <c r="G335">
        <v>6</v>
      </c>
      <c r="H335">
        <v>6</v>
      </c>
      <c r="I335">
        <v>0</v>
      </c>
      <c r="J335">
        <v>18</v>
      </c>
      <c r="K335" t="s">
        <v>241</v>
      </c>
    </row>
    <row r="336" spans="2:11" x14ac:dyDescent="0.25">
      <c r="B336">
        <v>378</v>
      </c>
      <c r="C336">
        <v>243</v>
      </c>
      <c r="D336">
        <v>108</v>
      </c>
      <c r="E336">
        <v>3</v>
      </c>
      <c r="F336">
        <v>3</v>
      </c>
      <c r="G336">
        <v>4</v>
      </c>
      <c r="H336">
        <v>2</v>
      </c>
      <c r="I336">
        <v>0</v>
      </c>
      <c r="J336">
        <v>9</v>
      </c>
      <c r="K336" t="s">
        <v>246</v>
      </c>
    </row>
    <row r="337" spans="2:11" x14ac:dyDescent="0.25">
      <c r="B337">
        <v>381</v>
      </c>
      <c r="C337">
        <v>136</v>
      </c>
      <c r="D337">
        <v>60</v>
      </c>
      <c r="E337">
        <v>3</v>
      </c>
      <c r="F337">
        <v>6</v>
      </c>
      <c r="G337">
        <v>3</v>
      </c>
      <c r="H337">
        <v>11</v>
      </c>
      <c r="I337">
        <v>0</v>
      </c>
      <c r="J337">
        <v>20</v>
      </c>
      <c r="K337" t="s">
        <v>241</v>
      </c>
    </row>
    <row r="338" spans="2:11" x14ac:dyDescent="0.25">
      <c r="B338">
        <v>382</v>
      </c>
      <c r="C338">
        <v>3</v>
      </c>
      <c r="D338">
        <v>1</v>
      </c>
      <c r="E338">
        <v>3</v>
      </c>
      <c r="F338">
        <v>3</v>
      </c>
      <c r="G338">
        <v>2</v>
      </c>
      <c r="H338">
        <v>0</v>
      </c>
      <c r="I338">
        <v>0</v>
      </c>
      <c r="J338">
        <v>5</v>
      </c>
      <c r="K338" t="s">
        <v>245</v>
      </c>
    </row>
    <row r="339" spans="2:11" x14ac:dyDescent="0.25">
      <c r="B339">
        <v>383</v>
      </c>
      <c r="C339">
        <v>63</v>
      </c>
      <c r="D339">
        <v>34</v>
      </c>
      <c r="E339">
        <v>3</v>
      </c>
      <c r="F339">
        <v>5</v>
      </c>
      <c r="G339">
        <v>3</v>
      </c>
      <c r="H339">
        <v>0</v>
      </c>
      <c r="I339">
        <v>0</v>
      </c>
      <c r="J339">
        <v>8</v>
      </c>
      <c r="K339" t="s">
        <v>243</v>
      </c>
    </row>
    <row r="340" spans="2:11" x14ac:dyDescent="0.25">
      <c r="B340">
        <v>384</v>
      </c>
      <c r="C340">
        <v>171</v>
      </c>
      <c r="D340">
        <v>73</v>
      </c>
      <c r="E340">
        <v>3</v>
      </c>
      <c r="F340">
        <v>7</v>
      </c>
      <c r="G340">
        <v>6</v>
      </c>
      <c r="H340">
        <v>0</v>
      </c>
      <c r="I340">
        <v>0</v>
      </c>
      <c r="J340">
        <v>13</v>
      </c>
      <c r="K340" t="s">
        <v>241</v>
      </c>
    </row>
    <row r="341" spans="2:11" x14ac:dyDescent="0.25">
      <c r="B341">
        <v>385</v>
      </c>
      <c r="C341">
        <v>22</v>
      </c>
      <c r="D341">
        <v>10</v>
      </c>
      <c r="E341">
        <v>3</v>
      </c>
      <c r="F341">
        <v>4</v>
      </c>
      <c r="G341">
        <v>9</v>
      </c>
      <c r="H341">
        <v>0</v>
      </c>
      <c r="I341">
        <v>0</v>
      </c>
      <c r="J341">
        <v>13</v>
      </c>
      <c r="K341" t="s">
        <v>243</v>
      </c>
    </row>
    <row r="342" spans="2:11" x14ac:dyDescent="0.25">
      <c r="B342">
        <v>387</v>
      </c>
      <c r="C342">
        <v>96</v>
      </c>
      <c r="D342">
        <v>48</v>
      </c>
      <c r="E342">
        <v>4</v>
      </c>
      <c r="F342">
        <v>16</v>
      </c>
      <c r="G342">
        <v>12</v>
      </c>
      <c r="H342">
        <v>0</v>
      </c>
      <c r="I342">
        <v>0</v>
      </c>
      <c r="J342">
        <v>28</v>
      </c>
      <c r="K342" t="s">
        <v>242</v>
      </c>
    </row>
    <row r="343" spans="2:11" x14ac:dyDescent="0.25">
      <c r="B343">
        <v>5213</v>
      </c>
      <c r="C343">
        <v>212</v>
      </c>
      <c r="D343">
        <v>94</v>
      </c>
      <c r="E343">
        <v>6</v>
      </c>
      <c r="F343">
        <v>1</v>
      </c>
      <c r="G343">
        <v>12</v>
      </c>
      <c r="H343">
        <v>0</v>
      </c>
      <c r="I343">
        <v>0</v>
      </c>
      <c r="J343">
        <v>13</v>
      </c>
      <c r="K343" t="s">
        <v>245</v>
      </c>
    </row>
    <row r="344" spans="2:11" x14ac:dyDescent="0.25">
      <c r="B344">
        <v>5234</v>
      </c>
      <c r="C344">
        <v>196</v>
      </c>
      <c r="D344">
        <v>86</v>
      </c>
      <c r="E344">
        <v>14</v>
      </c>
      <c r="F344">
        <v>9</v>
      </c>
      <c r="G344">
        <v>13</v>
      </c>
      <c r="H344">
        <v>0</v>
      </c>
      <c r="I344">
        <v>0</v>
      </c>
      <c r="J344">
        <v>22</v>
      </c>
      <c r="K344" t="s">
        <v>246</v>
      </c>
    </row>
    <row r="345" spans="2:11" x14ac:dyDescent="0.25">
      <c r="B345">
        <v>5230</v>
      </c>
      <c r="C345">
        <v>182</v>
      </c>
      <c r="D345">
        <v>79</v>
      </c>
      <c r="E345">
        <v>7</v>
      </c>
      <c r="F345">
        <v>5</v>
      </c>
      <c r="G345">
        <v>3</v>
      </c>
      <c r="H345">
        <v>0</v>
      </c>
      <c r="I345">
        <v>0</v>
      </c>
      <c r="J345">
        <v>8</v>
      </c>
      <c r="K345" t="s">
        <v>241</v>
      </c>
    </row>
    <row r="346" spans="2:11" x14ac:dyDescent="0.25">
      <c r="B346">
        <v>5235</v>
      </c>
      <c r="C346">
        <v>197</v>
      </c>
      <c r="D346">
        <v>86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246</v>
      </c>
    </row>
    <row r="347" spans="2:11" x14ac:dyDescent="0.25">
      <c r="B347">
        <v>5236</v>
      </c>
      <c r="C347">
        <v>182</v>
      </c>
      <c r="D347">
        <v>79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241</v>
      </c>
    </row>
    <row r="348" spans="2:11" x14ac:dyDescent="0.25">
      <c r="B348">
        <v>5239</v>
      </c>
      <c r="C348">
        <v>197</v>
      </c>
      <c r="D348">
        <v>86</v>
      </c>
      <c r="E348">
        <v>2</v>
      </c>
      <c r="F348">
        <v>6</v>
      </c>
      <c r="G348">
        <v>8</v>
      </c>
      <c r="H348">
        <v>0</v>
      </c>
      <c r="I348">
        <v>0</v>
      </c>
      <c r="J348">
        <v>14</v>
      </c>
      <c r="K348" t="s">
        <v>246</v>
      </c>
    </row>
    <row r="349" spans="2:11" x14ac:dyDescent="0.25">
      <c r="B349">
        <v>5238</v>
      </c>
      <c r="C349">
        <v>86</v>
      </c>
      <c r="D349">
        <v>42</v>
      </c>
      <c r="E349">
        <v>15</v>
      </c>
      <c r="F349">
        <v>14</v>
      </c>
      <c r="G349">
        <v>7</v>
      </c>
      <c r="H349">
        <v>0</v>
      </c>
      <c r="I349">
        <v>0</v>
      </c>
      <c r="J349">
        <v>21</v>
      </c>
      <c r="K349" t="s">
        <v>252</v>
      </c>
    </row>
    <row r="350" spans="2:11" x14ac:dyDescent="0.25">
      <c r="B350">
        <v>5242</v>
      </c>
      <c r="C350">
        <v>87</v>
      </c>
      <c r="D350">
        <v>43</v>
      </c>
      <c r="E350">
        <v>16</v>
      </c>
      <c r="F350">
        <v>10</v>
      </c>
      <c r="G350">
        <v>20</v>
      </c>
      <c r="H350">
        <v>0</v>
      </c>
      <c r="I350">
        <v>0</v>
      </c>
      <c r="J350">
        <v>30</v>
      </c>
      <c r="K350" t="s">
        <v>247</v>
      </c>
    </row>
    <row r="351" spans="2:11" x14ac:dyDescent="0.25">
      <c r="B351">
        <v>5243</v>
      </c>
      <c r="C351">
        <v>197</v>
      </c>
      <c r="D351">
        <v>86</v>
      </c>
      <c r="E351">
        <v>3</v>
      </c>
      <c r="F351">
        <v>12</v>
      </c>
      <c r="G351">
        <v>10</v>
      </c>
      <c r="H351">
        <v>0</v>
      </c>
      <c r="I351">
        <v>0</v>
      </c>
      <c r="J351">
        <v>22</v>
      </c>
      <c r="K351" t="s">
        <v>246</v>
      </c>
    </row>
    <row r="352" spans="2:11" x14ac:dyDescent="0.25">
      <c r="B352">
        <v>5247</v>
      </c>
      <c r="C352">
        <v>87</v>
      </c>
      <c r="D352">
        <v>43</v>
      </c>
      <c r="E352">
        <v>17</v>
      </c>
      <c r="F352">
        <v>12</v>
      </c>
      <c r="G352">
        <v>10</v>
      </c>
      <c r="H352">
        <v>4</v>
      </c>
      <c r="I352">
        <v>0</v>
      </c>
      <c r="J352">
        <v>26</v>
      </c>
      <c r="K352" t="s">
        <v>247</v>
      </c>
    </row>
    <row r="353" spans="2:11" x14ac:dyDescent="0.25">
      <c r="B353">
        <v>5244</v>
      </c>
      <c r="C353">
        <v>182</v>
      </c>
      <c r="D353">
        <v>79</v>
      </c>
      <c r="E353">
        <v>10</v>
      </c>
      <c r="F353">
        <v>8</v>
      </c>
      <c r="G353">
        <v>6</v>
      </c>
      <c r="H353">
        <v>0</v>
      </c>
      <c r="I353">
        <v>0</v>
      </c>
      <c r="J353">
        <v>14</v>
      </c>
      <c r="K353" t="s">
        <v>241</v>
      </c>
    </row>
    <row r="354" spans="2:11" x14ac:dyDescent="0.25">
      <c r="B354">
        <v>5248</v>
      </c>
      <c r="C354">
        <v>197</v>
      </c>
      <c r="D354">
        <v>86</v>
      </c>
      <c r="E354">
        <v>4</v>
      </c>
      <c r="F354">
        <v>16</v>
      </c>
      <c r="G354">
        <v>11</v>
      </c>
      <c r="H354">
        <v>2</v>
      </c>
      <c r="I354">
        <v>0</v>
      </c>
      <c r="J354">
        <v>29</v>
      </c>
      <c r="K354" t="s">
        <v>246</v>
      </c>
    </row>
    <row r="355" spans="2:11" x14ac:dyDescent="0.25">
      <c r="B355">
        <v>388</v>
      </c>
      <c r="C355">
        <v>21</v>
      </c>
      <c r="D355">
        <v>10</v>
      </c>
      <c r="E355">
        <v>3</v>
      </c>
      <c r="F355">
        <v>9</v>
      </c>
      <c r="G355">
        <v>6</v>
      </c>
      <c r="H355">
        <v>0</v>
      </c>
      <c r="I355">
        <v>0</v>
      </c>
      <c r="J355">
        <v>15</v>
      </c>
      <c r="K355" t="s">
        <v>245</v>
      </c>
    </row>
    <row r="356" spans="2:11" x14ac:dyDescent="0.25">
      <c r="B356">
        <v>389</v>
      </c>
      <c r="C356">
        <v>64</v>
      </c>
      <c r="D356">
        <v>35</v>
      </c>
      <c r="E356">
        <v>3</v>
      </c>
      <c r="F356">
        <v>10</v>
      </c>
      <c r="G356">
        <v>20</v>
      </c>
      <c r="H356">
        <v>0</v>
      </c>
      <c r="I356">
        <v>0</v>
      </c>
      <c r="J356">
        <v>30</v>
      </c>
      <c r="K356" t="s">
        <v>243</v>
      </c>
    </row>
    <row r="357" spans="2:11" x14ac:dyDescent="0.25">
      <c r="B357">
        <v>390</v>
      </c>
      <c r="C357">
        <v>124</v>
      </c>
      <c r="D357">
        <v>56</v>
      </c>
      <c r="E357">
        <v>3</v>
      </c>
      <c r="F357">
        <v>1</v>
      </c>
      <c r="G357">
        <v>14</v>
      </c>
      <c r="H357">
        <v>0</v>
      </c>
      <c r="I357">
        <v>0</v>
      </c>
      <c r="J357">
        <v>15</v>
      </c>
      <c r="K357" t="s">
        <v>247</v>
      </c>
    </row>
    <row r="358" spans="2:11" x14ac:dyDescent="0.25">
      <c r="B358">
        <v>391</v>
      </c>
      <c r="C358">
        <v>337</v>
      </c>
      <c r="D358">
        <v>152</v>
      </c>
      <c r="E358">
        <v>2</v>
      </c>
      <c r="F358">
        <v>47</v>
      </c>
      <c r="G358">
        <v>71</v>
      </c>
      <c r="H358">
        <v>0</v>
      </c>
      <c r="I358">
        <v>0</v>
      </c>
      <c r="J358">
        <v>118</v>
      </c>
      <c r="K358" t="s">
        <v>249</v>
      </c>
    </row>
    <row r="359" spans="2:11" x14ac:dyDescent="0.25">
      <c r="B359">
        <v>393</v>
      </c>
      <c r="C359">
        <v>84</v>
      </c>
      <c r="D359">
        <v>41</v>
      </c>
      <c r="E359">
        <v>3</v>
      </c>
      <c r="F359">
        <v>3</v>
      </c>
      <c r="G359">
        <v>0</v>
      </c>
      <c r="H359">
        <v>0</v>
      </c>
      <c r="I359">
        <v>0</v>
      </c>
      <c r="J359">
        <v>3</v>
      </c>
      <c r="K359" t="s">
        <v>245</v>
      </c>
    </row>
    <row r="360" spans="2:11" x14ac:dyDescent="0.25">
      <c r="B360">
        <v>394</v>
      </c>
      <c r="C360">
        <v>317</v>
      </c>
      <c r="D360">
        <v>146</v>
      </c>
      <c r="E360">
        <v>4</v>
      </c>
      <c r="F360">
        <v>7</v>
      </c>
      <c r="G360">
        <v>23</v>
      </c>
      <c r="H360">
        <v>0</v>
      </c>
      <c r="I360">
        <v>0</v>
      </c>
      <c r="J360">
        <v>30</v>
      </c>
      <c r="K360" t="s">
        <v>242</v>
      </c>
    </row>
    <row r="361" spans="2:11" x14ac:dyDescent="0.25">
      <c r="B361">
        <v>396</v>
      </c>
      <c r="C361">
        <v>317</v>
      </c>
      <c r="D361">
        <v>146</v>
      </c>
      <c r="E361">
        <v>3</v>
      </c>
      <c r="F361">
        <v>22</v>
      </c>
      <c r="G361">
        <v>8</v>
      </c>
      <c r="H361">
        <v>0</v>
      </c>
      <c r="I361">
        <v>0</v>
      </c>
      <c r="J361">
        <v>30</v>
      </c>
      <c r="K361" t="s">
        <v>247</v>
      </c>
    </row>
    <row r="362" spans="2:11" x14ac:dyDescent="0.25">
      <c r="B362">
        <v>397</v>
      </c>
      <c r="C362">
        <v>55</v>
      </c>
      <c r="D362">
        <v>29</v>
      </c>
      <c r="E362">
        <v>3</v>
      </c>
      <c r="F362">
        <v>3</v>
      </c>
      <c r="G362">
        <v>17</v>
      </c>
      <c r="H362">
        <v>0</v>
      </c>
      <c r="I362">
        <v>0</v>
      </c>
      <c r="J362">
        <v>20</v>
      </c>
      <c r="K362" t="s">
        <v>241</v>
      </c>
    </row>
    <row r="363" spans="2:11" x14ac:dyDescent="0.25">
      <c r="B363">
        <v>398</v>
      </c>
      <c r="C363">
        <v>46</v>
      </c>
      <c r="D363">
        <v>23</v>
      </c>
      <c r="E363">
        <v>3</v>
      </c>
      <c r="F363">
        <v>15</v>
      </c>
      <c r="G363">
        <v>11</v>
      </c>
      <c r="H363">
        <v>1</v>
      </c>
      <c r="I363">
        <v>0</v>
      </c>
      <c r="J363">
        <v>27</v>
      </c>
      <c r="K363" t="s">
        <v>246</v>
      </c>
    </row>
    <row r="364" spans="2:11" x14ac:dyDescent="0.25">
      <c r="B364">
        <v>399</v>
      </c>
      <c r="C364">
        <v>51</v>
      </c>
      <c r="D364">
        <v>26</v>
      </c>
      <c r="E364">
        <v>3</v>
      </c>
      <c r="F364">
        <v>10</v>
      </c>
      <c r="G364">
        <v>15</v>
      </c>
      <c r="H364">
        <v>1</v>
      </c>
      <c r="I364">
        <v>0</v>
      </c>
      <c r="J364">
        <v>26</v>
      </c>
      <c r="K364" t="s">
        <v>249</v>
      </c>
    </row>
    <row r="365" spans="2:11" x14ac:dyDescent="0.25">
      <c r="B365">
        <v>400</v>
      </c>
      <c r="C365">
        <v>53</v>
      </c>
      <c r="D365">
        <v>27</v>
      </c>
      <c r="E365">
        <v>3</v>
      </c>
      <c r="F365">
        <v>10</v>
      </c>
      <c r="G365">
        <v>5</v>
      </c>
      <c r="H365">
        <v>0</v>
      </c>
      <c r="I365">
        <v>0</v>
      </c>
      <c r="J365">
        <v>15</v>
      </c>
      <c r="K365" t="s">
        <v>241</v>
      </c>
    </row>
    <row r="366" spans="2:11" x14ac:dyDescent="0.25">
      <c r="B366">
        <v>401</v>
      </c>
      <c r="C366">
        <v>54</v>
      </c>
      <c r="D366">
        <v>28</v>
      </c>
      <c r="E366">
        <v>3</v>
      </c>
      <c r="F366">
        <v>13</v>
      </c>
      <c r="G366">
        <v>3</v>
      </c>
      <c r="H366">
        <v>5</v>
      </c>
      <c r="I366">
        <v>0</v>
      </c>
      <c r="J366">
        <v>21</v>
      </c>
      <c r="K366" t="s">
        <v>246</v>
      </c>
    </row>
    <row r="367" spans="2:11" x14ac:dyDescent="0.25">
      <c r="B367">
        <v>402</v>
      </c>
      <c r="C367">
        <v>65</v>
      </c>
      <c r="D367">
        <v>35</v>
      </c>
      <c r="E367">
        <v>3</v>
      </c>
      <c r="F367">
        <v>10</v>
      </c>
      <c r="G367">
        <v>6</v>
      </c>
      <c r="H367">
        <v>14</v>
      </c>
      <c r="I367">
        <v>0</v>
      </c>
      <c r="J367">
        <v>30</v>
      </c>
      <c r="K367" t="s">
        <v>249</v>
      </c>
    </row>
    <row r="368" spans="2:11" x14ac:dyDescent="0.25">
      <c r="B368">
        <v>403</v>
      </c>
      <c r="C368">
        <v>57</v>
      </c>
      <c r="D368">
        <v>29</v>
      </c>
      <c r="E368">
        <v>3</v>
      </c>
      <c r="F368">
        <v>14</v>
      </c>
      <c r="G368">
        <v>12</v>
      </c>
      <c r="H368">
        <v>0</v>
      </c>
      <c r="I368">
        <v>0</v>
      </c>
      <c r="J368">
        <v>26</v>
      </c>
      <c r="K368" t="s">
        <v>249</v>
      </c>
    </row>
    <row r="369" spans="2:11" x14ac:dyDescent="0.25">
      <c r="B369">
        <v>404</v>
      </c>
      <c r="C369">
        <v>58</v>
      </c>
      <c r="D369">
        <v>29</v>
      </c>
      <c r="E369">
        <v>2</v>
      </c>
      <c r="F369">
        <v>15</v>
      </c>
      <c r="G369">
        <v>5</v>
      </c>
      <c r="H369">
        <v>0</v>
      </c>
      <c r="I369">
        <v>0</v>
      </c>
      <c r="J369">
        <v>20</v>
      </c>
      <c r="K369" t="s">
        <v>241</v>
      </c>
    </row>
    <row r="370" spans="2:11" x14ac:dyDescent="0.25">
      <c r="B370">
        <v>405</v>
      </c>
      <c r="C370">
        <v>60</v>
      </c>
      <c r="D370">
        <v>31</v>
      </c>
      <c r="E370">
        <v>3</v>
      </c>
      <c r="F370">
        <v>14</v>
      </c>
      <c r="G370">
        <v>2</v>
      </c>
      <c r="H370">
        <v>3</v>
      </c>
      <c r="I370">
        <v>0</v>
      </c>
      <c r="J370">
        <v>19</v>
      </c>
      <c r="K370" t="s">
        <v>241</v>
      </c>
    </row>
    <row r="371" spans="2:11" x14ac:dyDescent="0.25">
      <c r="B371">
        <v>406</v>
      </c>
      <c r="C371">
        <v>58</v>
      </c>
      <c r="D371">
        <v>29</v>
      </c>
      <c r="E371">
        <v>3</v>
      </c>
      <c r="F371">
        <v>8</v>
      </c>
      <c r="G371">
        <v>10</v>
      </c>
      <c r="H371">
        <v>0</v>
      </c>
      <c r="I371">
        <v>0</v>
      </c>
      <c r="J371">
        <v>18</v>
      </c>
      <c r="K371" t="s">
        <v>241</v>
      </c>
    </row>
    <row r="372" spans="2:11" x14ac:dyDescent="0.25">
      <c r="B372">
        <v>407</v>
      </c>
      <c r="C372">
        <v>98</v>
      </c>
      <c r="D372">
        <v>48</v>
      </c>
      <c r="E372">
        <v>3</v>
      </c>
      <c r="F372">
        <v>14</v>
      </c>
      <c r="G372">
        <v>12</v>
      </c>
      <c r="H372">
        <v>0</v>
      </c>
      <c r="I372">
        <v>0</v>
      </c>
      <c r="J372">
        <v>26</v>
      </c>
      <c r="K372" t="s">
        <v>245</v>
      </c>
    </row>
    <row r="373" spans="2:11" x14ac:dyDescent="0.25">
      <c r="B373">
        <v>410</v>
      </c>
      <c r="C373">
        <v>294</v>
      </c>
      <c r="D373">
        <v>136</v>
      </c>
      <c r="E373">
        <v>3</v>
      </c>
      <c r="F373">
        <v>20</v>
      </c>
      <c r="G373">
        <v>0</v>
      </c>
      <c r="H373">
        <v>0</v>
      </c>
      <c r="I373">
        <v>0</v>
      </c>
      <c r="J373">
        <v>20</v>
      </c>
      <c r="K373" t="s">
        <v>242</v>
      </c>
    </row>
    <row r="374" spans="2:11" x14ac:dyDescent="0.25">
      <c r="B374">
        <v>411</v>
      </c>
      <c r="C374">
        <v>97</v>
      </c>
      <c r="D374">
        <v>48</v>
      </c>
      <c r="E374">
        <v>3</v>
      </c>
      <c r="F374">
        <v>4</v>
      </c>
      <c r="G374">
        <v>6</v>
      </c>
      <c r="H374">
        <v>0</v>
      </c>
      <c r="I374">
        <v>0</v>
      </c>
      <c r="J374">
        <v>10</v>
      </c>
      <c r="K374" t="s">
        <v>245</v>
      </c>
    </row>
    <row r="375" spans="2:11" x14ac:dyDescent="0.25">
      <c r="B375">
        <v>412</v>
      </c>
      <c r="C375">
        <v>76</v>
      </c>
      <c r="D375">
        <v>38</v>
      </c>
      <c r="E375">
        <v>3</v>
      </c>
      <c r="F375">
        <v>14</v>
      </c>
      <c r="G375">
        <v>12</v>
      </c>
      <c r="H375">
        <v>1</v>
      </c>
      <c r="I375">
        <v>0</v>
      </c>
      <c r="J375">
        <v>27</v>
      </c>
      <c r="K375" t="s">
        <v>242</v>
      </c>
    </row>
    <row r="376" spans="2:11" x14ac:dyDescent="0.25">
      <c r="B376">
        <v>413</v>
      </c>
      <c r="C376">
        <v>318</v>
      </c>
      <c r="D376">
        <v>147</v>
      </c>
      <c r="E376">
        <v>4</v>
      </c>
      <c r="F376">
        <v>6</v>
      </c>
      <c r="G376">
        <v>11</v>
      </c>
      <c r="H376">
        <v>1</v>
      </c>
      <c r="I376">
        <v>0</v>
      </c>
      <c r="J376">
        <v>18</v>
      </c>
      <c r="K376" t="s">
        <v>246</v>
      </c>
    </row>
    <row r="377" spans="2:11" x14ac:dyDescent="0.25">
      <c r="B377">
        <v>416</v>
      </c>
      <c r="C377">
        <v>31</v>
      </c>
      <c r="D377">
        <v>17</v>
      </c>
      <c r="E377">
        <v>4</v>
      </c>
      <c r="F377">
        <v>4</v>
      </c>
      <c r="G377">
        <v>6</v>
      </c>
      <c r="H377">
        <v>1</v>
      </c>
      <c r="I377">
        <v>0</v>
      </c>
      <c r="J377">
        <v>11</v>
      </c>
      <c r="K377" t="s">
        <v>246</v>
      </c>
    </row>
    <row r="378" spans="2:11" x14ac:dyDescent="0.25">
      <c r="B378">
        <v>417</v>
      </c>
      <c r="C378">
        <v>66</v>
      </c>
      <c r="D378">
        <v>35</v>
      </c>
      <c r="E378">
        <v>3</v>
      </c>
      <c r="F378">
        <v>12</v>
      </c>
      <c r="G378">
        <v>13</v>
      </c>
      <c r="H378">
        <v>3</v>
      </c>
      <c r="I378">
        <v>0</v>
      </c>
      <c r="J378">
        <v>28</v>
      </c>
      <c r="K378" t="s">
        <v>242</v>
      </c>
    </row>
    <row r="379" spans="2:11" x14ac:dyDescent="0.25">
      <c r="B379">
        <v>418</v>
      </c>
      <c r="C379">
        <v>98</v>
      </c>
      <c r="D379">
        <v>48</v>
      </c>
      <c r="E379">
        <v>4</v>
      </c>
      <c r="F379">
        <v>15</v>
      </c>
      <c r="G379">
        <v>11</v>
      </c>
      <c r="H379">
        <v>0</v>
      </c>
      <c r="I379">
        <v>0</v>
      </c>
      <c r="J379">
        <v>26</v>
      </c>
      <c r="K379" t="s">
        <v>249</v>
      </c>
    </row>
    <row r="380" spans="2:11" x14ac:dyDescent="0.25">
      <c r="B380">
        <v>419</v>
      </c>
      <c r="C380">
        <v>51</v>
      </c>
      <c r="D380">
        <v>26</v>
      </c>
      <c r="E380">
        <v>4</v>
      </c>
      <c r="F380">
        <v>10</v>
      </c>
      <c r="G380">
        <v>3</v>
      </c>
      <c r="H380">
        <v>1</v>
      </c>
      <c r="I380">
        <v>0</v>
      </c>
      <c r="J380">
        <v>14</v>
      </c>
      <c r="K380" t="s">
        <v>247</v>
      </c>
    </row>
    <row r="381" spans="2:11" x14ac:dyDescent="0.25">
      <c r="B381">
        <v>420</v>
      </c>
      <c r="C381">
        <v>253</v>
      </c>
      <c r="D381">
        <v>115</v>
      </c>
      <c r="E381">
        <v>4</v>
      </c>
      <c r="F381">
        <v>12</v>
      </c>
      <c r="G381">
        <v>8</v>
      </c>
      <c r="H381">
        <v>0</v>
      </c>
      <c r="I381">
        <v>0</v>
      </c>
      <c r="J381">
        <v>20</v>
      </c>
      <c r="K381" t="s">
        <v>246</v>
      </c>
    </row>
    <row r="382" spans="2:11" x14ac:dyDescent="0.25">
      <c r="B382">
        <v>421</v>
      </c>
      <c r="C382">
        <v>270</v>
      </c>
      <c r="D382">
        <v>122</v>
      </c>
      <c r="E382">
        <v>3</v>
      </c>
      <c r="F382">
        <v>8</v>
      </c>
      <c r="G382">
        <v>6</v>
      </c>
      <c r="H382">
        <v>0</v>
      </c>
      <c r="I382">
        <v>0</v>
      </c>
      <c r="J382">
        <v>14</v>
      </c>
      <c r="K382" t="s">
        <v>243</v>
      </c>
    </row>
    <row r="383" spans="2:11" x14ac:dyDescent="0.25">
      <c r="B383">
        <v>422</v>
      </c>
      <c r="C383">
        <v>56</v>
      </c>
      <c r="D383">
        <v>29</v>
      </c>
      <c r="E383">
        <v>3</v>
      </c>
      <c r="F383">
        <v>0</v>
      </c>
      <c r="G383">
        <v>12</v>
      </c>
      <c r="H383">
        <v>6</v>
      </c>
      <c r="I383">
        <v>0</v>
      </c>
      <c r="J383">
        <v>18</v>
      </c>
      <c r="K383" t="s">
        <v>247</v>
      </c>
    </row>
    <row r="384" spans="2:11" x14ac:dyDescent="0.25">
      <c r="B384">
        <v>423</v>
      </c>
      <c r="C384">
        <v>238</v>
      </c>
      <c r="D384">
        <v>105</v>
      </c>
      <c r="E384">
        <v>4</v>
      </c>
      <c r="F384">
        <v>10</v>
      </c>
      <c r="G384">
        <v>20</v>
      </c>
      <c r="H384">
        <v>0</v>
      </c>
      <c r="I384">
        <v>0</v>
      </c>
      <c r="J384">
        <v>30</v>
      </c>
      <c r="K384" t="s">
        <v>249</v>
      </c>
    </row>
    <row r="385" spans="2:11" x14ac:dyDescent="0.25">
      <c r="B385">
        <v>424</v>
      </c>
      <c r="C385">
        <v>68</v>
      </c>
      <c r="D385">
        <v>35</v>
      </c>
      <c r="E385">
        <v>3</v>
      </c>
      <c r="F385">
        <v>8</v>
      </c>
      <c r="G385">
        <v>5</v>
      </c>
      <c r="H385">
        <v>6</v>
      </c>
      <c r="I385">
        <v>0</v>
      </c>
      <c r="J385">
        <v>19</v>
      </c>
      <c r="K385" t="s">
        <v>247</v>
      </c>
    </row>
    <row r="386" spans="2:11" x14ac:dyDescent="0.25">
      <c r="B386">
        <v>426</v>
      </c>
      <c r="C386">
        <v>67</v>
      </c>
      <c r="D386">
        <v>35</v>
      </c>
      <c r="E386">
        <v>3</v>
      </c>
      <c r="F386">
        <v>22</v>
      </c>
      <c r="G386">
        <v>8</v>
      </c>
      <c r="H386">
        <v>0</v>
      </c>
      <c r="I386">
        <v>0</v>
      </c>
      <c r="J386">
        <v>30</v>
      </c>
      <c r="K386" t="s">
        <v>247</v>
      </c>
    </row>
    <row r="387" spans="2:11" x14ac:dyDescent="0.25">
      <c r="B387">
        <v>427</v>
      </c>
      <c r="C387">
        <v>24</v>
      </c>
      <c r="D387">
        <v>12</v>
      </c>
      <c r="E387">
        <v>3</v>
      </c>
      <c r="F387">
        <v>18</v>
      </c>
      <c r="G387">
        <v>12</v>
      </c>
      <c r="H387">
        <v>0</v>
      </c>
      <c r="I387">
        <v>0</v>
      </c>
      <c r="J387">
        <v>30</v>
      </c>
      <c r="K387" t="s">
        <v>242</v>
      </c>
    </row>
    <row r="388" spans="2:11" x14ac:dyDescent="0.25">
      <c r="B388">
        <v>428</v>
      </c>
      <c r="C388">
        <v>25</v>
      </c>
      <c r="D388">
        <v>13</v>
      </c>
      <c r="E388">
        <v>3</v>
      </c>
      <c r="F388">
        <v>3</v>
      </c>
      <c r="G388">
        <v>0</v>
      </c>
      <c r="H388">
        <v>0</v>
      </c>
      <c r="I388">
        <v>0</v>
      </c>
      <c r="J388">
        <v>3</v>
      </c>
      <c r="K388" t="s">
        <v>247</v>
      </c>
    </row>
    <row r="389" spans="2:11" x14ac:dyDescent="0.25">
      <c r="B389">
        <v>429</v>
      </c>
      <c r="C389">
        <v>119</v>
      </c>
      <c r="D389">
        <v>55</v>
      </c>
      <c r="E389">
        <v>3</v>
      </c>
      <c r="F389">
        <v>13</v>
      </c>
      <c r="G389">
        <v>2</v>
      </c>
      <c r="H389">
        <v>0</v>
      </c>
      <c r="I389">
        <v>0</v>
      </c>
      <c r="J389">
        <v>15</v>
      </c>
      <c r="K389" t="s">
        <v>241</v>
      </c>
    </row>
    <row r="390" spans="2:11" x14ac:dyDescent="0.25">
      <c r="B390">
        <v>430</v>
      </c>
      <c r="C390">
        <v>25</v>
      </c>
      <c r="D390">
        <v>13</v>
      </c>
      <c r="E390">
        <v>4</v>
      </c>
      <c r="F390">
        <v>3</v>
      </c>
      <c r="G390">
        <v>0</v>
      </c>
      <c r="H390">
        <v>0</v>
      </c>
      <c r="I390">
        <v>0</v>
      </c>
      <c r="J390">
        <v>3</v>
      </c>
      <c r="K390" t="s">
        <v>247</v>
      </c>
    </row>
    <row r="391" spans="2:11" x14ac:dyDescent="0.25">
      <c r="B391">
        <v>431</v>
      </c>
      <c r="C391">
        <v>5</v>
      </c>
      <c r="D391">
        <v>1</v>
      </c>
      <c r="E391">
        <v>3</v>
      </c>
      <c r="F391">
        <v>1</v>
      </c>
      <c r="G391">
        <v>3</v>
      </c>
      <c r="H391">
        <v>0</v>
      </c>
      <c r="I391">
        <v>0</v>
      </c>
      <c r="J391">
        <v>4</v>
      </c>
      <c r="K391" t="s">
        <v>246</v>
      </c>
    </row>
    <row r="392" spans="2:11" x14ac:dyDescent="0.25">
      <c r="B392">
        <v>432</v>
      </c>
      <c r="C392">
        <v>109</v>
      </c>
      <c r="D392">
        <v>51</v>
      </c>
      <c r="E392">
        <v>3</v>
      </c>
      <c r="F392">
        <v>3</v>
      </c>
      <c r="G392">
        <v>2</v>
      </c>
      <c r="H392">
        <v>1</v>
      </c>
      <c r="I392">
        <v>0</v>
      </c>
      <c r="J392">
        <v>6</v>
      </c>
      <c r="K392" t="s">
        <v>241</v>
      </c>
    </row>
    <row r="393" spans="2:11" x14ac:dyDescent="0.25">
      <c r="B393">
        <v>433</v>
      </c>
      <c r="C393">
        <v>33</v>
      </c>
      <c r="D393">
        <v>17</v>
      </c>
      <c r="E393">
        <v>4</v>
      </c>
      <c r="F393">
        <v>5</v>
      </c>
      <c r="G393">
        <v>12</v>
      </c>
      <c r="H393">
        <v>0</v>
      </c>
      <c r="I393">
        <v>0</v>
      </c>
      <c r="J393">
        <v>17</v>
      </c>
      <c r="K393" t="s">
        <v>247</v>
      </c>
    </row>
    <row r="394" spans="2:11" x14ac:dyDescent="0.25">
      <c r="B394">
        <v>434</v>
      </c>
      <c r="C394">
        <v>85</v>
      </c>
      <c r="D394">
        <v>41</v>
      </c>
      <c r="E394">
        <v>3</v>
      </c>
      <c r="F394">
        <v>7</v>
      </c>
      <c r="G394">
        <v>6</v>
      </c>
      <c r="H394">
        <v>0</v>
      </c>
      <c r="I394">
        <v>0</v>
      </c>
      <c r="J394">
        <v>13</v>
      </c>
      <c r="K394" t="s">
        <v>246</v>
      </c>
    </row>
    <row r="395" spans="2:11" x14ac:dyDescent="0.25">
      <c r="B395">
        <v>435</v>
      </c>
      <c r="C395">
        <v>26</v>
      </c>
      <c r="D395">
        <v>14</v>
      </c>
      <c r="E395">
        <v>4</v>
      </c>
      <c r="F395">
        <v>8</v>
      </c>
      <c r="G395">
        <v>6</v>
      </c>
      <c r="H395">
        <v>6</v>
      </c>
      <c r="I395">
        <v>0</v>
      </c>
      <c r="J395">
        <v>20</v>
      </c>
      <c r="K395" t="s">
        <v>247</v>
      </c>
    </row>
    <row r="396" spans="2:11" x14ac:dyDescent="0.25">
      <c r="B396">
        <v>436</v>
      </c>
      <c r="C396">
        <v>24</v>
      </c>
      <c r="D396">
        <v>12</v>
      </c>
      <c r="E396">
        <v>4</v>
      </c>
      <c r="F396">
        <v>22</v>
      </c>
      <c r="G396">
        <v>8</v>
      </c>
      <c r="H396">
        <v>0</v>
      </c>
      <c r="I396">
        <v>0</v>
      </c>
      <c r="J396">
        <v>30</v>
      </c>
      <c r="K396" t="s">
        <v>249</v>
      </c>
    </row>
    <row r="397" spans="2:11" x14ac:dyDescent="0.25">
      <c r="B397">
        <v>437</v>
      </c>
      <c r="C397">
        <v>4</v>
      </c>
      <c r="D397">
        <v>1</v>
      </c>
      <c r="E397">
        <v>3</v>
      </c>
      <c r="F397">
        <v>15</v>
      </c>
      <c r="G397">
        <v>11</v>
      </c>
      <c r="H397">
        <v>1</v>
      </c>
      <c r="I397">
        <v>0</v>
      </c>
      <c r="J397">
        <v>27</v>
      </c>
      <c r="K397" t="s">
        <v>246</v>
      </c>
    </row>
    <row r="398" spans="2:11" x14ac:dyDescent="0.25">
      <c r="B398">
        <v>438</v>
      </c>
      <c r="C398">
        <v>326</v>
      </c>
      <c r="D398">
        <v>151</v>
      </c>
      <c r="E398">
        <v>4</v>
      </c>
      <c r="F398">
        <v>17</v>
      </c>
      <c r="G398">
        <v>9</v>
      </c>
      <c r="H398">
        <v>0</v>
      </c>
      <c r="I398">
        <v>0</v>
      </c>
      <c r="J398">
        <v>26</v>
      </c>
      <c r="K398" t="s">
        <v>249</v>
      </c>
    </row>
    <row r="399" spans="2:11" x14ac:dyDescent="0.25">
      <c r="B399">
        <v>439</v>
      </c>
      <c r="C399">
        <v>174</v>
      </c>
      <c r="D399">
        <v>75</v>
      </c>
      <c r="E399">
        <v>3</v>
      </c>
      <c r="F399">
        <v>11</v>
      </c>
      <c r="G399">
        <v>1</v>
      </c>
      <c r="H399">
        <v>0</v>
      </c>
      <c r="I399">
        <v>0</v>
      </c>
      <c r="J399">
        <v>12</v>
      </c>
      <c r="K399" t="s">
        <v>241</v>
      </c>
    </row>
    <row r="400" spans="2:11" x14ac:dyDescent="0.25">
      <c r="B400">
        <v>440</v>
      </c>
      <c r="C400">
        <v>127</v>
      </c>
      <c r="D400">
        <v>56</v>
      </c>
      <c r="E400">
        <v>4</v>
      </c>
      <c r="F400">
        <v>19</v>
      </c>
      <c r="G400">
        <v>0</v>
      </c>
      <c r="H400">
        <v>1</v>
      </c>
      <c r="I400">
        <v>0</v>
      </c>
      <c r="J400">
        <v>20</v>
      </c>
      <c r="K400" t="s">
        <v>247</v>
      </c>
    </row>
    <row r="401" spans="2:11" x14ac:dyDescent="0.25">
      <c r="B401">
        <v>441</v>
      </c>
      <c r="C401">
        <v>26</v>
      </c>
      <c r="D401">
        <v>14</v>
      </c>
      <c r="E401">
        <v>3</v>
      </c>
      <c r="F401">
        <v>12</v>
      </c>
      <c r="G401">
        <v>7</v>
      </c>
      <c r="H401">
        <v>5</v>
      </c>
      <c r="I401">
        <v>0</v>
      </c>
      <c r="J401">
        <v>24</v>
      </c>
      <c r="K401" t="s">
        <v>246</v>
      </c>
    </row>
    <row r="402" spans="2:11" x14ac:dyDescent="0.25">
      <c r="B402">
        <v>442</v>
      </c>
      <c r="C402">
        <v>141</v>
      </c>
      <c r="D402">
        <v>62</v>
      </c>
      <c r="E402">
        <v>4</v>
      </c>
      <c r="F402">
        <v>19</v>
      </c>
      <c r="G402">
        <v>6</v>
      </c>
      <c r="H402">
        <v>0</v>
      </c>
      <c r="I402">
        <v>0</v>
      </c>
      <c r="J402">
        <v>25</v>
      </c>
      <c r="K402" t="s">
        <v>247</v>
      </c>
    </row>
    <row r="403" spans="2:11" x14ac:dyDescent="0.25">
      <c r="B403">
        <v>443</v>
      </c>
      <c r="C403">
        <v>125</v>
      </c>
      <c r="D403">
        <v>56</v>
      </c>
      <c r="E403">
        <v>3</v>
      </c>
      <c r="F403">
        <v>3</v>
      </c>
      <c r="G403">
        <v>0</v>
      </c>
      <c r="H403">
        <v>1</v>
      </c>
      <c r="I403">
        <v>0</v>
      </c>
      <c r="J403">
        <v>4</v>
      </c>
      <c r="K403" t="s">
        <v>246</v>
      </c>
    </row>
    <row r="404" spans="2:11" x14ac:dyDescent="0.25">
      <c r="B404">
        <v>444</v>
      </c>
      <c r="C404">
        <v>175</v>
      </c>
      <c r="D404">
        <v>76</v>
      </c>
      <c r="E404">
        <v>3</v>
      </c>
      <c r="F404">
        <v>3</v>
      </c>
      <c r="G404">
        <v>6</v>
      </c>
      <c r="H404">
        <v>2</v>
      </c>
      <c r="I404">
        <v>0</v>
      </c>
      <c r="J404">
        <v>11</v>
      </c>
      <c r="K404" t="s">
        <v>241</v>
      </c>
    </row>
    <row r="405" spans="2:11" x14ac:dyDescent="0.25">
      <c r="B405">
        <v>445</v>
      </c>
      <c r="C405">
        <v>139</v>
      </c>
      <c r="D405">
        <v>61</v>
      </c>
      <c r="E405">
        <v>4</v>
      </c>
      <c r="F405">
        <v>5</v>
      </c>
      <c r="G405">
        <v>15</v>
      </c>
      <c r="H405">
        <v>0</v>
      </c>
      <c r="I405">
        <v>0</v>
      </c>
      <c r="J405">
        <v>20</v>
      </c>
      <c r="K405" t="s">
        <v>247</v>
      </c>
    </row>
    <row r="406" spans="2:11" x14ac:dyDescent="0.25">
      <c r="B406">
        <v>446</v>
      </c>
      <c r="C406">
        <v>327</v>
      </c>
      <c r="D406">
        <v>152</v>
      </c>
      <c r="E406">
        <v>4</v>
      </c>
      <c r="F406">
        <v>20</v>
      </c>
      <c r="G406">
        <v>10</v>
      </c>
      <c r="H406">
        <v>0</v>
      </c>
      <c r="I406">
        <v>0</v>
      </c>
      <c r="J406">
        <v>30</v>
      </c>
      <c r="K406" t="s">
        <v>249</v>
      </c>
    </row>
    <row r="407" spans="2:11" x14ac:dyDescent="0.25">
      <c r="B407">
        <v>447</v>
      </c>
      <c r="C407">
        <v>127</v>
      </c>
      <c r="D407">
        <v>56</v>
      </c>
      <c r="E407">
        <v>3</v>
      </c>
      <c r="F407">
        <v>20</v>
      </c>
      <c r="G407">
        <v>0</v>
      </c>
      <c r="H407">
        <v>0</v>
      </c>
      <c r="I407">
        <v>0</v>
      </c>
      <c r="J407">
        <v>20</v>
      </c>
      <c r="K407" t="s">
        <v>246</v>
      </c>
    </row>
    <row r="408" spans="2:11" x14ac:dyDescent="0.25">
      <c r="B408">
        <v>448</v>
      </c>
      <c r="C408">
        <v>160</v>
      </c>
      <c r="D408">
        <v>69</v>
      </c>
      <c r="E408">
        <v>4</v>
      </c>
      <c r="F408">
        <v>3</v>
      </c>
      <c r="G408">
        <v>27</v>
      </c>
      <c r="H408">
        <v>0</v>
      </c>
      <c r="I408">
        <v>0</v>
      </c>
      <c r="J408">
        <v>30</v>
      </c>
      <c r="K408" t="s">
        <v>247</v>
      </c>
    </row>
    <row r="409" spans="2:11" x14ac:dyDescent="0.25">
      <c r="B409">
        <v>449</v>
      </c>
      <c r="C409">
        <v>270</v>
      </c>
      <c r="D409">
        <v>122</v>
      </c>
      <c r="E409">
        <v>2</v>
      </c>
      <c r="F409">
        <v>22</v>
      </c>
      <c r="G409">
        <v>19</v>
      </c>
      <c r="H409">
        <v>0</v>
      </c>
      <c r="I409">
        <v>0</v>
      </c>
      <c r="J409">
        <v>41</v>
      </c>
      <c r="K409" t="s">
        <v>249</v>
      </c>
    </row>
    <row r="410" spans="2:11" x14ac:dyDescent="0.25">
      <c r="B410">
        <v>450</v>
      </c>
      <c r="C410">
        <v>161</v>
      </c>
      <c r="D410">
        <v>69</v>
      </c>
      <c r="E410">
        <v>4</v>
      </c>
      <c r="F410">
        <v>3</v>
      </c>
      <c r="G410">
        <v>2</v>
      </c>
      <c r="H410">
        <v>0</v>
      </c>
      <c r="I410">
        <v>0</v>
      </c>
      <c r="J410">
        <v>5</v>
      </c>
      <c r="K410" t="s">
        <v>247</v>
      </c>
    </row>
    <row r="411" spans="2:11" x14ac:dyDescent="0.25">
      <c r="B411">
        <v>453</v>
      </c>
      <c r="C411">
        <v>78</v>
      </c>
      <c r="D411">
        <v>40</v>
      </c>
      <c r="E411">
        <v>4</v>
      </c>
      <c r="F411">
        <v>3</v>
      </c>
      <c r="G411">
        <v>4</v>
      </c>
      <c r="H411">
        <v>1</v>
      </c>
      <c r="I411">
        <v>0</v>
      </c>
      <c r="J411">
        <v>8</v>
      </c>
      <c r="K411" t="s">
        <v>242</v>
      </c>
    </row>
    <row r="412" spans="2:11" x14ac:dyDescent="0.25">
      <c r="B412">
        <v>456</v>
      </c>
      <c r="C412">
        <v>76</v>
      </c>
      <c r="D412">
        <v>38</v>
      </c>
      <c r="E412">
        <v>4</v>
      </c>
      <c r="F412">
        <v>3</v>
      </c>
      <c r="G412">
        <v>9</v>
      </c>
      <c r="H412">
        <v>3</v>
      </c>
      <c r="I412">
        <v>0</v>
      </c>
      <c r="J412">
        <v>15</v>
      </c>
      <c r="K412" t="s">
        <v>242</v>
      </c>
    </row>
    <row r="413" spans="2:11" x14ac:dyDescent="0.25">
      <c r="B413">
        <v>457</v>
      </c>
      <c r="C413">
        <v>307</v>
      </c>
      <c r="D413">
        <v>142</v>
      </c>
      <c r="E413">
        <v>4</v>
      </c>
      <c r="F413">
        <v>10</v>
      </c>
      <c r="G413">
        <v>3</v>
      </c>
      <c r="H413">
        <v>0</v>
      </c>
      <c r="I413">
        <v>0</v>
      </c>
      <c r="J413">
        <v>13</v>
      </c>
      <c r="K413" t="s">
        <v>247</v>
      </c>
    </row>
    <row r="414" spans="2:11" x14ac:dyDescent="0.25">
      <c r="B414">
        <v>458</v>
      </c>
      <c r="C414">
        <v>158</v>
      </c>
      <c r="D414">
        <v>69</v>
      </c>
      <c r="E414">
        <v>4</v>
      </c>
      <c r="F414">
        <v>6</v>
      </c>
      <c r="G414">
        <v>5</v>
      </c>
      <c r="H414">
        <v>0</v>
      </c>
      <c r="I414">
        <v>0</v>
      </c>
      <c r="J414">
        <v>11</v>
      </c>
      <c r="K414" t="s">
        <v>247</v>
      </c>
    </row>
    <row r="415" spans="2:11" x14ac:dyDescent="0.25">
      <c r="B415">
        <v>459</v>
      </c>
      <c r="C415">
        <v>18</v>
      </c>
      <c r="D415">
        <v>9</v>
      </c>
      <c r="E415">
        <v>4</v>
      </c>
      <c r="F415">
        <v>2</v>
      </c>
      <c r="G415">
        <v>1</v>
      </c>
      <c r="H415">
        <v>0</v>
      </c>
      <c r="I415">
        <v>0</v>
      </c>
      <c r="J415">
        <v>3</v>
      </c>
      <c r="K415" t="s">
        <v>242</v>
      </c>
    </row>
    <row r="416" spans="2:11" x14ac:dyDescent="0.25">
      <c r="B416">
        <v>460</v>
      </c>
      <c r="C416">
        <v>42</v>
      </c>
      <c r="D416">
        <v>21</v>
      </c>
      <c r="E416">
        <v>3</v>
      </c>
      <c r="F416">
        <v>22</v>
      </c>
      <c r="G416">
        <v>6</v>
      </c>
      <c r="H416">
        <v>2</v>
      </c>
      <c r="I416">
        <v>0</v>
      </c>
      <c r="J416">
        <v>30</v>
      </c>
      <c r="K416" t="s">
        <v>245</v>
      </c>
    </row>
    <row r="417" spans="2:11" x14ac:dyDescent="0.25">
      <c r="B417">
        <v>461</v>
      </c>
      <c r="C417">
        <v>6</v>
      </c>
      <c r="D417">
        <v>2</v>
      </c>
      <c r="E417">
        <v>4</v>
      </c>
      <c r="F417">
        <v>15</v>
      </c>
      <c r="G417">
        <v>0</v>
      </c>
      <c r="H417">
        <v>0</v>
      </c>
      <c r="I417">
        <v>0</v>
      </c>
      <c r="J417">
        <v>15</v>
      </c>
      <c r="K417" t="s">
        <v>242</v>
      </c>
    </row>
    <row r="418" spans="2:11" x14ac:dyDescent="0.25">
      <c r="B418">
        <v>462</v>
      </c>
      <c r="C418">
        <v>128</v>
      </c>
      <c r="D418">
        <v>56</v>
      </c>
      <c r="E418">
        <v>3</v>
      </c>
      <c r="F418">
        <v>8</v>
      </c>
      <c r="G418">
        <v>1</v>
      </c>
      <c r="H418">
        <v>0</v>
      </c>
      <c r="I418">
        <v>0</v>
      </c>
      <c r="J418">
        <v>9</v>
      </c>
      <c r="K418" t="s">
        <v>248</v>
      </c>
    </row>
    <row r="419" spans="2:11" x14ac:dyDescent="0.25">
      <c r="B419">
        <v>5233</v>
      </c>
      <c r="C419">
        <v>212</v>
      </c>
      <c r="D419">
        <v>94</v>
      </c>
      <c r="E419">
        <v>15</v>
      </c>
      <c r="F419">
        <v>1</v>
      </c>
      <c r="G419">
        <v>20</v>
      </c>
      <c r="H419">
        <v>0</v>
      </c>
      <c r="I419">
        <v>0</v>
      </c>
      <c r="J419">
        <v>21</v>
      </c>
      <c r="K419" t="s">
        <v>245</v>
      </c>
    </row>
    <row r="420" spans="2:11" x14ac:dyDescent="0.25">
      <c r="B420">
        <v>5237</v>
      </c>
      <c r="C420">
        <v>213</v>
      </c>
      <c r="D420">
        <v>94</v>
      </c>
      <c r="E420">
        <v>2</v>
      </c>
      <c r="F420">
        <v>10</v>
      </c>
      <c r="G420">
        <v>0</v>
      </c>
      <c r="H420">
        <v>0</v>
      </c>
      <c r="I420">
        <v>0</v>
      </c>
      <c r="J420">
        <v>10</v>
      </c>
      <c r="K420" t="s">
        <v>245</v>
      </c>
    </row>
    <row r="421" spans="2:11" x14ac:dyDescent="0.25">
      <c r="B421">
        <v>5241</v>
      </c>
      <c r="C421">
        <v>213</v>
      </c>
      <c r="D421">
        <v>94</v>
      </c>
      <c r="E421">
        <v>3</v>
      </c>
      <c r="F421">
        <v>3</v>
      </c>
      <c r="G421">
        <v>23</v>
      </c>
      <c r="H421">
        <v>0</v>
      </c>
      <c r="I421">
        <v>0</v>
      </c>
      <c r="J421">
        <v>26</v>
      </c>
      <c r="K421" t="s">
        <v>245</v>
      </c>
    </row>
    <row r="422" spans="2:11" x14ac:dyDescent="0.25">
      <c r="B422">
        <v>5245</v>
      </c>
      <c r="C422">
        <v>213</v>
      </c>
      <c r="D422">
        <v>94</v>
      </c>
      <c r="E422">
        <v>4</v>
      </c>
      <c r="F422">
        <v>3</v>
      </c>
      <c r="G422">
        <v>27</v>
      </c>
      <c r="H422">
        <v>0</v>
      </c>
      <c r="I422">
        <v>0</v>
      </c>
      <c r="J422">
        <v>30</v>
      </c>
      <c r="K422" t="s">
        <v>245</v>
      </c>
    </row>
    <row r="423" spans="2:11" x14ac:dyDescent="0.25">
      <c r="B423">
        <v>5246</v>
      </c>
      <c r="C423">
        <v>87</v>
      </c>
      <c r="D423">
        <v>43</v>
      </c>
      <c r="E423">
        <v>15</v>
      </c>
      <c r="F423">
        <v>14</v>
      </c>
      <c r="G423">
        <v>7</v>
      </c>
      <c r="H423">
        <v>0</v>
      </c>
      <c r="I423">
        <v>0</v>
      </c>
      <c r="J423">
        <v>21</v>
      </c>
      <c r="K423" t="s">
        <v>252</v>
      </c>
    </row>
    <row r="424" spans="2:11" x14ac:dyDescent="0.25">
      <c r="B424">
        <v>5249</v>
      </c>
      <c r="C424">
        <v>213</v>
      </c>
      <c r="D424">
        <v>94</v>
      </c>
      <c r="E424">
        <v>5</v>
      </c>
      <c r="F424">
        <v>2</v>
      </c>
      <c r="G424">
        <v>28</v>
      </c>
      <c r="H424">
        <v>0</v>
      </c>
      <c r="I424">
        <v>0</v>
      </c>
      <c r="J424">
        <v>30</v>
      </c>
      <c r="K424" t="s">
        <v>245</v>
      </c>
    </row>
    <row r="425" spans="2:11" x14ac:dyDescent="0.25">
      <c r="B425">
        <v>464</v>
      </c>
      <c r="C425">
        <v>70</v>
      </c>
      <c r="D425">
        <v>35</v>
      </c>
      <c r="E425">
        <v>3</v>
      </c>
      <c r="F425">
        <v>20</v>
      </c>
      <c r="G425">
        <v>5</v>
      </c>
      <c r="H425">
        <v>5</v>
      </c>
      <c r="I425">
        <v>0</v>
      </c>
      <c r="J425">
        <v>30</v>
      </c>
      <c r="K425" t="s">
        <v>245</v>
      </c>
    </row>
    <row r="426" spans="2:11" x14ac:dyDescent="0.25">
      <c r="B426">
        <v>465</v>
      </c>
      <c r="C426">
        <v>114</v>
      </c>
      <c r="D426">
        <v>52</v>
      </c>
      <c r="E426">
        <v>3</v>
      </c>
      <c r="F426">
        <v>10</v>
      </c>
      <c r="G426">
        <v>4</v>
      </c>
      <c r="H426">
        <v>16</v>
      </c>
      <c r="I426">
        <v>0</v>
      </c>
      <c r="J426">
        <v>30</v>
      </c>
      <c r="K426" t="s">
        <v>248</v>
      </c>
    </row>
    <row r="427" spans="2:11" x14ac:dyDescent="0.25">
      <c r="B427">
        <v>467</v>
      </c>
      <c r="C427">
        <v>69</v>
      </c>
      <c r="D427">
        <v>35</v>
      </c>
      <c r="E427">
        <v>3</v>
      </c>
      <c r="F427">
        <v>5</v>
      </c>
      <c r="G427">
        <v>18</v>
      </c>
      <c r="H427">
        <v>6</v>
      </c>
      <c r="I427">
        <v>0</v>
      </c>
      <c r="J427">
        <v>29</v>
      </c>
      <c r="K427" t="s">
        <v>245</v>
      </c>
    </row>
    <row r="428" spans="2:11" x14ac:dyDescent="0.25">
      <c r="B428">
        <v>468</v>
      </c>
      <c r="C428">
        <v>18</v>
      </c>
      <c r="D428">
        <v>9</v>
      </c>
      <c r="E428">
        <v>3</v>
      </c>
      <c r="F428">
        <v>12</v>
      </c>
      <c r="G428">
        <v>3</v>
      </c>
      <c r="H428">
        <v>0</v>
      </c>
      <c r="I428">
        <v>0</v>
      </c>
      <c r="J428">
        <v>15</v>
      </c>
      <c r="K428" t="s">
        <v>245</v>
      </c>
    </row>
    <row r="429" spans="2:11" x14ac:dyDescent="0.25">
      <c r="B429">
        <v>469</v>
      </c>
      <c r="C429">
        <v>71</v>
      </c>
      <c r="D429">
        <v>35</v>
      </c>
      <c r="E429">
        <v>3</v>
      </c>
      <c r="F429">
        <v>11</v>
      </c>
      <c r="G429">
        <v>15</v>
      </c>
      <c r="H429">
        <v>4</v>
      </c>
      <c r="I429">
        <v>0</v>
      </c>
      <c r="J429">
        <v>30</v>
      </c>
      <c r="K429" t="s">
        <v>247</v>
      </c>
    </row>
    <row r="430" spans="2:11" x14ac:dyDescent="0.25">
      <c r="B430">
        <v>470</v>
      </c>
      <c r="C430">
        <v>179</v>
      </c>
      <c r="D430">
        <v>77</v>
      </c>
      <c r="E430">
        <v>3</v>
      </c>
      <c r="F430">
        <v>1</v>
      </c>
      <c r="G430">
        <v>1</v>
      </c>
      <c r="H430">
        <v>0</v>
      </c>
      <c r="I430">
        <v>0</v>
      </c>
      <c r="J430">
        <v>2</v>
      </c>
      <c r="K430" t="s">
        <v>247</v>
      </c>
    </row>
    <row r="431" spans="2:11" x14ac:dyDescent="0.25">
      <c r="B431">
        <v>471</v>
      </c>
      <c r="C431">
        <v>332</v>
      </c>
      <c r="D431">
        <v>152</v>
      </c>
      <c r="E431">
        <v>4</v>
      </c>
      <c r="F431">
        <v>12</v>
      </c>
      <c r="G431">
        <v>18</v>
      </c>
      <c r="H431">
        <v>0</v>
      </c>
      <c r="I431">
        <v>0</v>
      </c>
      <c r="J431">
        <v>30</v>
      </c>
      <c r="K431" t="s">
        <v>242</v>
      </c>
    </row>
    <row r="432" spans="2:11" x14ac:dyDescent="0.25">
      <c r="B432">
        <v>472</v>
      </c>
      <c r="C432">
        <v>6</v>
      </c>
      <c r="D432">
        <v>2</v>
      </c>
      <c r="E432">
        <v>3</v>
      </c>
      <c r="F432">
        <v>16</v>
      </c>
      <c r="G432">
        <v>2</v>
      </c>
      <c r="H432">
        <v>0</v>
      </c>
      <c r="I432">
        <v>0</v>
      </c>
      <c r="J432">
        <v>18</v>
      </c>
      <c r="K432" t="s">
        <v>245</v>
      </c>
    </row>
    <row r="433" spans="2:11" x14ac:dyDescent="0.25">
      <c r="B433">
        <v>473</v>
      </c>
      <c r="C433">
        <v>131</v>
      </c>
      <c r="D433">
        <v>59</v>
      </c>
      <c r="E433">
        <v>3</v>
      </c>
      <c r="F433">
        <v>7</v>
      </c>
      <c r="G433">
        <v>0</v>
      </c>
      <c r="H433">
        <v>0</v>
      </c>
      <c r="I433">
        <v>0</v>
      </c>
      <c r="J433">
        <v>7</v>
      </c>
      <c r="K433" t="s">
        <v>247</v>
      </c>
    </row>
    <row r="434" spans="2:11" x14ac:dyDescent="0.25">
      <c r="B434">
        <v>474</v>
      </c>
      <c r="C434">
        <v>260</v>
      </c>
      <c r="D434">
        <v>118</v>
      </c>
      <c r="E434">
        <v>4</v>
      </c>
      <c r="F434">
        <v>14</v>
      </c>
      <c r="G434">
        <v>4</v>
      </c>
      <c r="H434">
        <v>3</v>
      </c>
      <c r="I434">
        <v>0</v>
      </c>
      <c r="J434">
        <v>21</v>
      </c>
      <c r="K434" t="s">
        <v>242</v>
      </c>
    </row>
    <row r="435" spans="2:11" x14ac:dyDescent="0.25">
      <c r="B435">
        <v>476</v>
      </c>
      <c r="C435">
        <v>330</v>
      </c>
      <c r="D435">
        <v>152</v>
      </c>
      <c r="E435">
        <v>4</v>
      </c>
      <c r="F435">
        <v>6</v>
      </c>
      <c r="G435">
        <v>8</v>
      </c>
      <c r="H435">
        <v>0</v>
      </c>
      <c r="I435">
        <v>0</v>
      </c>
      <c r="J435">
        <v>14</v>
      </c>
      <c r="K435" t="s">
        <v>242</v>
      </c>
    </row>
    <row r="436" spans="2:11" x14ac:dyDescent="0.25">
      <c r="B436">
        <v>477</v>
      </c>
      <c r="C436">
        <v>113</v>
      </c>
      <c r="D436">
        <v>52</v>
      </c>
      <c r="E436">
        <v>3</v>
      </c>
      <c r="F436">
        <v>16</v>
      </c>
      <c r="G436">
        <v>14</v>
      </c>
      <c r="H436">
        <v>0</v>
      </c>
      <c r="I436">
        <v>0</v>
      </c>
      <c r="J436">
        <v>30</v>
      </c>
      <c r="K436" t="s">
        <v>247</v>
      </c>
    </row>
    <row r="437" spans="2:11" x14ac:dyDescent="0.25">
      <c r="B437">
        <v>478</v>
      </c>
      <c r="C437">
        <v>331</v>
      </c>
      <c r="D437">
        <v>152</v>
      </c>
      <c r="E437">
        <v>4</v>
      </c>
      <c r="F437">
        <v>7</v>
      </c>
      <c r="G437">
        <v>6</v>
      </c>
      <c r="H437">
        <v>0</v>
      </c>
      <c r="I437">
        <v>0</v>
      </c>
      <c r="J437">
        <v>13</v>
      </c>
      <c r="K437" t="s">
        <v>242</v>
      </c>
    </row>
    <row r="438" spans="2:11" x14ac:dyDescent="0.25">
      <c r="B438">
        <v>480</v>
      </c>
      <c r="C438">
        <v>19</v>
      </c>
      <c r="D438">
        <v>9</v>
      </c>
      <c r="E438">
        <v>4</v>
      </c>
      <c r="F438">
        <v>22</v>
      </c>
      <c r="G438">
        <v>8</v>
      </c>
      <c r="H438">
        <v>0</v>
      </c>
      <c r="I438">
        <v>0</v>
      </c>
      <c r="J438">
        <v>30</v>
      </c>
      <c r="K438" t="s">
        <v>242</v>
      </c>
    </row>
    <row r="439" spans="2:11" x14ac:dyDescent="0.25">
      <c r="B439">
        <v>481</v>
      </c>
      <c r="C439">
        <v>79</v>
      </c>
      <c r="D439">
        <v>41</v>
      </c>
      <c r="E439">
        <v>4</v>
      </c>
      <c r="F439">
        <v>1</v>
      </c>
      <c r="G439">
        <v>5</v>
      </c>
      <c r="H439">
        <v>1</v>
      </c>
      <c r="I439">
        <v>0</v>
      </c>
      <c r="J439">
        <v>7</v>
      </c>
      <c r="K439" t="s">
        <v>243</v>
      </c>
    </row>
    <row r="440" spans="2:11" x14ac:dyDescent="0.25">
      <c r="B440">
        <v>483</v>
      </c>
      <c r="C440">
        <v>164</v>
      </c>
      <c r="D440">
        <v>70</v>
      </c>
      <c r="E440">
        <v>4</v>
      </c>
      <c r="F440">
        <v>1</v>
      </c>
      <c r="G440">
        <v>0</v>
      </c>
      <c r="H440">
        <v>0</v>
      </c>
      <c r="I440">
        <v>0</v>
      </c>
      <c r="J440">
        <v>1</v>
      </c>
      <c r="K440" t="s">
        <v>242</v>
      </c>
    </row>
    <row r="441" spans="2:11" x14ac:dyDescent="0.25">
      <c r="B441">
        <v>484</v>
      </c>
      <c r="C441">
        <v>72</v>
      </c>
      <c r="D441">
        <v>35</v>
      </c>
      <c r="E441">
        <v>3</v>
      </c>
      <c r="F441">
        <v>3</v>
      </c>
      <c r="G441">
        <v>20</v>
      </c>
      <c r="H441">
        <v>0</v>
      </c>
      <c r="I441">
        <v>0</v>
      </c>
      <c r="J441">
        <v>23</v>
      </c>
      <c r="K441" t="s">
        <v>243</v>
      </c>
    </row>
    <row r="442" spans="2:11" x14ac:dyDescent="0.25">
      <c r="B442">
        <v>485</v>
      </c>
      <c r="C442">
        <v>311</v>
      </c>
      <c r="D442">
        <v>144</v>
      </c>
      <c r="E442">
        <v>3</v>
      </c>
      <c r="F442">
        <v>10</v>
      </c>
      <c r="G442">
        <v>11</v>
      </c>
      <c r="H442">
        <v>0</v>
      </c>
      <c r="I442">
        <v>0</v>
      </c>
      <c r="J442">
        <v>21</v>
      </c>
      <c r="K442" t="s">
        <v>243</v>
      </c>
    </row>
    <row r="443" spans="2:11" x14ac:dyDescent="0.25">
      <c r="B443">
        <v>486</v>
      </c>
      <c r="C443">
        <v>165</v>
      </c>
      <c r="D443">
        <v>71</v>
      </c>
      <c r="E443">
        <v>3</v>
      </c>
      <c r="F443">
        <v>3</v>
      </c>
      <c r="G443">
        <v>9</v>
      </c>
      <c r="H443">
        <v>0</v>
      </c>
      <c r="I443">
        <v>0</v>
      </c>
      <c r="J443">
        <v>12</v>
      </c>
      <c r="K443" t="s">
        <v>243</v>
      </c>
    </row>
    <row r="444" spans="2:11" x14ac:dyDescent="0.25">
      <c r="B444">
        <v>487</v>
      </c>
      <c r="C444">
        <v>100</v>
      </c>
      <c r="D444">
        <v>50</v>
      </c>
      <c r="E444">
        <v>3</v>
      </c>
      <c r="F444">
        <v>2</v>
      </c>
      <c r="G444">
        <v>13</v>
      </c>
      <c r="H444">
        <v>0</v>
      </c>
      <c r="I444">
        <v>0</v>
      </c>
      <c r="J444">
        <v>15</v>
      </c>
      <c r="K444" t="s">
        <v>243</v>
      </c>
    </row>
    <row r="445" spans="2:11" x14ac:dyDescent="0.25">
      <c r="B445">
        <v>488</v>
      </c>
      <c r="C445">
        <v>261</v>
      </c>
      <c r="D445">
        <v>118</v>
      </c>
      <c r="E445">
        <v>4</v>
      </c>
      <c r="F445">
        <v>6</v>
      </c>
      <c r="G445">
        <v>8</v>
      </c>
      <c r="H445">
        <v>2</v>
      </c>
      <c r="I445">
        <v>0</v>
      </c>
      <c r="J445">
        <v>16</v>
      </c>
      <c r="K445" t="s">
        <v>247</v>
      </c>
    </row>
    <row r="446" spans="2:11" x14ac:dyDescent="0.25">
      <c r="B446">
        <v>489</v>
      </c>
      <c r="C446">
        <v>44</v>
      </c>
      <c r="D446">
        <v>22</v>
      </c>
      <c r="E446">
        <v>4</v>
      </c>
      <c r="F446">
        <v>4</v>
      </c>
      <c r="G446">
        <v>8</v>
      </c>
      <c r="H446">
        <v>0</v>
      </c>
      <c r="I446">
        <v>0</v>
      </c>
      <c r="J446">
        <v>12</v>
      </c>
      <c r="K446" t="s">
        <v>242</v>
      </c>
    </row>
    <row r="447" spans="2:11" x14ac:dyDescent="0.25">
      <c r="B447">
        <v>490</v>
      </c>
      <c r="C447">
        <v>274</v>
      </c>
      <c r="D447">
        <v>125</v>
      </c>
      <c r="E447">
        <v>4</v>
      </c>
      <c r="F447">
        <v>8</v>
      </c>
      <c r="G447">
        <v>6</v>
      </c>
      <c r="H447">
        <v>0</v>
      </c>
      <c r="I447">
        <v>0</v>
      </c>
      <c r="J447">
        <v>14</v>
      </c>
      <c r="K447" t="s">
        <v>247</v>
      </c>
    </row>
    <row r="448" spans="2:11" x14ac:dyDescent="0.25">
      <c r="B448">
        <v>491</v>
      </c>
      <c r="C448">
        <v>9</v>
      </c>
      <c r="D448">
        <v>3</v>
      </c>
      <c r="E448">
        <v>3</v>
      </c>
      <c r="F448">
        <v>14</v>
      </c>
      <c r="G448">
        <v>6</v>
      </c>
      <c r="H448">
        <v>0</v>
      </c>
      <c r="I448">
        <v>0</v>
      </c>
      <c r="J448">
        <v>20</v>
      </c>
      <c r="K448" t="s">
        <v>242</v>
      </c>
    </row>
    <row r="449" spans="2:11" x14ac:dyDescent="0.25">
      <c r="B449">
        <v>492</v>
      </c>
      <c r="C449">
        <v>130</v>
      </c>
      <c r="D449">
        <v>58</v>
      </c>
      <c r="E449">
        <v>3</v>
      </c>
      <c r="F449">
        <v>9</v>
      </c>
      <c r="G449">
        <v>5</v>
      </c>
      <c r="H449">
        <v>0</v>
      </c>
      <c r="I449">
        <v>0</v>
      </c>
      <c r="J449">
        <v>14</v>
      </c>
      <c r="K449" t="s">
        <v>243</v>
      </c>
    </row>
    <row r="450" spans="2:11" x14ac:dyDescent="0.25">
      <c r="B450">
        <v>493</v>
      </c>
      <c r="C450">
        <v>240</v>
      </c>
      <c r="D450">
        <v>107</v>
      </c>
      <c r="E450">
        <v>4</v>
      </c>
      <c r="F450">
        <v>15</v>
      </c>
      <c r="G450">
        <v>1</v>
      </c>
      <c r="H450">
        <v>0</v>
      </c>
      <c r="I450">
        <v>0</v>
      </c>
      <c r="J450">
        <v>16</v>
      </c>
      <c r="K450" t="s">
        <v>247</v>
      </c>
    </row>
    <row r="451" spans="2:11" x14ac:dyDescent="0.25">
      <c r="B451">
        <v>494</v>
      </c>
      <c r="C451">
        <v>274</v>
      </c>
      <c r="D451">
        <v>125</v>
      </c>
      <c r="E451">
        <v>3</v>
      </c>
      <c r="F451">
        <v>10</v>
      </c>
      <c r="G451">
        <v>11</v>
      </c>
      <c r="H451">
        <v>0</v>
      </c>
      <c r="I451">
        <v>0</v>
      </c>
      <c r="J451">
        <v>21</v>
      </c>
      <c r="K451" t="s">
        <v>242</v>
      </c>
    </row>
    <row r="452" spans="2:11" x14ac:dyDescent="0.25">
      <c r="B452">
        <v>495</v>
      </c>
      <c r="C452">
        <v>129</v>
      </c>
      <c r="D452">
        <v>57</v>
      </c>
      <c r="E452">
        <v>3</v>
      </c>
      <c r="F452">
        <v>8</v>
      </c>
      <c r="G452">
        <v>13</v>
      </c>
      <c r="H452">
        <v>1</v>
      </c>
      <c r="I452">
        <v>0</v>
      </c>
      <c r="J452">
        <v>22</v>
      </c>
      <c r="K452" t="s">
        <v>243</v>
      </c>
    </row>
    <row r="453" spans="2:11" x14ac:dyDescent="0.25">
      <c r="B453">
        <v>496</v>
      </c>
      <c r="C453">
        <v>112</v>
      </c>
      <c r="D453">
        <v>51</v>
      </c>
      <c r="E453">
        <v>3</v>
      </c>
      <c r="F453">
        <v>19</v>
      </c>
      <c r="G453">
        <v>6</v>
      </c>
      <c r="H453">
        <v>0</v>
      </c>
      <c r="I453">
        <v>0</v>
      </c>
      <c r="J453">
        <v>25</v>
      </c>
      <c r="K453" t="s">
        <v>243</v>
      </c>
    </row>
    <row r="454" spans="2:11" x14ac:dyDescent="0.25">
      <c r="B454">
        <v>498</v>
      </c>
      <c r="C454">
        <v>273</v>
      </c>
      <c r="D454">
        <v>124</v>
      </c>
      <c r="E454">
        <v>3</v>
      </c>
      <c r="F454">
        <v>12</v>
      </c>
      <c r="G454">
        <v>18</v>
      </c>
      <c r="H454">
        <v>0</v>
      </c>
      <c r="I454">
        <v>0</v>
      </c>
      <c r="J454">
        <v>30</v>
      </c>
      <c r="K454" t="s">
        <v>247</v>
      </c>
    </row>
    <row r="455" spans="2:11" x14ac:dyDescent="0.25">
      <c r="B455">
        <v>499</v>
      </c>
      <c r="C455">
        <v>273</v>
      </c>
      <c r="D455">
        <v>124</v>
      </c>
      <c r="E455">
        <v>2</v>
      </c>
      <c r="F455">
        <v>21</v>
      </c>
      <c r="G455">
        <v>9</v>
      </c>
      <c r="H455">
        <v>0</v>
      </c>
      <c r="I455">
        <v>0</v>
      </c>
      <c r="J455">
        <v>30</v>
      </c>
      <c r="K455" t="s">
        <v>247</v>
      </c>
    </row>
    <row r="456" spans="2:11" x14ac:dyDescent="0.25">
      <c r="B456">
        <v>500</v>
      </c>
      <c r="C456">
        <v>259</v>
      </c>
      <c r="D456">
        <v>118</v>
      </c>
      <c r="E456">
        <v>4</v>
      </c>
      <c r="F456">
        <v>4</v>
      </c>
      <c r="G456">
        <v>12</v>
      </c>
      <c r="H456">
        <v>11</v>
      </c>
      <c r="I456">
        <v>0</v>
      </c>
      <c r="J456">
        <v>27</v>
      </c>
      <c r="K456" t="s">
        <v>247</v>
      </c>
    </row>
    <row r="457" spans="2:11" x14ac:dyDescent="0.25">
      <c r="B457">
        <v>504</v>
      </c>
      <c r="C457">
        <v>334</v>
      </c>
      <c r="D457">
        <v>152</v>
      </c>
      <c r="E457">
        <v>4</v>
      </c>
      <c r="F457">
        <v>15</v>
      </c>
      <c r="G457">
        <v>12</v>
      </c>
      <c r="H457">
        <v>0</v>
      </c>
      <c r="I457">
        <v>0</v>
      </c>
      <c r="J457">
        <v>27</v>
      </c>
      <c r="K457" t="s">
        <v>241</v>
      </c>
    </row>
    <row r="458" spans="2:11" x14ac:dyDescent="0.25">
      <c r="B458">
        <v>505</v>
      </c>
      <c r="C458">
        <v>133</v>
      </c>
      <c r="D458">
        <v>60</v>
      </c>
      <c r="E458">
        <v>3</v>
      </c>
      <c r="F458">
        <v>11</v>
      </c>
      <c r="G458">
        <v>9</v>
      </c>
      <c r="H458">
        <v>0</v>
      </c>
      <c r="I458">
        <v>0</v>
      </c>
      <c r="J458">
        <v>20</v>
      </c>
      <c r="K458" t="s">
        <v>247</v>
      </c>
    </row>
    <row r="459" spans="2:11" x14ac:dyDescent="0.25">
      <c r="B459">
        <v>506</v>
      </c>
      <c r="C459">
        <v>105</v>
      </c>
      <c r="D459">
        <v>51</v>
      </c>
      <c r="E459">
        <v>3</v>
      </c>
      <c r="F459">
        <v>15</v>
      </c>
      <c r="G459">
        <v>6</v>
      </c>
      <c r="H459">
        <v>0</v>
      </c>
      <c r="I459">
        <v>0</v>
      </c>
      <c r="J459">
        <v>21</v>
      </c>
      <c r="K459" t="s">
        <v>247</v>
      </c>
    </row>
    <row r="460" spans="2:11" x14ac:dyDescent="0.25">
      <c r="B460">
        <v>507</v>
      </c>
      <c r="C460">
        <v>142</v>
      </c>
      <c r="D460">
        <v>62</v>
      </c>
      <c r="E460">
        <v>4</v>
      </c>
      <c r="F460">
        <v>15</v>
      </c>
      <c r="G460">
        <v>4</v>
      </c>
      <c r="H460">
        <v>0</v>
      </c>
      <c r="I460">
        <v>0</v>
      </c>
      <c r="J460">
        <v>19</v>
      </c>
      <c r="K460" t="s">
        <v>242</v>
      </c>
    </row>
    <row r="461" spans="2:11" x14ac:dyDescent="0.25">
      <c r="B461">
        <v>509</v>
      </c>
      <c r="C461">
        <v>115</v>
      </c>
      <c r="D461">
        <v>53</v>
      </c>
      <c r="E461">
        <v>3</v>
      </c>
      <c r="F461">
        <v>10</v>
      </c>
      <c r="G461">
        <v>20</v>
      </c>
      <c r="H461">
        <v>0</v>
      </c>
      <c r="I461">
        <v>0</v>
      </c>
      <c r="J461">
        <v>30</v>
      </c>
      <c r="K461" t="s">
        <v>247</v>
      </c>
    </row>
    <row r="462" spans="2:11" x14ac:dyDescent="0.25">
      <c r="B462">
        <v>510</v>
      </c>
      <c r="C462">
        <v>146</v>
      </c>
      <c r="D462">
        <v>65</v>
      </c>
      <c r="E462">
        <v>4</v>
      </c>
      <c r="F462">
        <v>10</v>
      </c>
      <c r="G462">
        <v>0</v>
      </c>
      <c r="H462">
        <v>0</v>
      </c>
      <c r="I462">
        <v>0</v>
      </c>
      <c r="J462">
        <v>10</v>
      </c>
      <c r="K462" t="s">
        <v>242</v>
      </c>
    </row>
    <row r="463" spans="2:11" x14ac:dyDescent="0.25">
      <c r="B463">
        <v>511</v>
      </c>
      <c r="C463">
        <v>343</v>
      </c>
      <c r="D463">
        <v>154</v>
      </c>
      <c r="E463">
        <v>3</v>
      </c>
      <c r="F463">
        <v>0</v>
      </c>
      <c r="G463">
        <v>19</v>
      </c>
      <c r="H463">
        <v>0</v>
      </c>
      <c r="I463">
        <v>0</v>
      </c>
      <c r="J463">
        <v>19</v>
      </c>
      <c r="K463" t="s">
        <v>247</v>
      </c>
    </row>
    <row r="464" spans="2:11" x14ac:dyDescent="0.25">
      <c r="B464">
        <v>513</v>
      </c>
      <c r="C464">
        <v>162</v>
      </c>
      <c r="D464">
        <v>69</v>
      </c>
      <c r="E464">
        <v>4</v>
      </c>
      <c r="F464">
        <v>4</v>
      </c>
      <c r="G464">
        <v>3</v>
      </c>
      <c r="H464">
        <v>0</v>
      </c>
      <c r="I464">
        <v>0</v>
      </c>
      <c r="J464">
        <v>7</v>
      </c>
      <c r="K464" t="s">
        <v>242</v>
      </c>
    </row>
    <row r="465" spans="2:11" x14ac:dyDescent="0.25">
      <c r="B465">
        <v>514</v>
      </c>
      <c r="C465">
        <v>316</v>
      </c>
      <c r="D465">
        <v>146</v>
      </c>
      <c r="E465">
        <v>3</v>
      </c>
      <c r="F465">
        <v>5</v>
      </c>
      <c r="G465">
        <v>2</v>
      </c>
      <c r="H465">
        <v>0</v>
      </c>
      <c r="I465">
        <v>0</v>
      </c>
      <c r="J465">
        <v>7</v>
      </c>
      <c r="K465" t="s">
        <v>247</v>
      </c>
    </row>
    <row r="466" spans="2:11" x14ac:dyDescent="0.25">
      <c r="B466">
        <v>516</v>
      </c>
      <c r="C466">
        <v>115</v>
      </c>
      <c r="D466">
        <v>53</v>
      </c>
      <c r="E466">
        <v>4</v>
      </c>
      <c r="F466">
        <v>10</v>
      </c>
      <c r="G466">
        <v>18</v>
      </c>
      <c r="H466">
        <v>1</v>
      </c>
      <c r="I466">
        <v>0</v>
      </c>
      <c r="J466">
        <v>29</v>
      </c>
      <c r="K466" t="s">
        <v>246</v>
      </c>
    </row>
    <row r="467" spans="2:11" x14ac:dyDescent="0.25">
      <c r="B467">
        <v>517</v>
      </c>
      <c r="C467">
        <v>114</v>
      </c>
      <c r="D467">
        <v>52</v>
      </c>
      <c r="E467">
        <v>4</v>
      </c>
      <c r="F467">
        <v>15</v>
      </c>
      <c r="G467">
        <v>2</v>
      </c>
      <c r="H467">
        <v>13</v>
      </c>
      <c r="I467">
        <v>0</v>
      </c>
      <c r="J467">
        <v>30</v>
      </c>
      <c r="K467" t="s">
        <v>246</v>
      </c>
    </row>
    <row r="468" spans="2:11" x14ac:dyDescent="0.25">
      <c r="B468">
        <v>519</v>
      </c>
      <c r="C468">
        <v>27</v>
      </c>
      <c r="D468">
        <v>14</v>
      </c>
      <c r="E468">
        <v>3</v>
      </c>
      <c r="F468">
        <v>3</v>
      </c>
      <c r="G468">
        <v>2</v>
      </c>
      <c r="H468">
        <v>5</v>
      </c>
      <c r="I468">
        <v>0</v>
      </c>
      <c r="J468">
        <v>10</v>
      </c>
      <c r="K468" t="s">
        <v>247</v>
      </c>
    </row>
    <row r="469" spans="2:11" x14ac:dyDescent="0.25">
      <c r="B469">
        <v>520</v>
      </c>
      <c r="C469">
        <v>10</v>
      </c>
      <c r="D469">
        <v>3</v>
      </c>
      <c r="E469">
        <v>3</v>
      </c>
      <c r="F469">
        <v>2</v>
      </c>
      <c r="G469">
        <v>0</v>
      </c>
      <c r="H469">
        <v>0</v>
      </c>
      <c r="I469">
        <v>0</v>
      </c>
      <c r="J469">
        <v>2</v>
      </c>
      <c r="K469" t="s">
        <v>247</v>
      </c>
    </row>
    <row r="470" spans="2:11" x14ac:dyDescent="0.25">
      <c r="B470">
        <v>521</v>
      </c>
      <c r="C470">
        <v>10</v>
      </c>
      <c r="D470">
        <v>3</v>
      </c>
      <c r="E470">
        <v>2</v>
      </c>
      <c r="F470">
        <v>6</v>
      </c>
      <c r="G470">
        <v>0</v>
      </c>
      <c r="H470">
        <v>0</v>
      </c>
      <c r="I470">
        <v>0</v>
      </c>
      <c r="J470">
        <v>6</v>
      </c>
      <c r="K470" t="s">
        <v>242</v>
      </c>
    </row>
    <row r="471" spans="2:11" x14ac:dyDescent="0.25">
      <c r="B471">
        <v>523</v>
      </c>
      <c r="C471">
        <v>74</v>
      </c>
      <c r="D471">
        <v>36</v>
      </c>
      <c r="E471">
        <v>3</v>
      </c>
      <c r="F471">
        <v>12</v>
      </c>
      <c r="G471">
        <v>15</v>
      </c>
      <c r="H471">
        <v>2</v>
      </c>
      <c r="I471">
        <v>0</v>
      </c>
      <c r="J471">
        <v>29</v>
      </c>
      <c r="K471" t="s">
        <v>247</v>
      </c>
    </row>
    <row r="472" spans="2:11" x14ac:dyDescent="0.25">
      <c r="B472">
        <v>524</v>
      </c>
      <c r="C472">
        <v>73</v>
      </c>
      <c r="D472">
        <v>35</v>
      </c>
      <c r="E472">
        <v>3</v>
      </c>
      <c r="F472">
        <v>17</v>
      </c>
      <c r="G472">
        <v>13</v>
      </c>
      <c r="H472">
        <v>0</v>
      </c>
      <c r="I472">
        <v>0</v>
      </c>
      <c r="J472">
        <v>30</v>
      </c>
      <c r="K472" t="s">
        <v>247</v>
      </c>
    </row>
    <row r="473" spans="2:11" x14ac:dyDescent="0.25">
      <c r="B473">
        <v>525</v>
      </c>
      <c r="C473">
        <v>59</v>
      </c>
      <c r="D473">
        <v>30</v>
      </c>
      <c r="E473">
        <v>4</v>
      </c>
      <c r="F473">
        <v>8</v>
      </c>
      <c r="G473">
        <v>1</v>
      </c>
      <c r="H473">
        <v>0</v>
      </c>
      <c r="I473">
        <v>0</v>
      </c>
      <c r="J473">
        <v>9</v>
      </c>
      <c r="K473" t="s">
        <v>243</v>
      </c>
    </row>
    <row r="474" spans="2:11" x14ac:dyDescent="0.25">
      <c r="B474">
        <v>526</v>
      </c>
      <c r="C474">
        <v>60</v>
      </c>
      <c r="D474">
        <v>31</v>
      </c>
      <c r="E474">
        <v>4</v>
      </c>
      <c r="F474">
        <v>15</v>
      </c>
      <c r="G474">
        <v>7</v>
      </c>
      <c r="H474">
        <v>1</v>
      </c>
      <c r="I474">
        <v>0</v>
      </c>
      <c r="J474">
        <v>23</v>
      </c>
      <c r="K474" t="s">
        <v>243</v>
      </c>
    </row>
    <row r="475" spans="2:11" x14ac:dyDescent="0.25">
      <c r="B475">
        <v>527</v>
      </c>
      <c r="C475">
        <v>35</v>
      </c>
      <c r="D475">
        <v>17</v>
      </c>
      <c r="E475">
        <v>4</v>
      </c>
      <c r="F475">
        <v>0</v>
      </c>
      <c r="G475">
        <v>6</v>
      </c>
      <c r="H475">
        <v>0</v>
      </c>
      <c r="I475">
        <v>0</v>
      </c>
      <c r="J475">
        <v>6</v>
      </c>
      <c r="K475" t="s">
        <v>243</v>
      </c>
    </row>
    <row r="476" spans="2:11" x14ac:dyDescent="0.25">
      <c r="B476">
        <v>528</v>
      </c>
      <c r="C476">
        <v>55</v>
      </c>
      <c r="D476">
        <v>29</v>
      </c>
      <c r="E476">
        <v>4</v>
      </c>
      <c r="F476">
        <v>2</v>
      </c>
      <c r="G476">
        <v>22</v>
      </c>
      <c r="H476">
        <v>2</v>
      </c>
      <c r="I476">
        <v>0</v>
      </c>
      <c r="J476">
        <v>26</v>
      </c>
      <c r="K476" t="s">
        <v>243</v>
      </c>
    </row>
    <row r="477" spans="2:11" x14ac:dyDescent="0.25">
      <c r="B477">
        <v>529</v>
      </c>
      <c r="C477">
        <v>56</v>
      </c>
      <c r="D477">
        <v>29</v>
      </c>
      <c r="E477">
        <v>4</v>
      </c>
      <c r="F477">
        <v>17</v>
      </c>
      <c r="G477">
        <v>8</v>
      </c>
      <c r="H477">
        <v>0</v>
      </c>
      <c r="I477">
        <v>0</v>
      </c>
      <c r="J477">
        <v>25</v>
      </c>
      <c r="K477" t="s">
        <v>243</v>
      </c>
    </row>
    <row r="478" spans="2:11" x14ac:dyDescent="0.25">
      <c r="B478">
        <v>530</v>
      </c>
      <c r="C478">
        <v>57</v>
      </c>
      <c r="D478">
        <v>29</v>
      </c>
      <c r="E478">
        <v>4</v>
      </c>
      <c r="F478">
        <v>8</v>
      </c>
      <c r="G478">
        <v>3</v>
      </c>
      <c r="H478">
        <v>0</v>
      </c>
      <c r="I478">
        <v>0</v>
      </c>
      <c r="J478">
        <v>11</v>
      </c>
      <c r="K478" t="s">
        <v>243</v>
      </c>
    </row>
    <row r="479" spans="2:11" x14ac:dyDescent="0.25">
      <c r="B479">
        <v>531</v>
      </c>
      <c r="C479">
        <v>53</v>
      </c>
      <c r="D479">
        <v>27</v>
      </c>
      <c r="E479">
        <v>4</v>
      </c>
      <c r="F479">
        <v>3</v>
      </c>
      <c r="G479">
        <v>9</v>
      </c>
      <c r="H479">
        <v>0</v>
      </c>
      <c r="I479">
        <v>0</v>
      </c>
      <c r="J479">
        <v>12</v>
      </c>
      <c r="K479" t="s">
        <v>243</v>
      </c>
    </row>
    <row r="480" spans="2:11" x14ac:dyDescent="0.25">
      <c r="B480">
        <v>532</v>
      </c>
      <c r="C480">
        <v>316</v>
      </c>
      <c r="D480">
        <v>146</v>
      </c>
      <c r="E480">
        <v>4</v>
      </c>
      <c r="F480">
        <v>4</v>
      </c>
      <c r="G480">
        <v>3</v>
      </c>
      <c r="H480">
        <v>0</v>
      </c>
      <c r="I480">
        <v>0</v>
      </c>
      <c r="J480">
        <v>7</v>
      </c>
      <c r="K480" t="s">
        <v>241</v>
      </c>
    </row>
    <row r="481" spans="2:11" x14ac:dyDescent="0.25">
      <c r="B481">
        <v>533</v>
      </c>
      <c r="C481">
        <v>293</v>
      </c>
      <c r="D481">
        <v>136</v>
      </c>
      <c r="E481">
        <v>4</v>
      </c>
      <c r="F481">
        <v>23</v>
      </c>
      <c r="G481">
        <v>2</v>
      </c>
      <c r="H481">
        <v>0</v>
      </c>
      <c r="I481">
        <v>0</v>
      </c>
      <c r="J481">
        <v>25</v>
      </c>
      <c r="K481" t="s">
        <v>249</v>
      </c>
    </row>
    <row r="482" spans="2:11" x14ac:dyDescent="0.25">
      <c r="B482">
        <v>535</v>
      </c>
      <c r="C482">
        <v>339</v>
      </c>
      <c r="D482">
        <v>152</v>
      </c>
      <c r="E482">
        <v>3</v>
      </c>
      <c r="F482">
        <v>26</v>
      </c>
      <c r="G482">
        <v>30</v>
      </c>
      <c r="H482">
        <v>0</v>
      </c>
      <c r="I482">
        <v>0</v>
      </c>
      <c r="J482">
        <v>56</v>
      </c>
      <c r="K482" t="s">
        <v>249</v>
      </c>
    </row>
    <row r="483" spans="2:11" x14ac:dyDescent="0.25">
      <c r="B483">
        <v>536</v>
      </c>
      <c r="C483">
        <v>341</v>
      </c>
      <c r="D483">
        <v>152</v>
      </c>
      <c r="E483">
        <v>3</v>
      </c>
      <c r="F483">
        <v>30</v>
      </c>
      <c r="G483">
        <v>20</v>
      </c>
      <c r="H483">
        <v>0</v>
      </c>
      <c r="I483">
        <v>0</v>
      </c>
      <c r="J483">
        <v>50</v>
      </c>
      <c r="K483" t="s">
        <v>249</v>
      </c>
    </row>
    <row r="484" spans="2:11" x14ac:dyDescent="0.25">
      <c r="B484">
        <v>537</v>
      </c>
      <c r="C484">
        <v>340</v>
      </c>
      <c r="D484">
        <v>152</v>
      </c>
      <c r="E484">
        <v>3</v>
      </c>
      <c r="F484">
        <v>22</v>
      </c>
      <c r="G484">
        <v>30</v>
      </c>
      <c r="H484">
        <v>4</v>
      </c>
      <c r="I484">
        <v>0</v>
      </c>
      <c r="J484">
        <v>56</v>
      </c>
      <c r="K484" t="s">
        <v>249</v>
      </c>
    </row>
    <row r="485" spans="2:11" x14ac:dyDescent="0.25">
      <c r="B485">
        <v>538</v>
      </c>
      <c r="C485">
        <v>133</v>
      </c>
      <c r="D485">
        <v>60</v>
      </c>
      <c r="E485">
        <v>4</v>
      </c>
      <c r="F485">
        <v>8</v>
      </c>
      <c r="G485">
        <v>4</v>
      </c>
      <c r="H485">
        <v>8</v>
      </c>
      <c r="I485">
        <v>0</v>
      </c>
      <c r="J485">
        <v>20</v>
      </c>
      <c r="K485" t="s">
        <v>241</v>
      </c>
    </row>
    <row r="486" spans="2:11" x14ac:dyDescent="0.25">
      <c r="B486">
        <v>539</v>
      </c>
      <c r="C486">
        <v>329</v>
      </c>
      <c r="D486">
        <v>152</v>
      </c>
      <c r="E486">
        <v>4</v>
      </c>
      <c r="F486">
        <v>30</v>
      </c>
      <c r="G486">
        <v>20</v>
      </c>
      <c r="H486">
        <v>0</v>
      </c>
      <c r="I486">
        <v>0</v>
      </c>
      <c r="J486">
        <v>50</v>
      </c>
      <c r="K486" t="s">
        <v>249</v>
      </c>
    </row>
    <row r="487" spans="2:11" x14ac:dyDescent="0.25">
      <c r="B487">
        <v>540</v>
      </c>
      <c r="C487">
        <v>343</v>
      </c>
      <c r="D487">
        <v>154</v>
      </c>
      <c r="E487">
        <v>2</v>
      </c>
      <c r="F487">
        <v>12</v>
      </c>
      <c r="G487">
        <v>14</v>
      </c>
      <c r="H487">
        <v>0</v>
      </c>
      <c r="I487">
        <v>0</v>
      </c>
      <c r="J487">
        <v>26</v>
      </c>
      <c r="K487" t="s">
        <v>242</v>
      </c>
    </row>
    <row r="488" spans="2:11" x14ac:dyDescent="0.25">
      <c r="B488">
        <v>542</v>
      </c>
      <c r="C488">
        <v>339</v>
      </c>
      <c r="D488">
        <v>152</v>
      </c>
      <c r="E488">
        <v>1</v>
      </c>
      <c r="F488">
        <v>16</v>
      </c>
      <c r="G488">
        <v>2</v>
      </c>
      <c r="H488">
        <v>0</v>
      </c>
      <c r="I488">
        <v>0</v>
      </c>
      <c r="J488">
        <v>18</v>
      </c>
      <c r="K488" t="s">
        <v>247</v>
      </c>
    </row>
    <row r="489" spans="2:11" x14ac:dyDescent="0.25">
      <c r="B489">
        <v>543</v>
      </c>
      <c r="C489">
        <v>147</v>
      </c>
      <c r="D489">
        <v>66</v>
      </c>
      <c r="E489">
        <v>4</v>
      </c>
      <c r="F489">
        <v>14</v>
      </c>
      <c r="G489">
        <v>0</v>
      </c>
      <c r="H489">
        <v>0</v>
      </c>
      <c r="I489">
        <v>0</v>
      </c>
      <c r="J489">
        <v>14</v>
      </c>
      <c r="K489" t="s">
        <v>241</v>
      </c>
    </row>
    <row r="490" spans="2:11" x14ac:dyDescent="0.25">
      <c r="B490">
        <v>5240</v>
      </c>
      <c r="C490">
        <v>182</v>
      </c>
      <c r="D490">
        <v>79</v>
      </c>
      <c r="E490">
        <v>9</v>
      </c>
      <c r="F490">
        <v>7</v>
      </c>
      <c r="G490">
        <v>4</v>
      </c>
      <c r="H490">
        <v>0</v>
      </c>
      <c r="I490">
        <v>0</v>
      </c>
      <c r="J490">
        <v>11</v>
      </c>
      <c r="K490" t="s">
        <v>241</v>
      </c>
    </row>
    <row r="491" spans="2:11" x14ac:dyDescent="0.25">
      <c r="B491">
        <v>5251</v>
      </c>
      <c r="C491">
        <v>182</v>
      </c>
      <c r="D491">
        <v>79</v>
      </c>
      <c r="E491">
        <v>11</v>
      </c>
      <c r="F491">
        <v>9</v>
      </c>
      <c r="G491">
        <v>8</v>
      </c>
      <c r="H491">
        <v>0</v>
      </c>
      <c r="I491">
        <v>0</v>
      </c>
      <c r="J491">
        <v>17</v>
      </c>
      <c r="K491" t="s">
        <v>241</v>
      </c>
    </row>
    <row r="492" spans="2:11" x14ac:dyDescent="0.25">
      <c r="B492">
        <v>5252</v>
      </c>
      <c r="C492">
        <v>197</v>
      </c>
      <c r="D492">
        <v>86</v>
      </c>
      <c r="E492">
        <v>5</v>
      </c>
      <c r="F492">
        <v>10</v>
      </c>
      <c r="G492">
        <v>18</v>
      </c>
      <c r="H492">
        <v>0</v>
      </c>
      <c r="I492">
        <v>0</v>
      </c>
      <c r="J492">
        <v>28</v>
      </c>
      <c r="K492" t="s">
        <v>246</v>
      </c>
    </row>
    <row r="493" spans="2:11" x14ac:dyDescent="0.25">
      <c r="B493">
        <v>5250</v>
      </c>
      <c r="C493">
        <v>87</v>
      </c>
      <c r="D493">
        <v>43</v>
      </c>
      <c r="E493">
        <v>18</v>
      </c>
      <c r="F493">
        <v>15</v>
      </c>
      <c r="G493">
        <v>15</v>
      </c>
      <c r="H493">
        <v>0</v>
      </c>
      <c r="I493">
        <v>0</v>
      </c>
      <c r="J493">
        <v>30</v>
      </c>
      <c r="K493" t="s">
        <v>247</v>
      </c>
    </row>
    <row r="494" spans="2:11" x14ac:dyDescent="0.25">
      <c r="B494">
        <v>5254</v>
      </c>
      <c r="C494">
        <v>213</v>
      </c>
      <c r="D494">
        <v>94</v>
      </c>
      <c r="E494">
        <v>6</v>
      </c>
      <c r="F494">
        <v>0</v>
      </c>
      <c r="G494">
        <v>30</v>
      </c>
      <c r="H494">
        <v>0</v>
      </c>
      <c r="I494">
        <v>0</v>
      </c>
      <c r="J494">
        <v>30</v>
      </c>
      <c r="K494" t="s">
        <v>245</v>
      </c>
    </row>
    <row r="495" spans="2:11" x14ac:dyDescent="0.25">
      <c r="B495">
        <v>5255</v>
      </c>
      <c r="C495">
        <v>197</v>
      </c>
      <c r="D495">
        <v>86</v>
      </c>
      <c r="E495">
        <v>6</v>
      </c>
      <c r="F495">
        <v>12</v>
      </c>
      <c r="G495">
        <v>9</v>
      </c>
      <c r="H495">
        <v>0</v>
      </c>
      <c r="I495">
        <v>0</v>
      </c>
      <c r="J495">
        <v>21</v>
      </c>
      <c r="K495" t="s">
        <v>246</v>
      </c>
    </row>
    <row r="496" spans="2:11" x14ac:dyDescent="0.25">
      <c r="B496">
        <v>544</v>
      </c>
      <c r="C496">
        <v>345</v>
      </c>
      <c r="D496">
        <v>155</v>
      </c>
      <c r="E496">
        <v>1</v>
      </c>
      <c r="F496">
        <v>5</v>
      </c>
      <c r="G496">
        <v>8</v>
      </c>
      <c r="H496">
        <v>1</v>
      </c>
      <c r="I496">
        <v>0</v>
      </c>
      <c r="J496">
        <v>14</v>
      </c>
      <c r="K496" t="s">
        <v>247</v>
      </c>
    </row>
    <row r="497" spans="2:11" x14ac:dyDescent="0.25">
      <c r="B497">
        <v>545</v>
      </c>
      <c r="C497">
        <v>341</v>
      </c>
      <c r="D497">
        <v>152</v>
      </c>
      <c r="E497">
        <v>1</v>
      </c>
      <c r="F497">
        <v>17</v>
      </c>
      <c r="G497">
        <v>13</v>
      </c>
      <c r="H497">
        <v>0</v>
      </c>
      <c r="I497">
        <v>0</v>
      </c>
      <c r="J497">
        <v>30</v>
      </c>
      <c r="K497" t="s">
        <v>245</v>
      </c>
    </row>
    <row r="498" spans="2:11" x14ac:dyDescent="0.25">
      <c r="B498">
        <v>546</v>
      </c>
      <c r="C498">
        <v>116</v>
      </c>
      <c r="D498">
        <v>54</v>
      </c>
      <c r="E498">
        <v>4</v>
      </c>
      <c r="F498">
        <v>0</v>
      </c>
      <c r="G498">
        <v>1</v>
      </c>
      <c r="H498">
        <v>0</v>
      </c>
      <c r="I498">
        <v>0</v>
      </c>
      <c r="J498">
        <v>1</v>
      </c>
      <c r="K498" t="s">
        <v>243</v>
      </c>
    </row>
    <row r="499" spans="2:11" x14ac:dyDescent="0.25">
      <c r="B499">
        <v>548</v>
      </c>
      <c r="C499">
        <v>340</v>
      </c>
      <c r="D499">
        <v>152</v>
      </c>
      <c r="E499">
        <v>1</v>
      </c>
      <c r="F499">
        <v>4</v>
      </c>
      <c r="G499">
        <v>5</v>
      </c>
      <c r="H499">
        <v>1</v>
      </c>
      <c r="I499">
        <v>0</v>
      </c>
      <c r="J499">
        <v>10</v>
      </c>
      <c r="K499" t="s">
        <v>245</v>
      </c>
    </row>
    <row r="500" spans="2:11" x14ac:dyDescent="0.25">
      <c r="B500">
        <v>549</v>
      </c>
      <c r="C500">
        <v>339</v>
      </c>
      <c r="D500">
        <v>152</v>
      </c>
      <c r="E500">
        <v>2</v>
      </c>
      <c r="F500">
        <v>4</v>
      </c>
      <c r="G500">
        <v>14</v>
      </c>
      <c r="H500">
        <v>0</v>
      </c>
      <c r="I500">
        <v>0</v>
      </c>
      <c r="J500">
        <v>18</v>
      </c>
      <c r="K500" t="s">
        <v>247</v>
      </c>
    </row>
    <row r="501" spans="2:11" x14ac:dyDescent="0.25">
      <c r="B501">
        <v>550</v>
      </c>
      <c r="C501">
        <v>138</v>
      </c>
      <c r="D501">
        <v>61</v>
      </c>
      <c r="E501">
        <v>4</v>
      </c>
      <c r="F501">
        <v>24</v>
      </c>
      <c r="G501">
        <v>6</v>
      </c>
      <c r="H501">
        <v>0</v>
      </c>
      <c r="I501">
        <v>0</v>
      </c>
      <c r="J501">
        <v>30</v>
      </c>
      <c r="K501" t="s">
        <v>243</v>
      </c>
    </row>
    <row r="502" spans="2:11" x14ac:dyDescent="0.25">
      <c r="B502">
        <v>551</v>
      </c>
      <c r="C502">
        <v>99</v>
      </c>
      <c r="D502">
        <v>49</v>
      </c>
      <c r="E502">
        <v>3</v>
      </c>
      <c r="F502">
        <v>16</v>
      </c>
      <c r="G502">
        <v>11</v>
      </c>
      <c r="H502">
        <v>0</v>
      </c>
      <c r="I502">
        <v>0</v>
      </c>
      <c r="J502">
        <v>27</v>
      </c>
      <c r="K502" t="s">
        <v>248</v>
      </c>
    </row>
    <row r="503" spans="2:11" x14ac:dyDescent="0.25">
      <c r="B503">
        <v>552</v>
      </c>
      <c r="C503">
        <v>345</v>
      </c>
      <c r="D503">
        <v>155</v>
      </c>
      <c r="E503">
        <v>2</v>
      </c>
      <c r="F503">
        <v>8</v>
      </c>
      <c r="G503">
        <v>3</v>
      </c>
      <c r="H503">
        <v>0</v>
      </c>
      <c r="I503">
        <v>0</v>
      </c>
      <c r="J503">
        <v>11</v>
      </c>
      <c r="K503" t="s">
        <v>247</v>
      </c>
    </row>
    <row r="504" spans="2:11" x14ac:dyDescent="0.25">
      <c r="B504">
        <v>554</v>
      </c>
      <c r="C504">
        <v>165</v>
      </c>
      <c r="D504">
        <v>71</v>
      </c>
      <c r="E504">
        <v>4</v>
      </c>
      <c r="F504">
        <v>7</v>
      </c>
      <c r="G504">
        <v>10</v>
      </c>
      <c r="H504">
        <v>0</v>
      </c>
      <c r="I504">
        <v>0</v>
      </c>
      <c r="J504">
        <v>17</v>
      </c>
      <c r="K504" t="s">
        <v>248</v>
      </c>
    </row>
    <row r="505" spans="2:11" x14ac:dyDescent="0.25">
      <c r="B505">
        <v>555</v>
      </c>
      <c r="C505">
        <v>341</v>
      </c>
      <c r="D505">
        <v>152</v>
      </c>
      <c r="E505">
        <v>2</v>
      </c>
      <c r="F505">
        <v>6</v>
      </c>
      <c r="G505">
        <v>16</v>
      </c>
      <c r="H505">
        <v>0</v>
      </c>
      <c r="I505">
        <v>0</v>
      </c>
      <c r="J505">
        <v>22</v>
      </c>
      <c r="K505" t="s">
        <v>247</v>
      </c>
    </row>
    <row r="506" spans="2:11" x14ac:dyDescent="0.25">
      <c r="B506">
        <v>556</v>
      </c>
      <c r="C506">
        <v>348</v>
      </c>
      <c r="D506">
        <v>155</v>
      </c>
      <c r="E506">
        <v>1</v>
      </c>
      <c r="F506">
        <v>11</v>
      </c>
      <c r="G506">
        <v>8</v>
      </c>
      <c r="H506">
        <v>0</v>
      </c>
      <c r="I506">
        <v>0</v>
      </c>
      <c r="J506">
        <v>19</v>
      </c>
      <c r="K506" t="s">
        <v>245</v>
      </c>
    </row>
    <row r="507" spans="2:11" x14ac:dyDescent="0.25">
      <c r="B507">
        <v>557</v>
      </c>
      <c r="C507">
        <v>312</v>
      </c>
      <c r="D507">
        <v>144</v>
      </c>
      <c r="E507">
        <v>2</v>
      </c>
      <c r="F507">
        <v>18</v>
      </c>
      <c r="G507">
        <v>37</v>
      </c>
      <c r="H507">
        <v>0</v>
      </c>
      <c r="I507">
        <v>0</v>
      </c>
      <c r="J507">
        <v>55</v>
      </c>
      <c r="K507" t="s">
        <v>249</v>
      </c>
    </row>
    <row r="508" spans="2:11" x14ac:dyDescent="0.25">
      <c r="B508">
        <v>558</v>
      </c>
      <c r="C508">
        <v>140</v>
      </c>
      <c r="D508">
        <v>62</v>
      </c>
      <c r="E508">
        <v>4</v>
      </c>
      <c r="F508">
        <v>19</v>
      </c>
      <c r="G508">
        <v>4</v>
      </c>
      <c r="H508">
        <v>0</v>
      </c>
      <c r="I508">
        <v>0</v>
      </c>
      <c r="J508">
        <v>23</v>
      </c>
      <c r="K508" t="s">
        <v>243</v>
      </c>
    </row>
    <row r="509" spans="2:11" x14ac:dyDescent="0.25">
      <c r="B509">
        <v>560</v>
      </c>
      <c r="C509">
        <v>340</v>
      </c>
      <c r="D509">
        <v>152</v>
      </c>
      <c r="E509">
        <v>2</v>
      </c>
      <c r="F509">
        <v>16</v>
      </c>
      <c r="G509">
        <v>23</v>
      </c>
      <c r="H509">
        <v>0</v>
      </c>
      <c r="I509">
        <v>0</v>
      </c>
      <c r="J509">
        <v>39</v>
      </c>
      <c r="K509" t="s">
        <v>249</v>
      </c>
    </row>
    <row r="510" spans="2:11" x14ac:dyDescent="0.25">
      <c r="B510">
        <v>561</v>
      </c>
      <c r="C510">
        <v>337</v>
      </c>
      <c r="D510">
        <v>152</v>
      </c>
      <c r="E510">
        <v>4</v>
      </c>
      <c r="F510">
        <v>7</v>
      </c>
      <c r="G510">
        <v>22</v>
      </c>
      <c r="H510">
        <v>0</v>
      </c>
      <c r="I510">
        <v>0</v>
      </c>
      <c r="J510">
        <v>29</v>
      </c>
      <c r="K510" t="s">
        <v>247</v>
      </c>
    </row>
    <row r="511" spans="2:11" x14ac:dyDescent="0.25">
      <c r="B511">
        <v>562</v>
      </c>
      <c r="C511">
        <v>263</v>
      </c>
      <c r="D511">
        <v>118</v>
      </c>
      <c r="E511">
        <v>4</v>
      </c>
      <c r="F511">
        <v>1</v>
      </c>
      <c r="G511">
        <v>2</v>
      </c>
      <c r="H511">
        <v>0</v>
      </c>
      <c r="I511">
        <v>0</v>
      </c>
      <c r="J511">
        <v>3</v>
      </c>
      <c r="K511" t="s">
        <v>242</v>
      </c>
    </row>
    <row r="512" spans="2:11" x14ac:dyDescent="0.25">
      <c r="B512">
        <v>564</v>
      </c>
      <c r="C512">
        <v>93</v>
      </c>
      <c r="D512">
        <v>46</v>
      </c>
      <c r="E512">
        <v>3</v>
      </c>
      <c r="F512">
        <v>17</v>
      </c>
      <c r="G512">
        <v>10</v>
      </c>
      <c r="H512">
        <v>0</v>
      </c>
      <c r="I512">
        <v>0</v>
      </c>
      <c r="J512">
        <v>27</v>
      </c>
      <c r="K512" t="s">
        <v>243</v>
      </c>
    </row>
    <row r="513" spans="2:11" x14ac:dyDescent="0.25">
      <c r="B513">
        <v>566</v>
      </c>
      <c r="C513">
        <v>118</v>
      </c>
      <c r="D513">
        <v>55</v>
      </c>
      <c r="E513">
        <v>3</v>
      </c>
      <c r="F513">
        <v>9</v>
      </c>
      <c r="G513">
        <v>1</v>
      </c>
      <c r="H513">
        <v>0</v>
      </c>
      <c r="I513">
        <v>0</v>
      </c>
      <c r="J513">
        <v>10</v>
      </c>
      <c r="K513" t="s">
        <v>241</v>
      </c>
    </row>
    <row r="514" spans="2:11" x14ac:dyDescent="0.25">
      <c r="B514">
        <v>567</v>
      </c>
      <c r="C514">
        <v>117</v>
      </c>
      <c r="D514">
        <v>54</v>
      </c>
      <c r="E514">
        <v>3</v>
      </c>
      <c r="F514">
        <v>3</v>
      </c>
      <c r="G514">
        <v>4</v>
      </c>
      <c r="H514">
        <v>0</v>
      </c>
      <c r="I514">
        <v>0</v>
      </c>
      <c r="J514">
        <v>7</v>
      </c>
      <c r="K514" t="s">
        <v>241</v>
      </c>
    </row>
    <row r="515" spans="2:11" x14ac:dyDescent="0.25">
      <c r="B515">
        <v>568</v>
      </c>
      <c r="C515">
        <v>168</v>
      </c>
      <c r="D515">
        <v>72</v>
      </c>
      <c r="E515">
        <v>3</v>
      </c>
      <c r="F515">
        <v>6</v>
      </c>
      <c r="G515">
        <v>22</v>
      </c>
      <c r="H515">
        <v>4</v>
      </c>
      <c r="I515">
        <v>0</v>
      </c>
      <c r="J515">
        <v>32</v>
      </c>
      <c r="K515" t="s">
        <v>249</v>
      </c>
    </row>
    <row r="516" spans="2:11" x14ac:dyDescent="0.25">
      <c r="B516">
        <v>572</v>
      </c>
      <c r="C516">
        <v>116</v>
      </c>
      <c r="D516">
        <v>54</v>
      </c>
      <c r="E516">
        <v>3</v>
      </c>
      <c r="F516">
        <v>1</v>
      </c>
      <c r="G516">
        <v>0</v>
      </c>
      <c r="H516">
        <v>1</v>
      </c>
      <c r="I516">
        <v>0</v>
      </c>
      <c r="J516">
        <v>2</v>
      </c>
      <c r="K516" t="s">
        <v>241</v>
      </c>
    </row>
    <row r="517" spans="2:11" x14ac:dyDescent="0.25">
      <c r="B517">
        <v>573</v>
      </c>
      <c r="C517">
        <v>93</v>
      </c>
      <c r="D517">
        <v>46</v>
      </c>
      <c r="E517">
        <v>4</v>
      </c>
      <c r="F517">
        <v>9</v>
      </c>
      <c r="G517">
        <v>20</v>
      </c>
      <c r="H517">
        <v>2</v>
      </c>
      <c r="I517">
        <v>0</v>
      </c>
      <c r="J517">
        <v>31</v>
      </c>
      <c r="K517" t="s">
        <v>249</v>
      </c>
    </row>
    <row r="518" spans="2:11" x14ac:dyDescent="0.25">
      <c r="B518">
        <v>574</v>
      </c>
      <c r="C518">
        <v>343</v>
      </c>
      <c r="D518">
        <v>154</v>
      </c>
      <c r="E518">
        <v>1</v>
      </c>
      <c r="F518">
        <v>14</v>
      </c>
      <c r="G518">
        <v>14</v>
      </c>
      <c r="H518">
        <v>0</v>
      </c>
      <c r="I518">
        <v>0</v>
      </c>
      <c r="J518">
        <v>28</v>
      </c>
      <c r="K518" t="s">
        <v>245</v>
      </c>
    </row>
    <row r="519" spans="2:11" x14ac:dyDescent="0.25">
      <c r="B519">
        <v>575</v>
      </c>
      <c r="C519">
        <v>275</v>
      </c>
      <c r="D519">
        <v>126</v>
      </c>
      <c r="E519">
        <v>4</v>
      </c>
      <c r="F519">
        <v>8</v>
      </c>
      <c r="G519">
        <v>4</v>
      </c>
      <c r="H519">
        <v>0</v>
      </c>
      <c r="I519">
        <v>0</v>
      </c>
      <c r="J519">
        <v>12</v>
      </c>
      <c r="K519" t="s">
        <v>246</v>
      </c>
    </row>
    <row r="520" spans="2:11" x14ac:dyDescent="0.25">
      <c r="B520">
        <v>576</v>
      </c>
      <c r="C520">
        <v>135</v>
      </c>
      <c r="D520">
        <v>60</v>
      </c>
      <c r="E520">
        <v>3</v>
      </c>
      <c r="F520">
        <v>10</v>
      </c>
      <c r="G520">
        <v>6</v>
      </c>
      <c r="H520">
        <v>4</v>
      </c>
      <c r="I520">
        <v>0</v>
      </c>
      <c r="J520">
        <v>20</v>
      </c>
      <c r="K520" t="s">
        <v>249</v>
      </c>
    </row>
    <row r="521" spans="2:11" x14ac:dyDescent="0.25">
      <c r="B521">
        <v>579</v>
      </c>
      <c r="C521">
        <v>245</v>
      </c>
      <c r="D521">
        <v>109</v>
      </c>
      <c r="E521">
        <v>4</v>
      </c>
      <c r="F521">
        <v>8</v>
      </c>
      <c r="G521">
        <v>0</v>
      </c>
      <c r="H521">
        <v>4</v>
      </c>
      <c r="I521">
        <v>0</v>
      </c>
      <c r="J521">
        <v>12</v>
      </c>
      <c r="K521" t="s">
        <v>248</v>
      </c>
    </row>
    <row r="522" spans="2:11" x14ac:dyDescent="0.25">
      <c r="B522">
        <v>580</v>
      </c>
      <c r="C522">
        <v>275</v>
      </c>
      <c r="D522">
        <v>126</v>
      </c>
      <c r="E522">
        <v>3</v>
      </c>
      <c r="F522">
        <v>13</v>
      </c>
      <c r="G522">
        <v>7</v>
      </c>
      <c r="H522">
        <v>0</v>
      </c>
      <c r="I522">
        <v>0</v>
      </c>
      <c r="J522">
        <v>20</v>
      </c>
      <c r="K522" t="s">
        <v>246</v>
      </c>
    </row>
    <row r="523" spans="2:11" x14ac:dyDescent="0.25">
      <c r="B523">
        <v>581</v>
      </c>
      <c r="C523">
        <v>348</v>
      </c>
      <c r="D523">
        <v>155</v>
      </c>
      <c r="E523">
        <v>2</v>
      </c>
      <c r="F523">
        <v>16</v>
      </c>
      <c r="G523">
        <v>14</v>
      </c>
      <c r="H523">
        <v>1</v>
      </c>
      <c r="I523">
        <v>0</v>
      </c>
      <c r="J523">
        <v>31</v>
      </c>
      <c r="K523" t="s">
        <v>249</v>
      </c>
    </row>
    <row r="524" spans="2:11" x14ac:dyDescent="0.25">
      <c r="B524">
        <v>582</v>
      </c>
      <c r="C524">
        <v>321</v>
      </c>
      <c r="D524">
        <v>149</v>
      </c>
      <c r="E524">
        <v>5</v>
      </c>
      <c r="F524">
        <v>10</v>
      </c>
      <c r="G524">
        <v>6</v>
      </c>
      <c r="H524">
        <v>0</v>
      </c>
      <c r="I524">
        <v>0</v>
      </c>
      <c r="J524">
        <v>16</v>
      </c>
      <c r="K524" t="s">
        <v>245</v>
      </c>
    </row>
    <row r="525" spans="2:11" x14ac:dyDescent="0.25">
      <c r="B525">
        <v>585</v>
      </c>
      <c r="C525">
        <v>151</v>
      </c>
      <c r="D525">
        <v>69</v>
      </c>
      <c r="E525">
        <v>5</v>
      </c>
      <c r="F525">
        <v>3</v>
      </c>
      <c r="G525">
        <v>17</v>
      </c>
      <c r="H525">
        <v>0</v>
      </c>
      <c r="I525">
        <v>0</v>
      </c>
      <c r="J525">
        <v>20</v>
      </c>
      <c r="K525" t="s">
        <v>247</v>
      </c>
    </row>
    <row r="526" spans="2:11" x14ac:dyDescent="0.25">
      <c r="B526">
        <v>586</v>
      </c>
      <c r="C526">
        <v>276</v>
      </c>
      <c r="D526">
        <v>127</v>
      </c>
      <c r="E526">
        <v>2</v>
      </c>
      <c r="F526">
        <v>5</v>
      </c>
      <c r="G526">
        <v>5</v>
      </c>
      <c r="H526">
        <v>0</v>
      </c>
      <c r="I526">
        <v>0</v>
      </c>
      <c r="J526">
        <v>10</v>
      </c>
      <c r="K526" t="s">
        <v>245</v>
      </c>
    </row>
    <row r="527" spans="2:11" x14ac:dyDescent="0.25">
      <c r="B527">
        <v>587</v>
      </c>
      <c r="C527">
        <v>75</v>
      </c>
      <c r="D527">
        <v>37</v>
      </c>
      <c r="E527">
        <v>3</v>
      </c>
      <c r="F527">
        <v>6</v>
      </c>
      <c r="G527">
        <v>11</v>
      </c>
      <c r="H527">
        <v>3</v>
      </c>
      <c r="I527">
        <v>0</v>
      </c>
      <c r="J527">
        <v>20</v>
      </c>
      <c r="K527" t="s">
        <v>242</v>
      </c>
    </row>
    <row r="528" spans="2:11" x14ac:dyDescent="0.25">
      <c r="B528">
        <v>588</v>
      </c>
      <c r="C528">
        <v>286</v>
      </c>
      <c r="D528">
        <v>133</v>
      </c>
      <c r="E528">
        <v>4</v>
      </c>
      <c r="F528">
        <v>5</v>
      </c>
      <c r="G528">
        <v>3</v>
      </c>
      <c r="H528">
        <v>0</v>
      </c>
      <c r="I528">
        <v>0</v>
      </c>
      <c r="J528">
        <v>8</v>
      </c>
      <c r="K528" t="s">
        <v>247</v>
      </c>
    </row>
    <row r="529" spans="2:11" x14ac:dyDescent="0.25">
      <c r="B529">
        <v>589</v>
      </c>
      <c r="C529">
        <v>308</v>
      </c>
      <c r="D529">
        <v>143</v>
      </c>
      <c r="E529">
        <v>4</v>
      </c>
      <c r="F529">
        <v>16</v>
      </c>
      <c r="G529">
        <v>14</v>
      </c>
      <c r="H529">
        <v>0</v>
      </c>
      <c r="I529">
        <v>0</v>
      </c>
      <c r="J529">
        <v>30</v>
      </c>
      <c r="K529" t="s">
        <v>247</v>
      </c>
    </row>
    <row r="530" spans="2:11" x14ac:dyDescent="0.25">
      <c r="B530">
        <v>590</v>
      </c>
      <c r="C530">
        <v>13</v>
      </c>
      <c r="D530">
        <v>4</v>
      </c>
      <c r="E530">
        <v>3</v>
      </c>
      <c r="F530">
        <v>4</v>
      </c>
      <c r="G530">
        <v>18</v>
      </c>
      <c r="H530">
        <v>1</v>
      </c>
      <c r="I530">
        <v>0</v>
      </c>
      <c r="J530">
        <v>23</v>
      </c>
      <c r="K530" t="s">
        <v>242</v>
      </c>
    </row>
    <row r="531" spans="2:11" x14ac:dyDescent="0.25">
      <c r="B531">
        <v>591</v>
      </c>
      <c r="C531">
        <v>134</v>
      </c>
      <c r="D531">
        <v>60</v>
      </c>
      <c r="E531">
        <v>3</v>
      </c>
      <c r="F531">
        <v>4</v>
      </c>
      <c r="G531">
        <v>4</v>
      </c>
      <c r="H531">
        <v>9</v>
      </c>
      <c r="I531">
        <v>0</v>
      </c>
      <c r="J531">
        <v>17</v>
      </c>
      <c r="K531" t="s">
        <v>241</v>
      </c>
    </row>
    <row r="532" spans="2:11" x14ac:dyDescent="0.25">
      <c r="B532">
        <v>592</v>
      </c>
      <c r="C532">
        <v>321</v>
      </c>
      <c r="D532">
        <v>149</v>
      </c>
      <c r="E532">
        <v>4</v>
      </c>
      <c r="F532">
        <v>5</v>
      </c>
      <c r="G532">
        <v>7</v>
      </c>
      <c r="H532">
        <v>0</v>
      </c>
      <c r="I532">
        <v>0</v>
      </c>
      <c r="J532">
        <v>12</v>
      </c>
      <c r="K532" t="s">
        <v>245</v>
      </c>
    </row>
    <row r="533" spans="2:11" x14ac:dyDescent="0.25">
      <c r="B533">
        <v>593</v>
      </c>
      <c r="C533">
        <v>285</v>
      </c>
      <c r="D533">
        <v>132</v>
      </c>
      <c r="E533">
        <v>4</v>
      </c>
      <c r="F533">
        <v>17</v>
      </c>
      <c r="G533">
        <v>0</v>
      </c>
      <c r="H533">
        <v>2</v>
      </c>
      <c r="I533">
        <v>0</v>
      </c>
      <c r="J533">
        <v>19</v>
      </c>
      <c r="K533" t="s">
        <v>247</v>
      </c>
    </row>
    <row r="534" spans="2:11" x14ac:dyDescent="0.25">
      <c r="B534">
        <v>594</v>
      </c>
      <c r="C534">
        <v>134</v>
      </c>
      <c r="D534">
        <v>60</v>
      </c>
      <c r="E534">
        <v>4</v>
      </c>
      <c r="F534">
        <v>3</v>
      </c>
      <c r="G534">
        <v>2</v>
      </c>
      <c r="H534">
        <v>8</v>
      </c>
      <c r="I534">
        <v>0</v>
      </c>
      <c r="J534">
        <v>13</v>
      </c>
      <c r="K534" t="s">
        <v>241</v>
      </c>
    </row>
    <row r="535" spans="2:11" x14ac:dyDescent="0.25">
      <c r="B535">
        <v>595</v>
      </c>
      <c r="C535">
        <v>310</v>
      </c>
      <c r="D535">
        <v>144</v>
      </c>
      <c r="E535">
        <v>4</v>
      </c>
      <c r="F535">
        <v>13</v>
      </c>
      <c r="G535">
        <v>17</v>
      </c>
      <c r="H535">
        <v>0</v>
      </c>
      <c r="I535">
        <v>0</v>
      </c>
      <c r="J535">
        <v>30</v>
      </c>
      <c r="K535" t="s">
        <v>245</v>
      </c>
    </row>
    <row r="536" spans="2:11" x14ac:dyDescent="0.25">
      <c r="B536">
        <v>596</v>
      </c>
      <c r="C536">
        <v>11</v>
      </c>
      <c r="D536">
        <v>3</v>
      </c>
      <c r="E536">
        <v>3</v>
      </c>
      <c r="F536">
        <v>12</v>
      </c>
      <c r="G536">
        <v>6</v>
      </c>
      <c r="H536">
        <v>0</v>
      </c>
      <c r="I536">
        <v>0</v>
      </c>
      <c r="J536">
        <v>18</v>
      </c>
      <c r="K536" t="s">
        <v>242</v>
      </c>
    </row>
    <row r="537" spans="2:11" x14ac:dyDescent="0.25">
      <c r="B537">
        <v>598</v>
      </c>
      <c r="C537">
        <v>120</v>
      </c>
      <c r="D537">
        <v>55</v>
      </c>
      <c r="E537">
        <v>3</v>
      </c>
      <c r="F537">
        <v>19</v>
      </c>
      <c r="G537">
        <v>5</v>
      </c>
      <c r="H537">
        <v>3</v>
      </c>
      <c r="I537">
        <v>0</v>
      </c>
      <c r="J537">
        <v>27</v>
      </c>
      <c r="K537" t="s">
        <v>242</v>
      </c>
    </row>
    <row r="538" spans="2:11" x14ac:dyDescent="0.25">
      <c r="B538">
        <v>599</v>
      </c>
      <c r="C538">
        <v>85</v>
      </c>
      <c r="D538">
        <v>41</v>
      </c>
      <c r="E538">
        <v>4</v>
      </c>
      <c r="F538">
        <v>5</v>
      </c>
      <c r="G538">
        <v>6</v>
      </c>
      <c r="H538">
        <v>0</v>
      </c>
      <c r="I538">
        <v>0</v>
      </c>
      <c r="J538">
        <v>11</v>
      </c>
      <c r="K538" t="s">
        <v>247</v>
      </c>
    </row>
    <row r="539" spans="2:11" x14ac:dyDescent="0.25">
      <c r="B539">
        <v>600</v>
      </c>
      <c r="C539">
        <v>92</v>
      </c>
      <c r="D539">
        <v>46</v>
      </c>
      <c r="E539">
        <v>4</v>
      </c>
      <c r="F539">
        <v>24</v>
      </c>
      <c r="G539">
        <v>6</v>
      </c>
      <c r="H539">
        <v>0</v>
      </c>
      <c r="I539">
        <v>0</v>
      </c>
      <c r="J539">
        <v>30</v>
      </c>
      <c r="K539" t="s">
        <v>249</v>
      </c>
    </row>
    <row r="540" spans="2:11" x14ac:dyDescent="0.25">
      <c r="B540">
        <v>602</v>
      </c>
      <c r="C540">
        <v>61</v>
      </c>
      <c r="D540">
        <v>32</v>
      </c>
      <c r="E540">
        <v>4</v>
      </c>
      <c r="F540">
        <v>9</v>
      </c>
      <c r="G540">
        <v>6</v>
      </c>
      <c r="H540">
        <v>0</v>
      </c>
      <c r="I540">
        <v>0</v>
      </c>
      <c r="J540">
        <v>15</v>
      </c>
      <c r="K540" t="s">
        <v>247</v>
      </c>
    </row>
    <row r="541" spans="2:11" x14ac:dyDescent="0.25">
      <c r="B541">
        <v>603</v>
      </c>
      <c r="C541">
        <v>81</v>
      </c>
      <c r="D541">
        <v>38</v>
      </c>
      <c r="E541">
        <v>4</v>
      </c>
      <c r="F541">
        <v>5</v>
      </c>
      <c r="G541">
        <v>20</v>
      </c>
      <c r="H541">
        <v>2</v>
      </c>
      <c r="I541">
        <v>0</v>
      </c>
      <c r="J541">
        <v>27</v>
      </c>
      <c r="K541" t="s">
        <v>247</v>
      </c>
    </row>
    <row r="542" spans="2:11" x14ac:dyDescent="0.25">
      <c r="B542">
        <v>604</v>
      </c>
      <c r="C542">
        <v>84</v>
      </c>
      <c r="D542">
        <v>41</v>
      </c>
      <c r="E542">
        <v>4</v>
      </c>
      <c r="F542">
        <v>4</v>
      </c>
      <c r="G542">
        <v>3</v>
      </c>
      <c r="H542">
        <v>0</v>
      </c>
      <c r="I542">
        <v>0</v>
      </c>
      <c r="J542">
        <v>7</v>
      </c>
      <c r="K542" t="s">
        <v>247</v>
      </c>
    </row>
    <row r="543" spans="2:11" x14ac:dyDescent="0.25">
      <c r="B543">
        <v>605</v>
      </c>
      <c r="C543">
        <v>336</v>
      </c>
      <c r="D543">
        <v>152</v>
      </c>
      <c r="E543">
        <v>4</v>
      </c>
      <c r="F543">
        <v>8</v>
      </c>
      <c r="G543">
        <v>21</v>
      </c>
      <c r="H543">
        <v>1</v>
      </c>
      <c r="I543">
        <v>0</v>
      </c>
      <c r="J543">
        <v>30</v>
      </c>
      <c r="K543" t="s">
        <v>242</v>
      </c>
    </row>
    <row r="544" spans="2:11" x14ac:dyDescent="0.25">
      <c r="B544">
        <v>606</v>
      </c>
      <c r="C544">
        <v>12</v>
      </c>
      <c r="D544">
        <v>3</v>
      </c>
      <c r="E544">
        <v>4</v>
      </c>
      <c r="F544">
        <v>20</v>
      </c>
      <c r="G544">
        <v>5</v>
      </c>
      <c r="H544">
        <v>1</v>
      </c>
      <c r="I544">
        <v>0</v>
      </c>
      <c r="J544">
        <v>26</v>
      </c>
      <c r="K544" t="s">
        <v>247</v>
      </c>
    </row>
    <row r="545" spans="2:11" x14ac:dyDescent="0.25">
      <c r="B545">
        <v>607</v>
      </c>
      <c r="C545">
        <v>335</v>
      </c>
      <c r="D545">
        <v>152</v>
      </c>
      <c r="E545">
        <v>4</v>
      </c>
      <c r="F545">
        <v>4</v>
      </c>
      <c r="G545">
        <v>14</v>
      </c>
      <c r="H545">
        <v>2</v>
      </c>
      <c r="I545">
        <v>0</v>
      </c>
      <c r="J545">
        <v>20</v>
      </c>
      <c r="K545" t="s">
        <v>242</v>
      </c>
    </row>
    <row r="546" spans="2:11" x14ac:dyDescent="0.25">
      <c r="B546">
        <v>608</v>
      </c>
      <c r="C546">
        <v>22</v>
      </c>
      <c r="D546">
        <v>10</v>
      </c>
      <c r="E546">
        <v>4</v>
      </c>
      <c r="F546">
        <v>8</v>
      </c>
      <c r="G546">
        <v>4</v>
      </c>
      <c r="H546">
        <v>0</v>
      </c>
      <c r="I546">
        <v>0</v>
      </c>
      <c r="J546">
        <v>12</v>
      </c>
      <c r="K546" t="s">
        <v>247</v>
      </c>
    </row>
    <row r="547" spans="2:11" x14ac:dyDescent="0.25">
      <c r="B547">
        <v>609</v>
      </c>
      <c r="C547">
        <v>120</v>
      </c>
      <c r="D547">
        <v>55</v>
      </c>
      <c r="E547">
        <v>4</v>
      </c>
      <c r="F547">
        <v>20</v>
      </c>
      <c r="G547">
        <v>3</v>
      </c>
      <c r="H547">
        <v>1</v>
      </c>
      <c r="I547">
        <v>0</v>
      </c>
      <c r="J547">
        <v>24</v>
      </c>
      <c r="K547" t="s">
        <v>247</v>
      </c>
    </row>
    <row r="548" spans="2:11" x14ac:dyDescent="0.25">
      <c r="B548">
        <v>610</v>
      </c>
      <c r="C548">
        <v>63</v>
      </c>
      <c r="D548">
        <v>34</v>
      </c>
      <c r="E548">
        <v>4</v>
      </c>
      <c r="F548">
        <v>5</v>
      </c>
      <c r="G548">
        <v>4</v>
      </c>
      <c r="H548">
        <v>1</v>
      </c>
      <c r="I548">
        <v>0</v>
      </c>
      <c r="J548">
        <v>10</v>
      </c>
      <c r="K548" t="s">
        <v>241</v>
      </c>
    </row>
    <row r="549" spans="2:11" x14ac:dyDescent="0.25">
      <c r="B549">
        <v>611</v>
      </c>
      <c r="C549">
        <v>138</v>
      </c>
      <c r="D549">
        <v>61</v>
      </c>
      <c r="E549">
        <v>3</v>
      </c>
      <c r="F549">
        <v>21</v>
      </c>
      <c r="G549">
        <v>9</v>
      </c>
      <c r="H549">
        <v>0</v>
      </c>
      <c r="I549">
        <v>0</v>
      </c>
      <c r="J549">
        <v>30</v>
      </c>
      <c r="K549" t="s">
        <v>249</v>
      </c>
    </row>
    <row r="550" spans="2:11" x14ac:dyDescent="0.25">
      <c r="B550">
        <v>612</v>
      </c>
      <c r="C550">
        <v>121</v>
      </c>
      <c r="D550">
        <v>55</v>
      </c>
      <c r="E550">
        <v>4</v>
      </c>
      <c r="F550">
        <v>6</v>
      </c>
      <c r="G550">
        <v>7</v>
      </c>
      <c r="H550">
        <v>0</v>
      </c>
      <c r="I550">
        <v>0</v>
      </c>
      <c r="J550">
        <v>13</v>
      </c>
      <c r="K550" t="s">
        <v>247</v>
      </c>
    </row>
    <row r="551" spans="2:11" x14ac:dyDescent="0.25">
      <c r="B551">
        <v>613</v>
      </c>
      <c r="C551">
        <v>58</v>
      </c>
      <c r="D551">
        <v>29</v>
      </c>
      <c r="E551">
        <v>4</v>
      </c>
      <c r="F551">
        <v>13</v>
      </c>
      <c r="G551">
        <v>6</v>
      </c>
      <c r="H551">
        <v>1</v>
      </c>
      <c r="I551">
        <v>0</v>
      </c>
      <c r="J551">
        <v>20</v>
      </c>
      <c r="K551" t="s">
        <v>241</v>
      </c>
    </row>
    <row r="552" spans="2:11" x14ac:dyDescent="0.25">
      <c r="B552">
        <v>614</v>
      </c>
      <c r="C552">
        <v>251</v>
      </c>
      <c r="D552">
        <v>113</v>
      </c>
      <c r="E552">
        <v>5</v>
      </c>
      <c r="F552">
        <v>14</v>
      </c>
      <c r="G552">
        <v>1</v>
      </c>
      <c r="H552">
        <v>10</v>
      </c>
      <c r="I552">
        <v>0</v>
      </c>
      <c r="J552">
        <v>25</v>
      </c>
      <c r="K552" t="s">
        <v>248</v>
      </c>
    </row>
    <row r="553" spans="2:11" x14ac:dyDescent="0.25">
      <c r="B553">
        <v>615</v>
      </c>
      <c r="C553">
        <v>143</v>
      </c>
      <c r="D553">
        <v>63</v>
      </c>
      <c r="E553">
        <v>4</v>
      </c>
      <c r="F553">
        <v>1</v>
      </c>
      <c r="G553">
        <v>5</v>
      </c>
      <c r="H553">
        <v>0</v>
      </c>
      <c r="I553">
        <v>0</v>
      </c>
      <c r="J553">
        <v>6</v>
      </c>
      <c r="K553" t="s">
        <v>247</v>
      </c>
    </row>
    <row r="554" spans="2:11" x14ac:dyDescent="0.25">
      <c r="B554">
        <v>617</v>
      </c>
      <c r="C554">
        <v>96</v>
      </c>
      <c r="D554">
        <v>48</v>
      </c>
      <c r="E554">
        <v>5</v>
      </c>
      <c r="F554">
        <v>10</v>
      </c>
      <c r="G554">
        <v>5</v>
      </c>
      <c r="H554">
        <v>0</v>
      </c>
      <c r="I554">
        <v>0</v>
      </c>
      <c r="J554">
        <v>15</v>
      </c>
      <c r="K554" t="s">
        <v>243</v>
      </c>
    </row>
    <row r="555" spans="2:11" x14ac:dyDescent="0.25">
      <c r="B555">
        <v>619</v>
      </c>
      <c r="C555">
        <v>247</v>
      </c>
      <c r="D555">
        <v>110</v>
      </c>
      <c r="E555">
        <v>4</v>
      </c>
      <c r="F555">
        <v>10</v>
      </c>
      <c r="G555">
        <v>8</v>
      </c>
      <c r="H555">
        <v>7</v>
      </c>
      <c r="I555">
        <v>0</v>
      </c>
      <c r="J555">
        <v>25</v>
      </c>
      <c r="K555" t="s">
        <v>248</v>
      </c>
    </row>
    <row r="556" spans="2:11" x14ac:dyDescent="0.25">
      <c r="B556">
        <v>620</v>
      </c>
      <c r="C556">
        <v>298</v>
      </c>
      <c r="D556">
        <v>137</v>
      </c>
      <c r="E556">
        <v>4</v>
      </c>
      <c r="F556">
        <v>5</v>
      </c>
      <c r="G556">
        <v>10</v>
      </c>
      <c r="H556">
        <v>1</v>
      </c>
      <c r="I556">
        <v>0</v>
      </c>
      <c r="J556">
        <v>16</v>
      </c>
      <c r="K556" t="s">
        <v>247</v>
      </c>
    </row>
    <row r="557" spans="2:11" x14ac:dyDescent="0.25">
      <c r="B557">
        <v>621</v>
      </c>
      <c r="C557">
        <v>14</v>
      </c>
      <c r="D557">
        <v>5</v>
      </c>
      <c r="E557">
        <v>3</v>
      </c>
      <c r="F557">
        <v>3</v>
      </c>
      <c r="G557">
        <v>5</v>
      </c>
      <c r="H557">
        <v>1</v>
      </c>
      <c r="I557">
        <v>0</v>
      </c>
      <c r="J557">
        <v>9</v>
      </c>
      <c r="K557" t="s">
        <v>243</v>
      </c>
    </row>
    <row r="558" spans="2:11" x14ac:dyDescent="0.25">
      <c r="B558">
        <v>623</v>
      </c>
      <c r="C558">
        <v>351</v>
      </c>
      <c r="D558">
        <v>158</v>
      </c>
      <c r="E558">
        <v>3</v>
      </c>
      <c r="F558">
        <v>0</v>
      </c>
      <c r="G558">
        <v>10</v>
      </c>
      <c r="H558">
        <v>0</v>
      </c>
      <c r="I558">
        <v>0</v>
      </c>
      <c r="J558">
        <v>10</v>
      </c>
      <c r="K558" t="s">
        <v>245</v>
      </c>
    </row>
    <row r="559" spans="2:11" x14ac:dyDescent="0.25">
      <c r="B559">
        <v>5257</v>
      </c>
      <c r="C559">
        <v>197</v>
      </c>
      <c r="D559">
        <v>86</v>
      </c>
      <c r="E559">
        <v>7</v>
      </c>
      <c r="F559">
        <v>4</v>
      </c>
      <c r="G559">
        <v>21</v>
      </c>
      <c r="H559">
        <v>0</v>
      </c>
      <c r="I559">
        <v>0</v>
      </c>
      <c r="J559">
        <v>25</v>
      </c>
      <c r="K559" t="s">
        <v>246</v>
      </c>
    </row>
    <row r="560" spans="2:11" x14ac:dyDescent="0.25">
      <c r="B560">
        <v>5258</v>
      </c>
      <c r="C560">
        <v>58</v>
      </c>
      <c r="D560">
        <v>29</v>
      </c>
      <c r="E560">
        <v>18</v>
      </c>
      <c r="F560">
        <v>8</v>
      </c>
      <c r="G560">
        <v>15</v>
      </c>
      <c r="H560">
        <v>0</v>
      </c>
      <c r="I560">
        <v>0</v>
      </c>
      <c r="J560">
        <v>23</v>
      </c>
      <c r="K560" t="s">
        <v>247</v>
      </c>
    </row>
    <row r="561" spans="2:11" x14ac:dyDescent="0.25">
      <c r="B561">
        <v>5253</v>
      </c>
      <c r="C561">
        <v>182</v>
      </c>
      <c r="D561">
        <v>79</v>
      </c>
      <c r="E561">
        <v>12</v>
      </c>
      <c r="F561">
        <v>8</v>
      </c>
      <c r="G561">
        <v>2</v>
      </c>
      <c r="H561">
        <v>6</v>
      </c>
      <c r="I561">
        <v>0</v>
      </c>
      <c r="J561">
        <v>16</v>
      </c>
      <c r="K561" t="s">
        <v>241</v>
      </c>
    </row>
    <row r="562" spans="2:11" x14ac:dyDescent="0.25">
      <c r="B562">
        <v>5259</v>
      </c>
      <c r="C562">
        <v>197</v>
      </c>
      <c r="D562">
        <v>86</v>
      </c>
      <c r="E562">
        <v>8</v>
      </c>
      <c r="F562">
        <v>4</v>
      </c>
      <c r="G562">
        <v>16</v>
      </c>
      <c r="H562">
        <v>0</v>
      </c>
      <c r="I562">
        <v>0</v>
      </c>
      <c r="J562">
        <v>20</v>
      </c>
      <c r="K562" t="s">
        <v>246</v>
      </c>
    </row>
    <row r="563" spans="2:11" x14ac:dyDescent="0.25">
      <c r="B563">
        <v>5261</v>
      </c>
      <c r="C563">
        <v>197</v>
      </c>
      <c r="D563">
        <v>86</v>
      </c>
      <c r="E563">
        <v>9</v>
      </c>
      <c r="F563">
        <v>9</v>
      </c>
      <c r="G563">
        <v>20</v>
      </c>
      <c r="H563">
        <v>0</v>
      </c>
      <c r="I563">
        <v>0</v>
      </c>
      <c r="J563">
        <v>29</v>
      </c>
      <c r="K563" t="s">
        <v>246</v>
      </c>
    </row>
    <row r="564" spans="2:11" x14ac:dyDescent="0.25">
      <c r="B564">
        <v>5262</v>
      </c>
      <c r="C564">
        <v>213</v>
      </c>
      <c r="D564">
        <v>94</v>
      </c>
      <c r="E564">
        <v>8</v>
      </c>
      <c r="F564">
        <v>0</v>
      </c>
      <c r="G564">
        <v>30</v>
      </c>
      <c r="H564">
        <v>0</v>
      </c>
      <c r="I564">
        <v>0</v>
      </c>
      <c r="J564">
        <v>30</v>
      </c>
      <c r="K564" t="s">
        <v>245</v>
      </c>
    </row>
    <row r="565" spans="2:11" x14ac:dyDescent="0.25">
      <c r="B565">
        <v>5265</v>
      </c>
      <c r="C565">
        <v>197</v>
      </c>
      <c r="D565">
        <v>86</v>
      </c>
      <c r="E565">
        <v>10</v>
      </c>
      <c r="F565">
        <v>12</v>
      </c>
      <c r="G565">
        <v>10</v>
      </c>
      <c r="H565">
        <v>0</v>
      </c>
      <c r="I565">
        <v>0</v>
      </c>
      <c r="J565">
        <v>22</v>
      </c>
      <c r="K565" t="s">
        <v>246</v>
      </c>
    </row>
    <row r="566" spans="2:11" x14ac:dyDescent="0.25">
      <c r="B566">
        <v>5267</v>
      </c>
      <c r="C566">
        <v>45</v>
      </c>
      <c r="D566">
        <v>23</v>
      </c>
      <c r="E566">
        <v>18</v>
      </c>
      <c r="F566">
        <v>8</v>
      </c>
      <c r="G566">
        <v>2</v>
      </c>
      <c r="H566">
        <v>0</v>
      </c>
      <c r="I566">
        <v>0</v>
      </c>
      <c r="J566">
        <v>10</v>
      </c>
      <c r="K566" t="s">
        <v>247</v>
      </c>
    </row>
    <row r="567" spans="2:11" x14ac:dyDescent="0.25">
      <c r="B567">
        <v>624</v>
      </c>
      <c r="C567">
        <v>80</v>
      </c>
      <c r="D567">
        <v>38</v>
      </c>
      <c r="E567">
        <v>4</v>
      </c>
      <c r="F567">
        <v>3</v>
      </c>
      <c r="G567">
        <v>7</v>
      </c>
      <c r="H567">
        <v>0</v>
      </c>
      <c r="I567">
        <v>0</v>
      </c>
      <c r="J567">
        <v>10</v>
      </c>
      <c r="K567" t="s">
        <v>247</v>
      </c>
    </row>
    <row r="568" spans="2:11" x14ac:dyDescent="0.25">
      <c r="B568">
        <v>625</v>
      </c>
      <c r="C568">
        <v>346</v>
      </c>
      <c r="D568">
        <v>155</v>
      </c>
      <c r="E568">
        <v>3</v>
      </c>
      <c r="F568">
        <v>14</v>
      </c>
      <c r="G568">
        <v>11</v>
      </c>
      <c r="H568">
        <v>0</v>
      </c>
      <c r="I568">
        <v>0</v>
      </c>
      <c r="J568">
        <v>25</v>
      </c>
      <c r="K568" t="s">
        <v>242</v>
      </c>
    </row>
    <row r="569" spans="2:11" x14ac:dyDescent="0.25">
      <c r="B569">
        <v>626</v>
      </c>
      <c r="C569">
        <v>350</v>
      </c>
      <c r="D569">
        <v>157</v>
      </c>
      <c r="E569">
        <v>3</v>
      </c>
      <c r="F569">
        <v>3</v>
      </c>
      <c r="G569">
        <v>8</v>
      </c>
      <c r="H569">
        <v>0</v>
      </c>
      <c r="I569">
        <v>0</v>
      </c>
      <c r="J569">
        <v>11</v>
      </c>
      <c r="K569" t="s">
        <v>245</v>
      </c>
    </row>
    <row r="570" spans="2:11" x14ac:dyDescent="0.25">
      <c r="B570">
        <v>627</v>
      </c>
      <c r="C570">
        <v>21</v>
      </c>
      <c r="D570">
        <v>10</v>
      </c>
      <c r="E570">
        <v>4</v>
      </c>
      <c r="F570">
        <v>8</v>
      </c>
      <c r="G570">
        <v>6</v>
      </c>
      <c r="H570">
        <v>0</v>
      </c>
      <c r="I570">
        <v>0</v>
      </c>
      <c r="J570">
        <v>14</v>
      </c>
      <c r="K570" t="s">
        <v>247</v>
      </c>
    </row>
    <row r="571" spans="2:11" x14ac:dyDescent="0.25">
      <c r="B571">
        <v>628</v>
      </c>
      <c r="C571">
        <v>345</v>
      </c>
      <c r="D571">
        <v>155</v>
      </c>
      <c r="E571">
        <v>3</v>
      </c>
      <c r="F571">
        <v>11</v>
      </c>
      <c r="G571">
        <v>4</v>
      </c>
      <c r="H571">
        <v>0</v>
      </c>
      <c r="I571">
        <v>0</v>
      </c>
      <c r="J571">
        <v>15</v>
      </c>
      <c r="K571" t="s">
        <v>242</v>
      </c>
    </row>
    <row r="572" spans="2:11" x14ac:dyDescent="0.25">
      <c r="B572">
        <v>629</v>
      </c>
      <c r="C572">
        <v>62</v>
      </c>
      <c r="D572">
        <v>33</v>
      </c>
      <c r="E572">
        <v>4</v>
      </c>
      <c r="F572">
        <v>14</v>
      </c>
      <c r="G572">
        <v>16</v>
      </c>
      <c r="H572">
        <v>0</v>
      </c>
      <c r="I572">
        <v>0</v>
      </c>
      <c r="J572">
        <v>30</v>
      </c>
      <c r="K572" t="s">
        <v>248</v>
      </c>
    </row>
    <row r="573" spans="2:11" x14ac:dyDescent="0.25">
      <c r="B573">
        <v>630</v>
      </c>
      <c r="C573">
        <v>297</v>
      </c>
      <c r="D573">
        <v>136</v>
      </c>
      <c r="E573">
        <v>4</v>
      </c>
      <c r="F573">
        <v>7</v>
      </c>
      <c r="G573">
        <v>8</v>
      </c>
      <c r="H573">
        <v>1</v>
      </c>
      <c r="I573">
        <v>0</v>
      </c>
      <c r="J573">
        <v>16</v>
      </c>
      <c r="K573" t="s">
        <v>247</v>
      </c>
    </row>
    <row r="574" spans="2:11" x14ac:dyDescent="0.25">
      <c r="B574">
        <v>631</v>
      </c>
      <c r="C574">
        <v>276</v>
      </c>
      <c r="D574">
        <v>127</v>
      </c>
      <c r="E574">
        <v>3</v>
      </c>
      <c r="F574">
        <v>2</v>
      </c>
      <c r="G574">
        <v>4</v>
      </c>
      <c r="H574">
        <v>0</v>
      </c>
      <c r="I574">
        <v>0</v>
      </c>
      <c r="J574">
        <v>6</v>
      </c>
      <c r="K574" t="s">
        <v>243</v>
      </c>
    </row>
    <row r="575" spans="2:11" x14ac:dyDescent="0.25">
      <c r="B575">
        <v>632</v>
      </c>
      <c r="C575">
        <v>288</v>
      </c>
      <c r="D575">
        <v>134</v>
      </c>
      <c r="E575">
        <v>4</v>
      </c>
      <c r="F575">
        <v>14</v>
      </c>
      <c r="G575">
        <v>3</v>
      </c>
      <c r="H575">
        <v>0</v>
      </c>
      <c r="I575">
        <v>0</v>
      </c>
      <c r="J575">
        <v>17</v>
      </c>
      <c r="K575" t="s">
        <v>247</v>
      </c>
    </row>
    <row r="576" spans="2:11" x14ac:dyDescent="0.25">
      <c r="B576">
        <v>633</v>
      </c>
      <c r="C576">
        <v>349</v>
      </c>
      <c r="D576">
        <v>156</v>
      </c>
      <c r="E576">
        <v>3</v>
      </c>
      <c r="F576">
        <v>11</v>
      </c>
      <c r="G576">
        <v>4</v>
      </c>
      <c r="H576">
        <v>1</v>
      </c>
      <c r="I576">
        <v>0</v>
      </c>
      <c r="J576">
        <v>16</v>
      </c>
      <c r="K576" t="s">
        <v>245</v>
      </c>
    </row>
    <row r="577" spans="2:11" x14ac:dyDescent="0.25">
      <c r="B577">
        <v>634</v>
      </c>
      <c r="C577">
        <v>169</v>
      </c>
      <c r="D577">
        <v>73</v>
      </c>
      <c r="E577">
        <v>4</v>
      </c>
      <c r="F577">
        <v>8</v>
      </c>
      <c r="G577">
        <v>10</v>
      </c>
      <c r="H577">
        <v>0</v>
      </c>
      <c r="I577">
        <v>0</v>
      </c>
      <c r="J577">
        <v>18</v>
      </c>
      <c r="K577" t="s">
        <v>241</v>
      </c>
    </row>
    <row r="578" spans="2:11" x14ac:dyDescent="0.25">
      <c r="B578">
        <v>635</v>
      </c>
      <c r="C578">
        <v>145</v>
      </c>
      <c r="D578">
        <v>65</v>
      </c>
      <c r="E578">
        <v>4</v>
      </c>
      <c r="F578">
        <v>12</v>
      </c>
      <c r="G578">
        <v>7</v>
      </c>
      <c r="H578">
        <v>0</v>
      </c>
      <c r="I578">
        <v>0</v>
      </c>
      <c r="J578">
        <v>19</v>
      </c>
      <c r="K578" t="s">
        <v>248</v>
      </c>
    </row>
    <row r="579" spans="2:11" x14ac:dyDescent="0.25">
      <c r="B579">
        <v>636</v>
      </c>
      <c r="C579">
        <v>291</v>
      </c>
      <c r="D579">
        <v>135</v>
      </c>
      <c r="E579">
        <v>4</v>
      </c>
      <c r="F579">
        <v>17</v>
      </c>
      <c r="G579">
        <v>3</v>
      </c>
      <c r="H579">
        <v>0</v>
      </c>
      <c r="I579">
        <v>0</v>
      </c>
      <c r="J579">
        <v>20</v>
      </c>
      <c r="K579" t="s">
        <v>242</v>
      </c>
    </row>
    <row r="580" spans="2:11" x14ac:dyDescent="0.25">
      <c r="B580">
        <v>637</v>
      </c>
      <c r="C580">
        <v>150</v>
      </c>
      <c r="D580">
        <v>69</v>
      </c>
      <c r="E580">
        <v>4</v>
      </c>
      <c r="F580">
        <v>9</v>
      </c>
      <c r="G580">
        <v>10</v>
      </c>
      <c r="H580">
        <v>2</v>
      </c>
      <c r="I580">
        <v>0</v>
      </c>
      <c r="J580">
        <v>21</v>
      </c>
      <c r="K580" t="s">
        <v>248</v>
      </c>
    </row>
    <row r="581" spans="2:11" x14ac:dyDescent="0.25">
      <c r="B581">
        <v>640</v>
      </c>
      <c r="C581">
        <v>348</v>
      </c>
      <c r="D581">
        <v>155</v>
      </c>
      <c r="E581">
        <v>3</v>
      </c>
      <c r="F581">
        <v>12</v>
      </c>
      <c r="G581">
        <v>11</v>
      </c>
      <c r="H581">
        <v>1</v>
      </c>
      <c r="I581">
        <v>0</v>
      </c>
      <c r="J581">
        <v>24</v>
      </c>
      <c r="K581" t="s">
        <v>245</v>
      </c>
    </row>
    <row r="582" spans="2:11" x14ac:dyDescent="0.25">
      <c r="B582">
        <v>641</v>
      </c>
      <c r="C582">
        <v>300</v>
      </c>
      <c r="D582">
        <v>138</v>
      </c>
      <c r="E582">
        <v>4</v>
      </c>
      <c r="F582">
        <v>8</v>
      </c>
      <c r="G582">
        <v>6</v>
      </c>
      <c r="H582">
        <v>0</v>
      </c>
      <c r="I582">
        <v>0</v>
      </c>
      <c r="J582">
        <v>14</v>
      </c>
      <c r="K582" t="s">
        <v>242</v>
      </c>
    </row>
    <row r="583" spans="2:11" x14ac:dyDescent="0.25">
      <c r="B583">
        <v>642</v>
      </c>
      <c r="C583">
        <v>276</v>
      </c>
      <c r="D583">
        <v>127</v>
      </c>
      <c r="E583">
        <v>4</v>
      </c>
      <c r="F583">
        <v>3</v>
      </c>
      <c r="G583">
        <v>7</v>
      </c>
      <c r="H583">
        <v>1</v>
      </c>
      <c r="I583">
        <v>0</v>
      </c>
      <c r="J583">
        <v>11</v>
      </c>
      <c r="K583" t="s">
        <v>241</v>
      </c>
    </row>
    <row r="584" spans="2:11" x14ac:dyDescent="0.25">
      <c r="B584">
        <v>645</v>
      </c>
      <c r="C584">
        <v>250</v>
      </c>
      <c r="D584">
        <v>112</v>
      </c>
      <c r="E584">
        <v>4</v>
      </c>
      <c r="F584">
        <v>9</v>
      </c>
      <c r="G584">
        <v>3</v>
      </c>
      <c r="H584">
        <v>4</v>
      </c>
      <c r="I584">
        <v>0</v>
      </c>
      <c r="J584">
        <v>16</v>
      </c>
      <c r="K584" t="s">
        <v>246</v>
      </c>
    </row>
    <row r="585" spans="2:11" x14ac:dyDescent="0.25">
      <c r="B585">
        <v>646</v>
      </c>
      <c r="C585">
        <v>289</v>
      </c>
      <c r="D585">
        <v>135</v>
      </c>
      <c r="E585">
        <v>4</v>
      </c>
      <c r="F585">
        <v>15</v>
      </c>
      <c r="G585">
        <v>5</v>
      </c>
      <c r="H585">
        <v>0</v>
      </c>
      <c r="I585">
        <v>0</v>
      </c>
      <c r="J585">
        <v>20</v>
      </c>
      <c r="K585" t="s">
        <v>248</v>
      </c>
    </row>
    <row r="586" spans="2:11" x14ac:dyDescent="0.25">
      <c r="B586">
        <v>647</v>
      </c>
      <c r="C586">
        <v>249</v>
      </c>
      <c r="D586">
        <v>112</v>
      </c>
      <c r="E586">
        <v>4</v>
      </c>
      <c r="F586">
        <v>5</v>
      </c>
      <c r="G586">
        <v>15</v>
      </c>
      <c r="H586">
        <v>10</v>
      </c>
      <c r="I586">
        <v>0</v>
      </c>
      <c r="J586">
        <v>5</v>
      </c>
      <c r="K586" t="s">
        <v>241</v>
      </c>
    </row>
    <row r="587" spans="2:11" x14ac:dyDescent="0.25">
      <c r="B587">
        <v>648</v>
      </c>
      <c r="C587">
        <v>20</v>
      </c>
      <c r="D587">
        <v>10</v>
      </c>
      <c r="E587">
        <v>4</v>
      </c>
      <c r="F587">
        <v>12</v>
      </c>
      <c r="G587">
        <v>5</v>
      </c>
      <c r="H587">
        <v>0</v>
      </c>
      <c r="I587">
        <v>0</v>
      </c>
      <c r="J587">
        <v>17</v>
      </c>
      <c r="K587" t="s">
        <v>246</v>
      </c>
    </row>
    <row r="588" spans="2:11" x14ac:dyDescent="0.25">
      <c r="B588">
        <v>649</v>
      </c>
      <c r="C588">
        <v>27</v>
      </c>
      <c r="D588">
        <v>14</v>
      </c>
      <c r="E588">
        <v>5</v>
      </c>
      <c r="F588">
        <v>3</v>
      </c>
      <c r="G588">
        <v>1</v>
      </c>
      <c r="H588">
        <v>2</v>
      </c>
      <c r="I588">
        <v>0</v>
      </c>
      <c r="J588">
        <v>6</v>
      </c>
      <c r="K588" t="s">
        <v>248</v>
      </c>
    </row>
    <row r="589" spans="2:11" x14ac:dyDescent="0.25">
      <c r="B589">
        <v>650</v>
      </c>
      <c r="C589">
        <v>27</v>
      </c>
      <c r="D589">
        <v>14</v>
      </c>
      <c r="E589">
        <v>4</v>
      </c>
      <c r="F589">
        <v>11</v>
      </c>
      <c r="G589">
        <v>2</v>
      </c>
      <c r="H589">
        <v>5</v>
      </c>
      <c r="I589">
        <v>0</v>
      </c>
      <c r="J589">
        <v>18</v>
      </c>
      <c r="K589" t="s">
        <v>248</v>
      </c>
    </row>
    <row r="590" spans="2:11" x14ac:dyDescent="0.25">
      <c r="B590">
        <v>651</v>
      </c>
      <c r="C590">
        <v>237</v>
      </c>
      <c r="D590">
        <v>104</v>
      </c>
      <c r="E590">
        <v>4</v>
      </c>
      <c r="F590">
        <v>15</v>
      </c>
      <c r="G590">
        <v>15</v>
      </c>
      <c r="H590">
        <v>0</v>
      </c>
      <c r="I590">
        <v>0</v>
      </c>
      <c r="J590">
        <v>30</v>
      </c>
      <c r="K590" t="s">
        <v>246</v>
      </c>
    </row>
    <row r="591" spans="2:11" x14ac:dyDescent="0.25">
      <c r="B591">
        <v>655</v>
      </c>
      <c r="C591">
        <v>137</v>
      </c>
      <c r="D591">
        <v>60</v>
      </c>
      <c r="E591">
        <v>4</v>
      </c>
      <c r="F591">
        <v>12</v>
      </c>
      <c r="G591">
        <v>8</v>
      </c>
      <c r="H591">
        <v>5</v>
      </c>
      <c r="I591">
        <v>0</v>
      </c>
      <c r="J591">
        <v>25</v>
      </c>
      <c r="K591" t="s">
        <v>249</v>
      </c>
    </row>
    <row r="592" spans="2:11" x14ac:dyDescent="0.25">
      <c r="B592">
        <v>657</v>
      </c>
      <c r="C592">
        <v>243</v>
      </c>
      <c r="D592">
        <v>108</v>
      </c>
      <c r="E592">
        <v>4</v>
      </c>
      <c r="F592">
        <v>2</v>
      </c>
      <c r="G592">
        <v>0</v>
      </c>
      <c r="H592">
        <v>2</v>
      </c>
      <c r="I592">
        <v>0</v>
      </c>
      <c r="J592">
        <v>4</v>
      </c>
      <c r="K592" t="s">
        <v>247</v>
      </c>
    </row>
    <row r="593" spans="2:11" x14ac:dyDescent="0.25">
      <c r="B593">
        <v>658</v>
      </c>
      <c r="C593">
        <v>242</v>
      </c>
      <c r="D593">
        <v>107</v>
      </c>
      <c r="E593">
        <v>4</v>
      </c>
      <c r="F593">
        <v>6</v>
      </c>
      <c r="G593">
        <v>12</v>
      </c>
      <c r="H593">
        <v>2</v>
      </c>
      <c r="I593">
        <v>0</v>
      </c>
      <c r="J593">
        <v>20</v>
      </c>
      <c r="K593" t="s">
        <v>247</v>
      </c>
    </row>
    <row r="594" spans="2:11" x14ac:dyDescent="0.25">
      <c r="B594">
        <v>659</v>
      </c>
      <c r="C594">
        <v>107</v>
      </c>
      <c r="D594">
        <v>51</v>
      </c>
      <c r="E594">
        <v>4</v>
      </c>
      <c r="F594">
        <v>11</v>
      </c>
      <c r="G594">
        <v>8</v>
      </c>
      <c r="H594">
        <v>3</v>
      </c>
      <c r="I594">
        <v>0</v>
      </c>
      <c r="J594">
        <v>22</v>
      </c>
      <c r="K594" t="s">
        <v>243</v>
      </c>
    </row>
    <row r="595" spans="2:11" x14ac:dyDescent="0.25">
      <c r="B595">
        <v>661</v>
      </c>
      <c r="C595">
        <v>262</v>
      </c>
      <c r="D595">
        <v>118</v>
      </c>
      <c r="E595">
        <v>4</v>
      </c>
      <c r="F595">
        <v>11</v>
      </c>
      <c r="G595">
        <v>47</v>
      </c>
      <c r="H595">
        <v>4</v>
      </c>
      <c r="I595">
        <v>0</v>
      </c>
      <c r="J595">
        <v>62</v>
      </c>
      <c r="K595" t="s">
        <v>249</v>
      </c>
    </row>
    <row r="596" spans="2:11" x14ac:dyDescent="0.25">
      <c r="B596">
        <v>662</v>
      </c>
      <c r="C596">
        <v>294</v>
      </c>
      <c r="D596">
        <v>136</v>
      </c>
      <c r="E596">
        <v>4</v>
      </c>
      <c r="F596">
        <v>14</v>
      </c>
      <c r="G596">
        <v>0</v>
      </c>
      <c r="H596">
        <v>0</v>
      </c>
      <c r="I596">
        <v>0</v>
      </c>
      <c r="J596">
        <v>14</v>
      </c>
      <c r="K596" t="s">
        <v>248</v>
      </c>
    </row>
    <row r="597" spans="2:11" x14ac:dyDescent="0.25">
      <c r="B597">
        <v>663</v>
      </c>
      <c r="C597">
        <v>341</v>
      </c>
      <c r="D597">
        <v>152</v>
      </c>
      <c r="E597">
        <v>4</v>
      </c>
      <c r="F597">
        <v>20</v>
      </c>
      <c r="G597">
        <v>10</v>
      </c>
      <c r="H597">
        <v>0</v>
      </c>
      <c r="I597">
        <v>0</v>
      </c>
      <c r="J597">
        <v>30</v>
      </c>
      <c r="K597" t="s">
        <v>246</v>
      </c>
    </row>
    <row r="598" spans="2:11" x14ac:dyDescent="0.25">
      <c r="B598">
        <v>664</v>
      </c>
      <c r="C598">
        <v>166</v>
      </c>
      <c r="D598">
        <v>71</v>
      </c>
      <c r="E598">
        <v>4</v>
      </c>
      <c r="F598">
        <v>3</v>
      </c>
      <c r="G598">
        <v>13</v>
      </c>
      <c r="H598">
        <v>0</v>
      </c>
      <c r="I598">
        <v>0</v>
      </c>
      <c r="J598">
        <v>16</v>
      </c>
      <c r="K598" t="s">
        <v>243</v>
      </c>
    </row>
    <row r="599" spans="2:11" x14ac:dyDescent="0.25">
      <c r="B599">
        <v>665</v>
      </c>
      <c r="C599">
        <v>106</v>
      </c>
      <c r="D599">
        <v>51</v>
      </c>
      <c r="E599">
        <v>4</v>
      </c>
      <c r="F599">
        <v>20</v>
      </c>
      <c r="G599">
        <v>11</v>
      </c>
      <c r="H599">
        <v>0</v>
      </c>
      <c r="I599">
        <v>0</v>
      </c>
      <c r="J599">
        <v>31</v>
      </c>
      <c r="K599" t="s">
        <v>249</v>
      </c>
    </row>
    <row r="600" spans="2:11" x14ac:dyDescent="0.25">
      <c r="B600">
        <v>666</v>
      </c>
      <c r="C600">
        <v>324</v>
      </c>
      <c r="D600">
        <v>150</v>
      </c>
      <c r="E600">
        <v>4</v>
      </c>
      <c r="F600">
        <v>3</v>
      </c>
      <c r="G600">
        <v>10</v>
      </c>
      <c r="H600">
        <v>0</v>
      </c>
      <c r="I600">
        <v>0</v>
      </c>
      <c r="J600">
        <v>13</v>
      </c>
      <c r="K600" t="s">
        <v>241</v>
      </c>
    </row>
    <row r="601" spans="2:11" x14ac:dyDescent="0.25">
      <c r="B601">
        <v>667</v>
      </c>
      <c r="C601">
        <v>97</v>
      </c>
      <c r="D601">
        <v>48</v>
      </c>
      <c r="E601">
        <v>4</v>
      </c>
      <c r="F601">
        <v>5</v>
      </c>
      <c r="G601">
        <v>3</v>
      </c>
      <c r="H601">
        <v>0</v>
      </c>
      <c r="I601">
        <v>0</v>
      </c>
      <c r="J601">
        <v>8</v>
      </c>
      <c r="K601" t="s">
        <v>243</v>
      </c>
    </row>
    <row r="602" spans="2:11" x14ac:dyDescent="0.25">
      <c r="B602">
        <v>669</v>
      </c>
      <c r="C602">
        <v>313</v>
      </c>
      <c r="D602">
        <v>144</v>
      </c>
      <c r="E602">
        <v>4</v>
      </c>
      <c r="F602">
        <v>8</v>
      </c>
      <c r="G602">
        <v>10</v>
      </c>
      <c r="H602">
        <v>0</v>
      </c>
      <c r="I602">
        <v>0</v>
      </c>
      <c r="J602">
        <v>18</v>
      </c>
      <c r="K602" t="s">
        <v>241</v>
      </c>
    </row>
    <row r="603" spans="2:11" x14ac:dyDescent="0.25">
      <c r="B603">
        <v>670</v>
      </c>
      <c r="C603">
        <v>340</v>
      </c>
      <c r="D603">
        <v>152</v>
      </c>
      <c r="E603">
        <v>4</v>
      </c>
      <c r="F603">
        <v>9</v>
      </c>
      <c r="G603">
        <v>9</v>
      </c>
      <c r="H603">
        <v>0</v>
      </c>
      <c r="I603">
        <v>0</v>
      </c>
      <c r="J603">
        <v>18</v>
      </c>
      <c r="K603" t="s">
        <v>241</v>
      </c>
    </row>
    <row r="604" spans="2:11" x14ac:dyDescent="0.25">
      <c r="B604">
        <v>671</v>
      </c>
      <c r="C604">
        <v>339</v>
      </c>
      <c r="D604">
        <v>152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241</v>
      </c>
    </row>
    <row r="605" spans="2:11" x14ac:dyDescent="0.25">
      <c r="B605">
        <v>672</v>
      </c>
      <c r="C605">
        <v>327</v>
      </c>
      <c r="D605">
        <v>152</v>
      </c>
      <c r="E605">
        <v>5</v>
      </c>
      <c r="F605">
        <v>24</v>
      </c>
      <c r="G605">
        <v>6</v>
      </c>
      <c r="H605">
        <v>0</v>
      </c>
      <c r="I605">
        <v>0</v>
      </c>
      <c r="J605">
        <v>30</v>
      </c>
      <c r="K605" t="s">
        <v>241</v>
      </c>
    </row>
    <row r="606" spans="2:11" x14ac:dyDescent="0.25">
      <c r="B606">
        <v>676</v>
      </c>
      <c r="C606">
        <v>15</v>
      </c>
      <c r="D606">
        <v>6</v>
      </c>
      <c r="E606">
        <v>4</v>
      </c>
      <c r="F606">
        <v>12</v>
      </c>
      <c r="G606">
        <v>4</v>
      </c>
      <c r="H606">
        <v>0</v>
      </c>
      <c r="I606">
        <v>0</v>
      </c>
      <c r="J606">
        <v>16</v>
      </c>
      <c r="K606" t="s">
        <v>245</v>
      </c>
    </row>
    <row r="607" spans="2:11" x14ac:dyDescent="0.25">
      <c r="B607">
        <v>677</v>
      </c>
      <c r="C607">
        <v>136</v>
      </c>
      <c r="D607">
        <v>60</v>
      </c>
      <c r="E607">
        <v>5</v>
      </c>
      <c r="F607">
        <v>10</v>
      </c>
      <c r="G607">
        <v>5</v>
      </c>
      <c r="H607">
        <v>5</v>
      </c>
      <c r="I607">
        <v>0</v>
      </c>
      <c r="J607">
        <v>20</v>
      </c>
      <c r="K607" t="s">
        <v>242</v>
      </c>
    </row>
    <row r="608" spans="2:11" x14ac:dyDescent="0.25">
      <c r="B608">
        <v>678</v>
      </c>
      <c r="C608">
        <v>65</v>
      </c>
      <c r="D608">
        <v>35</v>
      </c>
      <c r="E608">
        <v>4</v>
      </c>
      <c r="F608">
        <v>17</v>
      </c>
      <c r="G608">
        <v>7</v>
      </c>
      <c r="H608">
        <v>3</v>
      </c>
      <c r="I608">
        <v>0</v>
      </c>
      <c r="J608">
        <v>27</v>
      </c>
      <c r="K608" t="s">
        <v>245</v>
      </c>
    </row>
    <row r="609" spans="2:11" x14ac:dyDescent="0.25">
      <c r="B609">
        <v>679</v>
      </c>
      <c r="C609">
        <v>153</v>
      </c>
      <c r="D609">
        <v>69</v>
      </c>
      <c r="E609">
        <v>5</v>
      </c>
      <c r="F609">
        <v>5</v>
      </c>
      <c r="G609">
        <v>8</v>
      </c>
      <c r="H609">
        <v>0</v>
      </c>
      <c r="I609">
        <v>0</v>
      </c>
      <c r="J609">
        <v>13</v>
      </c>
      <c r="K609" t="s">
        <v>242</v>
      </c>
    </row>
    <row r="610" spans="2:11" x14ac:dyDescent="0.25">
      <c r="B610">
        <v>680</v>
      </c>
      <c r="C610">
        <v>42</v>
      </c>
      <c r="D610">
        <v>21</v>
      </c>
      <c r="E610">
        <v>4</v>
      </c>
      <c r="F610">
        <v>11</v>
      </c>
      <c r="G610">
        <v>4</v>
      </c>
      <c r="H610">
        <v>1</v>
      </c>
      <c r="I610">
        <v>0</v>
      </c>
      <c r="J610">
        <v>16</v>
      </c>
      <c r="K610" t="s">
        <v>245</v>
      </c>
    </row>
    <row r="611" spans="2:11" x14ac:dyDescent="0.25">
      <c r="B611">
        <v>681</v>
      </c>
      <c r="C611">
        <v>331</v>
      </c>
      <c r="D611">
        <v>152</v>
      </c>
      <c r="E611">
        <v>5</v>
      </c>
      <c r="F611">
        <v>7</v>
      </c>
      <c r="G611">
        <v>7</v>
      </c>
      <c r="H611">
        <v>2</v>
      </c>
      <c r="I611">
        <v>0</v>
      </c>
      <c r="J611">
        <v>16</v>
      </c>
      <c r="K611" t="s">
        <v>243</v>
      </c>
    </row>
    <row r="612" spans="2:11" x14ac:dyDescent="0.25">
      <c r="B612">
        <v>683</v>
      </c>
      <c r="C612">
        <v>107</v>
      </c>
      <c r="D612">
        <v>51</v>
      </c>
      <c r="E612">
        <v>3</v>
      </c>
      <c r="F612">
        <v>13</v>
      </c>
      <c r="G612">
        <v>12</v>
      </c>
      <c r="H612">
        <v>2</v>
      </c>
      <c r="I612">
        <v>0</v>
      </c>
      <c r="J612">
        <v>27</v>
      </c>
      <c r="K612" t="s">
        <v>245</v>
      </c>
    </row>
    <row r="613" spans="2:11" x14ac:dyDescent="0.25">
      <c r="B613">
        <v>684</v>
      </c>
      <c r="C613">
        <v>31</v>
      </c>
      <c r="D613">
        <v>17</v>
      </c>
      <c r="E613">
        <v>5</v>
      </c>
      <c r="F613">
        <v>5</v>
      </c>
      <c r="G613">
        <v>4</v>
      </c>
      <c r="H613">
        <v>0</v>
      </c>
      <c r="I613">
        <v>0</v>
      </c>
      <c r="J613">
        <v>9</v>
      </c>
      <c r="K613" t="s">
        <v>243</v>
      </c>
    </row>
    <row r="614" spans="2:11" x14ac:dyDescent="0.25">
      <c r="B614">
        <v>686</v>
      </c>
      <c r="C614">
        <v>139</v>
      </c>
      <c r="D614">
        <v>61</v>
      </c>
      <c r="E614">
        <v>5</v>
      </c>
      <c r="F614">
        <v>10</v>
      </c>
      <c r="G614">
        <v>4</v>
      </c>
      <c r="H614">
        <v>0</v>
      </c>
      <c r="I614">
        <v>0</v>
      </c>
      <c r="J614">
        <v>14</v>
      </c>
      <c r="K614" t="s">
        <v>243</v>
      </c>
    </row>
    <row r="615" spans="2:11" x14ac:dyDescent="0.25">
      <c r="B615">
        <v>687</v>
      </c>
      <c r="C615">
        <v>326</v>
      </c>
      <c r="D615">
        <v>151</v>
      </c>
      <c r="E615">
        <v>5</v>
      </c>
      <c r="F615">
        <v>16</v>
      </c>
      <c r="G615">
        <v>7</v>
      </c>
      <c r="H615">
        <v>0</v>
      </c>
      <c r="I615">
        <v>0</v>
      </c>
      <c r="J615">
        <v>23</v>
      </c>
      <c r="K615" t="s">
        <v>242</v>
      </c>
    </row>
    <row r="616" spans="2:11" x14ac:dyDescent="0.25">
      <c r="B616">
        <v>688</v>
      </c>
      <c r="C616">
        <v>160</v>
      </c>
      <c r="D616">
        <v>69</v>
      </c>
      <c r="E616">
        <v>5</v>
      </c>
      <c r="F616">
        <v>1</v>
      </c>
      <c r="G616">
        <v>19</v>
      </c>
      <c r="H616">
        <v>0</v>
      </c>
      <c r="I616">
        <v>0</v>
      </c>
      <c r="J616">
        <v>20</v>
      </c>
      <c r="K616" t="s">
        <v>243</v>
      </c>
    </row>
    <row r="617" spans="2:11" x14ac:dyDescent="0.25">
      <c r="B617">
        <v>689</v>
      </c>
      <c r="C617">
        <v>279</v>
      </c>
      <c r="D617">
        <v>129</v>
      </c>
      <c r="E617">
        <v>3</v>
      </c>
      <c r="F617">
        <v>6</v>
      </c>
      <c r="G617">
        <v>19</v>
      </c>
      <c r="H617">
        <v>2</v>
      </c>
      <c r="I617">
        <v>0</v>
      </c>
      <c r="J617">
        <v>27</v>
      </c>
      <c r="K617" t="s">
        <v>247</v>
      </c>
    </row>
    <row r="618" spans="2:11" x14ac:dyDescent="0.25">
      <c r="B618">
        <v>690</v>
      </c>
      <c r="C618">
        <v>325</v>
      </c>
      <c r="D618">
        <v>151</v>
      </c>
      <c r="E618">
        <v>5</v>
      </c>
      <c r="F618">
        <v>11</v>
      </c>
      <c r="G618">
        <v>6</v>
      </c>
      <c r="H618">
        <v>0</v>
      </c>
      <c r="I618">
        <v>0</v>
      </c>
      <c r="J618">
        <v>17</v>
      </c>
      <c r="K618" t="s">
        <v>242</v>
      </c>
    </row>
    <row r="619" spans="2:11" x14ac:dyDescent="0.25">
      <c r="B619">
        <v>691</v>
      </c>
      <c r="C619">
        <v>122</v>
      </c>
      <c r="D619">
        <v>55</v>
      </c>
      <c r="E619">
        <v>3</v>
      </c>
      <c r="F619">
        <v>5</v>
      </c>
      <c r="G619">
        <v>3</v>
      </c>
      <c r="H619">
        <v>0</v>
      </c>
      <c r="I619">
        <v>0</v>
      </c>
      <c r="J619">
        <v>8</v>
      </c>
      <c r="K619" t="s">
        <v>247</v>
      </c>
    </row>
    <row r="620" spans="2:11" x14ac:dyDescent="0.25">
      <c r="B620">
        <v>692</v>
      </c>
      <c r="C620">
        <v>345</v>
      </c>
      <c r="D620">
        <v>155</v>
      </c>
      <c r="E620">
        <v>4</v>
      </c>
      <c r="F620">
        <v>8</v>
      </c>
      <c r="G620">
        <v>12</v>
      </c>
      <c r="H620">
        <v>0</v>
      </c>
      <c r="I620">
        <v>0</v>
      </c>
      <c r="J620">
        <v>20</v>
      </c>
      <c r="K620" t="s">
        <v>241</v>
      </c>
    </row>
    <row r="621" spans="2:11" x14ac:dyDescent="0.25">
      <c r="B621">
        <v>696</v>
      </c>
      <c r="C621">
        <v>123</v>
      </c>
      <c r="D621">
        <v>56</v>
      </c>
      <c r="E621">
        <v>4</v>
      </c>
      <c r="F621">
        <v>8</v>
      </c>
      <c r="G621">
        <v>6</v>
      </c>
      <c r="H621">
        <v>0</v>
      </c>
      <c r="I621">
        <v>0</v>
      </c>
      <c r="J621">
        <v>14</v>
      </c>
      <c r="K621" t="s">
        <v>246</v>
      </c>
    </row>
    <row r="622" spans="2:11" x14ac:dyDescent="0.25">
      <c r="B622">
        <v>4501</v>
      </c>
      <c r="C622">
        <v>302</v>
      </c>
      <c r="D622">
        <v>140</v>
      </c>
      <c r="E622">
        <v>17</v>
      </c>
      <c r="F622">
        <v>9</v>
      </c>
      <c r="G622">
        <v>7</v>
      </c>
      <c r="H622">
        <v>1</v>
      </c>
      <c r="I622">
        <v>0</v>
      </c>
      <c r="J622">
        <v>17</v>
      </c>
      <c r="K622" t="s">
        <v>245</v>
      </c>
    </row>
    <row r="623" spans="2:11" x14ac:dyDescent="0.25">
      <c r="B623">
        <v>5256</v>
      </c>
      <c r="C623">
        <v>213</v>
      </c>
      <c r="D623">
        <v>94</v>
      </c>
      <c r="E623">
        <v>7</v>
      </c>
      <c r="F623">
        <v>2</v>
      </c>
      <c r="G623">
        <v>28</v>
      </c>
      <c r="H623">
        <v>0</v>
      </c>
      <c r="I623">
        <v>0</v>
      </c>
      <c r="J623">
        <v>30</v>
      </c>
      <c r="K623" t="s">
        <v>245</v>
      </c>
    </row>
    <row r="624" spans="2:11" x14ac:dyDescent="0.25">
      <c r="B624">
        <v>5266</v>
      </c>
      <c r="C624">
        <v>197</v>
      </c>
      <c r="D624">
        <v>86</v>
      </c>
      <c r="E624">
        <v>11</v>
      </c>
      <c r="F624">
        <v>11</v>
      </c>
      <c r="G624">
        <v>17</v>
      </c>
      <c r="H624">
        <v>0</v>
      </c>
      <c r="I624">
        <v>0</v>
      </c>
      <c r="J624">
        <v>28</v>
      </c>
      <c r="K624" t="s">
        <v>246</v>
      </c>
    </row>
    <row r="625" spans="2:11" x14ac:dyDescent="0.25">
      <c r="B625">
        <v>5270</v>
      </c>
      <c r="C625">
        <v>58</v>
      </c>
      <c r="D625">
        <v>29</v>
      </c>
      <c r="E625">
        <v>17</v>
      </c>
      <c r="F625">
        <v>5</v>
      </c>
      <c r="G625">
        <v>8</v>
      </c>
      <c r="H625">
        <v>0</v>
      </c>
      <c r="I625">
        <v>0</v>
      </c>
      <c r="J625">
        <v>13</v>
      </c>
      <c r="K625" t="s">
        <v>247</v>
      </c>
    </row>
    <row r="626" spans="2:11" x14ac:dyDescent="0.25">
      <c r="B626">
        <v>5260</v>
      </c>
      <c r="C626">
        <v>185</v>
      </c>
      <c r="D626">
        <v>81</v>
      </c>
      <c r="E626">
        <v>3</v>
      </c>
      <c r="F626">
        <v>3</v>
      </c>
      <c r="G626">
        <v>17</v>
      </c>
      <c r="H626">
        <v>0</v>
      </c>
      <c r="I626">
        <v>0</v>
      </c>
      <c r="J626">
        <v>20</v>
      </c>
      <c r="K626" t="s">
        <v>241</v>
      </c>
    </row>
    <row r="627" spans="2:11" x14ac:dyDescent="0.25">
      <c r="B627">
        <v>5269</v>
      </c>
      <c r="C627">
        <v>197</v>
      </c>
      <c r="D627">
        <v>86</v>
      </c>
      <c r="E627">
        <v>12</v>
      </c>
      <c r="F627">
        <v>11</v>
      </c>
      <c r="G627">
        <v>12</v>
      </c>
      <c r="H627">
        <v>3</v>
      </c>
      <c r="I627">
        <v>0</v>
      </c>
      <c r="J627">
        <v>26</v>
      </c>
      <c r="K627" t="s">
        <v>246</v>
      </c>
    </row>
    <row r="628" spans="2:11" x14ac:dyDescent="0.25">
      <c r="B628">
        <v>5268</v>
      </c>
      <c r="C628">
        <v>213</v>
      </c>
      <c r="D628">
        <v>94</v>
      </c>
      <c r="E628">
        <v>9</v>
      </c>
      <c r="F628">
        <v>1</v>
      </c>
      <c r="G628">
        <v>29</v>
      </c>
      <c r="H628">
        <v>0</v>
      </c>
      <c r="I628">
        <v>0</v>
      </c>
      <c r="J628">
        <v>30</v>
      </c>
      <c r="K628" t="s">
        <v>245</v>
      </c>
    </row>
    <row r="629" spans="2:11" x14ac:dyDescent="0.25">
      <c r="B629">
        <v>5274</v>
      </c>
      <c r="C629">
        <v>44</v>
      </c>
      <c r="D629">
        <v>22</v>
      </c>
      <c r="E629">
        <v>18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247</v>
      </c>
    </row>
    <row r="630" spans="2:11" x14ac:dyDescent="0.25">
      <c r="B630">
        <v>5271</v>
      </c>
      <c r="C630">
        <v>33</v>
      </c>
      <c r="D630">
        <v>17</v>
      </c>
      <c r="E630">
        <v>18</v>
      </c>
      <c r="F630">
        <v>13</v>
      </c>
      <c r="G630">
        <v>15</v>
      </c>
      <c r="H630">
        <v>0</v>
      </c>
      <c r="I630">
        <v>0</v>
      </c>
      <c r="J630">
        <v>28</v>
      </c>
      <c r="K630" t="s">
        <v>252</v>
      </c>
    </row>
    <row r="631" spans="2:11" x14ac:dyDescent="0.25">
      <c r="B631">
        <v>5273</v>
      </c>
      <c r="C631">
        <v>197</v>
      </c>
      <c r="D631">
        <v>86</v>
      </c>
      <c r="E631">
        <v>13</v>
      </c>
      <c r="F631">
        <v>7</v>
      </c>
      <c r="G631">
        <v>6</v>
      </c>
      <c r="H631">
        <v>0</v>
      </c>
      <c r="I631">
        <v>0</v>
      </c>
      <c r="J631">
        <v>13</v>
      </c>
      <c r="K631" t="s">
        <v>246</v>
      </c>
    </row>
    <row r="632" spans="2:11" x14ac:dyDescent="0.25">
      <c r="B632">
        <v>5272</v>
      </c>
      <c r="C632">
        <v>185</v>
      </c>
      <c r="D632">
        <v>81</v>
      </c>
      <c r="E632">
        <v>4</v>
      </c>
      <c r="F632">
        <v>5</v>
      </c>
      <c r="G632">
        <v>25</v>
      </c>
      <c r="H632">
        <v>0</v>
      </c>
      <c r="I632">
        <v>0</v>
      </c>
      <c r="J632">
        <v>30</v>
      </c>
      <c r="K632" t="s">
        <v>241</v>
      </c>
    </row>
    <row r="633" spans="2:11" x14ac:dyDescent="0.25">
      <c r="B633">
        <v>5275</v>
      </c>
      <c r="C633">
        <v>213</v>
      </c>
      <c r="D633">
        <v>94</v>
      </c>
      <c r="E633">
        <v>10</v>
      </c>
      <c r="F633">
        <v>2</v>
      </c>
      <c r="G633">
        <v>28</v>
      </c>
      <c r="H633">
        <v>0</v>
      </c>
      <c r="I633">
        <v>0</v>
      </c>
      <c r="J633">
        <v>30</v>
      </c>
      <c r="K633" t="s">
        <v>245</v>
      </c>
    </row>
    <row r="634" spans="2:11" x14ac:dyDescent="0.25">
      <c r="B634">
        <v>5277</v>
      </c>
      <c r="C634">
        <v>197</v>
      </c>
      <c r="D634">
        <v>86</v>
      </c>
      <c r="E634">
        <v>14</v>
      </c>
      <c r="F634">
        <v>5</v>
      </c>
      <c r="G634">
        <v>9</v>
      </c>
      <c r="H634">
        <v>0</v>
      </c>
      <c r="I634">
        <v>0</v>
      </c>
      <c r="J634">
        <v>14</v>
      </c>
      <c r="K634" t="s">
        <v>246</v>
      </c>
    </row>
    <row r="635" spans="2:11" x14ac:dyDescent="0.25">
      <c r="B635">
        <v>5279</v>
      </c>
      <c r="C635">
        <v>213</v>
      </c>
      <c r="D635">
        <v>94</v>
      </c>
      <c r="E635">
        <v>11</v>
      </c>
      <c r="F635">
        <v>3</v>
      </c>
      <c r="G635">
        <v>27</v>
      </c>
      <c r="H635">
        <v>0</v>
      </c>
      <c r="I635">
        <v>0</v>
      </c>
      <c r="J635">
        <v>30</v>
      </c>
      <c r="K635" t="s">
        <v>245</v>
      </c>
    </row>
    <row r="636" spans="2:11" x14ac:dyDescent="0.25">
      <c r="B636">
        <v>5280</v>
      </c>
      <c r="C636">
        <v>31</v>
      </c>
      <c r="D636">
        <v>17</v>
      </c>
      <c r="E636">
        <v>18</v>
      </c>
      <c r="F636">
        <v>7</v>
      </c>
      <c r="G636">
        <v>4</v>
      </c>
      <c r="H636">
        <v>0</v>
      </c>
      <c r="I636">
        <v>0</v>
      </c>
      <c r="J636">
        <v>11</v>
      </c>
      <c r="K636" t="s">
        <v>252</v>
      </c>
    </row>
    <row r="637" spans="2:11" x14ac:dyDescent="0.25">
      <c r="B637">
        <v>698</v>
      </c>
      <c r="C637">
        <v>282</v>
      </c>
      <c r="D637">
        <v>130</v>
      </c>
      <c r="E637">
        <v>4</v>
      </c>
      <c r="F637">
        <v>13</v>
      </c>
      <c r="G637">
        <v>8</v>
      </c>
      <c r="H637">
        <v>0</v>
      </c>
      <c r="I637">
        <v>0</v>
      </c>
      <c r="J637">
        <v>21</v>
      </c>
      <c r="K637" t="s">
        <v>241</v>
      </c>
    </row>
    <row r="638" spans="2:11" x14ac:dyDescent="0.25">
      <c r="B638">
        <v>699</v>
      </c>
      <c r="C638">
        <v>314</v>
      </c>
      <c r="D638">
        <v>145</v>
      </c>
      <c r="E638">
        <v>4</v>
      </c>
      <c r="F638">
        <v>2</v>
      </c>
      <c r="G638">
        <v>28</v>
      </c>
      <c r="H638">
        <v>0</v>
      </c>
      <c r="I638">
        <v>0</v>
      </c>
      <c r="J638">
        <v>30</v>
      </c>
      <c r="K638" t="s">
        <v>246</v>
      </c>
    </row>
    <row r="639" spans="2:11" x14ac:dyDescent="0.25">
      <c r="B639">
        <v>700</v>
      </c>
      <c r="C639">
        <v>110</v>
      </c>
      <c r="D639">
        <v>51</v>
      </c>
      <c r="E639">
        <v>3</v>
      </c>
      <c r="F639">
        <v>1</v>
      </c>
      <c r="G639">
        <v>22</v>
      </c>
      <c r="H639">
        <v>0</v>
      </c>
      <c r="I639">
        <v>0</v>
      </c>
      <c r="J639">
        <v>23</v>
      </c>
      <c r="K639" t="s">
        <v>247</v>
      </c>
    </row>
    <row r="640" spans="2:11" x14ac:dyDescent="0.25">
      <c r="B640">
        <v>701</v>
      </c>
      <c r="C640">
        <v>109</v>
      </c>
      <c r="D640">
        <v>51</v>
      </c>
      <c r="E640">
        <v>4</v>
      </c>
      <c r="F640">
        <v>7</v>
      </c>
      <c r="G640">
        <v>7</v>
      </c>
      <c r="H640">
        <v>0</v>
      </c>
      <c r="I640">
        <v>0</v>
      </c>
      <c r="J640">
        <v>14</v>
      </c>
      <c r="K640" t="s">
        <v>245</v>
      </c>
    </row>
    <row r="641" spans="2:11" x14ac:dyDescent="0.25">
      <c r="B641">
        <v>702</v>
      </c>
      <c r="C641">
        <v>311</v>
      </c>
      <c r="D641">
        <v>144</v>
      </c>
      <c r="E641">
        <v>4</v>
      </c>
      <c r="F641">
        <v>8</v>
      </c>
      <c r="G641">
        <v>9</v>
      </c>
      <c r="H641">
        <v>0</v>
      </c>
      <c r="I641">
        <v>0</v>
      </c>
      <c r="J641">
        <v>17</v>
      </c>
      <c r="K641" t="s">
        <v>246</v>
      </c>
    </row>
    <row r="642" spans="2:11" x14ac:dyDescent="0.25">
      <c r="B642">
        <v>703</v>
      </c>
      <c r="C642">
        <v>171</v>
      </c>
      <c r="D642">
        <v>73</v>
      </c>
      <c r="E642">
        <v>4</v>
      </c>
      <c r="F642">
        <v>1</v>
      </c>
      <c r="G642">
        <v>3</v>
      </c>
      <c r="H642">
        <v>0</v>
      </c>
      <c r="I642">
        <v>0</v>
      </c>
      <c r="J642">
        <v>4</v>
      </c>
      <c r="K642" t="s">
        <v>248</v>
      </c>
    </row>
    <row r="643" spans="2:11" x14ac:dyDescent="0.25">
      <c r="B643">
        <v>704</v>
      </c>
      <c r="C643">
        <v>64</v>
      </c>
      <c r="D643">
        <v>35</v>
      </c>
      <c r="E643">
        <v>4</v>
      </c>
      <c r="F643">
        <v>21</v>
      </c>
      <c r="G643">
        <v>8</v>
      </c>
      <c r="H643">
        <v>1</v>
      </c>
      <c r="I643">
        <v>0</v>
      </c>
      <c r="J643">
        <v>2</v>
      </c>
      <c r="K643" t="s">
        <v>241</v>
      </c>
    </row>
    <row r="644" spans="2:11" x14ac:dyDescent="0.25">
      <c r="B644">
        <v>705</v>
      </c>
      <c r="C644">
        <v>287</v>
      </c>
      <c r="D644">
        <v>133</v>
      </c>
      <c r="E644">
        <v>4</v>
      </c>
      <c r="F644">
        <v>3</v>
      </c>
      <c r="G644">
        <v>1</v>
      </c>
      <c r="H644">
        <v>0</v>
      </c>
      <c r="I644">
        <v>0</v>
      </c>
      <c r="J644">
        <v>4</v>
      </c>
      <c r="K644" t="s">
        <v>243</v>
      </c>
    </row>
    <row r="645" spans="2:11" x14ac:dyDescent="0.25">
      <c r="B645">
        <v>707</v>
      </c>
      <c r="C645">
        <v>110</v>
      </c>
      <c r="D645">
        <v>51</v>
      </c>
      <c r="E645">
        <v>4</v>
      </c>
      <c r="F645">
        <v>2</v>
      </c>
      <c r="G645">
        <v>20</v>
      </c>
      <c r="H645">
        <v>0</v>
      </c>
      <c r="I645">
        <v>0</v>
      </c>
      <c r="J645">
        <v>22</v>
      </c>
      <c r="K645" t="s">
        <v>245</v>
      </c>
    </row>
    <row r="646" spans="2:11" x14ac:dyDescent="0.25">
      <c r="B646">
        <v>708</v>
      </c>
      <c r="C646">
        <v>122</v>
      </c>
      <c r="D646">
        <v>55</v>
      </c>
      <c r="E646">
        <v>4</v>
      </c>
      <c r="F646">
        <v>6</v>
      </c>
      <c r="G646">
        <v>4</v>
      </c>
      <c r="H646">
        <v>0</v>
      </c>
      <c r="I646">
        <v>0</v>
      </c>
      <c r="J646">
        <v>10</v>
      </c>
      <c r="K646" t="s">
        <v>248</v>
      </c>
    </row>
    <row r="647" spans="2:11" x14ac:dyDescent="0.25">
      <c r="B647">
        <v>709</v>
      </c>
      <c r="C647">
        <v>137</v>
      </c>
      <c r="D647">
        <v>60</v>
      </c>
      <c r="E647">
        <v>5</v>
      </c>
      <c r="F647">
        <v>3</v>
      </c>
      <c r="G647">
        <v>9</v>
      </c>
      <c r="H647">
        <v>4</v>
      </c>
      <c r="I647">
        <v>0</v>
      </c>
      <c r="J647">
        <v>16</v>
      </c>
      <c r="K647" t="s">
        <v>242</v>
      </c>
    </row>
    <row r="648" spans="2:11" x14ac:dyDescent="0.25">
      <c r="B648">
        <v>710</v>
      </c>
      <c r="C648">
        <v>329</v>
      </c>
      <c r="D648">
        <v>152</v>
      </c>
      <c r="E648">
        <v>5</v>
      </c>
      <c r="F648">
        <v>18</v>
      </c>
      <c r="G648">
        <v>11</v>
      </c>
      <c r="H648">
        <v>0</v>
      </c>
      <c r="I648">
        <v>0</v>
      </c>
      <c r="J648">
        <v>29</v>
      </c>
      <c r="K648" t="s">
        <v>247</v>
      </c>
    </row>
    <row r="649" spans="2:11" x14ac:dyDescent="0.25">
      <c r="B649">
        <v>711</v>
      </c>
      <c r="C649">
        <v>158</v>
      </c>
      <c r="D649">
        <v>69</v>
      </c>
      <c r="E649">
        <v>5</v>
      </c>
      <c r="F649">
        <v>6</v>
      </c>
      <c r="G649">
        <v>16</v>
      </c>
      <c r="H649">
        <v>0</v>
      </c>
      <c r="I649">
        <v>0</v>
      </c>
      <c r="J649">
        <v>22</v>
      </c>
      <c r="K649" t="s">
        <v>243</v>
      </c>
    </row>
    <row r="650" spans="2:11" x14ac:dyDescent="0.25">
      <c r="B650">
        <v>712</v>
      </c>
      <c r="C650">
        <v>66</v>
      </c>
      <c r="D650">
        <v>35</v>
      </c>
      <c r="E650">
        <v>4</v>
      </c>
      <c r="F650">
        <v>9</v>
      </c>
      <c r="G650">
        <v>7</v>
      </c>
      <c r="H650">
        <v>8</v>
      </c>
      <c r="I650">
        <v>0</v>
      </c>
      <c r="J650">
        <v>24</v>
      </c>
      <c r="K650" t="s">
        <v>245</v>
      </c>
    </row>
    <row r="651" spans="2:11" x14ac:dyDescent="0.25">
      <c r="B651">
        <v>713</v>
      </c>
      <c r="C651">
        <v>98</v>
      </c>
      <c r="D651">
        <v>48</v>
      </c>
      <c r="E651">
        <v>5</v>
      </c>
      <c r="F651">
        <v>16</v>
      </c>
      <c r="G651">
        <v>14</v>
      </c>
      <c r="H651">
        <v>0</v>
      </c>
      <c r="I651">
        <v>0</v>
      </c>
      <c r="J651">
        <v>30</v>
      </c>
      <c r="K651" t="s">
        <v>247</v>
      </c>
    </row>
    <row r="652" spans="2:11" x14ac:dyDescent="0.25">
      <c r="B652">
        <v>714</v>
      </c>
      <c r="C652">
        <v>1</v>
      </c>
      <c r="D652">
        <v>1</v>
      </c>
      <c r="E652">
        <v>4</v>
      </c>
      <c r="F652">
        <v>2</v>
      </c>
      <c r="G652">
        <v>10</v>
      </c>
      <c r="H652">
        <v>1</v>
      </c>
      <c r="I652">
        <v>0</v>
      </c>
      <c r="J652">
        <v>13</v>
      </c>
      <c r="K652" t="s">
        <v>248</v>
      </c>
    </row>
    <row r="653" spans="2:11" x14ac:dyDescent="0.25">
      <c r="B653">
        <v>715</v>
      </c>
      <c r="C653">
        <v>138</v>
      </c>
      <c r="D653">
        <v>61</v>
      </c>
      <c r="E653">
        <v>5</v>
      </c>
      <c r="F653">
        <v>16</v>
      </c>
      <c r="G653">
        <v>12</v>
      </c>
      <c r="H653">
        <v>2</v>
      </c>
      <c r="I653">
        <v>0</v>
      </c>
      <c r="J653">
        <v>30</v>
      </c>
      <c r="K653" t="s">
        <v>242</v>
      </c>
    </row>
    <row r="654" spans="2:11" x14ac:dyDescent="0.25">
      <c r="B654">
        <v>717</v>
      </c>
      <c r="C654">
        <v>277</v>
      </c>
      <c r="D654">
        <v>128</v>
      </c>
      <c r="E654">
        <v>4</v>
      </c>
      <c r="F654">
        <v>17</v>
      </c>
      <c r="G654">
        <v>12</v>
      </c>
      <c r="H654">
        <v>8</v>
      </c>
      <c r="I654">
        <v>0</v>
      </c>
      <c r="J654">
        <v>37</v>
      </c>
      <c r="K654" t="s">
        <v>249</v>
      </c>
    </row>
    <row r="655" spans="2:11" x14ac:dyDescent="0.25">
      <c r="B655">
        <v>718</v>
      </c>
      <c r="C655">
        <v>173</v>
      </c>
      <c r="D655">
        <v>75</v>
      </c>
      <c r="E655">
        <v>4</v>
      </c>
      <c r="F655">
        <v>3</v>
      </c>
      <c r="G655">
        <v>5</v>
      </c>
      <c r="H655">
        <v>4</v>
      </c>
      <c r="I655">
        <v>0</v>
      </c>
      <c r="J655">
        <v>12</v>
      </c>
      <c r="K655" t="s">
        <v>246</v>
      </c>
    </row>
    <row r="656" spans="2:11" x14ac:dyDescent="0.25">
      <c r="B656">
        <v>719</v>
      </c>
      <c r="C656">
        <v>343</v>
      </c>
      <c r="D656">
        <v>154</v>
      </c>
      <c r="E656">
        <v>4</v>
      </c>
      <c r="F656">
        <v>14</v>
      </c>
      <c r="G656">
        <v>12</v>
      </c>
      <c r="H656">
        <v>0</v>
      </c>
      <c r="I656">
        <v>0</v>
      </c>
      <c r="J656">
        <v>26</v>
      </c>
      <c r="K656" t="s">
        <v>245</v>
      </c>
    </row>
    <row r="657" spans="2:11" x14ac:dyDescent="0.25">
      <c r="B657">
        <v>720</v>
      </c>
      <c r="C657">
        <v>141</v>
      </c>
      <c r="D657">
        <v>62</v>
      </c>
      <c r="E657">
        <v>5</v>
      </c>
      <c r="F657">
        <v>19</v>
      </c>
      <c r="G657">
        <v>11</v>
      </c>
      <c r="H657">
        <v>0</v>
      </c>
      <c r="I657">
        <v>0</v>
      </c>
      <c r="J657">
        <v>30</v>
      </c>
      <c r="K657" t="s">
        <v>241</v>
      </c>
    </row>
    <row r="658" spans="2:11" x14ac:dyDescent="0.25">
      <c r="B658">
        <v>721</v>
      </c>
      <c r="C658">
        <v>113</v>
      </c>
      <c r="D658">
        <v>52</v>
      </c>
      <c r="E658">
        <v>4</v>
      </c>
      <c r="F658">
        <v>11</v>
      </c>
      <c r="G658">
        <v>18</v>
      </c>
      <c r="H658">
        <v>1</v>
      </c>
      <c r="I658">
        <v>0</v>
      </c>
      <c r="J658">
        <v>30</v>
      </c>
      <c r="K658" t="s">
        <v>246</v>
      </c>
    </row>
    <row r="659" spans="2:11" x14ac:dyDescent="0.25">
      <c r="B659">
        <v>722</v>
      </c>
      <c r="C659">
        <v>277</v>
      </c>
      <c r="D659">
        <v>128</v>
      </c>
      <c r="E659">
        <v>3</v>
      </c>
      <c r="F659">
        <v>19</v>
      </c>
      <c r="G659">
        <v>13</v>
      </c>
      <c r="H659">
        <v>0</v>
      </c>
      <c r="I659">
        <v>0</v>
      </c>
      <c r="J659">
        <v>32</v>
      </c>
      <c r="K659" t="s">
        <v>249</v>
      </c>
    </row>
    <row r="660" spans="2:11" x14ac:dyDescent="0.25">
      <c r="B660">
        <v>723</v>
      </c>
      <c r="C660">
        <v>330</v>
      </c>
      <c r="D660">
        <v>152</v>
      </c>
      <c r="E660">
        <v>5</v>
      </c>
      <c r="F660">
        <v>5</v>
      </c>
      <c r="G660">
        <v>15</v>
      </c>
      <c r="H660">
        <v>0</v>
      </c>
      <c r="I660">
        <v>0</v>
      </c>
      <c r="J660">
        <v>20</v>
      </c>
      <c r="K660" t="s">
        <v>243</v>
      </c>
    </row>
    <row r="661" spans="2:11" x14ac:dyDescent="0.25">
      <c r="B661">
        <v>724</v>
      </c>
      <c r="C661">
        <v>140</v>
      </c>
      <c r="D661">
        <v>62</v>
      </c>
      <c r="E661">
        <v>5</v>
      </c>
      <c r="F661">
        <v>17</v>
      </c>
      <c r="G661">
        <v>6</v>
      </c>
      <c r="H661">
        <v>2</v>
      </c>
      <c r="I661">
        <v>0</v>
      </c>
      <c r="J661">
        <v>25</v>
      </c>
      <c r="K661" t="s">
        <v>241</v>
      </c>
    </row>
    <row r="662" spans="2:11" x14ac:dyDescent="0.25">
      <c r="B662">
        <v>725</v>
      </c>
      <c r="C662">
        <v>173</v>
      </c>
      <c r="D662">
        <v>75</v>
      </c>
      <c r="E662">
        <v>3</v>
      </c>
      <c r="F662">
        <v>5</v>
      </c>
      <c r="G662">
        <v>7</v>
      </c>
      <c r="H662">
        <v>0</v>
      </c>
      <c r="I662">
        <v>0</v>
      </c>
      <c r="J662">
        <v>12</v>
      </c>
      <c r="K662" t="s">
        <v>249</v>
      </c>
    </row>
    <row r="663" spans="2:11" x14ac:dyDescent="0.25">
      <c r="B663">
        <v>726</v>
      </c>
      <c r="C663">
        <v>124</v>
      </c>
      <c r="D663">
        <v>56</v>
      </c>
      <c r="E663">
        <v>4</v>
      </c>
      <c r="F663">
        <v>7</v>
      </c>
      <c r="G663">
        <v>1</v>
      </c>
      <c r="H663">
        <v>1</v>
      </c>
      <c r="I663">
        <v>0</v>
      </c>
      <c r="J663">
        <v>9</v>
      </c>
      <c r="K663" t="s">
        <v>246</v>
      </c>
    </row>
    <row r="664" spans="2:11" x14ac:dyDescent="0.25">
      <c r="B664">
        <v>729</v>
      </c>
      <c r="C664">
        <v>161</v>
      </c>
      <c r="D664">
        <v>69</v>
      </c>
      <c r="E664">
        <v>5</v>
      </c>
      <c r="F664">
        <v>2</v>
      </c>
      <c r="G664">
        <v>4</v>
      </c>
      <c r="H664">
        <v>0</v>
      </c>
      <c r="I664">
        <v>0</v>
      </c>
      <c r="J664">
        <v>6</v>
      </c>
      <c r="K664" t="s">
        <v>241</v>
      </c>
    </row>
    <row r="665" spans="2:11" x14ac:dyDescent="0.25">
      <c r="B665">
        <v>730</v>
      </c>
      <c r="C665">
        <v>162</v>
      </c>
      <c r="D665">
        <v>69</v>
      </c>
      <c r="E665">
        <v>5</v>
      </c>
      <c r="F665">
        <v>10</v>
      </c>
      <c r="G665">
        <v>7</v>
      </c>
      <c r="H665">
        <v>0</v>
      </c>
      <c r="I665">
        <v>0</v>
      </c>
      <c r="J665">
        <v>17</v>
      </c>
      <c r="K665" t="s">
        <v>241</v>
      </c>
    </row>
    <row r="666" spans="2:11" x14ac:dyDescent="0.25">
      <c r="B666">
        <v>731</v>
      </c>
      <c r="C666">
        <v>246</v>
      </c>
      <c r="D666">
        <v>110</v>
      </c>
      <c r="E666">
        <v>3</v>
      </c>
      <c r="F666">
        <v>6</v>
      </c>
      <c r="G666">
        <v>7</v>
      </c>
      <c r="H666">
        <v>11</v>
      </c>
      <c r="I666">
        <v>0</v>
      </c>
      <c r="J666">
        <v>24</v>
      </c>
      <c r="K666" t="s">
        <v>247</v>
      </c>
    </row>
    <row r="667" spans="2:11" x14ac:dyDescent="0.25">
      <c r="B667">
        <v>732</v>
      </c>
      <c r="C667">
        <v>252</v>
      </c>
      <c r="D667">
        <v>114</v>
      </c>
      <c r="E667">
        <v>5</v>
      </c>
      <c r="F667">
        <v>9</v>
      </c>
      <c r="G667">
        <v>7</v>
      </c>
      <c r="H667">
        <v>3</v>
      </c>
      <c r="I667">
        <v>0</v>
      </c>
      <c r="J667">
        <v>19</v>
      </c>
      <c r="K667" t="s">
        <v>243</v>
      </c>
    </row>
    <row r="668" spans="2:11" x14ac:dyDescent="0.25">
      <c r="B668">
        <v>734</v>
      </c>
      <c r="C668">
        <v>246</v>
      </c>
      <c r="D668">
        <v>110</v>
      </c>
      <c r="E668">
        <v>1</v>
      </c>
      <c r="F668">
        <v>13</v>
      </c>
      <c r="G668">
        <v>9</v>
      </c>
      <c r="H668">
        <v>7</v>
      </c>
      <c r="I668">
        <v>0</v>
      </c>
      <c r="J668">
        <v>29</v>
      </c>
      <c r="K668" t="s">
        <v>249</v>
      </c>
    </row>
    <row r="669" spans="2:11" x14ac:dyDescent="0.25">
      <c r="B669">
        <v>735</v>
      </c>
      <c r="C669">
        <v>246</v>
      </c>
      <c r="D669">
        <v>110</v>
      </c>
      <c r="E669">
        <v>2</v>
      </c>
      <c r="F669">
        <v>11</v>
      </c>
      <c r="G669">
        <v>6</v>
      </c>
      <c r="H669">
        <v>8</v>
      </c>
      <c r="I669">
        <v>0</v>
      </c>
      <c r="J669">
        <v>25</v>
      </c>
      <c r="K669" t="s">
        <v>249</v>
      </c>
    </row>
    <row r="670" spans="2:11" x14ac:dyDescent="0.25">
      <c r="B670">
        <v>737</v>
      </c>
      <c r="C670">
        <v>246</v>
      </c>
      <c r="D670">
        <v>110</v>
      </c>
      <c r="E670">
        <v>4</v>
      </c>
      <c r="F670">
        <v>8</v>
      </c>
      <c r="G670">
        <v>10</v>
      </c>
      <c r="H670">
        <v>13</v>
      </c>
      <c r="I670">
        <v>0</v>
      </c>
      <c r="J670">
        <v>31</v>
      </c>
      <c r="K670" t="s">
        <v>249</v>
      </c>
    </row>
    <row r="671" spans="2:11" x14ac:dyDescent="0.25">
      <c r="B671">
        <v>741</v>
      </c>
      <c r="C671">
        <v>255</v>
      </c>
      <c r="D671">
        <v>116</v>
      </c>
      <c r="E671">
        <v>4</v>
      </c>
      <c r="F671">
        <v>6</v>
      </c>
      <c r="G671">
        <v>5</v>
      </c>
      <c r="H671">
        <v>0</v>
      </c>
      <c r="I671">
        <v>0</v>
      </c>
      <c r="J671">
        <v>11</v>
      </c>
      <c r="K671" t="s">
        <v>241</v>
      </c>
    </row>
    <row r="672" spans="2:11" x14ac:dyDescent="0.25">
      <c r="B672">
        <v>743</v>
      </c>
      <c r="C672">
        <v>256</v>
      </c>
      <c r="D672">
        <v>117</v>
      </c>
      <c r="E672">
        <v>4</v>
      </c>
      <c r="F672">
        <v>9</v>
      </c>
      <c r="G672">
        <v>4</v>
      </c>
      <c r="H672">
        <v>1</v>
      </c>
      <c r="I672">
        <v>0</v>
      </c>
      <c r="J672">
        <v>14</v>
      </c>
      <c r="K672" t="s">
        <v>241</v>
      </c>
    </row>
    <row r="673" spans="2:11" x14ac:dyDescent="0.25">
      <c r="B673">
        <v>744</v>
      </c>
      <c r="C673">
        <v>280</v>
      </c>
      <c r="D673">
        <v>129</v>
      </c>
      <c r="E673">
        <v>3</v>
      </c>
      <c r="F673">
        <v>18</v>
      </c>
      <c r="G673">
        <v>13</v>
      </c>
      <c r="H673">
        <v>0</v>
      </c>
      <c r="I673">
        <v>0</v>
      </c>
      <c r="J673">
        <v>31</v>
      </c>
      <c r="K673" t="s">
        <v>249</v>
      </c>
    </row>
    <row r="674" spans="2:11" x14ac:dyDescent="0.25">
      <c r="B674">
        <v>745</v>
      </c>
      <c r="C674">
        <v>280</v>
      </c>
      <c r="D674">
        <v>129</v>
      </c>
      <c r="E674">
        <v>4</v>
      </c>
      <c r="F674">
        <v>20</v>
      </c>
      <c r="G674">
        <v>10</v>
      </c>
      <c r="H674">
        <v>0</v>
      </c>
      <c r="I674">
        <v>0</v>
      </c>
      <c r="J674">
        <v>30</v>
      </c>
      <c r="K674" t="s">
        <v>248</v>
      </c>
    </row>
    <row r="675" spans="2:11" x14ac:dyDescent="0.25">
      <c r="B675">
        <v>746</v>
      </c>
      <c r="C675">
        <v>127</v>
      </c>
      <c r="D675">
        <v>56</v>
      </c>
      <c r="E675">
        <v>2</v>
      </c>
      <c r="F675">
        <v>18</v>
      </c>
      <c r="G675">
        <v>1</v>
      </c>
      <c r="H675">
        <v>1</v>
      </c>
      <c r="I675">
        <v>0</v>
      </c>
      <c r="J675">
        <v>20</v>
      </c>
      <c r="K675" t="s">
        <v>249</v>
      </c>
    </row>
    <row r="676" spans="2:11" x14ac:dyDescent="0.25">
      <c r="B676">
        <v>748</v>
      </c>
      <c r="C676">
        <v>127</v>
      </c>
      <c r="D676">
        <v>56</v>
      </c>
      <c r="E676">
        <v>1</v>
      </c>
      <c r="F676">
        <v>16</v>
      </c>
      <c r="G676">
        <v>2</v>
      </c>
      <c r="H676">
        <v>2</v>
      </c>
      <c r="I676">
        <v>0</v>
      </c>
      <c r="J676">
        <v>20</v>
      </c>
      <c r="K676" t="s">
        <v>249</v>
      </c>
    </row>
    <row r="677" spans="2:11" x14ac:dyDescent="0.25">
      <c r="B677">
        <v>749</v>
      </c>
      <c r="C677">
        <v>71</v>
      </c>
      <c r="D677">
        <v>35</v>
      </c>
      <c r="E677">
        <v>4</v>
      </c>
      <c r="F677">
        <v>8</v>
      </c>
      <c r="G677">
        <v>7</v>
      </c>
      <c r="H677">
        <v>4</v>
      </c>
      <c r="I677">
        <v>0</v>
      </c>
      <c r="J677">
        <v>19</v>
      </c>
      <c r="K677" t="s">
        <v>243</v>
      </c>
    </row>
    <row r="678" spans="2:11" x14ac:dyDescent="0.25">
      <c r="B678">
        <v>750</v>
      </c>
      <c r="C678">
        <v>120</v>
      </c>
      <c r="D678">
        <v>55</v>
      </c>
      <c r="E678">
        <v>1</v>
      </c>
      <c r="F678">
        <v>4</v>
      </c>
      <c r="G678">
        <v>3</v>
      </c>
      <c r="H678">
        <v>0</v>
      </c>
      <c r="I678">
        <v>0</v>
      </c>
      <c r="J678">
        <v>7</v>
      </c>
      <c r="K678" t="s">
        <v>249</v>
      </c>
    </row>
    <row r="679" spans="2:11" x14ac:dyDescent="0.25">
      <c r="B679">
        <v>752</v>
      </c>
      <c r="C679">
        <v>46</v>
      </c>
      <c r="D679">
        <v>23</v>
      </c>
      <c r="E679">
        <v>4</v>
      </c>
      <c r="F679">
        <v>19</v>
      </c>
      <c r="G679">
        <v>11</v>
      </c>
      <c r="H679">
        <v>0</v>
      </c>
      <c r="I679">
        <v>0</v>
      </c>
      <c r="J679">
        <v>30</v>
      </c>
      <c r="K679" t="s">
        <v>243</v>
      </c>
    </row>
    <row r="680" spans="2:11" x14ac:dyDescent="0.25">
      <c r="B680">
        <v>753</v>
      </c>
      <c r="C680">
        <v>124</v>
      </c>
      <c r="D680">
        <v>56</v>
      </c>
      <c r="E680">
        <v>1</v>
      </c>
      <c r="F680">
        <v>12</v>
      </c>
      <c r="G680">
        <v>2</v>
      </c>
      <c r="H680">
        <v>1</v>
      </c>
      <c r="I680">
        <v>0</v>
      </c>
      <c r="J680">
        <v>38</v>
      </c>
      <c r="K680" t="s">
        <v>249</v>
      </c>
    </row>
    <row r="681" spans="2:11" x14ac:dyDescent="0.25">
      <c r="B681">
        <v>754</v>
      </c>
      <c r="C681">
        <v>3</v>
      </c>
      <c r="D681">
        <v>1</v>
      </c>
      <c r="E681">
        <v>4</v>
      </c>
      <c r="F681">
        <v>1</v>
      </c>
      <c r="G681">
        <v>6</v>
      </c>
      <c r="H681">
        <v>0</v>
      </c>
      <c r="I681">
        <v>0</v>
      </c>
      <c r="J681">
        <v>7</v>
      </c>
      <c r="K681" t="s">
        <v>245</v>
      </c>
    </row>
    <row r="682" spans="2:11" x14ac:dyDescent="0.25">
      <c r="B682">
        <v>755</v>
      </c>
      <c r="C682">
        <v>163</v>
      </c>
      <c r="D682">
        <v>69</v>
      </c>
      <c r="E682">
        <v>4</v>
      </c>
      <c r="F682">
        <v>6</v>
      </c>
      <c r="G682">
        <v>6</v>
      </c>
      <c r="H682">
        <v>0</v>
      </c>
      <c r="I682">
        <v>0</v>
      </c>
      <c r="J682">
        <v>12</v>
      </c>
      <c r="K682" t="s">
        <v>247</v>
      </c>
    </row>
    <row r="683" spans="2:11" x14ac:dyDescent="0.25">
      <c r="B683">
        <v>756</v>
      </c>
      <c r="C683">
        <v>69</v>
      </c>
      <c r="D683">
        <v>35</v>
      </c>
      <c r="E683">
        <v>4</v>
      </c>
      <c r="F683">
        <v>9</v>
      </c>
      <c r="G683">
        <v>14</v>
      </c>
      <c r="H683">
        <v>0</v>
      </c>
      <c r="I683">
        <v>0</v>
      </c>
      <c r="J683">
        <v>23</v>
      </c>
      <c r="K683" t="s">
        <v>243</v>
      </c>
    </row>
    <row r="684" spans="2:11" x14ac:dyDescent="0.25">
      <c r="B684">
        <v>757</v>
      </c>
      <c r="C684">
        <v>114</v>
      </c>
      <c r="D684">
        <v>52</v>
      </c>
      <c r="E684">
        <v>1</v>
      </c>
      <c r="F684">
        <v>12</v>
      </c>
      <c r="G684">
        <v>8</v>
      </c>
      <c r="H684">
        <v>10</v>
      </c>
      <c r="I684">
        <v>0</v>
      </c>
      <c r="J684">
        <v>30</v>
      </c>
      <c r="K684" t="s">
        <v>249</v>
      </c>
    </row>
    <row r="685" spans="2:11" x14ac:dyDescent="0.25">
      <c r="B685">
        <v>758</v>
      </c>
      <c r="C685">
        <v>3</v>
      </c>
      <c r="D685">
        <v>1</v>
      </c>
      <c r="E685">
        <v>5</v>
      </c>
      <c r="F685">
        <v>2</v>
      </c>
      <c r="G685">
        <v>3</v>
      </c>
      <c r="H685">
        <v>0</v>
      </c>
      <c r="I685">
        <v>0</v>
      </c>
      <c r="J685">
        <v>5</v>
      </c>
      <c r="K685" t="s">
        <v>248</v>
      </c>
    </row>
    <row r="686" spans="2:11" x14ac:dyDescent="0.25">
      <c r="B686">
        <v>759</v>
      </c>
      <c r="C686">
        <v>174</v>
      </c>
      <c r="D686">
        <v>75</v>
      </c>
      <c r="E686">
        <v>4</v>
      </c>
      <c r="F686">
        <v>13</v>
      </c>
      <c r="G686">
        <v>4</v>
      </c>
      <c r="H686">
        <v>0</v>
      </c>
      <c r="I686">
        <v>0</v>
      </c>
      <c r="J686">
        <v>17</v>
      </c>
      <c r="K686" t="s">
        <v>247</v>
      </c>
    </row>
    <row r="687" spans="2:11" x14ac:dyDescent="0.25">
      <c r="B687">
        <v>760</v>
      </c>
      <c r="C687">
        <v>4</v>
      </c>
      <c r="D687">
        <v>1</v>
      </c>
      <c r="E687">
        <v>5</v>
      </c>
      <c r="F687">
        <v>7</v>
      </c>
      <c r="G687">
        <v>3</v>
      </c>
      <c r="H687">
        <v>2</v>
      </c>
      <c r="I687">
        <v>0</v>
      </c>
      <c r="J687">
        <v>12</v>
      </c>
      <c r="K687" t="s">
        <v>245</v>
      </c>
    </row>
    <row r="688" spans="2:11" x14ac:dyDescent="0.25">
      <c r="B688">
        <v>761</v>
      </c>
      <c r="C688">
        <v>68</v>
      </c>
      <c r="D688">
        <v>35</v>
      </c>
      <c r="E688">
        <v>4</v>
      </c>
      <c r="F688">
        <v>6</v>
      </c>
      <c r="G688">
        <v>8</v>
      </c>
      <c r="H688">
        <v>9</v>
      </c>
      <c r="I688">
        <v>0</v>
      </c>
      <c r="J688">
        <v>23</v>
      </c>
      <c r="K688" t="s">
        <v>243</v>
      </c>
    </row>
    <row r="689" spans="1:11" x14ac:dyDescent="0.25">
      <c r="B689">
        <v>762</v>
      </c>
      <c r="C689">
        <v>112</v>
      </c>
      <c r="D689">
        <v>51</v>
      </c>
      <c r="E689">
        <v>1</v>
      </c>
      <c r="F689">
        <v>15</v>
      </c>
      <c r="G689">
        <v>5</v>
      </c>
      <c r="H689">
        <v>0</v>
      </c>
      <c r="I689">
        <v>0</v>
      </c>
      <c r="J689">
        <v>20</v>
      </c>
      <c r="K689" t="s">
        <v>249</v>
      </c>
    </row>
    <row r="690" spans="1:11" x14ac:dyDescent="0.25">
      <c r="B690">
        <v>764</v>
      </c>
      <c r="C690">
        <v>142</v>
      </c>
      <c r="D690">
        <v>62</v>
      </c>
      <c r="E690">
        <v>5</v>
      </c>
      <c r="F690">
        <v>23</v>
      </c>
      <c r="G690">
        <v>4</v>
      </c>
      <c r="H690">
        <v>0</v>
      </c>
      <c r="I690">
        <v>0</v>
      </c>
      <c r="J690">
        <v>27</v>
      </c>
      <c r="K690" t="s">
        <v>246</v>
      </c>
    </row>
    <row r="691" spans="1:11" x14ac:dyDescent="0.25">
      <c r="B691">
        <v>765</v>
      </c>
      <c r="C691">
        <v>308</v>
      </c>
      <c r="D691">
        <v>143</v>
      </c>
      <c r="E691">
        <v>5</v>
      </c>
      <c r="F691">
        <v>7</v>
      </c>
      <c r="G691">
        <v>9</v>
      </c>
      <c r="H691">
        <v>0</v>
      </c>
      <c r="I691">
        <v>0</v>
      </c>
      <c r="J691">
        <v>16</v>
      </c>
      <c r="K691" t="s">
        <v>248</v>
      </c>
    </row>
    <row r="692" spans="1:11" x14ac:dyDescent="0.25">
      <c r="B692">
        <v>766</v>
      </c>
      <c r="C692">
        <v>125</v>
      </c>
      <c r="D692">
        <v>56</v>
      </c>
      <c r="E692">
        <v>4</v>
      </c>
      <c r="F692">
        <v>8</v>
      </c>
      <c r="G692">
        <v>4</v>
      </c>
      <c r="H692">
        <v>0</v>
      </c>
      <c r="I692">
        <v>0</v>
      </c>
      <c r="J692">
        <v>12</v>
      </c>
      <c r="K692" t="s">
        <v>247</v>
      </c>
    </row>
    <row r="693" spans="1:11" x14ac:dyDescent="0.25">
      <c r="B693">
        <v>767</v>
      </c>
      <c r="C693">
        <v>163</v>
      </c>
      <c r="D693">
        <v>69</v>
      </c>
      <c r="E693">
        <v>5</v>
      </c>
      <c r="F693">
        <v>16</v>
      </c>
      <c r="G693">
        <v>13</v>
      </c>
      <c r="H693">
        <v>0</v>
      </c>
      <c r="I693">
        <v>0</v>
      </c>
      <c r="J693">
        <v>29</v>
      </c>
      <c r="K693" t="s">
        <v>246</v>
      </c>
    </row>
    <row r="694" spans="1:11" x14ac:dyDescent="0.25">
      <c r="B694">
        <v>769</v>
      </c>
      <c r="C694">
        <v>348</v>
      </c>
      <c r="D694">
        <v>155</v>
      </c>
      <c r="E694">
        <v>4</v>
      </c>
      <c r="F694">
        <v>13</v>
      </c>
      <c r="G694">
        <v>17</v>
      </c>
      <c r="H694">
        <v>0</v>
      </c>
      <c r="I694">
        <v>0</v>
      </c>
      <c r="J694">
        <v>30</v>
      </c>
      <c r="K694" t="s">
        <v>243</v>
      </c>
    </row>
    <row r="695" spans="1:11" x14ac:dyDescent="0.25">
      <c r="B695">
        <v>771</v>
      </c>
      <c r="C695">
        <v>349</v>
      </c>
      <c r="D695">
        <v>156</v>
      </c>
      <c r="E695">
        <v>4</v>
      </c>
      <c r="F695">
        <v>10</v>
      </c>
      <c r="G695">
        <v>14</v>
      </c>
      <c r="H695">
        <v>0</v>
      </c>
      <c r="I695">
        <v>0</v>
      </c>
      <c r="J695">
        <v>24</v>
      </c>
      <c r="K695" t="s">
        <v>245</v>
      </c>
    </row>
    <row r="696" spans="1:11" x14ac:dyDescent="0.25">
      <c r="B696">
        <v>772</v>
      </c>
      <c r="C696">
        <v>279</v>
      </c>
      <c r="D696">
        <v>129</v>
      </c>
      <c r="E696">
        <v>4</v>
      </c>
      <c r="F696">
        <v>4</v>
      </c>
      <c r="G696">
        <v>22</v>
      </c>
      <c r="H696">
        <v>0</v>
      </c>
      <c r="I696">
        <v>0</v>
      </c>
      <c r="J696">
        <v>26</v>
      </c>
      <c r="K696" t="s">
        <v>247</v>
      </c>
    </row>
    <row r="697" spans="1:11" x14ac:dyDescent="0.25">
      <c r="B697">
        <v>5282</v>
      </c>
      <c r="C697">
        <v>213</v>
      </c>
      <c r="D697">
        <v>94</v>
      </c>
      <c r="E697">
        <v>12</v>
      </c>
      <c r="F697">
        <v>0</v>
      </c>
      <c r="G697">
        <v>30</v>
      </c>
      <c r="H697">
        <v>0</v>
      </c>
      <c r="I697">
        <v>0</v>
      </c>
      <c r="J697">
        <v>30</v>
      </c>
      <c r="K697" t="s">
        <v>245</v>
      </c>
    </row>
    <row r="698" spans="1:11" x14ac:dyDescent="0.25">
      <c r="B698">
        <v>5283</v>
      </c>
      <c r="C698">
        <v>39</v>
      </c>
      <c r="D698">
        <v>19</v>
      </c>
      <c r="E698">
        <v>18</v>
      </c>
      <c r="F698">
        <v>2</v>
      </c>
      <c r="G698">
        <v>11</v>
      </c>
      <c r="H698">
        <v>0</v>
      </c>
      <c r="I698">
        <v>0</v>
      </c>
      <c r="J698">
        <v>13</v>
      </c>
      <c r="K698" t="s">
        <v>247</v>
      </c>
    </row>
    <row r="699" spans="1:11" x14ac:dyDescent="0.25">
      <c r="B699">
        <v>5284</v>
      </c>
      <c r="C699">
        <v>43</v>
      </c>
      <c r="D699">
        <v>22</v>
      </c>
      <c r="E699">
        <v>18</v>
      </c>
      <c r="F699">
        <v>15</v>
      </c>
      <c r="G699">
        <v>5</v>
      </c>
      <c r="H699">
        <v>0</v>
      </c>
      <c r="I699">
        <v>0</v>
      </c>
      <c r="J699">
        <v>20</v>
      </c>
      <c r="K699" t="s">
        <v>252</v>
      </c>
    </row>
    <row r="700" spans="1:11" x14ac:dyDescent="0.25">
      <c r="B700">
        <v>5281</v>
      </c>
      <c r="C700">
        <v>198</v>
      </c>
      <c r="D700">
        <v>86</v>
      </c>
      <c r="E700">
        <v>1</v>
      </c>
      <c r="F700">
        <v>15</v>
      </c>
      <c r="G700">
        <v>6</v>
      </c>
      <c r="H700">
        <v>2</v>
      </c>
      <c r="I700">
        <v>0</v>
      </c>
      <c r="J700">
        <v>23</v>
      </c>
      <c r="K700" t="s">
        <v>246</v>
      </c>
    </row>
    <row r="701" spans="1:11" x14ac:dyDescent="0.25">
      <c r="B701">
        <v>5285</v>
      </c>
      <c r="C701">
        <v>213</v>
      </c>
      <c r="D701">
        <v>94</v>
      </c>
      <c r="E701">
        <v>13</v>
      </c>
      <c r="F701">
        <v>1</v>
      </c>
      <c r="G701">
        <v>25</v>
      </c>
      <c r="H701">
        <v>0</v>
      </c>
      <c r="I701">
        <v>0</v>
      </c>
      <c r="J701">
        <v>26</v>
      </c>
      <c r="K701" t="s">
        <v>245</v>
      </c>
    </row>
    <row r="702" spans="1:11" x14ac:dyDescent="0.25">
      <c r="B702">
        <v>5286</v>
      </c>
      <c r="C702">
        <v>185</v>
      </c>
      <c r="D702">
        <v>81</v>
      </c>
      <c r="E702">
        <v>6</v>
      </c>
      <c r="F702">
        <v>15</v>
      </c>
      <c r="G702">
        <v>15</v>
      </c>
      <c r="H702">
        <v>0</v>
      </c>
      <c r="I702">
        <v>0</v>
      </c>
      <c r="J702">
        <v>30</v>
      </c>
      <c r="K702" t="s">
        <v>241</v>
      </c>
    </row>
    <row r="703" spans="1:11" x14ac:dyDescent="0.25">
      <c r="B703">
        <v>5287</v>
      </c>
      <c r="C703">
        <v>198</v>
      </c>
      <c r="D703">
        <v>86</v>
      </c>
      <c r="E703">
        <v>2</v>
      </c>
      <c r="F703">
        <v>6</v>
      </c>
      <c r="G703">
        <v>3</v>
      </c>
      <c r="H703">
        <v>0</v>
      </c>
      <c r="I703">
        <v>0</v>
      </c>
      <c r="J703">
        <v>9</v>
      </c>
      <c r="K703" t="s">
        <v>246</v>
      </c>
    </row>
    <row r="704" spans="1:11" x14ac:dyDescent="0.25">
      <c r="A704" t="s">
        <v>105</v>
      </c>
      <c r="B704">
        <v>5289</v>
      </c>
      <c r="C704">
        <v>185</v>
      </c>
      <c r="D704">
        <v>81</v>
      </c>
      <c r="E704">
        <v>7</v>
      </c>
      <c r="F704">
        <v>5</v>
      </c>
      <c r="G704">
        <v>10</v>
      </c>
      <c r="H704">
        <v>0</v>
      </c>
      <c r="I704">
        <v>0</v>
      </c>
      <c r="J704">
        <v>15</v>
      </c>
      <c r="K704" t="s">
        <v>241</v>
      </c>
    </row>
    <row r="705" spans="2:11" x14ac:dyDescent="0.25">
      <c r="B705">
        <v>5291</v>
      </c>
      <c r="C705">
        <v>198</v>
      </c>
      <c r="D705">
        <v>86</v>
      </c>
      <c r="E705">
        <v>3</v>
      </c>
      <c r="F705">
        <v>7</v>
      </c>
      <c r="G705">
        <v>8</v>
      </c>
      <c r="H705">
        <v>1</v>
      </c>
      <c r="I705">
        <v>0</v>
      </c>
      <c r="J705">
        <v>16</v>
      </c>
      <c r="K705" t="s">
        <v>246</v>
      </c>
    </row>
    <row r="706" spans="2:11" x14ac:dyDescent="0.25">
      <c r="B706">
        <v>5292</v>
      </c>
      <c r="C706">
        <v>185</v>
      </c>
      <c r="D706">
        <v>81</v>
      </c>
      <c r="E706">
        <v>8</v>
      </c>
      <c r="F706">
        <v>10</v>
      </c>
      <c r="G706">
        <v>20</v>
      </c>
      <c r="H706">
        <v>0</v>
      </c>
      <c r="I706">
        <v>0</v>
      </c>
      <c r="J706">
        <v>30</v>
      </c>
      <c r="K706" t="s">
        <v>241</v>
      </c>
    </row>
    <row r="707" spans="2:11" x14ac:dyDescent="0.25">
      <c r="B707">
        <v>5290</v>
      </c>
      <c r="C707">
        <v>42</v>
      </c>
      <c r="D707">
        <v>21</v>
      </c>
      <c r="E707">
        <v>18</v>
      </c>
      <c r="F707">
        <v>11</v>
      </c>
      <c r="G707">
        <v>10</v>
      </c>
      <c r="H707">
        <v>0</v>
      </c>
      <c r="I707">
        <v>0</v>
      </c>
      <c r="J707">
        <v>21</v>
      </c>
      <c r="K707" t="s">
        <v>252</v>
      </c>
    </row>
    <row r="708" spans="2:11" x14ac:dyDescent="0.25">
      <c r="B708">
        <v>776</v>
      </c>
      <c r="C708">
        <v>70</v>
      </c>
      <c r="D708">
        <v>35</v>
      </c>
      <c r="E708">
        <v>4</v>
      </c>
      <c r="F708">
        <v>14</v>
      </c>
      <c r="G708">
        <v>10</v>
      </c>
      <c r="H708">
        <v>6</v>
      </c>
      <c r="I708">
        <v>0</v>
      </c>
      <c r="J708">
        <v>30</v>
      </c>
      <c r="K708" t="s">
        <v>245</v>
      </c>
    </row>
    <row r="709" spans="2:11" x14ac:dyDescent="0.25">
      <c r="B709">
        <v>778</v>
      </c>
      <c r="C709">
        <v>24</v>
      </c>
      <c r="D709">
        <v>12</v>
      </c>
      <c r="E709">
        <v>5</v>
      </c>
      <c r="F709">
        <v>5</v>
      </c>
      <c r="G709">
        <v>7</v>
      </c>
      <c r="H709">
        <v>10</v>
      </c>
      <c r="I709">
        <v>0</v>
      </c>
      <c r="J709">
        <v>22</v>
      </c>
      <c r="K709" t="s">
        <v>241</v>
      </c>
    </row>
    <row r="710" spans="2:11" x14ac:dyDescent="0.25">
      <c r="B710">
        <v>779</v>
      </c>
      <c r="C710">
        <v>4</v>
      </c>
      <c r="D710">
        <v>1</v>
      </c>
      <c r="E710">
        <v>4</v>
      </c>
      <c r="F710">
        <v>3</v>
      </c>
      <c r="G710">
        <v>3</v>
      </c>
      <c r="H710">
        <v>0</v>
      </c>
      <c r="I710">
        <v>0</v>
      </c>
      <c r="J710">
        <v>6</v>
      </c>
      <c r="K710" t="s">
        <v>245</v>
      </c>
    </row>
    <row r="711" spans="2:11" x14ac:dyDescent="0.25">
      <c r="B711">
        <v>780</v>
      </c>
      <c r="C711">
        <v>283</v>
      </c>
      <c r="D711">
        <v>131</v>
      </c>
      <c r="E711">
        <v>5</v>
      </c>
      <c r="F711">
        <v>9</v>
      </c>
      <c r="G711">
        <v>3</v>
      </c>
      <c r="H711">
        <v>0</v>
      </c>
      <c r="I711">
        <v>0</v>
      </c>
      <c r="J711">
        <v>12</v>
      </c>
      <c r="K711" t="s">
        <v>248</v>
      </c>
    </row>
    <row r="712" spans="2:11" x14ac:dyDescent="0.25">
      <c r="B712">
        <v>781</v>
      </c>
      <c r="C712">
        <v>346</v>
      </c>
      <c r="D712">
        <v>155</v>
      </c>
      <c r="E712">
        <v>4</v>
      </c>
      <c r="F712">
        <v>8</v>
      </c>
      <c r="G712">
        <v>16</v>
      </c>
      <c r="H712">
        <v>0</v>
      </c>
      <c r="I712">
        <v>0</v>
      </c>
      <c r="J712">
        <v>24</v>
      </c>
      <c r="K712" t="s">
        <v>242</v>
      </c>
    </row>
    <row r="713" spans="2:11" x14ac:dyDescent="0.25">
      <c r="B713">
        <v>782</v>
      </c>
      <c r="C713">
        <v>33</v>
      </c>
      <c r="D713">
        <v>17</v>
      </c>
      <c r="E713">
        <v>5</v>
      </c>
      <c r="F713">
        <v>7</v>
      </c>
      <c r="G713">
        <v>15</v>
      </c>
      <c r="H713">
        <v>0</v>
      </c>
      <c r="I713">
        <v>0</v>
      </c>
      <c r="J713">
        <v>22</v>
      </c>
      <c r="K713" t="s">
        <v>241</v>
      </c>
    </row>
    <row r="714" spans="2:11" x14ac:dyDescent="0.25">
      <c r="B714">
        <v>783</v>
      </c>
      <c r="C714">
        <v>164</v>
      </c>
      <c r="D714">
        <v>70</v>
      </c>
      <c r="E714">
        <v>5</v>
      </c>
      <c r="F714">
        <v>2</v>
      </c>
      <c r="G714">
        <v>0</v>
      </c>
      <c r="H714">
        <v>0</v>
      </c>
      <c r="I714">
        <v>0</v>
      </c>
      <c r="J714">
        <v>2</v>
      </c>
      <c r="K714" t="s">
        <v>248</v>
      </c>
    </row>
    <row r="715" spans="2:11" x14ac:dyDescent="0.25">
      <c r="B715">
        <v>785</v>
      </c>
      <c r="C715">
        <v>19</v>
      </c>
      <c r="D715">
        <v>9</v>
      </c>
      <c r="E715">
        <v>5</v>
      </c>
      <c r="F715">
        <v>17</v>
      </c>
      <c r="G715">
        <v>13</v>
      </c>
      <c r="H715">
        <v>0</v>
      </c>
      <c r="I715">
        <v>0</v>
      </c>
      <c r="J715">
        <v>30</v>
      </c>
      <c r="K715" t="s">
        <v>247</v>
      </c>
    </row>
    <row r="716" spans="2:11" x14ac:dyDescent="0.25">
      <c r="B716">
        <v>786</v>
      </c>
      <c r="C716">
        <v>78</v>
      </c>
      <c r="D716">
        <v>40</v>
      </c>
      <c r="E716">
        <v>5</v>
      </c>
      <c r="F716">
        <v>4</v>
      </c>
      <c r="G716">
        <v>5</v>
      </c>
      <c r="H716">
        <v>0</v>
      </c>
      <c r="I716">
        <v>0</v>
      </c>
      <c r="J716">
        <v>9</v>
      </c>
      <c r="K716" t="s">
        <v>241</v>
      </c>
    </row>
    <row r="717" spans="2:11" x14ac:dyDescent="0.25">
      <c r="B717">
        <v>787</v>
      </c>
      <c r="C717">
        <v>44</v>
      </c>
      <c r="D717">
        <v>22</v>
      </c>
      <c r="E717">
        <v>5</v>
      </c>
      <c r="F717">
        <v>6</v>
      </c>
      <c r="G717">
        <v>2</v>
      </c>
      <c r="H717">
        <v>0</v>
      </c>
      <c r="I717">
        <v>0</v>
      </c>
      <c r="J717">
        <v>8</v>
      </c>
      <c r="K717" t="s">
        <v>247</v>
      </c>
    </row>
    <row r="718" spans="2:11" x14ac:dyDescent="0.25">
      <c r="B718">
        <v>788</v>
      </c>
      <c r="C718">
        <v>72</v>
      </c>
      <c r="D718">
        <v>35</v>
      </c>
      <c r="E718">
        <v>4</v>
      </c>
      <c r="F718">
        <v>3</v>
      </c>
      <c r="G718">
        <v>16</v>
      </c>
      <c r="H718">
        <v>0</v>
      </c>
      <c r="I718">
        <v>0</v>
      </c>
      <c r="J718">
        <v>19</v>
      </c>
      <c r="K718" t="s">
        <v>242</v>
      </c>
    </row>
    <row r="719" spans="2:11" x14ac:dyDescent="0.25">
      <c r="B719">
        <v>789</v>
      </c>
      <c r="C719">
        <v>25</v>
      </c>
      <c r="D719">
        <v>13</v>
      </c>
      <c r="E719">
        <v>5</v>
      </c>
      <c r="F719">
        <v>0</v>
      </c>
      <c r="G719">
        <v>2</v>
      </c>
      <c r="H719">
        <v>1</v>
      </c>
      <c r="I719">
        <v>0</v>
      </c>
      <c r="J719">
        <v>3</v>
      </c>
      <c r="K719" t="s">
        <v>247</v>
      </c>
    </row>
    <row r="720" spans="2:11" x14ac:dyDescent="0.25">
      <c r="B720">
        <v>790</v>
      </c>
      <c r="C720">
        <v>76</v>
      </c>
      <c r="D720">
        <v>38</v>
      </c>
      <c r="E720">
        <v>5</v>
      </c>
      <c r="F720">
        <v>10</v>
      </c>
      <c r="G720">
        <v>5</v>
      </c>
      <c r="H720">
        <v>1</v>
      </c>
      <c r="I720">
        <v>0</v>
      </c>
      <c r="J720">
        <v>16</v>
      </c>
      <c r="K720" t="s">
        <v>241</v>
      </c>
    </row>
    <row r="721" spans="2:11" x14ac:dyDescent="0.25">
      <c r="B721">
        <v>791</v>
      </c>
      <c r="C721">
        <v>303</v>
      </c>
      <c r="D721">
        <v>140</v>
      </c>
      <c r="E721">
        <v>5</v>
      </c>
      <c r="F721">
        <v>5</v>
      </c>
      <c r="G721">
        <v>1</v>
      </c>
      <c r="H721">
        <v>0</v>
      </c>
      <c r="I721">
        <v>0</v>
      </c>
      <c r="J721">
        <v>6</v>
      </c>
      <c r="K721" t="s">
        <v>246</v>
      </c>
    </row>
    <row r="722" spans="2:11" x14ac:dyDescent="0.25">
      <c r="B722">
        <v>793</v>
      </c>
      <c r="C722">
        <v>302</v>
      </c>
      <c r="D722">
        <v>140</v>
      </c>
      <c r="E722">
        <v>5</v>
      </c>
      <c r="F722">
        <v>6</v>
      </c>
      <c r="G722">
        <v>5</v>
      </c>
      <c r="H722">
        <v>0</v>
      </c>
      <c r="I722">
        <v>0</v>
      </c>
      <c r="J722">
        <v>11</v>
      </c>
      <c r="K722" t="s">
        <v>246</v>
      </c>
    </row>
    <row r="723" spans="2:11" x14ac:dyDescent="0.25">
      <c r="B723">
        <v>794</v>
      </c>
      <c r="C723">
        <v>35</v>
      </c>
      <c r="D723">
        <v>17</v>
      </c>
      <c r="E723">
        <v>5</v>
      </c>
      <c r="F723">
        <v>0</v>
      </c>
      <c r="G723">
        <v>12</v>
      </c>
      <c r="H723">
        <v>0</v>
      </c>
      <c r="I723">
        <v>0</v>
      </c>
      <c r="J723">
        <v>12</v>
      </c>
      <c r="K723" t="s">
        <v>241</v>
      </c>
    </row>
    <row r="724" spans="2:11" x14ac:dyDescent="0.25">
      <c r="B724">
        <v>795</v>
      </c>
      <c r="C724">
        <v>84</v>
      </c>
      <c r="D724">
        <v>41</v>
      </c>
      <c r="E724">
        <v>5</v>
      </c>
      <c r="F724">
        <v>6</v>
      </c>
      <c r="G724">
        <v>2</v>
      </c>
      <c r="H724">
        <v>0</v>
      </c>
      <c r="I724">
        <v>0</v>
      </c>
      <c r="J724">
        <v>8</v>
      </c>
      <c r="K724" t="s">
        <v>246</v>
      </c>
    </row>
    <row r="725" spans="2:11" x14ac:dyDescent="0.25">
      <c r="B725">
        <v>796</v>
      </c>
      <c r="C725">
        <v>73</v>
      </c>
      <c r="D725">
        <v>35</v>
      </c>
      <c r="E725">
        <v>4</v>
      </c>
      <c r="F725">
        <v>13</v>
      </c>
      <c r="G725">
        <v>10</v>
      </c>
      <c r="H725">
        <v>4</v>
      </c>
      <c r="I725">
        <v>0</v>
      </c>
      <c r="J725">
        <v>27</v>
      </c>
      <c r="K725" t="s">
        <v>247</v>
      </c>
    </row>
    <row r="726" spans="2:11" x14ac:dyDescent="0.25">
      <c r="B726">
        <v>797</v>
      </c>
      <c r="C726">
        <v>51</v>
      </c>
      <c r="D726">
        <v>26</v>
      </c>
      <c r="E726">
        <v>5</v>
      </c>
      <c r="F726">
        <v>6</v>
      </c>
      <c r="G726">
        <v>11</v>
      </c>
      <c r="H726">
        <v>0</v>
      </c>
      <c r="I726">
        <v>0</v>
      </c>
      <c r="J726">
        <v>17</v>
      </c>
      <c r="K726" t="s">
        <v>242</v>
      </c>
    </row>
    <row r="727" spans="2:11" x14ac:dyDescent="0.25">
      <c r="B727">
        <v>798</v>
      </c>
      <c r="C727">
        <v>75</v>
      </c>
      <c r="D727">
        <v>37</v>
      </c>
      <c r="E727">
        <v>4</v>
      </c>
      <c r="F727">
        <v>5</v>
      </c>
      <c r="G727">
        <v>6</v>
      </c>
      <c r="H727">
        <v>3</v>
      </c>
      <c r="I727">
        <v>0</v>
      </c>
      <c r="J727">
        <v>14</v>
      </c>
      <c r="K727" t="s">
        <v>246</v>
      </c>
    </row>
    <row r="728" spans="2:11" x14ac:dyDescent="0.25">
      <c r="B728">
        <v>799</v>
      </c>
      <c r="C728">
        <v>74</v>
      </c>
      <c r="D728">
        <v>36</v>
      </c>
      <c r="E728">
        <v>4</v>
      </c>
      <c r="F728">
        <v>9</v>
      </c>
      <c r="G728">
        <v>18</v>
      </c>
      <c r="H728">
        <v>0</v>
      </c>
      <c r="I728">
        <v>0</v>
      </c>
      <c r="J728">
        <v>27</v>
      </c>
      <c r="K728" t="s">
        <v>247</v>
      </c>
    </row>
    <row r="729" spans="2:11" x14ac:dyDescent="0.25">
      <c r="B729">
        <v>800</v>
      </c>
      <c r="C729">
        <v>26</v>
      </c>
      <c r="D729">
        <v>14</v>
      </c>
      <c r="E729">
        <v>5</v>
      </c>
      <c r="F729">
        <v>15</v>
      </c>
      <c r="G729">
        <v>10</v>
      </c>
      <c r="H729">
        <v>4</v>
      </c>
      <c r="I729">
        <v>0</v>
      </c>
      <c r="J729">
        <v>29</v>
      </c>
      <c r="K729" t="s">
        <v>245</v>
      </c>
    </row>
    <row r="730" spans="2:11" x14ac:dyDescent="0.25">
      <c r="B730">
        <v>801</v>
      </c>
      <c r="C730">
        <v>6</v>
      </c>
      <c r="D730">
        <v>2</v>
      </c>
      <c r="E730">
        <v>5</v>
      </c>
      <c r="F730">
        <v>11</v>
      </c>
      <c r="G730">
        <v>6</v>
      </c>
      <c r="H730">
        <v>0</v>
      </c>
      <c r="I730">
        <v>0</v>
      </c>
      <c r="J730">
        <v>17</v>
      </c>
      <c r="K730" t="s">
        <v>243</v>
      </c>
    </row>
    <row r="731" spans="2:11" x14ac:dyDescent="0.25">
      <c r="B731">
        <v>802</v>
      </c>
      <c r="C731">
        <v>117</v>
      </c>
      <c r="D731">
        <v>54</v>
      </c>
      <c r="E731">
        <v>4</v>
      </c>
      <c r="F731">
        <v>8</v>
      </c>
      <c r="G731">
        <v>0</v>
      </c>
      <c r="H731">
        <v>2</v>
      </c>
      <c r="I731">
        <v>0</v>
      </c>
      <c r="J731">
        <v>10</v>
      </c>
      <c r="K731" t="s">
        <v>247</v>
      </c>
    </row>
    <row r="732" spans="2:11" x14ac:dyDescent="0.25">
      <c r="B732">
        <v>803</v>
      </c>
      <c r="C732">
        <v>5</v>
      </c>
      <c r="D732">
        <v>1</v>
      </c>
      <c r="E732">
        <v>4</v>
      </c>
      <c r="F732">
        <v>3</v>
      </c>
      <c r="G732">
        <v>1</v>
      </c>
      <c r="H732">
        <v>0</v>
      </c>
      <c r="I732">
        <v>0</v>
      </c>
      <c r="J732">
        <v>4</v>
      </c>
      <c r="K732" t="s">
        <v>243</v>
      </c>
    </row>
    <row r="733" spans="2:11" x14ac:dyDescent="0.25">
      <c r="B733">
        <v>804</v>
      </c>
      <c r="C733">
        <v>129</v>
      </c>
      <c r="D733">
        <v>57</v>
      </c>
      <c r="E733">
        <v>4</v>
      </c>
      <c r="F733">
        <v>6</v>
      </c>
      <c r="G733">
        <v>8</v>
      </c>
      <c r="H733">
        <v>0</v>
      </c>
      <c r="I733">
        <v>0</v>
      </c>
      <c r="J733">
        <v>14</v>
      </c>
      <c r="K733" t="s">
        <v>242</v>
      </c>
    </row>
    <row r="734" spans="2:11" x14ac:dyDescent="0.25">
      <c r="B734">
        <v>805</v>
      </c>
      <c r="C734">
        <v>128</v>
      </c>
      <c r="D734">
        <v>56</v>
      </c>
      <c r="E734">
        <v>4</v>
      </c>
      <c r="F734">
        <v>8</v>
      </c>
      <c r="G734">
        <v>1</v>
      </c>
      <c r="H734">
        <v>0</v>
      </c>
      <c r="I734">
        <v>0</v>
      </c>
      <c r="J734">
        <v>9</v>
      </c>
      <c r="K734" t="s">
        <v>247</v>
      </c>
    </row>
    <row r="735" spans="2:11" x14ac:dyDescent="0.25">
      <c r="B735">
        <v>806</v>
      </c>
      <c r="C735">
        <v>52</v>
      </c>
      <c r="D735">
        <v>26</v>
      </c>
      <c r="E735">
        <v>4</v>
      </c>
      <c r="F735">
        <v>10</v>
      </c>
      <c r="G735">
        <v>7</v>
      </c>
      <c r="H735">
        <v>0</v>
      </c>
      <c r="I735">
        <v>0</v>
      </c>
      <c r="J735">
        <v>17</v>
      </c>
      <c r="K735" t="s">
        <v>245</v>
      </c>
    </row>
    <row r="736" spans="2:11" x14ac:dyDescent="0.25">
      <c r="B736">
        <v>807</v>
      </c>
      <c r="C736">
        <v>128</v>
      </c>
      <c r="D736">
        <v>56</v>
      </c>
      <c r="E736">
        <v>5</v>
      </c>
      <c r="F736">
        <v>7</v>
      </c>
      <c r="G736">
        <v>1</v>
      </c>
      <c r="H736">
        <v>0</v>
      </c>
      <c r="I736">
        <v>0</v>
      </c>
      <c r="J736">
        <v>8</v>
      </c>
      <c r="K736" t="s">
        <v>247</v>
      </c>
    </row>
    <row r="737" spans="2:11" x14ac:dyDescent="0.25">
      <c r="B737">
        <v>808</v>
      </c>
      <c r="C737">
        <v>103</v>
      </c>
      <c r="D737">
        <v>51</v>
      </c>
      <c r="E737">
        <v>1</v>
      </c>
      <c r="F737">
        <v>8</v>
      </c>
      <c r="G737">
        <v>13</v>
      </c>
      <c r="H737">
        <v>2</v>
      </c>
      <c r="I737">
        <v>0</v>
      </c>
      <c r="J737">
        <v>23</v>
      </c>
      <c r="K737" t="s">
        <v>242</v>
      </c>
    </row>
    <row r="738" spans="2:11" x14ac:dyDescent="0.25">
      <c r="B738">
        <v>809</v>
      </c>
      <c r="C738">
        <v>22</v>
      </c>
      <c r="D738">
        <v>10</v>
      </c>
      <c r="E738">
        <v>5</v>
      </c>
      <c r="F738">
        <v>5</v>
      </c>
      <c r="G738">
        <v>7</v>
      </c>
      <c r="H738">
        <v>3</v>
      </c>
      <c r="I738">
        <v>0</v>
      </c>
      <c r="J738">
        <v>15</v>
      </c>
      <c r="K738" t="s">
        <v>245</v>
      </c>
    </row>
    <row r="739" spans="2:11" x14ac:dyDescent="0.25">
      <c r="B739">
        <v>810</v>
      </c>
      <c r="C739">
        <v>103</v>
      </c>
      <c r="D739">
        <v>51</v>
      </c>
      <c r="E739">
        <v>2</v>
      </c>
      <c r="F739">
        <v>14</v>
      </c>
      <c r="G739">
        <v>11</v>
      </c>
      <c r="H739">
        <v>1</v>
      </c>
      <c r="I739">
        <v>0</v>
      </c>
      <c r="J739">
        <v>26</v>
      </c>
      <c r="K739" t="s">
        <v>242</v>
      </c>
    </row>
    <row r="740" spans="2:11" x14ac:dyDescent="0.25">
      <c r="B740">
        <v>811</v>
      </c>
      <c r="C740">
        <v>179</v>
      </c>
      <c r="D740">
        <v>77</v>
      </c>
      <c r="E740">
        <v>4</v>
      </c>
      <c r="F740">
        <v>4</v>
      </c>
      <c r="G740">
        <v>1</v>
      </c>
      <c r="H740">
        <v>2</v>
      </c>
      <c r="I740">
        <v>0</v>
      </c>
      <c r="J740">
        <v>7</v>
      </c>
      <c r="K740" t="s">
        <v>242</v>
      </c>
    </row>
    <row r="741" spans="2:11" x14ac:dyDescent="0.25">
      <c r="B741">
        <v>812</v>
      </c>
      <c r="C741">
        <v>100</v>
      </c>
      <c r="D741">
        <v>50</v>
      </c>
      <c r="E741">
        <v>4</v>
      </c>
      <c r="F741">
        <v>4</v>
      </c>
      <c r="G741">
        <v>16</v>
      </c>
      <c r="H741">
        <v>0</v>
      </c>
      <c r="I741">
        <v>0</v>
      </c>
      <c r="J741">
        <v>20</v>
      </c>
      <c r="K741" t="s">
        <v>243</v>
      </c>
    </row>
    <row r="742" spans="2:11" x14ac:dyDescent="0.25">
      <c r="B742">
        <v>813</v>
      </c>
      <c r="C742">
        <v>351</v>
      </c>
      <c r="D742">
        <v>158</v>
      </c>
      <c r="E742">
        <v>4</v>
      </c>
      <c r="F742">
        <v>2</v>
      </c>
      <c r="G742">
        <v>2</v>
      </c>
      <c r="H742">
        <v>0</v>
      </c>
      <c r="I742">
        <v>0</v>
      </c>
      <c r="J742">
        <v>4</v>
      </c>
      <c r="K742" t="s">
        <v>243</v>
      </c>
    </row>
    <row r="743" spans="2:11" x14ac:dyDescent="0.25">
      <c r="B743">
        <v>814</v>
      </c>
      <c r="C743">
        <v>298</v>
      </c>
      <c r="D743">
        <v>137</v>
      </c>
      <c r="E743">
        <v>5</v>
      </c>
      <c r="F743">
        <v>0</v>
      </c>
      <c r="G743">
        <v>8</v>
      </c>
      <c r="H743">
        <v>0</v>
      </c>
      <c r="I743">
        <v>0</v>
      </c>
      <c r="J743">
        <v>8</v>
      </c>
      <c r="K743" t="s">
        <v>245</v>
      </c>
    </row>
    <row r="744" spans="2:11" x14ac:dyDescent="0.25">
      <c r="B744">
        <v>815</v>
      </c>
      <c r="C744">
        <v>130</v>
      </c>
      <c r="D744">
        <v>58</v>
      </c>
      <c r="E744">
        <v>4</v>
      </c>
      <c r="F744">
        <v>11</v>
      </c>
      <c r="G744">
        <v>9</v>
      </c>
      <c r="H744">
        <v>0</v>
      </c>
      <c r="I744">
        <v>0</v>
      </c>
      <c r="J744">
        <v>20</v>
      </c>
      <c r="K744" t="s">
        <v>243</v>
      </c>
    </row>
    <row r="745" spans="2:11" x14ac:dyDescent="0.25">
      <c r="B745">
        <v>817</v>
      </c>
      <c r="C745">
        <v>257</v>
      </c>
      <c r="D745">
        <v>117</v>
      </c>
      <c r="E745">
        <v>4</v>
      </c>
      <c r="F745">
        <v>8</v>
      </c>
      <c r="G745">
        <v>0</v>
      </c>
      <c r="H745">
        <v>0</v>
      </c>
      <c r="I745">
        <v>0</v>
      </c>
      <c r="J745">
        <v>8</v>
      </c>
      <c r="K745" t="s">
        <v>243</v>
      </c>
    </row>
    <row r="746" spans="2:11" x14ac:dyDescent="0.25">
      <c r="B746">
        <v>818</v>
      </c>
      <c r="C746">
        <v>145</v>
      </c>
      <c r="D746">
        <v>65</v>
      </c>
      <c r="E746">
        <v>5</v>
      </c>
      <c r="F746">
        <v>13</v>
      </c>
      <c r="G746">
        <v>5</v>
      </c>
      <c r="H746">
        <v>0</v>
      </c>
      <c r="I746">
        <v>0</v>
      </c>
      <c r="J746">
        <v>18</v>
      </c>
      <c r="K746" t="s">
        <v>242</v>
      </c>
    </row>
    <row r="747" spans="2:11" x14ac:dyDescent="0.25">
      <c r="B747">
        <v>819</v>
      </c>
      <c r="C747">
        <v>287</v>
      </c>
      <c r="D747">
        <v>133</v>
      </c>
      <c r="E747">
        <v>5</v>
      </c>
      <c r="F747">
        <v>4</v>
      </c>
      <c r="G747">
        <v>3</v>
      </c>
      <c r="H747">
        <v>2</v>
      </c>
      <c r="I747">
        <v>0</v>
      </c>
      <c r="J747">
        <v>9</v>
      </c>
      <c r="K747" t="s">
        <v>247</v>
      </c>
    </row>
    <row r="748" spans="2:11" x14ac:dyDescent="0.25">
      <c r="B748">
        <v>821</v>
      </c>
      <c r="C748">
        <v>285</v>
      </c>
      <c r="D748">
        <v>132</v>
      </c>
      <c r="E748">
        <v>5</v>
      </c>
      <c r="F748">
        <v>19</v>
      </c>
      <c r="G748">
        <v>2</v>
      </c>
      <c r="H748">
        <v>1</v>
      </c>
      <c r="I748">
        <v>0</v>
      </c>
      <c r="J748">
        <v>22</v>
      </c>
      <c r="K748" t="s">
        <v>246</v>
      </c>
    </row>
    <row r="749" spans="2:11" x14ac:dyDescent="0.25">
      <c r="B749">
        <v>822</v>
      </c>
      <c r="C749">
        <v>335</v>
      </c>
      <c r="D749">
        <v>152</v>
      </c>
      <c r="E749">
        <v>5</v>
      </c>
      <c r="F749">
        <v>7</v>
      </c>
      <c r="G749">
        <v>15</v>
      </c>
      <c r="H749">
        <v>1</v>
      </c>
      <c r="I749">
        <v>0</v>
      </c>
      <c r="J749">
        <v>23</v>
      </c>
      <c r="K749" t="s">
        <v>247</v>
      </c>
    </row>
    <row r="750" spans="2:11" x14ac:dyDescent="0.25">
      <c r="B750">
        <v>823</v>
      </c>
      <c r="C750">
        <v>260</v>
      </c>
      <c r="D750">
        <v>118</v>
      </c>
      <c r="E750">
        <v>5</v>
      </c>
      <c r="F750">
        <v>9</v>
      </c>
      <c r="G750">
        <v>1</v>
      </c>
      <c r="H750">
        <v>1</v>
      </c>
      <c r="I750">
        <v>0</v>
      </c>
      <c r="J750">
        <v>11</v>
      </c>
      <c r="K750" t="s">
        <v>242</v>
      </c>
    </row>
    <row r="751" spans="2:11" x14ac:dyDescent="0.25">
      <c r="B751">
        <v>824</v>
      </c>
      <c r="C751">
        <v>257</v>
      </c>
      <c r="D751">
        <v>117</v>
      </c>
      <c r="E751">
        <v>5</v>
      </c>
      <c r="F751">
        <v>7</v>
      </c>
      <c r="G751">
        <v>0</v>
      </c>
      <c r="H751">
        <v>2</v>
      </c>
      <c r="I751">
        <v>0</v>
      </c>
      <c r="J751">
        <v>9</v>
      </c>
      <c r="K751" t="s">
        <v>243</v>
      </c>
    </row>
    <row r="752" spans="2:11" x14ac:dyDescent="0.25">
      <c r="B752">
        <v>825</v>
      </c>
      <c r="C752">
        <v>131</v>
      </c>
      <c r="D752">
        <v>59</v>
      </c>
      <c r="E752">
        <v>4</v>
      </c>
      <c r="F752">
        <v>3</v>
      </c>
      <c r="G752">
        <v>10</v>
      </c>
      <c r="H752">
        <v>0</v>
      </c>
      <c r="I752">
        <v>0</v>
      </c>
      <c r="J752">
        <v>13</v>
      </c>
      <c r="K752" t="s">
        <v>241</v>
      </c>
    </row>
    <row r="753" spans="2:11" x14ac:dyDescent="0.25">
      <c r="B753">
        <v>827</v>
      </c>
      <c r="C753">
        <v>175</v>
      </c>
      <c r="D753">
        <v>76</v>
      </c>
      <c r="E753">
        <v>4</v>
      </c>
      <c r="F753">
        <v>3</v>
      </c>
      <c r="G753">
        <v>6</v>
      </c>
      <c r="H753">
        <v>3</v>
      </c>
      <c r="I753">
        <v>0</v>
      </c>
      <c r="J753">
        <v>12</v>
      </c>
      <c r="K753" t="s">
        <v>241</v>
      </c>
    </row>
    <row r="754" spans="2:11" x14ac:dyDescent="0.25">
      <c r="B754">
        <v>828</v>
      </c>
      <c r="C754">
        <v>143</v>
      </c>
      <c r="D754">
        <v>63</v>
      </c>
      <c r="E754">
        <v>5</v>
      </c>
      <c r="F754">
        <v>5</v>
      </c>
      <c r="G754">
        <v>1</v>
      </c>
      <c r="H754">
        <v>0</v>
      </c>
      <c r="I754">
        <v>0</v>
      </c>
      <c r="J754">
        <v>6</v>
      </c>
      <c r="K754" t="s">
        <v>245</v>
      </c>
    </row>
    <row r="755" spans="2:11" x14ac:dyDescent="0.25">
      <c r="B755">
        <v>829</v>
      </c>
      <c r="C755">
        <v>268</v>
      </c>
      <c r="D755">
        <v>120</v>
      </c>
      <c r="E755">
        <v>4</v>
      </c>
      <c r="F755">
        <v>12</v>
      </c>
      <c r="G755">
        <v>11</v>
      </c>
      <c r="H755">
        <v>0</v>
      </c>
      <c r="I755">
        <v>0</v>
      </c>
      <c r="J755">
        <v>23</v>
      </c>
      <c r="K755" t="s">
        <v>241</v>
      </c>
    </row>
    <row r="756" spans="2:11" x14ac:dyDescent="0.25">
      <c r="B756">
        <v>830</v>
      </c>
      <c r="C756">
        <v>312</v>
      </c>
      <c r="D756">
        <v>144</v>
      </c>
      <c r="E756">
        <v>5</v>
      </c>
      <c r="F756">
        <v>2</v>
      </c>
      <c r="G756">
        <v>6</v>
      </c>
      <c r="H756">
        <v>0</v>
      </c>
      <c r="I756">
        <v>0</v>
      </c>
      <c r="J756">
        <v>8</v>
      </c>
      <c r="K756" t="s">
        <v>247</v>
      </c>
    </row>
    <row r="757" spans="2:11" x14ac:dyDescent="0.25">
      <c r="B757">
        <v>831</v>
      </c>
      <c r="C757">
        <v>300</v>
      </c>
      <c r="D757">
        <v>138</v>
      </c>
      <c r="E757">
        <v>5</v>
      </c>
      <c r="F757">
        <v>4</v>
      </c>
      <c r="G757">
        <v>6</v>
      </c>
      <c r="H757">
        <v>0</v>
      </c>
      <c r="I757">
        <v>0</v>
      </c>
      <c r="J757">
        <v>10</v>
      </c>
      <c r="K757" t="s">
        <v>246</v>
      </c>
    </row>
    <row r="758" spans="2:11" x14ac:dyDescent="0.25">
      <c r="B758">
        <v>832</v>
      </c>
      <c r="C758">
        <v>21</v>
      </c>
      <c r="D758">
        <v>10</v>
      </c>
      <c r="E758">
        <v>5</v>
      </c>
      <c r="F758">
        <v>10</v>
      </c>
      <c r="G758">
        <v>7</v>
      </c>
      <c r="H758">
        <v>0</v>
      </c>
      <c r="I758">
        <v>0</v>
      </c>
      <c r="J758">
        <v>17</v>
      </c>
      <c r="K758" t="s">
        <v>243</v>
      </c>
    </row>
    <row r="759" spans="2:11" x14ac:dyDescent="0.25">
      <c r="B759">
        <v>833</v>
      </c>
      <c r="C759">
        <v>309</v>
      </c>
      <c r="D759">
        <v>144</v>
      </c>
      <c r="E759">
        <v>5</v>
      </c>
      <c r="F759">
        <v>11</v>
      </c>
      <c r="G759">
        <v>11</v>
      </c>
      <c r="H759">
        <v>0</v>
      </c>
      <c r="I759">
        <v>0</v>
      </c>
      <c r="J759">
        <v>22</v>
      </c>
      <c r="K759" t="s">
        <v>247</v>
      </c>
    </row>
    <row r="760" spans="2:11" x14ac:dyDescent="0.25">
      <c r="B760">
        <v>834</v>
      </c>
      <c r="C760">
        <v>150</v>
      </c>
      <c r="D760">
        <v>69</v>
      </c>
      <c r="E760">
        <v>5</v>
      </c>
      <c r="F760">
        <v>7</v>
      </c>
      <c r="G760">
        <v>7</v>
      </c>
      <c r="H760">
        <v>1</v>
      </c>
      <c r="I760">
        <v>0</v>
      </c>
      <c r="J760">
        <v>15</v>
      </c>
      <c r="K760" t="s">
        <v>245</v>
      </c>
    </row>
    <row r="761" spans="2:11" x14ac:dyDescent="0.25">
      <c r="B761">
        <v>835</v>
      </c>
      <c r="C761">
        <v>268</v>
      </c>
      <c r="D761">
        <v>120</v>
      </c>
      <c r="E761">
        <v>5</v>
      </c>
      <c r="F761">
        <v>5</v>
      </c>
      <c r="G761">
        <v>14</v>
      </c>
      <c r="H761">
        <v>0</v>
      </c>
      <c r="I761">
        <v>0</v>
      </c>
      <c r="J761">
        <v>19</v>
      </c>
      <c r="K761" t="s">
        <v>246</v>
      </c>
    </row>
    <row r="762" spans="2:11" x14ac:dyDescent="0.25">
      <c r="B762">
        <v>839</v>
      </c>
      <c r="C762">
        <v>310</v>
      </c>
      <c r="D762">
        <v>144</v>
      </c>
      <c r="E762">
        <v>5</v>
      </c>
      <c r="F762">
        <v>9</v>
      </c>
      <c r="G762">
        <v>15</v>
      </c>
      <c r="H762">
        <v>0</v>
      </c>
      <c r="I762">
        <v>0</v>
      </c>
      <c r="J762">
        <v>24</v>
      </c>
      <c r="K762" t="s">
        <v>247</v>
      </c>
    </row>
    <row r="763" spans="2:11" x14ac:dyDescent="0.25">
      <c r="B763">
        <v>840</v>
      </c>
      <c r="C763">
        <v>263</v>
      </c>
      <c r="D763">
        <v>118</v>
      </c>
      <c r="E763">
        <v>5</v>
      </c>
      <c r="F763">
        <v>2</v>
      </c>
      <c r="G763">
        <v>1</v>
      </c>
      <c r="H763">
        <v>0</v>
      </c>
      <c r="I763">
        <v>0</v>
      </c>
      <c r="J763">
        <v>3</v>
      </c>
      <c r="K763" t="s">
        <v>246</v>
      </c>
    </row>
    <row r="764" spans="2:11" x14ac:dyDescent="0.25">
      <c r="B764">
        <v>842</v>
      </c>
      <c r="C764">
        <v>146</v>
      </c>
      <c r="D764">
        <v>65</v>
      </c>
      <c r="E764">
        <v>5</v>
      </c>
      <c r="F764">
        <v>21</v>
      </c>
      <c r="G764">
        <v>5</v>
      </c>
      <c r="H764">
        <v>0</v>
      </c>
      <c r="I764">
        <v>0</v>
      </c>
      <c r="J764">
        <v>26</v>
      </c>
      <c r="K764" t="s">
        <v>245</v>
      </c>
    </row>
    <row r="765" spans="2:11" x14ac:dyDescent="0.25">
      <c r="B765">
        <v>843</v>
      </c>
      <c r="C765">
        <v>262</v>
      </c>
      <c r="D765">
        <v>118</v>
      </c>
      <c r="E765">
        <v>5</v>
      </c>
      <c r="F765">
        <v>3</v>
      </c>
      <c r="G765">
        <v>6</v>
      </c>
      <c r="H765">
        <v>2</v>
      </c>
      <c r="I765">
        <v>0</v>
      </c>
      <c r="J765">
        <v>11</v>
      </c>
      <c r="K765" t="s">
        <v>246</v>
      </c>
    </row>
    <row r="766" spans="2:11" x14ac:dyDescent="0.25">
      <c r="B766">
        <v>844</v>
      </c>
      <c r="C766">
        <v>80</v>
      </c>
      <c r="D766">
        <v>38</v>
      </c>
      <c r="E766">
        <v>5</v>
      </c>
      <c r="F766">
        <v>3</v>
      </c>
      <c r="G766">
        <v>3</v>
      </c>
      <c r="H766">
        <v>0</v>
      </c>
      <c r="I766">
        <v>0</v>
      </c>
      <c r="J766">
        <v>6</v>
      </c>
      <c r="K766" t="s">
        <v>247</v>
      </c>
    </row>
    <row r="767" spans="2:11" x14ac:dyDescent="0.25">
      <c r="B767">
        <v>845</v>
      </c>
      <c r="C767">
        <v>258</v>
      </c>
      <c r="D767">
        <v>118</v>
      </c>
      <c r="E767">
        <v>5</v>
      </c>
      <c r="F767">
        <v>2</v>
      </c>
      <c r="G767">
        <v>1</v>
      </c>
      <c r="H767">
        <v>1</v>
      </c>
      <c r="I767">
        <v>0</v>
      </c>
      <c r="J767">
        <v>4</v>
      </c>
      <c r="K767" t="s">
        <v>246</v>
      </c>
    </row>
    <row r="768" spans="2:11" x14ac:dyDescent="0.25">
      <c r="B768">
        <v>846</v>
      </c>
      <c r="C768">
        <v>240</v>
      </c>
      <c r="D768">
        <v>107</v>
      </c>
      <c r="E768">
        <v>5</v>
      </c>
      <c r="F768">
        <v>10</v>
      </c>
      <c r="G768">
        <v>3</v>
      </c>
      <c r="H768">
        <v>0</v>
      </c>
      <c r="I768">
        <v>0</v>
      </c>
      <c r="J768">
        <v>13</v>
      </c>
      <c r="K768" t="s">
        <v>248</v>
      </c>
    </row>
    <row r="769" spans="2:11" x14ac:dyDescent="0.25">
      <c r="B769">
        <v>847</v>
      </c>
      <c r="C769">
        <v>242</v>
      </c>
      <c r="D769">
        <v>107</v>
      </c>
      <c r="E769">
        <v>5</v>
      </c>
      <c r="F769">
        <v>9</v>
      </c>
      <c r="G769">
        <v>6</v>
      </c>
      <c r="H769">
        <v>0</v>
      </c>
      <c r="I769">
        <v>0</v>
      </c>
      <c r="J769">
        <v>15</v>
      </c>
      <c r="K769" t="s">
        <v>246</v>
      </c>
    </row>
    <row r="770" spans="2:11" x14ac:dyDescent="0.25">
      <c r="B770">
        <v>848</v>
      </c>
      <c r="C770">
        <v>8</v>
      </c>
      <c r="D770">
        <v>3</v>
      </c>
      <c r="E770">
        <v>5</v>
      </c>
      <c r="F770">
        <v>16</v>
      </c>
      <c r="G770">
        <v>11</v>
      </c>
      <c r="H770">
        <v>1</v>
      </c>
      <c r="I770">
        <v>0</v>
      </c>
      <c r="J770">
        <v>28</v>
      </c>
      <c r="K770" t="s">
        <v>247</v>
      </c>
    </row>
    <row r="771" spans="2:11" x14ac:dyDescent="0.25">
      <c r="B771">
        <v>4502</v>
      </c>
      <c r="C771">
        <v>131</v>
      </c>
      <c r="D771">
        <v>59</v>
      </c>
      <c r="E771">
        <v>17</v>
      </c>
      <c r="F771">
        <v>3</v>
      </c>
      <c r="G771">
        <v>4</v>
      </c>
      <c r="H771">
        <v>0</v>
      </c>
      <c r="I771">
        <v>0</v>
      </c>
      <c r="J771">
        <v>7</v>
      </c>
      <c r="K771" t="s">
        <v>250</v>
      </c>
    </row>
    <row r="772" spans="2:11" x14ac:dyDescent="0.25">
      <c r="B772">
        <v>5278</v>
      </c>
      <c r="C772">
        <v>185</v>
      </c>
      <c r="D772">
        <v>81</v>
      </c>
      <c r="E772">
        <v>5</v>
      </c>
      <c r="F772">
        <v>3</v>
      </c>
      <c r="G772">
        <v>24</v>
      </c>
      <c r="H772">
        <v>0</v>
      </c>
      <c r="I772">
        <v>0</v>
      </c>
      <c r="J772">
        <v>27</v>
      </c>
      <c r="K772" t="s">
        <v>241</v>
      </c>
    </row>
    <row r="773" spans="2:11" x14ac:dyDescent="0.25">
      <c r="B773">
        <v>5288</v>
      </c>
      <c r="C773">
        <v>213</v>
      </c>
      <c r="D773">
        <v>94</v>
      </c>
      <c r="E773">
        <v>14</v>
      </c>
      <c r="F773">
        <v>6</v>
      </c>
      <c r="G773">
        <v>19</v>
      </c>
      <c r="H773">
        <v>0</v>
      </c>
      <c r="I773">
        <v>0</v>
      </c>
      <c r="J773">
        <v>25</v>
      </c>
      <c r="K773" t="s">
        <v>245</v>
      </c>
    </row>
    <row r="774" spans="2:11" x14ac:dyDescent="0.25">
      <c r="B774">
        <v>5293</v>
      </c>
      <c r="C774">
        <v>198</v>
      </c>
      <c r="D774">
        <v>86</v>
      </c>
      <c r="E774">
        <v>4</v>
      </c>
      <c r="F774">
        <v>9</v>
      </c>
      <c r="G774">
        <v>5</v>
      </c>
      <c r="H774">
        <v>1</v>
      </c>
      <c r="I774">
        <v>0</v>
      </c>
      <c r="J774">
        <v>15</v>
      </c>
      <c r="K774" t="s">
        <v>246</v>
      </c>
    </row>
    <row r="775" spans="2:11" x14ac:dyDescent="0.25">
      <c r="B775">
        <v>5295</v>
      </c>
      <c r="C775">
        <v>185</v>
      </c>
      <c r="D775">
        <v>81</v>
      </c>
      <c r="E775">
        <v>9</v>
      </c>
      <c r="F775">
        <v>10</v>
      </c>
      <c r="G775">
        <v>15</v>
      </c>
      <c r="H775">
        <v>0</v>
      </c>
      <c r="I775">
        <v>0</v>
      </c>
      <c r="J775">
        <v>25</v>
      </c>
      <c r="K775" t="s">
        <v>241</v>
      </c>
    </row>
    <row r="776" spans="2:11" x14ac:dyDescent="0.25">
      <c r="B776">
        <v>5296</v>
      </c>
      <c r="C776">
        <v>198</v>
      </c>
      <c r="D776">
        <v>86</v>
      </c>
      <c r="E776">
        <v>5</v>
      </c>
      <c r="F776">
        <v>11</v>
      </c>
      <c r="G776">
        <v>7</v>
      </c>
      <c r="H776">
        <v>0</v>
      </c>
      <c r="I776">
        <v>0</v>
      </c>
      <c r="J776">
        <v>18</v>
      </c>
      <c r="K776" t="s">
        <v>246</v>
      </c>
    </row>
    <row r="777" spans="2:11" x14ac:dyDescent="0.25">
      <c r="B777">
        <v>5294</v>
      </c>
      <c r="C777">
        <v>214</v>
      </c>
      <c r="D777">
        <v>94</v>
      </c>
      <c r="E777">
        <v>8</v>
      </c>
      <c r="F777">
        <v>0</v>
      </c>
      <c r="G777">
        <v>23</v>
      </c>
      <c r="H777">
        <v>0</v>
      </c>
      <c r="I777">
        <v>0</v>
      </c>
      <c r="J777">
        <v>23</v>
      </c>
      <c r="K777" t="s">
        <v>245</v>
      </c>
    </row>
    <row r="778" spans="2:11" x14ac:dyDescent="0.25">
      <c r="B778">
        <v>5297</v>
      </c>
      <c r="C778">
        <v>41</v>
      </c>
      <c r="D778">
        <v>20</v>
      </c>
      <c r="E778">
        <v>18</v>
      </c>
      <c r="F778">
        <v>4</v>
      </c>
      <c r="G778">
        <v>2</v>
      </c>
      <c r="H778">
        <v>0</v>
      </c>
      <c r="I778">
        <v>0</v>
      </c>
      <c r="J778">
        <v>6</v>
      </c>
      <c r="K778" t="s">
        <v>252</v>
      </c>
    </row>
    <row r="779" spans="2:11" x14ac:dyDescent="0.25">
      <c r="B779">
        <v>849</v>
      </c>
      <c r="C779">
        <v>147</v>
      </c>
      <c r="D779">
        <v>66</v>
      </c>
      <c r="E779">
        <v>5</v>
      </c>
      <c r="F779">
        <v>27</v>
      </c>
      <c r="G779">
        <v>2</v>
      </c>
      <c r="H779">
        <v>0</v>
      </c>
      <c r="I779">
        <v>0</v>
      </c>
      <c r="J779">
        <v>29</v>
      </c>
      <c r="K779" t="s">
        <v>246</v>
      </c>
    </row>
    <row r="780" spans="2:11" x14ac:dyDescent="0.25">
      <c r="B780">
        <v>850</v>
      </c>
      <c r="C780">
        <v>266</v>
      </c>
      <c r="D780">
        <v>118</v>
      </c>
      <c r="E780">
        <v>4</v>
      </c>
      <c r="F780">
        <v>16</v>
      </c>
      <c r="G780">
        <v>13</v>
      </c>
      <c r="H780">
        <v>0</v>
      </c>
      <c r="I780">
        <v>0</v>
      </c>
      <c r="J780">
        <v>29</v>
      </c>
      <c r="K780" t="s">
        <v>246</v>
      </c>
    </row>
    <row r="781" spans="2:11" x14ac:dyDescent="0.25">
      <c r="B781">
        <v>851</v>
      </c>
      <c r="C781">
        <v>286</v>
      </c>
      <c r="D781">
        <v>133</v>
      </c>
      <c r="E781">
        <v>5</v>
      </c>
      <c r="F781">
        <v>11</v>
      </c>
      <c r="G781">
        <v>0</v>
      </c>
      <c r="H781">
        <v>0</v>
      </c>
      <c r="I781">
        <v>0</v>
      </c>
      <c r="J781">
        <v>11</v>
      </c>
      <c r="K781" t="s">
        <v>245</v>
      </c>
    </row>
    <row r="782" spans="2:11" x14ac:dyDescent="0.25">
      <c r="B782">
        <v>853</v>
      </c>
      <c r="C782">
        <v>313</v>
      </c>
      <c r="D782">
        <v>144</v>
      </c>
      <c r="E782">
        <v>5</v>
      </c>
      <c r="F782">
        <v>2</v>
      </c>
      <c r="G782">
        <v>5</v>
      </c>
      <c r="H782">
        <v>0</v>
      </c>
      <c r="I782">
        <v>0</v>
      </c>
      <c r="J782">
        <v>7</v>
      </c>
      <c r="K782" t="s">
        <v>248</v>
      </c>
    </row>
    <row r="783" spans="2:11" x14ac:dyDescent="0.25">
      <c r="B783">
        <v>854</v>
      </c>
      <c r="C783">
        <v>288</v>
      </c>
      <c r="D783">
        <v>134</v>
      </c>
      <c r="E783">
        <v>5</v>
      </c>
      <c r="F783">
        <v>23</v>
      </c>
      <c r="G783">
        <v>5</v>
      </c>
      <c r="H783">
        <v>1</v>
      </c>
      <c r="I783">
        <v>0</v>
      </c>
      <c r="J783">
        <v>29</v>
      </c>
      <c r="K783" t="s">
        <v>248</v>
      </c>
    </row>
    <row r="784" spans="2:11" x14ac:dyDescent="0.25">
      <c r="B784">
        <v>855</v>
      </c>
      <c r="C784">
        <v>266</v>
      </c>
      <c r="D784">
        <v>118</v>
      </c>
      <c r="E784">
        <v>5</v>
      </c>
      <c r="F784">
        <v>10</v>
      </c>
      <c r="G784">
        <v>12</v>
      </c>
      <c r="H784">
        <v>0</v>
      </c>
      <c r="I784">
        <v>0</v>
      </c>
      <c r="J784">
        <v>22</v>
      </c>
      <c r="K784" t="s">
        <v>242</v>
      </c>
    </row>
    <row r="785" spans="2:11" x14ac:dyDescent="0.25">
      <c r="B785">
        <v>856</v>
      </c>
      <c r="C785">
        <v>238</v>
      </c>
      <c r="D785">
        <v>105</v>
      </c>
      <c r="E785">
        <v>5</v>
      </c>
      <c r="F785">
        <v>15</v>
      </c>
      <c r="G785">
        <v>5</v>
      </c>
      <c r="H785">
        <v>2</v>
      </c>
      <c r="I785">
        <v>0</v>
      </c>
      <c r="J785">
        <v>22</v>
      </c>
      <c r="K785" t="s">
        <v>242</v>
      </c>
    </row>
    <row r="786" spans="2:11" x14ac:dyDescent="0.25">
      <c r="B786">
        <v>857</v>
      </c>
      <c r="C786">
        <v>297</v>
      </c>
      <c r="D786">
        <v>136</v>
      </c>
      <c r="E786">
        <v>5</v>
      </c>
      <c r="F786">
        <v>18</v>
      </c>
      <c r="G786">
        <v>6</v>
      </c>
      <c r="H786">
        <v>0</v>
      </c>
      <c r="I786">
        <v>0</v>
      </c>
      <c r="J786">
        <v>24</v>
      </c>
      <c r="K786" t="s">
        <v>248</v>
      </c>
    </row>
    <row r="787" spans="2:11" x14ac:dyDescent="0.25">
      <c r="B787">
        <v>858</v>
      </c>
      <c r="C787">
        <v>118</v>
      </c>
      <c r="D787">
        <v>55</v>
      </c>
      <c r="E787">
        <v>4</v>
      </c>
      <c r="F787">
        <v>10</v>
      </c>
      <c r="G787">
        <v>4</v>
      </c>
      <c r="H787">
        <v>1</v>
      </c>
      <c r="I787">
        <v>0</v>
      </c>
      <c r="J787">
        <v>15</v>
      </c>
      <c r="K787" t="s">
        <v>241</v>
      </c>
    </row>
    <row r="788" spans="2:11" x14ac:dyDescent="0.25">
      <c r="B788">
        <v>860</v>
      </c>
      <c r="C788">
        <v>119</v>
      </c>
      <c r="D788">
        <v>55</v>
      </c>
      <c r="E788">
        <v>4</v>
      </c>
      <c r="F788">
        <v>3</v>
      </c>
      <c r="G788">
        <v>1</v>
      </c>
      <c r="H788">
        <v>0</v>
      </c>
      <c r="I788">
        <v>0</v>
      </c>
      <c r="J788">
        <v>4</v>
      </c>
      <c r="K788" t="s">
        <v>241</v>
      </c>
    </row>
    <row r="789" spans="2:11" x14ac:dyDescent="0.25">
      <c r="B789">
        <v>862</v>
      </c>
      <c r="C789">
        <v>168</v>
      </c>
      <c r="D789">
        <v>72</v>
      </c>
      <c r="E789">
        <v>4</v>
      </c>
      <c r="F789">
        <v>2</v>
      </c>
      <c r="G789">
        <v>12</v>
      </c>
      <c r="H789">
        <v>0</v>
      </c>
      <c r="I789">
        <v>0</v>
      </c>
      <c r="J789">
        <v>14</v>
      </c>
      <c r="K789" t="s">
        <v>241</v>
      </c>
    </row>
    <row r="790" spans="2:11" x14ac:dyDescent="0.25">
      <c r="B790">
        <v>863</v>
      </c>
      <c r="C790">
        <v>103</v>
      </c>
      <c r="D790">
        <v>51</v>
      </c>
      <c r="E790">
        <v>4</v>
      </c>
      <c r="F790">
        <v>17</v>
      </c>
      <c r="G790">
        <v>7</v>
      </c>
      <c r="H790">
        <v>0</v>
      </c>
      <c r="I790">
        <v>0</v>
      </c>
      <c r="J790">
        <v>24</v>
      </c>
      <c r="K790" t="s">
        <v>241</v>
      </c>
    </row>
    <row r="791" spans="2:11" x14ac:dyDescent="0.25">
      <c r="B791">
        <v>865</v>
      </c>
      <c r="C791">
        <v>264</v>
      </c>
      <c r="D791">
        <v>118</v>
      </c>
      <c r="E791">
        <v>4</v>
      </c>
      <c r="F791">
        <v>16</v>
      </c>
      <c r="G791">
        <v>7</v>
      </c>
      <c r="H791">
        <v>3</v>
      </c>
      <c r="I791">
        <v>0</v>
      </c>
      <c r="J791">
        <v>26</v>
      </c>
      <c r="K791" t="s">
        <v>241</v>
      </c>
    </row>
    <row r="792" spans="2:11" x14ac:dyDescent="0.25">
      <c r="B792">
        <v>866</v>
      </c>
      <c r="C792">
        <v>118</v>
      </c>
      <c r="D792">
        <v>55</v>
      </c>
      <c r="E792">
        <v>5</v>
      </c>
      <c r="F792">
        <v>11</v>
      </c>
      <c r="G792">
        <v>3</v>
      </c>
      <c r="H792">
        <v>1</v>
      </c>
      <c r="I792">
        <v>0</v>
      </c>
      <c r="J792">
        <v>15</v>
      </c>
      <c r="K792" t="s">
        <v>248</v>
      </c>
    </row>
    <row r="793" spans="2:11" x14ac:dyDescent="0.25">
      <c r="B793">
        <v>867</v>
      </c>
      <c r="C793">
        <v>85</v>
      </c>
      <c r="D793">
        <v>41</v>
      </c>
      <c r="E793">
        <v>5</v>
      </c>
      <c r="F793">
        <v>6</v>
      </c>
      <c r="G793">
        <v>3</v>
      </c>
      <c r="H793">
        <v>2</v>
      </c>
      <c r="I793">
        <v>0</v>
      </c>
      <c r="J793">
        <v>11</v>
      </c>
      <c r="K793" t="s">
        <v>246</v>
      </c>
    </row>
    <row r="794" spans="2:11" x14ac:dyDescent="0.25">
      <c r="B794">
        <v>868</v>
      </c>
      <c r="C794">
        <v>81</v>
      </c>
      <c r="D794">
        <v>38</v>
      </c>
      <c r="E794">
        <v>5</v>
      </c>
      <c r="F794">
        <v>14</v>
      </c>
      <c r="G794">
        <v>7</v>
      </c>
      <c r="H794">
        <v>1</v>
      </c>
      <c r="I794">
        <v>0</v>
      </c>
      <c r="J794">
        <v>22</v>
      </c>
      <c r="K794" t="s">
        <v>246</v>
      </c>
    </row>
    <row r="795" spans="2:11" x14ac:dyDescent="0.25">
      <c r="B795">
        <v>869</v>
      </c>
      <c r="C795">
        <v>61</v>
      </c>
      <c r="D795">
        <v>32</v>
      </c>
      <c r="E795">
        <v>5</v>
      </c>
      <c r="F795">
        <v>4</v>
      </c>
      <c r="G795">
        <v>9</v>
      </c>
      <c r="H795">
        <v>2</v>
      </c>
      <c r="I795">
        <v>0</v>
      </c>
      <c r="J795">
        <v>15</v>
      </c>
      <c r="K795" t="s">
        <v>246</v>
      </c>
    </row>
    <row r="796" spans="2:11" x14ac:dyDescent="0.25">
      <c r="B796">
        <v>870</v>
      </c>
      <c r="C796">
        <v>53</v>
      </c>
      <c r="D796">
        <v>27</v>
      </c>
      <c r="E796">
        <v>5</v>
      </c>
      <c r="F796">
        <v>5</v>
      </c>
      <c r="G796">
        <v>12</v>
      </c>
      <c r="H796">
        <v>0</v>
      </c>
      <c r="I796">
        <v>0</v>
      </c>
      <c r="J796">
        <v>17</v>
      </c>
      <c r="K796" t="s">
        <v>246</v>
      </c>
    </row>
    <row r="797" spans="2:11" x14ac:dyDescent="0.25">
      <c r="B797">
        <v>871</v>
      </c>
      <c r="C797">
        <v>168</v>
      </c>
      <c r="D797">
        <v>72</v>
      </c>
      <c r="E797">
        <v>5</v>
      </c>
      <c r="F797">
        <v>3</v>
      </c>
      <c r="G797">
        <v>5</v>
      </c>
      <c r="H797">
        <v>0</v>
      </c>
      <c r="I797">
        <v>0</v>
      </c>
      <c r="J797">
        <v>8</v>
      </c>
      <c r="K797" t="s">
        <v>248</v>
      </c>
    </row>
    <row r="798" spans="2:11" x14ac:dyDescent="0.25">
      <c r="B798">
        <v>872</v>
      </c>
      <c r="C798">
        <v>20</v>
      </c>
      <c r="D798">
        <v>10</v>
      </c>
      <c r="E798">
        <v>5</v>
      </c>
      <c r="F798">
        <v>9</v>
      </c>
      <c r="G798">
        <v>5</v>
      </c>
      <c r="H798">
        <v>1</v>
      </c>
      <c r="I798">
        <v>0</v>
      </c>
      <c r="J798">
        <v>15</v>
      </c>
      <c r="K798" t="s">
        <v>246</v>
      </c>
    </row>
    <row r="799" spans="2:11" x14ac:dyDescent="0.25">
      <c r="B799">
        <v>873</v>
      </c>
      <c r="C799">
        <v>79</v>
      </c>
      <c r="D799">
        <v>41</v>
      </c>
      <c r="E799">
        <v>5</v>
      </c>
      <c r="F799">
        <v>6</v>
      </c>
      <c r="G799">
        <v>12</v>
      </c>
      <c r="H799">
        <v>0</v>
      </c>
      <c r="I799">
        <v>0</v>
      </c>
      <c r="J799">
        <v>18</v>
      </c>
      <c r="K799" t="s">
        <v>246</v>
      </c>
    </row>
    <row r="800" spans="2:11" x14ac:dyDescent="0.25">
      <c r="B800">
        <v>874</v>
      </c>
      <c r="C800">
        <v>115</v>
      </c>
      <c r="D800">
        <v>53</v>
      </c>
      <c r="E800">
        <v>5</v>
      </c>
      <c r="F800">
        <v>16</v>
      </c>
      <c r="G800">
        <v>14</v>
      </c>
      <c r="H800">
        <v>0</v>
      </c>
      <c r="I800">
        <v>0</v>
      </c>
      <c r="J800">
        <v>30</v>
      </c>
      <c r="K800" t="s">
        <v>249</v>
      </c>
    </row>
    <row r="801" spans="2:11" x14ac:dyDescent="0.25">
      <c r="B801">
        <v>875</v>
      </c>
      <c r="C801">
        <v>269</v>
      </c>
      <c r="D801">
        <v>121</v>
      </c>
      <c r="E801">
        <v>5</v>
      </c>
      <c r="F801">
        <v>8</v>
      </c>
      <c r="G801">
        <v>12</v>
      </c>
      <c r="H801">
        <v>0</v>
      </c>
      <c r="I801">
        <v>0</v>
      </c>
      <c r="J801">
        <v>20</v>
      </c>
      <c r="K801" t="s">
        <v>247</v>
      </c>
    </row>
    <row r="802" spans="2:11" x14ac:dyDescent="0.25">
      <c r="B802">
        <v>876</v>
      </c>
      <c r="C802">
        <v>336</v>
      </c>
      <c r="D802">
        <v>152</v>
      </c>
      <c r="E802">
        <v>5</v>
      </c>
      <c r="F802">
        <v>10</v>
      </c>
      <c r="G802">
        <v>20</v>
      </c>
      <c r="H802">
        <v>0</v>
      </c>
      <c r="I802">
        <v>0</v>
      </c>
      <c r="J802">
        <v>30</v>
      </c>
      <c r="K802" t="s">
        <v>249</v>
      </c>
    </row>
    <row r="803" spans="2:11" x14ac:dyDescent="0.25">
      <c r="B803">
        <v>877</v>
      </c>
      <c r="C803">
        <v>265</v>
      </c>
      <c r="D803">
        <v>118</v>
      </c>
      <c r="E803">
        <v>5</v>
      </c>
      <c r="F803">
        <v>19</v>
      </c>
      <c r="G803">
        <v>8</v>
      </c>
      <c r="H803">
        <v>1</v>
      </c>
      <c r="I803">
        <v>0</v>
      </c>
      <c r="J803">
        <v>28</v>
      </c>
      <c r="K803" t="s">
        <v>242</v>
      </c>
    </row>
    <row r="804" spans="2:11" x14ac:dyDescent="0.25">
      <c r="B804">
        <v>878</v>
      </c>
      <c r="C804">
        <v>120</v>
      </c>
      <c r="D804">
        <v>55</v>
      </c>
      <c r="E804">
        <v>5</v>
      </c>
      <c r="F804">
        <v>26</v>
      </c>
      <c r="G804">
        <v>1</v>
      </c>
      <c r="H804">
        <v>0</v>
      </c>
      <c r="I804">
        <v>0</v>
      </c>
      <c r="J804">
        <v>27</v>
      </c>
      <c r="K804" t="s">
        <v>248</v>
      </c>
    </row>
    <row r="805" spans="2:11" x14ac:dyDescent="0.25">
      <c r="B805">
        <v>879</v>
      </c>
      <c r="C805">
        <v>264</v>
      </c>
      <c r="D805">
        <v>118</v>
      </c>
      <c r="E805">
        <v>5</v>
      </c>
      <c r="F805">
        <v>16</v>
      </c>
      <c r="G805">
        <v>7</v>
      </c>
      <c r="H805">
        <v>1</v>
      </c>
      <c r="I805">
        <v>0</v>
      </c>
      <c r="J805">
        <v>24</v>
      </c>
      <c r="K805" t="s">
        <v>247</v>
      </c>
    </row>
    <row r="806" spans="2:11" x14ac:dyDescent="0.25">
      <c r="B806">
        <v>881</v>
      </c>
      <c r="C806">
        <v>269</v>
      </c>
      <c r="D806">
        <v>121</v>
      </c>
      <c r="E806">
        <v>4</v>
      </c>
      <c r="F806">
        <v>8</v>
      </c>
      <c r="G806">
        <v>6</v>
      </c>
      <c r="H806">
        <v>0</v>
      </c>
      <c r="I806">
        <v>0</v>
      </c>
      <c r="J806">
        <v>14</v>
      </c>
      <c r="K806" t="s">
        <v>248</v>
      </c>
    </row>
    <row r="807" spans="2:11" x14ac:dyDescent="0.25">
      <c r="B807">
        <v>882</v>
      </c>
      <c r="C807">
        <v>42</v>
      </c>
      <c r="D807">
        <v>21</v>
      </c>
      <c r="E807">
        <v>5</v>
      </c>
      <c r="F807">
        <v>14</v>
      </c>
      <c r="G807">
        <v>7</v>
      </c>
      <c r="H807">
        <v>0</v>
      </c>
      <c r="I807">
        <v>0</v>
      </c>
      <c r="J807">
        <v>21</v>
      </c>
      <c r="K807" t="s">
        <v>242</v>
      </c>
    </row>
    <row r="808" spans="2:11" x14ac:dyDescent="0.25">
      <c r="B808">
        <v>884</v>
      </c>
      <c r="C808">
        <v>299</v>
      </c>
      <c r="D808">
        <v>137</v>
      </c>
      <c r="E808">
        <v>5</v>
      </c>
      <c r="F808">
        <v>3</v>
      </c>
      <c r="G808">
        <v>16</v>
      </c>
      <c r="H808">
        <v>0</v>
      </c>
      <c r="I808">
        <v>0</v>
      </c>
      <c r="J808">
        <v>19</v>
      </c>
      <c r="K808" t="s">
        <v>247</v>
      </c>
    </row>
    <row r="809" spans="2:11" x14ac:dyDescent="0.25">
      <c r="B809">
        <v>885</v>
      </c>
      <c r="C809">
        <v>290</v>
      </c>
      <c r="D809">
        <v>135</v>
      </c>
      <c r="E809">
        <v>5</v>
      </c>
      <c r="F809">
        <v>18</v>
      </c>
      <c r="G809">
        <v>0</v>
      </c>
      <c r="H809">
        <v>0</v>
      </c>
      <c r="I809">
        <v>0</v>
      </c>
      <c r="J809">
        <v>18</v>
      </c>
      <c r="K809" t="s">
        <v>245</v>
      </c>
    </row>
    <row r="810" spans="2:11" x14ac:dyDescent="0.25">
      <c r="B810">
        <v>886</v>
      </c>
      <c r="C810">
        <v>65</v>
      </c>
      <c r="D810">
        <v>35</v>
      </c>
      <c r="E810">
        <v>5</v>
      </c>
      <c r="F810">
        <v>9</v>
      </c>
      <c r="G810">
        <v>10</v>
      </c>
      <c r="H810">
        <v>5</v>
      </c>
      <c r="I810">
        <v>0</v>
      </c>
      <c r="J810">
        <v>24</v>
      </c>
      <c r="K810" t="s">
        <v>248</v>
      </c>
    </row>
    <row r="811" spans="2:11" x14ac:dyDescent="0.25">
      <c r="B811">
        <v>887</v>
      </c>
      <c r="C811">
        <v>326</v>
      </c>
      <c r="D811">
        <v>151</v>
      </c>
      <c r="E811">
        <v>6</v>
      </c>
      <c r="F811">
        <v>14</v>
      </c>
      <c r="G811">
        <v>5</v>
      </c>
      <c r="H811">
        <v>0</v>
      </c>
      <c r="I811">
        <v>0</v>
      </c>
      <c r="J811">
        <v>19</v>
      </c>
      <c r="K811" t="s">
        <v>245</v>
      </c>
    </row>
    <row r="812" spans="2:11" x14ac:dyDescent="0.25">
      <c r="B812">
        <v>888</v>
      </c>
      <c r="C812">
        <v>10</v>
      </c>
      <c r="D812">
        <v>3</v>
      </c>
      <c r="E812">
        <v>4</v>
      </c>
      <c r="F812">
        <v>5</v>
      </c>
      <c r="G812">
        <v>3</v>
      </c>
      <c r="H812">
        <v>0</v>
      </c>
      <c r="I812">
        <v>0</v>
      </c>
      <c r="J812">
        <v>8</v>
      </c>
      <c r="K812" t="s">
        <v>248</v>
      </c>
    </row>
    <row r="813" spans="2:11" x14ac:dyDescent="0.25">
      <c r="B813">
        <v>889</v>
      </c>
      <c r="C813">
        <v>312</v>
      </c>
      <c r="D813">
        <v>144</v>
      </c>
      <c r="E813">
        <v>6</v>
      </c>
      <c r="F813">
        <v>9</v>
      </c>
      <c r="G813">
        <v>4</v>
      </c>
      <c r="H813">
        <v>0</v>
      </c>
      <c r="I813">
        <v>0</v>
      </c>
      <c r="J813">
        <v>13</v>
      </c>
      <c r="K813" t="s">
        <v>245</v>
      </c>
    </row>
    <row r="814" spans="2:11" x14ac:dyDescent="0.25">
      <c r="B814">
        <v>890</v>
      </c>
      <c r="C814">
        <v>245</v>
      </c>
      <c r="D814">
        <v>109</v>
      </c>
      <c r="E814">
        <v>5</v>
      </c>
      <c r="F814">
        <v>12</v>
      </c>
      <c r="G814">
        <v>0</v>
      </c>
      <c r="H814">
        <v>6</v>
      </c>
      <c r="I814">
        <v>0</v>
      </c>
      <c r="J814">
        <v>18</v>
      </c>
      <c r="K814" t="s">
        <v>243</v>
      </c>
    </row>
    <row r="815" spans="2:11" x14ac:dyDescent="0.25">
      <c r="B815">
        <v>891</v>
      </c>
      <c r="C815">
        <v>151</v>
      </c>
      <c r="D815">
        <v>69</v>
      </c>
      <c r="E815">
        <v>6</v>
      </c>
      <c r="F815">
        <v>2</v>
      </c>
      <c r="G815">
        <v>27</v>
      </c>
      <c r="H815">
        <v>0</v>
      </c>
      <c r="I815">
        <v>0</v>
      </c>
      <c r="J815">
        <v>29</v>
      </c>
      <c r="K815" t="s">
        <v>245</v>
      </c>
    </row>
    <row r="816" spans="2:11" x14ac:dyDescent="0.25">
      <c r="B816">
        <v>892</v>
      </c>
      <c r="C816">
        <v>314</v>
      </c>
      <c r="D816">
        <v>145</v>
      </c>
      <c r="E816">
        <v>5</v>
      </c>
      <c r="F816">
        <v>16</v>
      </c>
      <c r="G816">
        <v>5</v>
      </c>
      <c r="H816">
        <v>0</v>
      </c>
      <c r="I816">
        <v>0</v>
      </c>
      <c r="J816">
        <v>21</v>
      </c>
      <c r="K816" t="s">
        <v>242</v>
      </c>
    </row>
    <row r="817" spans="2:11" x14ac:dyDescent="0.25">
      <c r="B817">
        <v>893</v>
      </c>
      <c r="C817">
        <v>166</v>
      </c>
      <c r="D817">
        <v>71</v>
      </c>
      <c r="E817">
        <v>5</v>
      </c>
      <c r="F817">
        <v>8</v>
      </c>
      <c r="G817">
        <v>3</v>
      </c>
      <c r="H817">
        <v>0</v>
      </c>
      <c r="I817">
        <v>0</v>
      </c>
      <c r="J817">
        <v>11</v>
      </c>
      <c r="K817" t="s">
        <v>243</v>
      </c>
    </row>
    <row r="818" spans="2:11" x14ac:dyDescent="0.25">
      <c r="B818">
        <v>894</v>
      </c>
      <c r="C818">
        <v>18</v>
      </c>
      <c r="D818">
        <v>9</v>
      </c>
      <c r="E818">
        <v>5</v>
      </c>
      <c r="F818">
        <v>8</v>
      </c>
      <c r="G818">
        <v>2</v>
      </c>
      <c r="H818">
        <v>1</v>
      </c>
      <c r="I818">
        <v>0</v>
      </c>
      <c r="J818">
        <v>11</v>
      </c>
      <c r="K818" t="s">
        <v>247</v>
      </c>
    </row>
    <row r="819" spans="2:11" x14ac:dyDescent="0.25">
      <c r="B819">
        <v>895</v>
      </c>
      <c r="C819">
        <v>136</v>
      </c>
      <c r="D819">
        <v>60</v>
      </c>
      <c r="E819">
        <v>6</v>
      </c>
      <c r="F819">
        <v>6</v>
      </c>
      <c r="G819">
        <v>4</v>
      </c>
      <c r="H819">
        <v>8</v>
      </c>
      <c r="I819">
        <v>0</v>
      </c>
      <c r="J819">
        <v>18</v>
      </c>
      <c r="K819" t="s">
        <v>245</v>
      </c>
    </row>
    <row r="820" spans="2:11" x14ac:dyDescent="0.25">
      <c r="B820">
        <v>896</v>
      </c>
      <c r="C820">
        <v>307</v>
      </c>
      <c r="D820">
        <v>142</v>
      </c>
      <c r="E820">
        <v>5</v>
      </c>
      <c r="F820">
        <v>12</v>
      </c>
      <c r="G820">
        <v>13</v>
      </c>
      <c r="H820">
        <v>0</v>
      </c>
      <c r="I820">
        <v>0</v>
      </c>
      <c r="J820">
        <v>25</v>
      </c>
      <c r="K820" t="s">
        <v>242</v>
      </c>
    </row>
    <row r="821" spans="2:11" x14ac:dyDescent="0.25">
      <c r="B821">
        <v>897</v>
      </c>
      <c r="C821">
        <v>243</v>
      </c>
      <c r="D821">
        <v>108</v>
      </c>
      <c r="E821">
        <v>5</v>
      </c>
      <c r="F821">
        <v>16</v>
      </c>
      <c r="G821">
        <v>1</v>
      </c>
      <c r="H821">
        <v>2</v>
      </c>
      <c r="I821">
        <v>0</v>
      </c>
      <c r="J821">
        <v>19</v>
      </c>
      <c r="K821" t="s">
        <v>243</v>
      </c>
    </row>
    <row r="822" spans="2:11" x14ac:dyDescent="0.25">
      <c r="B822">
        <v>898</v>
      </c>
      <c r="C822">
        <v>289</v>
      </c>
      <c r="D822">
        <v>135</v>
      </c>
      <c r="E822">
        <v>5</v>
      </c>
      <c r="F822">
        <v>26</v>
      </c>
      <c r="G822">
        <v>3</v>
      </c>
      <c r="H822">
        <v>0</v>
      </c>
      <c r="I822">
        <v>0</v>
      </c>
      <c r="J822">
        <v>29</v>
      </c>
      <c r="K822" t="s">
        <v>242</v>
      </c>
    </row>
    <row r="823" spans="2:11" x14ac:dyDescent="0.25">
      <c r="B823">
        <v>899</v>
      </c>
      <c r="C823">
        <v>135</v>
      </c>
      <c r="D823">
        <v>60</v>
      </c>
      <c r="E823">
        <v>4</v>
      </c>
      <c r="F823">
        <v>8</v>
      </c>
      <c r="G823">
        <v>7</v>
      </c>
      <c r="H823">
        <v>3</v>
      </c>
      <c r="I823">
        <v>0</v>
      </c>
      <c r="J823">
        <v>18</v>
      </c>
      <c r="K823" t="s">
        <v>247</v>
      </c>
    </row>
    <row r="824" spans="2:11" x14ac:dyDescent="0.25">
      <c r="B824">
        <v>900</v>
      </c>
      <c r="C824">
        <v>291</v>
      </c>
      <c r="D824">
        <v>135</v>
      </c>
      <c r="E824">
        <v>5</v>
      </c>
      <c r="F824">
        <v>22</v>
      </c>
      <c r="G824">
        <v>2</v>
      </c>
      <c r="H824">
        <v>0</v>
      </c>
      <c r="I824">
        <v>0</v>
      </c>
      <c r="J824">
        <v>24</v>
      </c>
      <c r="K824" t="s">
        <v>243</v>
      </c>
    </row>
    <row r="825" spans="2:11" x14ac:dyDescent="0.25">
      <c r="B825">
        <v>902</v>
      </c>
      <c r="C825">
        <v>340</v>
      </c>
      <c r="D825">
        <v>152</v>
      </c>
      <c r="E825">
        <v>5</v>
      </c>
      <c r="F825">
        <v>9</v>
      </c>
      <c r="G825">
        <v>13</v>
      </c>
      <c r="H825">
        <v>0</v>
      </c>
      <c r="I825">
        <v>0</v>
      </c>
      <c r="J825">
        <v>22</v>
      </c>
      <c r="K825" t="s">
        <v>242</v>
      </c>
    </row>
    <row r="826" spans="2:11" x14ac:dyDescent="0.25">
      <c r="B826">
        <v>903</v>
      </c>
      <c r="C826">
        <v>343</v>
      </c>
      <c r="D826">
        <v>154</v>
      </c>
      <c r="E826">
        <v>5</v>
      </c>
      <c r="F826">
        <v>11</v>
      </c>
      <c r="G826">
        <v>6</v>
      </c>
      <c r="H826">
        <v>0</v>
      </c>
      <c r="I826">
        <v>0</v>
      </c>
      <c r="J826">
        <v>17</v>
      </c>
      <c r="K826" t="s">
        <v>243</v>
      </c>
    </row>
    <row r="827" spans="2:11" x14ac:dyDescent="0.25">
      <c r="B827">
        <v>904</v>
      </c>
      <c r="C827">
        <v>132</v>
      </c>
      <c r="D827">
        <v>59</v>
      </c>
      <c r="E827">
        <v>4</v>
      </c>
      <c r="F827">
        <v>15</v>
      </c>
      <c r="G827">
        <v>0</v>
      </c>
      <c r="H827">
        <v>1</v>
      </c>
      <c r="I827">
        <v>0</v>
      </c>
      <c r="J827">
        <v>16</v>
      </c>
      <c r="K827" t="s">
        <v>245</v>
      </c>
    </row>
    <row r="828" spans="2:11" x14ac:dyDescent="0.25">
      <c r="B828">
        <v>905</v>
      </c>
      <c r="C828">
        <v>63</v>
      </c>
      <c r="D828">
        <v>34</v>
      </c>
      <c r="E828">
        <v>5</v>
      </c>
      <c r="F828">
        <v>4</v>
      </c>
      <c r="G828">
        <v>3</v>
      </c>
      <c r="H828">
        <v>0</v>
      </c>
      <c r="I828">
        <v>0</v>
      </c>
      <c r="J828">
        <v>7</v>
      </c>
      <c r="K828" t="s">
        <v>247</v>
      </c>
    </row>
    <row r="829" spans="2:11" x14ac:dyDescent="0.25">
      <c r="B829">
        <v>907</v>
      </c>
      <c r="C829">
        <v>170</v>
      </c>
      <c r="D829">
        <v>73</v>
      </c>
      <c r="E829">
        <v>5</v>
      </c>
      <c r="F829">
        <v>9</v>
      </c>
      <c r="G829">
        <v>2</v>
      </c>
      <c r="H829">
        <v>0</v>
      </c>
      <c r="I829">
        <v>0</v>
      </c>
      <c r="J829">
        <v>11</v>
      </c>
      <c r="K829" t="s">
        <v>246</v>
      </c>
    </row>
    <row r="830" spans="2:11" x14ac:dyDescent="0.25">
      <c r="B830">
        <v>908</v>
      </c>
      <c r="C830">
        <v>137</v>
      </c>
      <c r="D830">
        <v>60</v>
      </c>
      <c r="E830">
        <v>6</v>
      </c>
      <c r="F830">
        <v>2</v>
      </c>
      <c r="G830">
        <v>7</v>
      </c>
      <c r="H830">
        <v>4</v>
      </c>
      <c r="I830">
        <v>0</v>
      </c>
      <c r="J830">
        <v>13</v>
      </c>
      <c r="K830" t="s">
        <v>241</v>
      </c>
    </row>
    <row r="831" spans="2:11" x14ac:dyDescent="0.25">
      <c r="B831">
        <v>910</v>
      </c>
      <c r="C831">
        <v>169</v>
      </c>
      <c r="D831">
        <v>73</v>
      </c>
      <c r="E831">
        <v>5</v>
      </c>
      <c r="F831">
        <v>10</v>
      </c>
      <c r="G831">
        <v>5</v>
      </c>
      <c r="H831">
        <v>0</v>
      </c>
      <c r="I831">
        <v>0</v>
      </c>
      <c r="J831">
        <v>15</v>
      </c>
      <c r="K831" t="s">
        <v>246</v>
      </c>
    </row>
    <row r="832" spans="2:11" x14ac:dyDescent="0.25">
      <c r="B832">
        <v>911</v>
      </c>
      <c r="C832">
        <v>11</v>
      </c>
      <c r="D832">
        <v>3</v>
      </c>
      <c r="E832">
        <v>5</v>
      </c>
      <c r="F832">
        <v>0</v>
      </c>
      <c r="G832">
        <v>5</v>
      </c>
      <c r="H832">
        <v>1</v>
      </c>
      <c r="I832">
        <v>0</v>
      </c>
      <c r="J832">
        <v>10</v>
      </c>
      <c r="K832" t="s">
        <v>247</v>
      </c>
    </row>
    <row r="833" spans="2:11" x14ac:dyDescent="0.25">
      <c r="B833">
        <v>912</v>
      </c>
      <c r="C833">
        <v>339</v>
      </c>
      <c r="D833">
        <v>152</v>
      </c>
      <c r="E833">
        <v>5</v>
      </c>
      <c r="F833">
        <v>5</v>
      </c>
      <c r="G833">
        <v>25</v>
      </c>
      <c r="H833">
        <v>0</v>
      </c>
      <c r="I833">
        <v>0</v>
      </c>
      <c r="J833">
        <v>30</v>
      </c>
      <c r="K833" t="s">
        <v>241</v>
      </c>
    </row>
    <row r="834" spans="2:11" x14ac:dyDescent="0.25">
      <c r="B834">
        <v>913</v>
      </c>
      <c r="C834">
        <v>11</v>
      </c>
      <c r="D834">
        <v>3</v>
      </c>
      <c r="E834">
        <v>4</v>
      </c>
      <c r="F834">
        <v>5</v>
      </c>
      <c r="G834">
        <v>5</v>
      </c>
      <c r="H834">
        <v>0</v>
      </c>
      <c r="I834">
        <v>0</v>
      </c>
      <c r="J834">
        <v>10</v>
      </c>
      <c r="K834" t="s">
        <v>247</v>
      </c>
    </row>
    <row r="835" spans="2:11" x14ac:dyDescent="0.25">
      <c r="B835">
        <v>914</v>
      </c>
      <c r="C835">
        <v>110</v>
      </c>
      <c r="D835">
        <v>51</v>
      </c>
      <c r="E835">
        <v>5</v>
      </c>
      <c r="F835">
        <v>10</v>
      </c>
      <c r="G835">
        <v>20</v>
      </c>
      <c r="H835">
        <v>0</v>
      </c>
      <c r="I835">
        <v>0</v>
      </c>
      <c r="J835">
        <v>30</v>
      </c>
      <c r="K835" t="s">
        <v>246</v>
      </c>
    </row>
    <row r="836" spans="2:11" x14ac:dyDescent="0.25">
      <c r="B836">
        <v>915</v>
      </c>
      <c r="C836">
        <v>66</v>
      </c>
      <c r="D836">
        <v>35</v>
      </c>
      <c r="E836">
        <v>5</v>
      </c>
      <c r="F836">
        <v>6</v>
      </c>
      <c r="G836">
        <v>8</v>
      </c>
      <c r="H836">
        <v>11</v>
      </c>
      <c r="I836">
        <v>0</v>
      </c>
      <c r="J836">
        <v>25</v>
      </c>
      <c r="K836" t="s">
        <v>247</v>
      </c>
    </row>
    <row r="837" spans="2:11" x14ac:dyDescent="0.25">
      <c r="B837">
        <v>916</v>
      </c>
      <c r="C837">
        <v>92</v>
      </c>
      <c r="D837">
        <v>46</v>
      </c>
      <c r="E837">
        <v>5</v>
      </c>
      <c r="F837">
        <v>24</v>
      </c>
      <c r="G837">
        <v>4</v>
      </c>
      <c r="H837">
        <v>0</v>
      </c>
      <c r="I837">
        <v>0</v>
      </c>
      <c r="J837">
        <v>28</v>
      </c>
      <c r="K837" t="s">
        <v>246</v>
      </c>
    </row>
    <row r="838" spans="2:11" x14ac:dyDescent="0.25">
      <c r="B838">
        <v>918</v>
      </c>
      <c r="C838">
        <v>250</v>
      </c>
      <c r="D838">
        <v>112</v>
      </c>
      <c r="E838">
        <v>5</v>
      </c>
      <c r="F838">
        <v>6</v>
      </c>
      <c r="G838">
        <v>0</v>
      </c>
      <c r="H838">
        <v>4</v>
      </c>
      <c r="I838">
        <v>0</v>
      </c>
      <c r="J838">
        <v>10</v>
      </c>
      <c r="K838" t="s">
        <v>241</v>
      </c>
    </row>
    <row r="839" spans="2:11" x14ac:dyDescent="0.25">
      <c r="B839">
        <v>919</v>
      </c>
      <c r="C839">
        <v>152</v>
      </c>
      <c r="D839">
        <v>69</v>
      </c>
      <c r="E839">
        <v>5</v>
      </c>
      <c r="F839">
        <v>5</v>
      </c>
      <c r="G839">
        <v>17</v>
      </c>
      <c r="H839">
        <v>2</v>
      </c>
      <c r="I839">
        <v>0</v>
      </c>
      <c r="J839">
        <v>24</v>
      </c>
      <c r="K839" t="s">
        <v>246</v>
      </c>
    </row>
    <row r="840" spans="2:11" x14ac:dyDescent="0.25">
      <c r="B840">
        <v>922</v>
      </c>
      <c r="C840">
        <v>105</v>
      </c>
      <c r="D840">
        <v>51</v>
      </c>
      <c r="E840">
        <v>4</v>
      </c>
      <c r="F840">
        <v>12</v>
      </c>
      <c r="G840">
        <v>11</v>
      </c>
      <c r="H840">
        <v>0</v>
      </c>
      <c r="I840">
        <v>0</v>
      </c>
      <c r="J840">
        <v>23</v>
      </c>
      <c r="K840" t="s">
        <v>242</v>
      </c>
    </row>
    <row r="841" spans="2:11" x14ac:dyDescent="0.25">
      <c r="B841">
        <v>923</v>
      </c>
      <c r="C841">
        <v>327</v>
      </c>
      <c r="D841">
        <v>152</v>
      </c>
      <c r="E841">
        <v>6</v>
      </c>
      <c r="F841">
        <v>20</v>
      </c>
      <c r="G841">
        <v>10</v>
      </c>
      <c r="H841">
        <v>0</v>
      </c>
      <c r="I841">
        <v>0</v>
      </c>
      <c r="J841">
        <v>30</v>
      </c>
      <c r="K841" t="s">
        <v>248</v>
      </c>
    </row>
    <row r="842" spans="2:11" x14ac:dyDescent="0.25">
      <c r="B842">
        <v>5299</v>
      </c>
      <c r="C842">
        <v>198</v>
      </c>
      <c r="D842">
        <v>86</v>
      </c>
      <c r="E842">
        <v>6</v>
      </c>
      <c r="F842">
        <v>6</v>
      </c>
      <c r="G842">
        <v>4</v>
      </c>
      <c r="H842">
        <v>2</v>
      </c>
      <c r="I842">
        <v>0</v>
      </c>
      <c r="J842">
        <v>12</v>
      </c>
      <c r="K842" t="s">
        <v>246</v>
      </c>
    </row>
    <row r="843" spans="2:11" x14ac:dyDescent="0.25">
      <c r="B843">
        <v>5300</v>
      </c>
      <c r="C843">
        <v>214</v>
      </c>
      <c r="D843">
        <v>94</v>
      </c>
      <c r="E843">
        <v>9</v>
      </c>
      <c r="F843">
        <v>1</v>
      </c>
      <c r="G843">
        <v>26</v>
      </c>
      <c r="H843">
        <v>0</v>
      </c>
      <c r="I843">
        <v>0</v>
      </c>
      <c r="J843">
        <v>27</v>
      </c>
      <c r="K843" t="s">
        <v>245</v>
      </c>
    </row>
    <row r="844" spans="2:11" x14ac:dyDescent="0.25">
      <c r="B844">
        <v>5301</v>
      </c>
      <c r="C844">
        <v>198</v>
      </c>
      <c r="D844">
        <v>86</v>
      </c>
      <c r="E844">
        <v>7</v>
      </c>
      <c r="F844">
        <v>5</v>
      </c>
      <c r="G844">
        <v>2</v>
      </c>
      <c r="H844">
        <v>0</v>
      </c>
      <c r="I844">
        <v>0</v>
      </c>
      <c r="J844">
        <v>7</v>
      </c>
      <c r="K844" t="s">
        <v>246</v>
      </c>
    </row>
    <row r="845" spans="2:11" x14ac:dyDescent="0.25">
      <c r="B845">
        <v>5302</v>
      </c>
      <c r="C845">
        <v>214</v>
      </c>
      <c r="D845">
        <v>94</v>
      </c>
      <c r="E845">
        <v>10</v>
      </c>
      <c r="F845">
        <v>2</v>
      </c>
      <c r="G845">
        <v>24</v>
      </c>
      <c r="H845">
        <v>0</v>
      </c>
      <c r="I845">
        <v>0</v>
      </c>
      <c r="J845">
        <v>26</v>
      </c>
      <c r="K845" t="s">
        <v>245</v>
      </c>
    </row>
    <row r="846" spans="2:11" x14ac:dyDescent="0.25">
      <c r="B846">
        <v>5303</v>
      </c>
      <c r="C846">
        <v>198</v>
      </c>
      <c r="D846">
        <v>86</v>
      </c>
      <c r="E846">
        <v>8</v>
      </c>
      <c r="F846">
        <v>2</v>
      </c>
      <c r="G846">
        <v>4</v>
      </c>
      <c r="H846">
        <v>1</v>
      </c>
      <c r="I846">
        <v>0</v>
      </c>
      <c r="J846">
        <v>7</v>
      </c>
      <c r="K846" t="s">
        <v>246</v>
      </c>
    </row>
    <row r="847" spans="2:11" x14ac:dyDescent="0.25">
      <c r="B847">
        <v>5304</v>
      </c>
      <c r="C847">
        <v>214</v>
      </c>
      <c r="D847">
        <v>94</v>
      </c>
      <c r="E847">
        <v>11</v>
      </c>
      <c r="F847">
        <v>1</v>
      </c>
      <c r="G847">
        <v>24</v>
      </c>
      <c r="H847">
        <v>0</v>
      </c>
      <c r="I847">
        <v>0</v>
      </c>
      <c r="J847">
        <v>25</v>
      </c>
      <c r="K847" t="s">
        <v>245</v>
      </c>
    </row>
    <row r="848" spans="2:11" x14ac:dyDescent="0.25">
      <c r="B848">
        <v>5305</v>
      </c>
      <c r="C848">
        <v>198</v>
      </c>
      <c r="D848">
        <v>86</v>
      </c>
      <c r="E848">
        <v>9</v>
      </c>
      <c r="F848">
        <v>4</v>
      </c>
      <c r="G848">
        <v>1</v>
      </c>
      <c r="H848">
        <v>0</v>
      </c>
      <c r="I848">
        <v>0</v>
      </c>
      <c r="J848">
        <v>5</v>
      </c>
      <c r="K848" t="s">
        <v>246</v>
      </c>
    </row>
    <row r="849" spans="2:11" x14ac:dyDescent="0.25">
      <c r="B849">
        <v>924</v>
      </c>
      <c r="C849">
        <v>270</v>
      </c>
      <c r="D849">
        <v>122</v>
      </c>
      <c r="E849">
        <v>1</v>
      </c>
      <c r="F849">
        <v>30</v>
      </c>
      <c r="G849">
        <v>2</v>
      </c>
      <c r="H849">
        <v>0</v>
      </c>
      <c r="I849">
        <v>0</v>
      </c>
      <c r="J849">
        <v>32</v>
      </c>
      <c r="K849" t="s">
        <v>249</v>
      </c>
    </row>
    <row r="850" spans="2:11" x14ac:dyDescent="0.25">
      <c r="B850">
        <v>927</v>
      </c>
      <c r="C850">
        <v>140</v>
      </c>
      <c r="D850">
        <v>62</v>
      </c>
      <c r="E850">
        <v>6</v>
      </c>
      <c r="F850">
        <v>18</v>
      </c>
      <c r="G850">
        <v>2</v>
      </c>
      <c r="H850">
        <v>1</v>
      </c>
      <c r="I850">
        <v>0</v>
      </c>
      <c r="J850">
        <v>21</v>
      </c>
      <c r="K850" t="s">
        <v>248</v>
      </c>
    </row>
    <row r="851" spans="2:11" x14ac:dyDescent="0.25">
      <c r="B851">
        <v>928</v>
      </c>
      <c r="C851">
        <v>132</v>
      </c>
      <c r="D851">
        <v>59</v>
      </c>
      <c r="E851">
        <v>1</v>
      </c>
      <c r="F851">
        <v>12</v>
      </c>
      <c r="G851">
        <v>3</v>
      </c>
      <c r="H851">
        <v>5</v>
      </c>
      <c r="I851">
        <v>0</v>
      </c>
      <c r="J851">
        <v>20</v>
      </c>
      <c r="K851" t="s">
        <v>249</v>
      </c>
    </row>
    <row r="852" spans="2:11" x14ac:dyDescent="0.25">
      <c r="B852">
        <v>930</v>
      </c>
      <c r="C852">
        <v>315</v>
      </c>
      <c r="D852">
        <v>145</v>
      </c>
      <c r="E852">
        <v>6</v>
      </c>
      <c r="F852">
        <v>7</v>
      </c>
      <c r="G852">
        <v>5</v>
      </c>
      <c r="H852">
        <v>0</v>
      </c>
      <c r="I852">
        <v>0</v>
      </c>
      <c r="J852">
        <v>12</v>
      </c>
      <c r="K852" t="s">
        <v>246</v>
      </c>
    </row>
    <row r="853" spans="2:11" x14ac:dyDescent="0.25">
      <c r="B853">
        <v>931</v>
      </c>
      <c r="C853">
        <v>132</v>
      </c>
      <c r="D853">
        <v>59</v>
      </c>
      <c r="E853">
        <v>2</v>
      </c>
      <c r="F853">
        <v>10</v>
      </c>
      <c r="G853">
        <v>1</v>
      </c>
      <c r="H853">
        <v>6</v>
      </c>
      <c r="I853">
        <v>0</v>
      </c>
      <c r="J853">
        <v>17</v>
      </c>
      <c r="K853" t="s">
        <v>249</v>
      </c>
    </row>
    <row r="854" spans="2:11" x14ac:dyDescent="0.25">
      <c r="B854">
        <v>932</v>
      </c>
      <c r="C854">
        <v>138</v>
      </c>
      <c r="D854">
        <v>61</v>
      </c>
      <c r="E854">
        <v>1</v>
      </c>
      <c r="F854">
        <v>14</v>
      </c>
      <c r="G854">
        <v>1</v>
      </c>
      <c r="H854">
        <v>0</v>
      </c>
      <c r="I854">
        <v>0</v>
      </c>
      <c r="J854">
        <v>15</v>
      </c>
      <c r="K854" t="s">
        <v>247</v>
      </c>
    </row>
    <row r="855" spans="2:11" x14ac:dyDescent="0.25">
      <c r="B855">
        <v>934</v>
      </c>
      <c r="C855">
        <v>295</v>
      </c>
      <c r="D855">
        <v>136</v>
      </c>
      <c r="E855">
        <v>5</v>
      </c>
      <c r="F855">
        <v>18</v>
      </c>
      <c r="G855">
        <v>7</v>
      </c>
      <c r="H855">
        <v>0</v>
      </c>
      <c r="I855">
        <v>0</v>
      </c>
      <c r="J855">
        <v>25</v>
      </c>
      <c r="K855" t="s">
        <v>241</v>
      </c>
    </row>
    <row r="856" spans="2:11" x14ac:dyDescent="0.25">
      <c r="B856">
        <v>935</v>
      </c>
      <c r="C856">
        <v>329</v>
      </c>
      <c r="D856">
        <v>152</v>
      </c>
      <c r="E856">
        <v>6</v>
      </c>
      <c r="F856">
        <v>19</v>
      </c>
      <c r="G856">
        <v>8</v>
      </c>
      <c r="H856">
        <v>0</v>
      </c>
      <c r="I856">
        <v>0</v>
      </c>
      <c r="J856">
        <v>27</v>
      </c>
      <c r="K856" t="s">
        <v>246</v>
      </c>
    </row>
    <row r="857" spans="2:11" x14ac:dyDescent="0.25">
      <c r="B857">
        <v>936</v>
      </c>
      <c r="C857">
        <v>132</v>
      </c>
      <c r="D857">
        <v>59</v>
      </c>
      <c r="E857">
        <v>3</v>
      </c>
      <c r="F857">
        <v>2</v>
      </c>
      <c r="G857">
        <v>11</v>
      </c>
      <c r="H857">
        <v>2</v>
      </c>
      <c r="I857">
        <v>0</v>
      </c>
      <c r="J857">
        <v>15</v>
      </c>
      <c r="K857" t="s">
        <v>249</v>
      </c>
    </row>
    <row r="858" spans="2:11" x14ac:dyDescent="0.25">
      <c r="B858">
        <v>939</v>
      </c>
      <c r="C858">
        <v>330</v>
      </c>
      <c r="D858">
        <v>152</v>
      </c>
      <c r="E858">
        <v>6</v>
      </c>
      <c r="F858">
        <v>15</v>
      </c>
      <c r="G858">
        <v>11</v>
      </c>
      <c r="H858">
        <v>0</v>
      </c>
      <c r="I858">
        <v>0</v>
      </c>
      <c r="J858">
        <v>26</v>
      </c>
      <c r="K858" t="s">
        <v>246</v>
      </c>
    </row>
    <row r="859" spans="2:11" x14ac:dyDescent="0.25">
      <c r="B859">
        <v>940</v>
      </c>
      <c r="C859">
        <v>67</v>
      </c>
      <c r="D859">
        <v>35</v>
      </c>
      <c r="E859">
        <v>5</v>
      </c>
      <c r="F859">
        <v>20</v>
      </c>
      <c r="G859">
        <v>4</v>
      </c>
      <c r="H859">
        <v>6</v>
      </c>
      <c r="I859">
        <v>0</v>
      </c>
      <c r="J859">
        <v>30</v>
      </c>
      <c r="K859" t="s">
        <v>241</v>
      </c>
    </row>
    <row r="860" spans="2:11" x14ac:dyDescent="0.25">
      <c r="B860">
        <v>941</v>
      </c>
      <c r="C860">
        <v>138</v>
      </c>
      <c r="D860">
        <v>61</v>
      </c>
      <c r="E860">
        <v>6</v>
      </c>
      <c r="F860">
        <v>22</v>
      </c>
      <c r="G860">
        <v>4</v>
      </c>
      <c r="H860">
        <v>4</v>
      </c>
      <c r="I860">
        <v>0</v>
      </c>
      <c r="J860">
        <v>30</v>
      </c>
      <c r="K860" t="s">
        <v>246</v>
      </c>
    </row>
    <row r="861" spans="2:11" x14ac:dyDescent="0.25">
      <c r="B861">
        <v>942</v>
      </c>
      <c r="C861">
        <v>98</v>
      </c>
      <c r="D861">
        <v>48</v>
      </c>
      <c r="E861">
        <v>1</v>
      </c>
      <c r="F861">
        <v>25</v>
      </c>
      <c r="G861">
        <v>27</v>
      </c>
      <c r="H861">
        <v>14</v>
      </c>
      <c r="I861">
        <v>0</v>
      </c>
      <c r="J861">
        <v>66</v>
      </c>
      <c r="K861" t="s">
        <v>249</v>
      </c>
    </row>
    <row r="862" spans="2:11" x14ac:dyDescent="0.25">
      <c r="B862">
        <v>943</v>
      </c>
      <c r="C862">
        <v>138</v>
      </c>
      <c r="D862">
        <v>61</v>
      </c>
      <c r="E862">
        <v>2</v>
      </c>
      <c r="F862">
        <v>18</v>
      </c>
      <c r="G862">
        <v>8</v>
      </c>
      <c r="H862">
        <v>4</v>
      </c>
      <c r="I862">
        <v>0</v>
      </c>
      <c r="J862">
        <v>30</v>
      </c>
      <c r="K862" t="s">
        <v>247</v>
      </c>
    </row>
    <row r="863" spans="2:11" x14ac:dyDescent="0.25">
      <c r="B863">
        <v>944</v>
      </c>
      <c r="C863">
        <v>316</v>
      </c>
      <c r="D863">
        <v>146</v>
      </c>
      <c r="E863">
        <v>5</v>
      </c>
      <c r="F863">
        <v>11</v>
      </c>
      <c r="G863">
        <v>6</v>
      </c>
      <c r="H863">
        <v>0</v>
      </c>
      <c r="I863">
        <v>0</v>
      </c>
      <c r="J863">
        <v>17</v>
      </c>
      <c r="K863" t="s">
        <v>241</v>
      </c>
    </row>
    <row r="864" spans="2:11" x14ac:dyDescent="0.25">
      <c r="B864">
        <v>945</v>
      </c>
      <c r="C864">
        <v>139</v>
      </c>
      <c r="D864">
        <v>61</v>
      </c>
      <c r="E864">
        <v>6</v>
      </c>
      <c r="F864">
        <v>5</v>
      </c>
      <c r="G864">
        <v>5</v>
      </c>
      <c r="H864">
        <v>1</v>
      </c>
      <c r="I864">
        <v>0</v>
      </c>
      <c r="J864">
        <v>11</v>
      </c>
      <c r="K864" t="s">
        <v>246</v>
      </c>
    </row>
    <row r="865" spans="2:11" x14ac:dyDescent="0.25">
      <c r="B865">
        <v>946</v>
      </c>
      <c r="C865">
        <v>9</v>
      </c>
      <c r="D865">
        <v>3</v>
      </c>
      <c r="E865">
        <v>4</v>
      </c>
      <c r="F865">
        <v>30</v>
      </c>
      <c r="G865">
        <v>9</v>
      </c>
      <c r="H865">
        <v>1</v>
      </c>
      <c r="I865">
        <v>0</v>
      </c>
      <c r="J865">
        <v>40</v>
      </c>
      <c r="K865" t="s">
        <v>249</v>
      </c>
    </row>
    <row r="866" spans="2:11" x14ac:dyDescent="0.25">
      <c r="B866">
        <v>947</v>
      </c>
      <c r="C866">
        <v>93</v>
      </c>
      <c r="D866">
        <v>46</v>
      </c>
      <c r="E866">
        <v>5</v>
      </c>
      <c r="F866">
        <v>17</v>
      </c>
      <c r="G866">
        <v>2</v>
      </c>
      <c r="H866">
        <v>2</v>
      </c>
      <c r="I866">
        <v>0</v>
      </c>
      <c r="J866">
        <v>21</v>
      </c>
      <c r="K866" t="s">
        <v>241</v>
      </c>
    </row>
    <row r="867" spans="2:11" x14ac:dyDescent="0.25">
      <c r="B867">
        <v>948</v>
      </c>
      <c r="C867">
        <v>316</v>
      </c>
      <c r="D867">
        <v>146</v>
      </c>
      <c r="E867">
        <v>6</v>
      </c>
      <c r="F867">
        <v>4</v>
      </c>
      <c r="G867">
        <v>6</v>
      </c>
      <c r="H867">
        <v>0</v>
      </c>
      <c r="I867">
        <v>0</v>
      </c>
      <c r="J867">
        <v>10</v>
      </c>
      <c r="K867" t="s">
        <v>248</v>
      </c>
    </row>
    <row r="868" spans="2:11" x14ac:dyDescent="0.25">
      <c r="B868">
        <v>949</v>
      </c>
      <c r="C868">
        <v>315</v>
      </c>
      <c r="D868">
        <v>145</v>
      </c>
      <c r="E868">
        <v>5</v>
      </c>
      <c r="F868">
        <v>11</v>
      </c>
      <c r="G868">
        <v>6</v>
      </c>
      <c r="H868">
        <v>0</v>
      </c>
      <c r="I868">
        <v>0</v>
      </c>
      <c r="J868">
        <v>17</v>
      </c>
      <c r="K868" t="s">
        <v>248</v>
      </c>
    </row>
    <row r="869" spans="2:11" x14ac:dyDescent="0.25">
      <c r="B869">
        <v>950</v>
      </c>
      <c r="C869">
        <v>54</v>
      </c>
      <c r="D869">
        <v>28</v>
      </c>
      <c r="E869">
        <v>4</v>
      </c>
      <c r="F869">
        <v>9</v>
      </c>
      <c r="G869">
        <v>8</v>
      </c>
      <c r="H869">
        <v>3</v>
      </c>
      <c r="I869">
        <v>0</v>
      </c>
      <c r="J869">
        <v>20</v>
      </c>
      <c r="K869" t="s">
        <v>243</v>
      </c>
    </row>
    <row r="870" spans="2:11" x14ac:dyDescent="0.25">
      <c r="B870">
        <v>951</v>
      </c>
      <c r="C870">
        <v>294</v>
      </c>
      <c r="D870">
        <v>136</v>
      </c>
      <c r="E870">
        <v>5</v>
      </c>
      <c r="F870">
        <v>21</v>
      </c>
      <c r="G870">
        <v>1</v>
      </c>
      <c r="H870">
        <v>0</v>
      </c>
      <c r="I870">
        <v>0</v>
      </c>
      <c r="J870">
        <v>22</v>
      </c>
      <c r="K870" t="s">
        <v>248</v>
      </c>
    </row>
    <row r="871" spans="2:11" x14ac:dyDescent="0.25">
      <c r="B871">
        <v>952</v>
      </c>
      <c r="C871">
        <v>270</v>
      </c>
      <c r="D871">
        <v>122</v>
      </c>
      <c r="E871">
        <v>4</v>
      </c>
      <c r="F871">
        <v>12</v>
      </c>
      <c r="G871">
        <v>17</v>
      </c>
      <c r="H871">
        <v>0</v>
      </c>
      <c r="I871">
        <v>0</v>
      </c>
      <c r="J871">
        <v>29</v>
      </c>
      <c r="K871" t="s">
        <v>243</v>
      </c>
    </row>
    <row r="872" spans="2:11" x14ac:dyDescent="0.25">
      <c r="B872">
        <v>953</v>
      </c>
      <c r="C872">
        <v>282</v>
      </c>
      <c r="D872">
        <v>130</v>
      </c>
      <c r="E872">
        <v>5</v>
      </c>
      <c r="F872">
        <v>9</v>
      </c>
      <c r="G872">
        <v>4</v>
      </c>
      <c r="H872">
        <v>5</v>
      </c>
      <c r="I872">
        <v>0</v>
      </c>
      <c r="J872">
        <v>18</v>
      </c>
      <c r="K872" t="s">
        <v>241</v>
      </c>
    </row>
    <row r="873" spans="2:11" x14ac:dyDescent="0.25">
      <c r="B873">
        <v>955</v>
      </c>
      <c r="C873">
        <v>112</v>
      </c>
      <c r="D873">
        <v>51</v>
      </c>
      <c r="E873">
        <v>4</v>
      </c>
      <c r="F873">
        <v>15</v>
      </c>
      <c r="G873">
        <v>7</v>
      </c>
      <c r="H873">
        <v>0</v>
      </c>
      <c r="I873">
        <v>0</v>
      </c>
      <c r="J873">
        <v>22</v>
      </c>
      <c r="K873" t="s">
        <v>249</v>
      </c>
    </row>
    <row r="874" spans="2:11" x14ac:dyDescent="0.25">
      <c r="B874">
        <v>956</v>
      </c>
      <c r="C874">
        <v>57</v>
      </c>
      <c r="D874">
        <v>29</v>
      </c>
      <c r="E874">
        <v>5</v>
      </c>
      <c r="F874">
        <v>8</v>
      </c>
      <c r="G874">
        <v>13</v>
      </c>
      <c r="H874">
        <v>0</v>
      </c>
      <c r="I874">
        <v>0</v>
      </c>
      <c r="J874">
        <v>21</v>
      </c>
      <c r="K874" t="s">
        <v>241</v>
      </c>
    </row>
    <row r="875" spans="2:11" x14ac:dyDescent="0.25">
      <c r="B875">
        <v>957</v>
      </c>
      <c r="C875">
        <v>249</v>
      </c>
      <c r="D875">
        <v>112</v>
      </c>
      <c r="E875">
        <v>5</v>
      </c>
      <c r="F875">
        <v>18</v>
      </c>
      <c r="G875">
        <v>4</v>
      </c>
      <c r="H875">
        <v>8</v>
      </c>
      <c r="I875">
        <v>0</v>
      </c>
      <c r="J875">
        <v>30</v>
      </c>
      <c r="K875" t="s">
        <v>248</v>
      </c>
    </row>
    <row r="876" spans="2:11" x14ac:dyDescent="0.25">
      <c r="B876">
        <v>958</v>
      </c>
      <c r="C876">
        <v>9</v>
      </c>
      <c r="D876">
        <v>3</v>
      </c>
      <c r="E876">
        <v>5</v>
      </c>
      <c r="F876">
        <v>30</v>
      </c>
      <c r="G876">
        <v>15</v>
      </c>
      <c r="H876">
        <v>1</v>
      </c>
      <c r="I876">
        <v>0</v>
      </c>
      <c r="J876">
        <v>46</v>
      </c>
      <c r="K876" t="s">
        <v>249</v>
      </c>
    </row>
    <row r="877" spans="2:11" x14ac:dyDescent="0.25">
      <c r="B877">
        <v>959</v>
      </c>
      <c r="C877">
        <v>281</v>
      </c>
      <c r="D877">
        <v>129</v>
      </c>
      <c r="E877">
        <v>5</v>
      </c>
      <c r="F877">
        <v>22</v>
      </c>
      <c r="G877">
        <v>8</v>
      </c>
      <c r="H877">
        <v>0</v>
      </c>
      <c r="I877">
        <v>0</v>
      </c>
      <c r="J877">
        <v>30</v>
      </c>
      <c r="K877" t="s">
        <v>246</v>
      </c>
    </row>
    <row r="878" spans="2:11" x14ac:dyDescent="0.25">
      <c r="B878">
        <v>960</v>
      </c>
      <c r="C878">
        <v>54</v>
      </c>
      <c r="D878">
        <v>28</v>
      </c>
      <c r="E878">
        <v>5</v>
      </c>
      <c r="F878">
        <v>15</v>
      </c>
      <c r="G878">
        <v>13</v>
      </c>
      <c r="H878">
        <v>2</v>
      </c>
      <c r="I878">
        <v>0</v>
      </c>
      <c r="J878">
        <v>30</v>
      </c>
      <c r="K878" t="s">
        <v>241</v>
      </c>
    </row>
    <row r="879" spans="2:11" x14ac:dyDescent="0.25">
      <c r="B879">
        <v>961</v>
      </c>
      <c r="C879">
        <v>332</v>
      </c>
      <c r="D879">
        <v>152</v>
      </c>
      <c r="E879">
        <v>6</v>
      </c>
      <c r="F879">
        <v>13</v>
      </c>
      <c r="G879">
        <v>17</v>
      </c>
      <c r="H879">
        <v>0</v>
      </c>
      <c r="I879">
        <v>0</v>
      </c>
      <c r="J879">
        <v>30</v>
      </c>
      <c r="K879" t="s">
        <v>245</v>
      </c>
    </row>
    <row r="880" spans="2:11" x14ac:dyDescent="0.25">
      <c r="B880">
        <v>963</v>
      </c>
      <c r="C880">
        <v>345</v>
      </c>
      <c r="D880">
        <v>155</v>
      </c>
      <c r="E880">
        <v>5</v>
      </c>
      <c r="F880">
        <v>6</v>
      </c>
      <c r="G880">
        <v>9</v>
      </c>
      <c r="H880">
        <v>0</v>
      </c>
      <c r="I880">
        <v>0</v>
      </c>
      <c r="J880">
        <v>15</v>
      </c>
      <c r="K880" t="s">
        <v>246</v>
      </c>
    </row>
    <row r="881" spans="2:11" x14ac:dyDescent="0.25">
      <c r="B881">
        <v>964</v>
      </c>
      <c r="C881">
        <v>55</v>
      </c>
      <c r="D881">
        <v>29</v>
      </c>
      <c r="E881">
        <v>5</v>
      </c>
      <c r="F881">
        <v>12</v>
      </c>
      <c r="G881">
        <v>15</v>
      </c>
      <c r="H881">
        <v>0</v>
      </c>
      <c r="I881">
        <v>0</v>
      </c>
      <c r="J881">
        <v>27</v>
      </c>
      <c r="K881" t="s">
        <v>241</v>
      </c>
    </row>
    <row r="882" spans="2:11" x14ac:dyDescent="0.25">
      <c r="B882">
        <v>965</v>
      </c>
      <c r="C882">
        <v>154</v>
      </c>
      <c r="D882">
        <v>69</v>
      </c>
      <c r="E882">
        <v>6</v>
      </c>
      <c r="F882">
        <v>10</v>
      </c>
      <c r="G882">
        <v>13</v>
      </c>
      <c r="H882">
        <v>0</v>
      </c>
      <c r="I882">
        <v>0</v>
      </c>
      <c r="J882">
        <v>23</v>
      </c>
      <c r="K882" t="s">
        <v>242</v>
      </c>
    </row>
    <row r="883" spans="2:11" x14ac:dyDescent="0.25">
      <c r="B883">
        <v>966</v>
      </c>
      <c r="C883">
        <v>171</v>
      </c>
      <c r="D883">
        <v>73</v>
      </c>
      <c r="E883">
        <v>5</v>
      </c>
      <c r="F883">
        <v>2</v>
      </c>
      <c r="G883">
        <v>5</v>
      </c>
      <c r="H883">
        <v>0</v>
      </c>
      <c r="I883">
        <v>0</v>
      </c>
      <c r="J883">
        <v>7</v>
      </c>
      <c r="K883" t="s">
        <v>243</v>
      </c>
    </row>
    <row r="884" spans="2:11" x14ac:dyDescent="0.25">
      <c r="B884">
        <v>967</v>
      </c>
      <c r="C884">
        <v>31</v>
      </c>
      <c r="D884">
        <v>17</v>
      </c>
      <c r="E884">
        <v>6</v>
      </c>
      <c r="F884">
        <v>8</v>
      </c>
      <c r="G884">
        <v>0</v>
      </c>
      <c r="H884">
        <v>0</v>
      </c>
      <c r="I884">
        <v>0</v>
      </c>
      <c r="J884">
        <v>8</v>
      </c>
      <c r="K884" t="s">
        <v>245</v>
      </c>
    </row>
    <row r="885" spans="2:11" x14ac:dyDescent="0.25">
      <c r="B885">
        <v>968</v>
      </c>
      <c r="C885">
        <v>346</v>
      </c>
      <c r="D885">
        <v>155</v>
      </c>
      <c r="E885">
        <v>5</v>
      </c>
      <c r="F885">
        <v>6</v>
      </c>
      <c r="G885">
        <v>24</v>
      </c>
      <c r="H885">
        <v>0</v>
      </c>
      <c r="I885">
        <v>0</v>
      </c>
      <c r="J885">
        <v>30</v>
      </c>
      <c r="K885" t="s">
        <v>246</v>
      </c>
    </row>
    <row r="886" spans="2:11" x14ac:dyDescent="0.25">
      <c r="B886">
        <v>970</v>
      </c>
      <c r="C886">
        <v>68</v>
      </c>
      <c r="D886">
        <v>35</v>
      </c>
      <c r="E886">
        <v>5</v>
      </c>
      <c r="F886">
        <v>6</v>
      </c>
      <c r="G886">
        <v>9</v>
      </c>
      <c r="H886">
        <v>7</v>
      </c>
      <c r="I886">
        <v>0</v>
      </c>
      <c r="J886">
        <v>22</v>
      </c>
      <c r="K886" t="s">
        <v>246</v>
      </c>
    </row>
    <row r="887" spans="2:11" x14ac:dyDescent="0.25">
      <c r="B887">
        <v>971</v>
      </c>
      <c r="C887">
        <v>56</v>
      </c>
      <c r="D887">
        <v>29</v>
      </c>
      <c r="E887">
        <v>5</v>
      </c>
      <c r="F887">
        <v>12</v>
      </c>
      <c r="G887">
        <v>15</v>
      </c>
      <c r="H887">
        <v>0</v>
      </c>
      <c r="I887">
        <v>0</v>
      </c>
      <c r="J887">
        <v>27</v>
      </c>
      <c r="K887" t="s">
        <v>241</v>
      </c>
    </row>
    <row r="888" spans="2:11" x14ac:dyDescent="0.25">
      <c r="B888">
        <v>972</v>
      </c>
      <c r="C888">
        <v>64</v>
      </c>
      <c r="D888">
        <v>35</v>
      </c>
      <c r="E888">
        <v>5</v>
      </c>
      <c r="F888">
        <v>9</v>
      </c>
      <c r="G888">
        <v>10</v>
      </c>
      <c r="H888">
        <v>1</v>
      </c>
      <c r="I888">
        <v>0</v>
      </c>
      <c r="J888">
        <v>20</v>
      </c>
      <c r="K888" t="s">
        <v>246</v>
      </c>
    </row>
    <row r="889" spans="2:11" x14ac:dyDescent="0.25">
      <c r="B889">
        <v>973</v>
      </c>
      <c r="C889">
        <v>142</v>
      </c>
      <c r="D889">
        <v>62</v>
      </c>
      <c r="E889">
        <v>6</v>
      </c>
      <c r="F889">
        <v>14</v>
      </c>
      <c r="G889">
        <v>3</v>
      </c>
      <c r="H889">
        <v>0</v>
      </c>
      <c r="I889">
        <v>0</v>
      </c>
      <c r="J889">
        <v>17</v>
      </c>
      <c r="K889" t="s">
        <v>242</v>
      </c>
    </row>
    <row r="890" spans="2:11" x14ac:dyDescent="0.25">
      <c r="B890">
        <v>974</v>
      </c>
      <c r="C890">
        <v>113</v>
      </c>
      <c r="D890">
        <v>52</v>
      </c>
      <c r="E890">
        <v>5</v>
      </c>
      <c r="F890">
        <v>12</v>
      </c>
      <c r="G890">
        <v>15</v>
      </c>
      <c r="H890">
        <v>0</v>
      </c>
      <c r="I890">
        <v>0</v>
      </c>
      <c r="J890">
        <v>27</v>
      </c>
      <c r="K890" t="s">
        <v>243</v>
      </c>
    </row>
    <row r="891" spans="2:11" x14ac:dyDescent="0.25">
      <c r="B891">
        <v>975</v>
      </c>
      <c r="C891">
        <v>331</v>
      </c>
      <c r="D891">
        <v>152</v>
      </c>
      <c r="E891">
        <v>6</v>
      </c>
      <c r="F891">
        <v>4</v>
      </c>
      <c r="G891">
        <v>30</v>
      </c>
      <c r="H891">
        <v>0</v>
      </c>
      <c r="I891">
        <v>0</v>
      </c>
      <c r="J891">
        <v>34</v>
      </c>
      <c r="K891" t="s">
        <v>249</v>
      </c>
    </row>
    <row r="892" spans="2:11" x14ac:dyDescent="0.25">
      <c r="B892">
        <v>976</v>
      </c>
      <c r="C892">
        <v>154</v>
      </c>
      <c r="D892">
        <v>69</v>
      </c>
      <c r="E892">
        <v>5</v>
      </c>
      <c r="F892">
        <v>7</v>
      </c>
      <c r="G892">
        <v>15</v>
      </c>
      <c r="H892">
        <v>0</v>
      </c>
      <c r="I892">
        <v>0</v>
      </c>
      <c r="J892">
        <v>22</v>
      </c>
      <c r="K892" t="s">
        <v>246</v>
      </c>
    </row>
    <row r="893" spans="2:11" x14ac:dyDescent="0.25">
      <c r="B893">
        <v>977</v>
      </c>
      <c r="C893">
        <v>317</v>
      </c>
      <c r="D893">
        <v>146</v>
      </c>
      <c r="E893">
        <v>5</v>
      </c>
      <c r="F893">
        <v>12</v>
      </c>
      <c r="G893">
        <v>9</v>
      </c>
      <c r="H893">
        <v>0</v>
      </c>
      <c r="I893">
        <v>0</v>
      </c>
      <c r="J893">
        <v>21</v>
      </c>
      <c r="K893" t="s">
        <v>243</v>
      </c>
    </row>
    <row r="894" spans="2:11" x14ac:dyDescent="0.25">
      <c r="B894">
        <v>978</v>
      </c>
      <c r="C894">
        <v>252</v>
      </c>
      <c r="D894">
        <v>114</v>
      </c>
      <c r="E894">
        <v>6</v>
      </c>
      <c r="F894">
        <v>9</v>
      </c>
      <c r="G894">
        <v>5</v>
      </c>
      <c r="H894">
        <v>5</v>
      </c>
      <c r="I894">
        <v>0</v>
      </c>
      <c r="J894">
        <v>19</v>
      </c>
      <c r="K894" t="s">
        <v>245</v>
      </c>
    </row>
    <row r="895" spans="2:11" x14ac:dyDescent="0.25">
      <c r="B895">
        <v>980</v>
      </c>
      <c r="C895">
        <v>141</v>
      </c>
      <c r="D895">
        <v>62</v>
      </c>
      <c r="E895">
        <v>6</v>
      </c>
      <c r="F895">
        <v>20</v>
      </c>
      <c r="G895">
        <v>13</v>
      </c>
      <c r="H895">
        <v>0</v>
      </c>
      <c r="I895">
        <v>0</v>
      </c>
      <c r="J895">
        <v>33</v>
      </c>
      <c r="K895" t="s">
        <v>249</v>
      </c>
    </row>
    <row r="896" spans="2:11" x14ac:dyDescent="0.25">
      <c r="B896">
        <v>982</v>
      </c>
      <c r="C896">
        <v>251</v>
      </c>
      <c r="D896">
        <v>113</v>
      </c>
      <c r="E896">
        <v>6</v>
      </c>
      <c r="F896">
        <v>4</v>
      </c>
      <c r="G896">
        <v>7</v>
      </c>
      <c r="H896">
        <v>10</v>
      </c>
      <c r="I896">
        <v>0</v>
      </c>
      <c r="J896">
        <v>21</v>
      </c>
      <c r="K896" t="s">
        <v>245</v>
      </c>
    </row>
    <row r="897" spans="2:11" x14ac:dyDescent="0.25">
      <c r="B897">
        <v>984</v>
      </c>
      <c r="C897">
        <v>62</v>
      </c>
      <c r="D897">
        <v>33</v>
      </c>
      <c r="E897">
        <v>5</v>
      </c>
      <c r="F897">
        <v>17</v>
      </c>
      <c r="G897">
        <v>13</v>
      </c>
      <c r="H897">
        <v>0</v>
      </c>
      <c r="I897">
        <v>0</v>
      </c>
      <c r="J897">
        <v>30</v>
      </c>
      <c r="K897" t="s">
        <v>249</v>
      </c>
    </row>
    <row r="898" spans="2:11" x14ac:dyDescent="0.25">
      <c r="B898">
        <v>985</v>
      </c>
      <c r="C898">
        <v>266</v>
      </c>
      <c r="D898">
        <v>118</v>
      </c>
      <c r="E898">
        <v>3</v>
      </c>
      <c r="F898">
        <v>14</v>
      </c>
      <c r="G898">
        <v>11</v>
      </c>
      <c r="H898">
        <v>0</v>
      </c>
      <c r="I898">
        <v>0</v>
      </c>
      <c r="J898">
        <v>25</v>
      </c>
      <c r="K898" t="s">
        <v>249</v>
      </c>
    </row>
    <row r="899" spans="2:11" x14ac:dyDescent="0.25">
      <c r="B899">
        <v>986</v>
      </c>
      <c r="C899">
        <v>270</v>
      </c>
      <c r="D899">
        <v>122</v>
      </c>
      <c r="E899">
        <v>5</v>
      </c>
      <c r="F899">
        <v>15</v>
      </c>
      <c r="G899">
        <v>14</v>
      </c>
      <c r="H899">
        <v>0</v>
      </c>
      <c r="I899">
        <v>0</v>
      </c>
      <c r="J899">
        <v>29</v>
      </c>
      <c r="K899" t="s">
        <v>248</v>
      </c>
    </row>
    <row r="900" spans="2:11" x14ac:dyDescent="0.25">
      <c r="B900">
        <v>987</v>
      </c>
      <c r="C900">
        <v>266</v>
      </c>
      <c r="D900">
        <v>118</v>
      </c>
      <c r="E900">
        <v>2</v>
      </c>
      <c r="F900">
        <v>10</v>
      </c>
      <c r="G900">
        <v>15</v>
      </c>
      <c r="H900">
        <v>0</v>
      </c>
      <c r="I900">
        <v>0</v>
      </c>
      <c r="J900">
        <v>25</v>
      </c>
      <c r="K900" t="s">
        <v>249</v>
      </c>
    </row>
    <row r="901" spans="2:11" x14ac:dyDescent="0.25">
      <c r="B901">
        <v>988</v>
      </c>
      <c r="C901">
        <v>8</v>
      </c>
      <c r="D901">
        <v>3</v>
      </c>
      <c r="E901">
        <v>4</v>
      </c>
      <c r="F901">
        <v>9</v>
      </c>
      <c r="G901">
        <v>23</v>
      </c>
      <c r="H901">
        <v>0</v>
      </c>
      <c r="I901">
        <v>0</v>
      </c>
      <c r="J901">
        <v>32</v>
      </c>
      <c r="K901" t="s">
        <v>249</v>
      </c>
    </row>
    <row r="902" spans="2:11" x14ac:dyDescent="0.25">
      <c r="B902">
        <v>989</v>
      </c>
      <c r="C902">
        <v>337</v>
      </c>
      <c r="D902">
        <v>152</v>
      </c>
      <c r="E902">
        <v>5</v>
      </c>
      <c r="F902">
        <v>23</v>
      </c>
      <c r="G902">
        <v>7</v>
      </c>
      <c r="H902">
        <v>0</v>
      </c>
      <c r="I902">
        <v>0</v>
      </c>
      <c r="J902">
        <v>30</v>
      </c>
      <c r="K902" t="s">
        <v>249</v>
      </c>
    </row>
    <row r="903" spans="2:11" x14ac:dyDescent="0.25">
      <c r="B903">
        <v>990</v>
      </c>
      <c r="C903">
        <v>341</v>
      </c>
      <c r="D903">
        <v>152</v>
      </c>
      <c r="E903">
        <v>5</v>
      </c>
      <c r="F903">
        <v>16</v>
      </c>
      <c r="G903">
        <v>14</v>
      </c>
      <c r="H903">
        <v>0</v>
      </c>
      <c r="I903">
        <v>0</v>
      </c>
      <c r="J903">
        <v>30</v>
      </c>
      <c r="K903" t="s">
        <v>249</v>
      </c>
    </row>
    <row r="904" spans="2:11" x14ac:dyDescent="0.25">
      <c r="B904">
        <v>991</v>
      </c>
      <c r="C904">
        <v>237</v>
      </c>
      <c r="D904">
        <v>104</v>
      </c>
      <c r="E904">
        <v>5</v>
      </c>
      <c r="F904">
        <v>14</v>
      </c>
      <c r="G904">
        <v>16</v>
      </c>
      <c r="H904">
        <v>0</v>
      </c>
      <c r="I904">
        <v>0</v>
      </c>
      <c r="J904">
        <v>30</v>
      </c>
      <c r="K904" t="s">
        <v>249</v>
      </c>
    </row>
    <row r="905" spans="2:11" x14ac:dyDescent="0.25">
      <c r="B905">
        <v>995</v>
      </c>
      <c r="C905">
        <v>128</v>
      </c>
      <c r="D905">
        <v>56</v>
      </c>
      <c r="E905">
        <v>1</v>
      </c>
      <c r="F905">
        <v>4</v>
      </c>
      <c r="G905">
        <v>1</v>
      </c>
      <c r="H905">
        <v>0</v>
      </c>
      <c r="I905">
        <v>0</v>
      </c>
      <c r="J905">
        <v>5</v>
      </c>
      <c r="K905" t="s">
        <v>249</v>
      </c>
    </row>
    <row r="906" spans="2:11" x14ac:dyDescent="0.25">
      <c r="B906">
        <v>997</v>
      </c>
      <c r="C906">
        <v>78</v>
      </c>
      <c r="D906">
        <v>40</v>
      </c>
      <c r="E906">
        <v>6</v>
      </c>
      <c r="F906">
        <v>5</v>
      </c>
      <c r="G906">
        <v>6</v>
      </c>
      <c r="H906">
        <v>0</v>
      </c>
      <c r="I906">
        <v>0</v>
      </c>
      <c r="J906">
        <v>11</v>
      </c>
      <c r="K906" t="s">
        <v>247</v>
      </c>
    </row>
    <row r="907" spans="2:11" x14ac:dyDescent="0.25">
      <c r="B907">
        <v>5298</v>
      </c>
      <c r="C907">
        <v>185</v>
      </c>
      <c r="D907">
        <v>81</v>
      </c>
      <c r="E907">
        <v>10</v>
      </c>
      <c r="F907">
        <v>8</v>
      </c>
      <c r="G907">
        <v>10</v>
      </c>
      <c r="H907">
        <v>2</v>
      </c>
      <c r="I907">
        <v>0</v>
      </c>
      <c r="J907">
        <v>20</v>
      </c>
      <c r="K907" t="s">
        <v>241</v>
      </c>
    </row>
    <row r="908" spans="2:11" x14ac:dyDescent="0.25">
      <c r="B908">
        <v>5307</v>
      </c>
      <c r="C908">
        <v>198</v>
      </c>
      <c r="D908">
        <v>86</v>
      </c>
      <c r="E908">
        <v>10</v>
      </c>
      <c r="F908">
        <v>6</v>
      </c>
      <c r="G908">
        <v>2</v>
      </c>
      <c r="H908">
        <v>0</v>
      </c>
      <c r="I908">
        <v>0</v>
      </c>
      <c r="J908">
        <v>8</v>
      </c>
      <c r="K908" t="s">
        <v>246</v>
      </c>
    </row>
    <row r="909" spans="2:11" x14ac:dyDescent="0.25">
      <c r="B909">
        <v>5308</v>
      </c>
      <c r="C909">
        <v>198</v>
      </c>
      <c r="D909">
        <v>86</v>
      </c>
      <c r="E909">
        <v>11</v>
      </c>
      <c r="F909">
        <v>7</v>
      </c>
      <c r="G909">
        <v>3</v>
      </c>
      <c r="H909">
        <v>0</v>
      </c>
      <c r="I909">
        <v>0</v>
      </c>
      <c r="J909">
        <v>10</v>
      </c>
      <c r="K909" t="s">
        <v>246</v>
      </c>
    </row>
    <row r="910" spans="2:11" x14ac:dyDescent="0.25">
      <c r="B910">
        <v>5309</v>
      </c>
      <c r="C910">
        <v>75</v>
      </c>
      <c r="D910">
        <v>37</v>
      </c>
      <c r="E910">
        <v>18</v>
      </c>
      <c r="F910">
        <v>9</v>
      </c>
      <c r="G910">
        <v>7</v>
      </c>
      <c r="H910">
        <v>2</v>
      </c>
      <c r="I910">
        <v>0</v>
      </c>
      <c r="J910">
        <v>18</v>
      </c>
      <c r="K910" t="s">
        <v>247</v>
      </c>
    </row>
    <row r="911" spans="2:11" x14ac:dyDescent="0.25">
      <c r="B911">
        <v>5310</v>
      </c>
      <c r="C911">
        <v>214</v>
      </c>
      <c r="D911">
        <v>94</v>
      </c>
      <c r="E911">
        <v>13</v>
      </c>
      <c r="F911">
        <v>0</v>
      </c>
      <c r="G911">
        <v>24</v>
      </c>
      <c r="H911">
        <v>0</v>
      </c>
      <c r="I911">
        <v>0</v>
      </c>
      <c r="J911">
        <v>24</v>
      </c>
      <c r="K911" t="s">
        <v>245</v>
      </c>
    </row>
    <row r="912" spans="2:11" x14ac:dyDescent="0.25">
      <c r="B912">
        <v>5312</v>
      </c>
      <c r="C912">
        <v>198</v>
      </c>
      <c r="D912">
        <v>86</v>
      </c>
      <c r="E912">
        <v>12</v>
      </c>
      <c r="F912">
        <v>4</v>
      </c>
      <c r="G912">
        <v>1</v>
      </c>
      <c r="H912">
        <v>0</v>
      </c>
      <c r="I912">
        <v>0</v>
      </c>
      <c r="J912">
        <v>5</v>
      </c>
      <c r="K912" t="s">
        <v>246</v>
      </c>
    </row>
    <row r="913" spans="2:11" x14ac:dyDescent="0.25">
      <c r="B913">
        <v>5313</v>
      </c>
      <c r="C913">
        <v>75</v>
      </c>
      <c r="D913">
        <v>37</v>
      </c>
      <c r="E913">
        <v>17</v>
      </c>
      <c r="F913">
        <v>4</v>
      </c>
      <c r="G913">
        <v>9</v>
      </c>
      <c r="H913">
        <v>0</v>
      </c>
      <c r="I913">
        <v>0</v>
      </c>
      <c r="J913">
        <v>13</v>
      </c>
      <c r="K913" t="s">
        <v>247</v>
      </c>
    </row>
    <row r="914" spans="2:11" x14ac:dyDescent="0.25">
      <c r="B914">
        <v>5314</v>
      </c>
      <c r="C914">
        <v>214</v>
      </c>
      <c r="D914">
        <v>94</v>
      </c>
      <c r="E914">
        <v>14</v>
      </c>
      <c r="F914">
        <v>4</v>
      </c>
      <c r="G914">
        <v>17</v>
      </c>
      <c r="H914">
        <v>0</v>
      </c>
      <c r="I914">
        <v>0</v>
      </c>
      <c r="J914">
        <v>21</v>
      </c>
      <c r="K914" t="s">
        <v>245</v>
      </c>
    </row>
    <row r="915" spans="2:11" x14ac:dyDescent="0.25">
      <c r="B915">
        <v>5315</v>
      </c>
      <c r="C915">
        <v>198</v>
      </c>
      <c r="D915">
        <v>86</v>
      </c>
      <c r="E915">
        <v>13</v>
      </c>
      <c r="F915">
        <v>6</v>
      </c>
      <c r="G915">
        <v>3</v>
      </c>
      <c r="H915">
        <v>0</v>
      </c>
      <c r="I915">
        <v>0</v>
      </c>
      <c r="J915">
        <v>9</v>
      </c>
      <c r="K915" t="s">
        <v>246</v>
      </c>
    </row>
    <row r="916" spans="2:11" x14ac:dyDescent="0.25">
      <c r="B916">
        <v>5316</v>
      </c>
      <c r="C916">
        <v>95</v>
      </c>
      <c r="D916">
        <v>47</v>
      </c>
      <c r="E916">
        <v>16</v>
      </c>
      <c r="F916">
        <v>6</v>
      </c>
      <c r="G916">
        <v>14</v>
      </c>
      <c r="H916">
        <v>0</v>
      </c>
      <c r="I916">
        <v>0</v>
      </c>
      <c r="J916">
        <v>20</v>
      </c>
      <c r="K916" t="s">
        <v>252</v>
      </c>
    </row>
    <row r="917" spans="2:11" x14ac:dyDescent="0.25">
      <c r="B917">
        <v>5318</v>
      </c>
      <c r="C917">
        <v>198</v>
      </c>
      <c r="D917">
        <v>86</v>
      </c>
      <c r="E917">
        <v>14</v>
      </c>
      <c r="F917">
        <v>3</v>
      </c>
      <c r="G917">
        <v>1</v>
      </c>
      <c r="H917">
        <v>0</v>
      </c>
      <c r="I917">
        <v>0</v>
      </c>
      <c r="J917">
        <v>4</v>
      </c>
      <c r="K917" t="s">
        <v>246</v>
      </c>
    </row>
    <row r="918" spans="2:11" x14ac:dyDescent="0.25">
      <c r="B918">
        <v>5319</v>
      </c>
      <c r="C918">
        <v>215</v>
      </c>
      <c r="D918">
        <v>94</v>
      </c>
      <c r="E918">
        <v>2</v>
      </c>
      <c r="F918">
        <v>5</v>
      </c>
      <c r="G918">
        <v>1</v>
      </c>
      <c r="H918">
        <v>0</v>
      </c>
      <c r="I918">
        <v>0</v>
      </c>
      <c r="J918">
        <v>6</v>
      </c>
      <c r="K918" t="s">
        <v>245</v>
      </c>
    </row>
    <row r="919" spans="2:11" x14ac:dyDescent="0.25">
      <c r="B919">
        <v>998</v>
      </c>
      <c r="C919">
        <v>285</v>
      </c>
      <c r="D919">
        <v>132</v>
      </c>
      <c r="E919">
        <v>6</v>
      </c>
      <c r="F919">
        <v>12</v>
      </c>
      <c r="G919">
        <v>0</v>
      </c>
      <c r="H919">
        <v>0</v>
      </c>
      <c r="I919">
        <v>0</v>
      </c>
      <c r="J919">
        <v>12</v>
      </c>
      <c r="K919" t="s">
        <v>247</v>
      </c>
    </row>
    <row r="920" spans="2:11" x14ac:dyDescent="0.25">
      <c r="B920">
        <v>999</v>
      </c>
      <c r="C920">
        <v>147</v>
      </c>
      <c r="D920">
        <v>66</v>
      </c>
      <c r="E920">
        <v>6</v>
      </c>
      <c r="F920">
        <v>17</v>
      </c>
      <c r="G920">
        <v>5</v>
      </c>
      <c r="H920">
        <v>0</v>
      </c>
      <c r="I920">
        <v>0</v>
      </c>
      <c r="J920">
        <v>22</v>
      </c>
      <c r="K920" t="s">
        <v>242</v>
      </c>
    </row>
    <row r="921" spans="2:11" x14ac:dyDescent="0.25">
      <c r="B921">
        <v>1001</v>
      </c>
      <c r="C921">
        <v>300</v>
      </c>
      <c r="D921">
        <v>138</v>
      </c>
      <c r="E921">
        <v>6</v>
      </c>
      <c r="F921">
        <v>12</v>
      </c>
      <c r="G921">
        <v>12</v>
      </c>
      <c r="H921">
        <v>0</v>
      </c>
      <c r="I921">
        <v>0</v>
      </c>
      <c r="J921">
        <v>24</v>
      </c>
      <c r="K921" t="s">
        <v>247</v>
      </c>
    </row>
    <row r="922" spans="2:11" x14ac:dyDescent="0.25">
      <c r="B922">
        <v>1002</v>
      </c>
      <c r="C922">
        <v>146</v>
      </c>
      <c r="D922">
        <v>65</v>
      </c>
      <c r="E922">
        <v>6</v>
      </c>
      <c r="F922">
        <v>24</v>
      </c>
      <c r="G922">
        <v>0</v>
      </c>
      <c r="H922">
        <v>0</v>
      </c>
      <c r="I922">
        <v>0</v>
      </c>
      <c r="J922">
        <v>24</v>
      </c>
      <c r="K922" t="s">
        <v>242</v>
      </c>
    </row>
    <row r="923" spans="2:11" x14ac:dyDescent="0.25">
      <c r="B923">
        <v>1003</v>
      </c>
      <c r="C923">
        <v>334</v>
      </c>
      <c r="D923">
        <v>152</v>
      </c>
      <c r="E923">
        <v>6</v>
      </c>
      <c r="F923">
        <v>13</v>
      </c>
      <c r="G923">
        <v>15</v>
      </c>
      <c r="H923">
        <v>0</v>
      </c>
      <c r="I923">
        <v>0</v>
      </c>
      <c r="J923">
        <v>28</v>
      </c>
      <c r="K923" t="s">
        <v>245</v>
      </c>
    </row>
    <row r="924" spans="2:11" x14ac:dyDescent="0.25">
      <c r="B924">
        <v>1004</v>
      </c>
      <c r="C924">
        <v>115</v>
      </c>
      <c r="D924">
        <v>53</v>
      </c>
      <c r="E924">
        <v>6</v>
      </c>
      <c r="F924">
        <v>17</v>
      </c>
      <c r="G924">
        <v>8</v>
      </c>
      <c r="H924">
        <v>0</v>
      </c>
      <c r="I924">
        <v>0</v>
      </c>
      <c r="J924">
        <v>25</v>
      </c>
      <c r="K924" t="s">
        <v>247</v>
      </c>
    </row>
    <row r="925" spans="2:11" x14ac:dyDescent="0.25">
      <c r="B925">
        <v>1005</v>
      </c>
      <c r="C925">
        <v>318</v>
      </c>
      <c r="D925">
        <v>147</v>
      </c>
      <c r="E925">
        <v>5</v>
      </c>
      <c r="F925">
        <v>18</v>
      </c>
      <c r="G925">
        <v>11</v>
      </c>
      <c r="H925">
        <v>0</v>
      </c>
      <c r="I925">
        <v>0</v>
      </c>
      <c r="J925">
        <v>29</v>
      </c>
      <c r="K925" t="s">
        <v>248</v>
      </c>
    </row>
    <row r="926" spans="2:11" x14ac:dyDescent="0.25">
      <c r="B926">
        <v>1006</v>
      </c>
      <c r="C926">
        <v>70</v>
      </c>
      <c r="D926">
        <v>35</v>
      </c>
      <c r="E926">
        <v>5</v>
      </c>
      <c r="F926">
        <v>18</v>
      </c>
      <c r="G926">
        <v>11</v>
      </c>
      <c r="H926">
        <v>1</v>
      </c>
      <c r="I926">
        <v>0</v>
      </c>
      <c r="J926">
        <v>30</v>
      </c>
      <c r="K926" t="s">
        <v>249</v>
      </c>
    </row>
    <row r="927" spans="2:11" x14ac:dyDescent="0.25">
      <c r="B927">
        <v>1007</v>
      </c>
      <c r="C927">
        <v>13</v>
      </c>
      <c r="D927">
        <v>4</v>
      </c>
      <c r="E927">
        <v>5</v>
      </c>
      <c r="F927">
        <v>4</v>
      </c>
      <c r="G927">
        <v>24</v>
      </c>
      <c r="H927">
        <v>0</v>
      </c>
      <c r="I927">
        <v>0</v>
      </c>
      <c r="J927">
        <v>28</v>
      </c>
      <c r="K927" t="s">
        <v>246</v>
      </c>
    </row>
    <row r="928" spans="2:11" x14ac:dyDescent="0.25">
      <c r="B928">
        <v>1008</v>
      </c>
      <c r="C928">
        <v>247</v>
      </c>
      <c r="D928">
        <v>110</v>
      </c>
      <c r="E928">
        <v>5</v>
      </c>
      <c r="F928">
        <v>7</v>
      </c>
      <c r="G928">
        <v>8</v>
      </c>
      <c r="H928">
        <v>15</v>
      </c>
      <c r="I928">
        <v>0</v>
      </c>
      <c r="J928">
        <v>30</v>
      </c>
      <c r="K928" t="s">
        <v>241</v>
      </c>
    </row>
    <row r="929" spans="2:11" x14ac:dyDescent="0.25">
      <c r="B929">
        <v>1009</v>
      </c>
      <c r="C929">
        <v>158</v>
      </c>
      <c r="D929">
        <v>69</v>
      </c>
      <c r="E929">
        <v>6</v>
      </c>
      <c r="F929">
        <v>2</v>
      </c>
      <c r="G929">
        <v>22</v>
      </c>
      <c r="H929">
        <v>0</v>
      </c>
      <c r="I929">
        <v>0</v>
      </c>
      <c r="J929">
        <v>24</v>
      </c>
      <c r="K929" t="s">
        <v>247</v>
      </c>
    </row>
    <row r="930" spans="2:11" x14ac:dyDescent="0.25">
      <c r="B930">
        <v>1010</v>
      </c>
      <c r="C930">
        <v>19</v>
      </c>
      <c r="D930">
        <v>9</v>
      </c>
      <c r="E930">
        <v>6</v>
      </c>
      <c r="F930">
        <v>14</v>
      </c>
      <c r="G930">
        <v>16</v>
      </c>
      <c r="H930">
        <v>0</v>
      </c>
      <c r="I930">
        <v>0</v>
      </c>
      <c r="J930">
        <v>30</v>
      </c>
      <c r="K930" t="s">
        <v>242</v>
      </c>
    </row>
    <row r="931" spans="2:11" x14ac:dyDescent="0.25">
      <c r="B931">
        <v>1011</v>
      </c>
      <c r="C931">
        <v>253</v>
      </c>
      <c r="D931">
        <v>115</v>
      </c>
      <c r="E931">
        <v>6</v>
      </c>
      <c r="F931">
        <v>8</v>
      </c>
      <c r="G931">
        <v>12</v>
      </c>
      <c r="H931">
        <v>0</v>
      </c>
      <c r="I931">
        <v>0</v>
      </c>
      <c r="J931">
        <v>20</v>
      </c>
      <c r="K931" t="s">
        <v>245</v>
      </c>
    </row>
    <row r="932" spans="2:11" x14ac:dyDescent="0.25">
      <c r="B932">
        <v>1012</v>
      </c>
      <c r="C932">
        <v>13</v>
      </c>
      <c r="D932">
        <v>4</v>
      </c>
      <c r="E932">
        <v>4</v>
      </c>
      <c r="F932">
        <v>4</v>
      </c>
      <c r="G932">
        <v>17</v>
      </c>
      <c r="H932">
        <v>0</v>
      </c>
      <c r="I932">
        <v>0</v>
      </c>
      <c r="J932">
        <v>21</v>
      </c>
      <c r="K932" t="s">
        <v>249</v>
      </c>
    </row>
    <row r="933" spans="2:11" x14ac:dyDescent="0.25">
      <c r="B933">
        <v>1013</v>
      </c>
      <c r="C933">
        <v>12</v>
      </c>
      <c r="D933">
        <v>3</v>
      </c>
      <c r="E933">
        <v>5</v>
      </c>
      <c r="F933">
        <v>15</v>
      </c>
      <c r="G933">
        <v>7</v>
      </c>
      <c r="H933">
        <v>1</v>
      </c>
      <c r="I933">
        <v>0</v>
      </c>
      <c r="J933">
        <v>23</v>
      </c>
      <c r="K933" t="s">
        <v>246</v>
      </c>
    </row>
    <row r="934" spans="2:11" x14ac:dyDescent="0.25">
      <c r="B934">
        <v>1014</v>
      </c>
      <c r="C934">
        <v>283</v>
      </c>
      <c r="D934">
        <v>131</v>
      </c>
      <c r="E934">
        <v>6</v>
      </c>
      <c r="F934">
        <v>20</v>
      </c>
      <c r="G934">
        <v>5</v>
      </c>
      <c r="H934">
        <v>0</v>
      </c>
      <c r="I934">
        <v>0</v>
      </c>
      <c r="J934">
        <v>25</v>
      </c>
      <c r="K934" t="s">
        <v>242</v>
      </c>
    </row>
    <row r="935" spans="2:11" x14ac:dyDescent="0.25">
      <c r="B935">
        <v>1015</v>
      </c>
      <c r="C935">
        <v>18</v>
      </c>
      <c r="D935">
        <v>9</v>
      </c>
      <c r="E935">
        <v>6</v>
      </c>
      <c r="F935">
        <v>10</v>
      </c>
      <c r="G935">
        <v>4</v>
      </c>
      <c r="H935">
        <v>0</v>
      </c>
      <c r="I935">
        <v>0</v>
      </c>
      <c r="J935">
        <v>14</v>
      </c>
      <c r="K935" t="s">
        <v>245</v>
      </c>
    </row>
    <row r="936" spans="2:11" x14ac:dyDescent="0.25">
      <c r="B936">
        <v>1016</v>
      </c>
      <c r="C936">
        <v>69</v>
      </c>
      <c r="D936">
        <v>35</v>
      </c>
      <c r="E936">
        <v>5</v>
      </c>
      <c r="F936">
        <v>1</v>
      </c>
      <c r="G936">
        <v>0</v>
      </c>
      <c r="H936">
        <v>0</v>
      </c>
      <c r="I936">
        <v>0</v>
      </c>
      <c r="J936">
        <v>1</v>
      </c>
      <c r="K936" t="s">
        <v>241</v>
      </c>
    </row>
    <row r="937" spans="2:11" x14ac:dyDescent="0.25">
      <c r="B937">
        <v>1017</v>
      </c>
      <c r="C937">
        <v>173</v>
      </c>
      <c r="D937">
        <v>75</v>
      </c>
      <c r="E937">
        <v>5</v>
      </c>
      <c r="F937">
        <v>6</v>
      </c>
      <c r="G937">
        <v>2</v>
      </c>
      <c r="H937">
        <v>1</v>
      </c>
      <c r="I937">
        <v>0</v>
      </c>
      <c r="J937">
        <v>9</v>
      </c>
      <c r="K937" t="s">
        <v>248</v>
      </c>
    </row>
    <row r="938" spans="2:11" x14ac:dyDescent="0.25">
      <c r="B938">
        <v>1018</v>
      </c>
      <c r="C938">
        <v>103</v>
      </c>
      <c r="D938">
        <v>51</v>
      </c>
      <c r="E938">
        <v>3</v>
      </c>
      <c r="F938">
        <v>14</v>
      </c>
      <c r="G938">
        <v>13</v>
      </c>
      <c r="H938">
        <v>1</v>
      </c>
      <c r="I938">
        <v>0</v>
      </c>
      <c r="J938">
        <v>28</v>
      </c>
      <c r="K938" t="s">
        <v>249</v>
      </c>
    </row>
    <row r="939" spans="2:11" x14ac:dyDescent="0.25">
      <c r="B939">
        <v>1019</v>
      </c>
      <c r="C939">
        <v>317</v>
      </c>
      <c r="D939">
        <v>146</v>
      </c>
      <c r="E939">
        <v>6</v>
      </c>
      <c r="F939">
        <v>4</v>
      </c>
      <c r="G939">
        <v>6</v>
      </c>
      <c r="H939">
        <v>0</v>
      </c>
      <c r="I939">
        <v>0</v>
      </c>
      <c r="J939">
        <v>10</v>
      </c>
      <c r="K939" t="s">
        <v>245</v>
      </c>
    </row>
    <row r="940" spans="2:11" x14ac:dyDescent="0.25">
      <c r="B940">
        <v>1020</v>
      </c>
      <c r="C940">
        <v>128</v>
      </c>
      <c r="D940">
        <v>56</v>
      </c>
      <c r="E940">
        <v>2</v>
      </c>
      <c r="F940">
        <v>7</v>
      </c>
      <c r="G940">
        <v>2</v>
      </c>
      <c r="H940">
        <v>0</v>
      </c>
      <c r="I940">
        <v>0</v>
      </c>
      <c r="J940">
        <v>9</v>
      </c>
      <c r="K940" t="s">
        <v>249</v>
      </c>
    </row>
    <row r="941" spans="2:11" x14ac:dyDescent="0.25">
      <c r="B941">
        <v>1021</v>
      </c>
      <c r="C941">
        <v>76</v>
      </c>
      <c r="D941">
        <v>38</v>
      </c>
      <c r="E941">
        <v>6</v>
      </c>
      <c r="F941">
        <v>8</v>
      </c>
      <c r="G941">
        <v>9</v>
      </c>
      <c r="H941">
        <v>0</v>
      </c>
      <c r="I941">
        <v>0</v>
      </c>
      <c r="J941">
        <v>17</v>
      </c>
      <c r="K941" t="s">
        <v>249</v>
      </c>
    </row>
    <row r="942" spans="2:11" x14ac:dyDescent="0.25">
      <c r="B942">
        <v>1022</v>
      </c>
      <c r="C942">
        <v>256</v>
      </c>
      <c r="D942">
        <v>117</v>
      </c>
      <c r="E942">
        <v>5</v>
      </c>
      <c r="F942">
        <v>14</v>
      </c>
      <c r="G942">
        <v>1</v>
      </c>
      <c r="H942">
        <v>1</v>
      </c>
      <c r="I942">
        <v>0</v>
      </c>
      <c r="J942">
        <v>16</v>
      </c>
      <c r="K942" t="s">
        <v>248</v>
      </c>
    </row>
    <row r="943" spans="2:11" x14ac:dyDescent="0.25">
      <c r="B943">
        <v>1024</v>
      </c>
      <c r="C943">
        <v>287</v>
      </c>
      <c r="D943">
        <v>133</v>
      </c>
      <c r="E943">
        <v>6</v>
      </c>
      <c r="F943">
        <v>2</v>
      </c>
      <c r="G943">
        <v>0</v>
      </c>
      <c r="H943">
        <v>0</v>
      </c>
      <c r="I943">
        <v>0</v>
      </c>
      <c r="J943">
        <v>2</v>
      </c>
      <c r="K943" t="s">
        <v>246</v>
      </c>
    </row>
    <row r="944" spans="2:11" x14ac:dyDescent="0.25">
      <c r="B944">
        <v>1025</v>
      </c>
      <c r="C944">
        <v>349</v>
      </c>
      <c r="D944">
        <v>156</v>
      </c>
      <c r="E944">
        <v>5</v>
      </c>
      <c r="F944">
        <v>19</v>
      </c>
      <c r="G944">
        <v>15</v>
      </c>
      <c r="H944">
        <v>0</v>
      </c>
      <c r="I944">
        <v>0</v>
      </c>
      <c r="J944">
        <v>34</v>
      </c>
      <c r="K944" t="s">
        <v>249</v>
      </c>
    </row>
    <row r="945" spans="2:11" x14ac:dyDescent="0.25">
      <c r="B945">
        <v>1029</v>
      </c>
      <c r="C945">
        <v>116</v>
      </c>
      <c r="D945">
        <v>54</v>
      </c>
      <c r="E945">
        <v>5</v>
      </c>
      <c r="F945">
        <v>3</v>
      </c>
      <c r="G945">
        <v>5</v>
      </c>
      <c r="H945">
        <v>1</v>
      </c>
      <c r="I945">
        <v>0</v>
      </c>
      <c r="J945">
        <v>9</v>
      </c>
      <c r="K945" t="s">
        <v>246</v>
      </c>
    </row>
    <row r="946" spans="2:11" x14ac:dyDescent="0.25">
      <c r="B946">
        <v>1030</v>
      </c>
      <c r="C946">
        <v>337</v>
      </c>
      <c r="D946">
        <v>152</v>
      </c>
      <c r="E946">
        <v>6</v>
      </c>
      <c r="F946">
        <v>9</v>
      </c>
      <c r="G946">
        <v>21</v>
      </c>
      <c r="H946">
        <v>0</v>
      </c>
      <c r="I946">
        <v>0</v>
      </c>
      <c r="J946">
        <v>30</v>
      </c>
      <c r="K946" t="s">
        <v>248</v>
      </c>
    </row>
    <row r="947" spans="2:11" x14ac:dyDescent="0.25">
      <c r="B947">
        <v>1031</v>
      </c>
      <c r="C947">
        <v>117</v>
      </c>
      <c r="D947">
        <v>54</v>
      </c>
      <c r="E947">
        <v>5</v>
      </c>
      <c r="F947">
        <v>6</v>
      </c>
      <c r="G947">
        <v>12</v>
      </c>
      <c r="H947">
        <v>0</v>
      </c>
      <c r="I947">
        <v>0</v>
      </c>
      <c r="J947">
        <v>18</v>
      </c>
      <c r="K947" t="s">
        <v>246</v>
      </c>
    </row>
    <row r="948" spans="2:11" x14ac:dyDescent="0.25">
      <c r="B948">
        <v>1032</v>
      </c>
      <c r="C948">
        <v>336</v>
      </c>
      <c r="D948">
        <v>152</v>
      </c>
      <c r="E948">
        <v>6</v>
      </c>
      <c r="F948">
        <v>9</v>
      </c>
      <c r="G948">
        <v>19</v>
      </c>
      <c r="H948">
        <v>1</v>
      </c>
      <c r="I948">
        <v>0</v>
      </c>
      <c r="J948">
        <v>29</v>
      </c>
      <c r="K948" t="s">
        <v>248</v>
      </c>
    </row>
    <row r="949" spans="2:11" x14ac:dyDescent="0.25">
      <c r="B949">
        <v>1033</v>
      </c>
      <c r="C949">
        <v>71</v>
      </c>
      <c r="D949">
        <v>35</v>
      </c>
      <c r="E949">
        <v>5</v>
      </c>
      <c r="F949">
        <v>7</v>
      </c>
      <c r="G949">
        <v>14</v>
      </c>
      <c r="H949">
        <v>5</v>
      </c>
      <c r="I949">
        <v>0</v>
      </c>
      <c r="J949">
        <v>26</v>
      </c>
      <c r="K949" t="s">
        <v>246</v>
      </c>
    </row>
    <row r="950" spans="2:11" x14ac:dyDescent="0.25">
      <c r="B950">
        <v>1034</v>
      </c>
      <c r="C950">
        <v>15</v>
      </c>
      <c r="D950">
        <v>6</v>
      </c>
      <c r="E950">
        <v>5</v>
      </c>
      <c r="F950">
        <v>1</v>
      </c>
      <c r="G950">
        <v>4</v>
      </c>
      <c r="H950">
        <v>0</v>
      </c>
      <c r="I950">
        <v>0</v>
      </c>
      <c r="J950">
        <v>5</v>
      </c>
      <c r="K950" t="s">
        <v>246</v>
      </c>
    </row>
    <row r="951" spans="2:11" x14ac:dyDescent="0.25">
      <c r="B951">
        <v>1035</v>
      </c>
      <c r="C951">
        <v>303</v>
      </c>
      <c r="D951">
        <v>140</v>
      </c>
      <c r="E951">
        <v>6</v>
      </c>
      <c r="F951">
        <v>4</v>
      </c>
      <c r="G951">
        <v>2</v>
      </c>
      <c r="H951">
        <v>0</v>
      </c>
      <c r="I951">
        <v>0</v>
      </c>
      <c r="J951">
        <v>6</v>
      </c>
      <c r="K951" t="s">
        <v>248</v>
      </c>
    </row>
    <row r="952" spans="2:11" x14ac:dyDescent="0.25">
      <c r="B952">
        <v>1036</v>
      </c>
      <c r="C952">
        <v>350</v>
      </c>
      <c r="D952">
        <v>157</v>
      </c>
      <c r="E952">
        <v>5</v>
      </c>
      <c r="F952">
        <v>11</v>
      </c>
      <c r="G952">
        <v>19</v>
      </c>
      <c r="H952">
        <v>0</v>
      </c>
      <c r="I952">
        <v>0</v>
      </c>
      <c r="J952">
        <v>30</v>
      </c>
      <c r="K952" t="s">
        <v>248</v>
      </c>
    </row>
    <row r="953" spans="2:11" x14ac:dyDescent="0.25">
      <c r="B953">
        <v>1037</v>
      </c>
      <c r="C953">
        <v>80</v>
      </c>
      <c r="D953">
        <v>38</v>
      </c>
      <c r="E953">
        <v>6</v>
      </c>
      <c r="F953">
        <v>8</v>
      </c>
      <c r="G953">
        <v>2</v>
      </c>
      <c r="H953">
        <v>0</v>
      </c>
      <c r="I953">
        <v>0</v>
      </c>
      <c r="J953">
        <v>10</v>
      </c>
      <c r="K953" t="s">
        <v>248</v>
      </c>
    </row>
    <row r="954" spans="2:11" x14ac:dyDescent="0.25">
      <c r="B954">
        <v>1038</v>
      </c>
      <c r="C954">
        <v>160</v>
      </c>
      <c r="D954">
        <v>69</v>
      </c>
      <c r="E954">
        <v>6</v>
      </c>
      <c r="F954">
        <v>0</v>
      </c>
      <c r="G954">
        <v>21</v>
      </c>
      <c r="H954">
        <v>0</v>
      </c>
      <c r="I954">
        <v>0</v>
      </c>
      <c r="J954">
        <v>21</v>
      </c>
      <c r="K954" t="s">
        <v>248</v>
      </c>
    </row>
    <row r="955" spans="2:11" x14ac:dyDescent="0.25">
      <c r="B955">
        <v>1040</v>
      </c>
      <c r="C955">
        <v>261</v>
      </c>
      <c r="D955">
        <v>118</v>
      </c>
      <c r="E955">
        <v>5</v>
      </c>
      <c r="F955">
        <v>9</v>
      </c>
      <c r="G955">
        <v>5</v>
      </c>
      <c r="H955">
        <v>5</v>
      </c>
      <c r="I955">
        <v>0</v>
      </c>
      <c r="J955">
        <v>19</v>
      </c>
      <c r="K955" t="s">
        <v>242</v>
      </c>
    </row>
    <row r="956" spans="2:11" x14ac:dyDescent="0.25">
      <c r="B956">
        <v>1042</v>
      </c>
      <c r="C956">
        <v>260</v>
      </c>
      <c r="D956">
        <v>118</v>
      </c>
      <c r="E956">
        <v>6</v>
      </c>
      <c r="F956">
        <v>9</v>
      </c>
      <c r="G956">
        <v>2</v>
      </c>
      <c r="H956">
        <v>3</v>
      </c>
      <c r="I956">
        <v>0</v>
      </c>
      <c r="J956">
        <v>14</v>
      </c>
      <c r="K956" t="s">
        <v>242</v>
      </c>
    </row>
    <row r="957" spans="2:11" x14ac:dyDescent="0.25">
      <c r="B957">
        <v>1043</v>
      </c>
      <c r="C957">
        <v>236</v>
      </c>
      <c r="D957">
        <v>103</v>
      </c>
      <c r="E957">
        <v>2</v>
      </c>
      <c r="F957">
        <v>9</v>
      </c>
      <c r="G957">
        <v>7</v>
      </c>
      <c r="H957">
        <v>0</v>
      </c>
      <c r="I957">
        <v>0</v>
      </c>
      <c r="J957">
        <v>16</v>
      </c>
      <c r="K957" t="s">
        <v>249</v>
      </c>
    </row>
    <row r="958" spans="2:11" x14ac:dyDescent="0.25">
      <c r="B958">
        <v>1044</v>
      </c>
      <c r="C958">
        <v>153</v>
      </c>
      <c r="D958">
        <v>69</v>
      </c>
      <c r="E958">
        <v>6</v>
      </c>
      <c r="F958">
        <v>3</v>
      </c>
      <c r="G958">
        <v>7</v>
      </c>
      <c r="H958">
        <v>0</v>
      </c>
      <c r="I958">
        <v>0</v>
      </c>
      <c r="J958">
        <v>10</v>
      </c>
      <c r="K958" t="s">
        <v>248</v>
      </c>
    </row>
    <row r="959" spans="2:11" x14ac:dyDescent="0.25">
      <c r="B959">
        <v>1045</v>
      </c>
      <c r="C959">
        <v>236</v>
      </c>
      <c r="D959">
        <v>103</v>
      </c>
      <c r="E959">
        <v>3</v>
      </c>
      <c r="F959">
        <v>10</v>
      </c>
      <c r="G959">
        <v>15</v>
      </c>
      <c r="H959">
        <v>0</v>
      </c>
      <c r="I959">
        <v>0</v>
      </c>
      <c r="J959">
        <v>25</v>
      </c>
      <c r="K959" t="s">
        <v>249</v>
      </c>
    </row>
    <row r="960" spans="2:11" x14ac:dyDescent="0.25">
      <c r="B960">
        <v>1047</v>
      </c>
      <c r="C960">
        <v>259</v>
      </c>
      <c r="D960">
        <v>118</v>
      </c>
      <c r="E960">
        <v>5</v>
      </c>
      <c r="F960">
        <v>9</v>
      </c>
      <c r="G960">
        <v>10</v>
      </c>
      <c r="H960">
        <v>6</v>
      </c>
      <c r="I960">
        <v>0</v>
      </c>
      <c r="J960">
        <v>25</v>
      </c>
      <c r="K960" t="s">
        <v>242</v>
      </c>
    </row>
    <row r="961" spans="2:11" x14ac:dyDescent="0.25">
      <c r="B961">
        <v>1048</v>
      </c>
      <c r="C961">
        <v>258</v>
      </c>
      <c r="D961">
        <v>118</v>
      </c>
      <c r="E961">
        <v>6</v>
      </c>
      <c r="F961">
        <v>1</v>
      </c>
      <c r="G961">
        <v>1</v>
      </c>
      <c r="H961">
        <v>0</v>
      </c>
      <c r="I961">
        <v>0</v>
      </c>
      <c r="J961">
        <v>2</v>
      </c>
      <c r="K961" t="s">
        <v>242</v>
      </c>
    </row>
    <row r="962" spans="2:11" x14ac:dyDescent="0.25">
      <c r="B962">
        <v>1049</v>
      </c>
      <c r="C962">
        <v>236</v>
      </c>
      <c r="D962">
        <v>103</v>
      </c>
      <c r="E962">
        <v>4</v>
      </c>
      <c r="F962">
        <v>13</v>
      </c>
      <c r="G962">
        <v>8</v>
      </c>
      <c r="H962">
        <v>0</v>
      </c>
      <c r="I962">
        <v>0</v>
      </c>
      <c r="J962">
        <v>21</v>
      </c>
      <c r="K962" t="s">
        <v>249</v>
      </c>
    </row>
    <row r="963" spans="2:11" x14ac:dyDescent="0.25">
      <c r="B963">
        <v>1050</v>
      </c>
      <c r="C963">
        <v>15</v>
      </c>
      <c r="D963">
        <v>6</v>
      </c>
      <c r="E963">
        <v>3</v>
      </c>
      <c r="F963">
        <v>2</v>
      </c>
      <c r="G963">
        <v>1</v>
      </c>
      <c r="H963">
        <v>0</v>
      </c>
      <c r="I963">
        <v>0</v>
      </c>
      <c r="J963">
        <v>3</v>
      </c>
      <c r="K963" t="s">
        <v>249</v>
      </c>
    </row>
    <row r="964" spans="2:11" x14ac:dyDescent="0.25">
      <c r="B964">
        <v>1051</v>
      </c>
      <c r="C964">
        <v>257</v>
      </c>
      <c r="D964">
        <v>117</v>
      </c>
      <c r="E964">
        <v>6</v>
      </c>
      <c r="F964">
        <v>12</v>
      </c>
      <c r="G964">
        <v>4</v>
      </c>
      <c r="H964">
        <v>0</v>
      </c>
      <c r="I964">
        <v>0</v>
      </c>
      <c r="J964">
        <v>16</v>
      </c>
      <c r="K964" t="s">
        <v>242</v>
      </c>
    </row>
    <row r="965" spans="2:11" x14ac:dyDescent="0.25">
      <c r="B965">
        <v>1053</v>
      </c>
      <c r="C965">
        <v>25</v>
      </c>
      <c r="D965">
        <v>13</v>
      </c>
      <c r="E965">
        <v>6</v>
      </c>
      <c r="F965">
        <v>1</v>
      </c>
      <c r="G965">
        <v>2</v>
      </c>
      <c r="H965">
        <v>0</v>
      </c>
      <c r="I965">
        <v>0</v>
      </c>
      <c r="J965">
        <v>3</v>
      </c>
      <c r="K965" t="s">
        <v>245</v>
      </c>
    </row>
    <row r="966" spans="2:11" x14ac:dyDescent="0.25">
      <c r="B966">
        <v>1054</v>
      </c>
      <c r="C966">
        <v>84</v>
      </c>
      <c r="D966">
        <v>41</v>
      </c>
      <c r="E966">
        <v>6</v>
      </c>
      <c r="F966">
        <v>11</v>
      </c>
      <c r="G966">
        <v>0</v>
      </c>
      <c r="H966">
        <v>0</v>
      </c>
      <c r="I966">
        <v>0</v>
      </c>
      <c r="J966">
        <v>11</v>
      </c>
      <c r="K966" t="s">
        <v>248</v>
      </c>
    </row>
    <row r="967" spans="2:11" x14ac:dyDescent="0.25">
      <c r="B967">
        <v>1055</v>
      </c>
      <c r="C967">
        <v>72</v>
      </c>
      <c r="D967">
        <v>35</v>
      </c>
      <c r="E967">
        <v>5</v>
      </c>
      <c r="F967">
        <v>4</v>
      </c>
      <c r="G967">
        <v>26</v>
      </c>
      <c r="H967">
        <v>0</v>
      </c>
      <c r="I967">
        <v>0</v>
      </c>
      <c r="J967">
        <v>30</v>
      </c>
      <c r="K967" t="s">
        <v>241</v>
      </c>
    </row>
    <row r="968" spans="2:11" x14ac:dyDescent="0.25">
      <c r="B968">
        <v>1056</v>
      </c>
      <c r="C968">
        <v>81</v>
      </c>
      <c r="D968">
        <v>38</v>
      </c>
      <c r="E968">
        <v>6</v>
      </c>
      <c r="F968">
        <v>6</v>
      </c>
      <c r="G968">
        <v>9</v>
      </c>
      <c r="H968">
        <v>0</v>
      </c>
      <c r="I968">
        <v>0</v>
      </c>
      <c r="J968">
        <v>15</v>
      </c>
      <c r="K968" t="s">
        <v>245</v>
      </c>
    </row>
    <row r="969" spans="2:11" x14ac:dyDescent="0.25">
      <c r="B969">
        <v>1057</v>
      </c>
      <c r="C969">
        <v>74</v>
      </c>
      <c r="D969">
        <v>36</v>
      </c>
      <c r="E969">
        <v>5</v>
      </c>
      <c r="F969">
        <v>2</v>
      </c>
      <c r="G969">
        <v>9</v>
      </c>
      <c r="H969">
        <v>1</v>
      </c>
      <c r="I969">
        <v>0</v>
      </c>
      <c r="J969">
        <v>12</v>
      </c>
      <c r="K969" t="s">
        <v>241</v>
      </c>
    </row>
    <row r="970" spans="2:11" x14ac:dyDescent="0.25">
      <c r="B970">
        <v>1058</v>
      </c>
      <c r="C970">
        <v>75</v>
      </c>
      <c r="D970">
        <v>37</v>
      </c>
      <c r="E970">
        <v>5</v>
      </c>
      <c r="F970">
        <v>4</v>
      </c>
      <c r="G970">
        <v>8</v>
      </c>
      <c r="H970">
        <v>2</v>
      </c>
      <c r="I970">
        <v>0</v>
      </c>
      <c r="J970">
        <v>14</v>
      </c>
      <c r="K970" t="s">
        <v>248</v>
      </c>
    </row>
    <row r="971" spans="2:11" x14ac:dyDescent="0.25">
      <c r="B971">
        <v>1059</v>
      </c>
      <c r="C971">
        <v>2</v>
      </c>
      <c r="D971">
        <v>1</v>
      </c>
      <c r="E971">
        <v>5</v>
      </c>
      <c r="F971">
        <v>4</v>
      </c>
      <c r="G971">
        <v>7</v>
      </c>
      <c r="H971">
        <v>0</v>
      </c>
      <c r="I971">
        <v>0</v>
      </c>
      <c r="J971">
        <v>11</v>
      </c>
      <c r="K971" t="s">
        <v>245</v>
      </c>
    </row>
    <row r="972" spans="2:11" x14ac:dyDescent="0.25">
      <c r="B972">
        <v>1060</v>
      </c>
      <c r="C972">
        <v>73</v>
      </c>
      <c r="D972">
        <v>35</v>
      </c>
      <c r="E972">
        <v>5</v>
      </c>
      <c r="F972">
        <v>15</v>
      </c>
      <c r="G972">
        <v>8</v>
      </c>
      <c r="H972">
        <v>1</v>
      </c>
      <c r="I972">
        <v>0</v>
      </c>
      <c r="J972">
        <v>24</v>
      </c>
      <c r="K972" t="s">
        <v>241</v>
      </c>
    </row>
    <row r="973" spans="2:11" x14ac:dyDescent="0.25">
      <c r="B973">
        <v>1061</v>
      </c>
      <c r="C973">
        <v>2</v>
      </c>
      <c r="D973">
        <v>1</v>
      </c>
      <c r="E973">
        <v>4</v>
      </c>
      <c r="F973">
        <v>7</v>
      </c>
      <c r="G973">
        <v>4</v>
      </c>
      <c r="H973">
        <v>0</v>
      </c>
      <c r="I973">
        <v>0</v>
      </c>
      <c r="J973">
        <v>13</v>
      </c>
      <c r="K973" t="s">
        <v>245</v>
      </c>
    </row>
    <row r="974" spans="2:11" x14ac:dyDescent="0.25">
      <c r="B974">
        <v>1062</v>
      </c>
      <c r="C974">
        <v>59</v>
      </c>
      <c r="D974">
        <v>30</v>
      </c>
      <c r="E974">
        <v>5</v>
      </c>
      <c r="F974">
        <v>16</v>
      </c>
      <c r="G974">
        <v>6</v>
      </c>
      <c r="H974">
        <v>1</v>
      </c>
      <c r="I974">
        <v>0</v>
      </c>
      <c r="J974">
        <v>23</v>
      </c>
      <c r="K974" t="s">
        <v>247</v>
      </c>
    </row>
    <row r="975" spans="2:11" x14ac:dyDescent="0.25">
      <c r="B975">
        <v>1063</v>
      </c>
      <c r="C975">
        <v>60</v>
      </c>
      <c r="D975">
        <v>31</v>
      </c>
      <c r="E975">
        <v>5</v>
      </c>
      <c r="F975">
        <v>20</v>
      </c>
      <c r="G975">
        <v>10</v>
      </c>
      <c r="H975">
        <v>0</v>
      </c>
      <c r="I975">
        <v>0</v>
      </c>
      <c r="J975">
        <v>30</v>
      </c>
      <c r="K975" t="s">
        <v>247</v>
      </c>
    </row>
    <row r="976" spans="2:11" x14ac:dyDescent="0.25">
      <c r="B976">
        <v>1064</v>
      </c>
      <c r="C976">
        <v>95</v>
      </c>
      <c r="D976">
        <v>47</v>
      </c>
      <c r="E976">
        <v>5</v>
      </c>
      <c r="F976">
        <v>16</v>
      </c>
      <c r="G976">
        <v>12</v>
      </c>
      <c r="H976">
        <v>0</v>
      </c>
      <c r="I976">
        <v>0</v>
      </c>
      <c r="J976">
        <v>28</v>
      </c>
      <c r="K976" t="s">
        <v>245</v>
      </c>
    </row>
    <row r="977" spans="2:11" x14ac:dyDescent="0.25">
      <c r="B977">
        <v>1067</v>
      </c>
      <c r="C977">
        <v>26</v>
      </c>
      <c r="D977">
        <v>14</v>
      </c>
      <c r="E977">
        <v>6</v>
      </c>
      <c r="F977">
        <v>8</v>
      </c>
      <c r="G977">
        <v>11</v>
      </c>
      <c r="H977">
        <v>4</v>
      </c>
      <c r="I977">
        <v>0</v>
      </c>
      <c r="J977">
        <v>23</v>
      </c>
      <c r="K977" t="s">
        <v>247</v>
      </c>
    </row>
    <row r="978" spans="2:11" x14ac:dyDescent="0.25">
      <c r="B978">
        <v>1068</v>
      </c>
      <c r="C978">
        <v>112</v>
      </c>
      <c r="D978">
        <v>51</v>
      </c>
      <c r="E978">
        <v>5</v>
      </c>
      <c r="F978">
        <v>20</v>
      </c>
      <c r="G978">
        <v>7</v>
      </c>
      <c r="H978">
        <v>0</v>
      </c>
      <c r="I978">
        <v>0</v>
      </c>
      <c r="J978">
        <v>27</v>
      </c>
      <c r="K978" t="s">
        <v>242</v>
      </c>
    </row>
    <row r="979" spans="2:11" x14ac:dyDescent="0.25">
      <c r="B979">
        <v>1069</v>
      </c>
      <c r="C979">
        <v>175</v>
      </c>
      <c r="D979">
        <v>76</v>
      </c>
      <c r="E979">
        <v>5</v>
      </c>
      <c r="F979">
        <v>6</v>
      </c>
      <c r="G979">
        <v>3</v>
      </c>
      <c r="H979">
        <v>2</v>
      </c>
      <c r="I979">
        <v>0</v>
      </c>
      <c r="J979">
        <v>11</v>
      </c>
      <c r="K979" t="s">
        <v>245</v>
      </c>
    </row>
    <row r="980" spans="2:11" x14ac:dyDescent="0.25">
      <c r="B980">
        <v>1070</v>
      </c>
      <c r="C980">
        <v>27</v>
      </c>
      <c r="D980">
        <v>14</v>
      </c>
      <c r="E980">
        <v>6</v>
      </c>
      <c r="F980">
        <v>14</v>
      </c>
      <c r="G980">
        <v>14</v>
      </c>
      <c r="H980">
        <v>2</v>
      </c>
      <c r="I980">
        <v>0</v>
      </c>
      <c r="J980">
        <v>30</v>
      </c>
      <c r="K980" t="s">
        <v>247</v>
      </c>
    </row>
    <row r="981" spans="2:11" x14ac:dyDescent="0.25">
      <c r="B981">
        <v>1071</v>
      </c>
      <c r="C981">
        <v>164</v>
      </c>
      <c r="D981">
        <v>70</v>
      </c>
      <c r="E981">
        <v>6</v>
      </c>
      <c r="F981">
        <v>2</v>
      </c>
      <c r="G981">
        <v>0</v>
      </c>
      <c r="H981">
        <v>0</v>
      </c>
      <c r="I981">
        <v>0</v>
      </c>
      <c r="J981">
        <v>2</v>
      </c>
      <c r="K981" t="s">
        <v>242</v>
      </c>
    </row>
    <row r="982" spans="2:11" x14ac:dyDescent="0.25">
      <c r="B982">
        <v>1072</v>
      </c>
      <c r="C982">
        <v>150</v>
      </c>
      <c r="D982">
        <v>69</v>
      </c>
      <c r="E982">
        <v>6</v>
      </c>
      <c r="F982">
        <v>12</v>
      </c>
      <c r="G982">
        <v>6</v>
      </c>
      <c r="H982">
        <v>1</v>
      </c>
      <c r="I982">
        <v>0</v>
      </c>
      <c r="J982">
        <v>19</v>
      </c>
      <c r="K982" t="s">
        <v>242</v>
      </c>
    </row>
    <row r="983" spans="2:11" x14ac:dyDescent="0.25">
      <c r="B983">
        <v>1073</v>
      </c>
      <c r="C983">
        <v>174</v>
      </c>
      <c r="D983">
        <v>75</v>
      </c>
      <c r="E983">
        <v>5</v>
      </c>
      <c r="F983">
        <v>14</v>
      </c>
      <c r="G983">
        <v>5</v>
      </c>
      <c r="H983">
        <v>1</v>
      </c>
      <c r="I983">
        <v>0</v>
      </c>
      <c r="J983">
        <v>20</v>
      </c>
      <c r="K983" t="s">
        <v>245</v>
      </c>
    </row>
    <row r="984" spans="2:11" x14ac:dyDescent="0.25">
      <c r="B984">
        <v>5306</v>
      </c>
      <c r="C984">
        <v>214</v>
      </c>
      <c r="D984">
        <v>94</v>
      </c>
      <c r="E984">
        <v>12</v>
      </c>
      <c r="F984">
        <v>0</v>
      </c>
      <c r="G984">
        <v>27</v>
      </c>
      <c r="H984">
        <v>0</v>
      </c>
      <c r="I984">
        <v>0</v>
      </c>
      <c r="J984">
        <v>27</v>
      </c>
      <c r="K984" t="s">
        <v>245</v>
      </c>
    </row>
    <row r="985" spans="2:11" x14ac:dyDescent="0.25">
      <c r="B985">
        <v>5311</v>
      </c>
      <c r="C985">
        <v>95</v>
      </c>
      <c r="D985">
        <v>47</v>
      </c>
      <c r="E985">
        <v>17</v>
      </c>
      <c r="F985">
        <v>4</v>
      </c>
      <c r="G985">
        <v>11</v>
      </c>
      <c r="H985">
        <v>0</v>
      </c>
      <c r="I985">
        <v>0</v>
      </c>
      <c r="J985">
        <v>15</v>
      </c>
      <c r="K985" t="s">
        <v>252</v>
      </c>
    </row>
    <row r="986" spans="2:11" x14ac:dyDescent="0.25">
      <c r="B986">
        <v>5317</v>
      </c>
      <c r="C986">
        <v>75</v>
      </c>
      <c r="D986">
        <v>37</v>
      </c>
      <c r="E986">
        <v>16</v>
      </c>
      <c r="F986">
        <v>5</v>
      </c>
      <c r="G986">
        <v>1</v>
      </c>
      <c r="H986">
        <v>5</v>
      </c>
      <c r="I986">
        <v>0</v>
      </c>
      <c r="J986">
        <v>11</v>
      </c>
      <c r="K986" t="s">
        <v>247</v>
      </c>
    </row>
    <row r="987" spans="2:11" x14ac:dyDescent="0.25">
      <c r="B987">
        <v>5321</v>
      </c>
      <c r="C987">
        <v>199</v>
      </c>
      <c r="D987">
        <v>87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 t="s">
        <v>246</v>
      </c>
    </row>
    <row r="988" spans="2:11" x14ac:dyDescent="0.25">
      <c r="B988">
        <v>5323</v>
      </c>
      <c r="C988">
        <v>199</v>
      </c>
      <c r="D988">
        <v>87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 t="s">
        <v>246</v>
      </c>
    </row>
    <row r="989" spans="2:11" x14ac:dyDescent="0.25">
      <c r="B989">
        <v>1074</v>
      </c>
      <c r="C989">
        <v>145</v>
      </c>
      <c r="D989">
        <v>65</v>
      </c>
      <c r="E989">
        <v>6</v>
      </c>
      <c r="F989">
        <v>16</v>
      </c>
      <c r="G989">
        <v>11</v>
      </c>
      <c r="H989">
        <v>0</v>
      </c>
      <c r="I989">
        <v>0</v>
      </c>
      <c r="J989">
        <v>27</v>
      </c>
      <c r="K989" t="s">
        <v>242</v>
      </c>
    </row>
    <row r="990" spans="2:11" x14ac:dyDescent="0.25">
      <c r="B990">
        <v>1076</v>
      </c>
      <c r="C990">
        <v>24</v>
      </c>
      <c r="D990">
        <v>12</v>
      </c>
      <c r="E990">
        <v>6</v>
      </c>
      <c r="F990">
        <v>2</v>
      </c>
      <c r="G990">
        <v>2</v>
      </c>
      <c r="H990">
        <v>2</v>
      </c>
      <c r="I990">
        <v>0</v>
      </c>
      <c r="J990">
        <v>6</v>
      </c>
      <c r="K990" t="s">
        <v>247</v>
      </c>
    </row>
    <row r="991" spans="2:11" x14ac:dyDescent="0.25">
      <c r="B991">
        <v>1077</v>
      </c>
      <c r="C991">
        <v>162</v>
      </c>
      <c r="D991">
        <v>69</v>
      </c>
      <c r="E991">
        <v>6</v>
      </c>
      <c r="F991">
        <v>8</v>
      </c>
      <c r="G991">
        <v>5</v>
      </c>
      <c r="H991">
        <v>2</v>
      </c>
      <c r="I991">
        <v>0</v>
      </c>
      <c r="J991">
        <v>15</v>
      </c>
      <c r="K991" t="s">
        <v>242</v>
      </c>
    </row>
    <row r="992" spans="2:11" x14ac:dyDescent="0.25">
      <c r="B992">
        <v>1078</v>
      </c>
      <c r="C992">
        <v>85</v>
      </c>
      <c r="D992">
        <v>41</v>
      </c>
      <c r="E992">
        <v>6</v>
      </c>
      <c r="F992">
        <v>6</v>
      </c>
      <c r="G992">
        <v>0</v>
      </c>
      <c r="H992">
        <v>0</v>
      </c>
      <c r="I992">
        <v>0</v>
      </c>
      <c r="J992">
        <v>6</v>
      </c>
      <c r="K992" t="s">
        <v>247</v>
      </c>
    </row>
    <row r="993" spans="2:11" x14ac:dyDescent="0.25">
      <c r="B993">
        <v>1079</v>
      </c>
      <c r="C993">
        <v>307</v>
      </c>
      <c r="D993">
        <v>142</v>
      </c>
      <c r="E993">
        <v>6</v>
      </c>
      <c r="F993">
        <v>12</v>
      </c>
      <c r="G993">
        <v>14</v>
      </c>
      <c r="H993">
        <v>0</v>
      </c>
      <c r="I993">
        <v>0</v>
      </c>
      <c r="J993">
        <v>26</v>
      </c>
      <c r="K993" t="s">
        <v>246</v>
      </c>
    </row>
    <row r="994" spans="2:11" x14ac:dyDescent="0.25">
      <c r="B994">
        <v>1080</v>
      </c>
      <c r="C994">
        <v>179</v>
      </c>
      <c r="D994">
        <v>77</v>
      </c>
      <c r="E994">
        <v>5</v>
      </c>
      <c r="F994">
        <v>3</v>
      </c>
      <c r="G994">
        <v>4</v>
      </c>
      <c r="H994">
        <v>1</v>
      </c>
      <c r="I994">
        <v>0</v>
      </c>
      <c r="J994">
        <v>8</v>
      </c>
      <c r="K994" t="s">
        <v>242</v>
      </c>
    </row>
    <row r="995" spans="2:11" x14ac:dyDescent="0.25">
      <c r="B995">
        <v>1081</v>
      </c>
      <c r="C995">
        <v>79</v>
      </c>
      <c r="D995">
        <v>41</v>
      </c>
      <c r="E995">
        <v>6</v>
      </c>
      <c r="F995">
        <v>5</v>
      </c>
      <c r="G995">
        <v>5</v>
      </c>
      <c r="H995">
        <v>0</v>
      </c>
      <c r="I995">
        <v>0</v>
      </c>
      <c r="J995">
        <v>10</v>
      </c>
      <c r="K995" t="s">
        <v>247</v>
      </c>
    </row>
    <row r="996" spans="2:11" x14ac:dyDescent="0.25">
      <c r="B996">
        <v>1083</v>
      </c>
      <c r="C996">
        <v>335</v>
      </c>
      <c r="D996">
        <v>152</v>
      </c>
      <c r="E996">
        <v>6</v>
      </c>
      <c r="F996">
        <v>2</v>
      </c>
      <c r="G996">
        <v>10</v>
      </c>
      <c r="H996">
        <v>0</v>
      </c>
      <c r="I996">
        <v>0</v>
      </c>
      <c r="J996">
        <v>12</v>
      </c>
      <c r="K996" t="s">
        <v>248</v>
      </c>
    </row>
    <row r="997" spans="2:11" x14ac:dyDescent="0.25">
      <c r="B997">
        <v>1084</v>
      </c>
      <c r="C997">
        <v>290</v>
      </c>
      <c r="D997">
        <v>135</v>
      </c>
      <c r="E997">
        <v>6</v>
      </c>
      <c r="F997">
        <v>8</v>
      </c>
      <c r="G997">
        <v>13</v>
      </c>
      <c r="H997">
        <v>0</v>
      </c>
      <c r="I997">
        <v>0</v>
      </c>
      <c r="J997">
        <v>21</v>
      </c>
      <c r="K997" t="s">
        <v>246</v>
      </c>
    </row>
    <row r="998" spans="2:11" x14ac:dyDescent="0.25">
      <c r="B998">
        <v>1085</v>
      </c>
      <c r="C998">
        <v>168</v>
      </c>
      <c r="D998">
        <v>72</v>
      </c>
      <c r="E998">
        <v>6</v>
      </c>
      <c r="F998">
        <v>3</v>
      </c>
      <c r="G998">
        <v>10</v>
      </c>
      <c r="H998">
        <v>0</v>
      </c>
      <c r="I998">
        <v>0</v>
      </c>
      <c r="J998">
        <v>13</v>
      </c>
      <c r="K998" t="s">
        <v>247</v>
      </c>
    </row>
    <row r="999" spans="2:11" x14ac:dyDescent="0.25">
      <c r="B999">
        <v>1086</v>
      </c>
      <c r="C999">
        <v>262</v>
      </c>
      <c r="D999">
        <v>118</v>
      </c>
      <c r="E999">
        <v>6</v>
      </c>
      <c r="F999">
        <v>3</v>
      </c>
      <c r="G999">
        <v>7</v>
      </c>
      <c r="H999">
        <v>0</v>
      </c>
      <c r="I999">
        <v>0</v>
      </c>
      <c r="J999">
        <v>10</v>
      </c>
      <c r="K999" t="s">
        <v>245</v>
      </c>
    </row>
    <row r="1000" spans="2:11" x14ac:dyDescent="0.25">
      <c r="B1000">
        <v>1087</v>
      </c>
      <c r="C1000">
        <v>143</v>
      </c>
      <c r="D1000">
        <v>63</v>
      </c>
      <c r="E1000">
        <v>6</v>
      </c>
      <c r="F1000">
        <v>7</v>
      </c>
      <c r="G1000">
        <v>0</v>
      </c>
      <c r="H1000">
        <v>0</v>
      </c>
      <c r="I1000">
        <v>0</v>
      </c>
      <c r="J1000">
        <v>7</v>
      </c>
      <c r="K1000" t="s">
        <v>247</v>
      </c>
    </row>
    <row r="1001" spans="2:11" x14ac:dyDescent="0.25">
      <c r="B1001">
        <v>1089</v>
      </c>
      <c r="C1001">
        <v>114</v>
      </c>
      <c r="D1001">
        <v>52</v>
      </c>
      <c r="E1001">
        <v>6</v>
      </c>
      <c r="F1001">
        <v>11</v>
      </c>
      <c r="G1001">
        <v>11</v>
      </c>
      <c r="H1001">
        <v>8</v>
      </c>
      <c r="I1001">
        <v>0</v>
      </c>
      <c r="J1001">
        <v>30</v>
      </c>
      <c r="K1001" t="s">
        <v>247</v>
      </c>
    </row>
    <row r="1002" spans="2:11" x14ac:dyDescent="0.25">
      <c r="B1002">
        <v>1091</v>
      </c>
      <c r="C1002">
        <v>309</v>
      </c>
      <c r="D1002">
        <v>144</v>
      </c>
      <c r="E1002">
        <v>6</v>
      </c>
      <c r="F1002">
        <v>9</v>
      </c>
      <c r="G1002">
        <v>16</v>
      </c>
      <c r="H1002">
        <v>0</v>
      </c>
      <c r="I1002">
        <v>0</v>
      </c>
      <c r="J1002">
        <v>25</v>
      </c>
      <c r="K1002" t="s">
        <v>247</v>
      </c>
    </row>
    <row r="1003" spans="2:11" x14ac:dyDescent="0.25">
      <c r="B1003">
        <v>1092</v>
      </c>
      <c r="C1003">
        <v>324</v>
      </c>
      <c r="D1003">
        <v>150</v>
      </c>
      <c r="E1003">
        <v>6</v>
      </c>
      <c r="F1003">
        <v>5</v>
      </c>
      <c r="G1003">
        <v>12</v>
      </c>
      <c r="H1003">
        <v>1</v>
      </c>
      <c r="I1003">
        <v>0</v>
      </c>
      <c r="J1003">
        <v>18</v>
      </c>
      <c r="K1003" t="s">
        <v>248</v>
      </c>
    </row>
    <row r="1004" spans="2:11" x14ac:dyDescent="0.25">
      <c r="B1004">
        <v>1095</v>
      </c>
      <c r="C1004">
        <v>123</v>
      </c>
      <c r="D1004">
        <v>56</v>
      </c>
      <c r="E1004">
        <v>6</v>
      </c>
      <c r="F1004">
        <v>7</v>
      </c>
      <c r="G1004">
        <v>1</v>
      </c>
      <c r="H1004">
        <v>3</v>
      </c>
      <c r="I1004">
        <v>0</v>
      </c>
      <c r="J1004">
        <v>11</v>
      </c>
      <c r="K1004" t="s">
        <v>241</v>
      </c>
    </row>
    <row r="1005" spans="2:11" x14ac:dyDescent="0.25">
      <c r="B1005">
        <v>1096</v>
      </c>
      <c r="C1005">
        <v>291</v>
      </c>
      <c r="D1005">
        <v>135</v>
      </c>
      <c r="E1005">
        <v>6</v>
      </c>
      <c r="F1005">
        <v>17</v>
      </c>
      <c r="G1005">
        <v>3</v>
      </c>
      <c r="H1005">
        <v>0</v>
      </c>
      <c r="I1005">
        <v>0</v>
      </c>
      <c r="J1005">
        <v>20</v>
      </c>
      <c r="K1005" t="s">
        <v>247</v>
      </c>
    </row>
    <row r="1006" spans="2:11" x14ac:dyDescent="0.25">
      <c r="B1006">
        <v>1097</v>
      </c>
      <c r="C1006">
        <v>95</v>
      </c>
      <c r="D1006">
        <v>47</v>
      </c>
      <c r="E1006">
        <v>1</v>
      </c>
      <c r="F1006">
        <v>2</v>
      </c>
      <c r="G1006">
        <v>1</v>
      </c>
      <c r="H1006">
        <v>0</v>
      </c>
      <c r="I1006">
        <v>0</v>
      </c>
      <c r="J1006">
        <v>3</v>
      </c>
      <c r="K1006" t="s">
        <v>242</v>
      </c>
    </row>
    <row r="1007" spans="2:11" x14ac:dyDescent="0.25">
      <c r="B1007">
        <v>1098</v>
      </c>
      <c r="C1007">
        <v>288</v>
      </c>
      <c r="D1007">
        <v>134</v>
      </c>
      <c r="E1007">
        <v>6</v>
      </c>
      <c r="F1007">
        <v>17</v>
      </c>
      <c r="G1007">
        <v>5</v>
      </c>
      <c r="H1007">
        <v>0</v>
      </c>
      <c r="I1007">
        <v>0</v>
      </c>
      <c r="J1007">
        <v>22</v>
      </c>
      <c r="K1007" t="s">
        <v>246</v>
      </c>
    </row>
    <row r="1008" spans="2:11" x14ac:dyDescent="0.25">
      <c r="B1008">
        <v>1100</v>
      </c>
      <c r="C1008">
        <v>5</v>
      </c>
      <c r="D1008">
        <v>1</v>
      </c>
      <c r="E1008">
        <v>5</v>
      </c>
      <c r="F1008">
        <v>1</v>
      </c>
      <c r="G1008">
        <v>1</v>
      </c>
      <c r="H1008">
        <v>0</v>
      </c>
      <c r="I1008">
        <v>0</v>
      </c>
      <c r="J1008">
        <v>2</v>
      </c>
      <c r="K1008" t="s">
        <v>245</v>
      </c>
    </row>
    <row r="1009" spans="2:11" x14ac:dyDescent="0.25">
      <c r="B1009">
        <v>1101</v>
      </c>
      <c r="C1009">
        <v>339</v>
      </c>
      <c r="D1009">
        <v>152</v>
      </c>
      <c r="E1009">
        <v>6</v>
      </c>
      <c r="F1009">
        <v>10</v>
      </c>
      <c r="G1009">
        <v>18</v>
      </c>
      <c r="H1009">
        <v>0</v>
      </c>
      <c r="I1009">
        <v>0</v>
      </c>
      <c r="J1009">
        <v>28</v>
      </c>
      <c r="K1009" t="s">
        <v>247</v>
      </c>
    </row>
    <row r="1010" spans="2:11" x14ac:dyDescent="0.25">
      <c r="B1010">
        <v>1102</v>
      </c>
      <c r="C1010">
        <v>115</v>
      </c>
      <c r="D1010">
        <v>53</v>
      </c>
      <c r="E1010">
        <v>7</v>
      </c>
      <c r="F1010">
        <v>23</v>
      </c>
      <c r="G1010">
        <v>4</v>
      </c>
      <c r="H1010">
        <v>0</v>
      </c>
      <c r="I1010">
        <v>0</v>
      </c>
      <c r="J1010">
        <v>27</v>
      </c>
      <c r="K1010" t="s">
        <v>241</v>
      </c>
    </row>
    <row r="1011" spans="2:11" x14ac:dyDescent="0.25">
      <c r="B1011">
        <v>1103</v>
      </c>
      <c r="C1011">
        <v>95</v>
      </c>
      <c r="D1011">
        <v>47</v>
      </c>
      <c r="E1011">
        <v>2</v>
      </c>
      <c r="F1011">
        <v>5</v>
      </c>
      <c r="G1011">
        <v>3</v>
      </c>
      <c r="H1011">
        <v>0</v>
      </c>
      <c r="I1011">
        <v>0</v>
      </c>
      <c r="J1011">
        <v>8</v>
      </c>
      <c r="K1011" t="s">
        <v>242</v>
      </c>
    </row>
    <row r="1012" spans="2:11" x14ac:dyDescent="0.25">
      <c r="B1012">
        <v>1105</v>
      </c>
      <c r="C1012">
        <v>122</v>
      </c>
      <c r="D1012">
        <v>55</v>
      </c>
      <c r="E1012">
        <v>5</v>
      </c>
      <c r="F1012">
        <v>4</v>
      </c>
      <c r="G1012">
        <v>2</v>
      </c>
      <c r="H1012">
        <v>0</v>
      </c>
      <c r="I1012">
        <v>0</v>
      </c>
      <c r="J1012">
        <v>6</v>
      </c>
      <c r="K1012" t="s">
        <v>245</v>
      </c>
    </row>
    <row r="1013" spans="2:11" x14ac:dyDescent="0.25">
      <c r="B1013">
        <v>1107</v>
      </c>
      <c r="C1013">
        <v>286</v>
      </c>
      <c r="D1013">
        <v>133</v>
      </c>
      <c r="E1013">
        <v>6</v>
      </c>
      <c r="F1013">
        <v>8</v>
      </c>
      <c r="G1013">
        <v>6</v>
      </c>
      <c r="H1013">
        <v>0</v>
      </c>
      <c r="I1013">
        <v>0</v>
      </c>
      <c r="J1013">
        <v>14</v>
      </c>
      <c r="K1013" t="s">
        <v>248</v>
      </c>
    </row>
    <row r="1014" spans="2:11" x14ac:dyDescent="0.25">
      <c r="B1014">
        <v>1108</v>
      </c>
      <c r="C1014">
        <v>123</v>
      </c>
      <c r="D1014">
        <v>56</v>
      </c>
      <c r="E1014">
        <v>5</v>
      </c>
      <c r="F1014">
        <v>4</v>
      </c>
      <c r="G1014">
        <v>7</v>
      </c>
      <c r="H1014">
        <v>2</v>
      </c>
      <c r="I1014">
        <v>0</v>
      </c>
      <c r="J1014">
        <v>13</v>
      </c>
      <c r="K1014" t="s">
        <v>241</v>
      </c>
    </row>
    <row r="1015" spans="2:11" x14ac:dyDescent="0.25">
      <c r="B1015">
        <v>1109</v>
      </c>
      <c r="C1015">
        <v>121</v>
      </c>
      <c r="D1015">
        <v>55</v>
      </c>
      <c r="E1015">
        <v>5</v>
      </c>
      <c r="F1015">
        <v>3</v>
      </c>
      <c r="G1015">
        <v>2</v>
      </c>
      <c r="H1015">
        <v>0</v>
      </c>
      <c r="I1015">
        <v>0</v>
      </c>
      <c r="J1015">
        <v>5</v>
      </c>
      <c r="K1015" t="s">
        <v>245</v>
      </c>
    </row>
    <row r="1016" spans="2:11" x14ac:dyDescent="0.25">
      <c r="B1016">
        <v>1110</v>
      </c>
      <c r="C1016">
        <v>95</v>
      </c>
      <c r="D1016">
        <v>47</v>
      </c>
      <c r="E1016">
        <v>3</v>
      </c>
      <c r="F1016">
        <v>13</v>
      </c>
      <c r="G1016">
        <v>3</v>
      </c>
      <c r="H1016">
        <v>4</v>
      </c>
      <c r="I1016">
        <v>0</v>
      </c>
      <c r="J1016">
        <v>20</v>
      </c>
      <c r="K1016" t="s">
        <v>242</v>
      </c>
    </row>
    <row r="1017" spans="2:11" x14ac:dyDescent="0.25">
      <c r="B1017">
        <v>1111</v>
      </c>
      <c r="C1017">
        <v>325</v>
      </c>
      <c r="D1017">
        <v>151</v>
      </c>
      <c r="E1017">
        <v>6</v>
      </c>
      <c r="F1017">
        <v>6</v>
      </c>
      <c r="G1017">
        <v>5</v>
      </c>
      <c r="H1017">
        <v>0</v>
      </c>
      <c r="I1017">
        <v>0</v>
      </c>
      <c r="J1017">
        <v>11</v>
      </c>
      <c r="K1017" t="s">
        <v>246</v>
      </c>
    </row>
    <row r="1018" spans="2:11" x14ac:dyDescent="0.25">
      <c r="B1018">
        <v>1113</v>
      </c>
      <c r="C1018">
        <v>115</v>
      </c>
      <c r="D1018">
        <v>53</v>
      </c>
      <c r="E1018">
        <v>8</v>
      </c>
      <c r="F1018">
        <v>21</v>
      </c>
      <c r="G1018">
        <v>7</v>
      </c>
      <c r="H1018">
        <v>0</v>
      </c>
      <c r="I1018">
        <v>0</v>
      </c>
      <c r="J1018">
        <v>28</v>
      </c>
      <c r="K1018" t="s">
        <v>241</v>
      </c>
    </row>
    <row r="1019" spans="2:11" x14ac:dyDescent="0.25">
      <c r="B1019">
        <v>1115</v>
      </c>
      <c r="C1019">
        <v>308</v>
      </c>
      <c r="D1019">
        <v>143</v>
      </c>
      <c r="E1019">
        <v>6</v>
      </c>
      <c r="F1019">
        <v>10</v>
      </c>
      <c r="G1019">
        <v>6</v>
      </c>
      <c r="H1019">
        <v>0</v>
      </c>
      <c r="I1019">
        <v>0</v>
      </c>
      <c r="J1019">
        <v>16</v>
      </c>
      <c r="K1019" t="s">
        <v>246</v>
      </c>
    </row>
    <row r="1020" spans="2:11" x14ac:dyDescent="0.25">
      <c r="B1020">
        <v>1116</v>
      </c>
      <c r="C1020">
        <v>95</v>
      </c>
      <c r="D1020">
        <v>47</v>
      </c>
      <c r="E1020">
        <v>4</v>
      </c>
      <c r="F1020">
        <v>12</v>
      </c>
      <c r="G1020">
        <v>16</v>
      </c>
      <c r="H1020">
        <v>0</v>
      </c>
      <c r="I1020">
        <v>0</v>
      </c>
      <c r="J1020">
        <v>28</v>
      </c>
      <c r="K1020" t="s">
        <v>242</v>
      </c>
    </row>
    <row r="1021" spans="2:11" x14ac:dyDescent="0.25">
      <c r="B1021">
        <v>1118</v>
      </c>
      <c r="C1021">
        <v>310</v>
      </c>
      <c r="D1021">
        <v>144</v>
      </c>
      <c r="E1021">
        <v>6</v>
      </c>
      <c r="F1021">
        <v>11</v>
      </c>
      <c r="G1021">
        <v>16</v>
      </c>
      <c r="H1021">
        <v>0</v>
      </c>
      <c r="I1021">
        <v>0</v>
      </c>
      <c r="J1021">
        <v>27</v>
      </c>
      <c r="K1021" t="s">
        <v>247</v>
      </c>
    </row>
    <row r="1022" spans="2:11" x14ac:dyDescent="0.25">
      <c r="B1022">
        <v>1121</v>
      </c>
      <c r="C1022">
        <v>114</v>
      </c>
      <c r="D1022">
        <v>52</v>
      </c>
      <c r="E1022">
        <v>5</v>
      </c>
      <c r="F1022">
        <v>16</v>
      </c>
      <c r="G1022">
        <v>14</v>
      </c>
      <c r="H1022">
        <v>0</v>
      </c>
      <c r="I1022">
        <v>0</v>
      </c>
      <c r="J1022">
        <v>30</v>
      </c>
      <c r="K1022" t="s">
        <v>245</v>
      </c>
    </row>
    <row r="1023" spans="2:11" x14ac:dyDescent="0.25">
      <c r="B1023">
        <v>1124</v>
      </c>
      <c r="C1023">
        <v>351</v>
      </c>
      <c r="D1023">
        <v>158</v>
      </c>
      <c r="E1023">
        <v>5</v>
      </c>
      <c r="F1023">
        <v>1</v>
      </c>
      <c r="G1023">
        <v>1</v>
      </c>
      <c r="H1023">
        <v>0</v>
      </c>
      <c r="I1023">
        <v>0</v>
      </c>
      <c r="J1023">
        <v>2</v>
      </c>
      <c r="K1023" t="s">
        <v>245</v>
      </c>
    </row>
    <row r="1024" spans="2:11" x14ac:dyDescent="0.25">
      <c r="B1024">
        <v>1125</v>
      </c>
      <c r="C1024">
        <v>96</v>
      </c>
      <c r="D1024">
        <v>48</v>
      </c>
      <c r="E1024">
        <v>7</v>
      </c>
      <c r="F1024">
        <v>14</v>
      </c>
      <c r="G1024">
        <v>16</v>
      </c>
      <c r="H1024">
        <v>0</v>
      </c>
      <c r="I1024">
        <v>0</v>
      </c>
      <c r="J1024">
        <v>30</v>
      </c>
      <c r="K1024" t="s">
        <v>245</v>
      </c>
    </row>
    <row r="1025" spans="2:11" x14ac:dyDescent="0.25">
      <c r="B1025">
        <v>1126</v>
      </c>
      <c r="C1025">
        <v>264</v>
      </c>
      <c r="D1025">
        <v>118</v>
      </c>
      <c r="E1025">
        <v>6</v>
      </c>
      <c r="F1025">
        <v>12</v>
      </c>
      <c r="G1025">
        <v>9</v>
      </c>
      <c r="H1025">
        <v>0</v>
      </c>
      <c r="I1025">
        <v>0</v>
      </c>
      <c r="J1025">
        <v>21</v>
      </c>
      <c r="K1025" t="s">
        <v>247</v>
      </c>
    </row>
    <row r="1026" spans="2:11" x14ac:dyDescent="0.25">
      <c r="B1026">
        <v>1127</v>
      </c>
      <c r="C1026">
        <v>249</v>
      </c>
      <c r="D1026">
        <v>112</v>
      </c>
      <c r="E1026">
        <v>6</v>
      </c>
      <c r="F1026">
        <v>2</v>
      </c>
      <c r="G1026">
        <v>10</v>
      </c>
      <c r="H1026">
        <v>2</v>
      </c>
      <c r="I1026">
        <v>0</v>
      </c>
      <c r="J1026">
        <v>28</v>
      </c>
      <c r="K1026" t="s">
        <v>247</v>
      </c>
    </row>
    <row r="1027" spans="2:11" x14ac:dyDescent="0.25">
      <c r="B1027">
        <v>1132</v>
      </c>
      <c r="C1027">
        <v>97</v>
      </c>
      <c r="D1027">
        <v>48</v>
      </c>
      <c r="E1027">
        <v>5</v>
      </c>
      <c r="F1027">
        <v>4</v>
      </c>
      <c r="G1027">
        <v>8</v>
      </c>
      <c r="H1027">
        <v>1</v>
      </c>
      <c r="I1027">
        <v>0</v>
      </c>
      <c r="J1027">
        <v>13</v>
      </c>
      <c r="K1027" t="s">
        <v>245</v>
      </c>
    </row>
    <row r="1028" spans="2:11" x14ac:dyDescent="0.25">
      <c r="B1028">
        <v>1133</v>
      </c>
      <c r="C1028">
        <v>294</v>
      </c>
      <c r="D1028">
        <v>136</v>
      </c>
      <c r="E1028">
        <v>6</v>
      </c>
      <c r="F1028">
        <v>19</v>
      </c>
      <c r="G1028">
        <v>0</v>
      </c>
      <c r="H1028">
        <v>0</v>
      </c>
      <c r="I1028">
        <v>0</v>
      </c>
      <c r="J1028">
        <v>19</v>
      </c>
      <c r="K1028" t="s">
        <v>247</v>
      </c>
    </row>
    <row r="1029" spans="2:11" x14ac:dyDescent="0.25">
      <c r="B1029">
        <v>1135</v>
      </c>
      <c r="C1029">
        <v>321</v>
      </c>
      <c r="D1029">
        <v>149</v>
      </c>
      <c r="E1029">
        <v>6</v>
      </c>
      <c r="F1029">
        <v>1</v>
      </c>
      <c r="G1029">
        <v>2</v>
      </c>
      <c r="H1029">
        <v>0</v>
      </c>
      <c r="I1029">
        <v>0</v>
      </c>
      <c r="J1029">
        <v>3</v>
      </c>
      <c r="K1029" t="s">
        <v>247</v>
      </c>
    </row>
    <row r="1030" spans="2:11" x14ac:dyDescent="0.25">
      <c r="B1030">
        <v>1136</v>
      </c>
      <c r="C1030">
        <v>116</v>
      </c>
      <c r="D1030">
        <v>54</v>
      </c>
      <c r="E1030">
        <v>6</v>
      </c>
      <c r="F1030">
        <v>1</v>
      </c>
      <c r="G1030">
        <v>7</v>
      </c>
      <c r="H1030">
        <v>0</v>
      </c>
      <c r="I1030">
        <v>0</v>
      </c>
      <c r="J1030">
        <v>8</v>
      </c>
      <c r="K1030" t="s">
        <v>242</v>
      </c>
    </row>
    <row r="1031" spans="2:11" x14ac:dyDescent="0.25">
      <c r="B1031">
        <v>1137</v>
      </c>
      <c r="C1031">
        <v>165</v>
      </c>
      <c r="D1031">
        <v>71</v>
      </c>
      <c r="E1031">
        <v>6</v>
      </c>
      <c r="F1031">
        <v>10</v>
      </c>
      <c r="G1031">
        <v>6</v>
      </c>
      <c r="H1031">
        <v>0</v>
      </c>
      <c r="I1031">
        <v>0</v>
      </c>
      <c r="J1031">
        <v>16</v>
      </c>
      <c r="K1031" t="s">
        <v>242</v>
      </c>
    </row>
    <row r="1032" spans="2:11" x14ac:dyDescent="0.25">
      <c r="B1032">
        <v>1138</v>
      </c>
      <c r="C1032">
        <v>340</v>
      </c>
      <c r="D1032">
        <v>152</v>
      </c>
      <c r="E1032">
        <v>6</v>
      </c>
      <c r="F1032">
        <v>18</v>
      </c>
      <c r="G1032">
        <v>11</v>
      </c>
      <c r="H1032">
        <v>0</v>
      </c>
      <c r="I1032">
        <v>0</v>
      </c>
      <c r="J1032">
        <v>29</v>
      </c>
      <c r="K1032" t="s">
        <v>242</v>
      </c>
    </row>
    <row r="1033" spans="2:11" x14ac:dyDescent="0.25">
      <c r="B1033">
        <v>1140</v>
      </c>
      <c r="C1033">
        <v>136</v>
      </c>
      <c r="D1033">
        <v>60</v>
      </c>
      <c r="E1033">
        <v>7</v>
      </c>
      <c r="F1033">
        <v>5</v>
      </c>
      <c r="G1033">
        <v>6</v>
      </c>
      <c r="H1033">
        <v>8</v>
      </c>
      <c r="I1033">
        <v>0</v>
      </c>
      <c r="J1033">
        <v>19</v>
      </c>
      <c r="K1033" t="s">
        <v>246</v>
      </c>
    </row>
    <row r="1034" spans="2:11" x14ac:dyDescent="0.25">
      <c r="B1034">
        <v>1141</v>
      </c>
      <c r="C1034">
        <v>265</v>
      </c>
      <c r="D1034">
        <v>118</v>
      </c>
      <c r="E1034">
        <v>6</v>
      </c>
      <c r="F1034">
        <v>9</v>
      </c>
      <c r="G1034">
        <v>3</v>
      </c>
      <c r="H1034">
        <v>5</v>
      </c>
      <c r="I1034">
        <v>0</v>
      </c>
      <c r="J1034">
        <v>17</v>
      </c>
      <c r="K1034" t="s">
        <v>245</v>
      </c>
    </row>
    <row r="1035" spans="2:11" x14ac:dyDescent="0.25">
      <c r="B1035">
        <v>1142</v>
      </c>
      <c r="C1035">
        <v>44</v>
      </c>
      <c r="D1035">
        <v>22</v>
      </c>
      <c r="E1035">
        <v>6</v>
      </c>
      <c r="F1035">
        <v>5</v>
      </c>
      <c r="G1035">
        <v>8</v>
      </c>
      <c r="H1035">
        <v>0</v>
      </c>
      <c r="I1035">
        <v>0</v>
      </c>
      <c r="J1035">
        <v>13</v>
      </c>
      <c r="K1035" t="s">
        <v>247</v>
      </c>
    </row>
    <row r="1036" spans="2:11" x14ac:dyDescent="0.25">
      <c r="B1036">
        <v>1144</v>
      </c>
      <c r="C1036">
        <v>61</v>
      </c>
      <c r="D1036">
        <v>32</v>
      </c>
      <c r="E1036">
        <v>6</v>
      </c>
      <c r="F1036">
        <v>10</v>
      </c>
      <c r="G1036">
        <v>15</v>
      </c>
      <c r="H1036">
        <v>5</v>
      </c>
      <c r="I1036">
        <v>0</v>
      </c>
      <c r="J1036">
        <v>30</v>
      </c>
      <c r="K1036" t="s">
        <v>243</v>
      </c>
    </row>
    <row r="1037" spans="2:11" x14ac:dyDescent="0.25">
      <c r="B1037">
        <v>1146</v>
      </c>
      <c r="C1037">
        <v>20</v>
      </c>
      <c r="D1037">
        <v>10</v>
      </c>
      <c r="E1037">
        <v>6</v>
      </c>
      <c r="F1037">
        <v>12</v>
      </c>
      <c r="G1037">
        <v>5</v>
      </c>
      <c r="H1037">
        <v>0</v>
      </c>
      <c r="I1037">
        <v>0</v>
      </c>
      <c r="J1037">
        <v>17</v>
      </c>
      <c r="K1037" t="s">
        <v>241</v>
      </c>
    </row>
    <row r="1038" spans="2:11" x14ac:dyDescent="0.25">
      <c r="B1038">
        <v>1147</v>
      </c>
      <c r="C1038">
        <v>295</v>
      </c>
      <c r="D1038">
        <v>136</v>
      </c>
      <c r="E1038">
        <v>6</v>
      </c>
      <c r="F1038">
        <v>28</v>
      </c>
      <c r="G1038">
        <v>2</v>
      </c>
      <c r="H1038">
        <v>0</v>
      </c>
      <c r="I1038">
        <v>0</v>
      </c>
      <c r="J1038">
        <v>30</v>
      </c>
      <c r="K1038" t="s">
        <v>247</v>
      </c>
    </row>
    <row r="1039" spans="2:11" x14ac:dyDescent="0.25">
      <c r="B1039">
        <v>1149</v>
      </c>
      <c r="C1039">
        <v>117</v>
      </c>
      <c r="D1039">
        <v>54</v>
      </c>
      <c r="E1039">
        <v>6</v>
      </c>
      <c r="F1039">
        <v>8</v>
      </c>
      <c r="G1039">
        <v>7</v>
      </c>
      <c r="H1039">
        <v>0</v>
      </c>
      <c r="I1039">
        <v>0</v>
      </c>
      <c r="J1039">
        <v>15</v>
      </c>
      <c r="K1039" t="s">
        <v>245</v>
      </c>
    </row>
    <row r="1040" spans="2:11" x14ac:dyDescent="0.25">
      <c r="B1040">
        <v>4503</v>
      </c>
      <c r="C1040">
        <v>285</v>
      </c>
      <c r="D1040">
        <v>132</v>
      </c>
      <c r="E1040">
        <v>17</v>
      </c>
      <c r="F1040">
        <v>15</v>
      </c>
      <c r="G1040">
        <v>10</v>
      </c>
      <c r="H1040">
        <v>2</v>
      </c>
      <c r="I1040">
        <v>0</v>
      </c>
      <c r="J1040">
        <v>27</v>
      </c>
      <c r="K1040" t="s">
        <v>245</v>
      </c>
    </row>
    <row r="1041" spans="2:11" x14ac:dyDescent="0.25">
      <c r="B1041">
        <v>5320</v>
      </c>
      <c r="C1041">
        <v>14</v>
      </c>
      <c r="D1041">
        <v>5</v>
      </c>
      <c r="E1041">
        <v>18</v>
      </c>
      <c r="F1041">
        <v>3</v>
      </c>
      <c r="G1041">
        <v>2</v>
      </c>
      <c r="H1041">
        <v>0</v>
      </c>
      <c r="I1041">
        <v>0</v>
      </c>
      <c r="J1041">
        <v>5</v>
      </c>
      <c r="K1041" t="s">
        <v>247</v>
      </c>
    </row>
    <row r="1042" spans="2:11" x14ac:dyDescent="0.25">
      <c r="B1042">
        <v>5324</v>
      </c>
      <c r="C1042">
        <v>215</v>
      </c>
      <c r="D1042">
        <v>94</v>
      </c>
      <c r="E1042">
        <v>3</v>
      </c>
      <c r="F1042">
        <v>6</v>
      </c>
      <c r="G1042">
        <v>0</v>
      </c>
      <c r="H1042">
        <v>0</v>
      </c>
      <c r="I1042">
        <v>0</v>
      </c>
      <c r="J1042">
        <v>6</v>
      </c>
      <c r="K1042" t="s">
        <v>245</v>
      </c>
    </row>
    <row r="1043" spans="2:11" x14ac:dyDescent="0.25">
      <c r="B1043">
        <v>5325</v>
      </c>
      <c r="C1043">
        <v>199</v>
      </c>
      <c r="D1043">
        <v>87</v>
      </c>
      <c r="E1043">
        <v>3</v>
      </c>
      <c r="F1043">
        <v>5</v>
      </c>
      <c r="G1043">
        <v>2</v>
      </c>
      <c r="H1043">
        <v>0</v>
      </c>
      <c r="I1043">
        <v>0</v>
      </c>
      <c r="J1043">
        <v>7</v>
      </c>
      <c r="K1043" t="s">
        <v>246</v>
      </c>
    </row>
    <row r="1044" spans="2:11" x14ac:dyDescent="0.25">
      <c r="B1044">
        <v>5326</v>
      </c>
      <c r="C1044">
        <v>185</v>
      </c>
      <c r="D1044">
        <v>81</v>
      </c>
      <c r="E1044">
        <v>11</v>
      </c>
      <c r="F1044">
        <v>6</v>
      </c>
      <c r="G1044">
        <v>8</v>
      </c>
      <c r="H1044">
        <v>0</v>
      </c>
      <c r="I1044">
        <v>0</v>
      </c>
      <c r="J1044">
        <v>14</v>
      </c>
      <c r="K1044" t="s">
        <v>241</v>
      </c>
    </row>
    <row r="1045" spans="2:11" x14ac:dyDescent="0.25">
      <c r="B1045">
        <v>5327</v>
      </c>
      <c r="C1045">
        <v>247</v>
      </c>
      <c r="D1045">
        <v>110</v>
      </c>
      <c r="E1045">
        <v>18</v>
      </c>
      <c r="F1045">
        <v>6</v>
      </c>
      <c r="G1045">
        <v>4</v>
      </c>
      <c r="H1045">
        <v>3</v>
      </c>
      <c r="I1045">
        <v>0</v>
      </c>
      <c r="J1045">
        <v>13</v>
      </c>
      <c r="K1045" t="s">
        <v>247</v>
      </c>
    </row>
    <row r="1046" spans="2:11" x14ac:dyDescent="0.25">
      <c r="B1046">
        <v>5328</v>
      </c>
      <c r="C1046">
        <v>96</v>
      </c>
      <c r="D1046">
        <v>48</v>
      </c>
      <c r="E1046">
        <v>18</v>
      </c>
      <c r="F1046">
        <v>11</v>
      </c>
      <c r="G1046">
        <v>6</v>
      </c>
      <c r="H1046">
        <v>0</v>
      </c>
      <c r="I1046">
        <v>0</v>
      </c>
      <c r="J1046">
        <v>17</v>
      </c>
      <c r="K1046" t="s">
        <v>252</v>
      </c>
    </row>
    <row r="1047" spans="2:11" x14ac:dyDescent="0.25">
      <c r="B1047">
        <v>5329</v>
      </c>
      <c r="C1047">
        <v>215</v>
      </c>
      <c r="D1047">
        <v>94</v>
      </c>
      <c r="E1047">
        <v>4</v>
      </c>
      <c r="F1047">
        <v>7</v>
      </c>
      <c r="G1047">
        <v>1</v>
      </c>
      <c r="H1047">
        <v>0</v>
      </c>
      <c r="I1047">
        <v>0</v>
      </c>
      <c r="J1047">
        <v>8</v>
      </c>
      <c r="K1047" t="s">
        <v>245</v>
      </c>
    </row>
    <row r="1048" spans="2:11" x14ac:dyDescent="0.25">
      <c r="B1048">
        <v>5330</v>
      </c>
      <c r="C1048">
        <v>199</v>
      </c>
      <c r="D1048">
        <v>87</v>
      </c>
      <c r="E1048">
        <v>4</v>
      </c>
      <c r="F1048">
        <v>1</v>
      </c>
      <c r="G1048">
        <v>1</v>
      </c>
      <c r="H1048">
        <v>0</v>
      </c>
      <c r="I1048">
        <v>0</v>
      </c>
      <c r="J1048">
        <v>2</v>
      </c>
      <c r="K1048" t="s">
        <v>246</v>
      </c>
    </row>
    <row r="1049" spans="2:11" x14ac:dyDescent="0.25">
      <c r="B1049">
        <v>5331</v>
      </c>
      <c r="C1049">
        <v>185</v>
      </c>
      <c r="D1049">
        <v>81</v>
      </c>
      <c r="E1049">
        <v>12</v>
      </c>
      <c r="F1049">
        <v>6</v>
      </c>
      <c r="G1049">
        <v>5</v>
      </c>
      <c r="H1049">
        <v>0</v>
      </c>
      <c r="I1049">
        <v>0</v>
      </c>
      <c r="J1049">
        <v>11</v>
      </c>
      <c r="K1049" t="s">
        <v>241</v>
      </c>
    </row>
    <row r="1050" spans="2:11" x14ac:dyDescent="0.25">
      <c r="B1050">
        <v>5332</v>
      </c>
      <c r="C1050">
        <v>246</v>
      </c>
      <c r="D1050">
        <v>110</v>
      </c>
      <c r="E1050">
        <v>18</v>
      </c>
      <c r="F1050">
        <v>5</v>
      </c>
      <c r="G1050">
        <v>3</v>
      </c>
      <c r="H1050">
        <v>6</v>
      </c>
      <c r="I1050">
        <v>0</v>
      </c>
      <c r="J1050">
        <v>14</v>
      </c>
      <c r="K1050" t="s">
        <v>247</v>
      </c>
    </row>
    <row r="1051" spans="2:11" x14ac:dyDescent="0.25">
      <c r="B1051">
        <v>5333</v>
      </c>
      <c r="C1051">
        <v>199</v>
      </c>
      <c r="D1051">
        <v>87</v>
      </c>
      <c r="E1051">
        <v>5</v>
      </c>
      <c r="F1051">
        <v>2</v>
      </c>
      <c r="G1051">
        <v>3</v>
      </c>
      <c r="H1051">
        <v>0</v>
      </c>
      <c r="I1051">
        <v>0</v>
      </c>
      <c r="J1051">
        <v>5</v>
      </c>
      <c r="K1051" t="s">
        <v>246</v>
      </c>
    </row>
    <row r="1052" spans="2:11" x14ac:dyDescent="0.25">
      <c r="B1052">
        <v>5334</v>
      </c>
      <c r="C1052">
        <v>215</v>
      </c>
      <c r="D1052">
        <v>94</v>
      </c>
      <c r="E1052">
        <v>5</v>
      </c>
      <c r="F1052">
        <v>3</v>
      </c>
      <c r="G1052">
        <v>4</v>
      </c>
      <c r="H1052">
        <v>0</v>
      </c>
      <c r="I1052">
        <v>0</v>
      </c>
      <c r="J1052">
        <v>7</v>
      </c>
      <c r="K1052" t="s">
        <v>245</v>
      </c>
    </row>
    <row r="1053" spans="2:11" x14ac:dyDescent="0.25">
      <c r="B1053">
        <v>5335</v>
      </c>
      <c r="C1053">
        <v>104</v>
      </c>
      <c r="D1053">
        <v>51</v>
      </c>
      <c r="E1053">
        <v>15</v>
      </c>
      <c r="F1053">
        <v>21</v>
      </c>
      <c r="G1053">
        <v>1</v>
      </c>
      <c r="H1053">
        <v>0</v>
      </c>
      <c r="I1053">
        <v>0</v>
      </c>
      <c r="J1053">
        <v>22</v>
      </c>
      <c r="K1053" t="s">
        <v>252</v>
      </c>
    </row>
    <row r="1054" spans="2:11" x14ac:dyDescent="0.25">
      <c r="B1054">
        <v>5336</v>
      </c>
      <c r="C1054">
        <v>91</v>
      </c>
      <c r="D1054">
        <v>45</v>
      </c>
      <c r="E1054">
        <v>17</v>
      </c>
      <c r="F1054">
        <v>21</v>
      </c>
      <c r="G1054">
        <v>8</v>
      </c>
      <c r="H1054">
        <v>0</v>
      </c>
      <c r="I1054">
        <v>0</v>
      </c>
      <c r="J1054">
        <v>29</v>
      </c>
      <c r="K1054" t="s">
        <v>247</v>
      </c>
    </row>
    <row r="1055" spans="2:11" x14ac:dyDescent="0.25">
      <c r="B1055">
        <v>5338</v>
      </c>
      <c r="C1055">
        <v>199</v>
      </c>
      <c r="D1055">
        <v>87</v>
      </c>
      <c r="E1055">
        <v>6</v>
      </c>
      <c r="F1055">
        <v>1</v>
      </c>
      <c r="G1055">
        <v>0</v>
      </c>
      <c r="H1055">
        <v>0</v>
      </c>
      <c r="I1055">
        <v>0</v>
      </c>
      <c r="J1055">
        <v>1</v>
      </c>
      <c r="K1055" t="s">
        <v>246</v>
      </c>
    </row>
    <row r="1056" spans="2:11" x14ac:dyDescent="0.25">
      <c r="B1056">
        <v>5337</v>
      </c>
      <c r="C1056">
        <v>186</v>
      </c>
      <c r="D1056">
        <v>81</v>
      </c>
      <c r="E1056">
        <v>2</v>
      </c>
      <c r="F1056">
        <v>0</v>
      </c>
      <c r="G1056">
        <v>15</v>
      </c>
      <c r="H1056">
        <v>0</v>
      </c>
      <c r="I1056">
        <v>0</v>
      </c>
      <c r="J1056">
        <v>15</v>
      </c>
      <c r="K1056" t="s">
        <v>241</v>
      </c>
    </row>
    <row r="1057" spans="2:11" x14ac:dyDescent="0.25">
      <c r="B1057">
        <v>1150</v>
      </c>
      <c r="C1057">
        <v>21</v>
      </c>
      <c r="D1057">
        <v>10</v>
      </c>
      <c r="E1057">
        <v>6</v>
      </c>
      <c r="F1057">
        <v>10</v>
      </c>
      <c r="G1057">
        <v>3</v>
      </c>
      <c r="H1057">
        <v>0</v>
      </c>
      <c r="I1057">
        <v>0</v>
      </c>
      <c r="J1057">
        <v>13</v>
      </c>
      <c r="K1057" t="s">
        <v>241</v>
      </c>
    </row>
    <row r="1058" spans="2:11" x14ac:dyDescent="0.25">
      <c r="B1058">
        <v>1151</v>
      </c>
      <c r="C1058">
        <v>125</v>
      </c>
      <c r="D1058">
        <v>56</v>
      </c>
      <c r="E1058">
        <v>5</v>
      </c>
      <c r="F1058">
        <v>12</v>
      </c>
      <c r="G1058">
        <v>8</v>
      </c>
      <c r="H1058">
        <v>0</v>
      </c>
      <c r="I1058">
        <v>0</v>
      </c>
      <c r="J1058">
        <v>20</v>
      </c>
      <c r="K1058" t="s">
        <v>247</v>
      </c>
    </row>
    <row r="1059" spans="2:11" x14ac:dyDescent="0.25">
      <c r="B1059">
        <v>1152</v>
      </c>
      <c r="C1059">
        <v>88</v>
      </c>
      <c r="D1059">
        <v>43</v>
      </c>
      <c r="E1059">
        <v>6</v>
      </c>
      <c r="F1059">
        <v>15</v>
      </c>
      <c r="G1059">
        <v>10</v>
      </c>
      <c r="H1059">
        <v>2</v>
      </c>
      <c r="I1059">
        <v>0</v>
      </c>
      <c r="J1059">
        <v>27</v>
      </c>
      <c r="K1059" t="s">
        <v>245</v>
      </c>
    </row>
    <row r="1060" spans="2:11" x14ac:dyDescent="0.25">
      <c r="B1060">
        <v>1153</v>
      </c>
      <c r="C1060">
        <v>250</v>
      </c>
      <c r="D1060">
        <v>112</v>
      </c>
      <c r="E1060">
        <v>6</v>
      </c>
      <c r="F1060">
        <v>9</v>
      </c>
      <c r="G1060">
        <v>1</v>
      </c>
      <c r="H1060">
        <v>3</v>
      </c>
      <c r="I1060">
        <v>0</v>
      </c>
      <c r="J1060">
        <v>13</v>
      </c>
      <c r="K1060" t="s">
        <v>243</v>
      </c>
    </row>
    <row r="1061" spans="2:11" x14ac:dyDescent="0.25">
      <c r="B1061">
        <v>1154</v>
      </c>
      <c r="C1061">
        <v>98</v>
      </c>
      <c r="D1061">
        <v>48</v>
      </c>
      <c r="E1061">
        <v>6</v>
      </c>
      <c r="F1061">
        <v>12</v>
      </c>
      <c r="G1061">
        <v>8</v>
      </c>
      <c r="H1061">
        <v>0</v>
      </c>
      <c r="I1061">
        <v>0</v>
      </c>
      <c r="J1061">
        <v>20</v>
      </c>
      <c r="K1061" t="s">
        <v>247</v>
      </c>
    </row>
    <row r="1062" spans="2:11" x14ac:dyDescent="0.25">
      <c r="B1062">
        <v>1155</v>
      </c>
      <c r="C1062">
        <v>341</v>
      </c>
      <c r="D1062">
        <v>152</v>
      </c>
      <c r="E1062">
        <v>6</v>
      </c>
      <c r="F1062">
        <v>23</v>
      </c>
      <c r="G1062">
        <v>3</v>
      </c>
      <c r="H1062">
        <v>0</v>
      </c>
      <c r="I1062">
        <v>0</v>
      </c>
      <c r="J1062">
        <v>26</v>
      </c>
      <c r="K1062" t="s">
        <v>245</v>
      </c>
    </row>
    <row r="1063" spans="2:11" x14ac:dyDescent="0.25">
      <c r="B1063">
        <v>1156</v>
      </c>
      <c r="C1063">
        <v>297</v>
      </c>
      <c r="D1063">
        <v>136</v>
      </c>
      <c r="E1063">
        <v>6</v>
      </c>
      <c r="F1063">
        <v>3</v>
      </c>
      <c r="G1063">
        <v>1</v>
      </c>
      <c r="H1063">
        <v>0</v>
      </c>
      <c r="I1063">
        <v>0</v>
      </c>
      <c r="J1063">
        <v>4</v>
      </c>
      <c r="K1063" t="s">
        <v>245</v>
      </c>
    </row>
    <row r="1064" spans="2:11" x14ac:dyDescent="0.25">
      <c r="B1064">
        <v>1158</v>
      </c>
      <c r="C1064">
        <v>124</v>
      </c>
      <c r="D1064">
        <v>56</v>
      </c>
      <c r="E1064">
        <v>6</v>
      </c>
      <c r="F1064">
        <v>20</v>
      </c>
      <c r="G1064">
        <v>2</v>
      </c>
      <c r="H1064">
        <v>0</v>
      </c>
      <c r="I1064">
        <v>0</v>
      </c>
      <c r="J1064">
        <v>22</v>
      </c>
      <c r="K1064" t="s">
        <v>241</v>
      </c>
    </row>
    <row r="1065" spans="2:11" x14ac:dyDescent="0.25">
      <c r="B1065">
        <v>1159</v>
      </c>
      <c r="C1065">
        <v>302</v>
      </c>
      <c r="D1065">
        <v>140</v>
      </c>
      <c r="E1065">
        <v>6</v>
      </c>
      <c r="F1065">
        <v>4</v>
      </c>
      <c r="G1065">
        <v>2</v>
      </c>
      <c r="H1065">
        <v>0</v>
      </c>
      <c r="I1065">
        <v>0</v>
      </c>
      <c r="J1065">
        <v>6</v>
      </c>
      <c r="K1065" t="s">
        <v>245</v>
      </c>
    </row>
    <row r="1066" spans="2:11" x14ac:dyDescent="0.25">
      <c r="B1066">
        <v>1160</v>
      </c>
      <c r="C1066">
        <v>124</v>
      </c>
      <c r="D1066">
        <v>56</v>
      </c>
      <c r="E1066">
        <v>5</v>
      </c>
      <c r="F1066">
        <v>15</v>
      </c>
      <c r="G1066">
        <v>2</v>
      </c>
      <c r="H1066">
        <v>3</v>
      </c>
      <c r="I1066">
        <v>0</v>
      </c>
      <c r="J1066">
        <v>20</v>
      </c>
      <c r="K1066" t="s">
        <v>243</v>
      </c>
    </row>
    <row r="1067" spans="2:11" x14ac:dyDescent="0.25">
      <c r="B1067">
        <v>1161</v>
      </c>
      <c r="C1067">
        <v>166</v>
      </c>
      <c r="D1067">
        <v>71</v>
      </c>
      <c r="E1067">
        <v>6</v>
      </c>
      <c r="F1067">
        <v>9</v>
      </c>
      <c r="G1067">
        <v>6</v>
      </c>
      <c r="H1067">
        <v>0</v>
      </c>
      <c r="I1067">
        <v>0</v>
      </c>
      <c r="J1067">
        <v>15</v>
      </c>
      <c r="K1067" t="s">
        <v>250</v>
      </c>
    </row>
    <row r="1068" spans="2:11" x14ac:dyDescent="0.25">
      <c r="B1068">
        <v>1162</v>
      </c>
      <c r="C1068">
        <v>171</v>
      </c>
      <c r="D1068">
        <v>73</v>
      </c>
      <c r="E1068">
        <v>6</v>
      </c>
      <c r="F1068">
        <v>1</v>
      </c>
      <c r="G1068">
        <v>2</v>
      </c>
      <c r="H1068">
        <v>0</v>
      </c>
      <c r="I1068">
        <v>0</v>
      </c>
      <c r="J1068">
        <v>3</v>
      </c>
      <c r="K1068" t="s">
        <v>247</v>
      </c>
    </row>
    <row r="1069" spans="2:11" x14ac:dyDescent="0.25">
      <c r="B1069">
        <v>1163</v>
      </c>
      <c r="C1069">
        <v>125</v>
      </c>
      <c r="D1069">
        <v>56</v>
      </c>
      <c r="E1069">
        <v>6</v>
      </c>
      <c r="F1069">
        <v>15</v>
      </c>
      <c r="G1069">
        <v>3</v>
      </c>
      <c r="H1069">
        <v>2</v>
      </c>
      <c r="I1069">
        <v>0</v>
      </c>
      <c r="J1069">
        <v>20</v>
      </c>
      <c r="K1069" t="s">
        <v>243</v>
      </c>
    </row>
    <row r="1070" spans="2:11" x14ac:dyDescent="0.25">
      <c r="B1070">
        <v>1164</v>
      </c>
      <c r="C1070">
        <v>22</v>
      </c>
      <c r="D1070">
        <v>10</v>
      </c>
      <c r="E1070">
        <v>6</v>
      </c>
      <c r="F1070">
        <v>5</v>
      </c>
      <c r="G1070">
        <v>10</v>
      </c>
      <c r="H1070">
        <v>0</v>
      </c>
      <c r="I1070">
        <v>0</v>
      </c>
      <c r="J1070">
        <v>15</v>
      </c>
      <c r="K1070" t="s">
        <v>250</v>
      </c>
    </row>
    <row r="1071" spans="2:11" x14ac:dyDescent="0.25">
      <c r="B1071">
        <v>1165</v>
      </c>
      <c r="C1071">
        <v>100</v>
      </c>
      <c r="D1071">
        <v>50</v>
      </c>
      <c r="E1071">
        <v>5</v>
      </c>
      <c r="F1071">
        <v>18</v>
      </c>
      <c r="G1071">
        <v>5</v>
      </c>
      <c r="H1071">
        <v>0</v>
      </c>
      <c r="I1071">
        <v>0</v>
      </c>
      <c r="J1071">
        <v>23</v>
      </c>
      <c r="K1071" t="s">
        <v>250</v>
      </c>
    </row>
    <row r="1072" spans="2:11" x14ac:dyDescent="0.25">
      <c r="B1072">
        <v>1166</v>
      </c>
      <c r="C1072">
        <v>276</v>
      </c>
      <c r="D1072">
        <v>127</v>
      </c>
      <c r="E1072">
        <v>5</v>
      </c>
      <c r="F1072">
        <v>0</v>
      </c>
      <c r="G1072">
        <v>0</v>
      </c>
      <c r="H1072">
        <v>0</v>
      </c>
      <c r="I1072">
        <v>0</v>
      </c>
      <c r="J1072">
        <v>0</v>
      </c>
      <c r="K1072" t="s">
        <v>241</v>
      </c>
    </row>
    <row r="1073" spans="2:11" x14ac:dyDescent="0.25">
      <c r="B1073">
        <v>1167</v>
      </c>
      <c r="C1073">
        <v>272</v>
      </c>
      <c r="D1073">
        <v>123</v>
      </c>
      <c r="E1073">
        <v>5</v>
      </c>
      <c r="F1073">
        <v>9</v>
      </c>
      <c r="G1073">
        <v>14</v>
      </c>
      <c r="H1073">
        <v>0</v>
      </c>
      <c r="I1073">
        <v>0</v>
      </c>
      <c r="J1073">
        <v>23</v>
      </c>
      <c r="K1073" t="s">
        <v>250</v>
      </c>
    </row>
    <row r="1074" spans="2:11" x14ac:dyDescent="0.25">
      <c r="B1074">
        <v>1168</v>
      </c>
      <c r="C1074">
        <v>278</v>
      </c>
      <c r="D1074">
        <v>129</v>
      </c>
      <c r="E1074">
        <v>5</v>
      </c>
      <c r="F1074">
        <v>11</v>
      </c>
      <c r="G1074">
        <v>18</v>
      </c>
      <c r="H1074">
        <v>0</v>
      </c>
      <c r="I1074">
        <v>0</v>
      </c>
      <c r="J1074">
        <v>29</v>
      </c>
      <c r="K1074" t="s">
        <v>241</v>
      </c>
    </row>
    <row r="1075" spans="2:11" x14ac:dyDescent="0.25">
      <c r="B1075">
        <v>1169</v>
      </c>
      <c r="C1075">
        <v>107</v>
      </c>
      <c r="D1075">
        <v>51</v>
      </c>
      <c r="E1075">
        <v>5</v>
      </c>
      <c r="F1075">
        <v>13</v>
      </c>
      <c r="G1075">
        <v>10</v>
      </c>
      <c r="H1075">
        <v>0</v>
      </c>
      <c r="I1075">
        <v>0</v>
      </c>
      <c r="J1075">
        <v>23</v>
      </c>
      <c r="K1075" t="s">
        <v>250</v>
      </c>
    </row>
    <row r="1076" spans="2:11" x14ac:dyDescent="0.25">
      <c r="B1076">
        <v>1170</v>
      </c>
      <c r="C1076">
        <v>276</v>
      </c>
      <c r="D1076">
        <v>127</v>
      </c>
      <c r="E1076">
        <v>6</v>
      </c>
      <c r="F1076">
        <v>30</v>
      </c>
      <c r="G1076">
        <v>0</v>
      </c>
      <c r="H1076">
        <v>0</v>
      </c>
      <c r="I1076">
        <v>0</v>
      </c>
      <c r="J1076">
        <v>30</v>
      </c>
      <c r="K1076" t="s">
        <v>246</v>
      </c>
    </row>
    <row r="1077" spans="2:11" x14ac:dyDescent="0.25">
      <c r="B1077">
        <v>1171</v>
      </c>
      <c r="C1077">
        <v>106</v>
      </c>
      <c r="D1077">
        <v>51</v>
      </c>
      <c r="E1077">
        <v>5</v>
      </c>
      <c r="F1077">
        <v>13</v>
      </c>
      <c r="G1077">
        <v>8</v>
      </c>
      <c r="H1077">
        <v>0</v>
      </c>
      <c r="I1077">
        <v>0</v>
      </c>
      <c r="J1077">
        <v>21</v>
      </c>
      <c r="K1077" t="s">
        <v>250</v>
      </c>
    </row>
    <row r="1078" spans="2:11" x14ac:dyDescent="0.25">
      <c r="B1078">
        <v>1173</v>
      </c>
      <c r="C1078">
        <v>107</v>
      </c>
      <c r="D1078">
        <v>51</v>
      </c>
      <c r="E1078">
        <v>6</v>
      </c>
      <c r="F1078">
        <v>9</v>
      </c>
      <c r="G1078">
        <v>11</v>
      </c>
      <c r="H1078">
        <v>0</v>
      </c>
      <c r="I1078">
        <v>0</v>
      </c>
      <c r="J1078">
        <v>20</v>
      </c>
      <c r="K1078" t="s">
        <v>242</v>
      </c>
    </row>
    <row r="1079" spans="2:11" x14ac:dyDescent="0.25">
      <c r="B1079">
        <v>1174</v>
      </c>
      <c r="C1079">
        <v>277</v>
      </c>
      <c r="D1079">
        <v>128</v>
      </c>
      <c r="E1079">
        <v>6</v>
      </c>
      <c r="F1079">
        <v>12</v>
      </c>
      <c r="G1079">
        <v>15</v>
      </c>
      <c r="H1079">
        <v>0</v>
      </c>
      <c r="I1079">
        <v>0</v>
      </c>
      <c r="J1079">
        <v>27</v>
      </c>
      <c r="K1079" t="s">
        <v>246</v>
      </c>
    </row>
    <row r="1080" spans="2:11" x14ac:dyDescent="0.25">
      <c r="B1080">
        <v>1176</v>
      </c>
      <c r="C1080">
        <v>274</v>
      </c>
      <c r="D1080">
        <v>125</v>
      </c>
      <c r="E1080">
        <v>5</v>
      </c>
      <c r="F1080">
        <v>5</v>
      </c>
      <c r="G1080">
        <v>11</v>
      </c>
      <c r="H1080">
        <v>0</v>
      </c>
      <c r="I1080">
        <v>0</v>
      </c>
      <c r="J1080">
        <v>16</v>
      </c>
      <c r="K1080" t="s">
        <v>250</v>
      </c>
    </row>
    <row r="1081" spans="2:11" x14ac:dyDescent="0.25">
      <c r="B1081">
        <v>1178</v>
      </c>
      <c r="C1081">
        <v>62</v>
      </c>
      <c r="D1081">
        <v>33</v>
      </c>
      <c r="E1081">
        <v>6</v>
      </c>
      <c r="F1081">
        <v>23</v>
      </c>
      <c r="G1081">
        <v>7</v>
      </c>
      <c r="H1081">
        <v>0</v>
      </c>
      <c r="I1081">
        <v>0</v>
      </c>
      <c r="J1081">
        <v>30</v>
      </c>
      <c r="K1081" t="s">
        <v>245</v>
      </c>
    </row>
    <row r="1082" spans="2:11" x14ac:dyDescent="0.25">
      <c r="B1082">
        <v>1179</v>
      </c>
      <c r="C1082">
        <v>275</v>
      </c>
      <c r="D1082">
        <v>126</v>
      </c>
      <c r="E1082">
        <v>5</v>
      </c>
      <c r="F1082">
        <v>15</v>
      </c>
      <c r="G1082">
        <v>14</v>
      </c>
      <c r="H1082">
        <v>0</v>
      </c>
      <c r="I1082">
        <v>0</v>
      </c>
      <c r="J1082">
        <v>29</v>
      </c>
      <c r="K1082" t="s">
        <v>246</v>
      </c>
    </row>
    <row r="1083" spans="2:11" x14ac:dyDescent="0.25">
      <c r="B1083">
        <v>1180</v>
      </c>
      <c r="C1083">
        <v>10</v>
      </c>
      <c r="D1083">
        <v>3</v>
      </c>
      <c r="E1083">
        <v>5</v>
      </c>
      <c r="F1083">
        <v>3</v>
      </c>
      <c r="G1083">
        <v>6</v>
      </c>
      <c r="H1083">
        <v>0</v>
      </c>
      <c r="I1083">
        <v>0</v>
      </c>
      <c r="J1083">
        <v>9</v>
      </c>
      <c r="K1083" t="s">
        <v>250</v>
      </c>
    </row>
    <row r="1084" spans="2:11" x14ac:dyDescent="0.25">
      <c r="B1084">
        <v>1183</v>
      </c>
      <c r="C1084">
        <v>281</v>
      </c>
      <c r="D1084">
        <v>129</v>
      </c>
      <c r="E1084">
        <v>6</v>
      </c>
      <c r="F1084">
        <v>19</v>
      </c>
      <c r="G1084">
        <v>11</v>
      </c>
      <c r="H1084">
        <v>0</v>
      </c>
      <c r="I1084">
        <v>0</v>
      </c>
      <c r="J1084">
        <v>30</v>
      </c>
      <c r="K1084" t="s">
        <v>245</v>
      </c>
    </row>
    <row r="1085" spans="2:11" x14ac:dyDescent="0.25">
      <c r="B1085">
        <v>1184</v>
      </c>
      <c r="C1085">
        <v>100</v>
      </c>
      <c r="D1085">
        <v>50</v>
      </c>
      <c r="E1085">
        <v>6</v>
      </c>
      <c r="F1085">
        <v>17</v>
      </c>
      <c r="G1085">
        <v>4</v>
      </c>
      <c r="H1085">
        <v>0</v>
      </c>
      <c r="I1085">
        <v>0</v>
      </c>
      <c r="J1085">
        <v>21</v>
      </c>
      <c r="K1085" t="s">
        <v>242</v>
      </c>
    </row>
    <row r="1086" spans="2:11" x14ac:dyDescent="0.25">
      <c r="B1086">
        <v>1185</v>
      </c>
      <c r="C1086">
        <v>298</v>
      </c>
      <c r="D1086">
        <v>137</v>
      </c>
      <c r="E1086">
        <v>6</v>
      </c>
      <c r="F1086">
        <v>0</v>
      </c>
      <c r="G1086">
        <v>1</v>
      </c>
      <c r="H1086">
        <v>0</v>
      </c>
      <c r="I1086">
        <v>0</v>
      </c>
      <c r="J1086">
        <v>1</v>
      </c>
      <c r="K1086" t="s">
        <v>245</v>
      </c>
    </row>
    <row r="1087" spans="2:11" x14ac:dyDescent="0.25">
      <c r="B1087">
        <v>1186</v>
      </c>
      <c r="C1087">
        <v>137</v>
      </c>
      <c r="D1087">
        <v>60</v>
      </c>
      <c r="E1087">
        <v>7</v>
      </c>
      <c r="F1087">
        <v>2</v>
      </c>
      <c r="G1087">
        <v>6</v>
      </c>
      <c r="H1087">
        <v>3</v>
      </c>
      <c r="I1087">
        <v>0</v>
      </c>
      <c r="J1087">
        <v>11</v>
      </c>
      <c r="K1087" t="s">
        <v>241</v>
      </c>
    </row>
    <row r="1088" spans="2:11" x14ac:dyDescent="0.25">
      <c r="B1088">
        <v>1187</v>
      </c>
      <c r="C1088">
        <v>343</v>
      </c>
      <c r="D1088">
        <v>154</v>
      </c>
      <c r="E1088">
        <v>6</v>
      </c>
      <c r="F1088">
        <v>12</v>
      </c>
      <c r="G1088">
        <v>5</v>
      </c>
      <c r="H1088">
        <v>0</v>
      </c>
      <c r="I1088">
        <v>0</v>
      </c>
      <c r="J1088">
        <v>17</v>
      </c>
      <c r="K1088" t="s">
        <v>245</v>
      </c>
    </row>
    <row r="1089" spans="2:11" x14ac:dyDescent="0.25">
      <c r="B1089">
        <v>1188</v>
      </c>
      <c r="C1089">
        <v>109</v>
      </c>
      <c r="D1089">
        <v>51</v>
      </c>
      <c r="E1089">
        <v>6</v>
      </c>
      <c r="F1089">
        <v>6</v>
      </c>
      <c r="G1089">
        <v>7</v>
      </c>
      <c r="H1089">
        <v>0</v>
      </c>
      <c r="I1089">
        <v>0</v>
      </c>
      <c r="J1089">
        <v>13</v>
      </c>
      <c r="K1089" t="s">
        <v>242</v>
      </c>
    </row>
    <row r="1090" spans="2:11" x14ac:dyDescent="0.25">
      <c r="B1090">
        <v>1189</v>
      </c>
      <c r="C1090">
        <v>273</v>
      </c>
      <c r="D1090">
        <v>124</v>
      </c>
      <c r="E1090">
        <v>5</v>
      </c>
      <c r="F1090">
        <v>20</v>
      </c>
      <c r="G1090">
        <v>5</v>
      </c>
      <c r="H1090">
        <v>0</v>
      </c>
      <c r="I1090">
        <v>0</v>
      </c>
      <c r="J1090">
        <v>25</v>
      </c>
      <c r="K1090" t="s">
        <v>246</v>
      </c>
    </row>
    <row r="1091" spans="2:11" x14ac:dyDescent="0.25">
      <c r="B1091">
        <v>1190</v>
      </c>
      <c r="C1091">
        <v>139</v>
      </c>
      <c r="D1091">
        <v>61</v>
      </c>
      <c r="E1091">
        <v>7</v>
      </c>
      <c r="F1091">
        <v>3</v>
      </c>
      <c r="G1091">
        <v>7</v>
      </c>
      <c r="H1091">
        <v>2</v>
      </c>
      <c r="I1091">
        <v>0</v>
      </c>
      <c r="J1091">
        <v>12</v>
      </c>
      <c r="K1091" t="s">
        <v>241</v>
      </c>
    </row>
    <row r="1092" spans="2:11" x14ac:dyDescent="0.25">
      <c r="B1092">
        <v>1191</v>
      </c>
      <c r="C1092">
        <v>247</v>
      </c>
      <c r="D1092">
        <v>110</v>
      </c>
      <c r="E1092">
        <v>6</v>
      </c>
      <c r="F1092">
        <v>5</v>
      </c>
      <c r="G1092">
        <v>6</v>
      </c>
      <c r="H1092">
        <v>15</v>
      </c>
      <c r="I1092">
        <v>0</v>
      </c>
      <c r="J1092">
        <v>26</v>
      </c>
      <c r="K1092" t="s">
        <v>247</v>
      </c>
    </row>
    <row r="1093" spans="2:11" x14ac:dyDescent="0.25">
      <c r="B1093">
        <v>1192</v>
      </c>
      <c r="C1093">
        <v>42</v>
      </c>
      <c r="D1093">
        <v>21</v>
      </c>
      <c r="E1093">
        <v>6</v>
      </c>
      <c r="F1093">
        <v>6</v>
      </c>
      <c r="G1093">
        <v>3</v>
      </c>
      <c r="H1093">
        <v>1</v>
      </c>
      <c r="I1093">
        <v>0</v>
      </c>
      <c r="J1093">
        <v>10</v>
      </c>
      <c r="K1093" t="s">
        <v>242</v>
      </c>
    </row>
    <row r="1094" spans="2:11" x14ac:dyDescent="0.25">
      <c r="B1094">
        <v>1194</v>
      </c>
      <c r="C1094">
        <v>63</v>
      </c>
      <c r="D1094">
        <v>34</v>
      </c>
      <c r="E1094">
        <v>6</v>
      </c>
      <c r="F1094">
        <v>3</v>
      </c>
      <c r="G1094">
        <v>6</v>
      </c>
      <c r="H1094">
        <v>1</v>
      </c>
      <c r="I1094">
        <v>0</v>
      </c>
      <c r="J1094">
        <v>10</v>
      </c>
      <c r="K1094" t="s">
        <v>245</v>
      </c>
    </row>
    <row r="1095" spans="2:11" x14ac:dyDescent="0.25">
      <c r="B1095">
        <v>1195</v>
      </c>
      <c r="C1095">
        <v>295</v>
      </c>
      <c r="D1095">
        <v>136</v>
      </c>
      <c r="E1095">
        <v>7</v>
      </c>
      <c r="F1095">
        <v>26</v>
      </c>
      <c r="G1095">
        <v>1</v>
      </c>
      <c r="H1095">
        <v>0</v>
      </c>
      <c r="I1095">
        <v>0</v>
      </c>
      <c r="J1095">
        <v>27</v>
      </c>
      <c r="K1095" t="s">
        <v>243</v>
      </c>
    </row>
    <row r="1096" spans="2:11" x14ac:dyDescent="0.25">
      <c r="B1096">
        <v>1196</v>
      </c>
      <c r="C1096">
        <v>140</v>
      </c>
      <c r="D1096">
        <v>62</v>
      </c>
      <c r="E1096">
        <v>7</v>
      </c>
      <c r="F1096">
        <v>21</v>
      </c>
      <c r="G1096">
        <v>3</v>
      </c>
      <c r="H1096">
        <v>1</v>
      </c>
      <c r="I1096">
        <v>0</v>
      </c>
      <c r="J1096">
        <v>25</v>
      </c>
      <c r="K1096" t="s">
        <v>241</v>
      </c>
    </row>
    <row r="1097" spans="2:11" x14ac:dyDescent="0.25">
      <c r="B1097">
        <v>1198</v>
      </c>
      <c r="C1097">
        <v>152</v>
      </c>
      <c r="D1097">
        <v>69</v>
      </c>
      <c r="E1097">
        <v>6</v>
      </c>
      <c r="F1097">
        <v>1</v>
      </c>
      <c r="G1097">
        <v>19</v>
      </c>
      <c r="H1097">
        <v>0</v>
      </c>
      <c r="I1097">
        <v>0</v>
      </c>
      <c r="J1097">
        <v>20</v>
      </c>
      <c r="K1097" t="s">
        <v>247</v>
      </c>
    </row>
    <row r="1098" spans="2:11" x14ac:dyDescent="0.25">
      <c r="B1098">
        <v>1199</v>
      </c>
      <c r="C1098">
        <v>35</v>
      </c>
      <c r="D1098">
        <v>17</v>
      </c>
      <c r="E1098">
        <v>6</v>
      </c>
      <c r="F1098">
        <v>0</v>
      </c>
      <c r="G1098">
        <v>2</v>
      </c>
      <c r="H1098">
        <v>0</v>
      </c>
      <c r="I1098">
        <v>0</v>
      </c>
      <c r="J1098">
        <v>2</v>
      </c>
      <c r="K1098" t="s">
        <v>247</v>
      </c>
    </row>
    <row r="1099" spans="2:11" x14ac:dyDescent="0.25">
      <c r="B1099">
        <v>1200</v>
      </c>
      <c r="C1099">
        <v>65</v>
      </c>
      <c r="D1099">
        <v>35</v>
      </c>
      <c r="E1099">
        <v>6</v>
      </c>
      <c r="F1099">
        <v>16</v>
      </c>
      <c r="G1099">
        <v>10</v>
      </c>
      <c r="H1099">
        <v>1</v>
      </c>
      <c r="I1099">
        <v>0</v>
      </c>
      <c r="J1099">
        <v>27</v>
      </c>
      <c r="K1099" t="s">
        <v>247</v>
      </c>
    </row>
    <row r="1100" spans="2:11" x14ac:dyDescent="0.25">
      <c r="B1100">
        <v>1203</v>
      </c>
      <c r="C1100">
        <v>154</v>
      </c>
      <c r="D1100">
        <v>69</v>
      </c>
      <c r="E1100">
        <v>7</v>
      </c>
      <c r="F1100">
        <v>4</v>
      </c>
      <c r="G1100">
        <v>11</v>
      </c>
      <c r="H1100">
        <v>0</v>
      </c>
      <c r="I1100">
        <v>0</v>
      </c>
      <c r="J1100">
        <v>15</v>
      </c>
      <c r="K1100" t="s">
        <v>241</v>
      </c>
    </row>
    <row r="1101" spans="2:11" x14ac:dyDescent="0.25">
      <c r="B1101">
        <v>1204</v>
      </c>
      <c r="C1101">
        <v>246</v>
      </c>
      <c r="D1101">
        <v>110</v>
      </c>
      <c r="E1101">
        <v>6</v>
      </c>
      <c r="F1101">
        <v>14</v>
      </c>
      <c r="G1101">
        <v>12</v>
      </c>
      <c r="H1101">
        <v>10</v>
      </c>
      <c r="I1101">
        <v>0</v>
      </c>
      <c r="J1101">
        <v>36</v>
      </c>
      <c r="K1101" t="s">
        <v>249</v>
      </c>
    </row>
    <row r="1102" spans="2:11" x14ac:dyDescent="0.25">
      <c r="B1102">
        <v>1205</v>
      </c>
      <c r="C1102">
        <v>10</v>
      </c>
      <c r="D1102">
        <v>3</v>
      </c>
      <c r="E1102">
        <v>6</v>
      </c>
      <c r="F1102">
        <v>4</v>
      </c>
      <c r="G1102">
        <v>3</v>
      </c>
      <c r="H1102">
        <v>0</v>
      </c>
      <c r="I1102">
        <v>0</v>
      </c>
      <c r="J1102">
        <v>7</v>
      </c>
      <c r="K1102" t="s">
        <v>247</v>
      </c>
    </row>
    <row r="1103" spans="2:11" x14ac:dyDescent="0.25">
      <c r="B1103">
        <v>1206</v>
      </c>
      <c r="C1103">
        <v>279</v>
      </c>
      <c r="D1103">
        <v>129</v>
      </c>
      <c r="E1103">
        <v>6</v>
      </c>
      <c r="F1103">
        <v>8</v>
      </c>
      <c r="G1103">
        <v>18</v>
      </c>
      <c r="H1103">
        <v>0</v>
      </c>
      <c r="I1103">
        <v>0</v>
      </c>
      <c r="J1103">
        <v>26</v>
      </c>
      <c r="K1103" t="s">
        <v>245</v>
      </c>
    </row>
    <row r="1104" spans="2:11" x14ac:dyDescent="0.25">
      <c r="B1104">
        <v>1208</v>
      </c>
      <c r="C1104">
        <v>175</v>
      </c>
      <c r="D1104">
        <v>76</v>
      </c>
      <c r="E1104">
        <v>6</v>
      </c>
      <c r="F1104">
        <v>6</v>
      </c>
      <c r="G1104">
        <v>5</v>
      </c>
      <c r="H1104">
        <v>0</v>
      </c>
      <c r="I1104">
        <v>0</v>
      </c>
      <c r="J1104">
        <v>11</v>
      </c>
      <c r="K1104" t="s">
        <v>242</v>
      </c>
    </row>
    <row r="1105" spans="2:11" x14ac:dyDescent="0.25">
      <c r="B1105">
        <v>1209</v>
      </c>
      <c r="C1105">
        <v>134</v>
      </c>
      <c r="D1105">
        <v>60</v>
      </c>
      <c r="E1105">
        <v>1</v>
      </c>
      <c r="F1105">
        <v>9</v>
      </c>
      <c r="G1105">
        <v>6</v>
      </c>
      <c r="H1105">
        <v>4</v>
      </c>
      <c r="I1105">
        <v>0</v>
      </c>
      <c r="J1105">
        <v>19</v>
      </c>
      <c r="K1105" t="s">
        <v>249</v>
      </c>
    </row>
    <row r="1106" spans="2:11" x14ac:dyDescent="0.25">
      <c r="B1106">
        <v>1210</v>
      </c>
      <c r="C1106">
        <v>278</v>
      </c>
      <c r="D1106">
        <v>129</v>
      </c>
      <c r="E1106">
        <v>6</v>
      </c>
      <c r="F1106">
        <v>14</v>
      </c>
      <c r="G1106">
        <v>14</v>
      </c>
      <c r="H1106">
        <v>0</v>
      </c>
      <c r="I1106">
        <v>0</v>
      </c>
      <c r="J1106">
        <v>28</v>
      </c>
      <c r="K1106" t="s">
        <v>247</v>
      </c>
    </row>
    <row r="1107" spans="2:11" x14ac:dyDescent="0.25">
      <c r="B1107">
        <v>1211</v>
      </c>
      <c r="C1107">
        <v>66</v>
      </c>
      <c r="D1107">
        <v>35</v>
      </c>
      <c r="E1107">
        <v>6</v>
      </c>
      <c r="F1107">
        <v>4</v>
      </c>
      <c r="G1107">
        <v>9</v>
      </c>
      <c r="H1107">
        <v>10</v>
      </c>
      <c r="I1107">
        <v>0</v>
      </c>
      <c r="J1107">
        <v>23</v>
      </c>
      <c r="K1107" t="s">
        <v>245</v>
      </c>
    </row>
    <row r="1108" spans="2:11" x14ac:dyDescent="0.25">
      <c r="B1108">
        <v>1212</v>
      </c>
      <c r="C1108">
        <v>236</v>
      </c>
      <c r="D1108">
        <v>103</v>
      </c>
      <c r="E1108">
        <v>6</v>
      </c>
      <c r="F1108">
        <v>14</v>
      </c>
      <c r="G1108">
        <v>12</v>
      </c>
      <c r="H1108">
        <v>0</v>
      </c>
      <c r="I1108">
        <v>0</v>
      </c>
      <c r="J1108">
        <v>26</v>
      </c>
      <c r="K1108" t="s">
        <v>242</v>
      </c>
    </row>
    <row r="1109" spans="2:11" x14ac:dyDescent="0.25">
      <c r="B1109">
        <v>1213</v>
      </c>
      <c r="C1109">
        <v>299</v>
      </c>
      <c r="D1109">
        <v>100</v>
      </c>
      <c r="E1109">
        <v>6</v>
      </c>
      <c r="F1109">
        <v>23</v>
      </c>
      <c r="G1109">
        <v>7</v>
      </c>
      <c r="H1109">
        <v>0</v>
      </c>
      <c r="I1109">
        <v>0</v>
      </c>
      <c r="J1109">
        <v>30</v>
      </c>
      <c r="K1109" t="s">
        <v>243</v>
      </c>
    </row>
    <row r="1110" spans="2:11" x14ac:dyDescent="0.25">
      <c r="B1110">
        <v>1214</v>
      </c>
      <c r="C1110">
        <v>312</v>
      </c>
      <c r="D1110">
        <v>144</v>
      </c>
      <c r="E1110">
        <v>7</v>
      </c>
      <c r="F1110">
        <v>11</v>
      </c>
      <c r="G1110">
        <v>6</v>
      </c>
      <c r="H1110">
        <v>0</v>
      </c>
      <c r="I1110">
        <v>0</v>
      </c>
      <c r="J1110">
        <v>17</v>
      </c>
      <c r="K1110" t="s">
        <v>245</v>
      </c>
    </row>
    <row r="1111" spans="2:11" x14ac:dyDescent="0.25">
      <c r="B1111">
        <v>1216</v>
      </c>
      <c r="C1111">
        <v>251</v>
      </c>
      <c r="D1111">
        <v>113</v>
      </c>
      <c r="E1111">
        <v>7</v>
      </c>
      <c r="F1111">
        <v>1</v>
      </c>
      <c r="G1111">
        <v>0</v>
      </c>
      <c r="H1111">
        <v>2</v>
      </c>
      <c r="I1111">
        <v>0</v>
      </c>
      <c r="J1111">
        <v>3</v>
      </c>
      <c r="K1111" t="s">
        <v>245</v>
      </c>
    </row>
    <row r="1112" spans="2:11" x14ac:dyDescent="0.25">
      <c r="B1112">
        <v>1217</v>
      </c>
      <c r="C1112">
        <v>174</v>
      </c>
      <c r="D1112">
        <v>75</v>
      </c>
      <c r="E1112">
        <v>6</v>
      </c>
      <c r="F1112">
        <v>10</v>
      </c>
      <c r="G1112">
        <v>5</v>
      </c>
      <c r="H1112">
        <v>1</v>
      </c>
      <c r="I1112">
        <v>0</v>
      </c>
      <c r="J1112">
        <v>16</v>
      </c>
      <c r="K1112" t="s">
        <v>242</v>
      </c>
    </row>
    <row r="1113" spans="2:11" x14ac:dyDescent="0.25">
      <c r="B1113">
        <v>1219</v>
      </c>
      <c r="C1113">
        <v>67</v>
      </c>
      <c r="D1113">
        <v>35</v>
      </c>
      <c r="E1113">
        <v>6</v>
      </c>
      <c r="F1113">
        <v>15</v>
      </c>
      <c r="G1113">
        <v>10</v>
      </c>
      <c r="H1113">
        <v>5</v>
      </c>
      <c r="I1113">
        <v>0</v>
      </c>
      <c r="J1113">
        <v>30</v>
      </c>
      <c r="K1113" t="s">
        <v>248</v>
      </c>
    </row>
    <row r="1114" spans="2:11" x14ac:dyDescent="0.25">
      <c r="B1114">
        <v>1224</v>
      </c>
      <c r="C1114">
        <v>346</v>
      </c>
      <c r="D1114">
        <v>155</v>
      </c>
      <c r="E1114">
        <v>6</v>
      </c>
      <c r="F1114">
        <v>17</v>
      </c>
      <c r="G1114">
        <v>13</v>
      </c>
      <c r="H1114">
        <v>1</v>
      </c>
      <c r="I1114">
        <v>0</v>
      </c>
      <c r="J1114">
        <v>31</v>
      </c>
      <c r="K1114" t="s">
        <v>249</v>
      </c>
    </row>
    <row r="1115" spans="2:11" x14ac:dyDescent="0.25">
      <c r="B1115">
        <v>5322</v>
      </c>
      <c r="C1115">
        <v>96</v>
      </c>
      <c r="D1115">
        <v>48</v>
      </c>
      <c r="E1115">
        <v>17</v>
      </c>
      <c r="F1115">
        <v>12</v>
      </c>
      <c r="G1115">
        <v>1</v>
      </c>
      <c r="H1115">
        <v>0</v>
      </c>
      <c r="I1115">
        <v>0</v>
      </c>
      <c r="J1115">
        <v>13</v>
      </c>
      <c r="K1115" t="s">
        <v>252</v>
      </c>
    </row>
    <row r="1116" spans="2:11" x14ac:dyDescent="0.25">
      <c r="B1116">
        <v>5340</v>
      </c>
      <c r="C1116">
        <v>91</v>
      </c>
      <c r="D1116">
        <v>45</v>
      </c>
      <c r="E1116">
        <v>18</v>
      </c>
      <c r="F1116">
        <v>11</v>
      </c>
      <c r="G1116">
        <v>5</v>
      </c>
      <c r="H1116">
        <v>0</v>
      </c>
      <c r="I1116">
        <v>0</v>
      </c>
      <c r="J1116">
        <v>16</v>
      </c>
      <c r="K1116" t="s">
        <v>247</v>
      </c>
    </row>
    <row r="1117" spans="2:11" x14ac:dyDescent="0.25">
      <c r="B1117">
        <v>5341</v>
      </c>
      <c r="C1117">
        <v>199</v>
      </c>
      <c r="D1117">
        <v>87</v>
      </c>
      <c r="E1117">
        <v>7</v>
      </c>
      <c r="F1117">
        <v>3</v>
      </c>
      <c r="G1117">
        <v>7</v>
      </c>
      <c r="H1117">
        <v>0</v>
      </c>
      <c r="I1117">
        <v>0</v>
      </c>
      <c r="J1117">
        <v>10</v>
      </c>
      <c r="K1117" t="s">
        <v>246</v>
      </c>
    </row>
    <row r="1118" spans="2:11" x14ac:dyDescent="0.25">
      <c r="B1118">
        <v>5342</v>
      </c>
      <c r="C1118">
        <v>186</v>
      </c>
      <c r="D1118">
        <v>81</v>
      </c>
      <c r="E1118">
        <v>3</v>
      </c>
      <c r="F1118">
        <v>0</v>
      </c>
      <c r="G1118">
        <v>28</v>
      </c>
      <c r="H1118">
        <v>0</v>
      </c>
      <c r="I1118">
        <v>0</v>
      </c>
      <c r="J1118">
        <v>28</v>
      </c>
      <c r="K1118" t="s">
        <v>241</v>
      </c>
    </row>
    <row r="1119" spans="2:11" x14ac:dyDescent="0.25">
      <c r="B1119">
        <v>5343</v>
      </c>
      <c r="C1119">
        <v>95</v>
      </c>
      <c r="D1119">
        <v>47</v>
      </c>
      <c r="E1119">
        <v>18</v>
      </c>
      <c r="F1119">
        <v>8</v>
      </c>
      <c r="G1119">
        <v>12</v>
      </c>
      <c r="H1119">
        <v>0</v>
      </c>
      <c r="I1119">
        <v>0</v>
      </c>
      <c r="J1119">
        <v>20</v>
      </c>
      <c r="K1119" t="s">
        <v>247</v>
      </c>
    </row>
    <row r="1120" spans="2:11" x14ac:dyDescent="0.25">
      <c r="B1120">
        <v>5344</v>
      </c>
      <c r="C1120">
        <v>215</v>
      </c>
      <c r="D1120">
        <v>94</v>
      </c>
      <c r="E1120">
        <v>7</v>
      </c>
      <c r="F1120">
        <v>4</v>
      </c>
      <c r="G1120">
        <v>0</v>
      </c>
      <c r="H1120">
        <v>0</v>
      </c>
      <c r="I1120">
        <v>0</v>
      </c>
      <c r="J1120">
        <v>4</v>
      </c>
      <c r="K1120" t="s">
        <v>245</v>
      </c>
    </row>
    <row r="1121" spans="2:11" x14ac:dyDescent="0.25">
      <c r="B1121">
        <v>5345</v>
      </c>
      <c r="C1121">
        <v>199</v>
      </c>
      <c r="D1121">
        <v>87</v>
      </c>
      <c r="E1121">
        <v>8</v>
      </c>
      <c r="F1121">
        <v>1</v>
      </c>
      <c r="G1121">
        <v>3</v>
      </c>
      <c r="H1121">
        <v>1</v>
      </c>
      <c r="I1121">
        <v>0</v>
      </c>
      <c r="J1121">
        <v>5</v>
      </c>
      <c r="K1121" t="s">
        <v>246</v>
      </c>
    </row>
    <row r="1122" spans="2:11" x14ac:dyDescent="0.25">
      <c r="B1122">
        <v>5349</v>
      </c>
      <c r="C1122">
        <v>199</v>
      </c>
      <c r="D1122">
        <v>87</v>
      </c>
      <c r="E1122">
        <v>9</v>
      </c>
      <c r="F1122">
        <v>2</v>
      </c>
      <c r="G1122">
        <v>3</v>
      </c>
      <c r="H1122">
        <v>2</v>
      </c>
      <c r="I1122">
        <v>0</v>
      </c>
      <c r="J1122">
        <v>7</v>
      </c>
      <c r="K1122" t="s">
        <v>246</v>
      </c>
    </row>
    <row r="1123" spans="2:11" x14ac:dyDescent="0.25">
      <c r="B1123">
        <v>5346</v>
      </c>
      <c r="C1123">
        <v>186</v>
      </c>
      <c r="D1123">
        <v>81</v>
      </c>
      <c r="E1123">
        <v>7</v>
      </c>
      <c r="F1123">
        <v>0</v>
      </c>
      <c r="G1123">
        <v>30</v>
      </c>
      <c r="H1123">
        <v>0</v>
      </c>
      <c r="I1123">
        <v>0</v>
      </c>
      <c r="J1123">
        <v>30</v>
      </c>
      <c r="K1123" t="s">
        <v>241</v>
      </c>
    </row>
    <row r="1124" spans="2:11" x14ac:dyDescent="0.25">
      <c r="B1124">
        <v>5350</v>
      </c>
      <c r="C1124">
        <v>199</v>
      </c>
      <c r="D1124">
        <v>87</v>
      </c>
      <c r="E1124">
        <v>10</v>
      </c>
      <c r="F1124">
        <v>2</v>
      </c>
      <c r="G1124">
        <v>1</v>
      </c>
      <c r="H1124">
        <v>0</v>
      </c>
      <c r="I1124">
        <v>0</v>
      </c>
      <c r="J1124">
        <v>3</v>
      </c>
      <c r="K1124" t="s">
        <v>246</v>
      </c>
    </row>
    <row r="1125" spans="2:11" x14ac:dyDescent="0.25">
      <c r="B1125">
        <v>5352</v>
      </c>
      <c r="C1125">
        <v>186</v>
      </c>
      <c r="D1125">
        <v>81</v>
      </c>
      <c r="E1125">
        <v>8</v>
      </c>
      <c r="F1125">
        <v>1</v>
      </c>
      <c r="G1125">
        <v>22</v>
      </c>
      <c r="H1125">
        <v>0</v>
      </c>
      <c r="I1125">
        <v>0</v>
      </c>
      <c r="J1125">
        <v>23</v>
      </c>
      <c r="K1125" t="s">
        <v>241</v>
      </c>
    </row>
    <row r="1126" spans="2:11" x14ac:dyDescent="0.25">
      <c r="B1126">
        <v>5353</v>
      </c>
      <c r="C1126">
        <v>104</v>
      </c>
      <c r="D1126">
        <v>51</v>
      </c>
      <c r="E1126">
        <v>16</v>
      </c>
      <c r="F1126">
        <v>10</v>
      </c>
      <c r="G1126">
        <v>3</v>
      </c>
      <c r="H1126">
        <v>2</v>
      </c>
      <c r="I1126">
        <v>0</v>
      </c>
      <c r="J1126">
        <v>15</v>
      </c>
      <c r="K1126" t="s">
        <v>252</v>
      </c>
    </row>
    <row r="1127" spans="2:11" x14ac:dyDescent="0.25">
      <c r="B1127">
        <v>5355</v>
      </c>
      <c r="C1127">
        <v>199</v>
      </c>
      <c r="D1127">
        <v>87</v>
      </c>
      <c r="E1127">
        <v>11</v>
      </c>
      <c r="F1127">
        <v>2</v>
      </c>
      <c r="G1127">
        <v>4</v>
      </c>
      <c r="H1127">
        <v>0</v>
      </c>
      <c r="I1127">
        <v>0</v>
      </c>
      <c r="J1127">
        <v>6</v>
      </c>
      <c r="K1127" t="s">
        <v>246</v>
      </c>
    </row>
    <row r="1128" spans="2:11" x14ac:dyDescent="0.25">
      <c r="B1128">
        <v>1226</v>
      </c>
      <c r="C1128">
        <v>345</v>
      </c>
      <c r="D1128">
        <v>155</v>
      </c>
      <c r="E1128">
        <v>6</v>
      </c>
      <c r="F1128">
        <v>9</v>
      </c>
      <c r="G1128">
        <v>20</v>
      </c>
      <c r="H1128">
        <v>1</v>
      </c>
      <c r="I1128">
        <v>0</v>
      </c>
      <c r="J1128">
        <v>30</v>
      </c>
      <c r="K1128" t="s">
        <v>241</v>
      </c>
    </row>
    <row r="1129" spans="2:11" x14ac:dyDescent="0.25">
      <c r="B1129">
        <v>1228</v>
      </c>
      <c r="C1129">
        <v>2</v>
      </c>
      <c r="D1129">
        <v>1</v>
      </c>
      <c r="E1129">
        <v>6</v>
      </c>
      <c r="F1129">
        <v>7</v>
      </c>
      <c r="G1129">
        <v>3</v>
      </c>
      <c r="H1129">
        <v>0</v>
      </c>
      <c r="I1129">
        <v>0</v>
      </c>
      <c r="J1129">
        <v>10</v>
      </c>
      <c r="K1129" t="s">
        <v>246</v>
      </c>
    </row>
    <row r="1130" spans="2:11" x14ac:dyDescent="0.25">
      <c r="B1130">
        <v>1229</v>
      </c>
      <c r="C1130">
        <v>280</v>
      </c>
      <c r="D1130">
        <v>129</v>
      </c>
      <c r="E1130">
        <v>6</v>
      </c>
      <c r="F1130">
        <v>12</v>
      </c>
      <c r="G1130">
        <v>18</v>
      </c>
      <c r="H1130">
        <v>0</v>
      </c>
      <c r="I1130">
        <v>0</v>
      </c>
      <c r="J1130">
        <v>30</v>
      </c>
      <c r="K1130" t="s">
        <v>247</v>
      </c>
    </row>
    <row r="1131" spans="2:11" x14ac:dyDescent="0.25">
      <c r="B1131">
        <v>1230</v>
      </c>
      <c r="C1131">
        <v>142</v>
      </c>
      <c r="D1131">
        <v>62</v>
      </c>
      <c r="E1131">
        <v>7</v>
      </c>
      <c r="F1131">
        <v>10</v>
      </c>
      <c r="G1131">
        <v>2</v>
      </c>
      <c r="H1131">
        <v>0</v>
      </c>
      <c r="I1131">
        <v>0</v>
      </c>
      <c r="J1131">
        <v>12</v>
      </c>
      <c r="K1131" t="s">
        <v>245</v>
      </c>
    </row>
    <row r="1132" spans="2:11" x14ac:dyDescent="0.25">
      <c r="B1132">
        <v>1231</v>
      </c>
      <c r="C1132">
        <v>313</v>
      </c>
      <c r="D1132">
        <v>144</v>
      </c>
      <c r="E1132">
        <v>6</v>
      </c>
      <c r="F1132">
        <v>5</v>
      </c>
      <c r="G1132">
        <v>8</v>
      </c>
      <c r="H1132">
        <v>0</v>
      </c>
      <c r="I1132">
        <v>0</v>
      </c>
      <c r="J1132">
        <v>13</v>
      </c>
      <c r="K1132" t="s">
        <v>241</v>
      </c>
    </row>
    <row r="1133" spans="2:11" x14ac:dyDescent="0.25">
      <c r="B1133">
        <v>1232</v>
      </c>
      <c r="C1133">
        <v>64</v>
      </c>
      <c r="D1133">
        <v>35</v>
      </c>
      <c r="E1133">
        <v>6</v>
      </c>
      <c r="F1133">
        <v>3</v>
      </c>
      <c r="G1133">
        <v>27</v>
      </c>
      <c r="H1133">
        <v>0</v>
      </c>
      <c r="I1133">
        <v>0</v>
      </c>
      <c r="J1133">
        <v>30</v>
      </c>
      <c r="K1133" t="s">
        <v>246</v>
      </c>
    </row>
    <row r="1134" spans="2:11" x14ac:dyDescent="0.25">
      <c r="B1134">
        <v>1233</v>
      </c>
      <c r="C1134">
        <v>141</v>
      </c>
      <c r="D1134">
        <v>62</v>
      </c>
      <c r="E1134">
        <v>7</v>
      </c>
      <c r="F1134">
        <v>18</v>
      </c>
      <c r="G1134">
        <v>15</v>
      </c>
      <c r="H1134">
        <v>2</v>
      </c>
      <c r="I1134">
        <v>0</v>
      </c>
      <c r="J1134">
        <v>35</v>
      </c>
      <c r="K1134" t="s">
        <v>249</v>
      </c>
    </row>
    <row r="1135" spans="2:11" x14ac:dyDescent="0.25">
      <c r="B1135">
        <v>1235</v>
      </c>
      <c r="C1135">
        <v>253</v>
      </c>
      <c r="D1135">
        <v>115</v>
      </c>
      <c r="E1135">
        <v>7</v>
      </c>
      <c r="F1135">
        <v>10</v>
      </c>
      <c r="G1135">
        <v>6</v>
      </c>
      <c r="H1135">
        <v>3</v>
      </c>
      <c r="I1135">
        <v>0</v>
      </c>
      <c r="J1135">
        <v>19</v>
      </c>
      <c r="K1135" t="s">
        <v>246</v>
      </c>
    </row>
    <row r="1136" spans="2:11" x14ac:dyDescent="0.25">
      <c r="B1136">
        <v>1236</v>
      </c>
      <c r="C1136">
        <v>314</v>
      </c>
      <c r="D1136">
        <v>145</v>
      </c>
      <c r="E1136">
        <v>6</v>
      </c>
      <c r="F1136">
        <v>13</v>
      </c>
      <c r="G1136">
        <v>7</v>
      </c>
      <c r="H1136">
        <v>0</v>
      </c>
      <c r="I1136">
        <v>0</v>
      </c>
      <c r="J1136">
        <v>20</v>
      </c>
      <c r="K1136" t="s">
        <v>241</v>
      </c>
    </row>
    <row r="1137" spans="2:11" x14ac:dyDescent="0.25">
      <c r="B1137">
        <v>1237</v>
      </c>
      <c r="C1137">
        <v>252</v>
      </c>
      <c r="D1137">
        <v>114</v>
      </c>
      <c r="E1137">
        <v>7</v>
      </c>
      <c r="F1137">
        <v>8</v>
      </c>
      <c r="G1137">
        <v>15</v>
      </c>
      <c r="H1137">
        <v>5</v>
      </c>
      <c r="I1137">
        <v>0</v>
      </c>
      <c r="J1137">
        <v>28</v>
      </c>
      <c r="K1137" t="s">
        <v>245</v>
      </c>
    </row>
    <row r="1138" spans="2:11" x14ac:dyDescent="0.25">
      <c r="B1138">
        <v>1238</v>
      </c>
      <c r="C1138">
        <v>280</v>
      </c>
      <c r="D1138">
        <v>129</v>
      </c>
      <c r="E1138">
        <v>5</v>
      </c>
      <c r="F1138">
        <v>22</v>
      </c>
      <c r="G1138">
        <v>8</v>
      </c>
      <c r="H1138">
        <v>0</v>
      </c>
      <c r="I1138">
        <v>0</v>
      </c>
      <c r="J1138">
        <v>30</v>
      </c>
      <c r="K1138" t="s">
        <v>247</v>
      </c>
    </row>
    <row r="1139" spans="2:11" x14ac:dyDescent="0.25">
      <c r="B1139">
        <v>1243</v>
      </c>
      <c r="C1139">
        <v>133</v>
      </c>
      <c r="D1139">
        <v>60</v>
      </c>
      <c r="E1139">
        <v>5</v>
      </c>
      <c r="F1139">
        <v>12</v>
      </c>
      <c r="G1139">
        <v>3</v>
      </c>
      <c r="H1139">
        <v>5</v>
      </c>
      <c r="I1139">
        <v>0</v>
      </c>
      <c r="J1139">
        <v>20</v>
      </c>
      <c r="K1139" t="s">
        <v>245</v>
      </c>
    </row>
    <row r="1140" spans="2:11" x14ac:dyDescent="0.25">
      <c r="B1140">
        <v>1244</v>
      </c>
      <c r="C1140">
        <v>103</v>
      </c>
      <c r="D1140">
        <v>51</v>
      </c>
      <c r="E1140">
        <v>5</v>
      </c>
      <c r="F1140">
        <v>15</v>
      </c>
      <c r="G1140">
        <v>6</v>
      </c>
      <c r="H1140">
        <v>2</v>
      </c>
      <c r="I1140">
        <v>0</v>
      </c>
      <c r="J1140">
        <v>23</v>
      </c>
      <c r="K1140" t="s">
        <v>245</v>
      </c>
    </row>
    <row r="1141" spans="2:11" x14ac:dyDescent="0.25">
      <c r="B1141">
        <v>1246</v>
      </c>
      <c r="C1141">
        <v>133</v>
      </c>
      <c r="D1141">
        <v>60</v>
      </c>
      <c r="E1141">
        <v>6</v>
      </c>
      <c r="F1141">
        <v>8</v>
      </c>
      <c r="G1141">
        <v>0</v>
      </c>
      <c r="H1141">
        <v>12</v>
      </c>
      <c r="I1141">
        <v>0</v>
      </c>
      <c r="J1141">
        <v>20</v>
      </c>
      <c r="K1141" t="s">
        <v>246</v>
      </c>
    </row>
    <row r="1142" spans="2:11" x14ac:dyDescent="0.25">
      <c r="B1142">
        <v>1247</v>
      </c>
      <c r="C1142">
        <v>2</v>
      </c>
      <c r="D1142">
        <v>1</v>
      </c>
      <c r="E1142">
        <v>1</v>
      </c>
      <c r="F1142">
        <v>4</v>
      </c>
      <c r="G1142">
        <v>7</v>
      </c>
      <c r="H1142">
        <v>0</v>
      </c>
      <c r="I1142">
        <v>0</v>
      </c>
      <c r="J1142">
        <v>11</v>
      </c>
      <c r="K1142" t="s">
        <v>249</v>
      </c>
    </row>
    <row r="1143" spans="2:11" x14ac:dyDescent="0.25">
      <c r="B1143">
        <v>1249</v>
      </c>
      <c r="C1143">
        <v>128</v>
      </c>
      <c r="D1143">
        <v>56</v>
      </c>
      <c r="E1143">
        <v>7</v>
      </c>
      <c r="F1143">
        <v>12</v>
      </c>
      <c r="G1143">
        <v>4</v>
      </c>
      <c r="H1143">
        <v>0</v>
      </c>
      <c r="I1143">
        <v>0</v>
      </c>
      <c r="J1143">
        <v>16</v>
      </c>
      <c r="K1143" t="s">
        <v>242</v>
      </c>
    </row>
    <row r="1144" spans="2:11" x14ac:dyDescent="0.25">
      <c r="B1144">
        <v>1250</v>
      </c>
      <c r="C1144">
        <v>110</v>
      </c>
      <c r="D1144">
        <v>51</v>
      </c>
      <c r="E1144">
        <v>6</v>
      </c>
      <c r="F1144">
        <v>3</v>
      </c>
      <c r="G1144">
        <v>23</v>
      </c>
      <c r="H1144">
        <v>1</v>
      </c>
      <c r="I1144">
        <v>0</v>
      </c>
      <c r="J1144">
        <v>27</v>
      </c>
      <c r="K1144" t="s">
        <v>246</v>
      </c>
    </row>
    <row r="1145" spans="2:11" x14ac:dyDescent="0.25">
      <c r="B1145">
        <v>1252</v>
      </c>
      <c r="C1145">
        <v>128</v>
      </c>
      <c r="D1145">
        <v>56</v>
      </c>
      <c r="E1145">
        <v>6</v>
      </c>
      <c r="F1145">
        <v>10</v>
      </c>
      <c r="G1145">
        <v>5</v>
      </c>
      <c r="H1145">
        <v>0</v>
      </c>
      <c r="I1145">
        <v>0</v>
      </c>
      <c r="J1145">
        <v>15</v>
      </c>
      <c r="K1145" t="s">
        <v>246</v>
      </c>
    </row>
    <row r="1146" spans="2:11" x14ac:dyDescent="0.25">
      <c r="B1146">
        <v>1253</v>
      </c>
      <c r="C1146">
        <v>302</v>
      </c>
      <c r="D1146">
        <v>140</v>
      </c>
      <c r="E1146">
        <v>7</v>
      </c>
      <c r="F1146">
        <v>18</v>
      </c>
      <c r="G1146">
        <v>10</v>
      </c>
      <c r="H1146">
        <v>2</v>
      </c>
      <c r="I1146">
        <v>0</v>
      </c>
      <c r="J1146">
        <v>30</v>
      </c>
      <c r="K1146" t="s">
        <v>242</v>
      </c>
    </row>
    <row r="1147" spans="2:11" x14ac:dyDescent="0.25">
      <c r="B1147">
        <v>1255</v>
      </c>
      <c r="C1147">
        <v>146</v>
      </c>
      <c r="D1147">
        <v>65</v>
      </c>
      <c r="E1147">
        <v>7</v>
      </c>
      <c r="F1147">
        <v>20</v>
      </c>
      <c r="G1147">
        <v>10</v>
      </c>
      <c r="H1147">
        <v>0</v>
      </c>
      <c r="I1147">
        <v>0</v>
      </c>
      <c r="J1147">
        <v>30</v>
      </c>
      <c r="K1147" t="s">
        <v>247</v>
      </c>
    </row>
    <row r="1148" spans="2:11" x14ac:dyDescent="0.25">
      <c r="B1148">
        <v>1257</v>
      </c>
      <c r="C1148">
        <v>160</v>
      </c>
      <c r="D1148">
        <v>69</v>
      </c>
      <c r="E1148">
        <v>7</v>
      </c>
      <c r="F1148">
        <v>0</v>
      </c>
      <c r="G1148">
        <v>30</v>
      </c>
      <c r="H1148">
        <v>0</v>
      </c>
      <c r="I1148">
        <v>0</v>
      </c>
      <c r="J1148">
        <v>30</v>
      </c>
      <c r="K1148" t="s">
        <v>247</v>
      </c>
    </row>
    <row r="1149" spans="2:11" x14ac:dyDescent="0.25">
      <c r="B1149">
        <v>1260</v>
      </c>
      <c r="C1149">
        <v>103</v>
      </c>
      <c r="D1149">
        <v>51</v>
      </c>
      <c r="E1149">
        <v>6</v>
      </c>
      <c r="F1149">
        <v>12</v>
      </c>
      <c r="G1149">
        <v>8</v>
      </c>
      <c r="H1149">
        <v>2</v>
      </c>
      <c r="I1149">
        <v>0</v>
      </c>
      <c r="J1149">
        <v>22</v>
      </c>
      <c r="K1149" t="s">
        <v>247</v>
      </c>
    </row>
    <row r="1150" spans="2:11" x14ac:dyDescent="0.25">
      <c r="B1150">
        <v>1261</v>
      </c>
      <c r="C1150">
        <v>277</v>
      </c>
      <c r="D1150">
        <v>128</v>
      </c>
      <c r="E1150">
        <v>5</v>
      </c>
      <c r="F1150">
        <v>18</v>
      </c>
      <c r="G1150">
        <v>14</v>
      </c>
      <c r="H1150">
        <v>0</v>
      </c>
      <c r="I1150">
        <v>0</v>
      </c>
      <c r="J1150">
        <v>32</v>
      </c>
      <c r="K1150" t="s">
        <v>249</v>
      </c>
    </row>
    <row r="1151" spans="2:11" x14ac:dyDescent="0.25">
      <c r="B1151">
        <v>1262</v>
      </c>
      <c r="C1151">
        <v>1</v>
      </c>
      <c r="D1151">
        <v>1</v>
      </c>
      <c r="E1151">
        <v>6</v>
      </c>
      <c r="F1151">
        <v>0</v>
      </c>
      <c r="G1151">
        <v>2</v>
      </c>
      <c r="H1151">
        <v>1</v>
      </c>
      <c r="I1151">
        <v>0</v>
      </c>
      <c r="J1151">
        <v>3</v>
      </c>
      <c r="K1151" t="s">
        <v>248</v>
      </c>
    </row>
    <row r="1152" spans="2:11" x14ac:dyDescent="0.25">
      <c r="B1152">
        <v>1266</v>
      </c>
      <c r="C1152">
        <v>279</v>
      </c>
      <c r="D1152">
        <v>129</v>
      </c>
      <c r="E1152">
        <v>5</v>
      </c>
      <c r="F1152">
        <v>13</v>
      </c>
      <c r="G1152">
        <v>16</v>
      </c>
      <c r="H1152">
        <v>0</v>
      </c>
      <c r="I1152">
        <v>0</v>
      </c>
      <c r="J1152">
        <v>29</v>
      </c>
      <c r="K1152" t="s">
        <v>248</v>
      </c>
    </row>
    <row r="1153" spans="2:11" x14ac:dyDescent="0.25">
      <c r="B1153">
        <v>1268</v>
      </c>
      <c r="C1153">
        <v>102</v>
      </c>
      <c r="D1153">
        <v>51</v>
      </c>
      <c r="E1153">
        <v>5</v>
      </c>
      <c r="F1153">
        <v>6</v>
      </c>
      <c r="G1153">
        <v>3</v>
      </c>
      <c r="H1153">
        <v>1</v>
      </c>
      <c r="I1153">
        <v>0</v>
      </c>
      <c r="J1153">
        <v>10</v>
      </c>
      <c r="K1153" t="s">
        <v>246</v>
      </c>
    </row>
    <row r="1154" spans="2:11" x14ac:dyDescent="0.25">
      <c r="B1154">
        <v>1270</v>
      </c>
      <c r="C1154">
        <v>236</v>
      </c>
      <c r="D1154">
        <v>103</v>
      </c>
      <c r="E1154">
        <v>5</v>
      </c>
      <c r="F1154">
        <v>10</v>
      </c>
      <c r="G1154">
        <v>9</v>
      </c>
      <c r="H1154">
        <v>6</v>
      </c>
      <c r="I1154">
        <v>0</v>
      </c>
      <c r="J1154">
        <v>25</v>
      </c>
      <c r="K1154" t="s">
        <v>248</v>
      </c>
    </row>
    <row r="1155" spans="2:11" x14ac:dyDescent="0.25">
      <c r="B1155">
        <v>1271</v>
      </c>
      <c r="C1155">
        <v>111</v>
      </c>
      <c r="D1155">
        <v>51</v>
      </c>
      <c r="E1155">
        <v>4</v>
      </c>
      <c r="F1155">
        <v>1</v>
      </c>
      <c r="G1155">
        <v>5</v>
      </c>
      <c r="H1155">
        <v>0</v>
      </c>
      <c r="I1155">
        <v>0</v>
      </c>
      <c r="J1155">
        <v>6</v>
      </c>
      <c r="K1155" t="s">
        <v>246</v>
      </c>
    </row>
    <row r="1156" spans="2:11" x14ac:dyDescent="0.25">
      <c r="B1156">
        <v>1272</v>
      </c>
      <c r="C1156">
        <v>102</v>
      </c>
      <c r="D1156">
        <v>51</v>
      </c>
      <c r="E1156">
        <v>4</v>
      </c>
      <c r="F1156">
        <v>3</v>
      </c>
      <c r="G1156">
        <v>3</v>
      </c>
      <c r="H1156">
        <v>1</v>
      </c>
      <c r="I1156">
        <v>0</v>
      </c>
      <c r="J1156">
        <v>7</v>
      </c>
      <c r="K1156" t="s">
        <v>246</v>
      </c>
    </row>
    <row r="1157" spans="2:11" x14ac:dyDescent="0.25">
      <c r="B1157">
        <v>1273</v>
      </c>
      <c r="C1157">
        <v>255</v>
      </c>
      <c r="D1157">
        <v>116</v>
      </c>
      <c r="E1157">
        <v>6</v>
      </c>
      <c r="F1157">
        <v>20</v>
      </c>
      <c r="G1157">
        <v>7</v>
      </c>
      <c r="H1157">
        <v>0</v>
      </c>
      <c r="I1157">
        <v>0</v>
      </c>
      <c r="J1157">
        <v>27</v>
      </c>
      <c r="K1157" t="s">
        <v>247</v>
      </c>
    </row>
    <row r="1158" spans="2:11" x14ac:dyDescent="0.25">
      <c r="B1158">
        <v>1275</v>
      </c>
      <c r="C1158">
        <v>111</v>
      </c>
      <c r="D1158">
        <v>51</v>
      </c>
      <c r="E1158">
        <v>3</v>
      </c>
      <c r="F1158">
        <v>0</v>
      </c>
      <c r="G1158">
        <v>3</v>
      </c>
      <c r="H1158">
        <v>0</v>
      </c>
      <c r="I1158">
        <v>0</v>
      </c>
      <c r="J1158">
        <v>3</v>
      </c>
      <c r="K1158" t="s">
        <v>246</v>
      </c>
    </row>
    <row r="1159" spans="2:11" x14ac:dyDescent="0.25">
      <c r="B1159">
        <v>1276</v>
      </c>
      <c r="C1159">
        <v>256</v>
      </c>
      <c r="D1159">
        <v>117</v>
      </c>
      <c r="E1159">
        <v>6</v>
      </c>
      <c r="F1159">
        <v>8</v>
      </c>
      <c r="G1159">
        <v>1</v>
      </c>
      <c r="H1159">
        <v>0</v>
      </c>
      <c r="I1159">
        <v>0</v>
      </c>
      <c r="J1159">
        <v>9</v>
      </c>
      <c r="K1159" t="s">
        <v>247</v>
      </c>
    </row>
    <row r="1160" spans="2:11" x14ac:dyDescent="0.25">
      <c r="B1160">
        <v>1278</v>
      </c>
      <c r="C1160">
        <v>102</v>
      </c>
      <c r="D1160">
        <v>51</v>
      </c>
      <c r="E1160">
        <v>3</v>
      </c>
      <c r="F1160">
        <v>7</v>
      </c>
      <c r="G1160">
        <v>3</v>
      </c>
      <c r="H1160">
        <v>3</v>
      </c>
      <c r="I1160">
        <v>0</v>
      </c>
      <c r="J1160">
        <v>13</v>
      </c>
      <c r="K1160" t="s">
        <v>246</v>
      </c>
    </row>
    <row r="1161" spans="2:11" x14ac:dyDescent="0.25">
      <c r="B1161">
        <v>1280</v>
      </c>
      <c r="C1161">
        <v>179</v>
      </c>
      <c r="D1161">
        <v>77</v>
      </c>
      <c r="E1161">
        <v>6</v>
      </c>
      <c r="F1161">
        <v>3</v>
      </c>
      <c r="G1161">
        <v>4</v>
      </c>
      <c r="H1161">
        <v>0</v>
      </c>
      <c r="I1161">
        <v>0</v>
      </c>
      <c r="J1161">
        <v>7</v>
      </c>
      <c r="K1161" t="s">
        <v>247</v>
      </c>
    </row>
    <row r="1162" spans="2:11" x14ac:dyDescent="0.25">
      <c r="B1162">
        <v>1281</v>
      </c>
      <c r="C1162">
        <v>7</v>
      </c>
      <c r="D1162">
        <v>2</v>
      </c>
      <c r="E1162">
        <v>4</v>
      </c>
      <c r="F1162">
        <v>23</v>
      </c>
      <c r="G1162">
        <v>14</v>
      </c>
      <c r="H1162">
        <v>0</v>
      </c>
      <c r="I1162">
        <v>0</v>
      </c>
      <c r="J1162">
        <v>37</v>
      </c>
      <c r="K1162" t="s">
        <v>249</v>
      </c>
    </row>
    <row r="1163" spans="2:11" x14ac:dyDescent="0.25">
      <c r="B1163">
        <v>1282</v>
      </c>
      <c r="C1163">
        <v>326</v>
      </c>
      <c r="D1163">
        <v>151</v>
      </c>
      <c r="E1163">
        <v>7</v>
      </c>
      <c r="F1163">
        <v>13</v>
      </c>
      <c r="G1163">
        <v>6</v>
      </c>
      <c r="H1163">
        <v>0</v>
      </c>
      <c r="I1163">
        <v>0</v>
      </c>
      <c r="J1163">
        <v>19</v>
      </c>
      <c r="K1163" t="s">
        <v>243</v>
      </c>
    </row>
    <row r="1164" spans="2:11" x14ac:dyDescent="0.25">
      <c r="B1164">
        <v>1284</v>
      </c>
      <c r="C1164">
        <v>108</v>
      </c>
      <c r="D1164">
        <v>51</v>
      </c>
      <c r="E1164">
        <v>5</v>
      </c>
      <c r="F1164">
        <v>14</v>
      </c>
      <c r="G1164">
        <v>9</v>
      </c>
      <c r="H1164">
        <v>0</v>
      </c>
      <c r="I1164">
        <v>0</v>
      </c>
      <c r="J1164">
        <v>23</v>
      </c>
      <c r="K1164" t="s">
        <v>248</v>
      </c>
    </row>
    <row r="1165" spans="2:11" x14ac:dyDescent="0.25">
      <c r="B1165">
        <v>1285</v>
      </c>
      <c r="C1165">
        <v>111</v>
      </c>
      <c r="D1165">
        <v>51</v>
      </c>
      <c r="E1165">
        <v>2</v>
      </c>
      <c r="F1165">
        <v>0</v>
      </c>
      <c r="G1165">
        <v>8</v>
      </c>
      <c r="H1165">
        <v>0</v>
      </c>
      <c r="I1165">
        <v>0</v>
      </c>
      <c r="J1165">
        <v>8</v>
      </c>
      <c r="K1165" t="s">
        <v>246</v>
      </c>
    </row>
    <row r="1166" spans="2:11" x14ac:dyDescent="0.25">
      <c r="B1166">
        <v>1286</v>
      </c>
      <c r="C1166">
        <v>179</v>
      </c>
      <c r="D1166">
        <v>77</v>
      </c>
      <c r="E1166">
        <v>7</v>
      </c>
      <c r="F1166">
        <v>2</v>
      </c>
      <c r="G1166">
        <v>4</v>
      </c>
      <c r="H1166">
        <v>2</v>
      </c>
      <c r="I1166">
        <v>0</v>
      </c>
      <c r="J1166">
        <v>8</v>
      </c>
      <c r="K1166" t="s">
        <v>245</v>
      </c>
    </row>
    <row r="1167" spans="2:11" x14ac:dyDescent="0.25">
      <c r="B1167">
        <v>1287</v>
      </c>
      <c r="C1167">
        <v>102</v>
      </c>
      <c r="D1167">
        <v>51</v>
      </c>
      <c r="E1167">
        <v>2</v>
      </c>
      <c r="F1167">
        <v>6</v>
      </c>
      <c r="G1167">
        <v>3</v>
      </c>
      <c r="H1167">
        <v>3</v>
      </c>
      <c r="I1167">
        <v>0</v>
      </c>
      <c r="J1167">
        <v>12</v>
      </c>
      <c r="K1167" t="s">
        <v>246</v>
      </c>
    </row>
    <row r="1168" spans="2:11" x14ac:dyDescent="0.25">
      <c r="B1168">
        <v>1288</v>
      </c>
      <c r="C1168">
        <v>327</v>
      </c>
      <c r="D1168">
        <v>152</v>
      </c>
      <c r="E1168">
        <v>7</v>
      </c>
      <c r="F1168">
        <v>14</v>
      </c>
      <c r="G1168">
        <v>16</v>
      </c>
      <c r="H1168">
        <v>0</v>
      </c>
      <c r="I1168">
        <v>0</v>
      </c>
      <c r="J1168">
        <v>30</v>
      </c>
      <c r="K1168" t="s">
        <v>245</v>
      </c>
    </row>
    <row r="1169" spans="2:11" x14ac:dyDescent="0.25">
      <c r="B1169">
        <v>1289</v>
      </c>
      <c r="C1169">
        <v>102</v>
      </c>
      <c r="D1169">
        <v>51</v>
      </c>
      <c r="E1169">
        <v>1</v>
      </c>
      <c r="F1169">
        <v>8</v>
      </c>
      <c r="G1169">
        <v>6</v>
      </c>
      <c r="H1169">
        <v>2</v>
      </c>
      <c r="I1169">
        <v>0</v>
      </c>
      <c r="J1169">
        <v>16</v>
      </c>
      <c r="K1169" t="s">
        <v>246</v>
      </c>
    </row>
    <row r="1170" spans="2:11" x14ac:dyDescent="0.25">
      <c r="B1170">
        <v>1290</v>
      </c>
      <c r="C1170">
        <v>147</v>
      </c>
      <c r="D1170">
        <v>66</v>
      </c>
      <c r="E1170">
        <v>7</v>
      </c>
      <c r="F1170">
        <v>22</v>
      </c>
      <c r="G1170">
        <v>7</v>
      </c>
      <c r="H1170">
        <v>0</v>
      </c>
      <c r="I1170">
        <v>0</v>
      </c>
      <c r="J1170">
        <v>29</v>
      </c>
      <c r="K1170" t="s">
        <v>245</v>
      </c>
    </row>
    <row r="1171" spans="2:11" x14ac:dyDescent="0.25">
      <c r="B1171">
        <v>1291</v>
      </c>
      <c r="C1171">
        <v>255</v>
      </c>
      <c r="D1171">
        <v>116</v>
      </c>
      <c r="E1171">
        <v>5</v>
      </c>
      <c r="F1171">
        <v>12</v>
      </c>
      <c r="G1171">
        <v>0</v>
      </c>
      <c r="H1171">
        <v>0</v>
      </c>
      <c r="I1171">
        <v>0</v>
      </c>
      <c r="J1171">
        <v>12</v>
      </c>
      <c r="K1171" t="s">
        <v>242</v>
      </c>
    </row>
    <row r="1172" spans="2:11" x14ac:dyDescent="0.25">
      <c r="B1172">
        <v>1292</v>
      </c>
      <c r="C1172">
        <v>69</v>
      </c>
      <c r="D1172">
        <v>35</v>
      </c>
      <c r="E1172">
        <v>6</v>
      </c>
      <c r="F1172">
        <v>1</v>
      </c>
      <c r="G1172">
        <v>12</v>
      </c>
      <c r="H1172">
        <v>2</v>
      </c>
      <c r="I1172">
        <v>0</v>
      </c>
      <c r="J1172">
        <v>15</v>
      </c>
      <c r="K1172" t="s">
        <v>242</v>
      </c>
    </row>
    <row r="1173" spans="2:11" x14ac:dyDescent="0.25">
      <c r="B1173">
        <v>1293</v>
      </c>
      <c r="C1173">
        <v>68</v>
      </c>
      <c r="D1173">
        <v>35</v>
      </c>
      <c r="E1173">
        <v>6</v>
      </c>
      <c r="F1173">
        <v>7</v>
      </c>
      <c r="G1173">
        <v>10</v>
      </c>
      <c r="H1173">
        <v>8</v>
      </c>
      <c r="I1173">
        <v>0</v>
      </c>
      <c r="J1173">
        <v>25</v>
      </c>
      <c r="K1173" t="s">
        <v>242</v>
      </c>
    </row>
    <row r="1174" spans="2:11" x14ac:dyDescent="0.25">
      <c r="B1174">
        <v>1294</v>
      </c>
      <c r="C1174">
        <v>303</v>
      </c>
      <c r="D1174">
        <v>140</v>
      </c>
      <c r="E1174">
        <v>7</v>
      </c>
      <c r="F1174">
        <v>9</v>
      </c>
      <c r="G1174">
        <v>2</v>
      </c>
      <c r="H1174">
        <v>0</v>
      </c>
      <c r="I1174">
        <v>0</v>
      </c>
      <c r="J1174">
        <v>11</v>
      </c>
      <c r="K1174" t="s">
        <v>243</v>
      </c>
    </row>
    <row r="1175" spans="2:11" x14ac:dyDescent="0.25">
      <c r="B1175">
        <v>1295</v>
      </c>
      <c r="C1175">
        <v>315</v>
      </c>
      <c r="D1175">
        <v>145</v>
      </c>
      <c r="E1175">
        <v>7</v>
      </c>
      <c r="F1175">
        <v>5</v>
      </c>
      <c r="G1175">
        <v>14</v>
      </c>
      <c r="H1175">
        <v>1</v>
      </c>
      <c r="I1175">
        <v>0</v>
      </c>
      <c r="J1175">
        <v>20</v>
      </c>
      <c r="K1175" t="s">
        <v>243</v>
      </c>
    </row>
    <row r="1176" spans="2:11" x14ac:dyDescent="0.25">
      <c r="B1176">
        <v>1296</v>
      </c>
      <c r="C1176">
        <v>112</v>
      </c>
      <c r="D1176">
        <v>51</v>
      </c>
      <c r="E1176">
        <v>7</v>
      </c>
      <c r="F1176">
        <v>14</v>
      </c>
      <c r="G1176">
        <v>10</v>
      </c>
      <c r="H1176">
        <v>0</v>
      </c>
      <c r="I1176">
        <v>0</v>
      </c>
      <c r="J1176">
        <v>24</v>
      </c>
      <c r="K1176" t="s">
        <v>243</v>
      </c>
    </row>
    <row r="1177" spans="2:11" x14ac:dyDescent="0.25">
      <c r="B1177">
        <v>1297</v>
      </c>
      <c r="C1177">
        <v>163</v>
      </c>
      <c r="D1177">
        <v>69</v>
      </c>
      <c r="E1177">
        <v>7</v>
      </c>
      <c r="F1177">
        <v>11</v>
      </c>
      <c r="G1177">
        <v>14</v>
      </c>
      <c r="H1177">
        <v>0</v>
      </c>
      <c r="I1177">
        <v>0</v>
      </c>
      <c r="J1177">
        <v>25</v>
      </c>
      <c r="K1177" t="s">
        <v>245</v>
      </c>
    </row>
    <row r="1178" spans="2:11" x14ac:dyDescent="0.25">
      <c r="B1178">
        <v>1298</v>
      </c>
      <c r="C1178">
        <v>31</v>
      </c>
      <c r="D1178">
        <v>17</v>
      </c>
      <c r="E1178">
        <v>7</v>
      </c>
      <c r="F1178">
        <v>6</v>
      </c>
      <c r="G1178">
        <v>5</v>
      </c>
      <c r="H1178">
        <v>0</v>
      </c>
      <c r="I1178">
        <v>0</v>
      </c>
      <c r="J1178">
        <v>11</v>
      </c>
      <c r="K1178" t="s">
        <v>243</v>
      </c>
    </row>
    <row r="1179" spans="2:11" x14ac:dyDescent="0.25">
      <c r="B1179">
        <v>1299</v>
      </c>
      <c r="C1179">
        <v>143</v>
      </c>
      <c r="D1179">
        <v>63</v>
      </c>
      <c r="E1179">
        <v>7</v>
      </c>
      <c r="F1179">
        <v>5</v>
      </c>
      <c r="G1179">
        <v>1</v>
      </c>
      <c r="H1179">
        <v>0</v>
      </c>
      <c r="I1179">
        <v>0</v>
      </c>
      <c r="J1179">
        <v>6</v>
      </c>
      <c r="K1179" t="s">
        <v>245</v>
      </c>
    </row>
    <row r="1180" spans="2:11" x14ac:dyDescent="0.25">
      <c r="B1180">
        <v>1300</v>
      </c>
      <c r="C1180">
        <v>55</v>
      </c>
      <c r="D1180">
        <v>29</v>
      </c>
      <c r="E1180">
        <v>7</v>
      </c>
      <c r="F1180">
        <v>3</v>
      </c>
      <c r="G1180">
        <v>27</v>
      </c>
      <c r="H1180">
        <v>0</v>
      </c>
      <c r="I1180">
        <v>0</v>
      </c>
      <c r="J1180">
        <v>30</v>
      </c>
      <c r="K1180" t="s">
        <v>243</v>
      </c>
    </row>
    <row r="1181" spans="2:11" x14ac:dyDescent="0.25">
      <c r="B1181">
        <v>1301</v>
      </c>
      <c r="C1181">
        <v>112</v>
      </c>
      <c r="D1181">
        <v>51</v>
      </c>
      <c r="E1181">
        <v>6</v>
      </c>
      <c r="F1181">
        <v>28</v>
      </c>
      <c r="G1181">
        <v>2</v>
      </c>
      <c r="H1181">
        <v>0</v>
      </c>
      <c r="I1181">
        <v>0</v>
      </c>
      <c r="J1181">
        <v>30</v>
      </c>
      <c r="K1181" t="s">
        <v>242</v>
      </c>
    </row>
    <row r="1182" spans="2:11" x14ac:dyDescent="0.25">
      <c r="B1182">
        <v>1302</v>
      </c>
      <c r="C1182">
        <v>161</v>
      </c>
      <c r="D1182">
        <v>69</v>
      </c>
      <c r="E1182">
        <v>7</v>
      </c>
      <c r="F1182">
        <v>2</v>
      </c>
      <c r="G1182">
        <v>8</v>
      </c>
      <c r="H1182">
        <v>0</v>
      </c>
      <c r="I1182">
        <v>0</v>
      </c>
      <c r="J1182">
        <v>10</v>
      </c>
      <c r="K1182" t="s">
        <v>245</v>
      </c>
    </row>
    <row r="1183" spans="2:11" x14ac:dyDescent="0.25">
      <c r="B1183">
        <v>1303</v>
      </c>
      <c r="C1183">
        <v>55</v>
      </c>
      <c r="D1183">
        <v>29</v>
      </c>
      <c r="E1183">
        <v>6</v>
      </c>
      <c r="F1183">
        <v>5</v>
      </c>
      <c r="G1183">
        <v>22</v>
      </c>
      <c r="H1183">
        <v>0</v>
      </c>
      <c r="I1183">
        <v>0</v>
      </c>
      <c r="J1183">
        <v>27</v>
      </c>
      <c r="K1183" t="s">
        <v>247</v>
      </c>
    </row>
    <row r="1184" spans="2:11" x14ac:dyDescent="0.25">
      <c r="B1184">
        <v>1304</v>
      </c>
      <c r="C1184">
        <v>4</v>
      </c>
      <c r="D1184">
        <v>1</v>
      </c>
      <c r="E1184">
        <v>6</v>
      </c>
      <c r="F1184">
        <v>3</v>
      </c>
      <c r="G1184">
        <v>1</v>
      </c>
      <c r="H1184">
        <v>0</v>
      </c>
      <c r="I1184">
        <v>0</v>
      </c>
      <c r="J1184">
        <v>4</v>
      </c>
      <c r="K1184" t="s">
        <v>242</v>
      </c>
    </row>
    <row r="1185" spans="2:11" x14ac:dyDescent="0.25">
      <c r="B1185">
        <v>1307</v>
      </c>
      <c r="C1185">
        <v>52</v>
      </c>
      <c r="D1185">
        <v>26</v>
      </c>
      <c r="E1185">
        <v>7</v>
      </c>
      <c r="F1185">
        <v>8</v>
      </c>
      <c r="G1185">
        <v>6</v>
      </c>
      <c r="H1185">
        <v>0</v>
      </c>
      <c r="I1185">
        <v>0</v>
      </c>
      <c r="J1185">
        <v>14</v>
      </c>
      <c r="K1185" t="s">
        <v>243</v>
      </c>
    </row>
    <row r="1186" spans="2:11" x14ac:dyDescent="0.25">
      <c r="B1186">
        <v>1308</v>
      </c>
      <c r="C1186">
        <v>54</v>
      </c>
      <c r="D1186">
        <v>28</v>
      </c>
      <c r="E1186">
        <v>6</v>
      </c>
      <c r="F1186">
        <v>11</v>
      </c>
      <c r="G1186">
        <v>7</v>
      </c>
      <c r="H1186">
        <v>0</v>
      </c>
      <c r="I1186">
        <v>0</v>
      </c>
      <c r="J1186">
        <v>18</v>
      </c>
      <c r="K1186" t="s">
        <v>247</v>
      </c>
    </row>
    <row r="1187" spans="2:11" x14ac:dyDescent="0.25">
      <c r="B1187">
        <v>1310</v>
      </c>
      <c r="C1187">
        <v>51</v>
      </c>
      <c r="D1187">
        <v>26</v>
      </c>
      <c r="E1187">
        <v>6</v>
      </c>
      <c r="F1187">
        <v>25</v>
      </c>
      <c r="G1187">
        <v>3</v>
      </c>
      <c r="H1187">
        <v>1</v>
      </c>
      <c r="I1187">
        <v>0</v>
      </c>
      <c r="J1187">
        <v>29</v>
      </c>
      <c r="K1187" t="s">
        <v>247</v>
      </c>
    </row>
    <row r="1188" spans="2:11" x14ac:dyDescent="0.25">
      <c r="B1188">
        <v>1311</v>
      </c>
      <c r="C1188">
        <v>52</v>
      </c>
      <c r="D1188">
        <v>26</v>
      </c>
      <c r="E1188">
        <v>6</v>
      </c>
      <c r="F1188">
        <v>8</v>
      </c>
      <c r="G1188">
        <v>8</v>
      </c>
      <c r="H1188">
        <v>0</v>
      </c>
      <c r="I1188">
        <v>0</v>
      </c>
      <c r="J1188">
        <v>16</v>
      </c>
      <c r="K1188" t="s">
        <v>247</v>
      </c>
    </row>
    <row r="1189" spans="2:11" x14ac:dyDescent="0.25">
      <c r="B1189">
        <v>1313</v>
      </c>
      <c r="C1189">
        <v>53</v>
      </c>
      <c r="D1189">
        <v>27</v>
      </c>
      <c r="E1189">
        <v>6</v>
      </c>
      <c r="F1189">
        <v>9</v>
      </c>
      <c r="G1189">
        <v>7</v>
      </c>
      <c r="H1189">
        <v>0</v>
      </c>
      <c r="I1189">
        <v>0</v>
      </c>
      <c r="J1189">
        <v>16</v>
      </c>
      <c r="K1189" t="s">
        <v>247</v>
      </c>
    </row>
    <row r="1190" spans="2:11" x14ac:dyDescent="0.25">
      <c r="B1190">
        <v>1314</v>
      </c>
      <c r="C1190">
        <v>73</v>
      </c>
      <c r="D1190">
        <v>35</v>
      </c>
      <c r="E1190">
        <v>6</v>
      </c>
      <c r="F1190">
        <v>14</v>
      </c>
      <c r="G1190">
        <v>5</v>
      </c>
      <c r="H1190">
        <v>9</v>
      </c>
      <c r="I1190">
        <v>0</v>
      </c>
      <c r="J1190">
        <v>28</v>
      </c>
      <c r="K1190" t="s">
        <v>241</v>
      </c>
    </row>
    <row r="1191" spans="2:11" x14ac:dyDescent="0.25">
      <c r="B1191">
        <v>1315</v>
      </c>
      <c r="C1191">
        <v>351</v>
      </c>
      <c r="D1191">
        <v>158</v>
      </c>
      <c r="E1191">
        <v>6</v>
      </c>
      <c r="F1191">
        <v>3</v>
      </c>
      <c r="G1191">
        <v>4</v>
      </c>
      <c r="H1191">
        <v>0</v>
      </c>
      <c r="I1191">
        <v>0</v>
      </c>
      <c r="J1191">
        <v>7</v>
      </c>
      <c r="K1191" t="s">
        <v>248</v>
      </c>
    </row>
    <row r="1192" spans="2:11" x14ac:dyDescent="0.25">
      <c r="B1192">
        <v>5339</v>
      </c>
      <c r="C1192">
        <v>215</v>
      </c>
      <c r="D1192">
        <v>94</v>
      </c>
      <c r="E1192">
        <v>6</v>
      </c>
      <c r="F1192">
        <v>4</v>
      </c>
      <c r="G1192">
        <v>0</v>
      </c>
      <c r="H1192">
        <v>0</v>
      </c>
      <c r="I1192">
        <v>0</v>
      </c>
      <c r="J1192">
        <v>4</v>
      </c>
      <c r="K1192" t="s">
        <v>245</v>
      </c>
    </row>
    <row r="1193" spans="2:11" x14ac:dyDescent="0.25">
      <c r="B1193">
        <v>5348</v>
      </c>
      <c r="C1193">
        <v>215</v>
      </c>
      <c r="D1193">
        <v>94</v>
      </c>
      <c r="E1193">
        <v>8</v>
      </c>
      <c r="F1193">
        <v>0</v>
      </c>
      <c r="G1193">
        <v>3</v>
      </c>
      <c r="H1193">
        <v>0</v>
      </c>
      <c r="I1193">
        <v>0</v>
      </c>
      <c r="J1193">
        <v>3</v>
      </c>
      <c r="K1193" t="s">
        <v>245</v>
      </c>
    </row>
    <row r="1194" spans="2:11" x14ac:dyDescent="0.25">
      <c r="B1194">
        <v>5351</v>
      </c>
      <c r="C1194">
        <v>215</v>
      </c>
      <c r="D1194">
        <v>94</v>
      </c>
      <c r="E1194">
        <v>9</v>
      </c>
      <c r="F1194">
        <v>6</v>
      </c>
      <c r="G1194">
        <v>1</v>
      </c>
      <c r="H1194">
        <v>2</v>
      </c>
      <c r="I1194">
        <v>0</v>
      </c>
      <c r="J1194">
        <v>9</v>
      </c>
      <c r="K1194" t="s">
        <v>245</v>
      </c>
    </row>
    <row r="1195" spans="2:11" x14ac:dyDescent="0.25">
      <c r="B1195">
        <v>5354</v>
      </c>
      <c r="C1195">
        <v>215</v>
      </c>
      <c r="D1195">
        <v>94</v>
      </c>
      <c r="E1195">
        <v>10</v>
      </c>
      <c r="F1195">
        <v>6</v>
      </c>
      <c r="G1195">
        <v>1</v>
      </c>
      <c r="H1195">
        <v>0</v>
      </c>
      <c r="I1195">
        <v>0</v>
      </c>
      <c r="J1195">
        <v>7</v>
      </c>
      <c r="K1195" t="s">
        <v>245</v>
      </c>
    </row>
    <row r="1196" spans="2:11" x14ac:dyDescent="0.25">
      <c r="B1196">
        <v>5358</v>
      </c>
      <c r="C1196">
        <v>199</v>
      </c>
      <c r="D1196">
        <v>87</v>
      </c>
      <c r="E1196">
        <v>12</v>
      </c>
      <c r="F1196">
        <v>2</v>
      </c>
      <c r="G1196">
        <v>3</v>
      </c>
      <c r="H1196">
        <v>0</v>
      </c>
      <c r="I1196">
        <v>0</v>
      </c>
      <c r="J1196">
        <v>5</v>
      </c>
      <c r="K1196" t="s">
        <v>246</v>
      </c>
    </row>
    <row r="1197" spans="2:11" x14ac:dyDescent="0.25">
      <c r="B1197">
        <v>5359</v>
      </c>
      <c r="C1197">
        <v>215</v>
      </c>
      <c r="D1197">
        <v>94</v>
      </c>
      <c r="E1197">
        <v>11</v>
      </c>
      <c r="F1197">
        <v>5</v>
      </c>
      <c r="G1197">
        <v>3</v>
      </c>
      <c r="H1197">
        <v>0</v>
      </c>
      <c r="I1197">
        <v>0</v>
      </c>
      <c r="J1197">
        <v>8</v>
      </c>
      <c r="K1197" t="s">
        <v>245</v>
      </c>
    </row>
    <row r="1198" spans="2:11" x14ac:dyDescent="0.25">
      <c r="B1198">
        <v>1316</v>
      </c>
      <c r="C1198">
        <v>70</v>
      </c>
      <c r="D1198">
        <v>35</v>
      </c>
      <c r="E1198">
        <v>6</v>
      </c>
      <c r="F1198">
        <v>12</v>
      </c>
      <c r="G1198">
        <v>4</v>
      </c>
      <c r="H1198">
        <v>8</v>
      </c>
      <c r="I1198">
        <v>0</v>
      </c>
      <c r="J1198">
        <v>24</v>
      </c>
      <c r="K1198" t="s">
        <v>242</v>
      </c>
    </row>
    <row r="1199" spans="2:11" x14ac:dyDescent="0.25">
      <c r="B1199">
        <v>1317</v>
      </c>
      <c r="C1199">
        <v>72</v>
      </c>
      <c r="D1199">
        <v>35</v>
      </c>
      <c r="E1199">
        <v>6</v>
      </c>
      <c r="F1199">
        <v>3</v>
      </c>
      <c r="G1199">
        <v>20</v>
      </c>
      <c r="H1199">
        <v>1</v>
      </c>
      <c r="I1199">
        <v>0</v>
      </c>
      <c r="J1199">
        <v>24</v>
      </c>
      <c r="K1199" t="s">
        <v>241</v>
      </c>
    </row>
    <row r="1200" spans="2:11" x14ac:dyDescent="0.25">
      <c r="B1200">
        <v>1318</v>
      </c>
      <c r="C1200">
        <v>5</v>
      </c>
      <c r="D1200">
        <v>1</v>
      </c>
      <c r="E1200">
        <v>6</v>
      </c>
      <c r="F1200">
        <v>3</v>
      </c>
      <c r="G1200">
        <v>0</v>
      </c>
      <c r="H1200">
        <v>0</v>
      </c>
      <c r="I1200">
        <v>0</v>
      </c>
      <c r="J1200">
        <v>3</v>
      </c>
      <c r="K1200" t="s">
        <v>248</v>
      </c>
    </row>
    <row r="1201" spans="2:11" x14ac:dyDescent="0.25">
      <c r="B1201">
        <v>1319</v>
      </c>
      <c r="C1201">
        <v>71</v>
      </c>
      <c r="D1201">
        <v>35</v>
      </c>
      <c r="E1201">
        <v>6</v>
      </c>
      <c r="F1201">
        <v>9</v>
      </c>
      <c r="G1201">
        <v>11</v>
      </c>
      <c r="H1201">
        <v>2</v>
      </c>
      <c r="I1201">
        <v>0</v>
      </c>
      <c r="J1201">
        <v>22</v>
      </c>
      <c r="K1201" t="s">
        <v>242</v>
      </c>
    </row>
    <row r="1202" spans="2:11" x14ac:dyDescent="0.25">
      <c r="B1202">
        <v>1321</v>
      </c>
      <c r="C1202">
        <v>350</v>
      </c>
      <c r="D1202">
        <v>157</v>
      </c>
      <c r="E1202">
        <v>6</v>
      </c>
      <c r="F1202">
        <v>7</v>
      </c>
      <c r="G1202">
        <v>12</v>
      </c>
      <c r="H1202">
        <v>0</v>
      </c>
      <c r="I1202">
        <v>0</v>
      </c>
      <c r="J1202">
        <v>19</v>
      </c>
      <c r="K1202" t="s">
        <v>241</v>
      </c>
    </row>
    <row r="1203" spans="2:11" x14ac:dyDescent="0.25">
      <c r="B1203">
        <v>1322</v>
      </c>
      <c r="C1203">
        <v>349</v>
      </c>
      <c r="D1203">
        <v>156</v>
      </c>
      <c r="E1203">
        <v>6</v>
      </c>
      <c r="F1203">
        <v>4</v>
      </c>
      <c r="G1203">
        <v>7</v>
      </c>
      <c r="H1203">
        <v>0</v>
      </c>
      <c r="I1203">
        <v>0</v>
      </c>
      <c r="J1203">
        <v>11</v>
      </c>
      <c r="K1203" t="s">
        <v>248</v>
      </c>
    </row>
    <row r="1204" spans="2:11" x14ac:dyDescent="0.25">
      <c r="B1204">
        <v>1323</v>
      </c>
      <c r="C1204">
        <v>318</v>
      </c>
      <c r="D1204">
        <v>147</v>
      </c>
      <c r="E1204">
        <v>6</v>
      </c>
      <c r="F1204">
        <v>1</v>
      </c>
      <c r="G1204">
        <v>1</v>
      </c>
      <c r="H1204">
        <v>0</v>
      </c>
      <c r="I1204">
        <v>0</v>
      </c>
      <c r="J1204">
        <v>2</v>
      </c>
      <c r="K1204" t="s">
        <v>242</v>
      </c>
    </row>
    <row r="1205" spans="2:11" x14ac:dyDescent="0.25">
      <c r="B1205">
        <v>1324</v>
      </c>
      <c r="C1205">
        <v>308</v>
      </c>
      <c r="D1205">
        <v>143</v>
      </c>
      <c r="E1205">
        <v>7</v>
      </c>
      <c r="F1205">
        <v>8</v>
      </c>
      <c r="G1205">
        <v>13</v>
      </c>
      <c r="H1205">
        <v>0</v>
      </c>
      <c r="I1205">
        <v>0</v>
      </c>
      <c r="J1205">
        <v>21</v>
      </c>
      <c r="K1205" t="s">
        <v>243</v>
      </c>
    </row>
    <row r="1206" spans="2:11" x14ac:dyDescent="0.25">
      <c r="B1206">
        <v>1325</v>
      </c>
      <c r="C1206">
        <v>113</v>
      </c>
      <c r="D1206">
        <v>52</v>
      </c>
      <c r="E1206">
        <v>6</v>
      </c>
      <c r="F1206">
        <v>10</v>
      </c>
      <c r="G1206">
        <v>19</v>
      </c>
      <c r="H1206">
        <v>0</v>
      </c>
      <c r="I1206">
        <v>0</v>
      </c>
      <c r="J1206">
        <v>29</v>
      </c>
      <c r="K1206" t="s">
        <v>242</v>
      </c>
    </row>
    <row r="1207" spans="2:11" x14ac:dyDescent="0.25">
      <c r="B1207">
        <v>1326</v>
      </c>
      <c r="C1207">
        <v>287</v>
      </c>
      <c r="D1207">
        <v>133</v>
      </c>
      <c r="E1207">
        <v>7</v>
      </c>
      <c r="F1207">
        <v>2</v>
      </c>
      <c r="G1207">
        <v>1</v>
      </c>
      <c r="H1207">
        <v>0</v>
      </c>
      <c r="I1207">
        <v>0</v>
      </c>
      <c r="J1207">
        <v>3</v>
      </c>
      <c r="K1207" t="s">
        <v>243</v>
      </c>
    </row>
    <row r="1208" spans="2:11" x14ac:dyDescent="0.25">
      <c r="B1208">
        <v>1327</v>
      </c>
      <c r="C1208">
        <v>259</v>
      </c>
      <c r="D1208">
        <v>118</v>
      </c>
      <c r="E1208">
        <v>6</v>
      </c>
      <c r="F1208">
        <v>6</v>
      </c>
      <c r="G1208">
        <v>10</v>
      </c>
      <c r="H1208">
        <v>2</v>
      </c>
      <c r="I1208">
        <v>0</v>
      </c>
      <c r="J1208">
        <v>18</v>
      </c>
      <c r="K1208" t="s">
        <v>242</v>
      </c>
    </row>
    <row r="1209" spans="2:11" x14ac:dyDescent="0.25">
      <c r="B1209">
        <v>1328</v>
      </c>
      <c r="C1209">
        <v>238</v>
      </c>
      <c r="D1209">
        <v>105</v>
      </c>
      <c r="E1209">
        <v>6</v>
      </c>
      <c r="F1209">
        <v>7</v>
      </c>
      <c r="G1209">
        <v>2</v>
      </c>
      <c r="H1209">
        <v>0</v>
      </c>
      <c r="I1209">
        <v>0</v>
      </c>
      <c r="J1209">
        <v>9</v>
      </c>
      <c r="K1209" t="s">
        <v>242</v>
      </c>
    </row>
    <row r="1210" spans="2:11" x14ac:dyDescent="0.25">
      <c r="B1210">
        <v>1329</v>
      </c>
      <c r="C1210">
        <v>76</v>
      </c>
      <c r="D1210">
        <v>38</v>
      </c>
      <c r="E1210">
        <v>7</v>
      </c>
      <c r="F1210">
        <v>4</v>
      </c>
      <c r="G1210">
        <v>12</v>
      </c>
      <c r="H1210">
        <v>3</v>
      </c>
      <c r="I1210">
        <v>0</v>
      </c>
      <c r="J1210">
        <v>19</v>
      </c>
      <c r="K1210" t="s">
        <v>247</v>
      </c>
    </row>
    <row r="1211" spans="2:11" x14ac:dyDescent="0.25">
      <c r="B1211">
        <v>1330</v>
      </c>
      <c r="C1211">
        <v>240</v>
      </c>
      <c r="D1211">
        <v>107</v>
      </c>
      <c r="E1211">
        <v>6</v>
      </c>
      <c r="F1211">
        <v>6</v>
      </c>
      <c r="G1211">
        <v>2</v>
      </c>
      <c r="H1211">
        <v>0</v>
      </c>
      <c r="I1211">
        <v>0</v>
      </c>
      <c r="J1211">
        <v>8</v>
      </c>
      <c r="K1211" t="s">
        <v>242</v>
      </c>
    </row>
    <row r="1212" spans="2:11" x14ac:dyDescent="0.25">
      <c r="B1212">
        <v>1331</v>
      </c>
      <c r="C1212">
        <v>317</v>
      </c>
      <c r="D1212">
        <v>146</v>
      </c>
      <c r="E1212">
        <v>7</v>
      </c>
      <c r="F1212">
        <v>8</v>
      </c>
      <c r="G1212">
        <v>5</v>
      </c>
      <c r="H1212">
        <v>0</v>
      </c>
      <c r="I1212">
        <v>0</v>
      </c>
      <c r="J1212">
        <v>13</v>
      </c>
      <c r="K1212" t="s">
        <v>246</v>
      </c>
    </row>
    <row r="1213" spans="2:11" x14ac:dyDescent="0.25">
      <c r="B1213">
        <v>1332</v>
      </c>
      <c r="C1213">
        <v>331</v>
      </c>
      <c r="D1213">
        <v>152</v>
      </c>
      <c r="E1213">
        <v>7</v>
      </c>
      <c r="F1213">
        <v>0</v>
      </c>
      <c r="G1213">
        <v>30</v>
      </c>
      <c r="H1213">
        <v>0</v>
      </c>
      <c r="I1213">
        <v>0</v>
      </c>
      <c r="J1213">
        <v>30</v>
      </c>
      <c r="K1213" t="s">
        <v>241</v>
      </c>
    </row>
    <row r="1214" spans="2:11" x14ac:dyDescent="0.25">
      <c r="B1214">
        <v>1334</v>
      </c>
      <c r="C1214">
        <v>309</v>
      </c>
      <c r="D1214">
        <v>144</v>
      </c>
      <c r="E1214">
        <v>7</v>
      </c>
      <c r="F1214">
        <v>10</v>
      </c>
      <c r="G1214">
        <v>13</v>
      </c>
      <c r="H1214">
        <v>0</v>
      </c>
      <c r="I1214">
        <v>0</v>
      </c>
      <c r="J1214">
        <v>23</v>
      </c>
      <c r="K1214" t="s">
        <v>246</v>
      </c>
    </row>
    <row r="1215" spans="2:11" x14ac:dyDescent="0.25">
      <c r="B1215">
        <v>1336</v>
      </c>
      <c r="C1215">
        <v>286</v>
      </c>
      <c r="D1215">
        <v>133</v>
      </c>
      <c r="E1215">
        <v>7</v>
      </c>
      <c r="F1215">
        <v>9</v>
      </c>
      <c r="G1215">
        <v>1</v>
      </c>
      <c r="H1215">
        <v>0</v>
      </c>
      <c r="I1215">
        <v>0</v>
      </c>
      <c r="J1215">
        <v>10</v>
      </c>
      <c r="K1215" t="s">
        <v>246</v>
      </c>
    </row>
    <row r="1216" spans="2:11" x14ac:dyDescent="0.25">
      <c r="B1216">
        <v>1337</v>
      </c>
      <c r="C1216">
        <v>242</v>
      </c>
      <c r="D1216">
        <v>107</v>
      </c>
      <c r="E1216">
        <v>6</v>
      </c>
      <c r="F1216">
        <v>5</v>
      </c>
      <c r="G1216">
        <v>10</v>
      </c>
      <c r="H1216">
        <v>3</v>
      </c>
      <c r="I1216">
        <v>0</v>
      </c>
      <c r="J1216">
        <v>18</v>
      </c>
      <c r="K1216" t="s">
        <v>242</v>
      </c>
    </row>
    <row r="1217" spans="2:11" x14ac:dyDescent="0.25">
      <c r="B1217">
        <v>1340</v>
      </c>
      <c r="C1217">
        <v>129</v>
      </c>
      <c r="D1217">
        <v>57</v>
      </c>
      <c r="E1217">
        <v>6</v>
      </c>
      <c r="F1217">
        <v>9</v>
      </c>
      <c r="G1217">
        <v>2</v>
      </c>
      <c r="H1217">
        <v>0</v>
      </c>
      <c r="I1217">
        <v>0</v>
      </c>
      <c r="J1217">
        <v>11</v>
      </c>
      <c r="K1217" t="s">
        <v>241</v>
      </c>
    </row>
    <row r="1218" spans="2:11" x14ac:dyDescent="0.25">
      <c r="B1218">
        <v>1341</v>
      </c>
      <c r="C1218">
        <v>307</v>
      </c>
      <c r="D1218">
        <v>142</v>
      </c>
      <c r="E1218">
        <v>7</v>
      </c>
      <c r="F1218">
        <v>7</v>
      </c>
      <c r="G1218">
        <v>6</v>
      </c>
      <c r="H1218">
        <v>0</v>
      </c>
      <c r="I1218">
        <v>0</v>
      </c>
      <c r="J1218">
        <v>13</v>
      </c>
      <c r="K1218" t="s">
        <v>247</v>
      </c>
    </row>
    <row r="1219" spans="2:11" x14ac:dyDescent="0.25">
      <c r="B1219">
        <v>1342</v>
      </c>
      <c r="C1219">
        <v>310</v>
      </c>
      <c r="D1219">
        <v>144</v>
      </c>
      <c r="E1219">
        <v>7</v>
      </c>
      <c r="F1219">
        <v>18</v>
      </c>
      <c r="G1219">
        <v>11</v>
      </c>
      <c r="H1219">
        <v>0</v>
      </c>
      <c r="I1219">
        <v>0</v>
      </c>
      <c r="J1219">
        <v>29</v>
      </c>
      <c r="K1219" t="s">
        <v>246</v>
      </c>
    </row>
    <row r="1220" spans="2:11" x14ac:dyDescent="0.25">
      <c r="B1220">
        <v>1343</v>
      </c>
      <c r="C1220">
        <v>316</v>
      </c>
      <c r="D1220">
        <v>146</v>
      </c>
      <c r="E1220">
        <v>7</v>
      </c>
      <c r="F1220">
        <v>4</v>
      </c>
      <c r="G1220">
        <v>5</v>
      </c>
      <c r="H1220">
        <v>0</v>
      </c>
      <c r="I1220">
        <v>0</v>
      </c>
      <c r="J1220">
        <v>9</v>
      </c>
      <c r="K1220" t="s">
        <v>247</v>
      </c>
    </row>
    <row r="1221" spans="2:11" x14ac:dyDescent="0.25">
      <c r="B1221">
        <v>1344</v>
      </c>
      <c r="C1221">
        <v>145</v>
      </c>
      <c r="D1221">
        <v>65</v>
      </c>
      <c r="E1221">
        <v>7</v>
      </c>
      <c r="F1221">
        <v>14</v>
      </c>
      <c r="G1221">
        <v>9</v>
      </c>
      <c r="H1221">
        <v>0</v>
      </c>
      <c r="I1221">
        <v>0</v>
      </c>
      <c r="J1221">
        <v>23</v>
      </c>
      <c r="K1221" t="s">
        <v>245</v>
      </c>
    </row>
    <row r="1222" spans="2:11" x14ac:dyDescent="0.25">
      <c r="B1222">
        <v>1345</v>
      </c>
      <c r="C1222">
        <v>243</v>
      </c>
      <c r="D1222">
        <v>108</v>
      </c>
      <c r="E1222">
        <v>6</v>
      </c>
      <c r="F1222">
        <v>14</v>
      </c>
      <c r="G1222">
        <v>3</v>
      </c>
      <c r="H1222">
        <v>0</v>
      </c>
      <c r="I1222">
        <v>0</v>
      </c>
      <c r="J1222">
        <v>17</v>
      </c>
      <c r="K1222" t="s">
        <v>241</v>
      </c>
    </row>
    <row r="1223" spans="2:11" x14ac:dyDescent="0.25">
      <c r="B1223">
        <v>1346</v>
      </c>
      <c r="C1223">
        <v>330</v>
      </c>
      <c r="D1223">
        <v>152</v>
      </c>
      <c r="E1223">
        <v>7</v>
      </c>
      <c r="F1223">
        <v>10</v>
      </c>
      <c r="G1223">
        <v>18</v>
      </c>
      <c r="H1223">
        <v>0</v>
      </c>
      <c r="I1223">
        <v>0</v>
      </c>
      <c r="J1223">
        <v>28</v>
      </c>
      <c r="K1223" t="s">
        <v>246</v>
      </c>
    </row>
    <row r="1224" spans="2:11" x14ac:dyDescent="0.25">
      <c r="B1224">
        <v>1347</v>
      </c>
      <c r="C1224">
        <v>150</v>
      </c>
      <c r="D1224">
        <v>69</v>
      </c>
      <c r="E1224">
        <v>7</v>
      </c>
      <c r="F1224">
        <v>14</v>
      </c>
      <c r="G1224">
        <v>6</v>
      </c>
      <c r="H1224">
        <v>0</v>
      </c>
      <c r="I1224">
        <v>0</v>
      </c>
      <c r="J1224">
        <v>20</v>
      </c>
      <c r="K1224" t="s">
        <v>245</v>
      </c>
    </row>
    <row r="1225" spans="2:11" x14ac:dyDescent="0.25">
      <c r="B1225">
        <v>1348</v>
      </c>
      <c r="C1225">
        <v>316</v>
      </c>
      <c r="D1225">
        <v>146</v>
      </c>
      <c r="E1225">
        <v>8</v>
      </c>
      <c r="F1225">
        <v>1</v>
      </c>
      <c r="G1225">
        <v>3</v>
      </c>
      <c r="H1225">
        <v>0</v>
      </c>
      <c r="I1225">
        <v>0</v>
      </c>
      <c r="J1225">
        <v>4</v>
      </c>
      <c r="K1225" t="s">
        <v>245</v>
      </c>
    </row>
    <row r="1226" spans="2:11" x14ac:dyDescent="0.25">
      <c r="B1226">
        <v>1349</v>
      </c>
      <c r="C1226">
        <v>19</v>
      </c>
      <c r="D1226">
        <v>9</v>
      </c>
      <c r="E1226">
        <v>7</v>
      </c>
      <c r="F1226">
        <v>12</v>
      </c>
      <c r="G1226">
        <v>18</v>
      </c>
      <c r="H1226">
        <v>0</v>
      </c>
      <c r="I1226">
        <v>0</v>
      </c>
      <c r="J1226">
        <v>30</v>
      </c>
      <c r="K1226" t="s">
        <v>243</v>
      </c>
    </row>
    <row r="1227" spans="2:11" x14ac:dyDescent="0.25">
      <c r="B1227">
        <v>1350</v>
      </c>
      <c r="C1227">
        <v>260</v>
      </c>
      <c r="D1227">
        <v>118</v>
      </c>
      <c r="E1227">
        <v>7</v>
      </c>
      <c r="F1227">
        <v>18</v>
      </c>
      <c r="G1227">
        <v>7</v>
      </c>
      <c r="H1227">
        <v>2</v>
      </c>
      <c r="I1227">
        <v>0</v>
      </c>
      <c r="J1227">
        <v>27</v>
      </c>
      <c r="K1227" t="s">
        <v>243</v>
      </c>
    </row>
    <row r="1228" spans="2:11" x14ac:dyDescent="0.25">
      <c r="B1228">
        <v>1351</v>
      </c>
      <c r="C1228">
        <v>289</v>
      </c>
      <c r="D1228">
        <v>135</v>
      </c>
      <c r="E1228">
        <v>7</v>
      </c>
      <c r="F1228">
        <v>8</v>
      </c>
      <c r="G1228">
        <v>9</v>
      </c>
      <c r="H1228">
        <v>1</v>
      </c>
      <c r="I1228">
        <v>0</v>
      </c>
      <c r="J1228">
        <v>18</v>
      </c>
      <c r="K1228" t="s">
        <v>243</v>
      </c>
    </row>
    <row r="1229" spans="2:11" x14ac:dyDescent="0.25">
      <c r="B1229">
        <v>1352</v>
      </c>
      <c r="C1229">
        <v>58</v>
      </c>
      <c r="D1229">
        <v>29</v>
      </c>
      <c r="E1229">
        <v>5</v>
      </c>
      <c r="F1229">
        <v>16</v>
      </c>
      <c r="G1229">
        <v>6</v>
      </c>
      <c r="H1229">
        <v>0</v>
      </c>
      <c r="I1229">
        <v>0</v>
      </c>
      <c r="J1229">
        <v>22</v>
      </c>
      <c r="K1229" t="s">
        <v>246</v>
      </c>
    </row>
    <row r="1230" spans="2:11" x14ac:dyDescent="0.25">
      <c r="B1230">
        <v>1353</v>
      </c>
      <c r="C1230">
        <v>74</v>
      </c>
      <c r="D1230">
        <v>36</v>
      </c>
      <c r="E1230">
        <v>6</v>
      </c>
      <c r="F1230">
        <v>7</v>
      </c>
      <c r="G1230">
        <v>9</v>
      </c>
      <c r="H1230">
        <v>0</v>
      </c>
      <c r="I1230">
        <v>0</v>
      </c>
      <c r="J1230">
        <v>16</v>
      </c>
      <c r="K1230" t="s">
        <v>245</v>
      </c>
    </row>
    <row r="1231" spans="2:11" x14ac:dyDescent="0.25">
      <c r="B1231">
        <v>1354</v>
      </c>
      <c r="C1231">
        <v>130</v>
      </c>
      <c r="D1231">
        <v>58</v>
      </c>
      <c r="E1231">
        <v>5</v>
      </c>
      <c r="F1231">
        <v>7</v>
      </c>
      <c r="G1231">
        <v>6</v>
      </c>
      <c r="H1231">
        <v>0</v>
      </c>
      <c r="I1231">
        <v>0</v>
      </c>
      <c r="J1231">
        <v>13</v>
      </c>
      <c r="K1231" t="s">
        <v>246</v>
      </c>
    </row>
    <row r="1232" spans="2:11" x14ac:dyDescent="0.25">
      <c r="B1232">
        <v>1355</v>
      </c>
      <c r="C1232">
        <v>288</v>
      </c>
      <c r="D1232">
        <v>134</v>
      </c>
      <c r="E1232">
        <v>7</v>
      </c>
      <c r="F1232">
        <v>2</v>
      </c>
      <c r="G1232">
        <v>1</v>
      </c>
      <c r="H1232">
        <v>1</v>
      </c>
      <c r="I1232">
        <v>0</v>
      </c>
      <c r="J1232">
        <v>4</v>
      </c>
      <c r="K1232" t="s">
        <v>243</v>
      </c>
    </row>
    <row r="1233" spans="2:11" x14ac:dyDescent="0.25">
      <c r="B1233">
        <v>1356</v>
      </c>
      <c r="C1233">
        <v>75</v>
      </c>
      <c r="D1233">
        <v>37</v>
      </c>
      <c r="E1233">
        <v>6</v>
      </c>
      <c r="F1233">
        <v>7</v>
      </c>
      <c r="G1233">
        <v>5</v>
      </c>
      <c r="H1233">
        <v>6</v>
      </c>
      <c r="I1233">
        <v>0</v>
      </c>
      <c r="J1233">
        <v>18</v>
      </c>
      <c r="K1233" t="s">
        <v>245</v>
      </c>
    </row>
    <row r="1234" spans="2:11" x14ac:dyDescent="0.25">
      <c r="B1234">
        <v>1357</v>
      </c>
      <c r="C1234">
        <v>320</v>
      </c>
      <c r="D1234">
        <v>148</v>
      </c>
      <c r="E1234">
        <v>4</v>
      </c>
      <c r="F1234">
        <v>17</v>
      </c>
      <c r="G1234">
        <v>13</v>
      </c>
      <c r="H1234">
        <v>0</v>
      </c>
      <c r="I1234">
        <v>0</v>
      </c>
      <c r="J1234">
        <v>30</v>
      </c>
      <c r="K1234" t="s">
        <v>246</v>
      </c>
    </row>
    <row r="1235" spans="2:11" x14ac:dyDescent="0.25">
      <c r="B1235">
        <v>1358</v>
      </c>
      <c r="C1235">
        <v>130</v>
      </c>
      <c r="D1235">
        <v>58</v>
      </c>
      <c r="E1235">
        <v>6</v>
      </c>
      <c r="F1235">
        <v>10</v>
      </c>
      <c r="G1235">
        <v>8</v>
      </c>
      <c r="H1235">
        <v>0</v>
      </c>
      <c r="I1235">
        <v>0</v>
      </c>
      <c r="J1235">
        <v>18</v>
      </c>
      <c r="K1235" t="s">
        <v>241</v>
      </c>
    </row>
    <row r="1236" spans="2:11" x14ac:dyDescent="0.25">
      <c r="B1236">
        <v>1359</v>
      </c>
      <c r="C1236">
        <v>57</v>
      </c>
      <c r="D1236">
        <v>29</v>
      </c>
      <c r="E1236">
        <v>6</v>
      </c>
      <c r="F1236">
        <v>8</v>
      </c>
      <c r="G1236">
        <v>13</v>
      </c>
      <c r="H1236">
        <v>0</v>
      </c>
      <c r="I1236">
        <v>0</v>
      </c>
      <c r="J1236">
        <v>21</v>
      </c>
      <c r="K1236" t="s">
        <v>245</v>
      </c>
    </row>
    <row r="1237" spans="2:11" x14ac:dyDescent="0.25">
      <c r="B1237">
        <v>1360</v>
      </c>
      <c r="C1237">
        <v>320</v>
      </c>
      <c r="D1237">
        <v>148</v>
      </c>
      <c r="E1237">
        <v>3</v>
      </c>
      <c r="F1237">
        <v>10</v>
      </c>
      <c r="G1237">
        <v>20</v>
      </c>
      <c r="H1237">
        <v>0</v>
      </c>
      <c r="I1237">
        <v>0</v>
      </c>
      <c r="J1237">
        <v>30</v>
      </c>
      <c r="K1237" t="s">
        <v>246</v>
      </c>
    </row>
    <row r="1238" spans="2:11" x14ac:dyDescent="0.25">
      <c r="B1238">
        <v>1361</v>
      </c>
      <c r="C1238">
        <v>244</v>
      </c>
      <c r="D1238">
        <v>108</v>
      </c>
      <c r="E1238">
        <v>6</v>
      </c>
      <c r="F1238">
        <v>2</v>
      </c>
      <c r="G1238">
        <v>0</v>
      </c>
      <c r="H1238">
        <v>0</v>
      </c>
      <c r="I1238">
        <v>0</v>
      </c>
      <c r="J1238">
        <v>2</v>
      </c>
      <c r="K1238" t="s">
        <v>247</v>
      </c>
    </row>
    <row r="1239" spans="2:11" x14ac:dyDescent="0.25">
      <c r="B1239">
        <v>1362</v>
      </c>
      <c r="C1239">
        <v>118</v>
      </c>
      <c r="D1239">
        <v>55</v>
      </c>
      <c r="E1239">
        <v>6</v>
      </c>
      <c r="F1239">
        <v>8</v>
      </c>
      <c r="G1239">
        <v>3</v>
      </c>
      <c r="H1239">
        <v>0</v>
      </c>
      <c r="I1239">
        <v>0</v>
      </c>
      <c r="J1239">
        <v>11</v>
      </c>
      <c r="K1239" t="s">
        <v>241</v>
      </c>
    </row>
    <row r="1240" spans="2:11" x14ac:dyDescent="0.25">
      <c r="B1240">
        <v>1363</v>
      </c>
      <c r="C1240">
        <v>320</v>
      </c>
      <c r="D1240">
        <v>148</v>
      </c>
      <c r="E1240">
        <v>2</v>
      </c>
      <c r="F1240">
        <v>15</v>
      </c>
      <c r="G1240">
        <v>15</v>
      </c>
      <c r="H1240">
        <v>0</v>
      </c>
      <c r="I1240">
        <v>0</v>
      </c>
      <c r="J1240">
        <v>30</v>
      </c>
      <c r="K1240" t="s">
        <v>246</v>
      </c>
    </row>
    <row r="1241" spans="2:11" x14ac:dyDescent="0.25">
      <c r="B1241">
        <v>1364</v>
      </c>
      <c r="C1241">
        <v>58</v>
      </c>
      <c r="D1241">
        <v>29</v>
      </c>
      <c r="E1241">
        <v>6</v>
      </c>
      <c r="F1241">
        <v>12</v>
      </c>
      <c r="G1241">
        <v>5</v>
      </c>
      <c r="H1241">
        <v>0</v>
      </c>
      <c r="I1241">
        <v>0</v>
      </c>
      <c r="J1241">
        <v>17</v>
      </c>
      <c r="K1241" t="s">
        <v>245</v>
      </c>
    </row>
    <row r="1242" spans="2:11" x14ac:dyDescent="0.25">
      <c r="B1242">
        <v>1365</v>
      </c>
      <c r="C1242">
        <v>6</v>
      </c>
      <c r="D1242">
        <v>2</v>
      </c>
      <c r="E1242">
        <v>6</v>
      </c>
      <c r="F1242">
        <v>5</v>
      </c>
      <c r="G1242">
        <v>8</v>
      </c>
      <c r="H1242">
        <v>1</v>
      </c>
      <c r="I1242">
        <v>0</v>
      </c>
      <c r="J1242">
        <v>14</v>
      </c>
      <c r="K1242" t="s">
        <v>245</v>
      </c>
    </row>
    <row r="1243" spans="2:11" x14ac:dyDescent="0.25">
      <c r="B1243">
        <v>1367</v>
      </c>
      <c r="C1243">
        <v>33</v>
      </c>
      <c r="D1243">
        <v>17</v>
      </c>
      <c r="E1243">
        <v>7</v>
      </c>
      <c r="F1243">
        <v>8</v>
      </c>
      <c r="G1243">
        <v>12</v>
      </c>
      <c r="H1243">
        <v>0</v>
      </c>
      <c r="I1243">
        <v>0</v>
      </c>
      <c r="J1243">
        <v>20</v>
      </c>
      <c r="K1243" t="s">
        <v>242</v>
      </c>
    </row>
    <row r="1244" spans="2:11" x14ac:dyDescent="0.25">
      <c r="B1244">
        <v>1368</v>
      </c>
      <c r="C1244">
        <v>24</v>
      </c>
      <c r="D1244">
        <v>12</v>
      </c>
      <c r="E1244">
        <v>7</v>
      </c>
      <c r="F1244">
        <v>7</v>
      </c>
      <c r="G1244">
        <v>3</v>
      </c>
      <c r="H1244">
        <v>9</v>
      </c>
      <c r="I1244">
        <v>0</v>
      </c>
      <c r="J1244">
        <v>19</v>
      </c>
      <c r="K1244" t="s">
        <v>242</v>
      </c>
    </row>
    <row r="1245" spans="2:11" x14ac:dyDescent="0.25">
      <c r="B1245">
        <v>1371</v>
      </c>
      <c r="C1245">
        <v>22</v>
      </c>
      <c r="D1245">
        <v>10</v>
      </c>
      <c r="E1245">
        <v>7</v>
      </c>
      <c r="F1245">
        <v>4</v>
      </c>
      <c r="G1245">
        <v>8</v>
      </c>
      <c r="H1245">
        <v>0</v>
      </c>
      <c r="I1245">
        <v>0</v>
      </c>
      <c r="J1245">
        <v>12</v>
      </c>
      <c r="K1245" t="s">
        <v>242</v>
      </c>
    </row>
    <row r="1246" spans="2:11" x14ac:dyDescent="0.25">
      <c r="B1246">
        <v>1372</v>
      </c>
      <c r="C1246">
        <v>245</v>
      </c>
      <c r="D1246">
        <v>109</v>
      </c>
      <c r="E1246">
        <v>6</v>
      </c>
      <c r="F1246">
        <v>14</v>
      </c>
      <c r="G1246">
        <v>0</v>
      </c>
      <c r="H1246">
        <v>2</v>
      </c>
      <c r="I1246">
        <v>0</v>
      </c>
      <c r="J1246">
        <v>16</v>
      </c>
      <c r="K1246" t="s">
        <v>241</v>
      </c>
    </row>
    <row r="1247" spans="2:11" x14ac:dyDescent="0.25">
      <c r="B1247">
        <v>1374</v>
      </c>
      <c r="C1247">
        <v>6</v>
      </c>
      <c r="D1247">
        <v>2</v>
      </c>
      <c r="E1247">
        <v>7</v>
      </c>
      <c r="F1247">
        <v>14</v>
      </c>
      <c r="G1247">
        <v>1</v>
      </c>
      <c r="H1247">
        <v>0</v>
      </c>
      <c r="I1247">
        <v>0</v>
      </c>
      <c r="J1247">
        <v>15</v>
      </c>
      <c r="K1247" t="s">
        <v>243</v>
      </c>
    </row>
    <row r="1248" spans="2:11" x14ac:dyDescent="0.25">
      <c r="B1248">
        <v>1375</v>
      </c>
      <c r="C1248">
        <v>245</v>
      </c>
      <c r="D1248">
        <v>109</v>
      </c>
      <c r="E1248">
        <v>7</v>
      </c>
      <c r="F1248">
        <v>3</v>
      </c>
      <c r="G1248">
        <v>13</v>
      </c>
      <c r="H1248">
        <v>0</v>
      </c>
      <c r="I1248">
        <v>0</v>
      </c>
      <c r="J1248">
        <v>16</v>
      </c>
      <c r="K1248" t="s">
        <v>247</v>
      </c>
    </row>
    <row r="1249" spans="2:11" x14ac:dyDescent="0.25">
      <c r="B1249">
        <v>1376</v>
      </c>
      <c r="C1249">
        <v>78</v>
      </c>
      <c r="D1249">
        <v>40</v>
      </c>
      <c r="E1249">
        <v>7</v>
      </c>
      <c r="F1249">
        <v>8</v>
      </c>
      <c r="G1249">
        <v>3</v>
      </c>
      <c r="H1249">
        <v>2</v>
      </c>
      <c r="I1249">
        <v>0</v>
      </c>
      <c r="J1249">
        <v>13</v>
      </c>
      <c r="K1249" t="s">
        <v>242</v>
      </c>
    </row>
    <row r="1250" spans="2:11" x14ac:dyDescent="0.25">
      <c r="B1250">
        <v>1378</v>
      </c>
      <c r="C1250">
        <v>81</v>
      </c>
      <c r="D1250">
        <v>38</v>
      </c>
      <c r="E1250">
        <v>7</v>
      </c>
      <c r="F1250">
        <v>7</v>
      </c>
      <c r="G1250">
        <v>14</v>
      </c>
      <c r="H1250">
        <v>1</v>
      </c>
      <c r="I1250">
        <v>0</v>
      </c>
      <c r="J1250">
        <v>22</v>
      </c>
      <c r="K1250" t="s">
        <v>242</v>
      </c>
    </row>
    <row r="1251" spans="2:11" x14ac:dyDescent="0.25">
      <c r="B1251">
        <v>1379</v>
      </c>
      <c r="C1251">
        <v>332</v>
      </c>
      <c r="D1251">
        <v>152</v>
      </c>
      <c r="E1251">
        <v>7</v>
      </c>
      <c r="F1251">
        <v>4</v>
      </c>
      <c r="G1251">
        <v>26</v>
      </c>
      <c r="H1251">
        <v>0</v>
      </c>
      <c r="I1251">
        <v>0</v>
      </c>
      <c r="J1251">
        <v>30</v>
      </c>
      <c r="K1251" t="s">
        <v>245</v>
      </c>
    </row>
    <row r="1252" spans="2:11" x14ac:dyDescent="0.25">
      <c r="B1252">
        <v>1380</v>
      </c>
      <c r="C1252">
        <v>80</v>
      </c>
      <c r="D1252">
        <v>38</v>
      </c>
      <c r="E1252">
        <v>7</v>
      </c>
      <c r="F1252">
        <v>5</v>
      </c>
      <c r="G1252">
        <v>4</v>
      </c>
      <c r="H1252">
        <v>0</v>
      </c>
      <c r="I1252">
        <v>0</v>
      </c>
      <c r="J1252">
        <v>9</v>
      </c>
      <c r="K1252" t="s">
        <v>247</v>
      </c>
    </row>
    <row r="1253" spans="2:11" x14ac:dyDescent="0.25">
      <c r="B1253">
        <v>1381</v>
      </c>
      <c r="C1253">
        <v>118</v>
      </c>
      <c r="D1253">
        <v>55</v>
      </c>
      <c r="E1253">
        <v>7</v>
      </c>
      <c r="F1253">
        <v>12</v>
      </c>
      <c r="G1253">
        <v>5</v>
      </c>
      <c r="H1253">
        <v>0</v>
      </c>
      <c r="I1253">
        <v>0</v>
      </c>
      <c r="J1253">
        <v>17</v>
      </c>
      <c r="K1253" t="s">
        <v>243</v>
      </c>
    </row>
    <row r="1254" spans="2:11" x14ac:dyDescent="0.25">
      <c r="B1254">
        <v>1382</v>
      </c>
      <c r="C1254">
        <v>79</v>
      </c>
      <c r="D1254">
        <v>41</v>
      </c>
      <c r="E1254">
        <v>7</v>
      </c>
      <c r="F1254">
        <v>1</v>
      </c>
      <c r="G1254">
        <v>5</v>
      </c>
      <c r="H1254">
        <v>0</v>
      </c>
      <c r="I1254">
        <v>0</v>
      </c>
      <c r="J1254">
        <v>6</v>
      </c>
      <c r="K1254" t="s">
        <v>247</v>
      </c>
    </row>
    <row r="1255" spans="2:11" x14ac:dyDescent="0.25">
      <c r="B1255">
        <v>1383</v>
      </c>
      <c r="C1255">
        <v>297</v>
      </c>
      <c r="D1255">
        <v>136</v>
      </c>
      <c r="E1255">
        <v>7</v>
      </c>
      <c r="F1255">
        <v>6</v>
      </c>
      <c r="G1255">
        <v>5</v>
      </c>
      <c r="H1255">
        <v>0</v>
      </c>
      <c r="I1255">
        <v>0</v>
      </c>
      <c r="J1255">
        <v>11</v>
      </c>
      <c r="K1255" t="s">
        <v>246</v>
      </c>
    </row>
    <row r="1256" spans="2:11" x14ac:dyDescent="0.25">
      <c r="B1256">
        <v>1384</v>
      </c>
      <c r="C1256">
        <v>56</v>
      </c>
      <c r="D1256">
        <v>29</v>
      </c>
      <c r="E1256">
        <v>7</v>
      </c>
      <c r="F1256">
        <v>16</v>
      </c>
      <c r="G1256">
        <v>8</v>
      </c>
      <c r="H1256">
        <v>0</v>
      </c>
      <c r="I1256">
        <v>0</v>
      </c>
      <c r="J1256">
        <v>24</v>
      </c>
      <c r="K1256" t="s">
        <v>247</v>
      </c>
    </row>
    <row r="1257" spans="2:11" x14ac:dyDescent="0.25">
      <c r="B1257">
        <v>1385</v>
      </c>
      <c r="C1257">
        <v>57</v>
      </c>
      <c r="D1257">
        <v>29</v>
      </c>
      <c r="E1257">
        <v>7</v>
      </c>
      <c r="F1257">
        <v>13</v>
      </c>
      <c r="G1257">
        <v>16</v>
      </c>
      <c r="H1257">
        <v>0</v>
      </c>
      <c r="I1257">
        <v>0</v>
      </c>
      <c r="J1257">
        <v>29</v>
      </c>
      <c r="K1257" t="s">
        <v>247</v>
      </c>
    </row>
    <row r="1258" spans="2:11" x14ac:dyDescent="0.25">
      <c r="B1258">
        <v>1386</v>
      </c>
      <c r="C1258">
        <v>264</v>
      </c>
      <c r="D1258">
        <v>118</v>
      </c>
      <c r="E1258">
        <v>7</v>
      </c>
      <c r="F1258">
        <v>8</v>
      </c>
      <c r="G1258">
        <v>8</v>
      </c>
      <c r="H1258">
        <v>1</v>
      </c>
      <c r="I1258">
        <v>0</v>
      </c>
      <c r="J1258">
        <v>17</v>
      </c>
      <c r="K1258" t="s">
        <v>243</v>
      </c>
    </row>
    <row r="1259" spans="2:11" x14ac:dyDescent="0.25">
      <c r="B1259">
        <v>1387</v>
      </c>
      <c r="C1259">
        <v>265</v>
      </c>
      <c r="D1259">
        <v>118</v>
      </c>
      <c r="E1259">
        <v>7</v>
      </c>
      <c r="F1259">
        <v>5</v>
      </c>
      <c r="G1259">
        <v>0</v>
      </c>
      <c r="H1259">
        <v>1</v>
      </c>
      <c r="I1259">
        <v>0</v>
      </c>
      <c r="J1259">
        <v>6</v>
      </c>
      <c r="K1259" t="s">
        <v>243</v>
      </c>
    </row>
    <row r="1260" spans="2:11" x14ac:dyDescent="0.25">
      <c r="B1260">
        <v>4504</v>
      </c>
      <c r="C1260">
        <v>131</v>
      </c>
      <c r="D1260">
        <v>59</v>
      </c>
      <c r="E1260">
        <v>16</v>
      </c>
      <c r="F1260">
        <v>1</v>
      </c>
      <c r="G1260">
        <v>5</v>
      </c>
      <c r="H1260">
        <v>0</v>
      </c>
      <c r="I1260">
        <v>0</v>
      </c>
      <c r="J1260">
        <v>6</v>
      </c>
      <c r="K1260" t="s">
        <v>250</v>
      </c>
    </row>
    <row r="1261" spans="2:11" x14ac:dyDescent="0.25">
      <c r="B1261">
        <v>5356</v>
      </c>
      <c r="C1261">
        <v>187</v>
      </c>
      <c r="D1261">
        <v>81</v>
      </c>
      <c r="E1261">
        <v>9</v>
      </c>
      <c r="F1261">
        <v>0</v>
      </c>
      <c r="G1261">
        <v>17</v>
      </c>
      <c r="H1261">
        <v>0</v>
      </c>
      <c r="I1261">
        <v>0</v>
      </c>
      <c r="J1261">
        <v>17</v>
      </c>
      <c r="K1261" t="s">
        <v>241</v>
      </c>
    </row>
    <row r="1262" spans="2:11" x14ac:dyDescent="0.25">
      <c r="B1262">
        <v>5360</v>
      </c>
      <c r="C1262">
        <v>104</v>
      </c>
      <c r="D1262">
        <v>51</v>
      </c>
      <c r="E1262">
        <v>17</v>
      </c>
      <c r="F1262">
        <v>24</v>
      </c>
      <c r="G1262">
        <v>2</v>
      </c>
      <c r="H1262">
        <v>0</v>
      </c>
      <c r="I1262">
        <v>0</v>
      </c>
      <c r="J1262">
        <v>26</v>
      </c>
      <c r="K1262" t="s">
        <v>252</v>
      </c>
    </row>
    <row r="1263" spans="2:11" x14ac:dyDescent="0.25">
      <c r="B1263">
        <v>5361</v>
      </c>
      <c r="C1263">
        <v>199</v>
      </c>
      <c r="D1263">
        <v>87</v>
      </c>
      <c r="E1263">
        <v>13</v>
      </c>
      <c r="F1263">
        <v>1</v>
      </c>
      <c r="G1263">
        <v>3</v>
      </c>
      <c r="H1263">
        <v>0</v>
      </c>
      <c r="I1263">
        <v>0</v>
      </c>
      <c r="J1263">
        <v>4</v>
      </c>
      <c r="K1263" t="s">
        <v>246</v>
      </c>
    </row>
    <row r="1264" spans="2:11" x14ac:dyDescent="0.25">
      <c r="B1264">
        <v>5362</v>
      </c>
      <c r="C1264">
        <v>187</v>
      </c>
      <c r="D1264">
        <v>81</v>
      </c>
      <c r="E1264">
        <v>10</v>
      </c>
      <c r="F1264">
        <v>1</v>
      </c>
      <c r="G1264">
        <v>15</v>
      </c>
      <c r="H1264">
        <v>0</v>
      </c>
      <c r="I1264">
        <v>0</v>
      </c>
      <c r="J1264">
        <v>16</v>
      </c>
      <c r="K1264" t="s">
        <v>241</v>
      </c>
    </row>
    <row r="1265" spans="2:11" x14ac:dyDescent="0.25">
      <c r="B1265">
        <v>5363</v>
      </c>
      <c r="C1265">
        <v>215</v>
      </c>
      <c r="D1265">
        <v>94</v>
      </c>
      <c r="E1265">
        <v>12</v>
      </c>
      <c r="F1265">
        <v>1</v>
      </c>
      <c r="G1265">
        <v>1</v>
      </c>
      <c r="H1265">
        <v>0</v>
      </c>
      <c r="I1265">
        <v>0</v>
      </c>
      <c r="J1265">
        <v>2</v>
      </c>
      <c r="K1265" t="s">
        <v>245</v>
      </c>
    </row>
    <row r="1266" spans="2:11" x14ac:dyDescent="0.25">
      <c r="B1266">
        <v>5364</v>
      </c>
      <c r="C1266">
        <v>193</v>
      </c>
      <c r="D1266">
        <v>84</v>
      </c>
      <c r="E1266">
        <v>5</v>
      </c>
      <c r="F1266">
        <v>15</v>
      </c>
      <c r="G1266">
        <v>15</v>
      </c>
      <c r="H1266">
        <v>0</v>
      </c>
      <c r="I1266">
        <v>0</v>
      </c>
      <c r="J1266">
        <v>30</v>
      </c>
      <c r="K1266" t="s">
        <v>247</v>
      </c>
    </row>
    <row r="1267" spans="2:11" x14ac:dyDescent="0.25">
      <c r="B1267">
        <v>5365</v>
      </c>
      <c r="C1267">
        <v>199</v>
      </c>
      <c r="D1267">
        <v>87</v>
      </c>
      <c r="E1267">
        <v>14</v>
      </c>
      <c r="F1267">
        <v>1</v>
      </c>
      <c r="G1267">
        <v>1</v>
      </c>
      <c r="H1267">
        <v>0</v>
      </c>
      <c r="I1267">
        <v>0</v>
      </c>
      <c r="J1267">
        <v>2</v>
      </c>
      <c r="K1267" t="s">
        <v>246</v>
      </c>
    </row>
    <row r="1268" spans="2:11" x14ac:dyDescent="0.25">
      <c r="B1268">
        <v>1390</v>
      </c>
      <c r="C1268">
        <v>300</v>
      </c>
      <c r="D1268">
        <v>138</v>
      </c>
      <c r="E1268">
        <v>7</v>
      </c>
      <c r="F1268">
        <v>4</v>
      </c>
      <c r="G1268">
        <v>6</v>
      </c>
      <c r="H1268">
        <v>0</v>
      </c>
      <c r="I1268">
        <v>0</v>
      </c>
      <c r="J1268">
        <v>10</v>
      </c>
      <c r="K1268" t="s">
        <v>246</v>
      </c>
    </row>
    <row r="1269" spans="2:11" x14ac:dyDescent="0.25">
      <c r="B1269">
        <v>1391</v>
      </c>
      <c r="C1269">
        <v>298</v>
      </c>
      <c r="D1269">
        <v>137</v>
      </c>
      <c r="E1269">
        <v>7</v>
      </c>
      <c r="F1269">
        <v>0</v>
      </c>
      <c r="G1269">
        <v>8</v>
      </c>
      <c r="H1269">
        <v>0</v>
      </c>
      <c r="I1269">
        <v>0</v>
      </c>
      <c r="J1269">
        <v>8</v>
      </c>
      <c r="K1269" t="s">
        <v>246</v>
      </c>
    </row>
    <row r="1270" spans="2:11" x14ac:dyDescent="0.25">
      <c r="B1270">
        <v>1394</v>
      </c>
      <c r="C1270">
        <v>131</v>
      </c>
      <c r="D1270">
        <v>59</v>
      </c>
      <c r="E1270">
        <v>6</v>
      </c>
      <c r="F1270">
        <v>1</v>
      </c>
      <c r="G1270">
        <v>7</v>
      </c>
      <c r="H1270">
        <v>0</v>
      </c>
      <c r="I1270">
        <v>0</v>
      </c>
      <c r="J1270">
        <v>8</v>
      </c>
      <c r="K1270" t="s">
        <v>247</v>
      </c>
    </row>
    <row r="1271" spans="2:11" x14ac:dyDescent="0.25">
      <c r="B1271">
        <v>1395</v>
      </c>
      <c r="C1271">
        <v>169</v>
      </c>
      <c r="D1271">
        <v>73</v>
      </c>
      <c r="E1271">
        <v>6</v>
      </c>
      <c r="F1271">
        <v>11</v>
      </c>
      <c r="G1271">
        <v>7</v>
      </c>
      <c r="H1271">
        <v>0</v>
      </c>
      <c r="I1271">
        <v>0</v>
      </c>
      <c r="J1271">
        <v>18</v>
      </c>
      <c r="K1271" t="s">
        <v>247</v>
      </c>
    </row>
    <row r="1272" spans="2:11" x14ac:dyDescent="0.25">
      <c r="B1272">
        <v>1396</v>
      </c>
      <c r="C1272">
        <v>334</v>
      </c>
      <c r="D1272">
        <v>152</v>
      </c>
      <c r="E1272">
        <v>7</v>
      </c>
      <c r="F1272">
        <v>12</v>
      </c>
      <c r="G1272">
        <v>14</v>
      </c>
      <c r="H1272">
        <v>0</v>
      </c>
      <c r="I1272">
        <v>0</v>
      </c>
      <c r="J1272">
        <v>26</v>
      </c>
      <c r="K1272" t="s">
        <v>246</v>
      </c>
    </row>
    <row r="1273" spans="2:11" x14ac:dyDescent="0.25">
      <c r="B1273">
        <v>1397</v>
      </c>
      <c r="C1273">
        <v>8</v>
      </c>
      <c r="D1273">
        <v>3</v>
      </c>
      <c r="E1273">
        <v>6</v>
      </c>
      <c r="F1273">
        <v>10</v>
      </c>
      <c r="G1273">
        <v>12</v>
      </c>
      <c r="H1273">
        <v>2</v>
      </c>
      <c r="I1273">
        <v>0</v>
      </c>
      <c r="J1273">
        <v>24</v>
      </c>
      <c r="K1273" t="s">
        <v>247</v>
      </c>
    </row>
    <row r="1274" spans="2:11" x14ac:dyDescent="0.25">
      <c r="B1274">
        <v>1398</v>
      </c>
      <c r="C1274">
        <v>336</v>
      </c>
      <c r="D1274">
        <v>152</v>
      </c>
      <c r="E1274">
        <v>7</v>
      </c>
      <c r="F1274">
        <v>13</v>
      </c>
      <c r="G1274">
        <v>16</v>
      </c>
      <c r="H1274">
        <v>1</v>
      </c>
      <c r="I1274">
        <v>0</v>
      </c>
      <c r="J1274">
        <v>30</v>
      </c>
      <c r="K1274" t="s">
        <v>241</v>
      </c>
    </row>
    <row r="1275" spans="2:11" x14ac:dyDescent="0.25">
      <c r="B1275">
        <v>1399</v>
      </c>
      <c r="C1275">
        <v>84</v>
      </c>
      <c r="D1275">
        <v>41</v>
      </c>
      <c r="E1275">
        <v>7</v>
      </c>
      <c r="F1275">
        <v>5</v>
      </c>
      <c r="G1275">
        <v>4</v>
      </c>
      <c r="H1275">
        <v>0</v>
      </c>
      <c r="I1275">
        <v>0</v>
      </c>
      <c r="J1275">
        <v>9</v>
      </c>
      <c r="K1275" t="s">
        <v>246</v>
      </c>
    </row>
    <row r="1276" spans="2:11" x14ac:dyDescent="0.25">
      <c r="B1276">
        <v>1400</v>
      </c>
      <c r="C1276">
        <v>335</v>
      </c>
      <c r="D1276">
        <v>152</v>
      </c>
      <c r="E1276">
        <v>7</v>
      </c>
      <c r="F1276">
        <v>9</v>
      </c>
      <c r="G1276">
        <v>14</v>
      </c>
      <c r="H1276">
        <v>0</v>
      </c>
      <c r="I1276">
        <v>0</v>
      </c>
      <c r="J1276">
        <v>23</v>
      </c>
      <c r="K1276" t="s">
        <v>247</v>
      </c>
    </row>
    <row r="1277" spans="2:11" x14ac:dyDescent="0.25">
      <c r="B1277">
        <v>1401</v>
      </c>
      <c r="C1277">
        <v>291</v>
      </c>
      <c r="D1277">
        <v>135</v>
      </c>
      <c r="E1277">
        <v>7</v>
      </c>
      <c r="F1277">
        <v>22</v>
      </c>
      <c r="G1277">
        <v>1</v>
      </c>
      <c r="H1277">
        <v>1</v>
      </c>
      <c r="I1277">
        <v>0</v>
      </c>
      <c r="J1277">
        <v>24</v>
      </c>
      <c r="K1277" t="s">
        <v>241</v>
      </c>
    </row>
    <row r="1278" spans="2:11" x14ac:dyDescent="0.25">
      <c r="B1278">
        <v>1403</v>
      </c>
      <c r="C1278">
        <v>120</v>
      </c>
      <c r="D1278">
        <v>55</v>
      </c>
      <c r="E1278">
        <v>6</v>
      </c>
      <c r="F1278">
        <v>27</v>
      </c>
      <c r="G1278">
        <v>1</v>
      </c>
      <c r="H1278">
        <v>0</v>
      </c>
      <c r="I1278">
        <v>0</v>
      </c>
      <c r="J1278">
        <v>28</v>
      </c>
      <c r="K1278" t="s">
        <v>246</v>
      </c>
    </row>
    <row r="1279" spans="2:11" x14ac:dyDescent="0.25">
      <c r="B1279">
        <v>1404</v>
      </c>
      <c r="C1279">
        <v>26</v>
      </c>
      <c r="D1279">
        <v>14</v>
      </c>
      <c r="E1279">
        <v>7</v>
      </c>
      <c r="F1279">
        <v>12</v>
      </c>
      <c r="G1279">
        <v>4</v>
      </c>
      <c r="H1279">
        <v>4</v>
      </c>
      <c r="I1279">
        <v>0</v>
      </c>
      <c r="J1279">
        <v>20</v>
      </c>
      <c r="K1279" t="s">
        <v>241</v>
      </c>
    </row>
    <row r="1280" spans="2:11" x14ac:dyDescent="0.25">
      <c r="B1280">
        <v>1406</v>
      </c>
      <c r="C1280">
        <v>162</v>
      </c>
      <c r="D1280">
        <v>69</v>
      </c>
      <c r="E1280">
        <v>7</v>
      </c>
      <c r="F1280">
        <v>6</v>
      </c>
      <c r="G1280">
        <v>4</v>
      </c>
      <c r="H1280">
        <v>0</v>
      </c>
      <c r="I1280">
        <v>0</v>
      </c>
      <c r="J1280">
        <v>10</v>
      </c>
      <c r="K1280" t="s">
        <v>248</v>
      </c>
    </row>
    <row r="1281" spans="2:11" x14ac:dyDescent="0.25">
      <c r="B1281">
        <v>1407</v>
      </c>
      <c r="C1281">
        <v>266</v>
      </c>
      <c r="D1281">
        <v>118</v>
      </c>
      <c r="E1281">
        <v>6</v>
      </c>
      <c r="F1281">
        <v>12</v>
      </c>
      <c r="G1281">
        <v>12</v>
      </c>
      <c r="H1281">
        <v>0</v>
      </c>
      <c r="I1281">
        <v>0</v>
      </c>
      <c r="J1281">
        <v>24</v>
      </c>
      <c r="K1281" t="s">
        <v>246</v>
      </c>
    </row>
    <row r="1282" spans="2:11" x14ac:dyDescent="0.25">
      <c r="B1282">
        <v>1408</v>
      </c>
      <c r="C1282">
        <v>337</v>
      </c>
      <c r="D1282">
        <v>152</v>
      </c>
      <c r="E1282">
        <v>7</v>
      </c>
      <c r="F1282">
        <v>12</v>
      </c>
      <c r="G1282">
        <v>18</v>
      </c>
      <c r="H1282">
        <v>0</v>
      </c>
      <c r="I1282">
        <v>0</v>
      </c>
      <c r="J1282">
        <v>30</v>
      </c>
      <c r="K1282" t="s">
        <v>247</v>
      </c>
    </row>
    <row r="1283" spans="2:11" x14ac:dyDescent="0.25">
      <c r="B1283">
        <v>1409</v>
      </c>
      <c r="C1283">
        <v>320</v>
      </c>
      <c r="D1283">
        <v>148</v>
      </c>
      <c r="E1283">
        <v>6</v>
      </c>
      <c r="F1283">
        <v>14</v>
      </c>
      <c r="G1283">
        <v>16</v>
      </c>
      <c r="H1283">
        <v>0</v>
      </c>
      <c r="I1283">
        <v>0</v>
      </c>
      <c r="J1283">
        <v>30</v>
      </c>
      <c r="K1283" t="s">
        <v>246</v>
      </c>
    </row>
    <row r="1284" spans="2:11" x14ac:dyDescent="0.25">
      <c r="B1284">
        <v>1410</v>
      </c>
      <c r="C1284">
        <v>165</v>
      </c>
      <c r="D1284">
        <v>71</v>
      </c>
      <c r="E1284">
        <v>7</v>
      </c>
      <c r="F1284">
        <v>7</v>
      </c>
      <c r="G1284">
        <v>5</v>
      </c>
      <c r="H1284">
        <v>0</v>
      </c>
      <c r="I1284">
        <v>0</v>
      </c>
      <c r="J1284">
        <v>12</v>
      </c>
      <c r="K1284" t="s">
        <v>248</v>
      </c>
    </row>
    <row r="1285" spans="2:11" x14ac:dyDescent="0.25">
      <c r="B1285">
        <v>1411</v>
      </c>
      <c r="C1285">
        <v>262</v>
      </c>
      <c r="D1285">
        <v>118</v>
      </c>
      <c r="E1285">
        <v>7</v>
      </c>
      <c r="F1285">
        <v>5</v>
      </c>
      <c r="G1285">
        <v>10</v>
      </c>
      <c r="H1285">
        <v>1</v>
      </c>
      <c r="I1285">
        <v>0</v>
      </c>
      <c r="J1285">
        <v>16</v>
      </c>
      <c r="K1285" t="s">
        <v>248</v>
      </c>
    </row>
    <row r="1286" spans="2:11" x14ac:dyDescent="0.25">
      <c r="B1286">
        <v>1412</v>
      </c>
      <c r="C1286">
        <v>166</v>
      </c>
      <c r="D1286">
        <v>71</v>
      </c>
      <c r="E1286">
        <v>7</v>
      </c>
      <c r="F1286">
        <v>5</v>
      </c>
      <c r="G1286">
        <v>7</v>
      </c>
      <c r="H1286">
        <v>0</v>
      </c>
      <c r="I1286">
        <v>0</v>
      </c>
      <c r="J1286">
        <v>12</v>
      </c>
      <c r="K1286" t="s">
        <v>247</v>
      </c>
    </row>
    <row r="1287" spans="2:11" x14ac:dyDescent="0.25">
      <c r="B1287">
        <v>1414</v>
      </c>
      <c r="C1287">
        <v>269</v>
      </c>
      <c r="D1287">
        <v>121</v>
      </c>
      <c r="E1287">
        <v>7</v>
      </c>
      <c r="F1287">
        <v>11</v>
      </c>
      <c r="G1287">
        <v>9</v>
      </c>
      <c r="H1287">
        <v>0</v>
      </c>
      <c r="I1287">
        <v>0</v>
      </c>
      <c r="J1287">
        <v>20</v>
      </c>
      <c r="K1287" t="s">
        <v>247</v>
      </c>
    </row>
    <row r="1288" spans="2:11" x14ac:dyDescent="0.25">
      <c r="B1288">
        <v>1415</v>
      </c>
      <c r="C1288">
        <v>292</v>
      </c>
      <c r="D1288">
        <v>135</v>
      </c>
      <c r="E1288">
        <v>7</v>
      </c>
      <c r="F1288">
        <v>30</v>
      </c>
      <c r="G1288">
        <v>0</v>
      </c>
      <c r="H1288">
        <v>0</v>
      </c>
      <c r="I1288">
        <v>0</v>
      </c>
      <c r="J1288">
        <v>30</v>
      </c>
      <c r="K1288" t="s">
        <v>247</v>
      </c>
    </row>
    <row r="1289" spans="2:11" x14ac:dyDescent="0.25">
      <c r="B1289">
        <v>1416</v>
      </c>
      <c r="C1289">
        <v>268</v>
      </c>
      <c r="D1289">
        <v>120</v>
      </c>
      <c r="E1289">
        <v>7</v>
      </c>
      <c r="F1289">
        <v>17</v>
      </c>
      <c r="G1289">
        <v>5</v>
      </c>
      <c r="H1289">
        <v>1</v>
      </c>
      <c r="I1289">
        <v>0</v>
      </c>
      <c r="J1289">
        <v>23</v>
      </c>
      <c r="K1289" t="s">
        <v>241</v>
      </c>
    </row>
    <row r="1290" spans="2:11" x14ac:dyDescent="0.25">
      <c r="B1290">
        <v>1417</v>
      </c>
      <c r="C1290">
        <v>114</v>
      </c>
      <c r="D1290">
        <v>52</v>
      </c>
      <c r="E1290">
        <v>7</v>
      </c>
      <c r="F1290">
        <v>18</v>
      </c>
      <c r="G1290">
        <v>10</v>
      </c>
      <c r="H1290">
        <v>2</v>
      </c>
      <c r="I1290">
        <v>0</v>
      </c>
      <c r="J1290">
        <v>30</v>
      </c>
      <c r="K1290" t="s">
        <v>248</v>
      </c>
    </row>
    <row r="1291" spans="2:11" x14ac:dyDescent="0.25">
      <c r="B1291">
        <v>1419</v>
      </c>
      <c r="C1291">
        <v>106</v>
      </c>
      <c r="D1291">
        <v>51</v>
      </c>
      <c r="E1291">
        <v>6</v>
      </c>
      <c r="F1291">
        <v>25</v>
      </c>
      <c r="G1291">
        <v>4</v>
      </c>
      <c r="H1291">
        <v>1</v>
      </c>
      <c r="I1291">
        <v>0</v>
      </c>
      <c r="J1291">
        <v>30</v>
      </c>
      <c r="K1291" t="s">
        <v>242</v>
      </c>
    </row>
    <row r="1292" spans="2:11" x14ac:dyDescent="0.25">
      <c r="B1292">
        <v>1421</v>
      </c>
      <c r="C1292">
        <v>313</v>
      </c>
      <c r="D1292">
        <v>144</v>
      </c>
      <c r="E1292">
        <v>7</v>
      </c>
      <c r="F1292">
        <v>7</v>
      </c>
      <c r="G1292">
        <v>4</v>
      </c>
      <c r="H1292">
        <v>0</v>
      </c>
      <c r="I1292">
        <v>0</v>
      </c>
      <c r="J1292">
        <v>11</v>
      </c>
      <c r="K1292" t="s">
        <v>247</v>
      </c>
    </row>
    <row r="1293" spans="2:11" x14ac:dyDescent="0.25">
      <c r="B1293">
        <v>1422</v>
      </c>
      <c r="C1293">
        <v>268</v>
      </c>
      <c r="D1293">
        <v>120</v>
      </c>
      <c r="E1293">
        <v>6</v>
      </c>
      <c r="F1293">
        <v>10</v>
      </c>
      <c r="G1293">
        <v>19</v>
      </c>
      <c r="H1293">
        <v>0</v>
      </c>
      <c r="I1293">
        <v>0</v>
      </c>
      <c r="J1293">
        <v>29</v>
      </c>
      <c r="K1293" t="s">
        <v>242</v>
      </c>
    </row>
    <row r="1294" spans="2:11" x14ac:dyDescent="0.25">
      <c r="B1294">
        <v>1423</v>
      </c>
      <c r="C1294">
        <v>136</v>
      </c>
      <c r="D1294">
        <v>60</v>
      </c>
      <c r="E1294">
        <v>8</v>
      </c>
      <c r="F1294">
        <v>10</v>
      </c>
      <c r="G1294">
        <v>2</v>
      </c>
      <c r="H1294">
        <v>7</v>
      </c>
      <c r="I1294">
        <v>0</v>
      </c>
      <c r="J1294">
        <v>19</v>
      </c>
      <c r="K1294" t="s">
        <v>246</v>
      </c>
    </row>
    <row r="1295" spans="2:11" x14ac:dyDescent="0.25">
      <c r="B1295">
        <v>1424</v>
      </c>
      <c r="C1295">
        <v>238</v>
      </c>
      <c r="D1295">
        <v>105</v>
      </c>
      <c r="E1295">
        <v>7</v>
      </c>
      <c r="F1295">
        <v>10</v>
      </c>
      <c r="G1295">
        <v>3</v>
      </c>
      <c r="H1295">
        <v>2</v>
      </c>
      <c r="I1295">
        <v>0</v>
      </c>
      <c r="J1295">
        <v>15</v>
      </c>
      <c r="K1295" t="s">
        <v>247</v>
      </c>
    </row>
    <row r="1296" spans="2:11" x14ac:dyDescent="0.25">
      <c r="B1296">
        <v>1425</v>
      </c>
      <c r="C1296">
        <v>269</v>
      </c>
      <c r="D1296">
        <v>121</v>
      </c>
      <c r="E1296">
        <v>6</v>
      </c>
      <c r="F1296">
        <v>4</v>
      </c>
      <c r="G1296">
        <v>11</v>
      </c>
      <c r="H1296">
        <v>0</v>
      </c>
      <c r="I1296">
        <v>0</v>
      </c>
      <c r="J1296">
        <v>15</v>
      </c>
      <c r="K1296" t="s">
        <v>242</v>
      </c>
    </row>
    <row r="1297" spans="2:11" x14ac:dyDescent="0.25">
      <c r="B1297">
        <v>1426</v>
      </c>
      <c r="C1297">
        <v>85</v>
      </c>
      <c r="D1297">
        <v>41</v>
      </c>
      <c r="E1297">
        <v>7</v>
      </c>
      <c r="F1297">
        <v>15</v>
      </c>
      <c r="G1297">
        <v>3</v>
      </c>
      <c r="H1297">
        <v>1</v>
      </c>
      <c r="I1297">
        <v>0</v>
      </c>
      <c r="J1297">
        <v>19</v>
      </c>
      <c r="K1297" t="s">
        <v>247</v>
      </c>
    </row>
    <row r="1298" spans="2:11" x14ac:dyDescent="0.25">
      <c r="B1298">
        <v>1427</v>
      </c>
      <c r="C1298">
        <v>61</v>
      </c>
      <c r="D1298">
        <v>32</v>
      </c>
      <c r="E1298">
        <v>7</v>
      </c>
      <c r="F1298">
        <v>16</v>
      </c>
      <c r="G1298">
        <v>8</v>
      </c>
      <c r="H1298">
        <v>3</v>
      </c>
      <c r="I1298">
        <v>0</v>
      </c>
      <c r="J1298">
        <v>27</v>
      </c>
      <c r="K1298" t="s">
        <v>247</v>
      </c>
    </row>
    <row r="1299" spans="2:11" x14ac:dyDescent="0.25">
      <c r="B1299">
        <v>1428</v>
      </c>
      <c r="C1299">
        <v>237</v>
      </c>
      <c r="D1299">
        <v>104</v>
      </c>
      <c r="E1299">
        <v>6</v>
      </c>
      <c r="F1299">
        <v>17</v>
      </c>
      <c r="G1299">
        <v>13</v>
      </c>
      <c r="H1299">
        <v>0</v>
      </c>
      <c r="I1299">
        <v>0</v>
      </c>
      <c r="J1299">
        <v>30</v>
      </c>
      <c r="K1299" t="s">
        <v>242</v>
      </c>
    </row>
    <row r="1300" spans="2:11" x14ac:dyDescent="0.25">
      <c r="B1300">
        <v>1429</v>
      </c>
      <c r="C1300">
        <v>237</v>
      </c>
      <c r="D1300">
        <v>104</v>
      </c>
      <c r="E1300">
        <v>7</v>
      </c>
      <c r="F1300">
        <v>20</v>
      </c>
      <c r="G1300">
        <v>10</v>
      </c>
      <c r="H1300">
        <v>0</v>
      </c>
      <c r="I1300">
        <v>0</v>
      </c>
      <c r="J1300">
        <v>30</v>
      </c>
      <c r="K1300" t="s">
        <v>241</v>
      </c>
    </row>
    <row r="1301" spans="2:11" x14ac:dyDescent="0.25">
      <c r="B1301">
        <v>1430</v>
      </c>
      <c r="C1301">
        <v>39</v>
      </c>
      <c r="D1301">
        <v>19</v>
      </c>
      <c r="E1301">
        <v>6</v>
      </c>
      <c r="F1301">
        <v>0</v>
      </c>
      <c r="G1301">
        <v>1</v>
      </c>
      <c r="H1301">
        <v>0</v>
      </c>
      <c r="I1301">
        <v>0</v>
      </c>
      <c r="J1301">
        <v>1</v>
      </c>
      <c r="K1301" t="s">
        <v>242</v>
      </c>
    </row>
    <row r="1302" spans="2:11" x14ac:dyDescent="0.25">
      <c r="B1302">
        <v>1431</v>
      </c>
      <c r="C1302">
        <v>311</v>
      </c>
      <c r="D1302">
        <v>144</v>
      </c>
      <c r="E1302">
        <v>7</v>
      </c>
      <c r="F1302">
        <v>12</v>
      </c>
      <c r="G1302">
        <v>8</v>
      </c>
      <c r="H1302">
        <v>0</v>
      </c>
      <c r="I1302">
        <v>0</v>
      </c>
      <c r="J1302">
        <v>20</v>
      </c>
      <c r="K1302" t="s">
        <v>246</v>
      </c>
    </row>
    <row r="1303" spans="2:11" x14ac:dyDescent="0.25">
      <c r="B1303">
        <v>1432</v>
      </c>
      <c r="C1303">
        <v>39</v>
      </c>
      <c r="D1303">
        <v>19</v>
      </c>
      <c r="E1303">
        <v>7</v>
      </c>
      <c r="F1303">
        <v>0</v>
      </c>
      <c r="G1303">
        <v>5</v>
      </c>
      <c r="H1303">
        <v>0</v>
      </c>
      <c r="I1303">
        <v>0</v>
      </c>
      <c r="J1303">
        <v>5</v>
      </c>
      <c r="K1303" t="s">
        <v>247</v>
      </c>
    </row>
    <row r="1304" spans="2:11" x14ac:dyDescent="0.25">
      <c r="B1304">
        <v>1433</v>
      </c>
      <c r="C1304">
        <v>270</v>
      </c>
      <c r="D1304">
        <v>122</v>
      </c>
      <c r="E1304">
        <v>7</v>
      </c>
      <c r="F1304">
        <v>12</v>
      </c>
      <c r="G1304">
        <v>18</v>
      </c>
      <c r="H1304">
        <v>0</v>
      </c>
      <c r="I1304">
        <v>0</v>
      </c>
      <c r="J1304">
        <v>30</v>
      </c>
      <c r="K1304" t="s">
        <v>246</v>
      </c>
    </row>
    <row r="1305" spans="2:11" x14ac:dyDescent="0.25">
      <c r="B1305">
        <v>1435</v>
      </c>
      <c r="C1305">
        <v>236</v>
      </c>
      <c r="D1305">
        <v>103</v>
      </c>
      <c r="E1305">
        <v>7</v>
      </c>
      <c r="F1305">
        <v>7</v>
      </c>
      <c r="G1305">
        <v>10</v>
      </c>
      <c r="H1305">
        <v>1</v>
      </c>
      <c r="I1305">
        <v>0</v>
      </c>
      <c r="J1305">
        <v>18</v>
      </c>
      <c r="K1305" t="s">
        <v>246</v>
      </c>
    </row>
    <row r="1306" spans="2:11" x14ac:dyDescent="0.25">
      <c r="B1306">
        <v>1436</v>
      </c>
      <c r="C1306">
        <v>44</v>
      </c>
      <c r="D1306">
        <v>22</v>
      </c>
      <c r="E1306">
        <v>7</v>
      </c>
      <c r="F1306">
        <v>6</v>
      </c>
      <c r="G1306">
        <v>13</v>
      </c>
      <c r="H1306">
        <v>0</v>
      </c>
      <c r="I1306">
        <v>0</v>
      </c>
      <c r="J1306">
        <v>19</v>
      </c>
      <c r="K1306" t="s">
        <v>248</v>
      </c>
    </row>
    <row r="1307" spans="2:11" x14ac:dyDescent="0.25">
      <c r="B1307">
        <v>1437</v>
      </c>
      <c r="C1307">
        <v>171</v>
      </c>
      <c r="D1307">
        <v>73</v>
      </c>
      <c r="E1307">
        <v>7</v>
      </c>
      <c r="F1307">
        <v>1</v>
      </c>
      <c r="G1307">
        <v>1</v>
      </c>
      <c r="H1307">
        <v>0</v>
      </c>
      <c r="I1307">
        <v>0</v>
      </c>
      <c r="J1307">
        <v>2</v>
      </c>
      <c r="K1307" t="s">
        <v>246</v>
      </c>
    </row>
    <row r="1308" spans="2:11" x14ac:dyDescent="0.25">
      <c r="B1308">
        <v>1438</v>
      </c>
      <c r="C1308">
        <v>270</v>
      </c>
      <c r="D1308">
        <v>122</v>
      </c>
      <c r="E1308">
        <v>6</v>
      </c>
      <c r="F1308">
        <v>20</v>
      </c>
      <c r="G1308">
        <v>10</v>
      </c>
      <c r="H1308">
        <v>0</v>
      </c>
      <c r="I1308">
        <v>0</v>
      </c>
      <c r="J1308">
        <v>30</v>
      </c>
      <c r="K1308" t="s">
        <v>242</v>
      </c>
    </row>
    <row r="1309" spans="2:11" x14ac:dyDescent="0.25">
      <c r="B1309">
        <v>1439</v>
      </c>
      <c r="C1309">
        <v>39</v>
      </c>
      <c r="D1309">
        <v>19</v>
      </c>
      <c r="E1309">
        <v>1</v>
      </c>
      <c r="F1309">
        <v>1</v>
      </c>
      <c r="G1309">
        <v>1</v>
      </c>
      <c r="H1309">
        <v>0</v>
      </c>
      <c r="I1309">
        <v>0</v>
      </c>
      <c r="J1309">
        <v>2</v>
      </c>
      <c r="K1309" t="s">
        <v>246</v>
      </c>
    </row>
    <row r="1310" spans="2:11" x14ac:dyDescent="0.25">
      <c r="B1310">
        <v>1440</v>
      </c>
      <c r="C1310">
        <v>25</v>
      </c>
      <c r="D1310">
        <v>13</v>
      </c>
      <c r="E1310">
        <v>7</v>
      </c>
      <c r="F1310">
        <v>2</v>
      </c>
      <c r="G1310">
        <v>3</v>
      </c>
      <c r="H1310">
        <v>1</v>
      </c>
      <c r="I1310">
        <v>0</v>
      </c>
      <c r="J1310">
        <v>6</v>
      </c>
      <c r="K1310" t="s">
        <v>248</v>
      </c>
    </row>
    <row r="1311" spans="2:11" x14ac:dyDescent="0.25">
      <c r="B1311">
        <v>1441</v>
      </c>
      <c r="C1311">
        <v>39</v>
      </c>
      <c r="D1311">
        <v>19</v>
      </c>
      <c r="E1311">
        <v>5</v>
      </c>
      <c r="F1311">
        <v>3</v>
      </c>
      <c r="G1311">
        <v>0</v>
      </c>
      <c r="H1311">
        <v>0</v>
      </c>
      <c r="I1311">
        <v>0</v>
      </c>
      <c r="J1311">
        <v>3</v>
      </c>
      <c r="K1311" t="s">
        <v>246</v>
      </c>
    </row>
    <row r="1312" spans="2:11" x14ac:dyDescent="0.25">
      <c r="B1312">
        <v>1442</v>
      </c>
      <c r="C1312">
        <v>347</v>
      </c>
      <c r="D1312">
        <v>155</v>
      </c>
      <c r="E1312">
        <v>6</v>
      </c>
      <c r="F1312">
        <v>12</v>
      </c>
      <c r="G1312">
        <v>14</v>
      </c>
      <c r="H1312">
        <v>4</v>
      </c>
      <c r="I1312">
        <v>0</v>
      </c>
      <c r="J1312">
        <v>30</v>
      </c>
      <c r="K1312" t="s">
        <v>243</v>
      </c>
    </row>
    <row r="1313" spans="2:11" x14ac:dyDescent="0.25">
      <c r="B1313">
        <v>1443</v>
      </c>
      <c r="C1313">
        <v>39</v>
      </c>
      <c r="D1313">
        <v>19</v>
      </c>
      <c r="E1313">
        <v>4</v>
      </c>
      <c r="F1313">
        <v>0</v>
      </c>
      <c r="G1313">
        <v>1</v>
      </c>
      <c r="H1313">
        <v>0</v>
      </c>
      <c r="I1313">
        <v>0</v>
      </c>
      <c r="J1313">
        <v>1</v>
      </c>
      <c r="K1313" t="s">
        <v>246</v>
      </c>
    </row>
    <row r="1314" spans="2:11" x14ac:dyDescent="0.25">
      <c r="B1314">
        <v>1444</v>
      </c>
      <c r="C1314">
        <v>39</v>
      </c>
      <c r="D1314">
        <v>19</v>
      </c>
      <c r="E1314">
        <v>3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246</v>
      </c>
    </row>
    <row r="1315" spans="2:11" x14ac:dyDescent="0.25">
      <c r="B1315">
        <v>1445</v>
      </c>
      <c r="C1315">
        <v>266</v>
      </c>
      <c r="D1315">
        <v>118</v>
      </c>
      <c r="E1315">
        <v>7</v>
      </c>
      <c r="F1315">
        <v>16</v>
      </c>
      <c r="G1315">
        <v>13</v>
      </c>
      <c r="H1315">
        <v>0</v>
      </c>
      <c r="I1315">
        <v>0</v>
      </c>
      <c r="J1315">
        <v>29</v>
      </c>
      <c r="K1315" t="s">
        <v>248</v>
      </c>
    </row>
    <row r="1316" spans="2:11" x14ac:dyDescent="0.25">
      <c r="B1316">
        <v>1446</v>
      </c>
      <c r="C1316">
        <v>348</v>
      </c>
      <c r="D1316">
        <v>155</v>
      </c>
      <c r="E1316">
        <v>6</v>
      </c>
      <c r="F1316">
        <v>17</v>
      </c>
      <c r="G1316">
        <v>13</v>
      </c>
      <c r="H1316">
        <v>0</v>
      </c>
      <c r="I1316">
        <v>0</v>
      </c>
      <c r="J1316">
        <v>30</v>
      </c>
      <c r="K1316" t="s">
        <v>243</v>
      </c>
    </row>
    <row r="1317" spans="2:11" x14ac:dyDescent="0.25">
      <c r="B1317">
        <v>1447</v>
      </c>
      <c r="C1317">
        <v>39</v>
      </c>
      <c r="D1317">
        <v>19</v>
      </c>
      <c r="E1317">
        <v>2</v>
      </c>
      <c r="F1317">
        <v>1</v>
      </c>
      <c r="G1317">
        <v>4</v>
      </c>
      <c r="H1317">
        <v>0</v>
      </c>
      <c r="I1317">
        <v>0</v>
      </c>
      <c r="J1317">
        <v>5</v>
      </c>
      <c r="K1317" t="s">
        <v>246</v>
      </c>
    </row>
    <row r="1318" spans="2:11" x14ac:dyDescent="0.25">
      <c r="B1318">
        <v>1449</v>
      </c>
      <c r="C1318">
        <v>299</v>
      </c>
      <c r="D1318">
        <v>137</v>
      </c>
      <c r="E1318">
        <v>7</v>
      </c>
      <c r="F1318">
        <v>15</v>
      </c>
      <c r="G1318">
        <v>15</v>
      </c>
      <c r="H1318">
        <v>0</v>
      </c>
      <c r="I1318">
        <v>0</v>
      </c>
      <c r="J1318">
        <v>30</v>
      </c>
      <c r="K1318" t="s">
        <v>248</v>
      </c>
    </row>
    <row r="1319" spans="2:11" x14ac:dyDescent="0.25">
      <c r="B1319">
        <v>1450</v>
      </c>
      <c r="C1319">
        <v>134</v>
      </c>
      <c r="D1319">
        <v>60</v>
      </c>
      <c r="E1319">
        <v>7</v>
      </c>
      <c r="F1319">
        <v>5</v>
      </c>
      <c r="G1319">
        <v>7</v>
      </c>
      <c r="H1319">
        <v>14</v>
      </c>
      <c r="I1319">
        <v>0</v>
      </c>
      <c r="J1319">
        <v>26</v>
      </c>
      <c r="K1319" t="s">
        <v>241</v>
      </c>
    </row>
    <row r="1320" spans="2:11" x14ac:dyDescent="0.25">
      <c r="B1320">
        <v>1451</v>
      </c>
      <c r="C1320">
        <v>242</v>
      </c>
      <c r="D1320">
        <v>107</v>
      </c>
      <c r="E1320">
        <v>7</v>
      </c>
      <c r="F1320">
        <v>11</v>
      </c>
      <c r="G1320">
        <v>8</v>
      </c>
      <c r="H1320">
        <v>0</v>
      </c>
      <c r="I1320">
        <v>0</v>
      </c>
      <c r="J1320">
        <v>19</v>
      </c>
      <c r="K1320" t="s">
        <v>246</v>
      </c>
    </row>
    <row r="1321" spans="2:11" x14ac:dyDescent="0.25">
      <c r="B1321">
        <v>1452</v>
      </c>
      <c r="C1321">
        <v>11</v>
      </c>
      <c r="D1321">
        <v>3</v>
      </c>
      <c r="E1321">
        <v>7</v>
      </c>
      <c r="F1321">
        <v>9</v>
      </c>
      <c r="G1321">
        <v>8</v>
      </c>
      <c r="H1321">
        <v>0</v>
      </c>
      <c r="I1321">
        <v>0</v>
      </c>
      <c r="J1321">
        <v>17</v>
      </c>
      <c r="K1321" t="s">
        <v>241</v>
      </c>
    </row>
    <row r="1322" spans="2:11" x14ac:dyDescent="0.25">
      <c r="B1322">
        <v>1453</v>
      </c>
      <c r="C1322">
        <v>271</v>
      </c>
      <c r="D1322">
        <v>122</v>
      </c>
      <c r="E1322">
        <v>7</v>
      </c>
      <c r="F1322">
        <v>15</v>
      </c>
      <c r="G1322">
        <v>15</v>
      </c>
      <c r="H1322">
        <v>0</v>
      </c>
      <c r="I1322">
        <v>0</v>
      </c>
      <c r="J1322">
        <v>30</v>
      </c>
      <c r="K1322" t="s">
        <v>246</v>
      </c>
    </row>
    <row r="1323" spans="2:11" x14ac:dyDescent="0.25">
      <c r="B1323">
        <v>1454</v>
      </c>
      <c r="C1323">
        <v>63</v>
      </c>
      <c r="D1323">
        <v>34</v>
      </c>
      <c r="E1323">
        <v>7</v>
      </c>
      <c r="F1323">
        <v>7</v>
      </c>
      <c r="G1323">
        <v>6</v>
      </c>
      <c r="H1323">
        <v>2</v>
      </c>
      <c r="I1323">
        <v>0</v>
      </c>
      <c r="J1323">
        <v>15</v>
      </c>
      <c r="K1323" t="s">
        <v>241</v>
      </c>
    </row>
    <row r="1324" spans="2:11" x14ac:dyDescent="0.25">
      <c r="B1324">
        <v>1455</v>
      </c>
      <c r="C1324">
        <v>175</v>
      </c>
      <c r="D1324">
        <v>76</v>
      </c>
      <c r="E1324">
        <v>7</v>
      </c>
      <c r="F1324">
        <v>5</v>
      </c>
      <c r="G1324">
        <v>4</v>
      </c>
      <c r="H1324">
        <v>4</v>
      </c>
      <c r="I1324">
        <v>0</v>
      </c>
      <c r="J1324">
        <v>13</v>
      </c>
      <c r="K1324" t="s">
        <v>246</v>
      </c>
    </row>
    <row r="1325" spans="2:11" x14ac:dyDescent="0.25">
      <c r="B1325">
        <v>1456</v>
      </c>
      <c r="C1325">
        <v>139</v>
      </c>
      <c r="D1325">
        <v>61</v>
      </c>
      <c r="E1325">
        <v>8</v>
      </c>
      <c r="F1325">
        <v>5</v>
      </c>
      <c r="G1325">
        <v>5</v>
      </c>
      <c r="H1325">
        <v>1</v>
      </c>
      <c r="I1325">
        <v>0</v>
      </c>
      <c r="J1325">
        <v>11</v>
      </c>
      <c r="K1325" t="s">
        <v>248</v>
      </c>
    </row>
    <row r="1326" spans="2:11" x14ac:dyDescent="0.25">
      <c r="B1326">
        <v>1457</v>
      </c>
      <c r="C1326">
        <v>133</v>
      </c>
      <c r="D1326">
        <v>60</v>
      </c>
      <c r="E1326">
        <v>7</v>
      </c>
      <c r="F1326">
        <v>9</v>
      </c>
      <c r="G1326">
        <v>7</v>
      </c>
      <c r="H1326">
        <v>4</v>
      </c>
      <c r="I1326">
        <v>0</v>
      </c>
      <c r="J1326">
        <v>20</v>
      </c>
      <c r="K1326" t="s">
        <v>246</v>
      </c>
    </row>
    <row r="1327" spans="2:11" x14ac:dyDescent="0.25">
      <c r="B1327">
        <v>1458</v>
      </c>
      <c r="C1327">
        <v>27</v>
      </c>
      <c r="D1327">
        <v>14</v>
      </c>
      <c r="E1327">
        <v>7</v>
      </c>
      <c r="F1327">
        <v>18</v>
      </c>
      <c r="G1327">
        <v>11</v>
      </c>
      <c r="H1327">
        <v>1</v>
      </c>
      <c r="I1327">
        <v>0</v>
      </c>
      <c r="J1327">
        <v>30</v>
      </c>
      <c r="K1327" t="s">
        <v>241</v>
      </c>
    </row>
    <row r="1328" spans="2:11" x14ac:dyDescent="0.25">
      <c r="B1328">
        <v>1459</v>
      </c>
      <c r="C1328">
        <v>174</v>
      </c>
      <c r="D1328">
        <v>75</v>
      </c>
      <c r="E1328">
        <v>7</v>
      </c>
      <c r="F1328">
        <v>7</v>
      </c>
      <c r="G1328">
        <v>3</v>
      </c>
      <c r="H1328">
        <v>0</v>
      </c>
      <c r="I1328">
        <v>0</v>
      </c>
      <c r="J1328">
        <v>10</v>
      </c>
      <c r="K1328" t="s">
        <v>246</v>
      </c>
    </row>
    <row r="1329" spans="2:11" x14ac:dyDescent="0.25">
      <c r="B1329">
        <v>1460</v>
      </c>
      <c r="C1329">
        <v>140</v>
      </c>
      <c r="D1329">
        <v>62</v>
      </c>
      <c r="E1329">
        <v>8</v>
      </c>
      <c r="F1329">
        <v>14</v>
      </c>
      <c r="G1329">
        <v>2</v>
      </c>
      <c r="H1329">
        <v>2</v>
      </c>
      <c r="I1329">
        <v>0</v>
      </c>
      <c r="J1329">
        <v>18</v>
      </c>
      <c r="K1329" t="s">
        <v>248</v>
      </c>
    </row>
    <row r="1330" spans="2:11" x14ac:dyDescent="0.25">
      <c r="B1330">
        <v>1461</v>
      </c>
      <c r="C1330">
        <v>35</v>
      </c>
      <c r="D1330">
        <v>17</v>
      </c>
      <c r="E1330">
        <v>7</v>
      </c>
      <c r="F1330">
        <v>0</v>
      </c>
      <c r="G1330">
        <v>8</v>
      </c>
      <c r="H1330">
        <v>0</v>
      </c>
      <c r="I1330">
        <v>0</v>
      </c>
      <c r="J1330">
        <v>8</v>
      </c>
      <c r="K1330" t="s">
        <v>241</v>
      </c>
    </row>
    <row r="1331" spans="2:11" x14ac:dyDescent="0.25">
      <c r="B1331">
        <v>5367</v>
      </c>
      <c r="C1331">
        <v>187</v>
      </c>
      <c r="D1331">
        <v>81</v>
      </c>
      <c r="E1331">
        <v>11</v>
      </c>
      <c r="F1331">
        <v>0</v>
      </c>
      <c r="G1331">
        <v>19</v>
      </c>
      <c r="H1331">
        <v>0</v>
      </c>
      <c r="I1331">
        <v>0</v>
      </c>
      <c r="J1331">
        <v>19</v>
      </c>
      <c r="K1331" t="s">
        <v>241</v>
      </c>
    </row>
    <row r="1332" spans="2:11" x14ac:dyDescent="0.25">
      <c r="B1332">
        <v>5368</v>
      </c>
      <c r="C1332">
        <v>215</v>
      </c>
      <c r="D1332">
        <v>94</v>
      </c>
      <c r="E1332">
        <v>13</v>
      </c>
      <c r="F1332">
        <v>13</v>
      </c>
      <c r="G1332">
        <v>1</v>
      </c>
      <c r="H1332">
        <v>0</v>
      </c>
      <c r="I1332">
        <v>0</v>
      </c>
      <c r="J1332">
        <v>14</v>
      </c>
      <c r="K1332" t="s">
        <v>245</v>
      </c>
    </row>
    <row r="1333" spans="2:11" x14ac:dyDescent="0.25">
      <c r="B1333">
        <v>5366</v>
      </c>
      <c r="C1333">
        <v>93</v>
      </c>
      <c r="D1333">
        <v>46</v>
      </c>
      <c r="E1333">
        <v>17</v>
      </c>
      <c r="F1333">
        <v>9</v>
      </c>
      <c r="G1333">
        <v>11</v>
      </c>
      <c r="H1333">
        <v>0</v>
      </c>
      <c r="I1333">
        <v>0</v>
      </c>
      <c r="J1333">
        <v>20</v>
      </c>
      <c r="K1333" t="s">
        <v>252</v>
      </c>
    </row>
    <row r="1334" spans="2:11" x14ac:dyDescent="0.25">
      <c r="B1334">
        <v>5369</v>
      </c>
      <c r="C1334">
        <v>200</v>
      </c>
      <c r="D1334">
        <v>87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 t="s">
        <v>246</v>
      </c>
    </row>
    <row r="1335" spans="2:11" x14ac:dyDescent="0.25">
      <c r="B1335">
        <v>5371</v>
      </c>
      <c r="C1335">
        <v>187</v>
      </c>
      <c r="D1335">
        <v>81</v>
      </c>
      <c r="E1335">
        <v>12</v>
      </c>
      <c r="F1335">
        <v>2</v>
      </c>
      <c r="G1335">
        <v>15</v>
      </c>
      <c r="H1335">
        <v>0</v>
      </c>
      <c r="I1335">
        <v>0</v>
      </c>
      <c r="J1335">
        <v>17</v>
      </c>
      <c r="K1335" t="s">
        <v>241</v>
      </c>
    </row>
    <row r="1336" spans="2:11" x14ac:dyDescent="0.25">
      <c r="B1336">
        <v>5372</v>
      </c>
      <c r="C1336">
        <v>28</v>
      </c>
      <c r="D1336">
        <v>15</v>
      </c>
      <c r="E1336">
        <v>1</v>
      </c>
      <c r="F1336">
        <v>12</v>
      </c>
      <c r="G1336">
        <v>18</v>
      </c>
      <c r="H1336">
        <v>0</v>
      </c>
      <c r="I1336">
        <v>0</v>
      </c>
      <c r="J1336">
        <v>30</v>
      </c>
      <c r="K1336" t="s">
        <v>247</v>
      </c>
    </row>
    <row r="1337" spans="2:11" x14ac:dyDescent="0.25">
      <c r="B1337">
        <v>5373</v>
      </c>
      <c r="C1337">
        <v>200</v>
      </c>
      <c r="D1337">
        <v>87</v>
      </c>
      <c r="E1337">
        <v>2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246</v>
      </c>
    </row>
    <row r="1338" spans="2:11" x14ac:dyDescent="0.25">
      <c r="B1338">
        <v>1462</v>
      </c>
      <c r="C1338">
        <v>347</v>
      </c>
      <c r="D1338">
        <v>155</v>
      </c>
      <c r="E1338">
        <v>3</v>
      </c>
      <c r="F1338">
        <v>4</v>
      </c>
      <c r="G1338">
        <v>11</v>
      </c>
      <c r="H1338">
        <v>0</v>
      </c>
      <c r="I1338">
        <v>0</v>
      </c>
      <c r="J1338">
        <v>15</v>
      </c>
      <c r="K1338" t="s">
        <v>247</v>
      </c>
    </row>
    <row r="1339" spans="2:11" x14ac:dyDescent="0.25">
      <c r="B1339">
        <v>1464</v>
      </c>
      <c r="C1339">
        <v>315</v>
      </c>
      <c r="D1339">
        <v>145</v>
      </c>
      <c r="E1339">
        <v>8</v>
      </c>
      <c r="F1339">
        <v>8</v>
      </c>
      <c r="G1339">
        <v>19</v>
      </c>
      <c r="H1339">
        <v>0</v>
      </c>
      <c r="I1339">
        <v>0</v>
      </c>
      <c r="J1339">
        <v>27</v>
      </c>
      <c r="K1339" t="s">
        <v>245</v>
      </c>
    </row>
    <row r="1340" spans="2:11" x14ac:dyDescent="0.25">
      <c r="B1340">
        <v>1465</v>
      </c>
      <c r="C1340">
        <v>302</v>
      </c>
      <c r="D1340">
        <v>140</v>
      </c>
      <c r="E1340">
        <v>8</v>
      </c>
      <c r="F1340">
        <v>15</v>
      </c>
      <c r="G1340">
        <v>14</v>
      </c>
      <c r="H1340">
        <v>0</v>
      </c>
      <c r="I1340">
        <v>0</v>
      </c>
      <c r="J1340">
        <v>29</v>
      </c>
      <c r="K1340" t="s">
        <v>243</v>
      </c>
    </row>
    <row r="1341" spans="2:11" x14ac:dyDescent="0.25">
      <c r="B1341">
        <v>1466</v>
      </c>
      <c r="C1341">
        <v>347</v>
      </c>
      <c r="D1341">
        <v>155</v>
      </c>
      <c r="E1341">
        <v>4</v>
      </c>
      <c r="F1341">
        <v>10</v>
      </c>
      <c r="G1341">
        <v>7</v>
      </c>
      <c r="H1341">
        <v>0</v>
      </c>
      <c r="I1341">
        <v>0</v>
      </c>
      <c r="J1341">
        <v>17</v>
      </c>
      <c r="K1341" t="s">
        <v>247</v>
      </c>
    </row>
    <row r="1342" spans="2:11" x14ac:dyDescent="0.25">
      <c r="B1342">
        <v>1467</v>
      </c>
      <c r="C1342">
        <v>154</v>
      </c>
      <c r="D1342">
        <v>69</v>
      </c>
      <c r="E1342">
        <v>8</v>
      </c>
      <c r="F1342">
        <v>13</v>
      </c>
      <c r="G1342">
        <v>13</v>
      </c>
      <c r="H1342">
        <v>0</v>
      </c>
      <c r="I1342">
        <v>0</v>
      </c>
      <c r="J1342">
        <v>26</v>
      </c>
      <c r="K1342" t="s">
        <v>248</v>
      </c>
    </row>
    <row r="1343" spans="2:11" x14ac:dyDescent="0.25">
      <c r="B1343">
        <v>1469</v>
      </c>
      <c r="C1343">
        <v>347</v>
      </c>
      <c r="D1343">
        <v>155</v>
      </c>
      <c r="E1343">
        <v>5</v>
      </c>
      <c r="F1343">
        <v>12</v>
      </c>
      <c r="G1343">
        <v>12</v>
      </c>
      <c r="H1343">
        <v>1</v>
      </c>
      <c r="I1343">
        <v>0</v>
      </c>
      <c r="J1343">
        <v>25</v>
      </c>
      <c r="K1343" t="s">
        <v>247</v>
      </c>
    </row>
    <row r="1344" spans="2:11" x14ac:dyDescent="0.25">
      <c r="B1344">
        <v>1470</v>
      </c>
      <c r="C1344">
        <v>344</v>
      </c>
      <c r="D1344">
        <v>155</v>
      </c>
      <c r="E1344">
        <v>1</v>
      </c>
      <c r="F1344">
        <v>4</v>
      </c>
      <c r="G1344">
        <v>6</v>
      </c>
      <c r="H1344">
        <v>2</v>
      </c>
      <c r="I1344">
        <v>0</v>
      </c>
      <c r="J1344">
        <v>12</v>
      </c>
      <c r="K1344" t="s">
        <v>246</v>
      </c>
    </row>
    <row r="1345" spans="2:11" x14ac:dyDescent="0.25">
      <c r="B1345">
        <v>1471</v>
      </c>
      <c r="C1345">
        <v>325</v>
      </c>
      <c r="D1345">
        <v>151</v>
      </c>
      <c r="E1345">
        <v>7</v>
      </c>
      <c r="F1345">
        <v>7</v>
      </c>
      <c r="G1345">
        <v>7</v>
      </c>
      <c r="H1345">
        <v>0</v>
      </c>
      <c r="I1345">
        <v>0</v>
      </c>
      <c r="J1345">
        <v>14</v>
      </c>
      <c r="K1345" t="s">
        <v>243</v>
      </c>
    </row>
    <row r="1346" spans="2:11" x14ac:dyDescent="0.25">
      <c r="B1346">
        <v>1472</v>
      </c>
      <c r="C1346">
        <v>294</v>
      </c>
      <c r="D1346">
        <v>136</v>
      </c>
      <c r="E1346">
        <v>7</v>
      </c>
      <c r="F1346">
        <v>13</v>
      </c>
      <c r="G1346">
        <v>1</v>
      </c>
      <c r="H1346">
        <v>0</v>
      </c>
      <c r="I1346">
        <v>0</v>
      </c>
      <c r="J1346">
        <v>14</v>
      </c>
      <c r="K1346" t="s">
        <v>247</v>
      </c>
    </row>
    <row r="1347" spans="2:11" x14ac:dyDescent="0.25">
      <c r="B1347">
        <v>1473</v>
      </c>
      <c r="C1347">
        <v>134</v>
      </c>
      <c r="D1347">
        <v>60</v>
      </c>
      <c r="E1347">
        <v>5</v>
      </c>
      <c r="F1347">
        <v>2</v>
      </c>
      <c r="G1347">
        <v>9</v>
      </c>
      <c r="H1347">
        <v>10</v>
      </c>
      <c r="I1347">
        <v>0</v>
      </c>
      <c r="J1347">
        <v>21</v>
      </c>
      <c r="K1347" t="s">
        <v>242</v>
      </c>
    </row>
    <row r="1348" spans="2:11" x14ac:dyDescent="0.25">
      <c r="B1348">
        <v>1474</v>
      </c>
      <c r="C1348">
        <v>347</v>
      </c>
      <c r="D1348">
        <v>155</v>
      </c>
      <c r="E1348">
        <v>2</v>
      </c>
      <c r="F1348">
        <v>5</v>
      </c>
      <c r="G1348">
        <v>9</v>
      </c>
      <c r="H1348">
        <v>1</v>
      </c>
      <c r="I1348">
        <v>0</v>
      </c>
      <c r="J1348">
        <v>15</v>
      </c>
      <c r="K1348" t="s">
        <v>246</v>
      </c>
    </row>
    <row r="1349" spans="2:11" x14ac:dyDescent="0.25">
      <c r="B1349">
        <v>1475</v>
      </c>
      <c r="C1349">
        <v>293</v>
      </c>
      <c r="D1349">
        <v>136</v>
      </c>
      <c r="E1349">
        <v>7</v>
      </c>
      <c r="F1349">
        <v>1</v>
      </c>
      <c r="G1349">
        <v>15</v>
      </c>
      <c r="H1349">
        <v>1</v>
      </c>
      <c r="I1349">
        <v>0</v>
      </c>
      <c r="J1349">
        <v>17</v>
      </c>
      <c r="K1349" t="s">
        <v>247</v>
      </c>
    </row>
    <row r="1350" spans="2:11" x14ac:dyDescent="0.25">
      <c r="B1350">
        <v>1476</v>
      </c>
      <c r="C1350">
        <v>240</v>
      </c>
      <c r="D1350">
        <v>107</v>
      </c>
      <c r="E1350">
        <v>7</v>
      </c>
      <c r="F1350">
        <v>2</v>
      </c>
      <c r="G1350">
        <v>1</v>
      </c>
      <c r="H1350">
        <v>0</v>
      </c>
      <c r="I1350">
        <v>0</v>
      </c>
      <c r="J1350">
        <v>3</v>
      </c>
      <c r="K1350" t="s">
        <v>248</v>
      </c>
    </row>
    <row r="1351" spans="2:11" x14ac:dyDescent="0.25">
      <c r="B1351">
        <v>1477</v>
      </c>
      <c r="C1351">
        <v>314</v>
      </c>
      <c r="D1351">
        <v>145</v>
      </c>
      <c r="E1351">
        <v>8</v>
      </c>
      <c r="F1351">
        <v>20</v>
      </c>
      <c r="G1351">
        <v>10</v>
      </c>
      <c r="H1351">
        <v>0</v>
      </c>
      <c r="I1351">
        <v>0</v>
      </c>
      <c r="J1351">
        <v>30</v>
      </c>
      <c r="K1351" t="s">
        <v>242</v>
      </c>
    </row>
    <row r="1352" spans="2:11" x14ac:dyDescent="0.25">
      <c r="B1352">
        <v>1478</v>
      </c>
      <c r="C1352">
        <v>344</v>
      </c>
      <c r="D1352">
        <v>155</v>
      </c>
      <c r="E1352">
        <v>2</v>
      </c>
      <c r="F1352">
        <v>10</v>
      </c>
      <c r="G1352">
        <v>8</v>
      </c>
      <c r="H1352">
        <v>1</v>
      </c>
      <c r="I1352">
        <v>0</v>
      </c>
      <c r="J1352">
        <v>19</v>
      </c>
      <c r="K1352" t="s">
        <v>246</v>
      </c>
    </row>
    <row r="1353" spans="2:11" x14ac:dyDescent="0.25">
      <c r="B1353">
        <v>1479</v>
      </c>
      <c r="C1353">
        <v>314</v>
      </c>
      <c r="D1353">
        <v>145</v>
      </c>
      <c r="E1353">
        <v>7</v>
      </c>
      <c r="F1353">
        <v>6</v>
      </c>
      <c r="G1353">
        <v>3</v>
      </c>
      <c r="H1353">
        <v>0</v>
      </c>
      <c r="I1353">
        <v>0</v>
      </c>
      <c r="J1353">
        <v>9</v>
      </c>
      <c r="K1353" t="s">
        <v>247</v>
      </c>
    </row>
    <row r="1354" spans="2:11" x14ac:dyDescent="0.25">
      <c r="B1354">
        <v>1480</v>
      </c>
      <c r="C1354">
        <v>344</v>
      </c>
      <c r="D1354">
        <v>155</v>
      </c>
      <c r="E1354">
        <v>7</v>
      </c>
      <c r="F1354">
        <v>7</v>
      </c>
      <c r="G1354">
        <v>11</v>
      </c>
      <c r="H1354">
        <v>2</v>
      </c>
      <c r="I1354">
        <v>0</v>
      </c>
      <c r="J1354">
        <v>20</v>
      </c>
      <c r="K1354" t="s">
        <v>243</v>
      </c>
    </row>
    <row r="1355" spans="2:11" x14ac:dyDescent="0.25">
      <c r="B1355">
        <v>1481</v>
      </c>
      <c r="C1355">
        <v>137</v>
      </c>
      <c r="D1355">
        <v>60</v>
      </c>
      <c r="E1355">
        <v>8</v>
      </c>
      <c r="F1355">
        <v>12</v>
      </c>
      <c r="G1355">
        <v>7</v>
      </c>
      <c r="H1355">
        <v>5</v>
      </c>
      <c r="I1355">
        <v>0</v>
      </c>
      <c r="J1355">
        <v>24</v>
      </c>
      <c r="K1355" t="s">
        <v>242</v>
      </c>
    </row>
    <row r="1356" spans="2:11" x14ac:dyDescent="0.25">
      <c r="B1356">
        <v>1482</v>
      </c>
      <c r="C1356">
        <v>348</v>
      </c>
      <c r="D1356">
        <v>155</v>
      </c>
      <c r="E1356">
        <v>7</v>
      </c>
      <c r="F1356">
        <v>14</v>
      </c>
      <c r="G1356">
        <v>16</v>
      </c>
      <c r="H1356">
        <v>0</v>
      </c>
      <c r="I1356">
        <v>0</v>
      </c>
      <c r="J1356">
        <v>30</v>
      </c>
      <c r="K1356" t="s">
        <v>243</v>
      </c>
    </row>
    <row r="1357" spans="2:11" x14ac:dyDescent="0.25">
      <c r="B1357">
        <v>1483</v>
      </c>
      <c r="C1357">
        <v>325</v>
      </c>
      <c r="D1357">
        <v>151</v>
      </c>
      <c r="E1357">
        <v>8</v>
      </c>
      <c r="F1357">
        <v>10</v>
      </c>
      <c r="G1357">
        <v>11</v>
      </c>
      <c r="H1357">
        <v>0</v>
      </c>
      <c r="I1357">
        <v>0</v>
      </c>
      <c r="J1357">
        <v>21</v>
      </c>
      <c r="K1357" t="s">
        <v>241</v>
      </c>
    </row>
    <row r="1358" spans="2:11" x14ac:dyDescent="0.25">
      <c r="B1358">
        <v>1484</v>
      </c>
      <c r="C1358">
        <v>344</v>
      </c>
      <c r="D1358">
        <v>155</v>
      </c>
      <c r="E1358">
        <v>6</v>
      </c>
      <c r="F1358">
        <v>10</v>
      </c>
      <c r="G1358">
        <v>10</v>
      </c>
      <c r="H1358">
        <v>4</v>
      </c>
      <c r="I1358">
        <v>0</v>
      </c>
      <c r="J1358">
        <v>24</v>
      </c>
      <c r="K1358" t="s">
        <v>242</v>
      </c>
    </row>
    <row r="1359" spans="2:11" x14ac:dyDescent="0.25">
      <c r="B1359">
        <v>1485</v>
      </c>
      <c r="C1359">
        <v>310</v>
      </c>
      <c r="D1359">
        <v>144</v>
      </c>
      <c r="E1359">
        <v>8</v>
      </c>
      <c r="F1359">
        <v>18</v>
      </c>
      <c r="G1359">
        <v>12</v>
      </c>
      <c r="H1359">
        <v>0</v>
      </c>
      <c r="I1359">
        <v>0</v>
      </c>
      <c r="J1359">
        <v>30</v>
      </c>
      <c r="K1359" t="s">
        <v>241</v>
      </c>
    </row>
    <row r="1360" spans="2:11" x14ac:dyDescent="0.25">
      <c r="B1360">
        <v>1486</v>
      </c>
      <c r="C1360">
        <v>11</v>
      </c>
      <c r="D1360">
        <v>3</v>
      </c>
      <c r="E1360">
        <v>6</v>
      </c>
      <c r="F1360">
        <v>5</v>
      </c>
      <c r="G1360">
        <v>7</v>
      </c>
      <c r="H1360">
        <v>0</v>
      </c>
      <c r="I1360">
        <v>0</v>
      </c>
      <c r="J1360">
        <v>12</v>
      </c>
      <c r="K1360" t="s">
        <v>242</v>
      </c>
    </row>
    <row r="1361" spans="2:11" x14ac:dyDescent="0.25">
      <c r="B1361">
        <v>1487</v>
      </c>
      <c r="C1361">
        <v>244</v>
      </c>
      <c r="D1361">
        <v>108</v>
      </c>
      <c r="E1361">
        <v>7</v>
      </c>
      <c r="F1361">
        <v>3</v>
      </c>
      <c r="G1361">
        <v>1</v>
      </c>
      <c r="H1361">
        <v>2</v>
      </c>
      <c r="I1361">
        <v>0</v>
      </c>
      <c r="J1361">
        <v>6</v>
      </c>
      <c r="K1361" t="s">
        <v>246</v>
      </c>
    </row>
    <row r="1362" spans="2:11" x14ac:dyDescent="0.25">
      <c r="B1362">
        <v>1488</v>
      </c>
      <c r="C1362">
        <v>283</v>
      </c>
      <c r="D1362">
        <v>131</v>
      </c>
      <c r="E1362">
        <v>7</v>
      </c>
      <c r="F1362">
        <v>16</v>
      </c>
      <c r="G1362">
        <v>8</v>
      </c>
      <c r="H1362">
        <v>0</v>
      </c>
      <c r="I1362">
        <v>0</v>
      </c>
      <c r="J1362">
        <v>24</v>
      </c>
      <c r="K1362" t="s">
        <v>248</v>
      </c>
    </row>
    <row r="1363" spans="2:11" x14ac:dyDescent="0.25">
      <c r="B1363">
        <v>1489</v>
      </c>
      <c r="C1363">
        <v>135</v>
      </c>
      <c r="D1363">
        <v>60</v>
      </c>
      <c r="E1363">
        <v>6</v>
      </c>
      <c r="F1363">
        <v>5</v>
      </c>
      <c r="G1363">
        <v>7</v>
      </c>
      <c r="H1363">
        <v>3</v>
      </c>
      <c r="I1363">
        <v>0</v>
      </c>
      <c r="J1363">
        <v>15</v>
      </c>
      <c r="K1363" t="s">
        <v>241</v>
      </c>
    </row>
    <row r="1364" spans="2:11" x14ac:dyDescent="0.25">
      <c r="B1364">
        <v>1490</v>
      </c>
      <c r="C1364">
        <v>157</v>
      </c>
      <c r="D1364">
        <v>69</v>
      </c>
      <c r="E1364">
        <v>7</v>
      </c>
      <c r="F1364">
        <v>3</v>
      </c>
      <c r="G1364">
        <v>9</v>
      </c>
      <c r="H1364">
        <v>0</v>
      </c>
      <c r="I1364">
        <v>0</v>
      </c>
      <c r="J1364">
        <v>12</v>
      </c>
      <c r="K1364" t="s">
        <v>246</v>
      </c>
    </row>
    <row r="1365" spans="2:11" x14ac:dyDescent="0.25">
      <c r="B1365">
        <v>1491</v>
      </c>
      <c r="C1365">
        <v>134</v>
      </c>
      <c r="D1365">
        <v>60</v>
      </c>
      <c r="E1365">
        <v>6</v>
      </c>
      <c r="F1365">
        <v>3</v>
      </c>
      <c r="G1365">
        <v>6</v>
      </c>
      <c r="H1365">
        <v>7</v>
      </c>
      <c r="I1365">
        <v>0</v>
      </c>
      <c r="J1365">
        <v>16</v>
      </c>
      <c r="K1365" t="s">
        <v>242</v>
      </c>
    </row>
    <row r="1366" spans="2:11" x14ac:dyDescent="0.25">
      <c r="B1366">
        <v>1492</v>
      </c>
      <c r="C1366">
        <v>117</v>
      </c>
      <c r="D1366">
        <v>54</v>
      </c>
      <c r="E1366">
        <v>7</v>
      </c>
      <c r="F1366">
        <v>8</v>
      </c>
      <c r="G1366">
        <v>9</v>
      </c>
      <c r="H1366">
        <v>1</v>
      </c>
      <c r="I1366">
        <v>0</v>
      </c>
      <c r="J1366">
        <v>18</v>
      </c>
      <c r="K1366" t="s">
        <v>246</v>
      </c>
    </row>
    <row r="1367" spans="2:11" x14ac:dyDescent="0.25">
      <c r="B1367">
        <v>1493</v>
      </c>
      <c r="C1367">
        <v>119</v>
      </c>
      <c r="D1367">
        <v>55</v>
      </c>
      <c r="E1367">
        <v>6</v>
      </c>
      <c r="F1367">
        <v>7</v>
      </c>
      <c r="G1367">
        <v>0</v>
      </c>
      <c r="H1367">
        <v>1</v>
      </c>
      <c r="I1367">
        <v>0</v>
      </c>
      <c r="J1367">
        <v>8</v>
      </c>
      <c r="K1367" t="s">
        <v>241</v>
      </c>
    </row>
    <row r="1368" spans="2:11" x14ac:dyDescent="0.25">
      <c r="B1368">
        <v>1495</v>
      </c>
      <c r="C1368">
        <v>318</v>
      </c>
      <c r="D1368">
        <v>147</v>
      </c>
      <c r="E1368">
        <v>7</v>
      </c>
      <c r="F1368">
        <v>18</v>
      </c>
      <c r="G1368">
        <v>12</v>
      </c>
      <c r="H1368">
        <v>0</v>
      </c>
      <c r="I1368">
        <v>0</v>
      </c>
      <c r="J1368">
        <v>30</v>
      </c>
      <c r="K1368" t="s">
        <v>246</v>
      </c>
    </row>
    <row r="1369" spans="2:11" x14ac:dyDescent="0.25">
      <c r="B1369">
        <v>1496</v>
      </c>
      <c r="C1369">
        <v>12</v>
      </c>
      <c r="D1369">
        <v>3</v>
      </c>
      <c r="E1369">
        <v>6</v>
      </c>
      <c r="F1369">
        <v>16</v>
      </c>
      <c r="G1369">
        <v>5</v>
      </c>
      <c r="H1369">
        <v>3</v>
      </c>
      <c r="I1369">
        <v>0</v>
      </c>
      <c r="J1369">
        <v>24</v>
      </c>
      <c r="K1369" t="s">
        <v>241</v>
      </c>
    </row>
    <row r="1370" spans="2:11" x14ac:dyDescent="0.25">
      <c r="B1370">
        <v>1497</v>
      </c>
      <c r="C1370">
        <v>42</v>
      </c>
      <c r="D1370">
        <v>21</v>
      </c>
      <c r="E1370">
        <v>7</v>
      </c>
      <c r="F1370">
        <v>4</v>
      </c>
      <c r="G1370">
        <v>5</v>
      </c>
      <c r="H1370">
        <v>0</v>
      </c>
      <c r="I1370">
        <v>0</v>
      </c>
      <c r="J1370">
        <v>9</v>
      </c>
      <c r="K1370" t="s">
        <v>246</v>
      </c>
    </row>
    <row r="1371" spans="2:11" x14ac:dyDescent="0.25">
      <c r="B1371">
        <v>1498</v>
      </c>
      <c r="C1371">
        <v>111</v>
      </c>
      <c r="D1371">
        <v>51</v>
      </c>
      <c r="E1371">
        <v>6</v>
      </c>
      <c r="F1371">
        <v>1</v>
      </c>
      <c r="G1371">
        <v>11</v>
      </c>
      <c r="H1371">
        <v>0</v>
      </c>
      <c r="I1371">
        <v>0</v>
      </c>
      <c r="J1371">
        <v>12</v>
      </c>
      <c r="K1371" t="s">
        <v>242</v>
      </c>
    </row>
    <row r="1372" spans="2:11" x14ac:dyDescent="0.25">
      <c r="B1372">
        <v>1499</v>
      </c>
      <c r="C1372">
        <v>65</v>
      </c>
      <c r="D1372">
        <v>35</v>
      </c>
      <c r="E1372">
        <v>7</v>
      </c>
      <c r="F1372">
        <v>14</v>
      </c>
      <c r="G1372">
        <v>7</v>
      </c>
      <c r="H1372">
        <v>6</v>
      </c>
      <c r="I1372">
        <v>0</v>
      </c>
      <c r="J1372">
        <v>27</v>
      </c>
      <c r="K1372" t="s">
        <v>248</v>
      </c>
    </row>
    <row r="1373" spans="2:11" x14ac:dyDescent="0.25">
      <c r="B1373">
        <v>1500</v>
      </c>
      <c r="C1373">
        <v>12</v>
      </c>
      <c r="D1373">
        <v>3</v>
      </c>
      <c r="E1373">
        <v>7</v>
      </c>
      <c r="F1373">
        <v>12</v>
      </c>
      <c r="G1373">
        <v>9</v>
      </c>
      <c r="H1373">
        <v>2</v>
      </c>
      <c r="I1373">
        <v>0</v>
      </c>
      <c r="J1373">
        <v>23</v>
      </c>
      <c r="K1373" t="s">
        <v>248</v>
      </c>
    </row>
    <row r="1374" spans="2:11" x14ac:dyDescent="0.25">
      <c r="B1374">
        <v>1501</v>
      </c>
      <c r="C1374">
        <v>168</v>
      </c>
      <c r="D1374">
        <v>72</v>
      </c>
      <c r="E1374">
        <v>8</v>
      </c>
      <c r="F1374">
        <v>6</v>
      </c>
      <c r="G1374">
        <v>13</v>
      </c>
      <c r="H1374">
        <v>2</v>
      </c>
      <c r="I1374">
        <v>0</v>
      </c>
      <c r="J1374">
        <v>21</v>
      </c>
      <c r="K1374" t="s">
        <v>242</v>
      </c>
    </row>
    <row r="1375" spans="2:11" x14ac:dyDescent="0.25">
      <c r="B1375">
        <v>1502</v>
      </c>
      <c r="C1375">
        <v>157</v>
      </c>
      <c r="D1375">
        <v>69</v>
      </c>
      <c r="E1375">
        <v>8</v>
      </c>
      <c r="F1375">
        <v>4</v>
      </c>
      <c r="G1375">
        <v>6</v>
      </c>
      <c r="H1375">
        <v>0</v>
      </c>
      <c r="I1375">
        <v>0</v>
      </c>
      <c r="J1375">
        <v>10</v>
      </c>
      <c r="K1375" t="s">
        <v>248</v>
      </c>
    </row>
    <row r="1376" spans="2:11" x14ac:dyDescent="0.25">
      <c r="B1376">
        <v>1503</v>
      </c>
      <c r="C1376">
        <v>326</v>
      </c>
      <c r="D1376">
        <v>151</v>
      </c>
      <c r="E1376">
        <v>8</v>
      </c>
      <c r="F1376">
        <v>19</v>
      </c>
      <c r="G1376">
        <v>10</v>
      </c>
      <c r="H1376">
        <v>0</v>
      </c>
      <c r="I1376">
        <v>0</v>
      </c>
      <c r="J1376">
        <v>29</v>
      </c>
      <c r="K1376" t="s">
        <v>245</v>
      </c>
    </row>
    <row r="1377" spans="2:11" x14ac:dyDescent="0.25">
      <c r="B1377">
        <v>1504</v>
      </c>
      <c r="C1377">
        <v>158</v>
      </c>
      <c r="D1377">
        <v>69</v>
      </c>
      <c r="E1377">
        <v>8</v>
      </c>
      <c r="F1377">
        <v>9</v>
      </c>
      <c r="G1377">
        <v>11</v>
      </c>
      <c r="H1377">
        <v>0</v>
      </c>
      <c r="I1377">
        <v>0</v>
      </c>
      <c r="J1377">
        <v>20</v>
      </c>
      <c r="K1377" t="s">
        <v>242</v>
      </c>
    </row>
    <row r="1378" spans="2:11" x14ac:dyDescent="0.25">
      <c r="B1378">
        <v>1505</v>
      </c>
      <c r="C1378">
        <v>168</v>
      </c>
      <c r="D1378">
        <v>72</v>
      </c>
      <c r="E1378">
        <v>7</v>
      </c>
      <c r="F1378">
        <v>10</v>
      </c>
      <c r="G1378">
        <v>18</v>
      </c>
      <c r="H1378">
        <v>0</v>
      </c>
      <c r="I1378">
        <v>0</v>
      </c>
      <c r="J1378">
        <v>28</v>
      </c>
      <c r="K1378" t="s">
        <v>247</v>
      </c>
    </row>
    <row r="1379" spans="2:11" x14ac:dyDescent="0.25">
      <c r="B1379">
        <v>1506</v>
      </c>
      <c r="C1379">
        <v>66</v>
      </c>
      <c r="D1379">
        <v>35</v>
      </c>
      <c r="E1379">
        <v>7</v>
      </c>
      <c r="F1379">
        <v>5</v>
      </c>
      <c r="G1379">
        <v>7</v>
      </c>
      <c r="H1379">
        <v>8</v>
      </c>
      <c r="I1379">
        <v>0</v>
      </c>
      <c r="J1379">
        <v>20</v>
      </c>
      <c r="K1379" t="s">
        <v>247</v>
      </c>
    </row>
    <row r="1380" spans="2:11" x14ac:dyDescent="0.25">
      <c r="B1380">
        <v>1507</v>
      </c>
      <c r="C1380">
        <v>253</v>
      </c>
      <c r="D1380">
        <v>115</v>
      </c>
      <c r="E1380">
        <v>8</v>
      </c>
      <c r="F1380">
        <v>7</v>
      </c>
      <c r="G1380">
        <v>14</v>
      </c>
      <c r="H1380">
        <v>0</v>
      </c>
      <c r="I1380">
        <v>0</v>
      </c>
      <c r="J1380">
        <v>21</v>
      </c>
      <c r="K1380" t="s">
        <v>245</v>
      </c>
    </row>
    <row r="1381" spans="2:11" x14ac:dyDescent="0.25">
      <c r="B1381">
        <v>1509</v>
      </c>
      <c r="C1381">
        <v>147</v>
      </c>
      <c r="D1381">
        <v>66</v>
      </c>
      <c r="E1381">
        <v>8</v>
      </c>
      <c r="F1381">
        <v>23</v>
      </c>
      <c r="G1381">
        <v>7</v>
      </c>
      <c r="H1381">
        <v>0</v>
      </c>
      <c r="I1381">
        <v>0</v>
      </c>
      <c r="J1381">
        <v>30</v>
      </c>
      <c r="K1381" t="s">
        <v>242</v>
      </c>
    </row>
    <row r="1382" spans="2:11" x14ac:dyDescent="0.25">
      <c r="B1382">
        <v>1510</v>
      </c>
      <c r="C1382">
        <v>120</v>
      </c>
      <c r="D1382">
        <v>55</v>
      </c>
      <c r="E1382">
        <v>7</v>
      </c>
      <c r="F1382">
        <v>28</v>
      </c>
      <c r="G1382">
        <v>2</v>
      </c>
      <c r="H1382">
        <v>0</v>
      </c>
      <c r="I1382">
        <v>0</v>
      </c>
      <c r="J1382">
        <v>30</v>
      </c>
      <c r="K1382" t="s">
        <v>247</v>
      </c>
    </row>
    <row r="1383" spans="2:11" x14ac:dyDescent="0.25">
      <c r="B1383">
        <v>1513</v>
      </c>
      <c r="C1383">
        <v>160</v>
      </c>
      <c r="D1383">
        <v>69</v>
      </c>
      <c r="E1383">
        <v>8</v>
      </c>
      <c r="F1383">
        <v>1</v>
      </c>
      <c r="G1383">
        <v>16</v>
      </c>
      <c r="H1383">
        <v>0</v>
      </c>
      <c r="I1383">
        <v>0</v>
      </c>
      <c r="J1383">
        <v>17</v>
      </c>
      <c r="K1383" t="s">
        <v>242</v>
      </c>
    </row>
    <row r="1384" spans="2:11" x14ac:dyDescent="0.25">
      <c r="B1384">
        <v>1514</v>
      </c>
      <c r="C1384">
        <v>142</v>
      </c>
      <c r="D1384">
        <v>62</v>
      </c>
      <c r="E1384">
        <v>8</v>
      </c>
      <c r="F1384">
        <v>15</v>
      </c>
      <c r="G1384">
        <v>5</v>
      </c>
      <c r="H1384">
        <v>1</v>
      </c>
      <c r="I1384">
        <v>0</v>
      </c>
      <c r="J1384">
        <v>21</v>
      </c>
      <c r="K1384" t="s">
        <v>245</v>
      </c>
    </row>
    <row r="1385" spans="2:11" x14ac:dyDescent="0.25">
      <c r="B1385">
        <v>1517</v>
      </c>
      <c r="C1385">
        <v>251</v>
      </c>
      <c r="D1385">
        <v>113</v>
      </c>
      <c r="E1385">
        <v>8</v>
      </c>
      <c r="F1385">
        <v>4</v>
      </c>
      <c r="G1385">
        <v>1</v>
      </c>
      <c r="H1385">
        <v>3</v>
      </c>
      <c r="I1385">
        <v>0</v>
      </c>
      <c r="J1385">
        <v>8</v>
      </c>
      <c r="K1385" t="s">
        <v>248</v>
      </c>
    </row>
    <row r="1386" spans="2:11" x14ac:dyDescent="0.25">
      <c r="B1386">
        <v>1518</v>
      </c>
      <c r="C1386">
        <v>252</v>
      </c>
      <c r="D1386">
        <v>114</v>
      </c>
      <c r="E1386">
        <v>8</v>
      </c>
      <c r="F1386">
        <v>9</v>
      </c>
      <c r="G1386">
        <v>7</v>
      </c>
      <c r="H1386">
        <v>3</v>
      </c>
      <c r="I1386">
        <v>0</v>
      </c>
      <c r="J1386">
        <v>19</v>
      </c>
      <c r="K1386" t="s">
        <v>248</v>
      </c>
    </row>
    <row r="1387" spans="2:11" x14ac:dyDescent="0.25">
      <c r="B1387">
        <v>1519</v>
      </c>
      <c r="C1387">
        <v>307</v>
      </c>
      <c r="D1387">
        <v>142</v>
      </c>
      <c r="E1387">
        <v>8</v>
      </c>
      <c r="F1387">
        <v>5</v>
      </c>
      <c r="G1387">
        <v>8</v>
      </c>
      <c r="H1387">
        <v>0</v>
      </c>
      <c r="I1387">
        <v>0</v>
      </c>
      <c r="J1387">
        <v>13</v>
      </c>
      <c r="K1387" t="s">
        <v>247</v>
      </c>
    </row>
    <row r="1388" spans="2:11" x14ac:dyDescent="0.25">
      <c r="B1388">
        <v>1520</v>
      </c>
      <c r="C1388">
        <v>303</v>
      </c>
      <c r="D1388">
        <v>140</v>
      </c>
      <c r="E1388">
        <v>8</v>
      </c>
      <c r="F1388">
        <v>6</v>
      </c>
      <c r="G1388">
        <v>1</v>
      </c>
      <c r="H1388">
        <v>0</v>
      </c>
      <c r="I1388">
        <v>0</v>
      </c>
      <c r="J1388">
        <v>7</v>
      </c>
      <c r="K1388" t="s">
        <v>247</v>
      </c>
    </row>
    <row r="1389" spans="2:11" x14ac:dyDescent="0.25">
      <c r="B1389">
        <v>1521</v>
      </c>
      <c r="C1389">
        <v>327</v>
      </c>
      <c r="D1389">
        <v>152</v>
      </c>
      <c r="E1389">
        <v>8</v>
      </c>
      <c r="F1389">
        <v>25</v>
      </c>
      <c r="G1389">
        <v>5</v>
      </c>
      <c r="H1389">
        <v>0</v>
      </c>
      <c r="I1389">
        <v>0</v>
      </c>
      <c r="J1389">
        <v>30</v>
      </c>
      <c r="K1389" t="s">
        <v>247</v>
      </c>
    </row>
    <row r="1390" spans="2:11" x14ac:dyDescent="0.25">
      <c r="B1390">
        <v>1523</v>
      </c>
      <c r="C1390">
        <v>290</v>
      </c>
      <c r="D1390">
        <v>135</v>
      </c>
      <c r="E1390">
        <v>7</v>
      </c>
      <c r="F1390">
        <v>13</v>
      </c>
      <c r="G1390">
        <v>3</v>
      </c>
      <c r="H1390">
        <v>0</v>
      </c>
      <c r="I1390">
        <v>0</v>
      </c>
      <c r="J1390">
        <v>16</v>
      </c>
      <c r="K1390" t="s">
        <v>247</v>
      </c>
    </row>
    <row r="1391" spans="2:11" x14ac:dyDescent="0.25">
      <c r="B1391">
        <v>1524</v>
      </c>
      <c r="C1391">
        <v>86</v>
      </c>
      <c r="D1391">
        <v>42</v>
      </c>
      <c r="E1391">
        <v>5</v>
      </c>
      <c r="F1391">
        <v>13</v>
      </c>
      <c r="G1391">
        <v>17</v>
      </c>
      <c r="H1391">
        <v>0</v>
      </c>
      <c r="I1391">
        <v>0</v>
      </c>
      <c r="J1391">
        <v>30</v>
      </c>
      <c r="K1391" t="s">
        <v>245</v>
      </c>
    </row>
    <row r="1392" spans="2:11" x14ac:dyDescent="0.25">
      <c r="B1392">
        <v>1525</v>
      </c>
      <c r="C1392">
        <v>255</v>
      </c>
      <c r="D1392">
        <v>116</v>
      </c>
      <c r="E1392">
        <v>7</v>
      </c>
      <c r="F1392">
        <v>17</v>
      </c>
      <c r="G1392">
        <v>1</v>
      </c>
      <c r="H1392">
        <v>3</v>
      </c>
      <c r="I1392">
        <v>0</v>
      </c>
      <c r="J1392">
        <v>21</v>
      </c>
      <c r="K1392" t="s">
        <v>243</v>
      </c>
    </row>
    <row r="1393" spans="2:11" x14ac:dyDescent="0.25">
      <c r="B1393">
        <v>1526</v>
      </c>
      <c r="C1393">
        <v>108</v>
      </c>
      <c r="D1393">
        <v>51</v>
      </c>
      <c r="E1393">
        <v>2</v>
      </c>
      <c r="F1393">
        <v>7</v>
      </c>
      <c r="G1393">
        <v>14</v>
      </c>
      <c r="H1393">
        <v>2</v>
      </c>
      <c r="I1393">
        <v>0</v>
      </c>
      <c r="J1393">
        <v>23</v>
      </c>
      <c r="K1393" t="s">
        <v>242</v>
      </c>
    </row>
    <row r="1394" spans="2:11" x14ac:dyDescent="0.25">
      <c r="B1394">
        <v>1527</v>
      </c>
      <c r="C1394">
        <v>135</v>
      </c>
      <c r="D1394">
        <v>60</v>
      </c>
      <c r="E1394">
        <v>5</v>
      </c>
      <c r="F1394">
        <v>4</v>
      </c>
      <c r="G1394">
        <v>6</v>
      </c>
      <c r="H1394">
        <v>1</v>
      </c>
      <c r="I1394">
        <v>0</v>
      </c>
      <c r="J1394">
        <v>11</v>
      </c>
      <c r="K1394" t="s">
        <v>245</v>
      </c>
    </row>
    <row r="1395" spans="2:11" x14ac:dyDescent="0.25">
      <c r="B1395">
        <v>1529</v>
      </c>
      <c r="C1395">
        <v>105</v>
      </c>
      <c r="D1395">
        <v>51</v>
      </c>
      <c r="E1395">
        <v>5</v>
      </c>
      <c r="F1395">
        <v>22</v>
      </c>
      <c r="G1395">
        <v>7</v>
      </c>
      <c r="H1395">
        <v>0</v>
      </c>
      <c r="I1395">
        <v>0</v>
      </c>
      <c r="J1395">
        <v>29</v>
      </c>
      <c r="K1395" t="s">
        <v>242</v>
      </c>
    </row>
    <row r="1396" spans="2:11" x14ac:dyDescent="0.25">
      <c r="B1396">
        <v>1530</v>
      </c>
      <c r="C1396">
        <v>86</v>
      </c>
      <c r="D1396">
        <v>42</v>
      </c>
      <c r="E1396">
        <v>4</v>
      </c>
      <c r="F1396">
        <v>6</v>
      </c>
      <c r="G1396">
        <v>20</v>
      </c>
      <c r="H1396">
        <v>0</v>
      </c>
      <c r="I1396">
        <v>0</v>
      </c>
      <c r="J1396">
        <v>26</v>
      </c>
      <c r="K1396" t="s">
        <v>245</v>
      </c>
    </row>
    <row r="1397" spans="2:11" x14ac:dyDescent="0.25">
      <c r="B1397">
        <v>1531</v>
      </c>
      <c r="C1397">
        <v>282</v>
      </c>
      <c r="D1397">
        <v>130</v>
      </c>
      <c r="E1397">
        <v>7</v>
      </c>
      <c r="F1397">
        <v>14</v>
      </c>
      <c r="G1397">
        <v>6</v>
      </c>
      <c r="H1397">
        <v>1</v>
      </c>
      <c r="I1397">
        <v>0</v>
      </c>
      <c r="J1397">
        <v>21</v>
      </c>
      <c r="K1397" t="s">
        <v>243</v>
      </c>
    </row>
    <row r="1398" spans="2:11" x14ac:dyDescent="0.25">
      <c r="B1398">
        <v>1532</v>
      </c>
      <c r="C1398">
        <v>129</v>
      </c>
      <c r="D1398">
        <v>57</v>
      </c>
      <c r="E1398">
        <v>5</v>
      </c>
      <c r="F1398">
        <v>9</v>
      </c>
      <c r="G1398">
        <v>2</v>
      </c>
      <c r="H1398">
        <v>3</v>
      </c>
      <c r="I1398">
        <v>0</v>
      </c>
      <c r="J1398">
        <v>14</v>
      </c>
      <c r="K1398" t="s">
        <v>242</v>
      </c>
    </row>
    <row r="1399" spans="2:11" x14ac:dyDescent="0.25">
      <c r="B1399">
        <v>1533</v>
      </c>
      <c r="C1399">
        <v>86</v>
      </c>
      <c r="D1399">
        <v>42</v>
      </c>
      <c r="E1399">
        <v>3</v>
      </c>
      <c r="F1399">
        <v>7</v>
      </c>
      <c r="G1399">
        <v>21</v>
      </c>
      <c r="H1399">
        <v>0</v>
      </c>
      <c r="I1399">
        <v>0</v>
      </c>
      <c r="J1399">
        <v>28</v>
      </c>
      <c r="K1399" t="s">
        <v>245</v>
      </c>
    </row>
    <row r="1400" spans="2:11" x14ac:dyDescent="0.25">
      <c r="B1400">
        <v>1536</v>
      </c>
      <c r="C1400">
        <v>344</v>
      </c>
      <c r="D1400">
        <v>155</v>
      </c>
      <c r="E1400">
        <v>3</v>
      </c>
      <c r="F1400">
        <v>8</v>
      </c>
      <c r="G1400">
        <v>11</v>
      </c>
      <c r="H1400">
        <v>2</v>
      </c>
      <c r="I1400">
        <v>0</v>
      </c>
      <c r="J1400">
        <v>21</v>
      </c>
      <c r="K1400" t="s">
        <v>245</v>
      </c>
    </row>
    <row r="1401" spans="2:11" x14ac:dyDescent="0.25">
      <c r="B1401">
        <v>1537</v>
      </c>
      <c r="C1401">
        <v>138</v>
      </c>
      <c r="D1401">
        <v>61</v>
      </c>
      <c r="E1401">
        <v>7</v>
      </c>
      <c r="F1401">
        <v>25</v>
      </c>
      <c r="G1401">
        <v>5</v>
      </c>
      <c r="H1401">
        <v>0</v>
      </c>
      <c r="I1401">
        <v>0</v>
      </c>
      <c r="J1401">
        <v>30</v>
      </c>
      <c r="K1401" t="s">
        <v>241</v>
      </c>
    </row>
    <row r="1402" spans="2:11" x14ac:dyDescent="0.25">
      <c r="B1402">
        <v>1538</v>
      </c>
      <c r="C1402">
        <v>344</v>
      </c>
      <c r="D1402">
        <v>155</v>
      </c>
      <c r="E1402">
        <v>5</v>
      </c>
      <c r="F1402">
        <v>5</v>
      </c>
      <c r="G1402">
        <v>9</v>
      </c>
      <c r="H1402">
        <v>0</v>
      </c>
      <c r="I1402">
        <v>0</v>
      </c>
      <c r="J1402">
        <v>14</v>
      </c>
      <c r="K1402" t="s">
        <v>242</v>
      </c>
    </row>
    <row r="1403" spans="2:11" x14ac:dyDescent="0.25">
      <c r="B1403">
        <v>1540</v>
      </c>
      <c r="C1403">
        <v>320</v>
      </c>
      <c r="D1403">
        <v>148</v>
      </c>
      <c r="E1403">
        <v>7</v>
      </c>
      <c r="F1403">
        <v>18</v>
      </c>
      <c r="G1403">
        <v>12</v>
      </c>
      <c r="H1403">
        <v>0</v>
      </c>
      <c r="I1403">
        <v>0</v>
      </c>
      <c r="J1403">
        <v>30</v>
      </c>
      <c r="K1403" t="s">
        <v>243</v>
      </c>
    </row>
    <row r="1404" spans="2:11" x14ac:dyDescent="0.25">
      <c r="B1404">
        <v>5370</v>
      </c>
      <c r="C1404">
        <v>215</v>
      </c>
      <c r="D1404">
        <v>94</v>
      </c>
      <c r="E1404">
        <v>14</v>
      </c>
      <c r="F1404">
        <v>8</v>
      </c>
      <c r="G1404">
        <v>2</v>
      </c>
      <c r="H1404">
        <v>0</v>
      </c>
      <c r="I1404">
        <v>0</v>
      </c>
      <c r="J1404">
        <v>10</v>
      </c>
      <c r="K1404" t="s">
        <v>245</v>
      </c>
    </row>
    <row r="1405" spans="2:11" x14ac:dyDescent="0.25">
      <c r="B1405">
        <v>5376</v>
      </c>
      <c r="C1405">
        <v>200</v>
      </c>
      <c r="D1405">
        <v>87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 t="s">
        <v>246</v>
      </c>
    </row>
    <row r="1406" spans="2:11" x14ac:dyDescent="0.25">
      <c r="B1406">
        <v>5377</v>
      </c>
      <c r="C1406">
        <v>200</v>
      </c>
      <c r="D1406">
        <v>87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 t="s">
        <v>246</v>
      </c>
    </row>
    <row r="1407" spans="2:11" x14ac:dyDescent="0.25">
      <c r="B1407">
        <v>5375</v>
      </c>
      <c r="C1407">
        <v>28</v>
      </c>
      <c r="D1407">
        <v>15</v>
      </c>
      <c r="E1407">
        <v>2</v>
      </c>
      <c r="F1407">
        <v>9</v>
      </c>
      <c r="G1407">
        <v>5</v>
      </c>
      <c r="H1407">
        <v>5</v>
      </c>
      <c r="I1407">
        <v>0</v>
      </c>
      <c r="J1407">
        <v>19</v>
      </c>
      <c r="K1407" t="s">
        <v>247</v>
      </c>
    </row>
    <row r="1408" spans="2:11" x14ac:dyDescent="0.25">
      <c r="B1408">
        <v>5378</v>
      </c>
      <c r="C1408">
        <v>200</v>
      </c>
      <c r="D1408">
        <v>87</v>
      </c>
      <c r="E1408">
        <v>5</v>
      </c>
      <c r="F1408">
        <v>3</v>
      </c>
      <c r="G1408">
        <v>4</v>
      </c>
      <c r="H1408">
        <v>0</v>
      </c>
      <c r="I1408">
        <v>0</v>
      </c>
      <c r="J1408">
        <v>7</v>
      </c>
      <c r="K1408" t="s">
        <v>246</v>
      </c>
    </row>
    <row r="1409" spans="2:11" x14ac:dyDescent="0.25">
      <c r="B1409">
        <v>1542</v>
      </c>
      <c r="C1409">
        <v>108</v>
      </c>
      <c r="D1409">
        <v>51</v>
      </c>
      <c r="E1409">
        <v>3</v>
      </c>
      <c r="F1409">
        <v>14</v>
      </c>
      <c r="G1409">
        <v>9</v>
      </c>
      <c r="H1409">
        <v>1</v>
      </c>
      <c r="I1409">
        <v>0</v>
      </c>
      <c r="J1409">
        <v>24</v>
      </c>
      <c r="K1409" t="s">
        <v>247</v>
      </c>
    </row>
    <row r="1410" spans="2:11" x14ac:dyDescent="0.25">
      <c r="B1410">
        <v>1544</v>
      </c>
      <c r="C1410">
        <v>152</v>
      </c>
      <c r="D1410">
        <v>69</v>
      </c>
      <c r="E1410">
        <v>7</v>
      </c>
      <c r="F1410">
        <v>0</v>
      </c>
      <c r="G1410">
        <v>10</v>
      </c>
      <c r="H1410">
        <v>0</v>
      </c>
      <c r="I1410">
        <v>0</v>
      </c>
      <c r="J1410">
        <v>10</v>
      </c>
      <c r="K1410" t="s">
        <v>241</v>
      </c>
    </row>
    <row r="1411" spans="2:11" x14ac:dyDescent="0.25">
      <c r="B1411">
        <v>1546</v>
      </c>
      <c r="C1411">
        <v>108</v>
      </c>
      <c r="D1411">
        <v>51</v>
      </c>
      <c r="E1411">
        <v>4</v>
      </c>
      <c r="F1411">
        <v>13</v>
      </c>
      <c r="G1411">
        <v>10</v>
      </c>
      <c r="H1411">
        <v>2</v>
      </c>
      <c r="I1411">
        <v>0</v>
      </c>
      <c r="J1411">
        <v>25</v>
      </c>
      <c r="K1411" t="s">
        <v>247</v>
      </c>
    </row>
    <row r="1412" spans="2:11" x14ac:dyDescent="0.25">
      <c r="B1412">
        <v>1547</v>
      </c>
      <c r="C1412">
        <v>132</v>
      </c>
      <c r="D1412">
        <v>59</v>
      </c>
      <c r="E1412">
        <v>5</v>
      </c>
      <c r="F1412">
        <v>8</v>
      </c>
      <c r="G1412">
        <v>0</v>
      </c>
      <c r="H1412">
        <v>1</v>
      </c>
      <c r="I1412">
        <v>0</v>
      </c>
      <c r="J1412">
        <v>9</v>
      </c>
      <c r="K1412" t="s">
        <v>246</v>
      </c>
    </row>
    <row r="1413" spans="2:11" x14ac:dyDescent="0.25">
      <c r="B1413">
        <v>1548</v>
      </c>
      <c r="C1413">
        <v>126</v>
      </c>
      <c r="D1413">
        <v>56</v>
      </c>
      <c r="E1413">
        <v>1</v>
      </c>
      <c r="F1413">
        <v>6</v>
      </c>
      <c r="G1413">
        <v>3</v>
      </c>
      <c r="H1413">
        <v>1</v>
      </c>
      <c r="I1413">
        <v>0</v>
      </c>
      <c r="J1413">
        <v>10</v>
      </c>
      <c r="K1413" t="s">
        <v>248</v>
      </c>
    </row>
    <row r="1414" spans="2:11" x14ac:dyDescent="0.25">
      <c r="B1414">
        <v>1550</v>
      </c>
      <c r="C1414">
        <v>108</v>
      </c>
      <c r="D1414">
        <v>51</v>
      </c>
      <c r="E1414">
        <v>1</v>
      </c>
      <c r="F1414">
        <v>12</v>
      </c>
      <c r="G1414">
        <v>8</v>
      </c>
      <c r="H1414">
        <v>1</v>
      </c>
      <c r="I1414">
        <v>0</v>
      </c>
      <c r="J1414">
        <v>21</v>
      </c>
      <c r="K1414" t="s">
        <v>247</v>
      </c>
    </row>
    <row r="1415" spans="2:11" x14ac:dyDescent="0.25">
      <c r="B1415">
        <v>1551</v>
      </c>
      <c r="C1415">
        <v>143</v>
      </c>
      <c r="D1415">
        <v>63</v>
      </c>
      <c r="E1415">
        <v>8</v>
      </c>
      <c r="F1415">
        <v>6</v>
      </c>
      <c r="G1415">
        <v>2</v>
      </c>
      <c r="H1415">
        <v>0</v>
      </c>
      <c r="I1415">
        <v>0</v>
      </c>
      <c r="J1415">
        <v>8</v>
      </c>
      <c r="K1415" t="s">
        <v>245</v>
      </c>
    </row>
    <row r="1416" spans="2:11" x14ac:dyDescent="0.25">
      <c r="B1416">
        <v>1553</v>
      </c>
      <c r="C1416">
        <v>93</v>
      </c>
      <c r="D1416">
        <v>46</v>
      </c>
      <c r="E1416">
        <v>6</v>
      </c>
      <c r="F1416">
        <v>16</v>
      </c>
      <c r="G1416">
        <v>9</v>
      </c>
      <c r="H1416">
        <v>0</v>
      </c>
      <c r="I1416">
        <v>0</v>
      </c>
      <c r="J1416">
        <v>25</v>
      </c>
      <c r="K1416" t="s">
        <v>243</v>
      </c>
    </row>
    <row r="1417" spans="2:11" x14ac:dyDescent="0.25">
      <c r="B1417">
        <v>1554</v>
      </c>
      <c r="C1417">
        <v>21</v>
      </c>
      <c r="D1417">
        <v>10</v>
      </c>
      <c r="E1417">
        <v>7</v>
      </c>
      <c r="F1417">
        <v>9</v>
      </c>
      <c r="G1417">
        <v>6</v>
      </c>
      <c r="H1417">
        <v>0</v>
      </c>
      <c r="I1417">
        <v>0</v>
      </c>
      <c r="J1417">
        <v>15</v>
      </c>
      <c r="K1417" t="s">
        <v>247</v>
      </c>
    </row>
    <row r="1418" spans="2:11" x14ac:dyDescent="0.25">
      <c r="B1418">
        <v>1555</v>
      </c>
      <c r="C1418">
        <v>150</v>
      </c>
      <c r="D1418">
        <v>69</v>
      </c>
      <c r="E1418">
        <v>8</v>
      </c>
      <c r="F1418">
        <v>14</v>
      </c>
      <c r="G1418">
        <v>3</v>
      </c>
      <c r="H1418">
        <v>0</v>
      </c>
      <c r="I1418">
        <v>0</v>
      </c>
      <c r="J1418">
        <v>17</v>
      </c>
      <c r="K1418" t="s">
        <v>245</v>
      </c>
    </row>
    <row r="1419" spans="2:11" x14ac:dyDescent="0.25">
      <c r="B1419">
        <v>1556</v>
      </c>
      <c r="C1419">
        <v>126</v>
      </c>
      <c r="D1419">
        <v>56</v>
      </c>
      <c r="E1419">
        <v>2</v>
      </c>
      <c r="F1419">
        <v>6</v>
      </c>
      <c r="G1419">
        <v>3</v>
      </c>
      <c r="H1419">
        <v>1</v>
      </c>
      <c r="I1419">
        <v>0</v>
      </c>
      <c r="J1419">
        <v>10</v>
      </c>
      <c r="K1419" t="s">
        <v>248</v>
      </c>
    </row>
    <row r="1420" spans="2:11" x14ac:dyDescent="0.25">
      <c r="B1420">
        <v>1557</v>
      </c>
      <c r="C1420">
        <v>18</v>
      </c>
      <c r="D1420">
        <v>9</v>
      </c>
      <c r="E1420">
        <v>7</v>
      </c>
      <c r="F1420">
        <v>9</v>
      </c>
      <c r="G1420">
        <v>5</v>
      </c>
      <c r="H1420">
        <v>0</v>
      </c>
      <c r="I1420">
        <v>0</v>
      </c>
      <c r="J1420">
        <v>14</v>
      </c>
      <c r="K1420" t="s">
        <v>247</v>
      </c>
    </row>
    <row r="1421" spans="2:11" x14ac:dyDescent="0.25">
      <c r="B1421">
        <v>1560</v>
      </c>
      <c r="C1421">
        <v>273</v>
      </c>
      <c r="D1421">
        <v>124</v>
      </c>
      <c r="E1421">
        <v>6</v>
      </c>
      <c r="F1421">
        <v>10</v>
      </c>
      <c r="G1421">
        <v>19</v>
      </c>
      <c r="H1421">
        <v>0</v>
      </c>
      <c r="I1421">
        <v>0</v>
      </c>
      <c r="J1421">
        <v>29</v>
      </c>
      <c r="K1421" t="s">
        <v>243</v>
      </c>
    </row>
    <row r="1422" spans="2:11" x14ac:dyDescent="0.25">
      <c r="B1422">
        <v>1561</v>
      </c>
      <c r="C1422">
        <v>126</v>
      </c>
      <c r="D1422">
        <v>56</v>
      </c>
      <c r="E1422">
        <v>3</v>
      </c>
      <c r="F1422">
        <v>7</v>
      </c>
      <c r="G1422">
        <v>3</v>
      </c>
      <c r="H1422">
        <v>1</v>
      </c>
      <c r="I1422">
        <v>0</v>
      </c>
      <c r="J1422">
        <v>11</v>
      </c>
      <c r="K1422" t="s">
        <v>248</v>
      </c>
    </row>
    <row r="1423" spans="2:11" x14ac:dyDescent="0.25">
      <c r="B1423">
        <v>1562</v>
      </c>
      <c r="C1423">
        <v>68</v>
      </c>
      <c r="D1423">
        <v>35</v>
      </c>
      <c r="E1423">
        <v>7</v>
      </c>
      <c r="F1423">
        <v>5</v>
      </c>
      <c r="G1423">
        <v>8</v>
      </c>
      <c r="H1423">
        <v>8</v>
      </c>
      <c r="I1423">
        <v>0</v>
      </c>
      <c r="J1423">
        <v>21</v>
      </c>
      <c r="K1423" t="s">
        <v>246</v>
      </c>
    </row>
    <row r="1424" spans="2:11" x14ac:dyDescent="0.25">
      <c r="B1424">
        <v>1564</v>
      </c>
      <c r="C1424">
        <v>20</v>
      </c>
      <c r="D1424">
        <v>10</v>
      </c>
      <c r="E1424">
        <v>7</v>
      </c>
      <c r="F1424">
        <v>11</v>
      </c>
      <c r="G1424">
        <v>6</v>
      </c>
      <c r="H1424">
        <v>0</v>
      </c>
      <c r="I1424">
        <v>0</v>
      </c>
      <c r="J1424">
        <v>17</v>
      </c>
      <c r="K1424" t="s">
        <v>247</v>
      </c>
    </row>
    <row r="1425" spans="2:11" x14ac:dyDescent="0.25">
      <c r="B1425">
        <v>1565</v>
      </c>
      <c r="C1425">
        <v>93</v>
      </c>
      <c r="D1425">
        <v>46</v>
      </c>
      <c r="E1425">
        <v>7</v>
      </c>
      <c r="F1425">
        <v>13</v>
      </c>
      <c r="G1425">
        <v>9</v>
      </c>
      <c r="H1425">
        <v>2</v>
      </c>
      <c r="I1425">
        <v>0</v>
      </c>
      <c r="J1425">
        <v>24</v>
      </c>
      <c r="K1425" t="s">
        <v>246</v>
      </c>
    </row>
    <row r="1426" spans="2:11" x14ac:dyDescent="0.25">
      <c r="B1426">
        <v>1567</v>
      </c>
      <c r="C1426">
        <v>272</v>
      </c>
      <c r="D1426">
        <v>123</v>
      </c>
      <c r="E1426">
        <v>6</v>
      </c>
      <c r="F1426">
        <v>4</v>
      </c>
      <c r="G1426">
        <v>5</v>
      </c>
      <c r="H1426">
        <v>6</v>
      </c>
      <c r="I1426">
        <v>0</v>
      </c>
      <c r="J1426">
        <v>15</v>
      </c>
      <c r="K1426" t="s">
        <v>243</v>
      </c>
    </row>
    <row r="1427" spans="2:11" x14ac:dyDescent="0.25">
      <c r="B1427">
        <v>1568</v>
      </c>
      <c r="C1427">
        <v>272</v>
      </c>
      <c r="D1427">
        <v>123</v>
      </c>
      <c r="E1427">
        <v>7</v>
      </c>
      <c r="F1427">
        <v>11</v>
      </c>
      <c r="G1427">
        <v>7</v>
      </c>
      <c r="H1427">
        <v>12</v>
      </c>
      <c r="I1427">
        <v>0</v>
      </c>
      <c r="J1427">
        <v>30</v>
      </c>
      <c r="K1427" t="s">
        <v>241</v>
      </c>
    </row>
    <row r="1428" spans="2:11" x14ac:dyDescent="0.25">
      <c r="B1428">
        <v>1569</v>
      </c>
      <c r="C1428">
        <v>64</v>
      </c>
      <c r="D1428">
        <v>35</v>
      </c>
      <c r="E1428">
        <v>7</v>
      </c>
      <c r="F1428">
        <v>8</v>
      </c>
      <c r="G1428">
        <v>16</v>
      </c>
      <c r="H1428">
        <v>2</v>
      </c>
      <c r="I1428">
        <v>0</v>
      </c>
      <c r="J1428">
        <v>26</v>
      </c>
      <c r="K1428" t="s">
        <v>242</v>
      </c>
    </row>
    <row r="1429" spans="2:11" x14ac:dyDescent="0.25">
      <c r="B1429">
        <v>1571</v>
      </c>
      <c r="C1429">
        <v>126</v>
      </c>
      <c r="D1429">
        <v>56</v>
      </c>
      <c r="E1429">
        <v>4</v>
      </c>
      <c r="F1429">
        <v>7</v>
      </c>
      <c r="G1429">
        <v>3</v>
      </c>
      <c r="H1429">
        <v>1</v>
      </c>
      <c r="I1429">
        <v>0</v>
      </c>
      <c r="J1429">
        <v>11</v>
      </c>
      <c r="K1429" t="s">
        <v>248</v>
      </c>
    </row>
    <row r="1430" spans="2:11" x14ac:dyDescent="0.25">
      <c r="B1430">
        <v>1572</v>
      </c>
      <c r="C1430">
        <v>273</v>
      </c>
      <c r="D1430">
        <v>124</v>
      </c>
      <c r="E1430">
        <v>7</v>
      </c>
      <c r="F1430">
        <v>10</v>
      </c>
      <c r="G1430">
        <v>15</v>
      </c>
      <c r="H1430">
        <v>0</v>
      </c>
      <c r="I1430">
        <v>0</v>
      </c>
      <c r="J1430">
        <v>25</v>
      </c>
      <c r="K1430" t="s">
        <v>241</v>
      </c>
    </row>
    <row r="1431" spans="2:11" x14ac:dyDescent="0.25">
      <c r="B1431">
        <v>1573</v>
      </c>
      <c r="C1431">
        <v>88</v>
      </c>
      <c r="D1431">
        <v>43</v>
      </c>
      <c r="E1431">
        <v>7</v>
      </c>
      <c r="F1431">
        <v>7</v>
      </c>
      <c r="G1431">
        <v>18</v>
      </c>
      <c r="H1431">
        <v>1</v>
      </c>
      <c r="I1431">
        <v>0</v>
      </c>
      <c r="J1431">
        <v>26</v>
      </c>
      <c r="K1431" t="s">
        <v>242</v>
      </c>
    </row>
    <row r="1432" spans="2:11" x14ac:dyDescent="0.25">
      <c r="B1432">
        <v>1574</v>
      </c>
      <c r="C1432">
        <v>256</v>
      </c>
      <c r="D1432">
        <v>117</v>
      </c>
      <c r="E1432">
        <v>7</v>
      </c>
      <c r="F1432">
        <v>7</v>
      </c>
      <c r="G1432">
        <v>3</v>
      </c>
      <c r="H1432">
        <v>0</v>
      </c>
      <c r="I1432">
        <v>0</v>
      </c>
      <c r="J1432">
        <v>10</v>
      </c>
      <c r="K1432" t="s">
        <v>241</v>
      </c>
    </row>
    <row r="1433" spans="2:11" x14ac:dyDescent="0.25">
      <c r="B1433">
        <v>1578</v>
      </c>
      <c r="C1433">
        <v>67</v>
      </c>
      <c r="D1433">
        <v>35</v>
      </c>
      <c r="E1433">
        <v>7</v>
      </c>
      <c r="F1433">
        <v>15</v>
      </c>
      <c r="G1433">
        <v>6</v>
      </c>
      <c r="H1433">
        <v>9</v>
      </c>
      <c r="I1433">
        <v>0</v>
      </c>
      <c r="J1433">
        <v>30</v>
      </c>
      <c r="K1433" t="s">
        <v>242</v>
      </c>
    </row>
    <row r="1434" spans="2:11" x14ac:dyDescent="0.25">
      <c r="B1434">
        <v>1579</v>
      </c>
      <c r="C1434">
        <v>86</v>
      </c>
      <c r="D1434">
        <v>42</v>
      </c>
      <c r="E1434">
        <v>6</v>
      </c>
      <c r="F1434">
        <v>9</v>
      </c>
      <c r="G1434">
        <v>20</v>
      </c>
      <c r="H1434">
        <v>0</v>
      </c>
      <c r="I1434">
        <v>0</v>
      </c>
      <c r="J1434">
        <v>29</v>
      </c>
      <c r="K1434" t="s">
        <v>246</v>
      </c>
    </row>
    <row r="1435" spans="2:11" x14ac:dyDescent="0.25">
      <c r="B1435">
        <v>1580</v>
      </c>
      <c r="C1435">
        <v>126</v>
      </c>
      <c r="D1435">
        <v>56</v>
      </c>
      <c r="E1435">
        <v>5</v>
      </c>
      <c r="F1435">
        <v>6</v>
      </c>
      <c r="G1435">
        <v>3</v>
      </c>
      <c r="H1435">
        <v>1</v>
      </c>
      <c r="I1435">
        <v>0</v>
      </c>
      <c r="J1435">
        <v>10</v>
      </c>
      <c r="K1435" t="s">
        <v>248</v>
      </c>
    </row>
    <row r="1436" spans="2:11" x14ac:dyDescent="0.25">
      <c r="B1436">
        <v>1581</v>
      </c>
      <c r="C1436">
        <v>249</v>
      </c>
      <c r="D1436">
        <v>112</v>
      </c>
      <c r="E1436">
        <v>7</v>
      </c>
      <c r="F1436">
        <v>3</v>
      </c>
      <c r="G1436">
        <v>19</v>
      </c>
      <c r="H1436">
        <v>7</v>
      </c>
      <c r="I1436">
        <v>0</v>
      </c>
      <c r="J1436">
        <v>14</v>
      </c>
      <c r="K1436" t="s">
        <v>245</v>
      </c>
    </row>
    <row r="1437" spans="2:11" x14ac:dyDescent="0.25">
      <c r="B1437">
        <v>1583</v>
      </c>
      <c r="C1437">
        <v>169</v>
      </c>
      <c r="D1437">
        <v>73</v>
      </c>
      <c r="E1437">
        <v>7</v>
      </c>
      <c r="F1437">
        <v>8</v>
      </c>
      <c r="G1437">
        <v>7</v>
      </c>
      <c r="H1437">
        <v>0</v>
      </c>
      <c r="I1437">
        <v>0</v>
      </c>
      <c r="J1437">
        <v>15</v>
      </c>
      <c r="K1437" t="s">
        <v>241</v>
      </c>
    </row>
    <row r="1438" spans="2:11" x14ac:dyDescent="0.25">
      <c r="B1438">
        <v>1584</v>
      </c>
      <c r="C1438">
        <v>13</v>
      </c>
      <c r="D1438">
        <v>4</v>
      </c>
      <c r="E1438">
        <v>6</v>
      </c>
      <c r="F1438">
        <v>3</v>
      </c>
      <c r="G1438">
        <v>20</v>
      </c>
      <c r="H1438">
        <v>0</v>
      </c>
      <c r="I1438">
        <v>0</v>
      </c>
      <c r="J1438">
        <v>23</v>
      </c>
      <c r="K1438" t="s">
        <v>246</v>
      </c>
    </row>
    <row r="1439" spans="2:11" x14ac:dyDescent="0.25">
      <c r="B1439">
        <v>1586</v>
      </c>
      <c r="C1439">
        <v>122</v>
      </c>
      <c r="D1439">
        <v>55</v>
      </c>
      <c r="E1439">
        <v>7</v>
      </c>
      <c r="F1439">
        <v>8</v>
      </c>
      <c r="G1439">
        <v>1</v>
      </c>
      <c r="H1439">
        <v>0</v>
      </c>
      <c r="I1439">
        <v>0</v>
      </c>
      <c r="J1439">
        <v>9</v>
      </c>
      <c r="K1439" t="s">
        <v>245</v>
      </c>
    </row>
    <row r="1440" spans="2:11" x14ac:dyDescent="0.25">
      <c r="B1440">
        <v>1587</v>
      </c>
      <c r="C1440">
        <v>122</v>
      </c>
      <c r="D1440">
        <v>55</v>
      </c>
      <c r="E1440">
        <v>6</v>
      </c>
      <c r="F1440">
        <v>10</v>
      </c>
      <c r="G1440">
        <v>5</v>
      </c>
      <c r="H1440">
        <v>0</v>
      </c>
      <c r="I1440">
        <v>0</v>
      </c>
      <c r="J1440">
        <v>15</v>
      </c>
      <c r="K1440" t="s">
        <v>246</v>
      </c>
    </row>
    <row r="1441" spans="2:11" x14ac:dyDescent="0.25">
      <c r="B1441">
        <v>1589</v>
      </c>
      <c r="C1441">
        <v>92</v>
      </c>
      <c r="D1441">
        <v>46</v>
      </c>
      <c r="E1441">
        <v>7</v>
      </c>
      <c r="F1441">
        <v>22</v>
      </c>
      <c r="G1441">
        <v>8</v>
      </c>
      <c r="H1441">
        <v>0</v>
      </c>
      <c r="I1441">
        <v>0</v>
      </c>
      <c r="J1441">
        <v>30</v>
      </c>
      <c r="K1441" t="s">
        <v>245</v>
      </c>
    </row>
    <row r="1442" spans="2:11" x14ac:dyDescent="0.25">
      <c r="B1442">
        <v>1590</v>
      </c>
      <c r="C1442">
        <v>92</v>
      </c>
      <c r="D1442">
        <v>46</v>
      </c>
      <c r="E1442">
        <v>6</v>
      </c>
      <c r="F1442">
        <v>23</v>
      </c>
      <c r="G1442">
        <v>7</v>
      </c>
      <c r="H1442">
        <v>0</v>
      </c>
      <c r="I1442">
        <v>0</v>
      </c>
      <c r="J1442">
        <v>30</v>
      </c>
      <c r="K1442" t="s">
        <v>246</v>
      </c>
    </row>
    <row r="1443" spans="2:11" x14ac:dyDescent="0.25">
      <c r="B1443">
        <v>1592</v>
      </c>
      <c r="C1443">
        <v>243</v>
      </c>
      <c r="D1443">
        <v>108</v>
      </c>
      <c r="E1443">
        <v>7</v>
      </c>
      <c r="F1443">
        <v>9</v>
      </c>
      <c r="G1443">
        <v>1</v>
      </c>
      <c r="H1443">
        <v>0</v>
      </c>
      <c r="I1443">
        <v>0</v>
      </c>
      <c r="J1443">
        <v>10</v>
      </c>
      <c r="K1443" t="s">
        <v>243</v>
      </c>
    </row>
    <row r="1444" spans="2:11" x14ac:dyDescent="0.25">
      <c r="B1444">
        <v>1593</v>
      </c>
      <c r="C1444">
        <v>113</v>
      </c>
      <c r="D1444">
        <v>52</v>
      </c>
      <c r="E1444">
        <v>7</v>
      </c>
      <c r="F1444">
        <v>16</v>
      </c>
      <c r="G1444">
        <v>12</v>
      </c>
      <c r="H1444">
        <v>0</v>
      </c>
      <c r="I1444">
        <v>0</v>
      </c>
      <c r="J1444">
        <v>28</v>
      </c>
      <c r="K1444" t="s">
        <v>245</v>
      </c>
    </row>
    <row r="1445" spans="2:11" x14ac:dyDescent="0.25">
      <c r="B1445">
        <v>1596</v>
      </c>
      <c r="C1445">
        <v>250</v>
      </c>
      <c r="D1445">
        <v>112</v>
      </c>
      <c r="E1445">
        <v>7</v>
      </c>
      <c r="F1445">
        <v>3</v>
      </c>
      <c r="G1445">
        <v>0</v>
      </c>
      <c r="H1445">
        <v>1</v>
      </c>
      <c r="I1445">
        <v>0</v>
      </c>
      <c r="J1445">
        <v>4</v>
      </c>
      <c r="K1445" t="s">
        <v>247</v>
      </c>
    </row>
    <row r="1446" spans="2:11" x14ac:dyDescent="0.25">
      <c r="B1446">
        <v>1597</v>
      </c>
      <c r="C1446">
        <v>13</v>
      </c>
      <c r="D1446">
        <v>4</v>
      </c>
      <c r="E1446">
        <v>7</v>
      </c>
      <c r="F1446">
        <v>4</v>
      </c>
      <c r="G1446">
        <v>25</v>
      </c>
      <c r="H1446">
        <v>0</v>
      </c>
      <c r="I1446">
        <v>0</v>
      </c>
      <c r="J1446">
        <v>29</v>
      </c>
      <c r="K1446" t="s">
        <v>247</v>
      </c>
    </row>
    <row r="1447" spans="2:11" x14ac:dyDescent="0.25">
      <c r="B1447">
        <v>1598</v>
      </c>
      <c r="C1447">
        <v>258</v>
      </c>
      <c r="D1447">
        <v>118</v>
      </c>
      <c r="E1447">
        <v>8</v>
      </c>
      <c r="F1447">
        <v>2</v>
      </c>
      <c r="G1447">
        <v>4</v>
      </c>
      <c r="H1447">
        <v>1</v>
      </c>
      <c r="I1447">
        <v>0</v>
      </c>
      <c r="J1447">
        <v>7</v>
      </c>
      <c r="K1447" t="s">
        <v>245</v>
      </c>
    </row>
    <row r="1448" spans="2:11" x14ac:dyDescent="0.25">
      <c r="B1448">
        <v>1599</v>
      </c>
      <c r="C1448">
        <v>164</v>
      </c>
      <c r="D1448">
        <v>70</v>
      </c>
      <c r="E1448">
        <v>8</v>
      </c>
      <c r="F1448">
        <v>4</v>
      </c>
      <c r="G1448">
        <v>0</v>
      </c>
      <c r="H1448">
        <v>0</v>
      </c>
      <c r="I1448">
        <v>0</v>
      </c>
      <c r="J1448">
        <v>4</v>
      </c>
      <c r="K1448" t="s">
        <v>245</v>
      </c>
    </row>
    <row r="1449" spans="2:11" x14ac:dyDescent="0.25">
      <c r="B1449">
        <v>1601</v>
      </c>
      <c r="C1449">
        <v>69</v>
      </c>
      <c r="D1449">
        <v>35</v>
      </c>
      <c r="E1449">
        <v>7</v>
      </c>
      <c r="F1449">
        <v>5</v>
      </c>
      <c r="G1449">
        <v>10</v>
      </c>
      <c r="H1449">
        <v>1</v>
      </c>
      <c r="I1449">
        <v>0</v>
      </c>
      <c r="J1449">
        <v>16</v>
      </c>
      <c r="K1449" t="s">
        <v>243</v>
      </c>
    </row>
    <row r="1450" spans="2:11" x14ac:dyDescent="0.25">
      <c r="B1450">
        <v>1602</v>
      </c>
      <c r="C1450">
        <v>281</v>
      </c>
      <c r="D1450">
        <v>129</v>
      </c>
      <c r="E1450">
        <v>7</v>
      </c>
      <c r="F1450">
        <v>8</v>
      </c>
      <c r="G1450">
        <v>19</v>
      </c>
      <c r="H1450">
        <v>0</v>
      </c>
      <c r="I1450">
        <v>0</v>
      </c>
      <c r="J1450">
        <v>27</v>
      </c>
      <c r="K1450" t="s">
        <v>243</v>
      </c>
    </row>
    <row r="1451" spans="2:11" x14ac:dyDescent="0.25">
      <c r="B1451">
        <v>1603</v>
      </c>
      <c r="C1451">
        <v>107</v>
      </c>
      <c r="D1451">
        <v>51</v>
      </c>
      <c r="E1451">
        <v>7</v>
      </c>
      <c r="F1451">
        <v>10</v>
      </c>
      <c r="G1451">
        <v>16</v>
      </c>
      <c r="H1451">
        <v>2</v>
      </c>
      <c r="I1451">
        <v>0</v>
      </c>
      <c r="J1451">
        <v>28</v>
      </c>
      <c r="K1451" t="s">
        <v>246</v>
      </c>
    </row>
    <row r="1452" spans="2:11" x14ac:dyDescent="0.25">
      <c r="B1452">
        <v>1604</v>
      </c>
      <c r="C1452">
        <v>111</v>
      </c>
      <c r="D1452">
        <v>51</v>
      </c>
      <c r="E1452">
        <v>7</v>
      </c>
      <c r="F1452">
        <v>1</v>
      </c>
      <c r="G1452">
        <v>7</v>
      </c>
      <c r="H1452">
        <v>0</v>
      </c>
      <c r="I1452">
        <v>0</v>
      </c>
      <c r="J1452">
        <v>8</v>
      </c>
      <c r="K1452" t="s">
        <v>248</v>
      </c>
    </row>
    <row r="1453" spans="2:11" x14ac:dyDescent="0.25">
      <c r="B1453">
        <v>1606</v>
      </c>
      <c r="C1453">
        <v>15</v>
      </c>
      <c r="D1453">
        <v>6</v>
      </c>
      <c r="E1453">
        <v>6</v>
      </c>
      <c r="F1453">
        <v>2</v>
      </c>
      <c r="G1453">
        <v>2</v>
      </c>
      <c r="H1453">
        <v>0</v>
      </c>
      <c r="I1453">
        <v>0</v>
      </c>
      <c r="J1453">
        <v>4</v>
      </c>
      <c r="K1453" t="s">
        <v>243</v>
      </c>
    </row>
    <row r="1454" spans="2:11" x14ac:dyDescent="0.25">
      <c r="B1454">
        <v>1607</v>
      </c>
      <c r="C1454">
        <v>169</v>
      </c>
      <c r="D1454">
        <v>73</v>
      </c>
      <c r="E1454">
        <v>8</v>
      </c>
      <c r="F1454">
        <v>7</v>
      </c>
      <c r="G1454">
        <v>4</v>
      </c>
      <c r="H1454">
        <v>0</v>
      </c>
      <c r="I1454">
        <v>0</v>
      </c>
      <c r="J1454">
        <v>11</v>
      </c>
      <c r="K1454" t="s">
        <v>247</v>
      </c>
    </row>
    <row r="1455" spans="2:11" x14ac:dyDescent="0.25">
      <c r="B1455">
        <v>1608</v>
      </c>
      <c r="C1455">
        <v>161</v>
      </c>
      <c r="D1455">
        <v>69</v>
      </c>
      <c r="E1455">
        <v>8</v>
      </c>
      <c r="F1455">
        <v>2</v>
      </c>
      <c r="G1455">
        <v>4</v>
      </c>
      <c r="H1455">
        <v>0</v>
      </c>
      <c r="I1455">
        <v>0</v>
      </c>
      <c r="J1455">
        <v>6</v>
      </c>
      <c r="K1455" t="s">
        <v>245</v>
      </c>
    </row>
    <row r="1456" spans="2:11" x14ac:dyDescent="0.25">
      <c r="B1456">
        <v>1609</v>
      </c>
      <c r="C1456">
        <v>309</v>
      </c>
      <c r="D1456">
        <v>144</v>
      </c>
      <c r="E1456">
        <v>8</v>
      </c>
      <c r="F1456">
        <v>6</v>
      </c>
      <c r="G1456">
        <v>10</v>
      </c>
      <c r="H1456">
        <v>0</v>
      </c>
      <c r="I1456">
        <v>0</v>
      </c>
      <c r="J1456">
        <v>16</v>
      </c>
      <c r="K1456" t="s">
        <v>247</v>
      </c>
    </row>
    <row r="1457" spans="2:11" x14ac:dyDescent="0.25">
      <c r="B1457">
        <v>1610</v>
      </c>
      <c r="C1457">
        <v>106</v>
      </c>
      <c r="D1457">
        <v>51</v>
      </c>
      <c r="E1457">
        <v>7</v>
      </c>
      <c r="F1457">
        <v>22</v>
      </c>
      <c r="G1457">
        <v>6</v>
      </c>
      <c r="H1457">
        <v>0</v>
      </c>
      <c r="I1457">
        <v>0</v>
      </c>
      <c r="J1457">
        <v>28</v>
      </c>
      <c r="K1457" t="s">
        <v>248</v>
      </c>
    </row>
    <row r="1458" spans="2:11" x14ac:dyDescent="0.25">
      <c r="B1458">
        <v>1611</v>
      </c>
      <c r="C1458">
        <v>274</v>
      </c>
      <c r="D1458">
        <v>125</v>
      </c>
      <c r="E1458">
        <v>6</v>
      </c>
      <c r="F1458">
        <v>11</v>
      </c>
      <c r="G1458">
        <v>8</v>
      </c>
      <c r="H1458">
        <v>0</v>
      </c>
      <c r="I1458">
        <v>0</v>
      </c>
      <c r="J1458">
        <v>19</v>
      </c>
      <c r="K1458" t="s">
        <v>243</v>
      </c>
    </row>
    <row r="1459" spans="2:11" x14ac:dyDescent="0.25">
      <c r="B1459">
        <v>1612</v>
      </c>
      <c r="C1459">
        <v>259</v>
      </c>
      <c r="D1459">
        <v>118</v>
      </c>
      <c r="E1459">
        <v>8</v>
      </c>
      <c r="F1459">
        <v>4</v>
      </c>
      <c r="G1459">
        <v>11</v>
      </c>
      <c r="H1459">
        <v>0</v>
      </c>
      <c r="I1459">
        <v>0</v>
      </c>
      <c r="J1459">
        <v>15</v>
      </c>
      <c r="K1459" t="s">
        <v>245</v>
      </c>
    </row>
    <row r="1460" spans="2:11" x14ac:dyDescent="0.25">
      <c r="B1460">
        <v>1613</v>
      </c>
      <c r="C1460">
        <v>70</v>
      </c>
      <c r="D1460">
        <v>35</v>
      </c>
      <c r="E1460">
        <v>7</v>
      </c>
      <c r="F1460">
        <v>20</v>
      </c>
      <c r="G1460">
        <v>7</v>
      </c>
      <c r="H1460">
        <v>3</v>
      </c>
      <c r="I1460">
        <v>0</v>
      </c>
      <c r="J1460">
        <v>30</v>
      </c>
      <c r="K1460" t="s">
        <v>242</v>
      </c>
    </row>
    <row r="1461" spans="2:11" x14ac:dyDescent="0.25">
      <c r="B1461">
        <v>1614</v>
      </c>
      <c r="C1461">
        <v>121</v>
      </c>
      <c r="D1461">
        <v>55</v>
      </c>
      <c r="E1461">
        <v>7</v>
      </c>
      <c r="F1461">
        <v>5</v>
      </c>
      <c r="G1461">
        <v>2</v>
      </c>
      <c r="H1461">
        <v>0</v>
      </c>
      <c r="I1461">
        <v>0</v>
      </c>
      <c r="J1461">
        <v>7</v>
      </c>
      <c r="K1461" t="s">
        <v>246</v>
      </c>
    </row>
    <row r="1462" spans="2:11" x14ac:dyDescent="0.25">
      <c r="B1462">
        <v>1615</v>
      </c>
      <c r="C1462">
        <v>121</v>
      </c>
      <c r="D1462">
        <v>55</v>
      </c>
      <c r="E1462">
        <v>6</v>
      </c>
      <c r="F1462">
        <v>6</v>
      </c>
      <c r="G1462">
        <v>4</v>
      </c>
      <c r="H1462">
        <v>0</v>
      </c>
      <c r="I1462">
        <v>0</v>
      </c>
      <c r="J1462">
        <v>10</v>
      </c>
      <c r="K1462" t="s">
        <v>246</v>
      </c>
    </row>
    <row r="1463" spans="2:11" x14ac:dyDescent="0.25">
      <c r="B1463">
        <v>1616</v>
      </c>
      <c r="C1463">
        <v>95</v>
      </c>
      <c r="D1463">
        <v>47</v>
      </c>
      <c r="E1463">
        <v>6</v>
      </c>
      <c r="F1463">
        <v>5</v>
      </c>
      <c r="G1463">
        <v>14</v>
      </c>
      <c r="H1463">
        <v>1</v>
      </c>
      <c r="I1463">
        <v>0</v>
      </c>
      <c r="J1463">
        <v>20</v>
      </c>
      <c r="K1463" t="s">
        <v>243</v>
      </c>
    </row>
    <row r="1464" spans="2:11" x14ac:dyDescent="0.25">
      <c r="B1464">
        <v>1617</v>
      </c>
      <c r="C1464">
        <v>331</v>
      </c>
      <c r="D1464">
        <v>152</v>
      </c>
      <c r="E1464">
        <v>8</v>
      </c>
      <c r="F1464">
        <v>1</v>
      </c>
      <c r="G1464">
        <v>29</v>
      </c>
      <c r="H1464">
        <v>0</v>
      </c>
      <c r="I1464">
        <v>0</v>
      </c>
      <c r="J1464">
        <v>30</v>
      </c>
      <c r="K1464" t="s">
        <v>248</v>
      </c>
    </row>
    <row r="1465" spans="2:11" x14ac:dyDescent="0.25">
      <c r="B1465">
        <v>1618</v>
      </c>
      <c r="C1465">
        <v>15</v>
      </c>
      <c r="D1465">
        <v>6</v>
      </c>
      <c r="E1465">
        <v>7</v>
      </c>
      <c r="F1465">
        <v>8</v>
      </c>
      <c r="G1465">
        <v>5</v>
      </c>
      <c r="H1465">
        <v>1</v>
      </c>
      <c r="I1465">
        <v>0</v>
      </c>
      <c r="J1465">
        <v>14</v>
      </c>
      <c r="K1465" t="s">
        <v>242</v>
      </c>
    </row>
    <row r="1466" spans="2:11" x14ac:dyDescent="0.25">
      <c r="B1466">
        <v>1619</v>
      </c>
      <c r="C1466">
        <v>95</v>
      </c>
      <c r="D1466">
        <v>47</v>
      </c>
      <c r="E1466">
        <v>7</v>
      </c>
      <c r="F1466">
        <v>6</v>
      </c>
      <c r="G1466">
        <v>16</v>
      </c>
      <c r="H1466">
        <v>0</v>
      </c>
      <c r="I1466">
        <v>0</v>
      </c>
      <c r="J1466">
        <v>22</v>
      </c>
      <c r="K1466" t="s">
        <v>242</v>
      </c>
    </row>
    <row r="1467" spans="2:11" x14ac:dyDescent="0.25">
      <c r="B1467">
        <v>1620</v>
      </c>
      <c r="C1467">
        <v>334</v>
      </c>
      <c r="D1467">
        <v>152</v>
      </c>
      <c r="E1467">
        <v>8</v>
      </c>
      <c r="F1467">
        <v>15</v>
      </c>
      <c r="G1467">
        <v>15</v>
      </c>
      <c r="H1467">
        <v>0</v>
      </c>
      <c r="I1467">
        <v>0</v>
      </c>
      <c r="J1467">
        <v>30</v>
      </c>
      <c r="K1467" t="s">
        <v>241</v>
      </c>
    </row>
    <row r="1468" spans="2:11" x14ac:dyDescent="0.25">
      <c r="B1468">
        <v>1622</v>
      </c>
      <c r="C1468">
        <v>285</v>
      </c>
      <c r="D1468">
        <v>132</v>
      </c>
      <c r="E1468">
        <v>8</v>
      </c>
      <c r="F1468">
        <v>19</v>
      </c>
      <c r="G1468">
        <v>4</v>
      </c>
      <c r="H1468">
        <v>2</v>
      </c>
      <c r="I1468">
        <v>0</v>
      </c>
      <c r="J1468">
        <v>25</v>
      </c>
      <c r="K1468" t="s">
        <v>241</v>
      </c>
    </row>
    <row r="1469" spans="2:11" x14ac:dyDescent="0.25">
      <c r="B1469">
        <v>5374</v>
      </c>
      <c r="C1469">
        <v>93</v>
      </c>
      <c r="D1469">
        <v>46</v>
      </c>
      <c r="E1469">
        <v>18</v>
      </c>
      <c r="F1469">
        <v>16</v>
      </c>
      <c r="G1469">
        <v>10</v>
      </c>
      <c r="H1469">
        <v>0</v>
      </c>
      <c r="I1469">
        <v>0</v>
      </c>
      <c r="J1469">
        <v>26</v>
      </c>
      <c r="K1469" t="s">
        <v>252</v>
      </c>
    </row>
    <row r="1470" spans="2:11" x14ac:dyDescent="0.25">
      <c r="B1470">
        <v>5379</v>
      </c>
      <c r="C1470">
        <v>28</v>
      </c>
      <c r="D1470">
        <v>15</v>
      </c>
      <c r="E1470">
        <v>3</v>
      </c>
      <c r="F1470">
        <v>9</v>
      </c>
      <c r="G1470">
        <v>12</v>
      </c>
      <c r="H1470">
        <v>0</v>
      </c>
      <c r="I1470">
        <v>0</v>
      </c>
      <c r="J1470">
        <v>21</v>
      </c>
      <c r="K1470" t="s">
        <v>247</v>
      </c>
    </row>
    <row r="1471" spans="2:11" x14ac:dyDescent="0.25">
      <c r="B1471">
        <v>5381</v>
      </c>
      <c r="C1471">
        <v>200</v>
      </c>
      <c r="D1471">
        <v>87</v>
      </c>
      <c r="E1471">
        <v>6</v>
      </c>
      <c r="F1471">
        <v>9</v>
      </c>
      <c r="G1471">
        <v>8</v>
      </c>
      <c r="H1471">
        <v>0</v>
      </c>
      <c r="I1471">
        <v>0</v>
      </c>
      <c r="J1471">
        <v>17</v>
      </c>
      <c r="K1471" t="s">
        <v>246</v>
      </c>
    </row>
    <row r="1472" spans="2:11" x14ac:dyDescent="0.25">
      <c r="B1472">
        <v>5382</v>
      </c>
      <c r="C1472">
        <v>28</v>
      </c>
      <c r="D1472">
        <v>15</v>
      </c>
      <c r="E1472">
        <v>4</v>
      </c>
      <c r="F1472">
        <v>0</v>
      </c>
      <c r="G1472">
        <v>12</v>
      </c>
      <c r="H1472">
        <v>0</v>
      </c>
      <c r="I1472">
        <v>0</v>
      </c>
      <c r="J1472">
        <v>12</v>
      </c>
      <c r="K1472" t="s">
        <v>247</v>
      </c>
    </row>
    <row r="1473" spans="2:11" x14ac:dyDescent="0.25">
      <c r="B1473">
        <v>5383</v>
      </c>
      <c r="C1473">
        <v>200</v>
      </c>
      <c r="D1473">
        <v>87</v>
      </c>
      <c r="E1473">
        <v>7</v>
      </c>
      <c r="F1473">
        <v>3</v>
      </c>
      <c r="G1473">
        <v>7</v>
      </c>
      <c r="H1473">
        <v>0</v>
      </c>
      <c r="I1473">
        <v>0</v>
      </c>
      <c r="J1473">
        <v>10</v>
      </c>
      <c r="K1473" t="s">
        <v>246</v>
      </c>
    </row>
    <row r="1474" spans="2:11" x14ac:dyDescent="0.25">
      <c r="B1474">
        <v>5384</v>
      </c>
      <c r="C1474">
        <v>28</v>
      </c>
      <c r="D1474">
        <v>15</v>
      </c>
      <c r="E1474">
        <v>5</v>
      </c>
      <c r="F1474">
        <v>7</v>
      </c>
      <c r="G1474">
        <v>7</v>
      </c>
      <c r="H1474">
        <v>0</v>
      </c>
      <c r="I1474">
        <v>0</v>
      </c>
      <c r="J1474">
        <v>14</v>
      </c>
      <c r="K1474" t="s">
        <v>247</v>
      </c>
    </row>
    <row r="1475" spans="2:11" x14ac:dyDescent="0.25">
      <c r="B1475">
        <v>5385</v>
      </c>
      <c r="C1475">
        <v>200</v>
      </c>
      <c r="D1475">
        <v>87</v>
      </c>
      <c r="E1475">
        <v>8</v>
      </c>
      <c r="F1475">
        <v>3</v>
      </c>
      <c r="G1475">
        <v>4</v>
      </c>
      <c r="H1475">
        <v>0</v>
      </c>
      <c r="I1475">
        <v>0</v>
      </c>
      <c r="J1475">
        <v>7</v>
      </c>
      <c r="K1475" t="s">
        <v>246</v>
      </c>
    </row>
    <row r="1476" spans="2:11" x14ac:dyDescent="0.25">
      <c r="B1476">
        <v>5386</v>
      </c>
      <c r="C1476">
        <v>200</v>
      </c>
      <c r="D1476">
        <v>87</v>
      </c>
      <c r="E1476">
        <v>9</v>
      </c>
      <c r="F1476">
        <v>2</v>
      </c>
      <c r="G1476">
        <v>1</v>
      </c>
      <c r="H1476">
        <v>0</v>
      </c>
      <c r="I1476">
        <v>0</v>
      </c>
      <c r="J1476">
        <v>3</v>
      </c>
      <c r="K1476" t="s">
        <v>246</v>
      </c>
    </row>
    <row r="1477" spans="2:11" x14ac:dyDescent="0.25">
      <c r="B1477">
        <v>5389</v>
      </c>
      <c r="C1477">
        <v>74</v>
      </c>
      <c r="D1477">
        <v>36</v>
      </c>
      <c r="E1477">
        <v>18</v>
      </c>
      <c r="F1477">
        <v>3</v>
      </c>
      <c r="G1477">
        <v>10</v>
      </c>
      <c r="H1477">
        <v>0</v>
      </c>
      <c r="I1477">
        <v>0</v>
      </c>
      <c r="J1477">
        <v>13</v>
      </c>
      <c r="K1477" t="s">
        <v>252</v>
      </c>
    </row>
    <row r="1478" spans="2:11" x14ac:dyDescent="0.25">
      <c r="B1478">
        <v>5390</v>
      </c>
      <c r="C1478">
        <v>200</v>
      </c>
      <c r="D1478">
        <v>87</v>
      </c>
      <c r="E1478">
        <v>10</v>
      </c>
      <c r="F1478">
        <v>3</v>
      </c>
      <c r="G1478">
        <v>0</v>
      </c>
      <c r="H1478">
        <v>1</v>
      </c>
      <c r="I1478">
        <v>0</v>
      </c>
      <c r="J1478">
        <v>4</v>
      </c>
      <c r="K1478" t="s">
        <v>246</v>
      </c>
    </row>
    <row r="1479" spans="2:11" x14ac:dyDescent="0.25">
      <c r="B1479">
        <v>1623</v>
      </c>
      <c r="C1479">
        <v>300</v>
      </c>
      <c r="D1479">
        <v>138</v>
      </c>
      <c r="E1479">
        <v>8</v>
      </c>
      <c r="F1479">
        <v>5</v>
      </c>
      <c r="G1479">
        <v>3</v>
      </c>
      <c r="H1479">
        <v>0</v>
      </c>
      <c r="I1479">
        <v>0</v>
      </c>
      <c r="J1479">
        <v>8</v>
      </c>
      <c r="K1479" t="s">
        <v>241</v>
      </c>
    </row>
    <row r="1480" spans="2:11" x14ac:dyDescent="0.25">
      <c r="B1480">
        <v>1624</v>
      </c>
      <c r="C1480">
        <v>332</v>
      </c>
      <c r="D1480">
        <v>152</v>
      </c>
      <c r="E1480">
        <v>8</v>
      </c>
      <c r="F1480">
        <v>4</v>
      </c>
      <c r="G1480">
        <v>26</v>
      </c>
      <c r="H1480">
        <v>0</v>
      </c>
      <c r="I1480">
        <v>0</v>
      </c>
      <c r="J1480">
        <v>30</v>
      </c>
      <c r="K1480" t="s">
        <v>241</v>
      </c>
    </row>
    <row r="1481" spans="2:11" x14ac:dyDescent="0.25">
      <c r="B1481">
        <v>1625</v>
      </c>
      <c r="C1481">
        <v>162</v>
      </c>
      <c r="D1481">
        <v>69</v>
      </c>
      <c r="E1481">
        <v>8</v>
      </c>
      <c r="F1481">
        <v>9</v>
      </c>
      <c r="G1481">
        <v>3</v>
      </c>
      <c r="H1481">
        <v>0</v>
      </c>
      <c r="I1481">
        <v>0</v>
      </c>
      <c r="J1481">
        <v>12</v>
      </c>
      <c r="K1481" t="s">
        <v>243</v>
      </c>
    </row>
    <row r="1482" spans="2:11" x14ac:dyDescent="0.25">
      <c r="B1482">
        <v>1627</v>
      </c>
      <c r="C1482">
        <v>1</v>
      </c>
      <c r="D1482">
        <v>1</v>
      </c>
      <c r="E1482">
        <v>7</v>
      </c>
      <c r="F1482">
        <v>3</v>
      </c>
      <c r="G1482">
        <v>0</v>
      </c>
      <c r="H1482">
        <v>0</v>
      </c>
      <c r="I1482">
        <v>0</v>
      </c>
      <c r="J1482">
        <v>3</v>
      </c>
      <c r="K1482" t="s">
        <v>245</v>
      </c>
    </row>
    <row r="1483" spans="2:11" x14ac:dyDescent="0.25">
      <c r="B1483">
        <v>1629</v>
      </c>
      <c r="C1483">
        <v>53</v>
      </c>
      <c r="D1483">
        <v>27</v>
      </c>
      <c r="E1483">
        <v>7</v>
      </c>
      <c r="F1483">
        <v>8</v>
      </c>
      <c r="G1483">
        <v>5</v>
      </c>
      <c r="H1483">
        <v>0</v>
      </c>
      <c r="I1483">
        <v>0</v>
      </c>
      <c r="J1483">
        <v>13</v>
      </c>
      <c r="K1483" t="s">
        <v>242</v>
      </c>
    </row>
    <row r="1484" spans="2:11" x14ac:dyDescent="0.25">
      <c r="B1484">
        <v>1630</v>
      </c>
      <c r="C1484">
        <v>40</v>
      </c>
      <c r="D1484">
        <v>19</v>
      </c>
      <c r="E1484">
        <v>5</v>
      </c>
      <c r="F1484">
        <v>24</v>
      </c>
      <c r="G1484">
        <v>0</v>
      </c>
      <c r="H1484">
        <v>0</v>
      </c>
      <c r="I1484">
        <v>0</v>
      </c>
      <c r="J1484">
        <v>24</v>
      </c>
      <c r="K1484" t="s">
        <v>247</v>
      </c>
    </row>
    <row r="1485" spans="2:11" x14ac:dyDescent="0.25">
      <c r="B1485">
        <v>1631</v>
      </c>
      <c r="C1485">
        <v>40</v>
      </c>
      <c r="D1485">
        <v>19</v>
      </c>
      <c r="E1485">
        <v>4</v>
      </c>
      <c r="F1485">
        <v>22</v>
      </c>
      <c r="G1485">
        <v>1</v>
      </c>
      <c r="H1485">
        <v>0</v>
      </c>
      <c r="I1485">
        <v>0</v>
      </c>
      <c r="J1485">
        <v>23</v>
      </c>
      <c r="K1485" t="s">
        <v>247</v>
      </c>
    </row>
    <row r="1486" spans="2:11" x14ac:dyDescent="0.25">
      <c r="B1486">
        <v>1632</v>
      </c>
      <c r="C1486">
        <v>324</v>
      </c>
      <c r="D1486">
        <v>150</v>
      </c>
      <c r="E1486">
        <v>8</v>
      </c>
      <c r="F1486">
        <v>3</v>
      </c>
      <c r="G1486">
        <v>7</v>
      </c>
      <c r="H1486">
        <v>1</v>
      </c>
      <c r="I1486">
        <v>0</v>
      </c>
      <c r="J1486">
        <v>11</v>
      </c>
      <c r="K1486" t="s">
        <v>241</v>
      </c>
    </row>
    <row r="1487" spans="2:11" x14ac:dyDescent="0.25">
      <c r="B1487">
        <v>1634</v>
      </c>
      <c r="C1487">
        <v>166</v>
      </c>
      <c r="D1487">
        <v>71</v>
      </c>
      <c r="E1487">
        <v>8</v>
      </c>
      <c r="F1487">
        <v>0</v>
      </c>
      <c r="G1487">
        <v>2</v>
      </c>
      <c r="H1487">
        <v>0</v>
      </c>
      <c r="I1487">
        <v>0</v>
      </c>
      <c r="J1487">
        <v>2</v>
      </c>
      <c r="K1487" t="s">
        <v>243</v>
      </c>
    </row>
    <row r="1488" spans="2:11" x14ac:dyDescent="0.25">
      <c r="B1488">
        <v>1635</v>
      </c>
      <c r="C1488">
        <v>343</v>
      </c>
      <c r="D1488">
        <v>154</v>
      </c>
      <c r="E1488">
        <v>7</v>
      </c>
      <c r="F1488">
        <v>5</v>
      </c>
      <c r="G1488">
        <v>14</v>
      </c>
      <c r="H1488">
        <v>0</v>
      </c>
      <c r="I1488">
        <v>0</v>
      </c>
      <c r="J1488">
        <v>19</v>
      </c>
      <c r="K1488" t="s">
        <v>246</v>
      </c>
    </row>
    <row r="1489" spans="2:11" x14ac:dyDescent="0.25">
      <c r="B1489">
        <v>1636</v>
      </c>
      <c r="C1489">
        <v>51</v>
      </c>
      <c r="D1489">
        <v>26</v>
      </c>
      <c r="E1489">
        <v>7</v>
      </c>
      <c r="F1489">
        <v>7</v>
      </c>
      <c r="G1489">
        <v>7</v>
      </c>
      <c r="H1489">
        <v>0</v>
      </c>
      <c r="I1489">
        <v>0</v>
      </c>
      <c r="J1489">
        <v>14</v>
      </c>
      <c r="K1489" t="s">
        <v>242</v>
      </c>
    </row>
    <row r="1490" spans="2:11" x14ac:dyDescent="0.25">
      <c r="B1490">
        <v>1637</v>
      </c>
      <c r="C1490">
        <v>341</v>
      </c>
      <c r="D1490">
        <v>152</v>
      </c>
      <c r="E1490">
        <v>7</v>
      </c>
      <c r="F1490">
        <v>20</v>
      </c>
      <c r="G1490">
        <v>10</v>
      </c>
      <c r="H1490">
        <v>0</v>
      </c>
      <c r="I1490">
        <v>0</v>
      </c>
      <c r="J1490">
        <v>30</v>
      </c>
      <c r="K1490" t="s">
        <v>248</v>
      </c>
    </row>
    <row r="1491" spans="2:11" x14ac:dyDescent="0.25">
      <c r="B1491">
        <v>1638</v>
      </c>
      <c r="C1491">
        <v>246</v>
      </c>
      <c r="D1491">
        <v>110</v>
      </c>
      <c r="E1491">
        <v>7</v>
      </c>
      <c r="F1491">
        <v>8</v>
      </c>
      <c r="G1491">
        <v>6</v>
      </c>
      <c r="H1491">
        <v>6</v>
      </c>
      <c r="I1491">
        <v>0</v>
      </c>
      <c r="J1491">
        <v>20</v>
      </c>
      <c r="K1491" t="s">
        <v>245</v>
      </c>
    </row>
    <row r="1492" spans="2:11" x14ac:dyDescent="0.25">
      <c r="B1492">
        <v>1639</v>
      </c>
      <c r="C1492">
        <v>40</v>
      </c>
      <c r="D1492">
        <v>19</v>
      </c>
      <c r="E1492">
        <v>7</v>
      </c>
      <c r="F1492">
        <v>11</v>
      </c>
      <c r="G1492">
        <v>0</v>
      </c>
      <c r="H1492">
        <v>0</v>
      </c>
      <c r="I1492">
        <v>0</v>
      </c>
      <c r="J1492">
        <v>11</v>
      </c>
      <c r="K1492" t="s">
        <v>247</v>
      </c>
    </row>
    <row r="1493" spans="2:11" x14ac:dyDescent="0.25">
      <c r="B1493">
        <v>1640</v>
      </c>
      <c r="C1493">
        <v>40</v>
      </c>
      <c r="D1493">
        <v>19</v>
      </c>
      <c r="E1493">
        <v>6</v>
      </c>
      <c r="F1493">
        <v>30</v>
      </c>
      <c r="G1493">
        <v>0</v>
      </c>
      <c r="H1493">
        <v>0</v>
      </c>
      <c r="I1493">
        <v>0</v>
      </c>
      <c r="J1493">
        <v>30</v>
      </c>
      <c r="K1493" t="s">
        <v>247</v>
      </c>
    </row>
    <row r="1494" spans="2:11" x14ac:dyDescent="0.25">
      <c r="B1494">
        <v>1641</v>
      </c>
      <c r="C1494">
        <v>46</v>
      </c>
      <c r="D1494">
        <v>23</v>
      </c>
      <c r="E1494">
        <v>7</v>
      </c>
      <c r="F1494">
        <v>13</v>
      </c>
      <c r="G1494">
        <v>9</v>
      </c>
      <c r="H1494">
        <v>1</v>
      </c>
      <c r="I1494">
        <v>0</v>
      </c>
      <c r="J1494">
        <v>23</v>
      </c>
      <c r="K1494" t="s">
        <v>242</v>
      </c>
    </row>
    <row r="1495" spans="2:11" x14ac:dyDescent="0.25">
      <c r="B1495">
        <v>1642</v>
      </c>
      <c r="C1495">
        <v>339</v>
      </c>
      <c r="D1495">
        <v>152</v>
      </c>
      <c r="E1495">
        <v>7</v>
      </c>
      <c r="F1495">
        <v>8</v>
      </c>
      <c r="G1495">
        <v>22</v>
      </c>
      <c r="H1495">
        <v>0</v>
      </c>
      <c r="I1495">
        <v>0</v>
      </c>
      <c r="J1495">
        <v>30</v>
      </c>
      <c r="K1495" t="s">
        <v>246</v>
      </c>
    </row>
    <row r="1496" spans="2:11" x14ac:dyDescent="0.25">
      <c r="B1496">
        <v>1643</v>
      </c>
      <c r="C1496">
        <v>40</v>
      </c>
      <c r="D1496">
        <v>19</v>
      </c>
      <c r="E1496">
        <v>1</v>
      </c>
      <c r="F1496">
        <v>12</v>
      </c>
      <c r="G1496">
        <v>0</v>
      </c>
      <c r="H1496">
        <v>0</v>
      </c>
      <c r="I1496">
        <v>0</v>
      </c>
      <c r="J1496">
        <v>12</v>
      </c>
      <c r="K1496" t="s">
        <v>247</v>
      </c>
    </row>
    <row r="1497" spans="2:11" x14ac:dyDescent="0.25">
      <c r="B1497">
        <v>1644</v>
      </c>
      <c r="C1497">
        <v>74</v>
      </c>
      <c r="D1497">
        <v>36</v>
      </c>
      <c r="E1497">
        <v>7</v>
      </c>
      <c r="F1497">
        <v>6</v>
      </c>
      <c r="G1497">
        <v>7</v>
      </c>
      <c r="H1497">
        <v>0</v>
      </c>
      <c r="I1497">
        <v>0</v>
      </c>
      <c r="J1497">
        <v>13</v>
      </c>
      <c r="K1497" t="s">
        <v>241</v>
      </c>
    </row>
    <row r="1498" spans="2:11" x14ac:dyDescent="0.25">
      <c r="B1498">
        <v>1645</v>
      </c>
      <c r="C1498">
        <v>48</v>
      </c>
      <c r="D1498">
        <v>24</v>
      </c>
      <c r="E1498">
        <v>7</v>
      </c>
      <c r="F1498">
        <v>9</v>
      </c>
      <c r="G1498">
        <v>11</v>
      </c>
      <c r="H1498">
        <v>0</v>
      </c>
      <c r="I1498">
        <v>0</v>
      </c>
      <c r="J1498">
        <v>20</v>
      </c>
      <c r="K1498" t="s">
        <v>242</v>
      </c>
    </row>
    <row r="1499" spans="2:11" x14ac:dyDescent="0.25">
      <c r="B1499">
        <v>1646</v>
      </c>
      <c r="C1499">
        <v>247</v>
      </c>
      <c r="D1499">
        <v>110</v>
      </c>
      <c r="E1499">
        <v>7</v>
      </c>
      <c r="F1499">
        <v>6</v>
      </c>
      <c r="G1499">
        <v>4</v>
      </c>
      <c r="H1499">
        <v>10</v>
      </c>
      <c r="I1499">
        <v>0</v>
      </c>
      <c r="J1499">
        <v>20</v>
      </c>
      <c r="K1499" t="s">
        <v>245</v>
      </c>
    </row>
    <row r="1500" spans="2:11" x14ac:dyDescent="0.25">
      <c r="B1500">
        <v>1647</v>
      </c>
      <c r="C1500">
        <v>261</v>
      </c>
      <c r="D1500">
        <v>118</v>
      </c>
      <c r="E1500">
        <v>8</v>
      </c>
      <c r="F1500">
        <v>7</v>
      </c>
      <c r="G1500">
        <v>10</v>
      </c>
      <c r="H1500">
        <v>4</v>
      </c>
      <c r="I1500">
        <v>0</v>
      </c>
      <c r="J1500">
        <v>21</v>
      </c>
      <c r="K1500" t="s">
        <v>243</v>
      </c>
    </row>
    <row r="1501" spans="2:11" x14ac:dyDescent="0.25">
      <c r="B1501">
        <v>1648</v>
      </c>
      <c r="C1501">
        <v>2</v>
      </c>
      <c r="D1501">
        <v>1</v>
      </c>
      <c r="E1501">
        <v>7</v>
      </c>
      <c r="F1501">
        <v>4</v>
      </c>
      <c r="G1501">
        <v>4</v>
      </c>
      <c r="H1501">
        <v>2</v>
      </c>
      <c r="I1501">
        <v>0</v>
      </c>
      <c r="J1501">
        <v>10</v>
      </c>
      <c r="K1501" t="s">
        <v>241</v>
      </c>
    </row>
    <row r="1502" spans="2:11" x14ac:dyDescent="0.25">
      <c r="B1502">
        <v>1649</v>
      </c>
      <c r="C1502">
        <v>48</v>
      </c>
      <c r="D1502">
        <v>24</v>
      </c>
      <c r="E1502">
        <v>6</v>
      </c>
      <c r="F1502">
        <v>8</v>
      </c>
      <c r="G1502">
        <v>12</v>
      </c>
      <c r="H1502">
        <v>0</v>
      </c>
      <c r="I1502">
        <v>0</v>
      </c>
      <c r="J1502">
        <v>20</v>
      </c>
      <c r="K1502" t="s">
        <v>246</v>
      </c>
    </row>
    <row r="1503" spans="2:11" x14ac:dyDescent="0.25">
      <c r="B1503">
        <v>1650</v>
      </c>
      <c r="C1503">
        <v>40</v>
      </c>
      <c r="D1503">
        <v>19</v>
      </c>
      <c r="E1503">
        <v>3</v>
      </c>
      <c r="F1503">
        <v>20</v>
      </c>
      <c r="G1503">
        <v>1</v>
      </c>
      <c r="H1503">
        <v>0</v>
      </c>
      <c r="I1503">
        <v>0</v>
      </c>
      <c r="J1503">
        <v>21</v>
      </c>
      <c r="K1503" t="s">
        <v>247</v>
      </c>
    </row>
    <row r="1504" spans="2:11" x14ac:dyDescent="0.25">
      <c r="B1504">
        <v>1651</v>
      </c>
      <c r="C1504">
        <v>324</v>
      </c>
      <c r="D1504">
        <v>150</v>
      </c>
      <c r="E1504">
        <v>7</v>
      </c>
      <c r="F1504">
        <v>2</v>
      </c>
      <c r="G1504">
        <v>8</v>
      </c>
      <c r="H1504">
        <v>1</v>
      </c>
      <c r="I1504">
        <v>0</v>
      </c>
      <c r="J1504">
        <v>11</v>
      </c>
      <c r="K1504" t="s">
        <v>248</v>
      </c>
    </row>
    <row r="1505" spans="2:11" x14ac:dyDescent="0.25">
      <c r="B1505">
        <v>1652</v>
      </c>
      <c r="C1505">
        <v>286</v>
      </c>
      <c r="D1505">
        <v>133</v>
      </c>
      <c r="E1505">
        <v>8</v>
      </c>
      <c r="F1505">
        <v>8</v>
      </c>
      <c r="G1505">
        <v>4</v>
      </c>
      <c r="H1505">
        <v>1</v>
      </c>
      <c r="I1505">
        <v>0</v>
      </c>
      <c r="J1505">
        <v>13</v>
      </c>
      <c r="K1505" t="s">
        <v>241</v>
      </c>
    </row>
    <row r="1506" spans="2:11" x14ac:dyDescent="0.25">
      <c r="B1506">
        <v>1653</v>
      </c>
      <c r="C1506">
        <v>40</v>
      </c>
      <c r="D1506">
        <v>19</v>
      </c>
      <c r="E1506">
        <v>2</v>
      </c>
      <c r="F1506">
        <v>16</v>
      </c>
      <c r="G1506">
        <v>1</v>
      </c>
      <c r="H1506">
        <v>0</v>
      </c>
      <c r="I1506">
        <v>0</v>
      </c>
      <c r="J1506">
        <v>17</v>
      </c>
      <c r="K1506" t="s">
        <v>247</v>
      </c>
    </row>
    <row r="1507" spans="2:11" x14ac:dyDescent="0.25">
      <c r="B1507">
        <v>1654</v>
      </c>
      <c r="C1507">
        <v>47</v>
      </c>
      <c r="D1507">
        <v>23</v>
      </c>
      <c r="E1507">
        <v>6</v>
      </c>
      <c r="F1507">
        <v>7</v>
      </c>
      <c r="G1507">
        <v>14</v>
      </c>
      <c r="H1507">
        <v>0</v>
      </c>
      <c r="I1507">
        <v>0</v>
      </c>
      <c r="J1507">
        <v>21</v>
      </c>
      <c r="K1507" t="s">
        <v>246</v>
      </c>
    </row>
    <row r="1508" spans="2:11" x14ac:dyDescent="0.25">
      <c r="B1508">
        <v>1655</v>
      </c>
      <c r="C1508">
        <v>47</v>
      </c>
      <c r="D1508">
        <v>23</v>
      </c>
      <c r="E1508">
        <v>7</v>
      </c>
      <c r="F1508">
        <v>18</v>
      </c>
      <c r="G1508">
        <v>10</v>
      </c>
      <c r="H1508">
        <v>2</v>
      </c>
      <c r="I1508">
        <v>0</v>
      </c>
      <c r="J1508">
        <v>30</v>
      </c>
      <c r="K1508" t="s">
        <v>242</v>
      </c>
    </row>
    <row r="1509" spans="2:11" x14ac:dyDescent="0.25">
      <c r="B1509">
        <v>1657</v>
      </c>
      <c r="C1509">
        <v>311</v>
      </c>
      <c r="D1509">
        <v>144</v>
      </c>
      <c r="E1509">
        <v>8</v>
      </c>
      <c r="F1509">
        <v>10</v>
      </c>
      <c r="G1509">
        <v>6</v>
      </c>
      <c r="H1509">
        <v>0</v>
      </c>
      <c r="I1509">
        <v>0</v>
      </c>
      <c r="J1509">
        <v>16</v>
      </c>
      <c r="K1509" t="s">
        <v>241</v>
      </c>
    </row>
    <row r="1510" spans="2:11" x14ac:dyDescent="0.25">
      <c r="B1510">
        <v>1658</v>
      </c>
      <c r="C1510">
        <v>71</v>
      </c>
      <c r="D1510">
        <v>35</v>
      </c>
      <c r="E1510">
        <v>7</v>
      </c>
      <c r="F1510">
        <v>11</v>
      </c>
      <c r="G1510">
        <v>12</v>
      </c>
      <c r="H1510">
        <v>1</v>
      </c>
      <c r="I1510">
        <v>0</v>
      </c>
      <c r="J1510">
        <v>24</v>
      </c>
      <c r="K1510" t="s">
        <v>242</v>
      </c>
    </row>
    <row r="1511" spans="2:11" x14ac:dyDescent="0.25">
      <c r="B1511">
        <v>1659</v>
      </c>
      <c r="C1511">
        <v>340</v>
      </c>
      <c r="D1511">
        <v>152</v>
      </c>
      <c r="E1511">
        <v>7</v>
      </c>
      <c r="F1511">
        <v>10</v>
      </c>
      <c r="G1511">
        <v>10</v>
      </c>
      <c r="H1511">
        <v>0</v>
      </c>
      <c r="I1511">
        <v>0</v>
      </c>
      <c r="J1511">
        <v>20</v>
      </c>
      <c r="K1511" t="s">
        <v>248</v>
      </c>
    </row>
    <row r="1512" spans="2:11" x14ac:dyDescent="0.25">
      <c r="B1512">
        <v>1660</v>
      </c>
      <c r="C1512">
        <v>18</v>
      </c>
      <c r="D1512">
        <v>9</v>
      </c>
      <c r="E1512">
        <v>8</v>
      </c>
      <c r="F1512">
        <v>4</v>
      </c>
      <c r="G1512">
        <v>4</v>
      </c>
      <c r="H1512">
        <v>0</v>
      </c>
      <c r="I1512">
        <v>0</v>
      </c>
      <c r="J1512">
        <v>8</v>
      </c>
      <c r="K1512" t="s">
        <v>241</v>
      </c>
    </row>
    <row r="1513" spans="2:11" x14ac:dyDescent="0.25">
      <c r="B1513">
        <v>1661</v>
      </c>
      <c r="C1513">
        <v>86</v>
      </c>
      <c r="D1513">
        <v>42</v>
      </c>
      <c r="E1513">
        <v>7</v>
      </c>
      <c r="F1513">
        <v>7</v>
      </c>
      <c r="G1513">
        <v>3</v>
      </c>
      <c r="H1513">
        <v>0</v>
      </c>
      <c r="I1513">
        <v>0</v>
      </c>
      <c r="J1513">
        <v>10</v>
      </c>
      <c r="K1513" t="s">
        <v>242</v>
      </c>
    </row>
    <row r="1514" spans="2:11" x14ac:dyDescent="0.25">
      <c r="B1514">
        <v>1662</v>
      </c>
      <c r="C1514">
        <v>345</v>
      </c>
      <c r="D1514">
        <v>155</v>
      </c>
      <c r="E1514">
        <v>7</v>
      </c>
      <c r="F1514">
        <v>8</v>
      </c>
      <c r="G1514">
        <v>6</v>
      </c>
      <c r="H1514">
        <v>0</v>
      </c>
      <c r="I1514">
        <v>0</v>
      </c>
      <c r="J1514">
        <v>14</v>
      </c>
      <c r="K1514" t="s">
        <v>248</v>
      </c>
    </row>
    <row r="1515" spans="2:11" x14ac:dyDescent="0.25">
      <c r="B1515">
        <v>1663</v>
      </c>
      <c r="C1515">
        <v>72</v>
      </c>
      <c r="D1515">
        <v>35</v>
      </c>
      <c r="E1515">
        <v>7</v>
      </c>
      <c r="F1515">
        <v>6</v>
      </c>
      <c r="G1515">
        <v>21</v>
      </c>
      <c r="H1515">
        <v>0</v>
      </c>
      <c r="I1515">
        <v>0</v>
      </c>
      <c r="J1515">
        <v>27</v>
      </c>
      <c r="K1515" t="s">
        <v>242</v>
      </c>
    </row>
    <row r="1516" spans="2:11" x14ac:dyDescent="0.25">
      <c r="B1516">
        <v>1664</v>
      </c>
      <c r="C1516">
        <v>73</v>
      </c>
      <c r="D1516">
        <v>35</v>
      </c>
      <c r="E1516">
        <v>7</v>
      </c>
      <c r="F1516">
        <v>13</v>
      </c>
      <c r="G1516">
        <v>9</v>
      </c>
      <c r="H1516">
        <v>7</v>
      </c>
      <c r="I1516">
        <v>0</v>
      </c>
      <c r="J1516">
        <v>29</v>
      </c>
      <c r="K1516" t="s">
        <v>242</v>
      </c>
    </row>
    <row r="1517" spans="2:11" x14ac:dyDescent="0.25">
      <c r="B1517">
        <v>1665</v>
      </c>
      <c r="C1517">
        <v>54</v>
      </c>
      <c r="D1517">
        <v>28</v>
      </c>
      <c r="E1517">
        <v>7</v>
      </c>
      <c r="F1517">
        <v>20</v>
      </c>
      <c r="G1517">
        <v>5</v>
      </c>
      <c r="H1517">
        <v>1</v>
      </c>
      <c r="I1517">
        <v>0</v>
      </c>
      <c r="J1517">
        <v>26</v>
      </c>
      <c r="K1517" t="s">
        <v>248</v>
      </c>
    </row>
    <row r="1518" spans="2:11" x14ac:dyDescent="0.25">
      <c r="B1518">
        <v>1666</v>
      </c>
      <c r="C1518">
        <v>287</v>
      </c>
      <c r="D1518">
        <v>133</v>
      </c>
      <c r="E1518">
        <v>8</v>
      </c>
      <c r="F1518">
        <v>5</v>
      </c>
      <c r="G1518">
        <v>2</v>
      </c>
      <c r="H1518">
        <v>0</v>
      </c>
      <c r="I1518">
        <v>0</v>
      </c>
      <c r="J1518">
        <v>7</v>
      </c>
      <c r="K1518" t="s">
        <v>242</v>
      </c>
    </row>
    <row r="1519" spans="2:11" x14ac:dyDescent="0.25">
      <c r="B1519">
        <v>1667</v>
      </c>
      <c r="C1519">
        <v>347</v>
      </c>
      <c r="D1519">
        <v>155</v>
      </c>
      <c r="E1519">
        <v>1</v>
      </c>
      <c r="F1519">
        <v>6</v>
      </c>
      <c r="G1519">
        <v>7</v>
      </c>
      <c r="H1519">
        <v>0</v>
      </c>
      <c r="I1519">
        <v>0</v>
      </c>
      <c r="J1519">
        <v>13</v>
      </c>
      <c r="K1519" t="s">
        <v>241</v>
      </c>
    </row>
    <row r="1520" spans="2:11" x14ac:dyDescent="0.25">
      <c r="B1520">
        <v>1669</v>
      </c>
      <c r="C1520">
        <v>335</v>
      </c>
      <c r="D1520">
        <v>152</v>
      </c>
      <c r="E1520">
        <v>8</v>
      </c>
      <c r="F1520">
        <v>11</v>
      </c>
      <c r="G1520">
        <v>13</v>
      </c>
      <c r="H1520">
        <v>2</v>
      </c>
      <c r="I1520">
        <v>0</v>
      </c>
      <c r="J1520">
        <v>26</v>
      </c>
      <c r="K1520" t="s">
        <v>242</v>
      </c>
    </row>
    <row r="1521" spans="2:11" x14ac:dyDescent="0.25">
      <c r="B1521">
        <v>1670</v>
      </c>
      <c r="C1521">
        <v>109</v>
      </c>
      <c r="D1521">
        <v>51</v>
      </c>
      <c r="E1521">
        <v>7</v>
      </c>
      <c r="F1521">
        <v>3</v>
      </c>
      <c r="G1521">
        <v>12</v>
      </c>
      <c r="H1521">
        <v>0</v>
      </c>
      <c r="I1521">
        <v>0</v>
      </c>
      <c r="J1521">
        <v>15</v>
      </c>
      <c r="K1521" t="s">
        <v>241</v>
      </c>
    </row>
    <row r="1522" spans="2:11" x14ac:dyDescent="0.25">
      <c r="B1522">
        <v>1672</v>
      </c>
      <c r="C1522">
        <v>346</v>
      </c>
      <c r="D1522">
        <v>155</v>
      </c>
      <c r="E1522">
        <v>7</v>
      </c>
      <c r="F1522">
        <v>16</v>
      </c>
      <c r="G1522">
        <v>14</v>
      </c>
      <c r="H1522">
        <v>0</v>
      </c>
      <c r="I1522">
        <v>0</v>
      </c>
      <c r="J1522">
        <v>30</v>
      </c>
      <c r="K1522" t="s">
        <v>248</v>
      </c>
    </row>
    <row r="1523" spans="2:11" x14ac:dyDescent="0.25">
      <c r="B1523">
        <v>1674</v>
      </c>
      <c r="C1523">
        <v>171</v>
      </c>
      <c r="D1523">
        <v>73</v>
      </c>
      <c r="E1523">
        <v>8</v>
      </c>
      <c r="F1523">
        <v>2</v>
      </c>
      <c r="G1523">
        <v>0</v>
      </c>
      <c r="H1523">
        <v>0</v>
      </c>
      <c r="I1523">
        <v>0</v>
      </c>
      <c r="J1523">
        <v>2</v>
      </c>
      <c r="K1523" t="s">
        <v>242</v>
      </c>
    </row>
    <row r="1524" spans="2:11" x14ac:dyDescent="0.25">
      <c r="B1524">
        <v>1675</v>
      </c>
      <c r="C1524">
        <v>265</v>
      </c>
      <c r="D1524">
        <v>118</v>
      </c>
      <c r="E1524">
        <v>8</v>
      </c>
      <c r="F1524">
        <v>4</v>
      </c>
      <c r="G1524">
        <v>2</v>
      </c>
      <c r="H1524">
        <v>0</v>
      </c>
      <c r="I1524">
        <v>0</v>
      </c>
      <c r="J1524">
        <v>6</v>
      </c>
      <c r="K1524" t="s">
        <v>245</v>
      </c>
    </row>
    <row r="1525" spans="2:11" x14ac:dyDescent="0.25">
      <c r="B1525">
        <v>1676</v>
      </c>
      <c r="C1525">
        <v>264</v>
      </c>
      <c r="D1525">
        <v>118</v>
      </c>
      <c r="E1525">
        <v>8</v>
      </c>
      <c r="F1525">
        <v>12</v>
      </c>
      <c r="G1525">
        <v>10</v>
      </c>
      <c r="H1525">
        <v>0</v>
      </c>
      <c r="I1525">
        <v>0</v>
      </c>
      <c r="J1525">
        <v>22</v>
      </c>
      <c r="K1525" t="s">
        <v>243</v>
      </c>
    </row>
    <row r="1526" spans="2:11" x14ac:dyDescent="0.25">
      <c r="B1526">
        <v>1679</v>
      </c>
      <c r="C1526">
        <v>119</v>
      </c>
      <c r="D1526">
        <v>55</v>
      </c>
      <c r="E1526">
        <v>8</v>
      </c>
      <c r="F1526">
        <v>6</v>
      </c>
      <c r="G1526">
        <v>0</v>
      </c>
      <c r="H1526">
        <v>0</v>
      </c>
      <c r="I1526">
        <v>0</v>
      </c>
      <c r="J1526">
        <v>6</v>
      </c>
      <c r="K1526" t="s">
        <v>242</v>
      </c>
    </row>
    <row r="1527" spans="2:11" x14ac:dyDescent="0.25">
      <c r="B1527">
        <v>1680</v>
      </c>
      <c r="C1527">
        <v>76</v>
      </c>
      <c r="D1527">
        <v>38</v>
      </c>
      <c r="E1527">
        <v>8</v>
      </c>
      <c r="F1527">
        <v>4</v>
      </c>
      <c r="G1527">
        <v>8</v>
      </c>
      <c r="H1527">
        <v>2</v>
      </c>
      <c r="I1527">
        <v>0</v>
      </c>
      <c r="J1527">
        <v>14</v>
      </c>
      <c r="K1527" t="s">
        <v>246</v>
      </c>
    </row>
    <row r="1528" spans="2:11" x14ac:dyDescent="0.25">
      <c r="B1528">
        <v>1681</v>
      </c>
      <c r="C1528">
        <v>165</v>
      </c>
      <c r="D1528">
        <v>71</v>
      </c>
      <c r="E1528">
        <v>8</v>
      </c>
      <c r="F1528">
        <v>9</v>
      </c>
      <c r="G1528">
        <v>13</v>
      </c>
      <c r="H1528">
        <v>0</v>
      </c>
      <c r="I1528">
        <v>0</v>
      </c>
      <c r="J1528">
        <v>22</v>
      </c>
      <c r="K1528" t="s">
        <v>245</v>
      </c>
    </row>
    <row r="1529" spans="2:11" x14ac:dyDescent="0.25">
      <c r="B1529">
        <v>1682</v>
      </c>
      <c r="C1529">
        <v>336</v>
      </c>
      <c r="D1529">
        <v>152</v>
      </c>
      <c r="E1529">
        <v>8</v>
      </c>
      <c r="F1529">
        <v>8</v>
      </c>
      <c r="G1529">
        <v>22</v>
      </c>
      <c r="H1529">
        <v>0</v>
      </c>
      <c r="I1529">
        <v>0</v>
      </c>
      <c r="J1529">
        <v>30</v>
      </c>
      <c r="K1529" t="s">
        <v>246</v>
      </c>
    </row>
    <row r="1530" spans="2:11" x14ac:dyDescent="0.25">
      <c r="B1530">
        <v>1684</v>
      </c>
      <c r="C1530">
        <v>291</v>
      </c>
      <c r="D1530">
        <v>135</v>
      </c>
      <c r="E1530">
        <v>8</v>
      </c>
      <c r="F1530">
        <v>13</v>
      </c>
      <c r="G1530">
        <v>1</v>
      </c>
      <c r="H1530">
        <v>0</v>
      </c>
      <c r="I1530">
        <v>0</v>
      </c>
      <c r="J1530">
        <v>14</v>
      </c>
      <c r="K1530" t="s">
        <v>243</v>
      </c>
    </row>
    <row r="1531" spans="2:11" x14ac:dyDescent="0.25">
      <c r="B1531">
        <v>1685</v>
      </c>
      <c r="C1531">
        <v>298</v>
      </c>
      <c r="D1531">
        <v>137</v>
      </c>
      <c r="E1531">
        <v>8</v>
      </c>
      <c r="F1531">
        <v>6</v>
      </c>
      <c r="G1531">
        <v>24</v>
      </c>
      <c r="H1531">
        <v>0</v>
      </c>
      <c r="I1531">
        <v>0</v>
      </c>
      <c r="J1531">
        <v>30</v>
      </c>
      <c r="K1531" t="s">
        <v>246</v>
      </c>
    </row>
    <row r="1532" spans="2:11" x14ac:dyDescent="0.25">
      <c r="B1532">
        <v>1686</v>
      </c>
      <c r="C1532">
        <v>337</v>
      </c>
      <c r="D1532">
        <v>152</v>
      </c>
      <c r="E1532">
        <v>8</v>
      </c>
      <c r="F1532">
        <v>4</v>
      </c>
      <c r="G1532">
        <v>26</v>
      </c>
      <c r="H1532">
        <v>0</v>
      </c>
      <c r="I1532">
        <v>0</v>
      </c>
      <c r="J1532">
        <v>30</v>
      </c>
      <c r="K1532" t="s">
        <v>246</v>
      </c>
    </row>
    <row r="1533" spans="2:11" x14ac:dyDescent="0.25">
      <c r="B1533">
        <v>1687</v>
      </c>
      <c r="C1533">
        <v>308</v>
      </c>
      <c r="D1533">
        <v>143</v>
      </c>
      <c r="E1533">
        <v>8</v>
      </c>
      <c r="F1533">
        <v>8</v>
      </c>
      <c r="G1533">
        <v>6</v>
      </c>
      <c r="H1533">
        <v>0</v>
      </c>
      <c r="I1533">
        <v>0</v>
      </c>
      <c r="J1533">
        <v>14</v>
      </c>
      <c r="K1533" t="s">
        <v>246</v>
      </c>
    </row>
    <row r="1534" spans="2:11" x14ac:dyDescent="0.25">
      <c r="B1534">
        <v>1688</v>
      </c>
      <c r="C1534">
        <v>97</v>
      </c>
      <c r="D1534">
        <v>48</v>
      </c>
      <c r="E1534">
        <v>6</v>
      </c>
      <c r="F1534">
        <v>4</v>
      </c>
      <c r="G1534">
        <v>8</v>
      </c>
      <c r="H1534">
        <v>1</v>
      </c>
      <c r="I1534">
        <v>0</v>
      </c>
      <c r="J1534">
        <v>13</v>
      </c>
      <c r="K1534" t="s">
        <v>241</v>
      </c>
    </row>
    <row r="1535" spans="2:11" x14ac:dyDescent="0.25">
      <c r="B1535">
        <v>1690</v>
      </c>
      <c r="C1535">
        <v>173</v>
      </c>
      <c r="D1535">
        <v>75</v>
      </c>
      <c r="E1535">
        <v>7</v>
      </c>
      <c r="F1535">
        <v>5</v>
      </c>
      <c r="G1535">
        <v>3</v>
      </c>
      <c r="H1535">
        <v>0</v>
      </c>
      <c r="I1535">
        <v>0</v>
      </c>
      <c r="J1535">
        <v>8</v>
      </c>
      <c r="K1535" t="s">
        <v>243</v>
      </c>
    </row>
    <row r="1536" spans="2:11" x14ac:dyDescent="0.25">
      <c r="B1536">
        <v>1691</v>
      </c>
      <c r="C1536">
        <v>173</v>
      </c>
      <c r="D1536">
        <v>75</v>
      </c>
      <c r="E1536">
        <v>6</v>
      </c>
      <c r="F1536">
        <v>4</v>
      </c>
      <c r="G1536">
        <v>3</v>
      </c>
      <c r="H1536">
        <v>1</v>
      </c>
      <c r="I1536">
        <v>0</v>
      </c>
      <c r="J1536">
        <v>8</v>
      </c>
      <c r="K1536" t="s">
        <v>241</v>
      </c>
    </row>
    <row r="1537" spans="2:11" x14ac:dyDescent="0.25">
      <c r="B1537">
        <v>1693</v>
      </c>
      <c r="C1537">
        <v>4</v>
      </c>
      <c r="D1537">
        <v>1</v>
      </c>
      <c r="E1537">
        <v>7</v>
      </c>
      <c r="F1537">
        <v>8</v>
      </c>
      <c r="G1537">
        <v>1</v>
      </c>
      <c r="H1537">
        <v>0</v>
      </c>
      <c r="I1537">
        <v>0</v>
      </c>
      <c r="J1537">
        <v>9</v>
      </c>
      <c r="K1537" t="s">
        <v>241</v>
      </c>
    </row>
    <row r="1538" spans="2:11" x14ac:dyDescent="0.25">
      <c r="B1538">
        <v>1696</v>
      </c>
      <c r="C1538">
        <v>110</v>
      </c>
      <c r="D1538">
        <v>51</v>
      </c>
      <c r="E1538">
        <v>7</v>
      </c>
      <c r="F1538">
        <v>3</v>
      </c>
      <c r="G1538">
        <v>24</v>
      </c>
      <c r="H1538">
        <v>0</v>
      </c>
      <c r="I1538">
        <v>0</v>
      </c>
      <c r="J1538">
        <v>27</v>
      </c>
      <c r="K1538" t="s">
        <v>243</v>
      </c>
    </row>
    <row r="1539" spans="2:11" x14ac:dyDescent="0.25">
      <c r="B1539">
        <v>5388</v>
      </c>
      <c r="C1539">
        <v>28</v>
      </c>
      <c r="D1539">
        <v>15</v>
      </c>
      <c r="E1539">
        <v>6</v>
      </c>
      <c r="F1539">
        <v>12</v>
      </c>
      <c r="G1539">
        <v>13</v>
      </c>
      <c r="H1539">
        <v>0</v>
      </c>
      <c r="I1539">
        <v>0</v>
      </c>
      <c r="J1539">
        <v>25</v>
      </c>
      <c r="K1539" t="s">
        <v>247</v>
      </c>
    </row>
    <row r="1540" spans="2:11" x14ac:dyDescent="0.25">
      <c r="B1540">
        <v>5387</v>
      </c>
      <c r="C1540">
        <v>216</v>
      </c>
      <c r="D1540">
        <v>94</v>
      </c>
      <c r="E1540">
        <v>8</v>
      </c>
      <c r="F1540">
        <v>15</v>
      </c>
      <c r="G1540">
        <v>14</v>
      </c>
      <c r="H1540">
        <v>0</v>
      </c>
      <c r="I1540">
        <v>0</v>
      </c>
      <c r="J1540">
        <v>29</v>
      </c>
      <c r="K1540" t="s">
        <v>245</v>
      </c>
    </row>
    <row r="1541" spans="2:11" x14ac:dyDescent="0.25">
      <c r="B1541">
        <v>5391</v>
      </c>
      <c r="C1541">
        <v>28</v>
      </c>
      <c r="D1541">
        <v>15</v>
      </c>
      <c r="E1541">
        <v>7</v>
      </c>
      <c r="F1541">
        <v>4</v>
      </c>
      <c r="G1541">
        <v>26</v>
      </c>
      <c r="H1541">
        <v>0</v>
      </c>
      <c r="I1541">
        <v>0</v>
      </c>
      <c r="J1541">
        <v>30</v>
      </c>
      <c r="K1541" t="s">
        <v>247</v>
      </c>
    </row>
    <row r="1542" spans="2:11" x14ac:dyDescent="0.25">
      <c r="B1542">
        <v>5393</v>
      </c>
      <c r="C1542">
        <v>200</v>
      </c>
      <c r="D1542">
        <v>87</v>
      </c>
      <c r="E1542">
        <v>11</v>
      </c>
      <c r="F1542">
        <v>2</v>
      </c>
      <c r="G1542">
        <v>4</v>
      </c>
      <c r="H1542">
        <v>0</v>
      </c>
      <c r="I1542">
        <v>0</v>
      </c>
      <c r="J1542">
        <v>6</v>
      </c>
      <c r="K1542" t="s">
        <v>246</v>
      </c>
    </row>
    <row r="1543" spans="2:11" x14ac:dyDescent="0.25">
      <c r="B1543">
        <v>5395</v>
      </c>
      <c r="C1543">
        <v>28</v>
      </c>
      <c r="D1543">
        <v>15</v>
      </c>
      <c r="E1543">
        <v>8</v>
      </c>
      <c r="F1543">
        <v>6</v>
      </c>
      <c r="G1543">
        <v>1</v>
      </c>
      <c r="H1543">
        <v>0</v>
      </c>
      <c r="I1543">
        <v>0</v>
      </c>
      <c r="J1543">
        <v>7</v>
      </c>
      <c r="K1543" t="s">
        <v>247</v>
      </c>
    </row>
    <row r="1544" spans="2:11" x14ac:dyDescent="0.25">
      <c r="B1544">
        <v>5394</v>
      </c>
      <c r="C1544">
        <v>74</v>
      </c>
      <c r="D1544">
        <v>36</v>
      </c>
      <c r="E1544">
        <v>16</v>
      </c>
      <c r="F1544">
        <v>7</v>
      </c>
      <c r="G1544">
        <v>7</v>
      </c>
      <c r="H1544">
        <v>2</v>
      </c>
      <c r="I1544">
        <v>0</v>
      </c>
      <c r="J1544">
        <v>16</v>
      </c>
      <c r="K1544" t="s">
        <v>252</v>
      </c>
    </row>
    <row r="1545" spans="2:11" x14ac:dyDescent="0.25">
      <c r="B1545">
        <v>5396</v>
      </c>
      <c r="C1545">
        <v>200</v>
      </c>
      <c r="D1545">
        <v>87</v>
      </c>
      <c r="E1545">
        <v>12</v>
      </c>
      <c r="F1545">
        <v>2</v>
      </c>
      <c r="G1545">
        <v>1</v>
      </c>
      <c r="H1545">
        <v>0</v>
      </c>
      <c r="I1545">
        <v>0</v>
      </c>
      <c r="J1545">
        <v>3</v>
      </c>
      <c r="K1545" t="s">
        <v>246</v>
      </c>
    </row>
    <row r="1546" spans="2:11" x14ac:dyDescent="0.25">
      <c r="B1546">
        <v>5397</v>
      </c>
      <c r="C1546">
        <v>28</v>
      </c>
      <c r="D1546">
        <v>15</v>
      </c>
      <c r="E1546">
        <v>9</v>
      </c>
      <c r="F1546">
        <v>1</v>
      </c>
      <c r="G1546">
        <v>0</v>
      </c>
      <c r="H1546">
        <v>0</v>
      </c>
      <c r="I1546">
        <v>0</v>
      </c>
      <c r="J1546">
        <v>1</v>
      </c>
      <c r="K1546" t="s">
        <v>247</v>
      </c>
    </row>
    <row r="1547" spans="2:11" x14ac:dyDescent="0.25">
      <c r="B1547">
        <v>5398</v>
      </c>
      <c r="C1547">
        <v>216</v>
      </c>
      <c r="D1547">
        <v>94</v>
      </c>
      <c r="E1547">
        <v>10</v>
      </c>
      <c r="F1547">
        <v>18</v>
      </c>
      <c r="G1547">
        <v>10</v>
      </c>
      <c r="H1547">
        <v>0</v>
      </c>
      <c r="I1547">
        <v>0</v>
      </c>
      <c r="J1547">
        <v>28</v>
      </c>
      <c r="K1547" t="s">
        <v>245</v>
      </c>
    </row>
    <row r="1548" spans="2:11" x14ac:dyDescent="0.25">
      <c r="B1548">
        <v>5399</v>
      </c>
      <c r="C1548">
        <v>200</v>
      </c>
      <c r="D1548">
        <v>87</v>
      </c>
      <c r="E1548">
        <v>13</v>
      </c>
      <c r="F1548">
        <v>5</v>
      </c>
      <c r="G1548">
        <v>3</v>
      </c>
      <c r="H1548">
        <v>0</v>
      </c>
      <c r="I1548">
        <v>0</v>
      </c>
      <c r="J1548">
        <v>8</v>
      </c>
      <c r="K1548" t="s">
        <v>246</v>
      </c>
    </row>
    <row r="1549" spans="2:11" x14ac:dyDescent="0.25">
      <c r="B1549">
        <v>5400</v>
      </c>
      <c r="C1549">
        <v>28</v>
      </c>
      <c r="D1549">
        <v>15</v>
      </c>
      <c r="E1549">
        <v>10</v>
      </c>
      <c r="F1549">
        <v>1</v>
      </c>
      <c r="G1549">
        <v>1</v>
      </c>
      <c r="H1549">
        <v>0</v>
      </c>
      <c r="I1549">
        <v>0</v>
      </c>
      <c r="J1549">
        <v>2</v>
      </c>
      <c r="K1549" t="s">
        <v>247</v>
      </c>
    </row>
    <row r="1550" spans="2:11" x14ac:dyDescent="0.25">
      <c r="B1550">
        <v>1698</v>
      </c>
      <c r="C1550">
        <v>318</v>
      </c>
      <c r="D1550">
        <v>147</v>
      </c>
      <c r="E1550">
        <v>8</v>
      </c>
      <c r="F1550">
        <v>21</v>
      </c>
      <c r="G1550">
        <v>9</v>
      </c>
      <c r="H1550">
        <v>0</v>
      </c>
      <c r="I1550">
        <v>0</v>
      </c>
      <c r="J1550">
        <v>30</v>
      </c>
      <c r="K1550" t="s">
        <v>242</v>
      </c>
    </row>
    <row r="1551" spans="2:11" x14ac:dyDescent="0.25">
      <c r="B1551">
        <v>1699</v>
      </c>
      <c r="C1551">
        <v>31</v>
      </c>
      <c r="D1551">
        <v>17</v>
      </c>
      <c r="E1551">
        <v>8</v>
      </c>
      <c r="F1551">
        <v>12</v>
      </c>
      <c r="G1551">
        <v>3</v>
      </c>
      <c r="H1551">
        <v>1</v>
      </c>
      <c r="I1551">
        <v>0</v>
      </c>
      <c r="J1551">
        <v>16</v>
      </c>
      <c r="K1551" t="s">
        <v>242</v>
      </c>
    </row>
    <row r="1552" spans="2:11" x14ac:dyDescent="0.25">
      <c r="B1552">
        <v>1700</v>
      </c>
      <c r="C1552">
        <v>4</v>
      </c>
      <c r="D1552">
        <v>1</v>
      </c>
      <c r="E1552">
        <v>8</v>
      </c>
      <c r="F1552">
        <v>10</v>
      </c>
      <c r="G1552">
        <v>5</v>
      </c>
      <c r="H1552">
        <v>4</v>
      </c>
      <c r="I1552">
        <v>0</v>
      </c>
      <c r="J1552">
        <v>19</v>
      </c>
      <c r="K1552" t="s">
        <v>242</v>
      </c>
    </row>
    <row r="1553" spans="2:11" x14ac:dyDescent="0.25">
      <c r="B1553">
        <v>1702</v>
      </c>
      <c r="C1553">
        <v>78</v>
      </c>
      <c r="D1553">
        <v>40</v>
      </c>
      <c r="E1553">
        <v>8</v>
      </c>
      <c r="F1553">
        <v>6</v>
      </c>
      <c r="G1553">
        <v>6</v>
      </c>
      <c r="H1553">
        <v>0</v>
      </c>
      <c r="I1553">
        <v>0</v>
      </c>
      <c r="J1553">
        <v>12</v>
      </c>
      <c r="K1553" t="s">
        <v>242</v>
      </c>
    </row>
    <row r="1554" spans="2:11" x14ac:dyDescent="0.25">
      <c r="B1554">
        <v>1703</v>
      </c>
      <c r="C1554">
        <v>19</v>
      </c>
      <c r="D1554">
        <v>9</v>
      </c>
      <c r="E1554">
        <v>9</v>
      </c>
      <c r="F1554">
        <v>25</v>
      </c>
      <c r="G1554">
        <v>5</v>
      </c>
      <c r="H1554">
        <v>0</v>
      </c>
      <c r="I1554">
        <v>0</v>
      </c>
      <c r="J1554">
        <v>30</v>
      </c>
      <c r="K1554" t="s">
        <v>241</v>
      </c>
    </row>
    <row r="1555" spans="2:11" x14ac:dyDescent="0.25">
      <c r="B1555">
        <v>1704</v>
      </c>
      <c r="C1555">
        <v>116</v>
      </c>
      <c r="D1555">
        <v>54</v>
      </c>
      <c r="E1555">
        <v>8</v>
      </c>
      <c r="F1555">
        <v>8</v>
      </c>
      <c r="G1555">
        <v>12</v>
      </c>
      <c r="H1555">
        <v>3</v>
      </c>
      <c r="I1555">
        <v>0</v>
      </c>
      <c r="J1555">
        <v>23</v>
      </c>
      <c r="K1555" t="s">
        <v>242</v>
      </c>
    </row>
    <row r="1556" spans="2:11" x14ac:dyDescent="0.25">
      <c r="B1556">
        <v>1705</v>
      </c>
      <c r="C1556">
        <v>19</v>
      </c>
      <c r="D1556">
        <v>9</v>
      </c>
      <c r="E1556">
        <v>8</v>
      </c>
      <c r="F1556">
        <v>4</v>
      </c>
      <c r="G1556">
        <v>26</v>
      </c>
      <c r="H1556">
        <v>0</v>
      </c>
      <c r="I1556">
        <v>0</v>
      </c>
      <c r="J1556">
        <v>30</v>
      </c>
      <c r="K1556" t="s">
        <v>241</v>
      </c>
    </row>
    <row r="1557" spans="2:11" x14ac:dyDescent="0.25">
      <c r="B1557">
        <v>1706</v>
      </c>
      <c r="C1557">
        <v>156</v>
      </c>
      <c r="D1557">
        <v>69</v>
      </c>
      <c r="E1557">
        <v>2</v>
      </c>
      <c r="F1557">
        <v>4</v>
      </c>
      <c r="G1557">
        <v>5</v>
      </c>
      <c r="H1557">
        <v>1</v>
      </c>
      <c r="I1557">
        <v>0</v>
      </c>
      <c r="J1557">
        <v>10</v>
      </c>
      <c r="K1557" t="s">
        <v>249</v>
      </c>
    </row>
    <row r="1558" spans="2:11" x14ac:dyDescent="0.25">
      <c r="B1558">
        <v>1709</v>
      </c>
      <c r="C1558">
        <v>156</v>
      </c>
      <c r="D1558">
        <v>69</v>
      </c>
      <c r="E1558">
        <v>3</v>
      </c>
      <c r="F1558">
        <v>7</v>
      </c>
      <c r="G1558">
        <v>9</v>
      </c>
      <c r="H1558">
        <v>0</v>
      </c>
      <c r="I1558">
        <v>0</v>
      </c>
      <c r="J1558">
        <v>16</v>
      </c>
      <c r="K1558" t="s">
        <v>249</v>
      </c>
    </row>
    <row r="1559" spans="2:11" x14ac:dyDescent="0.25">
      <c r="B1559">
        <v>1710</v>
      </c>
      <c r="C1559">
        <v>25</v>
      </c>
      <c r="D1559">
        <v>13</v>
      </c>
      <c r="E1559">
        <v>8</v>
      </c>
      <c r="F1559">
        <v>3</v>
      </c>
      <c r="G1559">
        <v>2</v>
      </c>
      <c r="H1559">
        <v>1</v>
      </c>
      <c r="I1559">
        <v>0</v>
      </c>
      <c r="J1559">
        <v>6</v>
      </c>
      <c r="K1559" t="s">
        <v>241</v>
      </c>
    </row>
    <row r="1560" spans="2:11" x14ac:dyDescent="0.25">
      <c r="B1560">
        <v>1711</v>
      </c>
      <c r="C1560">
        <v>262</v>
      </c>
      <c r="D1560">
        <v>118</v>
      </c>
      <c r="E1560">
        <v>8</v>
      </c>
      <c r="F1560">
        <v>5</v>
      </c>
      <c r="G1560">
        <v>8</v>
      </c>
      <c r="H1560">
        <v>1</v>
      </c>
      <c r="I1560">
        <v>0</v>
      </c>
      <c r="J1560">
        <v>14</v>
      </c>
      <c r="K1560" t="s">
        <v>243</v>
      </c>
    </row>
    <row r="1561" spans="2:11" x14ac:dyDescent="0.25">
      <c r="B1561">
        <v>1713</v>
      </c>
      <c r="C1561">
        <v>156</v>
      </c>
      <c r="D1561">
        <v>69</v>
      </c>
      <c r="E1561">
        <v>6</v>
      </c>
      <c r="F1561">
        <v>12</v>
      </c>
      <c r="G1561">
        <v>10</v>
      </c>
      <c r="H1561">
        <v>0</v>
      </c>
      <c r="I1561">
        <v>0</v>
      </c>
      <c r="J1561">
        <v>22</v>
      </c>
      <c r="K1561" t="s">
        <v>246</v>
      </c>
    </row>
    <row r="1562" spans="2:11" x14ac:dyDescent="0.25">
      <c r="B1562">
        <v>1714</v>
      </c>
      <c r="C1562">
        <v>156</v>
      </c>
      <c r="D1562">
        <v>69</v>
      </c>
      <c r="E1562">
        <v>4</v>
      </c>
      <c r="F1562">
        <v>5</v>
      </c>
      <c r="G1562">
        <v>8</v>
      </c>
      <c r="H1562">
        <v>0</v>
      </c>
      <c r="I1562">
        <v>0</v>
      </c>
      <c r="J1562">
        <v>13</v>
      </c>
      <c r="K1562" t="s">
        <v>249</v>
      </c>
    </row>
    <row r="1563" spans="2:11" x14ac:dyDescent="0.25">
      <c r="B1563">
        <v>1715</v>
      </c>
      <c r="C1563">
        <v>75</v>
      </c>
      <c r="D1563">
        <v>37</v>
      </c>
      <c r="E1563">
        <v>7</v>
      </c>
      <c r="F1563">
        <v>0</v>
      </c>
      <c r="G1563">
        <v>4</v>
      </c>
      <c r="H1563">
        <v>2</v>
      </c>
      <c r="I1563">
        <v>0</v>
      </c>
      <c r="J1563">
        <v>6</v>
      </c>
      <c r="K1563" t="s">
        <v>248</v>
      </c>
    </row>
    <row r="1564" spans="2:11" x14ac:dyDescent="0.25">
      <c r="B1564">
        <v>1716</v>
      </c>
      <c r="C1564">
        <v>21</v>
      </c>
      <c r="D1564">
        <v>10</v>
      </c>
      <c r="E1564">
        <v>8</v>
      </c>
      <c r="F1564">
        <v>13</v>
      </c>
      <c r="G1564">
        <v>8</v>
      </c>
      <c r="H1564">
        <v>0</v>
      </c>
      <c r="I1564">
        <v>0</v>
      </c>
      <c r="J1564">
        <v>21</v>
      </c>
      <c r="K1564" t="s">
        <v>241</v>
      </c>
    </row>
    <row r="1565" spans="2:11" x14ac:dyDescent="0.25">
      <c r="B1565">
        <v>1717</v>
      </c>
      <c r="C1565">
        <v>349</v>
      </c>
      <c r="D1565">
        <v>156</v>
      </c>
      <c r="E1565">
        <v>8</v>
      </c>
      <c r="F1565">
        <v>13</v>
      </c>
      <c r="G1565">
        <v>15</v>
      </c>
      <c r="H1565">
        <v>0</v>
      </c>
      <c r="I1565">
        <v>0</v>
      </c>
      <c r="J1565">
        <v>28</v>
      </c>
      <c r="K1565" t="s">
        <v>247</v>
      </c>
    </row>
    <row r="1566" spans="2:11" x14ac:dyDescent="0.25">
      <c r="B1566">
        <v>1718</v>
      </c>
      <c r="C1566">
        <v>59</v>
      </c>
      <c r="D1566">
        <v>30</v>
      </c>
      <c r="E1566">
        <v>6</v>
      </c>
      <c r="F1566">
        <v>8</v>
      </c>
      <c r="G1566">
        <v>3</v>
      </c>
      <c r="H1566">
        <v>0</v>
      </c>
      <c r="I1566">
        <v>0</v>
      </c>
      <c r="J1566">
        <v>11</v>
      </c>
      <c r="K1566" t="s">
        <v>246</v>
      </c>
    </row>
    <row r="1567" spans="2:11" x14ac:dyDescent="0.25">
      <c r="B1567">
        <v>1719</v>
      </c>
      <c r="C1567">
        <v>156</v>
      </c>
      <c r="D1567">
        <v>69</v>
      </c>
      <c r="E1567">
        <v>5</v>
      </c>
      <c r="F1567">
        <v>6</v>
      </c>
      <c r="G1567">
        <v>4</v>
      </c>
      <c r="H1567">
        <v>4</v>
      </c>
      <c r="I1567">
        <v>0</v>
      </c>
      <c r="J1567">
        <v>14</v>
      </c>
      <c r="K1567" t="s">
        <v>249</v>
      </c>
    </row>
    <row r="1568" spans="2:11" x14ac:dyDescent="0.25">
      <c r="B1568">
        <v>1720</v>
      </c>
      <c r="C1568">
        <v>57</v>
      </c>
      <c r="D1568">
        <v>29</v>
      </c>
      <c r="E1568">
        <v>8</v>
      </c>
      <c r="F1568">
        <v>0</v>
      </c>
      <c r="G1568">
        <v>18</v>
      </c>
      <c r="H1568">
        <v>6</v>
      </c>
      <c r="I1568">
        <v>0</v>
      </c>
      <c r="J1568">
        <v>24</v>
      </c>
      <c r="K1568" t="s">
        <v>243</v>
      </c>
    </row>
    <row r="1569" spans="2:11" x14ac:dyDescent="0.25">
      <c r="B1569">
        <v>1721</v>
      </c>
      <c r="C1569">
        <v>333</v>
      </c>
      <c r="D1569">
        <v>152</v>
      </c>
      <c r="E1569">
        <v>8</v>
      </c>
      <c r="F1569">
        <v>10</v>
      </c>
      <c r="G1569">
        <v>19</v>
      </c>
      <c r="H1569">
        <v>0</v>
      </c>
      <c r="I1569">
        <v>0</v>
      </c>
      <c r="J1569">
        <v>29</v>
      </c>
      <c r="K1569" t="s">
        <v>247</v>
      </c>
    </row>
    <row r="1570" spans="2:11" x14ac:dyDescent="0.25">
      <c r="B1570">
        <v>1723</v>
      </c>
      <c r="C1570">
        <v>59</v>
      </c>
      <c r="D1570">
        <v>30</v>
      </c>
      <c r="E1570">
        <v>8</v>
      </c>
      <c r="F1570">
        <v>6</v>
      </c>
      <c r="G1570">
        <v>0</v>
      </c>
      <c r="H1570">
        <v>0</v>
      </c>
      <c r="I1570">
        <v>0</v>
      </c>
      <c r="J1570">
        <v>6</v>
      </c>
      <c r="K1570" t="s">
        <v>243</v>
      </c>
    </row>
    <row r="1571" spans="2:11" x14ac:dyDescent="0.25">
      <c r="B1571">
        <v>1724</v>
      </c>
      <c r="C1571">
        <v>156</v>
      </c>
      <c r="D1571">
        <v>69</v>
      </c>
      <c r="E1571">
        <v>7</v>
      </c>
      <c r="F1571">
        <v>10</v>
      </c>
      <c r="G1571">
        <v>14</v>
      </c>
      <c r="H1571">
        <v>2</v>
      </c>
      <c r="I1571">
        <v>0</v>
      </c>
      <c r="J1571">
        <v>26</v>
      </c>
      <c r="K1571" t="s">
        <v>246</v>
      </c>
    </row>
    <row r="1572" spans="2:11" x14ac:dyDescent="0.25">
      <c r="B1572">
        <v>1725</v>
      </c>
      <c r="C1572">
        <v>293</v>
      </c>
      <c r="D1572">
        <v>136</v>
      </c>
      <c r="E1572">
        <v>8</v>
      </c>
      <c r="F1572">
        <v>6</v>
      </c>
      <c r="G1572">
        <v>12</v>
      </c>
      <c r="H1572">
        <v>0</v>
      </c>
      <c r="I1572">
        <v>0</v>
      </c>
      <c r="J1572">
        <v>18</v>
      </c>
      <c r="K1572" t="s">
        <v>247</v>
      </c>
    </row>
    <row r="1573" spans="2:11" x14ac:dyDescent="0.25">
      <c r="B1573">
        <v>1726</v>
      </c>
      <c r="C1573">
        <v>62</v>
      </c>
      <c r="D1573">
        <v>33</v>
      </c>
      <c r="E1573">
        <v>7</v>
      </c>
      <c r="F1573">
        <v>16</v>
      </c>
      <c r="G1573">
        <v>14</v>
      </c>
      <c r="H1573">
        <v>0</v>
      </c>
      <c r="I1573">
        <v>0</v>
      </c>
      <c r="J1573">
        <v>30</v>
      </c>
      <c r="K1573" t="s">
        <v>248</v>
      </c>
    </row>
    <row r="1574" spans="2:11" x14ac:dyDescent="0.25">
      <c r="B1574">
        <v>1727</v>
      </c>
      <c r="C1574">
        <v>320</v>
      </c>
      <c r="D1574">
        <v>148</v>
      </c>
      <c r="E1574">
        <v>8</v>
      </c>
      <c r="F1574">
        <v>8</v>
      </c>
      <c r="G1574">
        <v>15</v>
      </c>
      <c r="H1574">
        <v>0</v>
      </c>
      <c r="I1574">
        <v>0</v>
      </c>
      <c r="J1574">
        <v>23</v>
      </c>
      <c r="K1574" t="s">
        <v>247</v>
      </c>
    </row>
    <row r="1575" spans="2:11" x14ac:dyDescent="0.25">
      <c r="B1575">
        <v>1728</v>
      </c>
      <c r="C1575">
        <v>59</v>
      </c>
      <c r="D1575">
        <v>30</v>
      </c>
      <c r="E1575">
        <v>7</v>
      </c>
      <c r="F1575">
        <v>10</v>
      </c>
      <c r="G1575">
        <v>4</v>
      </c>
      <c r="H1575">
        <v>0</v>
      </c>
      <c r="I1575">
        <v>0</v>
      </c>
      <c r="J1575">
        <v>14</v>
      </c>
      <c r="K1575" t="s">
        <v>246</v>
      </c>
    </row>
    <row r="1576" spans="2:11" x14ac:dyDescent="0.25">
      <c r="B1576">
        <v>1729</v>
      </c>
      <c r="C1576">
        <v>156</v>
      </c>
      <c r="D1576">
        <v>69</v>
      </c>
      <c r="E1576">
        <v>8</v>
      </c>
      <c r="F1576">
        <v>21</v>
      </c>
      <c r="G1576">
        <v>3</v>
      </c>
      <c r="H1576">
        <v>1</v>
      </c>
      <c r="I1576">
        <v>0</v>
      </c>
      <c r="J1576">
        <v>25</v>
      </c>
      <c r="K1576" t="s">
        <v>247</v>
      </c>
    </row>
    <row r="1577" spans="2:11" x14ac:dyDescent="0.25">
      <c r="B1577">
        <v>1730</v>
      </c>
      <c r="C1577">
        <v>274</v>
      </c>
      <c r="D1577">
        <v>125</v>
      </c>
      <c r="E1577">
        <v>7</v>
      </c>
      <c r="F1577">
        <v>11</v>
      </c>
      <c r="G1577">
        <v>13</v>
      </c>
      <c r="H1577">
        <v>0</v>
      </c>
      <c r="I1577">
        <v>0</v>
      </c>
      <c r="J1577">
        <v>24</v>
      </c>
      <c r="K1577" t="s">
        <v>248</v>
      </c>
    </row>
    <row r="1578" spans="2:11" x14ac:dyDescent="0.25">
      <c r="B1578">
        <v>1731</v>
      </c>
      <c r="C1578">
        <v>347</v>
      </c>
      <c r="D1578">
        <v>155</v>
      </c>
      <c r="E1578">
        <v>7</v>
      </c>
      <c r="F1578">
        <v>14</v>
      </c>
      <c r="G1578">
        <v>19</v>
      </c>
      <c r="H1578">
        <v>0</v>
      </c>
      <c r="I1578">
        <v>0</v>
      </c>
      <c r="J1578">
        <v>33</v>
      </c>
      <c r="K1578" t="s">
        <v>249</v>
      </c>
    </row>
    <row r="1579" spans="2:11" x14ac:dyDescent="0.25">
      <c r="B1579">
        <v>1732</v>
      </c>
      <c r="C1579">
        <v>58</v>
      </c>
      <c r="D1579">
        <v>29</v>
      </c>
      <c r="E1579">
        <v>7</v>
      </c>
      <c r="F1579">
        <v>7</v>
      </c>
      <c r="G1579">
        <v>4</v>
      </c>
      <c r="H1579">
        <v>0</v>
      </c>
      <c r="I1579">
        <v>0</v>
      </c>
      <c r="J1579">
        <v>11</v>
      </c>
      <c r="K1579" t="s">
        <v>246</v>
      </c>
    </row>
    <row r="1580" spans="2:11" x14ac:dyDescent="0.25">
      <c r="B1580">
        <v>1733</v>
      </c>
      <c r="C1580">
        <v>2</v>
      </c>
      <c r="D1580">
        <v>1</v>
      </c>
      <c r="E1580">
        <v>8</v>
      </c>
      <c r="F1580">
        <v>3</v>
      </c>
      <c r="G1580">
        <v>9</v>
      </c>
      <c r="H1580">
        <v>0</v>
      </c>
      <c r="I1580">
        <v>0</v>
      </c>
      <c r="J1580">
        <v>12</v>
      </c>
      <c r="K1580" t="s">
        <v>241</v>
      </c>
    </row>
    <row r="1581" spans="2:11" x14ac:dyDescent="0.25">
      <c r="B1581">
        <v>1734</v>
      </c>
      <c r="C1581">
        <v>349</v>
      </c>
      <c r="D1581">
        <v>156</v>
      </c>
      <c r="E1581">
        <v>7</v>
      </c>
      <c r="F1581">
        <v>14</v>
      </c>
      <c r="G1581">
        <v>7</v>
      </c>
      <c r="H1581">
        <v>0</v>
      </c>
      <c r="I1581">
        <v>0</v>
      </c>
      <c r="J1581">
        <v>21</v>
      </c>
      <c r="K1581" t="s">
        <v>245</v>
      </c>
    </row>
    <row r="1582" spans="2:11" x14ac:dyDescent="0.25">
      <c r="B1582">
        <v>1736</v>
      </c>
      <c r="C1582">
        <v>86</v>
      </c>
      <c r="D1582">
        <v>42</v>
      </c>
      <c r="E1582">
        <v>8</v>
      </c>
      <c r="F1582">
        <v>7</v>
      </c>
      <c r="G1582">
        <v>2</v>
      </c>
      <c r="H1582">
        <v>0</v>
      </c>
      <c r="I1582">
        <v>0</v>
      </c>
      <c r="J1582">
        <v>9</v>
      </c>
      <c r="K1582" t="s">
        <v>242</v>
      </c>
    </row>
    <row r="1583" spans="2:11" x14ac:dyDescent="0.25">
      <c r="B1583">
        <v>1738</v>
      </c>
      <c r="C1583">
        <v>61</v>
      </c>
      <c r="D1583">
        <v>32</v>
      </c>
      <c r="E1583">
        <v>8</v>
      </c>
      <c r="F1583">
        <v>6</v>
      </c>
      <c r="G1583">
        <v>9</v>
      </c>
      <c r="H1583">
        <v>4</v>
      </c>
      <c r="I1583">
        <v>0</v>
      </c>
      <c r="J1583">
        <v>19</v>
      </c>
      <c r="K1583" t="s">
        <v>242</v>
      </c>
    </row>
    <row r="1584" spans="2:11" x14ac:dyDescent="0.25">
      <c r="B1584">
        <v>1739</v>
      </c>
      <c r="C1584">
        <v>123</v>
      </c>
      <c r="D1584">
        <v>56</v>
      </c>
      <c r="E1584">
        <v>1</v>
      </c>
      <c r="F1584">
        <v>4</v>
      </c>
      <c r="G1584">
        <v>3</v>
      </c>
      <c r="H1584">
        <v>2</v>
      </c>
      <c r="I1584">
        <v>0</v>
      </c>
      <c r="J1584">
        <v>9</v>
      </c>
      <c r="K1584" t="s">
        <v>249</v>
      </c>
    </row>
    <row r="1585" spans="2:11" x14ac:dyDescent="0.25">
      <c r="B1585">
        <v>1742</v>
      </c>
      <c r="C1585">
        <v>321</v>
      </c>
      <c r="D1585">
        <v>149</v>
      </c>
      <c r="E1585">
        <v>8</v>
      </c>
      <c r="F1585">
        <v>21</v>
      </c>
      <c r="G1585">
        <v>0</v>
      </c>
      <c r="H1585">
        <v>0</v>
      </c>
      <c r="I1585">
        <v>0</v>
      </c>
      <c r="J1585">
        <v>21</v>
      </c>
      <c r="K1585" t="s">
        <v>242</v>
      </c>
    </row>
    <row r="1586" spans="2:11" x14ac:dyDescent="0.25">
      <c r="B1586">
        <v>1743</v>
      </c>
      <c r="C1586">
        <v>79</v>
      </c>
      <c r="D1586">
        <v>41</v>
      </c>
      <c r="E1586">
        <v>8</v>
      </c>
      <c r="F1586">
        <v>0</v>
      </c>
      <c r="G1586">
        <v>10</v>
      </c>
      <c r="H1586">
        <v>0</v>
      </c>
      <c r="I1586">
        <v>0</v>
      </c>
      <c r="J1586">
        <v>10</v>
      </c>
      <c r="K1586" t="s">
        <v>243</v>
      </c>
    </row>
    <row r="1587" spans="2:11" x14ac:dyDescent="0.25">
      <c r="B1587">
        <v>1744</v>
      </c>
      <c r="C1587">
        <v>163</v>
      </c>
      <c r="D1587">
        <v>69</v>
      </c>
      <c r="E1587">
        <v>8</v>
      </c>
      <c r="F1587">
        <v>5</v>
      </c>
      <c r="G1587">
        <v>7</v>
      </c>
      <c r="H1587">
        <v>1</v>
      </c>
      <c r="I1587">
        <v>0</v>
      </c>
      <c r="J1587">
        <v>13</v>
      </c>
      <c r="K1587" t="s">
        <v>242</v>
      </c>
    </row>
    <row r="1588" spans="2:11" x14ac:dyDescent="0.25">
      <c r="B1588">
        <v>1745</v>
      </c>
      <c r="C1588">
        <v>236</v>
      </c>
      <c r="D1588">
        <v>103</v>
      </c>
      <c r="E1588">
        <v>8</v>
      </c>
      <c r="F1588">
        <v>16</v>
      </c>
      <c r="G1588">
        <v>7</v>
      </c>
      <c r="H1588">
        <v>1</v>
      </c>
      <c r="I1588">
        <v>0</v>
      </c>
      <c r="J1588">
        <v>24</v>
      </c>
      <c r="K1588" t="s">
        <v>241</v>
      </c>
    </row>
    <row r="1589" spans="2:11" x14ac:dyDescent="0.25">
      <c r="B1589">
        <v>1746</v>
      </c>
      <c r="C1589">
        <v>350</v>
      </c>
      <c r="D1589">
        <v>157</v>
      </c>
      <c r="E1589">
        <v>7</v>
      </c>
      <c r="F1589">
        <v>14</v>
      </c>
      <c r="G1589">
        <v>9</v>
      </c>
      <c r="H1589">
        <v>0</v>
      </c>
      <c r="I1589">
        <v>0</v>
      </c>
      <c r="J1589">
        <v>23</v>
      </c>
      <c r="K1589" t="s">
        <v>241</v>
      </c>
    </row>
    <row r="1590" spans="2:11" x14ac:dyDescent="0.25">
      <c r="B1590">
        <v>1747</v>
      </c>
      <c r="C1590">
        <v>321</v>
      </c>
      <c r="D1590">
        <v>149</v>
      </c>
      <c r="E1590">
        <v>9</v>
      </c>
      <c r="F1590">
        <v>11</v>
      </c>
      <c r="G1590">
        <v>3</v>
      </c>
      <c r="H1590">
        <v>0</v>
      </c>
      <c r="I1590">
        <v>0</v>
      </c>
      <c r="J1590">
        <v>14</v>
      </c>
      <c r="K1590" t="s">
        <v>241</v>
      </c>
    </row>
    <row r="1591" spans="2:11" x14ac:dyDescent="0.25">
      <c r="B1591">
        <v>1748</v>
      </c>
      <c r="C1591">
        <v>334</v>
      </c>
      <c r="D1591">
        <v>152</v>
      </c>
      <c r="E1591">
        <v>5</v>
      </c>
      <c r="F1591">
        <v>16</v>
      </c>
      <c r="G1591">
        <v>15</v>
      </c>
      <c r="H1591">
        <v>1</v>
      </c>
      <c r="I1591">
        <v>0</v>
      </c>
      <c r="J1591">
        <v>32</v>
      </c>
      <c r="K1591" t="s">
        <v>249</v>
      </c>
    </row>
    <row r="1592" spans="2:11" x14ac:dyDescent="0.25">
      <c r="B1592">
        <v>1749</v>
      </c>
      <c r="C1592">
        <v>107</v>
      </c>
      <c r="D1592">
        <v>51</v>
      </c>
      <c r="E1592">
        <v>8</v>
      </c>
      <c r="F1592">
        <v>13</v>
      </c>
      <c r="G1592">
        <v>10</v>
      </c>
      <c r="H1592">
        <v>1</v>
      </c>
      <c r="I1592">
        <v>0</v>
      </c>
      <c r="J1592">
        <v>24</v>
      </c>
      <c r="K1592" t="s">
        <v>247</v>
      </c>
    </row>
    <row r="1593" spans="2:11" x14ac:dyDescent="0.25">
      <c r="B1593">
        <v>1750</v>
      </c>
      <c r="C1593">
        <v>119</v>
      </c>
      <c r="D1593">
        <v>55</v>
      </c>
      <c r="E1593">
        <v>7</v>
      </c>
      <c r="F1593">
        <v>1</v>
      </c>
      <c r="G1593">
        <v>0</v>
      </c>
      <c r="H1593">
        <v>0</v>
      </c>
      <c r="I1593">
        <v>0</v>
      </c>
      <c r="J1593">
        <v>1</v>
      </c>
      <c r="K1593" t="s">
        <v>248</v>
      </c>
    </row>
    <row r="1594" spans="2:11" x14ac:dyDescent="0.25">
      <c r="B1594">
        <v>1755</v>
      </c>
      <c r="C1594">
        <v>3</v>
      </c>
      <c r="D1594">
        <v>1</v>
      </c>
      <c r="E1594">
        <v>7</v>
      </c>
      <c r="F1594">
        <v>5</v>
      </c>
      <c r="G1594">
        <v>4</v>
      </c>
      <c r="H1594">
        <v>1</v>
      </c>
      <c r="I1594">
        <v>0</v>
      </c>
      <c r="J1594">
        <v>9</v>
      </c>
      <c r="K1594" t="s">
        <v>248</v>
      </c>
    </row>
    <row r="1595" spans="2:11" x14ac:dyDescent="0.25">
      <c r="B1595">
        <v>1758</v>
      </c>
      <c r="C1595">
        <v>351</v>
      </c>
      <c r="D1595">
        <v>158</v>
      </c>
      <c r="E1595">
        <v>7</v>
      </c>
      <c r="F1595">
        <v>3</v>
      </c>
      <c r="G1595">
        <v>3</v>
      </c>
      <c r="H1595">
        <v>0</v>
      </c>
      <c r="I1595">
        <v>0</v>
      </c>
      <c r="J1595">
        <v>6</v>
      </c>
      <c r="K1595" t="s">
        <v>241</v>
      </c>
    </row>
    <row r="1596" spans="2:11" x14ac:dyDescent="0.25">
      <c r="B1596">
        <v>1760</v>
      </c>
      <c r="C1596">
        <v>322</v>
      </c>
      <c r="D1596">
        <v>149</v>
      </c>
      <c r="E1596">
        <v>7</v>
      </c>
      <c r="F1596">
        <v>6</v>
      </c>
      <c r="G1596">
        <v>2</v>
      </c>
      <c r="H1596">
        <v>0</v>
      </c>
      <c r="I1596">
        <v>0</v>
      </c>
      <c r="J1596">
        <v>8</v>
      </c>
      <c r="K1596" t="s">
        <v>248</v>
      </c>
    </row>
    <row r="1597" spans="2:11" x14ac:dyDescent="0.25">
      <c r="B1597">
        <v>1761</v>
      </c>
      <c r="C1597">
        <v>47</v>
      </c>
      <c r="D1597">
        <v>23</v>
      </c>
      <c r="E1597">
        <v>1</v>
      </c>
      <c r="F1597">
        <v>3</v>
      </c>
      <c r="G1597">
        <v>4</v>
      </c>
      <c r="H1597">
        <v>1</v>
      </c>
      <c r="I1597">
        <v>0</v>
      </c>
      <c r="J1597">
        <v>8</v>
      </c>
      <c r="K1597" t="s">
        <v>246</v>
      </c>
    </row>
    <row r="1598" spans="2:11" x14ac:dyDescent="0.25">
      <c r="B1598">
        <v>1763</v>
      </c>
      <c r="C1598">
        <v>3</v>
      </c>
      <c r="D1598">
        <v>1</v>
      </c>
      <c r="E1598">
        <v>6</v>
      </c>
      <c r="F1598">
        <v>4</v>
      </c>
      <c r="G1598">
        <v>1</v>
      </c>
      <c r="H1598">
        <v>0</v>
      </c>
      <c r="I1598">
        <v>0</v>
      </c>
      <c r="J1598">
        <v>5</v>
      </c>
      <c r="K1598" t="s">
        <v>241</v>
      </c>
    </row>
    <row r="1599" spans="2:11" x14ac:dyDescent="0.25">
      <c r="B1599">
        <v>1764</v>
      </c>
      <c r="C1599">
        <v>81</v>
      </c>
      <c r="D1599">
        <v>38</v>
      </c>
      <c r="E1599">
        <v>8</v>
      </c>
      <c r="F1599">
        <v>13</v>
      </c>
      <c r="G1599">
        <v>10</v>
      </c>
      <c r="H1599">
        <v>1</v>
      </c>
      <c r="I1599">
        <v>0</v>
      </c>
      <c r="J1599">
        <v>24</v>
      </c>
      <c r="K1599" t="s">
        <v>248</v>
      </c>
    </row>
    <row r="1600" spans="2:11" x14ac:dyDescent="0.25">
      <c r="B1600">
        <v>1766</v>
      </c>
      <c r="C1600">
        <v>117</v>
      </c>
      <c r="D1600">
        <v>54</v>
      </c>
      <c r="E1600">
        <v>8</v>
      </c>
      <c r="F1600">
        <v>3</v>
      </c>
      <c r="G1600">
        <v>4</v>
      </c>
      <c r="H1600">
        <v>1</v>
      </c>
      <c r="I1600">
        <v>0</v>
      </c>
      <c r="J1600">
        <v>8</v>
      </c>
      <c r="K1600" t="s">
        <v>246</v>
      </c>
    </row>
    <row r="1601" spans="2:11" x14ac:dyDescent="0.25">
      <c r="B1601">
        <v>1767</v>
      </c>
      <c r="C1601">
        <v>288</v>
      </c>
      <c r="D1601">
        <v>134</v>
      </c>
      <c r="E1601">
        <v>8</v>
      </c>
      <c r="F1601">
        <v>15</v>
      </c>
      <c r="G1601">
        <v>4</v>
      </c>
      <c r="H1601">
        <v>1</v>
      </c>
      <c r="I1601">
        <v>0</v>
      </c>
      <c r="J1601">
        <v>20</v>
      </c>
      <c r="K1601" t="s">
        <v>245</v>
      </c>
    </row>
    <row r="1602" spans="2:11" x14ac:dyDescent="0.25">
      <c r="B1602">
        <v>1768</v>
      </c>
      <c r="C1602">
        <v>289</v>
      </c>
      <c r="D1602">
        <v>135</v>
      </c>
      <c r="E1602">
        <v>8</v>
      </c>
      <c r="F1602">
        <v>16</v>
      </c>
      <c r="G1602">
        <v>3</v>
      </c>
      <c r="H1602">
        <v>0</v>
      </c>
      <c r="I1602">
        <v>0</v>
      </c>
      <c r="J1602">
        <v>19</v>
      </c>
      <c r="K1602" t="s">
        <v>248</v>
      </c>
    </row>
    <row r="1603" spans="2:11" x14ac:dyDescent="0.25">
      <c r="B1603">
        <v>1769</v>
      </c>
      <c r="C1603">
        <v>328</v>
      </c>
      <c r="D1603">
        <v>152</v>
      </c>
      <c r="E1603">
        <v>8</v>
      </c>
      <c r="F1603">
        <v>6</v>
      </c>
      <c r="G1603">
        <v>24</v>
      </c>
      <c r="H1603">
        <v>0</v>
      </c>
      <c r="I1603">
        <v>0</v>
      </c>
      <c r="J1603">
        <v>30</v>
      </c>
      <c r="K1603" t="s">
        <v>245</v>
      </c>
    </row>
    <row r="1604" spans="2:11" x14ac:dyDescent="0.25">
      <c r="B1604">
        <v>1772</v>
      </c>
      <c r="C1604">
        <v>170</v>
      </c>
      <c r="D1604">
        <v>73</v>
      </c>
      <c r="E1604">
        <v>7</v>
      </c>
      <c r="F1604">
        <v>12</v>
      </c>
      <c r="G1604">
        <v>4</v>
      </c>
      <c r="H1604">
        <v>0</v>
      </c>
      <c r="I1604">
        <v>0</v>
      </c>
      <c r="J1604">
        <v>16</v>
      </c>
      <c r="K1604" t="s">
        <v>246</v>
      </c>
    </row>
    <row r="1605" spans="2:11" x14ac:dyDescent="0.25">
      <c r="B1605">
        <v>1773</v>
      </c>
      <c r="C1605">
        <v>238</v>
      </c>
      <c r="D1605">
        <v>105</v>
      </c>
      <c r="E1605">
        <v>8</v>
      </c>
      <c r="F1605">
        <v>7</v>
      </c>
      <c r="G1605">
        <v>17</v>
      </c>
      <c r="H1605">
        <v>0</v>
      </c>
      <c r="I1605">
        <v>0</v>
      </c>
      <c r="J1605">
        <v>24</v>
      </c>
      <c r="K1605" t="s">
        <v>245</v>
      </c>
    </row>
    <row r="1606" spans="2:11" x14ac:dyDescent="0.25">
      <c r="B1606">
        <v>1774</v>
      </c>
      <c r="C1606">
        <v>63</v>
      </c>
      <c r="D1606">
        <v>34</v>
      </c>
      <c r="E1606">
        <v>8</v>
      </c>
      <c r="F1606">
        <v>3</v>
      </c>
      <c r="G1606">
        <v>5</v>
      </c>
      <c r="H1606">
        <v>0</v>
      </c>
      <c r="I1606">
        <v>0</v>
      </c>
      <c r="J1606">
        <v>8</v>
      </c>
      <c r="K1606" t="s">
        <v>248</v>
      </c>
    </row>
    <row r="1607" spans="2:11" x14ac:dyDescent="0.25">
      <c r="B1607">
        <v>4505</v>
      </c>
      <c r="C1607">
        <v>244</v>
      </c>
      <c r="D1607">
        <v>108</v>
      </c>
      <c r="E1607">
        <v>17</v>
      </c>
      <c r="F1607">
        <v>2</v>
      </c>
      <c r="G1607">
        <v>1</v>
      </c>
      <c r="H1607">
        <v>3</v>
      </c>
      <c r="I1607">
        <v>0</v>
      </c>
      <c r="J1607">
        <v>6</v>
      </c>
      <c r="K1607" t="s">
        <v>250</v>
      </c>
    </row>
    <row r="1608" spans="2:11" x14ac:dyDescent="0.25">
      <c r="B1608">
        <v>5392</v>
      </c>
      <c r="C1608">
        <v>216</v>
      </c>
      <c r="D1608">
        <v>94</v>
      </c>
      <c r="E1608">
        <v>9</v>
      </c>
      <c r="F1608">
        <v>15</v>
      </c>
      <c r="G1608">
        <v>13</v>
      </c>
      <c r="H1608">
        <v>1</v>
      </c>
      <c r="I1608">
        <v>0</v>
      </c>
      <c r="J1608">
        <v>29</v>
      </c>
      <c r="K1608" t="s">
        <v>245</v>
      </c>
    </row>
    <row r="1609" spans="2:11" x14ac:dyDescent="0.25">
      <c r="B1609">
        <v>5402</v>
      </c>
      <c r="C1609">
        <v>200</v>
      </c>
      <c r="D1609">
        <v>87</v>
      </c>
      <c r="E1609">
        <v>14</v>
      </c>
      <c r="F1609">
        <v>1</v>
      </c>
      <c r="G1609">
        <v>1</v>
      </c>
      <c r="H1609">
        <v>0</v>
      </c>
      <c r="I1609">
        <v>0</v>
      </c>
      <c r="J1609">
        <v>2</v>
      </c>
      <c r="K1609" t="s">
        <v>246</v>
      </c>
    </row>
    <row r="1610" spans="2:11" x14ac:dyDescent="0.25">
      <c r="B1610">
        <v>5401</v>
      </c>
      <c r="C1610">
        <v>216</v>
      </c>
      <c r="D1610">
        <v>94</v>
      </c>
      <c r="E1610">
        <v>11</v>
      </c>
      <c r="F1610">
        <v>14</v>
      </c>
      <c r="G1610">
        <v>16</v>
      </c>
      <c r="H1610">
        <v>0</v>
      </c>
      <c r="I1610">
        <v>0</v>
      </c>
      <c r="J1610">
        <v>30</v>
      </c>
      <c r="K1610" t="s">
        <v>245</v>
      </c>
    </row>
    <row r="1611" spans="2:11" x14ac:dyDescent="0.25">
      <c r="B1611">
        <v>5403</v>
      </c>
      <c r="C1611">
        <v>12</v>
      </c>
      <c r="D1611">
        <v>3</v>
      </c>
      <c r="E1611">
        <v>10</v>
      </c>
      <c r="F1611">
        <v>13</v>
      </c>
      <c r="G1611">
        <v>8</v>
      </c>
      <c r="H1611">
        <v>0</v>
      </c>
      <c r="I1611">
        <v>0</v>
      </c>
      <c r="J1611">
        <v>21</v>
      </c>
      <c r="K1611" t="s">
        <v>247</v>
      </c>
    </row>
    <row r="1612" spans="2:11" x14ac:dyDescent="0.25">
      <c r="B1612">
        <v>5406</v>
      </c>
      <c r="C1612">
        <v>12</v>
      </c>
      <c r="D1612">
        <v>3</v>
      </c>
      <c r="E1612">
        <v>13</v>
      </c>
      <c r="F1612">
        <v>13</v>
      </c>
      <c r="G1612">
        <v>9</v>
      </c>
      <c r="H1612">
        <v>2</v>
      </c>
      <c r="I1612">
        <v>0</v>
      </c>
      <c r="J1612">
        <v>24</v>
      </c>
      <c r="K1612" t="s">
        <v>247</v>
      </c>
    </row>
    <row r="1613" spans="2:11" x14ac:dyDescent="0.25">
      <c r="B1613">
        <v>5408</v>
      </c>
      <c r="C1613">
        <v>13</v>
      </c>
      <c r="D1613">
        <v>4</v>
      </c>
      <c r="E1613">
        <v>15</v>
      </c>
      <c r="F1613">
        <v>2</v>
      </c>
      <c r="G1613">
        <v>22</v>
      </c>
      <c r="H1613">
        <v>0</v>
      </c>
      <c r="I1613">
        <v>0</v>
      </c>
      <c r="J1613">
        <v>24</v>
      </c>
      <c r="K1613" t="s">
        <v>247</v>
      </c>
    </row>
    <row r="1614" spans="2:11" x14ac:dyDescent="0.25">
      <c r="B1614">
        <v>5410</v>
      </c>
      <c r="C1614">
        <v>216</v>
      </c>
      <c r="D1614">
        <v>94</v>
      </c>
      <c r="E1614">
        <v>14</v>
      </c>
      <c r="F1614">
        <v>12</v>
      </c>
      <c r="G1614">
        <v>13</v>
      </c>
      <c r="H1614">
        <v>1</v>
      </c>
      <c r="I1614">
        <v>0</v>
      </c>
      <c r="J1614">
        <v>26</v>
      </c>
      <c r="K1614" t="s">
        <v>245</v>
      </c>
    </row>
    <row r="1615" spans="2:11" x14ac:dyDescent="0.25">
      <c r="B1615">
        <v>5411</v>
      </c>
      <c r="C1615">
        <v>218</v>
      </c>
      <c r="D1615">
        <v>94</v>
      </c>
      <c r="E1615">
        <v>3</v>
      </c>
      <c r="F1615">
        <v>0</v>
      </c>
      <c r="G1615">
        <v>4</v>
      </c>
      <c r="H1615">
        <v>0</v>
      </c>
      <c r="I1615">
        <v>0</v>
      </c>
      <c r="J1615">
        <v>4</v>
      </c>
      <c r="K1615" t="s">
        <v>245</v>
      </c>
    </row>
    <row r="1616" spans="2:11" x14ac:dyDescent="0.25">
      <c r="B1616">
        <v>5412</v>
      </c>
      <c r="C1616">
        <v>218</v>
      </c>
      <c r="D1616">
        <v>94</v>
      </c>
      <c r="E1616">
        <v>4</v>
      </c>
      <c r="F1616">
        <v>0</v>
      </c>
      <c r="G1616">
        <v>30</v>
      </c>
      <c r="H1616">
        <v>0</v>
      </c>
      <c r="I1616">
        <v>0</v>
      </c>
      <c r="J1616">
        <v>30</v>
      </c>
      <c r="K1616" t="s">
        <v>245</v>
      </c>
    </row>
    <row r="1617" spans="2:11" x14ac:dyDescent="0.25">
      <c r="B1617">
        <v>5413</v>
      </c>
      <c r="C1617">
        <v>202</v>
      </c>
      <c r="D1617">
        <v>88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 t="s">
        <v>246</v>
      </c>
    </row>
    <row r="1618" spans="2:11" x14ac:dyDescent="0.25">
      <c r="B1618">
        <v>5414</v>
      </c>
      <c r="C1618">
        <v>202</v>
      </c>
      <c r="D1618">
        <v>88</v>
      </c>
      <c r="E1618">
        <v>2</v>
      </c>
      <c r="F1618">
        <v>11</v>
      </c>
      <c r="G1618">
        <v>4</v>
      </c>
      <c r="H1618">
        <v>1</v>
      </c>
      <c r="I1618">
        <v>0</v>
      </c>
      <c r="J1618">
        <v>16</v>
      </c>
      <c r="K1618" t="s">
        <v>246</v>
      </c>
    </row>
    <row r="1619" spans="2:11" x14ac:dyDescent="0.25">
      <c r="B1619">
        <v>1775</v>
      </c>
      <c r="C1619">
        <v>295</v>
      </c>
      <c r="D1619">
        <v>136</v>
      </c>
      <c r="E1619">
        <v>8</v>
      </c>
      <c r="F1619">
        <v>15</v>
      </c>
      <c r="G1619">
        <v>8</v>
      </c>
      <c r="H1619">
        <v>0</v>
      </c>
      <c r="I1619">
        <v>0</v>
      </c>
      <c r="J1619">
        <v>23</v>
      </c>
      <c r="K1619" t="s">
        <v>245</v>
      </c>
    </row>
    <row r="1620" spans="2:11" x14ac:dyDescent="0.25">
      <c r="B1620">
        <v>1777</v>
      </c>
      <c r="C1620">
        <v>170</v>
      </c>
      <c r="D1620">
        <v>73</v>
      </c>
      <c r="E1620">
        <v>6</v>
      </c>
      <c r="F1620">
        <v>9</v>
      </c>
      <c r="G1620">
        <v>2</v>
      </c>
      <c r="H1620">
        <v>0</v>
      </c>
      <c r="I1620">
        <v>0</v>
      </c>
      <c r="J1620">
        <v>11</v>
      </c>
      <c r="K1620" t="s">
        <v>246</v>
      </c>
    </row>
    <row r="1621" spans="2:11" x14ac:dyDescent="0.25">
      <c r="B1621">
        <v>1778</v>
      </c>
      <c r="C1621">
        <v>20</v>
      </c>
      <c r="D1621">
        <v>10</v>
      </c>
      <c r="E1621">
        <v>8</v>
      </c>
      <c r="F1621">
        <v>12</v>
      </c>
      <c r="G1621">
        <v>6</v>
      </c>
      <c r="H1621">
        <v>2</v>
      </c>
      <c r="I1621">
        <v>0</v>
      </c>
      <c r="J1621">
        <v>20</v>
      </c>
      <c r="K1621" t="s">
        <v>248</v>
      </c>
    </row>
    <row r="1622" spans="2:11" x14ac:dyDescent="0.25">
      <c r="B1622">
        <v>1779</v>
      </c>
      <c r="C1622">
        <v>65</v>
      </c>
      <c r="D1622">
        <v>35</v>
      </c>
      <c r="E1622">
        <v>8</v>
      </c>
      <c r="F1622">
        <v>13</v>
      </c>
      <c r="G1622">
        <v>10</v>
      </c>
      <c r="H1622">
        <v>3</v>
      </c>
      <c r="I1622">
        <v>0</v>
      </c>
      <c r="J1622">
        <v>26</v>
      </c>
      <c r="K1622" t="s">
        <v>241</v>
      </c>
    </row>
    <row r="1623" spans="2:11" x14ac:dyDescent="0.25">
      <c r="B1623">
        <v>1781</v>
      </c>
      <c r="C1623">
        <v>121</v>
      </c>
      <c r="D1623">
        <v>55</v>
      </c>
      <c r="E1623">
        <v>8</v>
      </c>
      <c r="F1623">
        <v>4</v>
      </c>
      <c r="G1623">
        <v>3</v>
      </c>
      <c r="H1623">
        <v>0</v>
      </c>
      <c r="I1623">
        <v>0</v>
      </c>
      <c r="J1623">
        <v>7</v>
      </c>
      <c r="K1623" t="s">
        <v>247</v>
      </c>
    </row>
    <row r="1624" spans="2:11" x14ac:dyDescent="0.25">
      <c r="B1624">
        <v>1782</v>
      </c>
      <c r="C1624">
        <v>170</v>
      </c>
      <c r="D1624">
        <v>73</v>
      </c>
      <c r="E1624">
        <v>8</v>
      </c>
      <c r="F1624">
        <v>8</v>
      </c>
      <c r="G1624">
        <v>4</v>
      </c>
      <c r="H1624">
        <v>0</v>
      </c>
      <c r="I1624">
        <v>0</v>
      </c>
      <c r="J1624">
        <v>12</v>
      </c>
      <c r="K1624" t="s">
        <v>246</v>
      </c>
    </row>
    <row r="1625" spans="2:11" x14ac:dyDescent="0.25">
      <c r="B1625">
        <v>1783</v>
      </c>
      <c r="C1625">
        <v>22</v>
      </c>
      <c r="D1625">
        <v>10</v>
      </c>
      <c r="E1625">
        <v>8</v>
      </c>
      <c r="F1625">
        <v>6</v>
      </c>
      <c r="G1625">
        <v>9</v>
      </c>
      <c r="H1625">
        <v>0</v>
      </c>
      <c r="I1625">
        <v>0</v>
      </c>
      <c r="J1625">
        <v>15</v>
      </c>
      <c r="K1625" t="s">
        <v>248</v>
      </c>
    </row>
    <row r="1626" spans="2:11" x14ac:dyDescent="0.25">
      <c r="B1626">
        <v>1784</v>
      </c>
      <c r="C1626">
        <v>322</v>
      </c>
      <c r="D1626">
        <v>149</v>
      </c>
      <c r="E1626">
        <v>8</v>
      </c>
      <c r="F1626">
        <v>10</v>
      </c>
      <c r="G1626">
        <v>2</v>
      </c>
      <c r="H1626">
        <v>0</v>
      </c>
      <c r="I1626">
        <v>0</v>
      </c>
      <c r="J1626">
        <v>12</v>
      </c>
      <c r="K1626" t="s">
        <v>245</v>
      </c>
    </row>
    <row r="1627" spans="2:11" x14ac:dyDescent="0.25">
      <c r="B1627">
        <v>1785</v>
      </c>
      <c r="C1627">
        <v>24</v>
      </c>
      <c r="D1627">
        <v>12</v>
      </c>
      <c r="E1627">
        <v>8</v>
      </c>
      <c r="F1627">
        <v>10</v>
      </c>
      <c r="G1627">
        <v>9</v>
      </c>
      <c r="H1627">
        <v>2</v>
      </c>
      <c r="I1627">
        <v>0</v>
      </c>
      <c r="J1627">
        <v>21</v>
      </c>
      <c r="K1627" t="s">
        <v>247</v>
      </c>
    </row>
    <row r="1628" spans="2:11" x14ac:dyDescent="0.25">
      <c r="B1628">
        <v>1786</v>
      </c>
      <c r="C1628">
        <v>47</v>
      </c>
      <c r="D1628">
        <v>23</v>
      </c>
      <c r="E1628">
        <v>8</v>
      </c>
      <c r="F1628">
        <v>13</v>
      </c>
      <c r="G1628">
        <v>4</v>
      </c>
      <c r="H1628">
        <v>0</v>
      </c>
      <c r="I1628">
        <v>0</v>
      </c>
      <c r="J1628">
        <v>17</v>
      </c>
      <c r="K1628" t="s">
        <v>241</v>
      </c>
    </row>
    <row r="1629" spans="2:11" x14ac:dyDescent="0.25">
      <c r="B1629">
        <v>1787</v>
      </c>
      <c r="C1629">
        <v>64</v>
      </c>
      <c r="D1629">
        <v>35</v>
      </c>
      <c r="E1629">
        <v>8</v>
      </c>
      <c r="F1629">
        <v>5</v>
      </c>
      <c r="G1629">
        <v>13</v>
      </c>
      <c r="H1629">
        <v>0</v>
      </c>
      <c r="I1629">
        <v>0</v>
      </c>
      <c r="J1629">
        <v>18</v>
      </c>
      <c r="K1629" t="s">
        <v>247</v>
      </c>
    </row>
    <row r="1630" spans="2:11" x14ac:dyDescent="0.25">
      <c r="B1630">
        <v>1788</v>
      </c>
      <c r="C1630">
        <v>299</v>
      </c>
      <c r="D1630">
        <v>137</v>
      </c>
      <c r="E1630">
        <v>8</v>
      </c>
      <c r="F1630">
        <v>6</v>
      </c>
      <c r="G1630">
        <v>7</v>
      </c>
      <c r="H1630">
        <v>0</v>
      </c>
      <c r="I1630">
        <v>0</v>
      </c>
      <c r="J1630">
        <v>13</v>
      </c>
      <c r="K1630" t="s">
        <v>245</v>
      </c>
    </row>
    <row r="1631" spans="2:11" x14ac:dyDescent="0.25">
      <c r="B1631">
        <v>1789</v>
      </c>
      <c r="C1631">
        <v>145</v>
      </c>
      <c r="D1631">
        <v>65</v>
      </c>
      <c r="E1631">
        <v>8</v>
      </c>
      <c r="F1631">
        <v>19</v>
      </c>
      <c r="G1631">
        <v>8</v>
      </c>
      <c r="H1631">
        <v>0</v>
      </c>
      <c r="I1631">
        <v>0</v>
      </c>
      <c r="J1631">
        <v>27</v>
      </c>
      <c r="K1631" t="s">
        <v>246</v>
      </c>
    </row>
    <row r="1632" spans="2:11" x14ac:dyDescent="0.25">
      <c r="B1632">
        <v>1791</v>
      </c>
      <c r="C1632">
        <v>40</v>
      </c>
      <c r="D1632">
        <v>19</v>
      </c>
      <c r="E1632">
        <v>8</v>
      </c>
      <c r="F1632">
        <v>29</v>
      </c>
      <c r="G1632">
        <v>1</v>
      </c>
      <c r="H1632">
        <v>0</v>
      </c>
      <c r="I1632">
        <v>0</v>
      </c>
      <c r="J1632">
        <v>30</v>
      </c>
      <c r="K1632" t="s">
        <v>247</v>
      </c>
    </row>
    <row r="1633" spans="2:11" x14ac:dyDescent="0.25">
      <c r="B1633">
        <v>1792</v>
      </c>
      <c r="C1633">
        <v>136</v>
      </c>
      <c r="D1633">
        <v>60</v>
      </c>
      <c r="E1633">
        <v>9</v>
      </c>
      <c r="F1633">
        <v>5</v>
      </c>
      <c r="G1633">
        <v>8</v>
      </c>
      <c r="H1633">
        <v>4</v>
      </c>
      <c r="I1633">
        <v>0</v>
      </c>
      <c r="J1633">
        <v>17</v>
      </c>
      <c r="K1633" t="s">
        <v>246</v>
      </c>
    </row>
    <row r="1634" spans="2:11" x14ac:dyDescent="0.25">
      <c r="B1634">
        <v>1793</v>
      </c>
      <c r="C1634">
        <v>27</v>
      </c>
      <c r="D1634">
        <v>14</v>
      </c>
      <c r="E1634">
        <v>8</v>
      </c>
      <c r="F1634">
        <v>7</v>
      </c>
      <c r="G1634">
        <v>3</v>
      </c>
      <c r="H1634">
        <v>0</v>
      </c>
      <c r="I1634">
        <v>0</v>
      </c>
      <c r="J1634">
        <v>10</v>
      </c>
      <c r="K1634" t="s">
        <v>247</v>
      </c>
    </row>
    <row r="1635" spans="2:11" x14ac:dyDescent="0.25">
      <c r="B1635">
        <v>1794</v>
      </c>
      <c r="C1635">
        <v>240</v>
      </c>
      <c r="D1635">
        <v>107</v>
      </c>
      <c r="E1635">
        <v>8</v>
      </c>
      <c r="F1635">
        <v>5</v>
      </c>
      <c r="G1635">
        <v>2</v>
      </c>
      <c r="H1635">
        <v>0</v>
      </c>
      <c r="I1635">
        <v>0</v>
      </c>
      <c r="J1635">
        <v>7</v>
      </c>
      <c r="K1635" t="s">
        <v>246</v>
      </c>
    </row>
    <row r="1636" spans="2:11" x14ac:dyDescent="0.25">
      <c r="B1636">
        <v>1795</v>
      </c>
      <c r="C1636">
        <v>275</v>
      </c>
      <c r="D1636">
        <v>126</v>
      </c>
      <c r="E1636">
        <v>8</v>
      </c>
      <c r="F1636">
        <v>12</v>
      </c>
      <c r="G1636">
        <v>9</v>
      </c>
      <c r="H1636">
        <v>0</v>
      </c>
      <c r="I1636">
        <v>0</v>
      </c>
      <c r="J1636">
        <v>21</v>
      </c>
      <c r="K1636" t="s">
        <v>246</v>
      </c>
    </row>
    <row r="1637" spans="2:11" x14ac:dyDescent="0.25">
      <c r="B1637">
        <v>1796</v>
      </c>
      <c r="C1637">
        <v>26</v>
      </c>
      <c r="D1637">
        <v>14</v>
      </c>
      <c r="E1637">
        <v>8</v>
      </c>
      <c r="F1637">
        <v>10</v>
      </c>
      <c r="G1637">
        <v>4</v>
      </c>
      <c r="H1637">
        <v>6</v>
      </c>
      <c r="I1637">
        <v>0</v>
      </c>
      <c r="J1637">
        <v>20</v>
      </c>
      <c r="K1637" t="s">
        <v>248</v>
      </c>
    </row>
    <row r="1638" spans="2:11" x14ac:dyDescent="0.25">
      <c r="B1638">
        <v>1797</v>
      </c>
      <c r="C1638">
        <v>275</v>
      </c>
      <c r="D1638">
        <v>126</v>
      </c>
      <c r="E1638">
        <v>7</v>
      </c>
      <c r="F1638">
        <v>10</v>
      </c>
      <c r="G1638">
        <v>12</v>
      </c>
      <c r="H1638">
        <v>0</v>
      </c>
      <c r="I1638">
        <v>0</v>
      </c>
      <c r="J1638">
        <v>22</v>
      </c>
      <c r="K1638" t="s">
        <v>246</v>
      </c>
    </row>
    <row r="1639" spans="2:11" x14ac:dyDescent="0.25">
      <c r="B1639">
        <v>1798</v>
      </c>
      <c r="C1639">
        <v>39</v>
      </c>
      <c r="D1639">
        <v>19</v>
      </c>
      <c r="E1639">
        <v>8</v>
      </c>
      <c r="F1639">
        <v>1</v>
      </c>
      <c r="G1639">
        <v>4</v>
      </c>
      <c r="H1639">
        <v>0</v>
      </c>
      <c r="I1639">
        <v>0</v>
      </c>
      <c r="J1639">
        <v>5</v>
      </c>
      <c r="K1639" t="s">
        <v>248</v>
      </c>
    </row>
    <row r="1640" spans="2:11" x14ac:dyDescent="0.25">
      <c r="B1640">
        <v>1799</v>
      </c>
      <c r="C1640">
        <v>275</v>
      </c>
      <c r="D1640">
        <v>126</v>
      </c>
      <c r="E1640">
        <v>6</v>
      </c>
      <c r="F1640">
        <v>7</v>
      </c>
      <c r="G1640">
        <v>9</v>
      </c>
      <c r="H1640">
        <v>1</v>
      </c>
      <c r="I1640">
        <v>0</v>
      </c>
      <c r="J1640">
        <v>17</v>
      </c>
      <c r="K1640" t="s">
        <v>246</v>
      </c>
    </row>
    <row r="1641" spans="2:11" x14ac:dyDescent="0.25">
      <c r="B1641">
        <v>1800</v>
      </c>
      <c r="C1641">
        <v>47</v>
      </c>
      <c r="D1641">
        <v>23</v>
      </c>
      <c r="E1641">
        <v>3</v>
      </c>
      <c r="F1641">
        <v>6</v>
      </c>
      <c r="G1641">
        <v>6</v>
      </c>
      <c r="H1641">
        <v>0</v>
      </c>
      <c r="I1641">
        <v>0</v>
      </c>
      <c r="J1641">
        <v>12</v>
      </c>
      <c r="K1641" t="s">
        <v>241</v>
      </c>
    </row>
    <row r="1642" spans="2:11" x14ac:dyDescent="0.25">
      <c r="B1642">
        <v>1801</v>
      </c>
      <c r="C1642">
        <v>282</v>
      </c>
      <c r="D1642">
        <v>130</v>
      </c>
      <c r="E1642">
        <v>8</v>
      </c>
      <c r="F1642">
        <v>16</v>
      </c>
      <c r="G1642">
        <v>9</v>
      </c>
      <c r="H1642">
        <v>0</v>
      </c>
      <c r="I1642">
        <v>0</v>
      </c>
      <c r="J1642">
        <v>25</v>
      </c>
      <c r="K1642" t="s">
        <v>246</v>
      </c>
    </row>
    <row r="1643" spans="2:11" x14ac:dyDescent="0.25">
      <c r="B1643">
        <v>1802</v>
      </c>
      <c r="C1643">
        <v>47</v>
      </c>
      <c r="D1643">
        <v>23</v>
      </c>
      <c r="E1643">
        <v>2</v>
      </c>
      <c r="F1643">
        <v>5</v>
      </c>
      <c r="G1643">
        <v>10</v>
      </c>
      <c r="H1643">
        <v>2</v>
      </c>
      <c r="I1643">
        <v>0</v>
      </c>
      <c r="J1643">
        <v>17</v>
      </c>
      <c r="K1643" t="s">
        <v>241</v>
      </c>
    </row>
    <row r="1644" spans="2:11" x14ac:dyDescent="0.25">
      <c r="B1644">
        <v>1803</v>
      </c>
      <c r="C1644">
        <v>47</v>
      </c>
      <c r="D1644">
        <v>23</v>
      </c>
      <c r="E1644">
        <v>4</v>
      </c>
      <c r="F1644">
        <v>3</v>
      </c>
      <c r="G1644">
        <v>1</v>
      </c>
      <c r="H1644">
        <v>2</v>
      </c>
      <c r="I1644">
        <v>0</v>
      </c>
      <c r="J1644">
        <v>6</v>
      </c>
      <c r="K1644" t="s">
        <v>241</v>
      </c>
    </row>
    <row r="1645" spans="2:11" x14ac:dyDescent="0.25">
      <c r="B1645">
        <v>1804</v>
      </c>
      <c r="C1645">
        <v>312</v>
      </c>
      <c r="D1645">
        <v>144</v>
      </c>
      <c r="E1645">
        <v>8</v>
      </c>
      <c r="F1645">
        <v>5</v>
      </c>
      <c r="G1645">
        <v>8</v>
      </c>
      <c r="H1645">
        <v>0</v>
      </c>
      <c r="I1645">
        <v>0</v>
      </c>
      <c r="J1645">
        <v>13</v>
      </c>
      <c r="K1645" t="s">
        <v>245</v>
      </c>
    </row>
    <row r="1646" spans="2:11" x14ac:dyDescent="0.25">
      <c r="B1646">
        <v>1805</v>
      </c>
      <c r="C1646">
        <v>80</v>
      </c>
      <c r="D1646">
        <v>38</v>
      </c>
      <c r="E1646">
        <v>8</v>
      </c>
      <c r="F1646">
        <v>6</v>
      </c>
      <c r="G1646">
        <v>4</v>
      </c>
      <c r="H1646">
        <v>1</v>
      </c>
      <c r="I1646">
        <v>0</v>
      </c>
      <c r="J1646">
        <v>11</v>
      </c>
      <c r="K1646" t="s">
        <v>248</v>
      </c>
    </row>
    <row r="1647" spans="2:11" x14ac:dyDescent="0.25">
      <c r="B1647">
        <v>1806</v>
      </c>
      <c r="C1647">
        <v>47</v>
      </c>
      <c r="D1647">
        <v>23</v>
      </c>
      <c r="E1647">
        <v>5</v>
      </c>
      <c r="F1647">
        <v>7</v>
      </c>
      <c r="G1647">
        <v>3</v>
      </c>
      <c r="H1647">
        <v>1</v>
      </c>
      <c r="I1647">
        <v>0</v>
      </c>
      <c r="J1647">
        <v>11</v>
      </c>
      <c r="K1647" t="s">
        <v>241</v>
      </c>
    </row>
    <row r="1648" spans="2:11" x14ac:dyDescent="0.25">
      <c r="B1648">
        <v>1808</v>
      </c>
      <c r="C1648">
        <v>62</v>
      </c>
      <c r="D1648">
        <v>33</v>
      </c>
      <c r="E1648">
        <v>8</v>
      </c>
      <c r="F1648">
        <v>14</v>
      </c>
      <c r="G1648">
        <v>16</v>
      </c>
      <c r="H1648">
        <v>0</v>
      </c>
      <c r="I1648">
        <v>0</v>
      </c>
      <c r="J1648">
        <v>30</v>
      </c>
      <c r="K1648" t="s">
        <v>248</v>
      </c>
    </row>
    <row r="1649" spans="2:11" x14ac:dyDescent="0.25">
      <c r="B1649">
        <v>1809</v>
      </c>
      <c r="C1649">
        <v>242</v>
      </c>
      <c r="D1649">
        <v>107</v>
      </c>
      <c r="E1649">
        <v>8</v>
      </c>
      <c r="F1649">
        <v>3</v>
      </c>
      <c r="G1649">
        <v>5</v>
      </c>
      <c r="H1649">
        <v>0</v>
      </c>
      <c r="I1649">
        <v>0</v>
      </c>
      <c r="J1649">
        <v>8</v>
      </c>
      <c r="K1649" t="s">
        <v>241</v>
      </c>
    </row>
    <row r="1650" spans="2:11" x14ac:dyDescent="0.25">
      <c r="B1650">
        <v>1810</v>
      </c>
      <c r="C1650">
        <v>325</v>
      </c>
      <c r="D1650">
        <v>151</v>
      </c>
      <c r="E1650">
        <v>9</v>
      </c>
      <c r="F1650">
        <v>5</v>
      </c>
      <c r="G1650">
        <v>5</v>
      </c>
      <c r="H1650">
        <v>0</v>
      </c>
      <c r="I1650">
        <v>0</v>
      </c>
      <c r="J1650">
        <v>10</v>
      </c>
      <c r="K1650" t="s">
        <v>245</v>
      </c>
    </row>
    <row r="1651" spans="2:11" x14ac:dyDescent="0.25">
      <c r="B1651">
        <v>1811</v>
      </c>
      <c r="C1651">
        <v>68</v>
      </c>
      <c r="D1651">
        <v>35</v>
      </c>
      <c r="E1651">
        <v>8</v>
      </c>
      <c r="F1651">
        <v>6</v>
      </c>
      <c r="G1651">
        <v>9</v>
      </c>
      <c r="H1651">
        <v>6</v>
      </c>
      <c r="I1651">
        <v>0</v>
      </c>
      <c r="J1651">
        <v>21</v>
      </c>
      <c r="K1651" t="s">
        <v>241</v>
      </c>
    </row>
    <row r="1652" spans="2:11" x14ac:dyDescent="0.25">
      <c r="B1652">
        <v>1812</v>
      </c>
      <c r="C1652">
        <v>66</v>
      </c>
      <c r="D1652">
        <v>35</v>
      </c>
      <c r="E1652">
        <v>8</v>
      </c>
      <c r="F1652">
        <v>6</v>
      </c>
      <c r="G1652">
        <v>9</v>
      </c>
      <c r="H1652">
        <v>10</v>
      </c>
      <c r="I1652">
        <v>0</v>
      </c>
      <c r="J1652">
        <v>25</v>
      </c>
      <c r="K1652" t="s">
        <v>243</v>
      </c>
    </row>
    <row r="1653" spans="2:11" x14ac:dyDescent="0.25">
      <c r="B1653">
        <v>1813</v>
      </c>
      <c r="C1653">
        <v>122</v>
      </c>
      <c r="D1653">
        <v>55</v>
      </c>
      <c r="E1653">
        <v>8</v>
      </c>
      <c r="F1653">
        <v>18</v>
      </c>
      <c r="G1653">
        <v>6</v>
      </c>
      <c r="H1653">
        <v>1</v>
      </c>
      <c r="I1653">
        <v>0</v>
      </c>
      <c r="J1653">
        <v>25</v>
      </c>
      <c r="K1653" t="s">
        <v>241</v>
      </c>
    </row>
    <row r="1654" spans="2:11" x14ac:dyDescent="0.25">
      <c r="B1654">
        <v>1814</v>
      </c>
      <c r="C1654">
        <v>1</v>
      </c>
      <c r="D1654">
        <v>1</v>
      </c>
      <c r="E1654">
        <v>8</v>
      </c>
      <c r="F1654">
        <v>1</v>
      </c>
      <c r="G1654">
        <v>2</v>
      </c>
      <c r="H1654">
        <v>0</v>
      </c>
      <c r="I1654">
        <v>0</v>
      </c>
      <c r="J1654">
        <v>3</v>
      </c>
      <c r="K1654" t="s">
        <v>243</v>
      </c>
    </row>
    <row r="1655" spans="2:11" x14ac:dyDescent="0.25">
      <c r="B1655">
        <v>1815</v>
      </c>
      <c r="C1655">
        <v>252</v>
      </c>
      <c r="D1655">
        <v>114</v>
      </c>
      <c r="E1655">
        <v>9</v>
      </c>
      <c r="F1655">
        <v>10</v>
      </c>
      <c r="G1655">
        <v>8</v>
      </c>
      <c r="H1655">
        <v>3</v>
      </c>
      <c r="I1655">
        <v>0</v>
      </c>
      <c r="J1655">
        <v>21</v>
      </c>
      <c r="K1655" t="s">
        <v>248</v>
      </c>
    </row>
    <row r="1656" spans="2:11" x14ac:dyDescent="0.25">
      <c r="B1656">
        <v>1816</v>
      </c>
      <c r="C1656">
        <v>137</v>
      </c>
      <c r="D1656">
        <v>60</v>
      </c>
      <c r="E1656">
        <v>9</v>
      </c>
      <c r="F1656">
        <v>2</v>
      </c>
      <c r="G1656">
        <v>6</v>
      </c>
      <c r="H1656">
        <v>4</v>
      </c>
      <c r="I1656">
        <v>0</v>
      </c>
      <c r="J1656">
        <v>12</v>
      </c>
      <c r="K1656" t="s">
        <v>241</v>
      </c>
    </row>
    <row r="1657" spans="2:11" x14ac:dyDescent="0.25">
      <c r="B1657">
        <v>1818</v>
      </c>
      <c r="C1657">
        <v>292</v>
      </c>
      <c r="D1657">
        <v>135</v>
      </c>
      <c r="E1657">
        <v>8</v>
      </c>
      <c r="F1657">
        <v>25</v>
      </c>
      <c r="G1657">
        <v>1</v>
      </c>
      <c r="H1657">
        <v>0</v>
      </c>
      <c r="I1657">
        <v>0</v>
      </c>
      <c r="J1657">
        <v>26</v>
      </c>
      <c r="K1657" t="s">
        <v>243</v>
      </c>
    </row>
    <row r="1658" spans="2:11" x14ac:dyDescent="0.25">
      <c r="B1658">
        <v>1819</v>
      </c>
      <c r="C1658">
        <v>163</v>
      </c>
      <c r="D1658">
        <v>69</v>
      </c>
      <c r="E1658">
        <v>9</v>
      </c>
      <c r="F1658">
        <v>6</v>
      </c>
      <c r="G1658">
        <v>7</v>
      </c>
      <c r="H1658">
        <v>0</v>
      </c>
      <c r="I1658">
        <v>0</v>
      </c>
      <c r="J1658">
        <v>13</v>
      </c>
      <c r="K1658" t="s">
        <v>241</v>
      </c>
    </row>
    <row r="1659" spans="2:11" x14ac:dyDescent="0.25">
      <c r="B1659">
        <v>1820</v>
      </c>
      <c r="C1659">
        <v>151</v>
      </c>
      <c r="D1659">
        <v>69</v>
      </c>
      <c r="E1659">
        <v>9</v>
      </c>
      <c r="F1659">
        <v>17</v>
      </c>
      <c r="G1659">
        <v>12</v>
      </c>
      <c r="H1659">
        <v>1</v>
      </c>
      <c r="I1659">
        <v>0</v>
      </c>
      <c r="J1659">
        <v>30</v>
      </c>
      <c r="K1659" t="s">
        <v>241</v>
      </c>
    </row>
    <row r="1660" spans="2:11" x14ac:dyDescent="0.25">
      <c r="B1660">
        <v>1821</v>
      </c>
      <c r="C1660">
        <v>100</v>
      </c>
      <c r="D1660">
        <v>50</v>
      </c>
      <c r="E1660">
        <v>8</v>
      </c>
      <c r="F1660">
        <v>7</v>
      </c>
      <c r="G1660">
        <v>20</v>
      </c>
      <c r="H1660">
        <v>0</v>
      </c>
      <c r="I1660">
        <v>0</v>
      </c>
      <c r="J1660">
        <v>27</v>
      </c>
      <c r="K1660" t="s">
        <v>243</v>
      </c>
    </row>
    <row r="1661" spans="2:11" x14ac:dyDescent="0.25">
      <c r="B1661">
        <v>1822</v>
      </c>
      <c r="C1661">
        <v>243</v>
      </c>
      <c r="D1661">
        <v>108</v>
      </c>
      <c r="E1661">
        <v>8</v>
      </c>
      <c r="F1661">
        <v>9</v>
      </c>
      <c r="G1661">
        <v>2</v>
      </c>
      <c r="H1661">
        <v>1</v>
      </c>
      <c r="I1661">
        <v>0</v>
      </c>
      <c r="J1661">
        <v>12</v>
      </c>
      <c r="K1661" t="s">
        <v>247</v>
      </c>
    </row>
    <row r="1662" spans="2:11" x14ac:dyDescent="0.25">
      <c r="B1662">
        <v>1823</v>
      </c>
      <c r="C1662">
        <v>112</v>
      </c>
      <c r="D1662">
        <v>51</v>
      </c>
      <c r="E1662">
        <v>8</v>
      </c>
      <c r="F1662">
        <v>0</v>
      </c>
      <c r="G1662">
        <v>18</v>
      </c>
      <c r="H1662">
        <v>0</v>
      </c>
      <c r="I1662">
        <v>0</v>
      </c>
      <c r="J1662">
        <v>18</v>
      </c>
      <c r="K1662" t="s">
        <v>247</v>
      </c>
    </row>
    <row r="1663" spans="2:11" x14ac:dyDescent="0.25">
      <c r="B1663">
        <v>1824</v>
      </c>
      <c r="C1663">
        <v>118</v>
      </c>
      <c r="D1663">
        <v>55</v>
      </c>
      <c r="E1663">
        <v>8</v>
      </c>
      <c r="F1663">
        <v>13</v>
      </c>
      <c r="G1663">
        <v>4</v>
      </c>
      <c r="H1663">
        <v>0</v>
      </c>
      <c r="I1663">
        <v>0</v>
      </c>
      <c r="J1663">
        <v>17</v>
      </c>
      <c r="K1663" t="s">
        <v>243</v>
      </c>
    </row>
    <row r="1664" spans="2:11" x14ac:dyDescent="0.25">
      <c r="B1664">
        <v>1825</v>
      </c>
      <c r="C1664">
        <v>114</v>
      </c>
      <c r="D1664">
        <v>52</v>
      </c>
      <c r="E1664">
        <v>8</v>
      </c>
      <c r="F1664">
        <v>14</v>
      </c>
      <c r="G1664">
        <v>13</v>
      </c>
      <c r="H1664">
        <v>3</v>
      </c>
      <c r="I1664">
        <v>0</v>
      </c>
      <c r="J1664">
        <v>30</v>
      </c>
      <c r="K1664" t="s">
        <v>241</v>
      </c>
    </row>
    <row r="1665" spans="2:11" x14ac:dyDescent="0.25">
      <c r="B1665">
        <v>1829</v>
      </c>
      <c r="C1665">
        <v>317</v>
      </c>
      <c r="D1665">
        <v>146</v>
      </c>
      <c r="E1665">
        <v>8</v>
      </c>
      <c r="F1665">
        <v>4</v>
      </c>
      <c r="G1665">
        <v>9</v>
      </c>
      <c r="H1665">
        <v>0</v>
      </c>
      <c r="I1665">
        <v>0</v>
      </c>
      <c r="J1665">
        <v>13</v>
      </c>
      <c r="K1665" t="s">
        <v>246</v>
      </c>
    </row>
    <row r="1666" spans="2:11" x14ac:dyDescent="0.25">
      <c r="B1666">
        <v>1830</v>
      </c>
      <c r="C1666">
        <v>297</v>
      </c>
      <c r="D1666">
        <v>136</v>
      </c>
      <c r="E1666">
        <v>9</v>
      </c>
      <c r="F1666">
        <v>6</v>
      </c>
      <c r="G1666">
        <v>11</v>
      </c>
      <c r="H1666">
        <v>1</v>
      </c>
      <c r="I1666">
        <v>0</v>
      </c>
      <c r="J1666">
        <v>18</v>
      </c>
      <c r="K1666" t="s">
        <v>242</v>
      </c>
    </row>
    <row r="1667" spans="2:11" x14ac:dyDescent="0.25">
      <c r="B1667">
        <v>1831</v>
      </c>
      <c r="C1667">
        <v>294</v>
      </c>
      <c r="D1667">
        <v>136</v>
      </c>
      <c r="E1667">
        <v>8</v>
      </c>
      <c r="F1667">
        <v>26</v>
      </c>
      <c r="G1667">
        <v>2</v>
      </c>
      <c r="H1667">
        <v>0</v>
      </c>
      <c r="I1667">
        <v>0</v>
      </c>
      <c r="J1667">
        <v>28</v>
      </c>
      <c r="K1667" t="s">
        <v>241</v>
      </c>
    </row>
    <row r="1668" spans="2:11" x14ac:dyDescent="0.25">
      <c r="B1668">
        <v>1833</v>
      </c>
      <c r="C1668">
        <v>253</v>
      </c>
      <c r="D1668">
        <v>115</v>
      </c>
      <c r="E1668">
        <v>9</v>
      </c>
      <c r="F1668">
        <v>9</v>
      </c>
      <c r="G1668">
        <v>6</v>
      </c>
      <c r="H1668">
        <v>2</v>
      </c>
      <c r="I1668">
        <v>0</v>
      </c>
      <c r="J1668">
        <v>17</v>
      </c>
      <c r="K1668" t="s">
        <v>242</v>
      </c>
    </row>
    <row r="1669" spans="2:11" x14ac:dyDescent="0.25">
      <c r="B1669">
        <v>1835</v>
      </c>
      <c r="C1669">
        <v>67</v>
      </c>
      <c r="D1669">
        <v>35</v>
      </c>
      <c r="E1669">
        <v>8</v>
      </c>
      <c r="F1669">
        <v>15</v>
      </c>
      <c r="G1669">
        <v>2</v>
      </c>
      <c r="H1669">
        <v>13</v>
      </c>
      <c r="I1669">
        <v>0</v>
      </c>
      <c r="J1669">
        <v>30</v>
      </c>
      <c r="K1669" t="s">
        <v>247</v>
      </c>
    </row>
    <row r="1670" spans="2:11" x14ac:dyDescent="0.25">
      <c r="B1670">
        <v>1836</v>
      </c>
      <c r="C1670">
        <v>277</v>
      </c>
      <c r="D1670">
        <v>128</v>
      </c>
      <c r="E1670">
        <v>7</v>
      </c>
      <c r="F1670">
        <v>10</v>
      </c>
      <c r="G1670">
        <v>14</v>
      </c>
      <c r="H1670">
        <v>0</v>
      </c>
      <c r="I1670">
        <v>0</v>
      </c>
      <c r="J1670">
        <v>24</v>
      </c>
      <c r="K1670" t="s">
        <v>242</v>
      </c>
    </row>
    <row r="1671" spans="2:11" x14ac:dyDescent="0.25">
      <c r="B1671">
        <v>1839</v>
      </c>
      <c r="C1671">
        <v>277</v>
      </c>
      <c r="D1671">
        <v>128</v>
      </c>
      <c r="E1671">
        <v>8</v>
      </c>
      <c r="F1671">
        <v>8</v>
      </c>
      <c r="G1671">
        <v>13</v>
      </c>
      <c r="H1671">
        <v>0</v>
      </c>
      <c r="I1671">
        <v>0</v>
      </c>
      <c r="J1671">
        <v>21</v>
      </c>
      <c r="K1671" t="s">
        <v>242</v>
      </c>
    </row>
    <row r="1672" spans="2:11" x14ac:dyDescent="0.25">
      <c r="B1672">
        <v>1840</v>
      </c>
      <c r="C1672">
        <v>276</v>
      </c>
      <c r="D1672">
        <v>127</v>
      </c>
      <c r="E1672">
        <v>8</v>
      </c>
      <c r="F1672">
        <v>14</v>
      </c>
      <c r="G1672">
        <v>11</v>
      </c>
      <c r="H1672">
        <v>0</v>
      </c>
      <c r="I1672">
        <v>0</v>
      </c>
      <c r="J1672">
        <v>25</v>
      </c>
      <c r="K1672" t="s">
        <v>242</v>
      </c>
    </row>
    <row r="1673" spans="2:11" x14ac:dyDescent="0.25">
      <c r="B1673">
        <v>1842</v>
      </c>
      <c r="C1673">
        <v>276</v>
      </c>
      <c r="D1673">
        <v>127</v>
      </c>
      <c r="E1673">
        <v>7</v>
      </c>
      <c r="F1673">
        <v>16</v>
      </c>
      <c r="G1673">
        <v>12</v>
      </c>
      <c r="H1673">
        <v>0</v>
      </c>
      <c r="I1673">
        <v>0</v>
      </c>
      <c r="J1673">
        <v>28</v>
      </c>
      <c r="K1673" t="s">
        <v>242</v>
      </c>
    </row>
    <row r="1674" spans="2:11" x14ac:dyDescent="0.25">
      <c r="B1674">
        <v>1843</v>
      </c>
      <c r="C1674">
        <v>317</v>
      </c>
      <c r="D1674">
        <v>146</v>
      </c>
      <c r="E1674">
        <v>9</v>
      </c>
      <c r="F1674">
        <v>17</v>
      </c>
      <c r="G1674">
        <v>7</v>
      </c>
      <c r="H1674">
        <v>0</v>
      </c>
      <c r="I1674">
        <v>0</v>
      </c>
      <c r="J1674">
        <v>24</v>
      </c>
      <c r="K1674" t="s">
        <v>248</v>
      </c>
    </row>
    <row r="1675" spans="2:11" x14ac:dyDescent="0.25">
      <c r="B1675">
        <v>1844</v>
      </c>
      <c r="C1675">
        <v>327</v>
      </c>
      <c r="D1675">
        <v>152</v>
      </c>
      <c r="E1675">
        <v>9</v>
      </c>
      <c r="F1675">
        <v>15</v>
      </c>
      <c r="G1675">
        <v>5</v>
      </c>
      <c r="H1675">
        <v>0</v>
      </c>
      <c r="I1675">
        <v>0</v>
      </c>
      <c r="J1675">
        <v>20</v>
      </c>
      <c r="K1675" t="s">
        <v>247</v>
      </c>
    </row>
    <row r="1676" spans="2:11" x14ac:dyDescent="0.25">
      <c r="B1676">
        <v>1847</v>
      </c>
      <c r="C1676">
        <v>175</v>
      </c>
      <c r="D1676">
        <v>76</v>
      </c>
      <c r="E1676">
        <v>8</v>
      </c>
      <c r="F1676">
        <v>7</v>
      </c>
      <c r="G1676">
        <v>8</v>
      </c>
      <c r="H1676">
        <v>5</v>
      </c>
      <c r="I1676">
        <v>0</v>
      </c>
      <c r="J1676">
        <v>20</v>
      </c>
      <c r="K1676" t="s">
        <v>245</v>
      </c>
    </row>
    <row r="1677" spans="2:11" x14ac:dyDescent="0.25">
      <c r="B1677">
        <v>1848</v>
      </c>
      <c r="C1677">
        <v>83</v>
      </c>
      <c r="D1677">
        <v>40</v>
      </c>
      <c r="E1677">
        <v>7</v>
      </c>
      <c r="F1677">
        <v>11</v>
      </c>
      <c r="G1677">
        <v>15</v>
      </c>
      <c r="H1677">
        <v>0</v>
      </c>
      <c r="I1677">
        <v>0</v>
      </c>
      <c r="J1677">
        <v>26</v>
      </c>
      <c r="K1677" t="s">
        <v>247</v>
      </c>
    </row>
    <row r="1678" spans="2:11" x14ac:dyDescent="0.25">
      <c r="B1678">
        <v>4506</v>
      </c>
      <c r="C1678">
        <v>333</v>
      </c>
      <c r="D1678">
        <v>152</v>
      </c>
      <c r="E1678">
        <v>17</v>
      </c>
      <c r="F1678">
        <v>14</v>
      </c>
      <c r="G1678">
        <v>16</v>
      </c>
      <c r="H1678">
        <v>0</v>
      </c>
      <c r="I1678">
        <v>0</v>
      </c>
      <c r="J1678">
        <v>30</v>
      </c>
      <c r="K1678" t="s">
        <v>245</v>
      </c>
    </row>
    <row r="1679" spans="2:11" x14ac:dyDescent="0.25">
      <c r="B1679">
        <v>5405</v>
      </c>
      <c r="C1679">
        <v>216</v>
      </c>
      <c r="D1679">
        <v>94</v>
      </c>
      <c r="E1679">
        <v>12</v>
      </c>
      <c r="F1679">
        <v>14</v>
      </c>
      <c r="G1679">
        <v>8</v>
      </c>
      <c r="H1679">
        <v>0</v>
      </c>
      <c r="I1679">
        <v>0</v>
      </c>
      <c r="J1679">
        <v>22</v>
      </c>
      <c r="K1679" t="s">
        <v>245</v>
      </c>
    </row>
    <row r="1680" spans="2:11" x14ac:dyDescent="0.25">
      <c r="B1680">
        <v>5407</v>
      </c>
      <c r="C1680">
        <v>216</v>
      </c>
      <c r="D1680">
        <v>94</v>
      </c>
      <c r="E1680">
        <v>13</v>
      </c>
      <c r="F1680">
        <v>11</v>
      </c>
      <c r="G1680">
        <v>7</v>
      </c>
      <c r="H1680">
        <v>0</v>
      </c>
      <c r="I1680">
        <v>0</v>
      </c>
      <c r="J1680">
        <v>18</v>
      </c>
      <c r="K1680" t="s">
        <v>245</v>
      </c>
    </row>
    <row r="1681" spans="2:11" x14ac:dyDescent="0.25">
      <c r="B1681">
        <v>5415</v>
      </c>
      <c r="C1681">
        <v>202</v>
      </c>
      <c r="D1681">
        <v>88</v>
      </c>
      <c r="E1681">
        <v>3</v>
      </c>
      <c r="F1681">
        <v>7</v>
      </c>
      <c r="G1681">
        <v>2</v>
      </c>
      <c r="H1681">
        <v>0</v>
      </c>
      <c r="I1681">
        <v>0</v>
      </c>
      <c r="J1681">
        <v>9</v>
      </c>
      <c r="K1681" t="s">
        <v>246</v>
      </c>
    </row>
    <row r="1682" spans="2:11" x14ac:dyDescent="0.25">
      <c r="B1682">
        <v>5416</v>
      </c>
      <c r="C1682">
        <v>202</v>
      </c>
      <c r="D1682">
        <v>88</v>
      </c>
      <c r="E1682">
        <v>4</v>
      </c>
      <c r="F1682">
        <v>12</v>
      </c>
      <c r="G1682">
        <v>3</v>
      </c>
      <c r="H1682">
        <v>0</v>
      </c>
      <c r="I1682">
        <v>0</v>
      </c>
      <c r="J1682">
        <v>15</v>
      </c>
      <c r="K1682" t="s">
        <v>246</v>
      </c>
    </row>
    <row r="1683" spans="2:11" x14ac:dyDescent="0.25">
      <c r="B1683">
        <v>5417</v>
      </c>
      <c r="C1683">
        <v>202</v>
      </c>
      <c r="D1683">
        <v>88</v>
      </c>
      <c r="E1683">
        <v>5</v>
      </c>
      <c r="F1683">
        <v>15</v>
      </c>
      <c r="G1683">
        <v>8</v>
      </c>
      <c r="H1683">
        <v>2</v>
      </c>
      <c r="I1683">
        <v>0</v>
      </c>
      <c r="J1683">
        <v>25</v>
      </c>
      <c r="K1683" t="s">
        <v>246</v>
      </c>
    </row>
    <row r="1684" spans="2:11" x14ac:dyDescent="0.25">
      <c r="B1684">
        <v>5418</v>
      </c>
      <c r="C1684">
        <v>218</v>
      </c>
      <c r="D1684">
        <v>94</v>
      </c>
      <c r="E1684">
        <v>5</v>
      </c>
      <c r="F1684">
        <v>0</v>
      </c>
      <c r="G1684">
        <v>16</v>
      </c>
      <c r="H1684">
        <v>0</v>
      </c>
      <c r="I1684">
        <v>0</v>
      </c>
      <c r="J1684">
        <v>16</v>
      </c>
      <c r="K1684" t="s">
        <v>245</v>
      </c>
    </row>
    <row r="1685" spans="2:11" x14ac:dyDescent="0.25">
      <c r="B1685">
        <v>5419</v>
      </c>
      <c r="C1685">
        <v>202</v>
      </c>
      <c r="D1685">
        <v>88</v>
      </c>
      <c r="E1685">
        <v>6</v>
      </c>
      <c r="F1685">
        <v>13</v>
      </c>
      <c r="G1685">
        <v>9</v>
      </c>
      <c r="H1685">
        <v>0</v>
      </c>
      <c r="I1685">
        <v>0</v>
      </c>
      <c r="J1685">
        <v>22</v>
      </c>
      <c r="K1685" t="s">
        <v>246</v>
      </c>
    </row>
    <row r="1686" spans="2:11" x14ac:dyDescent="0.25">
      <c r="B1686">
        <v>5421</v>
      </c>
      <c r="C1686">
        <v>202</v>
      </c>
      <c r="D1686">
        <v>88</v>
      </c>
      <c r="E1686">
        <v>7</v>
      </c>
      <c r="F1686">
        <v>12</v>
      </c>
      <c r="G1686">
        <v>14</v>
      </c>
      <c r="H1686">
        <v>0</v>
      </c>
      <c r="I1686">
        <v>0</v>
      </c>
      <c r="J1686">
        <v>26</v>
      </c>
      <c r="K1686" t="s">
        <v>246</v>
      </c>
    </row>
    <row r="1687" spans="2:11" x14ac:dyDescent="0.25">
      <c r="B1687">
        <v>5423</v>
      </c>
      <c r="C1687">
        <v>218</v>
      </c>
      <c r="D1687">
        <v>94</v>
      </c>
      <c r="E1687">
        <v>7</v>
      </c>
      <c r="F1687">
        <v>1</v>
      </c>
      <c r="G1687">
        <v>8</v>
      </c>
      <c r="H1687">
        <v>0</v>
      </c>
      <c r="I1687">
        <v>0</v>
      </c>
      <c r="J1687">
        <v>9</v>
      </c>
      <c r="K1687" t="s">
        <v>245</v>
      </c>
    </row>
    <row r="1688" spans="2:11" x14ac:dyDescent="0.25">
      <c r="B1688">
        <v>5422</v>
      </c>
      <c r="C1688">
        <v>202</v>
      </c>
      <c r="D1688">
        <v>88</v>
      </c>
      <c r="E1688">
        <v>8</v>
      </c>
      <c r="F1688">
        <v>12</v>
      </c>
      <c r="G1688">
        <v>11</v>
      </c>
      <c r="H1688">
        <v>0</v>
      </c>
      <c r="I1688">
        <v>0</v>
      </c>
      <c r="J1688">
        <v>23</v>
      </c>
      <c r="K1688" t="s">
        <v>246</v>
      </c>
    </row>
    <row r="1689" spans="2:11" x14ac:dyDescent="0.25">
      <c r="B1689">
        <v>1850</v>
      </c>
      <c r="C1689">
        <v>123</v>
      </c>
      <c r="D1689">
        <v>56</v>
      </c>
      <c r="E1689">
        <v>7</v>
      </c>
      <c r="F1689">
        <v>3</v>
      </c>
      <c r="G1689">
        <v>5</v>
      </c>
      <c r="H1689">
        <v>6</v>
      </c>
      <c r="I1689">
        <v>0</v>
      </c>
      <c r="J1689">
        <v>14</v>
      </c>
      <c r="K1689" t="s">
        <v>247</v>
      </c>
    </row>
    <row r="1690" spans="2:11" x14ac:dyDescent="0.25">
      <c r="B1690">
        <v>1851</v>
      </c>
      <c r="C1690">
        <v>256</v>
      </c>
      <c r="D1690">
        <v>117</v>
      </c>
      <c r="E1690">
        <v>8</v>
      </c>
      <c r="F1690">
        <v>8</v>
      </c>
      <c r="G1690">
        <v>1</v>
      </c>
      <c r="H1690">
        <v>0</v>
      </c>
      <c r="I1690">
        <v>0</v>
      </c>
      <c r="J1690">
        <v>9</v>
      </c>
      <c r="K1690" t="s">
        <v>245</v>
      </c>
    </row>
    <row r="1691" spans="2:11" x14ac:dyDescent="0.25">
      <c r="B1691">
        <v>1852</v>
      </c>
      <c r="C1691">
        <v>146</v>
      </c>
      <c r="D1691">
        <v>65</v>
      </c>
      <c r="E1691">
        <v>8</v>
      </c>
      <c r="F1691">
        <v>27</v>
      </c>
      <c r="G1691">
        <v>5</v>
      </c>
      <c r="H1691">
        <v>3</v>
      </c>
      <c r="I1691">
        <v>0</v>
      </c>
      <c r="J1691">
        <v>35</v>
      </c>
      <c r="K1691" t="s">
        <v>249</v>
      </c>
    </row>
    <row r="1692" spans="2:11" x14ac:dyDescent="0.25">
      <c r="B1692">
        <v>1853</v>
      </c>
      <c r="C1692">
        <v>250</v>
      </c>
      <c r="D1692">
        <v>112</v>
      </c>
      <c r="E1692">
        <v>8</v>
      </c>
      <c r="F1692">
        <v>17</v>
      </c>
      <c r="G1692">
        <v>0</v>
      </c>
      <c r="H1692">
        <v>1</v>
      </c>
      <c r="I1692">
        <v>0</v>
      </c>
      <c r="J1692">
        <v>18</v>
      </c>
      <c r="K1692" t="s">
        <v>245</v>
      </c>
    </row>
    <row r="1693" spans="2:11" x14ac:dyDescent="0.25">
      <c r="B1693">
        <v>1854</v>
      </c>
      <c r="C1693">
        <v>42</v>
      </c>
      <c r="D1693">
        <v>21</v>
      </c>
      <c r="E1693">
        <v>8</v>
      </c>
      <c r="F1693">
        <v>10</v>
      </c>
      <c r="G1693">
        <v>4</v>
      </c>
      <c r="H1693">
        <v>1</v>
      </c>
      <c r="I1693">
        <v>0</v>
      </c>
      <c r="J1693">
        <v>15</v>
      </c>
      <c r="K1693" t="s">
        <v>242</v>
      </c>
    </row>
    <row r="1694" spans="2:11" x14ac:dyDescent="0.25">
      <c r="B1694">
        <v>1855</v>
      </c>
      <c r="C1694">
        <v>113</v>
      </c>
      <c r="D1694">
        <v>52</v>
      </c>
      <c r="E1694">
        <v>8</v>
      </c>
      <c r="F1694">
        <v>13</v>
      </c>
      <c r="G1694">
        <v>16</v>
      </c>
      <c r="H1694">
        <v>0</v>
      </c>
      <c r="I1694">
        <v>0</v>
      </c>
      <c r="J1694">
        <v>29</v>
      </c>
      <c r="K1694" t="s">
        <v>246</v>
      </c>
    </row>
    <row r="1695" spans="2:11" x14ac:dyDescent="0.25">
      <c r="B1695">
        <v>1856</v>
      </c>
      <c r="C1695">
        <v>41</v>
      </c>
      <c r="D1695">
        <v>20</v>
      </c>
      <c r="E1695">
        <v>2</v>
      </c>
      <c r="F1695">
        <v>5</v>
      </c>
      <c r="G1695">
        <v>3</v>
      </c>
      <c r="H1695">
        <v>7</v>
      </c>
      <c r="I1695">
        <v>0</v>
      </c>
      <c r="J1695">
        <v>15</v>
      </c>
      <c r="K1695" t="s">
        <v>249</v>
      </c>
    </row>
    <row r="1696" spans="2:11" x14ac:dyDescent="0.25">
      <c r="B1696">
        <v>1857</v>
      </c>
      <c r="C1696">
        <v>5</v>
      </c>
      <c r="D1696">
        <v>1</v>
      </c>
      <c r="E1696">
        <v>7</v>
      </c>
      <c r="F1696">
        <v>1</v>
      </c>
      <c r="G1696">
        <v>0</v>
      </c>
      <c r="H1696">
        <v>0</v>
      </c>
      <c r="I1696">
        <v>0</v>
      </c>
      <c r="J1696">
        <v>1</v>
      </c>
      <c r="K1696" t="s">
        <v>241</v>
      </c>
    </row>
    <row r="1697" spans="2:11" x14ac:dyDescent="0.25">
      <c r="B1697">
        <v>1858</v>
      </c>
      <c r="C1697">
        <v>326</v>
      </c>
      <c r="D1697">
        <v>151</v>
      </c>
      <c r="E1697">
        <v>9</v>
      </c>
      <c r="F1697">
        <v>17</v>
      </c>
      <c r="G1697">
        <v>8</v>
      </c>
      <c r="H1697">
        <v>0</v>
      </c>
      <c r="I1697">
        <v>0</v>
      </c>
      <c r="J1697">
        <v>25</v>
      </c>
      <c r="K1697" t="s">
        <v>245</v>
      </c>
    </row>
    <row r="1698" spans="2:11" x14ac:dyDescent="0.25">
      <c r="B1698">
        <v>1859</v>
      </c>
      <c r="C1698">
        <v>303</v>
      </c>
      <c r="D1698">
        <v>140</v>
      </c>
      <c r="E1698">
        <v>9</v>
      </c>
      <c r="F1698">
        <v>9</v>
      </c>
      <c r="G1698">
        <v>3</v>
      </c>
      <c r="H1698">
        <v>0</v>
      </c>
      <c r="I1698">
        <v>0</v>
      </c>
      <c r="J1698">
        <v>12</v>
      </c>
      <c r="K1698" t="s">
        <v>246</v>
      </c>
    </row>
    <row r="1699" spans="2:11" x14ac:dyDescent="0.25">
      <c r="B1699">
        <v>1860</v>
      </c>
      <c r="C1699">
        <v>69</v>
      </c>
      <c r="D1699">
        <v>35</v>
      </c>
      <c r="E1699">
        <v>8</v>
      </c>
      <c r="F1699">
        <v>7</v>
      </c>
      <c r="G1699">
        <v>15</v>
      </c>
      <c r="H1699">
        <v>1</v>
      </c>
      <c r="I1699">
        <v>0</v>
      </c>
      <c r="J1699">
        <v>23</v>
      </c>
      <c r="K1699" t="s">
        <v>242</v>
      </c>
    </row>
    <row r="1700" spans="2:11" x14ac:dyDescent="0.25">
      <c r="B1700">
        <v>1861</v>
      </c>
      <c r="C1700">
        <v>263</v>
      </c>
      <c r="D1700">
        <v>118</v>
      </c>
      <c r="E1700">
        <v>6</v>
      </c>
      <c r="F1700">
        <v>5</v>
      </c>
      <c r="G1700">
        <v>0</v>
      </c>
      <c r="H1700">
        <v>0</v>
      </c>
      <c r="I1700">
        <v>0</v>
      </c>
      <c r="J1700">
        <v>5</v>
      </c>
      <c r="K1700" t="s">
        <v>241</v>
      </c>
    </row>
    <row r="1701" spans="2:11" x14ac:dyDescent="0.25">
      <c r="B1701">
        <v>1863</v>
      </c>
      <c r="C1701">
        <v>152</v>
      </c>
      <c r="D1701">
        <v>69</v>
      </c>
      <c r="E1701">
        <v>8</v>
      </c>
      <c r="F1701">
        <v>2</v>
      </c>
      <c r="G1701">
        <v>15</v>
      </c>
      <c r="H1701">
        <v>0</v>
      </c>
      <c r="I1701">
        <v>0</v>
      </c>
      <c r="J1701">
        <v>17</v>
      </c>
      <c r="K1701" t="s">
        <v>241</v>
      </c>
    </row>
    <row r="1702" spans="2:11" x14ac:dyDescent="0.25">
      <c r="B1702">
        <v>1864</v>
      </c>
      <c r="C1702">
        <v>6</v>
      </c>
      <c r="D1702">
        <v>2</v>
      </c>
      <c r="E1702">
        <v>8</v>
      </c>
      <c r="F1702">
        <v>7</v>
      </c>
      <c r="G1702">
        <v>7</v>
      </c>
      <c r="H1702">
        <v>0</v>
      </c>
      <c r="I1702">
        <v>0</v>
      </c>
      <c r="J1702">
        <v>14</v>
      </c>
      <c r="K1702" t="s">
        <v>242</v>
      </c>
    </row>
    <row r="1703" spans="2:11" x14ac:dyDescent="0.25">
      <c r="B1703">
        <v>1865</v>
      </c>
      <c r="C1703">
        <v>5</v>
      </c>
      <c r="D1703">
        <v>1</v>
      </c>
      <c r="E1703">
        <v>8</v>
      </c>
      <c r="F1703">
        <v>1</v>
      </c>
      <c r="G1703">
        <v>4</v>
      </c>
      <c r="H1703">
        <v>0</v>
      </c>
      <c r="I1703">
        <v>0</v>
      </c>
      <c r="J1703">
        <v>5</v>
      </c>
      <c r="K1703" t="s">
        <v>241</v>
      </c>
    </row>
    <row r="1704" spans="2:11" x14ac:dyDescent="0.25">
      <c r="B1704">
        <v>1867</v>
      </c>
      <c r="C1704">
        <v>83</v>
      </c>
      <c r="D1704">
        <v>40</v>
      </c>
      <c r="E1704">
        <v>8</v>
      </c>
      <c r="F1704">
        <v>6</v>
      </c>
      <c r="G1704">
        <v>23</v>
      </c>
      <c r="H1704">
        <v>0</v>
      </c>
      <c r="I1704">
        <v>0</v>
      </c>
      <c r="J1704">
        <v>29</v>
      </c>
      <c r="K1704" t="s">
        <v>242</v>
      </c>
    </row>
    <row r="1705" spans="2:11" x14ac:dyDescent="0.25">
      <c r="B1705">
        <v>1869</v>
      </c>
      <c r="C1705">
        <v>123</v>
      </c>
      <c r="D1705">
        <v>56</v>
      </c>
      <c r="E1705">
        <v>8</v>
      </c>
      <c r="F1705">
        <v>8</v>
      </c>
      <c r="G1705">
        <v>2</v>
      </c>
      <c r="H1705">
        <v>5</v>
      </c>
      <c r="I1705">
        <v>0</v>
      </c>
      <c r="J1705">
        <v>15</v>
      </c>
      <c r="K1705" t="s">
        <v>242</v>
      </c>
    </row>
    <row r="1706" spans="2:11" x14ac:dyDescent="0.25">
      <c r="B1706">
        <v>1871</v>
      </c>
      <c r="C1706">
        <v>255</v>
      </c>
      <c r="D1706">
        <v>116</v>
      </c>
      <c r="E1706">
        <v>8</v>
      </c>
      <c r="F1706">
        <v>3</v>
      </c>
      <c r="G1706">
        <v>8</v>
      </c>
      <c r="H1706">
        <v>0</v>
      </c>
      <c r="I1706">
        <v>0</v>
      </c>
      <c r="J1706">
        <v>11</v>
      </c>
      <c r="K1706" t="s">
        <v>243</v>
      </c>
    </row>
    <row r="1707" spans="2:11" x14ac:dyDescent="0.25">
      <c r="B1707">
        <v>1872</v>
      </c>
      <c r="C1707">
        <v>290</v>
      </c>
      <c r="D1707">
        <v>135</v>
      </c>
      <c r="E1707">
        <v>8</v>
      </c>
      <c r="F1707">
        <v>15</v>
      </c>
      <c r="G1707">
        <v>5</v>
      </c>
      <c r="H1707">
        <v>1</v>
      </c>
      <c r="I1707">
        <v>0</v>
      </c>
      <c r="J1707">
        <v>21</v>
      </c>
      <c r="K1707" t="s">
        <v>243</v>
      </c>
    </row>
    <row r="1708" spans="2:11" x14ac:dyDescent="0.25">
      <c r="B1708">
        <v>1873</v>
      </c>
      <c r="C1708">
        <v>263</v>
      </c>
      <c r="D1708">
        <v>118</v>
      </c>
      <c r="E1708">
        <v>7</v>
      </c>
      <c r="F1708">
        <v>2</v>
      </c>
      <c r="G1708">
        <v>2</v>
      </c>
      <c r="H1708">
        <v>0</v>
      </c>
      <c r="I1708">
        <v>0</v>
      </c>
      <c r="J1708">
        <v>4</v>
      </c>
      <c r="K1708" t="s">
        <v>241</v>
      </c>
    </row>
    <row r="1709" spans="2:11" x14ac:dyDescent="0.25">
      <c r="B1709">
        <v>1874</v>
      </c>
      <c r="C1709">
        <v>41</v>
      </c>
      <c r="D1709">
        <v>20</v>
      </c>
      <c r="E1709">
        <v>3</v>
      </c>
      <c r="F1709">
        <v>4</v>
      </c>
      <c r="G1709">
        <v>1</v>
      </c>
      <c r="H1709">
        <v>0</v>
      </c>
      <c r="I1709">
        <v>0</v>
      </c>
      <c r="J1709">
        <v>5</v>
      </c>
      <c r="K1709" t="s">
        <v>249</v>
      </c>
    </row>
    <row r="1710" spans="2:11" x14ac:dyDescent="0.25">
      <c r="B1710">
        <v>1875</v>
      </c>
      <c r="C1710">
        <v>127</v>
      </c>
      <c r="D1710">
        <v>56</v>
      </c>
      <c r="E1710">
        <v>8</v>
      </c>
      <c r="F1710">
        <v>20</v>
      </c>
      <c r="G1710">
        <v>0</v>
      </c>
      <c r="H1710">
        <v>0</v>
      </c>
      <c r="I1710">
        <v>0</v>
      </c>
      <c r="J1710">
        <v>20</v>
      </c>
      <c r="K1710" t="s">
        <v>246</v>
      </c>
    </row>
    <row r="1711" spans="2:11" x14ac:dyDescent="0.25">
      <c r="B1711">
        <v>1876</v>
      </c>
      <c r="C1711">
        <v>278</v>
      </c>
      <c r="D1711">
        <v>129</v>
      </c>
      <c r="E1711">
        <v>7</v>
      </c>
      <c r="F1711">
        <v>13</v>
      </c>
      <c r="G1711">
        <v>15</v>
      </c>
      <c r="H1711">
        <v>0</v>
      </c>
      <c r="I1711">
        <v>0</v>
      </c>
      <c r="J1711">
        <v>28</v>
      </c>
      <c r="K1711" t="s">
        <v>241</v>
      </c>
    </row>
    <row r="1712" spans="2:11" x14ac:dyDescent="0.25">
      <c r="B1712">
        <v>1877</v>
      </c>
      <c r="C1712">
        <v>174</v>
      </c>
      <c r="D1712">
        <v>75</v>
      </c>
      <c r="E1712">
        <v>8</v>
      </c>
      <c r="F1712">
        <v>10</v>
      </c>
      <c r="G1712">
        <v>2</v>
      </c>
      <c r="H1712">
        <v>2</v>
      </c>
      <c r="I1712">
        <v>0</v>
      </c>
      <c r="J1712">
        <v>14</v>
      </c>
      <c r="K1712" t="s">
        <v>243</v>
      </c>
    </row>
    <row r="1713" spans="2:11" x14ac:dyDescent="0.25">
      <c r="B1713">
        <v>1878</v>
      </c>
      <c r="C1713">
        <v>41</v>
      </c>
      <c r="D1713">
        <v>20</v>
      </c>
      <c r="E1713">
        <v>4</v>
      </c>
      <c r="F1713">
        <v>7</v>
      </c>
      <c r="G1713">
        <v>2</v>
      </c>
      <c r="H1713">
        <v>0</v>
      </c>
      <c r="I1713">
        <v>0</v>
      </c>
      <c r="J1713">
        <v>9</v>
      </c>
      <c r="K1713" t="s">
        <v>249</v>
      </c>
    </row>
    <row r="1714" spans="2:11" x14ac:dyDescent="0.25">
      <c r="B1714">
        <v>1879</v>
      </c>
      <c r="C1714">
        <v>85</v>
      </c>
      <c r="D1714">
        <v>41</v>
      </c>
      <c r="E1714">
        <v>8</v>
      </c>
      <c r="F1714">
        <v>8</v>
      </c>
      <c r="G1714">
        <v>1</v>
      </c>
      <c r="H1714">
        <v>0</v>
      </c>
      <c r="I1714">
        <v>0</v>
      </c>
      <c r="J1714">
        <v>9</v>
      </c>
      <c r="K1714" t="s">
        <v>248</v>
      </c>
    </row>
    <row r="1715" spans="2:11" x14ac:dyDescent="0.25">
      <c r="B1715">
        <v>1880</v>
      </c>
      <c r="C1715">
        <v>101</v>
      </c>
      <c r="D1715">
        <v>51</v>
      </c>
      <c r="E1715">
        <v>8</v>
      </c>
      <c r="F1715">
        <v>12</v>
      </c>
      <c r="G1715">
        <v>1</v>
      </c>
      <c r="H1715">
        <v>3</v>
      </c>
      <c r="I1715">
        <v>0</v>
      </c>
      <c r="J1715">
        <v>16</v>
      </c>
      <c r="K1715" t="s">
        <v>246</v>
      </c>
    </row>
    <row r="1716" spans="2:11" x14ac:dyDescent="0.25">
      <c r="B1716">
        <v>1882</v>
      </c>
      <c r="C1716">
        <v>41</v>
      </c>
      <c r="D1716">
        <v>20</v>
      </c>
      <c r="E1716">
        <v>7</v>
      </c>
      <c r="F1716">
        <v>8</v>
      </c>
      <c r="G1716">
        <v>1</v>
      </c>
      <c r="H1716">
        <v>0</v>
      </c>
      <c r="I1716">
        <v>0</v>
      </c>
      <c r="J1716">
        <v>9</v>
      </c>
      <c r="K1716" t="s">
        <v>249</v>
      </c>
    </row>
    <row r="1717" spans="2:11" x14ac:dyDescent="0.25">
      <c r="B1717">
        <v>1883</v>
      </c>
      <c r="C1717">
        <v>142</v>
      </c>
      <c r="D1717">
        <v>62</v>
      </c>
      <c r="E1717">
        <v>9</v>
      </c>
      <c r="F1717">
        <v>18</v>
      </c>
      <c r="G1717">
        <v>9</v>
      </c>
      <c r="H1717">
        <v>0</v>
      </c>
      <c r="I1717">
        <v>0</v>
      </c>
      <c r="J1717">
        <v>27</v>
      </c>
      <c r="K1717" t="s">
        <v>242</v>
      </c>
    </row>
    <row r="1718" spans="2:11" x14ac:dyDescent="0.25">
      <c r="B1718">
        <v>1884</v>
      </c>
      <c r="C1718">
        <v>339</v>
      </c>
      <c r="D1718">
        <v>152</v>
      </c>
      <c r="E1718">
        <v>8</v>
      </c>
      <c r="F1718">
        <v>3</v>
      </c>
      <c r="G1718">
        <v>27</v>
      </c>
      <c r="H1718">
        <v>0</v>
      </c>
      <c r="I1718">
        <v>0</v>
      </c>
      <c r="J1718">
        <v>30</v>
      </c>
      <c r="K1718" t="s">
        <v>247</v>
      </c>
    </row>
    <row r="1719" spans="2:11" x14ac:dyDescent="0.25">
      <c r="B1719">
        <v>1886</v>
      </c>
      <c r="C1719">
        <v>278</v>
      </c>
      <c r="D1719">
        <v>129</v>
      </c>
      <c r="E1719">
        <v>8</v>
      </c>
      <c r="F1719">
        <v>18</v>
      </c>
      <c r="G1719">
        <v>7</v>
      </c>
      <c r="H1719">
        <v>2</v>
      </c>
      <c r="I1719">
        <v>0</v>
      </c>
      <c r="J1719">
        <v>27</v>
      </c>
      <c r="K1719" t="s">
        <v>247</v>
      </c>
    </row>
    <row r="1720" spans="2:11" x14ac:dyDescent="0.25">
      <c r="B1720">
        <v>1887</v>
      </c>
      <c r="C1720">
        <v>41</v>
      </c>
      <c r="D1720">
        <v>20</v>
      </c>
      <c r="E1720">
        <v>8</v>
      </c>
      <c r="F1720">
        <v>6</v>
      </c>
      <c r="G1720">
        <v>3</v>
      </c>
      <c r="H1720">
        <v>0</v>
      </c>
      <c r="I1720">
        <v>0</v>
      </c>
      <c r="J1720">
        <v>9</v>
      </c>
      <c r="K1720" t="s">
        <v>249</v>
      </c>
    </row>
    <row r="1721" spans="2:11" x14ac:dyDescent="0.25">
      <c r="B1721">
        <v>1889</v>
      </c>
      <c r="C1721">
        <v>127</v>
      </c>
      <c r="D1721">
        <v>56</v>
      </c>
      <c r="E1721">
        <v>7</v>
      </c>
      <c r="F1721">
        <v>18</v>
      </c>
      <c r="G1721">
        <v>1</v>
      </c>
      <c r="H1721">
        <v>1</v>
      </c>
      <c r="I1721">
        <v>0</v>
      </c>
      <c r="J1721">
        <v>20</v>
      </c>
      <c r="K1721" t="s">
        <v>241</v>
      </c>
    </row>
    <row r="1722" spans="2:11" x14ac:dyDescent="0.25">
      <c r="B1722">
        <v>1890</v>
      </c>
      <c r="C1722">
        <v>140</v>
      </c>
      <c r="D1722">
        <v>62</v>
      </c>
      <c r="E1722">
        <v>9</v>
      </c>
      <c r="F1722">
        <v>17</v>
      </c>
      <c r="G1722">
        <v>3</v>
      </c>
      <c r="H1722">
        <v>2</v>
      </c>
      <c r="I1722">
        <v>0</v>
      </c>
      <c r="J1722">
        <v>22</v>
      </c>
      <c r="K1722" t="s">
        <v>242</v>
      </c>
    </row>
    <row r="1723" spans="2:11" x14ac:dyDescent="0.25">
      <c r="B1723">
        <v>1891</v>
      </c>
      <c r="C1723">
        <v>179</v>
      </c>
      <c r="D1723">
        <v>77</v>
      </c>
      <c r="E1723">
        <v>8</v>
      </c>
      <c r="F1723">
        <v>1</v>
      </c>
      <c r="G1723">
        <v>5</v>
      </c>
      <c r="H1723">
        <v>1</v>
      </c>
      <c r="I1723">
        <v>0</v>
      </c>
      <c r="J1723">
        <v>7</v>
      </c>
      <c r="K1723" t="s">
        <v>247</v>
      </c>
    </row>
    <row r="1724" spans="2:11" x14ac:dyDescent="0.25">
      <c r="B1724">
        <v>1892</v>
      </c>
      <c r="C1724">
        <v>84</v>
      </c>
      <c r="D1724">
        <v>41</v>
      </c>
      <c r="E1724">
        <v>8</v>
      </c>
      <c r="F1724">
        <v>8</v>
      </c>
      <c r="G1724">
        <v>0</v>
      </c>
      <c r="H1724">
        <v>2</v>
      </c>
      <c r="I1724">
        <v>0</v>
      </c>
      <c r="J1724">
        <v>10</v>
      </c>
      <c r="K1724" t="s">
        <v>248</v>
      </c>
    </row>
    <row r="1725" spans="2:11" x14ac:dyDescent="0.25">
      <c r="B1725">
        <v>1893</v>
      </c>
      <c r="C1725">
        <v>41</v>
      </c>
      <c r="D1725">
        <v>20</v>
      </c>
      <c r="E1725">
        <v>5</v>
      </c>
      <c r="F1725">
        <v>14</v>
      </c>
      <c r="G1725">
        <v>4</v>
      </c>
      <c r="H1725">
        <v>0</v>
      </c>
      <c r="I1725">
        <v>0</v>
      </c>
      <c r="J1725">
        <v>18</v>
      </c>
      <c r="K1725" t="s">
        <v>249</v>
      </c>
    </row>
    <row r="1726" spans="2:11" x14ac:dyDescent="0.25">
      <c r="B1726">
        <v>1894</v>
      </c>
      <c r="C1726">
        <v>340</v>
      </c>
      <c r="D1726">
        <v>152</v>
      </c>
      <c r="E1726">
        <v>8</v>
      </c>
      <c r="F1726">
        <v>10</v>
      </c>
      <c r="G1726">
        <v>19</v>
      </c>
      <c r="H1726">
        <v>0</v>
      </c>
      <c r="I1726">
        <v>0</v>
      </c>
      <c r="J1726">
        <v>29</v>
      </c>
      <c r="K1726" t="s">
        <v>247</v>
      </c>
    </row>
    <row r="1727" spans="2:11" x14ac:dyDescent="0.25">
      <c r="B1727">
        <v>1895</v>
      </c>
      <c r="C1727">
        <v>110</v>
      </c>
      <c r="D1727">
        <v>51</v>
      </c>
      <c r="E1727">
        <v>8</v>
      </c>
      <c r="F1727">
        <v>1</v>
      </c>
      <c r="G1727">
        <v>22</v>
      </c>
      <c r="H1727">
        <v>0</v>
      </c>
      <c r="I1727">
        <v>0</v>
      </c>
      <c r="J1727">
        <v>23</v>
      </c>
      <c r="K1727" t="s">
        <v>246</v>
      </c>
    </row>
    <row r="1728" spans="2:11" x14ac:dyDescent="0.25">
      <c r="B1728">
        <v>1896</v>
      </c>
      <c r="C1728">
        <v>157</v>
      </c>
      <c r="D1728">
        <v>69</v>
      </c>
      <c r="E1728">
        <v>9</v>
      </c>
      <c r="F1728">
        <v>10</v>
      </c>
      <c r="G1728">
        <v>18</v>
      </c>
      <c r="H1728">
        <v>0</v>
      </c>
      <c r="I1728">
        <v>0</v>
      </c>
      <c r="J1728">
        <v>28</v>
      </c>
      <c r="K1728" t="s">
        <v>242</v>
      </c>
    </row>
    <row r="1729" spans="2:11" x14ac:dyDescent="0.25">
      <c r="B1729">
        <v>1897</v>
      </c>
      <c r="C1729">
        <v>71</v>
      </c>
      <c r="D1729">
        <v>35</v>
      </c>
      <c r="E1729">
        <v>8</v>
      </c>
      <c r="F1729">
        <v>11</v>
      </c>
      <c r="G1729">
        <v>12</v>
      </c>
      <c r="H1729">
        <v>1</v>
      </c>
      <c r="I1729">
        <v>0</v>
      </c>
      <c r="J1729">
        <v>24</v>
      </c>
      <c r="K1729" t="s">
        <v>247</v>
      </c>
    </row>
    <row r="1730" spans="2:11" x14ac:dyDescent="0.25">
      <c r="B1730">
        <v>1898</v>
      </c>
      <c r="C1730">
        <v>153</v>
      </c>
      <c r="D1730">
        <v>69</v>
      </c>
      <c r="E1730">
        <v>8</v>
      </c>
      <c r="F1730">
        <v>4</v>
      </c>
      <c r="G1730">
        <v>5</v>
      </c>
      <c r="H1730">
        <v>0</v>
      </c>
      <c r="I1730">
        <v>0</v>
      </c>
      <c r="J1730">
        <v>9</v>
      </c>
      <c r="K1730" t="s">
        <v>246</v>
      </c>
    </row>
    <row r="1731" spans="2:11" x14ac:dyDescent="0.25">
      <c r="B1731">
        <v>1900</v>
      </c>
      <c r="C1731">
        <v>154</v>
      </c>
      <c r="D1731">
        <v>69</v>
      </c>
      <c r="E1731">
        <v>9</v>
      </c>
      <c r="F1731">
        <v>7</v>
      </c>
      <c r="G1731">
        <v>8</v>
      </c>
      <c r="H1731">
        <v>0</v>
      </c>
      <c r="I1731">
        <v>0</v>
      </c>
      <c r="J1731">
        <v>15</v>
      </c>
      <c r="K1731" t="s">
        <v>242</v>
      </c>
    </row>
    <row r="1732" spans="2:11" x14ac:dyDescent="0.25">
      <c r="B1732">
        <v>1902</v>
      </c>
      <c r="C1732">
        <v>127</v>
      </c>
      <c r="D1732">
        <v>56</v>
      </c>
      <c r="E1732">
        <v>9</v>
      </c>
      <c r="F1732">
        <v>18</v>
      </c>
      <c r="G1732">
        <v>1</v>
      </c>
      <c r="H1732">
        <v>1</v>
      </c>
      <c r="I1732">
        <v>0</v>
      </c>
      <c r="J1732">
        <v>20</v>
      </c>
      <c r="K1732" t="s">
        <v>245</v>
      </c>
    </row>
    <row r="1733" spans="2:11" x14ac:dyDescent="0.25">
      <c r="B1733">
        <v>1903</v>
      </c>
      <c r="C1733">
        <v>70</v>
      </c>
      <c r="D1733">
        <v>35</v>
      </c>
      <c r="E1733">
        <v>8</v>
      </c>
      <c r="F1733">
        <v>9</v>
      </c>
      <c r="G1733">
        <v>5</v>
      </c>
      <c r="H1733">
        <v>10</v>
      </c>
      <c r="I1733">
        <v>0</v>
      </c>
      <c r="J1733">
        <v>24</v>
      </c>
      <c r="K1733" t="s">
        <v>248</v>
      </c>
    </row>
    <row r="1734" spans="2:11" x14ac:dyDescent="0.25">
      <c r="B1734">
        <v>1904</v>
      </c>
      <c r="C1734">
        <v>153</v>
      </c>
      <c r="D1734">
        <v>69</v>
      </c>
      <c r="E1734">
        <v>9</v>
      </c>
      <c r="F1734">
        <v>3</v>
      </c>
      <c r="G1734">
        <v>3</v>
      </c>
      <c r="H1734">
        <v>0</v>
      </c>
      <c r="I1734">
        <v>0</v>
      </c>
      <c r="J1734">
        <v>6</v>
      </c>
      <c r="K1734" t="s">
        <v>242</v>
      </c>
    </row>
    <row r="1735" spans="2:11" x14ac:dyDescent="0.25">
      <c r="B1735">
        <v>1905</v>
      </c>
      <c r="C1735">
        <v>329</v>
      </c>
      <c r="D1735">
        <v>152</v>
      </c>
      <c r="E1735">
        <v>9</v>
      </c>
      <c r="F1735">
        <v>17</v>
      </c>
      <c r="G1735">
        <v>2</v>
      </c>
      <c r="H1735">
        <v>0</v>
      </c>
      <c r="I1735">
        <v>0</v>
      </c>
      <c r="J1735">
        <v>19</v>
      </c>
      <c r="K1735" t="s">
        <v>245</v>
      </c>
    </row>
    <row r="1736" spans="2:11" x14ac:dyDescent="0.25">
      <c r="B1736">
        <v>1907</v>
      </c>
      <c r="C1736">
        <v>101</v>
      </c>
      <c r="D1736">
        <v>51</v>
      </c>
      <c r="E1736">
        <v>7</v>
      </c>
      <c r="F1736">
        <v>24</v>
      </c>
      <c r="G1736">
        <v>5</v>
      </c>
      <c r="H1736">
        <v>2</v>
      </c>
      <c r="I1736">
        <v>0</v>
      </c>
      <c r="J1736">
        <v>31</v>
      </c>
      <c r="K1736" t="s">
        <v>249</v>
      </c>
    </row>
    <row r="1737" spans="2:11" x14ac:dyDescent="0.25">
      <c r="B1737">
        <v>1908</v>
      </c>
      <c r="C1737">
        <v>153</v>
      </c>
      <c r="D1737">
        <v>69</v>
      </c>
      <c r="E1737">
        <v>7</v>
      </c>
      <c r="F1737">
        <v>4</v>
      </c>
      <c r="G1737">
        <v>6</v>
      </c>
      <c r="H1737">
        <v>1</v>
      </c>
      <c r="I1737">
        <v>0</v>
      </c>
      <c r="J1737">
        <v>11</v>
      </c>
      <c r="K1737" t="s">
        <v>241</v>
      </c>
    </row>
    <row r="1738" spans="2:11" x14ac:dyDescent="0.25">
      <c r="B1738">
        <v>1909</v>
      </c>
      <c r="C1738">
        <v>310</v>
      </c>
      <c r="D1738">
        <v>144</v>
      </c>
      <c r="E1738">
        <v>9</v>
      </c>
      <c r="F1738">
        <v>13</v>
      </c>
      <c r="G1738">
        <v>14</v>
      </c>
      <c r="H1738">
        <v>0</v>
      </c>
      <c r="I1738">
        <v>0</v>
      </c>
      <c r="J1738">
        <v>27</v>
      </c>
      <c r="K1738" t="s">
        <v>245</v>
      </c>
    </row>
    <row r="1739" spans="2:11" x14ac:dyDescent="0.25">
      <c r="B1739">
        <v>1910</v>
      </c>
      <c r="C1739">
        <v>263</v>
      </c>
      <c r="D1739">
        <v>118</v>
      </c>
      <c r="E1739">
        <v>8</v>
      </c>
      <c r="F1739">
        <v>1</v>
      </c>
      <c r="G1739">
        <v>2</v>
      </c>
      <c r="H1739">
        <v>0</v>
      </c>
      <c r="I1739">
        <v>0</v>
      </c>
      <c r="J1739">
        <v>3</v>
      </c>
      <c r="K1739" t="s">
        <v>248</v>
      </c>
    </row>
    <row r="1740" spans="2:11" x14ac:dyDescent="0.25">
      <c r="B1740">
        <v>1911</v>
      </c>
      <c r="C1740">
        <v>309</v>
      </c>
      <c r="D1740">
        <v>144</v>
      </c>
      <c r="E1740">
        <v>9</v>
      </c>
      <c r="F1740">
        <v>14</v>
      </c>
      <c r="G1740">
        <v>2</v>
      </c>
      <c r="H1740">
        <v>0</v>
      </c>
      <c r="I1740">
        <v>0</v>
      </c>
      <c r="J1740">
        <v>16</v>
      </c>
      <c r="K1740" t="s">
        <v>245</v>
      </c>
    </row>
    <row r="1741" spans="2:11" x14ac:dyDescent="0.25">
      <c r="B1741">
        <v>1912</v>
      </c>
      <c r="C1741">
        <v>283</v>
      </c>
      <c r="D1741">
        <v>131</v>
      </c>
      <c r="E1741">
        <v>9</v>
      </c>
      <c r="F1741">
        <v>19</v>
      </c>
      <c r="G1741">
        <v>4</v>
      </c>
      <c r="H1741">
        <v>0</v>
      </c>
      <c r="I1741">
        <v>0</v>
      </c>
      <c r="J1741">
        <v>23</v>
      </c>
      <c r="K1741" t="s">
        <v>241</v>
      </c>
    </row>
    <row r="1742" spans="2:11" x14ac:dyDescent="0.25">
      <c r="B1742">
        <v>1913</v>
      </c>
      <c r="C1742">
        <v>109</v>
      </c>
      <c r="D1742">
        <v>51</v>
      </c>
      <c r="E1742">
        <v>8</v>
      </c>
      <c r="F1742">
        <v>4</v>
      </c>
      <c r="G1742">
        <v>16</v>
      </c>
      <c r="H1742">
        <v>1</v>
      </c>
      <c r="I1742">
        <v>0</v>
      </c>
      <c r="J1742">
        <v>21</v>
      </c>
      <c r="K1742" t="s">
        <v>246</v>
      </c>
    </row>
    <row r="1743" spans="2:11" x14ac:dyDescent="0.25">
      <c r="B1743">
        <v>1914</v>
      </c>
      <c r="C1743">
        <v>111</v>
      </c>
      <c r="D1743">
        <v>51</v>
      </c>
      <c r="E1743">
        <v>8</v>
      </c>
      <c r="F1743">
        <v>1</v>
      </c>
      <c r="G1743">
        <v>10</v>
      </c>
      <c r="H1743">
        <v>0</v>
      </c>
      <c r="I1743">
        <v>0</v>
      </c>
      <c r="J1743">
        <v>11</v>
      </c>
      <c r="K1743" t="s">
        <v>242</v>
      </c>
    </row>
    <row r="1744" spans="2:11" x14ac:dyDescent="0.25">
      <c r="B1744">
        <v>1915</v>
      </c>
      <c r="C1744">
        <v>237</v>
      </c>
      <c r="D1744">
        <v>104</v>
      </c>
      <c r="E1744">
        <v>8</v>
      </c>
      <c r="F1744">
        <v>14</v>
      </c>
      <c r="G1744">
        <v>16</v>
      </c>
      <c r="H1744">
        <v>0</v>
      </c>
      <c r="I1744">
        <v>0</v>
      </c>
      <c r="J1744">
        <v>30</v>
      </c>
      <c r="K1744" t="s">
        <v>243</v>
      </c>
    </row>
    <row r="1745" spans="2:11" x14ac:dyDescent="0.25">
      <c r="B1745">
        <v>1916</v>
      </c>
      <c r="C1745">
        <v>141</v>
      </c>
      <c r="D1745">
        <v>62</v>
      </c>
      <c r="E1745">
        <v>9</v>
      </c>
      <c r="F1745">
        <v>12</v>
      </c>
      <c r="G1745">
        <v>9</v>
      </c>
      <c r="H1745">
        <v>1</v>
      </c>
      <c r="I1745">
        <v>0</v>
      </c>
      <c r="J1745">
        <v>22</v>
      </c>
      <c r="K1745" t="s">
        <v>245</v>
      </c>
    </row>
    <row r="1746" spans="2:11" x14ac:dyDescent="0.25">
      <c r="B1746">
        <v>1917</v>
      </c>
      <c r="C1746">
        <v>111</v>
      </c>
      <c r="D1746">
        <v>51</v>
      </c>
      <c r="E1746">
        <v>9</v>
      </c>
      <c r="F1746">
        <v>0</v>
      </c>
      <c r="G1746">
        <v>7</v>
      </c>
      <c r="H1746">
        <v>0</v>
      </c>
      <c r="I1746">
        <v>0</v>
      </c>
      <c r="J1746">
        <v>7</v>
      </c>
      <c r="K1746" t="s">
        <v>247</v>
      </c>
    </row>
    <row r="1747" spans="2:11" x14ac:dyDescent="0.25">
      <c r="B1747">
        <v>1919</v>
      </c>
      <c r="C1747">
        <v>150</v>
      </c>
      <c r="D1747">
        <v>69</v>
      </c>
      <c r="E1747">
        <v>9</v>
      </c>
      <c r="F1747">
        <v>14</v>
      </c>
      <c r="G1747">
        <v>6</v>
      </c>
      <c r="H1747">
        <v>0</v>
      </c>
      <c r="I1747">
        <v>0</v>
      </c>
      <c r="J1747">
        <v>20</v>
      </c>
      <c r="K1747" t="s">
        <v>247</v>
      </c>
    </row>
    <row r="1748" spans="2:11" x14ac:dyDescent="0.25">
      <c r="B1748">
        <v>1924</v>
      </c>
      <c r="C1748">
        <v>251</v>
      </c>
      <c r="D1748">
        <v>113</v>
      </c>
      <c r="E1748">
        <v>9</v>
      </c>
      <c r="F1748">
        <v>1</v>
      </c>
      <c r="G1748">
        <v>5</v>
      </c>
      <c r="H1748">
        <v>3</v>
      </c>
      <c r="I1748">
        <v>0</v>
      </c>
      <c r="J1748">
        <v>9</v>
      </c>
      <c r="K1748" t="s">
        <v>243</v>
      </c>
    </row>
    <row r="1749" spans="2:11" x14ac:dyDescent="0.25">
      <c r="B1749">
        <v>1925</v>
      </c>
      <c r="C1749">
        <v>257</v>
      </c>
      <c r="D1749">
        <v>117</v>
      </c>
      <c r="E1749">
        <v>8</v>
      </c>
      <c r="F1749">
        <v>9</v>
      </c>
      <c r="G1749">
        <v>5</v>
      </c>
      <c r="H1749">
        <v>0</v>
      </c>
      <c r="I1749">
        <v>0</v>
      </c>
      <c r="J1749">
        <v>14</v>
      </c>
      <c r="K1749" t="s">
        <v>246</v>
      </c>
    </row>
    <row r="1750" spans="2:11" x14ac:dyDescent="0.25">
      <c r="B1750">
        <v>1926</v>
      </c>
      <c r="C1750">
        <v>124</v>
      </c>
      <c r="D1750">
        <v>56</v>
      </c>
      <c r="E1750">
        <v>7</v>
      </c>
      <c r="F1750">
        <v>20</v>
      </c>
      <c r="G1750">
        <v>0</v>
      </c>
      <c r="H1750">
        <v>0</v>
      </c>
      <c r="I1750">
        <v>0</v>
      </c>
      <c r="J1750">
        <v>20</v>
      </c>
      <c r="K1750" t="s">
        <v>241</v>
      </c>
    </row>
    <row r="1751" spans="2:11" x14ac:dyDescent="0.25">
      <c r="B1751">
        <v>1927</v>
      </c>
      <c r="C1751">
        <v>124</v>
      </c>
      <c r="D1751">
        <v>56</v>
      </c>
      <c r="E1751">
        <v>8</v>
      </c>
      <c r="F1751">
        <v>15</v>
      </c>
      <c r="G1751">
        <v>0</v>
      </c>
      <c r="H1751">
        <v>1</v>
      </c>
      <c r="I1751">
        <v>0</v>
      </c>
      <c r="J1751">
        <v>16</v>
      </c>
      <c r="K1751" t="s">
        <v>247</v>
      </c>
    </row>
    <row r="1752" spans="2:11" x14ac:dyDescent="0.25">
      <c r="B1752">
        <v>1928</v>
      </c>
      <c r="C1752">
        <v>341</v>
      </c>
      <c r="D1752">
        <v>152</v>
      </c>
      <c r="E1752">
        <v>8</v>
      </c>
      <c r="F1752">
        <v>17</v>
      </c>
      <c r="G1752">
        <v>13</v>
      </c>
      <c r="H1752">
        <v>0</v>
      </c>
      <c r="I1752">
        <v>0</v>
      </c>
      <c r="J1752">
        <v>30</v>
      </c>
      <c r="K1752" t="s">
        <v>246</v>
      </c>
    </row>
    <row r="1753" spans="2:11" x14ac:dyDescent="0.25">
      <c r="B1753">
        <v>1929</v>
      </c>
      <c r="C1753">
        <v>281</v>
      </c>
      <c r="D1753">
        <v>129</v>
      </c>
      <c r="E1753">
        <v>8</v>
      </c>
      <c r="F1753">
        <v>12</v>
      </c>
      <c r="G1753">
        <v>12</v>
      </c>
      <c r="H1753">
        <v>2</v>
      </c>
      <c r="I1753">
        <v>0</v>
      </c>
      <c r="J1753">
        <v>26</v>
      </c>
      <c r="K1753" t="s">
        <v>243</v>
      </c>
    </row>
    <row r="1754" spans="2:11" x14ac:dyDescent="0.25">
      <c r="B1754">
        <v>5420</v>
      </c>
      <c r="C1754">
        <v>218</v>
      </c>
      <c r="D1754">
        <v>94</v>
      </c>
      <c r="E1754">
        <v>6</v>
      </c>
      <c r="F1754">
        <v>0</v>
      </c>
      <c r="G1754">
        <v>30</v>
      </c>
      <c r="H1754">
        <v>0</v>
      </c>
      <c r="I1754">
        <v>0</v>
      </c>
      <c r="J1754">
        <v>30</v>
      </c>
      <c r="K1754" t="s">
        <v>245</v>
      </c>
    </row>
    <row r="1755" spans="2:11" x14ac:dyDescent="0.25">
      <c r="B1755">
        <v>5424</v>
      </c>
      <c r="C1755">
        <v>218</v>
      </c>
      <c r="D1755">
        <v>94</v>
      </c>
      <c r="E1755">
        <v>8</v>
      </c>
      <c r="F1755">
        <v>3</v>
      </c>
      <c r="G1755">
        <v>7</v>
      </c>
      <c r="H1755">
        <v>0</v>
      </c>
      <c r="I1755">
        <v>0</v>
      </c>
      <c r="J1755">
        <v>10</v>
      </c>
      <c r="K1755" t="s">
        <v>245</v>
      </c>
    </row>
    <row r="1756" spans="2:11" x14ac:dyDescent="0.25">
      <c r="B1756">
        <v>5425</v>
      </c>
      <c r="C1756">
        <v>202</v>
      </c>
      <c r="D1756">
        <v>88</v>
      </c>
      <c r="E1756">
        <v>9</v>
      </c>
      <c r="F1756">
        <v>18</v>
      </c>
      <c r="G1756">
        <v>10</v>
      </c>
      <c r="H1756">
        <v>0</v>
      </c>
      <c r="I1756">
        <v>0</v>
      </c>
      <c r="J1756">
        <v>28</v>
      </c>
      <c r="K1756" t="s">
        <v>246</v>
      </c>
    </row>
    <row r="1757" spans="2:11" x14ac:dyDescent="0.25">
      <c r="B1757">
        <v>5427</v>
      </c>
      <c r="C1757">
        <v>202</v>
      </c>
      <c r="D1757">
        <v>88</v>
      </c>
      <c r="E1757">
        <v>10</v>
      </c>
      <c r="F1757">
        <v>0</v>
      </c>
      <c r="G1757">
        <v>0</v>
      </c>
      <c r="H1757">
        <v>0</v>
      </c>
      <c r="I1757">
        <v>0</v>
      </c>
      <c r="J1757">
        <v>0</v>
      </c>
      <c r="K1757" t="s">
        <v>246</v>
      </c>
    </row>
    <row r="1758" spans="2:11" x14ac:dyDescent="0.25">
      <c r="B1758">
        <v>5426</v>
      </c>
      <c r="C1758">
        <v>218</v>
      </c>
      <c r="D1758">
        <v>94</v>
      </c>
      <c r="E1758">
        <v>9</v>
      </c>
      <c r="F1758">
        <v>0</v>
      </c>
      <c r="G1758">
        <v>9</v>
      </c>
      <c r="H1758">
        <v>0</v>
      </c>
      <c r="I1758">
        <v>0</v>
      </c>
      <c r="J1758">
        <v>9</v>
      </c>
      <c r="K1758" t="s">
        <v>245</v>
      </c>
    </row>
    <row r="1759" spans="2:11" x14ac:dyDescent="0.25">
      <c r="B1759">
        <v>5429</v>
      </c>
      <c r="C1759">
        <v>218</v>
      </c>
      <c r="D1759">
        <v>94</v>
      </c>
      <c r="E1759">
        <v>10</v>
      </c>
      <c r="F1759">
        <v>3</v>
      </c>
      <c r="G1759">
        <v>10</v>
      </c>
      <c r="H1759">
        <v>0</v>
      </c>
      <c r="I1759">
        <v>0</v>
      </c>
      <c r="J1759">
        <v>13</v>
      </c>
      <c r="K1759" t="s">
        <v>245</v>
      </c>
    </row>
    <row r="1760" spans="2:11" x14ac:dyDescent="0.25">
      <c r="B1760">
        <v>1930</v>
      </c>
      <c r="C1760">
        <v>340</v>
      </c>
      <c r="D1760">
        <v>152</v>
      </c>
      <c r="E1760">
        <v>9</v>
      </c>
      <c r="F1760">
        <v>10</v>
      </c>
      <c r="G1760">
        <v>10</v>
      </c>
      <c r="H1760">
        <v>0</v>
      </c>
      <c r="I1760">
        <v>0</v>
      </c>
      <c r="J1760">
        <v>20</v>
      </c>
      <c r="K1760" t="s">
        <v>242</v>
      </c>
    </row>
    <row r="1761" spans="2:11" x14ac:dyDescent="0.25">
      <c r="B1761">
        <v>1931</v>
      </c>
      <c r="C1761">
        <v>257</v>
      </c>
      <c r="D1761">
        <v>117</v>
      </c>
      <c r="E1761">
        <v>7</v>
      </c>
      <c r="F1761">
        <v>8</v>
      </c>
      <c r="G1761">
        <v>2</v>
      </c>
      <c r="H1761">
        <v>3</v>
      </c>
      <c r="I1761">
        <v>0</v>
      </c>
      <c r="J1761">
        <v>13</v>
      </c>
      <c r="K1761" t="s">
        <v>241</v>
      </c>
    </row>
    <row r="1762" spans="2:11" x14ac:dyDescent="0.25">
      <c r="B1762">
        <v>1933</v>
      </c>
      <c r="C1762">
        <v>74</v>
      </c>
      <c r="D1762">
        <v>36</v>
      </c>
      <c r="E1762">
        <v>8</v>
      </c>
      <c r="F1762">
        <v>8</v>
      </c>
      <c r="G1762">
        <v>11</v>
      </c>
      <c r="H1762">
        <v>0</v>
      </c>
      <c r="I1762">
        <v>0</v>
      </c>
      <c r="J1762">
        <v>19</v>
      </c>
      <c r="K1762" t="s">
        <v>246</v>
      </c>
    </row>
    <row r="1763" spans="2:11" x14ac:dyDescent="0.25">
      <c r="B1763">
        <v>1934</v>
      </c>
      <c r="C1763">
        <v>311</v>
      </c>
      <c r="D1763">
        <v>144</v>
      </c>
      <c r="E1763">
        <v>9</v>
      </c>
      <c r="F1763">
        <v>8</v>
      </c>
      <c r="G1763">
        <v>4</v>
      </c>
      <c r="H1763">
        <v>0</v>
      </c>
      <c r="I1763">
        <v>0</v>
      </c>
      <c r="J1763">
        <v>12</v>
      </c>
      <c r="K1763" t="s">
        <v>248</v>
      </c>
    </row>
    <row r="1764" spans="2:11" x14ac:dyDescent="0.25">
      <c r="B1764">
        <v>1935</v>
      </c>
      <c r="C1764">
        <v>287</v>
      </c>
      <c r="D1764">
        <v>133</v>
      </c>
      <c r="E1764">
        <v>9</v>
      </c>
      <c r="F1764">
        <v>6</v>
      </c>
      <c r="G1764">
        <v>3</v>
      </c>
      <c r="H1764">
        <v>2</v>
      </c>
      <c r="I1764">
        <v>0</v>
      </c>
      <c r="J1764">
        <v>11</v>
      </c>
      <c r="K1764" t="s">
        <v>245</v>
      </c>
    </row>
    <row r="1765" spans="2:11" x14ac:dyDescent="0.25">
      <c r="B1765">
        <v>1936</v>
      </c>
      <c r="C1765">
        <v>324</v>
      </c>
      <c r="D1765">
        <v>150</v>
      </c>
      <c r="E1765">
        <v>9</v>
      </c>
      <c r="F1765">
        <v>2</v>
      </c>
      <c r="G1765">
        <v>6</v>
      </c>
      <c r="H1765">
        <v>0</v>
      </c>
      <c r="I1765">
        <v>0</v>
      </c>
      <c r="J1765">
        <v>8</v>
      </c>
      <c r="K1765" t="s">
        <v>246</v>
      </c>
    </row>
    <row r="1766" spans="2:11" x14ac:dyDescent="0.25">
      <c r="B1766">
        <v>1940</v>
      </c>
      <c r="C1766">
        <v>258</v>
      </c>
      <c r="D1766">
        <v>118</v>
      </c>
      <c r="E1766">
        <v>9</v>
      </c>
      <c r="F1766">
        <v>5</v>
      </c>
      <c r="G1766">
        <v>2</v>
      </c>
      <c r="H1766">
        <v>1</v>
      </c>
      <c r="I1766">
        <v>0</v>
      </c>
      <c r="J1766">
        <v>8</v>
      </c>
      <c r="K1766" t="s">
        <v>245</v>
      </c>
    </row>
    <row r="1767" spans="2:11" x14ac:dyDescent="0.25">
      <c r="B1767">
        <v>1942</v>
      </c>
      <c r="C1767">
        <v>72</v>
      </c>
      <c r="D1767">
        <v>35</v>
      </c>
      <c r="E1767">
        <v>8</v>
      </c>
      <c r="F1767">
        <v>8</v>
      </c>
      <c r="G1767">
        <v>18</v>
      </c>
      <c r="H1767">
        <v>2</v>
      </c>
      <c r="I1767">
        <v>0</v>
      </c>
      <c r="J1767">
        <v>28</v>
      </c>
      <c r="K1767" t="s">
        <v>247</v>
      </c>
    </row>
    <row r="1768" spans="2:11" x14ac:dyDescent="0.25">
      <c r="B1768">
        <v>1943</v>
      </c>
      <c r="C1768">
        <v>341</v>
      </c>
      <c r="D1768">
        <v>152</v>
      </c>
      <c r="E1768">
        <v>9</v>
      </c>
      <c r="F1768">
        <v>3</v>
      </c>
      <c r="G1768">
        <v>10</v>
      </c>
      <c r="H1768">
        <v>0</v>
      </c>
      <c r="I1768">
        <v>0</v>
      </c>
      <c r="J1768">
        <v>13</v>
      </c>
      <c r="K1768" t="s">
        <v>245</v>
      </c>
    </row>
    <row r="1769" spans="2:11" x14ac:dyDescent="0.25">
      <c r="B1769">
        <v>1944</v>
      </c>
      <c r="C1769">
        <v>50</v>
      </c>
      <c r="D1769">
        <v>25</v>
      </c>
      <c r="E1769">
        <v>8</v>
      </c>
      <c r="F1769">
        <v>2</v>
      </c>
      <c r="G1769">
        <v>5</v>
      </c>
      <c r="H1769">
        <v>0</v>
      </c>
      <c r="I1769">
        <v>0</v>
      </c>
      <c r="J1769">
        <v>7</v>
      </c>
      <c r="K1769" t="s">
        <v>246</v>
      </c>
    </row>
    <row r="1770" spans="2:11" x14ac:dyDescent="0.25">
      <c r="B1770">
        <v>1945</v>
      </c>
      <c r="C1770">
        <v>75</v>
      </c>
      <c r="D1770">
        <v>37</v>
      </c>
      <c r="E1770">
        <v>8</v>
      </c>
      <c r="F1770">
        <v>6</v>
      </c>
      <c r="G1770">
        <v>5</v>
      </c>
      <c r="H1770">
        <v>1</v>
      </c>
      <c r="I1770">
        <v>0</v>
      </c>
      <c r="J1770">
        <v>12</v>
      </c>
      <c r="K1770" t="s">
        <v>248</v>
      </c>
    </row>
    <row r="1771" spans="2:11" x14ac:dyDescent="0.25">
      <c r="B1771">
        <v>1946</v>
      </c>
      <c r="C1771">
        <v>47</v>
      </c>
      <c r="D1771">
        <v>23</v>
      </c>
      <c r="E1771">
        <v>9</v>
      </c>
      <c r="F1771">
        <v>9</v>
      </c>
      <c r="G1771">
        <v>6</v>
      </c>
      <c r="H1771">
        <v>0</v>
      </c>
      <c r="I1771">
        <v>0</v>
      </c>
      <c r="J1771">
        <v>15</v>
      </c>
      <c r="K1771" t="s">
        <v>247</v>
      </c>
    </row>
    <row r="1772" spans="2:11" x14ac:dyDescent="0.25">
      <c r="B1772">
        <v>1947</v>
      </c>
      <c r="C1772">
        <v>124</v>
      </c>
      <c r="D1772">
        <v>56</v>
      </c>
      <c r="E1772">
        <v>9</v>
      </c>
      <c r="F1772">
        <v>10</v>
      </c>
      <c r="G1772">
        <v>2</v>
      </c>
      <c r="H1772">
        <v>3</v>
      </c>
      <c r="I1772">
        <v>0</v>
      </c>
      <c r="J1772">
        <v>15</v>
      </c>
      <c r="K1772" t="s">
        <v>245</v>
      </c>
    </row>
    <row r="1773" spans="2:11" x14ac:dyDescent="0.25">
      <c r="B1773">
        <v>1948</v>
      </c>
      <c r="C1773">
        <v>88</v>
      </c>
      <c r="D1773">
        <v>43</v>
      </c>
      <c r="E1773">
        <v>8</v>
      </c>
      <c r="F1773">
        <v>16</v>
      </c>
      <c r="G1773">
        <v>11</v>
      </c>
      <c r="H1773">
        <v>1</v>
      </c>
      <c r="I1773">
        <v>0</v>
      </c>
      <c r="J1773">
        <v>28</v>
      </c>
      <c r="K1773" t="s">
        <v>246</v>
      </c>
    </row>
    <row r="1774" spans="2:11" x14ac:dyDescent="0.25">
      <c r="B1774">
        <v>1949</v>
      </c>
      <c r="C1774">
        <v>51</v>
      </c>
      <c r="D1774">
        <v>26</v>
      </c>
      <c r="E1774">
        <v>8</v>
      </c>
      <c r="F1774">
        <v>6</v>
      </c>
      <c r="G1774">
        <v>10</v>
      </c>
      <c r="H1774">
        <v>0</v>
      </c>
      <c r="I1774">
        <v>0</v>
      </c>
      <c r="J1774">
        <v>16</v>
      </c>
      <c r="K1774" t="s">
        <v>241</v>
      </c>
    </row>
    <row r="1775" spans="2:11" x14ac:dyDescent="0.25">
      <c r="B1775">
        <v>1950</v>
      </c>
      <c r="C1775">
        <v>257</v>
      </c>
      <c r="D1775">
        <v>117</v>
      </c>
      <c r="E1775">
        <v>9</v>
      </c>
      <c r="F1775">
        <v>13</v>
      </c>
      <c r="G1775">
        <v>0</v>
      </c>
      <c r="H1775">
        <v>0</v>
      </c>
      <c r="I1775">
        <v>0</v>
      </c>
      <c r="J1775">
        <v>13</v>
      </c>
      <c r="K1775" t="s">
        <v>247</v>
      </c>
    </row>
    <row r="1776" spans="2:11" x14ac:dyDescent="0.25">
      <c r="B1776">
        <v>1953</v>
      </c>
      <c r="C1776">
        <v>73</v>
      </c>
      <c r="D1776">
        <v>35</v>
      </c>
      <c r="E1776">
        <v>8</v>
      </c>
      <c r="F1776">
        <v>15</v>
      </c>
      <c r="G1776">
        <v>11</v>
      </c>
      <c r="H1776">
        <v>4</v>
      </c>
      <c r="I1776">
        <v>0</v>
      </c>
      <c r="J1776">
        <v>30</v>
      </c>
      <c r="K1776" t="s">
        <v>242</v>
      </c>
    </row>
    <row r="1777" spans="2:11" x14ac:dyDescent="0.25">
      <c r="B1777">
        <v>1954</v>
      </c>
      <c r="C1777">
        <v>298</v>
      </c>
      <c r="D1777">
        <v>137</v>
      </c>
      <c r="E1777">
        <v>9</v>
      </c>
      <c r="F1777">
        <v>5</v>
      </c>
      <c r="G1777">
        <v>14</v>
      </c>
      <c r="H1777">
        <v>2</v>
      </c>
      <c r="I1777">
        <v>0</v>
      </c>
      <c r="J1777">
        <v>21</v>
      </c>
      <c r="K1777" t="s">
        <v>242</v>
      </c>
    </row>
    <row r="1778" spans="2:11" x14ac:dyDescent="0.25">
      <c r="B1778">
        <v>1955</v>
      </c>
      <c r="C1778">
        <v>46</v>
      </c>
      <c r="D1778">
        <v>23</v>
      </c>
      <c r="E1778">
        <v>8</v>
      </c>
      <c r="F1778">
        <v>12</v>
      </c>
      <c r="G1778">
        <v>11</v>
      </c>
      <c r="H1778">
        <v>0</v>
      </c>
      <c r="I1778">
        <v>0</v>
      </c>
      <c r="J1778">
        <v>23</v>
      </c>
      <c r="K1778" t="s">
        <v>241</v>
      </c>
    </row>
    <row r="1779" spans="2:11" x14ac:dyDescent="0.25">
      <c r="B1779">
        <v>1958</v>
      </c>
      <c r="C1779">
        <v>52</v>
      </c>
      <c r="D1779">
        <v>26</v>
      </c>
      <c r="E1779">
        <v>8</v>
      </c>
      <c r="F1779">
        <v>6</v>
      </c>
      <c r="G1779">
        <v>5</v>
      </c>
      <c r="H1779">
        <v>0</v>
      </c>
      <c r="I1779">
        <v>0</v>
      </c>
      <c r="J1779">
        <v>11</v>
      </c>
      <c r="K1779" t="s">
        <v>242</v>
      </c>
    </row>
    <row r="1780" spans="2:11" x14ac:dyDescent="0.25">
      <c r="B1780">
        <v>1960</v>
      </c>
      <c r="C1780">
        <v>179</v>
      </c>
      <c r="D1780">
        <v>77</v>
      </c>
      <c r="E1780">
        <v>9</v>
      </c>
      <c r="F1780">
        <v>2</v>
      </c>
      <c r="G1780">
        <v>4</v>
      </c>
      <c r="H1780">
        <v>0</v>
      </c>
      <c r="I1780">
        <v>0</v>
      </c>
      <c r="J1780">
        <v>6</v>
      </c>
      <c r="K1780" t="s">
        <v>243</v>
      </c>
    </row>
    <row r="1781" spans="2:11" x14ac:dyDescent="0.25">
      <c r="B1781">
        <v>1961</v>
      </c>
      <c r="C1781">
        <v>120</v>
      </c>
      <c r="D1781">
        <v>55</v>
      </c>
      <c r="E1781">
        <v>8</v>
      </c>
      <c r="F1781">
        <v>21</v>
      </c>
      <c r="G1781">
        <v>2</v>
      </c>
      <c r="H1781">
        <v>0</v>
      </c>
      <c r="I1781">
        <v>0</v>
      </c>
      <c r="J1781">
        <v>23</v>
      </c>
      <c r="K1781" t="s">
        <v>241</v>
      </c>
    </row>
    <row r="1782" spans="2:11" x14ac:dyDescent="0.25">
      <c r="B1782">
        <v>1962</v>
      </c>
      <c r="C1782">
        <v>169</v>
      </c>
      <c r="D1782">
        <v>73</v>
      </c>
      <c r="E1782">
        <v>9</v>
      </c>
      <c r="F1782">
        <v>14</v>
      </c>
      <c r="G1782">
        <v>8</v>
      </c>
      <c r="H1782">
        <v>0</v>
      </c>
      <c r="I1782">
        <v>0</v>
      </c>
      <c r="J1782">
        <v>22</v>
      </c>
      <c r="K1782" t="s">
        <v>246</v>
      </c>
    </row>
    <row r="1783" spans="2:11" x14ac:dyDescent="0.25">
      <c r="B1783">
        <v>1963</v>
      </c>
      <c r="C1783">
        <v>320</v>
      </c>
      <c r="D1783">
        <v>148</v>
      </c>
      <c r="E1783">
        <v>9</v>
      </c>
      <c r="F1783">
        <v>11</v>
      </c>
      <c r="G1783">
        <v>17</v>
      </c>
      <c r="H1783">
        <v>0</v>
      </c>
      <c r="I1783">
        <v>0</v>
      </c>
      <c r="J1783">
        <v>28</v>
      </c>
      <c r="K1783" t="s">
        <v>243</v>
      </c>
    </row>
    <row r="1784" spans="2:11" x14ac:dyDescent="0.25">
      <c r="B1784">
        <v>1964</v>
      </c>
      <c r="C1784">
        <v>268</v>
      </c>
      <c r="D1784">
        <v>120</v>
      </c>
      <c r="E1784">
        <v>9</v>
      </c>
      <c r="F1784">
        <v>6</v>
      </c>
      <c r="G1784">
        <v>17</v>
      </c>
      <c r="H1784">
        <v>1</v>
      </c>
      <c r="I1784">
        <v>0</v>
      </c>
      <c r="J1784">
        <v>24</v>
      </c>
      <c r="K1784" t="s">
        <v>247</v>
      </c>
    </row>
    <row r="1785" spans="2:11" x14ac:dyDescent="0.25">
      <c r="B1785">
        <v>1965</v>
      </c>
      <c r="C1785">
        <v>125</v>
      </c>
      <c r="D1785">
        <v>56</v>
      </c>
      <c r="E1785">
        <v>8</v>
      </c>
      <c r="F1785">
        <v>8</v>
      </c>
      <c r="G1785">
        <v>10</v>
      </c>
      <c r="H1785">
        <v>2</v>
      </c>
      <c r="I1785">
        <v>0</v>
      </c>
      <c r="J1785">
        <v>20</v>
      </c>
      <c r="K1785" t="s">
        <v>241</v>
      </c>
    </row>
    <row r="1786" spans="2:11" x14ac:dyDescent="0.25">
      <c r="B1786">
        <v>1966</v>
      </c>
      <c r="C1786">
        <v>126</v>
      </c>
      <c r="D1786">
        <v>56</v>
      </c>
      <c r="E1786">
        <v>6</v>
      </c>
      <c r="F1786">
        <v>8</v>
      </c>
      <c r="G1786">
        <v>2</v>
      </c>
      <c r="H1786">
        <v>0</v>
      </c>
      <c r="I1786">
        <v>0</v>
      </c>
      <c r="J1786">
        <v>10</v>
      </c>
      <c r="K1786" t="s">
        <v>249</v>
      </c>
    </row>
    <row r="1787" spans="2:11" x14ac:dyDescent="0.25">
      <c r="B1787">
        <v>1969</v>
      </c>
      <c r="C1787">
        <v>286</v>
      </c>
      <c r="D1787">
        <v>133</v>
      </c>
      <c r="E1787">
        <v>9</v>
      </c>
      <c r="F1787">
        <v>9</v>
      </c>
      <c r="G1787">
        <v>6</v>
      </c>
      <c r="H1787">
        <v>0</v>
      </c>
      <c r="I1787">
        <v>0</v>
      </c>
      <c r="J1787">
        <v>15</v>
      </c>
      <c r="K1787" t="s">
        <v>246</v>
      </c>
    </row>
    <row r="1788" spans="2:11" x14ac:dyDescent="0.25">
      <c r="B1788">
        <v>1970</v>
      </c>
      <c r="C1788">
        <v>260</v>
      </c>
      <c r="D1788">
        <v>118</v>
      </c>
      <c r="E1788">
        <v>9</v>
      </c>
      <c r="F1788">
        <v>15</v>
      </c>
      <c r="G1788">
        <v>6</v>
      </c>
      <c r="H1788">
        <v>2</v>
      </c>
      <c r="I1788">
        <v>0</v>
      </c>
      <c r="J1788">
        <v>23</v>
      </c>
      <c r="K1788" t="s">
        <v>247</v>
      </c>
    </row>
    <row r="1789" spans="2:11" x14ac:dyDescent="0.25">
      <c r="B1789">
        <v>1971</v>
      </c>
      <c r="C1789">
        <v>259</v>
      </c>
      <c r="D1789">
        <v>118</v>
      </c>
      <c r="E1789">
        <v>9</v>
      </c>
      <c r="F1789">
        <v>3</v>
      </c>
      <c r="G1789">
        <v>10</v>
      </c>
      <c r="H1789">
        <v>6</v>
      </c>
      <c r="I1789">
        <v>0</v>
      </c>
      <c r="J1789">
        <v>19</v>
      </c>
      <c r="K1789" t="s">
        <v>248</v>
      </c>
    </row>
    <row r="1790" spans="2:11" x14ac:dyDescent="0.25">
      <c r="B1790">
        <v>1972</v>
      </c>
      <c r="C1790">
        <v>9</v>
      </c>
      <c r="D1790">
        <v>3</v>
      </c>
      <c r="E1790">
        <v>6</v>
      </c>
      <c r="F1790">
        <v>17</v>
      </c>
      <c r="G1790">
        <v>13</v>
      </c>
      <c r="H1790">
        <v>0</v>
      </c>
      <c r="I1790">
        <v>0</v>
      </c>
      <c r="J1790">
        <v>30</v>
      </c>
      <c r="K1790" t="s">
        <v>249</v>
      </c>
    </row>
    <row r="1791" spans="2:11" x14ac:dyDescent="0.25">
      <c r="B1791">
        <v>1973</v>
      </c>
      <c r="C1791">
        <v>125</v>
      </c>
      <c r="D1791">
        <v>56</v>
      </c>
      <c r="E1791">
        <v>7</v>
      </c>
      <c r="F1791">
        <v>12</v>
      </c>
      <c r="G1791">
        <v>6</v>
      </c>
      <c r="H1791">
        <v>0</v>
      </c>
      <c r="I1791">
        <v>0</v>
      </c>
      <c r="J1791">
        <v>18</v>
      </c>
      <c r="K1791" t="s">
        <v>245</v>
      </c>
    </row>
    <row r="1792" spans="2:11" x14ac:dyDescent="0.25">
      <c r="B1792">
        <v>1975</v>
      </c>
      <c r="C1792">
        <v>312</v>
      </c>
      <c r="D1792">
        <v>144</v>
      </c>
      <c r="E1792">
        <v>9</v>
      </c>
      <c r="F1792">
        <v>9</v>
      </c>
      <c r="G1792">
        <v>9</v>
      </c>
      <c r="H1792">
        <v>0</v>
      </c>
      <c r="I1792">
        <v>0</v>
      </c>
      <c r="J1792">
        <v>18</v>
      </c>
      <c r="K1792" t="s">
        <v>246</v>
      </c>
    </row>
    <row r="1793" spans="2:11" x14ac:dyDescent="0.25">
      <c r="B1793">
        <v>1976</v>
      </c>
      <c r="C1793">
        <v>300</v>
      </c>
      <c r="D1793">
        <v>138</v>
      </c>
      <c r="E1793">
        <v>9</v>
      </c>
      <c r="F1793">
        <v>2</v>
      </c>
      <c r="G1793">
        <v>7</v>
      </c>
      <c r="H1793">
        <v>0</v>
      </c>
      <c r="I1793">
        <v>0</v>
      </c>
      <c r="J1793">
        <v>9</v>
      </c>
      <c r="K1793" t="s">
        <v>247</v>
      </c>
    </row>
    <row r="1794" spans="2:11" x14ac:dyDescent="0.25">
      <c r="B1794">
        <v>1977</v>
      </c>
      <c r="C1794">
        <v>103</v>
      </c>
      <c r="D1794">
        <v>51</v>
      </c>
      <c r="E1794">
        <v>7</v>
      </c>
      <c r="F1794">
        <v>9</v>
      </c>
      <c r="G1794">
        <v>10</v>
      </c>
      <c r="H1794">
        <v>1</v>
      </c>
      <c r="I1794">
        <v>0</v>
      </c>
      <c r="J1794">
        <v>20</v>
      </c>
      <c r="K1794" t="s">
        <v>245</v>
      </c>
    </row>
    <row r="1795" spans="2:11" x14ac:dyDescent="0.25">
      <c r="B1795">
        <v>1979</v>
      </c>
      <c r="C1795">
        <v>288</v>
      </c>
      <c r="D1795">
        <v>134</v>
      </c>
      <c r="E1795">
        <v>9</v>
      </c>
      <c r="F1795">
        <v>12</v>
      </c>
      <c r="G1795">
        <v>4</v>
      </c>
      <c r="H1795">
        <v>0</v>
      </c>
      <c r="I1795">
        <v>0</v>
      </c>
      <c r="J1795">
        <v>16</v>
      </c>
      <c r="K1795" t="s">
        <v>247</v>
      </c>
    </row>
    <row r="1796" spans="2:11" x14ac:dyDescent="0.25">
      <c r="B1796">
        <v>1980</v>
      </c>
      <c r="C1796">
        <v>307</v>
      </c>
      <c r="D1796">
        <v>142</v>
      </c>
      <c r="E1796">
        <v>9</v>
      </c>
      <c r="F1796">
        <v>5</v>
      </c>
      <c r="G1796">
        <v>13</v>
      </c>
      <c r="H1796">
        <v>0</v>
      </c>
      <c r="I1796">
        <v>0</v>
      </c>
      <c r="J1796">
        <v>18</v>
      </c>
      <c r="K1796" t="s">
        <v>243</v>
      </c>
    </row>
    <row r="1797" spans="2:11" x14ac:dyDescent="0.25">
      <c r="B1797">
        <v>1982</v>
      </c>
      <c r="C1797">
        <v>126</v>
      </c>
      <c r="D1797">
        <v>56</v>
      </c>
      <c r="E1797">
        <v>7</v>
      </c>
      <c r="F1797">
        <v>3</v>
      </c>
      <c r="G1797">
        <v>4</v>
      </c>
      <c r="H1797">
        <v>3</v>
      </c>
      <c r="I1797">
        <v>0</v>
      </c>
      <c r="J1797">
        <v>10</v>
      </c>
      <c r="K1797" t="s">
        <v>245</v>
      </c>
    </row>
    <row r="1798" spans="2:11" x14ac:dyDescent="0.25">
      <c r="B1798">
        <v>1983</v>
      </c>
      <c r="C1798">
        <v>302</v>
      </c>
      <c r="D1798">
        <v>140</v>
      </c>
      <c r="E1798">
        <v>9</v>
      </c>
      <c r="F1798">
        <v>15</v>
      </c>
      <c r="G1798">
        <v>9</v>
      </c>
      <c r="H1798">
        <v>0</v>
      </c>
      <c r="I1798">
        <v>0</v>
      </c>
      <c r="J1798">
        <v>24</v>
      </c>
      <c r="K1798" t="s">
        <v>247</v>
      </c>
    </row>
    <row r="1799" spans="2:11" x14ac:dyDescent="0.25">
      <c r="B1799">
        <v>1985</v>
      </c>
      <c r="C1799">
        <v>100</v>
      </c>
      <c r="D1799">
        <v>50</v>
      </c>
      <c r="E1799">
        <v>7</v>
      </c>
      <c r="F1799">
        <v>21</v>
      </c>
      <c r="G1799">
        <v>10</v>
      </c>
      <c r="H1799">
        <v>0</v>
      </c>
      <c r="I1799">
        <v>0</v>
      </c>
      <c r="J1799">
        <v>31</v>
      </c>
      <c r="K1799" t="s">
        <v>249</v>
      </c>
    </row>
    <row r="1800" spans="2:11" x14ac:dyDescent="0.25">
      <c r="B1800">
        <v>1986</v>
      </c>
      <c r="C1800">
        <v>83</v>
      </c>
      <c r="D1800">
        <v>40</v>
      </c>
      <c r="E1800">
        <v>6</v>
      </c>
      <c r="F1800">
        <v>8</v>
      </c>
      <c r="G1800">
        <v>17</v>
      </c>
      <c r="H1800">
        <v>0</v>
      </c>
      <c r="I1800">
        <v>0</v>
      </c>
      <c r="J1800">
        <v>25</v>
      </c>
      <c r="K1800" t="s">
        <v>247</v>
      </c>
    </row>
    <row r="1801" spans="2:11" x14ac:dyDescent="0.25">
      <c r="B1801">
        <v>1987</v>
      </c>
      <c r="C1801">
        <v>331</v>
      </c>
      <c r="D1801">
        <v>152</v>
      </c>
      <c r="E1801">
        <v>9</v>
      </c>
      <c r="F1801">
        <v>2</v>
      </c>
      <c r="G1801">
        <v>28</v>
      </c>
      <c r="H1801">
        <v>0</v>
      </c>
      <c r="I1801">
        <v>0</v>
      </c>
      <c r="J1801">
        <v>30</v>
      </c>
      <c r="K1801" t="s">
        <v>248</v>
      </c>
    </row>
    <row r="1802" spans="2:11" x14ac:dyDescent="0.25">
      <c r="B1802">
        <v>1988</v>
      </c>
      <c r="C1802">
        <v>83</v>
      </c>
      <c r="D1802">
        <v>40</v>
      </c>
      <c r="E1802">
        <v>4</v>
      </c>
      <c r="F1802">
        <v>20</v>
      </c>
      <c r="G1802">
        <v>5</v>
      </c>
      <c r="H1802">
        <v>0</v>
      </c>
      <c r="I1802">
        <v>0</v>
      </c>
      <c r="J1802">
        <v>25</v>
      </c>
      <c r="K1802" t="s">
        <v>247</v>
      </c>
    </row>
    <row r="1803" spans="2:11" x14ac:dyDescent="0.25">
      <c r="B1803">
        <v>1989</v>
      </c>
      <c r="C1803">
        <v>103</v>
      </c>
      <c r="D1803">
        <v>51</v>
      </c>
      <c r="E1803">
        <v>8</v>
      </c>
      <c r="F1803">
        <v>13</v>
      </c>
      <c r="G1803">
        <v>10</v>
      </c>
      <c r="H1803">
        <v>0</v>
      </c>
      <c r="I1803">
        <v>0</v>
      </c>
      <c r="J1803">
        <v>23</v>
      </c>
      <c r="K1803" t="s">
        <v>245</v>
      </c>
    </row>
    <row r="1804" spans="2:11" x14ac:dyDescent="0.25">
      <c r="B1804">
        <v>1990</v>
      </c>
      <c r="C1804">
        <v>83</v>
      </c>
      <c r="D1804">
        <v>40</v>
      </c>
      <c r="E1804">
        <v>5</v>
      </c>
      <c r="F1804">
        <v>11</v>
      </c>
      <c r="G1804">
        <v>10</v>
      </c>
      <c r="H1804">
        <v>0</v>
      </c>
      <c r="I1804">
        <v>0</v>
      </c>
      <c r="J1804">
        <v>21</v>
      </c>
      <c r="K1804" t="s">
        <v>247</v>
      </c>
    </row>
    <row r="1805" spans="2:11" x14ac:dyDescent="0.25">
      <c r="B1805">
        <v>1991</v>
      </c>
      <c r="C1805">
        <v>83</v>
      </c>
      <c r="D1805">
        <v>40</v>
      </c>
      <c r="E1805">
        <v>3</v>
      </c>
      <c r="F1805">
        <v>15</v>
      </c>
      <c r="G1805">
        <v>11</v>
      </c>
      <c r="H1805">
        <v>3</v>
      </c>
      <c r="I1805">
        <v>0</v>
      </c>
      <c r="J1805">
        <v>29</v>
      </c>
      <c r="K1805" t="s">
        <v>247</v>
      </c>
    </row>
    <row r="1806" spans="2:11" x14ac:dyDescent="0.25">
      <c r="B1806">
        <v>1992</v>
      </c>
      <c r="C1806">
        <v>260</v>
      </c>
      <c r="D1806">
        <v>118</v>
      </c>
      <c r="E1806">
        <v>8</v>
      </c>
      <c r="F1806">
        <v>17</v>
      </c>
      <c r="G1806">
        <v>6</v>
      </c>
      <c r="H1806">
        <v>4</v>
      </c>
      <c r="I1806">
        <v>0</v>
      </c>
      <c r="J1806">
        <v>27</v>
      </c>
      <c r="K1806" t="s">
        <v>248</v>
      </c>
    </row>
    <row r="1807" spans="2:11" x14ac:dyDescent="0.25">
      <c r="B1807">
        <v>1994</v>
      </c>
      <c r="C1807">
        <v>83</v>
      </c>
      <c r="D1807">
        <v>40</v>
      </c>
      <c r="E1807">
        <v>2</v>
      </c>
      <c r="F1807">
        <v>11</v>
      </c>
      <c r="G1807">
        <v>14</v>
      </c>
      <c r="H1807">
        <v>0</v>
      </c>
      <c r="I1807">
        <v>0</v>
      </c>
      <c r="J1807">
        <v>25</v>
      </c>
      <c r="K1807" t="s">
        <v>247</v>
      </c>
    </row>
    <row r="1808" spans="2:11" x14ac:dyDescent="0.25">
      <c r="B1808">
        <v>1995</v>
      </c>
      <c r="C1808">
        <v>83</v>
      </c>
      <c r="D1808">
        <v>40</v>
      </c>
      <c r="E1808">
        <v>1</v>
      </c>
      <c r="F1808">
        <v>6</v>
      </c>
      <c r="G1808">
        <v>17</v>
      </c>
      <c r="H1808">
        <v>0</v>
      </c>
      <c r="I1808">
        <v>0</v>
      </c>
      <c r="J1808">
        <v>23</v>
      </c>
      <c r="K1808" t="s">
        <v>247</v>
      </c>
    </row>
    <row r="1809" spans="2:11" x14ac:dyDescent="0.25">
      <c r="B1809">
        <v>1996</v>
      </c>
      <c r="C1809">
        <v>8</v>
      </c>
      <c r="D1809">
        <v>3</v>
      </c>
      <c r="E1809">
        <v>7</v>
      </c>
      <c r="F1809">
        <v>27</v>
      </c>
      <c r="G1809">
        <v>10</v>
      </c>
      <c r="H1809">
        <v>2</v>
      </c>
      <c r="I1809">
        <v>0</v>
      </c>
      <c r="J1809">
        <v>39</v>
      </c>
      <c r="K1809" t="s">
        <v>249</v>
      </c>
    </row>
    <row r="1810" spans="2:11" x14ac:dyDescent="0.25">
      <c r="B1810">
        <v>1997</v>
      </c>
      <c r="C1810">
        <v>268</v>
      </c>
      <c r="D1810">
        <v>120</v>
      </c>
      <c r="E1810">
        <v>8</v>
      </c>
      <c r="F1810">
        <v>15</v>
      </c>
      <c r="G1810">
        <v>11</v>
      </c>
      <c r="H1810">
        <v>1</v>
      </c>
      <c r="I1810">
        <v>0</v>
      </c>
      <c r="J1810">
        <v>27</v>
      </c>
      <c r="K1810" t="s">
        <v>248</v>
      </c>
    </row>
    <row r="1811" spans="2:11" x14ac:dyDescent="0.25">
      <c r="B1811">
        <v>1998</v>
      </c>
      <c r="C1811">
        <v>329</v>
      </c>
      <c r="D1811">
        <v>152</v>
      </c>
      <c r="E1811">
        <v>7</v>
      </c>
      <c r="F1811">
        <v>23</v>
      </c>
      <c r="G1811">
        <v>10</v>
      </c>
      <c r="H1811">
        <v>0</v>
      </c>
      <c r="I1811">
        <v>0</v>
      </c>
      <c r="J1811">
        <v>33</v>
      </c>
      <c r="K1811" t="s">
        <v>249</v>
      </c>
    </row>
    <row r="1812" spans="2:11" x14ac:dyDescent="0.25">
      <c r="B1812">
        <v>1999</v>
      </c>
      <c r="C1812">
        <v>46</v>
      </c>
      <c r="D1812">
        <v>23</v>
      </c>
      <c r="E1812">
        <v>6</v>
      </c>
      <c r="F1812">
        <v>14</v>
      </c>
      <c r="G1812">
        <v>12</v>
      </c>
      <c r="H1812">
        <v>0</v>
      </c>
      <c r="I1812">
        <v>0</v>
      </c>
      <c r="J1812">
        <v>26</v>
      </c>
      <c r="K1812" t="s">
        <v>242</v>
      </c>
    </row>
    <row r="1813" spans="2:11" x14ac:dyDescent="0.25">
      <c r="B1813">
        <v>2000</v>
      </c>
      <c r="C1813">
        <v>141</v>
      </c>
      <c r="D1813">
        <v>62</v>
      </c>
      <c r="E1813">
        <v>8</v>
      </c>
      <c r="F1813">
        <v>18</v>
      </c>
      <c r="G1813">
        <v>15</v>
      </c>
      <c r="H1813">
        <v>0</v>
      </c>
      <c r="I1813">
        <v>0</v>
      </c>
      <c r="J1813">
        <v>33</v>
      </c>
      <c r="K1813" t="s">
        <v>249</v>
      </c>
    </row>
    <row r="1814" spans="2:11" x14ac:dyDescent="0.25">
      <c r="B1814">
        <v>2004</v>
      </c>
      <c r="C1814">
        <v>343</v>
      </c>
      <c r="D1814">
        <v>154</v>
      </c>
      <c r="E1814">
        <v>8</v>
      </c>
      <c r="F1814">
        <v>8</v>
      </c>
      <c r="G1814">
        <v>19</v>
      </c>
      <c r="H1814">
        <v>0</v>
      </c>
      <c r="I1814">
        <v>0</v>
      </c>
      <c r="J1814">
        <v>27</v>
      </c>
      <c r="K1814" t="s">
        <v>241</v>
      </c>
    </row>
    <row r="1815" spans="2:11" x14ac:dyDescent="0.25">
      <c r="B1815">
        <v>2005</v>
      </c>
      <c r="C1815">
        <v>147</v>
      </c>
      <c r="D1815">
        <v>66</v>
      </c>
      <c r="E1815">
        <v>9</v>
      </c>
      <c r="F1815">
        <v>18</v>
      </c>
      <c r="G1815">
        <v>10</v>
      </c>
      <c r="H1815">
        <v>0</v>
      </c>
      <c r="I1815">
        <v>0</v>
      </c>
      <c r="J1815">
        <v>28</v>
      </c>
      <c r="K1815" t="s">
        <v>246</v>
      </c>
    </row>
    <row r="1816" spans="2:11" x14ac:dyDescent="0.25">
      <c r="B1816">
        <v>2007</v>
      </c>
      <c r="C1816">
        <v>105</v>
      </c>
      <c r="D1816">
        <v>51</v>
      </c>
      <c r="E1816">
        <v>8</v>
      </c>
      <c r="F1816">
        <v>15</v>
      </c>
      <c r="G1816">
        <v>8</v>
      </c>
      <c r="H1816">
        <v>1</v>
      </c>
      <c r="I1816">
        <v>0</v>
      </c>
      <c r="J1816">
        <v>24</v>
      </c>
      <c r="K1816" t="s">
        <v>241</v>
      </c>
    </row>
    <row r="1817" spans="2:11" x14ac:dyDescent="0.25">
      <c r="B1817">
        <v>2008</v>
      </c>
      <c r="C1817">
        <v>143</v>
      </c>
      <c r="D1817">
        <v>63</v>
      </c>
      <c r="E1817">
        <v>9</v>
      </c>
      <c r="F1817">
        <v>5</v>
      </c>
      <c r="G1817">
        <v>2</v>
      </c>
      <c r="H1817">
        <v>0</v>
      </c>
      <c r="I1817">
        <v>0</v>
      </c>
      <c r="J1817">
        <v>7</v>
      </c>
      <c r="K1817" t="s">
        <v>246</v>
      </c>
    </row>
    <row r="1818" spans="2:11" x14ac:dyDescent="0.25">
      <c r="B1818">
        <v>2010</v>
      </c>
      <c r="C1818">
        <v>158</v>
      </c>
      <c r="D1818">
        <v>69</v>
      </c>
      <c r="E1818">
        <v>9</v>
      </c>
      <c r="F1818">
        <v>7</v>
      </c>
      <c r="G1818">
        <v>16</v>
      </c>
      <c r="H1818">
        <v>0</v>
      </c>
      <c r="I1818">
        <v>0</v>
      </c>
      <c r="J1818">
        <v>23</v>
      </c>
      <c r="K1818" t="s">
        <v>245</v>
      </c>
    </row>
    <row r="1819" spans="2:11" x14ac:dyDescent="0.25">
      <c r="B1819">
        <v>2011</v>
      </c>
      <c r="C1819">
        <v>344</v>
      </c>
      <c r="D1819">
        <v>155</v>
      </c>
      <c r="E1819">
        <v>9</v>
      </c>
      <c r="F1819">
        <v>6</v>
      </c>
      <c r="G1819">
        <v>5</v>
      </c>
      <c r="H1819">
        <v>1</v>
      </c>
      <c r="I1819">
        <v>0</v>
      </c>
      <c r="J1819">
        <v>12</v>
      </c>
      <c r="K1819" t="s">
        <v>248</v>
      </c>
    </row>
    <row r="1820" spans="2:11" x14ac:dyDescent="0.25">
      <c r="B1820">
        <v>5428</v>
      </c>
      <c r="C1820">
        <v>202</v>
      </c>
      <c r="D1820">
        <v>88</v>
      </c>
      <c r="E1820">
        <v>11</v>
      </c>
      <c r="F1820">
        <v>15</v>
      </c>
      <c r="G1820">
        <v>13</v>
      </c>
      <c r="H1820">
        <v>1</v>
      </c>
      <c r="I1820">
        <v>0</v>
      </c>
      <c r="J1820">
        <v>29</v>
      </c>
      <c r="K1820" t="s">
        <v>246</v>
      </c>
    </row>
    <row r="1821" spans="2:11" x14ac:dyDescent="0.25">
      <c r="B1821">
        <v>5430</v>
      </c>
      <c r="C1821">
        <v>202</v>
      </c>
      <c r="D1821">
        <v>88</v>
      </c>
      <c r="E1821">
        <v>12</v>
      </c>
      <c r="F1821">
        <v>16</v>
      </c>
      <c r="G1821">
        <v>9</v>
      </c>
      <c r="H1821">
        <v>0</v>
      </c>
      <c r="I1821">
        <v>0</v>
      </c>
      <c r="J1821">
        <v>25</v>
      </c>
      <c r="K1821" t="s">
        <v>246</v>
      </c>
    </row>
    <row r="1822" spans="2:11" x14ac:dyDescent="0.25">
      <c r="B1822">
        <v>5431</v>
      </c>
      <c r="C1822">
        <v>218</v>
      </c>
      <c r="D1822">
        <v>94</v>
      </c>
      <c r="E1822">
        <v>11</v>
      </c>
      <c r="F1822">
        <v>5</v>
      </c>
      <c r="G1822">
        <v>15</v>
      </c>
      <c r="H1822">
        <v>0</v>
      </c>
      <c r="I1822">
        <v>0</v>
      </c>
      <c r="J1822">
        <v>20</v>
      </c>
      <c r="K1822" t="s">
        <v>245</v>
      </c>
    </row>
    <row r="1823" spans="2:11" x14ac:dyDescent="0.25">
      <c r="B1823">
        <v>5433</v>
      </c>
      <c r="C1823">
        <v>218</v>
      </c>
      <c r="D1823">
        <v>94</v>
      </c>
      <c r="E1823">
        <v>12</v>
      </c>
      <c r="F1823">
        <v>2</v>
      </c>
      <c r="G1823">
        <v>13</v>
      </c>
      <c r="H1823">
        <v>0</v>
      </c>
      <c r="I1823">
        <v>0</v>
      </c>
      <c r="J1823">
        <v>15</v>
      </c>
      <c r="K1823" t="s">
        <v>245</v>
      </c>
    </row>
    <row r="1824" spans="2:11" x14ac:dyDescent="0.25">
      <c r="B1824">
        <v>5434</v>
      </c>
      <c r="C1824">
        <v>218</v>
      </c>
      <c r="D1824">
        <v>94</v>
      </c>
      <c r="E1824">
        <v>13</v>
      </c>
      <c r="F1824">
        <v>1</v>
      </c>
      <c r="G1824">
        <v>14</v>
      </c>
      <c r="H1824">
        <v>0</v>
      </c>
      <c r="I1824">
        <v>0</v>
      </c>
      <c r="J1824">
        <v>15</v>
      </c>
      <c r="K1824" t="s">
        <v>245</v>
      </c>
    </row>
    <row r="1825" spans="2:11" x14ac:dyDescent="0.25">
      <c r="B1825">
        <v>5436</v>
      </c>
      <c r="C1825">
        <v>218</v>
      </c>
      <c r="D1825">
        <v>94</v>
      </c>
      <c r="E1825">
        <v>14</v>
      </c>
      <c r="F1825">
        <v>1</v>
      </c>
      <c r="G1825">
        <v>10</v>
      </c>
      <c r="H1825">
        <v>0</v>
      </c>
      <c r="I1825">
        <v>0</v>
      </c>
      <c r="J1825">
        <v>11</v>
      </c>
      <c r="K1825" t="s">
        <v>245</v>
      </c>
    </row>
    <row r="1826" spans="2:11" x14ac:dyDescent="0.25">
      <c r="B1826">
        <v>5437</v>
      </c>
      <c r="C1826">
        <v>186</v>
      </c>
      <c r="D1826">
        <v>81</v>
      </c>
      <c r="E1826">
        <v>9</v>
      </c>
      <c r="F1826">
        <v>0</v>
      </c>
      <c r="G1826">
        <v>17</v>
      </c>
      <c r="H1826">
        <v>0</v>
      </c>
      <c r="I1826">
        <v>0</v>
      </c>
      <c r="J1826">
        <v>17</v>
      </c>
      <c r="K1826" t="s">
        <v>241</v>
      </c>
    </row>
    <row r="1827" spans="2:11" x14ac:dyDescent="0.25">
      <c r="B1827">
        <v>5438</v>
      </c>
      <c r="C1827">
        <v>186</v>
      </c>
      <c r="D1827">
        <v>81</v>
      </c>
      <c r="E1827">
        <v>10</v>
      </c>
      <c r="F1827">
        <v>1</v>
      </c>
      <c r="G1827">
        <v>15</v>
      </c>
      <c r="H1827">
        <v>0</v>
      </c>
      <c r="I1827">
        <v>0</v>
      </c>
      <c r="J1827">
        <v>16</v>
      </c>
      <c r="K1827" t="s">
        <v>241</v>
      </c>
    </row>
    <row r="1828" spans="2:11" x14ac:dyDescent="0.25">
      <c r="B1828">
        <v>5440</v>
      </c>
      <c r="C1828">
        <v>186</v>
      </c>
      <c r="D1828">
        <v>81</v>
      </c>
      <c r="E1828">
        <v>11</v>
      </c>
      <c r="F1828">
        <v>0</v>
      </c>
      <c r="G1828">
        <v>19</v>
      </c>
      <c r="H1828">
        <v>0</v>
      </c>
      <c r="I1828">
        <v>0</v>
      </c>
      <c r="J1828">
        <v>19</v>
      </c>
      <c r="K1828" t="s">
        <v>241</v>
      </c>
    </row>
    <row r="1829" spans="2:11" x14ac:dyDescent="0.25">
      <c r="B1829">
        <v>5439</v>
      </c>
      <c r="C1829">
        <v>220</v>
      </c>
      <c r="D1829">
        <v>95</v>
      </c>
      <c r="E1829">
        <v>2</v>
      </c>
      <c r="F1829">
        <v>8</v>
      </c>
      <c r="G1829">
        <v>4</v>
      </c>
      <c r="H1829">
        <v>0</v>
      </c>
      <c r="I1829">
        <v>0</v>
      </c>
      <c r="J1829">
        <v>12</v>
      </c>
      <c r="K1829" t="s">
        <v>245</v>
      </c>
    </row>
    <row r="1830" spans="2:11" x14ac:dyDescent="0.25">
      <c r="B1830">
        <v>2012</v>
      </c>
      <c r="C1830">
        <v>128</v>
      </c>
      <c r="D1830">
        <v>56</v>
      </c>
      <c r="E1830">
        <v>9</v>
      </c>
      <c r="F1830">
        <v>7</v>
      </c>
      <c r="G1830">
        <v>4</v>
      </c>
      <c r="H1830">
        <v>3</v>
      </c>
      <c r="I1830">
        <v>0</v>
      </c>
      <c r="J1830">
        <v>14</v>
      </c>
      <c r="K1830" t="s">
        <v>247</v>
      </c>
    </row>
    <row r="1831" spans="2:11" x14ac:dyDescent="0.25">
      <c r="B1831">
        <v>2013</v>
      </c>
      <c r="C1831">
        <v>62</v>
      </c>
      <c r="D1831">
        <v>33</v>
      </c>
      <c r="E1831">
        <v>9</v>
      </c>
      <c r="F1831">
        <v>17</v>
      </c>
      <c r="G1831">
        <v>13</v>
      </c>
      <c r="H1831">
        <v>0</v>
      </c>
      <c r="I1831">
        <v>0</v>
      </c>
      <c r="J1831">
        <v>30</v>
      </c>
      <c r="K1831" t="s">
        <v>246</v>
      </c>
    </row>
    <row r="1832" spans="2:11" x14ac:dyDescent="0.25">
      <c r="B1832">
        <v>2014</v>
      </c>
      <c r="C1832">
        <v>162</v>
      </c>
      <c r="D1832">
        <v>69</v>
      </c>
      <c r="E1832">
        <v>9</v>
      </c>
      <c r="F1832">
        <v>4</v>
      </c>
      <c r="G1832">
        <v>10</v>
      </c>
      <c r="H1832">
        <v>0</v>
      </c>
      <c r="I1832">
        <v>0</v>
      </c>
      <c r="J1832">
        <v>14</v>
      </c>
      <c r="K1832" t="s">
        <v>247</v>
      </c>
    </row>
    <row r="1833" spans="2:11" x14ac:dyDescent="0.25">
      <c r="B1833">
        <v>2015</v>
      </c>
      <c r="C1833">
        <v>139</v>
      </c>
      <c r="D1833">
        <v>61</v>
      </c>
      <c r="E1833">
        <v>9</v>
      </c>
      <c r="F1833">
        <v>1</v>
      </c>
      <c r="G1833">
        <v>2</v>
      </c>
      <c r="H1833">
        <v>3</v>
      </c>
      <c r="I1833">
        <v>0</v>
      </c>
      <c r="J1833">
        <v>6</v>
      </c>
      <c r="K1833" t="s">
        <v>245</v>
      </c>
    </row>
    <row r="1834" spans="2:11" x14ac:dyDescent="0.25">
      <c r="B1834">
        <v>2016</v>
      </c>
      <c r="C1834">
        <v>247</v>
      </c>
      <c r="D1834">
        <v>110</v>
      </c>
      <c r="E1834">
        <v>8</v>
      </c>
      <c r="F1834">
        <v>3</v>
      </c>
      <c r="G1834">
        <v>4</v>
      </c>
      <c r="H1834">
        <v>6</v>
      </c>
      <c r="I1834">
        <v>0</v>
      </c>
      <c r="J1834">
        <v>13</v>
      </c>
      <c r="K1834" t="s">
        <v>241</v>
      </c>
    </row>
    <row r="1835" spans="2:11" x14ac:dyDescent="0.25">
      <c r="B1835">
        <v>2020</v>
      </c>
      <c r="C1835">
        <v>164</v>
      </c>
      <c r="D1835">
        <v>70</v>
      </c>
      <c r="E1835">
        <v>9</v>
      </c>
      <c r="F1835">
        <v>3</v>
      </c>
      <c r="G1835">
        <v>4</v>
      </c>
      <c r="H1835">
        <v>0</v>
      </c>
      <c r="I1835">
        <v>0</v>
      </c>
      <c r="J1835">
        <v>7</v>
      </c>
      <c r="K1835" t="s">
        <v>247</v>
      </c>
    </row>
    <row r="1836" spans="2:11" x14ac:dyDescent="0.25">
      <c r="B1836">
        <v>2021</v>
      </c>
      <c r="C1836">
        <v>315</v>
      </c>
      <c r="D1836">
        <v>145</v>
      </c>
      <c r="E1836">
        <v>9</v>
      </c>
      <c r="F1836">
        <v>6</v>
      </c>
      <c r="G1836">
        <v>17</v>
      </c>
      <c r="H1836">
        <v>1</v>
      </c>
      <c r="I1836">
        <v>0</v>
      </c>
      <c r="J1836">
        <v>24</v>
      </c>
      <c r="K1836" t="s">
        <v>248</v>
      </c>
    </row>
    <row r="1837" spans="2:11" x14ac:dyDescent="0.25">
      <c r="B1837">
        <v>2022</v>
      </c>
      <c r="C1837">
        <v>160</v>
      </c>
      <c r="D1837">
        <v>69</v>
      </c>
      <c r="E1837">
        <v>9</v>
      </c>
      <c r="F1837">
        <v>0</v>
      </c>
      <c r="G1837">
        <v>18</v>
      </c>
      <c r="H1837">
        <v>0</v>
      </c>
      <c r="I1837">
        <v>0</v>
      </c>
      <c r="J1837">
        <v>18</v>
      </c>
      <c r="K1837" t="s">
        <v>247</v>
      </c>
    </row>
    <row r="1838" spans="2:11" x14ac:dyDescent="0.25">
      <c r="B1838">
        <v>2023</v>
      </c>
      <c r="C1838">
        <v>145</v>
      </c>
      <c r="D1838">
        <v>65</v>
      </c>
      <c r="E1838">
        <v>9</v>
      </c>
      <c r="F1838">
        <v>18</v>
      </c>
      <c r="G1838">
        <v>9</v>
      </c>
      <c r="H1838">
        <v>1</v>
      </c>
      <c r="I1838">
        <v>0</v>
      </c>
      <c r="J1838">
        <v>28</v>
      </c>
      <c r="K1838" t="s">
        <v>245</v>
      </c>
    </row>
    <row r="1839" spans="2:11" x14ac:dyDescent="0.25">
      <c r="B1839">
        <v>2024</v>
      </c>
      <c r="C1839">
        <v>152</v>
      </c>
      <c r="D1839">
        <v>69</v>
      </c>
      <c r="E1839">
        <v>9</v>
      </c>
      <c r="F1839">
        <v>6</v>
      </c>
      <c r="G1839">
        <v>20</v>
      </c>
      <c r="H1839">
        <v>0</v>
      </c>
      <c r="I1839">
        <v>0</v>
      </c>
      <c r="J1839">
        <v>26</v>
      </c>
      <c r="K1839" t="s">
        <v>247</v>
      </c>
    </row>
    <row r="1840" spans="2:11" x14ac:dyDescent="0.25">
      <c r="B1840">
        <v>2025</v>
      </c>
      <c r="C1840">
        <v>106</v>
      </c>
      <c r="D1840">
        <v>51</v>
      </c>
      <c r="E1840">
        <v>8</v>
      </c>
      <c r="F1840">
        <v>15</v>
      </c>
      <c r="G1840">
        <v>3</v>
      </c>
      <c r="H1840">
        <v>0</v>
      </c>
      <c r="I1840">
        <v>0</v>
      </c>
      <c r="J1840">
        <v>18</v>
      </c>
      <c r="K1840" t="s">
        <v>248</v>
      </c>
    </row>
    <row r="1841" spans="2:11" x14ac:dyDescent="0.25">
      <c r="B1841">
        <v>2027</v>
      </c>
      <c r="C1841">
        <v>246</v>
      </c>
      <c r="D1841">
        <v>110</v>
      </c>
      <c r="E1841">
        <v>8</v>
      </c>
      <c r="F1841">
        <v>9</v>
      </c>
      <c r="G1841">
        <v>5</v>
      </c>
      <c r="H1841">
        <v>5</v>
      </c>
      <c r="I1841">
        <v>0</v>
      </c>
      <c r="J1841">
        <v>19</v>
      </c>
      <c r="K1841" t="s">
        <v>241</v>
      </c>
    </row>
    <row r="1842" spans="2:11" x14ac:dyDescent="0.25">
      <c r="B1842">
        <v>2028</v>
      </c>
      <c r="C1842">
        <v>146</v>
      </c>
      <c r="D1842">
        <v>65</v>
      </c>
      <c r="E1842">
        <v>9</v>
      </c>
      <c r="F1842">
        <v>11</v>
      </c>
      <c r="G1842">
        <v>8</v>
      </c>
      <c r="H1842">
        <v>0</v>
      </c>
      <c r="I1842">
        <v>0</v>
      </c>
      <c r="J1842">
        <v>19</v>
      </c>
      <c r="K1842" t="s">
        <v>245</v>
      </c>
    </row>
    <row r="1843" spans="2:11" x14ac:dyDescent="0.25">
      <c r="B1843">
        <v>2029</v>
      </c>
      <c r="C1843">
        <v>262</v>
      </c>
      <c r="D1843">
        <v>118</v>
      </c>
      <c r="E1843">
        <v>9</v>
      </c>
      <c r="F1843">
        <v>11</v>
      </c>
      <c r="G1843">
        <v>2</v>
      </c>
      <c r="H1843">
        <v>2</v>
      </c>
      <c r="I1843">
        <v>0</v>
      </c>
      <c r="J1843">
        <v>15</v>
      </c>
      <c r="K1843" t="s">
        <v>242</v>
      </c>
    </row>
    <row r="1844" spans="2:11" x14ac:dyDescent="0.25">
      <c r="B1844">
        <v>2030</v>
      </c>
      <c r="C1844">
        <v>128</v>
      </c>
      <c r="D1844">
        <v>56</v>
      </c>
      <c r="E1844">
        <v>8</v>
      </c>
      <c r="F1844">
        <v>6</v>
      </c>
      <c r="G1844">
        <v>4</v>
      </c>
      <c r="H1844">
        <v>2</v>
      </c>
      <c r="I1844">
        <v>0</v>
      </c>
      <c r="J1844">
        <v>12</v>
      </c>
      <c r="K1844" t="s">
        <v>248</v>
      </c>
    </row>
    <row r="1845" spans="2:11" x14ac:dyDescent="0.25">
      <c r="B1845">
        <v>2031</v>
      </c>
      <c r="C1845">
        <v>105</v>
      </c>
      <c r="D1845">
        <v>51</v>
      </c>
      <c r="E1845">
        <v>7</v>
      </c>
      <c r="F1845">
        <v>14</v>
      </c>
      <c r="G1845">
        <v>9</v>
      </c>
      <c r="H1845">
        <v>0</v>
      </c>
      <c r="I1845">
        <v>0</v>
      </c>
      <c r="J1845">
        <v>23</v>
      </c>
      <c r="K1845" t="s">
        <v>241</v>
      </c>
    </row>
    <row r="1846" spans="2:11" x14ac:dyDescent="0.25">
      <c r="B1846">
        <v>2032</v>
      </c>
      <c r="C1846">
        <v>314</v>
      </c>
      <c r="D1846">
        <v>145</v>
      </c>
      <c r="E1846">
        <v>9</v>
      </c>
      <c r="F1846">
        <v>23</v>
      </c>
      <c r="G1846">
        <v>7</v>
      </c>
      <c r="H1846">
        <v>0</v>
      </c>
      <c r="I1846">
        <v>0</v>
      </c>
      <c r="J1846">
        <v>30</v>
      </c>
      <c r="K1846" t="s">
        <v>242</v>
      </c>
    </row>
    <row r="1847" spans="2:11" x14ac:dyDescent="0.25">
      <c r="B1847">
        <v>2033</v>
      </c>
      <c r="C1847">
        <v>343</v>
      </c>
      <c r="D1847">
        <v>154</v>
      </c>
      <c r="E1847">
        <v>9</v>
      </c>
      <c r="F1847">
        <v>6</v>
      </c>
      <c r="G1847">
        <v>17</v>
      </c>
      <c r="H1847">
        <v>0</v>
      </c>
      <c r="I1847">
        <v>0</v>
      </c>
      <c r="J1847">
        <v>23</v>
      </c>
      <c r="K1847" t="s">
        <v>242</v>
      </c>
    </row>
    <row r="1848" spans="2:11" x14ac:dyDescent="0.25">
      <c r="B1848">
        <v>2034</v>
      </c>
      <c r="C1848">
        <v>76</v>
      </c>
      <c r="D1848">
        <v>38</v>
      </c>
      <c r="E1848">
        <v>9</v>
      </c>
      <c r="F1848">
        <v>6</v>
      </c>
      <c r="G1848">
        <v>10</v>
      </c>
      <c r="H1848">
        <v>0</v>
      </c>
      <c r="I1848">
        <v>0</v>
      </c>
      <c r="J1848">
        <v>16</v>
      </c>
      <c r="K1848" t="s">
        <v>242</v>
      </c>
    </row>
    <row r="1849" spans="2:11" x14ac:dyDescent="0.25">
      <c r="B1849">
        <v>2035</v>
      </c>
      <c r="C1849">
        <v>9</v>
      </c>
      <c r="D1849">
        <v>3</v>
      </c>
      <c r="E1849">
        <v>7</v>
      </c>
      <c r="F1849">
        <v>25</v>
      </c>
      <c r="G1849">
        <v>5</v>
      </c>
      <c r="H1849">
        <v>0</v>
      </c>
      <c r="I1849">
        <v>0</v>
      </c>
      <c r="J1849">
        <v>30</v>
      </c>
      <c r="K1849" t="s">
        <v>249</v>
      </c>
    </row>
    <row r="1850" spans="2:11" x14ac:dyDescent="0.25">
      <c r="B1850">
        <v>2036</v>
      </c>
      <c r="C1850">
        <v>61</v>
      </c>
      <c r="D1850">
        <v>32</v>
      </c>
      <c r="E1850">
        <v>9</v>
      </c>
      <c r="F1850">
        <v>12</v>
      </c>
      <c r="G1850">
        <v>7</v>
      </c>
      <c r="H1850">
        <v>1</v>
      </c>
      <c r="I1850">
        <v>0</v>
      </c>
      <c r="J1850">
        <v>20</v>
      </c>
      <c r="K1850" t="s">
        <v>242</v>
      </c>
    </row>
    <row r="1851" spans="2:11" x14ac:dyDescent="0.25">
      <c r="B1851">
        <v>2037</v>
      </c>
      <c r="C1851">
        <v>8</v>
      </c>
      <c r="D1851">
        <v>3</v>
      </c>
      <c r="E1851">
        <v>9</v>
      </c>
      <c r="F1851">
        <v>14</v>
      </c>
      <c r="G1851">
        <v>15</v>
      </c>
      <c r="H1851">
        <v>0</v>
      </c>
      <c r="I1851">
        <v>0</v>
      </c>
      <c r="J1851">
        <v>29</v>
      </c>
      <c r="K1851" t="s">
        <v>243</v>
      </c>
    </row>
    <row r="1852" spans="2:11" x14ac:dyDescent="0.25">
      <c r="B1852">
        <v>2038</v>
      </c>
      <c r="C1852">
        <v>9</v>
      </c>
      <c r="D1852">
        <v>3</v>
      </c>
      <c r="E1852">
        <v>9</v>
      </c>
      <c r="F1852">
        <v>17</v>
      </c>
      <c r="G1852">
        <v>13</v>
      </c>
      <c r="H1852">
        <v>0</v>
      </c>
      <c r="I1852">
        <v>0</v>
      </c>
      <c r="J1852">
        <v>30</v>
      </c>
      <c r="K1852" t="s">
        <v>245</v>
      </c>
    </row>
    <row r="1853" spans="2:11" x14ac:dyDescent="0.25">
      <c r="B1853">
        <v>2039</v>
      </c>
      <c r="C1853">
        <v>245</v>
      </c>
      <c r="D1853">
        <v>109</v>
      </c>
      <c r="E1853">
        <v>9</v>
      </c>
      <c r="F1853">
        <v>11</v>
      </c>
      <c r="G1853">
        <v>0</v>
      </c>
      <c r="H1853">
        <v>2</v>
      </c>
      <c r="I1853">
        <v>0</v>
      </c>
      <c r="J1853">
        <v>13</v>
      </c>
      <c r="K1853" t="s">
        <v>247</v>
      </c>
    </row>
    <row r="1854" spans="2:11" x14ac:dyDescent="0.25">
      <c r="B1854">
        <v>2041</v>
      </c>
      <c r="C1854">
        <v>8</v>
      </c>
      <c r="D1854">
        <v>3</v>
      </c>
      <c r="E1854">
        <v>8</v>
      </c>
      <c r="F1854">
        <v>17</v>
      </c>
      <c r="G1854">
        <v>10</v>
      </c>
      <c r="H1854">
        <v>2</v>
      </c>
      <c r="I1854">
        <v>0</v>
      </c>
      <c r="J1854">
        <v>29</v>
      </c>
      <c r="K1854" t="s">
        <v>243</v>
      </c>
    </row>
    <row r="1855" spans="2:11" x14ac:dyDescent="0.25">
      <c r="B1855">
        <v>2042</v>
      </c>
      <c r="C1855">
        <v>9</v>
      </c>
      <c r="D1855">
        <v>3</v>
      </c>
      <c r="E1855">
        <v>8</v>
      </c>
      <c r="F1855">
        <v>12</v>
      </c>
      <c r="G1855">
        <v>18</v>
      </c>
      <c r="H1855">
        <v>0</v>
      </c>
      <c r="I1855">
        <v>0</v>
      </c>
      <c r="J1855">
        <v>30</v>
      </c>
      <c r="K1855" t="s">
        <v>245</v>
      </c>
    </row>
    <row r="1856" spans="2:11" x14ac:dyDescent="0.25">
      <c r="B1856">
        <v>2043</v>
      </c>
      <c r="C1856">
        <v>245</v>
      </c>
      <c r="D1856">
        <v>109</v>
      </c>
      <c r="E1856">
        <v>8</v>
      </c>
      <c r="F1856">
        <v>3</v>
      </c>
      <c r="G1856">
        <v>11</v>
      </c>
      <c r="H1856">
        <v>0</v>
      </c>
      <c r="I1856">
        <v>0</v>
      </c>
      <c r="J1856">
        <v>14</v>
      </c>
      <c r="K1856" t="s">
        <v>247</v>
      </c>
    </row>
    <row r="1857" spans="2:11" x14ac:dyDescent="0.25">
      <c r="B1857">
        <v>2044</v>
      </c>
      <c r="C1857">
        <v>308</v>
      </c>
      <c r="D1857">
        <v>143</v>
      </c>
      <c r="E1857">
        <v>9</v>
      </c>
      <c r="F1857">
        <v>10</v>
      </c>
      <c r="G1857">
        <v>12</v>
      </c>
      <c r="H1857">
        <v>0</v>
      </c>
      <c r="I1857">
        <v>0</v>
      </c>
      <c r="J1857">
        <v>22</v>
      </c>
      <c r="K1857" t="s">
        <v>242</v>
      </c>
    </row>
    <row r="1858" spans="2:11" x14ac:dyDescent="0.25">
      <c r="B1858">
        <v>2045</v>
      </c>
      <c r="C1858">
        <v>261</v>
      </c>
      <c r="D1858">
        <v>118</v>
      </c>
      <c r="E1858">
        <v>9</v>
      </c>
      <c r="F1858">
        <v>5</v>
      </c>
      <c r="G1858">
        <v>10</v>
      </c>
      <c r="H1858">
        <v>5</v>
      </c>
      <c r="I1858">
        <v>0</v>
      </c>
      <c r="J1858">
        <v>20</v>
      </c>
      <c r="K1858" t="s">
        <v>242</v>
      </c>
    </row>
    <row r="1859" spans="2:11" x14ac:dyDescent="0.25">
      <c r="B1859">
        <v>2046</v>
      </c>
      <c r="C1859">
        <v>332</v>
      </c>
      <c r="D1859">
        <v>152</v>
      </c>
      <c r="E1859">
        <v>9</v>
      </c>
      <c r="F1859">
        <v>7</v>
      </c>
      <c r="G1859">
        <v>23</v>
      </c>
      <c r="H1859">
        <v>0</v>
      </c>
      <c r="I1859">
        <v>0</v>
      </c>
      <c r="J1859">
        <v>30</v>
      </c>
      <c r="K1859" t="s">
        <v>242</v>
      </c>
    </row>
    <row r="1860" spans="2:11" x14ac:dyDescent="0.25">
      <c r="B1860">
        <v>2049</v>
      </c>
      <c r="C1860">
        <v>161</v>
      </c>
      <c r="D1860">
        <v>69</v>
      </c>
      <c r="E1860">
        <v>9</v>
      </c>
      <c r="F1860">
        <v>0</v>
      </c>
      <c r="G1860">
        <v>4</v>
      </c>
      <c r="H1860">
        <v>1</v>
      </c>
      <c r="I1860">
        <v>0</v>
      </c>
      <c r="J1860">
        <v>5</v>
      </c>
      <c r="K1860" t="s">
        <v>245</v>
      </c>
    </row>
    <row r="1861" spans="2:11" x14ac:dyDescent="0.25">
      <c r="B1861">
        <v>2050</v>
      </c>
      <c r="C1861">
        <v>165</v>
      </c>
      <c r="D1861">
        <v>71</v>
      </c>
      <c r="E1861">
        <v>9</v>
      </c>
      <c r="F1861">
        <v>4</v>
      </c>
      <c r="G1861">
        <v>15</v>
      </c>
      <c r="H1861">
        <v>0</v>
      </c>
      <c r="I1861">
        <v>0</v>
      </c>
      <c r="J1861">
        <v>19</v>
      </c>
      <c r="K1861" t="s">
        <v>245</v>
      </c>
    </row>
    <row r="1862" spans="2:11" x14ac:dyDescent="0.25">
      <c r="B1862">
        <v>2053</v>
      </c>
      <c r="C1862">
        <v>335</v>
      </c>
      <c r="D1862">
        <v>152</v>
      </c>
      <c r="E1862">
        <v>9</v>
      </c>
      <c r="F1862">
        <v>5</v>
      </c>
      <c r="G1862">
        <v>9</v>
      </c>
      <c r="H1862">
        <v>1</v>
      </c>
      <c r="I1862">
        <v>0</v>
      </c>
      <c r="J1862">
        <v>15</v>
      </c>
      <c r="K1862" t="s">
        <v>247</v>
      </c>
    </row>
    <row r="1863" spans="2:11" x14ac:dyDescent="0.25">
      <c r="B1863">
        <v>2055</v>
      </c>
      <c r="C1863">
        <v>345</v>
      </c>
      <c r="D1863">
        <v>155</v>
      </c>
      <c r="E1863">
        <v>8</v>
      </c>
      <c r="F1863">
        <v>16</v>
      </c>
      <c r="G1863">
        <v>6</v>
      </c>
      <c r="H1863">
        <v>0</v>
      </c>
      <c r="I1863">
        <v>0</v>
      </c>
      <c r="J1863">
        <v>22</v>
      </c>
      <c r="K1863" t="s">
        <v>242</v>
      </c>
    </row>
    <row r="1864" spans="2:11" x14ac:dyDescent="0.25">
      <c r="B1864">
        <v>2056</v>
      </c>
      <c r="C1864">
        <v>266</v>
      </c>
      <c r="D1864">
        <v>118</v>
      </c>
      <c r="E1864">
        <v>8</v>
      </c>
      <c r="F1864">
        <v>12</v>
      </c>
      <c r="G1864">
        <v>13</v>
      </c>
      <c r="H1864">
        <v>0</v>
      </c>
      <c r="I1864">
        <v>0</v>
      </c>
      <c r="J1864">
        <v>25</v>
      </c>
      <c r="K1864" t="s">
        <v>241</v>
      </c>
    </row>
    <row r="1865" spans="2:11" x14ac:dyDescent="0.25">
      <c r="B1865">
        <v>2057</v>
      </c>
      <c r="C1865">
        <v>334</v>
      </c>
      <c r="D1865">
        <v>152</v>
      </c>
      <c r="E1865">
        <v>9</v>
      </c>
      <c r="F1865">
        <v>16</v>
      </c>
      <c r="G1865">
        <v>15</v>
      </c>
      <c r="H1865">
        <v>0</v>
      </c>
      <c r="I1865">
        <v>0</v>
      </c>
      <c r="J1865">
        <v>31</v>
      </c>
      <c r="K1865" t="s">
        <v>249</v>
      </c>
    </row>
    <row r="1866" spans="2:11" x14ac:dyDescent="0.25">
      <c r="B1866">
        <v>2059</v>
      </c>
      <c r="C1866">
        <v>290</v>
      </c>
      <c r="D1866">
        <v>135</v>
      </c>
      <c r="E1866">
        <v>9</v>
      </c>
      <c r="F1866">
        <v>12</v>
      </c>
      <c r="G1866">
        <v>7</v>
      </c>
      <c r="H1866">
        <v>2</v>
      </c>
      <c r="I1866">
        <v>0</v>
      </c>
      <c r="J1866">
        <v>21</v>
      </c>
      <c r="K1866" t="s">
        <v>247</v>
      </c>
    </row>
    <row r="1867" spans="2:11" x14ac:dyDescent="0.25">
      <c r="B1867">
        <v>2061</v>
      </c>
      <c r="C1867">
        <v>65</v>
      </c>
      <c r="D1867">
        <v>35</v>
      </c>
      <c r="E1867">
        <v>9</v>
      </c>
      <c r="F1867">
        <v>10</v>
      </c>
      <c r="G1867">
        <v>5</v>
      </c>
      <c r="H1867">
        <v>1</v>
      </c>
      <c r="I1867">
        <v>0</v>
      </c>
      <c r="J1867">
        <v>16</v>
      </c>
      <c r="K1867" t="s">
        <v>242</v>
      </c>
    </row>
    <row r="1868" spans="2:11" x14ac:dyDescent="0.25">
      <c r="B1868">
        <v>2065</v>
      </c>
      <c r="C1868">
        <v>236</v>
      </c>
      <c r="D1868">
        <v>103</v>
      </c>
      <c r="E1868">
        <v>9</v>
      </c>
      <c r="F1868">
        <v>10</v>
      </c>
      <c r="G1868">
        <v>12</v>
      </c>
      <c r="H1868">
        <v>0</v>
      </c>
      <c r="I1868">
        <v>0</v>
      </c>
      <c r="J1868">
        <v>22</v>
      </c>
      <c r="K1868" t="s">
        <v>242</v>
      </c>
    </row>
    <row r="1869" spans="2:11" x14ac:dyDescent="0.25">
      <c r="B1869">
        <v>2067</v>
      </c>
      <c r="C1869">
        <v>265</v>
      </c>
      <c r="D1869">
        <v>118</v>
      </c>
      <c r="E1869">
        <v>9</v>
      </c>
      <c r="F1869">
        <v>8</v>
      </c>
      <c r="G1869">
        <v>4</v>
      </c>
      <c r="H1869">
        <v>8</v>
      </c>
      <c r="I1869">
        <v>0</v>
      </c>
      <c r="J1869">
        <v>20</v>
      </c>
      <c r="K1869" t="s">
        <v>245</v>
      </c>
    </row>
    <row r="1870" spans="2:11" x14ac:dyDescent="0.25">
      <c r="B1870">
        <v>2068</v>
      </c>
      <c r="C1870">
        <v>66</v>
      </c>
      <c r="D1870">
        <v>35</v>
      </c>
      <c r="E1870">
        <v>9</v>
      </c>
      <c r="F1870">
        <v>7</v>
      </c>
      <c r="G1870">
        <v>11</v>
      </c>
      <c r="H1870">
        <v>9</v>
      </c>
      <c r="I1870">
        <v>0</v>
      </c>
      <c r="J1870">
        <v>27</v>
      </c>
      <c r="K1870" t="s">
        <v>247</v>
      </c>
    </row>
    <row r="1871" spans="2:11" x14ac:dyDescent="0.25">
      <c r="B1871">
        <v>2069</v>
      </c>
      <c r="C1871">
        <v>266</v>
      </c>
      <c r="D1871">
        <v>118</v>
      </c>
      <c r="E1871">
        <v>9</v>
      </c>
      <c r="F1871">
        <v>11</v>
      </c>
      <c r="G1871">
        <v>9</v>
      </c>
      <c r="H1871">
        <v>0</v>
      </c>
      <c r="I1871">
        <v>0</v>
      </c>
      <c r="J1871">
        <v>20</v>
      </c>
      <c r="K1871" t="s">
        <v>243</v>
      </c>
    </row>
    <row r="1872" spans="2:11" x14ac:dyDescent="0.25">
      <c r="B1872">
        <v>2070</v>
      </c>
      <c r="C1872">
        <v>344</v>
      </c>
      <c r="D1872">
        <v>155</v>
      </c>
      <c r="E1872">
        <v>8</v>
      </c>
      <c r="F1872">
        <v>11</v>
      </c>
      <c r="G1872">
        <v>11</v>
      </c>
      <c r="H1872">
        <v>0</v>
      </c>
      <c r="I1872">
        <v>0</v>
      </c>
      <c r="J1872">
        <v>22</v>
      </c>
      <c r="K1872" t="s">
        <v>248</v>
      </c>
    </row>
    <row r="1873" spans="2:11" x14ac:dyDescent="0.25">
      <c r="B1873">
        <v>2071</v>
      </c>
      <c r="C1873">
        <v>329</v>
      </c>
      <c r="D1873">
        <v>152</v>
      </c>
      <c r="E1873">
        <v>8</v>
      </c>
      <c r="F1873">
        <v>16</v>
      </c>
      <c r="G1873">
        <v>11</v>
      </c>
      <c r="H1873">
        <v>15</v>
      </c>
      <c r="I1873">
        <v>0</v>
      </c>
      <c r="J1873">
        <v>42</v>
      </c>
      <c r="K1873" t="s">
        <v>249</v>
      </c>
    </row>
    <row r="1874" spans="2:11" x14ac:dyDescent="0.25">
      <c r="B1874">
        <v>2073</v>
      </c>
      <c r="C1874">
        <v>299</v>
      </c>
      <c r="D1874">
        <v>137</v>
      </c>
      <c r="E1874">
        <v>9</v>
      </c>
      <c r="F1874">
        <v>20</v>
      </c>
      <c r="G1874">
        <v>10</v>
      </c>
      <c r="H1874">
        <v>0</v>
      </c>
      <c r="I1874">
        <v>0</v>
      </c>
      <c r="J1874">
        <v>30</v>
      </c>
      <c r="K1874" t="s">
        <v>247</v>
      </c>
    </row>
    <row r="1875" spans="2:11" x14ac:dyDescent="0.25">
      <c r="B1875">
        <v>2074</v>
      </c>
      <c r="C1875">
        <v>289</v>
      </c>
      <c r="D1875">
        <v>135</v>
      </c>
      <c r="E1875">
        <v>9</v>
      </c>
      <c r="F1875">
        <v>23</v>
      </c>
      <c r="G1875">
        <v>7</v>
      </c>
      <c r="H1875">
        <v>0</v>
      </c>
      <c r="I1875">
        <v>0</v>
      </c>
      <c r="J1875">
        <v>30</v>
      </c>
      <c r="K1875" t="s">
        <v>245</v>
      </c>
    </row>
    <row r="1876" spans="2:11" x14ac:dyDescent="0.25">
      <c r="B1876">
        <v>2075</v>
      </c>
      <c r="C1876">
        <v>263</v>
      </c>
      <c r="D1876">
        <v>118</v>
      </c>
      <c r="E1876">
        <v>9</v>
      </c>
      <c r="F1876">
        <v>0</v>
      </c>
      <c r="G1876">
        <v>2</v>
      </c>
      <c r="H1876">
        <v>1</v>
      </c>
      <c r="I1876">
        <v>0</v>
      </c>
      <c r="J1876">
        <v>3</v>
      </c>
      <c r="K1876" t="s">
        <v>247</v>
      </c>
    </row>
    <row r="1877" spans="2:11" x14ac:dyDescent="0.25">
      <c r="B1877">
        <v>2077</v>
      </c>
      <c r="C1877">
        <v>345</v>
      </c>
      <c r="D1877">
        <v>155</v>
      </c>
      <c r="E1877">
        <v>9</v>
      </c>
      <c r="F1877">
        <v>13</v>
      </c>
      <c r="G1877">
        <v>14</v>
      </c>
      <c r="H1877">
        <v>0</v>
      </c>
      <c r="I1877">
        <v>0</v>
      </c>
      <c r="J1877">
        <v>27</v>
      </c>
      <c r="K1877" t="s">
        <v>242</v>
      </c>
    </row>
    <row r="1878" spans="2:11" x14ac:dyDescent="0.25">
      <c r="B1878">
        <v>2079</v>
      </c>
      <c r="C1878">
        <v>63</v>
      </c>
      <c r="D1878">
        <v>34</v>
      </c>
      <c r="E1878">
        <v>9</v>
      </c>
      <c r="F1878">
        <v>4</v>
      </c>
      <c r="G1878">
        <v>3</v>
      </c>
      <c r="H1878">
        <v>1</v>
      </c>
      <c r="I1878">
        <v>0</v>
      </c>
      <c r="J1878">
        <v>8</v>
      </c>
      <c r="K1878" t="s">
        <v>247</v>
      </c>
    </row>
    <row r="1879" spans="2:11" x14ac:dyDescent="0.25">
      <c r="B1879">
        <v>2080</v>
      </c>
      <c r="C1879">
        <v>80</v>
      </c>
      <c r="D1879">
        <v>38</v>
      </c>
      <c r="E1879">
        <v>9</v>
      </c>
      <c r="F1879">
        <v>11</v>
      </c>
      <c r="G1879">
        <v>4</v>
      </c>
      <c r="H1879">
        <v>0</v>
      </c>
      <c r="I1879">
        <v>0</v>
      </c>
      <c r="J1879">
        <v>15</v>
      </c>
      <c r="K1879" t="s">
        <v>242</v>
      </c>
    </row>
    <row r="1880" spans="2:11" x14ac:dyDescent="0.25">
      <c r="B1880">
        <v>2081</v>
      </c>
      <c r="C1880">
        <v>78</v>
      </c>
      <c r="D1880">
        <v>40</v>
      </c>
      <c r="E1880">
        <v>9</v>
      </c>
      <c r="F1880">
        <v>8</v>
      </c>
      <c r="G1880">
        <v>9</v>
      </c>
      <c r="H1880">
        <v>0</v>
      </c>
      <c r="I1880">
        <v>0</v>
      </c>
      <c r="J1880">
        <v>17</v>
      </c>
      <c r="K1880" t="s">
        <v>245</v>
      </c>
    </row>
    <row r="1881" spans="2:11" x14ac:dyDescent="0.25">
      <c r="B1881">
        <v>2082</v>
      </c>
      <c r="C1881">
        <v>318</v>
      </c>
      <c r="D1881">
        <v>147</v>
      </c>
      <c r="E1881">
        <v>9</v>
      </c>
      <c r="F1881">
        <v>17</v>
      </c>
      <c r="G1881">
        <v>13</v>
      </c>
      <c r="H1881">
        <v>0</v>
      </c>
      <c r="I1881">
        <v>0</v>
      </c>
      <c r="J1881">
        <v>30</v>
      </c>
      <c r="K1881" t="s">
        <v>242</v>
      </c>
    </row>
    <row r="1882" spans="2:11" x14ac:dyDescent="0.25">
      <c r="B1882">
        <v>2083</v>
      </c>
      <c r="C1882">
        <v>293</v>
      </c>
      <c r="D1882">
        <v>136</v>
      </c>
      <c r="E1882">
        <v>9</v>
      </c>
      <c r="F1882">
        <v>2</v>
      </c>
      <c r="G1882">
        <v>23</v>
      </c>
      <c r="H1882">
        <v>0</v>
      </c>
      <c r="I1882">
        <v>0</v>
      </c>
      <c r="J1882">
        <v>25</v>
      </c>
      <c r="K1882" t="s">
        <v>241</v>
      </c>
    </row>
    <row r="1883" spans="2:11" x14ac:dyDescent="0.25">
      <c r="B1883">
        <v>2084</v>
      </c>
      <c r="C1883">
        <v>330</v>
      </c>
      <c r="D1883">
        <v>152</v>
      </c>
      <c r="E1883">
        <v>9</v>
      </c>
      <c r="F1883">
        <v>9</v>
      </c>
      <c r="G1883">
        <v>19</v>
      </c>
      <c r="H1883">
        <v>0</v>
      </c>
      <c r="I1883">
        <v>0</v>
      </c>
      <c r="J1883">
        <v>28</v>
      </c>
      <c r="K1883" t="s">
        <v>241</v>
      </c>
    </row>
    <row r="1884" spans="2:11" x14ac:dyDescent="0.25">
      <c r="B1884">
        <v>2085</v>
      </c>
      <c r="C1884">
        <v>292</v>
      </c>
      <c r="D1884">
        <v>135</v>
      </c>
      <c r="E1884">
        <v>9</v>
      </c>
      <c r="F1884">
        <v>10</v>
      </c>
      <c r="G1884">
        <v>0</v>
      </c>
      <c r="H1884">
        <v>0</v>
      </c>
      <c r="I1884">
        <v>0</v>
      </c>
      <c r="J1884">
        <v>10</v>
      </c>
      <c r="K1884" t="s">
        <v>247</v>
      </c>
    </row>
    <row r="1885" spans="2:11" x14ac:dyDescent="0.25">
      <c r="B1885">
        <v>2086</v>
      </c>
      <c r="C1885">
        <v>79</v>
      </c>
      <c r="D1885">
        <v>41</v>
      </c>
      <c r="E1885">
        <v>9</v>
      </c>
      <c r="F1885">
        <v>3</v>
      </c>
      <c r="G1885">
        <v>4</v>
      </c>
      <c r="H1885">
        <v>0</v>
      </c>
      <c r="I1885">
        <v>0</v>
      </c>
      <c r="J1885">
        <v>7</v>
      </c>
      <c r="K1885" t="s">
        <v>242</v>
      </c>
    </row>
    <row r="1886" spans="2:11" x14ac:dyDescent="0.25">
      <c r="B1886">
        <v>2087</v>
      </c>
      <c r="C1886">
        <v>67</v>
      </c>
      <c r="D1886">
        <v>35</v>
      </c>
      <c r="E1886">
        <v>9</v>
      </c>
      <c r="F1886">
        <v>13</v>
      </c>
      <c r="G1886">
        <v>7</v>
      </c>
      <c r="H1886">
        <v>10</v>
      </c>
      <c r="I1886">
        <v>0</v>
      </c>
      <c r="J1886">
        <v>30</v>
      </c>
      <c r="K1886" t="s">
        <v>241</v>
      </c>
    </row>
    <row r="1887" spans="2:11" x14ac:dyDescent="0.25">
      <c r="B1887">
        <v>5441</v>
      </c>
      <c r="C1887">
        <v>186</v>
      </c>
      <c r="D1887">
        <v>81</v>
      </c>
      <c r="E1887">
        <v>12</v>
      </c>
      <c r="F1887">
        <v>2</v>
      </c>
      <c r="G1887">
        <v>15</v>
      </c>
      <c r="H1887">
        <v>0</v>
      </c>
      <c r="I1887">
        <v>0</v>
      </c>
      <c r="J1887">
        <v>17</v>
      </c>
      <c r="K1887" t="s">
        <v>241</v>
      </c>
    </row>
    <row r="1888" spans="2:11" x14ac:dyDescent="0.25">
      <c r="B1888">
        <v>5442</v>
      </c>
      <c r="C1888">
        <v>220</v>
      </c>
      <c r="D1888">
        <v>95</v>
      </c>
      <c r="E1888">
        <v>3</v>
      </c>
      <c r="F1888">
        <v>12</v>
      </c>
      <c r="G1888">
        <v>9</v>
      </c>
      <c r="H1888">
        <v>0</v>
      </c>
      <c r="I1888">
        <v>0</v>
      </c>
      <c r="J1888">
        <v>21</v>
      </c>
      <c r="K1888" t="s">
        <v>245</v>
      </c>
    </row>
    <row r="1889" spans="2:11" x14ac:dyDescent="0.25">
      <c r="B1889">
        <v>5444</v>
      </c>
      <c r="C1889">
        <v>202</v>
      </c>
      <c r="D1889">
        <v>88</v>
      </c>
      <c r="E1889">
        <v>14</v>
      </c>
      <c r="F1889">
        <v>14</v>
      </c>
      <c r="G1889">
        <v>12</v>
      </c>
      <c r="H1889">
        <v>0</v>
      </c>
      <c r="I1889">
        <v>0</v>
      </c>
      <c r="J1889">
        <v>26</v>
      </c>
      <c r="K1889" t="s">
        <v>246</v>
      </c>
    </row>
    <row r="1890" spans="2:11" x14ac:dyDescent="0.25">
      <c r="B1890">
        <v>5445</v>
      </c>
      <c r="C1890">
        <v>220</v>
      </c>
      <c r="D1890">
        <v>95</v>
      </c>
      <c r="E1890">
        <v>4</v>
      </c>
      <c r="F1890">
        <v>16</v>
      </c>
      <c r="G1890">
        <v>10</v>
      </c>
      <c r="H1890">
        <v>0</v>
      </c>
      <c r="I1890">
        <v>0</v>
      </c>
      <c r="J1890">
        <v>26</v>
      </c>
      <c r="K1890" t="s">
        <v>245</v>
      </c>
    </row>
    <row r="1891" spans="2:11" x14ac:dyDescent="0.25">
      <c r="B1891">
        <v>5446</v>
      </c>
      <c r="C1891">
        <v>97</v>
      </c>
      <c r="D1891">
        <v>48</v>
      </c>
      <c r="E1891">
        <v>18</v>
      </c>
      <c r="F1891">
        <v>10</v>
      </c>
      <c r="G1891">
        <v>9</v>
      </c>
      <c r="H1891">
        <v>0</v>
      </c>
      <c r="I1891">
        <v>0</v>
      </c>
      <c r="J1891">
        <v>19</v>
      </c>
      <c r="K1891" t="s">
        <v>249</v>
      </c>
    </row>
    <row r="1892" spans="2:11" x14ac:dyDescent="0.25">
      <c r="B1892">
        <v>5447</v>
      </c>
      <c r="C1892">
        <v>202</v>
      </c>
      <c r="D1892">
        <v>88</v>
      </c>
      <c r="E1892">
        <v>15</v>
      </c>
      <c r="F1892">
        <v>11</v>
      </c>
      <c r="G1892">
        <v>7</v>
      </c>
      <c r="H1892">
        <v>0</v>
      </c>
      <c r="I1892">
        <v>0</v>
      </c>
      <c r="J1892">
        <v>18</v>
      </c>
      <c r="K1892" t="s">
        <v>246</v>
      </c>
    </row>
    <row r="1893" spans="2:11" x14ac:dyDescent="0.25">
      <c r="B1893">
        <v>5449</v>
      </c>
      <c r="C1893">
        <v>203</v>
      </c>
      <c r="D1893">
        <v>89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 t="s">
        <v>246</v>
      </c>
    </row>
    <row r="1894" spans="2:11" x14ac:dyDescent="0.25">
      <c r="B1894">
        <v>5450</v>
      </c>
      <c r="C1894">
        <v>203</v>
      </c>
      <c r="D1894">
        <v>89</v>
      </c>
      <c r="E1894">
        <v>2</v>
      </c>
      <c r="F1894">
        <v>8</v>
      </c>
      <c r="G1894">
        <v>13</v>
      </c>
      <c r="H1894">
        <v>2</v>
      </c>
      <c r="I1894">
        <v>0</v>
      </c>
      <c r="J1894">
        <v>23</v>
      </c>
      <c r="K1894" t="s">
        <v>246</v>
      </c>
    </row>
    <row r="1895" spans="2:11" x14ac:dyDescent="0.25">
      <c r="B1895">
        <v>5452</v>
      </c>
      <c r="C1895">
        <v>203</v>
      </c>
      <c r="D1895">
        <v>89</v>
      </c>
      <c r="E1895">
        <v>3</v>
      </c>
      <c r="F1895">
        <v>18</v>
      </c>
      <c r="G1895">
        <v>10</v>
      </c>
      <c r="H1895">
        <v>0</v>
      </c>
      <c r="I1895">
        <v>0</v>
      </c>
      <c r="J1895">
        <v>28</v>
      </c>
      <c r="K1895" t="s">
        <v>246</v>
      </c>
    </row>
    <row r="1896" spans="2:11" x14ac:dyDescent="0.25">
      <c r="B1896">
        <v>5453</v>
      </c>
      <c r="C1896">
        <v>203</v>
      </c>
      <c r="D1896">
        <v>89</v>
      </c>
      <c r="E1896">
        <v>4</v>
      </c>
      <c r="F1896">
        <v>10</v>
      </c>
      <c r="G1896">
        <v>16</v>
      </c>
      <c r="H1896">
        <v>1</v>
      </c>
      <c r="I1896">
        <v>0</v>
      </c>
      <c r="J1896">
        <v>27</v>
      </c>
      <c r="K1896" t="s">
        <v>246</v>
      </c>
    </row>
    <row r="1897" spans="2:11" x14ac:dyDescent="0.25">
      <c r="B1897">
        <v>5454</v>
      </c>
      <c r="C1897">
        <v>94</v>
      </c>
      <c r="D1897">
        <v>47</v>
      </c>
      <c r="E1897">
        <v>18</v>
      </c>
      <c r="F1897">
        <v>4</v>
      </c>
      <c r="G1897">
        <v>5</v>
      </c>
      <c r="H1897">
        <v>0</v>
      </c>
      <c r="I1897">
        <v>0</v>
      </c>
      <c r="J1897">
        <v>9</v>
      </c>
      <c r="K1897" t="s">
        <v>249</v>
      </c>
    </row>
    <row r="1898" spans="2:11" x14ac:dyDescent="0.25">
      <c r="B1898">
        <v>5455</v>
      </c>
      <c r="C1898">
        <v>203</v>
      </c>
      <c r="D1898">
        <v>89</v>
      </c>
      <c r="E1898">
        <v>5</v>
      </c>
      <c r="F1898">
        <v>4</v>
      </c>
      <c r="G1898">
        <v>8</v>
      </c>
      <c r="H1898">
        <v>0</v>
      </c>
      <c r="I1898">
        <v>0</v>
      </c>
      <c r="J1898">
        <v>12</v>
      </c>
      <c r="K1898" t="s">
        <v>246</v>
      </c>
    </row>
    <row r="1899" spans="2:11" x14ac:dyDescent="0.25">
      <c r="B1899">
        <v>5456</v>
      </c>
      <c r="C1899">
        <v>203</v>
      </c>
      <c r="D1899">
        <v>89</v>
      </c>
      <c r="E1899">
        <v>6</v>
      </c>
      <c r="F1899">
        <v>5</v>
      </c>
      <c r="G1899">
        <v>3</v>
      </c>
      <c r="H1899">
        <v>0</v>
      </c>
      <c r="I1899">
        <v>0</v>
      </c>
      <c r="J1899">
        <v>8</v>
      </c>
      <c r="K1899" t="s">
        <v>246</v>
      </c>
    </row>
    <row r="1900" spans="2:11" x14ac:dyDescent="0.25">
      <c r="B1900">
        <v>2088</v>
      </c>
      <c r="C1900">
        <v>81</v>
      </c>
      <c r="D1900">
        <v>38</v>
      </c>
      <c r="E1900">
        <v>9</v>
      </c>
      <c r="F1900">
        <v>5</v>
      </c>
      <c r="G1900">
        <v>20</v>
      </c>
      <c r="H1900">
        <v>0</v>
      </c>
      <c r="I1900">
        <v>0</v>
      </c>
      <c r="J1900">
        <v>25</v>
      </c>
      <c r="K1900" t="s">
        <v>241</v>
      </c>
    </row>
    <row r="1901" spans="2:11" x14ac:dyDescent="0.25">
      <c r="B1901">
        <v>2089</v>
      </c>
      <c r="C1901">
        <v>166</v>
      </c>
      <c r="D1901">
        <v>71</v>
      </c>
      <c r="E1901">
        <v>9</v>
      </c>
      <c r="F1901">
        <v>7</v>
      </c>
      <c r="G1901">
        <v>11</v>
      </c>
      <c r="H1901">
        <v>0</v>
      </c>
      <c r="I1901">
        <v>0</v>
      </c>
      <c r="J1901">
        <v>18</v>
      </c>
      <c r="K1901" t="s">
        <v>242</v>
      </c>
    </row>
    <row r="1902" spans="2:11" x14ac:dyDescent="0.25">
      <c r="B1902">
        <v>2090</v>
      </c>
      <c r="C1902">
        <v>316</v>
      </c>
      <c r="D1902">
        <v>146</v>
      </c>
      <c r="E1902">
        <v>9</v>
      </c>
      <c r="F1902">
        <v>10</v>
      </c>
      <c r="G1902">
        <v>8</v>
      </c>
      <c r="H1902">
        <v>0</v>
      </c>
      <c r="I1902">
        <v>0</v>
      </c>
      <c r="J1902">
        <v>18</v>
      </c>
      <c r="K1902" t="s">
        <v>242</v>
      </c>
    </row>
    <row r="1903" spans="2:11" x14ac:dyDescent="0.25">
      <c r="B1903">
        <v>2091</v>
      </c>
      <c r="C1903">
        <v>173</v>
      </c>
      <c r="D1903">
        <v>75</v>
      </c>
      <c r="E1903">
        <v>9</v>
      </c>
      <c r="F1903">
        <v>4</v>
      </c>
      <c r="G1903">
        <v>3</v>
      </c>
      <c r="H1903">
        <v>2</v>
      </c>
      <c r="I1903">
        <v>0</v>
      </c>
      <c r="J1903">
        <v>9</v>
      </c>
      <c r="K1903" t="s">
        <v>241</v>
      </c>
    </row>
    <row r="1904" spans="2:11" x14ac:dyDescent="0.25">
      <c r="B1904">
        <v>2092</v>
      </c>
      <c r="C1904">
        <v>84</v>
      </c>
      <c r="D1904">
        <v>41</v>
      </c>
      <c r="E1904">
        <v>9</v>
      </c>
      <c r="F1904">
        <v>5</v>
      </c>
      <c r="G1904">
        <v>3</v>
      </c>
      <c r="H1904">
        <v>0</v>
      </c>
      <c r="I1904">
        <v>0</v>
      </c>
      <c r="J1904">
        <v>8</v>
      </c>
      <c r="K1904" t="s">
        <v>241</v>
      </c>
    </row>
    <row r="1905" spans="2:11" x14ac:dyDescent="0.25">
      <c r="B1905">
        <v>2093</v>
      </c>
      <c r="C1905">
        <v>238</v>
      </c>
      <c r="D1905">
        <v>105</v>
      </c>
      <c r="E1905">
        <v>9</v>
      </c>
      <c r="F1905">
        <v>2</v>
      </c>
      <c r="G1905">
        <v>1</v>
      </c>
      <c r="H1905">
        <v>1</v>
      </c>
      <c r="I1905">
        <v>0</v>
      </c>
      <c r="J1905">
        <v>4</v>
      </c>
      <c r="K1905" t="s">
        <v>246</v>
      </c>
    </row>
    <row r="1906" spans="2:11" x14ac:dyDescent="0.25">
      <c r="B1906">
        <v>2094</v>
      </c>
      <c r="C1906">
        <v>336</v>
      </c>
      <c r="D1906">
        <v>152</v>
      </c>
      <c r="E1906">
        <v>9</v>
      </c>
      <c r="F1906">
        <v>3</v>
      </c>
      <c r="G1906">
        <v>27</v>
      </c>
      <c r="H1906">
        <v>0</v>
      </c>
      <c r="I1906">
        <v>0</v>
      </c>
      <c r="J1906">
        <v>30</v>
      </c>
      <c r="K1906" t="s">
        <v>248</v>
      </c>
    </row>
    <row r="1907" spans="2:11" x14ac:dyDescent="0.25">
      <c r="B1907">
        <v>2095</v>
      </c>
      <c r="C1907">
        <v>295</v>
      </c>
      <c r="D1907">
        <v>136</v>
      </c>
      <c r="E1907">
        <v>9</v>
      </c>
      <c r="F1907">
        <v>28</v>
      </c>
      <c r="G1907">
        <v>1</v>
      </c>
      <c r="H1907">
        <v>0</v>
      </c>
      <c r="I1907">
        <v>0</v>
      </c>
      <c r="J1907">
        <v>29</v>
      </c>
      <c r="K1907" t="s">
        <v>241</v>
      </c>
    </row>
    <row r="1908" spans="2:11" x14ac:dyDescent="0.25">
      <c r="B1908">
        <v>2096</v>
      </c>
      <c r="C1908">
        <v>313</v>
      </c>
      <c r="D1908">
        <v>144</v>
      </c>
      <c r="E1908">
        <v>9</v>
      </c>
      <c r="F1908">
        <v>4</v>
      </c>
      <c r="G1908">
        <v>4</v>
      </c>
      <c r="H1908">
        <v>0</v>
      </c>
      <c r="I1908">
        <v>0</v>
      </c>
      <c r="J1908">
        <v>8</v>
      </c>
      <c r="K1908" t="s">
        <v>246</v>
      </c>
    </row>
    <row r="1909" spans="2:11" x14ac:dyDescent="0.25">
      <c r="B1909">
        <v>2097</v>
      </c>
      <c r="C1909">
        <v>64</v>
      </c>
      <c r="D1909">
        <v>35</v>
      </c>
      <c r="E1909">
        <v>9</v>
      </c>
      <c r="F1909">
        <v>7</v>
      </c>
      <c r="G1909">
        <v>22</v>
      </c>
      <c r="H1909">
        <v>1</v>
      </c>
      <c r="I1909">
        <v>0</v>
      </c>
      <c r="J1909">
        <v>30</v>
      </c>
      <c r="K1909" t="s">
        <v>248</v>
      </c>
    </row>
    <row r="1910" spans="2:11" x14ac:dyDescent="0.25">
      <c r="B1910">
        <v>2098</v>
      </c>
      <c r="C1910">
        <v>7</v>
      </c>
      <c r="D1910">
        <v>2</v>
      </c>
      <c r="E1910">
        <v>5</v>
      </c>
      <c r="F1910">
        <v>20</v>
      </c>
      <c r="G1910">
        <v>25</v>
      </c>
      <c r="H1910">
        <v>0</v>
      </c>
      <c r="I1910">
        <v>0</v>
      </c>
      <c r="J1910">
        <v>45</v>
      </c>
      <c r="K1910" t="s">
        <v>249</v>
      </c>
    </row>
    <row r="1911" spans="2:11" x14ac:dyDescent="0.25">
      <c r="B1911">
        <v>2099</v>
      </c>
      <c r="C1911">
        <v>294</v>
      </c>
      <c r="D1911">
        <v>136</v>
      </c>
      <c r="E1911">
        <v>9</v>
      </c>
      <c r="F1911">
        <v>25</v>
      </c>
      <c r="G1911">
        <v>0</v>
      </c>
      <c r="H1911">
        <v>1</v>
      </c>
      <c r="I1911">
        <v>0</v>
      </c>
      <c r="J1911">
        <v>26</v>
      </c>
      <c r="K1911" t="s">
        <v>246</v>
      </c>
    </row>
    <row r="1912" spans="2:11" x14ac:dyDescent="0.25">
      <c r="B1912">
        <v>2100</v>
      </c>
      <c r="C1912">
        <v>69</v>
      </c>
      <c r="D1912">
        <v>35</v>
      </c>
      <c r="E1912">
        <v>9</v>
      </c>
      <c r="F1912">
        <v>4</v>
      </c>
      <c r="G1912">
        <v>6</v>
      </c>
      <c r="H1912">
        <v>0</v>
      </c>
      <c r="I1912">
        <v>0</v>
      </c>
      <c r="J1912">
        <v>10</v>
      </c>
      <c r="K1912" t="s">
        <v>247</v>
      </c>
    </row>
    <row r="1913" spans="2:11" x14ac:dyDescent="0.25">
      <c r="B1913">
        <v>2101</v>
      </c>
      <c r="C1913">
        <v>138</v>
      </c>
      <c r="D1913">
        <v>61</v>
      </c>
      <c r="E1913">
        <v>8</v>
      </c>
      <c r="F1913">
        <v>16</v>
      </c>
      <c r="G1913">
        <v>9</v>
      </c>
      <c r="H1913">
        <v>6</v>
      </c>
      <c r="I1913">
        <v>0</v>
      </c>
      <c r="J1913">
        <v>31</v>
      </c>
      <c r="K1913" t="s">
        <v>249</v>
      </c>
    </row>
    <row r="1914" spans="2:11" x14ac:dyDescent="0.25">
      <c r="B1914">
        <v>2102</v>
      </c>
      <c r="C1914">
        <v>320</v>
      </c>
      <c r="D1914">
        <v>148</v>
      </c>
      <c r="E1914">
        <v>5</v>
      </c>
      <c r="F1914">
        <v>12</v>
      </c>
      <c r="G1914">
        <v>16</v>
      </c>
      <c r="H1914">
        <v>0</v>
      </c>
      <c r="I1914">
        <v>0</v>
      </c>
      <c r="J1914">
        <v>28</v>
      </c>
      <c r="K1914" t="s">
        <v>245</v>
      </c>
    </row>
    <row r="1915" spans="2:11" x14ac:dyDescent="0.25">
      <c r="B1915">
        <v>2103</v>
      </c>
      <c r="C1915">
        <v>240</v>
      </c>
      <c r="D1915">
        <v>107</v>
      </c>
      <c r="E1915">
        <v>9</v>
      </c>
      <c r="F1915">
        <v>8</v>
      </c>
      <c r="G1915">
        <v>5</v>
      </c>
      <c r="H1915">
        <v>0</v>
      </c>
      <c r="I1915">
        <v>0</v>
      </c>
      <c r="J1915">
        <v>13</v>
      </c>
      <c r="K1915" t="s">
        <v>247</v>
      </c>
    </row>
    <row r="1916" spans="2:11" x14ac:dyDescent="0.25">
      <c r="B1916">
        <v>2104</v>
      </c>
      <c r="C1916">
        <v>48</v>
      </c>
      <c r="D1916">
        <v>24</v>
      </c>
      <c r="E1916">
        <v>4</v>
      </c>
      <c r="F1916">
        <v>10</v>
      </c>
      <c r="G1916">
        <v>10</v>
      </c>
      <c r="H1916">
        <v>0</v>
      </c>
      <c r="I1916">
        <v>0</v>
      </c>
      <c r="J1916">
        <v>20</v>
      </c>
      <c r="K1916" t="s">
        <v>243</v>
      </c>
    </row>
    <row r="1917" spans="2:11" x14ac:dyDescent="0.25">
      <c r="B1917">
        <v>2105</v>
      </c>
      <c r="C1917">
        <v>105</v>
      </c>
      <c r="D1917">
        <v>51</v>
      </c>
      <c r="E1917">
        <v>6</v>
      </c>
      <c r="F1917">
        <v>17</v>
      </c>
      <c r="G1917">
        <v>13</v>
      </c>
      <c r="H1917">
        <v>2</v>
      </c>
      <c r="I1917">
        <v>0</v>
      </c>
      <c r="J1917">
        <v>30</v>
      </c>
      <c r="K1917" t="s">
        <v>249</v>
      </c>
    </row>
    <row r="1918" spans="2:11" x14ac:dyDescent="0.25">
      <c r="B1918">
        <v>2107</v>
      </c>
      <c r="C1918">
        <v>11</v>
      </c>
      <c r="D1918">
        <v>3</v>
      </c>
      <c r="E1918">
        <v>9</v>
      </c>
      <c r="F1918">
        <v>5</v>
      </c>
      <c r="G1918">
        <v>12</v>
      </c>
      <c r="H1918">
        <v>0</v>
      </c>
      <c r="I1918">
        <v>0</v>
      </c>
      <c r="J1918">
        <v>17</v>
      </c>
      <c r="K1918" t="s">
        <v>248</v>
      </c>
    </row>
    <row r="1919" spans="2:11" x14ac:dyDescent="0.25">
      <c r="B1919">
        <v>2108</v>
      </c>
      <c r="C1919">
        <v>131</v>
      </c>
      <c r="D1919">
        <v>59</v>
      </c>
      <c r="E1919">
        <v>5</v>
      </c>
      <c r="F1919">
        <v>0</v>
      </c>
      <c r="G1919">
        <v>9</v>
      </c>
      <c r="H1919">
        <v>0</v>
      </c>
      <c r="I1919">
        <v>0</v>
      </c>
      <c r="J1919">
        <v>9</v>
      </c>
      <c r="K1919" t="s">
        <v>245</v>
      </c>
    </row>
    <row r="1920" spans="2:11" x14ac:dyDescent="0.25">
      <c r="B1920">
        <v>2109</v>
      </c>
      <c r="C1920">
        <v>68</v>
      </c>
      <c r="D1920">
        <v>35</v>
      </c>
      <c r="E1920">
        <v>9</v>
      </c>
      <c r="F1920">
        <v>8</v>
      </c>
      <c r="G1920">
        <v>8</v>
      </c>
      <c r="H1920">
        <v>10</v>
      </c>
      <c r="I1920">
        <v>0</v>
      </c>
      <c r="J1920">
        <v>26</v>
      </c>
      <c r="K1920" t="s">
        <v>247</v>
      </c>
    </row>
    <row r="1921" spans="2:11" x14ac:dyDescent="0.25">
      <c r="B1921">
        <v>2111</v>
      </c>
      <c r="C1921">
        <v>313</v>
      </c>
      <c r="D1921">
        <v>144</v>
      </c>
      <c r="E1921">
        <v>8</v>
      </c>
      <c r="F1921">
        <v>7</v>
      </c>
      <c r="G1921">
        <v>8</v>
      </c>
      <c r="H1921">
        <v>0</v>
      </c>
      <c r="I1921">
        <v>0</v>
      </c>
      <c r="J1921">
        <v>15</v>
      </c>
      <c r="K1921" t="s">
        <v>241</v>
      </c>
    </row>
    <row r="1922" spans="2:11" x14ac:dyDescent="0.25">
      <c r="B1922">
        <v>2115</v>
      </c>
      <c r="C1922">
        <v>11</v>
      </c>
      <c r="D1922">
        <v>3</v>
      </c>
      <c r="E1922">
        <v>8</v>
      </c>
      <c r="F1922">
        <v>7</v>
      </c>
      <c r="G1922">
        <v>10</v>
      </c>
      <c r="H1922">
        <v>0</v>
      </c>
      <c r="I1922">
        <v>0</v>
      </c>
      <c r="J1922">
        <v>17</v>
      </c>
      <c r="K1922" t="s">
        <v>241</v>
      </c>
    </row>
    <row r="1923" spans="2:11" x14ac:dyDescent="0.25">
      <c r="B1923">
        <v>2124</v>
      </c>
      <c r="C1923">
        <v>48</v>
      </c>
      <c r="D1923">
        <v>24</v>
      </c>
      <c r="E1923">
        <v>5</v>
      </c>
      <c r="F1923">
        <v>4</v>
      </c>
      <c r="G1923">
        <v>16</v>
      </c>
      <c r="H1923">
        <v>0</v>
      </c>
      <c r="I1923">
        <v>0</v>
      </c>
      <c r="J1923">
        <v>20</v>
      </c>
      <c r="K1923" t="s">
        <v>245</v>
      </c>
    </row>
    <row r="1924" spans="2:11" x14ac:dyDescent="0.25">
      <c r="B1924">
        <v>2125</v>
      </c>
      <c r="C1924">
        <v>35</v>
      </c>
      <c r="D1924">
        <v>17</v>
      </c>
      <c r="E1924">
        <v>8</v>
      </c>
      <c r="F1924">
        <v>0</v>
      </c>
      <c r="G1924">
        <v>3</v>
      </c>
      <c r="H1924">
        <v>0</v>
      </c>
      <c r="I1924">
        <v>0</v>
      </c>
      <c r="J1924">
        <v>3</v>
      </c>
      <c r="K1924" t="s">
        <v>246</v>
      </c>
    </row>
    <row r="1925" spans="2:11" x14ac:dyDescent="0.25">
      <c r="B1925">
        <v>2126</v>
      </c>
      <c r="C1925">
        <v>165</v>
      </c>
      <c r="D1925">
        <v>71</v>
      </c>
      <c r="E1925">
        <v>5</v>
      </c>
      <c r="F1925">
        <v>12</v>
      </c>
      <c r="G1925">
        <v>14</v>
      </c>
      <c r="H1925">
        <v>0</v>
      </c>
      <c r="I1925">
        <v>0</v>
      </c>
      <c r="J1925">
        <v>26</v>
      </c>
      <c r="K1925" t="s">
        <v>245</v>
      </c>
    </row>
    <row r="1926" spans="2:11" x14ac:dyDescent="0.25">
      <c r="B1926">
        <v>2127</v>
      </c>
      <c r="C1926">
        <v>12</v>
      </c>
      <c r="D1926">
        <v>3</v>
      </c>
      <c r="E1926">
        <v>8</v>
      </c>
      <c r="F1926">
        <v>16</v>
      </c>
      <c r="G1926">
        <v>7</v>
      </c>
      <c r="H1926">
        <v>1</v>
      </c>
      <c r="I1926">
        <v>0</v>
      </c>
      <c r="J1926">
        <v>24</v>
      </c>
      <c r="K1926" t="s">
        <v>243</v>
      </c>
    </row>
    <row r="1927" spans="2:11" x14ac:dyDescent="0.25">
      <c r="B1927">
        <v>2128</v>
      </c>
      <c r="C1927">
        <v>173</v>
      </c>
      <c r="D1927">
        <v>75</v>
      </c>
      <c r="E1927">
        <v>8</v>
      </c>
      <c r="F1927">
        <v>5</v>
      </c>
      <c r="G1927">
        <v>3</v>
      </c>
      <c r="H1927">
        <v>1</v>
      </c>
      <c r="I1927">
        <v>0</v>
      </c>
      <c r="J1927">
        <v>9</v>
      </c>
      <c r="K1927" t="s">
        <v>246</v>
      </c>
    </row>
    <row r="1928" spans="2:11" x14ac:dyDescent="0.25">
      <c r="B1928">
        <v>2131</v>
      </c>
      <c r="C1928">
        <v>269</v>
      </c>
      <c r="D1928">
        <v>121</v>
      </c>
      <c r="E1928">
        <v>8</v>
      </c>
      <c r="F1928">
        <v>13</v>
      </c>
      <c r="G1928">
        <v>12</v>
      </c>
      <c r="H1928">
        <v>5</v>
      </c>
      <c r="I1928">
        <v>0</v>
      </c>
      <c r="J1928">
        <v>30</v>
      </c>
      <c r="K1928" t="s">
        <v>246</v>
      </c>
    </row>
    <row r="1929" spans="2:11" x14ac:dyDescent="0.25">
      <c r="B1929">
        <v>2132</v>
      </c>
      <c r="C1929">
        <v>130</v>
      </c>
      <c r="D1929">
        <v>58</v>
      </c>
      <c r="E1929">
        <v>7</v>
      </c>
      <c r="F1929">
        <v>9</v>
      </c>
      <c r="G1929">
        <v>14</v>
      </c>
      <c r="H1929">
        <v>0</v>
      </c>
      <c r="I1929">
        <v>0</v>
      </c>
      <c r="J1929">
        <v>23</v>
      </c>
      <c r="K1929" t="s">
        <v>249</v>
      </c>
    </row>
    <row r="1930" spans="2:11" x14ac:dyDescent="0.25">
      <c r="B1930">
        <v>2135</v>
      </c>
      <c r="C1930">
        <v>85</v>
      </c>
      <c r="D1930">
        <v>41</v>
      </c>
      <c r="E1930">
        <v>9</v>
      </c>
      <c r="F1930">
        <v>3</v>
      </c>
      <c r="G1930">
        <v>2</v>
      </c>
      <c r="H1930">
        <v>0</v>
      </c>
      <c r="I1930">
        <v>0</v>
      </c>
      <c r="J1930">
        <v>5</v>
      </c>
      <c r="K1930" t="s">
        <v>242</v>
      </c>
    </row>
    <row r="1931" spans="2:11" x14ac:dyDescent="0.25">
      <c r="B1931">
        <v>2136</v>
      </c>
      <c r="C1931">
        <v>174</v>
      </c>
      <c r="D1931">
        <v>75</v>
      </c>
      <c r="E1931">
        <v>9</v>
      </c>
      <c r="F1931">
        <v>10</v>
      </c>
      <c r="G1931">
        <v>1</v>
      </c>
      <c r="H1931">
        <v>0</v>
      </c>
      <c r="I1931">
        <v>0</v>
      </c>
      <c r="J1931">
        <v>11</v>
      </c>
      <c r="K1931" t="s">
        <v>242</v>
      </c>
    </row>
    <row r="1932" spans="2:11" x14ac:dyDescent="0.25">
      <c r="B1932">
        <v>2137</v>
      </c>
      <c r="C1932">
        <v>113</v>
      </c>
      <c r="D1932">
        <v>52</v>
      </c>
      <c r="E1932">
        <v>9</v>
      </c>
      <c r="F1932">
        <v>12</v>
      </c>
      <c r="G1932">
        <v>14</v>
      </c>
      <c r="H1932">
        <v>3</v>
      </c>
      <c r="I1932">
        <v>0</v>
      </c>
      <c r="J1932">
        <v>29</v>
      </c>
      <c r="K1932" t="s">
        <v>249</v>
      </c>
    </row>
    <row r="1933" spans="2:11" x14ac:dyDescent="0.25">
      <c r="B1933">
        <v>2138</v>
      </c>
      <c r="C1933">
        <v>12</v>
      </c>
      <c r="D1933">
        <v>3</v>
      </c>
      <c r="E1933">
        <v>9</v>
      </c>
      <c r="F1933">
        <v>14</v>
      </c>
      <c r="G1933">
        <v>6</v>
      </c>
      <c r="H1933">
        <v>0</v>
      </c>
      <c r="I1933">
        <v>0</v>
      </c>
      <c r="J1933">
        <v>20</v>
      </c>
      <c r="K1933" t="s">
        <v>242</v>
      </c>
    </row>
    <row r="1934" spans="2:11" x14ac:dyDescent="0.25">
      <c r="B1934">
        <v>2139</v>
      </c>
      <c r="C1934">
        <v>83</v>
      </c>
      <c r="D1934">
        <v>40</v>
      </c>
      <c r="E1934">
        <v>9</v>
      </c>
      <c r="F1934">
        <v>0</v>
      </c>
      <c r="G1934">
        <v>27</v>
      </c>
      <c r="H1934">
        <v>3</v>
      </c>
      <c r="I1934">
        <v>0</v>
      </c>
      <c r="J1934">
        <v>30</v>
      </c>
      <c r="K1934" t="s">
        <v>249</v>
      </c>
    </row>
    <row r="1935" spans="2:11" x14ac:dyDescent="0.25">
      <c r="B1935">
        <v>2140</v>
      </c>
      <c r="C1935">
        <v>33</v>
      </c>
      <c r="D1935">
        <v>17</v>
      </c>
      <c r="E1935">
        <v>9</v>
      </c>
      <c r="F1935">
        <v>10</v>
      </c>
      <c r="G1935">
        <v>14</v>
      </c>
      <c r="H1935">
        <v>0</v>
      </c>
      <c r="I1935">
        <v>0</v>
      </c>
      <c r="J1935">
        <v>24</v>
      </c>
      <c r="K1935" t="s">
        <v>246</v>
      </c>
    </row>
    <row r="1936" spans="2:11" x14ac:dyDescent="0.25">
      <c r="B1936">
        <v>2141</v>
      </c>
      <c r="C1936">
        <v>31</v>
      </c>
      <c r="D1936">
        <v>17</v>
      </c>
      <c r="E1936">
        <v>9</v>
      </c>
      <c r="F1936">
        <v>13</v>
      </c>
      <c r="G1936">
        <v>9</v>
      </c>
      <c r="H1936">
        <v>1</v>
      </c>
      <c r="I1936">
        <v>0</v>
      </c>
      <c r="J1936">
        <v>23</v>
      </c>
      <c r="K1936" t="s">
        <v>246</v>
      </c>
    </row>
    <row r="1937" spans="2:11" x14ac:dyDescent="0.25">
      <c r="B1937">
        <v>2142</v>
      </c>
      <c r="C1937">
        <v>252</v>
      </c>
      <c r="D1937">
        <v>114</v>
      </c>
      <c r="E1937">
        <v>10</v>
      </c>
      <c r="F1937">
        <v>5</v>
      </c>
      <c r="G1937">
        <v>10</v>
      </c>
      <c r="H1937">
        <v>1</v>
      </c>
      <c r="I1937">
        <v>0</v>
      </c>
      <c r="J1937">
        <v>16</v>
      </c>
      <c r="K1937" t="s">
        <v>248</v>
      </c>
    </row>
    <row r="1938" spans="2:11" x14ac:dyDescent="0.25">
      <c r="B1938">
        <v>2143</v>
      </c>
      <c r="C1938">
        <v>110</v>
      </c>
      <c r="D1938">
        <v>51</v>
      </c>
      <c r="E1938">
        <v>9</v>
      </c>
      <c r="F1938">
        <v>6</v>
      </c>
      <c r="G1938">
        <v>19</v>
      </c>
      <c r="H1938">
        <v>1</v>
      </c>
      <c r="I1938">
        <v>0</v>
      </c>
      <c r="J1938">
        <v>26</v>
      </c>
      <c r="K1938" t="s">
        <v>246</v>
      </c>
    </row>
    <row r="1939" spans="2:11" x14ac:dyDescent="0.25">
      <c r="B1939">
        <v>2144</v>
      </c>
      <c r="C1939">
        <v>337</v>
      </c>
      <c r="D1939">
        <v>152</v>
      </c>
      <c r="E1939">
        <v>9</v>
      </c>
      <c r="F1939">
        <v>9</v>
      </c>
      <c r="G1939">
        <v>19</v>
      </c>
      <c r="H1939">
        <v>0</v>
      </c>
      <c r="I1939">
        <v>0</v>
      </c>
      <c r="J1939">
        <v>28</v>
      </c>
      <c r="K1939" t="s">
        <v>246</v>
      </c>
    </row>
    <row r="1940" spans="2:11" x14ac:dyDescent="0.25">
      <c r="B1940">
        <v>2145</v>
      </c>
      <c r="C1940">
        <v>84</v>
      </c>
      <c r="D1940">
        <v>41</v>
      </c>
      <c r="E1940">
        <v>1</v>
      </c>
      <c r="F1940">
        <v>17</v>
      </c>
      <c r="G1940">
        <v>3</v>
      </c>
      <c r="H1940">
        <v>0</v>
      </c>
      <c r="I1940">
        <v>0</v>
      </c>
      <c r="J1940">
        <v>20</v>
      </c>
      <c r="K1940" t="s">
        <v>249</v>
      </c>
    </row>
    <row r="1941" spans="2:11" x14ac:dyDescent="0.25">
      <c r="B1941">
        <v>2147</v>
      </c>
      <c r="C1941">
        <v>88</v>
      </c>
      <c r="D1941">
        <v>43</v>
      </c>
      <c r="E1941">
        <v>9</v>
      </c>
      <c r="F1941">
        <v>16</v>
      </c>
      <c r="G1941">
        <v>14</v>
      </c>
      <c r="H1941">
        <v>0</v>
      </c>
      <c r="I1941">
        <v>0</v>
      </c>
      <c r="J1941">
        <v>30</v>
      </c>
      <c r="K1941" t="s">
        <v>246</v>
      </c>
    </row>
    <row r="1942" spans="2:11" x14ac:dyDescent="0.25">
      <c r="B1942">
        <v>2148</v>
      </c>
      <c r="C1942">
        <v>242</v>
      </c>
      <c r="D1942">
        <v>107</v>
      </c>
      <c r="E1942">
        <v>9</v>
      </c>
      <c r="F1942">
        <v>4</v>
      </c>
      <c r="G1942">
        <v>7</v>
      </c>
      <c r="H1942">
        <v>0</v>
      </c>
      <c r="I1942">
        <v>0</v>
      </c>
      <c r="J1942">
        <v>11</v>
      </c>
      <c r="K1942" t="s">
        <v>247</v>
      </c>
    </row>
    <row r="1943" spans="2:11" x14ac:dyDescent="0.25">
      <c r="B1943">
        <v>2149</v>
      </c>
      <c r="C1943">
        <v>74</v>
      </c>
      <c r="D1943">
        <v>36</v>
      </c>
      <c r="E1943">
        <v>9</v>
      </c>
      <c r="F1943">
        <v>4</v>
      </c>
      <c r="G1943">
        <v>8</v>
      </c>
      <c r="H1943">
        <v>3</v>
      </c>
      <c r="I1943">
        <v>0</v>
      </c>
      <c r="J1943">
        <v>15</v>
      </c>
      <c r="K1943" t="s">
        <v>243</v>
      </c>
    </row>
    <row r="1944" spans="2:11" x14ac:dyDescent="0.25">
      <c r="B1944">
        <v>2150</v>
      </c>
      <c r="C1944">
        <v>51</v>
      </c>
      <c r="D1944">
        <v>26</v>
      </c>
      <c r="E1944">
        <v>9</v>
      </c>
      <c r="F1944">
        <v>8</v>
      </c>
      <c r="G1944">
        <v>6</v>
      </c>
      <c r="H1944">
        <v>0</v>
      </c>
      <c r="I1944">
        <v>0</v>
      </c>
      <c r="J1944">
        <v>14</v>
      </c>
      <c r="K1944" t="s">
        <v>242</v>
      </c>
    </row>
    <row r="1945" spans="2:11" x14ac:dyDescent="0.25">
      <c r="B1945">
        <v>2151</v>
      </c>
      <c r="C1945">
        <v>282</v>
      </c>
      <c r="D1945">
        <v>130</v>
      </c>
      <c r="E1945">
        <v>9</v>
      </c>
      <c r="F1945">
        <v>13</v>
      </c>
      <c r="G1945">
        <v>12</v>
      </c>
      <c r="H1945">
        <v>1</v>
      </c>
      <c r="I1945">
        <v>0</v>
      </c>
      <c r="J1945">
        <v>26</v>
      </c>
      <c r="K1945" t="s">
        <v>246</v>
      </c>
    </row>
    <row r="1946" spans="2:11" x14ac:dyDescent="0.25">
      <c r="B1946">
        <v>2153</v>
      </c>
      <c r="C1946">
        <v>137</v>
      </c>
      <c r="D1946">
        <v>60</v>
      </c>
      <c r="E1946">
        <v>10</v>
      </c>
      <c r="F1946">
        <v>3</v>
      </c>
      <c r="G1946">
        <v>7</v>
      </c>
      <c r="H1946">
        <v>4</v>
      </c>
      <c r="I1946">
        <v>0</v>
      </c>
      <c r="J1946">
        <v>14</v>
      </c>
      <c r="K1946" t="s">
        <v>241</v>
      </c>
    </row>
    <row r="1947" spans="2:11" x14ac:dyDescent="0.25">
      <c r="B1947">
        <v>2155</v>
      </c>
      <c r="C1947">
        <v>53</v>
      </c>
      <c r="D1947">
        <v>27</v>
      </c>
      <c r="E1947">
        <v>9</v>
      </c>
      <c r="F1947">
        <v>11</v>
      </c>
      <c r="G1947">
        <v>9</v>
      </c>
      <c r="H1947">
        <v>0</v>
      </c>
      <c r="I1947">
        <v>0</v>
      </c>
      <c r="J1947">
        <v>20</v>
      </c>
      <c r="K1947" t="s">
        <v>242</v>
      </c>
    </row>
    <row r="1948" spans="2:11" x14ac:dyDescent="0.25">
      <c r="B1948">
        <v>2156</v>
      </c>
      <c r="C1948">
        <v>152</v>
      </c>
      <c r="D1948">
        <v>69</v>
      </c>
      <c r="E1948">
        <v>10</v>
      </c>
      <c r="F1948">
        <v>5</v>
      </c>
      <c r="G1948">
        <v>12</v>
      </c>
      <c r="H1948">
        <v>0</v>
      </c>
      <c r="I1948">
        <v>0</v>
      </c>
      <c r="J1948">
        <v>17</v>
      </c>
      <c r="K1948" t="s">
        <v>248</v>
      </c>
    </row>
    <row r="1949" spans="2:11" x14ac:dyDescent="0.25">
      <c r="B1949">
        <v>2157</v>
      </c>
      <c r="C1949">
        <v>71</v>
      </c>
      <c r="D1949">
        <v>35</v>
      </c>
      <c r="E1949">
        <v>9</v>
      </c>
      <c r="F1949">
        <v>6</v>
      </c>
      <c r="G1949">
        <v>14</v>
      </c>
      <c r="H1949">
        <v>5</v>
      </c>
      <c r="I1949">
        <v>0</v>
      </c>
      <c r="J1949">
        <v>25</v>
      </c>
      <c r="K1949" t="s">
        <v>246</v>
      </c>
    </row>
    <row r="1950" spans="2:11" x14ac:dyDescent="0.25">
      <c r="B1950">
        <v>2158</v>
      </c>
      <c r="C1950">
        <v>53</v>
      </c>
      <c r="D1950">
        <v>27</v>
      </c>
      <c r="E1950">
        <v>8</v>
      </c>
      <c r="F1950">
        <v>9</v>
      </c>
      <c r="G1950">
        <v>13</v>
      </c>
      <c r="H1950">
        <v>0</v>
      </c>
      <c r="I1950">
        <v>0</v>
      </c>
      <c r="J1950">
        <v>22</v>
      </c>
      <c r="K1950" t="s">
        <v>242</v>
      </c>
    </row>
    <row r="1951" spans="2:11" x14ac:dyDescent="0.25">
      <c r="B1951">
        <v>2160</v>
      </c>
      <c r="C1951">
        <v>270</v>
      </c>
      <c r="D1951">
        <v>122</v>
      </c>
      <c r="E1951">
        <v>9</v>
      </c>
      <c r="F1951">
        <v>5</v>
      </c>
      <c r="G1951">
        <v>25</v>
      </c>
      <c r="H1951">
        <v>0</v>
      </c>
      <c r="I1951">
        <v>0</v>
      </c>
      <c r="J1951">
        <v>30</v>
      </c>
      <c r="K1951" t="s">
        <v>247</v>
      </c>
    </row>
    <row r="1952" spans="2:11" x14ac:dyDescent="0.25">
      <c r="B1952">
        <v>2161</v>
      </c>
      <c r="C1952">
        <v>143</v>
      </c>
      <c r="D1952">
        <v>63</v>
      </c>
      <c r="E1952">
        <v>10</v>
      </c>
      <c r="F1952">
        <v>4</v>
      </c>
      <c r="G1952">
        <v>3</v>
      </c>
      <c r="H1952">
        <v>0</v>
      </c>
      <c r="I1952">
        <v>0</v>
      </c>
      <c r="J1952">
        <v>7</v>
      </c>
      <c r="K1952" t="s">
        <v>241</v>
      </c>
    </row>
    <row r="1953" spans="2:11" x14ac:dyDescent="0.25">
      <c r="B1953">
        <v>2162</v>
      </c>
      <c r="C1953">
        <v>20</v>
      </c>
      <c r="D1953">
        <v>10</v>
      </c>
      <c r="E1953">
        <v>9</v>
      </c>
      <c r="F1953">
        <v>11</v>
      </c>
      <c r="G1953">
        <v>7</v>
      </c>
      <c r="H1953">
        <v>0</v>
      </c>
      <c r="I1953">
        <v>0</v>
      </c>
      <c r="J1953">
        <v>18</v>
      </c>
      <c r="K1953" t="s">
        <v>243</v>
      </c>
    </row>
    <row r="1954" spans="2:11" x14ac:dyDescent="0.25">
      <c r="B1954">
        <v>5451</v>
      </c>
      <c r="C1954">
        <v>97</v>
      </c>
      <c r="D1954">
        <v>48</v>
      </c>
      <c r="E1954">
        <v>17</v>
      </c>
      <c r="F1954">
        <v>15</v>
      </c>
      <c r="G1954">
        <v>8</v>
      </c>
      <c r="H1954">
        <v>0</v>
      </c>
      <c r="I1954">
        <v>0</v>
      </c>
      <c r="J1954">
        <v>23</v>
      </c>
      <c r="K1954" t="s">
        <v>249</v>
      </c>
    </row>
    <row r="1955" spans="2:11" x14ac:dyDescent="0.25">
      <c r="B1955">
        <v>5457</v>
      </c>
      <c r="C1955">
        <v>94</v>
      </c>
      <c r="D1955">
        <v>47</v>
      </c>
      <c r="E1955">
        <v>17</v>
      </c>
      <c r="F1955">
        <v>4</v>
      </c>
      <c r="G1955">
        <v>7</v>
      </c>
      <c r="H1955">
        <v>0</v>
      </c>
      <c r="I1955">
        <v>0</v>
      </c>
      <c r="J1955">
        <v>11</v>
      </c>
      <c r="K1955" t="s">
        <v>249</v>
      </c>
    </row>
    <row r="1956" spans="2:11" x14ac:dyDescent="0.25">
      <c r="B1956">
        <v>5458</v>
      </c>
      <c r="C1956">
        <v>203</v>
      </c>
      <c r="D1956">
        <v>89</v>
      </c>
      <c r="E1956">
        <v>7</v>
      </c>
      <c r="F1956">
        <v>3</v>
      </c>
      <c r="G1956">
        <v>7</v>
      </c>
      <c r="H1956">
        <v>0</v>
      </c>
      <c r="I1956">
        <v>0</v>
      </c>
      <c r="J1956">
        <v>10</v>
      </c>
      <c r="K1956" t="s">
        <v>246</v>
      </c>
    </row>
    <row r="1957" spans="2:11" x14ac:dyDescent="0.25">
      <c r="B1957">
        <v>5459</v>
      </c>
      <c r="C1957">
        <v>203</v>
      </c>
      <c r="D1957">
        <v>89</v>
      </c>
      <c r="E1957">
        <v>8</v>
      </c>
      <c r="F1957">
        <v>2</v>
      </c>
      <c r="G1957">
        <v>7</v>
      </c>
      <c r="H1957">
        <v>0</v>
      </c>
      <c r="I1957">
        <v>0</v>
      </c>
      <c r="J1957">
        <v>9</v>
      </c>
      <c r="K1957" t="s">
        <v>246</v>
      </c>
    </row>
    <row r="1958" spans="2:11" x14ac:dyDescent="0.25">
      <c r="B1958">
        <v>5461</v>
      </c>
      <c r="C1958">
        <v>203</v>
      </c>
      <c r="D1958">
        <v>89</v>
      </c>
      <c r="E1958">
        <v>9</v>
      </c>
      <c r="F1958">
        <v>3</v>
      </c>
      <c r="G1958">
        <v>6</v>
      </c>
      <c r="H1958">
        <v>1</v>
      </c>
      <c r="I1958">
        <v>0</v>
      </c>
      <c r="J1958">
        <v>10</v>
      </c>
      <c r="K1958" t="s">
        <v>246</v>
      </c>
    </row>
    <row r="1959" spans="2:11" x14ac:dyDescent="0.25">
      <c r="B1959">
        <v>5460</v>
      </c>
      <c r="C1959">
        <v>99</v>
      </c>
      <c r="D1959">
        <v>49</v>
      </c>
      <c r="E1959">
        <v>14</v>
      </c>
      <c r="F1959">
        <v>6</v>
      </c>
      <c r="G1959">
        <v>10</v>
      </c>
      <c r="H1959">
        <v>0</v>
      </c>
      <c r="I1959">
        <v>0</v>
      </c>
      <c r="J1959">
        <v>16</v>
      </c>
      <c r="K1959" t="s">
        <v>249</v>
      </c>
    </row>
    <row r="1960" spans="2:11" x14ac:dyDescent="0.25">
      <c r="B1960">
        <v>5462</v>
      </c>
      <c r="C1960">
        <v>203</v>
      </c>
      <c r="D1960">
        <v>89</v>
      </c>
      <c r="E1960">
        <v>10</v>
      </c>
      <c r="F1960">
        <v>5</v>
      </c>
      <c r="G1960">
        <v>8</v>
      </c>
      <c r="H1960">
        <v>0</v>
      </c>
      <c r="I1960">
        <v>0</v>
      </c>
      <c r="J1960">
        <v>13</v>
      </c>
      <c r="K1960" t="s">
        <v>246</v>
      </c>
    </row>
    <row r="1961" spans="2:11" x14ac:dyDescent="0.25">
      <c r="B1961">
        <v>5464</v>
      </c>
      <c r="C1961">
        <v>99</v>
      </c>
      <c r="D1961">
        <v>49</v>
      </c>
      <c r="E1961">
        <v>15</v>
      </c>
      <c r="F1961">
        <v>5</v>
      </c>
      <c r="G1961">
        <v>11</v>
      </c>
      <c r="H1961">
        <v>0</v>
      </c>
      <c r="I1961">
        <v>0</v>
      </c>
      <c r="J1961">
        <v>16</v>
      </c>
      <c r="K1961" t="s">
        <v>249</v>
      </c>
    </row>
    <row r="1962" spans="2:11" x14ac:dyDescent="0.25">
      <c r="B1962">
        <v>5465</v>
      </c>
      <c r="C1962">
        <v>203</v>
      </c>
      <c r="D1962">
        <v>89</v>
      </c>
      <c r="E1962">
        <v>12</v>
      </c>
      <c r="F1962">
        <v>3</v>
      </c>
      <c r="G1962">
        <v>8</v>
      </c>
      <c r="H1962">
        <v>0</v>
      </c>
      <c r="I1962">
        <v>0</v>
      </c>
      <c r="J1962">
        <v>11</v>
      </c>
      <c r="K1962" t="s">
        <v>246</v>
      </c>
    </row>
    <row r="1963" spans="2:11" x14ac:dyDescent="0.25">
      <c r="B1963">
        <v>5466</v>
      </c>
      <c r="C1963">
        <v>99</v>
      </c>
      <c r="D1963">
        <v>49</v>
      </c>
      <c r="E1963">
        <v>16</v>
      </c>
      <c r="F1963">
        <v>5</v>
      </c>
      <c r="G1963">
        <v>13</v>
      </c>
      <c r="H1963">
        <v>0</v>
      </c>
      <c r="I1963">
        <v>0</v>
      </c>
      <c r="J1963">
        <v>18</v>
      </c>
      <c r="K1963" t="s">
        <v>249</v>
      </c>
    </row>
    <row r="1964" spans="2:11" x14ac:dyDescent="0.25">
      <c r="B1964">
        <v>5467</v>
      </c>
      <c r="C1964">
        <v>206</v>
      </c>
      <c r="D1964">
        <v>92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 t="s">
        <v>246</v>
      </c>
    </row>
    <row r="1965" spans="2:11" x14ac:dyDescent="0.25">
      <c r="B1965">
        <v>5468</v>
      </c>
      <c r="C1965">
        <v>99</v>
      </c>
      <c r="D1965">
        <v>49</v>
      </c>
      <c r="E1965">
        <v>17</v>
      </c>
      <c r="F1965">
        <v>8</v>
      </c>
      <c r="G1965">
        <v>14</v>
      </c>
      <c r="H1965">
        <v>0</v>
      </c>
      <c r="I1965">
        <v>0</v>
      </c>
      <c r="J1965">
        <v>22</v>
      </c>
      <c r="K1965" t="s">
        <v>249</v>
      </c>
    </row>
    <row r="1966" spans="2:11" x14ac:dyDescent="0.25">
      <c r="B1966">
        <v>5469</v>
      </c>
      <c r="C1966">
        <v>206</v>
      </c>
      <c r="D1966">
        <v>92</v>
      </c>
      <c r="E1966">
        <v>2</v>
      </c>
      <c r="F1966">
        <v>1</v>
      </c>
      <c r="G1966">
        <v>3</v>
      </c>
      <c r="H1966">
        <v>0</v>
      </c>
      <c r="I1966">
        <v>0</v>
      </c>
      <c r="J1966">
        <v>4</v>
      </c>
      <c r="K1966" t="s">
        <v>246</v>
      </c>
    </row>
    <row r="1967" spans="2:11" x14ac:dyDescent="0.25">
      <c r="B1967">
        <v>5470</v>
      </c>
      <c r="C1967">
        <v>99</v>
      </c>
      <c r="D1967">
        <v>49</v>
      </c>
      <c r="E1967">
        <v>18</v>
      </c>
      <c r="F1967">
        <v>3</v>
      </c>
      <c r="G1967">
        <v>12</v>
      </c>
      <c r="H1967">
        <v>0</v>
      </c>
      <c r="I1967">
        <v>0</v>
      </c>
      <c r="J1967">
        <v>15</v>
      </c>
      <c r="K1967" t="s">
        <v>249</v>
      </c>
    </row>
    <row r="1968" spans="2:11" x14ac:dyDescent="0.25">
      <c r="B1968">
        <v>5471</v>
      </c>
      <c r="C1968">
        <v>206</v>
      </c>
      <c r="D1968">
        <v>92</v>
      </c>
      <c r="E1968">
        <v>3</v>
      </c>
      <c r="F1968">
        <v>1</v>
      </c>
      <c r="G1968">
        <v>13</v>
      </c>
      <c r="H1968">
        <v>0</v>
      </c>
      <c r="I1968">
        <v>0</v>
      </c>
      <c r="J1968">
        <v>14</v>
      </c>
      <c r="K1968" t="s">
        <v>246</v>
      </c>
    </row>
    <row r="1969" spans="2:11" x14ac:dyDescent="0.25">
      <c r="B1969">
        <v>5473</v>
      </c>
      <c r="C1969">
        <v>206</v>
      </c>
      <c r="D1969">
        <v>92</v>
      </c>
      <c r="E1969">
        <v>4</v>
      </c>
      <c r="F1969">
        <v>3</v>
      </c>
      <c r="G1969">
        <v>2</v>
      </c>
      <c r="H1969">
        <v>0</v>
      </c>
      <c r="I1969">
        <v>0</v>
      </c>
      <c r="J1969">
        <v>5</v>
      </c>
      <c r="K1969" t="s">
        <v>246</v>
      </c>
    </row>
    <row r="1970" spans="2:11" x14ac:dyDescent="0.25">
      <c r="B1970">
        <v>2164</v>
      </c>
      <c r="C1970">
        <v>130</v>
      </c>
      <c r="D1970">
        <v>58</v>
      </c>
      <c r="E1970">
        <v>8</v>
      </c>
      <c r="F1970">
        <v>10</v>
      </c>
      <c r="G1970">
        <v>11</v>
      </c>
      <c r="H1970">
        <v>3</v>
      </c>
      <c r="I1970">
        <v>0</v>
      </c>
      <c r="J1970">
        <v>24</v>
      </c>
      <c r="K1970" t="s">
        <v>248</v>
      </c>
    </row>
    <row r="1971" spans="2:11" x14ac:dyDescent="0.25">
      <c r="B1971">
        <v>2165</v>
      </c>
      <c r="C1971">
        <v>44</v>
      </c>
      <c r="D1971">
        <v>22</v>
      </c>
      <c r="E1971">
        <v>9</v>
      </c>
      <c r="F1971">
        <v>12</v>
      </c>
      <c r="G1971">
        <v>13</v>
      </c>
      <c r="H1971">
        <v>2</v>
      </c>
      <c r="I1971">
        <v>0</v>
      </c>
      <c r="J1971">
        <v>27</v>
      </c>
      <c r="K1971" t="s">
        <v>247</v>
      </c>
    </row>
    <row r="1972" spans="2:11" x14ac:dyDescent="0.25">
      <c r="B1972">
        <v>2166</v>
      </c>
      <c r="C1972">
        <v>73</v>
      </c>
      <c r="D1972">
        <v>35</v>
      </c>
      <c r="E1972">
        <v>9</v>
      </c>
      <c r="F1972">
        <v>16</v>
      </c>
      <c r="G1972">
        <v>11</v>
      </c>
      <c r="H1972">
        <v>3</v>
      </c>
      <c r="I1972">
        <v>0</v>
      </c>
      <c r="J1972">
        <v>30</v>
      </c>
      <c r="K1972" t="s">
        <v>243</v>
      </c>
    </row>
    <row r="1973" spans="2:11" x14ac:dyDescent="0.25">
      <c r="B1973">
        <v>2167</v>
      </c>
      <c r="C1973">
        <v>46</v>
      </c>
      <c r="D1973">
        <v>23</v>
      </c>
      <c r="E1973">
        <v>9</v>
      </c>
      <c r="F1973">
        <v>9</v>
      </c>
      <c r="G1973">
        <v>16</v>
      </c>
      <c r="H1973">
        <v>1</v>
      </c>
      <c r="I1973">
        <v>0</v>
      </c>
      <c r="J1973">
        <v>26</v>
      </c>
      <c r="K1973" t="s">
        <v>242</v>
      </c>
    </row>
    <row r="1974" spans="2:11" x14ac:dyDescent="0.25">
      <c r="B1974">
        <v>2169</v>
      </c>
      <c r="C1974">
        <v>136</v>
      </c>
      <c r="D1974">
        <v>60</v>
      </c>
      <c r="E1974">
        <v>10</v>
      </c>
      <c r="F1974">
        <v>4</v>
      </c>
      <c r="G1974">
        <v>6</v>
      </c>
      <c r="H1974">
        <v>0</v>
      </c>
      <c r="I1974">
        <v>0</v>
      </c>
      <c r="J1974">
        <v>10</v>
      </c>
      <c r="K1974" t="s">
        <v>241</v>
      </c>
    </row>
    <row r="1975" spans="2:11" x14ac:dyDescent="0.25">
      <c r="B1975">
        <v>2170</v>
      </c>
      <c r="C1975">
        <v>13</v>
      </c>
      <c r="D1975">
        <v>4</v>
      </c>
      <c r="E1975">
        <v>8</v>
      </c>
      <c r="F1975">
        <v>2</v>
      </c>
      <c r="G1975">
        <v>21</v>
      </c>
      <c r="H1975">
        <v>0</v>
      </c>
      <c r="I1975">
        <v>0</v>
      </c>
      <c r="J1975">
        <v>23</v>
      </c>
      <c r="K1975" t="s">
        <v>248</v>
      </c>
    </row>
    <row r="1976" spans="2:11" x14ac:dyDescent="0.25">
      <c r="B1976">
        <v>2171</v>
      </c>
      <c r="C1976">
        <v>92</v>
      </c>
      <c r="D1976">
        <v>46</v>
      </c>
      <c r="E1976">
        <v>9</v>
      </c>
      <c r="F1976">
        <v>20</v>
      </c>
      <c r="G1976">
        <v>9</v>
      </c>
      <c r="H1976">
        <v>0</v>
      </c>
      <c r="I1976">
        <v>0</v>
      </c>
      <c r="J1976">
        <v>29</v>
      </c>
      <c r="K1976" t="s">
        <v>246</v>
      </c>
    </row>
    <row r="1977" spans="2:11" x14ac:dyDescent="0.25">
      <c r="B1977">
        <v>2172</v>
      </c>
      <c r="C1977">
        <v>251</v>
      </c>
      <c r="D1977">
        <v>113</v>
      </c>
      <c r="E1977">
        <v>10</v>
      </c>
      <c r="F1977">
        <v>1</v>
      </c>
      <c r="G1977">
        <v>0</v>
      </c>
      <c r="H1977">
        <v>2</v>
      </c>
      <c r="I1977">
        <v>0</v>
      </c>
      <c r="J1977">
        <v>3</v>
      </c>
      <c r="K1977" t="s">
        <v>241</v>
      </c>
    </row>
    <row r="1978" spans="2:11" x14ac:dyDescent="0.25">
      <c r="B1978">
        <v>2173</v>
      </c>
      <c r="C1978">
        <v>41</v>
      </c>
      <c r="D1978">
        <v>20</v>
      </c>
      <c r="E1978">
        <v>9</v>
      </c>
      <c r="F1978">
        <v>6</v>
      </c>
      <c r="G1978">
        <v>2</v>
      </c>
      <c r="H1978">
        <v>0</v>
      </c>
      <c r="I1978">
        <v>0</v>
      </c>
      <c r="J1978">
        <v>8</v>
      </c>
      <c r="K1978" t="s">
        <v>247</v>
      </c>
    </row>
    <row r="1979" spans="2:11" x14ac:dyDescent="0.25">
      <c r="B1979">
        <v>2174</v>
      </c>
      <c r="C1979">
        <v>52</v>
      </c>
      <c r="D1979">
        <v>26</v>
      </c>
      <c r="E1979">
        <v>9</v>
      </c>
      <c r="F1979">
        <v>10</v>
      </c>
      <c r="G1979">
        <v>9</v>
      </c>
      <c r="H1979">
        <v>0</v>
      </c>
      <c r="I1979">
        <v>0</v>
      </c>
      <c r="J1979">
        <v>19</v>
      </c>
      <c r="K1979" t="s">
        <v>242</v>
      </c>
    </row>
    <row r="1980" spans="2:11" x14ac:dyDescent="0.25">
      <c r="B1980">
        <v>2175</v>
      </c>
      <c r="C1980">
        <v>270</v>
      </c>
      <c r="D1980">
        <v>122</v>
      </c>
      <c r="E1980">
        <v>8</v>
      </c>
      <c r="F1980">
        <v>6</v>
      </c>
      <c r="G1980">
        <v>24</v>
      </c>
      <c r="H1980">
        <v>0</v>
      </c>
      <c r="I1980">
        <v>0</v>
      </c>
      <c r="J1980">
        <v>30</v>
      </c>
      <c r="K1980" t="s">
        <v>248</v>
      </c>
    </row>
    <row r="1981" spans="2:11" x14ac:dyDescent="0.25">
      <c r="B1981">
        <v>2177</v>
      </c>
      <c r="C1981">
        <v>54</v>
      </c>
      <c r="D1981">
        <v>28</v>
      </c>
      <c r="E1981">
        <v>9</v>
      </c>
      <c r="F1981">
        <v>6</v>
      </c>
      <c r="G1981">
        <v>5</v>
      </c>
      <c r="H1981">
        <v>1</v>
      </c>
      <c r="I1981">
        <v>0</v>
      </c>
      <c r="J1981">
        <v>12</v>
      </c>
      <c r="K1981" t="s">
        <v>243</v>
      </c>
    </row>
    <row r="1982" spans="2:11" x14ac:dyDescent="0.25">
      <c r="B1982">
        <v>2178</v>
      </c>
      <c r="C1982">
        <v>237</v>
      </c>
      <c r="D1982">
        <v>104</v>
      </c>
      <c r="E1982">
        <v>9</v>
      </c>
      <c r="F1982">
        <v>15</v>
      </c>
      <c r="G1982">
        <v>10</v>
      </c>
      <c r="H1982">
        <v>0</v>
      </c>
      <c r="I1982">
        <v>0</v>
      </c>
      <c r="J1982">
        <v>25</v>
      </c>
      <c r="K1982" t="s">
        <v>246</v>
      </c>
    </row>
    <row r="1983" spans="2:11" x14ac:dyDescent="0.25">
      <c r="B1983">
        <v>2179</v>
      </c>
      <c r="C1983">
        <v>54</v>
      </c>
      <c r="D1983">
        <v>28</v>
      </c>
      <c r="E1983">
        <v>8</v>
      </c>
      <c r="F1983">
        <v>13</v>
      </c>
      <c r="G1983">
        <v>11</v>
      </c>
      <c r="H1983">
        <v>0</v>
      </c>
      <c r="I1983">
        <v>0</v>
      </c>
      <c r="J1983">
        <v>24</v>
      </c>
      <c r="K1983" t="s">
        <v>242</v>
      </c>
    </row>
    <row r="1984" spans="2:11" x14ac:dyDescent="0.25">
      <c r="B1984">
        <v>2180</v>
      </c>
      <c r="C1984">
        <v>116</v>
      </c>
      <c r="D1984">
        <v>54</v>
      </c>
      <c r="E1984">
        <v>10</v>
      </c>
      <c r="F1984">
        <v>0</v>
      </c>
      <c r="G1984">
        <v>5</v>
      </c>
      <c r="H1984">
        <v>1</v>
      </c>
      <c r="I1984">
        <v>0</v>
      </c>
      <c r="J1984">
        <v>6</v>
      </c>
      <c r="K1984" t="s">
        <v>241</v>
      </c>
    </row>
    <row r="1985" spans="2:11" x14ac:dyDescent="0.25">
      <c r="B1985">
        <v>2183</v>
      </c>
      <c r="C1985">
        <v>142</v>
      </c>
      <c r="D1985">
        <v>62</v>
      </c>
      <c r="E1985">
        <v>10</v>
      </c>
      <c r="F1985">
        <v>10</v>
      </c>
      <c r="G1985">
        <v>2</v>
      </c>
      <c r="H1985">
        <v>0</v>
      </c>
      <c r="I1985">
        <v>0</v>
      </c>
      <c r="J1985">
        <v>12</v>
      </c>
      <c r="K1985" t="s">
        <v>247</v>
      </c>
    </row>
    <row r="1986" spans="2:11" x14ac:dyDescent="0.25">
      <c r="B1986">
        <v>2184</v>
      </c>
      <c r="C1986">
        <v>156</v>
      </c>
      <c r="D1986">
        <v>69</v>
      </c>
      <c r="E1986">
        <v>10</v>
      </c>
      <c r="F1986">
        <v>7</v>
      </c>
      <c r="G1986">
        <v>7</v>
      </c>
      <c r="H1986">
        <v>0</v>
      </c>
      <c r="I1986">
        <v>0</v>
      </c>
      <c r="J1986">
        <v>14</v>
      </c>
      <c r="K1986" t="s">
        <v>241</v>
      </c>
    </row>
    <row r="1987" spans="2:11" x14ac:dyDescent="0.25">
      <c r="B1987">
        <v>2185</v>
      </c>
      <c r="C1987">
        <v>154</v>
      </c>
      <c r="D1987">
        <v>69</v>
      </c>
      <c r="E1987">
        <v>10</v>
      </c>
      <c r="F1987">
        <v>8</v>
      </c>
      <c r="G1987">
        <v>12</v>
      </c>
      <c r="H1987">
        <v>0</v>
      </c>
      <c r="I1987">
        <v>0</v>
      </c>
      <c r="J1987">
        <v>20</v>
      </c>
      <c r="K1987" t="s">
        <v>247</v>
      </c>
    </row>
    <row r="1988" spans="2:11" x14ac:dyDescent="0.25">
      <c r="B1988">
        <v>2186</v>
      </c>
      <c r="C1988">
        <v>114</v>
      </c>
      <c r="D1988">
        <v>52</v>
      </c>
      <c r="E1988">
        <v>10</v>
      </c>
      <c r="F1988">
        <v>11</v>
      </c>
      <c r="G1988">
        <v>14</v>
      </c>
      <c r="H1988">
        <v>5</v>
      </c>
      <c r="I1988">
        <v>0</v>
      </c>
      <c r="J1988">
        <v>30</v>
      </c>
      <c r="K1988" t="s">
        <v>243</v>
      </c>
    </row>
    <row r="1989" spans="2:11" x14ac:dyDescent="0.25">
      <c r="B1989">
        <v>2188</v>
      </c>
      <c r="C1989">
        <v>109</v>
      </c>
      <c r="D1989">
        <v>51</v>
      </c>
      <c r="E1989">
        <v>9</v>
      </c>
      <c r="F1989">
        <v>8</v>
      </c>
      <c r="G1989">
        <v>6</v>
      </c>
      <c r="H1989">
        <v>1</v>
      </c>
      <c r="I1989">
        <v>0</v>
      </c>
      <c r="J1989">
        <v>15</v>
      </c>
      <c r="K1989" t="s">
        <v>246</v>
      </c>
    </row>
    <row r="1990" spans="2:11" x14ac:dyDescent="0.25">
      <c r="B1990">
        <v>2189</v>
      </c>
      <c r="C1990">
        <v>153</v>
      </c>
      <c r="D1990">
        <v>69</v>
      </c>
      <c r="E1990">
        <v>10</v>
      </c>
      <c r="F1990">
        <v>6</v>
      </c>
      <c r="G1990">
        <v>7</v>
      </c>
      <c r="H1990">
        <v>1</v>
      </c>
      <c r="I1990">
        <v>0</v>
      </c>
      <c r="J1990">
        <v>14</v>
      </c>
      <c r="K1990" t="s">
        <v>247</v>
      </c>
    </row>
    <row r="1991" spans="2:11" x14ac:dyDescent="0.25">
      <c r="B1991">
        <v>2190</v>
      </c>
      <c r="C1991">
        <v>55</v>
      </c>
      <c r="D1991">
        <v>29</v>
      </c>
      <c r="E1991">
        <v>8</v>
      </c>
      <c r="F1991">
        <v>3</v>
      </c>
      <c r="G1991">
        <v>20</v>
      </c>
      <c r="H1991">
        <v>1</v>
      </c>
      <c r="I1991">
        <v>0</v>
      </c>
      <c r="J1991">
        <v>24</v>
      </c>
      <c r="K1991" t="s">
        <v>242</v>
      </c>
    </row>
    <row r="1992" spans="2:11" x14ac:dyDescent="0.25">
      <c r="B1992">
        <v>2191</v>
      </c>
      <c r="C1992">
        <v>129</v>
      </c>
      <c r="D1992">
        <v>57</v>
      </c>
      <c r="E1992">
        <v>9</v>
      </c>
      <c r="F1992">
        <v>8</v>
      </c>
      <c r="G1992">
        <v>5</v>
      </c>
      <c r="H1992">
        <v>2</v>
      </c>
      <c r="I1992">
        <v>0</v>
      </c>
      <c r="J1992">
        <v>15</v>
      </c>
      <c r="K1992" t="s">
        <v>246</v>
      </c>
    </row>
    <row r="1993" spans="2:11" x14ac:dyDescent="0.25">
      <c r="B1993">
        <v>2192</v>
      </c>
      <c r="C1993">
        <v>39</v>
      </c>
      <c r="D1993">
        <v>19</v>
      </c>
      <c r="E1993">
        <v>9</v>
      </c>
      <c r="F1993">
        <v>4</v>
      </c>
      <c r="G1993">
        <v>3</v>
      </c>
      <c r="H1993">
        <v>0</v>
      </c>
      <c r="I1993">
        <v>0</v>
      </c>
      <c r="J1993">
        <v>7</v>
      </c>
      <c r="K1993" t="s">
        <v>247</v>
      </c>
    </row>
    <row r="1994" spans="2:11" x14ac:dyDescent="0.25">
      <c r="B1994">
        <v>2193</v>
      </c>
      <c r="C1994">
        <v>253</v>
      </c>
      <c r="D1994">
        <v>115</v>
      </c>
      <c r="E1994">
        <v>10</v>
      </c>
      <c r="F1994">
        <v>7</v>
      </c>
      <c r="G1994">
        <v>11</v>
      </c>
      <c r="H1994">
        <v>0</v>
      </c>
      <c r="I1994">
        <v>0</v>
      </c>
      <c r="J1994">
        <v>18</v>
      </c>
      <c r="K1994" t="s">
        <v>241</v>
      </c>
    </row>
    <row r="1995" spans="2:11" x14ac:dyDescent="0.25">
      <c r="B1995">
        <v>2194</v>
      </c>
      <c r="C1995">
        <v>35</v>
      </c>
      <c r="D1995">
        <v>17</v>
      </c>
      <c r="E1995">
        <v>9</v>
      </c>
      <c r="F1995">
        <v>2</v>
      </c>
      <c r="G1995">
        <v>5</v>
      </c>
      <c r="H1995">
        <v>0</v>
      </c>
      <c r="I1995">
        <v>0</v>
      </c>
      <c r="J1995">
        <v>7</v>
      </c>
      <c r="K1995" t="s">
        <v>247</v>
      </c>
    </row>
    <row r="1996" spans="2:11" x14ac:dyDescent="0.25">
      <c r="B1996">
        <v>2195</v>
      </c>
      <c r="C1996">
        <v>138</v>
      </c>
      <c r="D1996">
        <v>61</v>
      </c>
      <c r="E1996">
        <v>10</v>
      </c>
      <c r="F1996">
        <v>18</v>
      </c>
      <c r="G1996">
        <v>12</v>
      </c>
      <c r="H1996">
        <v>0</v>
      </c>
      <c r="I1996">
        <v>0</v>
      </c>
      <c r="J1996">
        <v>30</v>
      </c>
      <c r="K1996" t="s">
        <v>243</v>
      </c>
    </row>
    <row r="1997" spans="2:11" x14ac:dyDescent="0.25">
      <c r="B1997">
        <v>2196</v>
      </c>
      <c r="C1997">
        <v>55</v>
      </c>
      <c r="D1997">
        <v>29</v>
      </c>
      <c r="E1997">
        <v>9</v>
      </c>
      <c r="F1997">
        <v>0</v>
      </c>
      <c r="G1997">
        <v>23</v>
      </c>
      <c r="H1997">
        <v>1</v>
      </c>
      <c r="I1997">
        <v>0</v>
      </c>
      <c r="J1997">
        <v>24</v>
      </c>
      <c r="K1997" t="s">
        <v>242</v>
      </c>
    </row>
    <row r="1998" spans="2:11" x14ac:dyDescent="0.25">
      <c r="B1998">
        <v>2197</v>
      </c>
      <c r="C1998">
        <v>140</v>
      </c>
      <c r="D1998">
        <v>62</v>
      </c>
      <c r="E1998">
        <v>10</v>
      </c>
      <c r="F1998">
        <v>20</v>
      </c>
      <c r="G1998">
        <v>6</v>
      </c>
      <c r="H1998">
        <v>0</v>
      </c>
      <c r="I1998">
        <v>0</v>
      </c>
      <c r="J1998">
        <v>26</v>
      </c>
      <c r="K1998" t="s">
        <v>243</v>
      </c>
    </row>
    <row r="1999" spans="2:11" x14ac:dyDescent="0.25">
      <c r="B1999">
        <v>2199</v>
      </c>
      <c r="C1999">
        <v>328</v>
      </c>
      <c r="D1999">
        <v>152</v>
      </c>
      <c r="E1999">
        <v>9</v>
      </c>
      <c r="F1999">
        <v>3</v>
      </c>
      <c r="G1999">
        <v>20</v>
      </c>
      <c r="H1999">
        <v>0</v>
      </c>
      <c r="I1999">
        <v>0</v>
      </c>
      <c r="J1999">
        <v>23</v>
      </c>
      <c r="K1999" t="s">
        <v>246</v>
      </c>
    </row>
    <row r="2000" spans="2:11" x14ac:dyDescent="0.25">
      <c r="B2000">
        <v>2200</v>
      </c>
      <c r="C2000">
        <v>75</v>
      </c>
      <c r="D2000">
        <v>37</v>
      </c>
      <c r="E2000">
        <v>9</v>
      </c>
      <c r="F2000">
        <v>3</v>
      </c>
      <c r="G2000">
        <v>6</v>
      </c>
      <c r="H2000">
        <v>1</v>
      </c>
      <c r="I2000">
        <v>0</v>
      </c>
      <c r="J2000">
        <v>10</v>
      </c>
      <c r="K2000" t="s">
        <v>246</v>
      </c>
    </row>
    <row r="2001" spans="2:11" x14ac:dyDescent="0.25">
      <c r="B2001">
        <v>2202</v>
      </c>
      <c r="C2001">
        <v>281</v>
      </c>
      <c r="D2001">
        <v>129</v>
      </c>
      <c r="E2001">
        <v>9</v>
      </c>
      <c r="F2001">
        <v>10</v>
      </c>
      <c r="G2001">
        <v>19</v>
      </c>
      <c r="H2001">
        <v>1</v>
      </c>
      <c r="I2001">
        <v>0</v>
      </c>
      <c r="J2001">
        <v>30</v>
      </c>
      <c r="K2001" t="s">
        <v>246</v>
      </c>
    </row>
    <row r="2002" spans="2:11" x14ac:dyDescent="0.25">
      <c r="B2002">
        <v>2203</v>
      </c>
      <c r="C2002">
        <v>322</v>
      </c>
      <c r="D2002">
        <v>149</v>
      </c>
      <c r="E2002">
        <v>9</v>
      </c>
      <c r="F2002">
        <v>20</v>
      </c>
      <c r="G2002">
        <v>6</v>
      </c>
      <c r="H2002">
        <v>0</v>
      </c>
      <c r="I2002">
        <v>0</v>
      </c>
      <c r="J2002">
        <v>26</v>
      </c>
      <c r="K2002" t="s">
        <v>247</v>
      </c>
    </row>
    <row r="2003" spans="2:11" x14ac:dyDescent="0.25">
      <c r="B2003">
        <v>2204</v>
      </c>
      <c r="C2003">
        <v>291</v>
      </c>
      <c r="D2003">
        <v>135</v>
      </c>
      <c r="E2003">
        <v>9</v>
      </c>
      <c r="F2003">
        <v>17</v>
      </c>
      <c r="G2003">
        <v>2</v>
      </c>
      <c r="H2003">
        <v>0</v>
      </c>
      <c r="I2003">
        <v>0</v>
      </c>
      <c r="J2003">
        <v>19</v>
      </c>
      <c r="K2003" t="s">
        <v>247</v>
      </c>
    </row>
    <row r="2004" spans="2:11" x14ac:dyDescent="0.25">
      <c r="B2004">
        <v>2205</v>
      </c>
      <c r="C2004">
        <v>92</v>
      </c>
      <c r="D2004">
        <v>46</v>
      </c>
      <c r="E2004">
        <v>8</v>
      </c>
      <c r="F2004">
        <v>18</v>
      </c>
      <c r="G2004">
        <v>9</v>
      </c>
      <c r="H2004">
        <v>0</v>
      </c>
      <c r="I2004">
        <v>0</v>
      </c>
      <c r="J2004">
        <v>27</v>
      </c>
      <c r="K2004" t="s">
        <v>248</v>
      </c>
    </row>
    <row r="2005" spans="2:11" x14ac:dyDescent="0.25">
      <c r="B2005">
        <v>2206</v>
      </c>
      <c r="C2005">
        <v>15</v>
      </c>
      <c r="D2005">
        <v>6</v>
      </c>
      <c r="E2005">
        <v>8</v>
      </c>
      <c r="F2005">
        <v>3</v>
      </c>
      <c r="G2005">
        <v>8</v>
      </c>
      <c r="H2005">
        <v>2</v>
      </c>
      <c r="I2005">
        <v>0</v>
      </c>
      <c r="J2005">
        <v>13</v>
      </c>
      <c r="K2005" t="s">
        <v>241</v>
      </c>
    </row>
    <row r="2006" spans="2:11" x14ac:dyDescent="0.25">
      <c r="B2006">
        <v>2207</v>
      </c>
      <c r="C2006">
        <v>256</v>
      </c>
      <c r="D2006">
        <v>117</v>
      </c>
      <c r="E2006">
        <v>9</v>
      </c>
      <c r="F2006">
        <v>4</v>
      </c>
      <c r="G2006">
        <v>2</v>
      </c>
      <c r="H2006">
        <v>0</v>
      </c>
      <c r="I2006">
        <v>0</v>
      </c>
      <c r="J2006">
        <v>6</v>
      </c>
      <c r="K2006" t="s">
        <v>246</v>
      </c>
    </row>
    <row r="2007" spans="2:11" x14ac:dyDescent="0.25">
      <c r="B2007">
        <v>2208</v>
      </c>
      <c r="C2007">
        <v>347</v>
      </c>
      <c r="D2007">
        <v>155</v>
      </c>
      <c r="E2007">
        <v>9</v>
      </c>
      <c r="F2007">
        <v>4</v>
      </c>
      <c r="G2007">
        <v>10</v>
      </c>
      <c r="H2007">
        <v>0</v>
      </c>
      <c r="I2007">
        <v>0</v>
      </c>
      <c r="J2007">
        <v>14</v>
      </c>
      <c r="K2007" t="s">
        <v>247</v>
      </c>
    </row>
    <row r="2008" spans="2:11" x14ac:dyDescent="0.25">
      <c r="B2008">
        <v>2210</v>
      </c>
      <c r="C2008">
        <v>131</v>
      </c>
      <c r="D2008">
        <v>59</v>
      </c>
      <c r="E2008">
        <v>8</v>
      </c>
      <c r="F2008">
        <v>1</v>
      </c>
      <c r="G2008">
        <v>6</v>
      </c>
      <c r="H2008">
        <v>1</v>
      </c>
      <c r="I2008">
        <v>0</v>
      </c>
      <c r="J2008">
        <v>8</v>
      </c>
      <c r="K2008" t="s">
        <v>241</v>
      </c>
    </row>
    <row r="2009" spans="2:11" x14ac:dyDescent="0.25">
      <c r="B2009">
        <v>2212</v>
      </c>
      <c r="C2009">
        <v>1</v>
      </c>
      <c r="D2009">
        <v>1</v>
      </c>
      <c r="E2009">
        <v>9</v>
      </c>
      <c r="F2009">
        <v>1</v>
      </c>
      <c r="G2009">
        <v>2</v>
      </c>
      <c r="H2009">
        <v>0</v>
      </c>
      <c r="I2009">
        <v>0</v>
      </c>
      <c r="J2009">
        <v>3</v>
      </c>
      <c r="K2009" t="s">
        <v>246</v>
      </c>
    </row>
    <row r="2010" spans="2:11" x14ac:dyDescent="0.25">
      <c r="B2010">
        <v>2213</v>
      </c>
      <c r="C2010">
        <v>272</v>
      </c>
      <c r="D2010">
        <v>123</v>
      </c>
      <c r="E2010">
        <v>9</v>
      </c>
      <c r="F2010">
        <v>17</v>
      </c>
      <c r="G2010">
        <v>10</v>
      </c>
      <c r="H2010">
        <v>2</v>
      </c>
      <c r="I2010">
        <v>0</v>
      </c>
      <c r="J2010">
        <v>29</v>
      </c>
      <c r="K2010" t="s">
        <v>247</v>
      </c>
    </row>
    <row r="2011" spans="2:11" x14ac:dyDescent="0.25">
      <c r="B2011">
        <v>2214</v>
      </c>
      <c r="C2011">
        <v>172</v>
      </c>
      <c r="D2011">
        <v>74</v>
      </c>
      <c r="E2011">
        <v>8</v>
      </c>
      <c r="F2011">
        <v>11</v>
      </c>
      <c r="G2011">
        <v>8</v>
      </c>
      <c r="H2011">
        <v>0</v>
      </c>
      <c r="I2011">
        <v>0</v>
      </c>
      <c r="J2011">
        <v>19</v>
      </c>
      <c r="K2011" t="s">
        <v>241</v>
      </c>
    </row>
    <row r="2012" spans="2:11" x14ac:dyDescent="0.25">
      <c r="B2012">
        <v>2215</v>
      </c>
      <c r="C2012">
        <v>108</v>
      </c>
      <c r="D2012">
        <v>51</v>
      </c>
      <c r="E2012">
        <v>8</v>
      </c>
      <c r="F2012">
        <v>3</v>
      </c>
      <c r="G2012">
        <v>3</v>
      </c>
      <c r="H2012">
        <v>0</v>
      </c>
      <c r="I2012">
        <v>0</v>
      </c>
      <c r="J2012">
        <v>6</v>
      </c>
      <c r="K2012" t="s">
        <v>241</v>
      </c>
    </row>
    <row r="2013" spans="2:11" x14ac:dyDescent="0.25">
      <c r="B2013">
        <v>2216</v>
      </c>
      <c r="C2013">
        <v>285</v>
      </c>
      <c r="D2013">
        <v>132</v>
      </c>
      <c r="E2013">
        <v>9</v>
      </c>
      <c r="F2013">
        <v>5</v>
      </c>
      <c r="G2013">
        <v>6</v>
      </c>
      <c r="H2013">
        <v>2</v>
      </c>
      <c r="I2013">
        <v>0</v>
      </c>
      <c r="J2013">
        <v>13</v>
      </c>
      <c r="K2013" t="s">
        <v>243</v>
      </c>
    </row>
    <row r="2014" spans="2:11" x14ac:dyDescent="0.25">
      <c r="B2014">
        <v>2217</v>
      </c>
      <c r="C2014">
        <v>129</v>
      </c>
      <c r="D2014">
        <v>57</v>
      </c>
      <c r="E2014">
        <v>8</v>
      </c>
      <c r="F2014">
        <v>2</v>
      </c>
      <c r="G2014">
        <v>10</v>
      </c>
      <c r="H2014">
        <v>0</v>
      </c>
      <c r="I2014">
        <v>0</v>
      </c>
      <c r="J2014">
        <v>12</v>
      </c>
      <c r="K2014" t="s">
        <v>248</v>
      </c>
    </row>
    <row r="2015" spans="2:11" x14ac:dyDescent="0.25">
      <c r="B2015">
        <v>2218</v>
      </c>
      <c r="C2015">
        <v>57</v>
      </c>
      <c r="D2015">
        <v>29</v>
      </c>
      <c r="E2015">
        <v>9</v>
      </c>
      <c r="F2015">
        <v>3</v>
      </c>
      <c r="G2015">
        <v>23</v>
      </c>
      <c r="H2015">
        <v>0</v>
      </c>
      <c r="I2015">
        <v>0</v>
      </c>
      <c r="J2015">
        <v>26</v>
      </c>
      <c r="K2015" t="s">
        <v>241</v>
      </c>
    </row>
    <row r="2016" spans="2:11" x14ac:dyDescent="0.25">
      <c r="B2016">
        <v>2219</v>
      </c>
      <c r="C2016">
        <v>243</v>
      </c>
      <c r="D2016">
        <v>108</v>
      </c>
      <c r="E2016">
        <v>9</v>
      </c>
      <c r="F2016">
        <v>7</v>
      </c>
      <c r="G2016">
        <v>2</v>
      </c>
      <c r="H2016">
        <v>3</v>
      </c>
      <c r="I2016">
        <v>0</v>
      </c>
      <c r="J2016">
        <v>12</v>
      </c>
      <c r="K2016" t="s">
        <v>243</v>
      </c>
    </row>
    <row r="2017" spans="2:11" x14ac:dyDescent="0.25">
      <c r="B2017">
        <v>2222</v>
      </c>
      <c r="C2017">
        <v>146</v>
      </c>
      <c r="D2017">
        <v>65</v>
      </c>
      <c r="E2017">
        <v>10</v>
      </c>
      <c r="F2017">
        <v>16</v>
      </c>
      <c r="G2017">
        <v>4</v>
      </c>
      <c r="H2017">
        <v>0</v>
      </c>
      <c r="I2017">
        <v>0</v>
      </c>
      <c r="J2017">
        <v>20</v>
      </c>
      <c r="K2017" t="s">
        <v>246</v>
      </c>
    </row>
    <row r="2018" spans="2:11" x14ac:dyDescent="0.25">
      <c r="B2018">
        <v>2223</v>
      </c>
      <c r="C2018">
        <v>18</v>
      </c>
      <c r="D2018">
        <v>9</v>
      </c>
      <c r="E2018">
        <v>9</v>
      </c>
      <c r="F2018">
        <v>10</v>
      </c>
      <c r="G2018">
        <v>1</v>
      </c>
      <c r="H2018">
        <v>0</v>
      </c>
      <c r="I2018">
        <v>0</v>
      </c>
      <c r="J2018">
        <v>11</v>
      </c>
      <c r="K2018" t="s">
        <v>243</v>
      </c>
    </row>
    <row r="2019" spans="2:11" x14ac:dyDescent="0.25">
      <c r="B2019">
        <v>2224</v>
      </c>
      <c r="C2019">
        <v>158</v>
      </c>
      <c r="D2019">
        <v>69</v>
      </c>
      <c r="E2019">
        <v>10</v>
      </c>
      <c r="F2019">
        <v>3</v>
      </c>
      <c r="G2019">
        <v>19</v>
      </c>
      <c r="H2019">
        <v>0</v>
      </c>
      <c r="I2019">
        <v>0</v>
      </c>
      <c r="J2019">
        <v>22</v>
      </c>
      <c r="K2019" t="s">
        <v>246</v>
      </c>
    </row>
    <row r="2020" spans="2:11" x14ac:dyDescent="0.25">
      <c r="B2020">
        <v>2225</v>
      </c>
      <c r="C2020">
        <v>45</v>
      </c>
      <c r="D2020">
        <v>23</v>
      </c>
      <c r="E2020">
        <v>5</v>
      </c>
      <c r="F2020">
        <v>40</v>
      </c>
      <c r="G2020">
        <v>20</v>
      </c>
      <c r="H2020">
        <v>0</v>
      </c>
      <c r="I2020">
        <v>0</v>
      </c>
      <c r="J2020">
        <v>60</v>
      </c>
      <c r="K2020" t="s">
        <v>249</v>
      </c>
    </row>
    <row r="2021" spans="2:11" x14ac:dyDescent="0.25">
      <c r="B2021">
        <v>2226</v>
      </c>
      <c r="C2021">
        <v>157</v>
      </c>
      <c r="D2021">
        <v>69</v>
      </c>
      <c r="E2021">
        <v>10</v>
      </c>
      <c r="F2021">
        <v>13</v>
      </c>
      <c r="G2021">
        <v>8</v>
      </c>
      <c r="H2021">
        <v>0</v>
      </c>
      <c r="I2021">
        <v>0</v>
      </c>
      <c r="J2021">
        <v>21</v>
      </c>
      <c r="K2021" t="s">
        <v>247</v>
      </c>
    </row>
    <row r="2022" spans="2:11" x14ac:dyDescent="0.25">
      <c r="B2022">
        <v>2227</v>
      </c>
      <c r="C2022">
        <v>131</v>
      </c>
      <c r="D2022">
        <v>59</v>
      </c>
      <c r="E2022">
        <v>7</v>
      </c>
      <c r="F2022">
        <v>2</v>
      </c>
      <c r="G2022">
        <v>4</v>
      </c>
      <c r="H2022">
        <v>0</v>
      </c>
      <c r="I2022">
        <v>0</v>
      </c>
      <c r="J2022">
        <v>6</v>
      </c>
      <c r="K2022" t="s">
        <v>241</v>
      </c>
    </row>
    <row r="2023" spans="2:11" x14ac:dyDescent="0.25">
      <c r="B2023">
        <v>2228</v>
      </c>
      <c r="C2023">
        <v>147</v>
      </c>
      <c r="D2023">
        <v>66</v>
      </c>
      <c r="E2023">
        <v>10</v>
      </c>
      <c r="F2023">
        <v>16</v>
      </c>
      <c r="G2023">
        <v>8</v>
      </c>
      <c r="H2023">
        <v>0</v>
      </c>
      <c r="I2023">
        <v>0</v>
      </c>
      <c r="J2023">
        <v>24</v>
      </c>
      <c r="K2023" t="s">
        <v>246</v>
      </c>
    </row>
    <row r="2024" spans="2:11" x14ac:dyDescent="0.25">
      <c r="B2024">
        <v>2229</v>
      </c>
      <c r="C2024">
        <v>21</v>
      </c>
      <c r="D2024">
        <v>10</v>
      </c>
      <c r="E2024">
        <v>9</v>
      </c>
      <c r="F2024">
        <v>10</v>
      </c>
      <c r="G2024">
        <v>6</v>
      </c>
      <c r="H2024">
        <v>0</v>
      </c>
      <c r="I2024">
        <v>0</v>
      </c>
      <c r="J2024">
        <v>16</v>
      </c>
      <c r="K2024" t="s">
        <v>243</v>
      </c>
    </row>
    <row r="2025" spans="2:11" x14ac:dyDescent="0.25">
      <c r="B2025">
        <v>2230</v>
      </c>
      <c r="C2025">
        <v>150</v>
      </c>
      <c r="D2025">
        <v>69</v>
      </c>
      <c r="E2025">
        <v>10</v>
      </c>
      <c r="F2025">
        <v>12</v>
      </c>
      <c r="G2025">
        <v>8</v>
      </c>
      <c r="H2025">
        <v>0</v>
      </c>
      <c r="I2025">
        <v>0</v>
      </c>
      <c r="J2025">
        <v>20</v>
      </c>
      <c r="K2025" t="s">
        <v>247</v>
      </c>
    </row>
    <row r="2026" spans="2:11" x14ac:dyDescent="0.25">
      <c r="B2026">
        <v>2231</v>
      </c>
      <c r="C2026">
        <v>45</v>
      </c>
      <c r="D2026">
        <v>23</v>
      </c>
      <c r="E2026">
        <v>4</v>
      </c>
      <c r="F2026">
        <v>35</v>
      </c>
      <c r="G2026">
        <v>15</v>
      </c>
      <c r="H2026">
        <v>0</v>
      </c>
      <c r="I2026">
        <v>0</v>
      </c>
      <c r="J2026">
        <v>50</v>
      </c>
      <c r="K2026" t="s">
        <v>249</v>
      </c>
    </row>
    <row r="2027" spans="2:11" x14ac:dyDescent="0.25">
      <c r="B2027">
        <v>2232</v>
      </c>
      <c r="C2027">
        <v>348</v>
      </c>
      <c r="D2027">
        <v>155</v>
      </c>
      <c r="E2027">
        <v>8</v>
      </c>
      <c r="F2027">
        <v>5</v>
      </c>
      <c r="G2027">
        <v>22</v>
      </c>
      <c r="H2027">
        <v>0</v>
      </c>
      <c r="I2027">
        <v>0</v>
      </c>
      <c r="J2027">
        <v>27</v>
      </c>
      <c r="K2027" t="s">
        <v>248</v>
      </c>
    </row>
    <row r="2028" spans="2:11" x14ac:dyDescent="0.25">
      <c r="B2028">
        <v>2233</v>
      </c>
      <c r="C2028">
        <v>172</v>
      </c>
      <c r="D2028">
        <v>74</v>
      </c>
      <c r="E2028">
        <v>7</v>
      </c>
      <c r="F2028">
        <v>9</v>
      </c>
      <c r="G2028">
        <v>5</v>
      </c>
      <c r="H2028">
        <v>1</v>
      </c>
      <c r="I2028">
        <v>0</v>
      </c>
      <c r="J2028">
        <v>15</v>
      </c>
      <c r="K2028" t="s">
        <v>241</v>
      </c>
    </row>
    <row r="2029" spans="2:11" x14ac:dyDescent="0.25">
      <c r="B2029">
        <v>2234</v>
      </c>
      <c r="C2029">
        <v>160</v>
      </c>
      <c r="D2029">
        <v>69</v>
      </c>
      <c r="E2029">
        <v>10</v>
      </c>
      <c r="F2029">
        <v>0</v>
      </c>
      <c r="G2029">
        <v>17</v>
      </c>
      <c r="H2029">
        <v>0</v>
      </c>
      <c r="I2029">
        <v>0</v>
      </c>
      <c r="J2029">
        <v>17</v>
      </c>
      <c r="K2029" t="s">
        <v>246</v>
      </c>
    </row>
    <row r="2030" spans="2:11" x14ac:dyDescent="0.25">
      <c r="B2030">
        <v>2235</v>
      </c>
      <c r="C2030">
        <v>56</v>
      </c>
      <c r="D2030">
        <v>29</v>
      </c>
      <c r="E2030">
        <v>8</v>
      </c>
      <c r="F2030">
        <v>10</v>
      </c>
      <c r="G2030">
        <v>15</v>
      </c>
      <c r="H2030">
        <v>1</v>
      </c>
      <c r="I2030">
        <v>0</v>
      </c>
      <c r="J2030">
        <v>26</v>
      </c>
      <c r="K2030" t="s">
        <v>243</v>
      </c>
    </row>
    <row r="2031" spans="2:11" x14ac:dyDescent="0.25">
      <c r="B2031">
        <v>2236</v>
      </c>
      <c r="C2031">
        <v>114</v>
      </c>
      <c r="D2031">
        <v>52</v>
      </c>
      <c r="E2031">
        <v>9</v>
      </c>
      <c r="F2031">
        <v>13</v>
      </c>
      <c r="G2031">
        <v>11</v>
      </c>
      <c r="H2031">
        <v>6</v>
      </c>
      <c r="I2031">
        <v>0</v>
      </c>
      <c r="J2031">
        <v>30</v>
      </c>
      <c r="K2031" t="s">
        <v>242</v>
      </c>
    </row>
    <row r="2032" spans="2:11" x14ac:dyDescent="0.25">
      <c r="B2032">
        <v>2237</v>
      </c>
      <c r="C2032">
        <v>45</v>
      </c>
      <c r="D2032">
        <v>23</v>
      </c>
      <c r="E2032">
        <v>6</v>
      </c>
      <c r="F2032">
        <v>35</v>
      </c>
      <c r="G2032">
        <v>10</v>
      </c>
      <c r="H2032">
        <v>0</v>
      </c>
      <c r="I2032">
        <v>0</v>
      </c>
      <c r="J2032">
        <v>45</v>
      </c>
      <c r="K2032" t="s">
        <v>249</v>
      </c>
    </row>
    <row r="2033" spans="2:11" x14ac:dyDescent="0.25">
      <c r="B2033">
        <v>2238</v>
      </c>
      <c r="C2033">
        <v>56</v>
      </c>
      <c r="D2033">
        <v>29</v>
      </c>
      <c r="E2033">
        <v>9</v>
      </c>
      <c r="F2033">
        <v>13</v>
      </c>
      <c r="G2033">
        <v>10</v>
      </c>
      <c r="H2033">
        <v>0</v>
      </c>
      <c r="I2033">
        <v>0</v>
      </c>
      <c r="J2033">
        <v>23</v>
      </c>
      <c r="K2033" t="s">
        <v>241</v>
      </c>
    </row>
    <row r="2034" spans="2:11" x14ac:dyDescent="0.25">
      <c r="B2034">
        <v>2239</v>
      </c>
      <c r="C2034">
        <v>302</v>
      </c>
      <c r="D2034">
        <v>140</v>
      </c>
      <c r="E2034">
        <v>10</v>
      </c>
      <c r="F2034">
        <v>5</v>
      </c>
      <c r="G2034">
        <v>15</v>
      </c>
      <c r="H2034">
        <v>0</v>
      </c>
      <c r="I2034">
        <v>0</v>
      </c>
      <c r="J2034">
        <v>20</v>
      </c>
      <c r="K2034" t="s">
        <v>246</v>
      </c>
    </row>
    <row r="2035" spans="2:11" x14ac:dyDescent="0.25">
      <c r="B2035">
        <v>2240</v>
      </c>
      <c r="C2035">
        <v>172</v>
      </c>
      <c r="D2035">
        <v>74</v>
      </c>
      <c r="E2035">
        <v>9</v>
      </c>
      <c r="F2035">
        <v>18</v>
      </c>
      <c r="G2035">
        <v>10</v>
      </c>
      <c r="H2035">
        <v>0</v>
      </c>
      <c r="I2035">
        <v>0</v>
      </c>
      <c r="J2035">
        <v>28</v>
      </c>
      <c r="K2035" t="s">
        <v>245</v>
      </c>
    </row>
    <row r="2036" spans="2:11" x14ac:dyDescent="0.25">
      <c r="B2036">
        <v>2241</v>
      </c>
      <c r="C2036">
        <v>347</v>
      </c>
      <c r="D2036">
        <v>155</v>
      </c>
      <c r="E2036">
        <v>8</v>
      </c>
      <c r="F2036">
        <v>10</v>
      </c>
      <c r="G2036">
        <v>20</v>
      </c>
      <c r="H2036">
        <v>0</v>
      </c>
      <c r="I2036">
        <v>0</v>
      </c>
      <c r="J2036">
        <v>30</v>
      </c>
      <c r="K2036" t="s">
        <v>248</v>
      </c>
    </row>
    <row r="2037" spans="2:11" x14ac:dyDescent="0.25">
      <c r="B2037">
        <v>5463</v>
      </c>
      <c r="C2037">
        <v>203</v>
      </c>
      <c r="D2037">
        <v>89</v>
      </c>
      <c r="E2037">
        <v>11</v>
      </c>
      <c r="F2037">
        <v>2</v>
      </c>
      <c r="G2037">
        <v>10</v>
      </c>
      <c r="H2037">
        <v>0</v>
      </c>
      <c r="I2037">
        <v>0</v>
      </c>
      <c r="J2037">
        <v>12</v>
      </c>
      <c r="K2037" t="s">
        <v>246</v>
      </c>
    </row>
    <row r="2038" spans="2:11" x14ac:dyDescent="0.25">
      <c r="B2038">
        <v>5474</v>
      </c>
      <c r="C2038">
        <v>206</v>
      </c>
      <c r="D2038">
        <v>92</v>
      </c>
      <c r="E2038">
        <v>5</v>
      </c>
      <c r="F2038">
        <v>0</v>
      </c>
      <c r="G2038">
        <v>1</v>
      </c>
      <c r="H2038">
        <v>0</v>
      </c>
      <c r="I2038">
        <v>0</v>
      </c>
      <c r="J2038">
        <v>1</v>
      </c>
      <c r="K2038" t="s">
        <v>246</v>
      </c>
    </row>
    <row r="2039" spans="2:11" x14ac:dyDescent="0.25">
      <c r="B2039">
        <v>5475</v>
      </c>
      <c r="C2039">
        <v>220</v>
      </c>
      <c r="D2039">
        <v>95</v>
      </c>
      <c r="E2039">
        <v>5</v>
      </c>
      <c r="F2039">
        <v>22</v>
      </c>
      <c r="G2039">
        <v>14</v>
      </c>
      <c r="H2039">
        <v>0</v>
      </c>
      <c r="I2039">
        <v>0</v>
      </c>
      <c r="J2039">
        <v>36</v>
      </c>
      <c r="K2039" t="s">
        <v>252</v>
      </c>
    </row>
    <row r="2040" spans="2:11" x14ac:dyDescent="0.25">
      <c r="B2040">
        <v>5478</v>
      </c>
      <c r="C2040">
        <v>206</v>
      </c>
      <c r="D2040">
        <v>92</v>
      </c>
      <c r="E2040">
        <v>7</v>
      </c>
      <c r="F2040">
        <v>6</v>
      </c>
      <c r="G2040">
        <v>5</v>
      </c>
      <c r="H2040">
        <v>0</v>
      </c>
      <c r="I2040">
        <v>0</v>
      </c>
      <c r="J2040">
        <v>11</v>
      </c>
      <c r="K2040" t="s">
        <v>246</v>
      </c>
    </row>
    <row r="2041" spans="2:11" x14ac:dyDescent="0.25">
      <c r="B2041">
        <v>2242</v>
      </c>
      <c r="C2041">
        <v>156</v>
      </c>
      <c r="D2041">
        <v>69</v>
      </c>
      <c r="E2041">
        <v>9</v>
      </c>
      <c r="F2041">
        <v>10</v>
      </c>
      <c r="G2041">
        <v>5</v>
      </c>
      <c r="H2041">
        <v>0</v>
      </c>
      <c r="I2041">
        <v>0</v>
      </c>
      <c r="J2041">
        <v>15</v>
      </c>
      <c r="K2041" t="s">
        <v>242</v>
      </c>
    </row>
    <row r="2042" spans="2:11" x14ac:dyDescent="0.25">
      <c r="B2042">
        <v>2243</v>
      </c>
      <c r="C2042">
        <v>102</v>
      </c>
      <c r="D2042">
        <v>51</v>
      </c>
      <c r="E2042">
        <v>7</v>
      </c>
      <c r="F2042">
        <v>5</v>
      </c>
      <c r="G2042">
        <v>2</v>
      </c>
      <c r="H2042">
        <v>2</v>
      </c>
      <c r="I2042">
        <v>0</v>
      </c>
      <c r="J2042">
        <v>9</v>
      </c>
      <c r="K2042" t="s">
        <v>241</v>
      </c>
    </row>
    <row r="2043" spans="2:11" x14ac:dyDescent="0.25">
      <c r="B2043">
        <v>2244</v>
      </c>
      <c r="C2043">
        <v>246</v>
      </c>
      <c r="D2043">
        <v>110</v>
      </c>
      <c r="E2043">
        <v>9</v>
      </c>
      <c r="F2043">
        <v>6</v>
      </c>
      <c r="G2043">
        <v>4</v>
      </c>
      <c r="H2043">
        <v>3</v>
      </c>
      <c r="I2043">
        <v>0</v>
      </c>
      <c r="J2043">
        <v>13</v>
      </c>
      <c r="K2043" t="s">
        <v>243</v>
      </c>
    </row>
    <row r="2044" spans="2:11" x14ac:dyDescent="0.25">
      <c r="B2044">
        <v>2245</v>
      </c>
      <c r="C2044">
        <v>86</v>
      </c>
      <c r="D2044">
        <v>42</v>
      </c>
      <c r="E2044">
        <v>9</v>
      </c>
      <c r="F2044">
        <v>16</v>
      </c>
      <c r="G2044">
        <v>5</v>
      </c>
      <c r="H2044">
        <v>0</v>
      </c>
      <c r="I2044">
        <v>0</v>
      </c>
      <c r="J2044">
        <v>21</v>
      </c>
      <c r="K2044" t="s">
        <v>243</v>
      </c>
    </row>
    <row r="2045" spans="2:11" x14ac:dyDescent="0.25">
      <c r="B2045">
        <v>2246</v>
      </c>
      <c r="C2045">
        <v>274</v>
      </c>
      <c r="D2045">
        <v>125</v>
      </c>
      <c r="E2045">
        <v>9</v>
      </c>
      <c r="F2045">
        <v>9</v>
      </c>
      <c r="G2045">
        <v>12</v>
      </c>
      <c r="H2045">
        <v>0</v>
      </c>
      <c r="I2045">
        <v>0</v>
      </c>
      <c r="J2045">
        <v>21</v>
      </c>
      <c r="K2045" t="s">
        <v>246</v>
      </c>
    </row>
    <row r="2046" spans="2:11" x14ac:dyDescent="0.25">
      <c r="B2046">
        <v>2248</v>
      </c>
      <c r="C2046">
        <v>132</v>
      </c>
      <c r="D2046">
        <v>59</v>
      </c>
      <c r="E2046">
        <v>9</v>
      </c>
      <c r="F2046">
        <v>8</v>
      </c>
      <c r="G2046">
        <v>3</v>
      </c>
      <c r="H2046">
        <v>0</v>
      </c>
      <c r="I2046">
        <v>0</v>
      </c>
      <c r="J2046">
        <v>11</v>
      </c>
      <c r="K2046" t="s">
        <v>246</v>
      </c>
    </row>
    <row r="2047" spans="2:11" x14ac:dyDescent="0.25">
      <c r="B2047">
        <v>2249</v>
      </c>
      <c r="C2047">
        <v>272</v>
      </c>
      <c r="D2047">
        <v>123</v>
      </c>
      <c r="E2047">
        <v>8</v>
      </c>
      <c r="F2047">
        <v>5</v>
      </c>
      <c r="G2047">
        <v>3</v>
      </c>
      <c r="H2047">
        <v>8</v>
      </c>
      <c r="I2047">
        <v>0</v>
      </c>
      <c r="J2047">
        <v>16</v>
      </c>
      <c r="K2047" t="s">
        <v>248</v>
      </c>
    </row>
    <row r="2048" spans="2:11" x14ac:dyDescent="0.25">
      <c r="B2048">
        <v>2250</v>
      </c>
      <c r="C2048">
        <v>246</v>
      </c>
      <c r="D2048">
        <v>110</v>
      </c>
      <c r="E2048">
        <v>10</v>
      </c>
      <c r="F2048">
        <v>6</v>
      </c>
      <c r="G2048">
        <v>3</v>
      </c>
      <c r="H2048">
        <v>4</v>
      </c>
      <c r="I2048">
        <v>0</v>
      </c>
      <c r="J2048">
        <v>13</v>
      </c>
      <c r="K2048" t="s">
        <v>243</v>
      </c>
    </row>
    <row r="2049" spans="2:11" x14ac:dyDescent="0.25">
      <c r="B2049">
        <v>2253</v>
      </c>
      <c r="C2049">
        <v>116</v>
      </c>
      <c r="D2049">
        <v>54</v>
      </c>
      <c r="E2049">
        <v>9</v>
      </c>
      <c r="F2049">
        <v>17</v>
      </c>
      <c r="G2049">
        <v>1</v>
      </c>
      <c r="H2049">
        <v>0</v>
      </c>
      <c r="I2049">
        <v>0</v>
      </c>
      <c r="J2049">
        <v>18</v>
      </c>
      <c r="K2049" t="s">
        <v>248</v>
      </c>
    </row>
    <row r="2050" spans="2:11" x14ac:dyDescent="0.25">
      <c r="B2050">
        <v>2254</v>
      </c>
      <c r="C2050">
        <v>93</v>
      </c>
      <c r="D2050">
        <v>46</v>
      </c>
      <c r="E2050">
        <v>9</v>
      </c>
      <c r="F2050">
        <v>21</v>
      </c>
      <c r="G2050">
        <v>7</v>
      </c>
      <c r="H2050">
        <v>1</v>
      </c>
      <c r="I2050">
        <v>0</v>
      </c>
      <c r="J2050">
        <v>29</v>
      </c>
      <c r="K2050" t="s">
        <v>241</v>
      </c>
    </row>
    <row r="2051" spans="2:11" x14ac:dyDescent="0.25">
      <c r="B2051">
        <v>2255</v>
      </c>
      <c r="C2051">
        <v>132</v>
      </c>
      <c r="D2051">
        <v>59</v>
      </c>
      <c r="E2051">
        <v>8</v>
      </c>
      <c r="F2051">
        <v>16</v>
      </c>
      <c r="G2051">
        <v>0</v>
      </c>
      <c r="H2051">
        <v>0</v>
      </c>
      <c r="I2051">
        <v>0</v>
      </c>
      <c r="J2051">
        <v>16</v>
      </c>
      <c r="K2051" t="s">
        <v>246</v>
      </c>
    </row>
    <row r="2052" spans="2:11" x14ac:dyDescent="0.25">
      <c r="B2052">
        <v>2256</v>
      </c>
      <c r="C2052">
        <v>244</v>
      </c>
      <c r="D2052">
        <v>108</v>
      </c>
      <c r="E2052">
        <v>9</v>
      </c>
      <c r="F2052">
        <v>3</v>
      </c>
      <c r="G2052">
        <v>2</v>
      </c>
      <c r="H2052">
        <v>3</v>
      </c>
      <c r="I2052">
        <v>0</v>
      </c>
      <c r="J2052">
        <v>8</v>
      </c>
      <c r="K2052" t="s">
        <v>245</v>
      </c>
    </row>
    <row r="2053" spans="2:11" x14ac:dyDescent="0.25">
      <c r="B2053">
        <v>2258</v>
      </c>
      <c r="C2053">
        <v>273</v>
      </c>
      <c r="D2053">
        <v>124</v>
      </c>
      <c r="E2053">
        <v>8</v>
      </c>
      <c r="F2053">
        <v>19</v>
      </c>
      <c r="G2053">
        <v>8</v>
      </c>
      <c r="H2053">
        <v>0</v>
      </c>
      <c r="I2053">
        <v>0</v>
      </c>
      <c r="J2053">
        <v>27</v>
      </c>
      <c r="K2053" t="s">
        <v>246</v>
      </c>
    </row>
    <row r="2054" spans="2:11" x14ac:dyDescent="0.25">
      <c r="B2054">
        <v>2259</v>
      </c>
      <c r="C2054">
        <v>72</v>
      </c>
      <c r="D2054">
        <v>35</v>
      </c>
      <c r="E2054">
        <v>9</v>
      </c>
      <c r="F2054">
        <v>7</v>
      </c>
      <c r="G2054">
        <v>16</v>
      </c>
      <c r="H2054">
        <v>0</v>
      </c>
      <c r="I2054">
        <v>0</v>
      </c>
      <c r="J2054">
        <v>23</v>
      </c>
      <c r="K2054" t="s">
        <v>243</v>
      </c>
    </row>
    <row r="2055" spans="2:11" x14ac:dyDescent="0.25">
      <c r="B2055">
        <v>2260</v>
      </c>
      <c r="C2055">
        <v>15</v>
      </c>
      <c r="D2055">
        <v>6</v>
      </c>
      <c r="E2055">
        <v>9</v>
      </c>
      <c r="F2055">
        <v>7</v>
      </c>
      <c r="G2055">
        <v>5</v>
      </c>
      <c r="H2055">
        <v>0</v>
      </c>
      <c r="I2055">
        <v>0</v>
      </c>
      <c r="J2055">
        <v>12</v>
      </c>
      <c r="K2055" t="s">
        <v>248</v>
      </c>
    </row>
    <row r="2056" spans="2:11" x14ac:dyDescent="0.25">
      <c r="B2056">
        <v>2262</v>
      </c>
      <c r="C2056">
        <v>273</v>
      </c>
      <c r="D2056">
        <v>124</v>
      </c>
      <c r="E2056">
        <v>9</v>
      </c>
      <c r="F2056">
        <v>10</v>
      </c>
      <c r="G2056">
        <v>15</v>
      </c>
      <c r="H2056">
        <v>0</v>
      </c>
      <c r="I2056">
        <v>0</v>
      </c>
      <c r="J2056">
        <v>25</v>
      </c>
      <c r="K2056" t="s">
        <v>241</v>
      </c>
    </row>
    <row r="2057" spans="2:11" x14ac:dyDescent="0.25">
      <c r="B2057">
        <v>2266</v>
      </c>
      <c r="C2057">
        <v>22</v>
      </c>
      <c r="D2057">
        <v>10</v>
      </c>
      <c r="E2057">
        <v>9</v>
      </c>
      <c r="F2057">
        <v>6</v>
      </c>
      <c r="G2057">
        <v>8</v>
      </c>
      <c r="H2057">
        <v>0</v>
      </c>
      <c r="I2057">
        <v>0</v>
      </c>
      <c r="J2057">
        <v>14</v>
      </c>
      <c r="K2057" t="s">
        <v>248</v>
      </c>
    </row>
    <row r="2058" spans="2:11" x14ac:dyDescent="0.25">
      <c r="B2058">
        <v>2267</v>
      </c>
      <c r="C2058">
        <v>102</v>
      </c>
      <c r="D2058">
        <v>51</v>
      </c>
      <c r="E2058">
        <v>9</v>
      </c>
      <c r="F2058">
        <v>2</v>
      </c>
      <c r="G2058">
        <v>2</v>
      </c>
      <c r="H2058">
        <v>3</v>
      </c>
      <c r="I2058">
        <v>0</v>
      </c>
      <c r="J2058">
        <v>7</v>
      </c>
      <c r="K2058" t="s">
        <v>245</v>
      </c>
    </row>
    <row r="2059" spans="2:11" x14ac:dyDescent="0.25">
      <c r="B2059">
        <v>2268</v>
      </c>
      <c r="C2059">
        <v>58</v>
      </c>
      <c r="D2059">
        <v>29</v>
      </c>
      <c r="E2059">
        <v>8</v>
      </c>
      <c r="F2059">
        <v>10</v>
      </c>
      <c r="G2059">
        <v>8</v>
      </c>
      <c r="H2059">
        <v>0</v>
      </c>
      <c r="I2059">
        <v>0</v>
      </c>
      <c r="J2059">
        <v>18</v>
      </c>
      <c r="K2059" t="s">
        <v>243</v>
      </c>
    </row>
    <row r="2060" spans="2:11" x14ac:dyDescent="0.25">
      <c r="B2060">
        <v>2270</v>
      </c>
      <c r="C2060">
        <v>18</v>
      </c>
      <c r="D2060">
        <v>9</v>
      </c>
      <c r="E2060">
        <v>10</v>
      </c>
      <c r="F2060">
        <v>7</v>
      </c>
      <c r="G2060">
        <v>2</v>
      </c>
      <c r="H2060">
        <v>0</v>
      </c>
      <c r="I2060">
        <v>0</v>
      </c>
      <c r="J2060">
        <v>9</v>
      </c>
      <c r="K2060" t="s">
        <v>243</v>
      </c>
    </row>
    <row r="2061" spans="2:11" x14ac:dyDescent="0.25">
      <c r="B2061">
        <v>2272</v>
      </c>
      <c r="C2061">
        <v>58</v>
      </c>
      <c r="D2061">
        <v>29</v>
      </c>
      <c r="E2061">
        <v>9</v>
      </c>
      <c r="F2061">
        <v>3</v>
      </c>
      <c r="G2061">
        <v>6</v>
      </c>
      <c r="H2061">
        <v>0</v>
      </c>
      <c r="I2061">
        <v>0</v>
      </c>
      <c r="J2061">
        <v>9</v>
      </c>
      <c r="K2061" t="s">
        <v>245</v>
      </c>
    </row>
    <row r="2062" spans="2:11" x14ac:dyDescent="0.25">
      <c r="B2062">
        <v>2273</v>
      </c>
      <c r="C2062">
        <v>24</v>
      </c>
      <c r="D2062">
        <v>12</v>
      </c>
      <c r="E2062">
        <v>9</v>
      </c>
      <c r="F2062">
        <v>4</v>
      </c>
      <c r="G2062">
        <v>4</v>
      </c>
      <c r="H2062">
        <v>3</v>
      </c>
      <c r="I2062">
        <v>0</v>
      </c>
      <c r="J2062">
        <v>11</v>
      </c>
      <c r="K2062" t="s">
        <v>243</v>
      </c>
    </row>
    <row r="2063" spans="2:11" x14ac:dyDescent="0.25">
      <c r="B2063">
        <v>2275</v>
      </c>
      <c r="C2063">
        <v>349</v>
      </c>
      <c r="D2063">
        <v>156</v>
      </c>
      <c r="E2063">
        <v>9</v>
      </c>
      <c r="F2063">
        <v>11</v>
      </c>
      <c r="G2063">
        <v>6</v>
      </c>
      <c r="H2063">
        <v>0</v>
      </c>
      <c r="I2063">
        <v>0</v>
      </c>
      <c r="J2063">
        <v>17</v>
      </c>
      <c r="K2063" t="s">
        <v>242</v>
      </c>
    </row>
    <row r="2064" spans="2:11" x14ac:dyDescent="0.25">
      <c r="B2064">
        <v>2276</v>
      </c>
      <c r="C2064">
        <v>274</v>
      </c>
      <c r="D2064">
        <v>125</v>
      </c>
      <c r="E2064">
        <v>8</v>
      </c>
      <c r="F2064">
        <v>10</v>
      </c>
      <c r="G2064">
        <v>10</v>
      </c>
      <c r="H2064">
        <v>0</v>
      </c>
      <c r="I2064">
        <v>0</v>
      </c>
      <c r="J2064">
        <v>20</v>
      </c>
      <c r="K2064" t="s">
        <v>246</v>
      </c>
    </row>
    <row r="2065" spans="2:11" x14ac:dyDescent="0.25">
      <c r="B2065">
        <v>2279</v>
      </c>
      <c r="C2065">
        <v>45</v>
      </c>
      <c r="D2065">
        <v>23</v>
      </c>
      <c r="E2065">
        <v>3</v>
      </c>
      <c r="F2065">
        <v>25</v>
      </c>
      <c r="G2065">
        <v>15</v>
      </c>
      <c r="H2065">
        <v>0</v>
      </c>
      <c r="I2065">
        <v>0</v>
      </c>
      <c r="J2065">
        <v>40</v>
      </c>
      <c r="K2065" t="s">
        <v>249</v>
      </c>
    </row>
    <row r="2066" spans="2:11" x14ac:dyDescent="0.25">
      <c r="B2066">
        <v>2281</v>
      </c>
      <c r="C2066">
        <v>275</v>
      </c>
      <c r="D2066">
        <v>126</v>
      </c>
      <c r="E2066">
        <v>9</v>
      </c>
      <c r="F2066">
        <v>9</v>
      </c>
      <c r="G2066">
        <v>14</v>
      </c>
      <c r="H2066">
        <v>2</v>
      </c>
      <c r="I2066">
        <v>0</v>
      </c>
      <c r="J2066">
        <v>25</v>
      </c>
      <c r="K2066" t="s">
        <v>243</v>
      </c>
    </row>
    <row r="2067" spans="2:11" x14ac:dyDescent="0.25">
      <c r="B2067">
        <v>2282</v>
      </c>
      <c r="C2067">
        <v>118</v>
      </c>
      <c r="D2067">
        <v>55</v>
      </c>
      <c r="E2067">
        <v>9</v>
      </c>
      <c r="F2067">
        <v>14</v>
      </c>
      <c r="G2067">
        <v>1</v>
      </c>
      <c r="H2067">
        <v>0</v>
      </c>
      <c r="I2067">
        <v>0</v>
      </c>
      <c r="J2067">
        <v>15</v>
      </c>
      <c r="K2067" t="s">
        <v>241</v>
      </c>
    </row>
    <row r="2068" spans="2:11" x14ac:dyDescent="0.25">
      <c r="B2068">
        <v>2284</v>
      </c>
      <c r="C2068">
        <v>350</v>
      </c>
      <c r="D2068">
        <v>157</v>
      </c>
      <c r="E2068">
        <v>9</v>
      </c>
      <c r="F2068">
        <v>8</v>
      </c>
      <c r="G2068">
        <v>9</v>
      </c>
      <c r="H2068">
        <v>0</v>
      </c>
      <c r="I2068">
        <v>0</v>
      </c>
      <c r="J2068">
        <v>17</v>
      </c>
      <c r="K2068" t="s">
        <v>242</v>
      </c>
    </row>
    <row r="2069" spans="2:11" x14ac:dyDescent="0.25">
      <c r="B2069">
        <v>2286</v>
      </c>
      <c r="C2069">
        <v>117</v>
      </c>
      <c r="D2069">
        <v>54</v>
      </c>
      <c r="E2069">
        <v>9</v>
      </c>
      <c r="F2069">
        <v>1</v>
      </c>
      <c r="G2069">
        <v>5</v>
      </c>
      <c r="H2069">
        <v>0</v>
      </c>
      <c r="I2069">
        <v>0</v>
      </c>
      <c r="J2069">
        <v>6</v>
      </c>
      <c r="K2069" t="s">
        <v>241</v>
      </c>
    </row>
    <row r="2070" spans="2:11" x14ac:dyDescent="0.25">
      <c r="B2070">
        <v>2287</v>
      </c>
      <c r="C2070">
        <v>350</v>
      </c>
      <c r="D2070">
        <v>157</v>
      </c>
      <c r="E2070">
        <v>8</v>
      </c>
      <c r="F2070">
        <v>8</v>
      </c>
      <c r="G2070">
        <v>15</v>
      </c>
      <c r="H2070">
        <v>0</v>
      </c>
      <c r="I2070">
        <v>0</v>
      </c>
      <c r="J2070">
        <v>23</v>
      </c>
      <c r="K2070" t="s">
        <v>243</v>
      </c>
    </row>
    <row r="2071" spans="2:11" x14ac:dyDescent="0.25">
      <c r="B2071">
        <v>2289</v>
      </c>
      <c r="C2071">
        <v>56</v>
      </c>
      <c r="D2071">
        <v>29</v>
      </c>
      <c r="E2071">
        <v>6</v>
      </c>
      <c r="F2071">
        <v>12</v>
      </c>
      <c r="G2071">
        <v>10</v>
      </c>
      <c r="H2071">
        <v>0</v>
      </c>
      <c r="I2071">
        <v>0</v>
      </c>
      <c r="J2071">
        <v>22</v>
      </c>
      <c r="K2071" t="s">
        <v>249</v>
      </c>
    </row>
    <row r="2072" spans="2:11" x14ac:dyDescent="0.25">
      <c r="B2072">
        <v>2290</v>
      </c>
      <c r="C2072">
        <v>259</v>
      </c>
      <c r="D2072">
        <v>118</v>
      </c>
      <c r="E2072">
        <v>10</v>
      </c>
      <c r="F2072">
        <v>6</v>
      </c>
      <c r="G2072">
        <v>10</v>
      </c>
      <c r="H2072">
        <v>4</v>
      </c>
      <c r="I2072">
        <v>0</v>
      </c>
      <c r="J2072">
        <v>20</v>
      </c>
      <c r="K2072" t="s">
        <v>241</v>
      </c>
    </row>
    <row r="2073" spans="2:11" x14ac:dyDescent="0.25">
      <c r="B2073">
        <v>2291</v>
      </c>
      <c r="C2073">
        <v>351</v>
      </c>
      <c r="D2073">
        <v>158</v>
      </c>
      <c r="E2073">
        <v>9</v>
      </c>
      <c r="F2073">
        <v>1</v>
      </c>
      <c r="G2073">
        <v>1</v>
      </c>
      <c r="H2073">
        <v>0</v>
      </c>
      <c r="I2073">
        <v>0</v>
      </c>
      <c r="J2073">
        <v>2</v>
      </c>
      <c r="K2073" t="s">
        <v>242</v>
      </c>
    </row>
    <row r="2074" spans="2:11" x14ac:dyDescent="0.25">
      <c r="B2074">
        <v>2293</v>
      </c>
      <c r="C2074">
        <v>247</v>
      </c>
      <c r="D2074">
        <v>110</v>
      </c>
      <c r="E2074">
        <v>9</v>
      </c>
      <c r="F2074">
        <v>3</v>
      </c>
      <c r="G2074">
        <v>3</v>
      </c>
      <c r="H2074">
        <v>9</v>
      </c>
      <c r="I2074">
        <v>0</v>
      </c>
      <c r="J2074">
        <v>15</v>
      </c>
      <c r="K2074" t="s">
        <v>246</v>
      </c>
    </row>
    <row r="2075" spans="2:11" x14ac:dyDescent="0.25">
      <c r="B2075">
        <v>2294</v>
      </c>
      <c r="C2075">
        <v>351</v>
      </c>
      <c r="D2075">
        <v>158</v>
      </c>
      <c r="E2075">
        <v>8</v>
      </c>
      <c r="F2075">
        <v>1</v>
      </c>
      <c r="G2075">
        <v>1</v>
      </c>
      <c r="H2075">
        <v>0</v>
      </c>
      <c r="I2075">
        <v>0</v>
      </c>
      <c r="J2075">
        <v>2</v>
      </c>
      <c r="K2075" t="s">
        <v>243</v>
      </c>
    </row>
    <row r="2076" spans="2:11" x14ac:dyDescent="0.25">
      <c r="B2076">
        <v>2297</v>
      </c>
      <c r="C2076">
        <v>133</v>
      </c>
      <c r="D2076">
        <v>60</v>
      </c>
      <c r="E2076">
        <v>9</v>
      </c>
      <c r="F2076">
        <v>10</v>
      </c>
      <c r="G2076">
        <v>3</v>
      </c>
      <c r="H2076">
        <v>7</v>
      </c>
      <c r="I2076">
        <v>0</v>
      </c>
      <c r="J2076">
        <v>20</v>
      </c>
      <c r="K2076" t="s">
        <v>241</v>
      </c>
    </row>
    <row r="2077" spans="2:11" x14ac:dyDescent="0.25">
      <c r="B2077">
        <v>2298</v>
      </c>
      <c r="C2077">
        <v>133</v>
      </c>
      <c r="D2077">
        <v>60</v>
      </c>
      <c r="E2077">
        <v>8</v>
      </c>
      <c r="F2077">
        <v>15</v>
      </c>
      <c r="G2077">
        <v>5</v>
      </c>
      <c r="H2077">
        <v>0</v>
      </c>
      <c r="I2077">
        <v>0</v>
      </c>
      <c r="J2077">
        <v>20</v>
      </c>
      <c r="K2077" t="s">
        <v>241</v>
      </c>
    </row>
    <row r="2078" spans="2:11" x14ac:dyDescent="0.25">
      <c r="B2078">
        <v>2302</v>
      </c>
      <c r="C2078">
        <v>2</v>
      </c>
      <c r="D2078">
        <v>1</v>
      </c>
      <c r="E2078">
        <v>9</v>
      </c>
      <c r="F2078">
        <v>3</v>
      </c>
      <c r="G2078">
        <v>3</v>
      </c>
      <c r="H2078">
        <v>0</v>
      </c>
      <c r="I2078">
        <v>0</v>
      </c>
      <c r="J2078">
        <v>6</v>
      </c>
      <c r="K2078" t="s">
        <v>248</v>
      </c>
    </row>
    <row r="2079" spans="2:11" x14ac:dyDescent="0.25">
      <c r="B2079">
        <v>2304</v>
      </c>
      <c r="C2079">
        <v>172</v>
      </c>
      <c r="D2079">
        <v>74</v>
      </c>
      <c r="E2079">
        <v>5</v>
      </c>
      <c r="F2079">
        <v>18</v>
      </c>
      <c r="G2079">
        <v>6</v>
      </c>
      <c r="H2079">
        <v>0</v>
      </c>
      <c r="I2079">
        <v>0</v>
      </c>
      <c r="J2079">
        <v>24</v>
      </c>
      <c r="K2079" t="s">
        <v>249</v>
      </c>
    </row>
    <row r="2080" spans="2:11" x14ac:dyDescent="0.25">
      <c r="B2080">
        <v>2305</v>
      </c>
      <c r="C2080">
        <v>172</v>
      </c>
      <c r="D2080">
        <v>74</v>
      </c>
      <c r="E2080">
        <v>6</v>
      </c>
      <c r="F2080">
        <v>16</v>
      </c>
      <c r="G2080">
        <v>12</v>
      </c>
      <c r="H2080">
        <v>0</v>
      </c>
      <c r="I2080">
        <v>0</v>
      </c>
      <c r="J2080">
        <v>28</v>
      </c>
      <c r="K2080" t="s">
        <v>249</v>
      </c>
    </row>
    <row r="2081" spans="2:11" x14ac:dyDescent="0.25">
      <c r="B2081">
        <v>2307</v>
      </c>
      <c r="C2081">
        <v>139</v>
      </c>
      <c r="D2081">
        <v>61</v>
      </c>
      <c r="E2081">
        <v>10</v>
      </c>
      <c r="F2081">
        <v>5</v>
      </c>
      <c r="G2081">
        <v>4</v>
      </c>
      <c r="H2081">
        <v>2</v>
      </c>
      <c r="I2081">
        <v>0</v>
      </c>
      <c r="J2081">
        <v>11</v>
      </c>
      <c r="K2081" t="s">
        <v>247</v>
      </c>
    </row>
    <row r="2082" spans="2:11" x14ac:dyDescent="0.25">
      <c r="B2082">
        <v>2308</v>
      </c>
      <c r="C2082">
        <v>145</v>
      </c>
      <c r="D2082">
        <v>65</v>
      </c>
      <c r="E2082">
        <v>10</v>
      </c>
      <c r="F2082">
        <v>17</v>
      </c>
      <c r="G2082">
        <v>11</v>
      </c>
      <c r="H2082">
        <v>0</v>
      </c>
      <c r="I2082">
        <v>0</v>
      </c>
      <c r="J2082">
        <v>28</v>
      </c>
      <c r="K2082" t="s">
        <v>247</v>
      </c>
    </row>
    <row r="2083" spans="2:11" x14ac:dyDescent="0.25">
      <c r="B2083">
        <v>2309</v>
      </c>
      <c r="C2083">
        <v>164</v>
      </c>
      <c r="D2083">
        <v>70</v>
      </c>
      <c r="E2083">
        <v>10</v>
      </c>
      <c r="F2083">
        <v>4</v>
      </c>
      <c r="G2083">
        <v>1</v>
      </c>
      <c r="H2083">
        <v>0</v>
      </c>
      <c r="I2083">
        <v>0</v>
      </c>
      <c r="J2083">
        <v>5</v>
      </c>
      <c r="K2083" t="s">
        <v>247</v>
      </c>
    </row>
    <row r="2084" spans="2:11" x14ac:dyDescent="0.25">
      <c r="B2084">
        <v>2310</v>
      </c>
      <c r="C2084">
        <v>134</v>
      </c>
      <c r="D2084">
        <v>60</v>
      </c>
      <c r="E2084">
        <v>8</v>
      </c>
      <c r="F2084">
        <v>3</v>
      </c>
      <c r="G2084">
        <v>8</v>
      </c>
      <c r="H2084">
        <v>10</v>
      </c>
      <c r="I2084">
        <v>0</v>
      </c>
      <c r="J2084">
        <v>21</v>
      </c>
      <c r="K2084" t="s">
        <v>247</v>
      </c>
    </row>
    <row r="2085" spans="2:11" x14ac:dyDescent="0.25">
      <c r="B2085">
        <v>2311</v>
      </c>
      <c r="C2085">
        <v>134</v>
      </c>
      <c r="D2085">
        <v>60</v>
      </c>
      <c r="E2085">
        <v>10</v>
      </c>
      <c r="F2085">
        <v>6</v>
      </c>
      <c r="G2085">
        <v>4</v>
      </c>
      <c r="H2085">
        <v>6</v>
      </c>
      <c r="I2085">
        <v>0</v>
      </c>
      <c r="J2085">
        <v>16</v>
      </c>
      <c r="K2085" t="s">
        <v>247</v>
      </c>
    </row>
    <row r="2086" spans="2:11" x14ac:dyDescent="0.25">
      <c r="B2086">
        <v>2313</v>
      </c>
      <c r="C2086">
        <v>95</v>
      </c>
      <c r="D2086">
        <v>47</v>
      </c>
      <c r="E2086">
        <v>9</v>
      </c>
      <c r="F2086">
        <v>6</v>
      </c>
      <c r="G2086">
        <v>17</v>
      </c>
      <c r="H2086">
        <v>0</v>
      </c>
      <c r="I2086">
        <v>0</v>
      </c>
      <c r="J2086">
        <v>23</v>
      </c>
      <c r="K2086" t="s">
        <v>247</v>
      </c>
    </row>
    <row r="2087" spans="2:11" x14ac:dyDescent="0.25">
      <c r="B2087">
        <v>2314</v>
      </c>
      <c r="C2087">
        <v>95</v>
      </c>
      <c r="D2087">
        <v>47</v>
      </c>
      <c r="E2087">
        <v>8</v>
      </c>
      <c r="F2087">
        <v>14</v>
      </c>
      <c r="G2087">
        <v>11</v>
      </c>
      <c r="H2087">
        <v>0</v>
      </c>
      <c r="I2087">
        <v>0</v>
      </c>
      <c r="J2087">
        <v>25</v>
      </c>
      <c r="K2087" t="s">
        <v>247</v>
      </c>
    </row>
    <row r="2088" spans="2:11" x14ac:dyDescent="0.25">
      <c r="B2088">
        <v>2316</v>
      </c>
      <c r="C2088">
        <v>171</v>
      </c>
      <c r="D2088">
        <v>73</v>
      </c>
      <c r="E2088">
        <v>10</v>
      </c>
      <c r="F2088">
        <v>0</v>
      </c>
      <c r="G2088">
        <v>3</v>
      </c>
      <c r="H2088">
        <v>0</v>
      </c>
      <c r="I2088">
        <v>0</v>
      </c>
      <c r="J2088">
        <v>3</v>
      </c>
      <c r="K2088" t="s">
        <v>247</v>
      </c>
    </row>
    <row r="2089" spans="2:11" x14ac:dyDescent="0.25">
      <c r="B2089">
        <v>2318</v>
      </c>
      <c r="C2089">
        <v>4</v>
      </c>
      <c r="D2089">
        <v>1</v>
      </c>
      <c r="E2089">
        <v>9</v>
      </c>
      <c r="F2089">
        <v>3</v>
      </c>
      <c r="G2089">
        <v>1</v>
      </c>
      <c r="H2089">
        <v>0</v>
      </c>
      <c r="I2089">
        <v>0</v>
      </c>
      <c r="J2089">
        <v>4</v>
      </c>
      <c r="K2089" t="s">
        <v>246</v>
      </c>
    </row>
    <row r="2090" spans="2:11" x14ac:dyDescent="0.25">
      <c r="B2090">
        <v>2319</v>
      </c>
      <c r="C2090">
        <v>247</v>
      </c>
      <c r="D2090">
        <v>110</v>
      </c>
      <c r="E2090">
        <v>10</v>
      </c>
      <c r="F2090">
        <v>3</v>
      </c>
      <c r="G2090">
        <v>4</v>
      </c>
      <c r="H2090">
        <v>4</v>
      </c>
      <c r="I2090">
        <v>0</v>
      </c>
      <c r="J2090">
        <v>11</v>
      </c>
      <c r="K2090" t="s">
        <v>243</v>
      </c>
    </row>
    <row r="2091" spans="2:11" x14ac:dyDescent="0.25">
      <c r="B2091">
        <v>2320</v>
      </c>
      <c r="C2091">
        <v>5</v>
      </c>
      <c r="D2091">
        <v>1</v>
      </c>
      <c r="E2091">
        <v>9</v>
      </c>
      <c r="F2091">
        <v>2</v>
      </c>
      <c r="G2091">
        <v>0</v>
      </c>
      <c r="H2091">
        <v>0</v>
      </c>
      <c r="I2091">
        <v>0</v>
      </c>
      <c r="J2091">
        <v>2</v>
      </c>
      <c r="K2091" t="s">
        <v>246</v>
      </c>
    </row>
    <row r="2092" spans="2:11" x14ac:dyDescent="0.25">
      <c r="B2092">
        <v>2322</v>
      </c>
      <c r="C2092">
        <v>262</v>
      </c>
      <c r="D2092">
        <v>118</v>
      </c>
      <c r="E2092">
        <v>10</v>
      </c>
      <c r="F2092">
        <v>10</v>
      </c>
      <c r="G2092">
        <v>7</v>
      </c>
      <c r="H2092">
        <v>5</v>
      </c>
      <c r="I2092">
        <v>0</v>
      </c>
      <c r="J2092">
        <v>22</v>
      </c>
      <c r="K2092" t="s">
        <v>241</v>
      </c>
    </row>
    <row r="2093" spans="2:11" x14ac:dyDescent="0.25">
      <c r="B2093">
        <v>2323</v>
      </c>
      <c r="C2093">
        <v>260</v>
      </c>
      <c r="D2093">
        <v>118</v>
      </c>
      <c r="E2093">
        <v>10</v>
      </c>
      <c r="F2093">
        <v>21</v>
      </c>
      <c r="G2093">
        <v>6</v>
      </c>
      <c r="H2093">
        <v>3</v>
      </c>
      <c r="I2093">
        <v>0</v>
      </c>
      <c r="J2093">
        <v>30</v>
      </c>
      <c r="K2093" t="s">
        <v>243</v>
      </c>
    </row>
    <row r="2094" spans="2:11" x14ac:dyDescent="0.25">
      <c r="B2094">
        <v>4507</v>
      </c>
      <c r="C2094">
        <v>170</v>
      </c>
      <c r="D2094">
        <v>73</v>
      </c>
      <c r="E2094">
        <v>16</v>
      </c>
      <c r="F2094">
        <v>11</v>
      </c>
      <c r="G2094">
        <v>2</v>
      </c>
      <c r="H2094">
        <v>0</v>
      </c>
      <c r="I2094">
        <v>0</v>
      </c>
      <c r="J2094">
        <v>13</v>
      </c>
      <c r="K2094" t="s">
        <v>245</v>
      </c>
    </row>
    <row r="2095" spans="2:11" x14ac:dyDescent="0.25">
      <c r="B2095">
        <v>4508</v>
      </c>
      <c r="C2095">
        <v>244</v>
      </c>
      <c r="D2095">
        <v>108</v>
      </c>
      <c r="E2095">
        <v>16</v>
      </c>
      <c r="F2095">
        <v>2</v>
      </c>
      <c r="G2095">
        <v>1</v>
      </c>
      <c r="H2095">
        <v>3</v>
      </c>
      <c r="I2095">
        <v>0</v>
      </c>
      <c r="J2095">
        <v>6</v>
      </c>
      <c r="K2095" t="s">
        <v>250</v>
      </c>
    </row>
    <row r="2096" spans="2:11" x14ac:dyDescent="0.25">
      <c r="B2096">
        <v>5476</v>
      </c>
      <c r="C2096">
        <v>206</v>
      </c>
      <c r="D2096">
        <v>92</v>
      </c>
      <c r="E2096">
        <v>6</v>
      </c>
      <c r="F2096">
        <v>0</v>
      </c>
      <c r="G2096">
        <v>12</v>
      </c>
      <c r="H2096">
        <v>0</v>
      </c>
      <c r="I2096">
        <v>0</v>
      </c>
      <c r="J2096">
        <v>12</v>
      </c>
      <c r="K2096" t="s">
        <v>246</v>
      </c>
    </row>
    <row r="2097" spans="2:11" x14ac:dyDescent="0.25">
      <c r="B2097">
        <v>5477</v>
      </c>
      <c r="C2097">
        <v>220</v>
      </c>
      <c r="D2097">
        <v>95</v>
      </c>
      <c r="E2097">
        <v>6</v>
      </c>
      <c r="F2097">
        <v>18</v>
      </c>
      <c r="G2097">
        <v>11</v>
      </c>
      <c r="H2097">
        <v>0</v>
      </c>
      <c r="I2097">
        <v>0</v>
      </c>
      <c r="J2097">
        <v>29</v>
      </c>
      <c r="K2097" t="s">
        <v>252</v>
      </c>
    </row>
    <row r="2098" spans="2:11" x14ac:dyDescent="0.25">
      <c r="B2098">
        <v>5479</v>
      </c>
      <c r="C2098">
        <v>206</v>
      </c>
      <c r="D2098">
        <v>92</v>
      </c>
      <c r="E2098">
        <v>8</v>
      </c>
      <c r="F2098">
        <v>1</v>
      </c>
      <c r="G2098">
        <v>4</v>
      </c>
      <c r="H2098">
        <v>0</v>
      </c>
      <c r="I2098">
        <v>0</v>
      </c>
      <c r="J2098">
        <v>5</v>
      </c>
      <c r="K2098" t="s">
        <v>246</v>
      </c>
    </row>
    <row r="2099" spans="2:11" x14ac:dyDescent="0.25">
      <c r="B2099">
        <v>5480</v>
      </c>
      <c r="C2099">
        <v>220</v>
      </c>
      <c r="D2099">
        <v>95</v>
      </c>
      <c r="E2099">
        <v>7</v>
      </c>
      <c r="F2099">
        <v>10</v>
      </c>
      <c r="G2099">
        <v>10</v>
      </c>
      <c r="H2099">
        <v>0</v>
      </c>
      <c r="I2099">
        <v>0</v>
      </c>
      <c r="J2099">
        <v>20</v>
      </c>
      <c r="K2099" t="s">
        <v>252</v>
      </c>
    </row>
    <row r="2100" spans="2:11" x14ac:dyDescent="0.25">
      <c r="B2100">
        <v>5481</v>
      </c>
      <c r="C2100">
        <v>206</v>
      </c>
      <c r="D2100">
        <v>92</v>
      </c>
      <c r="E2100">
        <v>9</v>
      </c>
      <c r="F2100">
        <v>2</v>
      </c>
      <c r="G2100">
        <v>2</v>
      </c>
      <c r="H2100">
        <v>0</v>
      </c>
      <c r="I2100">
        <v>0</v>
      </c>
      <c r="J2100">
        <v>4</v>
      </c>
      <c r="K2100" t="s">
        <v>246</v>
      </c>
    </row>
    <row r="2101" spans="2:11" x14ac:dyDescent="0.25">
      <c r="B2101">
        <v>5482</v>
      </c>
      <c r="C2101">
        <v>220</v>
      </c>
      <c r="D2101">
        <v>95</v>
      </c>
      <c r="E2101">
        <v>8</v>
      </c>
      <c r="F2101">
        <v>9</v>
      </c>
      <c r="G2101">
        <v>12</v>
      </c>
      <c r="H2101">
        <v>0</v>
      </c>
      <c r="I2101">
        <v>0</v>
      </c>
      <c r="J2101">
        <v>21</v>
      </c>
      <c r="K2101" t="s">
        <v>252</v>
      </c>
    </row>
    <row r="2102" spans="2:11" x14ac:dyDescent="0.25">
      <c r="B2102">
        <v>5483</v>
      </c>
      <c r="C2102">
        <v>206</v>
      </c>
      <c r="D2102">
        <v>92</v>
      </c>
      <c r="E2102">
        <v>10</v>
      </c>
      <c r="F2102">
        <v>1</v>
      </c>
      <c r="G2102">
        <v>5</v>
      </c>
      <c r="H2102">
        <v>0</v>
      </c>
      <c r="I2102">
        <v>0</v>
      </c>
      <c r="J2102">
        <v>6</v>
      </c>
      <c r="K2102" t="s">
        <v>246</v>
      </c>
    </row>
    <row r="2103" spans="2:11" x14ac:dyDescent="0.25">
      <c r="B2103">
        <v>5485</v>
      </c>
      <c r="C2103">
        <v>206</v>
      </c>
      <c r="D2103">
        <v>92</v>
      </c>
      <c r="E2103">
        <v>11</v>
      </c>
      <c r="F2103">
        <v>3</v>
      </c>
      <c r="G2103">
        <v>10</v>
      </c>
      <c r="H2103">
        <v>0</v>
      </c>
      <c r="I2103">
        <v>0</v>
      </c>
      <c r="J2103">
        <v>13</v>
      </c>
      <c r="K2103" t="s">
        <v>246</v>
      </c>
    </row>
    <row r="2104" spans="2:11" x14ac:dyDescent="0.25">
      <c r="B2104">
        <v>5484</v>
      </c>
      <c r="C2104">
        <v>220</v>
      </c>
      <c r="D2104">
        <v>95</v>
      </c>
      <c r="E2104">
        <v>9</v>
      </c>
      <c r="F2104">
        <v>4</v>
      </c>
      <c r="G2104">
        <v>16</v>
      </c>
      <c r="H2104">
        <v>0</v>
      </c>
      <c r="I2104">
        <v>0</v>
      </c>
      <c r="J2104">
        <v>20</v>
      </c>
      <c r="K2104" t="s">
        <v>252</v>
      </c>
    </row>
    <row r="2105" spans="2:11" x14ac:dyDescent="0.25">
      <c r="B2105">
        <v>5443</v>
      </c>
      <c r="C2105">
        <v>187</v>
      </c>
      <c r="D2105">
        <v>81</v>
      </c>
      <c r="E2105">
        <v>5</v>
      </c>
      <c r="F2105">
        <v>0</v>
      </c>
      <c r="G2105">
        <v>22</v>
      </c>
      <c r="H2105">
        <v>0</v>
      </c>
      <c r="I2105">
        <v>0</v>
      </c>
      <c r="J2105">
        <v>22</v>
      </c>
      <c r="K2105" t="s">
        <v>241</v>
      </c>
    </row>
    <row r="2106" spans="2:11" x14ac:dyDescent="0.25">
      <c r="B2106">
        <v>5486</v>
      </c>
      <c r="C2106">
        <v>206</v>
      </c>
      <c r="D2106">
        <v>92</v>
      </c>
      <c r="E2106">
        <v>12</v>
      </c>
      <c r="F2106">
        <v>1</v>
      </c>
      <c r="G2106">
        <v>6</v>
      </c>
      <c r="H2106">
        <v>0</v>
      </c>
      <c r="I2106">
        <v>0</v>
      </c>
      <c r="J2106">
        <v>7</v>
      </c>
      <c r="K2106" t="s">
        <v>246</v>
      </c>
    </row>
    <row r="2107" spans="2:11" x14ac:dyDescent="0.25">
      <c r="B2107">
        <v>5487</v>
      </c>
      <c r="C2107">
        <v>220</v>
      </c>
      <c r="D2107">
        <v>95</v>
      </c>
      <c r="E2107">
        <v>10</v>
      </c>
      <c r="F2107">
        <v>12</v>
      </c>
      <c r="G2107">
        <v>16</v>
      </c>
      <c r="H2107">
        <v>1</v>
      </c>
      <c r="I2107">
        <v>0</v>
      </c>
      <c r="J2107">
        <v>29</v>
      </c>
      <c r="K2107" t="s">
        <v>252</v>
      </c>
    </row>
    <row r="2108" spans="2:11" x14ac:dyDescent="0.25">
      <c r="B2108">
        <v>5488</v>
      </c>
      <c r="C2108">
        <v>207</v>
      </c>
      <c r="D2108">
        <v>92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 t="s">
        <v>246</v>
      </c>
    </row>
    <row r="2109" spans="2:11" x14ac:dyDescent="0.25">
      <c r="B2109">
        <v>5489</v>
      </c>
      <c r="C2109">
        <v>220</v>
      </c>
      <c r="D2109">
        <v>95</v>
      </c>
      <c r="E2109">
        <v>11</v>
      </c>
      <c r="F2109">
        <v>8</v>
      </c>
      <c r="G2109">
        <v>22</v>
      </c>
      <c r="H2109">
        <v>0</v>
      </c>
      <c r="I2109">
        <v>0</v>
      </c>
      <c r="J2109">
        <v>30</v>
      </c>
      <c r="K2109" t="s">
        <v>252</v>
      </c>
    </row>
    <row r="2110" spans="2:11" x14ac:dyDescent="0.25">
      <c r="B2110">
        <v>5492</v>
      </c>
      <c r="C2110">
        <v>207</v>
      </c>
      <c r="D2110">
        <v>92</v>
      </c>
      <c r="E2110">
        <v>3</v>
      </c>
      <c r="F2110">
        <v>2</v>
      </c>
      <c r="G2110">
        <v>4</v>
      </c>
      <c r="H2110">
        <v>0</v>
      </c>
      <c r="I2110">
        <v>0</v>
      </c>
      <c r="J2110">
        <v>6</v>
      </c>
      <c r="K2110" t="s">
        <v>246</v>
      </c>
    </row>
    <row r="2111" spans="2:11" x14ac:dyDescent="0.25">
      <c r="B2111">
        <v>5491</v>
      </c>
      <c r="C2111">
        <v>220</v>
      </c>
      <c r="D2111">
        <v>95</v>
      </c>
      <c r="E2111">
        <v>12</v>
      </c>
      <c r="F2111">
        <v>9</v>
      </c>
      <c r="G2111">
        <v>6</v>
      </c>
      <c r="H2111">
        <v>0</v>
      </c>
      <c r="I2111">
        <v>0</v>
      </c>
      <c r="J2111">
        <v>15</v>
      </c>
      <c r="K2111" t="s">
        <v>252</v>
      </c>
    </row>
    <row r="2112" spans="2:11" x14ac:dyDescent="0.25">
      <c r="B2112">
        <v>2325</v>
      </c>
      <c r="C2112">
        <v>168</v>
      </c>
      <c r="D2112">
        <v>72</v>
      </c>
      <c r="E2112">
        <v>9</v>
      </c>
      <c r="F2112">
        <v>10</v>
      </c>
      <c r="G2112">
        <v>24</v>
      </c>
      <c r="H2112">
        <v>0</v>
      </c>
      <c r="I2112">
        <v>0</v>
      </c>
      <c r="J2112">
        <v>34</v>
      </c>
      <c r="K2112" t="s">
        <v>249</v>
      </c>
    </row>
    <row r="2113" spans="2:11" x14ac:dyDescent="0.25">
      <c r="B2113">
        <v>2326</v>
      </c>
      <c r="C2113">
        <v>276</v>
      </c>
      <c r="D2113">
        <v>127</v>
      </c>
      <c r="E2113">
        <v>9</v>
      </c>
      <c r="F2113">
        <v>13</v>
      </c>
      <c r="G2113">
        <v>15</v>
      </c>
      <c r="H2113">
        <v>1</v>
      </c>
      <c r="I2113">
        <v>0</v>
      </c>
      <c r="J2113">
        <v>29</v>
      </c>
      <c r="K2113" t="s">
        <v>241</v>
      </c>
    </row>
    <row r="2114" spans="2:11" x14ac:dyDescent="0.25">
      <c r="B2114">
        <v>2327</v>
      </c>
      <c r="C2114">
        <v>249</v>
      </c>
      <c r="D2114">
        <v>112</v>
      </c>
      <c r="E2114">
        <v>9</v>
      </c>
      <c r="F2114">
        <v>18</v>
      </c>
      <c r="G2114">
        <v>2</v>
      </c>
      <c r="H2114">
        <v>6</v>
      </c>
      <c r="I2114">
        <v>0</v>
      </c>
      <c r="J2114">
        <v>26</v>
      </c>
      <c r="K2114" t="s">
        <v>241</v>
      </c>
    </row>
    <row r="2115" spans="2:11" x14ac:dyDescent="0.25">
      <c r="B2115">
        <v>2328</v>
      </c>
      <c r="C2115">
        <v>6</v>
      </c>
      <c r="D2115">
        <v>2</v>
      </c>
      <c r="E2115">
        <v>9</v>
      </c>
      <c r="F2115">
        <v>4</v>
      </c>
      <c r="G2115">
        <v>5</v>
      </c>
      <c r="H2115">
        <v>0</v>
      </c>
      <c r="I2115">
        <v>0</v>
      </c>
      <c r="J2115">
        <v>9</v>
      </c>
      <c r="K2115" t="s">
        <v>248</v>
      </c>
    </row>
    <row r="2116" spans="2:11" x14ac:dyDescent="0.25">
      <c r="B2116">
        <v>2329</v>
      </c>
      <c r="C2116">
        <v>277</v>
      </c>
      <c r="D2116">
        <v>128</v>
      </c>
      <c r="E2116">
        <v>10</v>
      </c>
      <c r="F2116">
        <v>15</v>
      </c>
      <c r="G2116">
        <v>14</v>
      </c>
      <c r="H2116">
        <v>0</v>
      </c>
      <c r="I2116">
        <v>0</v>
      </c>
      <c r="J2116">
        <v>29</v>
      </c>
      <c r="K2116" t="s">
        <v>243</v>
      </c>
    </row>
    <row r="2117" spans="2:11" x14ac:dyDescent="0.25">
      <c r="B2117">
        <v>2331</v>
      </c>
      <c r="C2117">
        <v>277</v>
      </c>
      <c r="D2117">
        <v>128</v>
      </c>
      <c r="E2117">
        <v>9</v>
      </c>
      <c r="F2117">
        <v>15</v>
      </c>
      <c r="G2117">
        <v>9</v>
      </c>
      <c r="H2117">
        <v>1</v>
      </c>
      <c r="I2117">
        <v>0</v>
      </c>
      <c r="J2117">
        <v>25</v>
      </c>
      <c r="K2117" t="s">
        <v>248</v>
      </c>
    </row>
    <row r="2118" spans="2:11" x14ac:dyDescent="0.25">
      <c r="B2118">
        <v>2332</v>
      </c>
      <c r="C2118">
        <v>275</v>
      </c>
      <c r="D2118">
        <v>126</v>
      </c>
      <c r="E2118">
        <v>10</v>
      </c>
      <c r="F2118">
        <v>10</v>
      </c>
      <c r="G2118">
        <v>13</v>
      </c>
      <c r="H2118">
        <v>0</v>
      </c>
      <c r="I2118">
        <v>0</v>
      </c>
      <c r="J2118">
        <v>23</v>
      </c>
      <c r="K2118" t="s">
        <v>243</v>
      </c>
    </row>
    <row r="2119" spans="2:11" x14ac:dyDescent="0.25">
      <c r="B2119">
        <v>2333</v>
      </c>
      <c r="C2119">
        <v>96</v>
      </c>
      <c r="D2119">
        <v>48</v>
      </c>
      <c r="E2119">
        <v>10</v>
      </c>
      <c r="F2119">
        <v>10</v>
      </c>
      <c r="G2119">
        <v>12</v>
      </c>
      <c r="H2119">
        <v>0</v>
      </c>
      <c r="I2119">
        <v>0</v>
      </c>
      <c r="J2119">
        <v>22</v>
      </c>
      <c r="K2119" t="s">
        <v>245</v>
      </c>
    </row>
    <row r="2120" spans="2:11" x14ac:dyDescent="0.25">
      <c r="B2120">
        <v>2334</v>
      </c>
      <c r="C2120">
        <v>119</v>
      </c>
      <c r="D2120">
        <v>55</v>
      </c>
      <c r="E2120">
        <v>9</v>
      </c>
      <c r="F2120">
        <v>1</v>
      </c>
      <c r="G2120">
        <v>4</v>
      </c>
      <c r="H2120">
        <v>1</v>
      </c>
      <c r="I2120">
        <v>0</v>
      </c>
      <c r="J2120">
        <v>6</v>
      </c>
      <c r="K2120" t="s">
        <v>242</v>
      </c>
    </row>
    <row r="2121" spans="2:11" x14ac:dyDescent="0.25">
      <c r="B2121">
        <v>2335</v>
      </c>
      <c r="C2121">
        <v>120</v>
      </c>
      <c r="D2121">
        <v>55</v>
      </c>
      <c r="E2121">
        <v>9</v>
      </c>
      <c r="F2121">
        <v>30</v>
      </c>
      <c r="G2121">
        <v>0</v>
      </c>
      <c r="H2121">
        <v>0</v>
      </c>
      <c r="I2121">
        <v>0</v>
      </c>
      <c r="J2121">
        <v>30</v>
      </c>
      <c r="K2121" t="s">
        <v>242</v>
      </c>
    </row>
    <row r="2122" spans="2:11" x14ac:dyDescent="0.25">
      <c r="B2122">
        <v>2337</v>
      </c>
      <c r="C2122">
        <v>106</v>
      </c>
      <c r="D2122">
        <v>51</v>
      </c>
      <c r="E2122">
        <v>9</v>
      </c>
      <c r="F2122">
        <v>8</v>
      </c>
      <c r="G2122">
        <v>4</v>
      </c>
      <c r="H2122">
        <v>0</v>
      </c>
      <c r="I2122">
        <v>0</v>
      </c>
      <c r="J2122">
        <v>12</v>
      </c>
      <c r="K2122" t="s">
        <v>242</v>
      </c>
    </row>
    <row r="2123" spans="2:11" x14ac:dyDescent="0.25">
      <c r="B2123">
        <v>2339</v>
      </c>
      <c r="C2123">
        <v>96</v>
      </c>
      <c r="D2123">
        <v>48</v>
      </c>
      <c r="E2123">
        <v>9</v>
      </c>
      <c r="F2123">
        <v>15</v>
      </c>
      <c r="G2123">
        <v>14</v>
      </c>
      <c r="H2123">
        <v>1</v>
      </c>
      <c r="I2123">
        <v>0</v>
      </c>
      <c r="J2123">
        <v>30</v>
      </c>
      <c r="K2123" t="s">
        <v>245</v>
      </c>
    </row>
    <row r="2124" spans="2:11" x14ac:dyDescent="0.25">
      <c r="B2124">
        <v>2340</v>
      </c>
      <c r="C2124">
        <v>115</v>
      </c>
      <c r="D2124">
        <v>53</v>
      </c>
      <c r="E2124">
        <v>10</v>
      </c>
      <c r="F2124">
        <v>14</v>
      </c>
      <c r="G2124">
        <v>12</v>
      </c>
      <c r="H2124">
        <v>1</v>
      </c>
      <c r="I2124">
        <v>0</v>
      </c>
      <c r="J2124">
        <v>27</v>
      </c>
      <c r="K2124" t="s">
        <v>242</v>
      </c>
    </row>
    <row r="2125" spans="2:11" x14ac:dyDescent="0.25">
      <c r="B2125">
        <v>2341</v>
      </c>
      <c r="C2125">
        <v>26</v>
      </c>
      <c r="D2125">
        <v>14</v>
      </c>
      <c r="E2125">
        <v>9</v>
      </c>
      <c r="F2125">
        <v>7</v>
      </c>
      <c r="G2125">
        <v>4</v>
      </c>
      <c r="H2125">
        <v>3</v>
      </c>
      <c r="I2125">
        <v>0</v>
      </c>
      <c r="J2125">
        <v>14</v>
      </c>
      <c r="K2125" t="s">
        <v>248</v>
      </c>
    </row>
    <row r="2126" spans="2:11" x14ac:dyDescent="0.25">
      <c r="B2126">
        <v>2342</v>
      </c>
      <c r="C2126">
        <v>263</v>
      </c>
      <c r="D2126">
        <v>118</v>
      </c>
      <c r="E2126">
        <v>10</v>
      </c>
      <c r="F2126">
        <v>1</v>
      </c>
      <c r="G2126">
        <v>0</v>
      </c>
      <c r="H2126">
        <v>0</v>
      </c>
      <c r="I2126">
        <v>0</v>
      </c>
      <c r="J2126">
        <v>1</v>
      </c>
      <c r="K2126" t="s">
        <v>245</v>
      </c>
    </row>
    <row r="2127" spans="2:11" x14ac:dyDescent="0.25">
      <c r="B2127">
        <v>2343</v>
      </c>
      <c r="C2127">
        <v>115</v>
      </c>
      <c r="D2127">
        <v>53</v>
      </c>
      <c r="E2127">
        <v>11</v>
      </c>
      <c r="F2127">
        <v>10</v>
      </c>
      <c r="G2127">
        <v>15</v>
      </c>
      <c r="H2127">
        <v>1</v>
      </c>
      <c r="I2127">
        <v>0</v>
      </c>
      <c r="J2127">
        <v>26</v>
      </c>
      <c r="K2127" t="s">
        <v>242</v>
      </c>
    </row>
    <row r="2128" spans="2:11" x14ac:dyDescent="0.25">
      <c r="B2128">
        <v>2344</v>
      </c>
      <c r="C2128">
        <v>115</v>
      </c>
      <c r="D2128">
        <v>53</v>
      </c>
      <c r="E2128">
        <v>9</v>
      </c>
      <c r="F2128">
        <v>20</v>
      </c>
      <c r="G2128">
        <v>5</v>
      </c>
      <c r="H2128">
        <v>0</v>
      </c>
      <c r="I2128">
        <v>0</v>
      </c>
      <c r="J2128">
        <v>25</v>
      </c>
      <c r="K2128" t="s">
        <v>242</v>
      </c>
    </row>
    <row r="2129" spans="2:11" x14ac:dyDescent="0.25">
      <c r="B2129">
        <v>2345</v>
      </c>
      <c r="C2129">
        <v>276</v>
      </c>
      <c r="D2129">
        <v>127</v>
      </c>
      <c r="E2129">
        <v>10</v>
      </c>
      <c r="F2129">
        <v>13</v>
      </c>
      <c r="G2129">
        <v>16</v>
      </c>
      <c r="H2129">
        <v>0</v>
      </c>
      <c r="I2129">
        <v>0</v>
      </c>
      <c r="J2129">
        <v>29</v>
      </c>
      <c r="K2129" t="s">
        <v>245</v>
      </c>
    </row>
    <row r="2130" spans="2:11" x14ac:dyDescent="0.25">
      <c r="B2130">
        <v>2346</v>
      </c>
      <c r="C2130">
        <v>27</v>
      </c>
      <c r="D2130">
        <v>14</v>
      </c>
      <c r="E2130">
        <v>9</v>
      </c>
      <c r="F2130">
        <v>11</v>
      </c>
      <c r="G2130">
        <v>6</v>
      </c>
      <c r="H2130">
        <v>3</v>
      </c>
      <c r="I2130">
        <v>0</v>
      </c>
      <c r="J2130">
        <v>20</v>
      </c>
      <c r="K2130" t="s">
        <v>248</v>
      </c>
    </row>
    <row r="2131" spans="2:11" x14ac:dyDescent="0.25">
      <c r="B2131">
        <v>2347</v>
      </c>
      <c r="C2131">
        <v>249</v>
      </c>
      <c r="D2131">
        <v>112</v>
      </c>
      <c r="E2131">
        <v>10</v>
      </c>
      <c r="F2131">
        <v>13</v>
      </c>
      <c r="G2131">
        <v>2</v>
      </c>
      <c r="H2131">
        <v>4</v>
      </c>
      <c r="I2131">
        <v>0</v>
      </c>
      <c r="J2131">
        <v>19</v>
      </c>
      <c r="K2131" t="s">
        <v>245</v>
      </c>
    </row>
    <row r="2132" spans="2:11" x14ac:dyDescent="0.25">
      <c r="B2132">
        <v>2349</v>
      </c>
      <c r="C2132">
        <v>97</v>
      </c>
      <c r="D2132">
        <v>48</v>
      </c>
      <c r="E2132">
        <v>7</v>
      </c>
      <c r="F2132">
        <v>5</v>
      </c>
      <c r="G2132">
        <v>7</v>
      </c>
      <c r="H2132">
        <v>0</v>
      </c>
      <c r="I2132">
        <v>0</v>
      </c>
      <c r="J2132">
        <v>12</v>
      </c>
      <c r="K2132" t="s">
        <v>247</v>
      </c>
    </row>
    <row r="2133" spans="2:11" x14ac:dyDescent="0.25">
      <c r="B2133">
        <v>2350</v>
      </c>
      <c r="C2133">
        <v>278</v>
      </c>
      <c r="D2133">
        <v>129</v>
      </c>
      <c r="E2133">
        <v>9</v>
      </c>
      <c r="F2133">
        <v>12</v>
      </c>
      <c r="G2133">
        <v>16</v>
      </c>
      <c r="H2133">
        <v>0</v>
      </c>
      <c r="I2133">
        <v>0</v>
      </c>
      <c r="J2133">
        <v>28</v>
      </c>
      <c r="K2133" t="s">
        <v>242</v>
      </c>
    </row>
    <row r="2134" spans="2:11" x14ac:dyDescent="0.25">
      <c r="B2134">
        <v>2351</v>
      </c>
      <c r="C2134">
        <v>97</v>
      </c>
      <c r="D2134">
        <v>48</v>
      </c>
      <c r="E2134">
        <v>8</v>
      </c>
      <c r="F2134">
        <v>13</v>
      </c>
      <c r="G2134">
        <v>11</v>
      </c>
      <c r="H2134">
        <v>0</v>
      </c>
      <c r="I2134">
        <v>0</v>
      </c>
      <c r="J2134">
        <v>24</v>
      </c>
      <c r="K2134" t="s">
        <v>247</v>
      </c>
    </row>
    <row r="2135" spans="2:11" x14ac:dyDescent="0.25">
      <c r="B2135">
        <v>2352</v>
      </c>
      <c r="C2135">
        <v>162</v>
      </c>
      <c r="D2135">
        <v>69</v>
      </c>
      <c r="E2135">
        <v>10</v>
      </c>
      <c r="F2135">
        <v>6</v>
      </c>
      <c r="G2135">
        <v>12</v>
      </c>
      <c r="H2135">
        <v>0</v>
      </c>
      <c r="I2135">
        <v>0</v>
      </c>
      <c r="J2135">
        <v>18</v>
      </c>
      <c r="K2135" t="s">
        <v>241</v>
      </c>
    </row>
    <row r="2136" spans="2:11" x14ac:dyDescent="0.25">
      <c r="B2136">
        <v>2354</v>
      </c>
      <c r="C2136">
        <v>107</v>
      </c>
      <c r="D2136">
        <v>51</v>
      </c>
      <c r="E2136">
        <v>9</v>
      </c>
      <c r="F2136">
        <v>16</v>
      </c>
      <c r="G2136">
        <v>12</v>
      </c>
      <c r="H2136">
        <v>0</v>
      </c>
      <c r="I2136">
        <v>0</v>
      </c>
      <c r="J2136">
        <v>28</v>
      </c>
      <c r="K2136" t="s">
        <v>242</v>
      </c>
    </row>
    <row r="2137" spans="2:11" x14ac:dyDescent="0.25">
      <c r="B2137">
        <v>2355</v>
      </c>
      <c r="C2137">
        <v>264</v>
      </c>
      <c r="D2137">
        <v>118</v>
      </c>
      <c r="E2137">
        <v>10</v>
      </c>
      <c r="F2137">
        <v>12</v>
      </c>
      <c r="G2137">
        <v>6</v>
      </c>
      <c r="H2137">
        <v>3</v>
      </c>
      <c r="I2137">
        <v>0</v>
      </c>
      <c r="J2137">
        <v>21</v>
      </c>
      <c r="K2137" t="s">
        <v>246</v>
      </c>
    </row>
    <row r="2138" spans="2:11" x14ac:dyDescent="0.25">
      <c r="B2138">
        <v>2357</v>
      </c>
      <c r="C2138">
        <v>264</v>
      </c>
      <c r="D2138">
        <v>118</v>
      </c>
      <c r="E2138">
        <v>9</v>
      </c>
      <c r="F2138">
        <v>15</v>
      </c>
      <c r="G2138">
        <v>9</v>
      </c>
      <c r="H2138">
        <v>1</v>
      </c>
      <c r="I2138">
        <v>0</v>
      </c>
      <c r="J2138">
        <v>25</v>
      </c>
      <c r="K2138" t="s">
        <v>247</v>
      </c>
    </row>
    <row r="2139" spans="2:11" x14ac:dyDescent="0.25">
      <c r="B2139">
        <v>2358</v>
      </c>
      <c r="C2139">
        <v>97</v>
      </c>
      <c r="D2139">
        <v>48</v>
      </c>
      <c r="E2139">
        <v>9</v>
      </c>
      <c r="F2139">
        <v>8</v>
      </c>
      <c r="G2139">
        <v>6</v>
      </c>
      <c r="H2139">
        <v>1</v>
      </c>
      <c r="I2139">
        <v>0</v>
      </c>
      <c r="J2139">
        <v>15</v>
      </c>
      <c r="K2139" t="s">
        <v>242</v>
      </c>
    </row>
    <row r="2140" spans="2:11" x14ac:dyDescent="0.25">
      <c r="B2140">
        <v>2360</v>
      </c>
      <c r="C2140">
        <v>250</v>
      </c>
      <c r="D2140">
        <v>112</v>
      </c>
      <c r="E2140">
        <v>9</v>
      </c>
      <c r="F2140">
        <v>9</v>
      </c>
      <c r="G2140">
        <v>0</v>
      </c>
      <c r="H2140">
        <v>1</v>
      </c>
      <c r="I2140">
        <v>0</v>
      </c>
      <c r="J2140">
        <v>10</v>
      </c>
      <c r="K2140" t="s">
        <v>247</v>
      </c>
    </row>
    <row r="2141" spans="2:11" x14ac:dyDescent="0.25">
      <c r="B2141">
        <v>2361</v>
      </c>
      <c r="C2141">
        <v>121</v>
      </c>
      <c r="D2141">
        <v>55</v>
      </c>
      <c r="E2141">
        <v>9</v>
      </c>
      <c r="F2141">
        <v>7</v>
      </c>
      <c r="G2141">
        <v>5</v>
      </c>
      <c r="H2141">
        <v>0</v>
      </c>
      <c r="I2141">
        <v>0</v>
      </c>
      <c r="J2141">
        <v>12</v>
      </c>
      <c r="K2141" t="s">
        <v>242</v>
      </c>
    </row>
    <row r="2142" spans="2:11" x14ac:dyDescent="0.25">
      <c r="B2142">
        <v>2362</v>
      </c>
      <c r="C2142">
        <v>265</v>
      </c>
      <c r="D2142">
        <v>118</v>
      </c>
      <c r="E2142">
        <v>10</v>
      </c>
      <c r="F2142">
        <v>3</v>
      </c>
      <c r="G2142">
        <v>1</v>
      </c>
      <c r="H2142">
        <v>4</v>
      </c>
      <c r="I2142">
        <v>0</v>
      </c>
      <c r="J2142">
        <v>8</v>
      </c>
      <c r="K2142" t="s">
        <v>246</v>
      </c>
    </row>
    <row r="2143" spans="2:11" x14ac:dyDescent="0.25">
      <c r="B2143">
        <v>2363</v>
      </c>
      <c r="C2143">
        <v>278</v>
      </c>
      <c r="D2143">
        <v>129</v>
      </c>
      <c r="E2143">
        <v>10</v>
      </c>
      <c r="F2143">
        <v>7</v>
      </c>
      <c r="G2143">
        <v>20</v>
      </c>
      <c r="H2143">
        <v>2</v>
      </c>
      <c r="I2143">
        <v>0</v>
      </c>
      <c r="J2143">
        <v>29</v>
      </c>
      <c r="K2143" t="s">
        <v>246</v>
      </c>
    </row>
    <row r="2144" spans="2:11" x14ac:dyDescent="0.25">
      <c r="B2144">
        <v>2365</v>
      </c>
      <c r="C2144">
        <v>163</v>
      </c>
      <c r="D2144">
        <v>69</v>
      </c>
      <c r="E2144">
        <v>10</v>
      </c>
      <c r="F2144">
        <v>3</v>
      </c>
      <c r="G2144">
        <v>7</v>
      </c>
      <c r="H2144">
        <v>0</v>
      </c>
      <c r="I2144">
        <v>0</v>
      </c>
      <c r="J2144">
        <v>10</v>
      </c>
      <c r="K2144" t="s">
        <v>246</v>
      </c>
    </row>
    <row r="2145" spans="2:11" x14ac:dyDescent="0.25">
      <c r="B2145">
        <v>2366</v>
      </c>
      <c r="C2145">
        <v>311</v>
      </c>
      <c r="D2145">
        <v>144</v>
      </c>
      <c r="E2145">
        <v>10</v>
      </c>
      <c r="F2145">
        <v>10</v>
      </c>
      <c r="G2145">
        <v>9</v>
      </c>
      <c r="H2145">
        <v>0</v>
      </c>
      <c r="I2145">
        <v>0</v>
      </c>
      <c r="J2145">
        <v>19</v>
      </c>
      <c r="K2145" t="s">
        <v>241</v>
      </c>
    </row>
    <row r="2146" spans="2:11" x14ac:dyDescent="0.25">
      <c r="B2146">
        <v>2367</v>
      </c>
      <c r="C2146">
        <v>98</v>
      </c>
      <c r="D2146">
        <v>48</v>
      </c>
      <c r="E2146">
        <v>8</v>
      </c>
      <c r="F2146">
        <v>9</v>
      </c>
      <c r="G2146">
        <v>13</v>
      </c>
      <c r="H2146">
        <v>2</v>
      </c>
      <c r="I2146">
        <v>0</v>
      </c>
      <c r="J2146">
        <v>24</v>
      </c>
      <c r="K2146" t="s">
        <v>245</v>
      </c>
    </row>
    <row r="2147" spans="2:11" x14ac:dyDescent="0.25">
      <c r="B2147">
        <v>2368</v>
      </c>
      <c r="C2147">
        <v>174</v>
      </c>
      <c r="D2147">
        <v>75</v>
      </c>
      <c r="E2147">
        <v>10</v>
      </c>
      <c r="F2147">
        <v>12</v>
      </c>
      <c r="G2147">
        <v>3</v>
      </c>
      <c r="H2147">
        <v>0</v>
      </c>
      <c r="I2147">
        <v>0</v>
      </c>
      <c r="J2147">
        <v>15</v>
      </c>
      <c r="K2147" t="s">
        <v>248</v>
      </c>
    </row>
    <row r="2148" spans="2:11" x14ac:dyDescent="0.25">
      <c r="B2148">
        <v>2369</v>
      </c>
      <c r="C2148">
        <v>313</v>
      </c>
      <c r="D2148">
        <v>144</v>
      </c>
      <c r="E2148">
        <v>10</v>
      </c>
      <c r="F2148">
        <v>6</v>
      </c>
      <c r="G2148">
        <v>7</v>
      </c>
      <c r="H2148">
        <v>0</v>
      </c>
      <c r="I2148">
        <v>0</v>
      </c>
      <c r="J2148">
        <v>13</v>
      </c>
      <c r="K2148" t="s">
        <v>246</v>
      </c>
    </row>
    <row r="2149" spans="2:11" x14ac:dyDescent="0.25">
      <c r="B2149">
        <v>2371</v>
      </c>
      <c r="C2149">
        <v>280</v>
      </c>
      <c r="D2149">
        <v>129</v>
      </c>
      <c r="E2149">
        <v>8</v>
      </c>
      <c r="F2149">
        <v>17</v>
      </c>
      <c r="G2149">
        <v>13</v>
      </c>
      <c r="H2149">
        <v>0</v>
      </c>
      <c r="I2149">
        <v>0</v>
      </c>
      <c r="J2149">
        <v>30</v>
      </c>
      <c r="K2149" t="s">
        <v>245</v>
      </c>
    </row>
    <row r="2150" spans="2:11" x14ac:dyDescent="0.25">
      <c r="B2150">
        <v>2372</v>
      </c>
      <c r="C2150">
        <v>280</v>
      </c>
      <c r="D2150">
        <v>129</v>
      </c>
      <c r="E2150">
        <v>10</v>
      </c>
      <c r="F2150">
        <v>12</v>
      </c>
      <c r="G2150">
        <v>11</v>
      </c>
      <c r="H2150">
        <v>0</v>
      </c>
      <c r="I2150">
        <v>0</v>
      </c>
      <c r="J2150">
        <v>23</v>
      </c>
      <c r="K2150" t="s">
        <v>246</v>
      </c>
    </row>
    <row r="2151" spans="2:11" x14ac:dyDescent="0.25">
      <c r="B2151">
        <v>2374</v>
      </c>
      <c r="C2151">
        <v>98</v>
      </c>
      <c r="D2151">
        <v>48</v>
      </c>
      <c r="E2151">
        <v>9</v>
      </c>
      <c r="F2151">
        <v>15</v>
      </c>
      <c r="G2151">
        <v>9</v>
      </c>
      <c r="H2151">
        <v>1</v>
      </c>
      <c r="I2151">
        <v>0</v>
      </c>
      <c r="J2151">
        <v>25</v>
      </c>
      <c r="K2151" t="s">
        <v>245</v>
      </c>
    </row>
    <row r="2152" spans="2:11" x14ac:dyDescent="0.25">
      <c r="B2152">
        <v>2376</v>
      </c>
      <c r="C2152">
        <v>122</v>
      </c>
      <c r="D2152">
        <v>55</v>
      </c>
      <c r="E2152">
        <v>9</v>
      </c>
      <c r="F2152">
        <v>19</v>
      </c>
      <c r="G2152">
        <v>7</v>
      </c>
      <c r="H2152">
        <v>0</v>
      </c>
      <c r="I2152">
        <v>0</v>
      </c>
      <c r="J2152">
        <v>26</v>
      </c>
      <c r="K2152" t="s">
        <v>245</v>
      </c>
    </row>
    <row r="2153" spans="2:11" x14ac:dyDescent="0.25">
      <c r="B2153">
        <v>2377</v>
      </c>
      <c r="C2153">
        <v>175</v>
      </c>
      <c r="D2153">
        <v>76</v>
      </c>
      <c r="E2153">
        <v>10</v>
      </c>
      <c r="F2153">
        <v>0</v>
      </c>
      <c r="G2153">
        <v>5</v>
      </c>
      <c r="H2153">
        <v>0</v>
      </c>
      <c r="I2153">
        <v>0</v>
      </c>
      <c r="J2153">
        <v>5</v>
      </c>
      <c r="K2153" t="s">
        <v>247</v>
      </c>
    </row>
    <row r="2154" spans="2:11" x14ac:dyDescent="0.25">
      <c r="B2154">
        <v>2378</v>
      </c>
      <c r="C2154">
        <v>7</v>
      </c>
      <c r="D2154">
        <v>2</v>
      </c>
      <c r="E2154">
        <v>7</v>
      </c>
      <c r="F2154">
        <v>9</v>
      </c>
      <c r="G2154">
        <v>10</v>
      </c>
      <c r="H2154">
        <v>3</v>
      </c>
      <c r="I2154">
        <v>0</v>
      </c>
      <c r="J2154">
        <v>22</v>
      </c>
      <c r="K2154" t="s">
        <v>247</v>
      </c>
    </row>
    <row r="2155" spans="2:11" x14ac:dyDescent="0.25">
      <c r="B2155">
        <v>2379</v>
      </c>
      <c r="C2155">
        <v>283</v>
      </c>
      <c r="D2155">
        <v>131</v>
      </c>
      <c r="E2155">
        <v>10</v>
      </c>
      <c r="F2155">
        <v>17</v>
      </c>
      <c r="G2155">
        <v>2</v>
      </c>
      <c r="H2155">
        <v>0</v>
      </c>
      <c r="I2155">
        <v>0</v>
      </c>
      <c r="J2155">
        <v>19</v>
      </c>
      <c r="K2155" t="s">
        <v>248</v>
      </c>
    </row>
    <row r="2156" spans="2:11" x14ac:dyDescent="0.25">
      <c r="B2156">
        <v>2380</v>
      </c>
      <c r="C2156">
        <v>7</v>
      </c>
      <c r="D2156">
        <v>2</v>
      </c>
      <c r="E2156">
        <v>6</v>
      </c>
      <c r="F2156">
        <v>10</v>
      </c>
      <c r="G2156">
        <v>10</v>
      </c>
      <c r="H2156">
        <v>10</v>
      </c>
      <c r="I2156">
        <v>0</v>
      </c>
      <c r="J2156">
        <v>30</v>
      </c>
      <c r="K2156" t="s">
        <v>247</v>
      </c>
    </row>
    <row r="2157" spans="2:11" x14ac:dyDescent="0.25">
      <c r="B2157">
        <v>2381</v>
      </c>
      <c r="C2157">
        <v>123</v>
      </c>
      <c r="D2157">
        <v>56</v>
      </c>
      <c r="E2157">
        <v>10</v>
      </c>
      <c r="F2157">
        <v>8</v>
      </c>
      <c r="G2157">
        <v>7</v>
      </c>
      <c r="H2157">
        <v>2</v>
      </c>
      <c r="I2157">
        <v>0</v>
      </c>
      <c r="J2157">
        <v>17</v>
      </c>
      <c r="K2157" t="s">
        <v>248</v>
      </c>
    </row>
    <row r="2158" spans="2:11" x14ac:dyDescent="0.25">
      <c r="B2158">
        <v>2382</v>
      </c>
      <c r="C2158">
        <v>175</v>
      </c>
      <c r="D2158">
        <v>76</v>
      </c>
      <c r="E2158">
        <v>9</v>
      </c>
      <c r="F2158">
        <v>8</v>
      </c>
      <c r="G2158">
        <v>4</v>
      </c>
      <c r="H2158">
        <v>1</v>
      </c>
      <c r="I2158">
        <v>0</v>
      </c>
      <c r="J2158">
        <v>13</v>
      </c>
      <c r="K2158" t="s">
        <v>247</v>
      </c>
    </row>
    <row r="2159" spans="2:11" x14ac:dyDescent="0.25">
      <c r="B2159">
        <v>2383</v>
      </c>
      <c r="C2159">
        <v>325</v>
      </c>
      <c r="D2159">
        <v>151</v>
      </c>
      <c r="E2159">
        <v>10</v>
      </c>
      <c r="F2159">
        <v>12</v>
      </c>
      <c r="G2159">
        <v>9</v>
      </c>
      <c r="H2159">
        <v>0</v>
      </c>
      <c r="I2159">
        <v>0</v>
      </c>
      <c r="J2159">
        <v>21</v>
      </c>
      <c r="K2159" t="s">
        <v>247</v>
      </c>
    </row>
    <row r="2160" spans="2:11" x14ac:dyDescent="0.25">
      <c r="B2160">
        <v>2384</v>
      </c>
      <c r="C2160">
        <v>123</v>
      </c>
      <c r="D2160">
        <v>56</v>
      </c>
      <c r="E2160">
        <v>9</v>
      </c>
      <c r="F2160">
        <v>8</v>
      </c>
      <c r="G2160">
        <v>5</v>
      </c>
      <c r="H2160">
        <v>3</v>
      </c>
      <c r="I2160">
        <v>0</v>
      </c>
      <c r="J2160">
        <v>16</v>
      </c>
      <c r="K2160" t="s">
        <v>243</v>
      </c>
    </row>
    <row r="2161" spans="2:11" x14ac:dyDescent="0.25">
      <c r="B2161">
        <v>2385</v>
      </c>
      <c r="C2161">
        <v>285</v>
      </c>
      <c r="D2161">
        <v>132</v>
      </c>
      <c r="E2161">
        <v>10</v>
      </c>
      <c r="F2161">
        <v>20</v>
      </c>
      <c r="G2161">
        <v>2</v>
      </c>
      <c r="H2161">
        <v>0</v>
      </c>
      <c r="I2161">
        <v>0</v>
      </c>
      <c r="J2161">
        <v>22</v>
      </c>
      <c r="K2161" t="s">
        <v>247</v>
      </c>
    </row>
    <row r="2162" spans="2:11" x14ac:dyDescent="0.25">
      <c r="B2162">
        <v>2386</v>
      </c>
      <c r="C2162">
        <v>172</v>
      </c>
      <c r="D2162">
        <v>74</v>
      </c>
      <c r="E2162">
        <v>10</v>
      </c>
      <c r="F2162">
        <v>10</v>
      </c>
      <c r="G2162">
        <v>5</v>
      </c>
      <c r="H2162">
        <v>2</v>
      </c>
      <c r="I2162">
        <v>0</v>
      </c>
      <c r="J2162">
        <v>17</v>
      </c>
      <c r="K2162" t="s">
        <v>248</v>
      </c>
    </row>
    <row r="2163" spans="2:11" x14ac:dyDescent="0.25">
      <c r="B2163">
        <v>2387</v>
      </c>
      <c r="C2163">
        <v>333</v>
      </c>
      <c r="D2163">
        <v>152</v>
      </c>
      <c r="E2163">
        <v>9</v>
      </c>
      <c r="F2163">
        <v>11</v>
      </c>
      <c r="G2163">
        <v>16</v>
      </c>
      <c r="H2163">
        <v>0</v>
      </c>
      <c r="I2163">
        <v>0</v>
      </c>
      <c r="J2163">
        <v>27</v>
      </c>
      <c r="K2163" t="s">
        <v>249</v>
      </c>
    </row>
    <row r="2164" spans="2:11" x14ac:dyDescent="0.25">
      <c r="B2164">
        <v>2388</v>
      </c>
      <c r="C2164">
        <v>280</v>
      </c>
      <c r="D2164">
        <v>129</v>
      </c>
      <c r="E2164">
        <v>9</v>
      </c>
      <c r="F2164">
        <v>13</v>
      </c>
      <c r="G2164">
        <v>17</v>
      </c>
      <c r="H2164">
        <v>0</v>
      </c>
      <c r="I2164">
        <v>0</v>
      </c>
      <c r="J2164">
        <v>30</v>
      </c>
      <c r="K2164" t="s">
        <v>243</v>
      </c>
    </row>
    <row r="2165" spans="2:11" x14ac:dyDescent="0.25">
      <c r="B2165">
        <v>2389</v>
      </c>
      <c r="C2165">
        <v>98</v>
      </c>
      <c r="D2165">
        <v>48</v>
      </c>
      <c r="E2165">
        <v>7</v>
      </c>
      <c r="F2165">
        <v>15</v>
      </c>
      <c r="G2165">
        <v>10</v>
      </c>
      <c r="H2165">
        <v>3</v>
      </c>
      <c r="I2165">
        <v>0</v>
      </c>
      <c r="J2165">
        <v>28</v>
      </c>
      <c r="K2165" t="s">
        <v>243</v>
      </c>
    </row>
    <row r="2166" spans="2:11" x14ac:dyDescent="0.25">
      <c r="B2166">
        <v>2390</v>
      </c>
      <c r="C2166">
        <v>135</v>
      </c>
      <c r="D2166">
        <v>60</v>
      </c>
      <c r="E2166">
        <v>7</v>
      </c>
      <c r="F2166">
        <v>5</v>
      </c>
      <c r="G2166">
        <v>10</v>
      </c>
      <c r="H2166">
        <v>5</v>
      </c>
      <c r="I2166">
        <v>0</v>
      </c>
      <c r="J2166">
        <v>20</v>
      </c>
      <c r="K2166" t="s">
        <v>249</v>
      </c>
    </row>
    <row r="2167" spans="2:11" x14ac:dyDescent="0.25">
      <c r="B2167">
        <v>2391</v>
      </c>
      <c r="C2167">
        <v>7</v>
      </c>
      <c r="D2167">
        <v>2</v>
      </c>
      <c r="E2167">
        <v>8</v>
      </c>
      <c r="F2167">
        <v>10</v>
      </c>
      <c r="G2167">
        <v>19</v>
      </c>
      <c r="H2167">
        <v>1</v>
      </c>
      <c r="I2167">
        <v>0</v>
      </c>
      <c r="J2167">
        <v>30</v>
      </c>
      <c r="K2167" t="s">
        <v>248</v>
      </c>
    </row>
    <row r="2168" spans="2:11" x14ac:dyDescent="0.25">
      <c r="B2168">
        <v>2392</v>
      </c>
      <c r="C2168">
        <v>310</v>
      </c>
      <c r="D2168">
        <v>144</v>
      </c>
      <c r="E2168">
        <v>10</v>
      </c>
      <c r="F2168">
        <v>17</v>
      </c>
      <c r="G2168">
        <v>11</v>
      </c>
      <c r="H2168">
        <v>0</v>
      </c>
      <c r="I2168">
        <v>0</v>
      </c>
      <c r="J2168">
        <v>28</v>
      </c>
      <c r="K2168" t="s">
        <v>246</v>
      </c>
    </row>
    <row r="2169" spans="2:11" x14ac:dyDescent="0.25">
      <c r="B2169">
        <v>2393</v>
      </c>
      <c r="C2169">
        <v>287</v>
      </c>
      <c r="D2169">
        <v>133</v>
      </c>
      <c r="E2169">
        <v>10</v>
      </c>
      <c r="F2169">
        <v>3</v>
      </c>
      <c r="G2169">
        <v>2</v>
      </c>
      <c r="H2169">
        <v>0</v>
      </c>
      <c r="I2169">
        <v>0</v>
      </c>
      <c r="J2169">
        <v>5</v>
      </c>
      <c r="K2169" t="s">
        <v>241</v>
      </c>
    </row>
    <row r="2170" spans="2:11" x14ac:dyDescent="0.25">
      <c r="B2170">
        <v>2394</v>
      </c>
      <c r="C2170">
        <v>280</v>
      </c>
      <c r="D2170">
        <v>129</v>
      </c>
      <c r="E2170">
        <v>7</v>
      </c>
      <c r="F2170">
        <v>13</v>
      </c>
      <c r="G2170">
        <v>17</v>
      </c>
      <c r="H2170">
        <v>0</v>
      </c>
      <c r="I2170">
        <v>0</v>
      </c>
      <c r="J2170">
        <v>30</v>
      </c>
      <c r="K2170" t="s">
        <v>243</v>
      </c>
    </row>
    <row r="2171" spans="2:11" x14ac:dyDescent="0.25">
      <c r="B2171">
        <v>2395</v>
      </c>
      <c r="C2171">
        <v>125</v>
      </c>
      <c r="D2171">
        <v>56</v>
      </c>
      <c r="E2171">
        <v>10</v>
      </c>
      <c r="F2171">
        <v>9</v>
      </c>
      <c r="G2171">
        <v>7</v>
      </c>
      <c r="H2171">
        <v>0</v>
      </c>
      <c r="I2171">
        <v>0</v>
      </c>
      <c r="J2171">
        <v>16</v>
      </c>
      <c r="K2171" t="s">
        <v>241</v>
      </c>
    </row>
    <row r="2172" spans="2:11" x14ac:dyDescent="0.25">
      <c r="B2172">
        <v>5490</v>
      </c>
      <c r="C2172">
        <v>207</v>
      </c>
      <c r="D2172">
        <v>92</v>
      </c>
      <c r="E2172">
        <v>2</v>
      </c>
      <c r="F2172">
        <v>1</v>
      </c>
      <c r="G2172">
        <v>4</v>
      </c>
      <c r="H2172">
        <v>0</v>
      </c>
      <c r="I2172">
        <v>0</v>
      </c>
      <c r="J2172">
        <v>5</v>
      </c>
      <c r="K2172" t="s">
        <v>246</v>
      </c>
    </row>
    <row r="2173" spans="2:11" x14ac:dyDescent="0.25">
      <c r="B2173">
        <v>5493</v>
      </c>
      <c r="C2173">
        <v>207</v>
      </c>
      <c r="D2173">
        <v>92</v>
      </c>
      <c r="E2173">
        <v>4</v>
      </c>
      <c r="F2173">
        <v>7</v>
      </c>
      <c r="G2173">
        <v>3</v>
      </c>
      <c r="H2173">
        <v>0</v>
      </c>
      <c r="I2173">
        <v>0</v>
      </c>
      <c r="J2173">
        <v>10</v>
      </c>
      <c r="K2173" t="s">
        <v>246</v>
      </c>
    </row>
    <row r="2174" spans="2:11" x14ac:dyDescent="0.25">
      <c r="B2174">
        <v>5494</v>
      </c>
      <c r="C2174">
        <v>187</v>
      </c>
      <c r="D2174">
        <v>81</v>
      </c>
      <c r="E2174">
        <v>6</v>
      </c>
      <c r="F2174">
        <v>5</v>
      </c>
      <c r="G2174">
        <v>25</v>
      </c>
      <c r="H2174">
        <v>0</v>
      </c>
      <c r="I2174">
        <v>0</v>
      </c>
      <c r="J2174">
        <v>30</v>
      </c>
      <c r="K2174" t="s">
        <v>241</v>
      </c>
    </row>
    <row r="2175" spans="2:11" x14ac:dyDescent="0.25">
      <c r="B2175">
        <v>5495</v>
      </c>
      <c r="C2175">
        <v>207</v>
      </c>
      <c r="D2175">
        <v>92</v>
      </c>
      <c r="E2175">
        <v>5</v>
      </c>
      <c r="F2175">
        <v>6</v>
      </c>
      <c r="G2175">
        <v>3</v>
      </c>
      <c r="H2175">
        <v>1</v>
      </c>
      <c r="I2175">
        <v>0</v>
      </c>
      <c r="J2175">
        <v>10</v>
      </c>
      <c r="K2175" t="s">
        <v>246</v>
      </c>
    </row>
    <row r="2176" spans="2:11" x14ac:dyDescent="0.25">
      <c r="B2176">
        <v>5496</v>
      </c>
      <c r="C2176">
        <v>212</v>
      </c>
      <c r="D2176">
        <v>94</v>
      </c>
      <c r="E2176">
        <v>1</v>
      </c>
      <c r="F2176">
        <v>0</v>
      </c>
      <c r="G2176">
        <v>1</v>
      </c>
      <c r="H2176">
        <v>0</v>
      </c>
      <c r="I2176">
        <v>0</v>
      </c>
      <c r="J2176">
        <v>1</v>
      </c>
      <c r="K2176" t="s">
        <v>252</v>
      </c>
    </row>
    <row r="2177" spans="2:11" x14ac:dyDescent="0.25">
      <c r="B2177">
        <v>5497</v>
      </c>
      <c r="C2177">
        <v>187</v>
      </c>
      <c r="D2177">
        <v>81</v>
      </c>
      <c r="E2177">
        <v>7</v>
      </c>
      <c r="F2177">
        <v>0</v>
      </c>
      <c r="G2177">
        <v>27</v>
      </c>
      <c r="H2177">
        <v>0</v>
      </c>
      <c r="I2177">
        <v>0</v>
      </c>
      <c r="J2177">
        <v>27</v>
      </c>
      <c r="K2177" t="s">
        <v>241</v>
      </c>
    </row>
    <row r="2178" spans="2:11" x14ac:dyDescent="0.25">
      <c r="B2178">
        <v>5498</v>
      </c>
      <c r="C2178">
        <v>207</v>
      </c>
      <c r="D2178">
        <v>92</v>
      </c>
      <c r="E2178">
        <v>6</v>
      </c>
      <c r="F2178">
        <v>3</v>
      </c>
      <c r="G2178">
        <v>1</v>
      </c>
      <c r="H2178">
        <v>0</v>
      </c>
      <c r="I2178">
        <v>0</v>
      </c>
      <c r="J2178">
        <v>4</v>
      </c>
      <c r="K2178" t="s">
        <v>246</v>
      </c>
    </row>
    <row r="2179" spans="2:11" x14ac:dyDescent="0.25">
      <c r="B2179">
        <v>5500</v>
      </c>
      <c r="C2179">
        <v>207</v>
      </c>
      <c r="D2179">
        <v>92</v>
      </c>
      <c r="E2179">
        <v>7</v>
      </c>
      <c r="F2179">
        <v>0</v>
      </c>
      <c r="G2179">
        <v>3</v>
      </c>
      <c r="H2179">
        <v>0</v>
      </c>
      <c r="I2179">
        <v>0</v>
      </c>
      <c r="J2179">
        <v>3</v>
      </c>
      <c r="K2179" t="s">
        <v>246</v>
      </c>
    </row>
    <row r="2180" spans="2:11" x14ac:dyDescent="0.25">
      <c r="B2180">
        <v>5499</v>
      </c>
      <c r="C2180">
        <v>214</v>
      </c>
      <c r="D2180">
        <v>94</v>
      </c>
      <c r="E2180">
        <v>1</v>
      </c>
      <c r="F2180">
        <v>0</v>
      </c>
      <c r="G2180">
        <v>12</v>
      </c>
      <c r="H2180">
        <v>0</v>
      </c>
      <c r="I2180">
        <v>0</v>
      </c>
      <c r="J2180">
        <v>12</v>
      </c>
      <c r="K2180" t="s">
        <v>252</v>
      </c>
    </row>
    <row r="2181" spans="2:11" x14ac:dyDescent="0.25">
      <c r="B2181">
        <v>5501</v>
      </c>
      <c r="C2181">
        <v>187</v>
      </c>
      <c r="D2181">
        <v>81</v>
      </c>
      <c r="E2181">
        <v>8</v>
      </c>
      <c r="F2181">
        <v>0</v>
      </c>
      <c r="G2181">
        <v>28</v>
      </c>
      <c r="H2181">
        <v>0</v>
      </c>
      <c r="I2181">
        <v>0</v>
      </c>
      <c r="J2181">
        <v>28</v>
      </c>
      <c r="K2181" t="s">
        <v>241</v>
      </c>
    </row>
    <row r="2182" spans="2:11" x14ac:dyDescent="0.25">
      <c r="B2182">
        <v>2397</v>
      </c>
      <c r="C2182">
        <v>125</v>
      </c>
      <c r="D2182">
        <v>56</v>
      </c>
      <c r="E2182">
        <v>9</v>
      </c>
      <c r="F2182">
        <v>5</v>
      </c>
      <c r="G2182">
        <v>7</v>
      </c>
      <c r="H2182">
        <v>2</v>
      </c>
      <c r="I2182">
        <v>0</v>
      </c>
      <c r="J2182">
        <v>14</v>
      </c>
      <c r="K2182" t="s">
        <v>241</v>
      </c>
    </row>
    <row r="2183" spans="2:11" x14ac:dyDescent="0.25">
      <c r="B2183">
        <v>2398</v>
      </c>
      <c r="C2183">
        <v>93</v>
      </c>
      <c r="D2183">
        <v>46</v>
      </c>
      <c r="E2183">
        <v>8</v>
      </c>
      <c r="F2183">
        <v>25</v>
      </c>
      <c r="G2183">
        <v>6</v>
      </c>
      <c r="H2183">
        <v>0</v>
      </c>
      <c r="I2183">
        <v>0</v>
      </c>
      <c r="J2183">
        <v>31</v>
      </c>
      <c r="K2183" t="s">
        <v>249</v>
      </c>
    </row>
    <row r="2184" spans="2:11" x14ac:dyDescent="0.25">
      <c r="B2184">
        <v>2399</v>
      </c>
      <c r="C2184">
        <v>7</v>
      </c>
      <c r="D2184">
        <v>2</v>
      </c>
      <c r="E2184">
        <v>9</v>
      </c>
      <c r="F2184">
        <v>15</v>
      </c>
      <c r="G2184">
        <v>15</v>
      </c>
      <c r="H2184">
        <v>0</v>
      </c>
      <c r="I2184">
        <v>0</v>
      </c>
      <c r="J2184">
        <v>30</v>
      </c>
      <c r="K2184" t="s">
        <v>241</v>
      </c>
    </row>
    <row r="2185" spans="2:11" x14ac:dyDescent="0.25">
      <c r="B2185">
        <v>2400</v>
      </c>
      <c r="C2185">
        <v>286</v>
      </c>
      <c r="D2185">
        <v>133</v>
      </c>
      <c r="E2185">
        <v>10</v>
      </c>
      <c r="F2185">
        <v>11</v>
      </c>
      <c r="G2185">
        <v>1</v>
      </c>
      <c r="H2185">
        <v>2</v>
      </c>
      <c r="I2185">
        <v>0</v>
      </c>
      <c r="J2185">
        <v>14</v>
      </c>
      <c r="K2185" t="s">
        <v>246</v>
      </c>
    </row>
    <row r="2186" spans="2:11" x14ac:dyDescent="0.25">
      <c r="B2186">
        <v>2401</v>
      </c>
      <c r="C2186">
        <v>99</v>
      </c>
      <c r="D2186">
        <v>49</v>
      </c>
      <c r="E2186">
        <v>9</v>
      </c>
      <c r="F2186">
        <v>3</v>
      </c>
      <c r="G2186">
        <v>13</v>
      </c>
      <c r="H2186">
        <v>0</v>
      </c>
      <c r="I2186">
        <v>0</v>
      </c>
      <c r="J2186">
        <v>16</v>
      </c>
      <c r="K2186" t="s">
        <v>248</v>
      </c>
    </row>
    <row r="2187" spans="2:11" x14ac:dyDescent="0.25">
      <c r="B2187">
        <v>2402</v>
      </c>
      <c r="C2187">
        <v>314</v>
      </c>
      <c r="D2187">
        <v>145</v>
      </c>
      <c r="E2187">
        <v>10</v>
      </c>
      <c r="F2187">
        <v>13</v>
      </c>
      <c r="G2187">
        <v>15</v>
      </c>
      <c r="H2187">
        <v>0</v>
      </c>
      <c r="I2187">
        <v>0</v>
      </c>
      <c r="J2187">
        <v>28</v>
      </c>
      <c r="K2187" t="s">
        <v>246</v>
      </c>
    </row>
    <row r="2188" spans="2:11" x14ac:dyDescent="0.25">
      <c r="B2188">
        <v>2403</v>
      </c>
      <c r="C2188">
        <v>132</v>
      </c>
      <c r="D2188">
        <v>59</v>
      </c>
      <c r="E2188">
        <v>7</v>
      </c>
      <c r="F2188">
        <v>9</v>
      </c>
      <c r="G2188">
        <v>1</v>
      </c>
      <c r="H2188">
        <v>0</v>
      </c>
      <c r="I2188">
        <v>0</v>
      </c>
      <c r="J2188">
        <v>10</v>
      </c>
      <c r="K2188" t="s">
        <v>249</v>
      </c>
    </row>
    <row r="2189" spans="2:11" x14ac:dyDescent="0.25">
      <c r="B2189">
        <v>2404</v>
      </c>
      <c r="C2189">
        <v>99</v>
      </c>
      <c r="D2189">
        <v>49</v>
      </c>
      <c r="E2189">
        <v>8</v>
      </c>
      <c r="F2189">
        <v>2</v>
      </c>
      <c r="G2189">
        <v>10</v>
      </c>
      <c r="H2189">
        <v>0</v>
      </c>
      <c r="I2189">
        <v>0</v>
      </c>
      <c r="J2189">
        <v>12</v>
      </c>
      <c r="K2189" t="s">
        <v>248</v>
      </c>
    </row>
    <row r="2190" spans="2:11" x14ac:dyDescent="0.25">
      <c r="B2190">
        <v>2405</v>
      </c>
      <c r="C2190">
        <v>326</v>
      </c>
      <c r="D2190">
        <v>151</v>
      </c>
      <c r="E2190">
        <v>10</v>
      </c>
      <c r="F2190">
        <v>12</v>
      </c>
      <c r="G2190">
        <v>5</v>
      </c>
      <c r="H2190">
        <v>0</v>
      </c>
      <c r="I2190">
        <v>0</v>
      </c>
      <c r="J2190">
        <v>17</v>
      </c>
      <c r="K2190" t="s">
        <v>248</v>
      </c>
    </row>
    <row r="2191" spans="2:11" x14ac:dyDescent="0.25">
      <c r="B2191">
        <v>2406</v>
      </c>
      <c r="C2191">
        <v>179</v>
      </c>
      <c r="D2191">
        <v>77</v>
      </c>
      <c r="E2191">
        <v>10</v>
      </c>
      <c r="F2191">
        <v>2</v>
      </c>
      <c r="G2191">
        <v>0</v>
      </c>
      <c r="H2191">
        <v>1</v>
      </c>
      <c r="I2191">
        <v>0</v>
      </c>
      <c r="J2191">
        <v>3</v>
      </c>
      <c r="K2191" t="s">
        <v>246</v>
      </c>
    </row>
    <row r="2192" spans="2:11" x14ac:dyDescent="0.25">
      <c r="B2192">
        <v>2407</v>
      </c>
      <c r="C2192">
        <v>173</v>
      </c>
      <c r="D2192">
        <v>75</v>
      </c>
      <c r="E2192">
        <v>10</v>
      </c>
      <c r="F2192">
        <v>5</v>
      </c>
      <c r="G2192">
        <v>4</v>
      </c>
      <c r="H2192">
        <v>1</v>
      </c>
      <c r="I2192">
        <v>0</v>
      </c>
      <c r="J2192">
        <v>10</v>
      </c>
      <c r="K2192" t="s">
        <v>246</v>
      </c>
    </row>
    <row r="2193" spans="2:11" x14ac:dyDescent="0.25">
      <c r="B2193">
        <v>2409</v>
      </c>
      <c r="C2193">
        <v>297</v>
      </c>
      <c r="D2193">
        <v>136</v>
      </c>
      <c r="E2193">
        <v>10</v>
      </c>
      <c r="F2193">
        <v>12</v>
      </c>
      <c r="G2193">
        <v>7</v>
      </c>
      <c r="H2193">
        <v>0</v>
      </c>
      <c r="I2193">
        <v>0</v>
      </c>
      <c r="J2193">
        <v>19</v>
      </c>
      <c r="K2193" t="s">
        <v>246</v>
      </c>
    </row>
    <row r="2194" spans="2:11" x14ac:dyDescent="0.25">
      <c r="B2194">
        <v>2410</v>
      </c>
      <c r="C2194">
        <v>327</v>
      </c>
      <c r="D2194">
        <v>152</v>
      </c>
      <c r="E2194">
        <v>10</v>
      </c>
      <c r="F2194">
        <v>24</v>
      </c>
      <c r="G2194">
        <v>6</v>
      </c>
      <c r="H2194">
        <v>0</v>
      </c>
      <c r="I2194">
        <v>0</v>
      </c>
      <c r="J2194">
        <v>30</v>
      </c>
      <c r="K2194" t="s">
        <v>248</v>
      </c>
    </row>
    <row r="2195" spans="2:11" x14ac:dyDescent="0.25">
      <c r="B2195">
        <v>2411</v>
      </c>
      <c r="C2195">
        <v>288</v>
      </c>
      <c r="D2195">
        <v>134</v>
      </c>
      <c r="E2195">
        <v>10</v>
      </c>
      <c r="F2195">
        <v>11</v>
      </c>
      <c r="G2195">
        <v>7</v>
      </c>
      <c r="H2195">
        <v>0</v>
      </c>
      <c r="I2195">
        <v>0</v>
      </c>
      <c r="J2195">
        <v>18</v>
      </c>
      <c r="K2195" t="s">
        <v>248</v>
      </c>
    </row>
    <row r="2196" spans="2:11" x14ac:dyDescent="0.25">
      <c r="B2196">
        <v>2413</v>
      </c>
      <c r="C2196">
        <v>127</v>
      </c>
      <c r="D2196">
        <v>56</v>
      </c>
      <c r="E2196">
        <v>10</v>
      </c>
      <c r="F2196">
        <v>20</v>
      </c>
      <c r="G2196">
        <v>0</v>
      </c>
      <c r="H2196">
        <v>0</v>
      </c>
      <c r="I2196">
        <v>0</v>
      </c>
      <c r="J2196">
        <v>20</v>
      </c>
      <c r="K2196" t="s">
        <v>245</v>
      </c>
    </row>
    <row r="2197" spans="2:11" x14ac:dyDescent="0.25">
      <c r="B2197">
        <v>2415</v>
      </c>
      <c r="C2197">
        <v>126</v>
      </c>
      <c r="D2197">
        <v>56</v>
      </c>
      <c r="E2197">
        <v>8</v>
      </c>
      <c r="F2197">
        <v>4</v>
      </c>
      <c r="G2197">
        <v>3</v>
      </c>
      <c r="H2197">
        <v>3</v>
      </c>
      <c r="I2197">
        <v>0</v>
      </c>
      <c r="J2197">
        <v>10</v>
      </c>
      <c r="K2197" t="s">
        <v>241</v>
      </c>
    </row>
    <row r="2198" spans="2:11" x14ac:dyDescent="0.25">
      <c r="B2198">
        <v>2416</v>
      </c>
      <c r="C2198">
        <v>301</v>
      </c>
      <c r="D2198">
        <v>139</v>
      </c>
      <c r="E2198">
        <v>10</v>
      </c>
      <c r="F2198">
        <v>5</v>
      </c>
      <c r="G2198">
        <v>0</v>
      </c>
      <c r="H2198">
        <v>0</v>
      </c>
      <c r="I2198">
        <v>0</v>
      </c>
      <c r="J2198">
        <v>5</v>
      </c>
      <c r="K2198" t="s">
        <v>245</v>
      </c>
    </row>
    <row r="2199" spans="2:11" x14ac:dyDescent="0.25">
      <c r="B2199">
        <v>2417</v>
      </c>
      <c r="C2199">
        <v>126</v>
      </c>
      <c r="D2199">
        <v>56</v>
      </c>
      <c r="E2199">
        <v>10</v>
      </c>
      <c r="F2199">
        <v>5</v>
      </c>
      <c r="G2199">
        <v>4</v>
      </c>
      <c r="H2199">
        <v>1</v>
      </c>
      <c r="I2199">
        <v>0</v>
      </c>
      <c r="J2199">
        <v>10</v>
      </c>
      <c r="K2199" t="s">
        <v>246</v>
      </c>
    </row>
    <row r="2200" spans="2:11" x14ac:dyDescent="0.25">
      <c r="B2200">
        <v>2418</v>
      </c>
      <c r="C2200">
        <v>100</v>
      </c>
      <c r="D2200">
        <v>50</v>
      </c>
      <c r="E2200">
        <v>10</v>
      </c>
      <c r="F2200">
        <v>3</v>
      </c>
      <c r="G2200">
        <v>12</v>
      </c>
      <c r="H2200">
        <v>0</v>
      </c>
      <c r="I2200">
        <v>0</v>
      </c>
      <c r="J2200">
        <v>15</v>
      </c>
      <c r="K2200" t="s">
        <v>245</v>
      </c>
    </row>
    <row r="2201" spans="2:11" x14ac:dyDescent="0.25">
      <c r="B2201">
        <v>2419</v>
      </c>
      <c r="C2201">
        <v>100</v>
      </c>
      <c r="D2201">
        <v>50</v>
      </c>
      <c r="E2201">
        <v>9</v>
      </c>
      <c r="F2201">
        <v>10</v>
      </c>
      <c r="G2201">
        <v>15</v>
      </c>
      <c r="H2201">
        <v>0</v>
      </c>
      <c r="I2201">
        <v>0</v>
      </c>
      <c r="J2201">
        <v>25</v>
      </c>
      <c r="K2201" t="s">
        <v>245</v>
      </c>
    </row>
    <row r="2202" spans="2:11" x14ac:dyDescent="0.25">
      <c r="B2202">
        <v>2420</v>
      </c>
      <c r="C2202">
        <v>238</v>
      </c>
      <c r="D2202">
        <v>105</v>
      </c>
      <c r="E2202">
        <v>11</v>
      </c>
      <c r="F2202">
        <v>6</v>
      </c>
      <c r="G2202">
        <v>5</v>
      </c>
      <c r="H2202">
        <v>0</v>
      </c>
      <c r="I2202">
        <v>0</v>
      </c>
      <c r="J2202">
        <v>11</v>
      </c>
      <c r="K2202" t="s">
        <v>241</v>
      </c>
    </row>
    <row r="2203" spans="2:11" x14ac:dyDescent="0.25">
      <c r="B2203">
        <v>2422</v>
      </c>
      <c r="C2203">
        <v>316</v>
      </c>
      <c r="D2203">
        <v>146</v>
      </c>
      <c r="E2203">
        <v>10</v>
      </c>
      <c r="F2203">
        <v>2</v>
      </c>
      <c r="G2203">
        <v>0</v>
      </c>
      <c r="H2203">
        <v>1</v>
      </c>
      <c r="I2203">
        <v>0</v>
      </c>
      <c r="J2203">
        <v>3</v>
      </c>
      <c r="K2203" t="s">
        <v>248</v>
      </c>
    </row>
    <row r="2204" spans="2:11" x14ac:dyDescent="0.25">
      <c r="B2204">
        <v>2423</v>
      </c>
      <c r="C2204">
        <v>101</v>
      </c>
      <c r="D2204">
        <v>51</v>
      </c>
      <c r="E2204">
        <v>10</v>
      </c>
      <c r="F2204">
        <v>7</v>
      </c>
      <c r="G2204">
        <v>2</v>
      </c>
      <c r="H2204">
        <v>1</v>
      </c>
      <c r="I2204">
        <v>0</v>
      </c>
      <c r="J2204">
        <v>10</v>
      </c>
      <c r="K2204" t="s">
        <v>246</v>
      </c>
    </row>
    <row r="2205" spans="2:11" x14ac:dyDescent="0.25">
      <c r="B2205">
        <v>2424</v>
      </c>
      <c r="C2205">
        <v>126</v>
      </c>
      <c r="D2205">
        <v>56</v>
      </c>
      <c r="E2205">
        <v>9</v>
      </c>
      <c r="F2205">
        <v>5</v>
      </c>
      <c r="G2205">
        <v>3</v>
      </c>
      <c r="H2205">
        <v>2</v>
      </c>
      <c r="I2205">
        <v>0</v>
      </c>
      <c r="J2205">
        <v>10</v>
      </c>
      <c r="K2205" t="s">
        <v>247</v>
      </c>
    </row>
    <row r="2206" spans="2:11" x14ac:dyDescent="0.25">
      <c r="B2206">
        <v>2425</v>
      </c>
      <c r="C2206">
        <v>315</v>
      </c>
      <c r="D2206">
        <v>145</v>
      </c>
      <c r="E2206">
        <v>10</v>
      </c>
      <c r="F2206">
        <v>11</v>
      </c>
      <c r="G2206">
        <v>18</v>
      </c>
      <c r="H2206">
        <v>0</v>
      </c>
      <c r="I2206">
        <v>0</v>
      </c>
      <c r="J2206">
        <v>29</v>
      </c>
      <c r="K2206" t="s">
        <v>247</v>
      </c>
    </row>
    <row r="2207" spans="2:11" x14ac:dyDescent="0.25">
      <c r="B2207">
        <v>2426</v>
      </c>
      <c r="C2207">
        <v>328</v>
      </c>
      <c r="D2207">
        <v>152</v>
      </c>
      <c r="E2207">
        <v>10</v>
      </c>
      <c r="F2207">
        <v>6</v>
      </c>
      <c r="G2207">
        <v>24</v>
      </c>
      <c r="H2207">
        <v>0</v>
      </c>
      <c r="I2207">
        <v>0</v>
      </c>
      <c r="J2207">
        <v>30</v>
      </c>
      <c r="K2207" t="s">
        <v>247</v>
      </c>
    </row>
    <row r="2208" spans="2:11" x14ac:dyDescent="0.25">
      <c r="B2208">
        <v>2427</v>
      </c>
      <c r="C2208">
        <v>291</v>
      </c>
      <c r="D2208">
        <v>135</v>
      </c>
      <c r="E2208">
        <v>10</v>
      </c>
      <c r="F2208">
        <v>16</v>
      </c>
      <c r="G2208">
        <v>1</v>
      </c>
      <c r="H2208">
        <v>0</v>
      </c>
      <c r="I2208">
        <v>0</v>
      </c>
      <c r="J2208">
        <v>17</v>
      </c>
      <c r="K2208" t="s">
        <v>248</v>
      </c>
    </row>
    <row r="2209" spans="2:11" x14ac:dyDescent="0.25">
      <c r="B2209">
        <v>2428</v>
      </c>
      <c r="C2209">
        <v>251</v>
      </c>
      <c r="D2209">
        <v>113</v>
      </c>
      <c r="E2209">
        <v>11</v>
      </c>
      <c r="F2209">
        <v>4</v>
      </c>
      <c r="G2209">
        <v>1</v>
      </c>
      <c r="H2209">
        <v>8</v>
      </c>
      <c r="I2209">
        <v>0</v>
      </c>
      <c r="J2209">
        <v>13</v>
      </c>
      <c r="K2209" t="s">
        <v>245</v>
      </c>
    </row>
    <row r="2210" spans="2:11" x14ac:dyDescent="0.25">
      <c r="B2210">
        <v>2430</v>
      </c>
      <c r="C2210">
        <v>330</v>
      </c>
      <c r="D2210">
        <v>152</v>
      </c>
      <c r="E2210">
        <v>10</v>
      </c>
      <c r="F2210">
        <v>10</v>
      </c>
      <c r="G2210">
        <v>20</v>
      </c>
      <c r="H2210">
        <v>0</v>
      </c>
      <c r="I2210">
        <v>0</v>
      </c>
      <c r="J2210">
        <v>30</v>
      </c>
      <c r="K2210" t="s">
        <v>245</v>
      </c>
    </row>
    <row r="2211" spans="2:11" x14ac:dyDescent="0.25">
      <c r="B2211">
        <v>2431</v>
      </c>
      <c r="C2211">
        <v>303</v>
      </c>
      <c r="D2211">
        <v>140</v>
      </c>
      <c r="E2211">
        <v>10</v>
      </c>
      <c r="F2211">
        <v>9</v>
      </c>
      <c r="G2211">
        <v>2</v>
      </c>
      <c r="H2211">
        <v>0</v>
      </c>
      <c r="I2211">
        <v>0</v>
      </c>
      <c r="J2211">
        <v>11</v>
      </c>
      <c r="K2211" t="s">
        <v>248</v>
      </c>
    </row>
    <row r="2212" spans="2:11" x14ac:dyDescent="0.25">
      <c r="B2212">
        <v>2432</v>
      </c>
      <c r="C2212">
        <v>318</v>
      </c>
      <c r="D2212">
        <v>147</v>
      </c>
      <c r="E2212">
        <v>10</v>
      </c>
      <c r="F2212">
        <v>8</v>
      </c>
      <c r="G2212">
        <v>19</v>
      </c>
      <c r="H2212">
        <v>0</v>
      </c>
      <c r="I2212">
        <v>0</v>
      </c>
      <c r="J2212">
        <v>27</v>
      </c>
      <c r="K2212" t="s">
        <v>242</v>
      </c>
    </row>
    <row r="2213" spans="2:11" x14ac:dyDescent="0.25">
      <c r="B2213">
        <v>2434</v>
      </c>
      <c r="C2213">
        <v>252</v>
      </c>
      <c r="D2213">
        <v>114</v>
      </c>
      <c r="E2213">
        <v>11</v>
      </c>
      <c r="F2213">
        <v>5</v>
      </c>
      <c r="G2213">
        <v>11</v>
      </c>
      <c r="H2213">
        <v>6</v>
      </c>
      <c r="I2213">
        <v>0</v>
      </c>
      <c r="J2213">
        <v>22</v>
      </c>
      <c r="K2213" t="s">
        <v>246</v>
      </c>
    </row>
    <row r="2214" spans="2:11" x14ac:dyDescent="0.25">
      <c r="B2214">
        <v>2435</v>
      </c>
      <c r="C2214">
        <v>345</v>
      </c>
      <c r="D2214">
        <v>155</v>
      </c>
      <c r="E2214">
        <v>10</v>
      </c>
      <c r="F2214">
        <v>11</v>
      </c>
      <c r="G2214">
        <v>8</v>
      </c>
      <c r="H2214">
        <v>0</v>
      </c>
      <c r="I2214">
        <v>0</v>
      </c>
      <c r="J2214">
        <v>19</v>
      </c>
      <c r="K2214" t="s">
        <v>241</v>
      </c>
    </row>
    <row r="2215" spans="2:11" x14ac:dyDescent="0.25">
      <c r="B2215">
        <v>2436</v>
      </c>
      <c r="C2215">
        <v>238</v>
      </c>
      <c r="D2215">
        <v>105</v>
      </c>
      <c r="E2215">
        <v>10</v>
      </c>
      <c r="F2215">
        <v>15</v>
      </c>
      <c r="G2215">
        <v>9</v>
      </c>
      <c r="H2215">
        <v>4</v>
      </c>
      <c r="I2215">
        <v>0</v>
      </c>
      <c r="J2215">
        <v>28</v>
      </c>
      <c r="K2215" t="s">
        <v>242</v>
      </c>
    </row>
    <row r="2216" spans="2:11" x14ac:dyDescent="0.25">
      <c r="B2216">
        <v>2437</v>
      </c>
      <c r="C2216">
        <v>346</v>
      </c>
      <c r="D2216">
        <v>155</v>
      </c>
      <c r="E2216">
        <v>9</v>
      </c>
      <c r="F2216">
        <v>19</v>
      </c>
      <c r="G2216">
        <v>11</v>
      </c>
      <c r="H2216">
        <v>0</v>
      </c>
      <c r="I2216">
        <v>0</v>
      </c>
      <c r="J2216">
        <v>30</v>
      </c>
      <c r="K2216" t="s">
        <v>246</v>
      </c>
    </row>
    <row r="2217" spans="2:11" x14ac:dyDescent="0.25">
      <c r="B2217">
        <v>2438</v>
      </c>
      <c r="C2217">
        <v>292</v>
      </c>
      <c r="D2217">
        <v>135</v>
      </c>
      <c r="E2217">
        <v>10</v>
      </c>
      <c r="F2217">
        <v>17</v>
      </c>
      <c r="G2217">
        <v>3</v>
      </c>
      <c r="H2217">
        <v>0</v>
      </c>
      <c r="I2217">
        <v>0</v>
      </c>
      <c r="J2217">
        <v>20</v>
      </c>
      <c r="K2217" t="s">
        <v>246</v>
      </c>
    </row>
    <row r="2218" spans="2:11" x14ac:dyDescent="0.25">
      <c r="B2218">
        <v>2439</v>
      </c>
      <c r="C2218">
        <v>341</v>
      </c>
      <c r="D2218">
        <v>152</v>
      </c>
      <c r="E2218">
        <v>10</v>
      </c>
      <c r="F2218">
        <v>15</v>
      </c>
      <c r="G2218">
        <v>15</v>
      </c>
      <c r="H2218">
        <v>0</v>
      </c>
      <c r="I2218">
        <v>0</v>
      </c>
      <c r="J2218">
        <v>30</v>
      </c>
      <c r="K2218" t="s">
        <v>241</v>
      </c>
    </row>
    <row r="2219" spans="2:11" x14ac:dyDescent="0.25">
      <c r="B2219">
        <v>2440</v>
      </c>
      <c r="C2219">
        <v>339</v>
      </c>
      <c r="D2219">
        <v>152</v>
      </c>
      <c r="E2219">
        <v>10</v>
      </c>
      <c r="F2219">
        <v>2</v>
      </c>
      <c r="G2219">
        <v>9</v>
      </c>
      <c r="H2219">
        <v>0</v>
      </c>
      <c r="I2219">
        <v>0</v>
      </c>
      <c r="J2219">
        <v>11</v>
      </c>
      <c r="K2219" t="s">
        <v>241</v>
      </c>
    </row>
    <row r="2220" spans="2:11" x14ac:dyDescent="0.25">
      <c r="B2220">
        <v>2441</v>
      </c>
      <c r="C2220">
        <v>347</v>
      </c>
      <c r="D2220">
        <v>155</v>
      </c>
      <c r="E2220">
        <v>10</v>
      </c>
      <c r="F2220">
        <v>11</v>
      </c>
      <c r="G2220">
        <v>14</v>
      </c>
      <c r="H2220">
        <v>2</v>
      </c>
      <c r="I2220">
        <v>0</v>
      </c>
      <c r="J2220">
        <v>27</v>
      </c>
      <c r="K2220" t="s">
        <v>248</v>
      </c>
    </row>
    <row r="2221" spans="2:11" x14ac:dyDescent="0.25">
      <c r="B2221">
        <v>2442</v>
      </c>
      <c r="C2221">
        <v>304</v>
      </c>
      <c r="D2221">
        <v>141</v>
      </c>
      <c r="E2221">
        <v>10</v>
      </c>
      <c r="F2221">
        <v>4</v>
      </c>
      <c r="G2221">
        <v>7</v>
      </c>
      <c r="H2221">
        <v>0</v>
      </c>
      <c r="I2221">
        <v>0</v>
      </c>
      <c r="J2221">
        <v>0</v>
      </c>
      <c r="K2221" t="s">
        <v>241</v>
      </c>
    </row>
    <row r="2222" spans="2:11" x14ac:dyDescent="0.25">
      <c r="B2222">
        <v>2443</v>
      </c>
      <c r="C2222">
        <v>289</v>
      </c>
      <c r="D2222">
        <v>135</v>
      </c>
      <c r="E2222">
        <v>10</v>
      </c>
      <c r="F2222">
        <v>28</v>
      </c>
      <c r="G2222">
        <v>2</v>
      </c>
      <c r="H2222">
        <v>0</v>
      </c>
      <c r="I2222">
        <v>0</v>
      </c>
      <c r="J2222">
        <v>30</v>
      </c>
      <c r="K2222" t="s">
        <v>243</v>
      </c>
    </row>
    <row r="2223" spans="2:11" x14ac:dyDescent="0.25">
      <c r="B2223">
        <v>2445</v>
      </c>
      <c r="C2223">
        <v>102</v>
      </c>
      <c r="D2223">
        <v>51</v>
      </c>
      <c r="E2223">
        <v>10</v>
      </c>
      <c r="F2223">
        <v>6</v>
      </c>
      <c r="G2223">
        <v>4</v>
      </c>
      <c r="H2223">
        <v>0</v>
      </c>
      <c r="I2223">
        <v>0</v>
      </c>
      <c r="J2223">
        <v>10</v>
      </c>
      <c r="K2223" t="s">
        <v>247</v>
      </c>
    </row>
    <row r="2224" spans="2:11" x14ac:dyDescent="0.25">
      <c r="B2224">
        <v>2446</v>
      </c>
      <c r="C2224">
        <v>343</v>
      </c>
      <c r="D2224">
        <v>154</v>
      </c>
      <c r="E2224">
        <v>10</v>
      </c>
      <c r="F2224">
        <v>11</v>
      </c>
      <c r="G2224">
        <v>18</v>
      </c>
      <c r="H2224">
        <v>0</v>
      </c>
      <c r="I2224">
        <v>0</v>
      </c>
      <c r="J2224">
        <v>29</v>
      </c>
      <c r="K2224" t="s">
        <v>245</v>
      </c>
    </row>
    <row r="2225" spans="2:11" x14ac:dyDescent="0.25">
      <c r="B2225">
        <v>2447</v>
      </c>
      <c r="C2225">
        <v>102</v>
      </c>
      <c r="D2225">
        <v>51</v>
      </c>
      <c r="E2225">
        <v>11</v>
      </c>
      <c r="F2225">
        <v>3</v>
      </c>
      <c r="G2225">
        <v>2</v>
      </c>
      <c r="H2225">
        <v>0</v>
      </c>
      <c r="I2225">
        <v>0</v>
      </c>
      <c r="J2225">
        <v>5</v>
      </c>
      <c r="K2225" t="s">
        <v>247</v>
      </c>
    </row>
    <row r="2226" spans="2:11" x14ac:dyDescent="0.25">
      <c r="B2226">
        <v>2448</v>
      </c>
      <c r="C2226">
        <v>348</v>
      </c>
      <c r="D2226">
        <v>155</v>
      </c>
      <c r="E2226">
        <v>10</v>
      </c>
      <c r="F2226">
        <v>17</v>
      </c>
      <c r="G2226">
        <v>13</v>
      </c>
      <c r="H2226">
        <v>0</v>
      </c>
      <c r="I2226">
        <v>0</v>
      </c>
      <c r="J2226">
        <v>30</v>
      </c>
      <c r="K2226" t="s">
        <v>248</v>
      </c>
    </row>
    <row r="2227" spans="2:11" x14ac:dyDescent="0.25">
      <c r="B2227">
        <v>2449</v>
      </c>
      <c r="C2227">
        <v>293</v>
      </c>
      <c r="D2227">
        <v>136</v>
      </c>
      <c r="E2227">
        <v>10</v>
      </c>
      <c r="F2227">
        <v>10</v>
      </c>
      <c r="G2227">
        <v>17</v>
      </c>
      <c r="H2227">
        <v>2</v>
      </c>
      <c r="I2227">
        <v>0</v>
      </c>
      <c r="J2227">
        <v>29</v>
      </c>
      <c r="K2227" t="s">
        <v>242</v>
      </c>
    </row>
    <row r="2228" spans="2:11" x14ac:dyDescent="0.25">
      <c r="B2228">
        <v>2452</v>
      </c>
      <c r="C2228">
        <v>331</v>
      </c>
      <c r="D2228">
        <v>152</v>
      </c>
      <c r="E2228">
        <v>10</v>
      </c>
      <c r="F2228">
        <v>4</v>
      </c>
      <c r="G2228">
        <v>25</v>
      </c>
      <c r="H2228">
        <v>1</v>
      </c>
      <c r="I2228">
        <v>0</v>
      </c>
      <c r="J2228">
        <v>30</v>
      </c>
      <c r="K2228" t="s">
        <v>242</v>
      </c>
    </row>
    <row r="2229" spans="2:11" x14ac:dyDescent="0.25">
      <c r="B2229">
        <v>2453</v>
      </c>
      <c r="C2229">
        <v>48</v>
      </c>
      <c r="D2229">
        <v>24</v>
      </c>
      <c r="E2229">
        <v>8</v>
      </c>
      <c r="F2229">
        <v>3</v>
      </c>
      <c r="G2229">
        <v>5</v>
      </c>
      <c r="H2229">
        <v>0</v>
      </c>
      <c r="I2229">
        <v>0</v>
      </c>
      <c r="J2229">
        <v>8</v>
      </c>
      <c r="K2229" t="s">
        <v>241</v>
      </c>
    </row>
    <row r="2230" spans="2:11" x14ac:dyDescent="0.25">
      <c r="B2230">
        <v>2457</v>
      </c>
      <c r="C2230">
        <v>48</v>
      </c>
      <c r="D2230">
        <v>24</v>
      </c>
      <c r="E2230">
        <v>9</v>
      </c>
      <c r="F2230">
        <v>4</v>
      </c>
      <c r="G2230">
        <v>3</v>
      </c>
      <c r="H2230">
        <v>0</v>
      </c>
      <c r="I2230">
        <v>0</v>
      </c>
      <c r="J2230">
        <v>7</v>
      </c>
      <c r="K2230" t="s">
        <v>241</v>
      </c>
    </row>
    <row r="2231" spans="2:11" x14ac:dyDescent="0.25">
      <c r="B2231">
        <v>2458</v>
      </c>
      <c r="C2231">
        <v>48</v>
      </c>
      <c r="D2231">
        <v>24</v>
      </c>
      <c r="E2231">
        <v>1</v>
      </c>
      <c r="F2231">
        <v>10</v>
      </c>
      <c r="G2231">
        <v>10</v>
      </c>
      <c r="H2231">
        <v>0</v>
      </c>
      <c r="I2231">
        <v>0</v>
      </c>
      <c r="J2231">
        <v>20</v>
      </c>
      <c r="K2231" t="s">
        <v>241</v>
      </c>
    </row>
    <row r="2232" spans="2:11" x14ac:dyDescent="0.25">
      <c r="B2232">
        <v>2459</v>
      </c>
      <c r="C2232">
        <v>253</v>
      </c>
      <c r="D2232">
        <v>115</v>
      </c>
      <c r="E2232">
        <v>11</v>
      </c>
      <c r="F2232">
        <v>17</v>
      </c>
      <c r="G2232">
        <v>6</v>
      </c>
      <c r="H2232">
        <v>1</v>
      </c>
      <c r="I2232">
        <v>0</v>
      </c>
      <c r="J2232">
        <v>24</v>
      </c>
      <c r="K2232" t="s">
        <v>243</v>
      </c>
    </row>
    <row r="2233" spans="2:11" x14ac:dyDescent="0.25">
      <c r="B2233">
        <v>2460</v>
      </c>
      <c r="C2233">
        <v>48</v>
      </c>
      <c r="D2233">
        <v>24</v>
      </c>
      <c r="E2233">
        <v>3</v>
      </c>
      <c r="F2233">
        <v>6</v>
      </c>
      <c r="G2233">
        <v>10</v>
      </c>
      <c r="H2233">
        <v>0</v>
      </c>
      <c r="I2233">
        <v>0</v>
      </c>
      <c r="J2233">
        <v>16</v>
      </c>
      <c r="K2233" t="s">
        <v>241</v>
      </c>
    </row>
    <row r="2234" spans="2:11" x14ac:dyDescent="0.25">
      <c r="B2234">
        <v>2461</v>
      </c>
      <c r="C2234">
        <v>332</v>
      </c>
      <c r="D2234">
        <v>152</v>
      </c>
      <c r="E2234">
        <v>10</v>
      </c>
      <c r="F2234">
        <v>5</v>
      </c>
      <c r="G2234">
        <v>24</v>
      </c>
      <c r="H2234">
        <v>1</v>
      </c>
      <c r="I2234">
        <v>0</v>
      </c>
      <c r="J2234">
        <v>30</v>
      </c>
      <c r="K2234" t="s">
        <v>247</v>
      </c>
    </row>
    <row r="2235" spans="2:11" x14ac:dyDescent="0.25">
      <c r="B2235">
        <v>2463</v>
      </c>
      <c r="C2235">
        <v>48</v>
      </c>
      <c r="D2235">
        <v>24</v>
      </c>
      <c r="E2235">
        <v>2</v>
      </c>
      <c r="F2235">
        <v>4</v>
      </c>
      <c r="G2235">
        <v>16</v>
      </c>
      <c r="H2235">
        <v>0</v>
      </c>
      <c r="I2235">
        <v>0</v>
      </c>
      <c r="J2235">
        <v>20</v>
      </c>
      <c r="K2235" t="s">
        <v>241</v>
      </c>
    </row>
    <row r="2236" spans="2:11" x14ac:dyDescent="0.25">
      <c r="B2236">
        <v>2464</v>
      </c>
      <c r="C2236">
        <v>346</v>
      </c>
      <c r="D2236">
        <v>155</v>
      </c>
      <c r="E2236">
        <v>10</v>
      </c>
      <c r="F2236">
        <v>20</v>
      </c>
      <c r="G2236">
        <v>10</v>
      </c>
      <c r="H2236">
        <v>0</v>
      </c>
      <c r="I2236">
        <v>0</v>
      </c>
      <c r="J2236">
        <v>30</v>
      </c>
      <c r="K2236" t="s">
        <v>248</v>
      </c>
    </row>
    <row r="2237" spans="2:11" x14ac:dyDescent="0.25">
      <c r="B2237">
        <v>2466</v>
      </c>
      <c r="C2237">
        <v>250</v>
      </c>
      <c r="D2237">
        <v>112</v>
      </c>
      <c r="E2237">
        <v>10</v>
      </c>
      <c r="F2237">
        <v>12</v>
      </c>
      <c r="G2237">
        <v>0</v>
      </c>
      <c r="H2237">
        <v>1</v>
      </c>
      <c r="I2237">
        <v>0</v>
      </c>
      <c r="J2237">
        <v>13</v>
      </c>
      <c r="K2237" t="s">
        <v>242</v>
      </c>
    </row>
    <row r="2238" spans="2:11" x14ac:dyDescent="0.25">
      <c r="B2238">
        <v>2467</v>
      </c>
      <c r="C2238">
        <v>294</v>
      </c>
      <c r="D2238">
        <v>136</v>
      </c>
      <c r="E2238">
        <v>10</v>
      </c>
      <c r="F2238">
        <v>29</v>
      </c>
      <c r="G2238">
        <v>1</v>
      </c>
      <c r="H2238">
        <v>0</v>
      </c>
      <c r="I2238">
        <v>0</v>
      </c>
      <c r="J2238">
        <v>30</v>
      </c>
      <c r="K2238" t="s">
        <v>243</v>
      </c>
    </row>
    <row r="2239" spans="2:11" x14ac:dyDescent="0.25">
      <c r="B2239">
        <v>2468</v>
      </c>
      <c r="C2239">
        <v>130</v>
      </c>
      <c r="D2239">
        <v>58</v>
      </c>
      <c r="E2239">
        <v>9</v>
      </c>
      <c r="F2239">
        <v>11</v>
      </c>
      <c r="G2239">
        <v>11</v>
      </c>
      <c r="H2239">
        <v>0</v>
      </c>
      <c r="I2239">
        <v>0</v>
      </c>
      <c r="J2239">
        <v>22</v>
      </c>
      <c r="K2239" t="s">
        <v>246</v>
      </c>
    </row>
    <row r="2240" spans="2:11" x14ac:dyDescent="0.25">
      <c r="B2240">
        <v>2469</v>
      </c>
      <c r="C2240">
        <v>133</v>
      </c>
      <c r="D2240">
        <v>60</v>
      </c>
      <c r="E2240">
        <v>10</v>
      </c>
      <c r="F2240">
        <v>13</v>
      </c>
      <c r="G2240">
        <v>7</v>
      </c>
      <c r="H2240">
        <v>0</v>
      </c>
      <c r="I2240">
        <v>0</v>
      </c>
      <c r="J2240">
        <v>20</v>
      </c>
      <c r="K2240" t="s">
        <v>246</v>
      </c>
    </row>
    <row r="2241" spans="2:11" x14ac:dyDescent="0.25">
      <c r="B2241">
        <v>2470</v>
      </c>
      <c r="C2241">
        <v>305</v>
      </c>
      <c r="D2241">
        <v>141</v>
      </c>
      <c r="E2241">
        <v>10</v>
      </c>
      <c r="F2241">
        <v>12</v>
      </c>
      <c r="G2241">
        <v>2</v>
      </c>
      <c r="H2241">
        <v>0</v>
      </c>
      <c r="I2241">
        <v>0</v>
      </c>
      <c r="J2241">
        <v>14</v>
      </c>
      <c r="K2241" t="s">
        <v>247</v>
      </c>
    </row>
    <row r="2242" spans="2:11" x14ac:dyDescent="0.25">
      <c r="B2242">
        <v>2471</v>
      </c>
      <c r="C2242">
        <v>340</v>
      </c>
      <c r="D2242">
        <v>152</v>
      </c>
      <c r="E2242">
        <v>10</v>
      </c>
      <c r="F2242">
        <v>9</v>
      </c>
      <c r="G2242">
        <v>10</v>
      </c>
      <c r="H2242">
        <v>0</v>
      </c>
      <c r="I2242">
        <v>0</v>
      </c>
      <c r="J2242">
        <v>19</v>
      </c>
      <c r="K2242" t="s">
        <v>248</v>
      </c>
    </row>
    <row r="2243" spans="2:11" x14ac:dyDescent="0.25">
      <c r="B2243">
        <v>2472</v>
      </c>
      <c r="C2243">
        <v>136</v>
      </c>
      <c r="D2243">
        <v>60</v>
      </c>
      <c r="E2243">
        <v>11</v>
      </c>
      <c r="F2243">
        <v>3</v>
      </c>
      <c r="G2243">
        <v>6</v>
      </c>
      <c r="H2243">
        <v>8</v>
      </c>
      <c r="I2243">
        <v>0</v>
      </c>
      <c r="J2243">
        <v>17</v>
      </c>
      <c r="K2243" t="s">
        <v>246</v>
      </c>
    </row>
    <row r="2244" spans="2:11" x14ac:dyDescent="0.25">
      <c r="B2244">
        <v>5502</v>
      </c>
      <c r="C2244">
        <v>207</v>
      </c>
      <c r="D2244">
        <v>92</v>
      </c>
      <c r="E2244">
        <v>8</v>
      </c>
      <c r="F2244">
        <v>7</v>
      </c>
      <c r="G2244">
        <v>6</v>
      </c>
      <c r="H2244">
        <v>0</v>
      </c>
      <c r="I2244">
        <v>0</v>
      </c>
      <c r="J2244">
        <v>13</v>
      </c>
      <c r="K2244" t="s">
        <v>246</v>
      </c>
    </row>
    <row r="2245" spans="2:11" x14ac:dyDescent="0.25">
      <c r="B2245">
        <v>5503</v>
      </c>
      <c r="C2245">
        <v>214</v>
      </c>
      <c r="D2245">
        <v>94</v>
      </c>
      <c r="E2245">
        <v>2</v>
      </c>
      <c r="F2245">
        <v>0</v>
      </c>
      <c r="G2245">
        <v>50</v>
      </c>
      <c r="H2245">
        <v>0</v>
      </c>
      <c r="I2245">
        <v>0</v>
      </c>
      <c r="J2245">
        <v>50</v>
      </c>
      <c r="K2245" t="s">
        <v>252</v>
      </c>
    </row>
    <row r="2246" spans="2:11" x14ac:dyDescent="0.25">
      <c r="B2246">
        <v>5505</v>
      </c>
      <c r="C2246">
        <v>207</v>
      </c>
      <c r="D2246">
        <v>92</v>
      </c>
      <c r="E2246">
        <v>9</v>
      </c>
      <c r="F2246">
        <v>5</v>
      </c>
      <c r="G2246">
        <v>2</v>
      </c>
      <c r="H2246">
        <v>1</v>
      </c>
      <c r="I2246">
        <v>0</v>
      </c>
      <c r="J2246">
        <v>8</v>
      </c>
      <c r="K2246" t="s">
        <v>246</v>
      </c>
    </row>
    <row r="2247" spans="2:11" x14ac:dyDescent="0.25">
      <c r="B2247">
        <v>5506</v>
      </c>
      <c r="C2247">
        <v>214</v>
      </c>
      <c r="D2247">
        <v>94</v>
      </c>
      <c r="E2247">
        <v>3</v>
      </c>
      <c r="F2247">
        <v>1</v>
      </c>
      <c r="G2247">
        <v>16</v>
      </c>
      <c r="H2247">
        <v>0</v>
      </c>
      <c r="I2247">
        <v>0</v>
      </c>
      <c r="J2247">
        <v>17</v>
      </c>
      <c r="K2247" t="s">
        <v>252</v>
      </c>
    </row>
    <row r="2248" spans="2:11" x14ac:dyDescent="0.25">
      <c r="B2248">
        <v>5507</v>
      </c>
      <c r="C2248">
        <v>207</v>
      </c>
      <c r="D2248">
        <v>92</v>
      </c>
      <c r="E2248">
        <v>10</v>
      </c>
      <c r="F2248">
        <v>10</v>
      </c>
      <c r="G2248">
        <v>6</v>
      </c>
      <c r="H2248">
        <v>1</v>
      </c>
      <c r="I2248">
        <v>0</v>
      </c>
      <c r="J2248">
        <v>17</v>
      </c>
      <c r="K2248" t="s">
        <v>246</v>
      </c>
    </row>
    <row r="2249" spans="2:11" x14ac:dyDescent="0.25">
      <c r="B2249">
        <v>5508</v>
      </c>
      <c r="C2249">
        <v>214</v>
      </c>
      <c r="D2249">
        <v>94</v>
      </c>
      <c r="E2249">
        <v>4</v>
      </c>
      <c r="F2249">
        <v>0</v>
      </c>
      <c r="G2249">
        <v>18</v>
      </c>
      <c r="H2249">
        <v>0</v>
      </c>
      <c r="I2249">
        <v>0</v>
      </c>
      <c r="J2249">
        <v>18</v>
      </c>
      <c r="K2249" t="s">
        <v>252</v>
      </c>
    </row>
    <row r="2250" spans="2:11" x14ac:dyDescent="0.25">
      <c r="B2250">
        <v>5509</v>
      </c>
      <c r="C2250">
        <v>207</v>
      </c>
      <c r="D2250">
        <v>92</v>
      </c>
      <c r="E2250">
        <v>11</v>
      </c>
      <c r="F2250">
        <v>4</v>
      </c>
      <c r="G2250">
        <v>6</v>
      </c>
      <c r="H2250">
        <v>3</v>
      </c>
      <c r="I2250">
        <v>0</v>
      </c>
      <c r="J2250">
        <v>13</v>
      </c>
      <c r="K2250" t="s">
        <v>246</v>
      </c>
    </row>
    <row r="2251" spans="2:11" x14ac:dyDescent="0.25">
      <c r="B2251">
        <v>5511</v>
      </c>
      <c r="C2251">
        <v>214</v>
      </c>
      <c r="D2251">
        <v>94</v>
      </c>
      <c r="E2251">
        <v>5</v>
      </c>
      <c r="F2251">
        <v>1</v>
      </c>
      <c r="G2251">
        <v>22</v>
      </c>
      <c r="H2251">
        <v>0</v>
      </c>
      <c r="I2251">
        <v>0</v>
      </c>
      <c r="J2251">
        <v>23</v>
      </c>
      <c r="K2251" t="s">
        <v>252</v>
      </c>
    </row>
    <row r="2252" spans="2:11" x14ac:dyDescent="0.25">
      <c r="B2252">
        <v>5512</v>
      </c>
      <c r="C2252">
        <v>207</v>
      </c>
      <c r="D2252">
        <v>92</v>
      </c>
      <c r="E2252">
        <v>12</v>
      </c>
      <c r="F2252">
        <v>8</v>
      </c>
      <c r="G2252">
        <v>7</v>
      </c>
      <c r="H2252">
        <v>4</v>
      </c>
      <c r="I2252">
        <v>0</v>
      </c>
      <c r="J2252">
        <v>19</v>
      </c>
      <c r="K2252" t="s">
        <v>246</v>
      </c>
    </row>
    <row r="2253" spans="2:11" x14ac:dyDescent="0.25">
      <c r="B2253">
        <v>2474</v>
      </c>
      <c r="C2253">
        <v>118</v>
      </c>
      <c r="D2253">
        <v>55</v>
      </c>
      <c r="E2253">
        <v>10</v>
      </c>
      <c r="F2253">
        <v>12</v>
      </c>
      <c r="G2253">
        <v>2</v>
      </c>
      <c r="H2253">
        <v>0</v>
      </c>
      <c r="I2253">
        <v>0</v>
      </c>
      <c r="J2253">
        <v>14</v>
      </c>
      <c r="K2253" t="s">
        <v>243</v>
      </c>
    </row>
    <row r="2254" spans="2:11" x14ac:dyDescent="0.25">
      <c r="B2254">
        <v>2476</v>
      </c>
      <c r="C2254">
        <v>119</v>
      </c>
      <c r="D2254">
        <v>55</v>
      </c>
      <c r="E2254">
        <v>10</v>
      </c>
      <c r="F2254">
        <v>1</v>
      </c>
      <c r="G2254">
        <v>0</v>
      </c>
      <c r="H2254">
        <v>0</v>
      </c>
      <c r="I2254">
        <v>0</v>
      </c>
      <c r="J2254">
        <v>1</v>
      </c>
      <c r="K2254" t="s">
        <v>243</v>
      </c>
    </row>
    <row r="2255" spans="2:11" x14ac:dyDescent="0.25">
      <c r="B2255">
        <v>2477</v>
      </c>
      <c r="C2255">
        <v>319</v>
      </c>
      <c r="D2255">
        <v>147</v>
      </c>
      <c r="E2255">
        <v>9</v>
      </c>
      <c r="F2255">
        <v>13</v>
      </c>
      <c r="G2255">
        <v>10</v>
      </c>
      <c r="H2255">
        <v>0</v>
      </c>
      <c r="I2255">
        <v>0</v>
      </c>
      <c r="J2255">
        <v>23</v>
      </c>
      <c r="K2255" t="s">
        <v>241</v>
      </c>
    </row>
    <row r="2256" spans="2:11" x14ac:dyDescent="0.25">
      <c r="B2256">
        <v>2478</v>
      </c>
      <c r="C2256">
        <v>236</v>
      </c>
      <c r="D2256">
        <v>103</v>
      </c>
      <c r="E2256">
        <v>10</v>
      </c>
      <c r="F2256">
        <v>13</v>
      </c>
      <c r="G2256">
        <v>12</v>
      </c>
      <c r="H2256">
        <v>0</v>
      </c>
      <c r="I2256">
        <v>0</v>
      </c>
      <c r="J2256">
        <v>25</v>
      </c>
      <c r="K2256" t="s">
        <v>242</v>
      </c>
    </row>
    <row r="2257" spans="2:11" x14ac:dyDescent="0.25">
      <c r="B2257">
        <v>2479</v>
      </c>
      <c r="C2257">
        <v>137</v>
      </c>
      <c r="D2257">
        <v>60</v>
      </c>
      <c r="E2257">
        <v>11</v>
      </c>
      <c r="F2257">
        <v>4</v>
      </c>
      <c r="G2257">
        <v>6</v>
      </c>
      <c r="H2257">
        <v>3</v>
      </c>
      <c r="I2257">
        <v>0</v>
      </c>
      <c r="J2257">
        <v>13</v>
      </c>
      <c r="K2257" t="s">
        <v>245</v>
      </c>
    </row>
    <row r="2258" spans="2:11" x14ac:dyDescent="0.25">
      <c r="B2258">
        <v>2480</v>
      </c>
      <c r="C2258">
        <v>319</v>
      </c>
      <c r="D2258">
        <v>147</v>
      </c>
      <c r="E2258">
        <v>8</v>
      </c>
      <c r="F2258">
        <v>5</v>
      </c>
      <c r="G2258">
        <v>10</v>
      </c>
      <c r="H2258">
        <v>1</v>
      </c>
      <c r="I2258">
        <v>0</v>
      </c>
      <c r="J2258">
        <v>16</v>
      </c>
      <c r="K2258" t="s">
        <v>241</v>
      </c>
    </row>
    <row r="2259" spans="2:11" x14ac:dyDescent="0.25">
      <c r="B2259">
        <v>2481</v>
      </c>
      <c r="C2259">
        <v>151</v>
      </c>
      <c r="D2259">
        <v>69</v>
      </c>
      <c r="E2259">
        <v>11</v>
      </c>
      <c r="F2259">
        <v>10</v>
      </c>
      <c r="G2259">
        <v>20</v>
      </c>
      <c r="H2259">
        <v>0</v>
      </c>
      <c r="I2259">
        <v>0</v>
      </c>
      <c r="J2259">
        <v>30</v>
      </c>
      <c r="K2259" t="s">
        <v>245</v>
      </c>
    </row>
    <row r="2260" spans="2:11" x14ac:dyDescent="0.25">
      <c r="B2260">
        <v>2482</v>
      </c>
      <c r="C2260">
        <v>255</v>
      </c>
      <c r="D2260">
        <v>116</v>
      </c>
      <c r="E2260">
        <v>10</v>
      </c>
      <c r="F2260">
        <v>20</v>
      </c>
      <c r="G2260">
        <v>6</v>
      </c>
      <c r="H2260">
        <v>2</v>
      </c>
      <c r="I2260">
        <v>0</v>
      </c>
      <c r="J2260">
        <v>28</v>
      </c>
      <c r="K2260" t="s">
        <v>242</v>
      </c>
    </row>
    <row r="2261" spans="2:11" x14ac:dyDescent="0.25">
      <c r="B2261">
        <v>2483</v>
      </c>
      <c r="C2261">
        <v>151</v>
      </c>
      <c r="D2261">
        <v>69</v>
      </c>
      <c r="E2261">
        <v>10</v>
      </c>
      <c r="F2261">
        <v>11</v>
      </c>
      <c r="G2261">
        <v>18</v>
      </c>
      <c r="H2261">
        <v>0</v>
      </c>
      <c r="I2261">
        <v>0</v>
      </c>
      <c r="J2261">
        <v>29</v>
      </c>
      <c r="K2261" t="s">
        <v>243</v>
      </c>
    </row>
    <row r="2262" spans="2:11" x14ac:dyDescent="0.25">
      <c r="B2262">
        <v>2485</v>
      </c>
      <c r="C2262">
        <v>254</v>
      </c>
      <c r="D2262">
        <v>116</v>
      </c>
      <c r="E2262">
        <v>9</v>
      </c>
      <c r="F2262">
        <v>19</v>
      </c>
      <c r="G2262">
        <v>8</v>
      </c>
      <c r="H2262">
        <v>0</v>
      </c>
      <c r="I2262">
        <v>0</v>
      </c>
      <c r="J2262">
        <v>27</v>
      </c>
      <c r="K2262" t="s">
        <v>245</v>
      </c>
    </row>
    <row r="2263" spans="2:11" x14ac:dyDescent="0.25">
      <c r="B2263">
        <v>2487</v>
      </c>
      <c r="C2263">
        <v>319</v>
      </c>
      <c r="D2263">
        <v>147</v>
      </c>
      <c r="E2263">
        <v>7</v>
      </c>
      <c r="F2263">
        <v>17</v>
      </c>
      <c r="G2263">
        <v>13</v>
      </c>
      <c r="H2263">
        <v>0</v>
      </c>
      <c r="I2263">
        <v>0</v>
      </c>
      <c r="J2263">
        <v>30</v>
      </c>
      <c r="K2263" t="s">
        <v>241</v>
      </c>
    </row>
    <row r="2264" spans="2:11" x14ac:dyDescent="0.25">
      <c r="B2264">
        <v>2489</v>
      </c>
      <c r="C2264">
        <v>271</v>
      </c>
      <c r="D2264">
        <v>122</v>
      </c>
      <c r="E2264">
        <v>9</v>
      </c>
      <c r="F2264">
        <v>14</v>
      </c>
      <c r="G2264">
        <v>14</v>
      </c>
      <c r="H2264">
        <v>1</v>
      </c>
      <c r="I2264">
        <v>0</v>
      </c>
      <c r="J2264">
        <v>29</v>
      </c>
      <c r="K2264" t="s">
        <v>246</v>
      </c>
    </row>
    <row r="2265" spans="2:11" x14ac:dyDescent="0.25">
      <c r="B2265">
        <v>2490</v>
      </c>
      <c r="C2265">
        <v>319</v>
      </c>
      <c r="D2265">
        <v>147</v>
      </c>
      <c r="E2265">
        <v>6</v>
      </c>
      <c r="F2265">
        <v>18</v>
      </c>
      <c r="G2265">
        <v>10</v>
      </c>
      <c r="H2265">
        <v>2</v>
      </c>
      <c r="I2265">
        <v>0</v>
      </c>
      <c r="J2265">
        <v>30</v>
      </c>
      <c r="K2265" t="s">
        <v>241</v>
      </c>
    </row>
    <row r="2266" spans="2:11" x14ac:dyDescent="0.25">
      <c r="B2266">
        <v>2491</v>
      </c>
      <c r="C2266">
        <v>131</v>
      </c>
      <c r="D2266">
        <v>59</v>
      </c>
      <c r="E2266">
        <v>9</v>
      </c>
      <c r="F2266">
        <v>2</v>
      </c>
      <c r="G2266">
        <v>5</v>
      </c>
      <c r="H2266">
        <v>0</v>
      </c>
      <c r="I2266">
        <v>0</v>
      </c>
      <c r="J2266">
        <v>7</v>
      </c>
      <c r="K2266" t="s">
        <v>245</v>
      </c>
    </row>
    <row r="2267" spans="2:11" x14ac:dyDescent="0.25">
      <c r="B2267">
        <v>2492</v>
      </c>
      <c r="C2267">
        <v>271</v>
      </c>
      <c r="D2267">
        <v>122</v>
      </c>
      <c r="E2267">
        <v>10</v>
      </c>
      <c r="F2267">
        <v>15</v>
      </c>
      <c r="G2267">
        <v>15</v>
      </c>
      <c r="H2267">
        <v>0</v>
      </c>
      <c r="I2267">
        <v>0</v>
      </c>
      <c r="J2267">
        <v>30</v>
      </c>
      <c r="K2267" t="s">
        <v>248</v>
      </c>
    </row>
    <row r="2268" spans="2:11" x14ac:dyDescent="0.25">
      <c r="B2268">
        <v>2493</v>
      </c>
      <c r="C2268">
        <v>117</v>
      </c>
      <c r="D2268">
        <v>54</v>
      </c>
      <c r="E2268">
        <v>10</v>
      </c>
      <c r="F2268">
        <v>6</v>
      </c>
      <c r="G2268">
        <v>9</v>
      </c>
      <c r="H2268">
        <v>0</v>
      </c>
      <c r="I2268">
        <v>0</v>
      </c>
      <c r="J2268">
        <v>15</v>
      </c>
      <c r="K2268" t="s">
        <v>246</v>
      </c>
    </row>
    <row r="2269" spans="2:11" x14ac:dyDescent="0.25">
      <c r="B2269">
        <v>2494</v>
      </c>
      <c r="C2269">
        <v>131</v>
      </c>
      <c r="D2269">
        <v>59</v>
      </c>
      <c r="E2269">
        <v>10</v>
      </c>
      <c r="F2269">
        <v>1</v>
      </c>
      <c r="G2269">
        <v>5</v>
      </c>
      <c r="H2269">
        <v>1</v>
      </c>
      <c r="I2269">
        <v>0</v>
      </c>
      <c r="J2269">
        <v>7</v>
      </c>
      <c r="K2269" t="s">
        <v>243</v>
      </c>
    </row>
    <row r="2270" spans="2:11" x14ac:dyDescent="0.25">
      <c r="B2270">
        <v>2495</v>
      </c>
      <c r="C2270">
        <v>319</v>
      </c>
      <c r="D2270">
        <v>147</v>
      </c>
      <c r="E2270">
        <v>5</v>
      </c>
      <c r="F2270">
        <v>15</v>
      </c>
      <c r="G2270">
        <v>14</v>
      </c>
      <c r="H2270">
        <v>0</v>
      </c>
      <c r="I2270">
        <v>0</v>
      </c>
      <c r="J2270">
        <v>29</v>
      </c>
      <c r="K2270" t="s">
        <v>241</v>
      </c>
    </row>
    <row r="2271" spans="2:11" x14ac:dyDescent="0.25">
      <c r="B2271">
        <v>2496</v>
      </c>
      <c r="C2271">
        <v>271</v>
      </c>
      <c r="D2271">
        <v>122</v>
      </c>
      <c r="E2271">
        <v>8</v>
      </c>
      <c r="F2271">
        <v>13</v>
      </c>
      <c r="G2271">
        <v>15</v>
      </c>
      <c r="H2271">
        <v>2</v>
      </c>
      <c r="I2271">
        <v>0</v>
      </c>
      <c r="J2271">
        <v>30</v>
      </c>
      <c r="K2271" t="s">
        <v>246</v>
      </c>
    </row>
    <row r="2272" spans="2:11" x14ac:dyDescent="0.25">
      <c r="B2272">
        <v>2497</v>
      </c>
      <c r="C2272">
        <v>307</v>
      </c>
      <c r="D2272">
        <v>142</v>
      </c>
      <c r="E2272">
        <v>10</v>
      </c>
      <c r="F2272">
        <v>7</v>
      </c>
      <c r="G2272">
        <v>7</v>
      </c>
      <c r="H2272">
        <v>0</v>
      </c>
      <c r="I2272">
        <v>0</v>
      </c>
      <c r="J2272">
        <v>14</v>
      </c>
      <c r="K2272" t="s">
        <v>248</v>
      </c>
    </row>
    <row r="2273" spans="2:11" x14ac:dyDescent="0.25">
      <c r="B2273">
        <v>2498</v>
      </c>
      <c r="C2273">
        <v>169</v>
      </c>
      <c r="D2273">
        <v>73</v>
      </c>
      <c r="E2273">
        <v>10</v>
      </c>
      <c r="F2273">
        <v>14</v>
      </c>
      <c r="G2273">
        <v>5</v>
      </c>
      <c r="H2273">
        <v>0</v>
      </c>
      <c r="I2273">
        <v>0</v>
      </c>
      <c r="J2273">
        <v>19</v>
      </c>
      <c r="K2273" t="s">
        <v>243</v>
      </c>
    </row>
    <row r="2274" spans="2:11" x14ac:dyDescent="0.25">
      <c r="B2274">
        <v>2499</v>
      </c>
      <c r="C2274">
        <v>319</v>
      </c>
      <c r="D2274">
        <v>147</v>
      </c>
      <c r="E2274">
        <v>4</v>
      </c>
      <c r="F2274">
        <v>16</v>
      </c>
      <c r="G2274">
        <v>14</v>
      </c>
      <c r="H2274">
        <v>0</v>
      </c>
      <c r="I2274">
        <v>0</v>
      </c>
      <c r="J2274">
        <v>30</v>
      </c>
      <c r="K2274" t="s">
        <v>241</v>
      </c>
    </row>
    <row r="2275" spans="2:11" x14ac:dyDescent="0.25">
      <c r="B2275">
        <v>2501</v>
      </c>
      <c r="C2275">
        <v>319</v>
      </c>
      <c r="D2275">
        <v>147</v>
      </c>
      <c r="E2275">
        <v>3</v>
      </c>
      <c r="F2275">
        <v>17</v>
      </c>
      <c r="G2275">
        <v>13</v>
      </c>
      <c r="H2275">
        <v>0</v>
      </c>
      <c r="I2275">
        <v>0</v>
      </c>
      <c r="J2275">
        <v>30</v>
      </c>
      <c r="K2275" t="s">
        <v>241</v>
      </c>
    </row>
    <row r="2276" spans="2:11" x14ac:dyDescent="0.25">
      <c r="B2276">
        <v>2503</v>
      </c>
      <c r="C2276">
        <v>319</v>
      </c>
      <c r="D2276">
        <v>147</v>
      </c>
      <c r="E2276">
        <v>2</v>
      </c>
      <c r="F2276">
        <v>13</v>
      </c>
      <c r="G2276">
        <v>15</v>
      </c>
      <c r="H2276">
        <v>0</v>
      </c>
      <c r="I2276">
        <v>0</v>
      </c>
      <c r="J2276">
        <v>28</v>
      </c>
      <c r="K2276" t="s">
        <v>241</v>
      </c>
    </row>
    <row r="2277" spans="2:11" x14ac:dyDescent="0.25">
      <c r="B2277">
        <v>2504</v>
      </c>
      <c r="C2277">
        <v>295</v>
      </c>
      <c r="D2277">
        <v>136</v>
      </c>
      <c r="E2277">
        <v>10</v>
      </c>
      <c r="F2277">
        <v>23</v>
      </c>
      <c r="G2277">
        <v>4</v>
      </c>
      <c r="H2277">
        <v>0</v>
      </c>
      <c r="I2277">
        <v>0</v>
      </c>
      <c r="J2277">
        <v>27</v>
      </c>
      <c r="K2277" t="s">
        <v>248</v>
      </c>
    </row>
    <row r="2278" spans="2:11" x14ac:dyDescent="0.25">
      <c r="B2278">
        <v>2505</v>
      </c>
      <c r="C2278">
        <v>319</v>
      </c>
      <c r="D2278">
        <v>147</v>
      </c>
      <c r="E2278">
        <v>1</v>
      </c>
      <c r="F2278">
        <v>12</v>
      </c>
      <c r="G2278">
        <v>18</v>
      </c>
      <c r="H2278">
        <v>0</v>
      </c>
      <c r="I2278">
        <v>0</v>
      </c>
      <c r="J2278">
        <v>30</v>
      </c>
      <c r="K2278" t="s">
        <v>241</v>
      </c>
    </row>
    <row r="2279" spans="2:11" x14ac:dyDescent="0.25">
      <c r="B2279">
        <v>2506</v>
      </c>
      <c r="C2279">
        <v>138</v>
      </c>
      <c r="D2279">
        <v>61</v>
      </c>
      <c r="E2279">
        <v>11</v>
      </c>
      <c r="F2279">
        <v>17</v>
      </c>
      <c r="G2279">
        <v>10</v>
      </c>
      <c r="H2279">
        <v>3</v>
      </c>
      <c r="I2279">
        <v>0</v>
      </c>
      <c r="J2279">
        <v>30</v>
      </c>
      <c r="K2279" t="s">
        <v>248</v>
      </c>
    </row>
    <row r="2280" spans="2:11" x14ac:dyDescent="0.25">
      <c r="B2280">
        <v>2507</v>
      </c>
      <c r="C2280">
        <v>320</v>
      </c>
      <c r="D2280">
        <v>148</v>
      </c>
      <c r="E2280">
        <v>10</v>
      </c>
      <c r="F2280">
        <v>12</v>
      </c>
      <c r="G2280">
        <v>10</v>
      </c>
      <c r="H2280">
        <v>0</v>
      </c>
      <c r="I2280">
        <v>0</v>
      </c>
      <c r="J2280">
        <v>22</v>
      </c>
      <c r="K2280" t="s">
        <v>247</v>
      </c>
    </row>
    <row r="2281" spans="2:11" x14ac:dyDescent="0.25">
      <c r="B2281">
        <v>2508</v>
      </c>
      <c r="C2281">
        <v>237</v>
      </c>
      <c r="D2281">
        <v>104</v>
      </c>
      <c r="E2281">
        <v>11</v>
      </c>
      <c r="F2281">
        <v>11</v>
      </c>
      <c r="G2281">
        <v>8</v>
      </c>
      <c r="H2281">
        <v>0</v>
      </c>
      <c r="I2281">
        <v>0</v>
      </c>
      <c r="J2281">
        <v>19</v>
      </c>
      <c r="K2281" t="s">
        <v>247</v>
      </c>
    </row>
    <row r="2282" spans="2:11" x14ac:dyDescent="0.25">
      <c r="B2282">
        <v>2510</v>
      </c>
      <c r="C2282">
        <v>113</v>
      </c>
      <c r="D2282">
        <v>52</v>
      </c>
      <c r="E2282">
        <v>10</v>
      </c>
      <c r="F2282">
        <v>10</v>
      </c>
      <c r="G2282">
        <v>18</v>
      </c>
      <c r="H2282">
        <v>1</v>
      </c>
      <c r="I2282">
        <v>0</v>
      </c>
      <c r="J2282">
        <v>29</v>
      </c>
      <c r="K2282" t="s">
        <v>247</v>
      </c>
    </row>
    <row r="2283" spans="2:11" x14ac:dyDescent="0.25">
      <c r="B2283">
        <v>2512</v>
      </c>
      <c r="C2283">
        <v>237</v>
      </c>
      <c r="D2283">
        <v>104</v>
      </c>
      <c r="E2283">
        <v>10</v>
      </c>
      <c r="F2283">
        <v>19</v>
      </c>
      <c r="G2283">
        <v>11</v>
      </c>
      <c r="H2283">
        <v>0</v>
      </c>
      <c r="I2283">
        <v>0</v>
      </c>
      <c r="J2283">
        <v>30</v>
      </c>
      <c r="K2283" t="s">
        <v>247</v>
      </c>
    </row>
    <row r="2284" spans="2:11" x14ac:dyDescent="0.25">
      <c r="B2284">
        <v>2513</v>
      </c>
      <c r="C2284">
        <v>308</v>
      </c>
      <c r="D2284">
        <v>143</v>
      </c>
      <c r="E2284">
        <v>10</v>
      </c>
      <c r="F2284">
        <v>13</v>
      </c>
      <c r="G2284">
        <v>17</v>
      </c>
      <c r="H2284">
        <v>0</v>
      </c>
      <c r="I2284">
        <v>0</v>
      </c>
      <c r="J2284">
        <v>30</v>
      </c>
      <c r="K2284" t="s">
        <v>247</v>
      </c>
    </row>
    <row r="2285" spans="2:11" x14ac:dyDescent="0.25">
      <c r="B2285">
        <v>2514</v>
      </c>
      <c r="C2285">
        <v>99</v>
      </c>
      <c r="D2285">
        <v>49</v>
      </c>
      <c r="E2285">
        <v>7</v>
      </c>
      <c r="F2285">
        <v>6</v>
      </c>
      <c r="G2285">
        <v>15</v>
      </c>
      <c r="H2285">
        <v>0</v>
      </c>
      <c r="I2285">
        <v>0</v>
      </c>
      <c r="J2285">
        <v>21</v>
      </c>
      <c r="K2285" t="s">
        <v>245</v>
      </c>
    </row>
    <row r="2286" spans="2:11" x14ac:dyDescent="0.25">
      <c r="B2286">
        <v>2515</v>
      </c>
      <c r="C2286">
        <v>309</v>
      </c>
      <c r="D2286">
        <v>144</v>
      </c>
      <c r="E2286">
        <v>11</v>
      </c>
      <c r="F2286">
        <v>12</v>
      </c>
      <c r="G2286">
        <v>14</v>
      </c>
      <c r="H2286">
        <v>0</v>
      </c>
      <c r="I2286">
        <v>0</v>
      </c>
      <c r="J2286">
        <v>26</v>
      </c>
      <c r="K2286" t="s">
        <v>241</v>
      </c>
    </row>
    <row r="2287" spans="2:11" x14ac:dyDescent="0.25">
      <c r="B2287">
        <v>2516</v>
      </c>
      <c r="C2287">
        <v>153</v>
      </c>
      <c r="D2287">
        <v>69</v>
      </c>
      <c r="E2287">
        <v>11</v>
      </c>
      <c r="F2287">
        <v>0</v>
      </c>
      <c r="G2287">
        <v>5</v>
      </c>
      <c r="H2287">
        <v>0</v>
      </c>
      <c r="I2287">
        <v>0</v>
      </c>
      <c r="J2287">
        <v>5</v>
      </c>
      <c r="K2287" t="s">
        <v>245</v>
      </c>
    </row>
    <row r="2288" spans="2:11" x14ac:dyDescent="0.25">
      <c r="B2288">
        <v>2517</v>
      </c>
      <c r="C2288">
        <v>266</v>
      </c>
      <c r="D2288">
        <v>118</v>
      </c>
      <c r="E2288">
        <v>11</v>
      </c>
      <c r="F2288">
        <v>10</v>
      </c>
      <c r="G2288">
        <v>10</v>
      </c>
      <c r="H2288">
        <v>0</v>
      </c>
      <c r="I2288">
        <v>0</v>
      </c>
      <c r="J2288">
        <v>20</v>
      </c>
      <c r="K2288" t="s">
        <v>245</v>
      </c>
    </row>
    <row r="2289" spans="2:11" x14ac:dyDescent="0.25">
      <c r="B2289">
        <v>2518</v>
      </c>
      <c r="C2289">
        <v>140</v>
      </c>
      <c r="D2289">
        <v>62</v>
      </c>
      <c r="E2289">
        <v>11</v>
      </c>
      <c r="F2289">
        <v>16</v>
      </c>
      <c r="G2289">
        <v>7</v>
      </c>
      <c r="H2289">
        <v>3</v>
      </c>
      <c r="I2289">
        <v>0</v>
      </c>
      <c r="J2289">
        <v>26</v>
      </c>
      <c r="K2289" t="s">
        <v>241</v>
      </c>
    </row>
    <row r="2290" spans="2:11" x14ac:dyDescent="0.25">
      <c r="B2290">
        <v>2519</v>
      </c>
      <c r="C2290">
        <v>139</v>
      </c>
      <c r="D2290">
        <v>61</v>
      </c>
      <c r="E2290">
        <v>11</v>
      </c>
      <c r="F2290">
        <v>2</v>
      </c>
      <c r="G2290">
        <v>3</v>
      </c>
      <c r="H2290">
        <v>0</v>
      </c>
      <c r="I2290">
        <v>0</v>
      </c>
      <c r="J2290">
        <v>5</v>
      </c>
      <c r="K2290" t="s">
        <v>245</v>
      </c>
    </row>
    <row r="2291" spans="2:11" x14ac:dyDescent="0.25">
      <c r="B2291">
        <v>2520</v>
      </c>
      <c r="C2291">
        <v>99</v>
      </c>
      <c r="D2291">
        <v>49</v>
      </c>
      <c r="E2291">
        <v>5</v>
      </c>
      <c r="F2291">
        <v>8</v>
      </c>
      <c r="G2291">
        <v>10</v>
      </c>
      <c r="H2291">
        <v>0</v>
      </c>
      <c r="I2291">
        <v>0</v>
      </c>
      <c r="J2291">
        <v>18</v>
      </c>
      <c r="K2291" t="s">
        <v>241</v>
      </c>
    </row>
    <row r="2292" spans="2:11" x14ac:dyDescent="0.25">
      <c r="B2292">
        <v>2521</v>
      </c>
      <c r="C2292">
        <v>240</v>
      </c>
      <c r="D2292">
        <v>107</v>
      </c>
      <c r="E2292">
        <v>10</v>
      </c>
      <c r="F2292">
        <v>5</v>
      </c>
      <c r="G2292">
        <v>3</v>
      </c>
      <c r="H2292">
        <v>0</v>
      </c>
      <c r="I2292">
        <v>0</v>
      </c>
      <c r="J2292">
        <v>8</v>
      </c>
      <c r="K2292" t="s">
        <v>248</v>
      </c>
    </row>
    <row r="2293" spans="2:11" x14ac:dyDescent="0.25">
      <c r="B2293">
        <v>2524</v>
      </c>
      <c r="C2293">
        <v>266</v>
      </c>
      <c r="D2293">
        <v>118</v>
      </c>
      <c r="E2293">
        <v>10</v>
      </c>
      <c r="F2293">
        <v>11</v>
      </c>
      <c r="G2293">
        <v>10</v>
      </c>
      <c r="H2293">
        <v>0</v>
      </c>
      <c r="I2293">
        <v>0</v>
      </c>
      <c r="J2293">
        <v>21</v>
      </c>
      <c r="K2293" t="s">
        <v>248</v>
      </c>
    </row>
    <row r="2294" spans="2:11" x14ac:dyDescent="0.25">
      <c r="B2294">
        <v>2526</v>
      </c>
      <c r="C2294">
        <v>99</v>
      </c>
      <c r="D2294">
        <v>49</v>
      </c>
      <c r="E2294">
        <v>10</v>
      </c>
      <c r="F2294">
        <v>4</v>
      </c>
      <c r="G2294">
        <v>17</v>
      </c>
      <c r="H2294">
        <v>0</v>
      </c>
      <c r="I2294">
        <v>0</v>
      </c>
      <c r="J2294">
        <v>21</v>
      </c>
      <c r="K2294" t="s">
        <v>248</v>
      </c>
    </row>
    <row r="2295" spans="2:11" x14ac:dyDescent="0.25">
      <c r="B2295">
        <v>2527</v>
      </c>
      <c r="C2295">
        <v>290</v>
      </c>
      <c r="D2295">
        <v>135</v>
      </c>
      <c r="E2295">
        <v>10</v>
      </c>
      <c r="F2295">
        <v>11</v>
      </c>
      <c r="G2295">
        <v>7</v>
      </c>
      <c r="H2295">
        <v>3</v>
      </c>
      <c r="I2295">
        <v>0</v>
      </c>
      <c r="J2295">
        <v>21</v>
      </c>
      <c r="K2295" t="s">
        <v>248</v>
      </c>
    </row>
    <row r="2296" spans="2:11" x14ac:dyDescent="0.25">
      <c r="B2296">
        <v>2529</v>
      </c>
      <c r="C2296">
        <v>99</v>
      </c>
      <c r="D2296">
        <v>49</v>
      </c>
      <c r="E2296">
        <v>6</v>
      </c>
      <c r="F2296">
        <v>5</v>
      </c>
      <c r="G2296">
        <v>13</v>
      </c>
      <c r="H2296">
        <v>0</v>
      </c>
      <c r="I2296">
        <v>0</v>
      </c>
      <c r="J2296">
        <v>18</v>
      </c>
      <c r="K2296" t="s">
        <v>248</v>
      </c>
    </row>
    <row r="2297" spans="2:11" x14ac:dyDescent="0.25">
      <c r="B2297">
        <v>2530</v>
      </c>
      <c r="C2297">
        <v>334</v>
      </c>
      <c r="D2297">
        <v>152</v>
      </c>
      <c r="E2297">
        <v>10</v>
      </c>
      <c r="F2297">
        <v>12</v>
      </c>
      <c r="G2297">
        <v>18</v>
      </c>
      <c r="H2297">
        <v>0</v>
      </c>
      <c r="I2297">
        <v>0</v>
      </c>
      <c r="J2297">
        <v>30</v>
      </c>
      <c r="K2297" t="s">
        <v>248</v>
      </c>
    </row>
    <row r="2298" spans="2:11" x14ac:dyDescent="0.25">
      <c r="B2298">
        <v>2533</v>
      </c>
      <c r="C2298">
        <v>76</v>
      </c>
      <c r="D2298">
        <v>38</v>
      </c>
      <c r="E2298">
        <v>1</v>
      </c>
      <c r="F2298">
        <v>12</v>
      </c>
      <c r="G2298">
        <v>18</v>
      </c>
      <c r="H2298">
        <v>0</v>
      </c>
      <c r="I2298">
        <v>0</v>
      </c>
      <c r="J2298">
        <v>30</v>
      </c>
      <c r="K2298" t="s">
        <v>243</v>
      </c>
    </row>
    <row r="2299" spans="2:11" x14ac:dyDescent="0.25">
      <c r="B2299">
        <v>2534</v>
      </c>
      <c r="C2299">
        <v>80</v>
      </c>
      <c r="D2299">
        <v>38</v>
      </c>
      <c r="E2299">
        <v>3</v>
      </c>
      <c r="F2299">
        <v>11</v>
      </c>
      <c r="G2299">
        <v>0</v>
      </c>
      <c r="H2299">
        <v>0</v>
      </c>
      <c r="I2299">
        <v>0</v>
      </c>
      <c r="J2299">
        <v>11</v>
      </c>
      <c r="K2299" t="s">
        <v>243</v>
      </c>
    </row>
    <row r="2300" spans="2:11" x14ac:dyDescent="0.25">
      <c r="B2300">
        <v>2536</v>
      </c>
      <c r="C2300">
        <v>143</v>
      </c>
      <c r="D2300">
        <v>63</v>
      </c>
      <c r="E2300">
        <v>12</v>
      </c>
      <c r="F2300">
        <v>7</v>
      </c>
      <c r="G2300">
        <v>3</v>
      </c>
      <c r="H2300">
        <v>0</v>
      </c>
      <c r="I2300">
        <v>0</v>
      </c>
      <c r="J2300">
        <v>10</v>
      </c>
      <c r="K2300" t="s">
        <v>246</v>
      </c>
    </row>
    <row r="2301" spans="2:11" x14ac:dyDescent="0.25">
      <c r="B2301">
        <v>2537</v>
      </c>
      <c r="C2301">
        <v>300</v>
      </c>
      <c r="D2301">
        <v>138</v>
      </c>
      <c r="E2301">
        <v>10</v>
      </c>
      <c r="F2301">
        <v>1</v>
      </c>
      <c r="G2301">
        <v>3</v>
      </c>
      <c r="H2301">
        <v>2</v>
      </c>
      <c r="I2301">
        <v>0</v>
      </c>
      <c r="J2301">
        <v>6</v>
      </c>
      <c r="K2301" t="s">
        <v>246</v>
      </c>
    </row>
    <row r="2302" spans="2:11" x14ac:dyDescent="0.25">
      <c r="B2302">
        <v>2538</v>
      </c>
      <c r="C2302">
        <v>111</v>
      </c>
      <c r="D2302">
        <v>51</v>
      </c>
      <c r="E2302">
        <v>11</v>
      </c>
      <c r="F2302">
        <v>0</v>
      </c>
      <c r="G2302">
        <v>17</v>
      </c>
      <c r="H2302">
        <v>0</v>
      </c>
      <c r="I2302">
        <v>0</v>
      </c>
      <c r="J2302">
        <v>17</v>
      </c>
      <c r="K2302" t="s">
        <v>242</v>
      </c>
    </row>
    <row r="2303" spans="2:11" x14ac:dyDescent="0.25">
      <c r="B2303">
        <v>2539</v>
      </c>
      <c r="C2303">
        <v>110</v>
      </c>
      <c r="D2303">
        <v>51</v>
      </c>
      <c r="E2303">
        <v>10</v>
      </c>
      <c r="F2303">
        <v>4</v>
      </c>
      <c r="G2303">
        <v>21</v>
      </c>
      <c r="H2303">
        <v>1</v>
      </c>
      <c r="I2303">
        <v>0</v>
      </c>
      <c r="J2303">
        <v>26</v>
      </c>
      <c r="K2303" t="s">
        <v>246</v>
      </c>
    </row>
    <row r="2304" spans="2:11" x14ac:dyDescent="0.25">
      <c r="B2304">
        <v>2540</v>
      </c>
      <c r="C2304">
        <v>143</v>
      </c>
      <c r="D2304">
        <v>63</v>
      </c>
      <c r="E2304">
        <v>11</v>
      </c>
      <c r="F2304">
        <v>5</v>
      </c>
      <c r="G2304">
        <v>1</v>
      </c>
      <c r="H2304">
        <v>0</v>
      </c>
      <c r="I2304">
        <v>0</v>
      </c>
      <c r="J2304">
        <v>6</v>
      </c>
      <c r="K2304" t="s">
        <v>242</v>
      </c>
    </row>
    <row r="2305" spans="2:11" x14ac:dyDescent="0.25">
      <c r="B2305">
        <v>2541</v>
      </c>
      <c r="C2305">
        <v>257</v>
      </c>
      <c r="D2305">
        <v>117</v>
      </c>
      <c r="E2305">
        <v>11</v>
      </c>
      <c r="F2305">
        <v>10</v>
      </c>
      <c r="G2305">
        <v>2</v>
      </c>
      <c r="H2305">
        <v>1</v>
      </c>
      <c r="I2305">
        <v>0</v>
      </c>
      <c r="J2305">
        <v>13</v>
      </c>
      <c r="K2305" t="s">
        <v>242</v>
      </c>
    </row>
    <row r="2306" spans="2:11" x14ac:dyDescent="0.25">
      <c r="B2306">
        <v>2542</v>
      </c>
      <c r="C2306">
        <v>284</v>
      </c>
      <c r="D2306">
        <v>131</v>
      </c>
      <c r="E2306">
        <v>10</v>
      </c>
      <c r="F2306">
        <v>17</v>
      </c>
      <c r="G2306">
        <v>5</v>
      </c>
      <c r="H2306">
        <v>1</v>
      </c>
      <c r="I2306">
        <v>0</v>
      </c>
      <c r="J2306">
        <v>23</v>
      </c>
      <c r="K2306" t="s">
        <v>246</v>
      </c>
    </row>
    <row r="2307" spans="2:11" x14ac:dyDescent="0.25">
      <c r="B2307">
        <v>2543</v>
      </c>
      <c r="C2307">
        <v>322</v>
      </c>
      <c r="D2307">
        <v>149</v>
      </c>
      <c r="E2307">
        <v>11</v>
      </c>
      <c r="F2307">
        <v>12</v>
      </c>
      <c r="G2307">
        <v>14</v>
      </c>
      <c r="H2307">
        <v>0</v>
      </c>
      <c r="I2307">
        <v>0</v>
      </c>
      <c r="J2307">
        <v>26</v>
      </c>
      <c r="K2307" t="s">
        <v>242</v>
      </c>
    </row>
    <row r="2308" spans="2:11" x14ac:dyDescent="0.25">
      <c r="B2308">
        <v>2544</v>
      </c>
      <c r="C2308">
        <v>242</v>
      </c>
      <c r="D2308">
        <v>107</v>
      </c>
      <c r="E2308">
        <v>10</v>
      </c>
      <c r="F2308">
        <v>3</v>
      </c>
      <c r="G2308">
        <v>4</v>
      </c>
      <c r="H2308">
        <v>0</v>
      </c>
      <c r="I2308">
        <v>0</v>
      </c>
      <c r="J2308">
        <v>7</v>
      </c>
      <c r="K2308" t="s">
        <v>247</v>
      </c>
    </row>
    <row r="2309" spans="2:11" x14ac:dyDescent="0.25">
      <c r="B2309">
        <v>2545</v>
      </c>
      <c r="C2309">
        <v>112</v>
      </c>
      <c r="D2309">
        <v>51</v>
      </c>
      <c r="E2309">
        <v>10</v>
      </c>
      <c r="F2309">
        <v>20</v>
      </c>
      <c r="G2309">
        <v>5</v>
      </c>
      <c r="H2309">
        <v>0</v>
      </c>
      <c r="I2309">
        <v>0</v>
      </c>
      <c r="J2309">
        <v>25</v>
      </c>
      <c r="K2309" t="s">
        <v>246</v>
      </c>
    </row>
    <row r="2310" spans="2:11" x14ac:dyDescent="0.25">
      <c r="B2310">
        <v>2546</v>
      </c>
      <c r="C2310">
        <v>268</v>
      </c>
      <c r="D2310">
        <v>120</v>
      </c>
      <c r="E2310">
        <v>10</v>
      </c>
      <c r="F2310">
        <v>14</v>
      </c>
      <c r="G2310">
        <v>10</v>
      </c>
      <c r="H2310">
        <v>0</v>
      </c>
      <c r="I2310">
        <v>0</v>
      </c>
      <c r="J2310">
        <v>24</v>
      </c>
      <c r="K2310" t="s">
        <v>246</v>
      </c>
    </row>
    <row r="2311" spans="2:11" x14ac:dyDescent="0.25">
      <c r="B2311">
        <v>2549</v>
      </c>
      <c r="C2311">
        <v>103</v>
      </c>
      <c r="D2311">
        <v>51</v>
      </c>
      <c r="E2311">
        <v>10</v>
      </c>
      <c r="F2311">
        <v>10</v>
      </c>
      <c r="G2311">
        <v>4</v>
      </c>
      <c r="H2311">
        <v>2</v>
      </c>
      <c r="I2311">
        <v>0</v>
      </c>
      <c r="J2311">
        <v>16</v>
      </c>
      <c r="K2311" t="s">
        <v>243</v>
      </c>
    </row>
    <row r="2312" spans="2:11" x14ac:dyDescent="0.25">
      <c r="B2312">
        <v>2552</v>
      </c>
      <c r="C2312">
        <v>111</v>
      </c>
      <c r="D2312">
        <v>51</v>
      </c>
      <c r="E2312">
        <v>10</v>
      </c>
      <c r="F2312">
        <v>2</v>
      </c>
      <c r="G2312">
        <v>28</v>
      </c>
      <c r="H2312">
        <v>0</v>
      </c>
      <c r="I2312">
        <v>0</v>
      </c>
      <c r="J2312">
        <v>30</v>
      </c>
      <c r="K2312" t="s">
        <v>242</v>
      </c>
    </row>
    <row r="2313" spans="2:11" x14ac:dyDescent="0.25">
      <c r="B2313">
        <v>2553</v>
      </c>
      <c r="C2313">
        <v>324</v>
      </c>
      <c r="D2313">
        <v>150</v>
      </c>
      <c r="E2313">
        <v>11</v>
      </c>
      <c r="F2313">
        <v>7</v>
      </c>
      <c r="G2313">
        <v>15</v>
      </c>
      <c r="H2313">
        <v>0</v>
      </c>
      <c r="I2313">
        <v>0</v>
      </c>
      <c r="J2313">
        <v>22</v>
      </c>
      <c r="K2313" t="s">
        <v>246</v>
      </c>
    </row>
    <row r="2314" spans="2:11" x14ac:dyDescent="0.25">
      <c r="B2314">
        <v>2554</v>
      </c>
      <c r="C2314">
        <v>257</v>
      </c>
      <c r="D2314">
        <v>117</v>
      </c>
      <c r="E2314">
        <v>10</v>
      </c>
      <c r="F2314">
        <v>9</v>
      </c>
      <c r="G2314">
        <v>1</v>
      </c>
      <c r="H2314">
        <v>0</v>
      </c>
      <c r="I2314">
        <v>0</v>
      </c>
      <c r="J2314">
        <v>10</v>
      </c>
      <c r="K2314" t="s">
        <v>243</v>
      </c>
    </row>
    <row r="2315" spans="2:11" x14ac:dyDescent="0.25">
      <c r="B2315">
        <v>2556</v>
      </c>
      <c r="C2315">
        <v>254</v>
      </c>
      <c r="D2315">
        <v>116</v>
      </c>
      <c r="E2315">
        <v>8</v>
      </c>
      <c r="F2315">
        <v>29</v>
      </c>
      <c r="G2315">
        <v>1</v>
      </c>
      <c r="H2315">
        <v>0</v>
      </c>
      <c r="I2315">
        <v>0</v>
      </c>
      <c r="J2315">
        <v>30</v>
      </c>
      <c r="K2315" t="s">
        <v>247</v>
      </c>
    </row>
    <row r="2316" spans="2:11" x14ac:dyDescent="0.25">
      <c r="B2316">
        <v>2557</v>
      </c>
      <c r="C2316">
        <v>282</v>
      </c>
      <c r="D2316">
        <v>130</v>
      </c>
      <c r="E2316">
        <v>10</v>
      </c>
      <c r="F2316">
        <v>15</v>
      </c>
      <c r="G2316">
        <v>10</v>
      </c>
      <c r="H2316">
        <v>0</v>
      </c>
      <c r="I2316">
        <v>0</v>
      </c>
      <c r="J2316">
        <v>25</v>
      </c>
      <c r="K2316" t="s">
        <v>247</v>
      </c>
    </row>
    <row r="2317" spans="2:11" x14ac:dyDescent="0.25">
      <c r="B2317">
        <v>5514</v>
      </c>
      <c r="C2317">
        <v>214</v>
      </c>
      <c r="D2317">
        <v>94</v>
      </c>
      <c r="E2317">
        <v>6</v>
      </c>
      <c r="F2317">
        <v>0</v>
      </c>
      <c r="G2317">
        <v>24</v>
      </c>
      <c r="H2317">
        <v>0</v>
      </c>
      <c r="I2317">
        <v>0</v>
      </c>
      <c r="J2317">
        <v>24</v>
      </c>
      <c r="K2317" t="s">
        <v>252</v>
      </c>
    </row>
    <row r="2318" spans="2:11" x14ac:dyDescent="0.25">
      <c r="B2318">
        <v>5516</v>
      </c>
      <c r="C2318">
        <v>208</v>
      </c>
      <c r="D2318">
        <v>92</v>
      </c>
      <c r="E2318">
        <v>2</v>
      </c>
      <c r="F2318">
        <v>0</v>
      </c>
      <c r="G2318">
        <v>0</v>
      </c>
      <c r="H2318">
        <v>0</v>
      </c>
      <c r="I2318">
        <v>0</v>
      </c>
      <c r="J2318">
        <v>0</v>
      </c>
      <c r="K2318" t="s">
        <v>246</v>
      </c>
    </row>
    <row r="2319" spans="2:11" x14ac:dyDescent="0.25">
      <c r="B2319">
        <v>5517</v>
      </c>
      <c r="C2319">
        <v>214</v>
      </c>
      <c r="D2319">
        <v>94</v>
      </c>
      <c r="E2319">
        <v>7</v>
      </c>
      <c r="F2319">
        <v>0</v>
      </c>
      <c r="G2319">
        <v>26</v>
      </c>
      <c r="H2319">
        <v>0</v>
      </c>
      <c r="I2319">
        <v>0</v>
      </c>
      <c r="J2319">
        <v>26</v>
      </c>
      <c r="K2319" t="s">
        <v>252</v>
      </c>
    </row>
    <row r="2320" spans="2:11" x14ac:dyDescent="0.25">
      <c r="B2320">
        <v>5519</v>
      </c>
      <c r="C2320">
        <v>208</v>
      </c>
      <c r="D2320">
        <v>92</v>
      </c>
      <c r="E2320">
        <v>3</v>
      </c>
      <c r="F2320">
        <v>0</v>
      </c>
      <c r="G2320">
        <v>0</v>
      </c>
      <c r="H2320">
        <v>0</v>
      </c>
      <c r="I2320">
        <v>0</v>
      </c>
      <c r="J2320">
        <v>0</v>
      </c>
      <c r="K2320" t="s">
        <v>246</v>
      </c>
    </row>
    <row r="2321" spans="2:11" x14ac:dyDescent="0.25">
      <c r="B2321">
        <v>5520</v>
      </c>
      <c r="C2321">
        <v>216</v>
      </c>
      <c r="D2321">
        <v>94</v>
      </c>
      <c r="E2321">
        <v>1</v>
      </c>
      <c r="F2321">
        <v>2</v>
      </c>
      <c r="G2321">
        <v>3</v>
      </c>
      <c r="H2321">
        <v>0</v>
      </c>
      <c r="I2321">
        <v>0</v>
      </c>
      <c r="J2321">
        <v>5</v>
      </c>
      <c r="K2321" t="s">
        <v>252</v>
      </c>
    </row>
    <row r="2322" spans="2:11" x14ac:dyDescent="0.25">
      <c r="B2322">
        <v>5521</v>
      </c>
      <c r="C2322">
        <v>208</v>
      </c>
      <c r="D2322">
        <v>92</v>
      </c>
      <c r="E2322">
        <v>4</v>
      </c>
      <c r="F2322">
        <v>7</v>
      </c>
      <c r="G2322">
        <v>1</v>
      </c>
      <c r="H2322">
        <v>1</v>
      </c>
      <c r="I2322">
        <v>0</v>
      </c>
      <c r="J2322">
        <v>9</v>
      </c>
      <c r="K2322" t="s">
        <v>246</v>
      </c>
    </row>
    <row r="2323" spans="2:11" x14ac:dyDescent="0.25">
      <c r="B2323">
        <v>5522</v>
      </c>
      <c r="C2323">
        <v>216</v>
      </c>
      <c r="D2323">
        <v>94</v>
      </c>
      <c r="E2323">
        <v>2</v>
      </c>
      <c r="F2323">
        <v>16</v>
      </c>
      <c r="G2323">
        <v>16</v>
      </c>
      <c r="H2323">
        <v>0</v>
      </c>
      <c r="I2323">
        <v>0</v>
      </c>
      <c r="J2323">
        <v>32</v>
      </c>
      <c r="K2323" t="s">
        <v>252</v>
      </c>
    </row>
    <row r="2324" spans="2:11" x14ac:dyDescent="0.25">
      <c r="B2324">
        <v>2558</v>
      </c>
      <c r="C2324">
        <v>322</v>
      </c>
      <c r="D2324">
        <v>149</v>
      </c>
      <c r="E2324">
        <v>10</v>
      </c>
      <c r="F2324">
        <v>17</v>
      </c>
      <c r="G2324">
        <v>9</v>
      </c>
      <c r="H2324">
        <v>0</v>
      </c>
      <c r="I2324">
        <v>0</v>
      </c>
      <c r="J2324">
        <v>26</v>
      </c>
      <c r="K2324" t="s">
        <v>243</v>
      </c>
    </row>
    <row r="2325" spans="2:11" x14ac:dyDescent="0.25">
      <c r="B2325">
        <v>2559</v>
      </c>
      <c r="C2325">
        <v>302</v>
      </c>
      <c r="D2325">
        <v>140</v>
      </c>
      <c r="E2325">
        <v>11</v>
      </c>
      <c r="F2325">
        <v>7</v>
      </c>
      <c r="G2325">
        <v>10</v>
      </c>
      <c r="H2325">
        <v>0</v>
      </c>
      <c r="I2325">
        <v>0</v>
      </c>
      <c r="J2325">
        <v>17</v>
      </c>
      <c r="K2325" t="s">
        <v>246</v>
      </c>
    </row>
    <row r="2326" spans="2:11" x14ac:dyDescent="0.25">
      <c r="B2326">
        <v>2560</v>
      </c>
      <c r="C2326">
        <v>244</v>
      </c>
      <c r="D2326">
        <v>108</v>
      </c>
      <c r="E2326">
        <v>10</v>
      </c>
      <c r="F2326">
        <v>2</v>
      </c>
      <c r="G2326">
        <v>1</v>
      </c>
      <c r="H2326">
        <v>3</v>
      </c>
      <c r="I2326">
        <v>0</v>
      </c>
      <c r="J2326">
        <v>6</v>
      </c>
      <c r="K2326" t="s">
        <v>247</v>
      </c>
    </row>
    <row r="2327" spans="2:11" x14ac:dyDescent="0.25">
      <c r="B2327">
        <v>2561</v>
      </c>
      <c r="C2327">
        <v>259</v>
      </c>
      <c r="D2327">
        <v>118</v>
      </c>
      <c r="E2327">
        <v>11</v>
      </c>
      <c r="F2327">
        <v>7</v>
      </c>
      <c r="G2327">
        <v>10</v>
      </c>
      <c r="H2327">
        <v>2</v>
      </c>
      <c r="I2327">
        <v>0</v>
      </c>
      <c r="J2327">
        <v>19</v>
      </c>
      <c r="K2327" t="s">
        <v>241</v>
      </c>
    </row>
    <row r="2328" spans="2:11" x14ac:dyDescent="0.25">
      <c r="B2328">
        <v>2562</v>
      </c>
      <c r="C2328">
        <v>103</v>
      </c>
      <c r="D2328">
        <v>51</v>
      </c>
      <c r="E2328">
        <v>9</v>
      </c>
      <c r="F2328">
        <v>9</v>
      </c>
      <c r="G2328">
        <v>7</v>
      </c>
      <c r="H2328">
        <v>0</v>
      </c>
      <c r="I2328">
        <v>0</v>
      </c>
      <c r="J2328">
        <v>16</v>
      </c>
      <c r="K2328" t="s">
        <v>243</v>
      </c>
    </row>
    <row r="2329" spans="2:11" x14ac:dyDescent="0.25">
      <c r="B2329">
        <v>2563</v>
      </c>
      <c r="C2329">
        <v>272</v>
      </c>
      <c r="D2329">
        <v>123</v>
      </c>
      <c r="E2329">
        <v>11</v>
      </c>
      <c r="F2329">
        <v>11</v>
      </c>
      <c r="G2329">
        <v>14</v>
      </c>
      <c r="H2329">
        <v>5</v>
      </c>
      <c r="I2329">
        <v>0</v>
      </c>
      <c r="J2329">
        <v>30</v>
      </c>
      <c r="K2329" t="s">
        <v>241</v>
      </c>
    </row>
    <row r="2330" spans="2:11" x14ac:dyDescent="0.25">
      <c r="B2330">
        <v>2564</v>
      </c>
      <c r="C2330">
        <v>97</v>
      </c>
      <c r="D2330">
        <v>48</v>
      </c>
      <c r="E2330">
        <v>1</v>
      </c>
      <c r="F2330">
        <v>9</v>
      </c>
      <c r="G2330">
        <v>6</v>
      </c>
      <c r="H2330">
        <v>0</v>
      </c>
      <c r="I2330">
        <v>0</v>
      </c>
      <c r="J2330">
        <v>15</v>
      </c>
      <c r="K2330" t="s">
        <v>242</v>
      </c>
    </row>
    <row r="2331" spans="2:11" x14ac:dyDescent="0.25">
      <c r="B2331">
        <v>2566</v>
      </c>
      <c r="C2331">
        <v>146</v>
      </c>
      <c r="D2331">
        <v>65</v>
      </c>
      <c r="E2331">
        <v>11</v>
      </c>
      <c r="F2331">
        <v>26</v>
      </c>
      <c r="G2331">
        <v>0</v>
      </c>
      <c r="H2331">
        <v>0</v>
      </c>
      <c r="I2331">
        <v>0</v>
      </c>
      <c r="J2331">
        <v>26</v>
      </c>
      <c r="K2331" t="s">
        <v>241</v>
      </c>
    </row>
    <row r="2332" spans="2:11" x14ac:dyDescent="0.25">
      <c r="B2332">
        <v>2567</v>
      </c>
      <c r="C2332">
        <v>336</v>
      </c>
      <c r="D2332">
        <v>152</v>
      </c>
      <c r="E2332">
        <v>10</v>
      </c>
      <c r="F2332">
        <v>8</v>
      </c>
      <c r="G2332">
        <v>22</v>
      </c>
      <c r="H2332">
        <v>0</v>
      </c>
      <c r="I2332">
        <v>0</v>
      </c>
      <c r="J2332">
        <v>30</v>
      </c>
      <c r="K2332" t="s">
        <v>241</v>
      </c>
    </row>
    <row r="2333" spans="2:11" x14ac:dyDescent="0.25">
      <c r="B2333">
        <v>2568</v>
      </c>
      <c r="C2333">
        <v>107</v>
      </c>
      <c r="D2333">
        <v>51</v>
      </c>
      <c r="E2333">
        <v>10</v>
      </c>
      <c r="F2333">
        <v>19</v>
      </c>
      <c r="G2333">
        <v>8</v>
      </c>
      <c r="H2333">
        <v>2</v>
      </c>
      <c r="I2333">
        <v>0</v>
      </c>
      <c r="J2333">
        <v>29</v>
      </c>
      <c r="K2333" t="s">
        <v>242</v>
      </c>
    </row>
    <row r="2334" spans="2:11" x14ac:dyDescent="0.25">
      <c r="B2334">
        <v>2569</v>
      </c>
      <c r="C2334">
        <v>268</v>
      </c>
      <c r="D2334">
        <v>120</v>
      </c>
      <c r="E2334">
        <v>11</v>
      </c>
      <c r="F2334">
        <v>3</v>
      </c>
      <c r="G2334">
        <v>17</v>
      </c>
      <c r="H2334">
        <v>0</v>
      </c>
      <c r="I2334">
        <v>0</v>
      </c>
      <c r="J2334">
        <v>20</v>
      </c>
      <c r="K2334" t="s">
        <v>243</v>
      </c>
    </row>
    <row r="2335" spans="2:11" x14ac:dyDescent="0.25">
      <c r="B2335">
        <v>2570</v>
      </c>
      <c r="C2335">
        <v>321</v>
      </c>
      <c r="D2335">
        <v>149</v>
      </c>
      <c r="E2335">
        <v>10</v>
      </c>
      <c r="F2335">
        <v>10</v>
      </c>
      <c r="G2335">
        <v>0</v>
      </c>
      <c r="H2335">
        <v>0</v>
      </c>
      <c r="I2335">
        <v>0</v>
      </c>
      <c r="J2335">
        <v>10</v>
      </c>
      <c r="K2335" t="s">
        <v>241</v>
      </c>
    </row>
    <row r="2336" spans="2:11" x14ac:dyDescent="0.25">
      <c r="B2336">
        <v>2574</v>
      </c>
      <c r="C2336">
        <v>150</v>
      </c>
      <c r="D2336">
        <v>69</v>
      </c>
      <c r="E2336">
        <v>12</v>
      </c>
      <c r="F2336">
        <v>6</v>
      </c>
      <c r="G2336">
        <v>5</v>
      </c>
      <c r="H2336">
        <v>0</v>
      </c>
      <c r="I2336">
        <v>0</v>
      </c>
      <c r="J2336">
        <v>11</v>
      </c>
      <c r="K2336" t="s">
        <v>242</v>
      </c>
    </row>
    <row r="2337" spans="2:11" x14ac:dyDescent="0.25">
      <c r="B2337">
        <v>2577</v>
      </c>
      <c r="C2337">
        <v>150</v>
      </c>
      <c r="D2337">
        <v>69</v>
      </c>
      <c r="E2337">
        <v>11</v>
      </c>
      <c r="F2337">
        <v>6</v>
      </c>
      <c r="G2337">
        <v>7</v>
      </c>
      <c r="H2337">
        <v>0</v>
      </c>
      <c r="I2337">
        <v>0</v>
      </c>
      <c r="J2337">
        <v>13</v>
      </c>
      <c r="K2337" t="s">
        <v>245</v>
      </c>
    </row>
    <row r="2338" spans="2:11" x14ac:dyDescent="0.25">
      <c r="B2338">
        <v>2580</v>
      </c>
      <c r="C2338">
        <v>312</v>
      </c>
      <c r="D2338">
        <v>144</v>
      </c>
      <c r="E2338">
        <v>10</v>
      </c>
      <c r="F2338">
        <v>7</v>
      </c>
      <c r="G2338">
        <v>11</v>
      </c>
      <c r="H2338">
        <v>0</v>
      </c>
      <c r="I2338">
        <v>0</v>
      </c>
      <c r="J2338">
        <v>18</v>
      </c>
      <c r="K2338" t="s">
        <v>247</v>
      </c>
    </row>
    <row r="2339" spans="2:11" x14ac:dyDescent="0.25">
      <c r="B2339">
        <v>2581</v>
      </c>
      <c r="C2339">
        <v>141</v>
      </c>
      <c r="D2339">
        <v>62</v>
      </c>
      <c r="E2339">
        <v>11</v>
      </c>
      <c r="F2339">
        <v>8</v>
      </c>
      <c r="G2339">
        <v>12</v>
      </c>
      <c r="H2339">
        <v>3</v>
      </c>
      <c r="I2339">
        <v>0</v>
      </c>
      <c r="J2339">
        <v>23</v>
      </c>
      <c r="K2339" t="s">
        <v>243</v>
      </c>
    </row>
    <row r="2340" spans="2:11" x14ac:dyDescent="0.25">
      <c r="B2340">
        <v>2583</v>
      </c>
      <c r="C2340">
        <v>244</v>
      </c>
      <c r="D2340">
        <v>108</v>
      </c>
      <c r="E2340">
        <v>11</v>
      </c>
      <c r="F2340">
        <v>1</v>
      </c>
      <c r="G2340">
        <v>0</v>
      </c>
      <c r="H2340">
        <v>2</v>
      </c>
      <c r="I2340">
        <v>0</v>
      </c>
      <c r="J2340">
        <v>3</v>
      </c>
      <c r="K2340" t="s">
        <v>245</v>
      </c>
    </row>
    <row r="2341" spans="2:11" x14ac:dyDescent="0.25">
      <c r="B2341">
        <v>2584</v>
      </c>
      <c r="C2341">
        <v>243</v>
      </c>
      <c r="D2341">
        <v>108</v>
      </c>
      <c r="E2341">
        <v>10</v>
      </c>
      <c r="F2341">
        <v>6</v>
      </c>
      <c r="G2341">
        <v>4</v>
      </c>
      <c r="H2341">
        <v>3</v>
      </c>
      <c r="I2341">
        <v>0</v>
      </c>
      <c r="J2341">
        <v>13</v>
      </c>
      <c r="K2341" t="s">
        <v>241</v>
      </c>
    </row>
    <row r="2342" spans="2:11" x14ac:dyDescent="0.25">
      <c r="B2342">
        <v>2586</v>
      </c>
      <c r="C2342">
        <v>142</v>
      </c>
      <c r="D2342">
        <v>62</v>
      </c>
      <c r="E2342">
        <v>11</v>
      </c>
      <c r="F2342">
        <v>15</v>
      </c>
      <c r="G2342">
        <v>2</v>
      </c>
      <c r="H2342">
        <v>1</v>
      </c>
      <c r="I2342">
        <v>0</v>
      </c>
      <c r="J2342">
        <v>18</v>
      </c>
      <c r="K2342" t="s">
        <v>243</v>
      </c>
    </row>
    <row r="2343" spans="2:11" x14ac:dyDescent="0.25">
      <c r="B2343">
        <v>2589</v>
      </c>
      <c r="C2343">
        <v>337</v>
      </c>
      <c r="D2343">
        <v>152</v>
      </c>
      <c r="E2343">
        <v>10</v>
      </c>
      <c r="F2343">
        <v>10</v>
      </c>
      <c r="G2343">
        <v>20</v>
      </c>
      <c r="H2343">
        <v>0</v>
      </c>
      <c r="I2343">
        <v>0</v>
      </c>
      <c r="J2343">
        <v>30</v>
      </c>
      <c r="K2343" t="s">
        <v>241</v>
      </c>
    </row>
    <row r="2344" spans="2:11" x14ac:dyDescent="0.25">
      <c r="B2344">
        <v>2590</v>
      </c>
      <c r="C2344">
        <v>273</v>
      </c>
      <c r="D2344">
        <v>124</v>
      </c>
      <c r="E2344">
        <v>10</v>
      </c>
      <c r="F2344">
        <v>16</v>
      </c>
      <c r="G2344">
        <v>12</v>
      </c>
      <c r="H2344">
        <v>0</v>
      </c>
      <c r="I2344">
        <v>0</v>
      </c>
      <c r="J2344">
        <v>28</v>
      </c>
      <c r="K2344" t="s">
        <v>242</v>
      </c>
    </row>
    <row r="2345" spans="2:11" x14ac:dyDescent="0.25">
      <c r="B2345">
        <v>2591</v>
      </c>
      <c r="C2345">
        <v>326</v>
      </c>
      <c r="D2345">
        <v>151</v>
      </c>
      <c r="E2345">
        <v>11</v>
      </c>
      <c r="F2345">
        <v>10</v>
      </c>
      <c r="G2345">
        <v>5</v>
      </c>
      <c r="H2345">
        <v>0</v>
      </c>
      <c r="I2345">
        <v>0</v>
      </c>
      <c r="J2345">
        <v>15</v>
      </c>
      <c r="K2345" t="s">
        <v>247</v>
      </c>
    </row>
    <row r="2346" spans="2:11" x14ac:dyDescent="0.25">
      <c r="B2346">
        <v>2595</v>
      </c>
      <c r="C2346">
        <v>274</v>
      </c>
      <c r="D2346">
        <v>125</v>
      </c>
      <c r="E2346">
        <v>10</v>
      </c>
      <c r="F2346">
        <v>15</v>
      </c>
      <c r="G2346">
        <v>6</v>
      </c>
      <c r="H2346">
        <v>0</v>
      </c>
      <c r="I2346">
        <v>0</v>
      </c>
      <c r="J2346">
        <v>21</v>
      </c>
      <c r="K2346" t="s">
        <v>242</v>
      </c>
    </row>
    <row r="2347" spans="2:11" x14ac:dyDescent="0.25">
      <c r="B2347">
        <v>2597</v>
      </c>
      <c r="C2347">
        <v>112</v>
      </c>
      <c r="D2347">
        <v>51</v>
      </c>
      <c r="E2347">
        <v>11</v>
      </c>
      <c r="F2347">
        <v>24</v>
      </c>
      <c r="G2347">
        <v>6</v>
      </c>
      <c r="H2347">
        <v>0</v>
      </c>
      <c r="I2347">
        <v>0</v>
      </c>
      <c r="J2347">
        <v>30</v>
      </c>
      <c r="K2347" t="s">
        <v>243</v>
      </c>
    </row>
    <row r="2348" spans="2:11" x14ac:dyDescent="0.25">
      <c r="B2348">
        <v>2598</v>
      </c>
      <c r="C2348">
        <v>311</v>
      </c>
      <c r="D2348">
        <v>144</v>
      </c>
      <c r="E2348">
        <v>11</v>
      </c>
      <c r="F2348">
        <v>9</v>
      </c>
      <c r="G2348">
        <v>8</v>
      </c>
      <c r="H2348">
        <v>0</v>
      </c>
      <c r="I2348">
        <v>0</v>
      </c>
      <c r="J2348">
        <v>17</v>
      </c>
      <c r="K2348" t="s">
        <v>245</v>
      </c>
    </row>
    <row r="2349" spans="2:11" x14ac:dyDescent="0.25">
      <c r="B2349">
        <v>2601</v>
      </c>
      <c r="C2349">
        <v>163</v>
      </c>
      <c r="D2349">
        <v>69</v>
      </c>
      <c r="E2349">
        <v>11</v>
      </c>
      <c r="F2349">
        <v>4</v>
      </c>
      <c r="G2349">
        <v>2</v>
      </c>
      <c r="H2349">
        <v>0</v>
      </c>
      <c r="I2349">
        <v>0</v>
      </c>
      <c r="J2349">
        <v>6</v>
      </c>
      <c r="K2349" t="s">
        <v>247</v>
      </c>
    </row>
    <row r="2350" spans="2:11" x14ac:dyDescent="0.25">
      <c r="B2350">
        <v>2605</v>
      </c>
      <c r="C2350">
        <v>321</v>
      </c>
      <c r="D2350">
        <v>149</v>
      </c>
      <c r="E2350">
        <v>11</v>
      </c>
      <c r="F2350">
        <v>20</v>
      </c>
      <c r="G2350">
        <v>1</v>
      </c>
      <c r="H2350">
        <v>0</v>
      </c>
      <c r="I2350">
        <v>0</v>
      </c>
      <c r="J2350">
        <v>21</v>
      </c>
      <c r="K2350" t="s">
        <v>243</v>
      </c>
    </row>
    <row r="2351" spans="2:11" x14ac:dyDescent="0.25">
      <c r="B2351">
        <v>2606</v>
      </c>
      <c r="C2351">
        <v>299</v>
      </c>
      <c r="D2351">
        <v>137</v>
      </c>
      <c r="E2351">
        <v>10</v>
      </c>
      <c r="F2351">
        <v>18</v>
      </c>
      <c r="G2351">
        <v>12</v>
      </c>
      <c r="H2351">
        <v>0</v>
      </c>
      <c r="I2351">
        <v>0</v>
      </c>
      <c r="J2351">
        <v>30</v>
      </c>
      <c r="K2351" t="s">
        <v>243</v>
      </c>
    </row>
    <row r="2352" spans="2:11" x14ac:dyDescent="0.25">
      <c r="B2352">
        <v>2607</v>
      </c>
      <c r="C2352">
        <v>286</v>
      </c>
      <c r="D2352">
        <v>133</v>
      </c>
      <c r="E2352">
        <v>11</v>
      </c>
      <c r="F2352">
        <v>15</v>
      </c>
      <c r="G2352">
        <v>1</v>
      </c>
      <c r="H2352">
        <v>0</v>
      </c>
      <c r="I2352">
        <v>0</v>
      </c>
      <c r="J2352">
        <v>16</v>
      </c>
      <c r="K2352" t="s">
        <v>242</v>
      </c>
    </row>
    <row r="2353" spans="2:11" x14ac:dyDescent="0.25">
      <c r="B2353">
        <v>2608</v>
      </c>
      <c r="C2353">
        <v>313</v>
      </c>
      <c r="D2353">
        <v>144</v>
      </c>
      <c r="E2353">
        <v>11</v>
      </c>
      <c r="F2353">
        <v>2</v>
      </c>
      <c r="G2353">
        <v>5</v>
      </c>
      <c r="H2353">
        <v>0</v>
      </c>
      <c r="I2353">
        <v>0</v>
      </c>
      <c r="J2353">
        <v>7</v>
      </c>
      <c r="K2353" t="s">
        <v>247</v>
      </c>
    </row>
    <row r="2354" spans="2:11" x14ac:dyDescent="0.25">
      <c r="B2354">
        <v>2609</v>
      </c>
      <c r="C2354">
        <v>327</v>
      </c>
      <c r="D2354">
        <v>152</v>
      </c>
      <c r="E2354">
        <v>11</v>
      </c>
      <c r="F2354">
        <v>14</v>
      </c>
      <c r="G2354">
        <v>16</v>
      </c>
      <c r="H2354">
        <v>0</v>
      </c>
      <c r="I2354">
        <v>0</v>
      </c>
      <c r="J2354">
        <v>30</v>
      </c>
      <c r="K2354" t="s">
        <v>247</v>
      </c>
    </row>
    <row r="2355" spans="2:11" x14ac:dyDescent="0.25">
      <c r="B2355">
        <v>2610</v>
      </c>
      <c r="C2355">
        <v>273</v>
      </c>
      <c r="D2355">
        <v>124</v>
      </c>
      <c r="E2355">
        <v>11</v>
      </c>
      <c r="F2355">
        <v>14</v>
      </c>
      <c r="G2355">
        <v>8</v>
      </c>
      <c r="H2355">
        <v>0</v>
      </c>
      <c r="I2355">
        <v>0</v>
      </c>
      <c r="J2355">
        <v>22</v>
      </c>
      <c r="K2355" t="s">
        <v>242</v>
      </c>
    </row>
    <row r="2356" spans="2:11" x14ac:dyDescent="0.25">
      <c r="B2356">
        <v>2612</v>
      </c>
      <c r="C2356">
        <v>245</v>
      </c>
      <c r="D2356">
        <v>109</v>
      </c>
      <c r="E2356">
        <v>11</v>
      </c>
      <c r="F2356">
        <v>10</v>
      </c>
      <c r="G2356">
        <v>0</v>
      </c>
      <c r="H2356">
        <v>0</v>
      </c>
      <c r="I2356">
        <v>0</v>
      </c>
      <c r="J2356">
        <v>10</v>
      </c>
      <c r="K2356" t="s">
        <v>247</v>
      </c>
    </row>
    <row r="2357" spans="2:11" x14ac:dyDescent="0.25">
      <c r="B2357">
        <v>2613</v>
      </c>
      <c r="C2357">
        <v>90</v>
      </c>
      <c r="D2357">
        <v>45</v>
      </c>
      <c r="E2357">
        <v>1</v>
      </c>
      <c r="F2357">
        <v>15</v>
      </c>
      <c r="G2357">
        <v>5</v>
      </c>
      <c r="H2357">
        <v>0</v>
      </c>
      <c r="I2357">
        <v>0</v>
      </c>
      <c r="J2357">
        <v>20</v>
      </c>
      <c r="K2357" t="s">
        <v>249</v>
      </c>
    </row>
    <row r="2358" spans="2:11" x14ac:dyDescent="0.25">
      <c r="B2358">
        <v>2614</v>
      </c>
      <c r="C2358">
        <v>274</v>
      </c>
      <c r="D2358">
        <v>125</v>
      </c>
      <c r="E2358">
        <v>11</v>
      </c>
      <c r="F2358">
        <v>6</v>
      </c>
      <c r="G2358">
        <v>10</v>
      </c>
      <c r="H2358">
        <v>0</v>
      </c>
      <c r="I2358">
        <v>0</v>
      </c>
      <c r="J2358">
        <v>16</v>
      </c>
      <c r="K2358" t="s">
        <v>242</v>
      </c>
    </row>
    <row r="2359" spans="2:11" x14ac:dyDescent="0.25">
      <c r="B2359">
        <v>2615</v>
      </c>
      <c r="C2359">
        <v>90</v>
      </c>
      <c r="D2359">
        <v>45</v>
      </c>
      <c r="E2359">
        <v>2</v>
      </c>
      <c r="F2359">
        <v>15</v>
      </c>
      <c r="G2359">
        <v>5</v>
      </c>
      <c r="H2359">
        <v>0</v>
      </c>
      <c r="I2359">
        <v>0</v>
      </c>
      <c r="J2359">
        <v>20</v>
      </c>
      <c r="K2359" t="s">
        <v>249</v>
      </c>
    </row>
    <row r="2360" spans="2:11" x14ac:dyDescent="0.25">
      <c r="B2360">
        <v>2616</v>
      </c>
      <c r="C2360">
        <v>90</v>
      </c>
      <c r="D2360">
        <v>45</v>
      </c>
      <c r="E2360">
        <v>3</v>
      </c>
      <c r="F2360">
        <v>15</v>
      </c>
      <c r="G2360">
        <v>5</v>
      </c>
      <c r="H2360">
        <v>0</v>
      </c>
      <c r="I2360">
        <v>0</v>
      </c>
      <c r="J2360">
        <v>20</v>
      </c>
      <c r="K2360" t="s">
        <v>249</v>
      </c>
    </row>
    <row r="2361" spans="2:11" x14ac:dyDescent="0.25">
      <c r="B2361">
        <v>2617</v>
      </c>
      <c r="C2361">
        <v>90</v>
      </c>
      <c r="D2361">
        <v>45</v>
      </c>
      <c r="E2361">
        <v>4</v>
      </c>
      <c r="F2361">
        <v>15</v>
      </c>
      <c r="G2361">
        <v>5</v>
      </c>
      <c r="H2361">
        <v>0</v>
      </c>
      <c r="I2361">
        <v>0</v>
      </c>
      <c r="J2361">
        <v>20</v>
      </c>
      <c r="K2361" t="s">
        <v>249</v>
      </c>
    </row>
    <row r="2362" spans="2:11" x14ac:dyDescent="0.25">
      <c r="B2362">
        <v>2618</v>
      </c>
      <c r="C2362">
        <v>261</v>
      </c>
      <c r="D2362">
        <v>118</v>
      </c>
      <c r="E2362">
        <v>11</v>
      </c>
      <c r="F2362">
        <v>7</v>
      </c>
      <c r="G2362">
        <v>10</v>
      </c>
      <c r="H2362">
        <v>5</v>
      </c>
      <c r="I2362">
        <v>0</v>
      </c>
      <c r="J2362">
        <v>22</v>
      </c>
      <c r="K2362" t="s">
        <v>242</v>
      </c>
    </row>
    <row r="2363" spans="2:11" x14ac:dyDescent="0.25">
      <c r="B2363">
        <v>2619</v>
      </c>
      <c r="C2363">
        <v>166</v>
      </c>
      <c r="D2363">
        <v>71</v>
      </c>
      <c r="E2363">
        <v>11</v>
      </c>
      <c r="F2363">
        <v>4</v>
      </c>
      <c r="G2363">
        <v>10</v>
      </c>
      <c r="H2363">
        <v>0</v>
      </c>
      <c r="I2363">
        <v>0</v>
      </c>
      <c r="J2363">
        <v>14</v>
      </c>
      <c r="K2363" t="s">
        <v>247</v>
      </c>
    </row>
    <row r="2364" spans="2:11" x14ac:dyDescent="0.25">
      <c r="B2364">
        <v>2620</v>
      </c>
      <c r="C2364">
        <v>166</v>
      </c>
      <c r="D2364">
        <v>71</v>
      </c>
      <c r="E2364">
        <v>10</v>
      </c>
      <c r="F2364">
        <v>3</v>
      </c>
      <c r="G2364">
        <v>7</v>
      </c>
      <c r="H2364">
        <v>0</v>
      </c>
      <c r="I2364">
        <v>0</v>
      </c>
      <c r="J2364">
        <v>10</v>
      </c>
      <c r="K2364" t="s">
        <v>247</v>
      </c>
    </row>
    <row r="2365" spans="2:11" x14ac:dyDescent="0.25">
      <c r="B2365">
        <v>2621</v>
      </c>
      <c r="C2365">
        <v>245</v>
      </c>
      <c r="D2365">
        <v>109</v>
      </c>
      <c r="E2365">
        <v>10</v>
      </c>
      <c r="F2365">
        <v>6</v>
      </c>
      <c r="G2365">
        <v>0</v>
      </c>
      <c r="H2365">
        <v>4</v>
      </c>
      <c r="I2365">
        <v>0</v>
      </c>
      <c r="J2365">
        <v>10</v>
      </c>
      <c r="K2365" t="s">
        <v>247</v>
      </c>
    </row>
    <row r="2366" spans="2:11" x14ac:dyDescent="0.25">
      <c r="B2366">
        <v>2622</v>
      </c>
      <c r="C2366">
        <v>262</v>
      </c>
      <c r="D2366">
        <v>118</v>
      </c>
      <c r="E2366">
        <v>11</v>
      </c>
      <c r="F2366">
        <v>11</v>
      </c>
      <c r="G2366">
        <v>9</v>
      </c>
      <c r="H2366">
        <v>2</v>
      </c>
      <c r="I2366">
        <v>0</v>
      </c>
      <c r="J2366">
        <v>22</v>
      </c>
      <c r="K2366" t="s">
        <v>242</v>
      </c>
    </row>
    <row r="2367" spans="2:11" x14ac:dyDescent="0.25">
      <c r="B2367">
        <v>2624</v>
      </c>
      <c r="C2367">
        <v>90</v>
      </c>
      <c r="D2367">
        <v>45</v>
      </c>
      <c r="E2367">
        <v>5</v>
      </c>
      <c r="F2367">
        <v>15</v>
      </c>
      <c r="G2367">
        <v>5</v>
      </c>
      <c r="H2367">
        <v>0</v>
      </c>
      <c r="I2367">
        <v>0</v>
      </c>
      <c r="J2367">
        <v>20</v>
      </c>
      <c r="K2367" t="s">
        <v>249</v>
      </c>
    </row>
    <row r="2368" spans="2:11" x14ac:dyDescent="0.25">
      <c r="B2368">
        <v>2625</v>
      </c>
      <c r="C2368">
        <v>90</v>
      </c>
      <c r="D2368">
        <v>45</v>
      </c>
      <c r="E2368">
        <v>6</v>
      </c>
      <c r="F2368">
        <v>15</v>
      </c>
      <c r="G2368">
        <v>5</v>
      </c>
      <c r="H2368">
        <v>0</v>
      </c>
      <c r="I2368">
        <v>0</v>
      </c>
      <c r="J2368">
        <v>20</v>
      </c>
      <c r="K2368" t="s">
        <v>249</v>
      </c>
    </row>
    <row r="2369" spans="2:11" x14ac:dyDescent="0.25">
      <c r="B2369">
        <v>2626</v>
      </c>
      <c r="C2369">
        <v>90</v>
      </c>
      <c r="D2369">
        <v>45</v>
      </c>
      <c r="E2369">
        <v>7</v>
      </c>
      <c r="F2369">
        <v>15</v>
      </c>
      <c r="G2369">
        <v>5</v>
      </c>
      <c r="H2369">
        <v>0</v>
      </c>
      <c r="I2369">
        <v>0</v>
      </c>
      <c r="J2369">
        <v>20</v>
      </c>
      <c r="K2369" t="s">
        <v>249</v>
      </c>
    </row>
    <row r="2370" spans="2:11" x14ac:dyDescent="0.25">
      <c r="B2370">
        <v>2627</v>
      </c>
      <c r="C2370">
        <v>90</v>
      </c>
      <c r="D2370">
        <v>45</v>
      </c>
      <c r="E2370">
        <v>8</v>
      </c>
      <c r="F2370">
        <v>15</v>
      </c>
      <c r="G2370">
        <v>5</v>
      </c>
      <c r="H2370">
        <v>0</v>
      </c>
      <c r="I2370">
        <v>0</v>
      </c>
      <c r="J2370">
        <v>20</v>
      </c>
      <c r="K2370" t="s">
        <v>249</v>
      </c>
    </row>
    <row r="2371" spans="2:11" x14ac:dyDescent="0.25">
      <c r="B2371">
        <v>2628</v>
      </c>
      <c r="C2371">
        <v>90</v>
      </c>
      <c r="D2371">
        <v>45</v>
      </c>
      <c r="E2371">
        <v>9</v>
      </c>
      <c r="F2371">
        <v>15</v>
      </c>
      <c r="G2371">
        <v>5</v>
      </c>
      <c r="H2371">
        <v>0</v>
      </c>
      <c r="I2371">
        <v>0</v>
      </c>
      <c r="J2371">
        <v>20</v>
      </c>
      <c r="K2371" t="s">
        <v>249</v>
      </c>
    </row>
    <row r="2372" spans="2:11" x14ac:dyDescent="0.25">
      <c r="B2372">
        <v>2629</v>
      </c>
      <c r="C2372">
        <v>90</v>
      </c>
      <c r="D2372">
        <v>45</v>
      </c>
      <c r="E2372">
        <v>10</v>
      </c>
      <c r="F2372">
        <v>15</v>
      </c>
      <c r="G2372">
        <v>5</v>
      </c>
      <c r="H2372">
        <v>0</v>
      </c>
      <c r="I2372">
        <v>0</v>
      </c>
      <c r="J2372">
        <v>20</v>
      </c>
      <c r="K2372" t="s">
        <v>249</v>
      </c>
    </row>
    <row r="2373" spans="2:11" x14ac:dyDescent="0.25">
      <c r="B2373">
        <v>2630</v>
      </c>
      <c r="C2373">
        <v>90</v>
      </c>
      <c r="D2373">
        <v>45</v>
      </c>
      <c r="E2373">
        <v>6</v>
      </c>
      <c r="F2373">
        <v>15</v>
      </c>
      <c r="G2373">
        <v>5</v>
      </c>
      <c r="H2373">
        <v>0</v>
      </c>
      <c r="I2373">
        <v>0</v>
      </c>
      <c r="J2373">
        <v>20</v>
      </c>
      <c r="K2373" t="s">
        <v>249</v>
      </c>
    </row>
    <row r="2374" spans="2:11" x14ac:dyDescent="0.25">
      <c r="B2374">
        <v>2631</v>
      </c>
      <c r="C2374">
        <v>90</v>
      </c>
      <c r="D2374">
        <v>45</v>
      </c>
      <c r="E2374">
        <v>7</v>
      </c>
      <c r="F2374">
        <v>15</v>
      </c>
      <c r="G2374">
        <v>5</v>
      </c>
      <c r="H2374">
        <v>0</v>
      </c>
      <c r="I2374">
        <v>0</v>
      </c>
      <c r="J2374">
        <v>20</v>
      </c>
      <c r="K2374" t="s">
        <v>249</v>
      </c>
    </row>
    <row r="2375" spans="2:11" x14ac:dyDescent="0.25">
      <c r="B2375">
        <v>2632</v>
      </c>
      <c r="C2375">
        <v>90</v>
      </c>
      <c r="D2375">
        <v>45</v>
      </c>
      <c r="E2375">
        <v>8</v>
      </c>
      <c r="F2375">
        <v>15</v>
      </c>
      <c r="G2375">
        <v>5</v>
      </c>
      <c r="H2375">
        <v>0</v>
      </c>
      <c r="I2375">
        <v>0</v>
      </c>
      <c r="J2375">
        <v>20</v>
      </c>
      <c r="K2375" t="s">
        <v>249</v>
      </c>
    </row>
    <row r="2376" spans="2:11" x14ac:dyDescent="0.25">
      <c r="B2376">
        <v>2633</v>
      </c>
      <c r="C2376">
        <v>90</v>
      </c>
      <c r="D2376">
        <v>45</v>
      </c>
      <c r="E2376">
        <v>9</v>
      </c>
      <c r="F2376">
        <v>15</v>
      </c>
      <c r="G2376">
        <v>5</v>
      </c>
      <c r="H2376">
        <v>0</v>
      </c>
      <c r="I2376">
        <v>0</v>
      </c>
      <c r="J2376">
        <v>20</v>
      </c>
      <c r="K2376" t="s">
        <v>249</v>
      </c>
    </row>
    <row r="2377" spans="2:11" x14ac:dyDescent="0.25">
      <c r="B2377">
        <v>2634</v>
      </c>
      <c r="C2377">
        <v>90</v>
      </c>
      <c r="D2377">
        <v>45</v>
      </c>
      <c r="E2377">
        <v>10</v>
      </c>
      <c r="F2377">
        <v>15</v>
      </c>
      <c r="G2377">
        <v>5</v>
      </c>
      <c r="H2377">
        <v>0</v>
      </c>
      <c r="I2377">
        <v>0</v>
      </c>
      <c r="J2377">
        <v>20</v>
      </c>
      <c r="K2377" t="s">
        <v>249</v>
      </c>
    </row>
    <row r="2378" spans="2:11" x14ac:dyDescent="0.25">
      <c r="B2378">
        <v>2635</v>
      </c>
      <c r="C2378">
        <v>316</v>
      </c>
      <c r="D2378">
        <v>146</v>
      </c>
      <c r="E2378">
        <v>11</v>
      </c>
      <c r="F2378">
        <v>3</v>
      </c>
      <c r="G2378">
        <v>3</v>
      </c>
      <c r="H2378">
        <v>0</v>
      </c>
      <c r="I2378">
        <v>0</v>
      </c>
      <c r="J2378">
        <v>6</v>
      </c>
      <c r="K2378" t="s">
        <v>241</v>
      </c>
    </row>
    <row r="2379" spans="2:11" x14ac:dyDescent="0.25">
      <c r="B2379">
        <v>2636</v>
      </c>
      <c r="C2379">
        <v>289</v>
      </c>
      <c r="D2379">
        <v>135</v>
      </c>
      <c r="E2379">
        <v>11</v>
      </c>
      <c r="F2379">
        <v>29</v>
      </c>
      <c r="G2379">
        <v>1</v>
      </c>
      <c r="H2379">
        <v>0</v>
      </c>
      <c r="I2379">
        <v>0</v>
      </c>
      <c r="J2379">
        <v>30</v>
      </c>
      <c r="K2379" t="s">
        <v>241</v>
      </c>
    </row>
    <row r="2380" spans="2:11" x14ac:dyDescent="0.25">
      <c r="B2380">
        <v>2638</v>
      </c>
      <c r="C2380">
        <v>29</v>
      </c>
      <c r="D2380">
        <v>16</v>
      </c>
      <c r="E2380">
        <v>9</v>
      </c>
      <c r="F2380">
        <v>10</v>
      </c>
      <c r="G2380">
        <v>8</v>
      </c>
      <c r="H2380">
        <v>0</v>
      </c>
      <c r="I2380">
        <v>0</v>
      </c>
      <c r="J2380">
        <v>18</v>
      </c>
      <c r="K2380" t="s">
        <v>242</v>
      </c>
    </row>
    <row r="2381" spans="2:11" x14ac:dyDescent="0.25">
      <c r="B2381">
        <v>2639</v>
      </c>
      <c r="C2381">
        <v>315</v>
      </c>
      <c r="D2381">
        <v>145</v>
      </c>
      <c r="E2381">
        <v>11</v>
      </c>
      <c r="F2381">
        <v>12</v>
      </c>
      <c r="G2381">
        <v>15</v>
      </c>
      <c r="H2381">
        <v>1</v>
      </c>
      <c r="I2381">
        <v>0</v>
      </c>
      <c r="J2381">
        <v>28</v>
      </c>
      <c r="K2381" t="s">
        <v>241</v>
      </c>
    </row>
    <row r="2382" spans="2:11" x14ac:dyDescent="0.25">
      <c r="B2382">
        <v>2641</v>
      </c>
      <c r="C2382">
        <v>93</v>
      </c>
      <c r="D2382">
        <v>46</v>
      </c>
      <c r="E2382">
        <v>1</v>
      </c>
      <c r="F2382">
        <v>19</v>
      </c>
      <c r="G2382">
        <v>5</v>
      </c>
      <c r="H2382">
        <v>0</v>
      </c>
      <c r="I2382">
        <v>0</v>
      </c>
      <c r="J2382">
        <v>24</v>
      </c>
      <c r="K2382" t="s">
        <v>249</v>
      </c>
    </row>
    <row r="2383" spans="2:11" x14ac:dyDescent="0.25">
      <c r="B2383">
        <v>2642</v>
      </c>
      <c r="C2383">
        <v>93</v>
      </c>
      <c r="D2383">
        <v>46</v>
      </c>
      <c r="E2383">
        <v>2</v>
      </c>
      <c r="F2383">
        <v>19</v>
      </c>
      <c r="G2383">
        <v>5</v>
      </c>
      <c r="H2383">
        <v>0</v>
      </c>
      <c r="I2383">
        <v>0</v>
      </c>
      <c r="J2383">
        <v>24</v>
      </c>
      <c r="K2383" t="s">
        <v>249</v>
      </c>
    </row>
    <row r="2384" spans="2:11" x14ac:dyDescent="0.25">
      <c r="B2384">
        <v>2643</v>
      </c>
      <c r="C2384">
        <v>93</v>
      </c>
      <c r="D2384">
        <v>46</v>
      </c>
      <c r="E2384">
        <v>5</v>
      </c>
      <c r="F2384">
        <v>19</v>
      </c>
      <c r="G2384">
        <v>5</v>
      </c>
      <c r="H2384">
        <v>0</v>
      </c>
      <c r="I2384">
        <v>0</v>
      </c>
      <c r="J2384">
        <v>24</v>
      </c>
      <c r="K2384" t="s">
        <v>249</v>
      </c>
    </row>
    <row r="2385" spans="2:11" x14ac:dyDescent="0.25">
      <c r="B2385">
        <v>2644</v>
      </c>
      <c r="C2385">
        <v>93</v>
      </c>
      <c r="D2385">
        <v>46</v>
      </c>
      <c r="E2385">
        <v>3</v>
      </c>
      <c r="F2385">
        <v>19</v>
      </c>
      <c r="G2385">
        <v>5</v>
      </c>
      <c r="H2385">
        <v>0</v>
      </c>
      <c r="I2385">
        <v>0</v>
      </c>
      <c r="J2385">
        <v>24</v>
      </c>
      <c r="K2385" t="s">
        <v>249</v>
      </c>
    </row>
    <row r="2386" spans="2:11" x14ac:dyDescent="0.25">
      <c r="B2386">
        <v>5515</v>
      </c>
      <c r="C2386">
        <v>208</v>
      </c>
      <c r="D2386">
        <v>92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 t="s">
        <v>246</v>
      </c>
    </row>
    <row r="2387" spans="2:11" x14ac:dyDescent="0.25">
      <c r="B2387">
        <v>5523</v>
      </c>
      <c r="C2387">
        <v>208</v>
      </c>
      <c r="D2387">
        <v>92</v>
      </c>
      <c r="E2387">
        <v>5</v>
      </c>
      <c r="F2387">
        <v>15</v>
      </c>
      <c r="G2387">
        <v>5</v>
      </c>
      <c r="H2387">
        <v>0</v>
      </c>
      <c r="I2387">
        <v>0</v>
      </c>
      <c r="J2387">
        <v>20</v>
      </c>
      <c r="K2387" t="s">
        <v>246</v>
      </c>
    </row>
    <row r="2388" spans="2:11" x14ac:dyDescent="0.25">
      <c r="B2388">
        <v>5524</v>
      </c>
      <c r="C2388">
        <v>187</v>
      </c>
      <c r="D2388">
        <v>81</v>
      </c>
      <c r="E2388">
        <v>13</v>
      </c>
      <c r="F2388">
        <v>0</v>
      </c>
      <c r="G2388">
        <v>16</v>
      </c>
      <c r="H2388">
        <v>0</v>
      </c>
      <c r="I2388">
        <v>0</v>
      </c>
      <c r="J2388">
        <v>16</v>
      </c>
      <c r="K2388" t="s">
        <v>241</v>
      </c>
    </row>
    <row r="2389" spans="2:11" x14ac:dyDescent="0.25">
      <c r="B2389">
        <v>5526</v>
      </c>
      <c r="C2389">
        <v>208</v>
      </c>
      <c r="D2389">
        <v>92</v>
      </c>
      <c r="E2389">
        <v>6</v>
      </c>
      <c r="F2389">
        <v>16</v>
      </c>
      <c r="G2389">
        <v>2</v>
      </c>
      <c r="H2389">
        <v>0</v>
      </c>
      <c r="I2389">
        <v>0</v>
      </c>
      <c r="J2389">
        <v>18</v>
      </c>
      <c r="K2389" t="s">
        <v>246</v>
      </c>
    </row>
    <row r="2390" spans="2:11" x14ac:dyDescent="0.25">
      <c r="B2390">
        <v>5527</v>
      </c>
      <c r="C2390">
        <v>216</v>
      </c>
      <c r="D2390">
        <v>94</v>
      </c>
      <c r="E2390">
        <v>4</v>
      </c>
      <c r="F2390">
        <v>13</v>
      </c>
      <c r="G2390">
        <v>12</v>
      </c>
      <c r="H2390">
        <v>0</v>
      </c>
      <c r="I2390">
        <v>0</v>
      </c>
      <c r="J2390">
        <v>25</v>
      </c>
      <c r="K2390" t="s">
        <v>252</v>
      </c>
    </row>
    <row r="2391" spans="2:11" x14ac:dyDescent="0.25">
      <c r="B2391">
        <v>5528</v>
      </c>
      <c r="C2391">
        <v>187</v>
      </c>
      <c r="D2391">
        <v>81</v>
      </c>
      <c r="E2391">
        <v>14</v>
      </c>
      <c r="F2391">
        <v>0</v>
      </c>
      <c r="G2391">
        <v>24</v>
      </c>
      <c r="H2391">
        <v>0</v>
      </c>
      <c r="I2391">
        <v>0</v>
      </c>
      <c r="J2391">
        <v>24</v>
      </c>
      <c r="K2391" t="s">
        <v>241</v>
      </c>
    </row>
    <row r="2392" spans="2:11" x14ac:dyDescent="0.25">
      <c r="B2392">
        <v>5531</v>
      </c>
      <c r="C2392">
        <v>208</v>
      </c>
      <c r="D2392">
        <v>92</v>
      </c>
      <c r="E2392">
        <v>8</v>
      </c>
      <c r="F2392">
        <v>14</v>
      </c>
      <c r="G2392">
        <v>8</v>
      </c>
      <c r="H2392">
        <v>0</v>
      </c>
      <c r="I2392">
        <v>0</v>
      </c>
      <c r="J2392">
        <v>22</v>
      </c>
      <c r="K2392" t="s">
        <v>246</v>
      </c>
    </row>
    <row r="2393" spans="2:11" x14ac:dyDescent="0.25">
      <c r="B2393">
        <v>5533</v>
      </c>
      <c r="C2393">
        <v>208</v>
      </c>
      <c r="D2393">
        <v>92</v>
      </c>
      <c r="E2393">
        <v>9</v>
      </c>
      <c r="F2393">
        <v>13</v>
      </c>
      <c r="G2393">
        <v>4</v>
      </c>
      <c r="H2393">
        <v>1</v>
      </c>
      <c r="I2393">
        <v>0</v>
      </c>
      <c r="J2393">
        <v>18</v>
      </c>
      <c r="K2393" t="s">
        <v>246</v>
      </c>
    </row>
    <row r="2394" spans="2:11" x14ac:dyDescent="0.25">
      <c r="B2394">
        <v>5532</v>
      </c>
      <c r="C2394">
        <v>188</v>
      </c>
      <c r="D2394">
        <v>81</v>
      </c>
      <c r="E2394">
        <v>2</v>
      </c>
      <c r="F2394">
        <v>0</v>
      </c>
      <c r="G2394">
        <v>20</v>
      </c>
      <c r="H2394">
        <v>0</v>
      </c>
      <c r="I2394">
        <v>0</v>
      </c>
      <c r="J2394">
        <v>20</v>
      </c>
      <c r="K2394" t="s">
        <v>241</v>
      </c>
    </row>
    <row r="2395" spans="2:11" x14ac:dyDescent="0.25">
      <c r="B2395">
        <v>2645</v>
      </c>
      <c r="C2395">
        <v>264</v>
      </c>
      <c r="D2395">
        <v>118</v>
      </c>
      <c r="E2395">
        <v>11</v>
      </c>
      <c r="F2395">
        <v>6</v>
      </c>
      <c r="G2395">
        <v>6</v>
      </c>
      <c r="H2395">
        <v>0</v>
      </c>
      <c r="I2395">
        <v>0</v>
      </c>
      <c r="J2395">
        <v>12</v>
      </c>
      <c r="K2395" t="s">
        <v>242</v>
      </c>
    </row>
    <row r="2396" spans="2:11" x14ac:dyDescent="0.25">
      <c r="B2396">
        <v>2646</v>
      </c>
      <c r="C2396">
        <v>287</v>
      </c>
      <c r="D2396">
        <v>133</v>
      </c>
      <c r="E2396">
        <v>11</v>
      </c>
      <c r="F2396">
        <v>7</v>
      </c>
      <c r="G2396">
        <v>3</v>
      </c>
      <c r="H2396">
        <v>2</v>
      </c>
      <c r="I2396">
        <v>0</v>
      </c>
      <c r="J2396">
        <v>12</v>
      </c>
      <c r="K2396" t="s">
        <v>245</v>
      </c>
    </row>
    <row r="2397" spans="2:11" x14ac:dyDescent="0.25">
      <c r="B2397">
        <v>2647</v>
      </c>
      <c r="C2397">
        <v>93</v>
      </c>
      <c r="D2397">
        <v>46</v>
      </c>
      <c r="E2397">
        <v>4</v>
      </c>
      <c r="F2397">
        <v>19</v>
      </c>
      <c r="G2397">
        <v>5</v>
      </c>
      <c r="H2397">
        <v>0</v>
      </c>
      <c r="I2397">
        <v>0</v>
      </c>
      <c r="J2397">
        <v>24</v>
      </c>
      <c r="K2397" t="s">
        <v>249</v>
      </c>
    </row>
    <row r="2398" spans="2:11" x14ac:dyDescent="0.25">
      <c r="B2398">
        <v>2648</v>
      </c>
      <c r="C2398">
        <v>328</v>
      </c>
      <c r="D2398">
        <v>152</v>
      </c>
      <c r="E2398">
        <v>11</v>
      </c>
      <c r="F2398">
        <v>13</v>
      </c>
      <c r="G2398">
        <v>17</v>
      </c>
      <c r="H2398">
        <v>0</v>
      </c>
      <c r="I2398">
        <v>0</v>
      </c>
      <c r="J2398">
        <v>30</v>
      </c>
      <c r="K2398" t="s">
        <v>245</v>
      </c>
    </row>
    <row r="2399" spans="2:11" x14ac:dyDescent="0.25">
      <c r="B2399">
        <v>2649</v>
      </c>
      <c r="C2399">
        <v>29</v>
      </c>
      <c r="D2399">
        <v>16</v>
      </c>
      <c r="E2399">
        <v>8</v>
      </c>
      <c r="F2399">
        <v>14</v>
      </c>
      <c r="G2399">
        <v>16</v>
      </c>
      <c r="H2399">
        <v>0</v>
      </c>
      <c r="I2399">
        <v>0</v>
      </c>
      <c r="J2399">
        <v>30</v>
      </c>
      <c r="K2399" t="s">
        <v>242</v>
      </c>
    </row>
    <row r="2400" spans="2:11" x14ac:dyDescent="0.25">
      <c r="B2400">
        <v>2650</v>
      </c>
      <c r="C2400">
        <v>314</v>
      </c>
      <c r="D2400">
        <v>145</v>
      </c>
      <c r="E2400">
        <v>11</v>
      </c>
      <c r="F2400">
        <v>11</v>
      </c>
      <c r="G2400">
        <v>6</v>
      </c>
      <c r="H2400">
        <v>3</v>
      </c>
      <c r="I2400">
        <v>0</v>
      </c>
      <c r="J2400">
        <v>20</v>
      </c>
      <c r="K2400" t="s">
        <v>245</v>
      </c>
    </row>
    <row r="2401" spans="2:11" x14ac:dyDescent="0.25">
      <c r="B2401">
        <v>2651</v>
      </c>
      <c r="C2401">
        <v>175</v>
      </c>
      <c r="D2401">
        <v>76</v>
      </c>
      <c r="E2401">
        <v>11</v>
      </c>
      <c r="F2401">
        <v>2</v>
      </c>
      <c r="G2401">
        <v>2</v>
      </c>
      <c r="H2401">
        <v>2</v>
      </c>
      <c r="I2401">
        <v>0</v>
      </c>
      <c r="J2401">
        <v>6</v>
      </c>
      <c r="K2401" t="s">
        <v>245</v>
      </c>
    </row>
    <row r="2402" spans="2:11" x14ac:dyDescent="0.25">
      <c r="B2402">
        <v>2653</v>
      </c>
      <c r="C2402">
        <v>29</v>
      </c>
      <c r="D2402">
        <v>16</v>
      </c>
      <c r="E2402">
        <v>10</v>
      </c>
      <c r="F2402">
        <v>10</v>
      </c>
      <c r="G2402">
        <v>15</v>
      </c>
      <c r="H2402">
        <v>0</v>
      </c>
      <c r="I2402">
        <v>0</v>
      </c>
      <c r="J2402">
        <v>25</v>
      </c>
      <c r="K2402" t="s">
        <v>242</v>
      </c>
    </row>
    <row r="2403" spans="2:11" x14ac:dyDescent="0.25">
      <c r="B2403">
        <v>2655</v>
      </c>
      <c r="C2403">
        <v>329</v>
      </c>
      <c r="D2403">
        <v>152</v>
      </c>
      <c r="E2403">
        <v>11</v>
      </c>
      <c r="F2403">
        <v>14</v>
      </c>
      <c r="G2403">
        <v>15</v>
      </c>
      <c r="H2403">
        <v>1</v>
      </c>
      <c r="I2403">
        <v>0</v>
      </c>
      <c r="J2403">
        <v>30</v>
      </c>
      <c r="K2403" t="s">
        <v>243</v>
      </c>
    </row>
    <row r="2404" spans="2:11" x14ac:dyDescent="0.25">
      <c r="B2404">
        <v>2656</v>
      </c>
      <c r="C2404">
        <v>265</v>
      </c>
      <c r="D2404">
        <v>118</v>
      </c>
      <c r="E2404">
        <v>11</v>
      </c>
      <c r="F2404">
        <v>1</v>
      </c>
      <c r="G2404">
        <v>0</v>
      </c>
      <c r="H2404">
        <v>6</v>
      </c>
      <c r="I2404">
        <v>0</v>
      </c>
      <c r="J2404">
        <v>7</v>
      </c>
      <c r="K2404" t="s">
        <v>247</v>
      </c>
    </row>
    <row r="2405" spans="2:11" x14ac:dyDescent="0.25">
      <c r="B2405">
        <v>2658</v>
      </c>
      <c r="C2405">
        <v>91</v>
      </c>
      <c r="D2405">
        <v>45</v>
      </c>
      <c r="E2405">
        <v>1</v>
      </c>
      <c r="F2405">
        <v>18</v>
      </c>
      <c r="G2405">
        <v>2</v>
      </c>
      <c r="H2405">
        <v>0</v>
      </c>
      <c r="I2405">
        <v>0</v>
      </c>
      <c r="J2405">
        <v>20</v>
      </c>
      <c r="K2405" t="s">
        <v>249</v>
      </c>
    </row>
    <row r="2406" spans="2:11" x14ac:dyDescent="0.25">
      <c r="B2406">
        <v>2659</v>
      </c>
      <c r="C2406">
        <v>91</v>
      </c>
      <c r="D2406">
        <v>45</v>
      </c>
      <c r="E2406">
        <v>2</v>
      </c>
      <c r="F2406">
        <v>18</v>
      </c>
      <c r="G2406">
        <v>2</v>
      </c>
      <c r="H2406">
        <v>0</v>
      </c>
      <c r="I2406">
        <v>0</v>
      </c>
      <c r="J2406">
        <v>20</v>
      </c>
      <c r="K2406" t="s">
        <v>249</v>
      </c>
    </row>
    <row r="2407" spans="2:11" x14ac:dyDescent="0.25">
      <c r="B2407">
        <v>2660</v>
      </c>
      <c r="C2407">
        <v>91</v>
      </c>
      <c r="D2407">
        <v>45</v>
      </c>
      <c r="E2407">
        <v>3</v>
      </c>
      <c r="F2407">
        <v>18</v>
      </c>
      <c r="G2407">
        <v>2</v>
      </c>
      <c r="H2407">
        <v>0</v>
      </c>
      <c r="I2407">
        <v>0</v>
      </c>
      <c r="J2407">
        <v>20</v>
      </c>
      <c r="K2407" t="s">
        <v>249</v>
      </c>
    </row>
    <row r="2408" spans="2:11" x14ac:dyDescent="0.25">
      <c r="B2408">
        <v>2661</v>
      </c>
      <c r="C2408">
        <v>91</v>
      </c>
      <c r="D2408">
        <v>45</v>
      </c>
      <c r="E2408">
        <v>4</v>
      </c>
      <c r="F2408">
        <v>18</v>
      </c>
      <c r="G2408">
        <v>2</v>
      </c>
      <c r="H2408">
        <v>0</v>
      </c>
      <c r="I2408">
        <v>0</v>
      </c>
      <c r="J2408">
        <v>20</v>
      </c>
      <c r="K2408" t="s">
        <v>249</v>
      </c>
    </row>
    <row r="2409" spans="2:11" x14ac:dyDescent="0.25">
      <c r="B2409">
        <v>2662</v>
      </c>
      <c r="C2409">
        <v>91</v>
      </c>
      <c r="D2409">
        <v>45</v>
      </c>
      <c r="E2409">
        <v>5</v>
      </c>
      <c r="F2409">
        <v>18</v>
      </c>
      <c r="G2409">
        <v>2</v>
      </c>
      <c r="H2409">
        <v>0</v>
      </c>
      <c r="I2409">
        <v>0</v>
      </c>
      <c r="J2409">
        <v>20</v>
      </c>
      <c r="K2409" t="s">
        <v>249</v>
      </c>
    </row>
    <row r="2410" spans="2:11" x14ac:dyDescent="0.25">
      <c r="B2410">
        <v>2663</v>
      </c>
      <c r="C2410">
        <v>91</v>
      </c>
      <c r="D2410">
        <v>45</v>
      </c>
      <c r="E2410">
        <v>6</v>
      </c>
      <c r="F2410">
        <v>18</v>
      </c>
      <c r="G2410">
        <v>2</v>
      </c>
      <c r="H2410">
        <v>0</v>
      </c>
      <c r="I2410">
        <v>0</v>
      </c>
      <c r="J2410">
        <v>20</v>
      </c>
      <c r="K2410" t="s">
        <v>249</v>
      </c>
    </row>
    <row r="2411" spans="2:11" x14ac:dyDescent="0.25">
      <c r="B2411">
        <v>2664</v>
      </c>
      <c r="C2411">
        <v>91</v>
      </c>
      <c r="D2411">
        <v>45</v>
      </c>
      <c r="E2411">
        <v>7</v>
      </c>
      <c r="F2411">
        <v>18</v>
      </c>
      <c r="G2411">
        <v>2</v>
      </c>
      <c r="H2411">
        <v>0</v>
      </c>
      <c r="I2411">
        <v>0</v>
      </c>
      <c r="J2411">
        <v>20</v>
      </c>
      <c r="K2411" t="s">
        <v>249</v>
      </c>
    </row>
    <row r="2412" spans="2:11" x14ac:dyDescent="0.25">
      <c r="B2412">
        <v>2665</v>
      </c>
      <c r="C2412">
        <v>91</v>
      </c>
      <c r="D2412">
        <v>45</v>
      </c>
      <c r="E2412">
        <v>8</v>
      </c>
      <c r="F2412">
        <v>18</v>
      </c>
      <c r="G2412">
        <v>2</v>
      </c>
      <c r="H2412">
        <v>0</v>
      </c>
      <c r="I2412">
        <v>0</v>
      </c>
      <c r="J2412">
        <v>20</v>
      </c>
      <c r="K2412" t="s">
        <v>249</v>
      </c>
    </row>
    <row r="2413" spans="2:11" x14ac:dyDescent="0.25">
      <c r="B2413">
        <v>2666</v>
      </c>
      <c r="C2413">
        <v>91</v>
      </c>
      <c r="D2413">
        <v>45</v>
      </c>
      <c r="E2413">
        <v>9</v>
      </c>
      <c r="F2413">
        <v>18</v>
      </c>
      <c r="G2413">
        <v>2</v>
      </c>
      <c r="H2413">
        <v>0</v>
      </c>
      <c r="I2413">
        <v>0</v>
      </c>
      <c r="J2413">
        <v>20</v>
      </c>
      <c r="K2413" t="s">
        <v>249</v>
      </c>
    </row>
    <row r="2414" spans="2:11" x14ac:dyDescent="0.25">
      <c r="B2414">
        <v>2667</v>
      </c>
      <c r="C2414">
        <v>91</v>
      </c>
      <c r="D2414">
        <v>45</v>
      </c>
      <c r="E2414">
        <v>10</v>
      </c>
      <c r="F2414">
        <v>18</v>
      </c>
      <c r="G2414">
        <v>2</v>
      </c>
      <c r="H2414">
        <v>0</v>
      </c>
      <c r="I2414">
        <v>0</v>
      </c>
      <c r="J2414">
        <v>20</v>
      </c>
      <c r="K2414" t="s">
        <v>249</v>
      </c>
    </row>
    <row r="2415" spans="2:11" x14ac:dyDescent="0.25">
      <c r="B2415">
        <v>2668</v>
      </c>
      <c r="C2415">
        <v>275</v>
      </c>
      <c r="D2415">
        <v>126</v>
      </c>
      <c r="E2415">
        <v>11</v>
      </c>
      <c r="F2415">
        <v>11</v>
      </c>
      <c r="G2415">
        <v>13</v>
      </c>
      <c r="H2415">
        <v>0</v>
      </c>
      <c r="I2415">
        <v>0</v>
      </c>
      <c r="J2415">
        <v>24</v>
      </c>
      <c r="K2415" t="s">
        <v>247</v>
      </c>
    </row>
    <row r="2416" spans="2:11" x14ac:dyDescent="0.25">
      <c r="B2416">
        <v>2669</v>
      </c>
      <c r="C2416">
        <v>263</v>
      </c>
      <c r="D2416">
        <v>118</v>
      </c>
      <c r="E2416">
        <v>11</v>
      </c>
      <c r="F2416">
        <v>2</v>
      </c>
      <c r="G2416">
        <v>1</v>
      </c>
      <c r="H2416">
        <v>0</v>
      </c>
      <c r="I2416">
        <v>0</v>
      </c>
      <c r="J2416">
        <v>3</v>
      </c>
      <c r="K2416" t="s">
        <v>243</v>
      </c>
    </row>
    <row r="2417" spans="2:11" x14ac:dyDescent="0.25">
      <c r="B2417">
        <v>2674</v>
      </c>
      <c r="C2417">
        <v>109</v>
      </c>
      <c r="D2417">
        <v>51</v>
      </c>
      <c r="E2417">
        <v>10</v>
      </c>
      <c r="F2417">
        <v>2</v>
      </c>
      <c r="G2417">
        <v>12</v>
      </c>
      <c r="H2417">
        <v>1</v>
      </c>
      <c r="I2417">
        <v>0</v>
      </c>
      <c r="J2417">
        <v>15</v>
      </c>
      <c r="K2417" t="s">
        <v>246</v>
      </c>
    </row>
    <row r="2418" spans="2:11" x14ac:dyDescent="0.25">
      <c r="B2418">
        <v>2675</v>
      </c>
      <c r="C2418">
        <v>288</v>
      </c>
      <c r="D2418">
        <v>134</v>
      </c>
      <c r="E2418">
        <v>11</v>
      </c>
      <c r="F2418">
        <v>10</v>
      </c>
      <c r="G2418">
        <v>1</v>
      </c>
      <c r="H2418">
        <v>0</v>
      </c>
      <c r="I2418">
        <v>0</v>
      </c>
      <c r="J2418">
        <v>11</v>
      </c>
      <c r="K2418" t="s">
        <v>246</v>
      </c>
    </row>
    <row r="2419" spans="2:11" x14ac:dyDescent="0.25">
      <c r="B2419">
        <v>2676</v>
      </c>
      <c r="C2419">
        <v>29</v>
      </c>
      <c r="D2419">
        <v>16</v>
      </c>
      <c r="E2419">
        <v>7</v>
      </c>
      <c r="F2419">
        <v>7</v>
      </c>
      <c r="G2419">
        <v>10</v>
      </c>
      <c r="H2419">
        <v>0</v>
      </c>
      <c r="I2419">
        <v>0</v>
      </c>
      <c r="J2419">
        <v>17</v>
      </c>
      <c r="K2419" t="s">
        <v>246</v>
      </c>
    </row>
    <row r="2420" spans="2:11" x14ac:dyDescent="0.25">
      <c r="B2420">
        <v>2677</v>
      </c>
      <c r="C2420">
        <v>29</v>
      </c>
      <c r="D2420">
        <v>16</v>
      </c>
      <c r="E2420">
        <v>6</v>
      </c>
      <c r="F2420">
        <v>13</v>
      </c>
      <c r="G2420">
        <v>5</v>
      </c>
      <c r="H2420">
        <v>0</v>
      </c>
      <c r="I2420">
        <v>0</v>
      </c>
      <c r="J2420">
        <v>18</v>
      </c>
      <c r="K2420" t="s">
        <v>246</v>
      </c>
    </row>
    <row r="2421" spans="2:11" x14ac:dyDescent="0.25">
      <c r="B2421">
        <v>2678</v>
      </c>
      <c r="C2421">
        <v>29</v>
      </c>
      <c r="D2421">
        <v>16</v>
      </c>
      <c r="E2421">
        <v>5</v>
      </c>
      <c r="F2421">
        <v>16</v>
      </c>
      <c r="G2421">
        <v>9</v>
      </c>
      <c r="H2421">
        <v>0</v>
      </c>
      <c r="I2421">
        <v>0</v>
      </c>
      <c r="J2421">
        <v>25</v>
      </c>
      <c r="K2421" t="s">
        <v>246</v>
      </c>
    </row>
    <row r="2422" spans="2:11" x14ac:dyDescent="0.25">
      <c r="B2422">
        <v>2679</v>
      </c>
      <c r="C2422">
        <v>266</v>
      </c>
      <c r="D2422">
        <v>118</v>
      </c>
      <c r="E2422">
        <v>12</v>
      </c>
      <c r="F2422">
        <v>13</v>
      </c>
      <c r="G2422">
        <v>16</v>
      </c>
      <c r="H2422">
        <v>0</v>
      </c>
      <c r="I2422">
        <v>0</v>
      </c>
      <c r="J2422">
        <v>16</v>
      </c>
      <c r="K2422" t="s">
        <v>247</v>
      </c>
    </row>
    <row r="2423" spans="2:11" x14ac:dyDescent="0.25">
      <c r="B2423">
        <v>2682</v>
      </c>
      <c r="C2423">
        <v>29</v>
      </c>
      <c r="D2423">
        <v>16</v>
      </c>
      <c r="E2423">
        <v>3</v>
      </c>
      <c r="F2423">
        <v>8</v>
      </c>
      <c r="G2423">
        <v>21</v>
      </c>
      <c r="H2423">
        <v>1</v>
      </c>
      <c r="I2423">
        <v>0</v>
      </c>
      <c r="J2423">
        <v>30</v>
      </c>
      <c r="K2423" t="s">
        <v>248</v>
      </c>
    </row>
    <row r="2424" spans="2:11" x14ac:dyDescent="0.25">
      <c r="B2424">
        <v>2683</v>
      </c>
      <c r="C2424">
        <v>29</v>
      </c>
      <c r="D2424">
        <v>16</v>
      </c>
      <c r="E2424">
        <v>2</v>
      </c>
      <c r="F2424">
        <v>18</v>
      </c>
      <c r="G2424">
        <v>10</v>
      </c>
      <c r="H2424">
        <v>2</v>
      </c>
      <c r="I2424">
        <v>0</v>
      </c>
      <c r="J2424">
        <v>30</v>
      </c>
      <c r="K2424" t="s">
        <v>248</v>
      </c>
    </row>
    <row r="2425" spans="2:11" x14ac:dyDescent="0.25">
      <c r="B2425">
        <v>2684</v>
      </c>
      <c r="C2425">
        <v>170</v>
      </c>
      <c r="D2425">
        <v>73</v>
      </c>
      <c r="E2425">
        <v>11</v>
      </c>
      <c r="F2425">
        <v>13</v>
      </c>
      <c r="G2425">
        <v>2</v>
      </c>
      <c r="H2425">
        <v>0</v>
      </c>
      <c r="I2425">
        <v>0</v>
      </c>
      <c r="J2425">
        <v>15</v>
      </c>
      <c r="K2425" t="s">
        <v>246</v>
      </c>
    </row>
    <row r="2426" spans="2:11" x14ac:dyDescent="0.25">
      <c r="B2426">
        <v>2685</v>
      </c>
      <c r="C2426">
        <v>29</v>
      </c>
      <c r="D2426">
        <v>16</v>
      </c>
      <c r="E2426">
        <v>1</v>
      </c>
      <c r="F2426">
        <v>22</v>
      </c>
      <c r="G2426">
        <v>6</v>
      </c>
      <c r="H2426">
        <v>0</v>
      </c>
      <c r="I2426">
        <v>0</v>
      </c>
      <c r="J2426">
        <v>28</v>
      </c>
      <c r="K2426" t="s">
        <v>248</v>
      </c>
    </row>
    <row r="2427" spans="2:11" x14ac:dyDescent="0.25">
      <c r="B2427">
        <v>2686</v>
      </c>
      <c r="C2427">
        <v>172</v>
      </c>
      <c r="D2427">
        <v>74</v>
      </c>
      <c r="E2427">
        <v>11</v>
      </c>
      <c r="F2427">
        <v>7</v>
      </c>
      <c r="G2427">
        <v>4</v>
      </c>
      <c r="H2427">
        <v>0</v>
      </c>
      <c r="I2427">
        <v>0</v>
      </c>
      <c r="J2427">
        <v>11</v>
      </c>
      <c r="K2427" t="s">
        <v>246</v>
      </c>
    </row>
    <row r="2428" spans="2:11" x14ac:dyDescent="0.25">
      <c r="B2428">
        <v>2687</v>
      </c>
      <c r="C2428">
        <v>300</v>
      </c>
      <c r="D2428">
        <v>138</v>
      </c>
      <c r="E2428">
        <v>11</v>
      </c>
      <c r="F2428">
        <v>3</v>
      </c>
      <c r="G2428">
        <v>1</v>
      </c>
      <c r="H2428">
        <v>2</v>
      </c>
      <c r="I2428">
        <v>0</v>
      </c>
      <c r="J2428">
        <v>6</v>
      </c>
      <c r="K2428" t="s">
        <v>246</v>
      </c>
    </row>
    <row r="2429" spans="2:11" x14ac:dyDescent="0.25">
      <c r="B2429">
        <v>2688</v>
      </c>
      <c r="C2429">
        <v>272</v>
      </c>
      <c r="D2429">
        <v>123</v>
      </c>
      <c r="E2429">
        <v>10</v>
      </c>
      <c r="F2429">
        <v>14</v>
      </c>
      <c r="G2429">
        <v>10</v>
      </c>
      <c r="H2429">
        <v>6</v>
      </c>
      <c r="I2429">
        <v>0</v>
      </c>
      <c r="J2429">
        <v>30</v>
      </c>
      <c r="K2429" t="s">
        <v>248</v>
      </c>
    </row>
    <row r="2430" spans="2:11" x14ac:dyDescent="0.25">
      <c r="B2430">
        <v>2689</v>
      </c>
      <c r="C2430">
        <v>317</v>
      </c>
      <c r="D2430">
        <v>146</v>
      </c>
      <c r="E2430">
        <v>10</v>
      </c>
      <c r="F2430">
        <v>12</v>
      </c>
      <c r="G2430">
        <v>9</v>
      </c>
      <c r="H2430">
        <v>0</v>
      </c>
      <c r="I2430">
        <v>0</v>
      </c>
      <c r="J2430">
        <v>21</v>
      </c>
      <c r="K2430" t="s">
        <v>242</v>
      </c>
    </row>
    <row r="2431" spans="2:11" x14ac:dyDescent="0.25">
      <c r="B2431">
        <v>2690</v>
      </c>
      <c r="C2431">
        <v>121</v>
      </c>
      <c r="D2431">
        <v>55</v>
      </c>
      <c r="E2431">
        <v>11</v>
      </c>
      <c r="F2431">
        <v>5</v>
      </c>
      <c r="G2431">
        <v>3</v>
      </c>
      <c r="H2431">
        <v>0</v>
      </c>
      <c r="I2431">
        <v>0</v>
      </c>
      <c r="J2431">
        <v>8</v>
      </c>
      <c r="K2431" t="s">
        <v>246</v>
      </c>
    </row>
    <row r="2432" spans="2:11" x14ac:dyDescent="0.25">
      <c r="B2432">
        <v>2691</v>
      </c>
      <c r="C2432">
        <v>276</v>
      </c>
      <c r="D2432">
        <v>127</v>
      </c>
      <c r="E2432">
        <v>11</v>
      </c>
      <c r="F2432">
        <v>10</v>
      </c>
      <c r="G2432">
        <v>17</v>
      </c>
      <c r="H2432">
        <v>0</v>
      </c>
      <c r="I2432">
        <v>0</v>
      </c>
      <c r="J2432">
        <v>27</v>
      </c>
      <c r="K2432" t="s">
        <v>246</v>
      </c>
    </row>
    <row r="2433" spans="2:11" x14ac:dyDescent="0.25">
      <c r="B2433">
        <v>2695</v>
      </c>
      <c r="C2433">
        <v>90</v>
      </c>
      <c r="D2433">
        <v>45</v>
      </c>
      <c r="E2433">
        <v>1</v>
      </c>
      <c r="F2433">
        <v>22</v>
      </c>
      <c r="G2433">
        <v>8</v>
      </c>
      <c r="H2433">
        <v>0</v>
      </c>
      <c r="I2433">
        <v>0</v>
      </c>
      <c r="J2433">
        <v>20</v>
      </c>
      <c r="K2433" t="s">
        <v>249</v>
      </c>
    </row>
    <row r="2434" spans="2:11" x14ac:dyDescent="0.25">
      <c r="B2434">
        <v>2696</v>
      </c>
      <c r="C2434">
        <v>331</v>
      </c>
      <c r="D2434">
        <v>152</v>
      </c>
      <c r="E2434">
        <v>11</v>
      </c>
      <c r="F2434">
        <v>1</v>
      </c>
      <c r="G2434">
        <v>21</v>
      </c>
      <c r="H2434">
        <v>0</v>
      </c>
      <c r="I2434">
        <v>0</v>
      </c>
      <c r="J2434">
        <v>22</v>
      </c>
      <c r="K2434" t="s">
        <v>242</v>
      </c>
    </row>
    <row r="2435" spans="2:11" x14ac:dyDescent="0.25">
      <c r="B2435">
        <v>2698</v>
      </c>
      <c r="C2435">
        <v>90</v>
      </c>
      <c r="D2435">
        <v>45</v>
      </c>
      <c r="E2435">
        <v>2</v>
      </c>
      <c r="F2435">
        <v>22</v>
      </c>
      <c r="G2435">
        <v>8</v>
      </c>
      <c r="H2435">
        <v>0</v>
      </c>
      <c r="I2435">
        <v>0</v>
      </c>
      <c r="J2435">
        <v>20</v>
      </c>
      <c r="K2435" t="s">
        <v>249</v>
      </c>
    </row>
    <row r="2436" spans="2:11" x14ac:dyDescent="0.25">
      <c r="B2436">
        <v>2699</v>
      </c>
      <c r="C2436">
        <v>324</v>
      </c>
      <c r="D2436">
        <v>150</v>
      </c>
      <c r="E2436">
        <v>10</v>
      </c>
      <c r="F2436">
        <v>5</v>
      </c>
      <c r="G2436">
        <v>9</v>
      </c>
      <c r="H2436">
        <v>0</v>
      </c>
      <c r="I2436">
        <v>0</v>
      </c>
      <c r="J2436">
        <v>14</v>
      </c>
      <c r="K2436" t="s">
        <v>248</v>
      </c>
    </row>
    <row r="2437" spans="2:11" x14ac:dyDescent="0.25">
      <c r="B2437">
        <v>2700</v>
      </c>
      <c r="C2437">
        <v>90</v>
      </c>
      <c r="D2437">
        <v>45</v>
      </c>
      <c r="E2437">
        <v>3</v>
      </c>
      <c r="F2437">
        <v>22</v>
      </c>
      <c r="G2437">
        <v>8</v>
      </c>
      <c r="H2437">
        <v>0</v>
      </c>
      <c r="I2437">
        <v>0</v>
      </c>
      <c r="J2437">
        <v>20</v>
      </c>
      <c r="K2437" t="s">
        <v>249</v>
      </c>
    </row>
    <row r="2438" spans="2:11" x14ac:dyDescent="0.25">
      <c r="B2438">
        <v>2701</v>
      </c>
      <c r="C2438">
        <v>90</v>
      </c>
      <c r="D2438">
        <v>45</v>
      </c>
      <c r="E2438">
        <v>4</v>
      </c>
      <c r="F2438">
        <v>22</v>
      </c>
      <c r="G2438">
        <v>8</v>
      </c>
      <c r="H2438">
        <v>0</v>
      </c>
      <c r="I2438">
        <v>0</v>
      </c>
      <c r="J2438">
        <v>20</v>
      </c>
      <c r="K2438" t="s">
        <v>249</v>
      </c>
    </row>
    <row r="2439" spans="2:11" x14ac:dyDescent="0.25">
      <c r="B2439">
        <v>2702</v>
      </c>
      <c r="C2439">
        <v>90</v>
      </c>
      <c r="D2439">
        <v>45</v>
      </c>
      <c r="E2439">
        <v>5</v>
      </c>
      <c r="F2439">
        <v>22</v>
      </c>
      <c r="G2439">
        <v>8</v>
      </c>
      <c r="H2439">
        <v>0</v>
      </c>
      <c r="I2439">
        <v>0</v>
      </c>
      <c r="J2439">
        <v>20</v>
      </c>
      <c r="K2439" t="s">
        <v>249</v>
      </c>
    </row>
    <row r="2440" spans="2:11" x14ac:dyDescent="0.25">
      <c r="B2440">
        <v>2703</v>
      </c>
      <c r="C2440">
        <v>90</v>
      </c>
      <c r="D2440">
        <v>45</v>
      </c>
      <c r="E2440">
        <v>6</v>
      </c>
      <c r="F2440">
        <v>22</v>
      </c>
      <c r="G2440">
        <v>8</v>
      </c>
      <c r="H2440">
        <v>0</v>
      </c>
      <c r="I2440">
        <v>0</v>
      </c>
      <c r="J2440">
        <v>20</v>
      </c>
      <c r="K2440" t="s">
        <v>249</v>
      </c>
    </row>
    <row r="2441" spans="2:11" x14ac:dyDescent="0.25">
      <c r="B2441">
        <v>2704</v>
      </c>
      <c r="C2441">
        <v>90</v>
      </c>
      <c r="D2441">
        <v>45</v>
      </c>
      <c r="E2441">
        <v>7</v>
      </c>
      <c r="F2441">
        <v>22</v>
      </c>
      <c r="G2441">
        <v>8</v>
      </c>
      <c r="H2441">
        <v>0</v>
      </c>
      <c r="I2441">
        <v>0</v>
      </c>
      <c r="J2441">
        <v>20</v>
      </c>
      <c r="K2441" t="s">
        <v>249</v>
      </c>
    </row>
    <row r="2442" spans="2:11" x14ac:dyDescent="0.25">
      <c r="B2442">
        <v>2705</v>
      </c>
      <c r="C2442">
        <v>90</v>
      </c>
      <c r="D2442">
        <v>45</v>
      </c>
      <c r="E2442">
        <v>8</v>
      </c>
      <c r="F2442">
        <v>22</v>
      </c>
      <c r="G2442">
        <v>8</v>
      </c>
      <c r="H2442">
        <v>0</v>
      </c>
      <c r="I2442">
        <v>0</v>
      </c>
      <c r="J2442">
        <v>20</v>
      </c>
      <c r="K2442" t="s">
        <v>249</v>
      </c>
    </row>
    <row r="2443" spans="2:11" x14ac:dyDescent="0.25">
      <c r="B2443">
        <v>2706</v>
      </c>
      <c r="C2443">
        <v>90</v>
      </c>
      <c r="D2443">
        <v>45</v>
      </c>
      <c r="E2443">
        <v>9</v>
      </c>
      <c r="F2443">
        <v>22</v>
      </c>
      <c r="G2443">
        <v>8</v>
      </c>
      <c r="H2443">
        <v>0</v>
      </c>
      <c r="I2443">
        <v>0</v>
      </c>
      <c r="J2443">
        <v>20</v>
      </c>
      <c r="K2443" t="s">
        <v>249</v>
      </c>
    </row>
    <row r="2444" spans="2:11" x14ac:dyDescent="0.25">
      <c r="B2444">
        <v>2707</v>
      </c>
      <c r="C2444">
        <v>270</v>
      </c>
      <c r="D2444">
        <v>122</v>
      </c>
      <c r="E2444">
        <v>10</v>
      </c>
      <c r="F2444">
        <v>17</v>
      </c>
      <c r="G2444">
        <v>10</v>
      </c>
      <c r="H2444">
        <v>3</v>
      </c>
      <c r="I2444">
        <v>0</v>
      </c>
      <c r="J2444">
        <v>30</v>
      </c>
      <c r="K2444" t="s">
        <v>242</v>
      </c>
    </row>
    <row r="2445" spans="2:11" x14ac:dyDescent="0.25">
      <c r="B2445">
        <v>2708</v>
      </c>
      <c r="C2445">
        <v>90</v>
      </c>
      <c r="D2445">
        <v>45</v>
      </c>
      <c r="E2445">
        <v>10</v>
      </c>
      <c r="F2445">
        <v>22</v>
      </c>
      <c r="G2445">
        <v>8</v>
      </c>
      <c r="H2445">
        <v>0</v>
      </c>
      <c r="I2445">
        <v>0</v>
      </c>
      <c r="J2445">
        <v>20</v>
      </c>
      <c r="K2445" t="s">
        <v>249</v>
      </c>
    </row>
    <row r="2446" spans="2:11" x14ac:dyDescent="0.25">
      <c r="B2446">
        <v>2711</v>
      </c>
      <c r="C2446">
        <v>281</v>
      </c>
      <c r="D2446">
        <v>129</v>
      </c>
      <c r="E2446">
        <v>10</v>
      </c>
      <c r="F2446">
        <v>11</v>
      </c>
      <c r="G2446">
        <v>17</v>
      </c>
      <c r="H2446">
        <v>1</v>
      </c>
      <c r="I2446">
        <v>0</v>
      </c>
      <c r="J2446">
        <v>29</v>
      </c>
      <c r="K2446" t="s">
        <v>248</v>
      </c>
    </row>
    <row r="2447" spans="2:11" x14ac:dyDescent="0.25">
      <c r="B2447">
        <v>2714</v>
      </c>
      <c r="C2447">
        <v>333</v>
      </c>
      <c r="D2447">
        <v>152</v>
      </c>
      <c r="E2447">
        <v>10</v>
      </c>
      <c r="F2447">
        <v>16</v>
      </c>
      <c r="G2447">
        <v>14</v>
      </c>
      <c r="H2447">
        <v>0</v>
      </c>
      <c r="I2447">
        <v>0</v>
      </c>
      <c r="J2447">
        <v>30</v>
      </c>
      <c r="K2447" t="s">
        <v>248</v>
      </c>
    </row>
    <row r="2448" spans="2:11" x14ac:dyDescent="0.25">
      <c r="B2448">
        <v>2716</v>
      </c>
      <c r="C2448">
        <v>179</v>
      </c>
      <c r="D2448">
        <v>77</v>
      </c>
      <c r="E2448">
        <v>11</v>
      </c>
      <c r="F2448">
        <v>1</v>
      </c>
      <c r="G2448">
        <v>3</v>
      </c>
      <c r="H2448">
        <v>3</v>
      </c>
      <c r="I2448">
        <v>0</v>
      </c>
      <c r="J2448">
        <v>7</v>
      </c>
      <c r="K2448" t="s">
        <v>248</v>
      </c>
    </row>
    <row r="2449" spans="2:11" x14ac:dyDescent="0.25">
      <c r="B2449">
        <v>5525</v>
      </c>
      <c r="C2449">
        <v>216</v>
      </c>
      <c r="D2449">
        <v>94</v>
      </c>
      <c r="E2449">
        <v>3</v>
      </c>
      <c r="F2449">
        <v>16</v>
      </c>
      <c r="G2449">
        <v>8</v>
      </c>
      <c r="H2449">
        <v>0</v>
      </c>
      <c r="I2449">
        <v>0</v>
      </c>
      <c r="J2449">
        <v>24</v>
      </c>
      <c r="K2449" t="s">
        <v>252</v>
      </c>
    </row>
    <row r="2450" spans="2:11" x14ac:dyDescent="0.25">
      <c r="B2450">
        <v>5529</v>
      </c>
      <c r="C2450">
        <v>208</v>
      </c>
      <c r="D2450">
        <v>92</v>
      </c>
      <c r="E2450">
        <v>7</v>
      </c>
      <c r="F2450">
        <v>15</v>
      </c>
      <c r="G2450">
        <v>3</v>
      </c>
      <c r="H2450">
        <v>1</v>
      </c>
      <c r="I2450">
        <v>0</v>
      </c>
      <c r="J2450">
        <v>19</v>
      </c>
      <c r="K2450" t="s">
        <v>246</v>
      </c>
    </row>
    <row r="2451" spans="2:11" x14ac:dyDescent="0.25">
      <c r="B2451">
        <v>5530</v>
      </c>
      <c r="C2451">
        <v>216</v>
      </c>
      <c r="D2451">
        <v>94</v>
      </c>
      <c r="E2451">
        <v>5</v>
      </c>
      <c r="F2451">
        <v>22</v>
      </c>
      <c r="G2451">
        <v>4</v>
      </c>
      <c r="H2451">
        <v>0</v>
      </c>
      <c r="I2451">
        <v>0</v>
      </c>
      <c r="J2451">
        <v>26</v>
      </c>
      <c r="K2451" t="s">
        <v>252</v>
      </c>
    </row>
    <row r="2452" spans="2:11" x14ac:dyDescent="0.25">
      <c r="B2452">
        <v>5535</v>
      </c>
      <c r="C2452">
        <v>208</v>
      </c>
      <c r="D2452">
        <v>92</v>
      </c>
      <c r="E2452">
        <v>10</v>
      </c>
      <c r="F2452">
        <v>7</v>
      </c>
      <c r="G2452">
        <v>3</v>
      </c>
      <c r="H2452">
        <v>0</v>
      </c>
      <c r="I2452">
        <v>0</v>
      </c>
      <c r="J2452">
        <v>10</v>
      </c>
      <c r="K2452" t="s">
        <v>246</v>
      </c>
    </row>
    <row r="2453" spans="2:11" x14ac:dyDescent="0.25">
      <c r="B2453">
        <v>5534</v>
      </c>
      <c r="C2453">
        <v>216</v>
      </c>
      <c r="D2453">
        <v>94</v>
      </c>
      <c r="E2453">
        <v>6</v>
      </c>
      <c r="F2453">
        <v>19</v>
      </c>
      <c r="G2453">
        <v>10</v>
      </c>
      <c r="H2453">
        <v>0</v>
      </c>
      <c r="I2453">
        <v>0</v>
      </c>
      <c r="J2453">
        <v>29</v>
      </c>
      <c r="K2453" t="s">
        <v>252</v>
      </c>
    </row>
    <row r="2454" spans="2:11" x14ac:dyDescent="0.25">
      <c r="B2454">
        <v>5537</v>
      </c>
      <c r="C2454">
        <v>208</v>
      </c>
      <c r="D2454">
        <v>92</v>
      </c>
      <c r="E2454">
        <v>11</v>
      </c>
      <c r="F2454">
        <v>10</v>
      </c>
      <c r="G2454">
        <v>2</v>
      </c>
      <c r="H2454">
        <v>1</v>
      </c>
      <c r="I2454">
        <v>0</v>
      </c>
      <c r="J2454">
        <v>13</v>
      </c>
      <c r="K2454" t="s">
        <v>246</v>
      </c>
    </row>
    <row r="2455" spans="2:11" x14ac:dyDescent="0.25">
      <c r="B2455">
        <v>5536</v>
      </c>
      <c r="C2455">
        <v>188</v>
      </c>
      <c r="D2455">
        <v>81</v>
      </c>
      <c r="E2455">
        <v>3</v>
      </c>
      <c r="F2455">
        <v>0</v>
      </c>
      <c r="G2455">
        <v>20</v>
      </c>
      <c r="H2455">
        <v>0</v>
      </c>
      <c r="I2455">
        <v>0</v>
      </c>
      <c r="J2455">
        <v>20</v>
      </c>
      <c r="K2455" t="s">
        <v>241</v>
      </c>
    </row>
    <row r="2456" spans="2:11" x14ac:dyDescent="0.25">
      <c r="B2456">
        <v>5538</v>
      </c>
      <c r="C2456">
        <v>216</v>
      </c>
      <c r="D2456">
        <v>94</v>
      </c>
      <c r="E2456">
        <v>7</v>
      </c>
      <c r="F2456">
        <v>16</v>
      </c>
      <c r="G2456">
        <v>8</v>
      </c>
      <c r="H2456">
        <v>0</v>
      </c>
      <c r="I2456">
        <v>0</v>
      </c>
      <c r="J2456">
        <v>24</v>
      </c>
      <c r="K2456" t="s">
        <v>252</v>
      </c>
    </row>
    <row r="2457" spans="2:11" x14ac:dyDescent="0.25">
      <c r="B2457">
        <v>5539</v>
      </c>
      <c r="C2457">
        <v>208</v>
      </c>
      <c r="D2457">
        <v>92</v>
      </c>
      <c r="E2457">
        <v>12</v>
      </c>
      <c r="F2457">
        <v>5</v>
      </c>
      <c r="G2457">
        <v>0</v>
      </c>
      <c r="H2457">
        <v>0</v>
      </c>
      <c r="I2457">
        <v>0</v>
      </c>
      <c r="J2457">
        <v>5</v>
      </c>
      <c r="K2457" t="s">
        <v>246</v>
      </c>
    </row>
    <row r="2458" spans="2:11" x14ac:dyDescent="0.25">
      <c r="B2458">
        <v>5540</v>
      </c>
      <c r="C2458">
        <v>188</v>
      </c>
      <c r="D2458">
        <v>81</v>
      </c>
      <c r="E2458">
        <v>4</v>
      </c>
      <c r="F2458">
        <v>0</v>
      </c>
      <c r="G2458">
        <v>30</v>
      </c>
      <c r="H2458">
        <v>0</v>
      </c>
      <c r="I2458">
        <v>0</v>
      </c>
      <c r="J2458">
        <v>30</v>
      </c>
      <c r="K2458" t="s">
        <v>241</v>
      </c>
    </row>
    <row r="2459" spans="2:11" x14ac:dyDescent="0.25">
      <c r="B2459">
        <v>5541</v>
      </c>
      <c r="C2459">
        <v>218</v>
      </c>
      <c r="D2459">
        <v>94</v>
      </c>
      <c r="E2459">
        <v>2</v>
      </c>
      <c r="F2459">
        <v>6</v>
      </c>
      <c r="G2459">
        <v>3</v>
      </c>
      <c r="H2459">
        <v>0</v>
      </c>
      <c r="I2459">
        <v>0</v>
      </c>
      <c r="J2459">
        <v>9</v>
      </c>
      <c r="K2459" t="s">
        <v>252</v>
      </c>
    </row>
    <row r="2460" spans="2:11" x14ac:dyDescent="0.25">
      <c r="B2460">
        <v>5542</v>
      </c>
      <c r="C2460">
        <v>210</v>
      </c>
      <c r="D2460">
        <v>94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 t="s">
        <v>246</v>
      </c>
    </row>
    <row r="2461" spans="2:11" x14ac:dyDescent="0.25">
      <c r="B2461">
        <v>5544</v>
      </c>
      <c r="C2461">
        <v>210</v>
      </c>
      <c r="D2461">
        <v>94</v>
      </c>
      <c r="E2461">
        <v>2</v>
      </c>
      <c r="F2461">
        <v>0</v>
      </c>
      <c r="G2461">
        <v>0</v>
      </c>
      <c r="H2461">
        <v>0</v>
      </c>
      <c r="I2461">
        <v>0</v>
      </c>
      <c r="J2461">
        <v>0</v>
      </c>
      <c r="K2461" t="s">
        <v>246</v>
      </c>
    </row>
    <row r="2462" spans="2:11" x14ac:dyDescent="0.25">
      <c r="B2462">
        <v>5543</v>
      </c>
      <c r="C2462">
        <v>188</v>
      </c>
      <c r="D2462">
        <v>81</v>
      </c>
      <c r="E2462">
        <v>5</v>
      </c>
      <c r="F2462">
        <v>0</v>
      </c>
      <c r="G2462">
        <v>25</v>
      </c>
      <c r="H2462">
        <v>0</v>
      </c>
      <c r="I2462">
        <v>0</v>
      </c>
      <c r="J2462">
        <v>25</v>
      </c>
      <c r="K2462" t="s">
        <v>241</v>
      </c>
    </row>
    <row r="2463" spans="2:11" x14ac:dyDescent="0.25">
      <c r="B2463">
        <v>5545</v>
      </c>
      <c r="C2463">
        <v>219</v>
      </c>
      <c r="D2463">
        <v>95</v>
      </c>
      <c r="E2463">
        <v>2</v>
      </c>
      <c r="F2463">
        <v>6</v>
      </c>
      <c r="G2463">
        <v>3</v>
      </c>
      <c r="H2463">
        <v>0</v>
      </c>
      <c r="I2463">
        <v>0</v>
      </c>
      <c r="J2463">
        <v>9</v>
      </c>
      <c r="K2463" t="s">
        <v>252</v>
      </c>
    </row>
    <row r="2464" spans="2:11" x14ac:dyDescent="0.25">
      <c r="B2464">
        <v>5546</v>
      </c>
      <c r="C2464">
        <v>210</v>
      </c>
      <c r="D2464">
        <v>94</v>
      </c>
      <c r="E2464">
        <v>3</v>
      </c>
      <c r="F2464">
        <v>0</v>
      </c>
      <c r="G2464">
        <v>0</v>
      </c>
      <c r="H2464">
        <v>0</v>
      </c>
      <c r="I2464">
        <v>0</v>
      </c>
      <c r="J2464">
        <v>0</v>
      </c>
      <c r="K2464" t="s">
        <v>246</v>
      </c>
    </row>
    <row r="2465" spans="2:11" x14ac:dyDescent="0.25">
      <c r="B2465">
        <v>2720</v>
      </c>
      <c r="C2465">
        <v>251</v>
      </c>
      <c r="D2465">
        <v>113</v>
      </c>
      <c r="E2465">
        <v>12</v>
      </c>
      <c r="F2465">
        <v>5</v>
      </c>
      <c r="G2465">
        <v>4</v>
      </c>
      <c r="H2465">
        <v>1</v>
      </c>
      <c r="I2465">
        <v>0</v>
      </c>
      <c r="J2465">
        <v>10</v>
      </c>
      <c r="K2465" t="s">
        <v>246</v>
      </c>
    </row>
    <row r="2466" spans="2:11" x14ac:dyDescent="0.25">
      <c r="B2466">
        <v>2722</v>
      </c>
      <c r="C2466">
        <v>349</v>
      </c>
      <c r="D2466">
        <v>156</v>
      </c>
      <c r="E2466">
        <v>11</v>
      </c>
      <c r="F2466">
        <v>10</v>
      </c>
      <c r="G2466">
        <v>4</v>
      </c>
      <c r="H2466">
        <v>0</v>
      </c>
      <c r="I2466">
        <v>0</v>
      </c>
      <c r="J2466">
        <v>14</v>
      </c>
      <c r="K2466" t="s">
        <v>242</v>
      </c>
    </row>
    <row r="2467" spans="2:11" x14ac:dyDescent="0.25">
      <c r="B2467">
        <v>2724</v>
      </c>
      <c r="C2467">
        <v>350</v>
      </c>
      <c r="D2467">
        <v>157</v>
      </c>
      <c r="E2467">
        <v>11</v>
      </c>
      <c r="F2467">
        <v>10</v>
      </c>
      <c r="G2467">
        <v>20</v>
      </c>
      <c r="H2467">
        <v>0</v>
      </c>
      <c r="I2467">
        <v>0</v>
      </c>
      <c r="J2467">
        <v>30</v>
      </c>
      <c r="K2467" t="s">
        <v>242</v>
      </c>
    </row>
    <row r="2468" spans="2:11" x14ac:dyDescent="0.25">
      <c r="B2468">
        <v>2725</v>
      </c>
      <c r="C2468">
        <v>145</v>
      </c>
      <c r="D2468">
        <v>65</v>
      </c>
      <c r="E2468">
        <v>11</v>
      </c>
      <c r="F2468">
        <v>9</v>
      </c>
      <c r="G2468">
        <v>3</v>
      </c>
      <c r="H2468">
        <v>0</v>
      </c>
      <c r="I2468">
        <v>0</v>
      </c>
      <c r="J2468">
        <v>12</v>
      </c>
      <c r="K2468" t="s">
        <v>248</v>
      </c>
    </row>
    <row r="2469" spans="2:11" x14ac:dyDescent="0.25">
      <c r="B2469">
        <v>2727</v>
      </c>
      <c r="C2469">
        <v>290</v>
      </c>
      <c r="D2469">
        <v>135</v>
      </c>
      <c r="E2469">
        <v>11</v>
      </c>
      <c r="F2469">
        <v>14</v>
      </c>
      <c r="G2469">
        <v>10</v>
      </c>
      <c r="H2469">
        <v>1</v>
      </c>
      <c r="I2469">
        <v>0</v>
      </c>
      <c r="J2469">
        <v>25</v>
      </c>
      <c r="K2469" t="s">
        <v>243</v>
      </c>
    </row>
    <row r="2470" spans="2:11" x14ac:dyDescent="0.25">
      <c r="B2470">
        <v>2728</v>
      </c>
      <c r="C2470">
        <v>61</v>
      </c>
      <c r="D2470">
        <v>32</v>
      </c>
      <c r="E2470">
        <v>11</v>
      </c>
      <c r="F2470">
        <v>8</v>
      </c>
      <c r="G2470">
        <v>6</v>
      </c>
      <c r="H2470">
        <v>1</v>
      </c>
      <c r="I2470">
        <v>0</v>
      </c>
      <c r="J2470">
        <v>15</v>
      </c>
      <c r="K2470" t="s">
        <v>242</v>
      </c>
    </row>
    <row r="2471" spans="2:11" x14ac:dyDescent="0.25">
      <c r="B2471">
        <v>2729</v>
      </c>
      <c r="C2471">
        <v>160</v>
      </c>
      <c r="D2471">
        <v>69</v>
      </c>
      <c r="E2471">
        <v>11</v>
      </c>
      <c r="F2471">
        <v>4</v>
      </c>
      <c r="G2471">
        <v>19</v>
      </c>
      <c r="H2471">
        <v>0</v>
      </c>
      <c r="I2471">
        <v>0</v>
      </c>
      <c r="J2471">
        <v>23</v>
      </c>
      <c r="K2471" t="s">
        <v>248</v>
      </c>
    </row>
    <row r="2472" spans="2:11" x14ac:dyDescent="0.25">
      <c r="B2472">
        <v>2730</v>
      </c>
      <c r="C2472">
        <v>20</v>
      </c>
      <c r="D2472">
        <v>10</v>
      </c>
      <c r="E2472">
        <v>11</v>
      </c>
      <c r="F2472">
        <v>9</v>
      </c>
      <c r="G2472">
        <v>7</v>
      </c>
      <c r="H2472">
        <v>2</v>
      </c>
      <c r="I2472">
        <v>0</v>
      </c>
      <c r="J2472">
        <v>18</v>
      </c>
      <c r="K2472" t="s">
        <v>242</v>
      </c>
    </row>
    <row r="2473" spans="2:11" x14ac:dyDescent="0.25">
      <c r="B2473">
        <v>2732</v>
      </c>
      <c r="C2473">
        <v>157</v>
      </c>
      <c r="D2473">
        <v>69</v>
      </c>
      <c r="E2473">
        <v>11</v>
      </c>
      <c r="F2473">
        <v>12</v>
      </c>
      <c r="G2473">
        <v>15</v>
      </c>
      <c r="H2473">
        <v>0</v>
      </c>
      <c r="I2473">
        <v>0</v>
      </c>
      <c r="J2473">
        <v>27</v>
      </c>
      <c r="K2473" t="s">
        <v>248</v>
      </c>
    </row>
    <row r="2474" spans="2:11" x14ac:dyDescent="0.25">
      <c r="B2474">
        <v>2733</v>
      </c>
      <c r="C2474">
        <v>317</v>
      </c>
      <c r="D2474">
        <v>146</v>
      </c>
      <c r="E2474">
        <v>11</v>
      </c>
      <c r="F2474">
        <v>5</v>
      </c>
      <c r="G2474">
        <v>8</v>
      </c>
      <c r="H2474">
        <v>1</v>
      </c>
      <c r="I2474">
        <v>0</v>
      </c>
      <c r="J2474">
        <v>14</v>
      </c>
      <c r="K2474" t="s">
        <v>243</v>
      </c>
    </row>
    <row r="2475" spans="2:11" x14ac:dyDescent="0.25">
      <c r="B2475">
        <v>2734</v>
      </c>
      <c r="C2475">
        <v>80</v>
      </c>
      <c r="D2475">
        <v>38</v>
      </c>
      <c r="E2475">
        <v>1</v>
      </c>
      <c r="F2475">
        <v>24</v>
      </c>
      <c r="G2475">
        <v>6</v>
      </c>
      <c r="H2475">
        <v>0</v>
      </c>
      <c r="I2475">
        <v>0</v>
      </c>
      <c r="J2475">
        <v>30</v>
      </c>
      <c r="K2475" t="s">
        <v>249</v>
      </c>
    </row>
    <row r="2476" spans="2:11" x14ac:dyDescent="0.25">
      <c r="B2476">
        <v>2735</v>
      </c>
      <c r="C2476">
        <v>80</v>
      </c>
      <c r="D2476">
        <v>38</v>
      </c>
      <c r="E2476">
        <v>2</v>
      </c>
      <c r="F2476">
        <v>24</v>
      </c>
      <c r="G2476">
        <v>6</v>
      </c>
      <c r="H2476">
        <v>0</v>
      </c>
      <c r="I2476">
        <v>0</v>
      </c>
      <c r="J2476">
        <v>30</v>
      </c>
      <c r="K2476" t="s">
        <v>249</v>
      </c>
    </row>
    <row r="2477" spans="2:11" x14ac:dyDescent="0.25">
      <c r="B2477">
        <v>2736</v>
      </c>
      <c r="C2477">
        <v>80</v>
      </c>
      <c r="D2477">
        <v>38</v>
      </c>
      <c r="E2477">
        <v>3</v>
      </c>
      <c r="F2477">
        <v>24</v>
      </c>
      <c r="G2477">
        <v>6</v>
      </c>
      <c r="H2477">
        <v>0</v>
      </c>
      <c r="I2477">
        <v>0</v>
      </c>
      <c r="J2477">
        <v>30</v>
      </c>
      <c r="K2477" t="s">
        <v>249</v>
      </c>
    </row>
    <row r="2478" spans="2:11" x14ac:dyDescent="0.25">
      <c r="B2478">
        <v>2737</v>
      </c>
      <c r="C2478">
        <v>337</v>
      </c>
      <c r="D2478">
        <v>152</v>
      </c>
      <c r="E2478">
        <v>11</v>
      </c>
      <c r="F2478">
        <v>10</v>
      </c>
      <c r="G2478">
        <v>20</v>
      </c>
      <c r="H2478">
        <v>0</v>
      </c>
      <c r="I2478">
        <v>0</v>
      </c>
      <c r="J2478">
        <v>30</v>
      </c>
      <c r="K2478" t="s">
        <v>242</v>
      </c>
    </row>
    <row r="2479" spans="2:11" x14ac:dyDescent="0.25">
      <c r="B2479">
        <v>2738</v>
      </c>
      <c r="C2479">
        <v>80</v>
      </c>
      <c r="D2479">
        <v>38</v>
      </c>
      <c r="E2479">
        <v>4</v>
      </c>
      <c r="F2479">
        <v>24</v>
      </c>
      <c r="G2479">
        <v>6</v>
      </c>
      <c r="H2479">
        <v>0</v>
      </c>
      <c r="I2479">
        <v>0</v>
      </c>
      <c r="J2479">
        <v>30</v>
      </c>
      <c r="K2479" t="s">
        <v>249</v>
      </c>
    </row>
    <row r="2480" spans="2:11" x14ac:dyDescent="0.25">
      <c r="B2480">
        <v>2739</v>
      </c>
      <c r="C2480">
        <v>80</v>
      </c>
      <c r="D2480">
        <v>38</v>
      </c>
      <c r="E2480">
        <v>5</v>
      </c>
      <c r="F2480">
        <v>24</v>
      </c>
      <c r="G2480">
        <v>6</v>
      </c>
      <c r="H2480">
        <v>0</v>
      </c>
      <c r="I2480">
        <v>0</v>
      </c>
      <c r="J2480">
        <v>30</v>
      </c>
      <c r="K2480" t="s">
        <v>249</v>
      </c>
    </row>
    <row r="2481" spans="2:11" x14ac:dyDescent="0.25">
      <c r="B2481">
        <v>2740</v>
      </c>
      <c r="C2481">
        <v>271</v>
      </c>
      <c r="D2481">
        <v>122</v>
      </c>
      <c r="E2481">
        <v>11</v>
      </c>
      <c r="F2481">
        <v>15</v>
      </c>
      <c r="G2481">
        <v>15</v>
      </c>
      <c r="H2481">
        <v>0</v>
      </c>
      <c r="I2481">
        <v>0</v>
      </c>
      <c r="J2481">
        <v>30</v>
      </c>
      <c r="K2481" t="s">
        <v>248</v>
      </c>
    </row>
    <row r="2482" spans="2:11" x14ac:dyDescent="0.25">
      <c r="B2482">
        <v>2741</v>
      </c>
      <c r="C2482">
        <v>80</v>
      </c>
      <c r="D2482">
        <v>38</v>
      </c>
      <c r="E2482">
        <v>9</v>
      </c>
      <c r="F2482">
        <v>24</v>
      </c>
      <c r="G2482">
        <v>6</v>
      </c>
      <c r="H2482">
        <v>0</v>
      </c>
      <c r="I2482">
        <v>0</v>
      </c>
      <c r="J2482">
        <v>30</v>
      </c>
      <c r="K2482" t="s">
        <v>249</v>
      </c>
    </row>
    <row r="2483" spans="2:11" x14ac:dyDescent="0.25">
      <c r="B2483">
        <v>2742</v>
      </c>
      <c r="C2483">
        <v>80</v>
      </c>
      <c r="D2483">
        <v>38</v>
      </c>
      <c r="E2483">
        <v>6</v>
      </c>
      <c r="F2483">
        <v>24</v>
      </c>
      <c r="G2483">
        <v>6</v>
      </c>
      <c r="H2483">
        <v>0</v>
      </c>
      <c r="I2483">
        <v>0</v>
      </c>
      <c r="J2483">
        <v>30</v>
      </c>
      <c r="K2483" t="s">
        <v>249</v>
      </c>
    </row>
    <row r="2484" spans="2:11" x14ac:dyDescent="0.25">
      <c r="B2484">
        <v>2743</v>
      </c>
      <c r="C2484">
        <v>80</v>
      </c>
      <c r="D2484">
        <v>38</v>
      </c>
      <c r="E2484">
        <v>10</v>
      </c>
      <c r="F2484">
        <v>24</v>
      </c>
      <c r="G2484">
        <v>6</v>
      </c>
      <c r="H2484">
        <v>0</v>
      </c>
      <c r="I2484">
        <v>0</v>
      </c>
      <c r="J2484">
        <v>30</v>
      </c>
      <c r="K2484" t="s">
        <v>249</v>
      </c>
    </row>
    <row r="2485" spans="2:11" x14ac:dyDescent="0.25">
      <c r="B2485">
        <v>2744</v>
      </c>
      <c r="C2485">
        <v>174</v>
      </c>
      <c r="D2485">
        <v>75</v>
      </c>
      <c r="E2485">
        <v>11</v>
      </c>
      <c r="F2485">
        <v>6</v>
      </c>
      <c r="G2485">
        <v>2</v>
      </c>
      <c r="H2485">
        <v>1</v>
      </c>
      <c r="I2485">
        <v>0</v>
      </c>
      <c r="J2485">
        <v>9</v>
      </c>
      <c r="K2485" t="s">
        <v>243</v>
      </c>
    </row>
    <row r="2486" spans="2:11" x14ac:dyDescent="0.25">
      <c r="B2486">
        <v>2745</v>
      </c>
      <c r="C2486">
        <v>351</v>
      </c>
      <c r="D2486">
        <v>158</v>
      </c>
      <c r="E2486">
        <v>11</v>
      </c>
      <c r="F2486">
        <v>3</v>
      </c>
      <c r="G2486">
        <v>5</v>
      </c>
      <c r="H2486">
        <v>0</v>
      </c>
      <c r="I2486">
        <v>0</v>
      </c>
      <c r="J2486">
        <v>8</v>
      </c>
      <c r="K2486" t="s">
        <v>245</v>
      </c>
    </row>
    <row r="2487" spans="2:11" x14ac:dyDescent="0.25">
      <c r="B2487">
        <v>2746</v>
      </c>
      <c r="C2487">
        <v>80</v>
      </c>
      <c r="D2487">
        <v>38</v>
      </c>
      <c r="E2487">
        <v>7</v>
      </c>
      <c r="F2487">
        <v>24</v>
      </c>
      <c r="G2487">
        <v>6</v>
      </c>
      <c r="H2487">
        <v>0</v>
      </c>
      <c r="I2487">
        <v>0</v>
      </c>
      <c r="J2487">
        <v>30</v>
      </c>
      <c r="K2487" t="s">
        <v>249</v>
      </c>
    </row>
    <row r="2488" spans="2:11" x14ac:dyDescent="0.25">
      <c r="B2488">
        <v>2747</v>
      </c>
      <c r="C2488">
        <v>291</v>
      </c>
      <c r="D2488">
        <v>135</v>
      </c>
      <c r="E2488">
        <v>11</v>
      </c>
      <c r="F2488">
        <v>18</v>
      </c>
      <c r="G2488">
        <v>2</v>
      </c>
      <c r="H2488">
        <v>0</v>
      </c>
      <c r="I2488">
        <v>0</v>
      </c>
      <c r="J2488">
        <v>20</v>
      </c>
      <c r="K2488" t="s">
        <v>248</v>
      </c>
    </row>
    <row r="2489" spans="2:11" x14ac:dyDescent="0.25">
      <c r="B2489">
        <v>2748</v>
      </c>
      <c r="C2489">
        <v>1</v>
      </c>
      <c r="D2489">
        <v>1</v>
      </c>
      <c r="E2489">
        <v>10</v>
      </c>
      <c r="F2489">
        <v>3</v>
      </c>
      <c r="G2489">
        <v>0</v>
      </c>
      <c r="H2489">
        <v>0</v>
      </c>
      <c r="I2489">
        <v>0</v>
      </c>
      <c r="J2489">
        <v>3</v>
      </c>
      <c r="K2489" t="s">
        <v>242</v>
      </c>
    </row>
    <row r="2490" spans="2:11" x14ac:dyDescent="0.25">
      <c r="B2490">
        <v>2749</v>
      </c>
      <c r="C2490">
        <v>351</v>
      </c>
      <c r="D2490">
        <v>158</v>
      </c>
      <c r="E2490">
        <v>10</v>
      </c>
      <c r="F2490">
        <v>4</v>
      </c>
      <c r="G2490">
        <v>3</v>
      </c>
      <c r="H2490">
        <v>0</v>
      </c>
      <c r="I2490">
        <v>0</v>
      </c>
      <c r="J2490">
        <v>7</v>
      </c>
      <c r="K2490" t="s">
        <v>245</v>
      </c>
    </row>
    <row r="2491" spans="2:11" x14ac:dyDescent="0.25">
      <c r="B2491">
        <v>2750</v>
      </c>
      <c r="C2491">
        <v>292</v>
      </c>
      <c r="D2491">
        <v>135</v>
      </c>
      <c r="E2491">
        <v>11</v>
      </c>
      <c r="F2491">
        <v>10</v>
      </c>
      <c r="G2491">
        <v>2</v>
      </c>
      <c r="H2491">
        <v>0</v>
      </c>
      <c r="I2491">
        <v>0</v>
      </c>
      <c r="J2491">
        <v>12</v>
      </c>
      <c r="K2491" t="s">
        <v>243</v>
      </c>
    </row>
    <row r="2492" spans="2:11" x14ac:dyDescent="0.25">
      <c r="B2492">
        <v>2751</v>
      </c>
      <c r="C2492">
        <v>239</v>
      </c>
      <c r="D2492">
        <v>106</v>
      </c>
      <c r="E2492">
        <v>2</v>
      </c>
      <c r="F2492">
        <v>18</v>
      </c>
      <c r="G2492">
        <v>12</v>
      </c>
      <c r="H2492">
        <v>0</v>
      </c>
      <c r="I2492">
        <v>0</v>
      </c>
      <c r="J2492">
        <v>30</v>
      </c>
      <c r="K2492" t="s">
        <v>242</v>
      </c>
    </row>
    <row r="2493" spans="2:11" x14ac:dyDescent="0.25">
      <c r="B2493">
        <v>2752</v>
      </c>
      <c r="C2493">
        <v>80</v>
      </c>
      <c r="D2493">
        <v>38</v>
      </c>
      <c r="E2493">
        <v>8</v>
      </c>
      <c r="F2493">
        <v>12</v>
      </c>
      <c r="G2493">
        <v>3</v>
      </c>
      <c r="H2493">
        <v>0</v>
      </c>
      <c r="I2493">
        <v>0</v>
      </c>
      <c r="J2493">
        <v>15</v>
      </c>
      <c r="K2493" t="s">
        <v>249</v>
      </c>
    </row>
    <row r="2494" spans="2:11" x14ac:dyDescent="0.25">
      <c r="B2494">
        <v>2754</v>
      </c>
      <c r="C2494">
        <v>318</v>
      </c>
      <c r="D2494">
        <v>147</v>
      </c>
      <c r="E2494">
        <v>11</v>
      </c>
      <c r="F2494">
        <v>16</v>
      </c>
      <c r="G2494">
        <v>14</v>
      </c>
      <c r="H2494">
        <v>0</v>
      </c>
      <c r="I2494">
        <v>0</v>
      </c>
      <c r="J2494">
        <v>30</v>
      </c>
      <c r="K2494" t="s">
        <v>243</v>
      </c>
    </row>
    <row r="2495" spans="2:11" x14ac:dyDescent="0.25">
      <c r="B2495">
        <v>2755</v>
      </c>
      <c r="C2495">
        <v>239</v>
      </c>
      <c r="D2495">
        <v>106</v>
      </c>
      <c r="E2495">
        <v>5</v>
      </c>
      <c r="F2495">
        <v>9</v>
      </c>
      <c r="G2495">
        <v>21</v>
      </c>
      <c r="H2495">
        <v>0</v>
      </c>
      <c r="I2495">
        <v>0</v>
      </c>
      <c r="J2495">
        <v>30</v>
      </c>
      <c r="K2495" t="s">
        <v>242</v>
      </c>
    </row>
    <row r="2496" spans="2:11" x14ac:dyDescent="0.25">
      <c r="B2496">
        <v>2758</v>
      </c>
      <c r="C2496">
        <v>278</v>
      </c>
      <c r="D2496">
        <v>129</v>
      </c>
      <c r="E2496">
        <v>11</v>
      </c>
      <c r="F2496">
        <v>6</v>
      </c>
      <c r="G2496">
        <v>20</v>
      </c>
      <c r="H2496">
        <v>0</v>
      </c>
      <c r="I2496">
        <v>0</v>
      </c>
      <c r="J2496">
        <v>26</v>
      </c>
      <c r="K2496" t="s">
        <v>245</v>
      </c>
    </row>
    <row r="2497" spans="2:11" x14ac:dyDescent="0.25">
      <c r="B2497">
        <v>2759</v>
      </c>
      <c r="C2497">
        <v>310</v>
      </c>
      <c r="D2497">
        <v>144</v>
      </c>
      <c r="E2497">
        <v>11</v>
      </c>
      <c r="F2497">
        <v>7</v>
      </c>
      <c r="G2497">
        <v>16</v>
      </c>
      <c r="H2497">
        <v>0</v>
      </c>
      <c r="I2497">
        <v>0</v>
      </c>
      <c r="J2497">
        <v>23</v>
      </c>
      <c r="K2497" t="s">
        <v>248</v>
      </c>
    </row>
    <row r="2498" spans="2:11" x14ac:dyDescent="0.25">
      <c r="B2498">
        <v>2760</v>
      </c>
      <c r="C2498">
        <v>277</v>
      </c>
      <c r="D2498">
        <v>128</v>
      </c>
      <c r="E2498">
        <v>11</v>
      </c>
      <c r="F2498">
        <v>14</v>
      </c>
      <c r="G2498">
        <v>11</v>
      </c>
      <c r="H2498">
        <v>0</v>
      </c>
      <c r="I2498">
        <v>0</v>
      </c>
      <c r="J2498">
        <v>25</v>
      </c>
      <c r="K2498" t="s">
        <v>245</v>
      </c>
    </row>
    <row r="2499" spans="2:11" x14ac:dyDescent="0.25">
      <c r="B2499">
        <v>2762</v>
      </c>
      <c r="C2499">
        <v>333</v>
      </c>
      <c r="D2499">
        <v>152</v>
      </c>
      <c r="E2499">
        <v>11</v>
      </c>
      <c r="F2499">
        <v>3</v>
      </c>
      <c r="G2499">
        <v>8</v>
      </c>
      <c r="H2499">
        <v>1</v>
      </c>
      <c r="I2499">
        <v>0</v>
      </c>
      <c r="J2499">
        <v>12</v>
      </c>
      <c r="K2499" t="s">
        <v>248</v>
      </c>
    </row>
    <row r="2500" spans="2:11" x14ac:dyDescent="0.25">
      <c r="B2500">
        <v>2763</v>
      </c>
      <c r="C2500">
        <v>239</v>
      </c>
      <c r="D2500">
        <v>106</v>
      </c>
      <c r="E2500">
        <v>10</v>
      </c>
      <c r="F2500">
        <v>18</v>
      </c>
      <c r="G2500">
        <v>12</v>
      </c>
      <c r="H2500">
        <v>0</v>
      </c>
      <c r="I2500">
        <v>0</v>
      </c>
      <c r="J2500">
        <v>30</v>
      </c>
      <c r="K2500" t="s">
        <v>242</v>
      </c>
    </row>
    <row r="2501" spans="2:11" x14ac:dyDescent="0.25">
      <c r="B2501">
        <v>2764</v>
      </c>
      <c r="C2501">
        <v>295</v>
      </c>
      <c r="D2501">
        <v>136</v>
      </c>
      <c r="E2501">
        <v>11</v>
      </c>
      <c r="F2501">
        <v>17</v>
      </c>
      <c r="G2501">
        <v>11</v>
      </c>
      <c r="H2501">
        <v>0</v>
      </c>
      <c r="I2501">
        <v>0</v>
      </c>
      <c r="J2501">
        <v>28</v>
      </c>
      <c r="K2501" t="s">
        <v>245</v>
      </c>
    </row>
    <row r="2502" spans="2:11" x14ac:dyDescent="0.25">
      <c r="B2502">
        <v>2765</v>
      </c>
      <c r="C2502">
        <v>239</v>
      </c>
      <c r="D2502">
        <v>106</v>
      </c>
      <c r="E2502">
        <v>11</v>
      </c>
      <c r="F2502">
        <v>22</v>
      </c>
      <c r="G2502">
        <v>8</v>
      </c>
      <c r="H2502">
        <v>0</v>
      </c>
      <c r="I2502">
        <v>0</v>
      </c>
      <c r="J2502">
        <v>30</v>
      </c>
      <c r="K2502" t="s">
        <v>242</v>
      </c>
    </row>
    <row r="2503" spans="2:11" x14ac:dyDescent="0.25">
      <c r="B2503">
        <v>2766</v>
      </c>
      <c r="C2503">
        <v>106</v>
      </c>
      <c r="D2503">
        <v>51</v>
      </c>
      <c r="E2503">
        <v>10</v>
      </c>
      <c r="F2503">
        <v>13</v>
      </c>
      <c r="G2503">
        <v>5</v>
      </c>
      <c r="H2503">
        <v>0</v>
      </c>
      <c r="I2503">
        <v>0</v>
      </c>
      <c r="J2503">
        <v>18</v>
      </c>
      <c r="K2503" t="s">
        <v>243</v>
      </c>
    </row>
    <row r="2504" spans="2:11" x14ac:dyDescent="0.25">
      <c r="B2504">
        <v>2768</v>
      </c>
      <c r="C2504">
        <v>294</v>
      </c>
      <c r="D2504">
        <v>136</v>
      </c>
      <c r="E2504">
        <v>11</v>
      </c>
      <c r="F2504">
        <v>4</v>
      </c>
      <c r="G2504">
        <v>0</v>
      </c>
      <c r="H2504">
        <v>0</v>
      </c>
      <c r="I2504">
        <v>0</v>
      </c>
      <c r="J2504">
        <v>4</v>
      </c>
      <c r="K2504" t="s">
        <v>245</v>
      </c>
    </row>
    <row r="2505" spans="2:11" x14ac:dyDescent="0.25">
      <c r="B2505">
        <v>2769</v>
      </c>
      <c r="C2505">
        <v>239</v>
      </c>
      <c r="D2505">
        <v>106</v>
      </c>
      <c r="E2505">
        <v>8</v>
      </c>
      <c r="F2505">
        <v>20</v>
      </c>
      <c r="G2505">
        <v>10</v>
      </c>
      <c r="H2505">
        <v>0</v>
      </c>
      <c r="I2505">
        <v>0</v>
      </c>
      <c r="J2505">
        <v>30</v>
      </c>
      <c r="K2505" t="s">
        <v>242</v>
      </c>
    </row>
    <row r="2506" spans="2:11" x14ac:dyDescent="0.25">
      <c r="B2506">
        <v>2770</v>
      </c>
      <c r="C2506">
        <v>123</v>
      </c>
      <c r="D2506">
        <v>56</v>
      </c>
      <c r="E2506">
        <v>11</v>
      </c>
      <c r="F2506">
        <v>10</v>
      </c>
      <c r="G2506">
        <v>5</v>
      </c>
      <c r="H2506">
        <v>2</v>
      </c>
      <c r="I2506">
        <v>0</v>
      </c>
      <c r="J2506">
        <v>17</v>
      </c>
      <c r="K2506" t="s">
        <v>243</v>
      </c>
    </row>
    <row r="2507" spans="2:11" x14ac:dyDescent="0.25">
      <c r="B2507">
        <v>2771</v>
      </c>
      <c r="C2507">
        <v>297</v>
      </c>
      <c r="D2507">
        <v>136</v>
      </c>
      <c r="E2507">
        <v>11</v>
      </c>
      <c r="F2507">
        <v>10</v>
      </c>
      <c r="G2507">
        <v>6</v>
      </c>
      <c r="H2507">
        <v>0</v>
      </c>
      <c r="I2507">
        <v>0</v>
      </c>
      <c r="J2507">
        <v>16</v>
      </c>
      <c r="K2507" t="s">
        <v>242</v>
      </c>
    </row>
    <row r="2508" spans="2:11" x14ac:dyDescent="0.25">
      <c r="B2508">
        <v>2773</v>
      </c>
      <c r="C2508">
        <v>282</v>
      </c>
      <c r="D2508">
        <v>130</v>
      </c>
      <c r="E2508">
        <v>11</v>
      </c>
      <c r="F2508">
        <v>13</v>
      </c>
      <c r="G2508">
        <v>7</v>
      </c>
      <c r="H2508">
        <v>2</v>
      </c>
      <c r="I2508">
        <v>0</v>
      </c>
      <c r="J2508">
        <v>22</v>
      </c>
      <c r="K2508" t="s">
        <v>243</v>
      </c>
    </row>
    <row r="2509" spans="2:11" x14ac:dyDescent="0.25">
      <c r="B2509">
        <v>2774</v>
      </c>
      <c r="C2509">
        <v>348</v>
      </c>
      <c r="D2509">
        <v>155</v>
      </c>
      <c r="E2509">
        <v>11</v>
      </c>
      <c r="F2509">
        <v>17</v>
      </c>
      <c r="G2509">
        <v>12</v>
      </c>
      <c r="H2509">
        <v>1</v>
      </c>
      <c r="I2509">
        <v>0</v>
      </c>
      <c r="J2509">
        <v>30</v>
      </c>
      <c r="K2509" t="s">
        <v>242</v>
      </c>
    </row>
    <row r="2510" spans="2:11" x14ac:dyDescent="0.25">
      <c r="B2510">
        <v>2775</v>
      </c>
      <c r="C2510">
        <v>293</v>
      </c>
      <c r="D2510">
        <v>136</v>
      </c>
      <c r="E2510">
        <v>11</v>
      </c>
      <c r="F2510">
        <v>8</v>
      </c>
      <c r="G2510">
        <v>10</v>
      </c>
      <c r="H2510">
        <v>0</v>
      </c>
      <c r="I2510">
        <v>0</v>
      </c>
      <c r="J2510">
        <v>18</v>
      </c>
      <c r="K2510" t="s">
        <v>248</v>
      </c>
    </row>
    <row r="2511" spans="2:11" x14ac:dyDescent="0.25">
      <c r="B2511">
        <v>2776</v>
      </c>
      <c r="C2511">
        <v>270</v>
      </c>
      <c r="D2511">
        <v>122</v>
      </c>
      <c r="E2511">
        <v>11</v>
      </c>
      <c r="F2511">
        <v>17</v>
      </c>
      <c r="G2511">
        <v>13</v>
      </c>
      <c r="H2511">
        <v>0</v>
      </c>
      <c r="I2511">
        <v>0</v>
      </c>
      <c r="J2511">
        <v>30</v>
      </c>
      <c r="K2511" t="s">
        <v>242</v>
      </c>
    </row>
    <row r="2512" spans="2:11" x14ac:dyDescent="0.25">
      <c r="B2512">
        <v>2777</v>
      </c>
      <c r="C2512">
        <v>173</v>
      </c>
      <c r="D2512">
        <v>75</v>
      </c>
      <c r="E2512">
        <v>11</v>
      </c>
      <c r="F2512">
        <v>1</v>
      </c>
      <c r="G2512">
        <v>5</v>
      </c>
      <c r="H2512">
        <v>0</v>
      </c>
      <c r="I2512">
        <v>0</v>
      </c>
      <c r="J2512">
        <v>6</v>
      </c>
      <c r="K2512" t="s">
        <v>245</v>
      </c>
    </row>
    <row r="2513" spans="2:11" x14ac:dyDescent="0.25">
      <c r="B2513">
        <v>2778</v>
      </c>
      <c r="C2513">
        <v>269</v>
      </c>
      <c r="D2513">
        <v>121</v>
      </c>
      <c r="E2513">
        <v>11</v>
      </c>
      <c r="F2513">
        <v>13</v>
      </c>
      <c r="G2513">
        <v>9</v>
      </c>
      <c r="H2513">
        <v>2</v>
      </c>
      <c r="I2513">
        <v>0</v>
      </c>
      <c r="J2513">
        <v>24</v>
      </c>
      <c r="K2513" t="s">
        <v>242</v>
      </c>
    </row>
    <row r="2514" spans="2:11" x14ac:dyDescent="0.25">
      <c r="B2514">
        <v>2780</v>
      </c>
      <c r="C2514">
        <v>121</v>
      </c>
      <c r="D2514">
        <v>55</v>
      </c>
      <c r="E2514">
        <v>10</v>
      </c>
      <c r="F2514">
        <v>1</v>
      </c>
      <c r="G2514">
        <v>4</v>
      </c>
      <c r="H2514">
        <v>0</v>
      </c>
      <c r="I2514">
        <v>0</v>
      </c>
      <c r="J2514">
        <v>5</v>
      </c>
      <c r="K2514" t="s">
        <v>242</v>
      </c>
    </row>
    <row r="2515" spans="2:11" x14ac:dyDescent="0.25">
      <c r="B2515">
        <v>2781</v>
      </c>
      <c r="C2515">
        <v>325</v>
      </c>
      <c r="D2515">
        <v>151</v>
      </c>
      <c r="E2515">
        <v>11</v>
      </c>
      <c r="F2515">
        <v>5</v>
      </c>
      <c r="G2515">
        <v>8</v>
      </c>
      <c r="H2515">
        <v>0</v>
      </c>
      <c r="I2515">
        <v>0</v>
      </c>
      <c r="J2515">
        <v>13</v>
      </c>
      <c r="K2515" t="s">
        <v>245</v>
      </c>
    </row>
    <row r="2516" spans="2:11" x14ac:dyDescent="0.25">
      <c r="B2516">
        <v>2782</v>
      </c>
      <c r="C2516">
        <v>345</v>
      </c>
      <c r="D2516">
        <v>155</v>
      </c>
      <c r="E2516">
        <v>11</v>
      </c>
      <c r="F2516">
        <v>6</v>
      </c>
      <c r="G2516">
        <v>9</v>
      </c>
      <c r="H2516">
        <v>0</v>
      </c>
      <c r="I2516">
        <v>0</v>
      </c>
      <c r="J2516">
        <v>15</v>
      </c>
      <c r="K2516" t="s">
        <v>245</v>
      </c>
    </row>
    <row r="2517" spans="2:11" x14ac:dyDescent="0.25">
      <c r="B2517">
        <v>2783</v>
      </c>
      <c r="C2517">
        <v>170</v>
      </c>
      <c r="D2517">
        <v>73</v>
      </c>
      <c r="E2517">
        <v>10</v>
      </c>
      <c r="F2517">
        <v>15</v>
      </c>
      <c r="G2517">
        <v>11</v>
      </c>
      <c r="H2517">
        <v>0</v>
      </c>
      <c r="I2517">
        <v>0</v>
      </c>
      <c r="J2517">
        <v>26</v>
      </c>
      <c r="K2517" t="s">
        <v>248</v>
      </c>
    </row>
    <row r="2518" spans="2:11" x14ac:dyDescent="0.25">
      <c r="B2518">
        <v>2784</v>
      </c>
      <c r="C2518">
        <v>109</v>
      </c>
      <c r="D2518">
        <v>51</v>
      </c>
      <c r="E2518">
        <v>11</v>
      </c>
      <c r="F2518">
        <v>6</v>
      </c>
      <c r="G2518">
        <v>13</v>
      </c>
      <c r="H2518">
        <v>1</v>
      </c>
      <c r="I2518">
        <v>0</v>
      </c>
      <c r="J2518">
        <v>20</v>
      </c>
      <c r="K2518" t="s">
        <v>242</v>
      </c>
    </row>
    <row r="2519" spans="2:11" x14ac:dyDescent="0.25">
      <c r="B2519">
        <v>2785</v>
      </c>
      <c r="C2519">
        <v>62</v>
      </c>
      <c r="D2519">
        <v>33</v>
      </c>
      <c r="E2519">
        <v>11</v>
      </c>
      <c r="F2519">
        <v>17</v>
      </c>
      <c r="G2519">
        <v>13</v>
      </c>
      <c r="H2519">
        <v>0</v>
      </c>
      <c r="I2519">
        <v>0</v>
      </c>
      <c r="J2519">
        <v>30</v>
      </c>
      <c r="K2519" t="s">
        <v>248</v>
      </c>
    </row>
    <row r="2520" spans="2:11" x14ac:dyDescent="0.25">
      <c r="B2520">
        <v>2786</v>
      </c>
      <c r="C2520">
        <v>252</v>
      </c>
      <c r="D2520">
        <v>114</v>
      </c>
      <c r="E2520">
        <v>12</v>
      </c>
      <c r="F2520">
        <v>7</v>
      </c>
      <c r="G2520">
        <v>8</v>
      </c>
      <c r="H2520">
        <v>2</v>
      </c>
      <c r="I2520">
        <v>0</v>
      </c>
      <c r="J2520">
        <v>17</v>
      </c>
      <c r="K2520" t="s">
        <v>248</v>
      </c>
    </row>
    <row r="2521" spans="2:11" x14ac:dyDescent="0.25">
      <c r="B2521">
        <v>2789</v>
      </c>
      <c r="C2521">
        <v>256</v>
      </c>
      <c r="D2521">
        <v>117</v>
      </c>
      <c r="E2521">
        <v>11</v>
      </c>
      <c r="F2521">
        <v>7</v>
      </c>
      <c r="G2521">
        <v>0</v>
      </c>
      <c r="H2521">
        <v>0</v>
      </c>
      <c r="I2521">
        <v>0</v>
      </c>
      <c r="J2521">
        <v>7</v>
      </c>
      <c r="K2521" t="s">
        <v>248</v>
      </c>
    </row>
    <row r="2522" spans="2:11" x14ac:dyDescent="0.25">
      <c r="B2522">
        <v>2790</v>
      </c>
      <c r="C2522">
        <v>269</v>
      </c>
      <c r="D2522">
        <v>121</v>
      </c>
      <c r="E2522">
        <v>9</v>
      </c>
      <c r="F2522">
        <v>14</v>
      </c>
      <c r="G2522">
        <v>9</v>
      </c>
      <c r="H2522">
        <v>2</v>
      </c>
      <c r="I2522">
        <v>0</v>
      </c>
      <c r="J2522">
        <v>25</v>
      </c>
      <c r="K2522" t="s">
        <v>242</v>
      </c>
    </row>
    <row r="2523" spans="2:11" x14ac:dyDescent="0.25">
      <c r="B2523">
        <v>2791</v>
      </c>
      <c r="C2523">
        <v>336</v>
      </c>
      <c r="D2523">
        <v>152</v>
      </c>
      <c r="E2523">
        <v>11</v>
      </c>
      <c r="F2523">
        <v>5</v>
      </c>
      <c r="G2523">
        <v>24</v>
      </c>
      <c r="H2523">
        <v>1</v>
      </c>
      <c r="I2523">
        <v>0</v>
      </c>
      <c r="J2523">
        <v>30</v>
      </c>
      <c r="K2523" t="s">
        <v>248</v>
      </c>
    </row>
    <row r="2524" spans="2:11" x14ac:dyDescent="0.25">
      <c r="B2524">
        <v>2792</v>
      </c>
      <c r="C2524">
        <v>239</v>
      </c>
      <c r="D2524">
        <v>106</v>
      </c>
      <c r="E2524">
        <v>4</v>
      </c>
      <c r="F2524">
        <v>19</v>
      </c>
      <c r="G2524">
        <v>11</v>
      </c>
      <c r="H2524">
        <v>0</v>
      </c>
      <c r="I2524">
        <v>0</v>
      </c>
      <c r="J2524">
        <v>30</v>
      </c>
      <c r="K2524" t="s">
        <v>242</v>
      </c>
    </row>
    <row r="2525" spans="2:11" x14ac:dyDescent="0.25">
      <c r="B2525">
        <v>4509</v>
      </c>
      <c r="C2525">
        <v>244</v>
      </c>
      <c r="D2525">
        <v>108</v>
      </c>
      <c r="E2525">
        <v>15</v>
      </c>
      <c r="F2525">
        <v>3</v>
      </c>
      <c r="G2525">
        <v>1</v>
      </c>
      <c r="H2525">
        <v>4</v>
      </c>
      <c r="I2525">
        <v>0</v>
      </c>
      <c r="J2525">
        <v>8</v>
      </c>
      <c r="K2525" t="s">
        <v>250</v>
      </c>
    </row>
    <row r="2526" spans="2:11" x14ac:dyDescent="0.25">
      <c r="B2526">
        <v>5547</v>
      </c>
      <c r="C2526">
        <v>188</v>
      </c>
      <c r="D2526">
        <v>81</v>
      </c>
      <c r="E2526">
        <v>6</v>
      </c>
      <c r="F2526">
        <v>1</v>
      </c>
      <c r="G2526">
        <v>29</v>
      </c>
      <c r="H2526">
        <v>0</v>
      </c>
      <c r="I2526">
        <v>0</v>
      </c>
      <c r="J2526">
        <v>30</v>
      </c>
      <c r="K2526" t="s">
        <v>241</v>
      </c>
    </row>
    <row r="2527" spans="2:11" x14ac:dyDescent="0.25">
      <c r="B2527">
        <v>5549</v>
      </c>
      <c r="C2527">
        <v>210</v>
      </c>
      <c r="D2527">
        <v>94</v>
      </c>
      <c r="E2527">
        <v>4</v>
      </c>
      <c r="F2527">
        <v>17</v>
      </c>
      <c r="G2527">
        <v>8</v>
      </c>
      <c r="H2527">
        <v>0</v>
      </c>
      <c r="I2527">
        <v>0</v>
      </c>
      <c r="J2527">
        <v>25</v>
      </c>
      <c r="K2527" t="s">
        <v>246</v>
      </c>
    </row>
    <row r="2528" spans="2:11" x14ac:dyDescent="0.25">
      <c r="B2528">
        <v>5550</v>
      </c>
      <c r="C2528">
        <v>188</v>
      </c>
      <c r="D2528">
        <v>81</v>
      </c>
      <c r="E2528">
        <v>7</v>
      </c>
      <c r="F2528">
        <v>4</v>
      </c>
      <c r="G2528">
        <v>18</v>
      </c>
      <c r="H2528">
        <v>0</v>
      </c>
      <c r="I2528">
        <v>0</v>
      </c>
      <c r="J2528">
        <v>22</v>
      </c>
      <c r="K2528" t="s">
        <v>241</v>
      </c>
    </row>
    <row r="2529" spans="2:11" x14ac:dyDescent="0.25">
      <c r="B2529">
        <v>5551</v>
      </c>
      <c r="C2529">
        <v>210</v>
      </c>
      <c r="D2529">
        <v>94</v>
      </c>
      <c r="E2529">
        <v>5</v>
      </c>
      <c r="F2529">
        <v>25</v>
      </c>
      <c r="G2529">
        <v>4</v>
      </c>
      <c r="H2529">
        <v>1</v>
      </c>
      <c r="I2529">
        <v>0</v>
      </c>
      <c r="J2529">
        <v>30</v>
      </c>
      <c r="K2529" t="s">
        <v>246</v>
      </c>
    </row>
    <row r="2530" spans="2:11" x14ac:dyDescent="0.25">
      <c r="B2530">
        <v>5553</v>
      </c>
      <c r="C2530">
        <v>210</v>
      </c>
      <c r="D2530">
        <v>94</v>
      </c>
      <c r="E2530">
        <v>6</v>
      </c>
      <c r="F2530">
        <v>21</v>
      </c>
      <c r="G2530">
        <v>9</v>
      </c>
      <c r="H2530">
        <v>0</v>
      </c>
      <c r="I2530">
        <v>0</v>
      </c>
      <c r="J2530">
        <v>30</v>
      </c>
      <c r="K2530" t="s">
        <v>246</v>
      </c>
    </row>
    <row r="2531" spans="2:11" x14ac:dyDescent="0.25">
      <c r="B2531">
        <v>5552</v>
      </c>
      <c r="C2531">
        <v>188</v>
      </c>
      <c r="D2531">
        <v>81</v>
      </c>
      <c r="E2531">
        <v>8</v>
      </c>
      <c r="F2531">
        <v>0</v>
      </c>
      <c r="G2531">
        <v>20</v>
      </c>
      <c r="H2531">
        <v>0</v>
      </c>
      <c r="I2531">
        <v>0</v>
      </c>
      <c r="J2531">
        <v>20</v>
      </c>
      <c r="K2531" t="s">
        <v>241</v>
      </c>
    </row>
    <row r="2532" spans="2:11" x14ac:dyDescent="0.25">
      <c r="B2532">
        <v>5554</v>
      </c>
      <c r="C2532">
        <v>210</v>
      </c>
      <c r="D2532">
        <v>94</v>
      </c>
      <c r="E2532">
        <v>7</v>
      </c>
      <c r="F2532">
        <v>23</v>
      </c>
      <c r="G2532">
        <v>2</v>
      </c>
      <c r="H2532">
        <v>0</v>
      </c>
      <c r="I2532">
        <v>0</v>
      </c>
      <c r="J2532">
        <v>25</v>
      </c>
      <c r="K2532" t="s">
        <v>246</v>
      </c>
    </row>
    <row r="2533" spans="2:11" x14ac:dyDescent="0.25">
      <c r="B2533">
        <v>5556</v>
      </c>
      <c r="C2533">
        <v>210</v>
      </c>
      <c r="D2533">
        <v>94</v>
      </c>
      <c r="E2533">
        <v>8</v>
      </c>
      <c r="F2533">
        <v>11</v>
      </c>
      <c r="G2533">
        <v>4</v>
      </c>
      <c r="H2533">
        <v>0</v>
      </c>
      <c r="I2533">
        <v>0</v>
      </c>
      <c r="J2533">
        <v>15</v>
      </c>
      <c r="K2533" t="s">
        <v>246</v>
      </c>
    </row>
    <row r="2534" spans="2:11" x14ac:dyDescent="0.25">
      <c r="B2534">
        <v>5557</v>
      </c>
      <c r="C2534">
        <v>210</v>
      </c>
      <c r="D2534">
        <v>94</v>
      </c>
      <c r="E2534">
        <v>9</v>
      </c>
      <c r="F2534">
        <v>13</v>
      </c>
      <c r="G2534">
        <v>1</v>
      </c>
      <c r="H2534">
        <v>0</v>
      </c>
      <c r="I2534">
        <v>0</v>
      </c>
      <c r="J2534">
        <v>14</v>
      </c>
      <c r="K2534" t="s">
        <v>246</v>
      </c>
    </row>
    <row r="2535" spans="2:11" x14ac:dyDescent="0.25">
      <c r="B2535">
        <v>5558</v>
      </c>
      <c r="C2535">
        <v>210</v>
      </c>
      <c r="D2535">
        <v>94</v>
      </c>
      <c r="E2535">
        <v>10</v>
      </c>
      <c r="F2535">
        <v>4</v>
      </c>
      <c r="G2535">
        <v>10</v>
      </c>
      <c r="H2535">
        <v>0</v>
      </c>
      <c r="I2535">
        <v>0</v>
      </c>
      <c r="J2535">
        <v>14</v>
      </c>
      <c r="K2535" t="s">
        <v>246</v>
      </c>
    </row>
    <row r="2536" spans="2:11" x14ac:dyDescent="0.25">
      <c r="B2536">
        <v>2793</v>
      </c>
      <c r="C2536">
        <v>122</v>
      </c>
      <c r="D2536">
        <v>55</v>
      </c>
      <c r="E2536">
        <v>11</v>
      </c>
      <c r="F2536">
        <v>6</v>
      </c>
      <c r="G2536">
        <v>3</v>
      </c>
      <c r="H2536">
        <v>1</v>
      </c>
      <c r="I2536">
        <v>0</v>
      </c>
      <c r="J2536">
        <v>10</v>
      </c>
      <c r="K2536" t="s">
        <v>248</v>
      </c>
    </row>
    <row r="2537" spans="2:11" x14ac:dyDescent="0.25">
      <c r="B2537">
        <v>2794</v>
      </c>
      <c r="C2537">
        <v>239</v>
      </c>
      <c r="D2537">
        <v>106</v>
      </c>
      <c r="E2537">
        <v>3</v>
      </c>
      <c r="F2537">
        <v>14</v>
      </c>
      <c r="G2537">
        <v>16</v>
      </c>
      <c r="H2537">
        <v>0</v>
      </c>
      <c r="I2537">
        <v>0</v>
      </c>
      <c r="J2537">
        <v>30</v>
      </c>
      <c r="K2537" t="s">
        <v>242</v>
      </c>
    </row>
    <row r="2538" spans="2:11" x14ac:dyDescent="0.25">
      <c r="B2538">
        <v>2795</v>
      </c>
      <c r="C2538">
        <v>1</v>
      </c>
      <c r="D2538">
        <v>1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 t="s">
        <v>248</v>
      </c>
    </row>
    <row r="2539" spans="2:11" x14ac:dyDescent="0.25">
      <c r="B2539">
        <v>2796</v>
      </c>
      <c r="C2539">
        <v>239</v>
      </c>
      <c r="D2539">
        <v>106</v>
      </c>
      <c r="E2539">
        <v>7</v>
      </c>
      <c r="F2539">
        <v>19</v>
      </c>
      <c r="G2539">
        <v>11</v>
      </c>
      <c r="H2539">
        <v>0</v>
      </c>
      <c r="I2539">
        <v>0</v>
      </c>
      <c r="J2539">
        <v>30</v>
      </c>
      <c r="K2539" t="s">
        <v>242</v>
      </c>
    </row>
    <row r="2540" spans="2:11" x14ac:dyDescent="0.25">
      <c r="B2540">
        <v>2797</v>
      </c>
      <c r="C2540">
        <v>239</v>
      </c>
      <c r="D2540">
        <v>106</v>
      </c>
      <c r="E2540">
        <v>6</v>
      </c>
      <c r="F2540">
        <v>17</v>
      </c>
      <c r="G2540">
        <v>13</v>
      </c>
      <c r="H2540">
        <v>0</v>
      </c>
      <c r="I2540">
        <v>0</v>
      </c>
      <c r="J2540">
        <v>30</v>
      </c>
      <c r="K2540" t="s">
        <v>242</v>
      </c>
    </row>
    <row r="2541" spans="2:11" x14ac:dyDescent="0.25">
      <c r="B2541">
        <v>2798</v>
      </c>
      <c r="C2541">
        <v>122</v>
      </c>
      <c r="D2541">
        <v>55</v>
      </c>
      <c r="E2541">
        <v>10</v>
      </c>
      <c r="F2541">
        <v>10</v>
      </c>
      <c r="G2541">
        <v>4</v>
      </c>
      <c r="H2541">
        <v>0</v>
      </c>
      <c r="I2541">
        <v>0</v>
      </c>
      <c r="J2541">
        <v>14</v>
      </c>
      <c r="K2541" t="s">
        <v>248</v>
      </c>
    </row>
    <row r="2542" spans="2:11" x14ac:dyDescent="0.25">
      <c r="B2542">
        <v>2799</v>
      </c>
      <c r="C2542">
        <v>19</v>
      </c>
      <c r="D2542">
        <v>9</v>
      </c>
      <c r="E2542">
        <v>10</v>
      </c>
      <c r="F2542">
        <v>20</v>
      </c>
      <c r="G2542">
        <v>10</v>
      </c>
      <c r="H2542">
        <v>0</v>
      </c>
      <c r="I2542">
        <v>0</v>
      </c>
      <c r="J2542">
        <v>30</v>
      </c>
      <c r="K2542" t="s">
        <v>248</v>
      </c>
    </row>
    <row r="2543" spans="2:11" x14ac:dyDescent="0.25">
      <c r="B2543">
        <v>2807</v>
      </c>
      <c r="C2543">
        <v>23</v>
      </c>
      <c r="D2543">
        <v>11</v>
      </c>
      <c r="E2543">
        <v>7</v>
      </c>
      <c r="F2543">
        <v>5</v>
      </c>
      <c r="G2543">
        <v>2</v>
      </c>
      <c r="H2543">
        <v>0</v>
      </c>
      <c r="I2543">
        <v>0</v>
      </c>
      <c r="J2543">
        <v>7</v>
      </c>
      <c r="K2543" t="s">
        <v>248</v>
      </c>
    </row>
    <row r="2544" spans="2:11" x14ac:dyDescent="0.25">
      <c r="B2544">
        <v>2808</v>
      </c>
      <c r="C2544">
        <v>3</v>
      </c>
      <c r="D2544">
        <v>1</v>
      </c>
      <c r="E2544">
        <v>8</v>
      </c>
      <c r="F2544">
        <v>4</v>
      </c>
      <c r="G2544">
        <v>3</v>
      </c>
      <c r="H2544">
        <v>1</v>
      </c>
      <c r="I2544">
        <v>0</v>
      </c>
      <c r="J2544">
        <v>8</v>
      </c>
      <c r="K2544" t="s">
        <v>248</v>
      </c>
    </row>
    <row r="2545" spans="2:11" x14ac:dyDescent="0.25">
      <c r="B2545">
        <v>2809</v>
      </c>
      <c r="C2545">
        <v>23</v>
      </c>
      <c r="D2545">
        <v>11</v>
      </c>
      <c r="E2545">
        <v>8</v>
      </c>
      <c r="F2545">
        <v>3</v>
      </c>
      <c r="G2545">
        <v>1</v>
      </c>
      <c r="H2545">
        <v>0</v>
      </c>
      <c r="I2545">
        <v>0</v>
      </c>
      <c r="J2545">
        <v>4</v>
      </c>
      <c r="K2545" t="s">
        <v>248</v>
      </c>
    </row>
    <row r="2546" spans="2:11" x14ac:dyDescent="0.25">
      <c r="B2546">
        <v>2810</v>
      </c>
      <c r="C2546">
        <v>3</v>
      </c>
      <c r="D2546">
        <v>1</v>
      </c>
      <c r="E2546">
        <v>9</v>
      </c>
      <c r="F2546">
        <v>4</v>
      </c>
      <c r="G2546">
        <v>3</v>
      </c>
      <c r="H2546">
        <v>1</v>
      </c>
      <c r="I2546">
        <v>0</v>
      </c>
      <c r="J2546">
        <v>8</v>
      </c>
      <c r="K2546" t="s">
        <v>248</v>
      </c>
    </row>
    <row r="2547" spans="2:11" x14ac:dyDescent="0.25">
      <c r="B2547">
        <v>2811</v>
      </c>
      <c r="C2547">
        <v>23</v>
      </c>
      <c r="D2547">
        <v>11</v>
      </c>
      <c r="E2547">
        <v>9</v>
      </c>
      <c r="F2547">
        <v>5</v>
      </c>
      <c r="G2547">
        <v>2</v>
      </c>
      <c r="H2547">
        <v>0</v>
      </c>
      <c r="I2547">
        <v>0</v>
      </c>
      <c r="J2547">
        <v>7</v>
      </c>
      <c r="K2547" t="s">
        <v>248</v>
      </c>
    </row>
    <row r="2548" spans="2:11" x14ac:dyDescent="0.25">
      <c r="B2548">
        <v>2812</v>
      </c>
      <c r="C2548">
        <v>128</v>
      </c>
      <c r="D2548">
        <v>56</v>
      </c>
      <c r="E2548">
        <v>11</v>
      </c>
      <c r="F2548">
        <v>8</v>
      </c>
      <c r="G2548">
        <v>3</v>
      </c>
      <c r="H2548">
        <v>2</v>
      </c>
      <c r="I2548">
        <v>0</v>
      </c>
      <c r="J2548">
        <v>13</v>
      </c>
      <c r="K2548" t="s">
        <v>242</v>
      </c>
    </row>
    <row r="2549" spans="2:11" x14ac:dyDescent="0.25">
      <c r="B2549">
        <v>2813</v>
      </c>
      <c r="C2549">
        <v>124</v>
      </c>
      <c r="D2549">
        <v>56</v>
      </c>
      <c r="E2549">
        <v>11</v>
      </c>
      <c r="F2549">
        <v>8</v>
      </c>
      <c r="G2549">
        <v>1</v>
      </c>
      <c r="H2549">
        <v>0</v>
      </c>
      <c r="I2549">
        <v>0</v>
      </c>
      <c r="J2549">
        <v>9</v>
      </c>
      <c r="K2549" t="s">
        <v>242</v>
      </c>
    </row>
    <row r="2550" spans="2:11" x14ac:dyDescent="0.25">
      <c r="B2550">
        <v>2814</v>
      </c>
      <c r="C2550">
        <v>42</v>
      </c>
      <c r="D2550">
        <v>21</v>
      </c>
      <c r="E2550">
        <v>11</v>
      </c>
      <c r="F2550">
        <v>8</v>
      </c>
      <c r="G2550">
        <v>3</v>
      </c>
      <c r="H2550">
        <v>1</v>
      </c>
      <c r="I2550">
        <v>0</v>
      </c>
      <c r="J2550">
        <v>12</v>
      </c>
      <c r="K2550" t="s">
        <v>248</v>
      </c>
    </row>
    <row r="2551" spans="2:11" x14ac:dyDescent="0.25">
      <c r="B2551">
        <v>2815</v>
      </c>
      <c r="C2551">
        <v>23</v>
      </c>
      <c r="D2551">
        <v>11</v>
      </c>
      <c r="E2551">
        <v>6</v>
      </c>
      <c r="F2551">
        <v>8</v>
      </c>
      <c r="G2551">
        <v>10</v>
      </c>
      <c r="H2551">
        <v>5</v>
      </c>
      <c r="I2551">
        <v>0</v>
      </c>
      <c r="J2551">
        <v>23</v>
      </c>
      <c r="K2551" t="s">
        <v>245</v>
      </c>
    </row>
    <row r="2552" spans="2:11" x14ac:dyDescent="0.25">
      <c r="B2552">
        <v>2816</v>
      </c>
      <c r="C2552">
        <v>127</v>
      </c>
      <c r="D2552">
        <v>56</v>
      </c>
      <c r="E2552">
        <v>11</v>
      </c>
      <c r="F2552">
        <v>17</v>
      </c>
      <c r="G2552">
        <v>2</v>
      </c>
      <c r="H2552">
        <v>0</v>
      </c>
      <c r="I2552">
        <v>0</v>
      </c>
      <c r="J2552">
        <v>19</v>
      </c>
      <c r="K2552" t="s">
        <v>242</v>
      </c>
    </row>
    <row r="2553" spans="2:11" x14ac:dyDescent="0.25">
      <c r="B2553">
        <v>2817</v>
      </c>
      <c r="C2553">
        <v>125</v>
      </c>
      <c r="D2553">
        <v>56</v>
      </c>
      <c r="E2553">
        <v>11</v>
      </c>
      <c r="F2553">
        <v>11</v>
      </c>
      <c r="G2553">
        <v>7</v>
      </c>
      <c r="H2553">
        <v>1</v>
      </c>
      <c r="I2553">
        <v>0</v>
      </c>
      <c r="J2553">
        <v>19</v>
      </c>
      <c r="K2553" t="s">
        <v>242</v>
      </c>
    </row>
    <row r="2554" spans="2:11" x14ac:dyDescent="0.25">
      <c r="B2554">
        <v>2818</v>
      </c>
      <c r="C2554">
        <v>125</v>
      </c>
      <c r="D2554">
        <v>56</v>
      </c>
      <c r="E2554">
        <v>12</v>
      </c>
      <c r="F2554">
        <v>9</v>
      </c>
      <c r="G2554">
        <v>9</v>
      </c>
      <c r="H2554">
        <v>0</v>
      </c>
      <c r="I2554">
        <v>0</v>
      </c>
      <c r="J2554">
        <v>18</v>
      </c>
      <c r="K2554" t="s">
        <v>245</v>
      </c>
    </row>
    <row r="2555" spans="2:11" x14ac:dyDescent="0.25">
      <c r="B2555">
        <v>2819</v>
      </c>
      <c r="C2555">
        <v>41</v>
      </c>
      <c r="D2555">
        <v>20</v>
      </c>
      <c r="E2555">
        <v>11</v>
      </c>
      <c r="F2555">
        <v>5</v>
      </c>
      <c r="G2555">
        <v>4</v>
      </c>
      <c r="H2555">
        <v>0</v>
      </c>
      <c r="I2555">
        <v>0</v>
      </c>
      <c r="J2555">
        <v>9</v>
      </c>
      <c r="K2555" t="s">
        <v>248</v>
      </c>
    </row>
    <row r="2556" spans="2:11" x14ac:dyDescent="0.25">
      <c r="B2556">
        <v>2820</v>
      </c>
      <c r="C2556">
        <v>175</v>
      </c>
      <c r="D2556">
        <v>76</v>
      </c>
      <c r="E2556">
        <v>12</v>
      </c>
      <c r="F2556">
        <v>0</v>
      </c>
      <c r="G2556">
        <v>1</v>
      </c>
      <c r="H2556">
        <v>0</v>
      </c>
      <c r="I2556">
        <v>0</v>
      </c>
      <c r="J2556">
        <v>1</v>
      </c>
      <c r="K2556" t="s">
        <v>245</v>
      </c>
    </row>
    <row r="2557" spans="2:11" x14ac:dyDescent="0.25">
      <c r="B2557">
        <v>2821</v>
      </c>
      <c r="C2557">
        <v>171</v>
      </c>
      <c r="D2557">
        <v>73</v>
      </c>
      <c r="E2557">
        <v>11</v>
      </c>
      <c r="F2557">
        <v>1</v>
      </c>
      <c r="G2557">
        <v>1</v>
      </c>
      <c r="H2557">
        <v>0</v>
      </c>
      <c r="I2557">
        <v>0</v>
      </c>
      <c r="J2557">
        <v>2</v>
      </c>
      <c r="K2557" t="s">
        <v>242</v>
      </c>
    </row>
    <row r="2558" spans="2:11" x14ac:dyDescent="0.25">
      <c r="B2558">
        <v>2822</v>
      </c>
      <c r="C2558">
        <v>127</v>
      </c>
      <c r="D2558">
        <v>56</v>
      </c>
      <c r="E2558">
        <v>12</v>
      </c>
      <c r="F2558">
        <v>19</v>
      </c>
      <c r="G2558">
        <v>1</v>
      </c>
      <c r="H2558">
        <v>0</v>
      </c>
      <c r="I2558">
        <v>0</v>
      </c>
      <c r="J2558">
        <v>20</v>
      </c>
      <c r="K2558" t="s">
        <v>245</v>
      </c>
    </row>
    <row r="2559" spans="2:11" x14ac:dyDescent="0.25">
      <c r="B2559">
        <v>2823</v>
      </c>
      <c r="C2559">
        <v>67</v>
      </c>
      <c r="D2559">
        <v>35</v>
      </c>
      <c r="E2559">
        <v>11</v>
      </c>
      <c r="F2559">
        <v>17</v>
      </c>
      <c r="G2559">
        <v>12</v>
      </c>
      <c r="H2559">
        <v>1</v>
      </c>
      <c r="I2559">
        <v>0</v>
      </c>
      <c r="J2559">
        <v>30</v>
      </c>
      <c r="K2559" t="s">
        <v>242</v>
      </c>
    </row>
    <row r="2560" spans="2:11" x14ac:dyDescent="0.25">
      <c r="B2560">
        <v>2824</v>
      </c>
      <c r="C2560">
        <v>40</v>
      </c>
      <c r="D2560">
        <v>19</v>
      </c>
      <c r="E2560">
        <v>11</v>
      </c>
      <c r="F2560">
        <v>30</v>
      </c>
      <c r="G2560">
        <v>0</v>
      </c>
      <c r="H2560">
        <v>0</v>
      </c>
      <c r="I2560">
        <v>0</v>
      </c>
      <c r="J2560">
        <v>30</v>
      </c>
      <c r="K2560" t="s">
        <v>248</v>
      </c>
    </row>
    <row r="2561" spans="2:11" x14ac:dyDescent="0.25">
      <c r="B2561">
        <v>2825</v>
      </c>
      <c r="C2561">
        <v>330</v>
      </c>
      <c r="D2561">
        <v>152</v>
      </c>
      <c r="E2561">
        <v>11</v>
      </c>
      <c r="F2561">
        <v>10</v>
      </c>
      <c r="G2561">
        <v>15</v>
      </c>
      <c r="H2561">
        <v>1</v>
      </c>
      <c r="I2561">
        <v>0</v>
      </c>
      <c r="J2561">
        <v>26</v>
      </c>
      <c r="K2561" t="s">
        <v>242</v>
      </c>
    </row>
    <row r="2562" spans="2:11" x14ac:dyDescent="0.25">
      <c r="B2562">
        <v>2826</v>
      </c>
      <c r="C2562">
        <v>124</v>
      </c>
      <c r="D2562">
        <v>56</v>
      </c>
      <c r="E2562">
        <v>12</v>
      </c>
      <c r="F2562">
        <v>18</v>
      </c>
      <c r="G2562">
        <v>0</v>
      </c>
      <c r="H2562">
        <v>0</v>
      </c>
      <c r="I2562">
        <v>0</v>
      </c>
      <c r="J2562">
        <v>18</v>
      </c>
      <c r="K2562" t="s">
        <v>245</v>
      </c>
    </row>
    <row r="2563" spans="2:11" x14ac:dyDescent="0.25">
      <c r="B2563">
        <v>2827</v>
      </c>
      <c r="C2563">
        <v>35</v>
      </c>
      <c r="D2563">
        <v>17</v>
      </c>
      <c r="E2563">
        <v>11</v>
      </c>
      <c r="F2563">
        <v>0</v>
      </c>
      <c r="G2563">
        <v>2</v>
      </c>
      <c r="H2563">
        <v>0</v>
      </c>
      <c r="I2563">
        <v>0</v>
      </c>
      <c r="J2563">
        <v>2</v>
      </c>
      <c r="K2563" t="s">
        <v>248</v>
      </c>
    </row>
    <row r="2564" spans="2:11" x14ac:dyDescent="0.25">
      <c r="B2564">
        <v>2828</v>
      </c>
      <c r="C2564">
        <v>283</v>
      </c>
      <c r="D2564">
        <v>131</v>
      </c>
      <c r="E2564">
        <v>11</v>
      </c>
      <c r="F2564">
        <v>18</v>
      </c>
      <c r="G2564">
        <v>3</v>
      </c>
      <c r="H2564">
        <v>0</v>
      </c>
      <c r="I2564">
        <v>0</v>
      </c>
      <c r="J2564">
        <v>21</v>
      </c>
      <c r="K2564" t="s">
        <v>242</v>
      </c>
    </row>
    <row r="2565" spans="2:11" x14ac:dyDescent="0.25">
      <c r="B2565">
        <v>2830</v>
      </c>
      <c r="C2565">
        <v>39</v>
      </c>
      <c r="D2565">
        <v>19</v>
      </c>
      <c r="E2565">
        <v>11</v>
      </c>
      <c r="F2565">
        <v>4</v>
      </c>
      <c r="G2565">
        <v>7</v>
      </c>
      <c r="H2565">
        <v>0</v>
      </c>
      <c r="I2565">
        <v>0</v>
      </c>
      <c r="J2565">
        <v>11</v>
      </c>
      <c r="K2565" t="s">
        <v>248</v>
      </c>
    </row>
    <row r="2566" spans="2:11" x14ac:dyDescent="0.25">
      <c r="B2566">
        <v>2831</v>
      </c>
      <c r="C2566">
        <v>343</v>
      </c>
      <c r="D2566">
        <v>154</v>
      </c>
      <c r="E2566">
        <v>11</v>
      </c>
      <c r="F2566">
        <v>12</v>
      </c>
      <c r="G2566">
        <v>15</v>
      </c>
      <c r="H2566">
        <v>0</v>
      </c>
      <c r="I2566">
        <v>0</v>
      </c>
      <c r="J2566">
        <v>27</v>
      </c>
      <c r="K2566" t="s">
        <v>242</v>
      </c>
    </row>
    <row r="2567" spans="2:11" x14ac:dyDescent="0.25">
      <c r="B2567">
        <v>2832</v>
      </c>
      <c r="C2567">
        <v>344</v>
      </c>
      <c r="D2567">
        <v>155</v>
      </c>
      <c r="E2567">
        <v>11</v>
      </c>
      <c r="F2567">
        <v>10</v>
      </c>
      <c r="G2567">
        <v>9</v>
      </c>
      <c r="H2567">
        <v>1</v>
      </c>
      <c r="I2567">
        <v>0</v>
      </c>
      <c r="J2567">
        <v>20</v>
      </c>
      <c r="K2567" t="s">
        <v>242</v>
      </c>
    </row>
    <row r="2568" spans="2:11" x14ac:dyDescent="0.25">
      <c r="B2568">
        <v>2833</v>
      </c>
      <c r="C2568">
        <v>33</v>
      </c>
      <c r="D2568">
        <v>17</v>
      </c>
      <c r="E2568">
        <v>11</v>
      </c>
      <c r="F2568">
        <v>8</v>
      </c>
      <c r="G2568">
        <v>9</v>
      </c>
      <c r="H2568">
        <v>0</v>
      </c>
      <c r="I2568">
        <v>0</v>
      </c>
      <c r="J2568">
        <v>17</v>
      </c>
      <c r="K2568" t="s">
        <v>248</v>
      </c>
    </row>
    <row r="2569" spans="2:11" x14ac:dyDescent="0.25">
      <c r="B2569">
        <v>2834</v>
      </c>
      <c r="C2569">
        <v>346</v>
      </c>
      <c r="D2569">
        <v>155</v>
      </c>
      <c r="E2569">
        <v>11</v>
      </c>
      <c r="F2569">
        <v>14</v>
      </c>
      <c r="G2569">
        <v>10</v>
      </c>
      <c r="H2569">
        <v>0</v>
      </c>
      <c r="I2569">
        <v>0</v>
      </c>
      <c r="J2569">
        <v>24</v>
      </c>
      <c r="K2569" t="s">
        <v>242</v>
      </c>
    </row>
    <row r="2570" spans="2:11" x14ac:dyDescent="0.25">
      <c r="B2570">
        <v>2835</v>
      </c>
      <c r="C2570">
        <v>281</v>
      </c>
      <c r="D2570">
        <v>129</v>
      </c>
      <c r="E2570">
        <v>11</v>
      </c>
      <c r="F2570">
        <v>6</v>
      </c>
      <c r="G2570">
        <v>18</v>
      </c>
      <c r="H2570">
        <v>1</v>
      </c>
      <c r="I2570">
        <v>0</v>
      </c>
      <c r="J2570">
        <v>25</v>
      </c>
      <c r="K2570" t="s">
        <v>242</v>
      </c>
    </row>
    <row r="2571" spans="2:11" x14ac:dyDescent="0.25">
      <c r="B2571">
        <v>2836</v>
      </c>
      <c r="C2571">
        <v>31</v>
      </c>
      <c r="D2571">
        <v>17</v>
      </c>
      <c r="E2571">
        <v>11</v>
      </c>
      <c r="F2571">
        <v>5</v>
      </c>
      <c r="G2571">
        <v>7</v>
      </c>
      <c r="H2571">
        <v>0</v>
      </c>
      <c r="I2571">
        <v>0</v>
      </c>
      <c r="J2571">
        <v>12</v>
      </c>
      <c r="K2571" t="s">
        <v>248</v>
      </c>
    </row>
    <row r="2572" spans="2:11" x14ac:dyDescent="0.25">
      <c r="B2572">
        <v>2837</v>
      </c>
      <c r="C2572">
        <v>104</v>
      </c>
      <c r="D2572">
        <v>51</v>
      </c>
      <c r="E2572">
        <v>7</v>
      </c>
      <c r="F2572">
        <v>4</v>
      </c>
      <c r="G2572">
        <v>3</v>
      </c>
      <c r="H2572">
        <v>1</v>
      </c>
      <c r="I2572">
        <v>0</v>
      </c>
      <c r="J2572">
        <v>8</v>
      </c>
      <c r="K2572" t="s">
        <v>245</v>
      </c>
    </row>
    <row r="2573" spans="2:11" x14ac:dyDescent="0.25">
      <c r="B2573">
        <v>2838</v>
      </c>
      <c r="C2573">
        <v>285</v>
      </c>
      <c r="D2573">
        <v>132</v>
      </c>
      <c r="E2573">
        <v>11</v>
      </c>
      <c r="F2573">
        <v>13</v>
      </c>
      <c r="G2573">
        <v>0</v>
      </c>
      <c r="H2573">
        <v>0</v>
      </c>
      <c r="I2573">
        <v>0</v>
      </c>
      <c r="J2573">
        <v>13</v>
      </c>
      <c r="K2573" t="s">
        <v>242</v>
      </c>
    </row>
    <row r="2574" spans="2:11" x14ac:dyDescent="0.25">
      <c r="B2574">
        <v>2839</v>
      </c>
      <c r="C2574">
        <v>2</v>
      </c>
      <c r="D2574">
        <v>1</v>
      </c>
      <c r="E2574">
        <v>11</v>
      </c>
      <c r="F2574">
        <v>3</v>
      </c>
      <c r="G2574">
        <v>5</v>
      </c>
      <c r="H2574">
        <v>0</v>
      </c>
      <c r="I2574">
        <v>0</v>
      </c>
      <c r="J2574">
        <v>8</v>
      </c>
      <c r="K2574" t="s">
        <v>248</v>
      </c>
    </row>
    <row r="2575" spans="2:11" x14ac:dyDescent="0.25">
      <c r="B2575">
        <v>2840</v>
      </c>
      <c r="C2575">
        <v>284</v>
      </c>
      <c r="D2575">
        <v>131</v>
      </c>
      <c r="E2575">
        <v>11</v>
      </c>
      <c r="F2575">
        <v>13</v>
      </c>
      <c r="G2575">
        <v>1</v>
      </c>
      <c r="H2575">
        <v>0</v>
      </c>
      <c r="I2575">
        <v>0</v>
      </c>
      <c r="J2575">
        <v>14</v>
      </c>
      <c r="K2575" t="s">
        <v>242</v>
      </c>
    </row>
    <row r="2576" spans="2:11" x14ac:dyDescent="0.25">
      <c r="B2576">
        <v>2841</v>
      </c>
      <c r="C2576">
        <v>23</v>
      </c>
      <c r="D2576">
        <v>11</v>
      </c>
      <c r="E2576">
        <v>11</v>
      </c>
      <c r="F2576">
        <v>2</v>
      </c>
      <c r="G2576">
        <v>5</v>
      </c>
      <c r="H2576">
        <v>0</v>
      </c>
      <c r="I2576">
        <v>0</v>
      </c>
      <c r="J2576">
        <v>7</v>
      </c>
      <c r="K2576" t="s">
        <v>248</v>
      </c>
    </row>
    <row r="2577" spans="2:11" x14ac:dyDescent="0.25">
      <c r="B2577">
        <v>2842</v>
      </c>
      <c r="C2577">
        <v>22</v>
      </c>
      <c r="D2577">
        <v>10</v>
      </c>
      <c r="E2577">
        <v>11</v>
      </c>
      <c r="F2577">
        <v>6</v>
      </c>
      <c r="G2577">
        <v>6</v>
      </c>
      <c r="H2577">
        <v>1</v>
      </c>
      <c r="I2577">
        <v>0</v>
      </c>
      <c r="J2577">
        <v>13</v>
      </c>
      <c r="K2577" t="s">
        <v>248</v>
      </c>
    </row>
    <row r="2578" spans="2:11" x14ac:dyDescent="0.25">
      <c r="B2578">
        <v>2843</v>
      </c>
      <c r="C2578">
        <v>104</v>
      </c>
      <c r="D2578">
        <v>51</v>
      </c>
      <c r="E2578">
        <v>8</v>
      </c>
      <c r="F2578">
        <v>25</v>
      </c>
      <c r="G2578">
        <v>5</v>
      </c>
      <c r="H2578">
        <v>0</v>
      </c>
      <c r="I2578">
        <v>0</v>
      </c>
      <c r="J2578">
        <v>30</v>
      </c>
      <c r="K2578" t="s">
        <v>245</v>
      </c>
    </row>
    <row r="2579" spans="2:11" x14ac:dyDescent="0.25">
      <c r="B2579">
        <v>2844</v>
      </c>
      <c r="C2579">
        <v>341</v>
      </c>
      <c r="D2579">
        <v>152</v>
      </c>
      <c r="E2579">
        <v>11</v>
      </c>
      <c r="F2579">
        <v>9</v>
      </c>
      <c r="G2579">
        <v>10</v>
      </c>
      <c r="H2579">
        <v>0</v>
      </c>
      <c r="I2579">
        <v>0</v>
      </c>
      <c r="J2579">
        <v>19</v>
      </c>
      <c r="K2579" t="s">
        <v>242</v>
      </c>
    </row>
    <row r="2580" spans="2:11" x14ac:dyDescent="0.25">
      <c r="B2580">
        <v>2845</v>
      </c>
      <c r="C2580">
        <v>21</v>
      </c>
      <c r="D2580">
        <v>10</v>
      </c>
      <c r="E2580">
        <v>11</v>
      </c>
      <c r="F2580">
        <v>13</v>
      </c>
      <c r="G2580">
        <v>6</v>
      </c>
      <c r="H2580">
        <v>2</v>
      </c>
      <c r="I2580">
        <v>0</v>
      </c>
      <c r="J2580">
        <v>21</v>
      </c>
      <c r="K2580" t="s">
        <v>248</v>
      </c>
    </row>
    <row r="2581" spans="2:11" x14ac:dyDescent="0.25">
      <c r="B2581">
        <v>2846</v>
      </c>
      <c r="C2581">
        <v>104</v>
      </c>
      <c r="D2581">
        <v>51</v>
      </c>
      <c r="E2581">
        <v>9</v>
      </c>
      <c r="F2581">
        <v>24</v>
      </c>
      <c r="G2581">
        <v>3</v>
      </c>
      <c r="H2581">
        <v>1</v>
      </c>
      <c r="I2581">
        <v>0</v>
      </c>
      <c r="J2581">
        <v>28</v>
      </c>
      <c r="K2581" t="s">
        <v>245</v>
      </c>
    </row>
    <row r="2582" spans="2:11" x14ac:dyDescent="0.25">
      <c r="B2582">
        <v>2848</v>
      </c>
      <c r="C2582">
        <v>63</v>
      </c>
      <c r="D2582">
        <v>34</v>
      </c>
      <c r="E2582">
        <v>11</v>
      </c>
      <c r="F2582">
        <v>2</v>
      </c>
      <c r="G2582">
        <v>9</v>
      </c>
      <c r="H2582">
        <v>6</v>
      </c>
      <c r="I2582">
        <v>0</v>
      </c>
      <c r="J2582">
        <v>17</v>
      </c>
      <c r="K2582" t="s">
        <v>248</v>
      </c>
    </row>
    <row r="2583" spans="2:11" x14ac:dyDescent="0.25">
      <c r="B2583">
        <v>2849</v>
      </c>
      <c r="C2583">
        <v>64</v>
      </c>
      <c r="D2583">
        <v>35</v>
      </c>
      <c r="E2583">
        <v>11</v>
      </c>
      <c r="F2583">
        <v>7</v>
      </c>
      <c r="G2583">
        <v>18</v>
      </c>
      <c r="H2583">
        <v>1</v>
      </c>
      <c r="I2583">
        <v>0</v>
      </c>
      <c r="J2583">
        <v>26</v>
      </c>
      <c r="K2583" t="s">
        <v>248</v>
      </c>
    </row>
    <row r="2584" spans="2:11" x14ac:dyDescent="0.25">
      <c r="B2584">
        <v>2850</v>
      </c>
      <c r="C2584">
        <v>77</v>
      </c>
      <c r="D2584">
        <v>39</v>
      </c>
      <c r="E2584">
        <v>1</v>
      </c>
      <c r="F2584">
        <v>8</v>
      </c>
      <c r="G2584">
        <v>6</v>
      </c>
      <c r="H2584">
        <v>3</v>
      </c>
      <c r="I2584">
        <v>0</v>
      </c>
      <c r="J2584">
        <v>17</v>
      </c>
      <c r="K2584" t="s">
        <v>242</v>
      </c>
    </row>
    <row r="2585" spans="2:11" x14ac:dyDescent="0.25">
      <c r="B2585">
        <v>2851</v>
      </c>
      <c r="C2585">
        <v>128</v>
      </c>
      <c r="D2585">
        <v>56</v>
      </c>
      <c r="E2585">
        <v>10</v>
      </c>
      <c r="F2585">
        <v>10</v>
      </c>
      <c r="G2585">
        <v>4</v>
      </c>
      <c r="H2585">
        <v>3</v>
      </c>
      <c r="I2585">
        <v>0</v>
      </c>
      <c r="J2585">
        <v>17</v>
      </c>
      <c r="K2585" t="s">
        <v>243</v>
      </c>
    </row>
    <row r="2586" spans="2:11" x14ac:dyDescent="0.25">
      <c r="B2586">
        <v>2852</v>
      </c>
      <c r="C2586">
        <v>77</v>
      </c>
      <c r="D2586">
        <v>39</v>
      </c>
      <c r="E2586">
        <v>2</v>
      </c>
      <c r="F2586">
        <v>11</v>
      </c>
      <c r="G2586">
        <v>10</v>
      </c>
      <c r="H2586">
        <v>5</v>
      </c>
      <c r="I2586">
        <v>0</v>
      </c>
      <c r="J2586">
        <v>26</v>
      </c>
      <c r="K2586" t="s">
        <v>242</v>
      </c>
    </row>
    <row r="2587" spans="2:11" x14ac:dyDescent="0.25">
      <c r="B2587">
        <v>2853</v>
      </c>
      <c r="C2587">
        <v>104</v>
      </c>
      <c r="D2587">
        <v>51</v>
      </c>
      <c r="E2587">
        <v>11</v>
      </c>
      <c r="F2587">
        <v>28</v>
      </c>
      <c r="G2587">
        <v>2</v>
      </c>
      <c r="H2587">
        <v>0</v>
      </c>
      <c r="I2587">
        <v>0</v>
      </c>
      <c r="J2587">
        <v>30</v>
      </c>
      <c r="K2587" t="s">
        <v>245</v>
      </c>
    </row>
    <row r="2588" spans="2:11" x14ac:dyDescent="0.25">
      <c r="B2588">
        <v>2854</v>
      </c>
      <c r="C2588">
        <v>124</v>
      </c>
      <c r="D2588">
        <v>56</v>
      </c>
      <c r="E2588">
        <v>10</v>
      </c>
      <c r="F2588">
        <v>10</v>
      </c>
      <c r="G2588">
        <v>0</v>
      </c>
      <c r="H2588">
        <v>0</v>
      </c>
      <c r="I2588">
        <v>0</v>
      </c>
      <c r="J2588">
        <v>10</v>
      </c>
      <c r="K2588" t="s">
        <v>243</v>
      </c>
    </row>
    <row r="2589" spans="2:11" x14ac:dyDescent="0.25">
      <c r="B2589">
        <v>2855</v>
      </c>
      <c r="C2589">
        <v>77</v>
      </c>
      <c r="D2589">
        <v>39</v>
      </c>
      <c r="E2589">
        <v>3</v>
      </c>
      <c r="F2589">
        <v>10</v>
      </c>
      <c r="G2589">
        <v>8</v>
      </c>
      <c r="H2589">
        <v>6</v>
      </c>
      <c r="I2589">
        <v>0</v>
      </c>
      <c r="J2589">
        <v>24</v>
      </c>
      <c r="K2589" t="s">
        <v>242</v>
      </c>
    </row>
    <row r="2590" spans="2:11" x14ac:dyDescent="0.25">
      <c r="B2590">
        <v>2856</v>
      </c>
      <c r="C2590">
        <v>66</v>
      </c>
      <c r="D2590">
        <v>35</v>
      </c>
      <c r="E2590">
        <v>11</v>
      </c>
      <c r="F2590">
        <v>5</v>
      </c>
      <c r="G2590">
        <v>9</v>
      </c>
      <c r="H2590">
        <v>12</v>
      </c>
      <c r="I2590">
        <v>0</v>
      </c>
      <c r="J2590">
        <v>26</v>
      </c>
      <c r="K2590" t="s">
        <v>248</v>
      </c>
    </row>
    <row r="2591" spans="2:11" x14ac:dyDescent="0.25">
      <c r="B2591">
        <v>2857</v>
      </c>
      <c r="C2591">
        <v>104</v>
      </c>
      <c r="D2591">
        <v>51</v>
      </c>
      <c r="E2591">
        <v>6</v>
      </c>
      <c r="F2591">
        <v>22</v>
      </c>
      <c r="G2591">
        <v>2</v>
      </c>
      <c r="H2591">
        <v>1</v>
      </c>
      <c r="I2591">
        <v>0</v>
      </c>
      <c r="J2591">
        <v>25</v>
      </c>
      <c r="K2591" t="s">
        <v>245</v>
      </c>
    </row>
    <row r="2592" spans="2:11" x14ac:dyDescent="0.25">
      <c r="B2592">
        <v>2858</v>
      </c>
      <c r="C2592">
        <v>77</v>
      </c>
      <c r="D2592">
        <v>39</v>
      </c>
      <c r="E2592">
        <v>4</v>
      </c>
      <c r="F2592">
        <v>9</v>
      </c>
      <c r="G2592">
        <v>6</v>
      </c>
      <c r="H2592">
        <v>5</v>
      </c>
      <c r="I2592">
        <v>0</v>
      </c>
      <c r="J2592">
        <v>20</v>
      </c>
      <c r="K2592" t="s">
        <v>242</v>
      </c>
    </row>
    <row r="2593" spans="2:11" x14ac:dyDescent="0.25">
      <c r="B2593">
        <v>2859</v>
      </c>
      <c r="C2593">
        <v>77</v>
      </c>
      <c r="D2593">
        <v>39</v>
      </c>
      <c r="E2593">
        <v>5</v>
      </c>
      <c r="F2593">
        <v>9</v>
      </c>
      <c r="G2593">
        <v>6</v>
      </c>
      <c r="H2593">
        <v>5</v>
      </c>
      <c r="I2593">
        <v>0</v>
      </c>
      <c r="J2593">
        <v>20</v>
      </c>
      <c r="K2593" t="s">
        <v>242</v>
      </c>
    </row>
    <row r="2594" spans="2:11" x14ac:dyDescent="0.25">
      <c r="B2594">
        <v>2860</v>
      </c>
      <c r="C2594">
        <v>65</v>
      </c>
      <c r="D2594">
        <v>35</v>
      </c>
      <c r="E2594">
        <v>11</v>
      </c>
      <c r="F2594">
        <v>13</v>
      </c>
      <c r="G2594">
        <v>7</v>
      </c>
      <c r="H2594">
        <v>8</v>
      </c>
      <c r="I2594">
        <v>0</v>
      </c>
      <c r="J2594">
        <v>28</v>
      </c>
      <c r="K2594" t="s">
        <v>248</v>
      </c>
    </row>
    <row r="2595" spans="2:11" x14ac:dyDescent="0.25">
      <c r="B2595">
        <v>2861</v>
      </c>
      <c r="C2595">
        <v>77</v>
      </c>
      <c r="D2595">
        <v>39</v>
      </c>
      <c r="E2595">
        <v>6</v>
      </c>
      <c r="F2595">
        <v>8</v>
      </c>
      <c r="G2595">
        <v>6</v>
      </c>
      <c r="H2595">
        <v>3</v>
      </c>
      <c r="I2595">
        <v>0</v>
      </c>
      <c r="J2595">
        <v>17</v>
      </c>
      <c r="K2595" t="s">
        <v>242</v>
      </c>
    </row>
    <row r="2596" spans="2:11" x14ac:dyDescent="0.25">
      <c r="B2596">
        <v>2863</v>
      </c>
      <c r="C2596">
        <v>23</v>
      </c>
      <c r="D2596">
        <v>11</v>
      </c>
      <c r="E2596">
        <v>5</v>
      </c>
      <c r="F2596">
        <v>5</v>
      </c>
      <c r="G2596">
        <v>3</v>
      </c>
      <c r="H2596">
        <v>2</v>
      </c>
      <c r="I2596">
        <v>0</v>
      </c>
      <c r="J2596">
        <v>10</v>
      </c>
      <c r="K2596" t="s">
        <v>245</v>
      </c>
    </row>
    <row r="2597" spans="2:11" x14ac:dyDescent="0.25">
      <c r="B2597">
        <v>2864</v>
      </c>
      <c r="C2597">
        <v>77</v>
      </c>
      <c r="D2597">
        <v>39</v>
      </c>
      <c r="E2597">
        <v>7</v>
      </c>
      <c r="F2597">
        <v>7</v>
      </c>
      <c r="G2597">
        <v>7</v>
      </c>
      <c r="H2597">
        <v>3</v>
      </c>
      <c r="I2597">
        <v>0</v>
      </c>
      <c r="J2597">
        <v>17</v>
      </c>
      <c r="K2597" t="s">
        <v>242</v>
      </c>
    </row>
    <row r="2598" spans="2:11" x14ac:dyDescent="0.25">
      <c r="B2598">
        <v>2865</v>
      </c>
      <c r="C2598">
        <v>67</v>
      </c>
      <c r="D2598">
        <v>35</v>
      </c>
      <c r="E2598">
        <v>10</v>
      </c>
      <c r="F2598">
        <v>15</v>
      </c>
      <c r="G2598">
        <v>5</v>
      </c>
      <c r="H2598">
        <v>10</v>
      </c>
      <c r="I2598">
        <v>0</v>
      </c>
      <c r="J2598">
        <v>30</v>
      </c>
      <c r="K2598" t="s">
        <v>243</v>
      </c>
    </row>
    <row r="2599" spans="2:11" x14ac:dyDescent="0.25">
      <c r="B2599">
        <v>2867</v>
      </c>
      <c r="C2599">
        <v>4</v>
      </c>
      <c r="D2599">
        <v>1</v>
      </c>
      <c r="E2599">
        <v>10</v>
      </c>
      <c r="F2599">
        <v>3</v>
      </c>
      <c r="G2599">
        <v>3</v>
      </c>
      <c r="H2599">
        <v>7</v>
      </c>
      <c r="I2599">
        <v>0</v>
      </c>
      <c r="J2599">
        <v>13</v>
      </c>
      <c r="K2599" t="s">
        <v>248</v>
      </c>
    </row>
    <row r="2600" spans="2:11" x14ac:dyDescent="0.25">
      <c r="B2600">
        <v>2868</v>
      </c>
      <c r="C2600">
        <v>70</v>
      </c>
      <c r="D2600">
        <v>35</v>
      </c>
      <c r="E2600">
        <v>10</v>
      </c>
      <c r="F2600">
        <v>17</v>
      </c>
      <c r="G2600">
        <v>5</v>
      </c>
      <c r="H2600">
        <v>6</v>
      </c>
      <c r="I2600">
        <v>0</v>
      </c>
      <c r="J2600">
        <v>28</v>
      </c>
      <c r="K2600" t="s">
        <v>245</v>
      </c>
    </row>
    <row r="2601" spans="2:11" x14ac:dyDescent="0.25">
      <c r="B2601">
        <v>2869</v>
      </c>
      <c r="C2601">
        <v>335</v>
      </c>
      <c r="D2601">
        <v>152</v>
      </c>
      <c r="E2601">
        <v>10</v>
      </c>
      <c r="F2601">
        <v>3</v>
      </c>
      <c r="G2601">
        <v>8</v>
      </c>
      <c r="H2601">
        <v>1</v>
      </c>
      <c r="I2601">
        <v>0</v>
      </c>
      <c r="J2601">
        <v>12</v>
      </c>
      <c r="K2601" t="s">
        <v>243</v>
      </c>
    </row>
    <row r="2602" spans="2:11" x14ac:dyDescent="0.25">
      <c r="B2602">
        <v>5559</v>
      </c>
      <c r="C2602">
        <v>210</v>
      </c>
      <c r="D2602">
        <v>94</v>
      </c>
      <c r="E2602">
        <v>11</v>
      </c>
      <c r="F2602">
        <v>2</v>
      </c>
      <c r="G2602">
        <v>1</v>
      </c>
      <c r="H2602">
        <v>0</v>
      </c>
      <c r="I2602">
        <v>0</v>
      </c>
      <c r="J2602">
        <v>3</v>
      </c>
      <c r="K2602" t="s">
        <v>246</v>
      </c>
    </row>
    <row r="2603" spans="2:11" x14ac:dyDescent="0.25">
      <c r="B2603">
        <v>5560</v>
      </c>
      <c r="C2603">
        <v>210</v>
      </c>
      <c r="D2603">
        <v>94</v>
      </c>
      <c r="E2603">
        <v>12</v>
      </c>
      <c r="F2603">
        <v>7</v>
      </c>
      <c r="G2603">
        <v>3</v>
      </c>
      <c r="H2603">
        <v>0</v>
      </c>
      <c r="I2603">
        <v>0</v>
      </c>
      <c r="J2603">
        <v>10</v>
      </c>
      <c r="K2603" t="s">
        <v>246</v>
      </c>
    </row>
    <row r="2604" spans="2:11" x14ac:dyDescent="0.25">
      <c r="B2604">
        <v>5555</v>
      </c>
      <c r="C2604">
        <v>188</v>
      </c>
      <c r="D2604">
        <v>81</v>
      </c>
      <c r="E2604">
        <v>9</v>
      </c>
      <c r="F2604">
        <v>0</v>
      </c>
      <c r="G2604">
        <v>28</v>
      </c>
      <c r="H2604">
        <v>0</v>
      </c>
      <c r="I2604">
        <v>0</v>
      </c>
      <c r="J2604">
        <v>28</v>
      </c>
      <c r="K2604" t="s">
        <v>241</v>
      </c>
    </row>
    <row r="2605" spans="2:11" x14ac:dyDescent="0.25">
      <c r="B2605">
        <v>5561</v>
      </c>
      <c r="C2605">
        <v>188</v>
      </c>
      <c r="D2605">
        <v>81</v>
      </c>
      <c r="E2605">
        <v>10</v>
      </c>
      <c r="F2605">
        <v>0</v>
      </c>
      <c r="G2605">
        <v>22</v>
      </c>
      <c r="H2605">
        <v>0</v>
      </c>
      <c r="I2605">
        <v>0</v>
      </c>
      <c r="J2605">
        <v>22</v>
      </c>
      <c r="K2605" t="s">
        <v>241</v>
      </c>
    </row>
    <row r="2606" spans="2:11" x14ac:dyDescent="0.25">
      <c r="B2606">
        <v>5562</v>
      </c>
      <c r="C2606">
        <v>221</v>
      </c>
      <c r="D2606">
        <v>96</v>
      </c>
      <c r="E2606">
        <v>1</v>
      </c>
      <c r="F2606">
        <v>1</v>
      </c>
      <c r="G2606">
        <v>1</v>
      </c>
      <c r="H2606">
        <v>0</v>
      </c>
      <c r="I2606">
        <v>0</v>
      </c>
      <c r="J2606">
        <v>2</v>
      </c>
      <c r="K2606" t="s">
        <v>252</v>
      </c>
    </row>
    <row r="2607" spans="2:11" x14ac:dyDescent="0.25">
      <c r="B2607">
        <v>2870</v>
      </c>
      <c r="C2607">
        <v>129</v>
      </c>
      <c r="D2607">
        <v>57</v>
      </c>
      <c r="E2607">
        <v>10</v>
      </c>
      <c r="F2607">
        <v>14</v>
      </c>
      <c r="G2607">
        <v>9</v>
      </c>
      <c r="H2607">
        <v>0</v>
      </c>
      <c r="I2607">
        <v>0</v>
      </c>
      <c r="J2607">
        <v>23</v>
      </c>
      <c r="K2607" t="s">
        <v>245</v>
      </c>
    </row>
    <row r="2608" spans="2:11" x14ac:dyDescent="0.25">
      <c r="B2608">
        <v>2871</v>
      </c>
      <c r="C2608">
        <v>77</v>
      </c>
      <c r="D2608">
        <v>39</v>
      </c>
      <c r="E2608">
        <v>8</v>
      </c>
      <c r="F2608">
        <v>5</v>
      </c>
      <c r="G2608">
        <v>7</v>
      </c>
      <c r="H2608">
        <v>3</v>
      </c>
      <c r="I2608">
        <v>0</v>
      </c>
      <c r="J2608">
        <v>15</v>
      </c>
      <c r="K2608" t="s">
        <v>242</v>
      </c>
    </row>
    <row r="2609" spans="2:11" x14ac:dyDescent="0.25">
      <c r="B2609">
        <v>2872</v>
      </c>
      <c r="C2609">
        <v>174</v>
      </c>
      <c r="D2609">
        <v>75</v>
      </c>
      <c r="E2609">
        <v>12</v>
      </c>
      <c r="F2609">
        <v>7</v>
      </c>
      <c r="G2609">
        <v>1</v>
      </c>
      <c r="H2609">
        <v>2</v>
      </c>
      <c r="I2609">
        <v>0</v>
      </c>
      <c r="J2609">
        <v>10</v>
      </c>
      <c r="K2609" t="s">
        <v>245</v>
      </c>
    </row>
    <row r="2610" spans="2:11" x14ac:dyDescent="0.25">
      <c r="B2610">
        <v>2873</v>
      </c>
      <c r="C2610">
        <v>77</v>
      </c>
      <c r="D2610">
        <v>39</v>
      </c>
      <c r="E2610">
        <v>9</v>
      </c>
      <c r="F2610">
        <v>6</v>
      </c>
      <c r="G2610">
        <v>1</v>
      </c>
      <c r="H2610">
        <v>1</v>
      </c>
      <c r="I2610">
        <v>0</v>
      </c>
      <c r="J2610">
        <v>8</v>
      </c>
      <c r="K2610" t="s">
        <v>242</v>
      </c>
    </row>
    <row r="2611" spans="2:11" x14ac:dyDescent="0.25">
      <c r="B2611">
        <v>2874</v>
      </c>
      <c r="C2611">
        <v>6</v>
      </c>
      <c r="D2611">
        <v>2</v>
      </c>
      <c r="E2611">
        <v>10</v>
      </c>
      <c r="F2611">
        <v>9</v>
      </c>
      <c r="G2611">
        <v>3</v>
      </c>
      <c r="H2611">
        <v>0</v>
      </c>
      <c r="I2611">
        <v>0</v>
      </c>
      <c r="J2611">
        <v>12</v>
      </c>
      <c r="K2611" t="s">
        <v>243</v>
      </c>
    </row>
    <row r="2612" spans="2:11" x14ac:dyDescent="0.25">
      <c r="B2612">
        <v>2875</v>
      </c>
      <c r="C2612">
        <v>77</v>
      </c>
      <c r="D2612">
        <v>39</v>
      </c>
      <c r="E2612">
        <v>11</v>
      </c>
      <c r="F2612">
        <v>12</v>
      </c>
      <c r="G2612">
        <v>9</v>
      </c>
      <c r="H2612">
        <v>3</v>
      </c>
      <c r="I2612">
        <v>0</v>
      </c>
      <c r="J2612">
        <v>24</v>
      </c>
      <c r="K2612" t="s">
        <v>242</v>
      </c>
    </row>
    <row r="2613" spans="2:11" x14ac:dyDescent="0.25">
      <c r="B2613">
        <v>2877</v>
      </c>
      <c r="C2613">
        <v>3</v>
      </c>
      <c r="D2613">
        <v>1</v>
      </c>
      <c r="E2613">
        <v>10</v>
      </c>
      <c r="F2613">
        <v>4</v>
      </c>
      <c r="G2613">
        <v>4</v>
      </c>
      <c r="H2613">
        <v>1</v>
      </c>
      <c r="I2613">
        <v>0</v>
      </c>
      <c r="J2613">
        <v>9</v>
      </c>
      <c r="K2613" t="s">
        <v>248</v>
      </c>
    </row>
    <row r="2614" spans="2:11" x14ac:dyDescent="0.25">
      <c r="B2614">
        <v>2878</v>
      </c>
      <c r="C2614">
        <v>340</v>
      </c>
      <c r="D2614">
        <v>152</v>
      </c>
      <c r="E2614">
        <v>11</v>
      </c>
      <c r="F2614">
        <v>14</v>
      </c>
      <c r="G2614">
        <v>15</v>
      </c>
      <c r="H2614">
        <v>0</v>
      </c>
      <c r="I2614">
        <v>0</v>
      </c>
      <c r="J2614">
        <v>29</v>
      </c>
      <c r="K2614" t="s">
        <v>242</v>
      </c>
    </row>
    <row r="2615" spans="2:11" x14ac:dyDescent="0.25">
      <c r="B2615">
        <v>2879</v>
      </c>
      <c r="C2615">
        <v>23</v>
      </c>
      <c r="D2615">
        <v>11</v>
      </c>
      <c r="E2615">
        <v>10</v>
      </c>
      <c r="F2615">
        <v>2</v>
      </c>
      <c r="G2615">
        <v>0</v>
      </c>
      <c r="H2615">
        <v>0</v>
      </c>
      <c r="I2615">
        <v>0</v>
      </c>
      <c r="J2615">
        <v>2</v>
      </c>
      <c r="K2615" t="s">
        <v>248</v>
      </c>
    </row>
    <row r="2616" spans="2:11" x14ac:dyDescent="0.25">
      <c r="B2616">
        <v>2880</v>
      </c>
      <c r="C2616">
        <v>68</v>
      </c>
      <c r="D2616">
        <v>35</v>
      </c>
      <c r="E2616">
        <v>10</v>
      </c>
      <c r="F2616">
        <v>5</v>
      </c>
      <c r="G2616">
        <v>7</v>
      </c>
      <c r="H2616">
        <v>12</v>
      </c>
      <c r="I2616">
        <v>0</v>
      </c>
      <c r="J2616">
        <v>24</v>
      </c>
      <c r="K2616" t="s">
        <v>243</v>
      </c>
    </row>
    <row r="2617" spans="2:11" x14ac:dyDescent="0.25">
      <c r="B2617">
        <v>2881</v>
      </c>
      <c r="C2617">
        <v>239</v>
      </c>
      <c r="D2617">
        <v>106</v>
      </c>
      <c r="E2617">
        <v>9</v>
      </c>
      <c r="F2617">
        <v>13</v>
      </c>
      <c r="G2617">
        <v>17</v>
      </c>
      <c r="H2617">
        <v>0</v>
      </c>
      <c r="I2617">
        <v>0</v>
      </c>
      <c r="J2617">
        <v>30</v>
      </c>
      <c r="K2617" t="s">
        <v>245</v>
      </c>
    </row>
    <row r="2618" spans="2:11" x14ac:dyDescent="0.25">
      <c r="B2618">
        <v>2882</v>
      </c>
      <c r="C2618">
        <v>129</v>
      </c>
      <c r="D2618">
        <v>57</v>
      </c>
      <c r="E2618">
        <v>11</v>
      </c>
      <c r="F2618">
        <v>8</v>
      </c>
      <c r="G2618">
        <v>9</v>
      </c>
      <c r="H2618">
        <v>0</v>
      </c>
      <c r="I2618">
        <v>0</v>
      </c>
      <c r="J2618">
        <v>17</v>
      </c>
      <c r="K2618" t="s">
        <v>242</v>
      </c>
    </row>
    <row r="2619" spans="2:11" x14ac:dyDescent="0.25">
      <c r="B2619">
        <v>2883</v>
      </c>
      <c r="C2619">
        <v>5</v>
      </c>
      <c r="D2619">
        <v>1</v>
      </c>
      <c r="E2619">
        <v>10</v>
      </c>
      <c r="F2619">
        <v>3</v>
      </c>
      <c r="G2619">
        <v>0</v>
      </c>
      <c r="H2619">
        <v>1</v>
      </c>
      <c r="I2619">
        <v>0</v>
      </c>
      <c r="J2619">
        <v>4</v>
      </c>
      <c r="K2619" t="s">
        <v>243</v>
      </c>
    </row>
    <row r="2620" spans="2:11" x14ac:dyDescent="0.25">
      <c r="B2620">
        <v>2884</v>
      </c>
      <c r="C2620">
        <v>64</v>
      </c>
      <c r="D2620">
        <v>35</v>
      </c>
      <c r="E2620">
        <v>10</v>
      </c>
      <c r="F2620">
        <v>3</v>
      </c>
      <c r="G2620">
        <v>13</v>
      </c>
      <c r="H2620">
        <v>9</v>
      </c>
      <c r="I2620">
        <v>0</v>
      </c>
      <c r="J2620">
        <v>25</v>
      </c>
      <c r="K2620" t="s">
        <v>248</v>
      </c>
    </row>
    <row r="2621" spans="2:11" x14ac:dyDescent="0.25">
      <c r="B2621">
        <v>2885</v>
      </c>
      <c r="C2621">
        <v>70</v>
      </c>
      <c r="D2621">
        <v>35</v>
      </c>
      <c r="E2621">
        <v>11</v>
      </c>
      <c r="F2621">
        <v>0</v>
      </c>
      <c r="G2621">
        <v>0</v>
      </c>
      <c r="H2621">
        <v>0</v>
      </c>
      <c r="I2621">
        <v>0</v>
      </c>
      <c r="J2621">
        <v>0</v>
      </c>
      <c r="K2621" t="s">
        <v>242</v>
      </c>
    </row>
    <row r="2622" spans="2:11" x14ac:dyDescent="0.25">
      <c r="B2622">
        <v>2886</v>
      </c>
      <c r="C2622">
        <v>65</v>
      </c>
      <c r="D2622">
        <v>35</v>
      </c>
      <c r="E2622">
        <v>10</v>
      </c>
      <c r="F2622">
        <v>12</v>
      </c>
      <c r="G2622">
        <v>13</v>
      </c>
      <c r="H2622">
        <v>4</v>
      </c>
      <c r="I2622">
        <v>0</v>
      </c>
      <c r="J2622">
        <v>29</v>
      </c>
      <c r="K2622" t="s">
        <v>248</v>
      </c>
    </row>
    <row r="2623" spans="2:11" x14ac:dyDescent="0.25">
      <c r="B2623">
        <v>2887</v>
      </c>
      <c r="C2623">
        <v>44</v>
      </c>
      <c r="D2623">
        <v>22</v>
      </c>
      <c r="E2623">
        <v>11</v>
      </c>
      <c r="F2623">
        <v>7</v>
      </c>
      <c r="G2623">
        <v>12</v>
      </c>
      <c r="H2623">
        <v>1</v>
      </c>
      <c r="I2623">
        <v>0</v>
      </c>
      <c r="J2623">
        <v>20</v>
      </c>
      <c r="K2623" t="s">
        <v>242</v>
      </c>
    </row>
    <row r="2624" spans="2:11" x14ac:dyDescent="0.25">
      <c r="B2624">
        <v>2888</v>
      </c>
      <c r="C2624">
        <v>6</v>
      </c>
      <c r="D2624">
        <v>2</v>
      </c>
      <c r="E2624">
        <v>11</v>
      </c>
      <c r="F2624">
        <v>4</v>
      </c>
      <c r="G2624">
        <v>10</v>
      </c>
      <c r="H2624">
        <v>0</v>
      </c>
      <c r="I2624">
        <v>0</v>
      </c>
      <c r="J2624">
        <v>14</v>
      </c>
      <c r="K2624" t="s">
        <v>243</v>
      </c>
    </row>
    <row r="2625" spans="2:11" x14ac:dyDescent="0.25">
      <c r="B2625">
        <v>2890</v>
      </c>
      <c r="C2625">
        <v>66</v>
      </c>
      <c r="D2625">
        <v>35</v>
      </c>
      <c r="E2625">
        <v>10</v>
      </c>
      <c r="F2625">
        <v>8</v>
      </c>
      <c r="G2625">
        <v>7</v>
      </c>
      <c r="H2625">
        <v>11</v>
      </c>
      <c r="I2625">
        <v>0</v>
      </c>
      <c r="J2625">
        <v>26</v>
      </c>
      <c r="K2625" t="s">
        <v>248</v>
      </c>
    </row>
    <row r="2626" spans="2:11" x14ac:dyDescent="0.25">
      <c r="B2626">
        <v>2891</v>
      </c>
      <c r="C2626">
        <v>5</v>
      </c>
      <c r="D2626">
        <v>1</v>
      </c>
      <c r="E2626">
        <v>11</v>
      </c>
      <c r="F2626">
        <v>2</v>
      </c>
      <c r="G2626">
        <v>1</v>
      </c>
      <c r="H2626">
        <v>0</v>
      </c>
      <c r="I2626">
        <v>0</v>
      </c>
      <c r="J2626">
        <v>3</v>
      </c>
      <c r="K2626" t="s">
        <v>243</v>
      </c>
    </row>
    <row r="2627" spans="2:11" x14ac:dyDescent="0.25">
      <c r="B2627">
        <v>2892</v>
      </c>
      <c r="C2627">
        <v>71</v>
      </c>
      <c r="D2627">
        <v>35</v>
      </c>
      <c r="E2627">
        <v>10</v>
      </c>
      <c r="F2627">
        <v>8</v>
      </c>
      <c r="G2627">
        <v>14</v>
      </c>
      <c r="H2627">
        <v>1</v>
      </c>
      <c r="I2627">
        <v>0</v>
      </c>
      <c r="J2627">
        <v>23</v>
      </c>
      <c r="K2627" t="s">
        <v>248</v>
      </c>
    </row>
    <row r="2628" spans="2:11" x14ac:dyDescent="0.25">
      <c r="B2628">
        <v>2893</v>
      </c>
      <c r="C2628">
        <v>69</v>
      </c>
      <c r="D2628">
        <v>35</v>
      </c>
      <c r="E2628">
        <v>11</v>
      </c>
      <c r="F2628">
        <v>5</v>
      </c>
      <c r="G2628">
        <v>9</v>
      </c>
      <c r="H2628">
        <v>1</v>
      </c>
      <c r="I2628">
        <v>0</v>
      </c>
      <c r="J2628">
        <v>15</v>
      </c>
      <c r="K2628" t="s">
        <v>243</v>
      </c>
    </row>
    <row r="2629" spans="2:11" x14ac:dyDescent="0.25">
      <c r="B2629">
        <v>2894</v>
      </c>
      <c r="C2629">
        <v>71</v>
      </c>
      <c r="D2629">
        <v>35</v>
      </c>
      <c r="E2629">
        <v>11</v>
      </c>
      <c r="F2629">
        <v>2</v>
      </c>
      <c r="G2629">
        <v>5</v>
      </c>
      <c r="H2629">
        <v>1</v>
      </c>
      <c r="I2629">
        <v>0</v>
      </c>
      <c r="J2629">
        <v>8</v>
      </c>
      <c r="K2629" t="s">
        <v>248</v>
      </c>
    </row>
    <row r="2630" spans="2:11" x14ac:dyDescent="0.25">
      <c r="B2630">
        <v>2895</v>
      </c>
      <c r="C2630">
        <v>68</v>
      </c>
      <c r="D2630">
        <v>35</v>
      </c>
      <c r="E2630">
        <v>11</v>
      </c>
      <c r="F2630">
        <v>8</v>
      </c>
      <c r="G2630">
        <v>10</v>
      </c>
      <c r="H2630">
        <v>12</v>
      </c>
      <c r="I2630">
        <v>0</v>
      </c>
      <c r="J2630">
        <v>30</v>
      </c>
      <c r="K2630" t="s">
        <v>243</v>
      </c>
    </row>
    <row r="2631" spans="2:11" x14ac:dyDescent="0.25">
      <c r="B2631">
        <v>2902</v>
      </c>
      <c r="C2631">
        <v>91</v>
      </c>
      <c r="D2631">
        <v>45</v>
      </c>
      <c r="E2631">
        <v>9</v>
      </c>
      <c r="F2631">
        <v>0</v>
      </c>
      <c r="G2631">
        <v>19</v>
      </c>
      <c r="H2631">
        <v>3</v>
      </c>
      <c r="I2631">
        <v>0</v>
      </c>
      <c r="J2631">
        <v>22</v>
      </c>
      <c r="K2631" t="s">
        <v>242</v>
      </c>
    </row>
    <row r="2632" spans="2:11" x14ac:dyDescent="0.25">
      <c r="B2632">
        <v>2903</v>
      </c>
      <c r="C2632">
        <v>131</v>
      </c>
      <c r="D2632">
        <v>59</v>
      </c>
      <c r="E2632">
        <v>11</v>
      </c>
      <c r="F2632">
        <v>1</v>
      </c>
      <c r="G2632">
        <v>6</v>
      </c>
      <c r="H2632">
        <v>0</v>
      </c>
      <c r="I2632">
        <v>0</v>
      </c>
      <c r="J2632">
        <v>7</v>
      </c>
      <c r="K2632" t="s">
        <v>243</v>
      </c>
    </row>
    <row r="2633" spans="2:11" x14ac:dyDescent="0.25">
      <c r="B2633">
        <v>2904</v>
      </c>
      <c r="C2633">
        <v>130</v>
      </c>
      <c r="D2633">
        <v>58</v>
      </c>
      <c r="E2633">
        <v>12</v>
      </c>
      <c r="F2633">
        <v>10</v>
      </c>
      <c r="G2633">
        <v>12</v>
      </c>
      <c r="H2633">
        <v>0</v>
      </c>
      <c r="I2633">
        <v>0</v>
      </c>
      <c r="J2633">
        <v>22</v>
      </c>
      <c r="K2633" t="s">
        <v>245</v>
      </c>
    </row>
    <row r="2634" spans="2:11" x14ac:dyDescent="0.25">
      <c r="B2634">
        <v>2906</v>
      </c>
      <c r="C2634">
        <v>91</v>
      </c>
      <c r="D2634">
        <v>45</v>
      </c>
      <c r="E2634">
        <v>10</v>
      </c>
      <c r="F2634">
        <v>9</v>
      </c>
      <c r="G2634">
        <v>15</v>
      </c>
      <c r="H2634">
        <v>0</v>
      </c>
      <c r="I2634">
        <v>0</v>
      </c>
      <c r="J2634">
        <v>24</v>
      </c>
      <c r="K2634" t="s">
        <v>242</v>
      </c>
    </row>
    <row r="2635" spans="2:11" x14ac:dyDescent="0.25">
      <c r="B2635">
        <v>2907</v>
      </c>
      <c r="C2635">
        <v>131</v>
      </c>
      <c r="D2635">
        <v>59</v>
      </c>
      <c r="E2635">
        <v>12</v>
      </c>
      <c r="F2635">
        <v>1</v>
      </c>
      <c r="G2635">
        <v>7</v>
      </c>
      <c r="H2635">
        <v>0</v>
      </c>
      <c r="I2635">
        <v>0</v>
      </c>
      <c r="J2635">
        <v>8</v>
      </c>
      <c r="K2635" t="s">
        <v>245</v>
      </c>
    </row>
    <row r="2636" spans="2:11" x14ac:dyDescent="0.25">
      <c r="B2636">
        <v>2908</v>
      </c>
      <c r="C2636">
        <v>72</v>
      </c>
      <c r="D2636">
        <v>35</v>
      </c>
      <c r="E2636">
        <v>11</v>
      </c>
      <c r="F2636">
        <v>1</v>
      </c>
      <c r="G2636">
        <v>3</v>
      </c>
      <c r="H2636">
        <v>0</v>
      </c>
      <c r="I2636">
        <v>0</v>
      </c>
      <c r="J2636">
        <v>4</v>
      </c>
      <c r="K2636" t="s">
        <v>243</v>
      </c>
    </row>
    <row r="2637" spans="2:11" x14ac:dyDescent="0.25">
      <c r="B2637">
        <v>2909</v>
      </c>
      <c r="C2637">
        <v>172</v>
      </c>
      <c r="D2637">
        <v>74</v>
      </c>
      <c r="E2637">
        <v>12</v>
      </c>
      <c r="F2637">
        <v>9</v>
      </c>
      <c r="G2637">
        <v>7</v>
      </c>
      <c r="H2637">
        <v>0</v>
      </c>
      <c r="I2637">
        <v>0</v>
      </c>
      <c r="J2637">
        <v>16</v>
      </c>
      <c r="K2637" t="s">
        <v>245</v>
      </c>
    </row>
    <row r="2638" spans="2:11" x14ac:dyDescent="0.25">
      <c r="B2638">
        <v>2911</v>
      </c>
      <c r="C2638">
        <v>91</v>
      </c>
      <c r="D2638">
        <v>45</v>
      </c>
      <c r="E2638">
        <v>8</v>
      </c>
      <c r="F2638">
        <v>9</v>
      </c>
      <c r="G2638">
        <v>9</v>
      </c>
      <c r="H2638">
        <v>0</v>
      </c>
      <c r="I2638">
        <v>0</v>
      </c>
      <c r="J2638">
        <v>18</v>
      </c>
      <c r="K2638" t="s">
        <v>242</v>
      </c>
    </row>
    <row r="2639" spans="2:11" x14ac:dyDescent="0.25">
      <c r="B2639">
        <v>2912</v>
      </c>
      <c r="C2639">
        <v>170</v>
      </c>
      <c r="D2639">
        <v>73</v>
      </c>
      <c r="E2639">
        <v>12</v>
      </c>
      <c r="F2639">
        <v>10</v>
      </c>
      <c r="G2639">
        <v>1</v>
      </c>
      <c r="H2639">
        <v>0</v>
      </c>
      <c r="I2639">
        <v>0</v>
      </c>
      <c r="J2639">
        <v>11</v>
      </c>
      <c r="K2639" t="s">
        <v>245</v>
      </c>
    </row>
    <row r="2640" spans="2:11" x14ac:dyDescent="0.25">
      <c r="B2640">
        <v>2913</v>
      </c>
      <c r="C2640">
        <v>8</v>
      </c>
      <c r="D2640">
        <v>3</v>
      </c>
      <c r="E2640">
        <v>11</v>
      </c>
      <c r="F2640">
        <v>8</v>
      </c>
      <c r="G2640">
        <v>16</v>
      </c>
      <c r="H2640">
        <v>0</v>
      </c>
      <c r="I2640">
        <v>0</v>
      </c>
      <c r="J2640">
        <v>24</v>
      </c>
      <c r="K2640" t="s">
        <v>243</v>
      </c>
    </row>
    <row r="2641" spans="2:11" x14ac:dyDescent="0.25">
      <c r="B2641">
        <v>2915</v>
      </c>
      <c r="C2641">
        <v>171</v>
      </c>
      <c r="D2641">
        <v>73</v>
      </c>
      <c r="E2641">
        <v>12</v>
      </c>
      <c r="F2641">
        <v>2</v>
      </c>
      <c r="G2641">
        <v>1</v>
      </c>
      <c r="H2641">
        <v>0</v>
      </c>
      <c r="I2641">
        <v>0</v>
      </c>
      <c r="J2641">
        <v>3</v>
      </c>
      <c r="K2641" t="s">
        <v>245</v>
      </c>
    </row>
    <row r="2642" spans="2:11" x14ac:dyDescent="0.25">
      <c r="B2642">
        <v>2918</v>
      </c>
      <c r="C2642">
        <v>72</v>
      </c>
      <c r="D2642">
        <v>35</v>
      </c>
      <c r="E2642">
        <v>10</v>
      </c>
      <c r="F2642">
        <v>7</v>
      </c>
      <c r="G2642">
        <v>12</v>
      </c>
      <c r="H2642">
        <v>3</v>
      </c>
      <c r="I2642">
        <v>0</v>
      </c>
      <c r="J2642">
        <v>22</v>
      </c>
      <c r="K2642" t="s">
        <v>243</v>
      </c>
    </row>
    <row r="2643" spans="2:11" x14ac:dyDescent="0.25">
      <c r="B2643">
        <v>2920</v>
      </c>
      <c r="C2643">
        <v>8</v>
      </c>
      <c r="D2643">
        <v>3</v>
      </c>
      <c r="E2643">
        <v>10</v>
      </c>
      <c r="F2643">
        <v>9</v>
      </c>
      <c r="G2643">
        <v>13</v>
      </c>
      <c r="H2643">
        <v>0</v>
      </c>
      <c r="I2643">
        <v>0</v>
      </c>
      <c r="J2643">
        <v>22</v>
      </c>
      <c r="K2643" t="s">
        <v>243</v>
      </c>
    </row>
    <row r="2644" spans="2:11" x14ac:dyDescent="0.25">
      <c r="B2644">
        <v>2922</v>
      </c>
      <c r="C2644">
        <v>107</v>
      </c>
      <c r="D2644">
        <v>51</v>
      </c>
      <c r="E2644">
        <v>12</v>
      </c>
      <c r="F2644">
        <v>12</v>
      </c>
      <c r="G2644">
        <v>6</v>
      </c>
      <c r="H2644">
        <v>3</v>
      </c>
      <c r="I2644">
        <v>0</v>
      </c>
      <c r="J2644">
        <v>21</v>
      </c>
      <c r="K2644" t="s">
        <v>243</v>
      </c>
    </row>
    <row r="2645" spans="2:11" x14ac:dyDescent="0.25">
      <c r="B2645">
        <v>2923</v>
      </c>
      <c r="C2645">
        <v>89</v>
      </c>
      <c r="D2645">
        <v>44</v>
      </c>
      <c r="E2645">
        <v>1</v>
      </c>
      <c r="F2645">
        <v>2</v>
      </c>
      <c r="G2645">
        <v>4</v>
      </c>
      <c r="H2645">
        <v>6</v>
      </c>
      <c r="I2645">
        <v>0</v>
      </c>
      <c r="J2645">
        <v>12</v>
      </c>
      <c r="K2645" t="s">
        <v>245</v>
      </c>
    </row>
    <row r="2646" spans="2:11" x14ac:dyDescent="0.25">
      <c r="B2646">
        <v>2924</v>
      </c>
      <c r="C2646">
        <v>169</v>
      </c>
      <c r="D2646">
        <v>73</v>
      </c>
      <c r="E2646">
        <v>12</v>
      </c>
      <c r="F2646">
        <v>12</v>
      </c>
      <c r="G2646">
        <v>4</v>
      </c>
      <c r="H2646">
        <v>0</v>
      </c>
      <c r="I2646">
        <v>0</v>
      </c>
      <c r="J2646">
        <v>16</v>
      </c>
      <c r="K2646" t="s">
        <v>243</v>
      </c>
    </row>
    <row r="2647" spans="2:11" x14ac:dyDescent="0.25">
      <c r="B2647">
        <v>2927</v>
      </c>
      <c r="C2647">
        <v>91</v>
      </c>
      <c r="D2647">
        <v>45</v>
      </c>
      <c r="E2647">
        <v>5</v>
      </c>
      <c r="F2647">
        <v>20</v>
      </c>
      <c r="G2647">
        <v>10</v>
      </c>
      <c r="H2647">
        <v>0</v>
      </c>
      <c r="I2647">
        <v>0</v>
      </c>
      <c r="J2647">
        <v>30</v>
      </c>
      <c r="K2647" t="s">
        <v>242</v>
      </c>
    </row>
    <row r="2648" spans="2:11" x14ac:dyDescent="0.25">
      <c r="B2648">
        <v>2928</v>
      </c>
      <c r="C2648">
        <v>89</v>
      </c>
      <c r="D2648">
        <v>44</v>
      </c>
      <c r="E2648">
        <v>2</v>
      </c>
      <c r="F2648">
        <v>23</v>
      </c>
      <c r="G2648">
        <v>0</v>
      </c>
      <c r="H2648">
        <v>3</v>
      </c>
      <c r="I2648">
        <v>0</v>
      </c>
      <c r="J2648">
        <v>26</v>
      </c>
      <c r="K2648" t="s">
        <v>245</v>
      </c>
    </row>
    <row r="2649" spans="2:11" x14ac:dyDescent="0.25">
      <c r="B2649">
        <v>2929</v>
      </c>
      <c r="C2649">
        <v>25</v>
      </c>
      <c r="D2649">
        <v>13</v>
      </c>
      <c r="E2649">
        <v>9</v>
      </c>
      <c r="F2649">
        <v>2</v>
      </c>
      <c r="G2649">
        <v>1</v>
      </c>
      <c r="H2649">
        <v>1</v>
      </c>
      <c r="I2649">
        <v>0</v>
      </c>
      <c r="J2649">
        <v>4</v>
      </c>
      <c r="K2649" t="s">
        <v>248</v>
      </c>
    </row>
    <row r="2650" spans="2:11" x14ac:dyDescent="0.25">
      <c r="B2650">
        <v>2930</v>
      </c>
      <c r="C2650">
        <v>89</v>
      </c>
      <c r="D2650">
        <v>44</v>
      </c>
      <c r="E2650">
        <v>3</v>
      </c>
      <c r="F2650">
        <v>14</v>
      </c>
      <c r="G2650">
        <v>9</v>
      </c>
      <c r="H2650">
        <v>7</v>
      </c>
      <c r="I2650">
        <v>0</v>
      </c>
      <c r="J2650">
        <v>30</v>
      </c>
      <c r="K2650" t="s">
        <v>245</v>
      </c>
    </row>
    <row r="2651" spans="2:11" x14ac:dyDescent="0.25">
      <c r="B2651">
        <v>2931</v>
      </c>
      <c r="C2651">
        <v>25</v>
      </c>
      <c r="D2651">
        <v>13</v>
      </c>
      <c r="E2651">
        <v>10</v>
      </c>
      <c r="F2651">
        <v>2</v>
      </c>
      <c r="G2651">
        <v>1</v>
      </c>
      <c r="H2651">
        <v>0</v>
      </c>
      <c r="I2651">
        <v>0</v>
      </c>
      <c r="J2651">
        <v>3</v>
      </c>
      <c r="K2651" t="s">
        <v>248</v>
      </c>
    </row>
    <row r="2652" spans="2:11" x14ac:dyDescent="0.25">
      <c r="B2652">
        <v>2933</v>
      </c>
      <c r="C2652">
        <v>89</v>
      </c>
      <c r="D2652">
        <v>44</v>
      </c>
      <c r="E2652">
        <v>4</v>
      </c>
      <c r="F2652">
        <v>1</v>
      </c>
      <c r="G2652">
        <v>15</v>
      </c>
      <c r="H2652">
        <v>14</v>
      </c>
      <c r="I2652">
        <v>0</v>
      </c>
      <c r="J2652">
        <v>30</v>
      </c>
      <c r="K2652" t="s">
        <v>245</v>
      </c>
    </row>
    <row r="2653" spans="2:11" x14ac:dyDescent="0.25">
      <c r="B2653">
        <v>2934</v>
      </c>
      <c r="C2653">
        <v>25</v>
      </c>
      <c r="D2653">
        <v>13</v>
      </c>
      <c r="E2653">
        <v>11</v>
      </c>
      <c r="F2653">
        <v>2</v>
      </c>
      <c r="G2653">
        <v>1</v>
      </c>
      <c r="H2653">
        <v>0</v>
      </c>
      <c r="I2653">
        <v>0</v>
      </c>
      <c r="J2653">
        <v>3</v>
      </c>
      <c r="K2653" t="s">
        <v>248</v>
      </c>
    </row>
    <row r="2654" spans="2:11" x14ac:dyDescent="0.25">
      <c r="B2654">
        <v>2935</v>
      </c>
      <c r="C2654">
        <v>89</v>
      </c>
      <c r="D2654">
        <v>44</v>
      </c>
      <c r="E2654">
        <v>5</v>
      </c>
      <c r="F2654">
        <v>3</v>
      </c>
      <c r="G2654">
        <v>17</v>
      </c>
      <c r="H2654">
        <v>10</v>
      </c>
      <c r="I2654">
        <v>0</v>
      </c>
      <c r="J2654">
        <v>30</v>
      </c>
      <c r="K2654" t="s">
        <v>245</v>
      </c>
    </row>
    <row r="2655" spans="2:11" x14ac:dyDescent="0.25">
      <c r="B2655">
        <v>2936</v>
      </c>
      <c r="C2655">
        <v>23</v>
      </c>
      <c r="D2655">
        <v>11</v>
      </c>
      <c r="E2655">
        <v>4</v>
      </c>
      <c r="F2655">
        <v>5</v>
      </c>
      <c r="G2655">
        <v>6</v>
      </c>
      <c r="H2655">
        <v>2</v>
      </c>
      <c r="I2655">
        <v>0</v>
      </c>
      <c r="J2655">
        <v>13</v>
      </c>
      <c r="K2655" t="s">
        <v>248</v>
      </c>
    </row>
    <row r="2656" spans="2:11" x14ac:dyDescent="0.25">
      <c r="B2656">
        <v>2937</v>
      </c>
      <c r="C2656">
        <v>91</v>
      </c>
      <c r="D2656">
        <v>45</v>
      </c>
      <c r="E2656">
        <v>4</v>
      </c>
      <c r="F2656">
        <v>19</v>
      </c>
      <c r="G2656">
        <v>5</v>
      </c>
      <c r="H2656">
        <v>0</v>
      </c>
      <c r="I2656">
        <v>0</v>
      </c>
      <c r="J2656">
        <v>24</v>
      </c>
      <c r="K2656" t="s">
        <v>242</v>
      </c>
    </row>
    <row r="2657" spans="2:11" x14ac:dyDescent="0.25">
      <c r="B2657">
        <v>2938</v>
      </c>
      <c r="C2657">
        <v>89</v>
      </c>
      <c r="D2657">
        <v>44</v>
      </c>
      <c r="E2657">
        <v>6</v>
      </c>
      <c r="F2657">
        <v>9</v>
      </c>
      <c r="G2657">
        <v>10</v>
      </c>
      <c r="H2657">
        <v>11</v>
      </c>
      <c r="I2657">
        <v>0</v>
      </c>
      <c r="J2657">
        <v>30</v>
      </c>
      <c r="K2657" t="s">
        <v>245</v>
      </c>
    </row>
    <row r="2658" spans="2:11" x14ac:dyDescent="0.25">
      <c r="B2658">
        <v>2940</v>
      </c>
      <c r="C2658">
        <v>89</v>
      </c>
      <c r="D2658">
        <v>44</v>
      </c>
      <c r="E2658">
        <v>7</v>
      </c>
      <c r="F2658">
        <v>9</v>
      </c>
      <c r="G2658">
        <v>9</v>
      </c>
      <c r="H2658">
        <v>11</v>
      </c>
      <c r="I2658">
        <v>0</v>
      </c>
      <c r="J2658">
        <v>29</v>
      </c>
      <c r="K2658" t="s">
        <v>245</v>
      </c>
    </row>
    <row r="2659" spans="2:11" x14ac:dyDescent="0.25">
      <c r="B2659">
        <v>2941</v>
      </c>
      <c r="C2659">
        <v>23</v>
      </c>
      <c r="D2659">
        <v>11</v>
      </c>
      <c r="E2659">
        <v>3</v>
      </c>
      <c r="F2659">
        <v>7</v>
      </c>
      <c r="G2659">
        <v>8</v>
      </c>
      <c r="H2659">
        <v>6</v>
      </c>
      <c r="I2659">
        <v>0</v>
      </c>
      <c r="J2659">
        <v>21</v>
      </c>
      <c r="K2659" t="s">
        <v>248</v>
      </c>
    </row>
    <row r="2660" spans="2:11" x14ac:dyDescent="0.25">
      <c r="B2660">
        <v>2942</v>
      </c>
      <c r="C2660">
        <v>89</v>
      </c>
      <c r="D2660">
        <v>44</v>
      </c>
      <c r="E2660">
        <v>8</v>
      </c>
      <c r="F2660">
        <v>5</v>
      </c>
      <c r="G2660">
        <v>10</v>
      </c>
      <c r="H2660">
        <v>10</v>
      </c>
      <c r="I2660">
        <v>0</v>
      </c>
      <c r="J2660">
        <v>25</v>
      </c>
      <c r="K2660" t="s">
        <v>245</v>
      </c>
    </row>
    <row r="2661" spans="2:11" x14ac:dyDescent="0.25">
      <c r="B2661">
        <v>2944</v>
      </c>
      <c r="C2661">
        <v>89</v>
      </c>
      <c r="D2661">
        <v>44</v>
      </c>
      <c r="E2661">
        <v>9</v>
      </c>
      <c r="F2661">
        <v>8</v>
      </c>
      <c r="G2661">
        <v>7</v>
      </c>
      <c r="H2661">
        <v>6</v>
      </c>
      <c r="I2661">
        <v>0</v>
      </c>
      <c r="J2661">
        <v>21</v>
      </c>
      <c r="K2661" t="s">
        <v>245</v>
      </c>
    </row>
    <row r="2662" spans="2:11" x14ac:dyDescent="0.25">
      <c r="B2662">
        <v>2945</v>
      </c>
      <c r="C2662">
        <v>282</v>
      </c>
      <c r="D2662">
        <v>130</v>
      </c>
      <c r="E2662">
        <v>12</v>
      </c>
      <c r="F2662">
        <v>13</v>
      </c>
      <c r="G2662">
        <v>10</v>
      </c>
      <c r="H2662">
        <v>3</v>
      </c>
      <c r="I2662">
        <v>0</v>
      </c>
      <c r="J2662">
        <v>26</v>
      </c>
      <c r="K2662" t="s">
        <v>243</v>
      </c>
    </row>
    <row r="2663" spans="2:11" x14ac:dyDescent="0.25">
      <c r="B2663">
        <v>5563</v>
      </c>
      <c r="C2663">
        <v>188</v>
      </c>
      <c r="D2663">
        <v>81</v>
      </c>
      <c r="E2663">
        <v>11</v>
      </c>
      <c r="F2663">
        <v>1</v>
      </c>
      <c r="G2663">
        <v>20</v>
      </c>
      <c r="H2663">
        <v>0</v>
      </c>
      <c r="I2663">
        <v>0</v>
      </c>
      <c r="J2663">
        <v>21</v>
      </c>
      <c r="K2663" t="s">
        <v>241</v>
      </c>
    </row>
    <row r="2664" spans="2:11" x14ac:dyDescent="0.25">
      <c r="B2664">
        <v>5564</v>
      </c>
      <c r="C2664">
        <v>221</v>
      </c>
      <c r="D2664">
        <v>96</v>
      </c>
      <c r="E2664">
        <v>2</v>
      </c>
      <c r="F2664">
        <v>3</v>
      </c>
      <c r="G2664">
        <v>5</v>
      </c>
      <c r="H2664">
        <v>0</v>
      </c>
      <c r="I2664">
        <v>0</v>
      </c>
      <c r="J2664">
        <v>8</v>
      </c>
      <c r="K2664" t="s">
        <v>252</v>
      </c>
    </row>
    <row r="2665" spans="2:11" x14ac:dyDescent="0.25">
      <c r="B2665">
        <v>5567</v>
      </c>
      <c r="C2665">
        <v>221</v>
      </c>
      <c r="D2665">
        <v>96</v>
      </c>
      <c r="E2665">
        <v>3</v>
      </c>
      <c r="F2665">
        <v>11</v>
      </c>
      <c r="G2665">
        <v>4</v>
      </c>
      <c r="H2665">
        <v>0</v>
      </c>
      <c r="I2665">
        <v>0</v>
      </c>
      <c r="J2665">
        <v>15</v>
      </c>
      <c r="K2665" t="s">
        <v>252</v>
      </c>
    </row>
    <row r="2666" spans="2:11" x14ac:dyDescent="0.25">
      <c r="B2666">
        <v>5566</v>
      </c>
      <c r="C2666">
        <v>188</v>
      </c>
      <c r="D2666">
        <v>81</v>
      </c>
      <c r="E2666">
        <v>13</v>
      </c>
      <c r="F2666">
        <v>0</v>
      </c>
      <c r="G2666">
        <v>20</v>
      </c>
      <c r="H2666">
        <v>0</v>
      </c>
      <c r="I2666">
        <v>0</v>
      </c>
      <c r="J2666">
        <v>20</v>
      </c>
      <c r="K2666" t="s">
        <v>241</v>
      </c>
    </row>
    <row r="2667" spans="2:11" x14ac:dyDescent="0.25">
      <c r="B2667">
        <v>5568</v>
      </c>
      <c r="C2667">
        <v>222</v>
      </c>
      <c r="D2667">
        <v>96</v>
      </c>
      <c r="E2667">
        <v>2</v>
      </c>
      <c r="F2667">
        <v>12</v>
      </c>
      <c r="G2667">
        <v>5</v>
      </c>
      <c r="H2667">
        <v>8</v>
      </c>
      <c r="I2667">
        <v>0</v>
      </c>
      <c r="J2667">
        <v>25</v>
      </c>
      <c r="K2667" t="s">
        <v>252</v>
      </c>
    </row>
    <row r="2668" spans="2:11" x14ac:dyDescent="0.25">
      <c r="B2668">
        <v>5570</v>
      </c>
      <c r="C2668">
        <v>222</v>
      </c>
      <c r="D2668">
        <v>96</v>
      </c>
      <c r="E2668">
        <v>4</v>
      </c>
      <c r="F2668">
        <v>18</v>
      </c>
      <c r="G2668">
        <v>11</v>
      </c>
      <c r="H2668">
        <v>0</v>
      </c>
      <c r="I2668">
        <v>0</v>
      </c>
      <c r="J2668">
        <v>29</v>
      </c>
      <c r="K2668" t="s">
        <v>252</v>
      </c>
    </row>
    <row r="2669" spans="2:11" x14ac:dyDescent="0.25">
      <c r="B2669">
        <v>5569</v>
      </c>
      <c r="C2669">
        <v>188</v>
      </c>
      <c r="D2669">
        <v>81</v>
      </c>
      <c r="E2669">
        <v>14</v>
      </c>
      <c r="F2669">
        <v>0</v>
      </c>
      <c r="G2669">
        <v>14</v>
      </c>
      <c r="H2669">
        <v>0</v>
      </c>
      <c r="I2669">
        <v>0</v>
      </c>
      <c r="J2669">
        <v>14</v>
      </c>
      <c r="K2669" t="s">
        <v>241</v>
      </c>
    </row>
    <row r="2670" spans="2:11" x14ac:dyDescent="0.25">
      <c r="B2670">
        <v>5572</v>
      </c>
      <c r="C2670">
        <v>189</v>
      </c>
      <c r="D2670">
        <v>82</v>
      </c>
      <c r="E2670">
        <v>2</v>
      </c>
      <c r="F2670">
        <v>9</v>
      </c>
      <c r="G2670">
        <v>18</v>
      </c>
      <c r="H2670">
        <v>0</v>
      </c>
      <c r="I2670">
        <v>0</v>
      </c>
      <c r="J2670">
        <v>27</v>
      </c>
      <c r="K2670" t="s">
        <v>241</v>
      </c>
    </row>
    <row r="2671" spans="2:11" x14ac:dyDescent="0.25">
      <c r="B2671">
        <v>5571</v>
      </c>
      <c r="C2671">
        <v>222</v>
      </c>
      <c r="D2671">
        <v>96</v>
      </c>
      <c r="E2671">
        <v>5</v>
      </c>
      <c r="F2671">
        <v>17</v>
      </c>
      <c r="G2671">
        <v>4</v>
      </c>
      <c r="H2671">
        <v>0</v>
      </c>
      <c r="I2671">
        <v>0</v>
      </c>
      <c r="J2671">
        <v>21</v>
      </c>
      <c r="K2671" t="s">
        <v>252</v>
      </c>
    </row>
    <row r="2672" spans="2:11" x14ac:dyDescent="0.25">
      <c r="B2672">
        <v>5573</v>
      </c>
      <c r="C2672">
        <v>189</v>
      </c>
      <c r="D2672">
        <v>82</v>
      </c>
      <c r="E2672">
        <v>3</v>
      </c>
      <c r="F2672">
        <v>19</v>
      </c>
      <c r="G2672">
        <v>10</v>
      </c>
      <c r="H2672">
        <v>0</v>
      </c>
      <c r="I2672">
        <v>0</v>
      </c>
      <c r="J2672">
        <v>29</v>
      </c>
      <c r="K2672" t="s">
        <v>241</v>
      </c>
    </row>
    <row r="2673" spans="2:11" x14ac:dyDescent="0.25">
      <c r="B2673">
        <v>5574</v>
      </c>
      <c r="C2673">
        <v>222</v>
      </c>
      <c r="D2673">
        <v>96</v>
      </c>
      <c r="E2673">
        <v>6</v>
      </c>
      <c r="F2673">
        <v>15</v>
      </c>
      <c r="G2673">
        <v>6</v>
      </c>
      <c r="H2673">
        <v>0</v>
      </c>
      <c r="I2673">
        <v>0</v>
      </c>
      <c r="J2673">
        <v>21</v>
      </c>
      <c r="K2673" t="s">
        <v>252</v>
      </c>
    </row>
    <row r="2674" spans="2:11" x14ac:dyDescent="0.25">
      <c r="B2674">
        <v>5575</v>
      </c>
      <c r="C2674">
        <v>189</v>
      </c>
      <c r="D2674">
        <v>82</v>
      </c>
      <c r="E2674">
        <v>4</v>
      </c>
      <c r="F2674">
        <v>14</v>
      </c>
      <c r="G2674">
        <v>7</v>
      </c>
      <c r="H2674">
        <v>4</v>
      </c>
      <c r="I2674">
        <v>0</v>
      </c>
      <c r="J2674">
        <v>25</v>
      </c>
      <c r="K2674" t="s">
        <v>241</v>
      </c>
    </row>
    <row r="2675" spans="2:11" x14ac:dyDescent="0.25">
      <c r="B2675">
        <v>5576</v>
      </c>
      <c r="C2675">
        <v>222</v>
      </c>
      <c r="D2675">
        <v>96</v>
      </c>
      <c r="E2675">
        <v>14</v>
      </c>
      <c r="F2675">
        <v>0</v>
      </c>
      <c r="G2675">
        <v>16</v>
      </c>
      <c r="H2675">
        <v>0</v>
      </c>
      <c r="I2675">
        <v>0</v>
      </c>
      <c r="J2675">
        <v>16</v>
      </c>
      <c r="K2675" t="s">
        <v>252</v>
      </c>
    </row>
    <row r="2676" spans="2:11" x14ac:dyDescent="0.25">
      <c r="B2676">
        <v>5577</v>
      </c>
      <c r="C2676">
        <v>189</v>
      </c>
      <c r="D2676">
        <v>82</v>
      </c>
      <c r="E2676">
        <v>5</v>
      </c>
      <c r="F2676">
        <v>7</v>
      </c>
      <c r="G2676">
        <v>15</v>
      </c>
      <c r="H2676">
        <v>1</v>
      </c>
      <c r="I2676">
        <v>0</v>
      </c>
      <c r="J2676">
        <v>23</v>
      </c>
      <c r="K2676" t="s">
        <v>241</v>
      </c>
    </row>
    <row r="2677" spans="2:11" x14ac:dyDescent="0.25">
      <c r="B2677">
        <v>5579</v>
      </c>
      <c r="C2677">
        <v>189</v>
      </c>
      <c r="D2677">
        <v>82</v>
      </c>
      <c r="E2677">
        <v>6</v>
      </c>
      <c r="F2677">
        <v>10</v>
      </c>
      <c r="G2677">
        <v>18</v>
      </c>
      <c r="H2677">
        <v>2</v>
      </c>
      <c r="I2677">
        <v>0</v>
      </c>
      <c r="J2677">
        <v>30</v>
      </c>
      <c r="K2677" t="s">
        <v>241</v>
      </c>
    </row>
    <row r="2678" spans="2:11" x14ac:dyDescent="0.25">
      <c r="B2678">
        <v>2947</v>
      </c>
      <c r="C2678">
        <v>89</v>
      </c>
      <c r="D2678">
        <v>44</v>
      </c>
      <c r="E2678">
        <v>11</v>
      </c>
      <c r="F2678">
        <v>13</v>
      </c>
      <c r="G2678">
        <v>9</v>
      </c>
      <c r="H2678">
        <v>3</v>
      </c>
      <c r="I2678">
        <v>0</v>
      </c>
      <c r="J2678">
        <v>25</v>
      </c>
      <c r="K2678" t="s">
        <v>245</v>
      </c>
    </row>
    <row r="2679" spans="2:11" x14ac:dyDescent="0.25">
      <c r="B2679">
        <v>2948</v>
      </c>
      <c r="C2679">
        <v>107</v>
      </c>
      <c r="D2679">
        <v>51</v>
      </c>
      <c r="E2679">
        <v>11</v>
      </c>
      <c r="F2679">
        <v>15</v>
      </c>
      <c r="G2679">
        <v>10</v>
      </c>
      <c r="H2679">
        <v>2</v>
      </c>
      <c r="I2679">
        <v>0</v>
      </c>
      <c r="J2679">
        <v>27</v>
      </c>
      <c r="K2679" t="s">
        <v>242</v>
      </c>
    </row>
    <row r="2680" spans="2:11" x14ac:dyDescent="0.25">
      <c r="B2680">
        <v>2949</v>
      </c>
      <c r="C2680">
        <v>26</v>
      </c>
      <c r="D2680">
        <v>14</v>
      </c>
      <c r="E2680">
        <v>12</v>
      </c>
      <c r="F2680">
        <v>11</v>
      </c>
      <c r="G2680">
        <v>9</v>
      </c>
      <c r="H2680">
        <v>8</v>
      </c>
      <c r="I2680">
        <v>0</v>
      </c>
      <c r="J2680">
        <v>28</v>
      </c>
      <c r="K2680" t="s">
        <v>243</v>
      </c>
    </row>
    <row r="2681" spans="2:11" x14ac:dyDescent="0.25">
      <c r="B2681">
        <v>2952</v>
      </c>
      <c r="C2681">
        <v>23</v>
      </c>
      <c r="D2681">
        <v>11</v>
      </c>
      <c r="E2681">
        <v>1</v>
      </c>
      <c r="F2681">
        <v>15</v>
      </c>
      <c r="G2681">
        <v>0</v>
      </c>
      <c r="H2681">
        <v>9</v>
      </c>
      <c r="I2681">
        <v>0</v>
      </c>
      <c r="J2681">
        <v>24</v>
      </c>
      <c r="K2681" t="s">
        <v>248</v>
      </c>
    </row>
    <row r="2682" spans="2:11" x14ac:dyDescent="0.25">
      <c r="B2682">
        <v>2955</v>
      </c>
      <c r="C2682">
        <v>57</v>
      </c>
      <c r="D2682">
        <v>29</v>
      </c>
      <c r="E2682">
        <v>12</v>
      </c>
      <c r="F2682">
        <v>12</v>
      </c>
      <c r="G2682">
        <v>8</v>
      </c>
      <c r="H2682">
        <v>2</v>
      </c>
      <c r="I2682">
        <v>0</v>
      </c>
      <c r="J2682">
        <v>22</v>
      </c>
      <c r="K2682" t="s">
        <v>245</v>
      </c>
    </row>
    <row r="2683" spans="2:11" x14ac:dyDescent="0.25">
      <c r="B2683">
        <v>2957</v>
      </c>
      <c r="C2683">
        <v>298</v>
      </c>
      <c r="D2683">
        <v>137</v>
      </c>
      <c r="E2683">
        <v>12</v>
      </c>
      <c r="F2683">
        <v>13</v>
      </c>
      <c r="G2683">
        <v>11</v>
      </c>
      <c r="H2683">
        <v>0</v>
      </c>
      <c r="I2683">
        <v>0</v>
      </c>
      <c r="J2683">
        <v>24</v>
      </c>
      <c r="K2683" t="s">
        <v>248</v>
      </c>
    </row>
    <row r="2684" spans="2:11" x14ac:dyDescent="0.25">
      <c r="B2684">
        <v>2958</v>
      </c>
      <c r="C2684">
        <v>339</v>
      </c>
      <c r="D2684">
        <v>152</v>
      </c>
      <c r="E2684">
        <v>11</v>
      </c>
      <c r="F2684">
        <v>10</v>
      </c>
      <c r="G2684">
        <v>11</v>
      </c>
      <c r="H2684">
        <v>1</v>
      </c>
      <c r="I2684">
        <v>0</v>
      </c>
      <c r="J2684">
        <v>22</v>
      </c>
      <c r="K2684" t="s">
        <v>242</v>
      </c>
    </row>
    <row r="2685" spans="2:11" x14ac:dyDescent="0.25">
      <c r="B2685">
        <v>2959</v>
      </c>
      <c r="C2685">
        <v>56</v>
      </c>
      <c r="D2685">
        <v>29</v>
      </c>
      <c r="E2685">
        <v>12</v>
      </c>
      <c r="F2685">
        <v>1</v>
      </c>
      <c r="G2685">
        <v>20</v>
      </c>
      <c r="H2685">
        <v>0</v>
      </c>
      <c r="I2685">
        <v>0</v>
      </c>
      <c r="J2685">
        <v>21</v>
      </c>
      <c r="K2685" t="s">
        <v>245</v>
      </c>
    </row>
    <row r="2686" spans="2:11" x14ac:dyDescent="0.25">
      <c r="B2686">
        <v>2960</v>
      </c>
      <c r="C2686">
        <v>73</v>
      </c>
      <c r="D2686">
        <v>35</v>
      </c>
      <c r="E2686">
        <v>11</v>
      </c>
      <c r="F2686">
        <v>17</v>
      </c>
      <c r="G2686">
        <v>12</v>
      </c>
      <c r="H2686">
        <v>1</v>
      </c>
      <c r="I2686">
        <v>0</v>
      </c>
      <c r="J2686">
        <v>30</v>
      </c>
      <c r="K2686" t="s">
        <v>242</v>
      </c>
    </row>
    <row r="2687" spans="2:11" x14ac:dyDescent="0.25">
      <c r="B2687">
        <v>2962</v>
      </c>
      <c r="C2687">
        <v>26</v>
      </c>
      <c r="D2687">
        <v>14</v>
      </c>
      <c r="E2687">
        <v>11</v>
      </c>
      <c r="F2687">
        <v>12</v>
      </c>
      <c r="G2687">
        <v>6</v>
      </c>
      <c r="H2687">
        <v>5</v>
      </c>
      <c r="I2687">
        <v>0</v>
      </c>
      <c r="J2687">
        <v>23</v>
      </c>
      <c r="K2687" t="s">
        <v>242</v>
      </c>
    </row>
    <row r="2688" spans="2:11" x14ac:dyDescent="0.25">
      <c r="B2688">
        <v>2963</v>
      </c>
      <c r="C2688">
        <v>55</v>
      </c>
      <c r="D2688">
        <v>29</v>
      </c>
      <c r="E2688">
        <v>12</v>
      </c>
      <c r="F2688">
        <v>1</v>
      </c>
      <c r="G2688">
        <v>18</v>
      </c>
      <c r="H2688">
        <v>0</v>
      </c>
      <c r="I2688">
        <v>0</v>
      </c>
      <c r="J2688">
        <v>19</v>
      </c>
      <c r="K2688" t="s">
        <v>245</v>
      </c>
    </row>
    <row r="2689" spans="2:11" x14ac:dyDescent="0.25">
      <c r="B2689">
        <v>2966</v>
      </c>
      <c r="C2689">
        <v>53</v>
      </c>
      <c r="D2689">
        <v>27</v>
      </c>
      <c r="E2689">
        <v>12</v>
      </c>
      <c r="F2689">
        <v>9</v>
      </c>
      <c r="G2689">
        <v>7</v>
      </c>
      <c r="H2689">
        <v>0</v>
      </c>
      <c r="I2689">
        <v>0</v>
      </c>
      <c r="J2689">
        <v>16</v>
      </c>
      <c r="K2689" t="s">
        <v>245</v>
      </c>
    </row>
    <row r="2690" spans="2:11" x14ac:dyDescent="0.25">
      <c r="B2690">
        <v>2968</v>
      </c>
      <c r="C2690">
        <v>47</v>
      </c>
      <c r="D2690">
        <v>23</v>
      </c>
      <c r="E2690">
        <v>12</v>
      </c>
      <c r="F2690">
        <v>5</v>
      </c>
      <c r="G2690">
        <v>4</v>
      </c>
      <c r="H2690">
        <v>0</v>
      </c>
      <c r="I2690">
        <v>0</v>
      </c>
      <c r="J2690">
        <v>9</v>
      </c>
      <c r="K2690" t="s">
        <v>245</v>
      </c>
    </row>
    <row r="2691" spans="2:11" x14ac:dyDescent="0.25">
      <c r="B2691">
        <v>2969</v>
      </c>
      <c r="C2691">
        <v>9</v>
      </c>
      <c r="D2691">
        <v>3</v>
      </c>
      <c r="E2691">
        <v>10</v>
      </c>
      <c r="F2691">
        <v>10</v>
      </c>
      <c r="G2691">
        <v>20</v>
      </c>
      <c r="H2691">
        <v>0</v>
      </c>
      <c r="I2691">
        <v>0</v>
      </c>
      <c r="J2691">
        <v>30</v>
      </c>
      <c r="K2691" t="s">
        <v>242</v>
      </c>
    </row>
    <row r="2692" spans="2:11" x14ac:dyDescent="0.25">
      <c r="B2692">
        <v>2970</v>
      </c>
      <c r="C2692">
        <v>73</v>
      </c>
      <c r="D2692">
        <v>35</v>
      </c>
      <c r="E2692">
        <v>10</v>
      </c>
      <c r="F2692">
        <v>18</v>
      </c>
      <c r="G2692">
        <v>10</v>
      </c>
      <c r="H2692">
        <v>2</v>
      </c>
      <c r="I2692">
        <v>0</v>
      </c>
      <c r="J2692">
        <v>30</v>
      </c>
      <c r="K2692" t="s">
        <v>242</v>
      </c>
    </row>
    <row r="2693" spans="2:11" x14ac:dyDescent="0.25">
      <c r="B2693">
        <v>2972</v>
      </c>
      <c r="C2693">
        <v>26</v>
      </c>
      <c r="D2693">
        <v>14</v>
      </c>
      <c r="E2693">
        <v>10</v>
      </c>
      <c r="F2693">
        <v>7</v>
      </c>
      <c r="G2693">
        <v>4</v>
      </c>
      <c r="H2693">
        <v>5</v>
      </c>
      <c r="I2693">
        <v>0</v>
      </c>
      <c r="J2693">
        <v>16</v>
      </c>
      <c r="K2693" t="s">
        <v>242</v>
      </c>
    </row>
    <row r="2694" spans="2:11" x14ac:dyDescent="0.25">
      <c r="B2694">
        <v>2979</v>
      </c>
      <c r="C2694">
        <v>310</v>
      </c>
      <c r="D2694">
        <v>144</v>
      </c>
      <c r="E2694">
        <v>12</v>
      </c>
      <c r="F2694">
        <v>8</v>
      </c>
      <c r="G2694">
        <v>15</v>
      </c>
      <c r="H2694">
        <v>0</v>
      </c>
      <c r="I2694">
        <v>0</v>
      </c>
      <c r="J2694">
        <v>23</v>
      </c>
      <c r="K2694" t="s">
        <v>245</v>
      </c>
    </row>
    <row r="2695" spans="2:11" x14ac:dyDescent="0.25">
      <c r="B2695">
        <v>2980</v>
      </c>
      <c r="C2695">
        <v>57</v>
      </c>
      <c r="D2695">
        <v>29</v>
      </c>
      <c r="E2695">
        <v>11</v>
      </c>
      <c r="F2695">
        <v>11</v>
      </c>
      <c r="G2695">
        <v>13</v>
      </c>
      <c r="H2695">
        <v>0</v>
      </c>
      <c r="I2695">
        <v>0</v>
      </c>
      <c r="J2695">
        <v>24</v>
      </c>
      <c r="K2695" t="s">
        <v>243</v>
      </c>
    </row>
    <row r="2696" spans="2:11" x14ac:dyDescent="0.25">
      <c r="B2696">
        <v>2981</v>
      </c>
      <c r="C2696">
        <v>56</v>
      </c>
      <c r="D2696">
        <v>29</v>
      </c>
      <c r="E2696">
        <v>11</v>
      </c>
      <c r="F2696">
        <v>15</v>
      </c>
      <c r="G2696">
        <v>10</v>
      </c>
      <c r="H2696">
        <v>0</v>
      </c>
      <c r="I2696">
        <v>0</v>
      </c>
      <c r="J2696">
        <v>25</v>
      </c>
      <c r="K2696" t="s">
        <v>243</v>
      </c>
    </row>
    <row r="2697" spans="2:11" x14ac:dyDescent="0.25">
      <c r="B2697">
        <v>2982</v>
      </c>
      <c r="C2697">
        <v>55</v>
      </c>
      <c r="D2697">
        <v>29</v>
      </c>
      <c r="E2697">
        <v>11</v>
      </c>
      <c r="F2697">
        <v>3</v>
      </c>
      <c r="G2697">
        <v>15</v>
      </c>
      <c r="H2697">
        <v>0</v>
      </c>
      <c r="I2697">
        <v>0</v>
      </c>
      <c r="J2697">
        <v>18</v>
      </c>
      <c r="K2697" t="s">
        <v>243</v>
      </c>
    </row>
    <row r="2698" spans="2:11" x14ac:dyDescent="0.25">
      <c r="B2698">
        <v>2983</v>
      </c>
      <c r="C2698">
        <v>51</v>
      </c>
      <c r="D2698">
        <v>26</v>
      </c>
      <c r="E2698">
        <v>11</v>
      </c>
      <c r="F2698">
        <v>12</v>
      </c>
      <c r="G2698">
        <v>8</v>
      </c>
      <c r="H2698">
        <v>0</v>
      </c>
      <c r="I2698">
        <v>0</v>
      </c>
      <c r="J2698">
        <v>20</v>
      </c>
      <c r="K2698" t="s">
        <v>243</v>
      </c>
    </row>
    <row r="2699" spans="2:11" x14ac:dyDescent="0.25">
      <c r="B2699">
        <v>2984</v>
      </c>
      <c r="C2699">
        <v>52</v>
      </c>
      <c r="D2699">
        <v>26</v>
      </c>
      <c r="E2699">
        <v>11</v>
      </c>
      <c r="F2699">
        <v>8</v>
      </c>
      <c r="G2699">
        <v>7</v>
      </c>
      <c r="H2699">
        <v>0</v>
      </c>
      <c r="I2699">
        <v>0</v>
      </c>
      <c r="J2699">
        <v>15</v>
      </c>
      <c r="K2699" t="s">
        <v>243</v>
      </c>
    </row>
    <row r="2700" spans="2:11" x14ac:dyDescent="0.25">
      <c r="B2700">
        <v>2985</v>
      </c>
      <c r="C2700">
        <v>53</v>
      </c>
      <c r="D2700">
        <v>27</v>
      </c>
      <c r="E2700">
        <v>11</v>
      </c>
      <c r="F2700">
        <v>8</v>
      </c>
      <c r="G2700">
        <v>6</v>
      </c>
      <c r="H2700">
        <v>0</v>
      </c>
      <c r="I2700">
        <v>0</v>
      </c>
      <c r="J2700">
        <v>14</v>
      </c>
      <c r="K2700" t="s">
        <v>243</v>
      </c>
    </row>
    <row r="2701" spans="2:11" x14ac:dyDescent="0.25">
      <c r="B2701">
        <v>2986</v>
      </c>
      <c r="C2701">
        <v>48</v>
      </c>
      <c r="D2701">
        <v>24</v>
      </c>
      <c r="E2701">
        <v>11</v>
      </c>
      <c r="F2701">
        <v>6</v>
      </c>
      <c r="G2701">
        <v>3</v>
      </c>
      <c r="H2701">
        <v>0</v>
      </c>
      <c r="I2701">
        <v>0</v>
      </c>
      <c r="J2701">
        <v>9</v>
      </c>
      <c r="K2701" t="s">
        <v>243</v>
      </c>
    </row>
    <row r="2702" spans="2:11" x14ac:dyDescent="0.25">
      <c r="B2702">
        <v>2987</v>
      </c>
      <c r="C2702">
        <v>46</v>
      </c>
      <c r="D2702">
        <v>23</v>
      </c>
      <c r="E2702">
        <v>11</v>
      </c>
      <c r="F2702">
        <v>15</v>
      </c>
      <c r="G2702">
        <v>6</v>
      </c>
      <c r="H2702">
        <v>0</v>
      </c>
      <c r="I2702">
        <v>0</v>
      </c>
      <c r="J2702">
        <v>21</v>
      </c>
      <c r="K2702" t="s">
        <v>243</v>
      </c>
    </row>
    <row r="2703" spans="2:11" x14ac:dyDescent="0.25">
      <c r="B2703">
        <v>2988</v>
      </c>
      <c r="C2703">
        <v>47</v>
      </c>
      <c r="D2703">
        <v>23</v>
      </c>
      <c r="E2703">
        <v>11</v>
      </c>
      <c r="F2703">
        <v>13</v>
      </c>
      <c r="G2703">
        <v>10</v>
      </c>
      <c r="H2703">
        <v>0</v>
      </c>
      <c r="I2703">
        <v>0</v>
      </c>
      <c r="J2703">
        <v>23</v>
      </c>
      <c r="K2703" t="s">
        <v>243</v>
      </c>
    </row>
    <row r="2704" spans="2:11" x14ac:dyDescent="0.25">
      <c r="B2704">
        <v>2990</v>
      </c>
      <c r="C2704">
        <v>299</v>
      </c>
      <c r="D2704">
        <v>137</v>
      </c>
      <c r="E2704">
        <v>11</v>
      </c>
      <c r="F2704">
        <v>11</v>
      </c>
      <c r="G2704">
        <v>19</v>
      </c>
      <c r="H2704">
        <v>0</v>
      </c>
      <c r="I2704">
        <v>0</v>
      </c>
      <c r="J2704">
        <v>30</v>
      </c>
      <c r="K2704" t="s">
        <v>245</v>
      </c>
    </row>
    <row r="2705" spans="2:11" x14ac:dyDescent="0.25">
      <c r="B2705">
        <v>2992</v>
      </c>
      <c r="C2705">
        <v>166</v>
      </c>
      <c r="D2705">
        <v>71</v>
      </c>
      <c r="E2705">
        <v>12</v>
      </c>
      <c r="F2705">
        <v>3</v>
      </c>
      <c r="G2705">
        <v>8</v>
      </c>
      <c r="H2705">
        <v>0</v>
      </c>
      <c r="I2705">
        <v>0</v>
      </c>
      <c r="J2705">
        <v>11</v>
      </c>
      <c r="K2705" t="s">
        <v>243</v>
      </c>
    </row>
    <row r="2706" spans="2:11" x14ac:dyDescent="0.25">
      <c r="B2706">
        <v>2993</v>
      </c>
      <c r="C2706">
        <v>136</v>
      </c>
      <c r="D2706">
        <v>60</v>
      </c>
      <c r="E2706">
        <v>12</v>
      </c>
      <c r="F2706">
        <v>5</v>
      </c>
      <c r="G2706">
        <v>7</v>
      </c>
      <c r="H2706">
        <v>4</v>
      </c>
      <c r="I2706">
        <v>0</v>
      </c>
      <c r="J2706">
        <v>16</v>
      </c>
      <c r="K2706" t="s">
        <v>243</v>
      </c>
    </row>
    <row r="2707" spans="2:11" x14ac:dyDescent="0.25">
      <c r="B2707">
        <v>2995</v>
      </c>
      <c r="C2707">
        <v>75</v>
      </c>
      <c r="D2707">
        <v>37</v>
      </c>
      <c r="E2707">
        <v>10</v>
      </c>
      <c r="F2707">
        <v>1</v>
      </c>
      <c r="G2707">
        <v>2</v>
      </c>
      <c r="H2707">
        <v>4</v>
      </c>
      <c r="I2707">
        <v>0</v>
      </c>
      <c r="J2707">
        <v>7</v>
      </c>
      <c r="K2707" t="s">
        <v>242</v>
      </c>
    </row>
    <row r="2708" spans="2:11" x14ac:dyDescent="0.25">
      <c r="B2708">
        <v>2996</v>
      </c>
      <c r="C2708">
        <v>11</v>
      </c>
      <c r="D2708">
        <v>3</v>
      </c>
      <c r="E2708">
        <v>10</v>
      </c>
      <c r="F2708">
        <v>10</v>
      </c>
      <c r="G2708">
        <v>6</v>
      </c>
      <c r="H2708">
        <v>0</v>
      </c>
      <c r="I2708">
        <v>0</v>
      </c>
      <c r="J2708">
        <v>16</v>
      </c>
      <c r="K2708" t="s">
        <v>242</v>
      </c>
    </row>
    <row r="2709" spans="2:11" x14ac:dyDescent="0.25">
      <c r="B2709">
        <v>2997</v>
      </c>
      <c r="C2709">
        <v>157</v>
      </c>
      <c r="D2709">
        <v>69</v>
      </c>
      <c r="E2709">
        <v>12</v>
      </c>
      <c r="F2709">
        <v>9</v>
      </c>
      <c r="G2709">
        <v>12</v>
      </c>
      <c r="H2709">
        <v>0</v>
      </c>
      <c r="I2709">
        <v>0</v>
      </c>
      <c r="J2709">
        <v>21</v>
      </c>
      <c r="K2709" t="s">
        <v>243</v>
      </c>
    </row>
    <row r="2710" spans="2:11" x14ac:dyDescent="0.25">
      <c r="B2710">
        <v>2998</v>
      </c>
      <c r="C2710">
        <v>114</v>
      </c>
      <c r="D2710">
        <v>52</v>
      </c>
      <c r="E2710">
        <v>13</v>
      </c>
      <c r="F2710">
        <v>9</v>
      </c>
      <c r="G2710">
        <v>13</v>
      </c>
      <c r="H2710">
        <v>8</v>
      </c>
      <c r="I2710">
        <v>0</v>
      </c>
      <c r="J2710">
        <v>30</v>
      </c>
      <c r="K2710" t="s">
        <v>242</v>
      </c>
    </row>
    <row r="2711" spans="2:11" x14ac:dyDescent="0.25">
      <c r="B2711">
        <v>2999</v>
      </c>
      <c r="C2711">
        <v>113</v>
      </c>
      <c r="D2711">
        <v>52</v>
      </c>
      <c r="E2711">
        <v>12</v>
      </c>
      <c r="F2711">
        <v>17</v>
      </c>
      <c r="G2711">
        <v>12</v>
      </c>
      <c r="H2711">
        <v>0</v>
      </c>
      <c r="I2711">
        <v>0</v>
      </c>
      <c r="J2711">
        <v>29</v>
      </c>
      <c r="K2711" t="s">
        <v>243</v>
      </c>
    </row>
    <row r="2712" spans="2:11" x14ac:dyDescent="0.25">
      <c r="B2712">
        <v>3001</v>
      </c>
      <c r="C2712">
        <v>114</v>
      </c>
      <c r="D2712">
        <v>52</v>
      </c>
      <c r="E2712">
        <v>12</v>
      </c>
      <c r="F2712">
        <v>19</v>
      </c>
      <c r="G2712">
        <v>5</v>
      </c>
      <c r="H2712">
        <v>6</v>
      </c>
      <c r="I2712">
        <v>0</v>
      </c>
      <c r="J2712">
        <v>30</v>
      </c>
      <c r="K2712" t="s">
        <v>243</v>
      </c>
    </row>
    <row r="2713" spans="2:11" x14ac:dyDescent="0.25">
      <c r="B2713">
        <v>3002</v>
      </c>
      <c r="C2713">
        <v>113</v>
      </c>
      <c r="D2713">
        <v>52</v>
      </c>
      <c r="E2713">
        <v>11</v>
      </c>
      <c r="F2713">
        <v>14</v>
      </c>
      <c r="G2713">
        <v>16</v>
      </c>
      <c r="H2713">
        <v>0</v>
      </c>
      <c r="I2713">
        <v>0</v>
      </c>
      <c r="J2713">
        <v>30</v>
      </c>
      <c r="K2713" t="s">
        <v>245</v>
      </c>
    </row>
    <row r="2714" spans="2:11" x14ac:dyDescent="0.25">
      <c r="B2714">
        <v>3003</v>
      </c>
      <c r="C2714">
        <v>109</v>
      </c>
      <c r="D2714">
        <v>51</v>
      </c>
      <c r="E2714">
        <v>12</v>
      </c>
      <c r="F2714">
        <v>6</v>
      </c>
      <c r="G2714">
        <v>0</v>
      </c>
      <c r="H2714">
        <v>1</v>
      </c>
      <c r="I2714">
        <v>0</v>
      </c>
      <c r="J2714">
        <v>7</v>
      </c>
      <c r="K2714" t="s">
        <v>243</v>
      </c>
    </row>
    <row r="2715" spans="2:11" x14ac:dyDescent="0.25">
      <c r="B2715">
        <v>3004</v>
      </c>
      <c r="C2715">
        <v>114</v>
      </c>
      <c r="D2715">
        <v>52</v>
      </c>
      <c r="E2715">
        <v>11</v>
      </c>
      <c r="F2715">
        <v>16</v>
      </c>
      <c r="G2715">
        <v>9</v>
      </c>
      <c r="H2715">
        <v>5</v>
      </c>
      <c r="I2715">
        <v>0</v>
      </c>
      <c r="J2715">
        <v>30</v>
      </c>
      <c r="K2715" t="s">
        <v>245</v>
      </c>
    </row>
    <row r="2716" spans="2:11" x14ac:dyDescent="0.25">
      <c r="B2716">
        <v>3005</v>
      </c>
      <c r="C2716">
        <v>9</v>
      </c>
      <c r="D2716">
        <v>3</v>
      </c>
      <c r="E2716">
        <v>12</v>
      </c>
      <c r="F2716">
        <v>21</v>
      </c>
      <c r="G2716">
        <v>9</v>
      </c>
      <c r="H2716">
        <v>0</v>
      </c>
      <c r="I2716">
        <v>0</v>
      </c>
      <c r="J2716">
        <v>30</v>
      </c>
      <c r="K2716" t="s">
        <v>243</v>
      </c>
    </row>
    <row r="2717" spans="2:11" x14ac:dyDescent="0.25">
      <c r="B2717">
        <v>3007</v>
      </c>
      <c r="C2717">
        <v>11</v>
      </c>
      <c r="D2717">
        <v>3</v>
      </c>
      <c r="E2717">
        <v>12</v>
      </c>
      <c r="F2717">
        <v>10</v>
      </c>
      <c r="G2717">
        <v>5</v>
      </c>
      <c r="H2717">
        <v>0</v>
      </c>
      <c r="I2717">
        <v>0</v>
      </c>
      <c r="J2717">
        <v>15</v>
      </c>
      <c r="K2717" t="s">
        <v>243</v>
      </c>
    </row>
    <row r="2718" spans="2:11" x14ac:dyDescent="0.25">
      <c r="B2718">
        <v>3008</v>
      </c>
      <c r="C2718">
        <v>9</v>
      </c>
      <c r="D2718">
        <v>3</v>
      </c>
      <c r="E2718">
        <v>11</v>
      </c>
      <c r="F2718">
        <v>23</v>
      </c>
      <c r="G2718">
        <v>7</v>
      </c>
      <c r="H2718">
        <v>0</v>
      </c>
      <c r="I2718">
        <v>0</v>
      </c>
      <c r="J2718">
        <v>30</v>
      </c>
      <c r="K2718" t="s">
        <v>245</v>
      </c>
    </row>
    <row r="2719" spans="2:11" x14ac:dyDescent="0.25">
      <c r="B2719">
        <v>3010</v>
      </c>
      <c r="C2719">
        <v>305</v>
      </c>
      <c r="D2719">
        <v>141</v>
      </c>
      <c r="E2719">
        <v>11</v>
      </c>
      <c r="F2719">
        <v>9</v>
      </c>
      <c r="G2719">
        <v>8</v>
      </c>
      <c r="H2719">
        <v>1</v>
      </c>
      <c r="I2719">
        <v>0</v>
      </c>
      <c r="J2719">
        <v>18</v>
      </c>
      <c r="K2719" t="s">
        <v>242</v>
      </c>
    </row>
    <row r="2720" spans="2:11" x14ac:dyDescent="0.25">
      <c r="B2720">
        <v>3011</v>
      </c>
      <c r="C2720">
        <v>11</v>
      </c>
      <c r="D2720">
        <v>3</v>
      </c>
      <c r="E2720">
        <v>11</v>
      </c>
      <c r="F2720">
        <v>16</v>
      </c>
      <c r="G2720">
        <v>1</v>
      </c>
      <c r="H2720">
        <v>1</v>
      </c>
      <c r="I2720">
        <v>0</v>
      </c>
      <c r="J2720">
        <v>18</v>
      </c>
      <c r="K2720" t="s">
        <v>245</v>
      </c>
    </row>
    <row r="2721" spans="2:11" x14ac:dyDescent="0.25">
      <c r="B2721">
        <v>3012</v>
      </c>
      <c r="C2721">
        <v>20</v>
      </c>
      <c r="D2721">
        <v>10</v>
      </c>
      <c r="E2721">
        <v>12</v>
      </c>
      <c r="F2721">
        <v>8</v>
      </c>
      <c r="G2721">
        <v>6</v>
      </c>
      <c r="H2721">
        <v>0</v>
      </c>
      <c r="I2721">
        <v>0</v>
      </c>
      <c r="J2721">
        <v>14</v>
      </c>
      <c r="K2721" t="s">
        <v>243</v>
      </c>
    </row>
    <row r="2722" spans="2:11" x14ac:dyDescent="0.25">
      <c r="B2722">
        <v>3014</v>
      </c>
      <c r="C2722">
        <v>19</v>
      </c>
      <c r="D2722">
        <v>9</v>
      </c>
      <c r="E2722">
        <v>11</v>
      </c>
      <c r="F2722">
        <v>24</v>
      </c>
      <c r="G2722">
        <v>6</v>
      </c>
      <c r="H2722">
        <v>0</v>
      </c>
      <c r="I2722">
        <v>0</v>
      </c>
      <c r="J2722">
        <v>30</v>
      </c>
      <c r="K2722" t="s">
        <v>245</v>
      </c>
    </row>
    <row r="2723" spans="2:11" x14ac:dyDescent="0.25">
      <c r="B2723">
        <v>3015</v>
      </c>
      <c r="C2723">
        <v>303</v>
      </c>
      <c r="D2723">
        <v>140</v>
      </c>
      <c r="E2723">
        <v>11</v>
      </c>
      <c r="F2723">
        <v>4</v>
      </c>
      <c r="G2723">
        <v>2</v>
      </c>
      <c r="H2723">
        <v>0</v>
      </c>
      <c r="I2723">
        <v>0</v>
      </c>
      <c r="J2723">
        <v>6</v>
      </c>
      <c r="K2723" t="s">
        <v>242</v>
      </c>
    </row>
    <row r="2724" spans="2:11" x14ac:dyDescent="0.25">
      <c r="B2724">
        <v>3018</v>
      </c>
      <c r="C2724">
        <v>139</v>
      </c>
      <c r="D2724">
        <v>61</v>
      </c>
      <c r="E2724">
        <v>13</v>
      </c>
      <c r="F2724">
        <v>2</v>
      </c>
      <c r="G2724">
        <v>4</v>
      </c>
      <c r="H2724">
        <v>1</v>
      </c>
      <c r="I2724">
        <v>0</v>
      </c>
      <c r="J2724">
        <v>7</v>
      </c>
      <c r="K2724" t="s">
        <v>245</v>
      </c>
    </row>
    <row r="2725" spans="2:11" x14ac:dyDescent="0.25">
      <c r="B2725">
        <v>3020</v>
      </c>
      <c r="C2725">
        <v>116</v>
      </c>
      <c r="D2725">
        <v>54</v>
      </c>
      <c r="E2725">
        <v>11</v>
      </c>
      <c r="F2725">
        <v>9</v>
      </c>
      <c r="G2725">
        <v>1</v>
      </c>
      <c r="H2725">
        <v>6</v>
      </c>
      <c r="I2725">
        <v>0</v>
      </c>
      <c r="J2725">
        <v>16</v>
      </c>
      <c r="K2725" t="s">
        <v>245</v>
      </c>
    </row>
    <row r="2726" spans="2:11" x14ac:dyDescent="0.25">
      <c r="B2726">
        <v>3021</v>
      </c>
      <c r="C2726">
        <v>117</v>
      </c>
      <c r="D2726">
        <v>54</v>
      </c>
      <c r="E2726">
        <v>11</v>
      </c>
      <c r="F2726">
        <v>4</v>
      </c>
      <c r="G2726">
        <v>8</v>
      </c>
      <c r="H2726">
        <v>1</v>
      </c>
      <c r="I2726">
        <v>0</v>
      </c>
      <c r="J2726">
        <v>13</v>
      </c>
      <c r="K2726" t="s">
        <v>243</v>
      </c>
    </row>
    <row r="2727" spans="2:11" x14ac:dyDescent="0.25">
      <c r="B2727">
        <v>3022</v>
      </c>
      <c r="C2727">
        <v>117</v>
      </c>
      <c r="D2727">
        <v>54</v>
      </c>
      <c r="E2727">
        <v>12</v>
      </c>
      <c r="F2727">
        <v>2</v>
      </c>
      <c r="G2727">
        <v>8</v>
      </c>
      <c r="H2727">
        <v>1</v>
      </c>
      <c r="I2727">
        <v>0</v>
      </c>
      <c r="J2727">
        <v>11</v>
      </c>
      <c r="K2727" t="s">
        <v>245</v>
      </c>
    </row>
    <row r="2728" spans="2:11" x14ac:dyDescent="0.25">
      <c r="B2728">
        <v>3023</v>
      </c>
      <c r="C2728">
        <v>307</v>
      </c>
      <c r="D2728">
        <v>142</v>
      </c>
      <c r="E2728">
        <v>11</v>
      </c>
      <c r="F2728">
        <v>9</v>
      </c>
      <c r="G2728">
        <v>8</v>
      </c>
      <c r="H2728">
        <v>0</v>
      </c>
      <c r="I2728">
        <v>0</v>
      </c>
      <c r="J2728">
        <v>17</v>
      </c>
      <c r="K2728" t="s">
        <v>243</v>
      </c>
    </row>
    <row r="2729" spans="2:11" x14ac:dyDescent="0.25">
      <c r="B2729">
        <v>3024</v>
      </c>
      <c r="C2729">
        <v>142</v>
      </c>
      <c r="D2729">
        <v>62</v>
      </c>
      <c r="E2729">
        <v>12</v>
      </c>
      <c r="F2729">
        <v>18</v>
      </c>
      <c r="G2729">
        <v>2</v>
      </c>
      <c r="H2729">
        <v>2</v>
      </c>
      <c r="I2729">
        <v>0</v>
      </c>
      <c r="J2729">
        <v>22</v>
      </c>
      <c r="K2729" t="s">
        <v>245</v>
      </c>
    </row>
    <row r="2730" spans="2:11" x14ac:dyDescent="0.25">
      <c r="B2730">
        <v>5565</v>
      </c>
      <c r="C2730">
        <v>188</v>
      </c>
      <c r="D2730">
        <v>81</v>
      </c>
      <c r="E2730">
        <v>12</v>
      </c>
      <c r="F2730">
        <v>0</v>
      </c>
      <c r="G2730">
        <v>21</v>
      </c>
      <c r="H2730">
        <v>0</v>
      </c>
      <c r="I2730">
        <v>0</v>
      </c>
      <c r="J2730">
        <v>21</v>
      </c>
      <c r="K2730" t="s">
        <v>241</v>
      </c>
    </row>
    <row r="2731" spans="2:11" x14ac:dyDescent="0.25">
      <c r="B2731">
        <v>5578</v>
      </c>
      <c r="C2731">
        <v>222</v>
      </c>
      <c r="D2731">
        <v>96</v>
      </c>
      <c r="E2731">
        <v>8</v>
      </c>
      <c r="F2731">
        <v>19</v>
      </c>
      <c r="G2731">
        <v>11</v>
      </c>
      <c r="H2731">
        <v>0</v>
      </c>
      <c r="I2731">
        <v>0</v>
      </c>
      <c r="J2731">
        <v>30</v>
      </c>
      <c r="K2731" t="s">
        <v>252</v>
      </c>
    </row>
    <row r="2732" spans="2:11" x14ac:dyDescent="0.25">
      <c r="B2732">
        <v>5580</v>
      </c>
      <c r="C2732">
        <v>189</v>
      </c>
      <c r="D2732">
        <v>82</v>
      </c>
      <c r="E2732">
        <v>7</v>
      </c>
      <c r="F2732">
        <v>5</v>
      </c>
      <c r="G2732">
        <v>20</v>
      </c>
      <c r="H2732">
        <v>0</v>
      </c>
      <c r="I2732">
        <v>0</v>
      </c>
      <c r="J2732">
        <v>25</v>
      </c>
      <c r="K2732" t="s">
        <v>241</v>
      </c>
    </row>
    <row r="2733" spans="2:11" x14ac:dyDescent="0.25">
      <c r="B2733">
        <v>5581</v>
      </c>
      <c r="C2733">
        <v>222</v>
      </c>
      <c r="D2733">
        <v>96</v>
      </c>
      <c r="E2733">
        <v>9</v>
      </c>
      <c r="F2733">
        <v>17</v>
      </c>
      <c r="G2733">
        <v>13</v>
      </c>
      <c r="H2733">
        <v>0</v>
      </c>
      <c r="I2733">
        <v>0</v>
      </c>
      <c r="J2733">
        <v>30</v>
      </c>
      <c r="K2733" t="s">
        <v>252</v>
      </c>
    </row>
    <row r="2734" spans="2:11" x14ac:dyDescent="0.25">
      <c r="B2734">
        <v>5582</v>
      </c>
      <c r="C2734">
        <v>222</v>
      </c>
      <c r="D2734">
        <v>96</v>
      </c>
      <c r="E2734">
        <v>10</v>
      </c>
      <c r="F2734">
        <v>22</v>
      </c>
      <c r="G2734">
        <v>7</v>
      </c>
      <c r="H2734">
        <v>0</v>
      </c>
      <c r="I2734">
        <v>0</v>
      </c>
      <c r="J2734">
        <v>29</v>
      </c>
      <c r="K2734" t="s">
        <v>252</v>
      </c>
    </row>
    <row r="2735" spans="2:11" x14ac:dyDescent="0.25">
      <c r="B2735">
        <v>5583</v>
      </c>
      <c r="C2735">
        <v>189</v>
      </c>
      <c r="D2735">
        <v>82</v>
      </c>
      <c r="E2735">
        <v>8</v>
      </c>
      <c r="F2735">
        <v>7</v>
      </c>
      <c r="G2735">
        <v>12</v>
      </c>
      <c r="H2735">
        <v>0</v>
      </c>
      <c r="I2735">
        <v>0</v>
      </c>
      <c r="J2735">
        <v>19</v>
      </c>
      <c r="K2735" t="s">
        <v>241</v>
      </c>
    </row>
    <row r="2736" spans="2:11" x14ac:dyDescent="0.25">
      <c r="B2736">
        <v>5584</v>
      </c>
      <c r="C2736">
        <v>222</v>
      </c>
      <c r="D2736">
        <v>96</v>
      </c>
      <c r="E2736">
        <v>11</v>
      </c>
      <c r="F2736">
        <v>20</v>
      </c>
      <c r="G2736">
        <v>10</v>
      </c>
      <c r="H2736">
        <v>0</v>
      </c>
      <c r="I2736">
        <v>0</v>
      </c>
      <c r="J2736">
        <v>30</v>
      </c>
      <c r="K2736" t="s">
        <v>252</v>
      </c>
    </row>
    <row r="2737" spans="2:11" x14ac:dyDescent="0.25">
      <c r="B2737">
        <v>5585</v>
      </c>
      <c r="C2737">
        <v>189</v>
      </c>
      <c r="D2737">
        <v>82</v>
      </c>
      <c r="E2737">
        <v>9</v>
      </c>
      <c r="F2737">
        <v>4</v>
      </c>
      <c r="G2737">
        <v>15</v>
      </c>
      <c r="H2737">
        <v>2</v>
      </c>
      <c r="I2737">
        <v>0</v>
      </c>
      <c r="J2737">
        <v>21</v>
      </c>
      <c r="K2737" t="s">
        <v>241</v>
      </c>
    </row>
    <row r="2738" spans="2:11" x14ac:dyDescent="0.25">
      <c r="B2738">
        <v>5586</v>
      </c>
      <c r="C2738">
        <v>189</v>
      </c>
      <c r="D2738">
        <v>82</v>
      </c>
      <c r="E2738">
        <v>10</v>
      </c>
      <c r="F2738">
        <v>3</v>
      </c>
      <c r="G2738">
        <v>13</v>
      </c>
      <c r="H2738">
        <v>0</v>
      </c>
      <c r="I2738">
        <v>0</v>
      </c>
      <c r="J2738">
        <v>16</v>
      </c>
      <c r="K2738" t="s">
        <v>241</v>
      </c>
    </row>
    <row r="2739" spans="2:11" x14ac:dyDescent="0.25">
      <c r="B2739">
        <v>5588</v>
      </c>
      <c r="C2739">
        <v>189</v>
      </c>
      <c r="D2739">
        <v>82</v>
      </c>
      <c r="E2739">
        <v>11</v>
      </c>
      <c r="F2739">
        <v>5</v>
      </c>
      <c r="G2739">
        <v>11</v>
      </c>
      <c r="H2739">
        <v>0</v>
      </c>
      <c r="I2739">
        <v>0</v>
      </c>
      <c r="J2739">
        <v>16</v>
      </c>
      <c r="K2739" t="s">
        <v>241</v>
      </c>
    </row>
    <row r="2740" spans="2:11" x14ac:dyDescent="0.25">
      <c r="B2740">
        <v>5587</v>
      </c>
      <c r="C2740">
        <v>222</v>
      </c>
      <c r="D2740">
        <v>96</v>
      </c>
      <c r="E2740">
        <v>12</v>
      </c>
      <c r="F2740">
        <v>20</v>
      </c>
      <c r="G2740">
        <v>10</v>
      </c>
      <c r="H2740">
        <v>0</v>
      </c>
      <c r="I2740">
        <v>0</v>
      </c>
      <c r="J2740">
        <v>30</v>
      </c>
      <c r="K2740" t="s">
        <v>252</v>
      </c>
    </row>
    <row r="2741" spans="2:11" x14ac:dyDescent="0.25">
      <c r="B2741">
        <v>5589</v>
      </c>
      <c r="C2741">
        <v>189</v>
      </c>
      <c r="D2741">
        <v>82</v>
      </c>
      <c r="E2741">
        <v>12</v>
      </c>
      <c r="F2741">
        <v>4</v>
      </c>
      <c r="G2741">
        <v>16</v>
      </c>
      <c r="H2741">
        <v>0</v>
      </c>
      <c r="I2741">
        <v>0</v>
      </c>
      <c r="J2741">
        <v>20</v>
      </c>
      <c r="K2741" t="s">
        <v>241</v>
      </c>
    </row>
    <row r="2742" spans="2:11" x14ac:dyDescent="0.25">
      <c r="B2742">
        <v>5590</v>
      </c>
      <c r="C2742">
        <v>189</v>
      </c>
      <c r="D2742">
        <v>82</v>
      </c>
      <c r="E2742">
        <v>13</v>
      </c>
      <c r="F2742">
        <v>8</v>
      </c>
      <c r="G2742">
        <v>12</v>
      </c>
      <c r="H2742">
        <v>0</v>
      </c>
      <c r="I2742">
        <v>0</v>
      </c>
      <c r="J2742">
        <v>20</v>
      </c>
      <c r="K2742" t="s">
        <v>241</v>
      </c>
    </row>
    <row r="2743" spans="2:11" x14ac:dyDescent="0.25">
      <c r="B2743">
        <v>5591</v>
      </c>
      <c r="C2743">
        <v>189</v>
      </c>
      <c r="D2743">
        <v>82</v>
      </c>
      <c r="E2743">
        <v>14</v>
      </c>
      <c r="F2743">
        <v>9</v>
      </c>
      <c r="G2743">
        <v>10</v>
      </c>
      <c r="H2743">
        <v>0</v>
      </c>
      <c r="I2743">
        <v>0</v>
      </c>
      <c r="J2743">
        <v>19</v>
      </c>
      <c r="K2743" t="s">
        <v>241</v>
      </c>
    </row>
    <row r="2744" spans="2:11" x14ac:dyDescent="0.25">
      <c r="B2744">
        <v>5592</v>
      </c>
      <c r="C2744">
        <v>233</v>
      </c>
      <c r="D2744">
        <v>102</v>
      </c>
      <c r="E2744">
        <v>2</v>
      </c>
      <c r="F2744">
        <v>1</v>
      </c>
      <c r="G2744">
        <v>2</v>
      </c>
      <c r="H2744">
        <v>0</v>
      </c>
      <c r="I2744">
        <v>0</v>
      </c>
      <c r="J2744">
        <v>3</v>
      </c>
      <c r="K2744" t="s">
        <v>252</v>
      </c>
    </row>
    <row r="2745" spans="2:11" x14ac:dyDescent="0.25">
      <c r="B2745">
        <v>5594</v>
      </c>
      <c r="C2745">
        <v>233</v>
      </c>
      <c r="D2745">
        <v>102</v>
      </c>
      <c r="E2745">
        <v>3</v>
      </c>
      <c r="F2745">
        <v>6</v>
      </c>
      <c r="G2745">
        <v>7</v>
      </c>
      <c r="H2745">
        <v>0</v>
      </c>
      <c r="I2745">
        <v>0</v>
      </c>
      <c r="J2745">
        <v>13</v>
      </c>
      <c r="K2745" t="s">
        <v>252</v>
      </c>
    </row>
    <row r="2746" spans="2:11" x14ac:dyDescent="0.25">
      <c r="B2746">
        <v>5595</v>
      </c>
      <c r="C2746">
        <v>233</v>
      </c>
      <c r="D2746">
        <v>102</v>
      </c>
      <c r="E2746">
        <v>4</v>
      </c>
      <c r="F2746">
        <v>3</v>
      </c>
      <c r="G2746">
        <v>6</v>
      </c>
      <c r="H2746">
        <v>0</v>
      </c>
      <c r="I2746">
        <v>0</v>
      </c>
      <c r="J2746">
        <v>9</v>
      </c>
      <c r="K2746" t="s">
        <v>252</v>
      </c>
    </row>
    <row r="2747" spans="2:11" x14ac:dyDescent="0.25">
      <c r="B2747">
        <v>5596</v>
      </c>
      <c r="C2747">
        <v>233</v>
      </c>
      <c r="D2747">
        <v>102</v>
      </c>
      <c r="E2747">
        <v>5</v>
      </c>
      <c r="F2747">
        <v>15</v>
      </c>
      <c r="G2747">
        <v>11</v>
      </c>
      <c r="H2747">
        <v>0</v>
      </c>
      <c r="I2747">
        <v>0</v>
      </c>
      <c r="J2747">
        <v>26</v>
      </c>
      <c r="K2747" t="s">
        <v>252</v>
      </c>
    </row>
    <row r="2748" spans="2:11" x14ac:dyDescent="0.25">
      <c r="B2748">
        <v>3026</v>
      </c>
      <c r="C2748">
        <v>145</v>
      </c>
      <c r="D2748">
        <v>65</v>
      </c>
      <c r="E2748">
        <v>12</v>
      </c>
      <c r="F2748">
        <v>11</v>
      </c>
      <c r="G2748">
        <v>5</v>
      </c>
      <c r="H2748">
        <v>0</v>
      </c>
      <c r="I2748">
        <v>0</v>
      </c>
      <c r="J2748">
        <v>16</v>
      </c>
      <c r="K2748" t="s">
        <v>245</v>
      </c>
    </row>
    <row r="2749" spans="2:11" x14ac:dyDescent="0.25">
      <c r="B2749">
        <v>3027</v>
      </c>
      <c r="C2749">
        <v>115</v>
      </c>
      <c r="D2749">
        <v>53</v>
      </c>
      <c r="E2749">
        <v>12</v>
      </c>
      <c r="F2749">
        <v>14</v>
      </c>
      <c r="G2749">
        <v>11</v>
      </c>
      <c r="H2749">
        <v>1</v>
      </c>
      <c r="I2749">
        <v>0</v>
      </c>
      <c r="J2749">
        <v>26</v>
      </c>
      <c r="K2749" t="s">
        <v>245</v>
      </c>
    </row>
    <row r="2750" spans="2:11" x14ac:dyDescent="0.25">
      <c r="B2750">
        <v>3028</v>
      </c>
      <c r="C2750">
        <v>116</v>
      </c>
      <c r="D2750">
        <v>54</v>
      </c>
      <c r="E2750">
        <v>12</v>
      </c>
      <c r="F2750">
        <v>1</v>
      </c>
      <c r="G2750">
        <v>0</v>
      </c>
      <c r="H2750">
        <v>4</v>
      </c>
      <c r="I2750">
        <v>0</v>
      </c>
      <c r="J2750">
        <v>5</v>
      </c>
      <c r="K2750" t="s">
        <v>245</v>
      </c>
    </row>
    <row r="2751" spans="2:11" x14ac:dyDescent="0.25">
      <c r="B2751">
        <v>3029</v>
      </c>
      <c r="C2751">
        <v>141</v>
      </c>
      <c r="D2751">
        <v>62</v>
      </c>
      <c r="E2751">
        <v>12</v>
      </c>
      <c r="F2751">
        <v>7</v>
      </c>
      <c r="G2751">
        <v>6</v>
      </c>
      <c r="H2751">
        <v>1</v>
      </c>
      <c r="I2751">
        <v>0</v>
      </c>
      <c r="J2751">
        <v>14</v>
      </c>
      <c r="K2751" t="s">
        <v>245</v>
      </c>
    </row>
    <row r="2752" spans="2:11" x14ac:dyDescent="0.25">
      <c r="B2752">
        <v>3030</v>
      </c>
      <c r="C2752">
        <v>314</v>
      </c>
      <c r="D2752">
        <v>145</v>
      </c>
      <c r="E2752">
        <v>12</v>
      </c>
      <c r="F2752">
        <v>11</v>
      </c>
      <c r="G2752">
        <v>7</v>
      </c>
      <c r="H2752">
        <v>0</v>
      </c>
      <c r="I2752">
        <v>0</v>
      </c>
      <c r="J2752">
        <v>18</v>
      </c>
      <c r="K2752" t="s">
        <v>245</v>
      </c>
    </row>
    <row r="2753" spans="2:11" x14ac:dyDescent="0.25">
      <c r="B2753">
        <v>3031</v>
      </c>
      <c r="C2753">
        <v>307</v>
      </c>
      <c r="D2753">
        <v>142</v>
      </c>
      <c r="E2753">
        <v>12</v>
      </c>
      <c r="F2753">
        <v>5</v>
      </c>
      <c r="G2753">
        <v>8</v>
      </c>
      <c r="H2753">
        <v>0</v>
      </c>
      <c r="I2753">
        <v>0</v>
      </c>
      <c r="J2753">
        <v>13</v>
      </c>
      <c r="K2753" t="s">
        <v>245</v>
      </c>
    </row>
    <row r="2754" spans="2:11" x14ac:dyDescent="0.25">
      <c r="B2754">
        <v>3032</v>
      </c>
      <c r="C2754">
        <v>118</v>
      </c>
      <c r="D2754">
        <v>55</v>
      </c>
      <c r="E2754">
        <v>11</v>
      </c>
      <c r="F2754">
        <v>5</v>
      </c>
      <c r="G2754">
        <v>4</v>
      </c>
      <c r="H2754">
        <v>1</v>
      </c>
      <c r="I2754">
        <v>0</v>
      </c>
      <c r="J2754">
        <v>10</v>
      </c>
      <c r="K2754" t="s">
        <v>245</v>
      </c>
    </row>
    <row r="2755" spans="2:11" x14ac:dyDescent="0.25">
      <c r="B2755">
        <v>3033</v>
      </c>
      <c r="C2755">
        <v>152</v>
      </c>
      <c r="D2755">
        <v>69</v>
      </c>
      <c r="E2755">
        <v>11</v>
      </c>
      <c r="F2755">
        <v>4</v>
      </c>
      <c r="G2755">
        <v>17</v>
      </c>
      <c r="H2755">
        <v>0</v>
      </c>
      <c r="I2755">
        <v>0</v>
      </c>
      <c r="J2755">
        <v>21</v>
      </c>
      <c r="K2755" t="s">
        <v>245</v>
      </c>
    </row>
    <row r="2756" spans="2:11" x14ac:dyDescent="0.25">
      <c r="B2756">
        <v>3036</v>
      </c>
      <c r="C2756">
        <v>152</v>
      </c>
      <c r="D2756">
        <v>69</v>
      </c>
      <c r="E2756">
        <v>13</v>
      </c>
      <c r="F2756">
        <v>6</v>
      </c>
      <c r="G2756">
        <v>18</v>
      </c>
      <c r="H2756">
        <v>0</v>
      </c>
      <c r="I2756">
        <v>0</v>
      </c>
      <c r="J2756">
        <v>24</v>
      </c>
      <c r="K2756" t="s">
        <v>245</v>
      </c>
    </row>
    <row r="2757" spans="2:11" x14ac:dyDescent="0.25">
      <c r="B2757">
        <v>3038</v>
      </c>
      <c r="C2757">
        <v>252</v>
      </c>
      <c r="D2757">
        <v>114</v>
      </c>
      <c r="E2757">
        <v>13</v>
      </c>
      <c r="F2757">
        <v>2</v>
      </c>
      <c r="G2757">
        <v>5</v>
      </c>
      <c r="H2757">
        <v>3</v>
      </c>
      <c r="I2757">
        <v>0</v>
      </c>
      <c r="J2757">
        <v>10</v>
      </c>
      <c r="K2757" t="s">
        <v>247</v>
      </c>
    </row>
    <row r="2758" spans="2:11" x14ac:dyDescent="0.25">
      <c r="B2758">
        <v>3037</v>
      </c>
      <c r="C2758">
        <v>318</v>
      </c>
      <c r="D2758">
        <v>147</v>
      </c>
      <c r="E2758">
        <v>13</v>
      </c>
      <c r="F2758">
        <v>13</v>
      </c>
      <c r="G2758">
        <v>17</v>
      </c>
      <c r="H2758">
        <v>0</v>
      </c>
      <c r="I2758">
        <v>0</v>
      </c>
      <c r="J2758">
        <v>30</v>
      </c>
      <c r="K2758" t="s">
        <v>251</v>
      </c>
    </row>
    <row r="2759" spans="2:11" x14ac:dyDescent="0.25">
      <c r="B2759">
        <v>3040</v>
      </c>
      <c r="C2759">
        <v>132</v>
      </c>
      <c r="D2759">
        <v>59</v>
      </c>
      <c r="E2759">
        <v>12</v>
      </c>
      <c r="F2759">
        <v>6</v>
      </c>
      <c r="G2759">
        <v>0</v>
      </c>
      <c r="H2759">
        <v>0</v>
      </c>
      <c r="I2759">
        <v>0</v>
      </c>
      <c r="J2759">
        <v>6</v>
      </c>
      <c r="K2759" t="s">
        <v>246</v>
      </c>
    </row>
    <row r="2760" spans="2:11" x14ac:dyDescent="0.25">
      <c r="B2760">
        <v>3044</v>
      </c>
      <c r="C2760">
        <v>13</v>
      </c>
      <c r="D2760">
        <v>4</v>
      </c>
      <c r="E2760">
        <v>10</v>
      </c>
      <c r="F2760">
        <v>4</v>
      </c>
      <c r="G2760">
        <v>24</v>
      </c>
      <c r="H2760">
        <v>0</v>
      </c>
      <c r="I2760">
        <v>0</v>
      </c>
      <c r="J2760">
        <v>28</v>
      </c>
      <c r="K2760" t="s">
        <v>246</v>
      </c>
    </row>
    <row r="2761" spans="2:11" x14ac:dyDescent="0.25">
      <c r="B2761">
        <v>3045</v>
      </c>
      <c r="C2761">
        <v>317</v>
      </c>
      <c r="D2761">
        <v>146</v>
      </c>
      <c r="E2761">
        <v>13</v>
      </c>
      <c r="F2761">
        <v>4</v>
      </c>
      <c r="G2761">
        <v>6</v>
      </c>
      <c r="H2761">
        <v>0</v>
      </c>
      <c r="I2761">
        <v>0</v>
      </c>
      <c r="J2761">
        <v>10</v>
      </c>
      <c r="K2761" t="s">
        <v>251</v>
      </c>
    </row>
    <row r="2762" spans="2:11" x14ac:dyDescent="0.25">
      <c r="B2762">
        <v>3046</v>
      </c>
      <c r="C2762">
        <v>13</v>
      </c>
      <c r="D2762">
        <v>4</v>
      </c>
      <c r="E2762">
        <v>11</v>
      </c>
      <c r="F2762">
        <v>2</v>
      </c>
      <c r="G2762">
        <v>20</v>
      </c>
      <c r="H2762">
        <v>0</v>
      </c>
      <c r="I2762">
        <v>0</v>
      </c>
      <c r="J2762">
        <v>22</v>
      </c>
      <c r="K2762" t="s">
        <v>246</v>
      </c>
    </row>
    <row r="2763" spans="2:11" x14ac:dyDescent="0.25">
      <c r="B2763">
        <v>3049</v>
      </c>
      <c r="C2763">
        <v>132</v>
      </c>
      <c r="D2763">
        <v>59</v>
      </c>
      <c r="E2763">
        <v>10</v>
      </c>
      <c r="F2763">
        <v>9</v>
      </c>
      <c r="G2763">
        <v>2</v>
      </c>
      <c r="H2763">
        <v>0</v>
      </c>
      <c r="I2763">
        <v>0</v>
      </c>
      <c r="J2763">
        <v>11</v>
      </c>
      <c r="K2763" t="s">
        <v>246</v>
      </c>
    </row>
    <row r="2764" spans="2:11" x14ac:dyDescent="0.25">
      <c r="B2764">
        <v>3052</v>
      </c>
      <c r="C2764">
        <v>120</v>
      </c>
      <c r="D2764">
        <v>55</v>
      </c>
      <c r="E2764">
        <v>11</v>
      </c>
      <c r="F2764">
        <v>15</v>
      </c>
      <c r="G2764">
        <v>0</v>
      </c>
      <c r="H2764">
        <v>0</v>
      </c>
      <c r="I2764">
        <v>0</v>
      </c>
      <c r="J2764">
        <v>15</v>
      </c>
      <c r="K2764" t="s">
        <v>241</v>
      </c>
    </row>
    <row r="2765" spans="2:11" x14ac:dyDescent="0.25">
      <c r="B2765">
        <v>3053</v>
      </c>
      <c r="C2765">
        <v>132</v>
      </c>
      <c r="D2765">
        <v>59</v>
      </c>
      <c r="E2765">
        <v>11</v>
      </c>
      <c r="F2765">
        <v>19</v>
      </c>
      <c r="G2765">
        <v>0</v>
      </c>
      <c r="H2765">
        <v>0</v>
      </c>
      <c r="I2765">
        <v>0</v>
      </c>
      <c r="J2765">
        <v>19</v>
      </c>
      <c r="K2765" t="s">
        <v>246</v>
      </c>
    </row>
    <row r="2766" spans="2:11" x14ac:dyDescent="0.25">
      <c r="B2766">
        <v>3054</v>
      </c>
      <c r="C2766">
        <v>261</v>
      </c>
      <c r="D2766">
        <v>118</v>
      </c>
      <c r="E2766">
        <v>13</v>
      </c>
      <c r="F2766">
        <v>5</v>
      </c>
      <c r="G2766">
        <v>8</v>
      </c>
      <c r="H2766">
        <v>6</v>
      </c>
      <c r="I2766">
        <v>0</v>
      </c>
      <c r="J2766">
        <v>19</v>
      </c>
      <c r="K2766" t="s">
        <v>247</v>
      </c>
    </row>
    <row r="2767" spans="2:11" x14ac:dyDescent="0.25">
      <c r="B2767">
        <v>3056</v>
      </c>
      <c r="C2767">
        <v>162</v>
      </c>
      <c r="D2767">
        <v>69</v>
      </c>
      <c r="E2767">
        <v>11</v>
      </c>
      <c r="F2767">
        <v>20</v>
      </c>
      <c r="G2767">
        <v>9</v>
      </c>
      <c r="H2767">
        <v>0</v>
      </c>
      <c r="I2767">
        <v>0</v>
      </c>
      <c r="J2767">
        <v>29</v>
      </c>
      <c r="K2767" t="s">
        <v>241</v>
      </c>
    </row>
    <row r="2768" spans="2:11" x14ac:dyDescent="0.25">
      <c r="B2768">
        <v>3058</v>
      </c>
      <c r="C2768">
        <v>119</v>
      </c>
      <c r="D2768">
        <v>55</v>
      </c>
      <c r="E2768">
        <v>11</v>
      </c>
      <c r="F2768">
        <v>0</v>
      </c>
      <c r="G2768">
        <v>0</v>
      </c>
      <c r="H2768">
        <v>0</v>
      </c>
      <c r="I2768">
        <v>0</v>
      </c>
      <c r="J2768">
        <v>0</v>
      </c>
      <c r="K2768" t="s">
        <v>251</v>
      </c>
    </row>
    <row r="2769" spans="2:11" x14ac:dyDescent="0.25">
      <c r="B2769">
        <v>3059</v>
      </c>
      <c r="C2769">
        <v>304</v>
      </c>
      <c r="D2769">
        <v>141</v>
      </c>
      <c r="E2769">
        <v>13</v>
      </c>
      <c r="F2769">
        <v>5</v>
      </c>
      <c r="G2769">
        <v>6</v>
      </c>
      <c r="H2769">
        <v>4</v>
      </c>
      <c r="I2769">
        <v>0</v>
      </c>
      <c r="J2769">
        <v>15</v>
      </c>
      <c r="K2769" t="s">
        <v>246</v>
      </c>
    </row>
    <row r="2770" spans="2:11" x14ac:dyDescent="0.25">
      <c r="B2770">
        <v>3060</v>
      </c>
      <c r="C2770">
        <v>324</v>
      </c>
      <c r="D2770">
        <v>150</v>
      </c>
      <c r="E2770">
        <v>13</v>
      </c>
      <c r="F2770">
        <v>3</v>
      </c>
      <c r="G2770">
        <v>2</v>
      </c>
      <c r="H2770">
        <v>0</v>
      </c>
      <c r="I2770">
        <v>0</v>
      </c>
      <c r="J2770">
        <v>5</v>
      </c>
      <c r="K2770" t="s">
        <v>247</v>
      </c>
    </row>
    <row r="2771" spans="2:11" x14ac:dyDescent="0.25">
      <c r="B2771">
        <v>3063</v>
      </c>
      <c r="C2771">
        <v>290</v>
      </c>
      <c r="D2771">
        <v>135</v>
      </c>
      <c r="E2771">
        <v>12</v>
      </c>
      <c r="F2771">
        <v>19</v>
      </c>
      <c r="G2771">
        <v>9</v>
      </c>
      <c r="H2771">
        <v>2</v>
      </c>
      <c r="I2771">
        <v>0</v>
      </c>
      <c r="J2771">
        <v>30</v>
      </c>
      <c r="K2771" t="s">
        <v>247</v>
      </c>
    </row>
    <row r="2772" spans="2:11" x14ac:dyDescent="0.25">
      <c r="B2772">
        <v>3064</v>
      </c>
      <c r="C2772">
        <v>77</v>
      </c>
      <c r="D2772">
        <v>39</v>
      </c>
      <c r="E2772">
        <v>13</v>
      </c>
      <c r="F2772">
        <v>6</v>
      </c>
      <c r="G2772">
        <v>4</v>
      </c>
      <c r="H2772">
        <v>1</v>
      </c>
      <c r="I2772">
        <v>0</v>
      </c>
      <c r="J2772">
        <v>11</v>
      </c>
      <c r="K2772" t="s">
        <v>246</v>
      </c>
    </row>
    <row r="2773" spans="2:11" x14ac:dyDescent="0.25">
      <c r="B2773">
        <v>3055</v>
      </c>
      <c r="C2773">
        <v>236</v>
      </c>
      <c r="D2773">
        <v>103</v>
      </c>
      <c r="E2773">
        <v>12</v>
      </c>
      <c r="F2773">
        <v>12</v>
      </c>
      <c r="G2773">
        <v>10</v>
      </c>
      <c r="H2773">
        <v>0</v>
      </c>
      <c r="I2773">
        <v>0</v>
      </c>
      <c r="J2773">
        <v>22</v>
      </c>
      <c r="K2773" t="s">
        <v>250</v>
      </c>
    </row>
    <row r="2774" spans="2:11" x14ac:dyDescent="0.25">
      <c r="B2774">
        <v>3061</v>
      </c>
      <c r="C2774">
        <v>119</v>
      </c>
      <c r="D2774">
        <v>55</v>
      </c>
      <c r="E2774">
        <v>12</v>
      </c>
      <c r="F2774">
        <v>0</v>
      </c>
      <c r="G2774">
        <v>0</v>
      </c>
      <c r="H2774">
        <v>0</v>
      </c>
      <c r="I2774">
        <v>0</v>
      </c>
      <c r="J2774">
        <v>0</v>
      </c>
      <c r="K2774" t="s">
        <v>241</v>
      </c>
    </row>
    <row r="2775" spans="2:11" x14ac:dyDescent="0.25">
      <c r="B2775">
        <v>3068</v>
      </c>
      <c r="C2775">
        <v>156</v>
      </c>
      <c r="D2775">
        <v>69</v>
      </c>
      <c r="E2775">
        <v>13</v>
      </c>
      <c r="F2775">
        <v>5</v>
      </c>
      <c r="G2775">
        <v>2</v>
      </c>
      <c r="H2775">
        <v>0</v>
      </c>
      <c r="I2775">
        <v>0</v>
      </c>
      <c r="J2775">
        <v>7</v>
      </c>
      <c r="K2775" t="s">
        <v>241</v>
      </c>
    </row>
    <row r="2776" spans="2:11" x14ac:dyDescent="0.25">
      <c r="B2776">
        <v>3069</v>
      </c>
      <c r="C2776">
        <v>75</v>
      </c>
      <c r="D2776">
        <v>37</v>
      </c>
      <c r="E2776">
        <v>11</v>
      </c>
      <c r="F2776">
        <v>4</v>
      </c>
      <c r="G2776">
        <v>6</v>
      </c>
      <c r="H2776">
        <v>0</v>
      </c>
      <c r="I2776">
        <v>0</v>
      </c>
      <c r="J2776">
        <v>10</v>
      </c>
      <c r="K2776" t="s">
        <v>247</v>
      </c>
    </row>
    <row r="2777" spans="2:11" x14ac:dyDescent="0.25">
      <c r="B2777">
        <v>3072</v>
      </c>
      <c r="C2777">
        <v>260</v>
      </c>
      <c r="D2777">
        <v>118</v>
      </c>
      <c r="E2777">
        <v>13</v>
      </c>
      <c r="F2777">
        <v>19</v>
      </c>
      <c r="G2777">
        <v>2</v>
      </c>
      <c r="H2777">
        <v>5</v>
      </c>
      <c r="I2777">
        <v>0</v>
      </c>
      <c r="J2777">
        <v>26</v>
      </c>
      <c r="K2777" t="s">
        <v>244</v>
      </c>
    </row>
    <row r="2778" spans="2:11" x14ac:dyDescent="0.25">
      <c r="B2778">
        <v>3062</v>
      </c>
      <c r="C2778">
        <v>298</v>
      </c>
      <c r="D2778">
        <v>137</v>
      </c>
      <c r="E2778">
        <v>13</v>
      </c>
      <c r="F2778">
        <v>5</v>
      </c>
      <c r="G2778">
        <v>20</v>
      </c>
      <c r="H2778">
        <v>1</v>
      </c>
      <c r="I2778">
        <v>0</v>
      </c>
      <c r="J2778">
        <v>26</v>
      </c>
      <c r="K2778" t="s">
        <v>252</v>
      </c>
    </row>
    <row r="2779" spans="2:11" x14ac:dyDescent="0.25">
      <c r="B2779">
        <v>3074</v>
      </c>
      <c r="C2779">
        <v>132</v>
      </c>
      <c r="D2779">
        <v>59</v>
      </c>
      <c r="E2779">
        <v>13</v>
      </c>
      <c r="F2779">
        <v>13</v>
      </c>
      <c r="G2779">
        <v>0</v>
      </c>
      <c r="H2779">
        <v>0</v>
      </c>
      <c r="I2779">
        <v>0</v>
      </c>
      <c r="J2779">
        <v>13</v>
      </c>
      <c r="K2779" t="s">
        <v>246</v>
      </c>
    </row>
    <row r="2780" spans="2:11" x14ac:dyDescent="0.25">
      <c r="B2780">
        <v>3071</v>
      </c>
      <c r="C2780">
        <v>347</v>
      </c>
      <c r="D2780">
        <v>155</v>
      </c>
      <c r="E2780">
        <v>13</v>
      </c>
      <c r="F2780">
        <v>14</v>
      </c>
      <c r="G2780">
        <v>16</v>
      </c>
      <c r="H2780">
        <v>0</v>
      </c>
      <c r="I2780">
        <v>0</v>
      </c>
      <c r="J2780">
        <v>30</v>
      </c>
      <c r="K2780" t="s">
        <v>241</v>
      </c>
    </row>
    <row r="2781" spans="2:11" x14ac:dyDescent="0.25">
      <c r="B2781">
        <v>3075</v>
      </c>
      <c r="C2781">
        <v>347</v>
      </c>
      <c r="D2781">
        <v>155</v>
      </c>
      <c r="E2781">
        <v>12</v>
      </c>
      <c r="F2781">
        <v>11</v>
      </c>
      <c r="G2781">
        <v>7</v>
      </c>
      <c r="H2781">
        <v>0</v>
      </c>
      <c r="I2781">
        <v>0</v>
      </c>
      <c r="J2781">
        <v>18</v>
      </c>
      <c r="K2781" t="s">
        <v>247</v>
      </c>
    </row>
    <row r="2782" spans="2:11" x14ac:dyDescent="0.25">
      <c r="B2782">
        <v>3076</v>
      </c>
      <c r="C2782">
        <v>120</v>
      </c>
      <c r="D2782">
        <v>55</v>
      </c>
      <c r="E2782">
        <v>10</v>
      </c>
      <c r="F2782">
        <v>27</v>
      </c>
      <c r="G2782">
        <v>2</v>
      </c>
      <c r="H2782">
        <v>1</v>
      </c>
      <c r="I2782">
        <v>0</v>
      </c>
      <c r="J2782">
        <v>30</v>
      </c>
      <c r="K2782" t="s">
        <v>251</v>
      </c>
    </row>
    <row r="2783" spans="2:11" x14ac:dyDescent="0.25">
      <c r="B2783">
        <v>3077</v>
      </c>
      <c r="C2783">
        <v>156</v>
      </c>
      <c r="D2783">
        <v>69</v>
      </c>
      <c r="E2783">
        <v>14</v>
      </c>
      <c r="F2783">
        <v>6</v>
      </c>
      <c r="G2783">
        <v>2</v>
      </c>
      <c r="H2783">
        <v>0</v>
      </c>
      <c r="I2783">
        <v>0</v>
      </c>
      <c r="J2783">
        <v>8</v>
      </c>
      <c r="K2783" t="s">
        <v>252</v>
      </c>
    </row>
    <row r="2784" spans="2:11" x14ac:dyDescent="0.25">
      <c r="B2784">
        <v>3080</v>
      </c>
      <c r="C2784">
        <v>78</v>
      </c>
      <c r="D2784">
        <v>40</v>
      </c>
      <c r="E2784">
        <v>11</v>
      </c>
      <c r="F2784">
        <v>9</v>
      </c>
      <c r="G2784">
        <v>6</v>
      </c>
      <c r="H2784">
        <v>2</v>
      </c>
      <c r="I2784">
        <v>0</v>
      </c>
      <c r="J2784">
        <v>17</v>
      </c>
      <c r="K2784" t="s">
        <v>247</v>
      </c>
    </row>
    <row r="2785" spans="2:11" x14ac:dyDescent="0.25">
      <c r="B2785">
        <v>3082</v>
      </c>
      <c r="C2785">
        <v>136</v>
      </c>
      <c r="D2785">
        <v>60</v>
      </c>
      <c r="E2785">
        <v>13</v>
      </c>
      <c r="F2785">
        <v>4</v>
      </c>
      <c r="G2785">
        <v>6</v>
      </c>
      <c r="H2785">
        <v>6</v>
      </c>
      <c r="I2785">
        <v>0</v>
      </c>
      <c r="J2785">
        <v>16</v>
      </c>
      <c r="K2785" t="s">
        <v>244</v>
      </c>
    </row>
    <row r="2786" spans="2:11" x14ac:dyDescent="0.25">
      <c r="B2786">
        <v>3078</v>
      </c>
      <c r="C2786">
        <v>348</v>
      </c>
      <c r="D2786">
        <v>155</v>
      </c>
      <c r="E2786">
        <v>13</v>
      </c>
      <c r="F2786">
        <v>13</v>
      </c>
      <c r="G2786">
        <v>15</v>
      </c>
      <c r="H2786">
        <v>2</v>
      </c>
      <c r="I2786">
        <v>0</v>
      </c>
      <c r="J2786">
        <v>30</v>
      </c>
      <c r="K2786" t="s">
        <v>241</v>
      </c>
    </row>
    <row r="2787" spans="2:11" x14ac:dyDescent="0.25">
      <c r="B2787">
        <v>3083</v>
      </c>
      <c r="C2787">
        <v>279</v>
      </c>
      <c r="D2787">
        <v>129</v>
      </c>
      <c r="E2787">
        <v>7</v>
      </c>
      <c r="F2787">
        <v>6</v>
      </c>
      <c r="G2787">
        <v>19</v>
      </c>
      <c r="H2787">
        <v>0</v>
      </c>
      <c r="I2787">
        <v>0</v>
      </c>
      <c r="J2787">
        <v>25</v>
      </c>
      <c r="K2787" t="s">
        <v>251</v>
      </c>
    </row>
    <row r="2788" spans="2:11" x14ac:dyDescent="0.25">
      <c r="B2788">
        <v>3087</v>
      </c>
      <c r="C2788">
        <v>259</v>
      </c>
      <c r="D2788">
        <v>118</v>
      </c>
      <c r="E2788">
        <v>13</v>
      </c>
      <c r="F2788">
        <v>6</v>
      </c>
      <c r="G2788">
        <v>6</v>
      </c>
      <c r="H2788">
        <v>2</v>
      </c>
      <c r="I2788">
        <v>0</v>
      </c>
      <c r="J2788">
        <v>14</v>
      </c>
      <c r="K2788" t="s">
        <v>246</v>
      </c>
    </row>
    <row r="2789" spans="2:11" x14ac:dyDescent="0.25">
      <c r="B2789">
        <v>3086</v>
      </c>
      <c r="C2789">
        <v>297</v>
      </c>
      <c r="D2789">
        <v>136</v>
      </c>
      <c r="E2789">
        <v>13</v>
      </c>
      <c r="F2789">
        <v>5</v>
      </c>
      <c r="G2789">
        <v>3</v>
      </c>
      <c r="H2789">
        <v>0</v>
      </c>
      <c r="I2789">
        <v>0</v>
      </c>
      <c r="J2789">
        <v>8</v>
      </c>
      <c r="K2789" t="s">
        <v>241</v>
      </c>
    </row>
    <row r="2790" spans="2:11" x14ac:dyDescent="0.25">
      <c r="B2790">
        <v>3089</v>
      </c>
      <c r="C2790">
        <v>279</v>
      </c>
      <c r="D2790">
        <v>129</v>
      </c>
      <c r="E2790">
        <v>8</v>
      </c>
      <c r="F2790">
        <v>6</v>
      </c>
      <c r="G2790">
        <v>22</v>
      </c>
      <c r="H2790">
        <v>0</v>
      </c>
      <c r="I2790">
        <v>0</v>
      </c>
      <c r="J2790">
        <v>28</v>
      </c>
      <c r="K2790" t="s">
        <v>251</v>
      </c>
    </row>
    <row r="2791" spans="2:11" x14ac:dyDescent="0.25">
      <c r="B2791">
        <v>3093</v>
      </c>
      <c r="C2791">
        <v>279</v>
      </c>
      <c r="D2791">
        <v>129</v>
      </c>
      <c r="E2791">
        <v>9</v>
      </c>
      <c r="F2791">
        <v>7</v>
      </c>
      <c r="G2791">
        <v>18</v>
      </c>
      <c r="H2791">
        <v>0</v>
      </c>
      <c r="I2791">
        <v>0</v>
      </c>
      <c r="J2791">
        <v>25</v>
      </c>
      <c r="K2791" t="s">
        <v>251</v>
      </c>
    </row>
    <row r="2792" spans="2:11" x14ac:dyDescent="0.25">
      <c r="B2792">
        <v>3094</v>
      </c>
      <c r="C2792">
        <v>302</v>
      </c>
      <c r="D2792">
        <v>140</v>
      </c>
      <c r="E2792">
        <v>13</v>
      </c>
      <c r="F2792">
        <v>4</v>
      </c>
      <c r="G2792">
        <v>5</v>
      </c>
      <c r="H2792">
        <v>2</v>
      </c>
      <c r="I2792">
        <v>0</v>
      </c>
      <c r="J2792">
        <v>11</v>
      </c>
      <c r="K2792" t="s">
        <v>247</v>
      </c>
    </row>
    <row r="2793" spans="2:11" x14ac:dyDescent="0.25">
      <c r="B2793">
        <v>3088</v>
      </c>
      <c r="C2793">
        <v>273</v>
      </c>
      <c r="D2793">
        <v>124</v>
      </c>
      <c r="E2793">
        <v>12</v>
      </c>
      <c r="F2793">
        <v>17</v>
      </c>
      <c r="G2793">
        <v>6</v>
      </c>
      <c r="H2793">
        <v>0</v>
      </c>
      <c r="I2793">
        <v>0</v>
      </c>
      <c r="J2793">
        <v>23</v>
      </c>
      <c r="K2793" t="s">
        <v>244</v>
      </c>
    </row>
    <row r="2794" spans="2:11" x14ac:dyDescent="0.25">
      <c r="B2794">
        <v>3096</v>
      </c>
      <c r="C2794">
        <v>14</v>
      </c>
      <c r="D2794">
        <v>5</v>
      </c>
      <c r="E2794">
        <v>10</v>
      </c>
      <c r="F2794">
        <v>8</v>
      </c>
      <c r="G2794">
        <v>5</v>
      </c>
      <c r="H2794">
        <v>0</v>
      </c>
      <c r="I2794">
        <v>0</v>
      </c>
      <c r="J2794">
        <v>13</v>
      </c>
      <c r="K2794" t="s">
        <v>252</v>
      </c>
    </row>
    <row r="2795" spans="2:11" x14ac:dyDescent="0.25">
      <c r="B2795">
        <v>3097</v>
      </c>
      <c r="C2795">
        <v>77</v>
      </c>
      <c r="D2795">
        <v>39</v>
      </c>
      <c r="E2795">
        <v>12</v>
      </c>
      <c r="F2795">
        <v>6</v>
      </c>
      <c r="G2795">
        <v>5</v>
      </c>
      <c r="H2795">
        <v>2</v>
      </c>
      <c r="I2795">
        <v>0</v>
      </c>
      <c r="J2795">
        <v>13</v>
      </c>
      <c r="K2795" t="s">
        <v>246</v>
      </c>
    </row>
    <row r="2796" spans="2:11" x14ac:dyDescent="0.25">
      <c r="B2796">
        <v>3100</v>
      </c>
      <c r="C2796">
        <v>18</v>
      </c>
      <c r="D2796">
        <v>9</v>
      </c>
      <c r="E2796">
        <v>13</v>
      </c>
      <c r="F2796">
        <v>4</v>
      </c>
      <c r="G2796">
        <v>1</v>
      </c>
      <c r="H2796">
        <v>0</v>
      </c>
      <c r="I2796">
        <v>0</v>
      </c>
      <c r="J2796">
        <v>5</v>
      </c>
      <c r="K2796" t="s">
        <v>241</v>
      </c>
    </row>
    <row r="2797" spans="2:11" x14ac:dyDescent="0.25">
      <c r="B2797">
        <v>3098</v>
      </c>
      <c r="C2797">
        <v>331</v>
      </c>
      <c r="D2797">
        <v>152</v>
      </c>
      <c r="E2797">
        <v>12</v>
      </c>
      <c r="F2797">
        <v>1</v>
      </c>
      <c r="G2797">
        <v>28</v>
      </c>
      <c r="H2797">
        <v>1</v>
      </c>
      <c r="I2797">
        <v>0</v>
      </c>
      <c r="J2797">
        <v>30</v>
      </c>
      <c r="K2797" t="s">
        <v>251</v>
      </c>
    </row>
    <row r="2798" spans="2:11" x14ac:dyDescent="0.25">
      <c r="B2798">
        <v>3101</v>
      </c>
      <c r="C2798">
        <v>289</v>
      </c>
      <c r="D2798">
        <v>135</v>
      </c>
      <c r="E2798">
        <v>13</v>
      </c>
      <c r="F2798">
        <v>30</v>
      </c>
      <c r="G2798">
        <v>0</v>
      </c>
      <c r="H2798">
        <v>0</v>
      </c>
      <c r="I2798">
        <v>0</v>
      </c>
      <c r="J2798">
        <v>30</v>
      </c>
      <c r="K2798" t="s">
        <v>244</v>
      </c>
    </row>
    <row r="2799" spans="2:11" x14ac:dyDescent="0.25">
      <c r="B2799">
        <v>3102</v>
      </c>
      <c r="C2799">
        <v>260</v>
      </c>
      <c r="D2799">
        <v>118</v>
      </c>
      <c r="E2799">
        <v>11</v>
      </c>
      <c r="F2799">
        <v>16</v>
      </c>
      <c r="G2799">
        <v>11</v>
      </c>
      <c r="H2799">
        <v>1</v>
      </c>
      <c r="I2799">
        <v>0</v>
      </c>
      <c r="J2799">
        <v>28</v>
      </c>
      <c r="K2799" t="s">
        <v>252</v>
      </c>
    </row>
    <row r="2800" spans="2:11" x14ac:dyDescent="0.25">
      <c r="B2800">
        <v>3099</v>
      </c>
      <c r="C2800">
        <v>14</v>
      </c>
      <c r="D2800">
        <v>5</v>
      </c>
      <c r="E2800">
        <v>12</v>
      </c>
      <c r="F2800">
        <v>2</v>
      </c>
      <c r="G2800">
        <v>1</v>
      </c>
      <c r="H2800">
        <v>0</v>
      </c>
      <c r="I2800">
        <v>0</v>
      </c>
      <c r="J2800">
        <v>3</v>
      </c>
      <c r="K2800" t="s">
        <v>250</v>
      </c>
    </row>
    <row r="2801" spans="2:11" x14ac:dyDescent="0.25">
      <c r="B2801">
        <v>3106</v>
      </c>
      <c r="C2801">
        <v>309</v>
      </c>
      <c r="D2801">
        <v>144</v>
      </c>
      <c r="E2801">
        <v>12</v>
      </c>
      <c r="F2801">
        <v>3</v>
      </c>
      <c r="G2801">
        <v>8</v>
      </c>
      <c r="H2801">
        <v>0</v>
      </c>
      <c r="I2801">
        <v>0</v>
      </c>
      <c r="J2801">
        <v>11</v>
      </c>
      <c r="K2801" t="s">
        <v>241</v>
      </c>
    </row>
    <row r="2802" spans="2:11" x14ac:dyDescent="0.25">
      <c r="B2802">
        <v>3107</v>
      </c>
      <c r="C2802">
        <v>156</v>
      </c>
      <c r="D2802">
        <v>69</v>
      </c>
      <c r="E2802">
        <v>11</v>
      </c>
      <c r="F2802">
        <v>8</v>
      </c>
      <c r="G2802">
        <v>13</v>
      </c>
      <c r="H2802">
        <v>0</v>
      </c>
      <c r="I2802">
        <v>0</v>
      </c>
      <c r="J2802">
        <v>21</v>
      </c>
      <c r="K2802" t="s">
        <v>252</v>
      </c>
    </row>
    <row r="2803" spans="2:11" x14ac:dyDescent="0.25">
      <c r="B2803">
        <v>3108</v>
      </c>
      <c r="C2803">
        <v>74</v>
      </c>
      <c r="D2803">
        <v>36</v>
      </c>
      <c r="E2803">
        <v>12</v>
      </c>
      <c r="F2803">
        <v>0</v>
      </c>
      <c r="G2803">
        <v>18</v>
      </c>
      <c r="H2803">
        <v>0</v>
      </c>
      <c r="I2803">
        <v>0</v>
      </c>
      <c r="J2803">
        <v>18</v>
      </c>
      <c r="K2803" t="s">
        <v>250</v>
      </c>
    </row>
    <row r="2804" spans="2:11" x14ac:dyDescent="0.25">
      <c r="B2804">
        <v>3109</v>
      </c>
      <c r="C2804">
        <v>59</v>
      </c>
      <c r="D2804">
        <v>30</v>
      </c>
      <c r="E2804">
        <v>12</v>
      </c>
      <c r="F2804">
        <v>7</v>
      </c>
      <c r="G2804">
        <v>3</v>
      </c>
      <c r="H2804">
        <v>0</v>
      </c>
      <c r="I2804">
        <v>0</v>
      </c>
      <c r="J2804">
        <v>10</v>
      </c>
      <c r="K2804" t="s">
        <v>252</v>
      </c>
    </row>
    <row r="2805" spans="2:11" x14ac:dyDescent="0.25">
      <c r="B2805">
        <v>3112</v>
      </c>
      <c r="C2805">
        <v>257</v>
      </c>
      <c r="D2805">
        <v>117</v>
      </c>
      <c r="E2805">
        <v>12</v>
      </c>
      <c r="F2805">
        <v>5</v>
      </c>
      <c r="G2805">
        <v>3</v>
      </c>
      <c r="H2805">
        <v>0</v>
      </c>
      <c r="I2805">
        <v>0</v>
      </c>
      <c r="J2805">
        <v>8</v>
      </c>
      <c r="K2805" t="s">
        <v>244</v>
      </c>
    </row>
    <row r="2806" spans="2:11" x14ac:dyDescent="0.25">
      <c r="B2806">
        <v>3110</v>
      </c>
      <c r="C2806">
        <v>275</v>
      </c>
      <c r="D2806">
        <v>126</v>
      </c>
      <c r="E2806">
        <v>12</v>
      </c>
      <c r="F2806">
        <v>12</v>
      </c>
      <c r="G2806">
        <v>9</v>
      </c>
      <c r="H2806">
        <v>0</v>
      </c>
      <c r="I2806">
        <v>0</v>
      </c>
      <c r="J2806">
        <v>21</v>
      </c>
      <c r="K2806" t="s">
        <v>241</v>
      </c>
    </row>
    <row r="2807" spans="2:11" x14ac:dyDescent="0.25">
      <c r="B2807">
        <v>3114</v>
      </c>
      <c r="C2807">
        <v>59</v>
      </c>
      <c r="D2807">
        <v>30</v>
      </c>
      <c r="E2807">
        <v>11</v>
      </c>
      <c r="F2807">
        <v>11</v>
      </c>
      <c r="G2807">
        <v>2</v>
      </c>
      <c r="H2807">
        <v>0</v>
      </c>
      <c r="I2807">
        <v>0</v>
      </c>
      <c r="J2807">
        <v>13</v>
      </c>
      <c r="K2807" t="s">
        <v>252</v>
      </c>
    </row>
    <row r="2808" spans="2:11" x14ac:dyDescent="0.25">
      <c r="B2808">
        <v>3113</v>
      </c>
      <c r="C2808">
        <v>321</v>
      </c>
      <c r="D2808">
        <v>149</v>
      </c>
      <c r="E2808">
        <v>13</v>
      </c>
      <c r="F2808">
        <v>16</v>
      </c>
      <c r="G2808">
        <v>5</v>
      </c>
      <c r="H2808">
        <v>0</v>
      </c>
      <c r="I2808">
        <v>0</v>
      </c>
      <c r="J2808">
        <v>21</v>
      </c>
      <c r="K2808" t="s">
        <v>247</v>
      </c>
    </row>
    <row r="2809" spans="2:11" x14ac:dyDescent="0.25">
      <c r="B2809">
        <v>3115</v>
      </c>
      <c r="C2809">
        <v>110</v>
      </c>
      <c r="D2809">
        <v>51</v>
      </c>
      <c r="E2809">
        <v>12</v>
      </c>
      <c r="F2809">
        <v>4</v>
      </c>
      <c r="G2809">
        <v>19</v>
      </c>
      <c r="H2809">
        <v>0</v>
      </c>
      <c r="I2809">
        <v>0</v>
      </c>
      <c r="J2809">
        <v>23</v>
      </c>
      <c r="K2809" t="s">
        <v>241</v>
      </c>
    </row>
    <row r="2810" spans="2:11" x14ac:dyDescent="0.25">
      <c r="B2810">
        <v>3117</v>
      </c>
      <c r="C2810">
        <v>287</v>
      </c>
      <c r="D2810">
        <v>133</v>
      </c>
      <c r="E2810">
        <v>12</v>
      </c>
      <c r="F2810">
        <v>5</v>
      </c>
      <c r="G2810">
        <v>3</v>
      </c>
      <c r="H2810">
        <v>1</v>
      </c>
      <c r="I2810">
        <v>0</v>
      </c>
      <c r="J2810">
        <v>9</v>
      </c>
      <c r="K2810" t="s">
        <v>244</v>
      </c>
    </row>
    <row r="2811" spans="2:11" x14ac:dyDescent="0.25">
      <c r="B2811">
        <v>3116</v>
      </c>
      <c r="C2811">
        <v>244</v>
      </c>
      <c r="D2811">
        <v>108</v>
      </c>
      <c r="E2811">
        <v>13</v>
      </c>
      <c r="F2811">
        <v>1</v>
      </c>
      <c r="G2811">
        <v>2</v>
      </c>
      <c r="H2811">
        <v>2</v>
      </c>
      <c r="I2811">
        <v>0</v>
      </c>
      <c r="J2811">
        <v>5</v>
      </c>
      <c r="K2811" t="s">
        <v>246</v>
      </c>
    </row>
    <row r="2812" spans="2:11" x14ac:dyDescent="0.25">
      <c r="B2812">
        <v>5597</v>
      </c>
      <c r="C2812">
        <v>233</v>
      </c>
      <c r="D2812">
        <v>102</v>
      </c>
      <c r="E2812">
        <v>6</v>
      </c>
      <c r="F2812">
        <v>15</v>
      </c>
      <c r="G2812">
        <v>11</v>
      </c>
      <c r="H2812">
        <v>1</v>
      </c>
      <c r="I2812">
        <v>0</v>
      </c>
      <c r="J2812">
        <v>27</v>
      </c>
      <c r="K2812" t="s">
        <v>252</v>
      </c>
    </row>
    <row r="2813" spans="2:11" x14ac:dyDescent="0.25">
      <c r="B2813">
        <v>5598</v>
      </c>
      <c r="C2813">
        <v>233</v>
      </c>
      <c r="D2813">
        <v>102</v>
      </c>
      <c r="E2813">
        <v>7</v>
      </c>
      <c r="F2813">
        <v>18</v>
      </c>
      <c r="G2813">
        <v>8</v>
      </c>
      <c r="H2813">
        <v>1</v>
      </c>
      <c r="I2813">
        <v>0</v>
      </c>
      <c r="J2813">
        <v>27</v>
      </c>
      <c r="K2813" t="s">
        <v>252</v>
      </c>
    </row>
    <row r="2814" spans="2:11" x14ac:dyDescent="0.25">
      <c r="B2814">
        <v>5599</v>
      </c>
      <c r="C2814">
        <v>233</v>
      </c>
      <c r="D2814">
        <v>102</v>
      </c>
      <c r="E2814">
        <v>9</v>
      </c>
      <c r="F2814">
        <v>10</v>
      </c>
      <c r="G2814">
        <v>7</v>
      </c>
      <c r="H2814">
        <v>0</v>
      </c>
      <c r="I2814">
        <v>0</v>
      </c>
      <c r="J2814">
        <v>17</v>
      </c>
      <c r="K2814" t="s">
        <v>252</v>
      </c>
    </row>
    <row r="2815" spans="2:11" x14ac:dyDescent="0.25">
      <c r="B2815">
        <v>5600</v>
      </c>
      <c r="C2815">
        <v>233</v>
      </c>
      <c r="D2815">
        <v>102</v>
      </c>
      <c r="E2815">
        <v>10</v>
      </c>
      <c r="F2815">
        <v>6</v>
      </c>
      <c r="G2815">
        <v>3</v>
      </c>
      <c r="H2815">
        <v>0</v>
      </c>
      <c r="I2815">
        <v>0</v>
      </c>
      <c r="J2815">
        <v>9</v>
      </c>
      <c r="K2815" t="s">
        <v>252</v>
      </c>
    </row>
    <row r="2816" spans="2:11" x14ac:dyDescent="0.25">
      <c r="B2816">
        <v>5601</v>
      </c>
      <c r="C2816">
        <v>233</v>
      </c>
      <c r="D2816">
        <v>102</v>
      </c>
      <c r="E2816">
        <v>11</v>
      </c>
      <c r="F2816">
        <v>15</v>
      </c>
      <c r="G2816">
        <v>2</v>
      </c>
      <c r="H2816">
        <v>0</v>
      </c>
      <c r="I2816">
        <v>0</v>
      </c>
      <c r="J2816">
        <v>17</v>
      </c>
      <c r="K2816" t="s">
        <v>252</v>
      </c>
    </row>
    <row r="2817" spans="2:11" x14ac:dyDescent="0.25">
      <c r="B2817">
        <v>5602</v>
      </c>
      <c r="C2817">
        <v>233</v>
      </c>
      <c r="D2817">
        <v>102</v>
      </c>
      <c r="E2817">
        <v>12</v>
      </c>
      <c r="F2817">
        <v>5</v>
      </c>
      <c r="G2817">
        <v>4</v>
      </c>
      <c r="H2817">
        <v>0</v>
      </c>
      <c r="I2817">
        <v>0</v>
      </c>
      <c r="J2817">
        <v>9</v>
      </c>
      <c r="K2817" t="s">
        <v>252</v>
      </c>
    </row>
    <row r="2818" spans="2:11" x14ac:dyDescent="0.25">
      <c r="B2818">
        <v>5604</v>
      </c>
      <c r="C2818">
        <v>190</v>
      </c>
      <c r="D2818">
        <v>83</v>
      </c>
      <c r="E2818">
        <v>2</v>
      </c>
      <c r="F2818">
        <v>1</v>
      </c>
      <c r="G2818">
        <v>5</v>
      </c>
      <c r="H2818">
        <v>0</v>
      </c>
      <c r="I2818">
        <v>0</v>
      </c>
      <c r="J2818">
        <v>6</v>
      </c>
      <c r="K2818" t="s">
        <v>241</v>
      </c>
    </row>
    <row r="2819" spans="2:11" x14ac:dyDescent="0.25">
      <c r="B2819">
        <v>5124</v>
      </c>
      <c r="C2819">
        <v>244</v>
      </c>
      <c r="D2819">
        <v>108</v>
      </c>
      <c r="E2819">
        <v>18</v>
      </c>
      <c r="F2819">
        <v>3</v>
      </c>
      <c r="G2819">
        <v>2</v>
      </c>
      <c r="H2819">
        <v>3</v>
      </c>
      <c r="I2819">
        <v>0</v>
      </c>
      <c r="J2819">
        <v>8</v>
      </c>
      <c r="K2819" t="s">
        <v>241</v>
      </c>
    </row>
    <row r="2820" spans="2:11" x14ac:dyDescent="0.25">
      <c r="B2820">
        <v>5125</v>
      </c>
      <c r="C2820">
        <v>247</v>
      </c>
      <c r="D2820">
        <v>110</v>
      </c>
      <c r="E2820">
        <v>17</v>
      </c>
      <c r="F2820">
        <v>5</v>
      </c>
      <c r="G2820">
        <v>3</v>
      </c>
      <c r="H2820">
        <v>4</v>
      </c>
      <c r="I2820">
        <v>0</v>
      </c>
      <c r="J2820">
        <v>12</v>
      </c>
      <c r="K2820" t="s">
        <v>243</v>
      </c>
    </row>
    <row r="2821" spans="2:11" x14ac:dyDescent="0.25">
      <c r="B2821">
        <v>5131</v>
      </c>
      <c r="C2821">
        <v>311</v>
      </c>
      <c r="D2821">
        <v>144</v>
      </c>
      <c r="E2821">
        <v>17</v>
      </c>
      <c r="F2821">
        <v>13</v>
      </c>
      <c r="G2821">
        <v>9</v>
      </c>
      <c r="H2821">
        <v>0</v>
      </c>
      <c r="I2821">
        <v>0</v>
      </c>
      <c r="J2821">
        <v>22</v>
      </c>
      <c r="K2821" t="s">
        <v>250</v>
      </c>
    </row>
    <row r="2822" spans="2:11" x14ac:dyDescent="0.25">
      <c r="B2822">
        <v>5134</v>
      </c>
      <c r="C2822">
        <v>103</v>
      </c>
      <c r="D2822">
        <v>51</v>
      </c>
      <c r="E2822">
        <v>15</v>
      </c>
      <c r="F2822">
        <v>8</v>
      </c>
      <c r="G2822">
        <v>3</v>
      </c>
      <c r="H2822">
        <v>0</v>
      </c>
      <c r="I2822">
        <v>0</v>
      </c>
      <c r="J2822">
        <v>11</v>
      </c>
      <c r="K2822" t="s">
        <v>245</v>
      </c>
    </row>
    <row r="2823" spans="2:11" x14ac:dyDescent="0.25">
      <c r="B2823">
        <v>5132</v>
      </c>
      <c r="C2823">
        <v>265</v>
      </c>
      <c r="D2823">
        <v>118</v>
      </c>
      <c r="E2823">
        <v>18</v>
      </c>
      <c r="F2823">
        <v>6</v>
      </c>
      <c r="G2823">
        <v>3</v>
      </c>
      <c r="H2823">
        <v>5</v>
      </c>
      <c r="I2823">
        <v>0</v>
      </c>
      <c r="J2823">
        <v>14</v>
      </c>
      <c r="K2823" t="s">
        <v>243</v>
      </c>
    </row>
    <row r="2824" spans="2:11" x14ac:dyDescent="0.25">
      <c r="B2824">
        <v>5130</v>
      </c>
      <c r="C2824">
        <v>16</v>
      </c>
      <c r="D2824">
        <v>7</v>
      </c>
      <c r="E2824">
        <v>8</v>
      </c>
      <c r="F2824">
        <v>5</v>
      </c>
      <c r="G2824">
        <v>5</v>
      </c>
      <c r="H2824">
        <v>0</v>
      </c>
      <c r="I2824">
        <v>0</v>
      </c>
      <c r="J2824">
        <v>10</v>
      </c>
      <c r="K2824" t="s">
        <v>248</v>
      </c>
    </row>
    <row r="2825" spans="2:11" x14ac:dyDescent="0.25">
      <c r="B2825">
        <v>5135</v>
      </c>
      <c r="C2825">
        <v>132</v>
      </c>
      <c r="D2825">
        <v>59</v>
      </c>
      <c r="E2825">
        <v>6</v>
      </c>
      <c r="F2825">
        <v>10</v>
      </c>
      <c r="G2825">
        <v>6</v>
      </c>
      <c r="H2825">
        <v>0</v>
      </c>
      <c r="I2825">
        <v>0</v>
      </c>
      <c r="J2825">
        <v>16</v>
      </c>
      <c r="K2825" t="s">
        <v>249</v>
      </c>
    </row>
    <row r="2826" spans="2:11" x14ac:dyDescent="0.25">
      <c r="B2826">
        <v>5138</v>
      </c>
      <c r="C2826">
        <v>103</v>
      </c>
      <c r="D2826">
        <v>51</v>
      </c>
      <c r="E2826">
        <v>16</v>
      </c>
      <c r="F2826">
        <v>6</v>
      </c>
      <c r="G2826">
        <v>8</v>
      </c>
      <c r="H2826">
        <v>0</v>
      </c>
      <c r="I2826">
        <v>0</v>
      </c>
      <c r="J2826">
        <v>14</v>
      </c>
      <c r="K2826" t="s">
        <v>245</v>
      </c>
    </row>
    <row r="2827" spans="2:11" x14ac:dyDescent="0.25">
      <c r="B2827">
        <v>5139</v>
      </c>
      <c r="C2827">
        <v>16</v>
      </c>
      <c r="D2827">
        <v>7</v>
      </c>
      <c r="E2827">
        <v>9</v>
      </c>
      <c r="F2827">
        <v>8</v>
      </c>
      <c r="G2827">
        <v>7</v>
      </c>
      <c r="H2827">
        <v>0</v>
      </c>
      <c r="I2827">
        <v>0</v>
      </c>
      <c r="J2827">
        <v>15</v>
      </c>
      <c r="K2827" t="s">
        <v>248</v>
      </c>
    </row>
    <row r="2828" spans="2:11" x14ac:dyDescent="0.25">
      <c r="B2828">
        <v>5141</v>
      </c>
      <c r="C2828">
        <v>103</v>
      </c>
      <c r="D2828">
        <v>51</v>
      </c>
      <c r="E2828">
        <v>17</v>
      </c>
      <c r="F2828">
        <v>8</v>
      </c>
      <c r="G2828">
        <v>6</v>
      </c>
      <c r="H2828">
        <v>0</v>
      </c>
      <c r="I2828">
        <v>0</v>
      </c>
      <c r="J2828">
        <v>14</v>
      </c>
      <c r="K2828" t="s">
        <v>245</v>
      </c>
    </row>
    <row r="2829" spans="2:11" x14ac:dyDescent="0.25">
      <c r="B2829">
        <v>5144</v>
      </c>
      <c r="C2829">
        <v>103</v>
      </c>
      <c r="D2829">
        <v>51</v>
      </c>
      <c r="E2829">
        <v>18</v>
      </c>
      <c r="F2829">
        <v>9</v>
      </c>
      <c r="G2829">
        <v>7</v>
      </c>
      <c r="H2829">
        <v>0</v>
      </c>
      <c r="I2829">
        <v>0</v>
      </c>
      <c r="J2829">
        <v>16</v>
      </c>
      <c r="K2829" t="s">
        <v>245</v>
      </c>
    </row>
    <row r="2830" spans="2:11" x14ac:dyDescent="0.25">
      <c r="B2830">
        <v>5145</v>
      </c>
      <c r="C2830">
        <v>16</v>
      </c>
      <c r="D2830">
        <v>7</v>
      </c>
      <c r="E2830">
        <v>10</v>
      </c>
      <c r="F2830">
        <v>5</v>
      </c>
      <c r="G2830">
        <v>2</v>
      </c>
      <c r="H2830">
        <v>0</v>
      </c>
      <c r="I2830">
        <v>0</v>
      </c>
      <c r="J2830">
        <v>7</v>
      </c>
      <c r="K2830" t="s">
        <v>248</v>
      </c>
    </row>
    <row r="2831" spans="2:11" x14ac:dyDescent="0.25">
      <c r="B2831">
        <v>5146</v>
      </c>
      <c r="C2831">
        <v>243</v>
      </c>
      <c r="D2831">
        <v>108</v>
      </c>
      <c r="E2831">
        <v>18</v>
      </c>
      <c r="F2831">
        <v>7</v>
      </c>
      <c r="G2831">
        <v>1</v>
      </c>
      <c r="H2831">
        <v>2</v>
      </c>
      <c r="I2831">
        <v>0</v>
      </c>
      <c r="J2831">
        <v>10</v>
      </c>
      <c r="K2831" t="s">
        <v>243</v>
      </c>
    </row>
    <row r="2832" spans="2:11" x14ac:dyDescent="0.25">
      <c r="B2832">
        <v>5149</v>
      </c>
      <c r="C2832">
        <v>107</v>
      </c>
      <c r="D2832">
        <v>51</v>
      </c>
      <c r="E2832">
        <v>18</v>
      </c>
      <c r="F2832">
        <v>11</v>
      </c>
      <c r="G2832">
        <v>8</v>
      </c>
      <c r="H2832">
        <v>0</v>
      </c>
      <c r="I2832">
        <v>0</v>
      </c>
      <c r="J2832">
        <v>19</v>
      </c>
      <c r="K2832" t="s">
        <v>243</v>
      </c>
    </row>
    <row r="2833" spans="2:11" x14ac:dyDescent="0.25">
      <c r="B2833">
        <v>5150</v>
      </c>
      <c r="C2833">
        <v>16</v>
      </c>
      <c r="D2833">
        <v>7</v>
      </c>
      <c r="E2833">
        <v>12</v>
      </c>
      <c r="F2833">
        <v>10</v>
      </c>
      <c r="G2833">
        <v>5</v>
      </c>
      <c r="H2833">
        <v>2</v>
      </c>
      <c r="I2833">
        <v>0</v>
      </c>
      <c r="J2833">
        <v>17</v>
      </c>
      <c r="K2833" t="s">
        <v>248</v>
      </c>
    </row>
    <row r="2834" spans="2:11" x14ac:dyDescent="0.25">
      <c r="B2834">
        <v>5152</v>
      </c>
      <c r="C2834">
        <v>276</v>
      </c>
      <c r="D2834">
        <v>127</v>
      </c>
      <c r="E2834">
        <v>16</v>
      </c>
      <c r="F2834">
        <v>0</v>
      </c>
      <c r="G2834">
        <v>20</v>
      </c>
      <c r="H2834">
        <v>0</v>
      </c>
      <c r="I2834">
        <v>0</v>
      </c>
      <c r="J2834">
        <v>20</v>
      </c>
      <c r="K2834" t="s">
        <v>250</v>
      </c>
    </row>
    <row r="2835" spans="2:11" x14ac:dyDescent="0.25">
      <c r="B2835">
        <v>5153</v>
      </c>
      <c r="C2835">
        <v>291</v>
      </c>
      <c r="D2835">
        <v>135</v>
      </c>
      <c r="E2835">
        <v>16</v>
      </c>
      <c r="F2835">
        <v>10</v>
      </c>
      <c r="G2835">
        <v>4</v>
      </c>
      <c r="H2835">
        <v>0</v>
      </c>
      <c r="I2835">
        <v>0</v>
      </c>
      <c r="J2835">
        <v>14</v>
      </c>
      <c r="K2835" t="s">
        <v>250</v>
      </c>
    </row>
    <row r="2836" spans="2:11" x14ac:dyDescent="0.25">
      <c r="B2836">
        <v>5156</v>
      </c>
      <c r="C2836">
        <v>35</v>
      </c>
      <c r="D2836">
        <v>17</v>
      </c>
      <c r="E2836">
        <v>18</v>
      </c>
      <c r="F2836">
        <v>0</v>
      </c>
      <c r="G2836">
        <v>11</v>
      </c>
      <c r="H2836">
        <v>0</v>
      </c>
      <c r="I2836">
        <v>0</v>
      </c>
      <c r="J2836">
        <v>11</v>
      </c>
      <c r="K2836" t="s">
        <v>249</v>
      </c>
    </row>
    <row r="2837" spans="2:11" x14ac:dyDescent="0.25">
      <c r="B2837">
        <v>5151</v>
      </c>
      <c r="C2837">
        <v>268</v>
      </c>
      <c r="D2837">
        <v>120</v>
      </c>
      <c r="E2837">
        <v>18</v>
      </c>
      <c r="F2837">
        <v>7</v>
      </c>
      <c r="G2837">
        <v>8</v>
      </c>
      <c r="H2837">
        <v>0</v>
      </c>
      <c r="I2837">
        <v>0</v>
      </c>
      <c r="J2837">
        <v>15</v>
      </c>
      <c r="K2837" t="s">
        <v>243</v>
      </c>
    </row>
    <row r="2838" spans="2:11" x14ac:dyDescent="0.25">
      <c r="B2838">
        <v>5157</v>
      </c>
      <c r="C2838">
        <v>16</v>
      </c>
      <c r="D2838">
        <v>7</v>
      </c>
      <c r="E2838">
        <v>14</v>
      </c>
      <c r="F2838">
        <v>9</v>
      </c>
      <c r="G2838">
        <v>6</v>
      </c>
      <c r="H2838">
        <v>2</v>
      </c>
      <c r="I2838">
        <v>0</v>
      </c>
      <c r="J2838">
        <v>17</v>
      </c>
      <c r="K2838" t="s">
        <v>248</v>
      </c>
    </row>
    <row r="2839" spans="2:11" x14ac:dyDescent="0.25">
      <c r="B2839">
        <v>5159</v>
      </c>
      <c r="C2839">
        <v>290</v>
      </c>
      <c r="D2839">
        <v>135</v>
      </c>
      <c r="E2839">
        <v>16</v>
      </c>
      <c r="F2839">
        <v>15</v>
      </c>
      <c r="G2839">
        <v>9</v>
      </c>
      <c r="H2839">
        <v>2</v>
      </c>
      <c r="I2839">
        <v>0</v>
      </c>
      <c r="J2839">
        <v>26</v>
      </c>
      <c r="K2839" t="s">
        <v>250</v>
      </c>
    </row>
    <row r="2840" spans="2:11" x14ac:dyDescent="0.25">
      <c r="B2840">
        <v>5158</v>
      </c>
      <c r="C2840">
        <v>73</v>
      </c>
      <c r="D2840">
        <v>35</v>
      </c>
      <c r="E2840">
        <v>16</v>
      </c>
      <c r="F2840">
        <v>15</v>
      </c>
      <c r="G2840">
        <v>8</v>
      </c>
      <c r="H2840">
        <v>7</v>
      </c>
      <c r="I2840">
        <v>0</v>
      </c>
      <c r="J2840">
        <v>30</v>
      </c>
      <c r="K2840" t="s">
        <v>246</v>
      </c>
    </row>
    <row r="2841" spans="2:11" x14ac:dyDescent="0.25">
      <c r="B2841">
        <v>5160</v>
      </c>
      <c r="C2841">
        <v>312</v>
      </c>
      <c r="D2841">
        <v>144</v>
      </c>
      <c r="E2841">
        <v>16</v>
      </c>
      <c r="F2841">
        <v>4</v>
      </c>
      <c r="G2841">
        <v>2</v>
      </c>
      <c r="H2841">
        <v>1</v>
      </c>
      <c r="I2841">
        <v>0</v>
      </c>
      <c r="J2841">
        <v>7</v>
      </c>
      <c r="K2841" t="s">
        <v>250</v>
      </c>
    </row>
    <row r="2842" spans="2:11" x14ac:dyDescent="0.25">
      <c r="B2842">
        <v>5163</v>
      </c>
      <c r="C2842">
        <v>73</v>
      </c>
      <c r="D2842">
        <v>35</v>
      </c>
      <c r="E2842">
        <v>17</v>
      </c>
      <c r="F2842">
        <v>15</v>
      </c>
      <c r="G2842">
        <v>12</v>
      </c>
      <c r="H2842">
        <v>3</v>
      </c>
      <c r="I2842">
        <v>0</v>
      </c>
      <c r="J2842">
        <v>30</v>
      </c>
      <c r="K2842" t="s">
        <v>246</v>
      </c>
    </row>
    <row r="2843" spans="2:11" x14ac:dyDescent="0.25">
      <c r="B2843">
        <v>5164</v>
      </c>
      <c r="C2843">
        <v>272</v>
      </c>
      <c r="D2843">
        <v>123</v>
      </c>
      <c r="E2843">
        <v>12</v>
      </c>
      <c r="F2843">
        <v>7</v>
      </c>
      <c r="G2843">
        <v>14</v>
      </c>
      <c r="H2843">
        <v>0</v>
      </c>
      <c r="I2843">
        <v>0</v>
      </c>
      <c r="J2843">
        <v>21</v>
      </c>
      <c r="K2843" t="s">
        <v>249</v>
      </c>
    </row>
    <row r="2844" spans="2:11" x14ac:dyDescent="0.25">
      <c r="B2844">
        <v>5165</v>
      </c>
      <c r="C2844">
        <v>73</v>
      </c>
      <c r="D2844">
        <v>35</v>
      </c>
      <c r="E2844">
        <v>18</v>
      </c>
      <c r="F2844">
        <v>11</v>
      </c>
      <c r="G2844">
        <v>15</v>
      </c>
      <c r="H2844">
        <v>4</v>
      </c>
      <c r="I2844">
        <v>0</v>
      </c>
      <c r="J2844">
        <v>30</v>
      </c>
      <c r="K2844" t="s">
        <v>246</v>
      </c>
    </row>
    <row r="2845" spans="2:11" x14ac:dyDescent="0.25">
      <c r="B2845">
        <v>5166</v>
      </c>
      <c r="C2845">
        <v>90</v>
      </c>
      <c r="D2845">
        <v>45</v>
      </c>
      <c r="E2845">
        <v>18</v>
      </c>
      <c r="F2845">
        <v>3</v>
      </c>
      <c r="G2845">
        <v>8</v>
      </c>
      <c r="H2845">
        <v>0</v>
      </c>
      <c r="I2845">
        <v>0</v>
      </c>
      <c r="J2845">
        <v>11</v>
      </c>
      <c r="K2845" t="s">
        <v>246</v>
      </c>
    </row>
    <row r="2846" spans="2:11" x14ac:dyDescent="0.25">
      <c r="B2846">
        <v>5161</v>
      </c>
      <c r="C2846">
        <v>16</v>
      </c>
      <c r="D2846">
        <v>7</v>
      </c>
      <c r="E2846">
        <v>15</v>
      </c>
      <c r="F2846">
        <v>5</v>
      </c>
      <c r="G2846">
        <v>3</v>
      </c>
      <c r="H2846">
        <v>4</v>
      </c>
      <c r="I2846">
        <v>0</v>
      </c>
      <c r="J2846">
        <v>12</v>
      </c>
      <c r="K2846" t="s">
        <v>248</v>
      </c>
    </row>
    <row r="2847" spans="2:11" x14ac:dyDescent="0.25">
      <c r="B2847">
        <v>5168</v>
      </c>
      <c r="C2847">
        <v>89</v>
      </c>
      <c r="D2847">
        <v>44</v>
      </c>
      <c r="E2847">
        <v>18</v>
      </c>
      <c r="F2847">
        <v>12</v>
      </c>
      <c r="G2847">
        <v>10</v>
      </c>
      <c r="H2847">
        <v>0</v>
      </c>
      <c r="I2847">
        <v>0</v>
      </c>
      <c r="J2847">
        <v>22</v>
      </c>
      <c r="K2847" t="s">
        <v>246</v>
      </c>
    </row>
    <row r="2848" spans="2:11" x14ac:dyDescent="0.25">
      <c r="B2848">
        <v>5169</v>
      </c>
      <c r="C2848">
        <v>101</v>
      </c>
      <c r="D2848">
        <v>51</v>
      </c>
      <c r="E2848">
        <v>9</v>
      </c>
      <c r="F2848">
        <v>11</v>
      </c>
      <c r="G2848">
        <v>9</v>
      </c>
      <c r="H2848">
        <v>0</v>
      </c>
      <c r="I2848">
        <v>0</v>
      </c>
      <c r="J2848">
        <v>20</v>
      </c>
      <c r="K2848" t="s">
        <v>250</v>
      </c>
    </row>
    <row r="2849" spans="2:11" x14ac:dyDescent="0.25">
      <c r="B2849">
        <v>5170</v>
      </c>
      <c r="C2849">
        <v>16</v>
      </c>
      <c r="D2849">
        <v>7</v>
      </c>
      <c r="E2849">
        <v>16</v>
      </c>
      <c r="F2849">
        <v>6</v>
      </c>
      <c r="G2849">
        <v>8</v>
      </c>
      <c r="H2849">
        <v>0</v>
      </c>
      <c r="I2849">
        <v>0</v>
      </c>
      <c r="J2849">
        <v>14</v>
      </c>
      <c r="K2849" t="s">
        <v>248</v>
      </c>
    </row>
    <row r="2850" spans="2:11" x14ac:dyDescent="0.25">
      <c r="B2850">
        <v>5171</v>
      </c>
      <c r="C2850">
        <v>88</v>
      </c>
      <c r="D2850">
        <v>43</v>
      </c>
      <c r="E2850">
        <v>17</v>
      </c>
      <c r="F2850">
        <v>8</v>
      </c>
      <c r="G2850">
        <v>10</v>
      </c>
      <c r="H2850">
        <v>2</v>
      </c>
      <c r="I2850">
        <v>0</v>
      </c>
      <c r="J2850">
        <v>20</v>
      </c>
      <c r="K2850" t="s">
        <v>246</v>
      </c>
    </row>
    <row r="2851" spans="2:11" x14ac:dyDescent="0.25">
      <c r="B2851">
        <v>5174</v>
      </c>
      <c r="C2851">
        <v>88</v>
      </c>
      <c r="D2851">
        <v>43</v>
      </c>
      <c r="E2851">
        <v>18</v>
      </c>
      <c r="F2851">
        <v>9</v>
      </c>
      <c r="G2851">
        <v>12</v>
      </c>
      <c r="H2851">
        <v>0</v>
      </c>
      <c r="I2851">
        <v>0</v>
      </c>
      <c r="J2851">
        <v>21</v>
      </c>
      <c r="K2851" t="s">
        <v>246</v>
      </c>
    </row>
    <row r="2852" spans="2:11" x14ac:dyDescent="0.25">
      <c r="B2852">
        <v>5175</v>
      </c>
      <c r="C2852">
        <v>105</v>
      </c>
      <c r="D2852">
        <v>51</v>
      </c>
      <c r="E2852">
        <v>11</v>
      </c>
      <c r="F2852">
        <v>4</v>
      </c>
      <c r="G2852">
        <v>12</v>
      </c>
      <c r="H2852">
        <v>0</v>
      </c>
      <c r="I2852">
        <v>0</v>
      </c>
      <c r="J2852">
        <v>16</v>
      </c>
      <c r="K2852" t="s">
        <v>241</v>
      </c>
    </row>
    <row r="2853" spans="2:11" x14ac:dyDescent="0.25">
      <c r="B2853">
        <v>5176</v>
      </c>
      <c r="C2853">
        <v>242</v>
      </c>
      <c r="D2853">
        <v>107</v>
      </c>
      <c r="E2853">
        <v>17</v>
      </c>
      <c r="F2853">
        <v>6</v>
      </c>
      <c r="G2853">
        <v>9</v>
      </c>
      <c r="H2853">
        <v>0</v>
      </c>
      <c r="I2853">
        <v>0</v>
      </c>
      <c r="J2853">
        <v>15</v>
      </c>
      <c r="K2853" t="s">
        <v>246</v>
      </c>
    </row>
    <row r="2854" spans="2:11" x14ac:dyDescent="0.25">
      <c r="B2854">
        <v>5172</v>
      </c>
      <c r="C2854">
        <v>16</v>
      </c>
      <c r="D2854">
        <v>7</v>
      </c>
      <c r="E2854">
        <v>17</v>
      </c>
      <c r="F2854">
        <v>2</v>
      </c>
      <c r="G2854">
        <v>3</v>
      </c>
      <c r="H2854">
        <v>0</v>
      </c>
      <c r="I2854">
        <v>0</v>
      </c>
      <c r="J2854">
        <v>5</v>
      </c>
      <c r="K2854" t="s">
        <v>248</v>
      </c>
    </row>
    <row r="2855" spans="2:11" x14ac:dyDescent="0.25">
      <c r="B2855">
        <v>5178</v>
      </c>
      <c r="C2855">
        <v>242</v>
      </c>
      <c r="D2855">
        <v>107</v>
      </c>
      <c r="E2855">
        <v>18</v>
      </c>
      <c r="F2855">
        <v>9</v>
      </c>
      <c r="G2855">
        <v>12</v>
      </c>
      <c r="H2855">
        <v>0</v>
      </c>
      <c r="I2855">
        <v>0</v>
      </c>
      <c r="J2855">
        <v>21</v>
      </c>
      <c r="K2855" t="s">
        <v>246</v>
      </c>
    </row>
    <row r="2856" spans="2:11" x14ac:dyDescent="0.25">
      <c r="B2856">
        <v>5179</v>
      </c>
      <c r="C2856">
        <v>16</v>
      </c>
      <c r="D2856">
        <v>7</v>
      </c>
      <c r="E2856">
        <v>18</v>
      </c>
      <c r="F2856">
        <v>3</v>
      </c>
      <c r="G2856">
        <v>7</v>
      </c>
      <c r="H2856">
        <v>0</v>
      </c>
      <c r="I2856">
        <v>0</v>
      </c>
      <c r="J2856">
        <v>10</v>
      </c>
      <c r="K2856" t="s">
        <v>248</v>
      </c>
    </row>
    <row r="2857" spans="2:11" x14ac:dyDescent="0.25">
      <c r="B2857">
        <v>5180</v>
      </c>
      <c r="C2857">
        <v>155</v>
      </c>
      <c r="D2857">
        <v>69</v>
      </c>
      <c r="E2857">
        <v>17</v>
      </c>
      <c r="F2857">
        <v>12</v>
      </c>
      <c r="G2857">
        <v>16</v>
      </c>
      <c r="H2857">
        <v>0</v>
      </c>
      <c r="I2857">
        <v>0</v>
      </c>
      <c r="J2857">
        <v>28</v>
      </c>
      <c r="K2857" t="s">
        <v>246</v>
      </c>
    </row>
    <row r="2858" spans="2:11" x14ac:dyDescent="0.25">
      <c r="B2858">
        <v>5182</v>
      </c>
      <c r="C2858">
        <v>155</v>
      </c>
      <c r="D2858">
        <v>69</v>
      </c>
      <c r="E2858">
        <v>18</v>
      </c>
      <c r="F2858">
        <v>21</v>
      </c>
      <c r="G2858">
        <v>8</v>
      </c>
      <c r="H2858">
        <v>0</v>
      </c>
      <c r="I2858">
        <v>0</v>
      </c>
      <c r="J2858">
        <v>29</v>
      </c>
      <c r="K2858" t="s">
        <v>246</v>
      </c>
    </row>
    <row r="2859" spans="2:11" x14ac:dyDescent="0.25">
      <c r="B2859">
        <v>5184</v>
      </c>
      <c r="C2859">
        <v>339</v>
      </c>
      <c r="D2859">
        <v>152</v>
      </c>
      <c r="E2859">
        <v>13</v>
      </c>
      <c r="F2859">
        <v>4</v>
      </c>
      <c r="G2859">
        <v>20</v>
      </c>
      <c r="H2859">
        <v>0</v>
      </c>
      <c r="I2859">
        <v>0</v>
      </c>
      <c r="J2859">
        <v>24</v>
      </c>
      <c r="K2859" t="s">
        <v>246</v>
      </c>
    </row>
    <row r="2860" spans="2:11" x14ac:dyDescent="0.25">
      <c r="B2860">
        <v>5185</v>
      </c>
      <c r="C2860">
        <v>9</v>
      </c>
      <c r="D2860">
        <v>3</v>
      </c>
      <c r="E2860">
        <v>18</v>
      </c>
      <c r="F2860">
        <v>23</v>
      </c>
      <c r="G2860">
        <v>7</v>
      </c>
      <c r="H2860">
        <v>0</v>
      </c>
      <c r="I2860">
        <v>0</v>
      </c>
      <c r="J2860">
        <v>30</v>
      </c>
      <c r="K2860" t="s">
        <v>246</v>
      </c>
    </row>
    <row r="2861" spans="2:11" x14ac:dyDescent="0.25">
      <c r="B2861">
        <v>5186</v>
      </c>
      <c r="C2861">
        <v>8</v>
      </c>
      <c r="D2861">
        <v>3</v>
      </c>
      <c r="E2861">
        <v>18</v>
      </c>
      <c r="F2861">
        <v>6</v>
      </c>
      <c r="G2861">
        <v>7</v>
      </c>
      <c r="H2861">
        <v>0</v>
      </c>
      <c r="I2861">
        <v>0</v>
      </c>
      <c r="J2861">
        <v>13</v>
      </c>
      <c r="K2861" t="s">
        <v>246</v>
      </c>
    </row>
    <row r="2862" spans="2:11" x14ac:dyDescent="0.25">
      <c r="B2862">
        <v>5188</v>
      </c>
      <c r="C2862">
        <v>254</v>
      </c>
      <c r="D2862">
        <v>116</v>
      </c>
      <c r="E2862">
        <v>16</v>
      </c>
      <c r="F2862">
        <v>30</v>
      </c>
      <c r="G2862">
        <v>8</v>
      </c>
      <c r="H2862">
        <v>0</v>
      </c>
      <c r="I2862">
        <v>0</v>
      </c>
      <c r="J2862">
        <v>38</v>
      </c>
      <c r="K2862" t="s">
        <v>249</v>
      </c>
    </row>
    <row r="2863" spans="2:11" x14ac:dyDescent="0.25">
      <c r="B2863">
        <v>5605</v>
      </c>
      <c r="C2863">
        <v>190</v>
      </c>
      <c r="D2863">
        <v>83</v>
      </c>
      <c r="E2863">
        <v>3</v>
      </c>
      <c r="F2863">
        <v>0</v>
      </c>
      <c r="G2863">
        <v>10</v>
      </c>
      <c r="H2863">
        <v>0</v>
      </c>
      <c r="I2863">
        <v>0</v>
      </c>
      <c r="J2863">
        <v>10</v>
      </c>
      <c r="K2863" t="s">
        <v>241</v>
      </c>
    </row>
    <row r="2864" spans="2:11" x14ac:dyDescent="0.25">
      <c r="B2864">
        <v>5606</v>
      </c>
      <c r="C2864">
        <v>190</v>
      </c>
      <c r="D2864">
        <v>83</v>
      </c>
      <c r="E2864">
        <v>4</v>
      </c>
      <c r="F2864">
        <v>0</v>
      </c>
      <c r="G2864">
        <v>21</v>
      </c>
      <c r="H2864">
        <v>1</v>
      </c>
      <c r="I2864">
        <v>0</v>
      </c>
      <c r="J2864">
        <v>22</v>
      </c>
      <c r="K2864" t="s">
        <v>241</v>
      </c>
    </row>
    <row r="2865" spans="2:11" x14ac:dyDescent="0.25">
      <c r="B2865">
        <v>5607</v>
      </c>
      <c r="C2865">
        <v>190</v>
      </c>
      <c r="D2865">
        <v>83</v>
      </c>
      <c r="E2865">
        <v>5</v>
      </c>
      <c r="F2865">
        <v>0</v>
      </c>
      <c r="G2865">
        <v>14</v>
      </c>
      <c r="H2865">
        <v>0</v>
      </c>
      <c r="I2865">
        <v>0</v>
      </c>
      <c r="J2865">
        <v>14</v>
      </c>
      <c r="K2865" t="s">
        <v>241</v>
      </c>
    </row>
    <row r="2866" spans="2:11" x14ac:dyDescent="0.25">
      <c r="B2866">
        <v>5608</v>
      </c>
      <c r="C2866">
        <v>190</v>
      </c>
      <c r="D2866">
        <v>83</v>
      </c>
      <c r="E2866">
        <v>6</v>
      </c>
      <c r="F2866">
        <v>0</v>
      </c>
      <c r="G2866">
        <v>8</v>
      </c>
      <c r="H2866">
        <v>0</v>
      </c>
      <c r="I2866">
        <v>0</v>
      </c>
      <c r="J2866">
        <v>8</v>
      </c>
      <c r="K2866" t="s">
        <v>241</v>
      </c>
    </row>
    <row r="2867" spans="2:11" x14ac:dyDescent="0.25">
      <c r="B2867">
        <v>5609</v>
      </c>
      <c r="C2867">
        <v>234</v>
      </c>
      <c r="D2867">
        <v>102</v>
      </c>
      <c r="E2867">
        <v>2</v>
      </c>
      <c r="F2867">
        <v>17</v>
      </c>
      <c r="G2867">
        <v>13</v>
      </c>
      <c r="H2867">
        <v>0</v>
      </c>
      <c r="I2867">
        <v>0</v>
      </c>
      <c r="J2867">
        <v>30</v>
      </c>
      <c r="K2867" t="s">
        <v>252</v>
      </c>
    </row>
    <row r="2868" spans="2:11" x14ac:dyDescent="0.25">
      <c r="B2868">
        <v>5610</v>
      </c>
      <c r="C2868">
        <v>190</v>
      </c>
      <c r="D2868">
        <v>83</v>
      </c>
      <c r="E2868">
        <v>7</v>
      </c>
      <c r="F2868">
        <v>0</v>
      </c>
      <c r="G2868">
        <v>11</v>
      </c>
      <c r="H2868">
        <v>0</v>
      </c>
      <c r="I2868">
        <v>0</v>
      </c>
      <c r="J2868">
        <v>11</v>
      </c>
      <c r="K2868" t="s">
        <v>241</v>
      </c>
    </row>
    <row r="2869" spans="2:11" x14ac:dyDescent="0.25">
      <c r="B2869">
        <v>5611</v>
      </c>
      <c r="C2869">
        <v>234</v>
      </c>
      <c r="D2869">
        <v>102</v>
      </c>
      <c r="E2869">
        <v>3</v>
      </c>
      <c r="F2869">
        <v>10</v>
      </c>
      <c r="G2869">
        <v>20</v>
      </c>
      <c r="H2869">
        <v>0</v>
      </c>
      <c r="I2869">
        <v>0</v>
      </c>
      <c r="J2869">
        <v>30</v>
      </c>
      <c r="K2869" t="s">
        <v>252</v>
      </c>
    </row>
    <row r="2870" spans="2:11" x14ac:dyDescent="0.25">
      <c r="B2870">
        <v>5612</v>
      </c>
      <c r="C2870">
        <v>190</v>
      </c>
      <c r="D2870">
        <v>83</v>
      </c>
      <c r="E2870">
        <v>8</v>
      </c>
      <c r="F2870">
        <v>4</v>
      </c>
      <c r="G2870">
        <v>18</v>
      </c>
      <c r="H2870">
        <v>0</v>
      </c>
      <c r="I2870">
        <v>0</v>
      </c>
      <c r="J2870">
        <v>22</v>
      </c>
      <c r="K2870" t="s">
        <v>241</v>
      </c>
    </row>
    <row r="2871" spans="2:11" x14ac:dyDescent="0.25">
      <c r="B2871">
        <v>5613</v>
      </c>
      <c r="C2871">
        <v>190</v>
      </c>
      <c r="D2871">
        <v>83</v>
      </c>
      <c r="E2871">
        <v>9</v>
      </c>
      <c r="F2871">
        <v>2</v>
      </c>
      <c r="G2871">
        <v>22</v>
      </c>
      <c r="H2871">
        <v>0</v>
      </c>
      <c r="I2871">
        <v>0</v>
      </c>
      <c r="J2871">
        <v>24</v>
      </c>
      <c r="K2871" t="s">
        <v>241</v>
      </c>
    </row>
    <row r="2872" spans="2:11" x14ac:dyDescent="0.25">
      <c r="B2872">
        <v>5614</v>
      </c>
      <c r="C2872">
        <v>234</v>
      </c>
      <c r="D2872">
        <v>102</v>
      </c>
      <c r="E2872">
        <v>4</v>
      </c>
      <c r="F2872">
        <v>18</v>
      </c>
      <c r="G2872">
        <v>12</v>
      </c>
      <c r="H2872">
        <v>0</v>
      </c>
      <c r="I2872">
        <v>0</v>
      </c>
      <c r="J2872">
        <v>30</v>
      </c>
      <c r="K2872" t="s">
        <v>252</v>
      </c>
    </row>
    <row r="2873" spans="2:11" x14ac:dyDescent="0.25">
      <c r="B2873">
        <v>5615</v>
      </c>
      <c r="C2873">
        <v>190</v>
      </c>
      <c r="D2873">
        <v>83</v>
      </c>
      <c r="E2873">
        <v>10</v>
      </c>
      <c r="F2873">
        <v>0</v>
      </c>
      <c r="G2873">
        <v>29</v>
      </c>
      <c r="H2873">
        <v>1</v>
      </c>
      <c r="I2873">
        <v>0</v>
      </c>
      <c r="J2873">
        <v>30</v>
      </c>
      <c r="K2873" t="s">
        <v>241</v>
      </c>
    </row>
    <row r="2874" spans="2:11" x14ac:dyDescent="0.25">
      <c r="B2874">
        <v>5616</v>
      </c>
      <c r="C2874">
        <v>234</v>
      </c>
      <c r="D2874">
        <v>102</v>
      </c>
      <c r="E2874">
        <v>5</v>
      </c>
      <c r="F2874">
        <v>7</v>
      </c>
      <c r="G2874">
        <v>12</v>
      </c>
      <c r="H2874">
        <v>0</v>
      </c>
      <c r="I2874">
        <v>0</v>
      </c>
      <c r="J2874">
        <v>19</v>
      </c>
      <c r="K2874" t="s">
        <v>252</v>
      </c>
    </row>
    <row r="2875" spans="2:11" x14ac:dyDescent="0.25">
      <c r="B2875">
        <v>5617</v>
      </c>
      <c r="C2875">
        <v>234</v>
      </c>
      <c r="D2875">
        <v>102</v>
      </c>
      <c r="E2875">
        <v>6</v>
      </c>
      <c r="F2875">
        <v>13</v>
      </c>
      <c r="G2875">
        <v>15</v>
      </c>
      <c r="H2875">
        <v>0</v>
      </c>
      <c r="I2875">
        <v>0</v>
      </c>
      <c r="J2875">
        <v>28</v>
      </c>
      <c r="K2875" t="s">
        <v>252</v>
      </c>
    </row>
    <row r="2876" spans="2:11" x14ac:dyDescent="0.25">
      <c r="B2876">
        <v>5618</v>
      </c>
      <c r="C2876">
        <v>234</v>
      </c>
      <c r="D2876">
        <v>102</v>
      </c>
      <c r="E2876">
        <v>7</v>
      </c>
      <c r="F2876">
        <v>10</v>
      </c>
      <c r="G2876">
        <v>13</v>
      </c>
      <c r="H2876">
        <v>0</v>
      </c>
      <c r="I2876">
        <v>0</v>
      </c>
      <c r="J2876">
        <v>23</v>
      </c>
      <c r="K2876" t="s">
        <v>252</v>
      </c>
    </row>
    <row r="2877" spans="2:11" x14ac:dyDescent="0.25">
      <c r="B2877">
        <v>5619</v>
      </c>
      <c r="C2877">
        <v>234</v>
      </c>
      <c r="D2877">
        <v>102</v>
      </c>
      <c r="E2877">
        <v>8</v>
      </c>
      <c r="F2877">
        <v>13</v>
      </c>
      <c r="G2877">
        <v>9</v>
      </c>
      <c r="H2877">
        <v>0</v>
      </c>
      <c r="I2877">
        <v>0</v>
      </c>
      <c r="J2877">
        <v>22</v>
      </c>
      <c r="K2877" t="s">
        <v>252</v>
      </c>
    </row>
    <row r="2878" spans="2:11" x14ac:dyDescent="0.25">
      <c r="B2878">
        <v>5620</v>
      </c>
      <c r="C2878">
        <v>234</v>
      </c>
      <c r="D2878">
        <v>102</v>
      </c>
      <c r="E2878">
        <v>9</v>
      </c>
      <c r="F2878">
        <v>9</v>
      </c>
      <c r="G2878">
        <v>19</v>
      </c>
      <c r="H2878">
        <v>0</v>
      </c>
      <c r="I2878">
        <v>0</v>
      </c>
      <c r="J2878">
        <v>28</v>
      </c>
      <c r="K2878" t="s">
        <v>252</v>
      </c>
    </row>
    <row r="2879" spans="2:11" x14ac:dyDescent="0.25">
      <c r="B2879">
        <v>5622</v>
      </c>
      <c r="C2879">
        <v>234</v>
      </c>
      <c r="D2879">
        <v>102</v>
      </c>
      <c r="E2879">
        <v>10</v>
      </c>
      <c r="F2879">
        <v>15</v>
      </c>
      <c r="G2879">
        <v>12</v>
      </c>
      <c r="H2879">
        <v>0</v>
      </c>
      <c r="I2879">
        <v>0</v>
      </c>
      <c r="J2879">
        <v>27</v>
      </c>
      <c r="K2879" t="s">
        <v>252</v>
      </c>
    </row>
    <row r="2880" spans="2:11" x14ac:dyDescent="0.25">
      <c r="B2880">
        <v>5623</v>
      </c>
      <c r="C2880">
        <v>190</v>
      </c>
      <c r="D2880">
        <v>83</v>
      </c>
      <c r="E2880">
        <v>11</v>
      </c>
      <c r="F2880">
        <v>2</v>
      </c>
      <c r="G2880">
        <v>15</v>
      </c>
      <c r="H2880">
        <v>0</v>
      </c>
      <c r="I2880">
        <v>0</v>
      </c>
      <c r="J2880">
        <v>17</v>
      </c>
      <c r="K2880" t="s">
        <v>241</v>
      </c>
    </row>
    <row r="2881" spans="2:11" x14ac:dyDescent="0.25">
      <c r="B2881">
        <v>5625</v>
      </c>
      <c r="C2881">
        <v>190</v>
      </c>
      <c r="D2881">
        <v>83</v>
      </c>
      <c r="E2881">
        <v>12</v>
      </c>
      <c r="F2881">
        <v>1</v>
      </c>
      <c r="G2881">
        <v>22</v>
      </c>
      <c r="H2881">
        <v>0</v>
      </c>
      <c r="I2881">
        <v>0</v>
      </c>
      <c r="J2881">
        <v>23</v>
      </c>
      <c r="K2881" t="s">
        <v>241</v>
      </c>
    </row>
    <row r="2882" spans="2:11" x14ac:dyDescent="0.25">
      <c r="B2882">
        <v>5624</v>
      </c>
      <c r="C2882">
        <v>234</v>
      </c>
      <c r="D2882">
        <v>102</v>
      </c>
      <c r="E2882">
        <v>11</v>
      </c>
      <c r="F2882">
        <v>11</v>
      </c>
      <c r="G2882">
        <v>16</v>
      </c>
      <c r="H2882">
        <v>0</v>
      </c>
      <c r="I2882">
        <v>0</v>
      </c>
      <c r="J2882">
        <v>27</v>
      </c>
      <c r="K2882" t="s">
        <v>252</v>
      </c>
    </row>
    <row r="2883" spans="2:11" x14ac:dyDescent="0.25">
      <c r="B2883">
        <v>5627</v>
      </c>
      <c r="C2883">
        <v>234</v>
      </c>
      <c r="D2883">
        <v>102</v>
      </c>
      <c r="E2883">
        <v>12</v>
      </c>
      <c r="F2883">
        <v>5</v>
      </c>
      <c r="G2883">
        <v>6</v>
      </c>
      <c r="H2883">
        <v>1</v>
      </c>
      <c r="I2883">
        <v>0</v>
      </c>
      <c r="J2883">
        <v>12</v>
      </c>
      <c r="K2883" t="s">
        <v>252</v>
      </c>
    </row>
    <row r="2884" spans="2:11" x14ac:dyDescent="0.25">
      <c r="B2884">
        <v>5626</v>
      </c>
      <c r="C2884">
        <v>190</v>
      </c>
      <c r="D2884">
        <v>83</v>
      </c>
      <c r="E2884">
        <v>13</v>
      </c>
      <c r="F2884">
        <v>3</v>
      </c>
      <c r="G2884">
        <v>24</v>
      </c>
      <c r="H2884">
        <v>0</v>
      </c>
      <c r="I2884">
        <v>0</v>
      </c>
      <c r="J2884">
        <v>27</v>
      </c>
      <c r="K2884" t="s">
        <v>241</v>
      </c>
    </row>
    <row r="2885" spans="2:11" x14ac:dyDescent="0.25">
      <c r="B2885">
        <v>5629</v>
      </c>
      <c r="C2885">
        <v>190</v>
      </c>
      <c r="D2885">
        <v>83</v>
      </c>
      <c r="E2885">
        <v>14</v>
      </c>
      <c r="F2885">
        <v>1</v>
      </c>
      <c r="G2885">
        <v>18</v>
      </c>
      <c r="H2885">
        <v>0</v>
      </c>
      <c r="I2885">
        <v>0</v>
      </c>
      <c r="J2885">
        <v>19</v>
      </c>
      <c r="K2885" t="s">
        <v>241</v>
      </c>
    </row>
    <row r="2886" spans="2:11" x14ac:dyDescent="0.25">
      <c r="B2886">
        <v>5628</v>
      </c>
      <c r="C2886">
        <v>235</v>
      </c>
      <c r="D2886">
        <v>103</v>
      </c>
      <c r="E2886">
        <v>1</v>
      </c>
      <c r="F2886">
        <v>21</v>
      </c>
      <c r="G2886">
        <v>23</v>
      </c>
      <c r="H2886">
        <v>0</v>
      </c>
      <c r="I2886">
        <v>0</v>
      </c>
      <c r="J2886">
        <v>44</v>
      </c>
      <c r="K2886" t="s">
        <v>252</v>
      </c>
    </row>
    <row r="2887" spans="2:11" x14ac:dyDescent="0.25">
      <c r="B2887">
        <v>5631</v>
      </c>
      <c r="C2887">
        <v>235</v>
      </c>
      <c r="D2887">
        <v>103</v>
      </c>
      <c r="E2887">
        <v>2</v>
      </c>
      <c r="F2887">
        <v>23</v>
      </c>
      <c r="G2887">
        <v>10</v>
      </c>
      <c r="H2887">
        <v>0</v>
      </c>
      <c r="I2887">
        <v>0</v>
      </c>
      <c r="J2887">
        <v>33</v>
      </c>
      <c r="K2887" t="s">
        <v>252</v>
      </c>
    </row>
    <row r="2888" spans="2:11" x14ac:dyDescent="0.25">
      <c r="B2888">
        <v>5632</v>
      </c>
      <c r="C2888">
        <v>235</v>
      </c>
      <c r="D2888">
        <v>103</v>
      </c>
      <c r="E2888">
        <v>3</v>
      </c>
      <c r="F2888">
        <v>21</v>
      </c>
      <c r="G2888">
        <v>7</v>
      </c>
      <c r="H2888">
        <v>0</v>
      </c>
      <c r="I2888">
        <v>0</v>
      </c>
      <c r="J2888">
        <v>28</v>
      </c>
      <c r="K2888" t="s">
        <v>252</v>
      </c>
    </row>
    <row r="2889" spans="2:11" x14ac:dyDescent="0.25">
      <c r="B2889">
        <v>3042</v>
      </c>
      <c r="C2889">
        <v>311</v>
      </c>
      <c r="D2889">
        <v>144</v>
      </c>
      <c r="E2889">
        <v>13</v>
      </c>
      <c r="F2889">
        <v>8</v>
      </c>
      <c r="G2889">
        <v>7</v>
      </c>
      <c r="H2889">
        <v>0</v>
      </c>
      <c r="I2889">
        <v>0</v>
      </c>
      <c r="J2889">
        <v>15</v>
      </c>
      <c r="K2889" t="s">
        <v>244</v>
      </c>
    </row>
    <row r="2890" spans="2:11" x14ac:dyDescent="0.25">
      <c r="B2890">
        <v>3065</v>
      </c>
      <c r="C2890">
        <v>14</v>
      </c>
      <c r="D2890">
        <v>5</v>
      </c>
      <c r="E2890">
        <v>11</v>
      </c>
      <c r="F2890">
        <v>6</v>
      </c>
      <c r="G2890">
        <v>3</v>
      </c>
      <c r="H2890">
        <v>0</v>
      </c>
      <c r="I2890">
        <v>0</v>
      </c>
      <c r="J2890">
        <v>9</v>
      </c>
      <c r="K2890" t="s">
        <v>247</v>
      </c>
    </row>
    <row r="2891" spans="2:11" x14ac:dyDescent="0.25">
      <c r="B2891">
        <v>3073</v>
      </c>
      <c r="C2891">
        <v>279</v>
      </c>
      <c r="D2891">
        <v>129</v>
      </c>
      <c r="E2891">
        <v>10</v>
      </c>
      <c r="F2891">
        <v>5</v>
      </c>
      <c r="G2891">
        <v>20</v>
      </c>
      <c r="H2891">
        <v>0</v>
      </c>
      <c r="I2891">
        <v>0</v>
      </c>
      <c r="J2891">
        <v>25</v>
      </c>
      <c r="K2891" t="s">
        <v>251</v>
      </c>
    </row>
    <row r="2892" spans="2:11" x14ac:dyDescent="0.25">
      <c r="B2892">
        <v>3070</v>
      </c>
      <c r="C2892">
        <v>324</v>
      </c>
      <c r="D2892">
        <v>150</v>
      </c>
      <c r="E2892">
        <v>12</v>
      </c>
      <c r="F2892">
        <v>6</v>
      </c>
      <c r="G2892">
        <v>5</v>
      </c>
      <c r="H2892">
        <v>0</v>
      </c>
      <c r="I2892">
        <v>0</v>
      </c>
      <c r="J2892">
        <v>11</v>
      </c>
      <c r="K2892" t="s">
        <v>250</v>
      </c>
    </row>
    <row r="2893" spans="2:11" x14ac:dyDescent="0.25">
      <c r="B2893">
        <v>3079</v>
      </c>
      <c r="C2893">
        <v>288</v>
      </c>
      <c r="D2893">
        <v>134</v>
      </c>
      <c r="E2893">
        <v>13</v>
      </c>
      <c r="F2893">
        <v>19</v>
      </c>
      <c r="G2893">
        <v>0</v>
      </c>
      <c r="H2893">
        <v>1</v>
      </c>
      <c r="I2893">
        <v>0</v>
      </c>
      <c r="J2893">
        <v>20</v>
      </c>
      <c r="K2893" t="s">
        <v>246</v>
      </c>
    </row>
    <row r="2894" spans="2:11" x14ac:dyDescent="0.25">
      <c r="B2894">
        <v>3084</v>
      </c>
      <c r="C2894">
        <v>74</v>
      </c>
      <c r="D2894">
        <v>36</v>
      </c>
      <c r="E2894">
        <v>11</v>
      </c>
      <c r="F2894">
        <v>4</v>
      </c>
      <c r="G2894">
        <v>6</v>
      </c>
      <c r="H2894">
        <v>0</v>
      </c>
      <c r="I2894">
        <v>0</v>
      </c>
      <c r="J2894">
        <v>10</v>
      </c>
      <c r="K2894" t="s">
        <v>247</v>
      </c>
    </row>
    <row r="2895" spans="2:11" x14ac:dyDescent="0.25">
      <c r="B2895">
        <v>3085</v>
      </c>
      <c r="C2895">
        <v>93</v>
      </c>
      <c r="D2895">
        <v>46</v>
      </c>
      <c r="E2895">
        <v>13</v>
      </c>
      <c r="F2895">
        <v>10</v>
      </c>
      <c r="G2895">
        <v>3</v>
      </c>
      <c r="H2895">
        <v>0</v>
      </c>
      <c r="I2895">
        <v>0</v>
      </c>
      <c r="J2895">
        <v>13</v>
      </c>
      <c r="K2895" t="s">
        <v>252</v>
      </c>
    </row>
    <row r="2896" spans="2:11" x14ac:dyDescent="0.25">
      <c r="B2896">
        <v>3090</v>
      </c>
      <c r="C2896">
        <v>92</v>
      </c>
      <c r="D2896">
        <v>46</v>
      </c>
      <c r="E2896">
        <v>11</v>
      </c>
      <c r="F2896">
        <v>16</v>
      </c>
      <c r="G2896">
        <v>4</v>
      </c>
      <c r="H2896">
        <v>0</v>
      </c>
      <c r="I2896">
        <v>0</v>
      </c>
      <c r="J2896">
        <v>20</v>
      </c>
      <c r="K2896" t="s">
        <v>247</v>
      </c>
    </row>
    <row r="2897" spans="2:11" x14ac:dyDescent="0.25">
      <c r="B2897">
        <v>3092</v>
      </c>
      <c r="C2897">
        <v>337</v>
      </c>
      <c r="D2897">
        <v>152</v>
      </c>
      <c r="E2897">
        <v>12</v>
      </c>
      <c r="F2897">
        <v>12</v>
      </c>
      <c r="G2897">
        <v>18</v>
      </c>
      <c r="H2897">
        <v>0</v>
      </c>
      <c r="I2897">
        <v>0</v>
      </c>
      <c r="J2897">
        <v>30</v>
      </c>
      <c r="K2897" t="s">
        <v>246</v>
      </c>
    </row>
    <row r="2898" spans="2:11" x14ac:dyDescent="0.25">
      <c r="B2898">
        <v>3095</v>
      </c>
      <c r="C2898">
        <v>13</v>
      </c>
      <c r="D2898">
        <v>4</v>
      </c>
      <c r="E2898">
        <v>13</v>
      </c>
      <c r="F2898">
        <v>0</v>
      </c>
      <c r="G2898">
        <v>18</v>
      </c>
      <c r="H2898">
        <v>0</v>
      </c>
      <c r="I2898">
        <v>0</v>
      </c>
      <c r="J2898">
        <v>18</v>
      </c>
      <c r="K2898" t="s">
        <v>241</v>
      </c>
    </row>
    <row r="2899" spans="2:11" x14ac:dyDescent="0.25">
      <c r="B2899">
        <v>3105</v>
      </c>
      <c r="C2899">
        <v>244</v>
      </c>
      <c r="D2899">
        <v>108</v>
      </c>
      <c r="E2899">
        <v>12</v>
      </c>
      <c r="F2899">
        <v>2</v>
      </c>
      <c r="G2899">
        <v>1</v>
      </c>
      <c r="H2899">
        <v>1</v>
      </c>
      <c r="I2899">
        <v>0</v>
      </c>
      <c r="J2899">
        <v>4</v>
      </c>
      <c r="K2899" t="s">
        <v>246</v>
      </c>
    </row>
    <row r="2900" spans="2:11" x14ac:dyDescent="0.25">
      <c r="B2900">
        <v>3111</v>
      </c>
      <c r="C2900">
        <v>19</v>
      </c>
      <c r="D2900">
        <v>9</v>
      </c>
      <c r="E2900">
        <v>12</v>
      </c>
      <c r="F2900">
        <v>22</v>
      </c>
      <c r="G2900">
        <v>8</v>
      </c>
      <c r="H2900">
        <v>0</v>
      </c>
      <c r="I2900">
        <v>0</v>
      </c>
      <c r="J2900">
        <v>30</v>
      </c>
      <c r="K2900" t="s">
        <v>251</v>
      </c>
    </row>
    <row r="2901" spans="2:11" x14ac:dyDescent="0.25">
      <c r="B2901">
        <v>3120</v>
      </c>
      <c r="C2901">
        <v>253</v>
      </c>
      <c r="D2901">
        <v>115</v>
      </c>
      <c r="E2901">
        <v>13</v>
      </c>
      <c r="F2901">
        <v>9</v>
      </c>
      <c r="G2901">
        <v>5</v>
      </c>
      <c r="H2901">
        <v>3</v>
      </c>
      <c r="I2901">
        <v>0</v>
      </c>
      <c r="J2901">
        <v>17</v>
      </c>
      <c r="K2901" t="s">
        <v>247</v>
      </c>
    </row>
    <row r="2902" spans="2:11" x14ac:dyDescent="0.25">
      <c r="B2902">
        <v>3118</v>
      </c>
      <c r="C2902">
        <v>75</v>
      </c>
      <c r="D2902">
        <v>37</v>
      </c>
      <c r="E2902">
        <v>12</v>
      </c>
      <c r="F2902">
        <v>3</v>
      </c>
      <c r="G2902">
        <v>7</v>
      </c>
      <c r="H2902">
        <v>3</v>
      </c>
      <c r="I2902">
        <v>0</v>
      </c>
      <c r="J2902">
        <v>13</v>
      </c>
      <c r="K2902" t="s">
        <v>250</v>
      </c>
    </row>
    <row r="2903" spans="2:11" x14ac:dyDescent="0.25">
      <c r="B2903">
        <v>3122</v>
      </c>
      <c r="C2903">
        <v>261</v>
      </c>
      <c r="D2903">
        <v>118</v>
      </c>
      <c r="E2903">
        <v>12</v>
      </c>
      <c r="F2903">
        <v>7</v>
      </c>
      <c r="G2903">
        <v>9</v>
      </c>
      <c r="H2903">
        <v>5</v>
      </c>
      <c r="I2903">
        <v>0</v>
      </c>
      <c r="J2903">
        <v>21</v>
      </c>
      <c r="K2903" t="s">
        <v>251</v>
      </c>
    </row>
    <row r="2904" spans="2:11" x14ac:dyDescent="0.25">
      <c r="B2904">
        <v>3124</v>
      </c>
      <c r="C2904">
        <v>28</v>
      </c>
      <c r="D2904">
        <v>15</v>
      </c>
      <c r="E2904">
        <v>12</v>
      </c>
      <c r="F2904">
        <v>0</v>
      </c>
      <c r="G2904">
        <v>0</v>
      </c>
      <c r="H2904">
        <v>0</v>
      </c>
      <c r="I2904">
        <v>0</v>
      </c>
      <c r="J2904">
        <v>0</v>
      </c>
      <c r="K2904" t="s">
        <v>247</v>
      </c>
    </row>
    <row r="2905" spans="2:11" x14ac:dyDescent="0.25">
      <c r="B2905">
        <v>3126</v>
      </c>
      <c r="C2905">
        <v>111</v>
      </c>
      <c r="D2905">
        <v>51</v>
      </c>
      <c r="E2905">
        <v>12</v>
      </c>
      <c r="F2905">
        <v>2</v>
      </c>
      <c r="G2905">
        <v>11</v>
      </c>
      <c r="H2905">
        <v>0</v>
      </c>
      <c r="I2905">
        <v>0</v>
      </c>
      <c r="J2905">
        <v>13</v>
      </c>
      <c r="K2905" t="s">
        <v>246</v>
      </c>
    </row>
    <row r="2906" spans="2:11" x14ac:dyDescent="0.25">
      <c r="B2906">
        <v>3128</v>
      </c>
      <c r="C2906">
        <v>277</v>
      </c>
      <c r="D2906">
        <v>128</v>
      </c>
      <c r="E2906">
        <v>13</v>
      </c>
      <c r="F2906">
        <v>14</v>
      </c>
      <c r="G2906">
        <v>12</v>
      </c>
      <c r="H2906">
        <v>0</v>
      </c>
      <c r="I2906">
        <v>0</v>
      </c>
      <c r="J2906">
        <v>26</v>
      </c>
      <c r="K2906" t="s">
        <v>252</v>
      </c>
    </row>
    <row r="2907" spans="2:11" x14ac:dyDescent="0.25">
      <c r="B2907">
        <v>3125</v>
      </c>
      <c r="C2907">
        <v>289</v>
      </c>
      <c r="D2907">
        <v>135</v>
      </c>
      <c r="E2907">
        <v>12</v>
      </c>
      <c r="F2907">
        <v>19</v>
      </c>
      <c r="G2907">
        <v>11</v>
      </c>
      <c r="H2907">
        <v>0</v>
      </c>
      <c r="I2907">
        <v>0</v>
      </c>
      <c r="J2907">
        <v>30</v>
      </c>
      <c r="K2907" t="s">
        <v>250</v>
      </c>
    </row>
    <row r="2908" spans="2:11" x14ac:dyDescent="0.25">
      <c r="B2908">
        <v>3129</v>
      </c>
      <c r="C2908">
        <v>240</v>
      </c>
      <c r="D2908">
        <v>107</v>
      </c>
      <c r="E2908">
        <v>12</v>
      </c>
      <c r="F2908">
        <v>11</v>
      </c>
      <c r="G2908">
        <v>5</v>
      </c>
      <c r="H2908">
        <v>0</v>
      </c>
      <c r="I2908">
        <v>0</v>
      </c>
      <c r="J2908">
        <v>16</v>
      </c>
      <c r="K2908" t="s">
        <v>241</v>
      </c>
    </row>
    <row r="2909" spans="2:11" x14ac:dyDescent="0.25">
      <c r="B2909">
        <v>3130</v>
      </c>
      <c r="C2909">
        <v>260</v>
      </c>
      <c r="D2909">
        <v>118</v>
      </c>
      <c r="E2909">
        <v>12</v>
      </c>
      <c r="F2909">
        <v>18</v>
      </c>
      <c r="G2909">
        <v>3</v>
      </c>
      <c r="H2909">
        <v>5</v>
      </c>
      <c r="I2909">
        <v>0</v>
      </c>
      <c r="J2909">
        <v>26</v>
      </c>
      <c r="K2909" t="s">
        <v>251</v>
      </c>
    </row>
    <row r="2910" spans="2:11" x14ac:dyDescent="0.25">
      <c r="B2910">
        <v>3133</v>
      </c>
      <c r="C2910">
        <v>285</v>
      </c>
      <c r="D2910">
        <v>132</v>
      </c>
      <c r="E2910">
        <v>12</v>
      </c>
      <c r="F2910">
        <v>13</v>
      </c>
      <c r="G2910">
        <v>7</v>
      </c>
      <c r="H2910">
        <v>3</v>
      </c>
      <c r="I2910">
        <v>0</v>
      </c>
      <c r="J2910">
        <v>23</v>
      </c>
      <c r="K2910" t="s">
        <v>241</v>
      </c>
    </row>
    <row r="2911" spans="2:11" x14ac:dyDescent="0.25">
      <c r="B2911">
        <v>3134</v>
      </c>
      <c r="C2911">
        <v>251</v>
      </c>
      <c r="D2911">
        <v>113</v>
      </c>
      <c r="E2911">
        <v>13</v>
      </c>
      <c r="F2911">
        <v>3</v>
      </c>
      <c r="G2911">
        <v>2</v>
      </c>
      <c r="H2911">
        <v>5</v>
      </c>
      <c r="I2911">
        <v>0</v>
      </c>
      <c r="J2911">
        <v>10</v>
      </c>
      <c r="K2911" t="s">
        <v>252</v>
      </c>
    </row>
    <row r="2912" spans="2:11" x14ac:dyDescent="0.25">
      <c r="B2912">
        <v>3136</v>
      </c>
      <c r="C2912">
        <v>78</v>
      </c>
      <c r="D2912">
        <v>40</v>
      </c>
      <c r="E2912">
        <v>12</v>
      </c>
      <c r="F2912">
        <v>5</v>
      </c>
      <c r="G2912">
        <v>8</v>
      </c>
      <c r="H2912">
        <v>0</v>
      </c>
      <c r="I2912">
        <v>0</v>
      </c>
      <c r="J2912">
        <v>13</v>
      </c>
      <c r="K2912" t="s">
        <v>250</v>
      </c>
    </row>
    <row r="2913" spans="2:11" x14ac:dyDescent="0.25">
      <c r="B2913">
        <v>3138</v>
      </c>
      <c r="C2913">
        <v>151</v>
      </c>
      <c r="D2913">
        <v>69</v>
      </c>
      <c r="E2913">
        <v>12</v>
      </c>
      <c r="F2913">
        <v>10</v>
      </c>
      <c r="G2913">
        <v>14</v>
      </c>
      <c r="H2913">
        <v>0</v>
      </c>
      <c r="I2913">
        <v>0</v>
      </c>
      <c r="J2913">
        <v>24</v>
      </c>
      <c r="K2913" t="s">
        <v>244</v>
      </c>
    </row>
    <row r="2914" spans="2:11" x14ac:dyDescent="0.25">
      <c r="B2914">
        <v>3140</v>
      </c>
      <c r="C2914">
        <v>318</v>
      </c>
      <c r="D2914">
        <v>147</v>
      </c>
      <c r="E2914">
        <v>12</v>
      </c>
      <c r="F2914">
        <v>14</v>
      </c>
      <c r="G2914">
        <v>16</v>
      </c>
      <c r="H2914">
        <v>0</v>
      </c>
      <c r="I2914">
        <v>0</v>
      </c>
      <c r="J2914">
        <v>30</v>
      </c>
      <c r="K2914" t="s">
        <v>241</v>
      </c>
    </row>
    <row r="2915" spans="2:11" x14ac:dyDescent="0.25">
      <c r="B2915">
        <v>3131</v>
      </c>
      <c r="C2915">
        <v>288</v>
      </c>
      <c r="D2915">
        <v>134</v>
      </c>
      <c r="E2915">
        <v>12</v>
      </c>
      <c r="F2915">
        <v>21</v>
      </c>
      <c r="G2915">
        <v>1</v>
      </c>
      <c r="H2915">
        <v>1</v>
      </c>
      <c r="I2915">
        <v>0</v>
      </c>
      <c r="J2915">
        <v>23</v>
      </c>
      <c r="K2915" t="s">
        <v>246</v>
      </c>
    </row>
    <row r="2916" spans="2:11" x14ac:dyDescent="0.25">
      <c r="B2916">
        <v>3142</v>
      </c>
      <c r="C2916">
        <v>325</v>
      </c>
      <c r="D2916">
        <v>151</v>
      </c>
      <c r="E2916">
        <v>12</v>
      </c>
      <c r="F2916">
        <v>9</v>
      </c>
      <c r="G2916">
        <v>4</v>
      </c>
      <c r="H2916">
        <v>0</v>
      </c>
      <c r="I2916">
        <v>0</v>
      </c>
      <c r="J2916">
        <v>13</v>
      </c>
      <c r="K2916" t="s">
        <v>250</v>
      </c>
    </row>
    <row r="2917" spans="2:11" x14ac:dyDescent="0.25">
      <c r="B2917">
        <v>3144</v>
      </c>
      <c r="C2917">
        <v>76</v>
      </c>
      <c r="D2917">
        <v>38</v>
      </c>
      <c r="E2917">
        <v>12</v>
      </c>
      <c r="F2917">
        <v>10</v>
      </c>
      <c r="G2917">
        <v>5</v>
      </c>
      <c r="H2917">
        <v>1</v>
      </c>
      <c r="I2917">
        <v>0</v>
      </c>
      <c r="J2917">
        <v>16</v>
      </c>
      <c r="K2917" t="s">
        <v>244</v>
      </c>
    </row>
    <row r="2918" spans="2:11" x14ac:dyDescent="0.25">
      <c r="B2918">
        <v>3145</v>
      </c>
      <c r="C2918">
        <v>328</v>
      </c>
      <c r="D2918">
        <v>152</v>
      </c>
      <c r="E2918">
        <v>12</v>
      </c>
      <c r="F2918">
        <v>0</v>
      </c>
      <c r="G2918">
        <v>30</v>
      </c>
      <c r="H2918">
        <v>0</v>
      </c>
      <c r="I2918">
        <v>0</v>
      </c>
      <c r="J2918">
        <v>30</v>
      </c>
      <c r="K2918" t="s">
        <v>241</v>
      </c>
    </row>
    <row r="2919" spans="2:11" x14ac:dyDescent="0.25">
      <c r="B2919">
        <v>3146</v>
      </c>
      <c r="C2919">
        <v>259</v>
      </c>
      <c r="D2919">
        <v>118</v>
      </c>
      <c r="E2919">
        <v>12</v>
      </c>
      <c r="F2919">
        <v>9</v>
      </c>
      <c r="G2919">
        <v>7</v>
      </c>
      <c r="H2919">
        <v>9</v>
      </c>
      <c r="I2919">
        <v>0</v>
      </c>
      <c r="J2919">
        <v>25</v>
      </c>
      <c r="K2919" t="s">
        <v>246</v>
      </c>
    </row>
    <row r="2920" spans="2:11" x14ac:dyDescent="0.25">
      <c r="B2920">
        <v>3147</v>
      </c>
      <c r="C2920">
        <v>80</v>
      </c>
      <c r="D2920">
        <v>38</v>
      </c>
      <c r="E2920">
        <v>11</v>
      </c>
      <c r="F2920">
        <v>4</v>
      </c>
      <c r="G2920">
        <v>9</v>
      </c>
      <c r="H2920">
        <v>0</v>
      </c>
      <c r="I2920">
        <v>0</v>
      </c>
      <c r="J2920">
        <v>13</v>
      </c>
      <c r="K2920" t="s">
        <v>247</v>
      </c>
    </row>
    <row r="2921" spans="2:11" x14ac:dyDescent="0.25">
      <c r="B2921">
        <v>3149</v>
      </c>
      <c r="C2921">
        <v>276</v>
      </c>
      <c r="D2921">
        <v>127</v>
      </c>
      <c r="E2921">
        <v>12</v>
      </c>
      <c r="F2921">
        <v>9</v>
      </c>
      <c r="G2921">
        <v>16</v>
      </c>
      <c r="H2921">
        <v>0</v>
      </c>
      <c r="I2921">
        <v>0</v>
      </c>
      <c r="J2921">
        <v>25</v>
      </c>
      <c r="K2921" t="s">
        <v>244</v>
      </c>
    </row>
    <row r="2922" spans="2:11" x14ac:dyDescent="0.25">
      <c r="B2922">
        <v>3148</v>
      </c>
      <c r="C2922">
        <v>257</v>
      </c>
      <c r="D2922">
        <v>117</v>
      </c>
      <c r="E2922">
        <v>13</v>
      </c>
      <c r="F2922">
        <v>6</v>
      </c>
      <c r="G2922">
        <v>2</v>
      </c>
      <c r="H2922">
        <v>1</v>
      </c>
      <c r="I2922">
        <v>0</v>
      </c>
      <c r="J2922">
        <v>9</v>
      </c>
      <c r="K2922" t="s">
        <v>250</v>
      </c>
    </row>
    <row r="2923" spans="2:11" x14ac:dyDescent="0.25">
      <c r="B2923">
        <v>3151</v>
      </c>
      <c r="C2923">
        <v>60</v>
      </c>
      <c r="D2923">
        <v>31</v>
      </c>
      <c r="E2923">
        <v>11</v>
      </c>
      <c r="F2923">
        <v>18</v>
      </c>
      <c r="G2923">
        <v>10</v>
      </c>
      <c r="H2923">
        <v>2</v>
      </c>
      <c r="I2923">
        <v>0</v>
      </c>
      <c r="J2923">
        <v>30</v>
      </c>
      <c r="K2923" t="s">
        <v>247</v>
      </c>
    </row>
    <row r="2924" spans="2:11" x14ac:dyDescent="0.25">
      <c r="B2924">
        <v>3153</v>
      </c>
      <c r="C2924">
        <v>64</v>
      </c>
      <c r="D2924">
        <v>35</v>
      </c>
      <c r="E2924">
        <v>12</v>
      </c>
      <c r="F2924">
        <v>0</v>
      </c>
      <c r="G2924">
        <v>9</v>
      </c>
      <c r="H2924">
        <v>0</v>
      </c>
      <c r="I2924">
        <v>0</v>
      </c>
      <c r="J2924">
        <v>9</v>
      </c>
      <c r="K2924" t="s">
        <v>246</v>
      </c>
    </row>
    <row r="2925" spans="2:11" x14ac:dyDescent="0.25">
      <c r="B2925">
        <v>3150</v>
      </c>
      <c r="C2925">
        <v>329</v>
      </c>
      <c r="D2925">
        <v>152</v>
      </c>
      <c r="E2925">
        <v>12</v>
      </c>
      <c r="F2925">
        <v>20</v>
      </c>
      <c r="G2925">
        <v>8</v>
      </c>
      <c r="H2925">
        <v>2</v>
      </c>
      <c r="I2925">
        <v>0</v>
      </c>
      <c r="J2925">
        <v>30</v>
      </c>
      <c r="K2925" t="s">
        <v>241</v>
      </c>
    </row>
    <row r="2926" spans="2:11" x14ac:dyDescent="0.25">
      <c r="B2926">
        <v>3154</v>
      </c>
      <c r="C2926">
        <v>18</v>
      </c>
      <c r="D2926">
        <v>9</v>
      </c>
      <c r="E2926">
        <v>11</v>
      </c>
      <c r="F2926">
        <v>3</v>
      </c>
      <c r="G2926">
        <v>9</v>
      </c>
      <c r="H2926">
        <v>0</v>
      </c>
      <c r="I2926">
        <v>0</v>
      </c>
      <c r="J2926">
        <v>12</v>
      </c>
      <c r="K2926" t="s">
        <v>244</v>
      </c>
    </row>
    <row r="2927" spans="2:11" x14ac:dyDescent="0.25">
      <c r="B2927">
        <v>3155</v>
      </c>
      <c r="C2927">
        <v>167</v>
      </c>
      <c r="D2927">
        <v>72</v>
      </c>
      <c r="E2927">
        <v>11</v>
      </c>
      <c r="F2927">
        <v>7</v>
      </c>
      <c r="G2927">
        <v>4</v>
      </c>
      <c r="H2927">
        <v>0</v>
      </c>
      <c r="I2927">
        <v>0</v>
      </c>
      <c r="J2927">
        <v>11</v>
      </c>
      <c r="K2927" t="s">
        <v>247</v>
      </c>
    </row>
    <row r="2928" spans="2:11" x14ac:dyDescent="0.25">
      <c r="B2928">
        <v>3157</v>
      </c>
      <c r="C2928">
        <v>110</v>
      </c>
      <c r="D2928">
        <v>51</v>
      </c>
      <c r="E2928">
        <v>11</v>
      </c>
      <c r="F2928">
        <v>4</v>
      </c>
      <c r="G2928">
        <v>22</v>
      </c>
      <c r="H2928">
        <v>0</v>
      </c>
      <c r="I2928">
        <v>0</v>
      </c>
      <c r="J2928">
        <v>26</v>
      </c>
      <c r="K2928" t="s">
        <v>252</v>
      </c>
    </row>
    <row r="2929" spans="2:11" x14ac:dyDescent="0.25">
      <c r="B2929">
        <v>3160</v>
      </c>
      <c r="C2929">
        <v>243</v>
      </c>
      <c r="D2929">
        <v>108</v>
      </c>
      <c r="E2929">
        <v>11</v>
      </c>
      <c r="F2929">
        <v>7</v>
      </c>
      <c r="G2929">
        <v>2</v>
      </c>
      <c r="H2929">
        <v>2</v>
      </c>
      <c r="I2929">
        <v>0</v>
      </c>
      <c r="J2929">
        <v>11</v>
      </c>
      <c r="K2929" t="s">
        <v>247</v>
      </c>
    </row>
    <row r="2930" spans="2:11" x14ac:dyDescent="0.25">
      <c r="B2930">
        <v>3163</v>
      </c>
      <c r="C2930">
        <v>319</v>
      </c>
      <c r="D2930">
        <v>147</v>
      </c>
      <c r="E2930">
        <v>11</v>
      </c>
      <c r="F2930">
        <v>4</v>
      </c>
      <c r="G2930">
        <v>6</v>
      </c>
      <c r="H2930">
        <v>0</v>
      </c>
      <c r="I2930">
        <v>0</v>
      </c>
      <c r="J2930">
        <v>10</v>
      </c>
      <c r="K2930" t="s">
        <v>252</v>
      </c>
    </row>
    <row r="2931" spans="2:11" x14ac:dyDescent="0.25">
      <c r="B2931">
        <v>3161</v>
      </c>
      <c r="C2931">
        <v>12</v>
      </c>
      <c r="D2931">
        <v>3</v>
      </c>
      <c r="E2931">
        <v>11</v>
      </c>
      <c r="F2931">
        <v>17</v>
      </c>
      <c r="G2931">
        <v>6</v>
      </c>
      <c r="H2931">
        <v>0</v>
      </c>
      <c r="I2931">
        <v>0</v>
      </c>
      <c r="J2931">
        <v>23</v>
      </c>
      <c r="K2931" t="s">
        <v>244</v>
      </c>
    </row>
    <row r="2932" spans="2:11" x14ac:dyDescent="0.25">
      <c r="B2932">
        <v>3166</v>
      </c>
      <c r="C2932">
        <v>46</v>
      </c>
      <c r="D2932">
        <v>23</v>
      </c>
      <c r="E2932">
        <v>12</v>
      </c>
      <c r="F2932">
        <v>11</v>
      </c>
      <c r="G2932">
        <v>11</v>
      </c>
      <c r="H2932">
        <v>0</v>
      </c>
      <c r="I2932">
        <v>0</v>
      </c>
      <c r="J2932">
        <v>22</v>
      </c>
      <c r="K2932" t="s">
        <v>246</v>
      </c>
    </row>
    <row r="2933" spans="2:11" x14ac:dyDescent="0.25">
      <c r="B2933">
        <v>3167</v>
      </c>
      <c r="C2933">
        <v>135</v>
      </c>
      <c r="D2933">
        <v>60</v>
      </c>
      <c r="E2933">
        <v>11</v>
      </c>
      <c r="F2933">
        <v>2</v>
      </c>
      <c r="G2933">
        <v>3</v>
      </c>
      <c r="H2933">
        <v>5</v>
      </c>
      <c r="I2933">
        <v>0</v>
      </c>
      <c r="J2933">
        <v>10</v>
      </c>
      <c r="K2933" t="s">
        <v>247</v>
      </c>
    </row>
    <row r="2934" spans="2:11" x14ac:dyDescent="0.25">
      <c r="B2934">
        <v>3165</v>
      </c>
      <c r="C2934">
        <v>275</v>
      </c>
      <c r="D2934">
        <v>126</v>
      </c>
      <c r="E2934">
        <v>13</v>
      </c>
      <c r="F2934">
        <v>10</v>
      </c>
      <c r="G2934">
        <v>9</v>
      </c>
      <c r="H2934">
        <v>0</v>
      </c>
      <c r="I2934">
        <v>0</v>
      </c>
      <c r="J2934">
        <v>19</v>
      </c>
      <c r="K2934" t="s">
        <v>250</v>
      </c>
    </row>
    <row r="2935" spans="2:11" x14ac:dyDescent="0.25">
      <c r="B2935">
        <v>3168</v>
      </c>
      <c r="C2935">
        <v>92</v>
      </c>
      <c r="D2935">
        <v>46</v>
      </c>
      <c r="E2935">
        <v>12</v>
      </c>
      <c r="F2935">
        <v>18</v>
      </c>
      <c r="G2935">
        <v>8</v>
      </c>
      <c r="H2935">
        <v>0</v>
      </c>
      <c r="I2935">
        <v>0</v>
      </c>
      <c r="J2935">
        <v>26</v>
      </c>
      <c r="K2935" t="s">
        <v>251</v>
      </c>
    </row>
    <row r="2936" spans="2:11" x14ac:dyDescent="0.25">
      <c r="B2936">
        <v>3169</v>
      </c>
      <c r="C2936">
        <v>80</v>
      </c>
      <c r="D2936">
        <v>38</v>
      </c>
      <c r="E2936">
        <v>12</v>
      </c>
      <c r="F2936">
        <v>8</v>
      </c>
      <c r="G2936">
        <v>3</v>
      </c>
      <c r="H2936">
        <v>1</v>
      </c>
      <c r="I2936">
        <v>0</v>
      </c>
      <c r="J2936">
        <v>12</v>
      </c>
      <c r="K2936" t="s">
        <v>252</v>
      </c>
    </row>
    <row r="2937" spans="2:11" x14ac:dyDescent="0.25">
      <c r="B2937">
        <v>3172</v>
      </c>
      <c r="C2937">
        <v>63</v>
      </c>
      <c r="D2937">
        <v>34</v>
      </c>
      <c r="E2937">
        <v>13</v>
      </c>
      <c r="F2937">
        <v>4</v>
      </c>
      <c r="G2937">
        <v>7</v>
      </c>
      <c r="H2937">
        <v>0</v>
      </c>
      <c r="I2937">
        <v>0</v>
      </c>
      <c r="J2937">
        <v>11</v>
      </c>
      <c r="K2937" t="s">
        <v>246</v>
      </c>
    </row>
    <row r="2938" spans="2:11" x14ac:dyDescent="0.25">
      <c r="B2938">
        <v>3177</v>
      </c>
      <c r="C2938">
        <v>28</v>
      </c>
      <c r="D2938">
        <v>15</v>
      </c>
      <c r="E2938">
        <v>11</v>
      </c>
      <c r="F2938">
        <v>0</v>
      </c>
      <c r="G2938">
        <v>0</v>
      </c>
      <c r="H2938">
        <v>0</v>
      </c>
      <c r="I2938">
        <v>0</v>
      </c>
      <c r="J2938">
        <v>0</v>
      </c>
      <c r="K2938" t="s">
        <v>244</v>
      </c>
    </row>
    <row r="2939" spans="2:11" x14ac:dyDescent="0.25">
      <c r="B2939">
        <v>3174</v>
      </c>
      <c r="C2939">
        <v>345</v>
      </c>
      <c r="D2939">
        <v>155</v>
      </c>
      <c r="E2939">
        <v>12</v>
      </c>
      <c r="F2939">
        <v>9</v>
      </c>
      <c r="G2939">
        <v>8</v>
      </c>
      <c r="H2939">
        <v>0</v>
      </c>
      <c r="I2939">
        <v>0</v>
      </c>
      <c r="J2939">
        <v>17</v>
      </c>
      <c r="K2939" t="s">
        <v>252</v>
      </c>
    </row>
    <row r="2940" spans="2:11" x14ac:dyDescent="0.25">
      <c r="B2940">
        <v>3176</v>
      </c>
      <c r="C2940">
        <v>151</v>
      </c>
      <c r="D2940">
        <v>69</v>
      </c>
      <c r="E2940">
        <v>3</v>
      </c>
      <c r="F2940">
        <v>10</v>
      </c>
      <c r="G2940">
        <v>18</v>
      </c>
      <c r="H2940">
        <v>0</v>
      </c>
      <c r="I2940">
        <v>0</v>
      </c>
      <c r="J2940">
        <v>28</v>
      </c>
      <c r="K2940" t="s">
        <v>251</v>
      </c>
    </row>
    <row r="2941" spans="2:11" x14ac:dyDescent="0.25">
      <c r="B2941">
        <v>3179</v>
      </c>
      <c r="C2941">
        <v>46</v>
      </c>
      <c r="D2941">
        <v>23</v>
      </c>
      <c r="E2941">
        <v>13</v>
      </c>
      <c r="F2941">
        <v>14</v>
      </c>
      <c r="G2941">
        <v>10</v>
      </c>
      <c r="H2941">
        <v>0</v>
      </c>
      <c r="I2941">
        <v>0</v>
      </c>
      <c r="J2941">
        <v>24</v>
      </c>
      <c r="K2941" t="s">
        <v>246</v>
      </c>
    </row>
    <row r="2942" spans="2:11" x14ac:dyDescent="0.25">
      <c r="B2942">
        <v>3181</v>
      </c>
      <c r="C2942">
        <v>264</v>
      </c>
      <c r="D2942">
        <v>118</v>
      </c>
      <c r="E2942">
        <v>12</v>
      </c>
      <c r="F2942">
        <v>5</v>
      </c>
      <c r="G2942">
        <v>12</v>
      </c>
      <c r="H2942">
        <v>1</v>
      </c>
      <c r="I2942">
        <v>0</v>
      </c>
      <c r="J2942">
        <v>18</v>
      </c>
      <c r="K2942" t="s">
        <v>252</v>
      </c>
    </row>
    <row r="2943" spans="2:11" x14ac:dyDescent="0.25">
      <c r="B2943">
        <v>3180</v>
      </c>
      <c r="C2943">
        <v>242</v>
      </c>
      <c r="D2943">
        <v>107</v>
      </c>
      <c r="E2943">
        <v>11</v>
      </c>
      <c r="F2943">
        <v>2</v>
      </c>
      <c r="G2943">
        <v>5</v>
      </c>
      <c r="H2943">
        <v>0</v>
      </c>
      <c r="I2943">
        <v>0</v>
      </c>
      <c r="J2943">
        <v>7</v>
      </c>
      <c r="K2943" t="s">
        <v>244</v>
      </c>
    </row>
    <row r="2944" spans="2:11" x14ac:dyDescent="0.25">
      <c r="B2944">
        <v>3185</v>
      </c>
      <c r="C2944">
        <v>80</v>
      </c>
      <c r="D2944">
        <v>38</v>
      </c>
      <c r="E2944">
        <v>13</v>
      </c>
      <c r="F2944">
        <v>2</v>
      </c>
      <c r="G2944">
        <v>7</v>
      </c>
      <c r="H2944">
        <v>1</v>
      </c>
      <c r="I2944">
        <v>0</v>
      </c>
      <c r="J2944">
        <v>10</v>
      </c>
      <c r="K2944" t="s">
        <v>241</v>
      </c>
    </row>
    <row r="2945" spans="2:11" x14ac:dyDescent="0.25">
      <c r="B2945">
        <v>3183</v>
      </c>
      <c r="C2945">
        <v>276</v>
      </c>
      <c r="D2945">
        <v>127</v>
      </c>
      <c r="E2945">
        <v>13</v>
      </c>
      <c r="F2945">
        <v>10</v>
      </c>
      <c r="G2945">
        <v>19</v>
      </c>
      <c r="H2945">
        <v>0</v>
      </c>
      <c r="I2945">
        <v>0</v>
      </c>
      <c r="J2945">
        <v>29</v>
      </c>
      <c r="K2945" t="s">
        <v>251</v>
      </c>
    </row>
    <row r="2946" spans="2:11" x14ac:dyDescent="0.25">
      <c r="B2946">
        <v>3188</v>
      </c>
      <c r="C2946">
        <v>345</v>
      </c>
      <c r="D2946">
        <v>155</v>
      </c>
      <c r="E2946">
        <v>13</v>
      </c>
      <c r="F2946">
        <v>10</v>
      </c>
      <c r="G2946">
        <v>7</v>
      </c>
      <c r="H2946">
        <v>1</v>
      </c>
      <c r="I2946">
        <v>0</v>
      </c>
      <c r="J2946">
        <v>18</v>
      </c>
      <c r="K2946" t="s">
        <v>241</v>
      </c>
    </row>
    <row r="2947" spans="2:11" x14ac:dyDescent="0.25">
      <c r="B2947">
        <v>3186</v>
      </c>
      <c r="C2947">
        <v>270</v>
      </c>
      <c r="D2947">
        <v>122</v>
      </c>
      <c r="E2947">
        <v>12</v>
      </c>
      <c r="F2947">
        <v>10</v>
      </c>
      <c r="G2947">
        <v>13</v>
      </c>
      <c r="H2947">
        <v>6</v>
      </c>
      <c r="I2947">
        <v>0</v>
      </c>
      <c r="J2947">
        <v>29</v>
      </c>
      <c r="K2947" t="s">
        <v>252</v>
      </c>
    </row>
    <row r="2948" spans="2:11" x14ac:dyDescent="0.25">
      <c r="B2948">
        <v>3182</v>
      </c>
      <c r="C2948">
        <v>332</v>
      </c>
      <c r="D2948">
        <v>152</v>
      </c>
      <c r="E2948">
        <v>12</v>
      </c>
      <c r="F2948">
        <v>1</v>
      </c>
      <c r="G2948">
        <v>28</v>
      </c>
      <c r="H2948">
        <v>1</v>
      </c>
      <c r="I2948">
        <v>0</v>
      </c>
      <c r="J2948">
        <v>30</v>
      </c>
      <c r="K2948" t="s">
        <v>250</v>
      </c>
    </row>
    <row r="2949" spans="2:11" x14ac:dyDescent="0.25">
      <c r="B2949">
        <v>3189</v>
      </c>
      <c r="C2949">
        <v>283</v>
      </c>
      <c r="D2949">
        <v>131</v>
      </c>
      <c r="E2949">
        <v>13</v>
      </c>
      <c r="F2949">
        <v>10</v>
      </c>
      <c r="G2949">
        <v>3</v>
      </c>
      <c r="H2949">
        <v>6</v>
      </c>
      <c r="I2949">
        <v>0</v>
      </c>
      <c r="J2949">
        <v>19</v>
      </c>
      <c r="K2949" t="s">
        <v>251</v>
      </c>
    </row>
    <row r="2950" spans="2:11" x14ac:dyDescent="0.25">
      <c r="B2950">
        <v>3191</v>
      </c>
      <c r="C2950">
        <v>346</v>
      </c>
      <c r="D2950">
        <v>155</v>
      </c>
      <c r="E2950">
        <v>13</v>
      </c>
      <c r="F2950">
        <v>10</v>
      </c>
      <c r="G2950">
        <v>14</v>
      </c>
      <c r="H2950">
        <v>0</v>
      </c>
      <c r="I2950">
        <v>0</v>
      </c>
      <c r="J2950">
        <v>24</v>
      </c>
      <c r="K2950" t="s">
        <v>241</v>
      </c>
    </row>
    <row r="2951" spans="2:11" x14ac:dyDescent="0.25">
      <c r="B2951">
        <v>3190</v>
      </c>
      <c r="C2951">
        <v>60</v>
      </c>
      <c r="D2951">
        <v>31</v>
      </c>
      <c r="E2951">
        <v>12</v>
      </c>
      <c r="F2951">
        <v>28</v>
      </c>
      <c r="G2951">
        <v>2</v>
      </c>
      <c r="H2951">
        <v>0</v>
      </c>
      <c r="I2951">
        <v>0</v>
      </c>
      <c r="J2951">
        <v>30</v>
      </c>
      <c r="K2951" t="s">
        <v>252</v>
      </c>
    </row>
    <row r="2952" spans="2:11" x14ac:dyDescent="0.25">
      <c r="B2952">
        <v>3194</v>
      </c>
      <c r="C2952">
        <v>314</v>
      </c>
      <c r="D2952">
        <v>145</v>
      </c>
      <c r="E2952">
        <v>13</v>
      </c>
      <c r="F2952">
        <v>15</v>
      </c>
      <c r="G2952">
        <v>3</v>
      </c>
      <c r="H2952">
        <v>3</v>
      </c>
      <c r="I2952">
        <v>0</v>
      </c>
      <c r="J2952">
        <v>21</v>
      </c>
      <c r="K2952" t="s">
        <v>241</v>
      </c>
    </row>
    <row r="2953" spans="2:11" x14ac:dyDescent="0.25">
      <c r="B2953">
        <v>3192</v>
      </c>
      <c r="C2953">
        <v>302</v>
      </c>
      <c r="D2953">
        <v>140</v>
      </c>
      <c r="E2953">
        <v>12</v>
      </c>
      <c r="F2953">
        <v>7</v>
      </c>
      <c r="G2953">
        <v>19</v>
      </c>
      <c r="H2953">
        <v>0</v>
      </c>
      <c r="I2953">
        <v>0</v>
      </c>
      <c r="J2953">
        <v>26</v>
      </c>
      <c r="K2953" t="s">
        <v>250</v>
      </c>
    </row>
    <row r="2954" spans="2:11" x14ac:dyDescent="0.25">
      <c r="B2954">
        <v>3195</v>
      </c>
      <c r="C2954">
        <v>12</v>
      </c>
      <c r="D2954">
        <v>3</v>
      </c>
      <c r="E2954">
        <v>12</v>
      </c>
      <c r="F2954">
        <v>15</v>
      </c>
      <c r="G2954">
        <v>10</v>
      </c>
      <c r="H2954">
        <v>0</v>
      </c>
      <c r="I2954">
        <v>0</v>
      </c>
      <c r="J2954">
        <v>25</v>
      </c>
      <c r="K2954" t="s">
        <v>251</v>
      </c>
    </row>
    <row r="2955" spans="2:11" x14ac:dyDescent="0.25">
      <c r="B2955">
        <v>4510</v>
      </c>
      <c r="C2955">
        <v>247</v>
      </c>
      <c r="D2955">
        <v>110</v>
      </c>
      <c r="E2955">
        <v>16</v>
      </c>
      <c r="F2955">
        <v>3</v>
      </c>
      <c r="G2955">
        <v>4</v>
      </c>
      <c r="H2955">
        <v>4</v>
      </c>
      <c r="I2955">
        <v>0</v>
      </c>
      <c r="J2955">
        <v>11</v>
      </c>
      <c r="K2955" t="s">
        <v>250</v>
      </c>
    </row>
    <row r="2956" spans="2:11" x14ac:dyDescent="0.25">
      <c r="B2956">
        <v>5630</v>
      </c>
      <c r="C2956">
        <v>191</v>
      </c>
      <c r="D2956">
        <v>83</v>
      </c>
      <c r="E2956">
        <v>3</v>
      </c>
      <c r="F2956">
        <v>2</v>
      </c>
      <c r="G2956">
        <v>20</v>
      </c>
      <c r="H2956">
        <v>0</v>
      </c>
      <c r="I2956">
        <v>0</v>
      </c>
      <c r="J2956">
        <v>22</v>
      </c>
      <c r="K2956" t="s">
        <v>241</v>
      </c>
    </row>
    <row r="2957" spans="2:11" x14ac:dyDescent="0.25">
      <c r="B2957">
        <v>5634</v>
      </c>
      <c r="C2957">
        <v>191</v>
      </c>
      <c r="D2957">
        <v>83</v>
      </c>
      <c r="E2957">
        <v>4</v>
      </c>
      <c r="F2957">
        <v>2</v>
      </c>
      <c r="G2957">
        <v>28</v>
      </c>
      <c r="H2957">
        <v>0</v>
      </c>
      <c r="I2957">
        <v>0</v>
      </c>
      <c r="J2957">
        <v>30</v>
      </c>
      <c r="K2957" t="s">
        <v>241</v>
      </c>
    </row>
    <row r="2958" spans="2:11" x14ac:dyDescent="0.25">
      <c r="B2958">
        <v>5635</v>
      </c>
      <c r="C2958">
        <v>191</v>
      </c>
      <c r="D2958">
        <v>83</v>
      </c>
      <c r="E2958">
        <v>5</v>
      </c>
      <c r="F2958">
        <v>0</v>
      </c>
      <c r="G2958">
        <v>30</v>
      </c>
      <c r="H2958">
        <v>0</v>
      </c>
      <c r="I2958">
        <v>0</v>
      </c>
      <c r="J2958">
        <v>30</v>
      </c>
      <c r="K2958" t="s">
        <v>241</v>
      </c>
    </row>
    <row r="2959" spans="2:11" x14ac:dyDescent="0.25">
      <c r="B2959">
        <v>3231</v>
      </c>
      <c r="C2959">
        <v>330</v>
      </c>
      <c r="D2959">
        <v>152</v>
      </c>
      <c r="E2959">
        <v>12</v>
      </c>
      <c r="F2959">
        <v>4</v>
      </c>
      <c r="G2959">
        <v>15</v>
      </c>
      <c r="H2959">
        <v>1</v>
      </c>
      <c r="I2959">
        <v>0</v>
      </c>
      <c r="J2959">
        <v>20</v>
      </c>
      <c r="K2959" t="s">
        <v>251</v>
      </c>
    </row>
    <row r="2960" spans="2:11" x14ac:dyDescent="0.25">
      <c r="B2960">
        <v>3229</v>
      </c>
      <c r="C2960">
        <v>167</v>
      </c>
      <c r="D2960">
        <v>72</v>
      </c>
      <c r="E2960">
        <v>7</v>
      </c>
      <c r="F2960">
        <v>9</v>
      </c>
      <c r="G2960">
        <v>25</v>
      </c>
      <c r="H2960">
        <v>0</v>
      </c>
      <c r="I2960">
        <v>0</v>
      </c>
      <c r="J2960">
        <v>34</v>
      </c>
      <c r="K2960" t="s">
        <v>252</v>
      </c>
    </row>
    <row r="2961" spans="2:11" x14ac:dyDescent="0.25">
      <c r="B2961">
        <v>3234</v>
      </c>
      <c r="C2961">
        <v>21</v>
      </c>
      <c r="D2961">
        <v>10</v>
      </c>
      <c r="E2961">
        <v>13</v>
      </c>
      <c r="F2961">
        <v>10</v>
      </c>
      <c r="G2961">
        <v>6</v>
      </c>
      <c r="H2961">
        <v>0</v>
      </c>
      <c r="I2961">
        <v>0</v>
      </c>
      <c r="J2961">
        <v>16</v>
      </c>
      <c r="K2961" t="s">
        <v>241</v>
      </c>
    </row>
    <row r="2962" spans="2:11" x14ac:dyDescent="0.25">
      <c r="B2962">
        <v>3233</v>
      </c>
      <c r="C2962">
        <v>349</v>
      </c>
      <c r="D2962">
        <v>156</v>
      </c>
      <c r="E2962">
        <v>12</v>
      </c>
      <c r="F2962">
        <v>10</v>
      </c>
      <c r="G2962">
        <v>10</v>
      </c>
      <c r="H2962">
        <v>0</v>
      </c>
      <c r="I2962">
        <v>0</v>
      </c>
      <c r="J2962">
        <v>20</v>
      </c>
      <c r="K2962" t="s">
        <v>246</v>
      </c>
    </row>
    <row r="2963" spans="2:11" x14ac:dyDescent="0.25">
      <c r="B2963">
        <v>3240</v>
      </c>
      <c r="C2963">
        <v>301</v>
      </c>
      <c r="D2963">
        <v>139</v>
      </c>
      <c r="E2963">
        <v>13</v>
      </c>
      <c r="F2963">
        <v>5</v>
      </c>
      <c r="G2963">
        <v>2</v>
      </c>
      <c r="H2963">
        <v>0</v>
      </c>
      <c r="I2963">
        <v>0</v>
      </c>
      <c r="J2963">
        <v>7</v>
      </c>
      <c r="K2963" t="s">
        <v>241</v>
      </c>
    </row>
    <row r="2964" spans="2:11" x14ac:dyDescent="0.25">
      <c r="B2964">
        <v>3244</v>
      </c>
      <c r="C2964">
        <v>262</v>
      </c>
      <c r="D2964">
        <v>118</v>
      </c>
      <c r="E2964">
        <v>3</v>
      </c>
      <c r="F2964">
        <v>7</v>
      </c>
      <c r="G2964">
        <v>6</v>
      </c>
      <c r="H2964">
        <v>0</v>
      </c>
      <c r="I2964">
        <v>0</v>
      </c>
      <c r="J2964">
        <v>13</v>
      </c>
      <c r="K2964" t="s">
        <v>249</v>
      </c>
    </row>
    <row r="2965" spans="2:11" x14ac:dyDescent="0.25">
      <c r="B2965">
        <v>3242</v>
      </c>
      <c r="C2965">
        <v>13</v>
      </c>
      <c r="D2965">
        <v>4</v>
      </c>
      <c r="E2965">
        <v>12</v>
      </c>
      <c r="F2965">
        <v>1</v>
      </c>
      <c r="G2965">
        <v>21</v>
      </c>
      <c r="H2965">
        <v>0</v>
      </c>
      <c r="I2965">
        <v>0</v>
      </c>
      <c r="J2965">
        <v>22</v>
      </c>
      <c r="K2965" t="s">
        <v>246</v>
      </c>
    </row>
    <row r="2966" spans="2:11" x14ac:dyDescent="0.25">
      <c r="B2966">
        <v>3247</v>
      </c>
      <c r="C2966">
        <v>60</v>
      </c>
      <c r="D2966">
        <v>31</v>
      </c>
      <c r="E2966">
        <v>9</v>
      </c>
      <c r="F2966">
        <v>5</v>
      </c>
      <c r="G2966">
        <v>4</v>
      </c>
      <c r="H2966">
        <v>0</v>
      </c>
      <c r="I2966">
        <v>0</v>
      </c>
      <c r="J2966">
        <v>9</v>
      </c>
      <c r="K2966" t="s">
        <v>252</v>
      </c>
    </row>
    <row r="2967" spans="2:11" x14ac:dyDescent="0.25">
      <c r="B2967">
        <v>3243</v>
      </c>
      <c r="C2967">
        <v>313</v>
      </c>
      <c r="D2967">
        <v>144</v>
      </c>
      <c r="E2967">
        <v>13</v>
      </c>
      <c r="F2967">
        <v>6</v>
      </c>
      <c r="G2967">
        <v>5</v>
      </c>
      <c r="H2967">
        <v>0</v>
      </c>
      <c r="I2967">
        <v>0</v>
      </c>
      <c r="J2967">
        <v>11</v>
      </c>
      <c r="K2967" t="s">
        <v>241</v>
      </c>
    </row>
    <row r="2968" spans="2:11" x14ac:dyDescent="0.25">
      <c r="B2968">
        <v>3248</v>
      </c>
      <c r="C2968">
        <v>31</v>
      </c>
      <c r="D2968">
        <v>17</v>
      </c>
      <c r="E2968">
        <v>12</v>
      </c>
      <c r="F2968">
        <v>10</v>
      </c>
      <c r="G2968">
        <v>8</v>
      </c>
      <c r="H2968">
        <v>0</v>
      </c>
      <c r="I2968">
        <v>0</v>
      </c>
      <c r="J2968">
        <v>18</v>
      </c>
      <c r="K2968" t="s">
        <v>246</v>
      </c>
    </row>
    <row r="2969" spans="2:11" x14ac:dyDescent="0.25">
      <c r="B2969">
        <v>3249</v>
      </c>
      <c r="C2969">
        <v>271</v>
      </c>
      <c r="D2969">
        <v>122</v>
      </c>
      <c r="E2969">
        <v>13</v>
      </c>
      <c r="F2969">
        <v>15</v>
      </c>
      <c r="G2969">
        <v>15</v>
      </c>
      <c r="H2969">
        <v>0</v>
      </c>
      <c r="I2969">
        <v>0</v>
      </c>
      <c r="J2969">
        <v>30</v>
      </c>
      <c r="K2969" t="s">
        <v>249</v>
      </c>
    </row>
    <row r="2970" spans="2:11" x14ac:dyDescent="0.25">
      <c r="B2970">
        <v>3253</v>
      </c>
      <c r="C2970">
        <v>27</v>
      </c>
      <c r="D2970">
        <v>14</v>
      </c>
      <c r="E2970">
        <v>12</v>
      </c>
      <c r="F2970">
        <v>15</v>
      </c>
      <c r="G2970">
        <v>11</v>
      </c>
      <c r="H2970">
        <v>4</v>
      </c>
      <c r="I2970">
        <v>0</v>
      </c>
      <c r="J2970">
        <v>30</v>
      </c>
      <c r="K2970" t="s">
        <v>246</v>
      </c>
    </row>
    <row r="2971" spans="2:11" x14ac:dyDescent="0.25">
      <c r="B2971">
        <v>3246</v>
      </c>
      <c r="C2971">
        <v>76</v>
      </c>
      <c r="D2971">
        <v>38</v>
      </c>
      <c r="E2971">
        <v>11</v>
      </c>
      <c r="F2971">
        <v>8</v>
      </c>
      <c r="G2971">
        <v>11</v>
      </c>
      <c r="H2971">
        <v>0</v>
      </c>
      <c r="I2971">
        <v>0</v>
      </c>
      <c r="J2971">
        <v>19</v>
      </c>
      <c r="K2971" t="s">
        <v>250</v>
      </c>
    </row>
    <row r="2972" spans="2:11" x14ac:dyDescent="0.25">
      <c r="B2972">
        <v>3256</v>
      </c>
      <c r="C2972">
        <v>300</v>
      </c>
      <c r="D2972">
        <v>138</v>
      </c>
      <c r="E2972">
        <v>13</v>
      </c>
      <c r="F2972">
        <v>7</v>
      </c>
      <c r="G2972">
        <v>6</v>
      </c>
      <c r="H2972">
        <v>0</v>
      </c>
      <c r="I2972">
        <v>0</v>
      </c>
      <c r="J2972">
        <v>13</v>
      </c>
      <c r="K2972" t="s">
        <v>249</v>
      </c>
    </row>
    <row r="2973" spans="2:11" x14ac:dyDescent="0.25">
      <c r="B2973">
        <v>3257</v>
      </c>
      <c r="C2973">
        <v>299</v>
      </c>
      <c r="D2973">
        <v>137</v>
      </c>
      <c r="E2973">
        <v>12</v>
      </c>
      <c r="F2973">
        <v>15</v>
      </c>
      <c r="G2973">
        <v>15</v>
      </c>
      <c r="H2973">
        <v>0</v>
      </c>
      <c r="I2973">
        <v>0</v>
      </c>
      <c r="J2973">
        <v>30</v>
      </c>
      <c r="K2973" t="s">
        <v>247</v>
      </c>
    </row>
    <row r="2974" spans="2:11" x14ac:dyDescent="0.25">
      <c r="B2974">
        <v>3261</v>
      </c>
      <c r="C2974">
        <v>317</v>
      </c>
      <c r="D2974">
        <v>146</v>
      </c>
      <c r="E2974">
        <v>12</v>
      </c>
      <c r="F2974">
        <v>2</v>
      </c>
      <c r="G2974">
        <v>5</v>
      </c>
      <c r="H2974">
        <v>0</v>
      </c>
      <c r="I2974">
        <v>0</v>
      </c>
      <c r="J2974">
        <v>7</v>
      </c>
      <c r="K2974" t="s">
        <v>247</v>
      </c>
    </row>
    <row r="2975" spans="2:11" x14ac:dyDescent="0.25">
      <c r="B2975">
        <v>3262</v>
      </c>
      <c r="C2975">
        <v>61</v>
      </c>
      <c r="D2975">
        <v>32</v>
      </c>
      <c r="E2975">
        <v>13</v>
      </c>
      <c r="F2975">
        <v>8</v>
      </c>
      <c r="G2975">
        <v>11</v>
      </c>
      <c r="H2975">
        <v>6</v>
      </c>
      <c r="I2975">
        <v>0</v>
      </c>
      <c r="J2975">
        <v>25</v>
      </c>
      <c r="K2975" t="s">
        <v>241</v>
      </c>
    </row>
    <row r="2976" spans="2:11" x14ac:dyDescent="0.25">
      <c r="B2976">
        <v>3266</v>
      </c>
      <c r="C2976">
        <v>27</v>
      </c>
      <c r="D2976">
        <v>14</v>
      </c>
      <c r="E2976">
        <v>11</v>
      </c>
      <c r="F2976">
        <v>7</v>
      </c>
      <c r="G2976">
        <v>2</v>
      </c>
      <c r="H2976">
        <v>2</v>
      </c>
      <c r="I2976">
        <v>0</v>
      </c>
      <c r="J2976">
        <v>11</v>
      </c>
      <c r="K2976" t="s">
        <v>250</v>
      </c>
    </row>
    <row r="2977" spans="2:11" x14ac:dyDescent="0.25">
      <c r="B2977">
        <v>3267</v>
      </c>
      <c r="C2977">
        <v>62</v>
      </c>
      <c r="D2977">
        <v>33</v>
      </c>
      <c r="E2977">
        <v>13</v>
      </c>
      <c r="F2977">
        <v>13</v>
      </c>
      <c r="G2977">
        <v>14</v>
      </c>
      <c r="H2977">
        <v>0</v>
      </c>
      <c r="I2977">
        <v>0</v>
      </c>
      <c r="J2977">
        <v>27</v>
      </c>
      <c r="K2977" t="s">
        <v>241</v>
      </c>
    </row>
    <row r="2978" spans="2:11" x14ac:dyDescent="0.25">
      <c r="B2978">
        <v>3271</v>
      </c>
      <c r="C2978">
        <v>2</v>
      </c>
      <c r="D2978">
        <v>1</v>
      </c>
      <c r="E2978">
        <v>14</v>
      </c>
      <c r="F2978">
        <v>2</v>
      </c>
      <c r="G2978">
        <v>5</v>
      </c>
      <c r="H2978">
        <v>0</v>
      </c>
      <c r="I2978">
        <v>0</v>
      </c>
      <c r="J2978">
        <v>7</v>
      </c>
      <c r="K2978" t="s">
        <v>252</v>
      </c>
    </row>
    <row r="2979" spans="2:11" x14ac:dyDescent="0.25">
      <c r="B2979">
        <v>3272</v>
      </c>
      <c r="C2979">
        <v>271</v>
      </c>
      <c r="D2979">
        <v>122</v>
      </c>
      <c r="E2979">
        <v>12</v>
      </c>
      <c r="F2979">
        <v>14</v>
      </c>
      <c r="G2979">
        <v>15</v>
      </c>
      <c r="H2979">
        <v>0</v>
      </c>
      <c r="I2979">
        <v>0</v>
      </c>
      <c r="J2979">
        <v>29</v>
      </c>
      <c r="K2979" t="s">
        <v>249</v>
      </c>
    </row>
    <row r="2980" spans="2:11" x14ac:dyDescent="0.25">
      <c r="B2980">
        <v>3273</v>
      </c>
      <c r="C2980">
        <v>95</v>
      </c>
      <c r="D2980">
        <v>47</v>
      </c>
      <c r="E2980">
        <v>10</v>
      </c>
      <c r="F2980">
        <v>6</v>
      </c>
      <c r="G2980">
        <v>14</v>
      </c>
      <c r="H2980">
        <v>2</v>
      </c>
      <c r="I2980">
        <v>0</v>
      </c>
      <c r="J2980">
        <v>22</v>
      </c>
      <c r="K2980" t="s">
        <v>251</v>
      </c>
    </row>
    <row r="2981" spans="2:11" x14ac:dyDescent="0.25">
      <c r="B2981">
        <v>3275</v>
      </c>
      <c r="C2981">
        <v>265</v>
      </c>
      <c r="D2981">
        <v>118</v>
      </c>
      <c r="E2981">
        <v>14</v>
      </c>
      <c r="F2981">
        <v>8</v>
      </c>
      <c r="G2981">
        <v>9</v>
      </c>
      <c r="H2981">
        <v>7</v>
      </c>
      <c r="I2981">
        <v>0</v>
      </c>
      <c r="J2981">
        <v>24</v>
      </c>
      <c r="K2981" t="s">
        <v>252</v>
      </c>
    </row>
    <row r="2982" spans="2:11" x14ac:dyDescent="0.25">
      <c r="B2982">
        <v>3274</v>
      </c>
      <c r="C2982">
        <v>106</v>
      </c>
      <c r="D2982">
        <v>51</v>
      </c>
      <c r="E2982">
        <v>11</v>
      </c>
      <c r="F2982">
        <v>7</v>
      </c>
      <c r="G2982">
        <v>3</v>
      </c>
      <c r="H2982">
        <v>0</v>
      </c>
      <c r="I2982">
        <v>0</v>
      </c>
      <c r="J2982">
        <v>10</v>
      </c>
      <c r="K2982" t="s">
        <v>250</v>
      </c>
    </row>
    <row r="2983" spans="2:11" x14ac:dyDescent="0.25">
      <c r="B2983">
        <v>3277</v>
      </c>
      <c r="C2983">
        <v>327</v>
      </c>
      <c r="D2983">
        <v>152</v>
      </c>
      <c r="E2983">
        <v>12</v>
      </c>
      <c r="F2983">
        <v>19</v>
      </c>
      <c r="G2983">
        <v>11</v>
      </c>
      <c r="H2983">
        <v>0</v>
      </c>
      <c r="I2983">
        <v>0</v>
      </c>
      <c r="J2983">
        <v>30</v>
      </c>
      <c r="K2983" t="s">
        <v>247</v>
      </c>
    </row>
    <row r="2984" spans="2:11" x14ac:dyDescent="0.25">
      <c r="B2984">
        <v>3276</v>
      </c>
      <c r="C2984">
        <v>79</v>
      </c>
      <c r="D2984">
        <v>41</v>
      </c>
      <c r="E2984">
        <v>11</v>
      </c>
      <c r="F2984">
        <v>2</v>
      </c>
      <c r="G2984">
        <v>7</v>
      </c>
      <c r="H2984">
        <v>0</v>
      </c>
      <c r="I2984">
        <v>0</v>
      </c>
      <c r="J2984">
        <v>9</v>
      </c>
      <c r="K2984" t="s">
        <v>249</v>
      </c>
    </row>
    <row r="2985" spans="2:11" x14ac:dyDescent="0.25">
      <c r="B2985">
        <v>3279</v>
      </c>
      <c r="C2985">
        <v>155</v>
      </c>
      <c r="D2985">
        <v>69</v>
      </c>
      <c r="E2985">
        <v>9</v>
      </c>
      <c r="F2985">
        <v>7</v>
      </c>
      <c r="G2985">
        <v>19</v>
      </c>
      <c r="H2985">
        <v>1</v>
      </c>
      <c r="I2985">
        <v>0</v>
      </c>
      <c r="J2985">
        <v>27</v>
      </c>
      <c r="K2985" t="s">
        <v>251</v>
      </c>
    </row>
    <row r="2986" spans="2:11" x14ac:dyDescent="0.25">
      <c r="B2986">
        <v>3281</v>
      </c>
      <c r="C2986">
        <v>169</v>
      </c>
      <c r="D2986">
        <v>73</v>
      </c>
      <c r="E2986">
        <v>11</v>
      </c>
      <c r="F2986">
        <v>8</v>
      </c>
      <c r="G2986">
        <v>5</v>
      </c>
      <c r="H2986">
        <v>0</v>
      </c>
      <c r="I2986">
        <v>0</v>
      </c>
      <c r="J2986">
        <v>13</v>
      </c>
      <c r="K2986" t="s">
        <v>250</v>
      </c>
    </row>
    <row r="2987" spans="2:11" x14ac:dyDescent="0.25">
      <c r="B2987">
        <v>3282</v>
      </c>
      <c r="C2987">
        <v>15</v>
      </c>
      <c r="D2987">
        <v>6</v>
      </c>
      <c r="E2987">
        <v>11</v>
      </c>
      <c r="F2987">
        <v>4</v>
      </c>
      <c r="G2987">
        <v>4</v>
      </c>
      <c r="H2987">
        <v>0</v>
      </c>
      <c r="I2987">
        <v>0</v>
      </c>
      <c r="J2987">
        <v>8</v>
      </c>
      <c r="K2987" t="s">
        <v>249</v>
      </c>
    </row>
    <row r="2988" spans="2:11" x14ac:dyDescent="0.25">
      <c r="B2988">
        <v>3285</v>
      </c>
      <c r="C2988">
        <v>333</v>
      </c>
      <c r="D2988">
        <v>152</v>
      </c>
      <c r="E2988">
        <v>12</v>
      </c>
      <c r="F2988">
        <v>11</v>
      </c>
      <c r="G2988">
        <v>18</v>
      </c>
      <c r="H2988">
        <v>0</v>
      </c>
      <c r="I2988">
        <v>0</v>
      </c>
      <c r="J2988">
        <v>29</v>
      </c>
      <c r="K2988" t="s">
        <v>246</v>
      </c>
    </row>
    <row r="2989" spans="2:11" x14ac:dyDescent="0.25">
      <c r="B2989">
        <v>3287</v>
      </c>
      <c r="C2989">
        <v>15</v>
      </c>
      <c r="D2989">
        <v>6</v>
      </c>
      <c r="E2989">
        <v>10</v>
      </c>
      <c r="F2989">
        <v>6</v>
      </c>
      <c r="G2989">
        <v>3</v>
      </c>
      <c r="H2989">
        <v>1</v>
      </c>
      <c r="I2989">
        <v>0</v>
      </c>
      <c r="J2989">
        <v>10</v>
      </c>
      <c r="K2989" t="s">
        <v>249</v>
      </c>
    </row>
    <row r="2990" spans="2:11" x14ac:dyDescent="0.25">
      <c r="B2990">
        <v>3288</v>
      </c>
      <c r="C2990">
        <v>321</v>
      </c>
      <c r="D2990">
        <v>149</v>
      </c>
      <c r="E2990">
        <v>12</v>
      </c>
      <c r="F2990">
        <v>21</v>
      </c>
      <c r="G2990">
        <v>2</v>
      </c>
      <c r="H2990">
        <v>0</v>
      </c>
      <c r="I2990">
        <v>0</v>
      </c>
      <c r="J2990">
        <v>23</v>
      </c>
      <c r="K2990" t="s">
        <v>246</v>
      </c>
    </row>
    <row r="2991" spans="2:11" x14ac:dyDescent="0.25">
      <c r="B2991">
        <v>3292</v>
      </c>
      <c r="C2991">
        <v>155</v>
      </c>
      <c r="D2991">
        <v>69</v>
      </c>
      <c r="E2991">
        <v>8</v>
      </c>
      <c r="F2991">
        <v>9</v>
      </c>
      <c r="G2991">
        <v>11</v>
      </c>
      <c r="H2991">
        <v>2</v>
      </c>
      <c r="I2991">
        <v>0</v>
      </c>
      <c r="J2991">
        <v>22</v>
      </c>
      <c r="K2991" t="s">
        <v>251</v>
      </c>
    </row>
    <row r="2992" spans="2:11" x14ac:dyDescent="0.25">
      <c r="B2992">
        <v>3291</v>
      </c>
      <c r="C2992">
        <v>268</v>
      </c>
      <c r="D2992">
        <v>120</v>
      </c>
      <c r="E2992">
        <v>13</v>
      </c>
      <c r="F2992">
        <v>10</v>
      </c>
      <c r="G2992">
        <v>8</v>
      </c>
      <c r="H2992">
        <v>0</v>
      </c>
      <c r="I2992">
        <v>0</v>
      </c>
      <c r="J2992">
        <v>18</v>
      </c>
      <c r="K2992" t="s">
        <v>247</v>
      </c>
    </row>
    <row r="2993" spans="2:11" x14ac:dyDescent="0.25">
      <c r="B2993">
        <v>3290</v>
      </c>
      <c r="C2993">
        <v>253</v>
      </c>
      <c r="D2993">
        <v>115</v>
      </c>
      <c r="E2993">
        <v>12</v>
      </c>
      <c r="F2993">
        <v>12</v>
      </c>
      <c r="G2993">
        <v>13</v>
      </c>
      <c r="H2993">
        <v>1</v>
      </c>
      <c r="I2993">
        <v>0</v>
      </c>
      <c r="J2993">
        <v>26</v>
      </c>
      <c r="K2993" t="s">
        <v>246</v>
      </c>
    </row>
    <row r="2994" spans="2:11" x14ac:dyDescent="0.25">
      <c r="B2994">
        <v>3294</v>
      </c>
      <c r="C2994">
        <v>155</v>
      </c>
      <c r="D2994">
        <v>69</v>
      </c>
      <c r="E2994">
        <v>13</v>
      </c>
      <c r="F2994">
        <v>7</v>
      </c>
      <c r="G2994">
        <v>11</v>
      </c>
      <c r="H2994">
        <v>7</v>
      </c>
      <c r="I2994">
        <v>0</v>
      </c>
      <c r="J2994">
        <v>25</v>
      </c>
      <c r="K2994" t="s">
        <v>247</v>
      </c>
    </row>
    <row r="2995" spans="2:11" x14ac:dyDescent="0.25">
      <c r="B2995">
        <v>3298</v>
      </c>
      <c r="C2995">
        <v>2</v>
      </c>
      <c r="D2995">
        <v>1</v>
      </c>
      <c r="E2995">
        <v>13</v>
      </c>
      <c r="F2995">
        <v>0</v>
      </c>
      <c r="G2995">
        <v>1</v>
      </c>
      <c r="H2995">
        <v>0</v>
      </c>
      <c r="I2995">
        <v>0</v>
      </c>
      <c r="J2995">
        <v>1</v>
      </c>
      <c r="K2995" t="s">
        <v>241</v>
      </c>
    </row>
    <row r="2996" spans="2:11" x14ac:dyDescent="0.25">
      <c r="B2996">
        <v>3297</v>
      </c>
      <c r="C2996">
        <v>58</v>
      </c>
      <c r="D2996">
        <v>29</v>
      </c>
      <c r="E2996">
        <v>12</v>
      </c>
      <c r="F2996">
        <v>5</v>
      </c>
      <c r="G2996">
        <v>5</v>
      </c>
      <c r="H2996">
        <v>0</v>
      </c>
      <c r="I2996">
        <v>0</v>
      </c>
      <c r="J2996">
        <v>10</v>
      </c>
      <c r="K2996" t="s">
        <v>246</v>
      </c>
    </row>
    <row r="2997" spans="2:11" x14ac:dyDescent="0.25">
      <c r="B2997">
        <v>3300</v>
      </c>
      <c r="C2997">
        <v>26</v>
      </c>
      <c r="D2997">
        <v>14</v>
      </c>
      <c r="E2997">
        <v>13</v>
      </c>
      <c r="F2997">
        <v>10</v>
      </c>
      <c r="G2997">
        <v>6</v>
      </c>
      <c r="H2997">
        <v>9</v>
      </c>
      <c r="I2997">
        <v>0</v>
      </c>
      <c r="J2997">
        <v>25</v>
      </c>
      <c r="K2997" t="s">
        <v>247</v>
      </c>
    </row>
    <row r="2998" spans="2:11" x14ac:dyDescent="0.25">
      <c r="B2998">
        <v>3301</v>
      </c>
      <c r="C2998">
        <v>268</v>
      </c>
      <c r="D2998">
        <v>120</v>
      </c>
      <c r="E2998">
        <v>12</v>
      </c>
      <c r="F2998">
        <v>2</v>
      </c>
      <c r="G2998">
        <v>14</v>
      </c>
      <c r="H2998">
        <v>0</v>
      </c>
      <c r="I2998">
        <v>0</v>
      </c>
      <c r="J2998">
        <v>16</v>
      </c>
      <c r="K2998" t="s">
        <v>252</v>
      </c>
    </row>
    <row r="2999" spans="2:11" x14ac:dyDescent="0.25">
      <c r="B2999">
        <v>3295</v>
      </c>
      <c r="C2999">
        <v>170</v>
      </c>
      <c r="D2999">
        <v>73</v>
      </c>
      <c r="E2999">
        <v>13</v>
      </c>
      <c r="F2999">
        <v>12</v>
      </c>
      <c r="G2999">
        <v>2</v>
      </c>
      <c r="H2999">
        <v>0</v>
      </c>
      <c r="I2999">
        <v>0</v>
      </c>
      <c r="J2999">
        <v>14</v>
      </c>
      <c r="K2999" t="s">
        <v>250</v>
      </c>
    </row>
    <row r="3000" spans="2:11" x14ac:dyDescent="0.25">
      <c r="B3000">
        <v>3303</v>
      </c>
      <c r="C3000">
        <v>29</v>
      </c>
      <c r="D3000">
        <v>16</v>
      </c>
      <c r="E3000">
        <v>12</v>
      </c>
      <c r="F3000">
        <v>9</v>
      </c>
      <c r="G3000">
        <v>10</v>
      </c>
      <c r="H3000">
        <v>0</v>
      </c>
      <c r="I3000">
        <v>0</v>
      </c>
      <c r="J3000">
        <v>19</v>
      </c>
      <c r="K3000" t="s">
        <v>246</v>
      </c>
    </row>
    <row r="3001" spans="2:11" x14ac:dyDescent="0.25">
      <c r="B3001">
        <v>3307</v>
      </c>
      <c r="C3001">
        <v>155</v>
      </c>
      <c r="D3001">
        <v>69</v>
      </c>
      <c r="E3001">
        <v>7</v>
      </c>
      <c r="F3001">
        <v>3</v>
      </c>
      <c r="G3001">
        <v>13</v>
      </c>
      <c r="H3001">
        <v>0</v>
      </c>
      <c r="I3001">
        <v>0</v>
      </c>
      <c r="J3001">
        <v>16</v>
      </c>
      <c r="K3001" t="s">
        <v>251</v>
      </c>
    </row>
    <row r="3002" spans="2:11" x14ac:dyDescent="0.25">
      <c r="B3002">
        <v>3305</v>
      </c>
      <c r="C3002">
        <v>135</v>
      </c>
      <c r="D3002">
        <v>60</v>
      </c>
      <c r="E3002">
        <v>13</v>
      </c>
      <c r="F3002">
        <v>3</v>
      </c>
      <c r="G3002">
        <v>10</v>
      </c>
      <c r="H3002">
        <v>2</v>
      </c>
      <c r="I3002">
        <v>0</v>
      </c>
      <c r="J3002">
        <v>15</v>
      </c>
      <c r="K3002" t="s">
        <v>250</v>
      </c>
    </row>
    <row r="3003" spans="2:11" x14ac:dyDescent="0.25">
      <c r="B3003">
        <v>3304</v>
      </c>
      <c r="C3003">
        <v>294</v>
      </c>
      <c r="D3003">
        <v>136</v>
      </c>
      <c r="E3003">
        <v>13</v>
      </c>
      <c r="F3003">
        <v>13</v>
      </c>
      <c r="G3003">
        <v>3</v>
      </c>
      <c r="H3003">
        <v>0</v>
      </c>
      <c r="I3003">
        <v>0</v>
      </c>
      <c r="J3003">
        <v>16</v>
      </c>
      <c r="K3003" t="s">
        <v>241</v>
      </c>
    </row>
    <row r="3004" spans="2:11" x14ac:dyDescent="0.25">
      <c r="B3004">
        <v>3309</v>
      </c>
      <c r="C3004">
        <v>1</v>
      </c>
      <c r="D3004">
        <v>1</v>
      </c>
      <c r="E3004">
        <v>13</v>
      </c>
      <c r="F3004">
        <v>1</v>
      </c>
      <c r="G3004">
        <v>2</v>
      </c>
      <c r="H3004">
        <v>0</v>
      </c>
      <c r="I3004">
        <v>0</v>
      </c>
      <c r="J3004">
        <v>3</v>
      </c>
      <c r="K3004" t="s">
        <v>247</v>
      </c>
    </row>
    <row r="3005" spans="2:11" x14ac:dyDescent="0.25">
      <c r="B3005">
        <v>3311</v>
      </c>
      <c r="C3005">
        <v>328</v>
      </c>
      <c r="D3005">
        <v>152</v>
      </c>
      <c r="E3005">
        <v>13</v>
      </c>
      <c r="F3005">
        <v>0</v>
      </c>
      <c r="G3005">
        <v>30</v>
      </c>
      <c r="H3005">
        <v>0</v>
      </c>
      <c r="I3005">
        <v>0</v>
      </c>
      <c r="J3005">
        <v>30</v>
      </c>
      <c r="K3005" t="s">
        <v>241</v>
      </c>
    </row>
    <row r="3006" spans="2:11" x14ac:dyDescent="0.25">
      <c r="B3006">
        <v>3313</v>
      </c>
      <c r="C3006">
        <v>269</v>
      </c>
      <c r="D3006">
        <v>121</v>
      </c>
      <c r="E3006">
        <v>13</v>
      </c>
      <c r="F3006">
        <v>10</v>
      </c>
      <c r="G3006">
        <v>12</v>
      </c>
      <c r="H3006">
        <v>2</v>
      </c>
      <c r="I3006">
        <v>0</v>
      </c>
      <c r="J3006">
        <v>24</v>
      </c>
      <c r="K3006" t="s">
        <v>247</v>
      </c>
    </row>
    <row r="3007" spans="2:11" x14ac:dyDescent="0.25">
      <c r="B3007">
        <v>3312</v>
      </c>
      <c r="C3007">
        <v>264</v>
      </c>
      <c r="D3007">
        <v>118</v>
      </c>
      <c r="E3007">
        <v>14</v>
      </c>
      <c r="F3007">
        <v>3</v>
      </c>
      <c r="G3007">
        <v>6</v>
      </c>
      <c r="H3007">
        <v>1</v>
      </c>
      <c r="I3007">
        <v>0</v>
      </c>
      <c r="J3007">
        <v>10</v>
      </c>
      <c r="K3007" t="s">
        <v>250</v>
      </c>
    </row>
    <row r="3008" spans="2:11" x14ac:dyDescent="0.25">
      <c r="B3008">
        <v>3315</v>
      </c>
      <c r="C3008">
        <v>64</v>
      </c>
      <c r="D3008">
        <v>35</v>
      </c>
      <c r="E3008">
        <v>13</v>
      </c>
      <c r="F3008">
        <v>8</v>
      </c>
      <c r="G3008">
        <v>12</v>
      </c>
      <c r="H3008">
        <v>0</v>
      </c>
      <c r="I3008">
        <v>0</v>
      </c>
      <c r="J3008">
        <v>20</v>
      </c>
      <c r="K3008" t="s">
        <v>247</v>
      </c>
    </row>
    <row r="3009" spans="2:11" x14ac:dyDescent="0.25">
      <c r="B3009">
        <v>3314</v>
      </c>
      <c r="C3009">
        <v>269</v>
      </c>
      <c r="D3009">
        <v>121</v>
      </c>
      <c r="E3009">
        <v>12</v>
      </c>
      <c r="F3009">
        <v>11</v>
      </c>
      <c r="G3009">
        <v>13</v>
      </c>
      <c r="H3009">
        <v>4</v>
      </c>
      <c r="I3009">
        <v>0</v>
      </c>
      <c r="J3009">
        <v>28</v>
      </c>
      <c r="K3009" t="s">
        <v>252</v>
      </c>
    </row>
    <row r="3010" spans="2:11" x14ac:dyDescent="0.25">
      <c r="B3010">
        <v>3317</v>
      </c>
      <c r="C3010">
        <v>299</v>
      </c>
      <c r="D3010">
        <v>137</v>
      </c>
      <c r="E3010">
        <v>13</v>
      </c>
      <c r="F3010">
        <v>6</v>
      </c>
      <c r="G3010">
        <v>10</v>
      </c>
      <c r="H3010">
        <v>1</v>
      </c>
      <c r="I3010">
        <v>0</v>
      </c>
      <c r="J3010">
        <v>17</v>
      </c>
      <c r="K3010" t="s">
        <v>241</v>
      </c>
    </row>
    <row r="3011" spans="2:11" x14ac:dyDescent="0.25">
      <c r="B3011">
        <v>3318</v>
      </c>
      <c r="C3011">
        <v>310</v>
      </c>
      <c r="D3011">
        <v>144</v>
      </c>
      <c r="E3011">
        <v>14</v>
      </c>
      <c r="F3011">
        <v>9</v>
      </c>
      <c r="G3011">
        <v>12</v>
      </c>
      <c r="H3011">
        <v>0</v>
      </c>
      <c r="I3011">
        <v>0</v>
      </c>
      <c r="J3011">
        <v>21</v>
      </c>
      <c r="K3011" t="s">
        <v>250</v>
      </c>
    </row>
    <row r="3012" spans="2:11" x14ac:dyDescent="0.25">
      <c r="B3012">
        <v>3320</v>
      </c>
      <c r="C3012">
        <v>155</v>
      </c>
      <c r="D3012">
        <v>69</v>
      </c>
      <c r="E3012">
        <v>6</v>
      </c>
      <c r="F3012">
        <v>6</v>
      </c>
      <c r="G3012">
        <v>9</v>
      </c>
      <c r="H3012">
        <v>4</v>
      </c>
      <c r="I3012">
        <v>0</v>
      </c>
      <c r="J3012">
        <v>19</v>
      </c>
      <c r="K3012" t="s">
        <v>251</v>
      </c>
    </row>
    <row r="3013" spans="2:11" x14ac:dyDescent="0.25">
      <c r="B3013">
        <v>3322</v>
      </c>
      <c r="C3013">
        <v>109</v>
      </c>
      <c r="D3013">
        <v>51</v>
      </c>
      <c r="E3013">
        <v>13</v>
      </c>
      <c r="F3013">
        <v>3</v>
      </c>
      <c r="G3013">
        <v>8</v>
      </c>
      <c r="H3013">
        <v>1</v>
      </c>
      <c r="I3013">
        <v>0</v>
      </c>
      <c r="J3013">
        <v>12</v>
      </c>
      <c r="K3013" t="s">
        <v>241</v>
      </c>
    </row>
    <row r="3014" spans="2:11" x14ac:dyDescent="0.25">
      <c r="B3014">
        <v>3323</v>
      </c>
      <c r="C3014">
        <v>308</v>
      </c>
      <c r="D3014">
        <v>143</v>
      </c>
      <c r="E3014">
        <v>12</v>
      </c>
      <c r="F3014">
        <v>10</v>
      </c>
      <c r="G3014">
        <v>12</v>
      </c>
      <c r="H3014">
        <v>0</v>
      </c>
      <c r="I3014">
        <v>0</v>
      </c>
      <c r="J3014">
        <v>22</v>
      </c>
      <c r="K3014" t="s">
        <v>246</v>
      </c>
    </row>
    <row r="3015" spans="2:11" x14ac:dyDescent="0.25">
      <c r="B3015">
        <v>3325</v>
      </c>
      <c r="C3015">
        <v>60</v>
      </c>
      <c r="D3015">
        <v>31</v>
      </c>
      <c r="E3015">
        <v>14</v>
      </c>
      <c r="F3015">
        <v>17</v>
      </c>
      <c r="G3015">
        <v>3</v>
      </c>
      <c r="H3015">
        <v>0</v>
      </c>
      <c r="I3015">
        <v>0</v>
      </c>
      <c r="J3015">
        <v>20</v>
      </c>
      <c r="K3015" t="s">
        <v>250</v>
      </c>
    </row>
    <row r="3016" spans="2:11" x14ac:dyDescent="0.25">
      <c r="B3016">
        <v>3327</v>
      </c>
      <c r="C3016">
        <v>334</v>
      </c>
      <c r="D3016">
        <v>152</v>
      </c>
      <c r="E3016">
        <v>12</v>
      </c>
      <c r="F3016">
        <v>12</v>
      </c>
      <c r="G3016">
        <v>14</v>
      </c>
      <c r="H3016">
        <v>0</v>
      </c>
      <c r="I3016">
        <v>0</v>
      </c>
      <c r="J3016">
        <v>26</v>
      </c>
      <c r="K3016" t="s">
        <v>246</v>
      </c>
    </row>
    <row r="3017" spans="2:11" x14ac:dyDescent="0.25">
      <c r="B3017">
        <v>3319</v>
      </c>
      <c r="C3017">
        <v>307</v>
      </c>
      <c r="D3017">
        <v>142</v>
      </c>
      <c r="E3017">
        <v>13</v>
      </c>
      <c r="F3017">
        <v>14</v>
      </c>
      <c r="G3017">
        <v>16</v>
      </c>
      <c r="H3017">
        <v>0</v>
      </c>
      <c r="I3017">
        <v>0</v>
      </c>
      <c r="J3017">
        <v>30</v>
      </c>
      <c r="K3017" t="s">
        <v>247</v>
      </c>
    </row>
    <row r="3018" spans="2:11" x14ac:dyDescent="0.25">
      <c r="B3018">
        <v>3321</v>
      </c>
      <c r="C3018">
        <v>81</v>
      </c>
      <c r="D3018">
        <v>38</v>
      </c>
      <c r="E3018">
        <v>12</v>
      </c>
      <c r="F3018">
        <v>0</v>
      </c>
      <c r="G3018">
        <v>0</v>
      </c>
      <c r="H3018">
        <v>0</v>
      </c>
      <c r="I3018">
        <v>0</v>
      </c>
      <c r="J3018">
        <v>0</v>
      </c>
      <c r="K3018" t="s">
        <v>252</v>
      </c>
    </row>
    <row r="3019" spans="2:11" x14ac:dyDescent="0.25">
      <c r="B3019">
        <v>3326</v>
      </c>
      <c r="C3019">
        <v>110</v>
      </c>
      <c r="D3019">
        <v>51</v>
      </c>
      <c r="E3019">
        <v>13</v>
      </c>
      <c r="F3019">
        <v>0</v>
      </c>
      <c r="G3019">
        <v>21</v>
      </c>
      <c r="H3019">
        <v>0</v>
      </c>
      <c r="I3019">
        <v>0</v>
      </c>
      <c r="J3019">
        <v>21</v>
      </c>
      <c r="K3019" t="s">
        <v>241</v>
      </c>
    </row>
    <row r="3020" spans="2:11" x14ac:dyDescent="0.25">
      <c r="B3020">
        <v>3328</v>
      </c>
      <c r="C3020">
        <v>2</v>
      </c>
      <c r="D3020">
        <v>1</v>
      </c>
      <c r="E3020">
        <v>10</v>
      </c>
      <c r="F3020">
        <v>2</v>
      </c>
      <c r="G3020">
        <v>2</v>
      </c>
      <c r="H3020">
        <v>0</v>
      </c>
      <c r="I3020">
        <v>0</v>
      </c>
      <c r="J3020">
        <v>4</v>
      </c>
      <c r="K3020" t="s">
        <v>250</v>
      </c>
    </row>
    <row r="3021" spans="2:11" x14ac:dyDescent="0.25">
      <c r="B3021">
        <v>3329</v>
      </c>
      <c r="C3021">
        <v>2</v>
      </c>
      <c r="D3021">
        <v>1</v>
      </c>
      <c r="E3021">
        <v>12</v>
      </c>
      <c r="F3021">
        <v>2</v>
      </c>
      <c r="G3021">
        <v>1</v>
      </c>
      <c r="H3021">
        <v>0</v>
      </c>
      <c r="I3021">
        <v>0</v>
      </c>
      <c r="J3021">
        <v>3</v>
      </c>
      <c r="K3021" t="s">
        <v>246</v>
      </c>
    </row>
    <row r="3022" spans="2:11" x14ac:dyDescent="0.25">
      <c r="B3022">
        <v>3330</v>
      </c>
      <c r="C3022">
        <v>1</v>
      </c>
      <c r="D3022">
        <v>1</v>
      </c>
      <c r="E3022">
        <v>12</v>
      </c>
      <c r="F3022">
        <v>3</v>
      </c>
      <c r="G3022">
        <v>4</v>
      </c>
      <c r="H3022">
        <v>0</v>
      </c>
      <c r="I3022">
        <v>0</v>
      </c>
      <c r="J3022">
        <v>7</v>
      </c>
      <c r="K3022" t="s">
        <v>252</v>
      </c>
    </row>
    <row r="3023" spans="2:11" x14ac:dyDescent="0.25">
      <c r="B3023">
        <v>5636</v>
      </c>
      <c r="C3023">
        <v>191</v>
      </c>
      <c r="D3023">
        <v>83</v>
      </c>
      <c r="E3023">
        <v>6</v>
      </c>
      <c r="F3023">
        <v>0</v>
      </c>
      <c r="G3023">
        <v>30</v>
      </c>
      <c r="H3023">
        <v>0</v>
      </c>
      <c r="I3023">
        <v>0</v>
      </c>
      <c r="J3023">
        <v>30</v>
      </c>
      <c r="K3023" t="s">
        <v>241</v>
      </c>
    </row>
    <row r="3024" spans="2:11" x14ac:dyDescent="0.25">
      <c r="B3024">
        <v>5637</v>
      </c>
      <c r="C3024">
        <v>191</v>
      </c>
      <c r="D3024">
        <v>83</v>
      </c>
      <c r="E3024">
        <v>7</v>
      </c>
      <c r="F3024">
        <v>0</v>
      </c>
      <c r="G3024">
        <v>30</v>
      </c>
      <c r="H3024">
        <v>0</v>
      </c>
      <c r="I3024">
        <v>0</v>
      </c>
      <c r="J3024">
        <v>30</v>
      </c>
      <c r="K3024" t="s">
        <v>241</v>
      </c>
    </row>
    <row r="3025" spans="2:11" x14ac:dyDescent="0.25">
      <c r="B3025">
        <v>5638</v>
      </c>
      <c r="C3025">
        <v>191</v>
      </c>
      <c r="D3025">
        <v>83</v>
      </c>
      <c r="E3025">
        <v>8</v>
      </c>
      <c r="F3025">
        <v>1</v>
      </c>
      <c r="G3025">
        <v>18</v>
      </c>
      <c r="H3025">
        <v>0</v>
      </c>
      <c r="I3025">
        <v>0</v>
      </c>
      <c r="J3025">
        <v>19</v>
      </c>
      <c r="K3025" t="s">
        <v>241</v>
      </c>
    </row>
    <row r="3026" spans="2:11" x14ac:dyDescent="0.25">
      <c r="B3026">
        <v>5639</v>
      </c>
      <c r="C3026">
        <v>191</v>
      </c>
      <c r="D3026">
        <v>83</v>
      </c>
      <c r="E3026">
        <v>9</v>
      </c>
      <c r="F3026">
        <v>0</v>
      </c>
      <c r="G3026">
        <v>30</v>
      </c>
      <c r="H3026">
        <v>0</v>
      </c>
      <c r="I3026">
        <v>0</v>
      </c>
      <c r="J3026">
        <v>30</v>
      </c>
      <c r="K3026" t="s">
        <v>241</v>
      </c>
    </row>
    <row r="3027" spans="2:11" x14ac:dyDescent="0.25">
      <c r="B3027">
        <v>5640</v>
      </c>
      <c r="C3027">
        <v>191</v>
      </c>
      <c r="D3027">
        <v>83</v>
      </c>
      <c r="E3027">
        <v>10</v>
      </c>
      <c r="F3027">
        <v>0</v>
      </c>
      <c r="G3027">
        <v>14</v>
      </c>
      <c r="H3027">
        <v>0</v>
      </c>
      <c r="I3027">
        <v>0</v>
      </c>
      <c r="J3027">
        <v>14</v>
      </c>
      <c r="K3027" t="s">
        <v>241</v>
      </c>
    </row>
    <row r="3028" spans="2:11" x14ac:dyDescent="0.25">
      <c r="B3028">
        <v>5641</v>
      </c>
      <c r="C3028">
        <v>191</v>
      </c>
      <c r="D3028">
        <v>83</v>
      </c>
      <c r="E3028">
        <v>11</v>
      </c>
      <c r="F3028">
        <v>0</v>
      </c>
      <c r="G3028">
        <v>19</v>
      </c>
      <c r="H3028">
        <v>0</v>
      </c>
      <c r="I3028">
        <v>0</v>
      </c>
      <c r="J3028">
        <v>19</v>
      </c>
      <c r="K3028" t="s">
        <v>241</v>
      </c>
    </row>
    <row r="3029" spans="2:11" x14ac:dyDescent="0.25">
      <c r="B3029">
        <v>5642</v>
      </c>
      <c r="C3029">
        <v>235</v>
      </c>
      <c r="D3029">
        <v>103</v>
      </c>
      <c r="E3029">
        <v>4</v>
      </c>
      <c r="F3029">
        <v>17</v>
      </c>
      <c r="G3029">
        <v>13</v>
      </c>
      <c r="H3029">
        <v>0</v>
      </c>
      <c r="I3029">
        <v>0</v>
      </c>
      <c r="J3029">
        <v>30</v>
      </c>
      <c r="K3029" t="s">
        <v>252</v>
      </c>
    </row>
    <row r="3030" spans="2:11" x14ac:dyDescent="0.25">
      <c r="B3030">
        <v>4162</v>
      </c>
      <c r="C3030">
        <v>137</v>
      </c>
      <c r="D3030">
        <v>60</v>
      </c>
      <c r="E3030">
        <v>15</v>
      </c>
      <c r="F3030">
        <v>2</v>
      </c>
      <c r="G3030">
        <v>6</v>
      </c>
      <c r="H3030">
        <v>4</v>
      </c>
      <c r="I3030">
        <v>0</v>
      </c>
      <c r="J3030">
        <v>12</v>
      </c>
      <c r="K3030" t="s">
        <v>248</v>
      </c>
    </row>
    <row r="3031" spans="2:11" x14ac:dyDescent="0.25">
      <c r="B3031">
        <v>4164</v>
      </c>
      <c r="C3031">
        <v>4</v>
      </c>
      <c r="D3031">
        <v>1</v>
      </c>
      <c r="E3031">
        <v>14</v>
      </c>
      <c r="F3031">
        <v>2</v>
      </c>
      <c r="G3031">
        <v>1</v>
      </c>
      <c r="H3031">
        <v>0</v>
      </c>
      <c r="I3031">
        <v>0</v>
      </c>
      <c r="J3031">
        <v>3</v>
      </c>
      <c r="K3031" t="s">
        <v>243</v>
      </c>
    </row>
    <row r="3032" spans="2:11" x14ac:dyDescent="0.25">
      <c r="B3032">
        <v>4169</v>
      </c>
      <c r="C3032">
        <v>143</v>
      </c>
      <c r="D3032">
        <v>63</v>
      </c>
      <c r="E3032">
        <v>15</v>
      </c>
      <c r="F3032">
        <v>10</v>
      </c>
      <c r="G3032">
        <v>1</v>
      </c>
      <c r="H3032">
        <v>0</v>
      </c>
      <c r="I3032">
        <v>0</v>
      </c>
      <c r="J3032">
        <v>11</v>
      </c>
      <c r="K3032" t="s">
        <v>245</v>
      </c>
    </row>
    <row r="3033" spans="2:11" x14ac:dyDescent="0.25">
      <c r="B3033">
        <v>4168</v>
      </c>
      <c r="C3033">
        <v>153</v>
      </c>
      <c r="D3033">
        <v>69</v>
      </c>
      <c r="E3033">
        <v>14</v>
      </c>
      <c r="F3033">
        <v>1</v>
      </c>
      <c r="G3033">
        <v>4</v>
      </c>
      <c r="H3033">
        <v>0</v>
      </c>
      <c r="I3033">
        <v>0</v>
      </c>
      <c r="J3033">
        <v>5</v>
      </c>
      <c r="K3033" t="s">
        <v>243</v>
      </c>
    </row>
    <row r="3034" spans="2:11" x14ac:dyDescent="0.25">
      <c r="B3034">
        <v>4170</v>
      </c>
      <c r="C3034">
        <v>333</v>
      </c>
      <c r="D3034">
        <v>152</v>
      </c>
      <c r="E3034">
        <v>19</v>
      </c>
      <c r="F3034">
        <v>0</v>
      </c>
      <c r="G3034">
        <v>10</v>
      </c>
      <c r="H3034">
        <v>0</v>
      </c>
      <c r="I3034">
        <v>0</v>
      </c>
      <c r="J3034">
        <v>10</v>
      </c>
      <c r="K3034" t="s">
        <v>252</v>
      </c>
    </row>
    <row r="3035" spans="2:11" x14ac:dyDescent="0.25">
      <c r="B3035">
        <v>4172</v>
      </c>
      <c r="C3035">
        <v>139</v>
      </c>
      <c r="D3035">
        <v>61</v>
      </c>
      <c r="E3035">
        <v>15</v>
      </c>
      <c r="F3035">
        <v>4</v>
      </c>
      <c r="G3035">
        <v>12</v>
      </c>
      <c r="H3035">
        <v>0</v>
      </c>
      <c r="I3035">
        <v>0</v>
      </c>
      <c r="J3035">
        <v>16</v>
      </c>
      <c r="K3035" t="s">
        <v>245</v>
      </c>
    </row>
    <row r="3036" spans="2:11" x14ac:dyDescent="0.25">
      <c r="B3036">
        <v>4173</v>
      </c>
      <c r="C3036">
        <v>140</v>
      </c>
      <c r="D3036">
        <v>62</v>
      </c>
      <c r="E3036">
        <v>15</v>
      </c>
      <c r="F3036">
        <v>19</v>
      </c>
      <c r="G3036">
        <v>7</v>
      </c>
      <c r="H3036">
        <v>4</v>
      </c>
      <c r="I3036">
        <v>0</v>
      </c>
      <c r="J3036">
        <v>30</v>
      </c>
      <c r="K3036" t="s">
        <v>245</v>
      </c>
    </row>
    <row r="3037" spans="2:11" x14ac:dyDescent="0.25">
      <c r="B3037">
        <v>4176</v>
      </c>
      <c r="C3037">
        <v>104</v>
      </c>
      <c r="D3037">
        <v>51</v>
      </c>
      <c r="E3037">
        <v>12</v>
      </c>
      <c r="F3037">
        <v>7</v>
      </c>
      <c r="G3037">
        <v>6</v>
      </c>
      <c r="H3037">
        <v>0</v>
      </c>
      <c r="I3037">
        <v>0</v>
      </c>
      <c r="J3037">
        <v>13</v>
      </c>
      <c r="K3037" t="s">
        <v>250</v>
      </c>
    </row>
    <row r="3038" spans="2:11" x14ac:dyDescent="0.25">
      <c r="B3038">
        <v>4177</v>
      </c>
      <c r="C3038">
        <v>239</v>
      </c>
      <c r="D3038">
        <v>106</v>
      </c>
      <c r="E3038">
        <v>15</v>
      </c>
      <c r="F3038">
        <v>14</v>
      </c>
      <c r="G3038">
        <v>8</v>
      </c>
      <c r="H3038">
        <v>0</v>
      </c>
      <c r="I3038">
        <v>0</v>
      </c>
      <c r="J3038">
        <v>22</v>
      </c>
      <c r="K3038" t="s">
        <v>246</v>
      </c>
    </row>
    <row r="3039" spans="2:11" x14ac:dyDescent="0.25">
      <c r="B3039">
        <v>4171</v>
      </c>
      <c r="C3039">
        <v>152</v>
      </c>
      <c r="D3039">
        <v>69</v>
      </c>
      <c r="E3039">
        <v>15</v>
      </c>
      <c r="F3039">
        <v>5</v>
      </c>
      <c r="G3039">
        <v>20</v>
      </c>
      <c r="H3039">
        <v>0</v>
      </c>
      <c r="I3039">
        <v>0</v>
      </c>
      <c r="J3039">
        <v>25</v>
      </c>
      <c r="K3039" t="s">
        <v>248</v>
      </c>
    </row>
    <row r="3040" spans="2:11" x14ac:dyDescent="0.25">
      <c r="B3040">
        <v>4179</v>
      </c>
      <c r="C3040">
        <v>263</v>
      </c>
      <c r="D3040">
        <v>118</v>
      </c>
      <c r="E3040">
        <v>15</v>
      </c>
      <c r="F3040">
        <v>1</v>
      </c>
      <c r="G3040">
        <v>1</v>
      </c>
      <c r="H3040">
        <v>0</v>
      </c>
      <c r="I3040">
        <v>0</v>
      </c>
      <c r="J3040">
        <v>2</v>
      </c>
      <c r="K3040" t="s">
        <v>246</v>
      </c>
    </row>
    <row r="3041" spans="2:11" x14ac:dyDescent="0.25">
      <c r="B3041">
        <v>4178</v>
      </c>
      <c r="C3041">
        <v>247</v>
      </c>
      <c r="D3041">
        <v>110</v>
      </c>
      <c r="E3041">
        <v>12</v>
      </c>
      <c r="F3041">
        <v>10</v>
      </c>
      <c r="G3041">
        <v>6</v>
      </c>
      <c r="H3041">
        <v>15</v>
      </c>
      <c r="I3041">
        <v>0</v>
      </c>
      <c r="J3041">
        <v>31</v>
      </c>
      <c r="K3041" t="s">
        <v>252</v>
      </c>
    </row>
    <row r="3042" spans="2:11" x14ac:dyDescent="0.25">
      <c r="B3042">
        <v>4182</v>
      </c>
      <c r="C3042">
        <v>168</v>
      </c>
      <c r="D3042">
        <v>72</v>
      </c>
      <c r="E3042">
        <v>15</v>
      </c>
      <c r="F3042">
        <v>1</v>
      </c>
      <c r="G3042">
        <v>4</v>
      </c>
      <c r="H3042">
        <v>0</v>
      </c>
      <c r="I3042">
        <v>0</v>
      </c>
      <c r="J3042">
        <v>5</v>
      </c>
      <c r="K3042" t="s">
        <v>252</v>
      </c>
    </row>
    <row r="3043" spans="2:11" x14ac:dyDescent="0.25">
      <c r="B3043">
        <v>4181</v>
      </c>
      <c r="C3043">
        <v>252</v>
      </c>
      <c r="D3043">
        <v>114</v>
      </c>
      <c r="E3043">
        <v>15</v>
      </c>
      <c r="F3043">
        <v>5</v>
      </c>
      <c r="G3043">
        <v>1</v>
      </c>
      <c r="H3043">
        <v>6</v>
      </c>
      <c r="I3043">
        <v>0</v>
      </c>
      <c r="J3043">
        <v>12</v>
      </c>
      <c r="K3043" t="s">
        <v>248</v>
      </c>
    </row>
    <row r="3044" spans="2:11" x14ac:dyDescent="0.25">
      <c r="B3044">
        <v>4185</v>
      </c>
      <c r="C3044">
        <v>15</v>
      </c>
      <c r="D3044">
        <v>6</v>
      </c>
      <c r="E3044">
        <v>13</v>
      </c>
      <c r="F3044">
        <v>2</v>
      </c>
      <c r="G3044">
        <v>0</v>
      </c>
      <c r="H3044">
        <v>1</v>
      </c>
      <c r="I3044">
        <v>0</v>
      </c>
      <c r="J3044">
        <v>3</v>
      </c>
      <c r="K3044" t="s">
        <v>248</v>
      </c>
    </row>
    <row r="3045" spans="2:11" x14ac:dyDescent="0.25">
      <c r="B3045">
        <v>4188</v>
      </c>
      <c r="C3045">
        <v>335</v>
      </c>
      <c r="D3045">
        <v>152</v>
      </c>
      <c r="E3045">
        <v>15</v>
      </c>
      <c r="F3045">
        <v>5</v>
      </c>
      <c r="G3045">
        <v>10</v>
      </c>
      <c r="H3045">
        <v>0</v>
      </c>
      <c r="I3045">
        <v>0</v>
      </c>
      <c r="J3045">
        <v>15</v>
      </c>
      <c r="K3045" t="s">
        <v>252</v>
      </c>
    </row>
    <row r="3046" spans="2:11" x14ac:dyDescent="0.25">
      <c r="B3046">
        <v>4192</v>
      </c>
      <c r="C3046">
        <v>290</v>
      </c>
      <c r="D3046">
        <v>135</v>
      </c>
      <c r="E3046">
        <v>15</v>
      </c>
      <c r="F3046">
        <v>8</v>
      </c>
      <c r="G3046">
        <v>11</v>
      </c>
      <c r="H3046">
        <v>4</v>
      </c>
      <c r="I3046">
        <v>0</v>
      </c>
      <c r="J3046">
        <v>23</v>
      </c>
      <c r="K3046" t="s">
        <v>252</v>
      </c>
    </row>
    <row r="3047" spans="2:11" x14ac:dyDescent="0.25">
      <c r="B3047">
        <v>4191</v>
      </c>
      <c r="C3047">
        <v>88</v>
      </c>
      <c r="D3047">
        <v>43</v>
      </c>
      <c r="E3047">
        <v>13</v>
      </c>
      <c r="F3047">
        <v>9</v>
      </c>
      <c r="G3047">
        <v>7</v>
      </c>
      <c r="H3047">
        <v>1</v>
      </c>
      <c r="I3047">
        <v>0</v>
      </c>
      <c r="J3047">
        <v>17</v>
      </c>
      <c r="K3047" t="s">
        <v>248</v>
      </c>
    </row>
    <row r="3048" spans="2:11" x14ac:dyDescent="0.25">
      <c r="B3048">
        <v>4196</v>
      </c>
      <c r="C3048">
        <v>89</v>
      </c>
      <c r="D3048">
        <v>44</v>
      </c>
      <c r="E3048">
        <v>13</v>
      </c>
      <c r="F3048">
        <v>16</v>
      </c>
      <c r="G3048">
        <v>5</v>
      </c>
      <c r="H3048">
        <v>0</v>
      </c>
      <c r="I3048">
        <v>0</v>
      </c>
      <c r="J3048">
        <v>21</v>
      </c>
      <c r="K3048" t="s">
        <v>248</v>
      </c>
    </row>
    <row r="3049" spans="2:11" x14ac:dyDescent="0.25">
      <c r="B3049">
        <v>4197</v>
      </c>
      <c r="C3049">
        <v>103</v>
      </c>
      <c r="D3049">
        <v>51</v>
      </c>
      <c r="E3049">
        <v>13</v>
      </c>
      <c r="F3049">
        <v>5</v>
      </c>
      <c r="G3049">
        <v>3</v>
      </c>
      <c r="H3049">
        <v>0</v>
      </c>
      <c r="I3049">
        <v>0</v>
      </c>
      <c r="J3049">
        <v>8</v>
      </c>
      <c r="K3049" t="s">
        <v>252</v>
      </c>
    </row>
    <row r="3050" spans="2:11" x14ac:dyDescent="0.25">
      <c r="B3050">
        <v>4200</v>
      </c>
      <c r="C3050">
        <v>239</v>
      </c>
      <c r="D3050">
        <v>106</v>
      </c>
      <c r="E3050">
        <v>14</v>
      </c>
      <c r="F3050">
        <v>14</v>
      </c>
      <c r="G3050">
        <v>9</v>
      </c>
      <c r="H3050">
        <v>0</v>
      </c>
      <c r="I3050">
        <v>0</v>
      </c>
      <c r="J3050">
        <v>23</v>
      </c>
      <c r="K3050" t="s">
        <v>245</v>
      </c>
    </row>
    <row r="3051" spans="2:11" x14ac:dyDescent="0.25">
      <c r="B3051">
        <v>4199</v>
      </c>
      <c r="C3051">
        <v>90</v>
      </c>
      <c r="D3051">
        <v>45</v>
      </c>
      <c r="E3051">
        <v>13</v>
      </c>
      <c r="F3051">
        <v>12</v>
      </c>
      <c r="G3051">
        <v>6</v>
      </c>
      <c r="H3051">
        <v>0</v>
      </c>
      <c r="I3051">
        <v>0</v>
      </c>
      <c r="J3051">
        <v>18</v>
      </c>
      <c r="K3051" t="s">
        <v>248</v>
      </c>
    </row>
    <row r="3052" spans="2:11" x14ac:dyDescent="0.25">
      <c r="B3052">
        <v>4201</v>
      </c>
      <c r="C3052">
        <v>263</v>
      </c>
      <c r="D3052">
        <v>118</v>
      </c>
      <c r="E3052">
        <v>14</v>
      </c>
      <c r="F3052">
        <v>2</v>
      </c>
      <c r="G3052">
        <v>3</v>
      </c>
      <c r="H3052">
        <v>0</v>
      </c>
      <c r="I3052">
        <v>0</v>
      </c>
      <c r="J3052">
        <v>5</v>
      </c>
      <c r="K3052" t="s">
        <v>245</v>
      </c>
    </row>
    <row r="3053" spans="2:11" x14ac:dyDescent="0.25">
      <c r="B3053">
        <v>4204</v>
      </c>
      <c r="C3053">
        <v>239</v>
      </c>
      <c r="D3053">
        <v>106</v>
      </c>
      <c r="E3053">
        <v>16</v>
      </c>
      <c r="F3053">
        <v>14</v>
      </c>
      <c r="G3053">
        <v>8</v>
      </c>
      <c r="H3053">
        <v>0</v>
      </c>
      <c r="I3053">
        <v>0</v>
      </c>
      <c r="J3053">
        <v>22</v>
      </c>
      <c r="K3053" t="s">
        <v>245</v>
      </c>
    </row>
    <row r="3054" spans="2:11" x14ac:dyDescent="0.25">
      <c r="B3054">
        <v>4202</v>
      </c>
      <c r="C3054">
        <v>116</v>
      </c>
      <c r="D3054">
        <v>54</v>
      </c>
      <c r="E3054">
        <v>13</v>
      </c>
      <c r="F3054">
        <v>2</v>
      </c>
      <c r="G3054">
        <v>5</v>
      </c>
      <c r="H3054">
        <v>12</v>
      </c>
      <c r="I3054">
        <v>0</v>
      </c>
      <c r="J3054">
        <v>19</v>
      </c>
      <c r="K3054" t="s">
        <v>248</v>
      </c>
    </row>
    <row r="3055" spans="2:11" x14ac:dyDescent="0.25">
      <c r="B3055">
        <v>4205</v>
      </c>
      <c r="C3055">
        <v>245</v>
      </c>
      <c r="D3055">
        <v>109</v>
      </c>
      <c r="E3055">
        <v>13</v>
      </c>
      <c r="F3055">
        <v>10</v>
      </c>
      <c r="G3055">
        <v>1</v>
      </c>
      <c r="H3055">
        <v>0</v>
      </c>
      <c r="I3055">
        <v>0</v>
      </c>
      <c r="J3055">
        <v>11</v>
      </c>
      <c r="K3055" t="s">
        <v>252</v>
      </c>
    </row>
    <row r="3056" spans="2:11" x14ac:dyDescent="0.25">
      <c r="B3056">
        <v>4206</v>
      </c>
      <c r="C3056">
        <v>334</v>
      </c>
      <c r="D3056">
        <v>152</v>
      </c>
      <c r="E3056">
        <v>16</v>
      </c>
      <c r="F3056">
        <v>16</v>
      </c>
      <c r="G3056">
        <v>14</v>
      </c>
      <c r="H3056">
        <v>0</v>
      </c>
      <c r="I3056">
        <v>0</v>
      </c>
      <c r="J3056">
        <v>30</v>
      </c>
      <c r="K3056" t="s">
        <v>245</v>
      </c>
    </row>
    <row r="3057" spans="2:11" x14ac:dyDescent="0.25">
      <c r="B3057">
        <v>4208</v>
      </c>
      <c r="C3057">
        <v>102</v>
      </c>
      <c r="D3057">
        <v>51</v>
      </c>
      <c r="E3057">
        <v>13</v>
      </c>
      <c r="F3057">
        <v>4</v>
      </c>
      <c r="G3057">
        <v>6</v>
      </c>
      <c r="H3057">
        <v>2</v>
      </c>
      <c r="I3057">
        <v>0</v>
      </c>
      <c r="J3057">
        <v>12</v>
      </c>
      <c r="K3057" t="s">
        <v>252</v>
      </c>
    </row>
    <row r="3058" spans="2:11" x14ac:dyDescent="0.25">
      <c r="B3058">
        <v>4207</v>
      </c>
      <c r="C3058">
        <v>122</v>
      </c>
      <c r="D3058">
        <v>55</v>
      </c>
      <c r="E3058">
        <v>13</v>
      </c>
      <c r="F3058">
        <v>6</v>
      </c>
      <c r="G3058">
        <v>5</v>
      </c>
      <c r="H3058">
        <v>1</v>
      </c>
      <c r="I3058">
        <v>0</v>
      </c>
      <c r="J3058">
        <v>12</v>
      </c>
      <c r="K3058" t="s">
        <v>248</v>
      </c>
    </row>
    <row r="3059" spans="2:11" x14ac:dyDescent="0.25">
      <c r="B3059">
        <v>4209</v>
      </c>
      <c r="C3059">
        <v>154</v>
      </c>
      <c r="D3059">
        <v>69</v>
      </c>
      <c r="E3059">
        <v>13</v>
      </c>
      <c r="F3059">
        <v>10</v>
      </c>
      <c r="G3059">
        <v>14</v>
      </c>
      <c r="H3059">
        <v>0</v>
      </c>
      <c r="I3059">
        <v>0</v>
      </c>
      <c r="J3059">
        <v>24</v>
      </c>
      <c r="K3059" t="s">
        <v>252</v>
      </c>
    </row>
    <row r="3060" spans="2:11" x14ac:dyDescent="0.25">
      <c r="B3060">
        <v>4211</v>
      </c>
      <c r="C3060">
        <v>67</v>
      </c>
      <c r="D3060">
        <v>35</v>
      </c>
      <c r="E3060">
        <v>15</v>
      </c>
      <c r="F3060">
        <v>13</v>
      </c>
      <c r="G3060">
        <v>11</v>
      </c>
      <c r="H3060">
        <v>16</v>
      </c>
      <c r="I3060">
        <v>0</v>
      </c>
      <c r="J3060">
        <v>40</v>
      </c>
      <c r="K3060" t="s">
        <v>252</v>
      </c>
    </row>
    <row r="3061" spans="2:11" x14ac:dyDescent="0.25">
      <c r="B3061">
        <v>4212</v>
      </c>
      <c r="C3061">
        <v>261</v>
      </c>
      <c r="D3061">
        <v>118</v>
      </c>
      <c r="E3061">
        <v>15</v>
      </c>
      <c r="F3061">
        <v>10</v>
      </c>
      <c r="G3061">
        <v>7</v>
      </c>
      <c r="H3061">
        <v>4</v>
      </c>
      <c r="I3061">
        <v>0</v>
      </c>
      <c r="J3061">
        <v>21</v>
      </c>
      <c r="K3061" t="s">
        <v>248</v>
      </c>
    </row>
    <row r="3062" spans="2:11" x14ac:dyDescent="0.25">
      <c r="B3062">
        <v>4213</v>
      </c>
      <c r="C3062">
        <v>66</v>
      </c>
      <c r="D3062">
        <v>35</v>
      </c>
      <c r="E3062">
        <v>15</v>
      </c>
      <c r="F3062">
        <v>11</v>
      </c>
      <c r="G3062">
        <v>9</v>
      </c>
      <c r="H3062">
        <v>10</v>
      </c>
      <c r="I3062">
        <v>0</v>
      </c>
      <c r="J3062">
        <v>30</v>
      </c>
      <c r="K3062" t="s">
        <v>248</v>
      </c>
    </row>
    <row r="3063" spans="2:11" x14ac:dyDescent="0.25">
      <c r="B3063">
        <v>4214</v>
      </c>
      <c r="C3063">
        <v>310</v>
      </c>
      <c r="D3063">
        <v>144</v>
      </c>
      <c r="E3063">
        <v>16</v>
      </c>
      <c r="F3063">
        <v>10</v>
      </c>
      <c r="G3063">
        <v>13</v>
      </c>
      <c r="H3063">
        <v>0</v>
      </c>
      <c r="I3063">
        <v>0</v>
      </c>
      <c r="J3063">
        <v>23</v>
      </c>
      <c r="K3063" t="s">
        <v>252</v>
      </c>
    </row>
    <row r="3064" spans="2:11" x14ac:dyDescent="0.25">
      <c r="B3064">
        <v>4215</v>
      </c>
      <c r="C3064">
        <v>282</v>
      </c>
      <c r="D3064">
        <v>130</v>
      </c>
      <c r="E3064">
        <v>15</v>
      </c>
      <c r="F3064">
        <v>4</v>
      </c>
      <c r="G3064">
        <v>7</v>
      </c>
      <c r="H3064">
        <v>0</v>
      </c>
      <c r="I3064">
        <v>0</v>
      </c>
      <c r="J3064">
        <v>11</v>
      </c>
      <c r="K3064" t="s">
        <v>248</v>
      </c>
    </row>
    <row r="3065" spans="2:11" x14ac:dyDescent="0.25">
      <c r="B3065">
        <v>4218</v>
      </c>
      <c r="C3065">
        <v>150</v>
      </c>
      <c r="D3065">
        <v>69</v>
      </c>
      <c r="E3065">
        <v>16</v>
      </c>
      <c r="F3065">
        <v>16</v>
      </c>
      <c r="G3065">
        <v>9</v>
      </c>
      <c r="H3065">
        <v>0</v>
      </c>
      <c r="I3065">
        <v>0</v>
      </c>
      <c r="J3065">
        <v>25</v>
      </c>
      <c r="K3065" t="s">
        <v>252</v>
      </c>
    </row>
    <row r="3066" spans="2:11" x14ac:dyDescent="0.25">
      <c r="B3066">
        <v>4219</v>
      </c>
      <c r="C3066">
        <v>260</v>
      </c>
      <c r="D3066">
        <v>118</v>
      </c>
      <c r="E3066">
        <v>15</v>
      </c>
      <c r="F3066">
        <v>16</v>
      </c>
      <c r="G3066">
        <v>4</v>
      </c>
      <c r="H3066">
        <v>1</v>
      </c>
      <c r="I3066">
        <v>0</v>
      </c>
      <c r="J3066">
        <v>21</v>
      </c>
      <c r="K3066" t="s">
        <v>248</v>
      </c>
    </row>
    <row r="3067" spans="2:11" x14ac:dyDescent="0.25">
      <c r="B3067">
        <v>4220</v>
      </c>
      <c r="C3067">
        <v>246</v>
      </c>
      <c r="D3067">
        <v>110</v>
      </c>
      <c r="E3067">
        <v>15</v>
      </c>
      <c r="F3067">
        <v>4</v>
      </c>
      <c r="G3067">
        <v>5</v>
      </c>
      <c r="H3067">
        <v>5</v>
      </c>
      <c r="I3067">
        <v>0</v>
      </c>
      <c r="J3067">
        <v>14</v>
      </c>
      <c r="K3067" t="s">
        <v>248</v>
      </c>
    </row>
    <row r="3068" spans="2:11" x14ac:dyDescent="0.25">
      <c r="B3068">
        <v>4224</v>
      </c>
      <c r="C3068">
        <v>47</v>
      </c>
      <c r="D3068">
        <v>23</v>
      </c>
      <c r="E3068">
        <v>16</v>
      </c>
      <c r="F3068">
        <v>6</v>
      </c>
      <c r="G3068">
        <v>8</v>
      </c>
      <c r="H3068">
        <v>0</v>
      </c>
      <c r="I3068">
        <v>0</v>
      </c>
      <c r="J3068">
        <v>14</v>
      </c>
      <c r="K3068" t="s">
        <v>247</v>
      </c>
    </row>
    <row r="3069" spans="2:11" x14ac:dyDescent="0.25">
      <c r="B3069">
        <v>4222</v>
      </c>
      <c r="C3069">
        <v>173</v>
      </c>
      <c r="D3069">
        <v>75</v>
      </c>
      <c r="E3069">
        <v>15</v>
      </c>
      <c r="F3069">
        <v>10</v>
      </c>
      <c r="G3069">
        <v>6</v>
      </c>
      <c r="H3069">
        <v>1</v>
      </c>
      <c r="I3069">
        <v>0</v>
      </c>
      <c r="J3069">
        <v>17</v>
      </c>
      <c r="K3069" t="s">
        <v>248</v>
      </c>
    </row>
    <row r="3070" spans="2:11" x14ac:dyDescent="0.25">
      <c r="B3070">
        <v>4223</v>
      </c>
      <c r="C3070">
        <v>335</v>
      </c>
      <c r="D3070">
        <v>152</v>
      </c>
      <c r="E3070">
        <v>16</v>
      </c>
      <c r="F3070">
        <v>6</v>
      </c>
      <c r="G3070">
        <v>2</v>
      </c>
      <c r="H3070">
        <v>1</v>
      </c>
      <c r="I3070">
        <v>0</v>
      </c>
      <c r="J3070">
        <v>9</v>
      </c>
      <c r="K3070" t="s">
        <v>245</v>
      </c>
    </row>
    <row r="3071" spans="2:11" x14ac:dyDescent="0.25">
      <c r="B3071">
        <v>4221</v>
      </c>
      <c r="C3071">
        <v>78</v>
      </c>
      <c r="D3071">
        <v>40</v>
      </c>
      <c r="E3071">
        <v>14</v>
      </c>
      <c r="F3071">
        <v>3</v>
      </c>
      <c r="G3071">
        <v>6</v>
      </c>
      <c r="H3071">
        <v>3</v>
      </c>
      <c r="I3071">
        <v>0</v>
      </c>
      <c r="J3071">
        <v>12</v>
      </c>
      <c r="K3071" t="s">
        <v>246</v>
      </c>
    </row>
    <row r="3072" spans="2:11" x14ac:dyDescent="0.25">
      <c r="B3072">
        <v>4225</v>
      </c>
      <c r="C3072">
        <v>316</v>
      </c>
      <c r="D3072">
        <v>146</v>
      </c>
      <c r="E3072">
        <v>16</v>
      </c>
      <c r="F3072">
        <v>1</v>
      </c>
      <c r="G3072">
        <v>2</v>
      </c>
      <c r="H3072">
        <v>1</v>
      </c>
      <c r="I3072">
        <v>0</v>
      </c>
      <c r="J3072">
        <v>4</v>
      </c>
      <c r="K3072" t="s">
        <v>245</v>
      </c>
    </row>
    <row r="3073" spans="2:11" x14ac:dyDescent="0.25">
      <c r="B3073">
        <v>4226</v>
      </c>
      <c r="C3073">
        <v>314</v>
      </c>
      <c r="D3073">
        <v>145</v>
      </c>
      <c r="E3073">
        <v>16</v>
      </c>
      <c r="F3073">
        <v>15</v>
      </c>
      <c r="G3073">
        <v>7</v>
      </c>
      <c r="H3073">
        <v>0</v>
      </c>
      <c r="I3073">
        <v>0</v>
      </c>
      <c r="J3073">
        <v>22</v>
      </c>
      <c r="K3073" t="s">
        <v>247</v>
      </c>
    </row>
    <row r="3074" spans="2:11" x14ac:dyDescent="0.25">
      <c r="B3074">
        <v>4228</v>
      </c>
      <c r="C3074">
        <v>293</v>
      </c>
      <c r="D3074">
        <v>136</v>
      </c>
      <c r="E3074">
        <v>16</v>
      </c>
      <c r="F3074">
        <v>12</v>
      </c>
      <c r="G3074">
        <v>16</v>
      </c>
      <c r="H3074">
        <v>0</v>
      </c>
      <c r="I3074">
        <v>0</v>
      </c>
      <c r="J3074">
        <v>28</v>
      </c>
      <c r="K3074" t="s">
        <v>245</v>
      </c>
    </row>
    <row r="3075" spans="2:11" x14ac:dyDescent="0.25">
      <c r="B3075">
        <v>4227</v>
      </c>
      <c r="C3075">
        <v>172</v>
      </c>
      <c r="D3075">
        <v>74</v>
      </c>
      <c r="E3075">
        <v>15</v>
      </c>
      <c r="F3075">
        <v>5</v>
      </c>
      <c r="G3075">
        <v>3</v>
      </c>
      <c r="H3075">
        <v>0</v>
      </c>
      <c r="I3075">
        <v>0</v>
      </c>
      <c r="J3075">
        <v>8</v>
      </c>
      <c r="K3075" t="s">
        <v>248</v>
      </c>
    </row>
    <row r="3076" spans="2:11" x14ac:dyDescent="0.25">
      <c r="B3076">
        <v>4229</v>
      </c>
      <c r="C3076">
        <v>5</v>
      </c>
      <c r="D3076">
        <v>1</v>
      </c>
      <c r="E3076">
        <v>14</v>
      </c>
      <c r="F3076">
        <v>7</v>
      </c>
      <c r="G3076">
        <v>0</v>
      </c>
      <c r="H3076">
        <v>2</v>
      </c>
      <c r="I3076">
        <v>0</v>
      </c>
      <c r="J3076">
        <v>9</v>
      </c>
      <c r="K3076" t="s">
        <v>246</v>
      </c>
    </row>
    <row r="3077" spans="2:11" x14ac:dyDescent="0.25">
      <c r="B3077">
        <v>4230</v>
      </c>
      <c r="C3077">
        <v>303</v>
      </c>
      <c r="D3077">
        <v>140</v>
      </c>
      <c r="E3077">
        <v>16</v>
      </c>
      <c r="F3077">
        <v>6</v>
      </c>
      <c r="G3077">
        <v>3</v>
      </c>
      <c r="H3077">
        <v>0</v>
      </c>
      <c r="I3077">
        <v>0</v>
      </c>
      <c r="J3077">
        <v>9</v>
      </c>
      <c r="K3077" t="s">
        <v>245</v>
      </c>
    </row>
    <row r="3078" spans="2:11" x14ac:dyDescent="0.25">
      <c r="B3078">
        <v>4233</v>
      </c>
      <c r="C3078">
        <v>45</v>
      </c>
      <c r="D3078">
        <v>23</v>
      </c>
      <c r="E3078">
        <v>14</v>
      </c>
      <c r="F3078">
        <v>23</v>
      </c>
      <c r="G3078">
        <v>3</v>
      </c>
      <c r="H3078">
        <v>0</v>
      </c>
      <c r="I3078">
        <v>0</v>
      </c>
      <c r="J3078">
        <v>26</v>
      </c>
      <c r="K3078" t="s">
        <v>246</v>
      </c>
    </row>
    <row r="3079" spans="2:11" x14ac:dyDescent="0.25">
      <c r="B3079">
        <v>4232</v>
      </c>
      <c r="C3079">
        <v>94</v>
      </c>
      <c r="D3079">
        <v>47</v>
      </c>
      <c r="E3079">
        <v>15</v>
      </c>
      <c r="F3079">
        <v>2</v>
      </c>
      <c r="G3079">
        <v>8</v>
      </c>
      <c r="H3079">
        <v>1</v>
      </c>
      <c r="I3079">
        <v>0</v>
      </c>
      <c r="J3079">
        <v>11</v>
      </c>
      <c r="K3079" t="s">
        <v>248</v>
      </c>
    </row>
    <row r="3080" spans="2:11" x14ac:dyDescent="0.25">
      <c r="B3080">
        <v>4237</v>
      </c>
      <c r="C3080">
        <v>46</v>
      </c>
      <c r="D3080">
        <v>23</v>
      </c>
      <c r="E3080">
        <v>14</v>
      </c>
      <c r="F3080">
        <v>10</v>
      </c>
      <c r="G3080">
        <v>12</v>
      </c>
      <c r="H3080">
        <v>0</v>
      </c>
      <c r="I3080">
        <v>0</v>
      </c>
      <c r="J3080">
        <v>22</v>
      </c>
      <c r="K3080" t="s">
        <v>246</v>
      </c>
    </row>
    <row r="3081" spans="2:11" x14ac:dyDescent="0.25">
      <c r="B3081">
        <v>4238</v>
      </c>
      <c r="C3081">
        <v>264</v>
      </c>
      <c r="D3081">
        <v>118</v>
      </c>
      <c r="E3081">
        <v>16</v>
      </c>
      <c r="F3081">
        <v>9</v>
      </c>
      <c r="G3081">
        <v>9</v>
      </c>
      <c r="H3081">
        <v>1</v>
      </c>
      <c r="I3081">
        <v>0</v>
      </c>
      <c r="J3081">
        <v>19</v>
      </c>
      <c r="K3081" t="s">
        <v>245</v>
      </c>
    </row>
    <row r="3082" spans="2:11" x14ac:dyDescent="0.25">
      <c r="B3082">
        <v>4239</v>
      </c>
      <c r="C3082">
        <v>31</v>
      </c>
      <c r="D3082">
        <v>17</v>
      </c>
      <c r="E3082">
        <v>14</v>
      </c>
      <c r="F3082">
        <v>15</v>
      </c>
      <c r="G3082">
        <v>9</v>
      </c>
      <c r="H3082">
        <v>2</v>
      </c>
      <c r="I3082">
        <v>0</v>
      </c>
      <c r="J3082">
        <v>26</v>
      </c>
      <c r="K3082" t="s">
        <v>246</v>
      </c>
    </row>
    <row r="3083" spans="2:11" x14ac:dyDescent="0.25">
      <c r="B3083">
        <v>4240</v>
      </c>
      <c r="C3083">
        <v>318</v>
      </c>
      <c r="D3083">
        <v>147</v>
      </c>
      <c r="E3083">
        <v>16</v>
      </c>
      <c r="F3083">
        <v>8</v>
      </c>
      <c r="G3083">
        <v>5</v>
      </c>
      <c r="H3083">
        <v>0</v>
      </c>
      <c r="I3083">
        <v>0</v>
      </c>
      <c r="J3083">
        <v>13</v>
      </c>
      <c r="K3083" t="s">
        <v>245</v>
      </c>
    </row>
    <row r="3084" spans="2:11" x14ac:dyDescent="0.25">
      <c r="B3084">
        <v>4242</v>
      </c>
      <c r="C3084">
        <v>56</v>
      </c>
      <c r="D3084">
        <v>29</v>
      </c>
      <c r="E3084">
        <v>16</v>
      </c>
      <c r="F3084">
        <v>1</v>
      </c>
      <c r="G3084">
        <v>3</v>
      </c>
      <c r="H3084">
        <v>0</v>
      </c>
      <c r="I3084">
        <v>0</v>
      </c>
      <c r="J3084">
        <v>4</v>
      </c>
      <c r="K3084" t="s">
        <v>245</v>
      </c>
    </row>
    <row r="3085" spans="2:11" x14ac:dyDescent="0.25">
      <c r="B3085">
        <v>4243</v>
      </c>
      <c r="C3085">
        <v>35</v>
      </c>
      <c r="D3085">
        <v>17</v>
      </c>
      <c r="E3085">
        <v>14</v>
      </c>
      <c r="F3085">
        <v>0</v>
      </c>
      <c r="G3085">
        <v>8</v>
      </c>
      <c r="H3085">
        <v>0</v>
      </c>
      <c r="I3085">
        <v>0</v>
      </c>
      <c r="J3085">
        <v>8</v>
      </c>
      <c r="K3085" t="s">
        <v>246</v>
      </c>
    </row>
    <row r="3086" spans="2:11" x14ac:dyDescent="0.25">
      <c r="B3086">
        <v>4245</v>
      </c>
      <c r="C3086">
        <v>55</v>
      </c>
      <c r="D3086">
        <v>29</v>
      </c>
      <c r="E3086">
        <v>16</v>
      </c>
      <c r="F3086">
        <v>2</v>
      </c>
      <c r="G3086">
        <v>5</v>
      </c>
      <c r="H3086">
        <v>0</v>
      </c>
      <c r="I3086">
        <v>0</v>
      </c>
      <c r="J3086">
        <v>7</v>
      </c>
      <c r="K3086" t="s">
        <v>245</v>
      </c>
    </row>
    <row r="3087" spans="2:11" x14ac:dyDescent="0.25">
      <c r="B3087">
        <v>4246</v>
      </c>
      <c r="C3087">
        <v>39</v>
      </c>
      <c r="D3087">
        <v>19</v>
      </c>
      <c r="E3087">
        <v>14</v>
      </c>
      <c r="F3087">
        <v>5</v>
      </c>
      <c r="G3087">
        <v>2</v>
      </c>
      <c r="H3087">
        <v>0</v>
      </c>
      <c r="I3087">
        <v>0</v>
      </c>
      <c r="J3087">
        <v>7</v>
      </c>
      <c r="K3087" t="s">
        <v>246</v>
      </c>
    </row>
    <row r="3088" spans="2:11" x14ac:dyDescent="0.25">
      <c r="B3088">
        <v>4244</v>
      </c>
      <c r="C3088">
        <v>78</v>
      </c>
      <c r="D3088">
        <v>40</v>
      </c>
      <c r="E3088">
        <v>13</v>
      </c>
      <c r="F3088">
        <v>4</v>
      </c>
      <c r="G3088">
        <v>5</v>
      </c>
      <c r="H3088">
        <v>2</v>
      </c>
      <c r="I3088">
        <v>0</v>
      </c>
      <c r="J3088">
        <v>11</v>
      </c>
      <c r="K3088" t="s">
        <v>243</v>
      </c>
    </row>
    <row r="3089" spans="2:11" x14ac:dyDescent="0.25">
      <c r="B3089">
        <v>4247</v>
      </c>
      <c r="C3089">
        <v>50</v>
      </c>
      <c r="D3089">
        <v>25</v>
      </c>
      <c r="E3089">
        <v>16</v>
      </c>
      <c r="F3089">
        <v>0</v>
      </c>
      <c r="G3089">
        <v>3</v>
      </c>
      <c r="H3089">
        <v>0</v>
      </c>
      <c r="I3089">
        <v>0</v>
      </c>
      <c r="J3089">
        <v>3</v>
      </c>
      <c r="K3089" t="s">
        <v>245</v>
      </c>
    </row>
    <row r="3090" spans="2:11" x14ac:dyDescent="0.25">
      <c r="B3090">
        <v>5643</v>
      </c>
      <c r="C3090">
        <v>191</v>
      </c>
      <c r="D3090">
        <v>83</v>
      </c>
      <c r="E3090">
        <v>12</v>
      </c>
      <c r="F3090">
        <v>0</v>
      </c>
      <c r="G3090">
        <v>30</v>
      </c>
      <c r="H3090">
        <v>0</v>
      </c>
      <c r="I3090">
        <v>0</v>
      </c>
      <c r="J3090">
        <v>30</v>
      </c>
      <c r="K3090" t="s">
        <v>241</v>
      </c>
    </row>
    <row r="3091" spans="2:11" x14ac:dyDescent="0.25">
      <c r="B3091">
        <v>5644</v>
      </c>
      <c r="C3091">
        <v>191</v>
      </c>
      <c r="D3091">
        <v>83</v>
      </c>
      <c r="E3091">
        <v>13</v>
      </c>
      <c r="F3091">
        <v>0</v>
      </c>
      <c r="G3091">
        <v>21</v>
      </c>
      <c r="H3091">
        <v>0</v>
      </c>
      <c r="I3091">
        <v>0</v>
      </c>
      <c r="J3091">
        <v>21</v>
      </c>
      <c r="K3091" t="s">
        <v>241</v>
      </c>
    </row>
    <row r="3092" spans="2:11" x14ac:dyDescent="0.25">
      <c r="B3092">
        <v>5645</v>
      </c>
      <c r="C3092">
        <v>235</v>
      </c>
      <c r="D3092">
        <v>103</v>
      </c>
      <c r="E3092">
        <v>5</v>
      </c>
      <c r="F3092">
        <v>17</v>
      </c>
      <c r="G3092">
        <v>8</v>
      </c>
      <c r="H3092">
        <v>0</v>
      </c>
      <c r="I3092">
        <v>0</v>
      </c>
      <c r="J3092">
        <v>25</v>
      </c>
      <c r="K3092" t="s">
        <v>252</v>
      </c>
    </row>
    <row r="3093" spans="2:11" x14ac:dyDescent="0.25">
      <c r="B3093">
        <v>5648</v>
      </c>
      <c r="C3093">
        <v>192</v>
      </c>
      <c r="D3093">
        <v>84</v>
      </c>
      <c r="E3093">
        <v>1</v>
      </c>
      <c r="F3093">
        <v>18</v>
      </c>
      <c r="G3093">
        <v>10</v>
      </c>
      <c r="H3093">
        <v>0</v>
      </c>
      <c r="I3093">
        <v>0</v>
      </c>
      <c r="J3093">
        <v>28</v>
      </c>
      <c r="K3093" t="s">
        <v>241</v>
      </c>
    </row>
    <row r="3094" spans="2:11" x14ac:dyDescent="0.25">
      <c r="B3094">
        <v>5649</v>
      </c>
      <c r="C3094">
        <v>182</v>
      </c>
      <c r="D3094">
        <v>79</v>
      </c>
      <c r="E3094">
        <v>4</v>
      </c>
      <c r="F3094">
        <v>20</v>
      </c>
      <c r="G3094">
        <v>4</v>
      </c>
      <c r="H3094">
        <v>0</v>
      </c>
      <c r="I3094">
        <v>0</v>
      </c>
      <c r="J3094">
        <v>24</v>
      </c>
      <c r="K3094" t="s">
        <v>241</v>
      </c>
    </row>
    <row r="3095" spans="2:11" x14ac:dyDescent="0.25">
      <c r="B3095">
        <v>5651</v>
      </c>
      <c r="C3095">
        <v>235</v>
      </c>
      <c r="D3095">
        <v>103</v>
      </c>
      <c r="E3095">
        <v>7</v>
      </c>
      <c r="F3095">
        <v>0</v>
      </c>
      <c r="G3095">
        <v>11</v>
      </c>
      <c r="H3095">
        <v>0</v>
      </c>
      <c r="I3095">
        <v>0</v>
      </c>
      <c r="J3095">
        <v>11</v>
      </c>
      <c r="K3095" t="s">
        <v>252</v>
      </c>
    </row>
    <row r="3096" spans="2:11" x14ac:dyDescent="0.25">
      <c r="B3096">
        <v>5652</v>
      </c>
      <c r="C3096">
        <v>235</v>
      </c>
      <c r="D3096">
        <v>103</v>
      </c>
      <c r="E3096">
        <v>8</v>
      </c>
      <c r="F3096">
        <v>13</v>
      </c>
      <c r="G3096">
        <v>14</v>
      </c>
      <c r="H3096">
        <v>0</v>
      </c>
      <c r="I3096">
        <v>0</v>
      </c>
      <c r="J3096">
        <v>27</v>
      </c>
      <c r="K3096" t="s">
        <v>252</v>
      </c>
    </row>
    <row r="3097" spans="2:11" x14ac:dyDescent="0.25">
      <c r="B3097">
        <v>5653</v>
      </c>
      <c r="C3097">
        <v>235</v>
      </c>
      <c r="D3097">
        <v>103</v>
      </c>
      <c r="E3097">
        <v>9</v>
      </c>
      <c r="F3097">
        <v>9</v>
      </c>
      <c r="G3097">
        <v>14</v>
      </c>
      <c r="H3097">
        <v>0</v>
      </c>
      <c r="I3097">
        <v>0</v>
      </c>
      <c r="J3097">
        <v>23</v>
      </c>
      <c r="K3097" t="s">
        <v>252</v>
      </c>
    </row>
    <row r="3098" spans="2:11" x14ac:dyDescent="0.25">
      <c r="B3098">
        <v>5655</v>
      </c>
      <c r="C3098">
        <v>235</v>
      </c>
      <c r="D3098">
        <v>103</v>
      </c>
      <c r="E3098">
        <v>10</v>
      </c>
      <c r="F3098">
        <v>19</v>
      </c>
      <c r="G3098">
        <v>7</v>
      </c>
      <c r="H3098">
        <v>0</v>
      </c>
      <c r="I3098">
        <v>0</v>
      </c>
      <c r="J3098">
        <v>26</v>
      </c>
      <c r="K3098" t="s">
        <v>252</v>
      </c>
    </row>
    <row r="3099" spans="2:11" x14ac:dyDescent="0.25">
      <c r="B3099">
        <v>5657</v>
      </c>
      <c r="C3099">
        <v>235</v>
      </c>
      <c r="D3099">
        <v>103</v>
      </c>
      <c r="E3099">
        <v>11</v>
      </c>
      <c r="F3099">
        <v>8</v>
      </c>
      <c r="G3099">
        <v>7</v>
      </c>
      <c r="H3099">
        <v>0</v>
      </c>
      <c r="I3099">
        <v>0</v>
      </c>
      <c r="J3099">
        <v>15</v>
      </c>
      <c r="K3099" t="s">
        <v>252</v>
      </c>
    </row>
    <row r="3100" spans="2:11" x14ac:dyDescent="0.25">
      <c r="B3100">
        <v>5658</v>
      </c>
      <c r="C3100">
        <v>235</v>
      </c>
      <c r="D3100">
        <v>103</v>
      </c>
      <c r="E3100">
        <v>12</v>
      </c>
      <c r="F3100">
        <v>18</v>
      </c>
      <c r="G3100">
        <v>12</v>
      </c>
      <c r="H3100">
        <v>0</v>
      </c>
      <c r="I3100">
        <v>0</v>
      </c>
      <c r="J3100">
        <v>30</v>
      </c>
      <c r="K3100" t="s">
        <v>252</v>
      </c>
    </row>
    <row r="3101" spans="2:11" x14ac:dyDescent="0.25">
      <c r="B3101">
        <v>3143</v>
      </c>
      <c r="C3101">
        <v>322</v>
      </c>
      <c r="D3101">
        <v>149</v>
      </c>
      <c r="E3101">
        <v>12</v>
      </c>
      <c r="F3101">
        <v>8</v>
      </c>
      <c r="G3101">
        <v>10</v>
      </c>
      <c r="H3101">
        <v>0</v>
      </c>
      <c r="I3101">
        <v>0</v>
      </c>
      <c r="J3101">
        <v>18</v>
      </c>
      <c r="K3101" t="s">
        <v>247</v>
      </c>
    </row>
    <row r="3102" spans="2:11" x14ac:dyDescent="0.25">
      <c r="B3102">
        <v>3152</v>
      </c>
      <c r="C3102">
        <v>279</v>
      </c>
      <c r="D3102">
        <v>129</v>
      </c>
      <c r="E3102">
        <v>12</v>
      </c>
      <c r="F3102">
        <v>8</v>
      </c>
      <c r="G3102">
        <v>17</v>
      </c>
      <c r="H3102">
        <v>0</v>
      </c>
      <c r="I3102">
        <v>0</v>
      </c>
      <c r="J3102">
        <v>25</v>
      </c>
      <c r="K3102" t="s">
        <v>252</v>
      </c>
    </row>
    <row r="3103" spans="2:11" x14ac:dyDescent="0.25">
      <c r="B3103">
        <v>3141</v>
      </c>
      <c r="C3103">
        <v>74</v>
      </c>
      <c r="D3103">
        <v>36</v>
      </c>
      <c r="E3103">
        <v>10</v>
      </c>
      <c r="F3103">
        <v>6</v>
      </c>
      <c r="G3103">
        <v>14</v>
      </c>
      <c r="H3103">
        <v>2</v>
      </c>
      <c r="I3103">
        <v>0</v>
      </c>
      <c r="J3103">
        <v>22</v>
      </c>
      <c r="K3103" t="s">
        <v>251</v>
      </c>
    </row>
    <row r="3104" spans="2:11" x14ac:dyDescent="0.25">
      <c r="B3104">
        <v>3156</v>
      </c>
      <c r="C3104">
        <v>266</v>
      </c>
      <c r="D3104">
        <v>118</v>
      </c>
      <c r="E3104">
        <v>13</v>
      </c>
      <c r="F3104">
        <v>12</v>
      </c>
      <c r="G3104">
        <v>14</v>
      </c>
      <c r="H3104">
        <v>0</v>
      </c>
      <c r="I3104">
        <v>0</v>
      </c>
      <c r="J3104">
        <v>10</v>
      </c>
      <c r="K3104" t="s">
        <v>250</v>
      </c>
    </row>
    <row r="3105" spans="2:11" x14ac:dyDescent="0.25">
      <c r="B3105">
        <v>3158</v>
      </c>
      <c r="C3105">
        <v>63</v>
      </c>
      <c r="D3105">
        <v>34</v>
      </c>
      <c r="E3105">
        <v>12</v>
      </c>
      <c r="F3105">
        <v>6</v>
      </c>
      <c r="G3105">
        <v>6</v>
      </c>
      <c r="H3105">
        <v>0</v>
      </c>
      <c r="I3105">
        <v>0</v>
      </c>
      <c r="J3105">
        <v>12</v>
      </c>
      <c r="K3105" t="s">
        <v>246</v>
      </c>
    </row>
    <row r="3106" spans="2:11" x14ac:dyDescent="0.25">
      <c r="B3106">
        <v>3162</v>
      </c>
      <c r="C3106">
        <v>92</v>
      </c>
      <c r="D3106">
        <v>46</v>
      </c>
      <c r="E3106">
        <v>10</v>
      </c>
      <c r="F3106">
        <v>19</v>
      </c>
      <c r="G3106">
        <v>5</v>
      </c>
      <c r="H3106">
        <v>0</v>
      </c>
      <c r="I3106">
        <v>0</v>
      </c>
      <c r="J3106">
        <v>24</v>
      </c>
      <c r="K3106" t="s">
        <v>251</v>
      </c>
    </row>
    <row r="3107" spans="2:11" x14ac:dyDescent="0.25">
      <c r="B3107">
        <v>3170</v>
      </c>
      <c r="C3107">
        <v>304</v>
      </c>
      <c r="D3107">
        <v>141</v>
      </c>
      <c r="E3107">
        <v>11</v>
      </c>
      <c r="F3107">
        <v>11</v>
      </c>
      <c r="G3107">
        <v>4</v>
      </c>
      <c r="H3107">
        <v>2</v>
      </c>
      <c r="I3107">
        <v>0</v>
      </c>
      <c r="J3107">
        <v>17</v>
      </c>
      <c r="K3107" t="s">
        <v>244</v>
      </c>
    </row>
    <row r="3108" spans="2:11" x14ac:dyDescent="0.25">
      <c r="B3108">
        <v>3173</v>
      </c>
      <c r="C3108">
        <v>106</v>
      </c>
      <c r="D3108">
        <v>51</v>
      </c>
      <c r="E3108">
        <v>12</v>
      </c>
      <c r="F3108">
        <v>7</v>
      </c>
      <c r="G3108">
        <v>6</v>
      </c>
      <c r="H3108">
        <v>0</v>
      </c>
      <c r="I3108">
        <v>0</v>
      </c>
      <c r="J3108">
        <v>13</v>
      </c>
      <c r="K3108" t="s">
        <v>247</v>
      </c>
    </row>
    <row r="3109" spans="2:11" x14ac:dyDescent="0.25">
      <c r="B3109">
        <v>3175</v>
      </c>
      <c r="C3109">
        <v>18</v>
      </c>
      <c r="D3109">
        <v>9</v>
      </c>
      <c r="E3109">
        <v>12</v>
      </c>
      <c r="F3109">
        <v>4</v>
      </c>
      <c r="G3109">
        <v>3</v>
      </c>
      <c r="H3109">
        <v>0</v>
      </c>
      <c r="I3109">
        <v>0</v>
      </c>
      <c r="J3109">
        <v>7</v>
      </c>
      <c r="K3109" t="s">
        <v>250</v>
      </c>
    </row>
    <row r="3110" spans="2:11" x14ac:dyDescent="0.25">
      <c r="B3110">
        <v>3178</v>
      </c>
      <c r="C3110">
        <v>300</v>
      </c>
      <c r="D3110">
        <v>138</v>
      </c>
      <c r="E3110">
        <v>12</v>
      </c>
      <c r="F3110">
        <v>4</v>
      </c>
      <c r="G3110">
        <v>3</v>
      </c>
      <c r="H3110">
        <v>1</v>
      </c>
      <c r="I3110">
        <v>0</v>
      </c>
      <c r="J3110">
        <v>8</v>
      </c>
      <c r="K3110" t="s">
        <v>247</v>
      </c>
    </row>
    <row r="3111" spans="2:11" x14ac:dyDescent="0.25">
      <c r="B3111">
        <v>3193</v>
      </c>
      <c r="C3111">
        <v>350</v>
      </c>
      <c r="D3111">
        <v>157</v>
      </c>
      <c r="E3111">
        <v>12</v>
      </c>
      <c r="F3111">
        <v>9</v>
      </c>
      <c r="G3111">
        <v>5</v>
      </c>
      <c r="H3111">
        <v>0</v>
      </c>
      <c r="I3111">
        <v>0</v>
      </c>
      <c r="J3111">
        <v>14</v>
      </c>
      <c r="K3111" t="s">
        <v>247</v>
      </c>
    </row>
    <row r="3112" spans="2:11" x14ac:dyDescent="0.25">
      <c r="B3112">
        <v>3187</v>
      </c>
      <c r="C3112">
        <v>25</v>
      </c>
      <c r="D3112">
        <v>13</v>
      </c>
      <c r="E3112">
        <v>13</v>
      </c>
      <c r="F3112">
        <v>0</v>
      </c>
      <c r="G3112">
        <v>2</v>
      </c>
      <c r="H3112">
        <v>0</v>
      </c>
      <c r="I3112">
        <v>0</v>
      </c>
      <c r="J3112">
        <v>2</v>
      </c>
      <c r="K3112" t="s">
        <v>246</v>
      </c>
    </row>
    <row r="3113" spans="2:11" x14ac:dyDescent="0.25">
      <c r="B3113">
        <v>3196</v>
      </c>
      <c r="C3113">
        <v>167</v>
      </c>
      <c r="D3113">
        <v>72</v>
      </c>
      <c r="E3113">
        <v>12</v>
      </c>
      <c r="F3113">
        <v>8</v>
      </c>
      <c r="G3113">
        <v>14</v>
      </c>
      <c r="H3113">
        <v>0</v>
      </c>
      <c r="I3113">
        <v>0</v>
      </c>
      <c r="J3113">
        <v>22</v>
      </c>
      <c r="K3113" t="s">
        <v>252</v>
      </c>
    </row>
    <row r="3114" spans="2:11" x14ac:dyDescent="0.25">
      <c r="B3114">
        <v>3198</v>
      </c>
      <c r="C3114">
        <v>303</v>
      </c>
      <c r="D3114">
        <v>140</v>
      </c>
      <c r="E3114">
        <v>13</v>
      </c>
      <c r="F3114">
        <v>6</v>
      </c>
      <c r="G3114">
        <v>1</v>
      </c>
      <c r="H3114">
        <v>0</v>
      </c>
      <c r="I3114">
        <v>0</v>
      </c>
      <c r="J3114">
        <v>7</v>
      </c>
      <c r="K3114" t="s">
        <v>241</v>
      </c>
    </row>
    <row r="3115" spans="2:11" x14ac:dyDescent="0.25">
      <c r="B3115">
        <v>3197</v>
      </c>
      <c r="C3115">
        <v>351</v>
      </c>
      <c r="D3115">
        <v>158</v>
      </c>
      <c r="E3115">
        <v>12</v>
      </c>
      <c r="F3115">
        <v>2</v>
      </c>
      <c r="G3115">
        <v>14</v>
      </c>
      <c r="H3115">
        <v>1</v>
      </c>
      <c r="I3115">
        <v>0</v>
      </c>
      <c r="J3115">
        <v>17</v>
      </c>
      <c r="K3115" t="s">
        <v>247</v>
      </c>
    </row>
    <row r="3116" spans="2:11" x14ac:dyDescent="0.25">
      <c r="B3116">
        <v>3200</v>
      </c>
      <c r="C3116">
        <v>277</v>
      </c>
      <c r="D3116">
        <v>128</v>
      </c>
      <c r="E3116">
        <v>12</v>
      </c>
      <c r="F3116">
        <v>16</v>
      </c>
      <c r="G3116">
        <v>12</v>
      </c>
      <c r="H3116">
        <v>0</v>
      </c>
      <c r="I3116">
        <v>0</v>
      </c>
      <c r="J3116">
        <v>28</v>
      </c>
      <c r="K3116" t="s">
        <v>251</v>
      </c>
    </row>
    <row r="3117" spans="2:11" x14ac:dyDescent="0.25">
      <c r="B3117">
        <v>3201</v>
      </c>
      <c r="C3117">
        <v>313</v>
      </c>
      <c r="D3117">
        <v>144</v>
      </c>
      <c r="E3117">
        <v>12</v>
      </c>
      <c r="F3117">
        <v>3</v>
      </c>
      <c r="G3117">
        <v>3</v>
      </c>
      <c r="H3117">
        <v>0</v>
      </c>
      <c r="I3117">
        <v>0</v>
      </c>
      <c r="J3117">
        <v>6</v>
      </c>
      <c r="K3117" t="s">
        <v>252</v>
      </c>
    </row>
    <row r="3118" spans="2:11" x14ac:dyDescent="0.25">
      <c r="B3118">
        <v>3199</v>
      </c>
      <c r="C3118">
        <v>286</v>
      </c>
      <c r="D3118">
        <v>133</v>
      </c>
      <c r="E3118">
        <v>12</v>
      </c>
      <c r="F3118">
        <v>8</v>
      </c>
      <c r="G3118">
        <v>1</v>
      </c>
      <c r="H3118">
        <v>1</v>
      </c>
      <c r="I3118">
        <v>0</v>
      </c>
      <c r="J3118">
        <v>10</v>
      </c>
      <c r="K3118" t="s">
        <v>250</v>
      </c>
    </row>
    <row r="3119" spans="2:11" x14ac:dyDescent="0.25">
      <c r="B3119">
        <v>3202</v>
      </c>
      <c r="C3119">
        <v>93</v>
      </c>
      <c r="D3119">
        <v>46</v>
      </c>
      <c r="E3119">
        <v>11</v>
      </c>
      <c r="F3119">
        <v>13</v>
      </c>
      <c r="G3119">
        <v>5</v>
      </c>
      <c r="H3119">
        <v>0</v>
      </c>
      <c r="I3119">
        <v>0</v>
      </c>
      <c r="J3119">
        <v>18</v>
      </c>
      <c r="K3119" t="s">
        <v>246</v>
      </c>
    </row>
    <row r="3120" spans="2:11" x14ac:dyDescent="0.25">
      <c r="B3120">
        <v>3204</v>
      </c>
      <c r="C3120">
        <v>264</v>
      </c>
      <c r="D3120">
        <v>118</v>
      </c>
      <c r="E3120">
        <v>13</v>
      </c>
      <c r="F3120">
        <v>4</v>
      </c>
      <c r="G3120">
        <v>5</v>
      </c>
      <c r="H3120">
        <v>0</v>
      </c>
      <c r="I3120">
        <v>0</v>
      </c>
      <c r="J3120">
        <v>9</v>
      </c>
      <c r="K3120" t="s">
        <v>241</v>
      </c>
    </row>
    <row r="3121" spans="2:11" x14ac:dyDescent="0.25">
      <c r="B3121">
        <v>3203</v>
      </c>
      <c r="C3121">
        <v>301</v>
      </c>
      <c r="D3121">
        <v>139</v>
      </c>
      <c r="E3121">
        <v>12</v>
      </c>
      <c r="F3121">
        <v>7</v>
      </c>
      <c r="G3121">
        <v>4</v>
      </c>
      <c r="H3121">
        <v>0</v>
      </c>
      <c r="I3121">
        <v>0</v>
      </c>
      <c r="J3121">
        <v>11</v>
      </c>
      <c r="K3121" t="s">
        <v>247</v>
      </c>
    </row>
    <row r="3122" spans="2:11" x14ac:dyDescent="0.25">
      <c r="B3122">
        <v>3205</v>
      </c>
      <c r="C3122">
        <v>25</v>
      </c>
      <c r="D3122">
        <v>13</v>
      </c>
      <c r="E3122">
        <v>12</v>
      </c>
      <c r="F3122">
        <v>3</v>
      </c>
      <c r="G3122">
        <v>1</v>
      </c>
      <c r="H3122">
        <v>0</v>
      </c>
      <c r="I3122">
        <v>0</v>
      </c>
      <c r="J3122">
        <v>4</v>
      </c>
      <c r="K3122" t="s">
        <v>251</v>
      </c>
    </row>
    <row r="3123" spans="2:11" x14ac:dyDescent="0.25">
      <c r="B3123">
        <v>3208</v>
      </c>
      <c r="C3123">
        <v>167</v>
      </c>
      <c r="D3123">
        <v>72</v>
      </c>
      <c r="E3123">
        <v>10</v>
      </c>
      <c r="F3123">
        <v>4</v>
      </c>
      <c r="G3123">
        <v>10</v>
      </c>
      <c r="H3123">
        <v>0</v>
      </c>
      <c r="I3123">
        <v>0</v>
      </c>
      <c r="J3123">
        <v>14</v>
      </c>
      <c r="K3123" t="s">
        <v>247</v>
      </c>
    </row>
    <row r="3124" spans="2:11" x14ac:dyDescent="0.25">
      <c r="B3124">
        <v>3210</v>
      </c>
      <c r="C3124">
        <v>135</v>
      </c>
      <c r="D3124">
        <v>60</v>
      </c>
      <c r="E3124">
        <v>10</v>
      </c>
      <c r="F3124">
        <v>5</v>
      </c>
      <c r="G3124">
        <v>7</v>
      </c>
      <c r="H3124">
        <v>4</v>
      </c>
      <c r="I3124">
        <v>0</v>
      </c>
      <c r="J3124">
        <v>16</v>
      </c>
      <c r="K3124" t="s">
        <v>247</v>
      </c>
    </row>
    <row r="3125" spans="2:11" x14ac:dyDescent="0.25">
      <c r="B3125">
        <v>3209</v>
      </c>
      <c r="C3125">
        <v>254</v>
      </c>
      <c r="D3125">
        <v>116</v>
      </c>
      <c r="E3125">
        <v>11</v>
      </c>
      <c r="F3125">
        <v>12</v>
      </c>
      <c r="G3125">
        <v>8</v>
      </c>
      <c r="H3125">
        <v>3</v>
      </c>
      <c r="I3125">
        <v>0</v>
      </c>
      <c r="J3125">
        <v>23</v>
      </c>
      <c r="K3125" t="s">
        <v>251</v>
      </c>
    </row>
    <row r="3126" spans="2:11" x14ac:dyDescent="0.25">
      <c r="B3126">
        <v>3211</v>
      </c>
      <c r="C3126">
        <v>93</v>
      </c>
      <c r="D3126">
        <v>46</v>
      </c>
      <c r="E3126">
        <v>10</v>
      </c>
      <c r="F3126">
        <v>14</v>
      </c>
      <c r="G3126">
        <v>4</v>
      </c>
      <c r="H3126">
        <v>0</v>
      </c>
      <c r="I3126">
        <v>0</v>
      </c>
      <c r="J3126">
        <v>18</v>
      </c>
      <c r="K3126" t="s">
        <v>246</v>
      </c>
    </row>
    <row r="3127" spans="2:11" x14ac:dyDescent="0.25">
      <c r="B3127">
        <v>3212</v>
      </c>
      <c r="C3127">
        <v>270</v>
      </c>
      <c r="D3127">
        <v>122</v>
      </c>
      <c r="E3127">
        <v>13</v>
      </c>
      <c r="F3127">
        <v>10</v>
      </c>
      <c r="G3127">
        <v>17</v>
      </c>
      <c r="H3127">
        <v>13</v>
      </c>
      <c r="I3127">
        <v>0</v>
      </c>
      <c r="J3127">
        <v>40</v>
      </c>
      <c r="K3127" t="s">
        <v>249</v>
      </c>
    </row>
    <row r="3128" spans="2:11" x14ac:dyDescent="0.25">
      <c r="B3128">
        <v>3213</v>
      </c>
      <c r="C3128">
        <v>60</v>
      </c>
      <c r="D3128">
        <v>31</v>
      </c>
      <c r="E3128">
        <v>2</v>
      </c>
      <c r="F3128">
        <v>0</v>
      </c>
      <c r="G3128">
        <v>29</v>
      </c>
      <c r="H3128">
        <v>1</v>
      </c>
      <c r="I3128">
        <v>0</v>
      </c>
      <c r="J3128">
        <v>30</v>
      </c>
      <c r="K3128" t="s">
        <v>247</v>
      </c>
    </row>
    <row r="3129" spans="2:11" x14ac:dyDescent="0.25">
      <c r="B3129">
        <v>3216</v>
      </c>
      <c r="C3129">
        <v>58</v>
      </c>
      <c r="D3129">
        <v>29</v>
      </c>
      <c r="E3129">
        <v>11</v>
      </c>
      <c r="F3129">
        <v>3</v>
      </c>
      <c r="G3129">
        <v>4</v>
      </c>
      <c r="H3129">
        <v>0</v>
      </c>
      <c r="I3129">
        <v>0</v>
      </c>
      <c r="J3129">
        <v>7</v>
      </c>
      <c r="K3129" t="s">
        <v>251</v>
      </c>
    </row>
    <row r="3130" spans="2:11" x14ac:dyDescent="0.25">
      <c r="B3130">
        <v>3219</v>
      </c>
      <c r="C3130">
        <v>23</v>
      </c>
      <c r="D3130">
        <v>11</v>
      </c>
      <c r="E3130">
        <v>13</v>
      </c>
      <c r="F3130">
        <v>13</v>
      </c>
      <c r="G3130">
        <v>5</v>
      </c>
      <c r="H3130">
        <v>7</v>
      </c>
      <c r="I3130">
        <v>0</v>
      </c>
      <c r="J3130">
        <v>25</v>
      </c>
      <c r="K3130" t="s">
        <v>241</v>
      </c>
    </row>
    <row r="3131" spans="2:11" x14ac:dyDescent="0.25">
      <c r="B3131">
        <v>3220</v>
      </c>
      <c r="C3131">
        <v>29</v>
      </c>
      <c r="D3131">
        <v>16</v>
      </c>
      <c r="E3131">
        <v>11</v>
      </c>
      <c r="F3131">
        <v>15</v>
      </c>
      <c r="G3131">
        <v>12</v>
      </c>
      <c r="H3131">
        <v>0</v>
      </c>
      <c r="I3131">
        <v>0</v>
      </c>
      <c r="J3131">
        <v>27</v>
      </c>
      <c r="K3131" t="s">
        <v>251</v>
      </c>
    </row>
    <row r="3132" spans="2:11" x14ac:dyDescent="0.25">
      <c r="B3132">
        <v>3221</v>
      </c>
      <c r="C3132">
        <v>254</v>
      </c>
      <c r="D3132">
        <v>116</v>
      </c>
      <c r="E3132">
        <v>12</v>
      </c>
      <c r="F3132">
        <v>18</v>
      </c>
      <c r="G3132">
        <v>7</v>
      </c>
      <c r="H3132">
        <v>4</v>
      </c>
      <c r="I3132">
        <v>0</v>
      </c>
      <c r="J3132">
        <v>29</v>
      </c>
      <c r="K3132" t="s">
        <v>250</v>
      </c>
    </row>
    <row r="3133" spans="2:11" x14ac:dyDescent="0.25">
      <c r="B3133">
        <v>3222</v>
      </c>
      <c r="C3133">
        <v>167</v>
      </c>
      <c r="D3133">
        <v>72</v>
      </c>
      <c r="E3133">
        <v>13</v>
      </c>
      <c r="F3133">
        <v>7</v>
      </c>
      <c r="G3133">
        <v>12</v>
      </c>
      <c r="H3133">
        <v>0</v>
      </c>
      <c r="I3133">
        <v>0</v>
      </c>
      <c r="J3133">
        <v>19</v>
      </c>
      <c r="K3133" t="s">
        <v>241</v>
      </c>
    </row>
    <row r="3134" spans="2:11" x14ac:dyDescent="0.25">
      <c r="B3134">
        <v>3225</v>
      </c>
      <c r="C3134">
        <v>167</v>
      </c>
      <c r="D3134">
        <v>72</v>
      </c>
      <c r="E3134">
        <v>6</v>
      </c>
      <c r="F3134">
        <v>16</v>
      </c>
      <c r="G3134">
        <v>15</v>
      </c>
      <c r="H3134">
        <v>0</v>
      </c>
      <c r="I3134">
        <v>0</v>
      </c>
      <c r="J3134">
        <v>31</v>
      </c>
      <c r="K3134" t="s">
        <v>252</v>
      </c>
    </row>
    <row r="3135" spans="2:11" x14ac:dyDescent="0.25">
      <c r="B3135">
        <v>3223</v>
      </c>
      <c r="C3135">
        <v>60</v>
      </c>
      <c r="D3135">
        <v>31</v>
      </c>
      <c r="E3135">
        <v>6</v>
      </c>
      <c r="F3135">
        <v>30</v>
      </c>
      <c r="G3135">
        <v>0</v>
      </c>
      <c r="H3135">
        <v>0</v>
      </c>
      <c r="I3135">
        <v>0</v>
      </c>
      <c r="J3135">
        <v>30</v>
      </c>
      <c r="K3135" t="s">
        <v>247</v>
      </c>
    </row>
    <row r="3136" spans="2:11" x14ac:dyDescent="0.25">
      <c r="B3136">
        <v>3227</v>
      </c>
      <c r="C3136">
        <v>20</v>
      </c>
      <c r="D3136">
        <v>10</v>
      </c>
      <c r="E3136">
        <v>13</v>
      </c>
      <c r="F3136">
        <v>11</v>
      </c>
      <c r="G3136">
        <v>9</v>
      </c>
      <c r="H3136">
        <v>0</v>
      </c>
      <c r="I3136">
        <v>0</v>
      </c>
      <c r="J3136">
        <v>20</v>
      </c>
      <c r="K3136" t="s">
        <v>241</v>
      </c>
    </row>
    <row r="3137" spans="2:11" x14ac:dyDescent="0.25">
      <c r="B3137">
        <v>3226</v>
      </c>
      <c r="C3137">
        <v>348</v>
      </c>
      <c r="D3137">
        <v>155</v>
      </c>
      <c r="E3137">
        <v>12</v>
      </c>
      <c r="F3137">
        <v>17</v>
      </c>
      <c r="G3137">
        <v>12</v>
      </c>
      <c r="H3137">
        <v>1</v>
      </c>
      <c r="I3137">
        <v>0</v>
      </c>
      <c r="J3137">
        <v>30</v>
      </c>
      <c r="K3137" t="s">
        <v>246</v>
      </c>
    </row>
    <row r="3138" spans="2:11" x14ac:dyDescent="0.25">
      <c r="B3138">
        <v>3228</v>
      </c>
      <c r="C3138">
        <v>242</v>
      </c>
      <c r="D3138">
        <v>107</v>
      </c>
      <c r="E3138">
        <v>12</v>
      </c>
      <c r="F3138">
        <v>6</v>
      </c>
      <c r="G3138">
        <v>7</v>
      </c>
      <c r="H3138">
        <v>0</v>
      </c>
      <c r="I3138">
        <v>0</v>
      </c>
      <c r="J3138">
        <v>13</v>
      </c>
      <c r="K3138" t="s">
        <v>250</v>
      </c>
    </row>
    <row r="3139" spans="2:11" x14ac:dyDescent="0.25">
      <c r="B3139">
        <v>3236</v>
      </c>
      <c r="C3139">
        <v>240</v>
      </c>
      <c r="D3139">
        <v>107</v>
      </c>
      <c r="E3139">
        <v>11</v>
      </c>
      <c r="F3139">
        <v>6</v>
      </c>
      <c r="G3139">
        <v>8</v>
      </c>
      <c r="H3139">
        <v>0</v>
      </c>
      <c r="I3139">
        <v>0</v>
      </c>
      <c r="J3139">
        <v>14</v>
      </c>
      <c r="K3139" t="s">
        <v>250</v>
      </c>
    </row>
    <row r="3140" spans="2:11" x14ac:dyDescent="0.25">
      <c r="B3140">
        <v>3241</v>
      </c>
      <c r="C3140">
        <v>167</v>
      </c>
      <c r="D3140">
        <v>72</v>
      </c>
      <c r="E3140">
        <v>8</v>
      </c>
      <c r="F3140">
        <v>10</v>
      </c>
      <c r="G3140">
        <v>21</v>
      </c>
      <c r="H3140">
        <v>0</v>
      </c>
      <c r="I3140">
        <v>0</v>
      </c>
      <c r="J3140">
        <v>31</v>
      </c>
      <c r="K3140" t="s">
        <v>252</v>
      </c>
    </row>
    <row r="3141" spans="2:11" x14ac:dyDescent="0.25">
      <c r="B3141">
        <v>3250</v>
      </c>
      <c r="C3141">
        <v>167</v>
      </c>
      <c r="D3141">
        <v>72</v>
      </c>
      <c r="E3141">
        <v>9</v>
      </c>
      <c r="F3141">
        <v>5</v>
      </c>
      <c r="G3141">
        <v>13</v>
      </c>
      <c r="H3141">
        <v>0</v>
      </c>
      <c r="I3141">
        <v>0</v>
      </c>
      <c r="J3141">
        <v>18</v>
      </c>
      <c r="K3141" t="s">
        <v>252</v>
      </c>
    </row>
    <row r="3142" spans="2:11" x14ac:dyDescent="0.25">
      <c r="B3142">
        <v>3254</v>
      </c>
      <c r="C3142">
        <v>135</v>
      </c>
      <c r="D3142">
        <v>60</v>
      </c>
      <c r="E3142">
        <v>9</v>
      </c>
      <c r="F3142">
        <v>11</v>
      </c>
      <c r="G3142">
        <v>3</v>
      </c>
      <c r="H3142">
        <v>2</v>
      </c>
      <c r="I3142">
        <v>0</v>
      </c>
      <c r="J3142">
        <v>16</v>
      </c>
      <c r="K3142" t="s">
        <v>252</v>
      </c>
    </row>
    <row r="3143" spans="2:11" x14ac:dyDescent="0.25">
      <c r="B3143">
        <v>3263</v>
      </c>
      <c r="C3143">
        <v>15</v>
      </c>
      <c r="D3143">
        <v>6</v>
      </c>
      <c r="E3143">
        <v>12</v>
      </c>
      <c r="F3143">
        <v>3</v>
      </c>
      <c r="G3143">
        <v>1</v>
      </c>
      <c r="H3143">
        <v>0</v>
      </c>
      <c r="I3143">
        <v>0</v>
      </c>
      <c r="J3143">
        <v>4</v>
      </c>
      <c r="K3143" t="s">
        <v>249</v>
      </c>
    </row>
    <row r="3144" spans="2:11" x14ac:dyDescent="0.25">
      <c r="B3144">
        <v>3268</v>
      </c>
      <c r="C3144">
        <v>155</v>
      </c>
      <c r="D3144">
        <v>69</v>
      </c>
      <c r="E3144">
        <v>10</v>
      </c>
      <c r="F3144">
        <v>10</v>
      </c>
      <c r="G3144">
        <v>17</v>
      </c>
      <c r="H3144">
        <v>0</v>
      </c>
      <c r="I3144">
        <v>0</v>
      </c>
      <c r="J3144">
        <v>27</v>
      </c>
      <c r="K3144" t="s">
        <v>251</v>
      </c>
    </row>
    <row r="3145" spans="2:11" x14ac:dyDescent="0.25">
      <c r="B3145">
        <v>3269</v>
      </c>
      <c r="C3145">
        <v>262</v>
      </c>
      <c r="D3145">
        <v>118</v>
      </c>
      <c r="E3145">
        <v>12</v>
      </c>
      <c r="F3145">
        <v>10</v>
      </c>
      <c r="G3145">
        <v>10</v>
      </c>
      <c r="H3145">
        <v>0</v>
      </c>
      <c r="I3145">
        <v>0</v>
      </c>
      <c r="J3145">
        <v>20</v>
      </c>
      <c r="K3145" t="s">
        <v>249</v>
      </c>
    </row>
    <row r="3146" spans="2:11" x14ac:dyDescent="0.25">
      <c r="B3146">
        <v>3280</v>
      </c>
      <c r="C3146">
        <v>143</v>
      </c>
      <c r="D3146">
        <v>63</v>
      </c>
      <c r="E3146">
        <v>14</v>
      </c>
      <c r="F3146">
        <v>8</v>
      </c>
      <c r="G3146">
        <v>6</v>
      </c>
      <c r="H3146">
        <v>0</v>
      </c>
      <c r="I3146">
        <v>0</v>
      </c>
      <c r="J3146">
        <v>14</v>
      </c>
      <c r="K3146" t="s">
        <v>252</v>
      </c>
    </row>
    <row r="3147" spans="2:11" x14ac:dyDescent="0.25">
      <c r="B3147">
        <v>3278</v>
      </c>
      <c r="C3147">
        <v>256</v>
      </c>
      <c r="D3147">
        <v>117</v>
      </c>
      <c r="E3147">
        <v>13</v>
      </c>
      <c r="F3147">
        <v>14</v>
      </c>
      <c r="G3147">
        <v>0</v>
      </c>
      <c r="H3147">
        <v>0</v>
      </c>
      <c r="I3147">
        <v>0</v>
      </c>
      <c r="J3147">
        <v>14</v>
      </c>
      <c r="K3147" t="s">
        <v>246</v>
      </c>
    </row>
    <row r="3148" spans="2:11" x14ac:dyDescent="0.25">
      <c r="B3148">
        <v>3284</v>
      </c>
      <c r="C3148">
        <v>312</v>
      </c>
      <c r="D3148">
        <v>144</v>
      </c>
      <c r="E3148">
        <v>11</v>
      </c>
      <c r="F3148">
        <v>3</v>
      </c>
      <c r="G3148">
        <v>8</v>
      </c>
      <c r="H3148">
        <v>0</v>
      </c>
      <c r="I3148">
        <v>0</v>
      </c>
      <c r="J3148">
        <v>11</v>
      </c>
      <c r="K3148" t="s">
        <v>250</v>
      </c>
    </row>
    <row r="3149" spans="2:11" x14ac:dyDescent="0.25">
      <c r="B3149">
        <v>3289</v>
      </c>
      <c r="C3149">
        <v>291</v>
      </c>
      <c r="D3149">
        <v>135</v>
      </c>
      <c r="E3149">
        <v>13</v>
      </c>
      <c r="F3149">
        <v>14</v>
      </c>
      <c r="G3149">
        <v>0</v>
      </c>
      <c r="H3149">
        <v>0</v>
      </c>
      <c r="I3149">
        <v>0</v>
      </c>
      <c r="J3149">
        <v>14</v>
      </c>
      <c r="K3149" t="s">
        <v>250</v>
      </c>
    </row>
    <row r="3150" spans="2:11" x14ac:dyDescent="0.25">
      <c r="B3150">
        <v>3293</v>
      </c>
      <c r="C3150">
        <v>236</v>
      </c>
      <c r="D3150">
        <v>103</v>
      </c>
      <c r="E3150">
        <v>13</v>
      </c>
      <c r="F3150">
        <v>12</v>
      </c>
      <c r="G3150">
        <v>10</v>
      </c>
      <c r="H3150">
        <v>0</v>
      </c>
      <c r="I3150">
        <v>0</v>
      </c>
      <c r="J3150">
        <v>22</v>
      </c>
      <c r="K3150" t="s">
        <v>249</v>
      </c>
    </row>
    <row r="3151" spans="2:11" x14ac:dyDescent="0.25">
      <c r="B3151">
        <v>3296</v>
      </c>
      <c r="C3151">
        <v>238</v>
      </c>
      <c r="D3151">
        <v>105</v>
      </c>
      <c r="E3151">
        <v>12</v>
      </c>
      <c r="F3151">
        <v>8</v>
      </c>
      <c r="G3151">
        <v>11</v>
      </c>
      <c r="H3151">
        <v>0</v>
      </c>
      <c r="I3151">
        <v>0</v>
      </c>
      <c r="J3151">
        <v>19</v>
      </c>
      <c r="K3151" t="s">
        <v>252</v>
      </c>
    </row>
    <row r="3152" spans="2:11" x14ac:dyDescent="0.25">
      <c r="B3152">
        <v>3308</v>
      </c>
      <c r="C3152">
        <v>155</v>
      </c>
      <c r="D3152">
        <v>69</v>
      </c>
      <c r="E3152">
        <v>12</v>
      </c>
      <c r="F3152">
        <v>9</v>
      </c>
      <c r="G3152">
        <v>9</v>
      </c>
      <c r="H3152">
        <v>5</v>
      </c>
      <c r="I3152">
        <v>0</v>
      </c>
      <c r="J3152">
        <v>23</v>
      </c>
      <c r="K3152" t="s">
        <v>252</v>
      </c>
    </row>
    <row r="3153" spans="2:11" x14ac:dyDescent="0.25">
      <c r="B3153">
        <v>3316</v>
      </c>
      <c r="C3153">
        <v>101</v>
      </c>
      <c r="D3153">
        <v>51</v>
      </c>
      <c r="E3153">
        <v>12</v>
      </c>
      <c r="F3153">
        <v>24</v>
      </c>
      <c r="G3153">
        <v>6</v>
      </c>
      <c r="H3153">
        <v>0</v>
      </c>
      <c r="I3153">
        <v>0</v>
      </c>
      <c r="J3153">
        <v>30</v>
      </c>
      <c r="K3153" t="s">
        <v>246</v>
      </c>
    </row>
    <row r="3154" spans="2:11" x14ac:dyDescent="0.25">
      <c r="B3154">
        <v>3332</v>
      </c>
      <c r="C3154">
        <v>96</v>
      </c>
      <c r="D3154">
        <v>48</v>
      </c>
      <c r="E3154">
        <v>11</v>
      </c>
      <c r="F3154">
        <v>8</v>
      </c>
      <c r="G3154">
        <v>15</v>
      </c>
      <c r="H3154">
        <v>0</v>
      </c>
      <c r="I3154">
        <v>0</v>
      </c>
      <c r="J3154">
        <v>23</v>
      </c>
      <c r="K3154" t="s">
        <v>250</v>
      </c>
    </row>
    <row r="3155" spans="2:11" x14ac:dyDescent="0.25">
      <c r="B3155">
        <v>3324</v>
      </c>
      <c r="C3155">
        <v>155</v>
      </c>
      <c r="D3155">
        <v>69</v>
      </c>
      <c r="E3155">
        <v>5</v>
      </c>
      <c r="F3155">
        <v>6</v>
      </c>
      <c r="G3155">
        <v>14</v>
      </c>
      <c r="H3155">
        <v>2</v>
      </c>
      <c r="I3155">
        <v>0</v>
      </c>
      <c r="J3155">
        <v>22</v>
      </c>
      <c r="K3155" t="s">
        <v>251</v>
      </c>
    </row>
    <row r="3156" spans="2:11" x14ac:dyDescent="0.25">
      <c r="B3156">
        <v>3333</v>
      </c>
      <c r="C3156">
        <v>292</v>
      </c>
      <c r="D3156">
        <v>135</v>
      </c>
      <c r="E3156">
        <v>13</v>
      </c>
      <c r="F3156">
        <v>15</v>
      </c>
      <c r="G3156">
        <v>1</v>
      </c>
      <c r="H3156">
        <v>1</v>
      </c>
      <c r="I3156">
        <v>0</v>
      </c>
      <c r="J3156">
        <v>17</v>
      </c>
      <c r="K3156" t="s">
        <v>247</v>
      </c>
    </row>
    <row r="3157" spans="2:11" x14ac:dyDescent="0.25">
      <c r="B3157">
        <v>3337</v>
      </c>
      <c r="C3157">
        <v>237</v>
      </c>
      <c r="D3157">
        <v>104</v>
      </c>
      <c r="E3157">
        <v>12</v>
      </c>
      <c r="F3157">
        <v>13</v>
      </c>
      <c r="G3157">
        <v>11</v>
      </c>
      <c r="H3157">
        <v>0</v>
      </c>
      <c r="I3157">
        <v>0</v>
      </c>
      <c r="J3157">
        <v>24</v>
      </c>
      <c r="K3157" t="s">
        <v>252</v>
      </c>
    </row>
    <row r="3158" spans="2:11" x14ac:dyDescent="0.25">
      <c r="B3158">
        <v>3339</v>
      </c>
      <c r="C3158">
        <v>237</v>
      </c>
      <c r="D3158">
        <v>104</v>
      </c>
      <c r="E3158">
        <v>13</v>
      </c>
      <c r="F3158">
        <v>12</v>
      </c>
      <c r="G3158">
        <v>8</v>
      </c>
      <c r="H3158">
        <v>0</v>
      </c>
      <c r="I3158">
        <v>0</v>
      </c>
      <c r="J3158">
        <v>20</v>
      </c>
      <c r="K3158" t="s">
        <v>247</v>
      </c>
    </row>
    <row r="3159" spans="2:11" x14ac:dyDescent="0.25">
      <c r="B3159">
        <v>3338</v>
      </c>
      <c r="C3159">
        <v>155</v>
      </c>
      <c r="D3159">
        <v>69</v>
      </c>
      <c r="E3159">
        <v>4</v>
      </c>
      <c r="F3159">
        <v>17</v>
      </c>
      <c r="G3159">
        <v>11</v>
      </c>
      <c r="H3159">
        <v>2</v>
      </c>
      <c r="I3159">
        <v>0</v>
      </c>
      <c r="J3159">
        <v>30</v>
      </c>
      <c r="K3159" t="s">
        <v>251</v>
      </c>
    </row>
    <row r="3160" spans="2:11" x14ac:dyDescent="0.25">
      <c r="B3160">
        <v>3340</v>
      </c>
      <c r="C3160">
        <v>169</v>
      </c>
      <c r="D3160">
        <v>73</v>
      </c>
      <c r="E3160">
        <v>13</v>
      </c>
      <c r="F3160">
        <v>9</v>
      </c>
      <c r="G3160">
        <v>2</v>
      </c>
      <c r="H3160">
        <v>0</v>
      </c>
      <c r="I3160">
        <v>0</v>
      </c>
      <c r="J3160">
        <v>11</v>
      </c>
      <c r="K3160" t="s">
        <v>241</v>
      </c>
    </row>
    <row r="3161" spans="2:11" x14ac:dyDescent="0.25">
      <c r="B3161">
        <v>3341</v>
      </c>
      <c r="C3161">
        <v>265</v>
      </c>
      <c r="D3161">
        <v>118</v>
      </c>
      <c r="E3161">
        <v>13</v>
      </c>
      <c r="F3161">
        <v>5</v>
      </c>
      <c r="G3161">
        <v>8</v>
      </c>
      <c r="H3161">
        <v>9</v>
      </c>
      <c r="I3161">
        <v>0</v>
      </c>
      <c r="J3161">
        <v>22</v>
      </c>
      <c r="K3161" t="s">
        <v>247</v>
      </c>
    </row>
    <row r="3162" spans="2:11" x14ac:dyDescent="0.25">
      <c r="B3162">
        <v>3342</v>
      </c>
      <c r="C3162">
        <v>155</v>
      </c>
      <c r="D3162">
        <v>69</v>
      </c>
      <c r="E3162">
        <v>3</v>
      </c>
      <c r="F3162">
        <v>12</v>
      </c>
      <c r="G3162">
        <v>15</v>
      </c>
      <c r="H3162">
        <v>3</v>
      </c>
      <c r="I3162">
        <v>0</v>
      </c>
      <c r="J3162">
        <v>30</v>
      </c>
      <c r="K3162" t="s">
        <v>251</v>
      </c>
    </row>
    <row r="3163" spans="2:11" x14ac:dyDescent="0.25">
      <c r="B3163">
        <v>3346</v>
      </c>
      <c r="C3163">
        <v>121</v>
      </c>
      <c r="D3163">
        <v>55</v>
      </c>
      <c r="E3163">
        <v>13</v>
      </c>
      <c r="F3163">
        <v>3</v>
      </c>
      <c r="G3163">
        <v>2</v>
      </c>
      <c r="H3163">
        <v>0</v>
      </c>
      <c r="I3163">
        <v>0</v>
      </c>
      <c r="J3163">
        <v>5</v>
      </c>
      <c r="K3163" t="s">
        <v>247</v>
      </c>
    </row>
    <row r="3164" spans="2:11" x14ac:dyDescent="0.25">
      <c r="B3164">
        <v>3344</v>
      </c>
      <c r="C3164">
        <v>123</v>
      </c>
      <c r="D3164">
        <v>56</v>
      </c>
      <c r="E3164">
        <v>12</v>
      </c>
      <c r="F3164">
        <v>12</v>
      </c>
      <c r="G3164">
        <v>3</v>
      </c>
      <c r="H3164">
        <v>4</v>
      </c>
      <c r="I3164">
        <v>0</v>
      </c>
      <c r="J3164">
        <v>19</v>
      </c>
      <c r="K3164" t="s">
        <v>246</v>
      </c>
    </row>
    <row r="3165" spans="2:11" x14ac:dyDescent="0.25">
      <c r="B3165">
        <v>3343</v>
      </c>
      <c r="C3165">
        <v>96</v>
      </c>
      <c r="D3165">
        <v>48</v>
      </c>
      <c r="E3165">
        <v>13</v>
      </c>
      <c r="F3165">
        <v>16</v>
      </c>
      <c r="G3165">
        <v>11</v>
      </c>
      <c r="H3165">
        <v>0</v>
      </c>
      <c r="I3165">
        <v>0</v>
      </c>
      <c r="J3165">
        <v>27</v>
      </c>
      <c r="K3165" t="s">
        <v>241</v>
      </c>
    </row>
    <row r="3166" spans="2:11" x14ac:dyDescent="0.25">
      <c r="B3166">
        <v>3347</v>
      </c>
      <c r="C3166">
        <v>155</v>
      </c>
      <c r="D3166">
        <v>69</v>
      </c>
      <c r="E3166">
        <v>2</v>
      </c>
      <c r="F3166">
        <v>14</v>
      </c>
      <c r="G3166">
        <v>15</v>
      </c>
      <c r="H3166">
        <v>1</v>
      </c>
      <c r="I3166">
        <v>0</v>
      </c>
      <c r="J3166">
        <v>30</v>
      </c>
      <c r="K3166" t="s">
        <v>251</v>
      </c>
    </row>
    <row r="3167" spans="2:11" x14ac:dyDescent="0.25">
      <c r="B3167">
        <v>3351</v>
      </c>
      <c r="C3167">
        <v>141</v>
      </c>
      <c r="D3167">
        <v>62</v>
      </c>
      <c r="E3167">
        <v>13</v>
      </c>
      <c r="F3167">
        <v>10</v>
      </c>
      <c r="G3167">
        <v>7</v>
      </c>
      <c r="H3167">
        <v>2</v>
      </c>
      <c r="I3167">
        <v>0</v>
      </c>
      <c r="J3167">
        <v>19</v>
      </c>
      <c r="K3167" t="s">
        <v>247</v>
      </c>
    </row>
    <row r="3168" spans="2:11" x14ac:dyDescent="0.25">
      <c r="B3168">
        <v>5656</v>
      </c>
      <c r="C3168">
        <v>192</v>
      </c>
      <c r="D3168">
        <v>84</v>
      </c>
      <c r="E3168">
        <v>5</v>
      </c>
      <c r="F3168">
        <v>18</v>
      </c>
      <c r="G3168">
        <v>10</v>
      </c>
      <c r="H3168">
        <v>0</v>
      </c>
      <c r="I3168">
        <v>0</v>
      </c>
      <c r="J3168">
        <v>28</v>
      </c>
      <c r="K3168" t="s">
        <v>241</v>
      </c>
    </row>
    <row r="3169" spans="2:11" x14ac:dyDescent="0.25">
      <c r="B3169">
        <v>5659</v>
      </c>
      <c r="C3169">
        <v>192</v>
      </c>
      <c r="D3169">
        <v>84</v>
      </c>
      <c r="E3169">
        <v>6</v>
      </c>
      <c r="F3169">
        <v>10</v>
      </c>
      <c r="G3169">
        <v>20</v>
      </c>
      <c r="H3169">
        <v>0</v>
      </c>
      <c r="I3169">
        <v>0</v>
      </c>
      <c r="J3169">
        <v>30</v>
      </c>
      <c r="K3169" t="s">
        <v>241</v>
      </c>
    </row>
    <row r="3170" spans="2:11" x14ac:dyDescent="0.25">
      <c r="B3170">
        <v>5660</v>
      </c>
      <c r="C3170">
        <v>192</v>
      </c>
      <c r="D3170">
        <v>84</v>
      </c>
      <c r="E3170">
        <v>7</v>
      </c>
      <c r="F3170">
        <v>14</v>
      </c>
      <c r="G3170">
        <v>10</v>
      </c>
      <c r="H3170">
        <v>0</v>
      </c>
      <c r="I3170">
        <v>0</v>
      </c>
      <c r="J3170">
        <v>24</v>
      </c>
      <c r="K3170" t="s">
        <v>241</v>
      </c>
    </row>
    <row r="3171" spans="2:11" x14ac:dyDescent="0.25">
      <c r="B3171">
        <v>3230</v>
      </c>
      <c r="C3171">
        <v>252</v>
      </c>
      <c r="D3171">
        <v>114</v>
      </c>
      <c r="E3171">
        <v>14</v>
      </c>
      <c r="F3171">
        <v>1</v>
      </c>
      <c r="G3171">
        <v>4</v>
      </c>
      <c r="H3171">
        <v>2</v>
      </c>
      <c r="I3171">
        <v>0</v>
      </c>
      <c r="J3171">
        <v>7</v>
      </c>
      <c r="K3171" t="s">
        <v>247</v>
      </c>
    </row>
    <row r="3172" spans="2:11" x14ac:dyDescent="0.25">
      <c r="B3172">
        <v>3237</v>
      </c>
      <c r="C3172">
        <v>60</v>
      </c>
      <c r="D3172">
        <v>31</v>
      </c>
      <c r="E3172">
        <v>8</v>
      </c>
      <c r="F3172">
        <v>19</v>
      </c>
      <c r="G3172">
        <v>10</v>
      </c>
      <c r="H3172">
        <v>5</v>
      </c>
      <c r="I3172">
        <v>0</v>
      </c>
      <c r="J3172">
        <v>34</v>
      </c>
      <c r="K3172" t="s">
        <v>252</v>
      </c>
    </row>
    <row r="3173" spans="2:11" x14ac:dyDescent="0.25">
      <c r="B3173">
        <v>3255</v>
      </c>
      <c r="C3173">
        <v>263</v>
      </c>
      <c r="D3173">
        <v>118</v>
      </c>
      <c r="E3173">
        <v>13</v>
      </c>
      <c r="F3173">
        <v>0</v>
      </c>
      <c r="G3173">
        <v>1</v>
      </c>
      <c r="H3173">
        <v>0</v>
      </c>
      <c r="I3173">
        <v>0</v>
      </c>
      <c r="J3173">
        <v>1</v>
      </c>
      <c r="K3173" t="s">
        <v>241</v>
      </c>
    </row>
    <row r="3174" spans="2:11" x14ac:dyDescent="0.25">
      <c r="B3174">
        <v>3331</v>
      </c>
      <c r="C3174">
        <v>123</v>
      </c>
      <c r="D3174">
        <v>56</v>
      </c>
      <c r="E3174">
        <v>13</v>
      </c>
      <c r="F3174">
        <v>10</v>
      </c>
      <c r="G3174">
        <v>6</v>
      </c>
      <c r="H3174">
        <v>2</v>
      </c>
      <c r="I3174">
        <v>0</v>
      </c>
      <c r="J3174">
        <v>18</v>
      </c>
      <c r="K3174" t="s">
        <v>241</v>
      </c>
    </row>
    <row r="3175" spans="2:11" x14ac:dyDescent="0.25">
      <c r="B3175">
        <v>3348</v>
      </c>
      <c r="C3175">
        <v>142</v>
      </c>
      <c r="D3175">
        <v>62</v>
      </c>
      <c r="E3175">
        <v>13</v>
      </c>
      <c r="F3175">
        <v>10</v>
      </c>
      <c r="G3175">
        <v>0</v>
      </c>
      <c r="H3175">
        <v>1</v>
      </c>
      <c r="I3175">
        <v>0</v>
      </c>
      <c r="J3175">
        <v>11</v>
      </c>
      <c r="K3175" t="s">
        <v>247</v>
      </c>
    </row>
    <row r="3176" spans="2:11" x14ac:dyDescent="0.25">
      <c r="B3176">
        <v>3349</v>
      </c>
      <c r="C3176">
        <v>96</v>
      </c>
      <c r="D3176">
        <v>48</v>
      </c>
      <c r="E3176">
        <v>12</v>
      </c>
      <c r="F3176">
        <v>15</v>
      </c>
      <c r="G3176">
        <v>12</v>
      </c>
      <c r="H3176">
        <v>0</v>
      </c>
      <c r="I3176">
        <v>0</v>
      </c>
      <c r="J3176">
        <v>27</v>
      </c>
      <c r="K3176" t="s">
        <v>246</v>
      </c>
    </row>
    <row r="3177" spans="2:11" x14ac:dyDescent="0.25">
      <c r="B3177">
        <v>3352</v>
      </c>
      <c r="C3177">
        <v>121</v>
      </c>
      <c r="D3177">
        <v>55</v>
      </c>
      <c r="E3177">
        <v>12</v>
      </c>
      <c r="F3177">
        <v>3</v>
      </c>
      <c r="G3177">
        <v>0</v>
      </c>
      <c r="H3177">
        <v>0</v>
      </c>
      <c r="I3177">
        <v>0</v>
      </c>
      <c r="J3177">
        <v>3</v>
      </c>
      <c r="K3177" t="s">
        <v>252</v>
      </c>
    </row>
    <row r="3178" spans="2:11" x14ac:dyDescent="0.25">
      <c r="B3178">
        <v>3350</v>
      </c>
      <c r="C3178">
        <v>251</v>
      </c>
      <c r="D3178">
        <v>113</v>
      </c>
      <c r="E3178">
        <v>14</v>
      </c>
      <c r="F3178">
        <v>0</v>
      </c>
      <c r="G3178">
        <v>4</v>
      </c>
      <c r="H3178">
        <v>1</v>
      </c>
      <c r="I3178">
        <v>0</v>
      </c>
      <c r="J3178">
        <v>5</v>
      </c>
      <c r="K3178" t="s">
        <v>241</v>
      </c>
    </row>
    <row r="3179" spans="2:11" x14ac:dyDescent="0.25">
      <c r="B3179">
        <v>3355</v>
      </c>
      <c r="C3179">
        <v>168</v>
      </c>
      <c r="D3179">
        <v>72</v>
      </c>
      <c r="E3179">
        <v>11</v>
      </c>
      <c r="F3179">
        <v>5</v>
      </c>
      <c r="G3179">
        <v>10</v>
      </c>
      <c r="H3179">
        <v>0</v>
      </c>
      <c r="I3179">
        <v>0</v>
      </c>
      <c r="J3179">
        <v>15</v>
      </c>
      <c r="K3179" t="s">
        <v>252</v>
      </c>
    </row>
    <row r="3180" spans="2:11" x14ac:dyDescent="0.25">
      <c r="B3180">
        <v>3357</v>
      </c>
      <c r="C3180">
        <v>35</v>
      </c>
      <c r="D3180">
        <v>17</v>
      </c>
      <c r="E3180">
        <v>12</v>
      </c>
      <c r="F3180">
        <v>0</v>
      </c>
      <c r="G3180">
        <v>15</v>
      </c>
      <c r="H3180">
        <v>0</v>
      </c>
      <c r="I3180">
        <v>0</v>
      </c>
      <c r="J3180">
        <v>15</v>
      </c>
      <c r="K3180" t="s">
        <v>251</v>
      </c>
    </row>
    <row r="3181" spans="2:11" x14ac:dyDescent="0.25">
      <c r="B3181">
        <v>3356</v>
      </c>
      <c r="C3181">
        <v>47</v>
      </c>
      <c r="D3181">
        <v>23</v>
      </c>
      <c r="E3181">
        <v>13</v>
      </c>
      <c r="F3181">
        <v>11</v>
      </c>
      <c r="G3181">
        <v>5</v>
      </c>
      <c r="H3181">
        <v>2</v>
      </c>
      <c r="I3181">
        <v>0</v>
      </c>
      <c r="J3181">
        <v>18</v>
      </c>
      <c r="K3181" t="s">
        <v>250</v>
      </c>
    </row>
    <row r="3182" spans="2:11" x14ac:dyDescent="0.25">
      <c r="B3182">
        <v>3359</v>
      </c>
      <c r="C3182">
        <v>155</v>
      </c>
      <c r="D3182">
        <v>69</v>
      </c>
      <c r="E3182">
        <v>11</v>
      </c>
      <c r="F3182">
        <v>10</v>
      </c>
      <c r="G3182">
        <v>13</v>
      </c>
      <c r="H3182">
        <v>2</v>
      </c>
      <c r="I3182">
        <v>0</v>
      </c>
      <c r="J3182">
        <v>25</v>
      </c>
      <c r="K3182" t="s">
        <v>252</v>
      </c>
    </row>
    <row r="3183" spans="2:11" x14ac:dyDescent="0.25">
      <c r="B3183">
        <v>3361</v>
      </c>
      <c r="C3183">
        <v>39</v>
      </c>
      <c r="D3183">
        <v>19</v>
      </c>
      <c r="E3183">
        <v>12</v>
      </c>
      <c r="F3183">
        <v>5</v>
      </c>
      <c r="G3183">
        <v>2</v>
      </c>
      <c r="H3183">
        <v>0</v>
      </c>
      <c r="I3183">
        <v>0</v>
      </c>
      <c r="J3183">
        <v>7</v>
      </c>
      <c r="K3183" t="s">
        <v>251</v>
      </c>
    </row>
    <row r="3184" spans="2:11" x14ac:dyDescent="0.25">
      <c r="B3184">
        <v>3358</v>
      </c>
      <c r="C3184">
        <v>47</v>
      </c>
      <c r="D3184">
        <v>23</v>
      </c>
      <c r="E3184">
        <v>14</v>
      </c>
      <c r="F3184">
        <v>9</v>
      </c>
      <c r="G3184">
        <v>6</v>
      </c>
      <c r="H3184">
        <v>1</v>
      </c>
      <c r="I3184">
        <v>0</v>
      </c>
      <c r="J3184">
        <v>16</v>
      </c>
      <c r="K3184" t="s">
        <v>241</v>
      </c>
    </row>
    <row r="3185" spans="2:11" x14ac:dyDescent="0.25">
      <c r="B3185">
        <v>3362</v>
      </c>
      <c r="C3185">
        <v>138</v>
      </c>
      <c r="D3185">
        <v>61</v>
      </c>
      <c r="E3185">
        <v>13</v>
      </c>
      <c r="F3185">
        <v>10</v>
      </c>
      <c r="G3185">
        <v>20</v>
      </c>
      <c r="H3185">
        <v>0</v>
      </c>
      <c r="I3185">
        <v>0</v>
      </c>
      <c r="J3185">
        <v>30</v>
      </c>
      <c r="K3185" t="s">
        <v>247</v>
      </c>
    </row>
    <row r="3186" spans="2:11" x14ac:dyDescent="0.25">
      <c r="B3186">
        <v>3363</v>
      </c>
      <c r="C3186">
        <v>48</v>
      </c>
      <c r="D3186">
        <v>24</v>
      </c>
      <c r="E3186">
        <v>13</v>
      </c>
      <c r="F3186">
        <v>6</v>
      </c>
      <c r="G3186">
        <v>4</v>
      </c>
      <c r="H3186">
        <v>0</v>
      </c>
      <c r="I3186">
        <v>0</v>
      </c>
      <c r="J3186">
        <v>10</v>
      </c>
      <c r="K3186" t="s">
        <v>250</v>
      </c>
    </row>
    <row r="3187" spans="2:11" x14ac:dyDescent="0.25">
      <c r="B3187">
        <v>3368</v>
      </c>
      <c r="C3187">
        <v>137</v>
      </c>
      <c r="D3187">
        <v>60</v>
      </c>
      <c r="E3187">
        <v>13</v>
      </c>
      <c r="F3187">
        <v>2</v>
      </c>
      <c r="G3187">
        <v>6</v>
      </c>
      <c r="H3187">
        <v>3</v>
      </c>
      <c r="I3187">
        <v>0</v>
      </c>
      <c r="J3187">
        <v>11</v>
      </c>
      <c r="K3187" t="s">
        <v>247</v>
      </c>
    </row>
    <row r="3188" spans="2:11" x14ac:dyDescent="0.25">
      <c r="B3188">
        <v>3364</v>
      </c>
      <c r="C3188">
        <v>95</v>
      </c>
      <c r="D3188">
        <v>47</v>
      </c>
      <c r="E3188">
        <v>11</v>
      </c>
      <c r="F3188">
        <v>6</v>
      </c>
      <c r="G3188">
        <v>17</v>
      </c>
      <c r="H3188">
        <v>0</v>
      </c>
      <c r="I3188">
        <v>0</v>
      </c>
      <c r="J3188">
        <v>23</v>
      </c>
      <c r="K3188" t="s">
        <v>252</v>
      </c>
    </row>
    <row r="3189" spans="2:11" x14ac:dyDescent="0.25">
      <c r="B3189">
        <v>3370</v>
      </c>
      <c r="C3189">
        <v>1</v>
      </c>
      <c r="D3189">
        <v>1</v>
      </c>
      <c r="E3189">
        <v>11</v>
      </c>
      <c r="F3189">
        <v>0</v>
      </c>
      <c r="G3189">
        <v>3</v>
      </c>
      <c r="H3189">
        <v>0</v>
      </c>
      <c r="I3189">
        <v>0</v>
      </c>
      <c r="J3189">
        <v>3</v>
      </c>
      <c r="K3189" t="s">
        <v>252</v>
      </c>
    </row>
    <row r="3190" spans="2:11" x14ac:dyDescent="0.25">
      <c r="B3190">
        <v>3369</v>
      </c>
      <c r="C3190">
        <v>143</v>
      </c>
      <c r="D3190">
        <v>63</v>
      </c>
      <c r="E3190">
        <v>13</v>
      </c>
      <c r="F3190">
        <v>7</v>
      </c>
      <c r="G3190">
        <v>1</v>
      </c>
      <c r="H3190">
        <v>0</v>
      </c>
      <c r="I3190">
        <v>0</v>
      </c>
      <c r="J3190">
        <v>8</v>
      </c>
      <c r="K3190" t="s">
        <v>247</v>
      </c>
    </row>
    <row r="3191" spans="2:11" x14ac:dyDescent="0.25">
      <c r="B3191">
        <v>3371</v>
      </c>
      <c r="C3191">
        <v>253</v>
      </c>
      <c r="D3191">
        <v>115</v>
      </c>
      <c r="E3191">
        <v>14</v>
      </c>
      <c r="F3191">
        <v>14</v>
      </c>
      <c r="G3191">
        <v>9</v>
      </c>
      <c r="H3191">
        <v>4</v>
      </c>
      <c r="I3191">
        <v>0</v>
      </c>
      <c r="J3191">
        <v>27</v>
      </c>
      <c r="K3191" t="s">
        <v>241</v>
      </c>
    </row>
    <row r="3192" spans="2:11" x14ac:dyDescent="0.25">
      <c r="B3192">
        <v>3372</v>
      </c>
      <c r="C3192">
        <v>329</v>
      </c>
      <c r="D3192">
        <v>152</v>
      </c>
      <c r="E3192">
        <v>13</v>
      </c>
      <c r="F3192">
        <v>21</v>
      </c>
      <c r="G3192">
        <v>9</v>
      </c>
      <c r="H3192">
        <v>0</v>
      </c>
      <c r="I3192">
        <v>0</v>
      </c>
      <c r="J3192">
        <v>30</v>
      </c>
      <c r="K3192" t="s">
        <v>246</v>
      </c>
    </row>
    <row r="3193" spans="2:11" x14ac:dyDescent="0.25">
      <c r="B3193">
        <v>3374</v>
      </c>
      <c r="C3193">
        <v>147</v>
      </c>
      <c r="D3193">
        <v>66</v>
      </c>
      <c r="E3193">
        <v>13</v>
      </c>
      <c r="F3193">
        <v>19</v>
      </c>
      <c r="G3193">
        <v>9</v>
      </c>
      <c r="H3193">
        <v>0</v>
      </c>
      <c r="I3193">
        <v>0</v>
      </c>
      <c r="J3193">
        <v>28</v>
      </c>
      <c r="K3193" t="s">
        <v>247</v>
      </c>
    </row>
    <row r="3194" spans="2:11" x14ac:dyDescent="0.25">
      <c r="B3194">
        <v>3379</v>
      </c>
      <c r="C3194">
        <v>66</v>
      </c>
      <c r="D3194">
        <v>35</v>
      </c>
      <c r="E3194">
        <v>12</v>
      </c>
      <c r="F3194">
        <v>9</v>
      </c>
      <c r="G3194">
        <v>10</v>
      </c>
      <c r="H3194">
        <v>10</v>
      </c>
      <c r="I3194">
        <v>0</v>
      </c>
      <c r="J3194">
        <v>29</v>
      </c>
      <c r="K3194" t="s">
        <v>251</v>
      </c>
    </row>
    <row r="3195" spans="2:11" x14ac:dyDescent="0.25">
      <c r="B3195">
        <v>3377</v>
      </c>
      <c r="C3195">
        <v>330</v>
      </c>
      <c r="D3195">
        <v>152</v>
      </c>
      <c r="E3195">
        <v>13</v>
      </c>
      <c r="F3195">
        <v>7</v>
      </c>
      <c r="G3195">
        <v>15</v>
      </c>
      <c r="H3195">
        <v>0</v>
      </c>
      <c r="I3195">
        <v>0</v>
      </c>
      <c r="J3195">
        <v>22</v>
      </c>
      <c r="K3195" t="s">
        <v>246</v>
      </c>
    </row>
    <row r="3196" spans="2:11" x14ac:dyDescent="0.25">
      <c r="B3196">
        <v>3378</v>
      </c>
      <c r="C3196">
        <v>146</v>
      </c>
      <c r="D3196">
        <v>65</v>
      </c>
      <c r="E3196">
        <v>13</v>
      </c>
      <c r="F3196">
        <v>9</v>
      </c>
      <c r="G3196">
        <v>0</v>
      </c>
      <c r="H3196">
        <v>0</v>
      </c>
      <c r="I3196">
        <v>0</v>
      </c>
      <c r="J3196">
        <v>9</v>
      </c>
      <c r="K3196" t="s">
        <v>247</v>
      </c>
    </row>
    <row r="3197" spans="2:11" x14ac:dyDescent="0.25">
      <c r="B3197">
        <v>3381</v>
      </c>
      <c r="C3197">
        <v>145</v>
      </c>
      <c r="D3197">
        <v>65</v>
      </c>
      <c r="E3197">
        <v>13</v>
      </c>
      <c r="F3197">
        <v>6</v>
      </c>
      <c r="G3197">
        <v>4</v>
      </c>
      <c r="H3197">
        <v>0</v>
      </c>
      <c r="I3197">
        <v>0</v>
      </c>
      <c r="J3197">
        <v>10</v>
      </c>
      <c r="K3197" t="s">
        <v>247</v>
      </c>
    </row>
    <row r="3198" spans="2:11" x14ac:dyDescent="0.25">
      <c r="B3198">
        <v>3380</v>
      </c>
      <c r="C3198">
        <v>40</v>
      </c>
      <c r="D3198">
        <v>19</v>
      </c>
      <c r="E3198">
        <v>12</v>
      </c>
      <c r="F3198">
        <v>30</v>
      </c>
      <c r="G3198">
        <v>0</v>
      </c>
      <c r="H3198">
        <v>0</v>
      </c>
      <c r="I3198">
        <v>0</v>
      </c>
      <c r="J3198">
        <v>30</v>
      </c>
      <c r="K3198" t="s">
        <v>251</v>
      </c>
    </row>
    <row r="3199" spans="2:11" x14ac:dyDescent="0.25">
      <c r="B3199">
        <v>3382</v>
      </c>
      <c r="C3199">
        <v>295</v>
      </c>
      <c r="D3199">
        <v>136</v>
      </c>
      <c r="E3199">
        <v>13</v>
      </c>
      <c r="F3199">
        <v>30</v>
      </c>
      <c r="G3199">
        <v>0</v>
      </c>
      <c r="H3199">
        <v>0</v>
      </c>
      <c r="I3199">
        <v>0</v>
      </c>
      <c r="J3199">
        <v>30</v>
      </c>
      <c r="K3199" t="s">
        <v>246</v>
      </c>
    </row>
    <row r="3200" spans="2:11" x14ac:dyDescent="0.25">
      <c r="B3200">
        <v>3383</v>
      </c>
      <c r="C3200">
        <v>305</v>
      </c>
      <c r="D3200">
        <v>141</v>
      </c>
      <c r="E3200">
        <v>13</v>
      </c>
      <c r="F3200">
        <v>15</v>
      </c>
      <c r="G3200">
        <v>4</v>
      </c>
      <c r="H3200">
        <v>1</v>
      </c>
      <c r="I3200">
        <v>0</v>
      </c>
      <c r="J3200">
        <v>20</v>
      </c>
      <c r="K3200" t="s">
        <v>247</v>
      </c>
    </row>
    <row r="3201" spans="2:11" x14ac:dyDescent="0.25">
      <c r="B3201">
        <v>3385</v>
      </c>
      <c r="C3201">
        <v>239</v>
      </c>
      <c r="D3201">
        <v>106</v>
      </c>
      <c r="E3201">
        <v>13</v>
      </c>
      <c r="F3201">
        <v>13</v>
      </c>
      <c r="G3201">
        <v>17</v>
      </c>
      <c r="H3201">
        <v>0</v>
      </c>
      <c r="I3201">
        <v>0</v>
      </c>
      <c r="J3201">
        <v>30</v>
      </c>
      <c r="K3201" t="s">
        <v>246</v>
      </c>
    </row>
    <row r="3202" spans="2:11" x14ac:dyDescent="0.25">
      <c r="B3202">
        <v>3386</v>
      </c>
      <c r="C3202">
        <v>316</v>
      </c>
      <c r="D3202">
        <v>146</v>
      </c>
      <c r="E3202">
        <v>13</v>
      </c>
      <c r="F3202">
        <v>2</v>
      </c>
      <c r="G3202">
        <v>14</v>
      </c>
      <c r="H3202">
        <v>3</v>
      </c>
      <c r="I3202">
        <v>0</v>
      </c>
      <c r="J3202">
        <v>19</v>
      </c>
      <c r="K3202" t="s">
        <v>247</v>
      </c>
    </row>
    <row r="3203" spans="2:11" x14ac:dyDescent="0.25">
      <c r="B3203">
        <v>3384</v>
      </c>
      <c r="C3203">
        <v>41</v>
      </c>
      <c r="D3203">
        <v>20</v>
      </c>
      <c r="E3203">
        <v>12</v>
      </c>
      <c r="F3203">
        <v>10</v>
      </c>
      <c r="G3203">
        <v>4</v>
      </c>
      <c r="H3203">
        <v>0</v>
      </c>
      <c r="I3203">
        <v>0</v>
      </c>
      <c r="J3203">
        <v>14</v>
      </c>
      <c r="K3203" t="s">
        <v>251</v>
      </c>
    </row>
    <row r="3204" spans="2:11" x14ac:dyDescent="0.25">
      <c r="B3204">
        <v>3387</v>
      </c>
      <c r="C3204">
        <v>66</v>
      </c>
      <c r="D3204">
        <v>35</v>
      </c>
      <c r="E3204">
        <v>13</v>
      </c>
      <c r="F3204">
        <v>7</v>
      </c>
      <c r="G3204">
        <v>9</v>
      </c>
      <c r="H3204">
        <v>10</v>
      </c>
      <c r="I3204">
        <v>0</v>
      </c>
      <c r="J3204">
        <v>26</v>
      </c>
      <c r="K3204" t="s">
        <v>250</v>
      </c>
    </row>
    <row r="3205" spans="2:11" x14ac:dyDescent="0.25">
      <c r="B3205">
        <v>3388</v>
      </c>
      <c r="C3205">
        <v>331</v>
      </c>
      <c r="D3205">
        <v>152</v>
      </c>
      <c r="E3205">
        <v>13</v>
      </c>
      <c r="F3205">
        <v>2</v>
      </c>
      <c r="G3205">
        <v>28</v>
      </c>
      <c r="H3205">
        <v>0</v>
      </c>
      <c r="I3205">
        <v>0</v>
      </c>
      <c r="J3205">
        <v>30</v>
      </c>
      <c r="K3205" t="s">
        <v>241</v>
      </c>
    </row>
    <row r="3206" spans="2:11" x14ac:dyDescent="0.25">
      <c r="B3206">
        <v>3389</v>
      </c>
      <c r="C3206">
        <v>293</v>
      </c>
      <c r="D3206">
        <v>136</v>
      </c>
      <c r="E3206">
        <v>12</v>
      </c>
      <c r="F3206">
        <v>9</v>
      </c>
      <c r="G3206">
        <v>7</v>
      </c>
      <c r="H3206">
        <v>1</v>
      </c>
      <c r="I3206">
        <v>0</v>
      </c>
      <c r="J3206">
        <v>17</v>
      </c>
      <c r="K3206" t="s">
        <v>247</v>
      </c>
    </row>
    <row r="3207" spans="2:11" x14ac:dyDescent="0.25">
      <c r="B3207">
        <v>3390</v>
      </c>
      <c r="C3207">
        <v>29</v>
      </c>
      <c r="D3207">
        <v>16</v>
      </c>
      <c r="E3207">
        <v>13</v>
      </c>
      <c r="F3207">
        <v>17</v>
      </c>
      <c r="G3207">
        <v>12</v>
      </c>
      <c r="H3207">
        <v>0</v>
      </c>
      <c r="I3207">
        <v>0</v>
      </c>
      <c r="J3207">
        <v>29</v>
      </c>
      <c r="K3207" t="s">
        <v>246</v>
      </c>
    </row>
    <row r="3208" spans="2:11" x14ac:dyDescent="0.25">
      <c r="B3208">
        <v>3391</v>
      </c>
      <c r="C3208">
        <v>42</v>
      </c>
      <c r="D3208">
        <v>21</v>
      </c>
      <c r="E3208">
        <v>12</v>
      </c>
      <c r="F3208">
        <v>12</v>
      </c>
      <c r="G3208">
        <v>8</v>
      </c>
      <c r="H3208">
        <v>2</v>
      </c>
      <c r="I3208">
        <v>0</v>
      </c>
      <c r="J3208">
        <v>22</v>
      </c>
      <c r="K3208" t="s">
        <v>251</v>
      </c>
    </row>
    <row r="3209" spans="2:11" x14ac:dyDescent="0.25">
      <c r="B3209">
        <v>3393</v>
      </c>
      <c r="C3209">
        <v>171</v>
      </c>
      <c r="D3209">
        <v>73</v>
      </c>
      <c r="E3209">
        <v>13</v>
      </c>
      <c r="F3209">
        <v>2</v>
      </c>
      <c r="G3209">
        <v>0</v>
      </c>
      <c r="H3209">
        <v>0</v>
      </c>
      <c r="I3209">
        <v>0</v>
      </c>
      <c r="J3209">
        <v>2</v>
      </c>
      <c r="K3209" t="s">
        <v>241</v>
      </c>
    </row>
    <row r="3210" spans="2:11" x14ac:dyDescent="0.25">
      <c r="B3210">
        <v>3395</v>
      </c>
      <c r="C3210">
        <v>28</v>
      </c>
      <c r="D3210">
        <v>15</v>
      </c>
      <c r="E3210">
        <v>13</v>
      </c>
      <c r="F3210">
        <v>0</v>
      </c>
      <c r="G3210">
        <v>0</v>
      </c>
      <c r="H3210">
        <v>0</v>
      </c>
      <c r="I3210">
        <v>0</v>
      </c>
      <c r="J3210">
        <v>0</v>
      </c>
      <c r="K3210" t="s">
        <v>246</v>
      </c>
    </row>
    <row r="3211" spans="2:11" x14ac:dyDescent="0.25">
      <c r="B3211">
        <v>3392</v>
      </c>
      <c r="C3211">
        <v>320</v>
      </c>
      <c r="D3211">
        <v>148</v>
      </c>
      <c r="E3211">
        <v>13</v>
      </c>
      <c r="F3211">
        <v>13</v>
      </c>
      <c r="G3211">
        <v>5</v>
      </c>
      <c r="H3211">
        <v>0</v>
      </c>
      <c r="I3211">
        <v>0</v>
      </c>
      <c r="J3211">
        <v>18</v>
      </c>
      <c r="K3211" t="s">
        <v>250</v>
      </c>
    </row>
    <row r="3212" spans="2:11" x14ac:dyDescent="0.25">
      <c r="B3212">
        <v>3396</v>
      </c>
      <c r="C3212">
        <v>151</v>
      </c>
      <c r="D3212">
        <v>69</v>
      </c>
      <c r="E3212">
        <v>13</v>
      </c>
      <c r="F3212">
        <v>12</v>
      </c>
      <c r="G3212">
        <v>9</v>
      </c>
      <c r="H3212">
        <v>0</v>
      </c>
      <c r="I3212">
        <v>0</v>
      </c>
      <c r="J3212">
        <v>21</v>
      </c>
      <c r="K3212" t="s">
        <v>241</v>
      </c>
    </row>
    <row r="3213" spans="2:11" x14ac:dyDescent="0.25">
      <c r="B3213">
        <v>3397</v>
      </c>
      <c r="C3213">
        <v>44</v>
      </c>
      <c r="D3213">
        <v>22</v>
      </c>
      <c r="E3213">
        <v>12</v>
      </c>
      <c r="F3213">
        <v>4</v>
      </c>
      <c r="G3213">
        <v>5</v>
      </c>
      <c r="H3213">
        <v>1</v>
      </c>
      <c r="I3213">
        <v>0</v>
      </c>
      <c r="J3213">
        <v>10</v>
      </c>
      <c r="K3213" t="s">
        <v>251</v>
      </c>
    </row>
    <row r="3214" spans="2:11" x14ac:dyDescent="0.25">
      <c r="B3214">
        <v>3401</v>
      </c>
      <c r="C3214">
        <v>29</v>
      </c>
      <c r="D3214">
        <v>16</v>
      </c>
      <c r="E3214">
        <v>14</v>
      </c>
      <c r="F3214">
        <v>5</v>
      </c>
      <c r="G3214">
        <v>8</v>
      </c>
      <c r="H3214">
        <v>1</v>
      </c>
      <c r="I3214">
        <v>0</v>
      </c>
      <c r="J3214">
        <v>14</v>
      </c>
      <c r="K3214" t="s">
        <v>247</v>
      </c>
    </row>
    <row r="3215" spans="2:11" x14ac:dyDescent="0.25">
      <c r="B3215">
        <v>3399</v>
      </c>
      <c r="C3215">
        <v>239</v>
      </c>
      <c r="D3215">
        <v>106</v>
      </c>
      <c r="E3215">
        <v>12</v>
      </c>
      <c r="F3215">
        <v>16</v>
      </c>
      <c r="G3215">
        <v>14</v>
      </c>
      <c r="H3215">
        <v>0</v>
      </c>
      <c r="I3215">
        <v>0</v>
      </c>
      <c r="J3215">
        <v>30</v>
      </c>
      <c r="K3215" t="s">
        <v>250</v>
      </c>
    </row>
    <row r="3216" spans="2:11" x14ac:dyDescent="0.25">
      <c r="B3216">
        <v>3398</v>
      </c>
      <c r="C3216">
        <v>124</v>
      </c>
      <c r="D3216">
        <v>56</v>
      </c>
      <c r="E3216">
        <v>13</v>
      </c>
      <c r="F3216">
        <v>16</v>
      </c>
      <c r="G3216">
        <v>2</v>
      </c>
      <c r="H3216">
        <v>1</v>
      </c>
      <c r="I3216">
        <v>0</v>
      </c>
      <c r="J3216">
        <v>19</v>
      </c>
      <c r="K3216" t="s">
        <v>246</v>
      </c>
    </row>
    <row r="3217" spans="2:11" x14ac:dyDescent="0.25">
      <c r="B3217">
        <v>3403</v>
      </c>
      <c r="C3217">
        <v>28</v>
      </c>
      <c r="D3217">
        <v>15</v>
      </c>
      <c r="E3217">
        <v>14</v>
      </c>
      <c r="F3217">
        <v>0</v>
      </c>
      <c r="G3217">
        <v>0</v>
      </c>
      <c r="H3217">
        <v>0</v>
      </c>
      <c r="I3217">
        <v>0</v>
      </c>
      <c r="J3217">
        <v>0</v>
      </c>
      <c r="K3217" t="s">
        <v>247</v>
      </c>
    </row>
    <row r="3218" spans="2:11" x14ac:dyDescent="0.25">
      <c r="B3218">
        <v>3404</v>
      </c>
      <c r="C3218">
        <v>332</v>
      </c>
      <c r="D3218">
        <v>152</v>
      </c>
      <c r="E3218">
        <v>13</v>
      </c>
      <c r="F3218">
        <v>6</v>
      </c>
      <c r="G3218">
        <v>24</v>
      </c>
      <c r="H3218">
        <v>0</v>
      </c>
      <c r="I3218">
        <v>0</v>
      </c>
      <c r="J3218">
        <v>30</v>
      </c>
      <c r="K3218" t="s">
        <v>241</v>
      </c>
    </row>
    <row r="3219" spans="2:11" x14ac:dyDescent="0.25">
      <c r="B3219">
        <v>3406</v>
      </c>
      <c r="C3219">
        <v>153</v>
      </c>
      <c r="D3219">
        <v>69</v>
      </c>
      <c r="E3219">
        <v>13</v>
      </c>
      <c r="F3219">
        <v>1</v>
      </c>
      <c r="G3219">
        <v>6</v>
      </c>
      <c r="H3219">
        <v>0</v>
      </c>
      <c r="I3219">
        <v>0</v>
      </c>
      <c r="J3219">
        <v>7</v>
      </c>
      <c r="K3219" t="s">
        <v>246</v>
      </c>
    </row>
    <row r="3220" spans="2:11" x14ac:dyDescent="0.25">
      <c r="B3220">
        <v>3407</v>
      </c>
      <c r="C3220">
        <v>124</v>
      </c>
      <c r="D3220">
        <v>56</v>
      </c>
      <c r="E3220">
        <v>15</v>
      </c>
      <c r="F3220">
        <v>13</v>
      </c>
      <c r="G3220">
        <v>0</v>
      </c>
      <c r="H3220">
        <v>0</v>
      </c>
      <c r="I3220">
        <v>0</v>
      </c>
      <c r="J3220">
        <v>13</v>
      </c>
      <c r="K3220" t="s">
        <v>247</v>
      </c>
    </row>
    <row r="3221" spans="2:11" x14ac:dyDescent="0.25">
      <c r="B3221">
        <v>3405</v>
      </c>
      <c r="C3221">
        <v>295</v>
      </c>
      <c r="D3221">
        <v>136</v>
      </c>
      <c r="E3221">
        <v>12</v>
      </c>
      <c r="F3221">
        <v>30</v>
      </c>
      <c r="G3221">
        <v>0</v>
      </c>
      <c r="H3221">
        <v>0</v>
      </c>
      <c r="I3221">
        <v>0</v>
      </c>
      <c r="J3221">
        <v>30</v>
      </c>
      <c r="K3221" t="s">
        <v>250</v>
      </c>
    </row>
    <row r="3222" spans="2:11" x14ac:dyDescent="0.25">
      <c r="B3222">
        <v>3409</v>
      </c>
      <c r="C3222">
        <v>67</v>
      </c>
      <c r="D3222">
        <v>35</v>
      </c>
      <c r="E3222">
        <v>13</v>
      </c>
      <c r="F3222">
        <v>15</v>
      </c>
      <c r="G3222">
        <v>10</v>
      </c>
      <c r="H3222">
        <v>5</v>
      </c>
      <c r="I3222">
        <v>0</v>
      </c>
      <c r="J3222">
        <v>30</v>
      </c>
      <c r="K3222" t="s">
        <v>246</v>
      </c>
    </row>
    <row r="3223" spans="2:11" x14ac:dyDescent="0.25">
      <c r="B3223">
        <v>3411</v>
      </c>
      <c r="C3223">
        <v>67</v>
      </c>
      <c r="D3223">
        <v>35</v>
      </c>
      <c r="E3223">
        <v>12</v>
      </c>
      <c r="F3223">
        <v>15</v>
      </c>
      <c r="G3223">
        <v>15</v>
      </c>
      <c r="H3223">
        <v>0</v>
      </c>
      <c r="I3223">
        <v>0</v>
      </c>
      <c r="J3223">
        <v>30</v>
      </c>
      <c r="K3223" t="s">
        <v>250</v>
      </c>
    </row>
    <row r="3224" spans="2:11" x14ac:dyDescent="0.25">
      <c r="B3224">
        <v>3408</v>
      </c>
      <c r="C3224">
        <v>333</v>
      </c>
      <c r="D3224">
        <v>152</v>
      </c>
      <c r="E3224">
        <v>13</v>
      </c>
      <c r="F3224">
        <v>17</v>
      </c>
      <c r="G3224">
        <v>13</v>
      </c>
      <c r="H3224">
        <v>0</v>
      </c>
      <c r="I3224">
        <v>0</v>
      </c>
      <c r="J3224">
        <v>30</v>
      </c>
      <c r="K3224" t="s">
        <v>241</v>
      </c>
    </row>
    <row r="3225" spans="2:11" x14ac:dyDescent="0.25">
      <c r="B3225">
        <v>3413</v>
      </c>
      <c r="C3225">
        <v>281</v>
      </c>
      <c r="D3225">
        <v>129</v>
      </c>
      <c r="E3225">
        <v>13</v>
      </c>
      <c r="F3225">
        <v>10</v>
      </c>
      <c r="G3225">
        <v>14</v>
      </c>
      <c r="H3225">
        <v>1</v>
      </c>
      <c r="I3225">
        <v>0</v>
      </c>
      <c r="J3225">
        <v>25</v>
      </c>
      <c r="K3225" t="s">
        <v>241</v>
      </c>
    </row>
    <row r="3226" spans="2:11" x14ac:dyDescent="0.25">
      <c r="B3226">
        <v>3415</v>
      </c>
      <c r="C3226">
        <v>312</v>
      </c>
      <c r="D3226">
        <v>144</v>
      </c>
      <c r="E3226">
        <v>13</v>
      </c>
      <c r="F3226">
        <v>4</v>
      </c>
      <c r="G3226">
        <v>7</v>
      </c>
      <c r="H3226">
        <v>0</v>
      </c>
      <c r="I3226">
        <v>0</v>
      </c>
      <c r="J3226">
        <v>11</v>
      </c>
      <c r="K3226" t="s">
        <v>241</v>
      </c>
    </row>
    <row r="3227" spans="2:11" x14ac:dyDescent="0.25">
      <c r="B3227">
        <v>3418</v>
      </c>
      <c r="C3227">
        <v>304</v>
      </c>
      <c r="D3227">
        <v>141</v>
      </c>
      <c r="E3227">
        <v>12</v>
      </c>
      <c r="F3227">
        <v>6</v>
      </c>
      <c r="G3227">
        <v>6</v>
      </c>
      <c r="H3227">
        <v>0</v>
      </c>
      <c r="I3227">
        <v>0</v>
      </c>
      <c r="J3227">
        <v>12</v>
      </c>
      <c r="K3227" t="s">
        <v>250</v>
      </c>
    </row>
    <row r="3228" spans="2:11" x14ac:dyDescent="0.25">
      <c r="B3228">
        <v>3422</v>
      </c>
      <c r="C3228">
        <v>43</v>
      </c>
      <c r="D3228">
        <v>22</v>
      </c>
      <c r="E3228">
        <v>1</v>
      </c>
      <c r="F3228">
        <v>13</v>
      </c>
      <c r="G3228">
        <v>17</v>
      </c>
      <c r="H3228">
        <v>0</v>
      </c>
      <c r="I3228">
        <v>0</v>
      </c>
      <c r="J3228">
        <v>30</v>
      </c>
      <c r="K3228" t="s">
        <v>246</v>
      </c>
    </row>
    <row r="3229" spans="2:11" x14ac:dyDescent="0.25">
      <c r="B3229">
        <v>3424</v>
      </c>
      <c r="C3229">
        <v>316</v>
      </c>
      <c r="D3229">
        <v>146</v>
      </c>
      <c r="E3229">
        <v>12</v>
      </c>
      <c r="F3229">
        <v>6</v>
      </c>
      <c r="G3229">
        <v>4</v>
      </c>
      <c r="H3229">
        <v>0</v>
      </c>
      <c r="I3229">
        <v>0</v>
      </c>
      <c r="J3229">
        <v>10</v>
      </c>
      <c r="K3229" t="s">
        <v>247</v>
      </c>
    </row>
    <row r="3230" spans="2:11" x14ac:dyDescent="0.25">
      <c r="B3230">
        <v>3426</v>
      </c>
      <c r="C3230">
        <v>22</v>
      </c>
      <c r="D3230">
        <v>10</v>
      </c>
      <c r="E3230">
        <v>12</v>
      </c>
      <c r="F3230">
        <v>3</v>
      </c>
      <c r="G3230">
        <v>9</v>
      </c>
      <c r="H3230">
        <v>0</v>
      </c>
      <c r="I3230">
        <v>0</v>
      </c>
      <c r="J3230">
        <v>12</v>
      </c>
      <c r="K3230" t="s">
        <v>251</v>
      </c>
    </row>
    <row r="3231" spans="2:11" x14ac:dyDescent="0.25">
      <c r="B3231">
        <v>3427</v>
      </c>
      <c r="C3231">
        <v>43</v>
      </c>
      <c r="D3231">
        <v>22</v>
      </c>
      <c r="E3231">
        <v>2</v>
      </c>
      <c r="F3231">
        <v>14</v>
      </c>
      <c r="G3231">
        <v>16</v>
      </c>
      <c r="H3231">
        <v>0</v>
      </c>
      <c r="I3231">
        <v>0</v>
      </c>
      <c r="J3231">
        <v>30</v>
      </c>
      <c r="K3231" t="s">
        <v>246</v>
      </c>
    </row>
    <row r="3232" spans="2:11" x14ac:dyDescent="0.25">
      <c r="B3232">
        <v>3429</v>
      </c>
      <c r="C3232">
        <v>152</v>
      </c>
      <c r="D3232">
        <v>69</v>
      </c>
      <c r="E3232">
        <v>12</v>
      </c>
      <c r="F3232">
        <v>1</v>
      </c>
      <c r="G3232">
        <v>14</v>
      </c>
      <c r="H3232">
        <v>0</v>
      </c>
      <c r="I3232">
        <v>0</v>
      </c>
      <c r="J3232">
        <v>15</v>
      </c>
      <c r="K3232" t="s">
        <v>247</v>
      </c>
    </row>
    <row r="3233" spans="2:11" x14ac:dyDescent="0.25">
      <c r="B3233">
        <v>3430</v>
      </c>
      <c r="C3233">
        <v>43</v>
      </c>
      <c r="D3233">
        <v>22</v>
      </c>
      <c r="E3233">
        <v>3</v>
      </c>
      <c r="F3233">
        <v>18</v>
      </c>
      <c r="G3233">
        <v>12</v>
      </c>
      <c r="H3233">
        <v>0</v>
      </c>
      <c r="I3233">
        <v>0</v>
      </c>
      <c r="J3233">
        <v>30</v>
      </c>
      <c r="K3233" t="s">
        <v>246</v>
      </c>
    </row>
    <row r="3234" spans="2:11" x14ac:dyDescent="0.25">
      <c r="B3234">
        <v>3431</v>
      </c>
      <c r="C3234">
        <v>21</v>
      </c>
      <c r="D3234">
        <v>10</v>
      </c>
      <c r="E3234">
        <v>12</v>
      </c>
      <c r="F3234">
        <v>8</v>
      </c>
      <c r="G3234">
        <v>7</v>
      </c>
      <c r="H3234">
        <v>0</v>
      </c>
      <c r="I3234">
        <v>0</v>
      </c>
      <c r="J3234">
        <v>15</v>
      </c>
      <c r="K3234" t="s">
        <v>251</v>
      </c>
    </row>
    <row r="3235" spans="2:11" x14ac:dyDescent="0.25">
      <c r="B3235">
        <v>3433</v>
      </c>
      <c r="C3235">
        <v>19</v>
      </c>
      <c r="D3235">
        <v>9</v>
      </c>
      <c r="E3235">
        <v>14</v>
      </c>
      <c r="F3235">
        <v>21</v>
      </c>
      <c r="G3235">
        <v>9</v>
      </c>
      <c r="H3235">
        <v>0</v>
      </c>
      <c r="I3235">
        <v>0</v>
      </c>
      <c r="J3235">
        <v>30</v>
      </c>
      <c r="K3235" t="s">
        <v>241</v>
      </c>
    </row>
    <row r="3236" spans="2:11" x14ac:dyDescent="0.25">
      <c r="B3236">
        <v>5661</v>
      </c>
      <c r="C3236">
        <v>192</v>
      </c>
      <c r="D3236">
        <v>84</v>
      </c>
      <c r="E3236">
        <v>8</v>
      </c>
      <c r="F3236">
        <v>10</v>
      </c>
      <c r="G3236">
        <v>2</v>
      </c>
      <c r="H3236">
        <v>0</v>
      </c>
      <c r="I3236">
        <v>0</v>
      </c>
      <c r="J3236">
        <v>12</v>
      </c>
      <c r="K3236" t="s">
        <v>241</v>
      </c>
    </row>
    <row r="3237" spans="2:11" x14ac:dyDescent="0.25">
      <c r="B3237">
        <v>5662</v>
      </c>
      <c r="C3237">
        <v>192</v>
      </c>
      <c r="D3237">
        <v>84</v>
      </c>
      <c r="E3237">
        <v>9</v>
      </c>
      <c r="F3237">
        <v>15</v>
      </c>
      <c r="G3237">
        <v>5</v>
      </c>
      <c r="H3237">
        <v>0</v>
      </c>
      <c r="I3237">
        <v>0</v>
      </c>
      <c r="J3237">
        <v>20</v>
      </c>
      <c r="K3237" t="s">
        <v>241</v>
      </c>
    </row>
    <row r="3238" spans="2:11" x14ac:dyDescent="0.25">
      <c r="B3238">
        <v>5664</v>
      </c>
      <c r="C3238">
        <v>192</v>
      </c>
      <c r="D3238">
        <v>84</v>
      </c>
      <c r="E3238">
        <v>10</v>
      </c>
      <c r="F3238">
        <v>18</v>
      </c>
      <c r="G3238">
        <v>12</v>
      </c>
      <c r="H3238">
        <v>0</v>
      </c>
      <c r="I3238">
        <v>0</v>
      </c>
      <c r="J3238">
        <v>30</v>
      </c>
      <c r="K3238" t="s">
        <v>241</v>
      </c>
    </row>
    <row r="3239" spans="2:11" x14ac:dyDescent="0.25">
      <c r="B3239">
        <v>5665</v>
      </c>
      <c r="C3239">
        <v>192</v>
      </c>
      <c r="D3239">
        <v>84</v>
      </c>
      <c r="E3239">
        <v>11</v>
      </c>
      <c r="F3239">
        <v>14</v>
      </c>
      <c r="G3239">
        <v>15</v>
      </c>
      <c r="H3239">
        <v>0</v>
      </c>
      <c r="I3239">
        <v>0</v>
      </c>
      <c r="J3239">
        <v>29</v>
      </c>
      <c r="K3239" t="s">
        <v>241</v>
      </c>
    </row>
    <row r="3240" spans="2:11" x14ac:dyDescent="0.25">
      <c r="B3240">
        <v>5666</v>
      </c>
      <c r="C3240">
        <v>192</v>
      </c>
      <c r="D3240">
        <v>84</v>
      </c>
      <c r="E3240">
        <v>12</v>
      </c>
      <c r="F3240">
        <v>10</v>
      </c>
      <c r="G3240">
        <v>12</v>
      </c>
      <c r="H3240">
        <v>0</v>
      </c>
      <c r="I3240">
        <v>0</v>
      </c>
      <c r="J3240">
        <v>22</v>
      </c>
      <c r="K3240" t="s">
        <v>241</v>
      </c>
    </row>
    <row r="3241" spans="2:11" x14ac:dyDescent="0.25">
      <c r="B3241">
        <v>3629</v>
      </c>
      <c r="C3241">
        <v>179</v>
      </c>
      <c r="D3241">
        <v>77</v>
      </c>
      <c r="E3241">
        <v>14</v>
      </c>
      <c r="F3241">
        <v>1</v>
      </c>
      <c r="G3241">
        <v>0</v>
      </c>
      <c r="H3241">
        <v>3</v>
      </c>
      <c r="I3241">
        <v>0</v>
      </c>
      <c r="J3241">
        <v>4</v>
      </c>
      <c r="K3241" t="s">
        <v>247</v>
      </c>
    </row>
    <row r="3242" spans="2:11" x14ac:dyDescent="0.25">
      <c r="B3242">
        <v>3633</v>
      </c>
      <c r="C3242">
        <v>3</v>
      </c>
      <c r="D3242">
        <v>1</v>
      </c>
      <c r="E3242">
        <v>12</v>
      </c>
      <c r="F3242">
        <v>1</v>
      </c>
      <c r="G3242">
        <v>1</v>
      </c>
      <c r="H3242">
        <v>1</v>
      </c>
      <c r="I3242">
        <v>0</v>
      </c>
      <c r="J3242">
        <v>3</v>
      </c>
      <c r="K3242" t="s">
        <v>250</v>
      </c>
    </row>
    <row r="3243" spans="2:11" x14ac:dyDescent="0.25">
      <c r="B3243">
        <v>3636</v>
      </c>
      <c r="C3243">
        <v>3</v>
      </c>
      <c r="D3243">
        <v>1</v>
      </c>
      <c r="E3243">
        <v>14</v>
      </c>
      <c r="F3243">
        <v>3</v>
      </c>
      <c r="G3243">
        <v>2</v>
      </c>
      <c r="H3243">
        <v>0</v>
      </c>
      <c r="I3243">
        <v>0</v>
      </c>
      <c r="J3243">
        <v>5</v>
      </c>
      <c r="K3243" t="s">
        <v>247</v>
      </c>
    </row>
    <row r="3244" spans="2:11" x14ac:dyDescent="0.25">
      <c r="B3244">
        <v>3637</v>
      </c>
      <c r="C3244">
        <v>6</v>
      </c>
      <c r="D3244">
        <v>2</v>
      </c>
      <c r="E3244">
        <v>12</v>
      </c>
      <c r="F3244">
        <v>6</v>
      </c>
      <c r="G3244">
        <v>8</v>
      </c>
      <c r="H3244">
        <v>0</v>
      </c>
      <c r="I3244">
        <v>0</v>
      </c>
      <c r="J3244">
        <v>14</v>
      </c>
      <c r="K3244" t="s">
        <v>250</v>
      </c>
    </row>
    <row r="3245" spans="2:11" x14ac:dyDescent="0.25">
      <c r="B3245">
        <v>3640</v>
      </c>
      <c r="C3245">
        <v>6</v>
      </c>
      <c r="D3245">
        <v>2</v>
      </c>
      <c r="E3245">
        <v>14</v>
      </c>
      <c r="F3245">
        <v>15</v>
      </c>
      <c r="G3245">
        <v>1</v>
      </c>
      <c r="H3245">
        <v>0</v>
      </c>
      <c r="I3245">
        <v>0</v>
      </c>
      <c r="J3245">
        <v>16</v>
      </c>
      <c r="K3245" t="s">
        <v>247</v>
      </c>
    </row>
    <row r="3246" spans="2:11" x14ac:dyDescent="0.25">
      <c r="B3246">
        <v>3641</v>
      </c>
      <c r="C3246">
        <v>85</v>
      </c>
      <c r="D3246">
        <v>41</v>
      </c>
      <c r="E3246">
        <v>14</v>
      </c>
      <c r="F3246">
        <v>7</v>
      </c>
      <c r="G3246">
        <v>5</v>
      </c>
      <c r="H3246">
        <v>2</v>
      </c>
      <c r="I3246">
        <v>0</v>
      </c>
      <c r="J3246">
        <v>14</v>
      </c>
      <c r="K3246" t="s">
        <v>247</v>
      </c>
    </row>
    <row r="3247" spans="2:11" x14ac:dyDescent="0.25">
      <c r="B3247">
        <v>3642</v>
      </c>
      <c r="C3247">
        <v>98</v>
      </c>
      <c r="D3247">
        <v>48</v>
      </c>
      <c r="E3247">
        <v>10</v>
      </c>
      <c r="F3247">
        <v>16</v>
      </c>
      <c r="G3247">
        <v>12</v>
      </c>
      <c r="H3247">
        <v>1</v>
      </c>
      <c r="I3247">
        <v>0</v>
      </c>
      <c r="J3247">
        <v>29</v>
      </c>
      <c r="K3247" t="s">
        <v>241</v>
      </c>
    </row>
    <row r="3248" spans="2:11" x14ac:dyDescent="0.25">
      <c r="B3248">
        <v>3644</v>
      </c>
      <c r="C3248">
        <v>85</v>
      </c>
      <c r="D3248">
        <v>41</v>
      </c>
      <c r="E3248">
        <v>12</v>
      </c>
      <c r="F3248">
        <v>8</v>
      </c>
      <c r="G3248">
        <v>3</v>
      </c>
      <c r="H3248">
        <v>2</v>
      </c>
      <c r="I3248">
        <v>0</v>
      </c>
      <c r="J3248">
        <v>13</v>
      </c>
      <c r="K3248" t="s">
        <v>250</v>
      </c>
    </row>
    <row r="3249" spans="2:11" x14ac:dyDescent="0.25">
      <c r="B3249">
        <v>3643</v>
      </c>
      <c r="C3249">
        <v>3</v>
      </c>
      <c r="D3249">
        <v>1</v>
      </c>
      <c r="E3249">
        <v>11</v>
      </c>
      <c r="F3249">
        <v>1</v>
      </c>
      <c r="G3249">
        <v>1</v>
      </c>
      <c r="H3249">
        <v>0</v>
      </c>
      <c r="I3249">
        <v>0</v>
      </c>
      <c r="J3249">
        <v>2</v>
      </c>
      <c r="K3249" t="s">
        <v>251</v>
      </c>
    </row>
    <row r="3250" spans="2:11" x14ac:dyDescent="0.25">
      <c r="B3250">
        <v>3646</v>
      </c>
      <c r="C3250">
        <v>27</v>
      </c>
      <c r="D3250">
        <v>14</v>
      </c>
      <c r="E3250">
        <v>14</v>
      </c>
      <c r="F3250">
        <v>7</v>
      </c>
      <c r="G3250">
        <v>3</v>
      </c>
      <c r="H3250">
        <v>1</v>
      </c>
      <c r="I3250">
        <v>0</v>
      </c>
      <c r="J3250">
        <v>11</v>
      </c>
      <c r="K3250" t="s">
        <v>247</v>
      </c>
    </row>
    <row r="3251" spans="2:11" x14ac:dyDescent="0.25">
      <c r="B3251">
        <v>3647</v>
      </c>
      <c r="C3251">
        <v>118</v>
      </c>
      <c r="D3251">
        <v>55</v>
      </c>
      <c r="E3251">
        <v>12</v>
      </c>
      <c r="F3251">
        <v>7</v>
      </c>
      <c r="G3251">
        <v>2</v>
      </c>
      <c r="H3251">
        <v>0</v>
      </c>
      <c r="I3251">
        <v>0</v>
      </c>
      <c r="J3251">
        <v>9</v>
      </c>
      <c r="K3251" t="s">
        <v>250</v>
      </c>
    </row>
    <row r="3252" spans="2:11" x14ac:dyDescent="0.25">
      <c r="B3252">
        <v>3649</v>
      </c>
      <c r="C3252">
        <v>316</v>
      </c>
      <c r="D3252">
        <v>146</v>
      </c>
      <c r="E3252">
        <v>14</v>
      </c>
      <c r="F3252">
        <v>1</v>
      </c>
      <c r="G3252">
        <v>2</v>
      </c>
      <c r="H3252">
        <v>0</v>
      </c>
      <c r="I3252">
        <v>0</v>
      </c>
      <c r="J3252">
        <v>3</v>
      </c>
      <c r="K3252" t="s">
        <v>247</v>
      </c>
    </row>
    <row r="3253" spans="2:11" x14ac:dyDescent="0.25">
      <c r="B3253">
        <v>3650</v>
      </c>
      <c r="C3253">
        <v>98</v>
      </c>
      <c r="D3253">
        <v>48</v>
      </c>
      <c r="E3253">
        <v>14</v>
      </c>
      <c r="F3253">
        <v>12</v>
      </c>
      <c r="G3253">
        <v>8</v>
      </c>
      <c r="H3253">
        <v>1</v>
      </c>
      <c r="I3253">
        <v>0</v>
      </c>
      <c r="J3253">
        <v>21</v>
      </c>
      <c r="K3253" t="s">
        <v>246</v>
      </c>
    </row>
    <row r="3254" spans="2:11" x14ac:dyDescent="0.25">
      <c r="B3254">
        <v>3648</v>
      </c>
      <c r="C3254">
        <v>334</v>
      </c>
      <c r="D3254">
        <v>152</v>
      </c>
      <c r="E3254">
        <v>11</v>
      </c>
      <c r="F3254">
        <v>13</v>
      </c>
      <c r="G3254">
        <v>16</v>
      </c>
      <c r="H3254">
        <v>0</v>
      </c>
      <c r="I3254">
        <v>0</v>
      </c>
      <c r="J3254">
        <v>29</v>
      </c>
      <c r="K3254" t="s">
        <v>249</v>
      </c>
    </row>
    <row r="3255" spans="2:11" x14ac:dyDescent="0.25">
      <c r="B3255">
        <v>3653</v>
      </c>
      <c r="C3255">
        <v>298</v>
      </c>
      <c r="D3255">
        <v>137</v>
      </c>
      <c r="E3255">
        <v>14</v>
      </c>
      <c r="F3255">
        <v>6</v>
      </c>
      <c r="G3255">
        <v>16</v>
      </c>
      <c r="H3255">
        <v>0</v>
      </c>
      <c r="I3255">
        <v>0</v>
      </c>
      <c r="J3255">
        <v>22</v>
      </c>
      <c r="K3255" t="s">
        <v>246</v>
      </c>
    </row>
    <row r="3256" spans="2:11" x14ac:dyDescent="0.25">
      <c r="B3256">
        <v>3654</v>
      </c>
      <c r="C3256">
        <v>71</v>
      </c>
      <c r="D3256">
        <v>35</v>
      </c>
      <c r="E3256">
        <v>13</v>
      </c>
      <c r="F3256">
        <v>6</v>
      </c>
      <c r="G3256">
        <v>18</v>
      </c>
      <c r="H3256">
        <v>2</v>
      </c>
      <c r="I3256">
        <v>0</v>
      </c>
      <c r="J3256">
        <v>26</v>
      </c>
      <c r="K3256" t="s">
        <v>251</v>
      </c>
    </row>
    <row r="3257" spans="2:11" x14ac:dyDescent="0.25">
      <c r="B3257">
        <v>3655</v>
      </c>
      <c r="C3257">
        <v>99</v>
      </c>
      <c r="D3257">
        <v>49</v>
      </c>
      <c r="E3257">
        <v>12</v>
      </c>
      <c r="F3257">
        <v>7</v>
      </c>
      <c r="G3257">
        <v>15</v>
      </c>
      <c r="H3257">
        <v>0</v>
      </c>
      <c r="I3257">
        <v>0</v>
      </c>
      <c r="J3257">
        <v>22</v>
      </c>
      <c r="K3257" t="s">
        <v>250</v>
      </c>
    </row>
    <row r="3258" spans="2:11" x14ac:dyDescent="0.25">
      <c r="B3258">
        <v>3652</v>
      </c>
      <c r="C3258">
        <v>130</v>
      </c>
      <c r="D3258">
        <v>58</v>
      </c>
      <c r="E3258">
        <v>14</v>
      </c>
      <c r="F3258">
        <v>12</v>
      </c>
      <c r="G3258">
        <v>14</v>
      </c>
      <c r="H3258">
        <v>0</v>
      </c>
      <c r="I3258">
        <v>0</v>
      </c>
      <c r="J3258">
        <v>26</v>
      </c>
      <c r="K3258" t="s">
        <v>247</v>
      </c>
    </row>
    <row r="3259" spans="2:11" x14ac:dyDescent="0.25">
      <c r="B3259">
        <v>3656</v>
      </c>
      <c r="C3259">
        <v>160</v>
      </c>
      <c r="D3259">
        <v>69</v>
      </c>
      <c r="E3259">
        <v>14</v>
      </c>
      <c r="F3259">
        <v>4</v>
      </c>
      <c r="G3259">
        <v>14</v>
      </c>
      <c r="H3259">
        <v>0</v>
      </c>
      <c r="I3259">
        <v>0</v>
      </c>
      <c r="J3259">
        <v>18</v>
      </c>
      <c r="K3259" t="s">
        <v>246</v>
      </c>
    </row>
    <row r="3260" spans="2:11" x14ac:dyDescent="0.25">
      <c r="B3260">
        <v>3657</v>
      </c>
      <c r="C3260">
        <v>6</v>
      </c>
      <c r="D3260">
        <v>2</v>
      </c>
      <c r="E3260">
        <v>13</v>
      </c>
      <c r="F3260">
        <v>12</v>
      </c>
      <c r="G3260">
        <v>3</v>
      </c>
      <c r="H3260">
        <v>0</v>
      </c>
      <c r="I3260">
        <v>0</v>
      </c>
      <c r="J3260">
        <v>15</v>
      </c>
      <c r="K3260" t="s">
        <v>241</v>
      </c>
    </row>
    <row r="3261" spans="2:11" x14ac:dyDescent="0.25">
      <c r="B3261">
        <v>3658</v>
      </c>
      <c r="C3261">
        <v>74</v>
      </c>
      <c r="D3261">
        <v>36</v>
      </c>
      <c r="E3261">
        <v>13</v>
      </c>
      <c r="F3261">
        <v>6</v>
      </c>
      <c r="G3261">
        <v>11</v>
      </c>
      <c r="H3261">
        <v>0</v>
      </c>
      <c r="I3261">
        <v>0</v>
      </c>
      <c r="J3261">
        <v>17</v>
      </c>
      <c r="K3261" t="s">
        <v>251</v>
      </c>
    </row>
    <row r="3262" spans="2:11" x14ac:dyDescent="0.25">
      <c r="B3262">
        <v>3659</v>
      </c>
      <c r="C3262">
        <v>129</v>
      </c>
      <c r="D3262">
        <v>57</v>
      </c>
      <c r="E3262">
        <v>12</v>
      </c>
      <c r="F3262">
        <v>10</v>
      </c>
      <c r="G3262">
        <v>10</v>
      </c>
      <c r="H3262">
        <v>0</v>
      </c>
      <c r="I3262">
        <v>0</v>
      </c>
      <c r="J3262">
        <v>20</v>
      </c>
      <c r="K3262" t="s">
        <v>250</v>
      </c>
    </row>
    <row r="3263" spans="2:11" x14ac:dyDescent="0.25">
      <c r="B3263">
        <v>3661</v>
      </c>
      <c r="C3263">
        <v>152</v>
      </c>
      <c r="D3263">
        <v>69</v>
      </c>
      <c r="E3263">
        <v>14</v>
      </c>
      <c r="F3263">
        <v>0</v>
      </c>
      <c r="G3263">
        <v>7</v>
      </c>
      <c r="H3263">
        <v>0</v>
      </c>
      <c r="I3263">
        <v>0</v>
      </c>
      <c r="J3263">
        <v>7</v>
      </c>
      <c r="K3263" t="s">
        <v>246</v>
      </c>
    </row>
    <row r="3264" spans="2:11" x14ac:dyDescent="0.25">
      <c r="B3264">
        <v>3663</v>
      </c>
      <c r="C3264">
        <v>118</v>
      </c>
      <c r="D3264">
        <v>55</v>
      </c>
      <c r="E3264">
        <v>13</v>
      </c>
      <c r="F3264">
        <v>11</v>
      </c>
      <c r="G3264">
        <v>4</v>
      </c>
      <c r="H3264">
        <v>0</v>
      </c>
      <c r="I3264">
        <v>0</v>
      </c>
      <c r="J3264">
        <v>15</v>
      </c>
      <c r="K3264" t="s">
        <v>241</v>
      </c>
    </row>
    <row r="3265" spans="2:11" x14ac:dyDescent="0.25">
      <c r="B3265">
        <v>3664</v>
      </c>
      <c r="C3265">
        <v>73</v>
      </c>
      <c r="D3265">
        <v>35</v>
      </c>
      <c r="E3265">
        <v>13</v>
      </c>
      <c r="F3265">
        <v>14</v>
      </c>
      <c r="G3265">
        <v>15</v>
      </c>
      <c r="H3265">
        <v>1</v>
      </c>
      <c r="I3265">
        <v>0</v>
      </c>
      <c r="J3265">
        <v>30</v>
      </c>
      <c r="K3265" t="s">
        <v>251</v>
      </c>
    </row>
    <row r="3266" spans="2:11" x14ac:dyDescent="0.25">
      <c r="B3266">
        <v>3665</v>
      </c>
      <c r="C3266">
        <v>164</v>
      </c>
      <c r="D3266">
        <v>70</v>
      </c>
      <c r="E3266">
        <v>12</v>
      </c>
      <c r="F3266">
        <v>3</v>
      </c>
      <c r="G3266">
        <v>5</v>
      </c>
      <c r="H3266">
        <v>0</v>
      </c>
      <c r="I3266">
        <v>0</v>
      </c>
      <c r="J3266">
        <v>8</v>
      </c>
      <c r="K3266" t="s">
        <v>250</v>
      </c>
    </row>
    <row r="3267" spans="2:11" x14ac:dyDescent="0.25">
      <c r="B3267">
        <v>3667</v>
      </c>
      <c r="C3267">
        <v>115</v>
      </c>
      <c r="D3267">
        <v>53</v>
      </c>
      <c r="E3267">
        <v>14</v>
      </c>
      <c r="F3267">
        <v>14</v>
      </c>
      <c r="G3267">
        <v>16</v>
      </c>
      <c r="H3267">
        <v>0</v>
      </c>
      <c r="I3267">
        <v>0</v>
      </c>
      <c r="J3267">
        <v>30</v>
      </c>
      <c r="K3267" t="s">
        <v>246</v>
      </c>
    </row>
    <row r="3268" spans="2:11" x14ac:dyDescent="0.25">
      <c r="B3268">
        <v>3669</v>
      </c>
      <c r="C3268">
        <v>315</v>
      </c>
      <c r="D3268">
        <v>145</v>
      </c>
      <c r="E3268">
        <v>14</v>
      </c>
      <c r="F3268">
        <v>4</v>
      </c>
      <c r="G3268">
        <v>11</v>
      </c>
      <c r="H3268">
        <v>0</v>
      </c>
      <c r="I3268">
        <v>0</v>
      </c>
      <c r="J3268">
        <v>15</v>
      </c>
      <c r="K3268" t="s">
        <v>247</v>
      </c>
    </row>
    <row r="3269" spans="2:11" x14ac:dyDescent="0.25">
      <c r="B3269">
        <v>3666</v>
      </c>
      <c r="C3269">
        <v>349</v>
      </c>
      <c r="D3269">
        <v>156</v>
      </c>
      <c r="E3269">
        <v>13</v>
      </c>
      <c r="F3269">
        <v>7</v>
      </c>
      <c r="G3269">
        <v>5</v>
      </c>
      <c r="H3269">
        <v>0</v>
      </c>
      <c r="I3269">
        <v>0</v>
      </c>
      <c r="J3269">
        <v>12</v>
      </c>
      <c r="K3269" t="s">
        <v>248</v>
      </c>
    </row>
    <row r="3270" spans="2:11" x14ac:dyDescent="0.25">
      <c r="B3270">
        <v>3670</v>
      </c>
      <c r="C3270">
        <v>3</v>
      </c>
      <c r="D3270">
        <v>1</v>
      </c>
      <c r="E3270">
        <v>13</v>
      </c>
      <c r="F3270">
        <v>1</v>
      </c>
      <c r="G3270">
        <v>2</v>
      </c>
      <c r="H3270">
        <v>1</v>
      </c>
      <c r="I3270">
        <v>0</v>
      </c>
      <c r="J3270">
        <v>4</v>
      </c>
      <c r="K3270" t="s">
        <v>251</v>
      </c>
    </row>
    <row r="3271" spans="2:11" x14ac:dyDescent="0.25">
      <c r="B3271">
        <v>3668</v>
      </c>
      <c r="C3271">
        <v>85</v>
      </c>
      <c r="D3271">
        <v>41</v>
      </c>
      <c r="E3271">
        <v>13</v>
      </c>
      <c r="F3271">
        <v>3</v>
      </c>
      <c r="G3271">
        <v>2</v>
      </c>
      <c r="H3271">
        <v>0</v>
      </c>
      <c r="I3271">
        <v>0</v>
      </c>
      <c r="J3271">
        <v>5</v>
      </c>
      <c r="K3271" t="s">
        <v>241</v>
      </c>
    </row>
    <row r="3272" spans="2:11" x14ac:dyDescent="0.25">
      <c r="B3272">
        <v>3673</v>
      </c>
      <c r="C3272">
        <v>327</v>
      </c>
      <c r="D3272">
        <v>152</v>
      </c>
      <c r="E3272">
        <v>14</v>
      </c>
      <c r="F3272">
        <v>20</v>
      </c>
      <c r="G3272">
        <v>10</v>
      </c>
      <c r="H3272">
        <v>0</v>
      </c>
      <c r="I3272">
        <v>0</v>
      </c>
      <c r="J3272">
        <v>30</v>
      </c>
      <c r="K3272" t="s">
        <v>247</v>
      </c>
    </row>
    <row r="3273" spans="2:11" x14ac:dyDescent="0.25">
      <c r="B3273">
        <v>3674</v>
      </c>
      <c r="C3273">
        <v>240</v>
      </c>
      <c r="D3273">
        <v>107</v>
      </c>
      <c r="E3273">
        <v>14</v>
      </c>
      <c r="F3273">
        <v>3</v>
      </c>
      <c r="G3273">
        <v>1</v>
      </c>
      <c r="H3273">
        <v>0</v>
      </c>
      <c r="I3273">
        <v>0</v>
      </c>
      <c r="J3273">
        <v>4</v>
      </c>
      <c r="K3273" t="s">
        <v>246</v>
      </c>
    </row>
    <row r="3274" spans="2:11" x14ac:dyDescent="0.25">
      <c r="B3274">
        <v>3675</v>
      </c>
      <c r="C3274">
        <v>290</v>
      </c>
      <c r="D3274">
        <v>135</v>
      </c>
      <c r="E3274">
        <v>13</v>
      </c>
      <c r="F3274">
        <v>6</v>
      </c>
      <c r="G3274">
        <v>23</v>
      </c>
      <c r="H3274">
        <v>0</v>
      </c>
      <c r="I3274">
        <v>0</v>
      </c>
      <c r="J3274">
        <v>29</v>
      </c>
      <c r="K3274" t="s">
        <v>248</v>
      </c>
    </row>
    <row r="3275" spans="2:11" x14ac:dyDescent="0.25">
      <c r="B3275">
        <v>3678</v>
      </c>
      <c r="C3275">
        <v>294</v>
      </c>
      <c r="D3275">
        <v>136</v>
      </c>
      <c r="E3275">
        <v>14</v>
      </c>
      <c r="F3275">
        <v>18</v>
      </c>
      <c r="G3275">
        <v>2</v>
      </c>
      <c r="H3275">
        <v>0</v>
      </c>
      <c r="I3275">
        <v>0</v>
      </c>
      <c r="J3275">
        <v>20</v>
      </c>
      <c r="K3275" t="s">
        <v>247</v>
      </c>
    </row>
    <row r="3276" spans="2:11" x14ac:dyDescent="0.25">
      <c r="B3276">
        <v>3680</v>
      </c>
      <c r="C3276">
        <v>98</v>
      </c>
      <c r="D3276">
        <v>48</v>
      </c>
      <c r="E3276">
        <v>12</v>
      </c>
      <c r="F3276">
        <v>16</v>
      </c>
      <c r="G3276">
        <v>12</v>
      </c>
      <c r="H3276">
        <v>0</v>
      </c>
      <c r="I3276">
        <v>0</v>
      </c>
      <c r="J3276">
        <v>28</v>
      </c>
      <c r="K3276" t="s">
        <v>250</v>
      </c>
    </row>
    <row r="3277" spans="2:11" x14ac:dyDescent="0.25">
      <c r="B3277">
        <v>3682</v>
      </c>
      <c r="C3277">
        <v>272</v>
      </c>
      <c r="D3277">
        <v>123</v>
      </c>
      <c r="E3277">
        <v>13</v>
      </c>
      <c r="F3277">
        <v>10</v>
      </c>
      <c r="G3277">
        <v>17</v>
      </c>
      <c r="H3277">
        <v>3</v>
      </c>
      <c r="I3277">
        <v>0</v>
      </c>
      <c r="J3277">
        <v>30</v>
      </c>
      <c r="K3277" t="s">
        <v>248</v>
      </c>
    </row>
    <row r="3278" spans="2:11" x14ac:dyDescent="0.25">
      <c r="B3278">
        <v>3684</v>
      </c>
      <c r="C3278">
        <v>75</v>
      </c>
      <c r="D3278">
        <v>37</v>
      </c>
      <c r="E3278">
        <v>13</v>
      </c>
      <c r="F3278">
        <v>8</v>
      </c>
      <c r="G3278">
        <v>4</v>
      </c>
      <c r="H3278">
        <v>3</v>
      </c>
      <c r="I3278">
        <v>0</v>
      </c>
      <c r="J3278">
        <v>15</v>
      </c>
      <c r="K3278" t="s">
        <v>252</v>
      </c>
    </row>
    <row r="3279" spans="2:11" x14ac:dyDescent="0.25">
      <c r="B3279">
        <v>3685</v>
      </c>
      <c r="C3279">
        <v>72</v>
      </c>
      <c r="D3279">
        <v>35</v>
      </c>
      <c r="E3279">
        <v>13</v>
      </c>
      <c r="F3279">
        <v>2</v>
      </c>
      <c r="G3279">
        <v>8</v>
      </c>
      <c r="H3279">
        <v>0</v>
      </c>
      <c r="I3279">
        <v>0</v>
      </c>
      <c r="J3279">
        <v>10</v>
      </c>
      <c r="K3279" t="s">
        <v>251</v>
      </c>
    </row>
    <row r="3280" spans="2:11" x14ac:dyDescent="0.25">
      <c r="B3280">
        <v>3689</v>
      </c>
      <c r="C3280">
        <v>160</v>
      </c>
      <c r="D3280">
        <v>69</v>
      </c>
      <c r="E3280">
        <v>12</v>
      </c>
      <c r="F3280">
        <v>5</v>
      </c>
      <c r="G3280">
        <v>23</v>
      </c>
      <c r="H3280">
        <v>0</v>
      </c>
      <c r="I3280">
        <v>0</v>
      </c>
      <c r="J3280">
        <v>28</v>
      </c>
      <c r="K3280" t="s">
        <v>250</v>
      </c>
    </row>
    <row r="3281" spans="2:11" x14ac:dyDescent="0.25">
      <c r="B3281">
        <v>3695</v>
      </c>
      <c r="C3281">
        <v>166</v>
      </c>
      <c r="D3281">
        <v>71</v>
      </c>
      <c r="E3281">
        <v>13</v>
      </c>
      <c r="F3281">
        <v>3</v>
      </c>
      <c r="G3281">
        <v>6</v>
      </c>
      <c r="H3281">
        <v>0</v>
      </c>
      <c r="I3281">
        <v>0</v>
      </c>
      <c r="J3281">
        <v>9</v>
      </c>
      <c r="K3281" t="s">
        <v>248</v>
      </c>
    </row>
    <row r="3282" spans="2:11" x14ac:dyDescent="0.25">
      <c r="B3282">
        <v>3697</v>
      </c>
      <c r="C3282">
        <v>130</v>
      </c>
      <c r="D3282">
        <v>58</v>
      </c>
      <c r="E3282">
        <v>13</v>
      </c>
      <c r="F3282">
        <v>9</v>
      </c>
      <c r="G3282">
        <v>7</v>
      </c>
      <c r="H3282">
        <v>2</v>
      </c>
      <c r="I3282">
        <v>0</v>
      </c>
      <c r="J3282">
        <v>18</v>
      </c>
      <c r="K3282" t="s">
        <v>241</v>
      </c>
    </row>
    <row r="3283" spans="2:11" x14ac:dyDescent="0.25">
      <c r="B3283">
        <v>3699</v>
      </c>
      <c r="C3283">
        <v>160</v>
      </c>
      <c r="D3283">
        <v>69</v>
      </c>
      <c r="E3283">
        <v>13</v>
      </c>
      <c r="F3283">
        <v>0</v>
      </c>
      <c r="G3283">
        <v>16</v>
      </c>
      <c r="H3283">
        <v>0</v>
      </c>
      <c r="I3283">
        <v>0</v>
      </c>
      <c r="J3283">
        <v>16</v>
      </c>
      <c r="K3283" t="s">
        <v>250</v>
      </c>
    </row>
    <row r="3284" spans="2:11" x14ac:dyDescent="0.25">
      <c r="B3284">
        <v>3698</v>
      </c>
      <c r="C3284">
        <v>92</v>
      </c>
      <c r="D3284">
        <v>46</v>
      </c>
      <c r="E3284">
        <v>13</v>
      </c>
      <c r="F3284">
        <v>16</v>
      </c>
      <c r="G3284">
        <v>12</v>
      </c>
      <c r="H3284">
        <v>0</v>
      </c>
      <c r="I3284">
        <v>0</v>
      </c>
      <c r="J3284">
        <v>28</v>
      </c>
      <c r="K3284" t="s">
        <v>248</v>
      </c>
    </row>
    <row r="3285" spans="2:11" x14ac:dyDescent="0.25">
      <c r="B3285">
        <v>3702</v>
      </c>
      <c r="C3285">
        <v>115</v>
      </c>
      <c r="D3285">
        <v>53</v>
      </c>
      <c r="E3285">
        <v>13</v>
      </c>
      <c r="F3285">
        <v>12</v>
      </c>
      <c r="G3285">
        <v>14</v>
      </c>
      <c r="H3285">
        <v>0</v>
      </c>
      <c r="I3285">
        <v>0</v>
      </c>
      <c r="J3285">
        <v>26</v>
      </c>
      <c r="K3285" t="s">
        <v>250</v>
      </c>
    </row>
    <row r="3286" spans="2:11" x14ac:dyDescent="0.25">
      <c r="B3286">
        <v>3704</v>
      </c>
      <c r="C3286">
        <v>240</v>
      </c>
      <c r="D3286">
        <v>107</v>
      </c>
      <c r="E3286">
        <v>13</v>
      </c>
      <c r="F3286">
        <v>10</v>
      </c>
      <c r="G3286">
        <v>4</v>
      </c>
      <c r="H3286">
        <v>0</v>
      </c>
      <c r="I3286">
        <v>0</v>
      </c>
      <c r="J3286">
        <v>14</v>
      </c>
      <c r="K3286" t="s">
        <v>246</v>
      </c>
    </row>
    <row r="3287" spans="2:11" x14ac:dyDescent="0.25">
      <c r="B3287">
        <v>3703</v>
      </c>
      <c r="C3287">
        <v>335</v>
      </c>
      <c r="D3287">
        <v>152</v>
      </c>
      <c r="E3287">
        <v>12</v>
      </c>
      <c r="F3287">
        <v>4</v>
      </c>
      <c r="G3287">
        <v>4</v>
      </c>
      <c r="H3287">
        <v>2</v>
      </c>
      <c r="I3287">
        <v>0</v>
      </c>
      <c r="J3287">
        <v>10</v>
      </c>
      <c r="K3287" t="s">
        <v>248</v>
      </c>
    </row>
    <row r="3288" spans="2:11" x14ac:dyDescent="0.25">
      <c r="B3288">
        <v>3705</v>
      </c>
      <c r="C3288">
        <v>164</v>
      </c>
      <c r="D3288">
        <v>70</v>
      </c>
      <c r="E3288">
        <v>13</v>
      </c>
      <c r="F3288">
        <v>1</v>
      </c>
      <c r="G3288">
        <v>0</v>
      </c>
      <c r="H3288">
        <v>0</v>
      </c>
      <c r="I3288">
        <v>0</v>
      </c>
      <c r="J3288">
        <v>1</v>
      </c>
      <c r="K3288" t="s">
        <v>241</v>
      </c>
    </row>
    <row r="3289" spans="2:11" x14ac:dyDescent="0.25">
      <c r="B3289">
        <v>3706</v>
      </c>
      <c r="C3289">
        <v>256</v>
      </c>
      <c r="D3289">
        <v>117</v>
      </c>
      <c r="E3289">
        <v>12</v>
      </c>
      <c r="F3289">
        <v>13</v>
      </c>
      <c r="G3289">
        <v>2</v>
      </c>
      <c r="H3289">
        <v>0</v>
      </c>
      <c r="I3289">
        <v>0</v>
      </c>
      <c r="J3289">
        <v>15</v>
      </c>
      <c r="K3289" t="s">
        <v>248</v>
      </c>
    </row>
    <row r="3290" spans="2:11" x14ac:dyDescent="0.25">
      <c r="B3290">
        <v>3707</v>
      </c>
      <c r="C3290">
        <v>274</v>
      </c>
      <c r="D3290">
        <v>125</v>
      </c>
      <c r="E3290">
        <v>12</v>
      </c>
      <c r="F3290">
        <v>18</v>
      </c>
      <c r="G3290">
        <v>5</v>
      </c>
      <c r="H3290">
        <v>0</v>
      </c>
      <c r="I3290">
        <v>0</v>
      </c>
      <c r="J3290">
        <v>23</v>
      </c>
      <c r="K3290" t="s">
        <v>248</v>
      </c>
    </row>
    <row r="3291" spans="2:11" x14ac:dyDescent="0.25">
      <c r="B3291">
        <v>3708</v>
      </c>
      <c r="C3291">
        <v>50</v>
      </c>
      <c r="D3291">
        <v>25</v>
      </c>
      <c r="E3291">
        <v>9</v>
      </c>
      <c r="F3291">
        <v>5</v>
      </c>
      <c r="G3291">
        <v>8</v>
      </c>
      <c r="H3291">
        <v>0</v>
      </c>
      <c r="I3291">
        <v>0</v>
      </c>
      <c r="J3291">
        <v>13</v>
      </c>
      <c r="K3291" t="s">
        <v>246</v>
      </c>
    </row>
    <row r="3292" spans="2:11" x14ac:dyDescent="0.25">
      <c r="B3292">
        <v>3709</v>
      </c>
      <c r="C3292">
        <v>59</v>
      </c>
      <c r="D3292">
        <v>30</v>
      </c>
      <c r="E3292">
        <v>13</v>
      </c>
      <c r="F3292">
        <v>7</v>
      </c>
      <c r="G3292">
        <v>7</v>
      </c>
      <c r="H3292">
        <v>0</v>
      </c>
      <c r="I3292">
        <v>0</v>
      </c>
      <c r="J3292">
        <v>14</v>
      </c>
      <c r="K3292" t="s">
        <v>248</v>
      </c>
    </row>
    <row r="3293" spans="2:11" x14ac:dyDescent="0.25">
      <c r="B3293">
        <v>3710</v>
      </c>
      <c r="C3293">
        <v>165</v>
      </c>
      <c r="D3293">
        <v>71</v>
      </c>
      <c r="E3293">
        <v>10</v>
      </c>
      <c r="F3293">
        <v>12</v>
      </c>
      <c r="G3293">
        <v>7</v>
      </c>
      <c r="H3293">
        <v>0</v>
      </c>
      <c r="I3293">
        <v>0</v>
      </c>
      <c r="J3293">
        <v>19</v>
      </c>
      <c r="K3293" t="s">
        <v>246</v>
      </c>
    </row>
    <row r="3294" spans="2:11" x14ac:dyDescent="0.25">
      <c r="B3294">
        <v>3711</v>
      </c>
      <c r="C3294">
        <v>350</v>
      </c>
      <c r="D3294">
        <v>157</v>
      </c>
      <c r="E3294">
        <v>13</v>
      </c>
      <c r="F3294">
        <v>16</v>
      </c>
      <c r="G3294">
        <v>16</v>
      </c>
      <c r="H3294">
        <v>0</v>
      </c>
      <c r="I3294">
        <v>0</v>
      </c>
      <c r="J3294">
        <v>32</v>
      </c>
      <c r="K3294" t="s">
        <v>252</v>
      </c>
    </row>
    <row r="3295" spans="2:11" x14ac:dyDescent="0.25">
      <c r="B3295">
        <v>3713</v>
      </c>
      <c r="C3295">
        <v>50</v>
      </c>
      <c r="D3295">
        <v>25</v>
      </c>
      <c r="E3295">
        <v>11</v>
      </c>
      <c r="F3295">
        <v>0</v>
      </c>
      <c r="G3295">
        <v>4</v>
      </c>
      <c r="H3295">
        <v>0</v>
      </c>
      <c r="I3295">
        <v>0</v>
      </c>
      <c r="J3295">
        <v>4</v>
      </c>
      <c r="K3295" t="s">
        <v>246</v>
      </c>
    </row>
    <row r="3296" spans="2:11" x14ac:dyDescent="0.25">
      <c r="B3296">
        <v>3712</v>
      </c>
      <c r="C3296">
        <v>286</v>
      </c>
      <c r="D3296">
        <v>133</v>
      </c>
      <c r="E3296">
        <v>13</v>
      </c>
      <c r="F3296">
        <v>10</v>
      </c>
      <c r="G3296">
        <v>0</v>
      </c>
      <c r="H3296">
        <v>0</v>
      </c>
      <c r="I3296">
        <v>0</v>
      </c>
      <c r="J3296">
        <v>10</v>
      </c>
      <c r="K3296" t="s">
        <v>248</v>
      </c>
    </row>
    <row r="3297" spans="2:11" x14ac:dyDescent="0.25">
      <c r="B3297">
        <v>3714</v>
      </c>
      <c r="C3297">
        <v>293</v>
      </c>
      <c r="D3297">
        <v>136</v>
      </c>
      <c r="E3297">
        <v>13</v>
      </c>
      <c r="F3297">
        <v>12</v>
      </c>
      <c r="G3297">
        <v>16</v>
      </c>
      <c r="H3297">
        <v>1</v>
      </c>
      <c r="I3297">
        <v>0</v>
      </c>
      <c r="J3297">
        <v>29</v>
      </c>
      <c r="K3297" t="s">
        <v>241</v>
      </c>
    </row>
    <row r="3298" spans="2:11" x14ac:dyDescent="0.25">
      <c r="B3298">
        <v>3715</v>
      </c>
      <c r="C3298">
        <v>100</v>
      </c>
      <c r="D3298">
        <v>50</v>
      </c>
      <c r="E3298">
        <v>11</v>
      </c>
      <c r="F3298">
        <v>4</v>
      </c>
      <c r="G3298">
        <v>17</v>
      </c>
      <c r="H3298">
        <v>0</v>
      </c>
      <c r="I3298">
        <v>0</v>
      </c>
      <c r="J3298">
        <v>21</v>
      </c>
      <c r="K3298" t="s">
        <v>246</v>
      </c>
    </row>
    <row r="3299" spans="2:11" x14ac:dyDescent="0.25">
      <c r="B3299">
        <v>3717</v>
      </c>
      <c r="C3299">
        <v>351</v>
      </c>
      <c r="D3299">
        <v>158</v>
      </c>
      <c r="E3299">
        <v>13</v>
      </c>
      <c r="F3299">
        <v>4</v>
      </c>
      <c r="G3299">
        <v>10</v>
      </c>
      <c r="H3299">
        <v>0</v>
      </c>
      <c r="I3299">
        <v>0</v>
      </c>
      <c r="J3299">
        <v>14</v>
      </c>
      <c r="K3299" t="s">
        <v>241</v>
      </c>
    </row>
    <row r="3300" spans="2:11" x14ac:dyDescent="0.25">
      <c r="B3300">
        <v>5667</v>
      </c>
      <c r="C3300">
        <v>193</v>
      </c>
      <c r="D3300">
        <v>84</v>
      </c>
      <c r="E3300">
        <v>3</v>
      </c>
      <c r="F3300">
        <v>20</v>
      </c>
      <c r="G3300">
        <v>10</v>
      </c>
      <c r="H3300">
        <v>0</v>
      </c>
      <c r="I3300">
        <v>0</v>
      </c>
      <c r="J3300">
        <v>30</v>
      </c>
      <c r="K3300" t="s">
        <v>241</v>
      </c>
    </row>
    <row r="3301" spans="2:11" x14ac:dyDescent="0.25">
      <c r="B3301">
        <v>5668</v>
      </c>
      <c r="C3301">
        <v>193</v>
      </c>
      <c r="D3301">
        <v>84</v>
      </c>
      <c r="E3301">
        <v>4</v>
      </c>
      <c r="F3301">
        <v>17</v>
      </c>
      <c r="G3301">
        <v>10</v>
      </c>
      <c r="H3301">
        <v>0</v>
      </c>
      <c r="I3301">
        <v>0</v>
      </c>
      <c r="J3301">
        <v>27</v>
      </c>
      <c r="K3301" t="s">
        <v>241</v>
      </c>
    </row>
    <row r="3302" spans="2:11" x14ac:dyDescent="0.25">
      <c r="B3302">
        <v>5670</v>
      </c>
      <c r="C3302">
        <v>193</v>
      </c>
      <c r="D3302">
        <v>84</v>
      </c>
      <c r="E3302">
        <v>6</v>
      </c>
      <c r="F3302">
        <v>22</v>
      </c>
      <c r="G3302">
        <v>7</v>
      </c>
      <c r="H3302">
        <v>0</v>
      </c>
      <c r="I3302">
        <v>0</v>
      </c>
      <c r="J3302">
        <v>29</v>
      </c>
      <c r="K3302" t="s">
        <v>241</v>
      </c>
    </row>
    <row r="3303" spans="2:11" x14ac:dyDescent="0.25">
      <c r="B3303">
        <v>5671</v>
      </c>
      <c r="C3303">
        <v>193</v>
      </c>
      <c r="D3303">
        <v>84</v>
      </c>
      <c r="E3303">
        <v>7</v>
      </c>
      <c r="F3303">
        <v>20</v>
      </c>
      <c r="G3303">
        <v>10</v>
      </c>
      <c r="H3303">
        <v>0</v>
      </c>
      <c r="I3303">
        <v>0</v>
      </c>
      <c r="J3303">
        <v>30</v>
      </c>
      <c r="K3303" t="s">
        <v>241</v>
      </c>
    </row>
    <row r="3304" spans="2:11" x14ac:dyDescent="0.25">
      <c r="B3304">
        <v>5672</v>
      </c>
      <c r="C3304">
        <v>193</v>
      </c>
      <c r="D3304">
        <v>84</v>
      </c>
      <c r="E3304">
        <v>8</v>
      </c>
      <c r="F3304">
        <v>30</v>
      </c>
      <c r="G3304">
        <v>0</v>
      </c>
      <c r="H3304">
        <v>0</v>
      </c>
      <c r="I3304">
        <v>0</v>
      </c>
      <c r="J3304">
        <v>30</v>
      </c>
      <c r="K3304" t="s">
        <v>241</v>
      </c>
    </row>
    <row r="3305" spans="2:11" x14ac:dyDescent="0.25">
      <c r="B3305">
        <v>5673</v>
      </c>
      <c r="C3305">
        <v>193</v>
      </c>
      <c r="D3305">
        <v>84</v>
      </c>
      <c r="E3305">
        <v>9</v>
      </c>
      <c r="F3305">
        <v>23</v>
      </c>
      <c r="G3305">
        <v>7</v>
      </c>
      <c r="H3305">
        <v>0</v>
      </c>
      <c r="I3305">
        <v>0</v>
      </c>
      <c r="J3305">
        <v>30</v>
      </c>
      <c r="K3305" t="s">
        <v>241</v>
      </c>
    </row>
    <row r="3306" spans="2:11" x14ac:dyDescent="0.25">
      <c r="B3306">
        <v>5674</v>
      </c>
      <c r="C3306">
        <v>193</v>
      </c>
      <c r="D3306">
        <v>84</v>
      </c>
      <c r="E3306">
        <v>10</v>
      </c>
      <c r="F3306">
        <v>25</v>
      </c>
      <c r="G3306">
        <v>0</v>
      </c>
      <c r="H3306">
        <v>0</v>
      </c>
      <c r="I3306">
        <v>0</v>
      </c>
      <c r="J3306">
        <v>25</v>
      </c>
      <c r="K3306" t="s">
        <v>241</v>
      </c>
    </row>
    <row r="3307" spans="2:11" x14ac:dyDescent="0.25">
      <c r="B3307">
        <v>5675</v>
      </c>
      <c r="C3307">
        <v>193</v>
      </c>
      <c r="D3307">
        <v>84</v>
      </c>
      <c r="E3307">
        <v>11</v>
      </c>
      <c r="F3307">
        <v>26</v>
      </c>
      <c r="G3307">
        <v>3</v>
      </c>
      <c r="H3307">
        <v>0</v>
      </c>
      <c r="I3307">
        <v>0</v>
      </c>
      <c r="J3307">
        <v>29</v>
      </c>
      <c r="K3307" t="s">
        <v>241</v>
      </c>
    </row>
    <row r="3308" spans="2:11" x14ac:dyDescent="0.25">
      <c r="B3308">
        <v>5676</v>
      </c>
      <c r="C3308">
        <v>193</v>
      </c>
      <c r="D3308">
        <v>84</v>
      </c>
      <c r="E3308">
        <v>12</v>
      </c>
      <c r="F3308">
        <v>29</v>
      </c>
      <c r="G3308">
        <v>0</v>
      </c>
      <c r="H3308">
        <v>0</v>
      </c>
      <c r="I3308">
        <v>0</v>
      </c>
      <c r="J3308">
        <v>29</v>
      </c>
      <c r="K3308" t="s">
        <v>241</v>
      </c>
    </row>
    <row r="3309" spans="2:11" x14ac:dyDescent="0.25">
      <c r="B3309">
        <v>5677</v>
      </c>
      <c r="C3309">
        <v>193</v>
      </c>
      <c r="D3309">
        <v>84</v>
      </c>
      <c r="E3309">
        <v>13</v>
      </c>
      <c r="F3309">
        <v>17</v>
      </c>
      <c r="G3309">
        <v>2</v>
      </c>
      <c r="H3309">
        <v>0</v>
      </c>
      <c r="I3309">
        <v>0</v>
      </c>
      <c r="J3309">
        <v>19</v>
      </c>
      <c r="K3309" t="s">
        <v>241</v>
      </c>
    </row>
    <row r="3310" spans="2:11" x14ac:dyDescent="0.25">
      <c r="B3310">
        <v>5678</v>
      </c>
      <c r="C3310">
        <v>194</v>
      </c>
      <c r="D3310">
        <v>85</v>
      </c>
      <c r="E3310">
        <v>1</v>
      </c>
      <c r="F3310">
        <v>2</v>
      </c>
      <c r="G3310">
        <v>25</v>
      </c>
      <c r="H3310">
        <v>0</v>
      </c>
      <c r="I3310">
        <v>0</v>
      </c>
      <c r="J3310">
        <v>27</v>
      </c>
      <c r="K3310" t="s">
        <v>241</v>
      </c>
    </row>
    <row r="3311" spans="2:11" x14ac:dyDescent="0.25">
      <c r="B3311">
        <v>5679</v>
      </c>
      <c r="C3311">
        <v>194</v>
      </c>
      <c r="D3311">
        <v>85</v>
      </c>
      <c r="E3311">
        <v>2</v>
      </c>
      <c r="F3311">
        <v>0</v>
      </c>
      <c r="G3311">
        <v>12</v>
      </c>
      <c r="H3311">
        <v>0</v>
      </c>
      <c r="I3311">
        <v>0</v>
      </c>
      <c r="J3311">
        <v>12</v>
      </c>
      <c r="K3311" t="s">
        <v>241</v>
      </c>
    </row>
    <row r="3312" spans="2:11" x14ac:dyDescent="0.25">
      <c r="B3312">
        <v>3775</v>
      </c>
      <c r="C3312">
        <v>301</v>
      </c>
      <c r="D3312">
        <v>139</v>
      </c>
      <c r="E3312">
        <v>14</v>
      </c>
      <c r="F3312">
        <v>4</v>
      </c>
      <c r="G3312">
        <v>1</v>
      </c>
      <c r="H3312">
        <v>0</v>
      </c>
      <c r="I3312">
        <v>0</v>
      </c>
      <c r="J3312">
        <v>5</v>
      </c>
      <c r="K3312" t="s">
        <v>247</v>
      </c>
    </row>
    <row r="3313" spans="2:11" x14ac:dyDescent="0.25">
      <c r="B3313">
        <v>3777</v>
      </c>
      <c r="C3313">
        <v>166</v>
      </c>
      <c r="D3313">
        <v>71</v>
      </c>
      <c r="E3313">
        <v>14</v>
      </c>
      <c r="F3313">
        <v>9</v>
      </c>
      <c r="G3313">
        <v>7</v>
      </c>
      <c r="H3313">
        <v>0</v>
      </c>
      <c r="I3313">
        <v>0</v>
      </c>
      <c r="J3313">
        <v>16</v>
      </c>
      <c r="K3313" t="s">
        <v>246</v>
      </c>
    </row>
    <row r="3314" spans="2:11" x14ac:dyDescent="0.25">
      <c r="B3314">
        <v>3776</v>
      </c>
      <c r="C3314">
        <v>132</v>
      </c>
      <c r="D3314">
        <v>59</v>
      </c>
      <c r="E3314">
        <v>14</v>
      </c>
      <c r="F3314">
        <v>19</v>
      </c>
      <c r="G3314">
        <v>0</v>
      </c>
      <c r="H3314">
        <v>1</v>
      </c>
      <c r="I3314">
        <v>0</v>
      </c>
      <c r="J3314">
        <v>20</v>
      </c>
      <c r="K3314" t="s">
        <v>250</v>
      </c>
    </row>
    <row r="3315" spans="2:11" x14ac:dyDescent="0.25">
      <c r="B3315">
        <v>3779</v>
      </c>
      <c r="C3315">
        <v>55</v>
      </c>
      <c r="D3315">
        <v>29</v>
      </c>
      <c r="E3315">
        <v>13</v>
      </c>
      <c r="F3315">
        <v>7</v>
      </c>
      <c r="G3315">
        <v>21</v>
      </c>
      <c r="H3315">
        <v>2</v>
      </c>
      <c r="I3315">
        <v>0</v>
      </c>
      <c r="J3315">
        <v>30</v>
      </c>
      <c r="K3315" t="s">
        <v>241</v>
      </c>
    </row>
    <row r="3316" spans="2:11" x14ac:dyDescent="0.25">
      <c r="B3316">
        <v>3780</v>
      </c>
      <c r="C3316">
        <v>303</v>
      </c>
      <c r="D3316">
        <v>140</v>
      </c>
      <c r="E3316">
        <v>4</v>
      </c>
      <c r="F3316">
        <v>7</v>
      </c>
      <c r="G3316">
        <v>2</v>
      </c>
      <c r="H3316">
        <v>7</v>
      </c>
      <c r="I3316">
        <v>0</v>
      </c>
      <c r="J3316">
        <v>16</v>
      </c>
      <c r="K3316" t="s">
        <v>247</v>
      </c>
    </row>
    <row r="3317" spans="2:11" x14ac:dyDescent="0.25">
      <c r="B3317">
        <v>3783</v>
      </c>
      <c r="C3317">
        <v>131</v>
      </c>
      <c r="D3317">
        <v>59</v>
      </c>
      <c r="E3317">
        <v>14</v>
      </c>
      <c r="F3317">
        <v>6</v>
      </c>
      <c r="G3317">
        <v>7</v>
      </c>
      <c r="H3317">
        <v>0</v>
      </c>
      <c r="I3317">
        <v>0</v>
      </c>
      <c r="J3317">
        <v>13</v>
      </c>
      <c r="K3317" t="s">
        <v>250</v>
      </c>
    </row>
    <row r="3318" spans="2:11" x14ac:dyDescent="0.25">
      <c r="B3318">
        <v>3786</v>
      </c>
      <c r="C3318">
        <v>119</v>
      </c>
      <c r="D3318">
        <v>55</v>
      </c>
      <c r="E3318">
        <v>13</v>
      </c>
      <c r="F3318">
        <v>4</v>
      </c>
      <c r="G3318">
        <v>0</v>
      </c>
      <c r="H3318">
        <v>2</v>
      </c>
      <c r="I3318">
        <v>0</v>
      </c>
      <c r="J3318">
        <v>6</v>
      </c>
      <c r="K3318" t="s">
        <v>241</v>
      </c>
    </row>
    <row r="3319" spans="2:11" x14ac:dyDescent="0.25">
      <c r="B3319">
        <v>3788</v>
      </c>
      <c r="C3319">
        <v>63</v>
      </c>
      <c r="D3319">
        <v>34</v>
      </c>
      <c r="E3319">
        <v>14</v>
      </c>
      <c r="F3319">
        <v>1</v>
      </c>
      <c r="G3319">
        <v>9</v>
      </c>
      <c r="H3319">
        <v>1</v>
      </c>
      <c r="I3319">
        <v>0</v>
      </c>
      <c r="J3319">
        <v>11</v>
      </c>
      <c r="K3319" t="s">
        <v>247</v>
      </c>
    </row>
    <row r="3320" spans="2:11" x14ac:dyDescent="0.25">
      <c r="B3320">
        <v>3791</v>
      </c>
      <c r="C3320">
        <v>100</v>
      </c>
      <c r="D3320">
        <v>50</v>
      </c>
      <c r="E3320">
        <v>14</v>
      </c>
      <c r="F3320">
        <v>5</v>
      </c>
      <c r="G3320">
        <v>18</v>
      </c>
      <c r="H3320">
        <v>0</v>
      </c>
      <c r="I3320">
        <v>0</v>
      </c>
      <c r="J3320">
        <v>23</v>
      </c>
      <c r="K3320" t="s">
        <v>247</v>
      </c>
    </row>
    <row r="3321" spans="2:11" x14ac:dyDescent="0.25">
      <c r="B3321">
        <v>3790</v>
      </c>
      <c r="C3321">
        <v>349</v>
      </c>
      <c r="D3321">
        <v>156</v>
      </c>
      <c r="E3321">
        <v>14</v>
      </c>
      <c r="F3321">
        <v>8</v>
      </c>
      <c r="G3321">
        <v>9</v>
      </c>
      <c r="H3321">
        <v>0</v>
      </c>
      <c r="I3321">
        <v>0</v>
      </c>
      <c r="J3321">
        <v>17</v>
      </c>
      <c r="K3321" t="s">
        <v>251</v>
      </c>
    </row>
    <row r="3322" spans="2:11" x14ac:dyDescent="0.25">
      <c r="B3322">
        <v>3793</v>
      </c>
      <c r="C3322">
        <v>52</v>
      </c>
      <c r="D3322">
        <v>26</v>
      </c>
      <c r="E3322">
        <v>13</v>
      </c>
      <c r="F3322">
        <v>5</v>
      </c>
      <c r="G3322">
        <v>7</v>
      </c>
      <c r="H3322">
        <v>0</v>
      </c>
      <c r="I3322">
        <v>0</v>
      </c>
      <c r="J3322">
        <v>12</v>
      </c>
      <c r="K3322" t="s">
        <v>241</v>
      </c>
    </row>
    <row r="3323" spans="2:11" x14ac:dyDescent="0.25">
      <c r="B3323">
        <v>3785</v>
      </c>
      <c r="C3323">
        <v>293</v>
      </c>
      <c r="D3323">
        <v>136</v>
      </c>
      <c r="E3323">
        <v>14</v>
      </c>
      <c r="F3323">
        <v>9</v>
      </c>
      <c r="G3323">
        <v>18</v>
      </c>
      <c r="H3323">
        <v>0</v>
      </c>
      <c r="I3323">
        <v>0</v>
      </c>
      <c r="J3323">
        <v>27</v>
      </c>
      <c r="K3323" t="s">
        <v>248</v>
      </c>
    </row>
    <row r="3324" spans="2:11" x14ac:dyDescent="0.25">
      <c r="B3324">
        <v>3795</v>
      </c>
      <c r="C3324">
        <v>339</v>
      </c>
      <c r="D3324">
        <v>152</v>
      </c>
      <c r="E3324">
        <v>14</v>
      </c>
      <c r="F3324">
        <v>6</v>
      </c>
      <c r="G3324">
        <v>18</v>
      </c>
      <c r="H3324">
        <v>0</v>
      </c>
      <c r="I3324">
        <v>0</v>
      </c>
      <c r="J3324">
        <v>24</v>
      </c>
      <c r="K3324" t="s">
        <v>251</v>
      </c>
    </row>
    <row r="3325" spans="2:11" x14ac:dyDescent="0.25">
      <c r="B3325">
        <v>3784</v>
      </c>
      <c r="C3325">
        <v>328</v>
      </c>
      <c r="D3325">
        <v>152</v>
      </c>
      <c r="E3325">
        <v>14</v>
      </c>
      <c r="F3325">
        <v>2</v>
      </c>
      <c r="G3325">
        <v>42</v>
      </c>
      <c r="H3325">
        <v>7</v>
      </c>
      <c r="I3325">
        <v>0</v>
      </c>
      <c r="J3325">
        <v>51</v>
      </c>
      <c r="K3325" t="s">
        <v>252</v>
      </c>
    </row>
    <row r="3326" spans="2:11" x14ac:dyDescent="0.25">
      <c r="B3326">
        <v>3797</v>
      </c>
      <c r="C3326">
        <v>351</v>
      </c>
      <c r="D3326">
        <v>158</v>
      </c>
      <c r="E3326">
        <v>14</v>
      </c>
      <c r="F3326">
        <v>3</v>
      </c>
      <c r="G3326">
        <v>9</v>
      </c>
      <c r="H3326">
        <v>0</v>
      </c>
      <c r="I3326">
        <v>0</v>
      </c>
      <c r="J3326">
        <v>12</v>
      </c>
      <c r="K3326" t="s">
        <v>251</v>
      </c>
    </row>
    <row r="3327" spans="2:11" x14ac:dyDescent="0.25">
      <c r="B3327">
        <v>3796</v>
      </c>
      <c r="C3327">
        <v>87</v>
      </c>
      <c r="D3327">
        <v>43</v>
      </c>
      <c r="E3327">
        <v>1</v>
      </c>
      <c r="F3327">
        <v>26</v>
      </c>
      <c r="G3327">
        <v>3</v>
      </c>
      <c r="H3327">
        <v>1</v>
      </c>
      <c r="I3327">
        <v>0</v>
      </c>
      <c r="J3327">
        <v>30</v>
      </c>
      <c r="K3327" t="s">
        <v>252</v>
      </c>
    </row>
    <row r="3328" spans="2:11" x14ac:dyDescent="0.25">
      <c r="B3328">
        <v>3798</v>
      </c>
      <c r="C3328">
        <v>318</v>
      </c>
      <c r="D3328">
        <v>147</v>
      </c>
      <c r="E3328">
        <v>14</v>
      </c>
      <c r="F3328">
        <v>10</v>
      </c>
      <c r="G3328">
        <v>12</v>
      </c>
      <c r="H3328">
        <v>0</v>
      </c>
      <c r="I3328">
        <v>0</v>
      </c>
      <c r="J3328">
        <v>22</v>
      </c>
      <c r="K3328" t="s">
        <v>248</v>
      </c>
    </row>
    <row r="3329" spans="2:11" x14ac:dyDescent="0.25">
      <c r="B3329">
        <v>3800</v>
      </c>
      <c r="C3329">
        <v>87</v>
      </c>
      <c r="D3329">
        <v>43</v>
      </c>
      <c r="E3329">
        <v>2</v>
      </c>
      <c r="F3329">
        <v>13</v>
      </c>
      <c r="G3329">
        <v>5</v>
      </c>
      <c r="H3329">
        <v>1</v>
      </c>
      <c r="I3329">
        <v>0</v>
      </c>
      <c r="J3329">
        <v>19</v>
      </c>
      <c r="K3329" t="s">
        <v>252</v>
      </c>
    </row>
    <row r="3330" spans="2:11" x14ac:dyDescent="0.25">
      <c r="B3330">
        <v>3802</v>
      </c>
      <c r="C3330">
        <v>329</v>
      </c>
      <c r="D3330">
        <v>152</v>
      </c>
      <c r="E3330">
        <v>14</v>
      </c>
      <c r="F3330">
        <v>24</v>
      </c>
      <c r="G3330">
        <v>6</v>
      </c>
      <c r="H3330">
        <v>0</v>
      </c>
      <c r="I3330">
        <v>0</v>
      </c>
      <c r="J3330">
        <v>30</v>
      </c>
      <c r="K3330" t="s">
        <v>248</v>
      </c>
    </row>
    <row r="3331" spans="2:11" x14ac:dyDescent="0.25">
      <c r="B3331">
        <v>3803</v>
      </c>
      <c r="C3331">
        <v>87</v>
      </c>
      <c r="D3331">
        <v>43</v>
      </c>
      <c r="E3331">
        <v>3</v>
      </c>
      <c r="F3331">
        <v>3</v>
      </c>
      <c r="G3331">
        <v>4</v>
      </c>
      <c r="H3331">
        <v>0</v>
      </c>
      <c r="I3331">
        <v>0</v>
      </c>
      <c r="J3331">
        <v>7</v>
      </c>
      <c r="K3331" t="s">
        <v>252</v>
      </c>
    </row>
    <row r="3332" spans="2:11" x14ac:dyDescent="0.25">
      <c r="B3332">
        <v>3805</v>
      </c>
      <c r="C3332">
        <v>87</v>
      </c>
      <c r="D3332">
        <v>43</v>
      </c>
      <c r="E3332">
        <v>4</v>
      </c>
      <c r="F3332">
        <v>81</v>
      </c>
      <c r="G3332">
        <v>9</v>
      </c>
      <c r="H3332">
        <v>87</v>
      </c>
      <c r="I3332">
        <v>0</v>
      </c>
      <c r="J3332">
        <v>177</v>
      </c>
      <c r="K3332" t="s">
        <v>252</v>
      </c>
    </row>
    <row r="3333" spans="2:11" x14ac:dyDescent="0.25">
      <c r="B3333">
        <v>3809</v>
      </c>
      <c r="C3333">
        <v>133</v>
      </c>
      <c r="D3333">
        <v>60</v>
      </c>
      <c r="E3333">
        <v>13</v>
      </c>
      <c r="F3333">
        <v>9</v>
      </c>
      <c r="G3333">
        <v>6</v>
      </c>
      <c r="H3333">
        <v>5</v>
      </c>
      <c r="I3333">
        <v>0</v>
      </c>
      <c r="J3333">
        <v>20</v>
      </c>
      <c r="K3333" t="s">
        <v>251</v>
      </c>
    </row>
    <row r="3334" spans="2:11" x14ac:dyDescent="0.25">
      <c r="B3334">
        <v>3806</v>
      </c>
      <c r="C3334">
        <v>61</v>
      </c>
      <c r="D3334">
        <v>32</v>
      </c>
      <c r="E3334">
        <v>14</v>
      </c>
      <c r="F3334">
        <v>5</v>
      </c>
      <c r="G3334">
        <v>7</v>
      </c>
      <c r="H3334">
        <v>4</v>
      </c>
      <c r="I3334">
        <v>0</v>
      </c>
      <c r="J3334">
        <v>16</v>
      </c>
      <c r="K3334" t="s">
        <v>248</v>
      </c>
    </row>
    <row r="3335" spans="2:11" x14ac:dyDescent="0.25">
      <c r="B3335">
        <v>3810</v>
      </c>
      <c r="C3335">
        <v>24</v>
      </c>
      <c r="D3335">
        <v>12</v>
      </c>
      <c r="E3335">
        <v>13</v>
      </c>
      <c r="F3335">
        <v>12</v>
      </c>
      <c r="G3335">
        <v>8</v>
      </c>
      <c r="H3335">
        <v>0</v>
      </c>
      <c r="I3335">
        <v>0</v>
      </c>
      <c r="J3335">
        <v>20</v>
      </c>
      <c r="K3335" t="s">
        <v>251</v>
      </c>
    </row>
    <row r="3336" spans="2:11" x14ac:dyDescent="0.25">
      <c r="B3336">
        <v>3813</v>
      </c>
      <c r="C3336">
        <v>56</v>
      </c>
      <c r="D3336">
        <v>29</v>
      </c>
      <c r="E3336">
        <v>13</v>
      </c>
      <c r="F3336">
        <v>3</v>
      </c>
      <c r="G3336">
        <v>19</v>
      </c>
      <c r="H3336">
        <v>0</v>
      </c>
      <c r="I3336">
        <v>0</v>
      </c>
      <c r="J3336">
        <v>22</v>
      </c>
      <c r="K3336" t="s">
        <v>251</v>
      </c>
    </row>
    <row r="3337" spans="2:11" x14ac:dyDescent="0.25">
      <c r="B3337">
        <v>3812</v>
      </c>
      <c r="C3337">
        <v>295</v>
      </c>
      <c r="D3337">
        <v>136</v>
      </c>
      <c r="E3337">
        <v>14</v>
      </c>
      <c r="F3337">
        <v>25</v>
      </c>
      <c r="G3337">
        <v>4</v>
      </c>
      <c r="H3337">
        <v>0</v>
      </c>
      <c r="I3337">
        <v>0</v>
      </c>
      <c r="J3337">
        <v>29</v>
      </c>
      <c r="K3337" t="s">
        <v>248</v>
      </c>
    </row>
    <row r="3338" spans="2:11" x14ac:dyDescent="0.25">
      <c r="B3338">
        <v>3814</v>
      </c>
      <c r="C3338">
        <v>133</v>
      </c>
      <c r="D3338">
        <v>60</v>
      </c>
      <c r="E3338">
        <v>14</v>
      </c>
      <c r="F3338">
        <v>8</v>
      </c>
      <c r="G3338">
        <v>8</v>
      </c>
      <c r="H3338">
        <v>4</v>
      </c>
      <c r="I3338">
        <v>0</v>
      </c>
      <c r="J3338">
        <v>20</v>
      </c>
      <c r="K3338" t="s">
        <v>247</v>
      </c>
    </row>
    <row r="3339" spans="2:11" x14ac:dyDescent="0.25">
      <c r="B3339">
        <v>3816</v>
      </c>
      <c r="C3339">
        <v>9</v>
      </c>
      <c r="D3339">
        <v>3</v>
      </c>
      <c r="E3339">
        <v>13</v>
      </c>
      <c r="F3339">
        <v>25</v>
      </c>
      <c r="G3339">
        <v>5</v>
      </c>
      <c r="H3339">
        <v>0</v>
      </c>
      <c r="I3339">
        <v>0</v>
      </c>
      <c r="J3339">
        <v>30</v>
      </c>
      <c r="K3339" t="s">
        <v>251</v>
      </c>
    </row>
    <row r="3340" spans="2:11" x14ac:dyDescent="0.25">
      <c r="B3340">
        <v>3819</v>
      </c>
      <c r="C3340">
        <v>87</v>
      </c>
      <c r="D3340">
        <v>43</v>
      </c>
      <c r="E3340">
        <v>7</v>
      </c>
      <c r="F3340">
        <v>13</v>
      </c>
      <c r="G3340">
        <v>7</v>
      </c>
      <c r="H3340">
        <v>0</v>
      </c>
      <c r="I3340">
        <v>0</v>
      </c>
      <c r="J3340">
        <v>20</v>
      </c>
      <c r="K3340" t="s">
        <v>252</v>
      </c>
    </row>
    <row r="3341" spans="2:11" x14ac:dyDescent="0.25">
      <c r="B3341">
        <v>3817</v>
      </c>
      <c r="C3341">
        <v>300</v>
      </c>
      <c r="D3341">
        <v>138</v>
      </c>
      <c r="E3341">
        <v>14</v>
      </c>
      <c r="F3341">
        <v>6</v>
      </c>
      <c r="G3341">
        <v>4</v>
      </c>
      <c r="H3341">
        <v>0</v>
      </c>
      <c r="I3341">
        <v>0</v>
      </c>
      <c r="J3341">
        <v>10</v>
      </c>
      <c r="K3341" t="s">
        <v>248</v>
      </c>
    </row>
    <row r="3342" spans="2:11" x14ac:dyDescent="0.25">
      <c r="B3342">
        <v>3821</v>
      </c>
      <c r="C3342">
        <v>292</v>
      </c>
      <c r="D3342">
        <v>135</v>
      </c>
      <c r="E3342">
        <v>14</v>
      </c>
      <c r="F3342">
        <v>15</v>
      </c>
      <c r="G3342">
        <v>2</v>
      </c>
      <c r="H3342">
        <v>0</v>
      </c>
      <c r="I3342">
        <v>0</v>
      </c>
      <c r="J3342">
        <v>17</v>
      </c>
      <c r="K3342" t="s">
        <v>247</v>
      </c>
    </row>
    <row r="3343" spans="2:11" x14ac:dyDescent="0.25">
      <c r="B3343">
        <v>3822</v>
      </c>
      <c r="C3343">
        <v>112</v>
      </c>
      <c r="D3343">
        <v>51</v>
      </c>
      <c r="E3343">
        <v>13</v>
      </c>
      <c r="F3343">
        <v>22</v>
      </c>
      <c r="G3343">
        <v>6</v>
      </c>
      <c r="H3343">
        <v>0</v>
      </c>
      <c r="I3343">
        <v>0</v>
      </c>
      <c r="J3343">
        <v>28</v>
      </c>
      <c r="K3343" t="s">
        <v>251</v>
      </c>
    </row>
    <row r="3344" spans="2:11" x14ac:dyDescent="0.25">
      <c r="B3344">
        <v>3824</v>
      </c>
      <c r="C3344">
        <v>322</v>
      </c>
      <c r="D3344">
        <v>149</v>
      </c>
      <c r="E3344">
        <v>14</v>
      </c>
      <c r="F3344">
        <v>6</v>
      </c>
      <c r="G3344">
        <v>2</v>
      </c>
      <c r="H3344">
        <v>0</v>
      </c>
      <c r="I3344">
        <v>0</v>
      </c>
      <c r="J3344">
        <v>8</v>
      </c>
      <c r="K3344" t="s">
        <v>247</v>
      </c>
    </row>
    <row r="3345" spans="2:11" x14ac:dyDescent="0.25">
      <c r="B3345">
        <v>3823</v>
      </c>
      <c r="C3345">
        <v>87</v>
      </c>
      <c r="D3345">
        <v>43</v>
      </c>
      <c r="E3345">
        <v>8</v>
      </c>
      <c r="F3345">
        <v>10</v>
      </c>
      <c r="G3345">
        <v>14</v>
      </c>
      <c r="H3345">
        <v>0</v>
      </c>
      <c r="I3345">
        <v>0</v>
      </c>
      <c r="J3345">
        <v>24</v>
      </c>
      <c r="K3345" t="s">
        <v>252</v>
      </c>
    </row>
    <row r="3346" spans="2:11" x14ac:dyDescent="0.25">
      <c r="B3346">
        <v>3826</v>
      </c>
      <c r="C3346">
        <v>24</v>
      </c>
      <c r="D3346">
        <v>12</v>
      </c>
      <c r="E3346">
        <v>14</v>
      </c>
      <c r="F3346">
        <v>14</v>
      </c>
      <c r="G3346">
        <v>8</v>
      </c>
      <c r="H3346">
        <v>0</v>
      </c>
      <c r="I3346">
        <v>0</v>
      </c>
      <c r="J3346">
        <v>22</v>
      </c>
      <c r="K3346" t="s">
        <v>247</v>
      </c>
    </row>
    <row r="3347" spans="2:11" x14ac:dyDescent="0.25">
      <c r="B3347">
        <v>3820</v>
      </c>
      <c r="C3347">
        <v>302</v>
      </c>
      <c r="D3347">
        <v>140</v>
      </c>
      <c r="E3347">
        <v>14</v>
      </c>
      <c r="F3347">
        <v>10</v>
      </c>
      <c r="G3347">
        <v>17</v>
      </c>
      <c r="H3347">
        <v>0</v>
      </c>
      <c r="I3347">
        <v>0</v>
      </c>
      <c r="J3347">
        <v>27</v>
      </c>
      <c r="K3347" t="s">
        <v>248</v>
      </c>
    </row>
    <row r="3348" spans="2:11" x14ac:dyDescent="0.25">
      <c r="B3348">
        <v>3827</v>
      </c>
      <c r="C3348">
        <v>87</v>
      </c>
      <c r="D3348">
        <v>43</v>
      </c>
      <c r="E3348">
        <v>9</v>
      </c>
      <c r="F3348">
        <v>15</v>
      </c>
      <c r="G3348">
        <v>10</v>
      </c>
      <c r="H3348">
        <v>0</v>
      </c>
      <c r="I3348">
        <v>0</v>
      </c>
      <c r="J3348">
        <v>25</v>
      </c>
      <c r="K3348" t="s">
        <v>252</v>
      </c>
    </row>
    <row r="3349" spans="2:11" x14ac:dyDescent="0.25">
      <c r="B3349">
        <v>3828</v>
      </c>
      <c r="C3349">
        <v>87</v>
      </c>
      <c r="D3349">
        <v>43</v>
      </c>
      <c r="E3349">
        <v>11</v>
      </c>
      <c r="F3349">
        <v>0</v>
      </c>
      <c r="G3349">
        <v>16</v>
      </c>
      <c r="H3349">
        <v>8</v>
      </c>
      <c r="I3349">
        <v>0</v>
      </c>
      <c r="J3349">
        <v>24</v>
      </c>
      <c r="K3349" t="s">
        <v>252</v>
      </c>
    </row>
    <row r="3350" spans="2:11" x14ac:dyDescent="0.25">
      <c r="B3350">
        <v>3829</v>
      </c>
      <c r="C3350">
        <v>87</v>
      </c>
      <c r="D3350">
        <v>43</v>
      </c>
      <c r="E3350">
        <v>12</v>
      </c>
      <c r="F3350">
        <v>10</v>
      </c>
      <c r="G3350">
        <v>18</v>
      </c>
      <c r="H3350">
        <v>2</v>
      </c>
      <c r="I3350">
        <v>0</v>
      </c>
      <c r="J3350">
        <v>30</v>
      </c>
      <c r="K3350" t="s">
        <v>252</v>
      </c>
    </row>
    <row r="3351" spans="2:11" x14ac:dyDescent="0.25">
      <c r="B3351">
        <v>3831</v>
      </c>
      <c r="C3351">
        <v>87</v>
      </c>
      <c r="D3351">
        <v>43</v>
      </c>
      <c r="E3351">
        <v>13</v>
      </c>
      <c r="F3351">
        <v>16</v>
      </c>
      <c r="G3351">
        <v>13</v>
      </c>
      <c r="H3351">
        <v>1</v>
      </c>
      <c r="I3351">
        <v>0</v>
      </c>
      <c r="J3351">
        <v>30</v>
      </c>
      <c r="K3351" t="s">
        <v>252</v>
      </c>
    </row>
    <row r="3352" spans="2:11" x14ac:dyDescent="0.25">
      <c r="B3352">
        <v>3832</v>
      </c>
      <c r="C3352">
        <v>87</v>
      </c>
      <c r="D3352">
        <v>43</v>
      </c>
      <c r="E3352">
        <v>14</v>
      </c>
      <c r="F3352">
        <v>10</v>
      </c>
      <c r="G3352">
        <v>7</v>
      </c>
      <c r="H3352">
        <v>2</v>
      </c>
      <c r="I3352">
        <v>0</v>
      </c>
      <c r="J3352">
        <v>19</v>
      </c>
      <c r="K3352" t="s">
        <v>252</v>
      </c>
    </row>
    <row r="3353" spans="2:11" x14ac:dyDescent="0.25">
      <c r="B3353">
        <v>3833</v>
      </c>
      <c r="C3353">
        <v>340</v>
      </c>
      <c r="D3353">
        <v>152</v>
      </c>
      <c r="E3353">
        <v>15</v>
      </c>
      <c r="F3353">
        <v>0</v>
      </c>
      <c r="G3353">
        <v>18</v>
      </c>
      <c r="H3353">
        <v>1</v>
      </c>
      <c r="I3353">
        <v>0</v>
      </c>
      <c r="J3353">
        <v>19</v>
      </c>
      <c r="K3353" t="s">
        <v>246</v>
      </c>
    </row>
    <row r="3354" spans="2:11" x14ac:dyDescent="0.25">
      <c r="B3354">
        <v>3835</v>
      </c>
      <c r="C3354">
        <v>117</v>
      </c>
      <c r="D3354">
        <v>54</v>
      </c>
      <c r="E3354">
        <v>13</v>
      </c>
      <c r="F3354">
        <v>3</v>
      </c>
      <c r="G3354">
        <v>7</v>
      </c>
      <c r="H3354">
        <v>2</v>
      </c>
      <c r="I3354">
        <v>0</v>
      </c>
      <c r="J3354">
        <v>12</v>
      </c>
      <c r="K3354" t="s">
        <v>250</v>
      </c>
    </row>
    <row r="3355" spans="2:11" x14ac:dyDescent="0.25">
      <c r="B3355">
        <v>3834</v>
      </c>
      <c r="C3355">
        <v>321</v>
      </c>
      <c r="D3355">
        <v>149</v>
      </c>
      <c r="E3355">
        <v>15</v>
      </c>
      <c r="F3355">
        <v>12</v>
      </c>
      <c r="G3355">
        <v>5</v>
      </c>
      <c r="H3355">
        <v>0</v>
      </c>
      <c r="I3355">
        <v>0</v>
      </c>
      <c r="J3355">
        <v>17</v>
      </c>
      <c r="K3355" t="s">
        <v>246</v>
      </c>
    </row>
    <row r="3356" spans="2:11" x14ac:dyDescent="0.25">
      <c r="B3356">
        <v>3837</v>
      </c>
      <c r="C3356">
        <v>168</v>
      </c>
      <c r="D3356">
        <v>72</v>
      </c>
      <c r="E3356">
        <v>13</v>
      </c>
      <c r="F3356">
        <v>3</v>
      </c>
      <c r="G3356">
        <v>9</v>
      </c>
      <c r="H3356">
        <v>0</v>
      </c>
      <c r="I3356">
        <v>0</v>
      </c>
      <c r="J3356">
        <v>12</v>
      </c>
      <c r="K3356" t="s">
        <v>250</v>
      </c>
    </row>
    <row r="3357" spans="2:11" x14ac:dyDescent="0.25">
      <c r="B3357">
        <v>3830</v>
      </c>
      <c r="C3357">
        <v>268</v>
      </c>
      <c r="D3357">
        <v>120</v>
      </c>
      <c r="E3357">
        <v>14</v>
      </c>
      <c r="F3357">
        <v>11</v>
      </c>
      <c r="G3357">
        <v>7</v>
      </c>
      <c r="H3357">
        <v>0</v>
      </c>
      <c r="I3357">
        <v>0</v>
      </c>
      <c r="J3357">
        <v>18</v>
      </c>
      <c r="K3357" t="s">
        <v>241</v>
      </c>
    </row>
    <row r="3358" spans="2:11" x14ac:dyDescent="0.25">
      <c r="B3358">
        <v>3838</v>
      </c>
      <c r="C3358">
        <v>340</v>
      </c>
      <c r="D3358">
        <v>152</v>
      </c>
      <c r="E3358">
        <v>14</v>
      </c>
      <c r="F3358">
        <v>2</v>
      </c>
      <c r="G3358">
        <v>6</v>
      </c>
      <c r="H3358">
        <v>0</v>
      </c>
      <c r="I3358">
        <v>0</v>
      </c>
      <c r="J3358">
        <v>8</v>
      </c>
      <c r="K3358" t="s">
        <v>247</v>
      </c>
    </row>
    <row r="3359" spans="2:11" x14ac:dyDescent="0.25">
      <c r="B3359">
        <v>3839</v>
      </c>
      <c r="C3359">
        <v>57</v>
      </c>
      <c r="D3359">
        <v>29</v>
      </c>
      <c r="E3359">
        <v>13</v>
      </c>
      <c r="F3359">
        <v>10</v>
      </c>
      <c r="G3359">
        <v>12</v>
      </c>
      <c r="H3359">
        <v>0</v>
      </c>
      <c r="I3359">
        <v>0</v>
      </c>
      <c r="J3359">
        <v>22</v>
      </c>
      <c r="K3359" t="s">
        <v>250</v>
      </c>
    </row>
    <row r="3360" spans="2:11" x14ac:dyDescent="0.25">
      <c r="B3360">
        <v>3844</v>
      </c>
      <c r="C3360">
        <v>112</v>
      </c>
      <c r="D3360">
        <v>51</v>
      </c>
      <c r="E3360">
        <v>15</v>
      </c>
      <c r="F3360">
        <v>19</v>
      </c>
      <c r="G3360">
        <v>8</v>
      </c>
      <c r="H3360">
        <v>0</v>
      </c>
      <c r="I3360">
        <v>0</v>
      </c>
      <c r="J3360">
        <v>27</v>
      </c>
      <c r="K3360" t="s">
        <v>246</v>
      </c>
    </row>
    <row r="3361" spans="2:11" x14ac:dyDescent="0.25">
      <c r="B3361">
        <v>3842</v>
      </c>
      <c r="C3361">
        <v>337</v>
      </c>
      <c r="D3361">
        <v>152</v>
      </c>
      <c r="E3361">
        <v>14</v>
      </c>
      <c r="F3361">
        <v>9</v>
      </c>
      <c r="G3361">
        <v>19</v>
      </c>
      <c r="H3361">
        <v>1</v>
      </c>
      <c r="I3361">
        <v>0</v>
      </c>
      <c r="J3361">
        <v>29</v>
      </c>
      <c r="K3361" t="s">
        <v>247</v>
      </c>
    </row>
    <row r="3362" spans="2:11" x14ac:dyDescent="0.25">
      <c r="B3362">
        <v>3849</v>
      </c>
      <c r="C3362">
        <v>307</v>
      </c>
      <c r="D3362">
        <v>142</v>
      </c>
      <c r="E3362">
        <v>14</v>
      </c>
      <c r="F3362">
        <v>21</v>
      </c>
      <c r="G3362">
        <v>9</v>
      </c>
      <c r="H3362">
        <v>0</v>
      </c>
      <c r="I3362">
        <v>0</v>
      </c>
      <c r="J3362">
        <v>30</v>
      </c>
      <c r="K3362" t="s">
        <v>241</v>
      </c>
    </row>
    <row r="3363" spans="2:11" x14ac:dyDescent="0.25">
      <c r="B3363">
        <v>3851</v>
      </c>
      <c r="C3363">
        <v>266</v>
      </c>
      <c r="D3363">
        <v>118</v>
      </c>
      <c r="E3363">
        <v>16</v>
      </c>
      <c r="F3363">
        <v>7</v>
      </c>
      <c r="G3363">
        <v>9</v>
      </c>
      <c r="H3363">
        <v>0</v>
      </c>
      <c r="I3363">
        <v>0</v>
      </c>
      <c r="J3363">
        <v>16</v>
      </c>
      <c r="K3363" t="s">
        <v>252</v>
      </c>
    </row>
    <row r="3364" spans="2:11" x14ac:dyDescent="0.25">
      <c r="B3364">
        <v>3852</v>
      </c>
      <c r="C3364">
        <v>341</v>
      </c>
      <c r="D3364">
        <v>152</v>
      </c>
      <c r="E3364">
        <v>14</v>
      </c>
      <c r="F3364">
        <v>10</v>
      </c>
      <c r="G3364">
        <v>16</v>
      </c>
      <c r="H3364">
        <v>0</v>
      </c>
      <c r="I3364">
        <v>0</v>
      </c>
      <c r="J3364">
        <v>26</v>
      </c>
      <c r="K3364" t="s">
        <v>241</v>
      </c>
    </row>
    <row r="3365" spans="2:11" x14ac:dyDescent="0.25">
      <c r="B3365">
        <v>3854</v>
      </c>
      <c r="C3365">
        <v>322</v>
      </c>
      <c r="D3365">
        <v>149</v>
      </c>
      <c r="E3365">
        <v>15</v>
      </c>
      <c r="F3365">
        <v>8</v>
      </c>
      <c r="G3365">
        <v>9</v>
      </c>
      <c r="H3365">
        <v>0</v>
      </c>
      <c r="I3365">
        <v>0</v>
      </c>
      <c r="J3365">
        <v>17</v>
      </c>
      <c r="K3365" t="s">
        <v>246</v>
      </c>
    </row>
    <row r="3366" spans="2:11" x14ac:dyDescent="0.25">
      <c r="B3366">
        <v>3858</v>
      </c>
      <c r="C3366">
        <v>305</v>
      </c>
      <c r="D3366">
        <v>141</v>
      </c>
      <c r="E3366">
        <v>14</v>
      </c>
      <c r="F3366">
        <v>14</v>
      </c>
      <c r="G3366">
        <v>3</v>
      </c>
      <c r="H3366">
        <v>0</v>
      </c>
      <c r="I3366">
        <v>0</v>
      </c>
      <c r="J3366">
        <v>17</v>
      </c>
      <c r="K3366" t="s">
        <v>241</v>
      </c>
    </row>
    <row r="3367" spans="2:11" x14ac:dyDescent="0.25">
      <c r="B3367">
        <v>3857</v>
      </c>
      <c r="C3367">
        <v>266</v>
      </c>
      <c r="D3367">
        <v>118</v>
      </c>
      <c r="E3367">
        <v>17</v>
      </c>
      <c r="F3367">
        <v>9</v>
      </c>
      <c r="G3367">
        <v>10</v>
      </c>
      <c r="H3367">
        <v>0</v>
      </c>
      <c r="I3367">
        <v>0</v>
      </c>
      <c r="J3367">
        <v>19</v>
      </c>
      <c r="K3367" t="s">
        <v>252</v>
      </c>
    </row>
    <row r="3368" spans="2:11" x14ac:dyDescent="0.25">
      <c r="B3368">
        <v>3859</v>
      </c>
      <c r="C3368">
        <v>326</v>
      </c>
      <c r="D3368">
        <v>151</v>
      </c>
      <c r="E3368">
        <v>15</v>
      </c>
      <c r="F3368">
        <v>10</v>
      </c>
      <c r="G3368">
        <v>3</v>
      </c>
      <c r="H3368">
        <v>0</v>
      </c>
      <c r="I3368">
        <v>0</v>
      </c>
      <c r="J3368">
        <v>13</v>
      </c>
      <c r="K3368" t="s">
        <v>246</v>
      </c>
    </row>
    <row r="3369" spans="2:11" x14ac:dyDescent="0.25">
      <c r="B3369">
        <v>3861</v>
      </c>
      <c r="C3369">
        <v>309</v>
      </c>
      <c r="D3369">
        <v>144</v>
      </c>
      <c r="E3369">
        <v>14</v>
      </c>
      <c r="F3369">
        <v>14</v>
      </c>
      <c r="G3369">
        <v>11</v>
      </c>
      <c r="H3369">
        <v>0</v>
      </c>
      <c r="I3369">
        <v>0</v>
      </c>
      <c r="J3369">
        <v>25</v>
      </c>
      <c r="K3369" t="s">
        <v>247</v>
      </c>
    </row>
    <row r="3370" spans="2:11" x14ac:dyDescent="0.25">
      <c r="B3370">
        <v>4511</v>
      </c>
      <c r="C3370">
        <v>319</v>
      </c>
      <c r="D3370">
        <v>147</v>
      </c>
      <c r="E3370">
        <v>17</v>
      </c>
      <c r="F3370">
        <v>2</v>
      </c>
      <c r="G3370">
        <v>4</v>
      </c>
      <c r="H3370">
        <v>0</v>
      </c>
      <c r="I3370">
        <v>0</v>
      </c>
      <c r="J3370">
        <v>6</v>
      </c>
      <c r="K3370" t="s">
        <v>250</v>
      </c>
    </row>
    <row r="3371" spans="2:11" x14ac:dyDescent="0.25">
      <c r="B3371">
        <v>4512</v>
      </c>
      <c r="C3371">
        <v>91</v>
      </c>
      <c r="D3371">
        <v>45</v>
      </c>
      <c r="E3371">
        <v>16</v>
      </c>
      <c r="F3371">
        <v>23</v>
      </c>
      <c r="G3371">
        <v>7</v>
      </c>
      <c r="H3371">
        <v>0</v>
      </c>
      <c r="I3371">
        <v>0</v>
      </c>
      <c r="J3371">
        <v>30</v>
      </c>
      <c r="K3371" t="s">
        <v>245</v>
      </c>
    </row>
    <row r="3372" spans="2:11" x14ac:dyDescent="0.25">
      <c r="B3372">
        <v>5680</v>
      </c>
      <c r="C3372">
        <v>194</v>
      </c>
      <c r="D3372">
        <v>85</v>
      </c>
      <c r="E3372">
        <v>3</v>
      </c>
      <c r="F3372">
        <v>0</v>
      </c>
      <c r="G3372">
        <v>13</v>
      </c>
      <c r="H3372">
        <v>0</v>
      </c>
      <c r="I3372">
        <v>0</v>
      </c>
      <c r="J3372">
        <v>13</v>
      </c>
      <c r="K3372" t="s">
        <v>241</v>
      </c>
    </row>
    <row r="3373" spans="2:11" x14ac:dyDescent="0.25">
      <c r="B3373">
        <v>5681</v>
      </c>
      <c r="C3373">
        <v>194</v>
      </c>
      <c r="D3373">
        <v>85</v>
      </c>
      <c r="E3373">
        <v>4</v>
      </c>
      <c r="F3373">
        <v>0</v>
      </c>
      <c r="G3373">
        <v>10</v>
      </c>
      <c r="H3373">
        <v>0</v>
      </c>
      <c r="I3373">
        <v>0</v>
      </c>
      <c r="J3373">
        <v>10</v>
      </c>
      <c r="K3373" t="s">
        <v>241</v>
      </c>
    </row>
    <row r="3374" spans="2:11" x14ac:dyDescent="0.25">
      <c r="B3374">
        <v>5682</v>
      </c>
      <c r="C3374">
        <v>194</v>
      </c>
      <c r="D3374">
        <v>85</v>
      </c>
      <c r="E3374">
        <v>5</v>
      </c>
      <c r="F3374">
        <v>1</v>
      </c>
      <c r="G3374">
        <v>4</v>
      </c>
      <c r="H3374">
        <v>0</v>
      </c>
      <c r="I3374">
        <v>0</v>
      </c>
      <c r="J3374">
        <v>5</v>
      </c>
      <c r="K3374" t="s">
        <v>241</v>
      </c>
    </row>
    <row r="3375" spans="2:11" x14ac:dyDescent="0.25">
      <c r="B3375">
        <v>5683</v>
      </c>
      <c r="C3375">
        <v>194</v>
      </c>
      <c r="D3375">
        <v>85</v>
      </c>
      <c r="E3375">
        <v>6</v>
      </c>
      <c r="F3375">
        <v>0</v>
      </c>
      <c r="G3375">
        <v>2</v>
      </c>
      <c r="H3375">
        <v>0</v>
      </c>
      <c r="I3375">
        <v>0</v>
      </c>
      <c r="J3375">
        <v>2</v>
      </c>
      <c r="K3375" t="s">
        <v>241</v>
      </c>
    </row>
    <row r="3376" spans="2:11" x14ac:dyDescent="0.25">
      <c r="B3376">
        <v>5684</v>
      </c>
      <c r="C3376">
        <v>194</v>
      </c>
      <c r="D3376">
        <v>85</v>
      </c>
      <c r="E3376">
        <v>7</v>
      </c>
      <c r="F3376">
        <v>0</v>
      </c>
      <c r="G3376">
        <v>5</v>
      </c>
      <c r="H3376">
        <v>0</v>
      </c>
      <c r="I3376">
        <v>0</v>
      </c>
      <c r="J3376">
        <v>5</v>
      </c>
      <c r="K3376" t="s">
        <v>241</v>
      </c>
    </row>
    <row r="3377" spans="2:11" x14ac:dyDescent="0.25">
      <c r="B3377">
        <v>5685</v>
      </c>
      <c r="C3377">
        <v>194</v>
      </c>
      <c r="D3377">
        <v>85</v>
      </c>
      <c r="E3377">
        <v>8</v>
      </c>
      <c r="F3377">
        <v>0</v>
      </c>
      <c r="G3377">
        <v>7</v>
      </c>
      <c r="H3377">
        <v>0</v>
      </c>
      <c r="I3377">
        <v>0</v>
      </c>
      <c r="J3377">
        <v>7</v>
      </c>
      <c r="K3377" t="s">
        <v>241</v>
      </c>
    </row>
    <row r="3378" spans="2:11" x14ac:dyDescent="0.25">
      <c r="B3378">
        <v>5686</v>
      </c>
      <c r="C3378">
        <v>194</v>
      </c>
      <c r="D3378">
        <v>85</v>
      </c>
      <c r="E3378">
        <v>9</v>
      </c>
      <c r="F3378">
        <v>0</v>
      </c>
      <c r="G3378">
        <v>1</v>
      </c>
      <c r="H3378">
        <v>0</v>
      </c>
      <c r="I3378">
        <v>0</v>
      </c>
      <c r="J3378">
        <v>1</v>
      </c>
      <c r="K3378" t="s">
        <v>241</v>
      </c>
    </row>
    <row r="3379" spans="2:11" x14ac:dyDescent="0.25">
      <c r="B3379">
        <v>5687</v>
      </c>
      <c r="C3379">
        <v>194</v>
      </c>
      <c r="D3379">
        <v>85</v>
      </c>
      <c r="E3379">
        <v>10</v>
      </c>
      <c r="F3379">
        <v>0</v>
      </c>
      <c r="G3379">
        <v>3</v>
      </c>
      <c r="H3379">
        <v>0</v>
      </c>
      <c r="I3379">
        <v>0</v>
      </c>
      <c r="J3379">
        <v>3</v>
      </c>
      <c r="K3379" t="s">
        <v>241</v>
      </c>
    </row>
    <row r="3380" spans="2:11" x14ac:dyDescent="0.25">
      <c r="B3380">
        <v>5688</v>
      </c>
      <c r="C3380">
        <v>194</v>
      </c>
      <c r="D3380">
        <v>85</v>
      </c>
      <c r="E3380">
        <v>11</v>
      </c>
      <c r="F3380">
        <v>0</v>
      </c>
      <c r="G3380">
        <v>5</v>
      </c>
      <c r="H3380">
        <v>0</v>
      </c>
      <c r="I3380">
        <v>0</v>
      </c>
      <c r="J3380">
        <v>5</v>
      </c>
      <c r="K3380" t="s">
        <v>241</v>
      </c>
    </row>
    <row r="3381" spans="2:11" x14ac:dyDescent="0.25">
      <c r="B3381">
        <v>5689</v>
      </c>
      <c r="C3381">
        <v>194</v>
      </c>
      <c r="D3381">
        <v>85</v>
      </c>
      <c r="E3381">
        <v>12</v>
      </c>
      <c r="F3381">
        <v>1</v>
      </c>
      <c r="G3381">
        <v>4</v>
      </c>
      <c r="H3381">
        <v>0</v>
      </c>
      <c r="I3381">
        <v>0</v>
      </c>
      <c r="J3381">
        <v>5</v>
      </c>
      <c r="K3381" t="s">
        <v>241</v>
      </c>
    </row>
    <row r="3382" spans="2:11" x14ac:dyDescent="0.25">
      <c r="B3382">
        <v>5690</v>
      </c>
      <c r="C3382">
        <v>194</v>
      </c>
      <c r="D3382">
        <v>85</v>
      </c>
      <c r="E3382">
        <v>13</v>
      </c>
      <c r="F3382">
        <v>0</v>
      </c>
      <c r="G3382">
        <v>3</v>
      </c>
      <c r="H3382">
        <v>0</v>
      </c>
      <c r="I3382">
        <v>0</v>
      </c>
      <c r="J3382">
        <v>3</v>
      </c>
      <c r="K3382" t="s">
        <v>241</v>
      </c>
    </row>
    <row r="3383" spans="2:11" x14ac:dyDescent="0.25">
      <c r="B3383">
        <v>4842</v>
      </c>
      <c r="C3383">
        <v>139</v>
      </c>
      <c r="D3383">
        <v>61</v>
      </c>
      <c r="E3383">
        <v>18</v>
      </c>
      <c r="F3383">
        <v>10</v>
      </c>
      <c r="G3383">
        <v>12</v>
      </c>
      <c r="H3383">
        <v>3</v>
      </c>
      <c r="I3383">
        <v>0</v>
      </c>
      <c r="J3383">
        <v>25</v>
      </c>
      <c r="K3383" t="s">
        <v>251</v>
      </c>
    </row>
    <row r="3384" spans="2:11" x14ac:dyDescent="0.25">
      <c r="B3384">
        <v>4843</v>
      </c>
      <c r="C3384">
        <v>284</v>
      </c>
      <c r="D3384">
        <v>131</v>
      </c>
      <c r="E3384">
        <v>18</v>
      </c>
      <c r="F3384">
        <v>24</v>
      </c>
      <c r="G3384">
        <v>6</v>
      </c>
      <c r="H3384">
        <v>0</v>
      </c>
      <c r="I3384">
        <v>0</v>
      </c>
      <c r="J3384">
        <v>30</v>
      </c>
      <c r="K3384" t="s">
        <v>246</v>
      </c>
    </row>
    <row r="3385" spans="2:11" x14ac:dyDescent="0.25">
      <c r="B3385">
        <v>4844</v>
      </c>
      <c r="C3385">
        <v>154</v>
      </c>
      <c r="D3385">
        <v>69</v>
      </c>
      <c r="E3385">
        <v>18</v>
      </c>
      <c r="F3385">
        <v>8</v>
      </c>
      <c r="G3385">
        <v>10</v>
      </c>
      <c r="H3385">
        <v>0</v>
      </c>
      <c r="I3385">
        <v>0</v>
      </c>
      <c r="J3385">
        <v>18</v>
      </c>
      <c r="K3385" t="s">
        <v>251</v>
      </c>
    </row>
    <row r="3386" spans="2:11" x14ac:dyDescent="0.25">
      <c r="B3386">
        <v>4847</v>
      </c>
      <c r="C3386">
        <v>53</v>
      </c>
      <c r="D3386">
        <v>27</v>
      </c>
      <c r="E3386">
        <v>18</v>
      </c>
      <c r="F3386">
        <v>5</v>
      </c>
      <c r="G3386">
        <v>10</v>
      </c>
      <c r="H3386">
        <v>0</v>
      </c>
      <c r="I3386">
        <v>0</v>
      </c>
      <c r="J3386">
        <v>15</v>
      </c>
      <c r="K3386" t="s">
        <v>250</v>
      </c>
    </row>
    <row r="3387" spans="2:11" x14ac:dyDescent="0.25">
      <c r="B3387">
        <v>4846</v>
      </c>
      <c r="C3387">
        <v>255</v>
      </c>
      <c r="D3387">
        <v>116</v>
      </c>
      <c r="E3387">
        <v>17</v>
      </c>
      <c r="F3387">
        <v>17</v>
      </c>
      <c r="G3387">
        <v>13</v>
      </c>
      <c r="H3387">
        <v>0</v>
      </c>
      <c r="I3387">
        <v>0</v>
      </c>
      <c r="J3387">
        <v>30</v>
      </c>
      <c r="K3387" t="s">
        <v>241</v>
      </c>
    </row>
    <row r="3388" spans="2:11" x14ac:dyDescent="0.25">
      <c r="B3388">
        <v>4852</v>
      </c>
      <c r="C3388">
        <v>52</v>
      </c>
      <c r="D3388">
        <v>26</v>
      </c>
      <c r="E3388">
        <v>18</v>
      </c>
      <c r="F3388">
        <v>13</v>
      </c>
      <c r="G3388">
        <v>14</v>
      </c>
      <c r="H3388">
        <v>0</v>
      </c>
      <c r="I3388">
        <v>0</v>
      </c>
      <c r="J3388">
        <v>27</v>
      </c>
      <c r="K3388" t="s">
        <v>250</v>
      </c>
    </row>
    <row r="3389" spans="2:11" x14ac:dyDescent="0.25">
      <c r="B3389">
        <v>4848</v>
      </c>
      <c r="C3389">
        <v>114</v>
      </c>
      <c r="D3389">
        <v>52</v>
      </c>
      <c r="E3389">
        <v>17</v>
      </c>
      <c r="F3389">
        <v>5</v>
      </c>
      <c r="G3389">
        <v>17</v>
      </c>
      <c r="H3389">
        <v>8</v>
      </c>
      <c r="I3389">
        <v>0</v>
      </c>
      <c r="J3389">
        <v>30</v>
      </c>
      <c r="K3389" t="s">
        <v>243</v>
      </c>
    </row>
    <row r="3390" spans="2:11" x14ac:dyDescent="0.25">
      <c r="B3390">
        <v>4851</v>
      </c>
      <c r="C3390">
        <v>61</v>
      </c>
      <c r="D3390">
        <v>32</v>
      </c>
      <c r="E3390">
        <v>18</v>
      </c>
      <c r="F3390">
        <v>6</v>
      </c>
      <c r="G3390">
        <v>12</v>
      </c>
      <c r="H3390">
        <v>0</v>
      </c>
      <c r="I3390">
        <v>0</v>
      </c>
      <c r="J3390">
        <v>18</v>
      </c>
      <c r="K3390" t="s">
        <v>248</v>
      </c>
    </row>
    <row r="3391" spans="2:11" x14ac:dyDescent="0.25">
      <c r="B3391">
        <v>4853</v>
      </c>
      <c r="C3391">
        <v>56</v>
      </c>
      <c r="D3391">
        <v>29</v>
      </c>
      <c r="E3391">
        <v>17</v>
      </c>
      <c r="F3391">
        <v>14</v>
      </c>
      <c r="G3391">
        <v>11</v>
      </c>
      <c r="H3391">
        <v>0</v>
      </c>
      <c r="I3391">
        <v>0</v>
      </c>
      <c r="J3391">
        <v>25</v>
      </c>
      <c r="K3391" t="s">
        <v>245</v>
      </c>
    </row>
    <row r="3392" spans="2:11" x14ac:dyDescent="0.25">
      <c r="B3392">
        <v>4849</v>
      </c>
      <c r="C3392">
        <v>316</v>
      </c>
      <c r="D3392">
        <v>146</v>
      </c>
      <c r="E3392">
        <v>18</v>
      </c>
      <c r="F3392">
        <v>1</v>
      </c>
      <c r="G3392">
        <v>2</v>
      </c>
      <c r="H3392">
        <v>1</v>
      </c>
      <c r="I3392">
        <v>0</v>
      </c>
      <c r="J3392">
        <v>4</v>
      </c>
      <c r="K3392" t="s">
        <v>246</v>
      </c>
    </row>
    <row r="3393" spans="2:11" x14ac:dyDescent="0.25">
      <c r="B3393">
        <v>4854</v>
      </c>
      <c r="C3393">
        <v>48</v>
      </c>
      <c r="D3393">
        <v>24</v>
      </c>
      <c r="E3393">
        <v>18</v>
      </c>
      <c r="F3393">
        <v>0</v>
      </c>
      <c r="G3393">
        <v>2</v>
      </c>
      <c r="H3393">
        <v>0</v>
      </c>
      <c r="I3393">
        <v>0</v>
      </c>
      <c r="J3393">
        <v>2</v>
      </c>
      <c r="K3393" t="s">
        <v>250</v>
      </c>
    </row>
    <row r="3394" spans="2:11" x14ac:dyDescent="0.25">
      <c r="B3394">
        <v>4858</v>
      </c>
      <c r="C3394">
        <v>55</v>
      </c>
      <c r="D3394">
        <v>29</v>
      </c>
      <c r="E3394">
        <v>17</v>
      </c>
      <c r="F3394">
        <v>5</v>
      </c>
      <c r="G3394">
        <v>21</v>
      </c>
      <c r="H3394">
        <v>0</v>
      </c>
      <c r="I3394">
        <v>0</v>
      </c>
      <c r="J3394">
        <v>26</v>
      </c>
      <c r="K3394" t="s">
        <v>245</v>
      </c>
    </row>
    <row r="3395" spans="2:11" x14ac:dyDescent="0.25">
      <c r="B3395">
        <v>4859</v>
      </c>
      <c r="C3395">
        <v>47</v>
      </c>
      <c r="D3395">
        <v>23</v>
      </c>
      <c r="E3395">
        <v>18</v>
      </c>
      <c r="F3395">
        <v>7</v>
      </c>
      <c r="G3395">
        <v>4</v>
      </c>
      <c r="H3395">
        <v>2</v>
      </c>
      <c r="I3395">
        <v>0</v>
      </c>
      <c r="J3395">
        <v>13</v>
      </c>
      <c r="K3395" t="s">
        <v>250</v>
      </c>
    </row>
    <row r="3396" spans="2:11" x14ac:dyDescent="0.25">
      <c r="B3396">
        <v>4860</v>
      </c>
      <c r="C3396">
        <v>54</v>
      </c>
      <c r="D3396">
        <v>28</v>
      </c>
      <c r="E3396">
        <v>17</v>
      </c>
      <c r="F3396">
        <v>6</v>
      </c>
      <c r="G3396">
        <v>12</v>
      </c>
      <c r="H3396">
        <v>0</v>
      </c>
      <c r="I3396">
        <v>0</v>
      </c>
      <c r="J3396">
        <v>18</v>
      </c>
      <c r="K3396" t="s">
        <v>245</v>
      </c>
    </row>
    <row r="3397" spans="2:11" x14ac:dyDescent="0.25">
      <c r="B3397">
        <v>4861</v>
      </c>
      <c r="C3397">
        <v>316</v>
      </c>
      <c r="D3397">
        <v>146</v>
      </c>
      <c r="E3397">
        <v>17</v>
      </c>
      <c r="F3397">
        <v>6</v>
      </c>
      <c r="G3397">
        <v>1</v>
      </c>
      <c r="H3397">
        <v>0</v>
      </c>
      <c r="I3397">
        <v>0</v>
      </c>
      <c r="J3397">
        <v>7</v>
      </c>
      <c r="K3397" t="s">
        <v>246</v>
      </c>
    </row>
    <row r="3398" spans="2:11" x14ac:dyDescent="0.25">
      <c r="B3398">
        <v>4850</v>
      </c>
      <c r="C3398">
        <v>77</v>
      </c>
      <c r="D3398">
        <v>39</v>
      </c>
      <c r="E3398">
        <v>18</v>
      </c>
      <c r="F3398">
        <v>5</v>
      </c>
      <c r="G3398">
        <v>4</v>
      </c>
      <c r="H3398">
        <v>0</v>
      </c>
      <c r="I3398">
        <v>0</v>
      </c>
      <c r="J3398">
        <v>9</v>
      </c>
      <c r="K3398" t="s">
        <v>251</v>
      </c>
    </row>
    <row r="3399" spans="2:11" x14ac:dyDescent="0.25">
      <c r="B3399">
        <v>4862</v>
      </c>
      <c r="C3399">
        <v>61</v>
      </c>
      <c r="D3399">
        <v>32</v>
      </c>
      <c r="E3399">
        <v>16</v>
      </c>
      <c r="F3399">
        <v>13</v>
      </c>
      <c r="G3399">
        <v>6</v>
      </c>
      <c r="H3399">
        <v>3</v>
      </c>
      <c r="I3399">
        <v>0</v>
      </c>
      <c r="J3399">
        <v>22</v>
      </c>
      <c r="K3399" t="s">
        <v>248</v>
      </c>
    </row>
    <row r="3400" spans="2:11" x14ac:dyDescent="0.25">
      <c r="B3400">
        <v>4863</v>
      </c>
      <c r="C3400">
        <v>54</v>
      </c>
      <c r="D3400">
        <v>28</v>
      </c>
      <c r="E3400">
        <v>16</v>
      </c>
      <c r="F3400">
        <v>3</v>
      </c>
      <c r="G3400">
        <v>5</v>
      </c>
      <c r="H3400">
        <v>0</v>
      </c>
      <c r="I3400">
        <v>0</v>
      </c>
      <c r="J3400">
        <v>8</v>
      </c>
      <c r="K3400" t="s">
        <v>250</v>
      </c>
    </row>
    <row r="3401" spans="2:11" x14ac:dyDescent="0.25">
      <c r="B3401">
        <v>4865</v>
      </c>
      <c r="C3401">
        <v>327</v>
      </c>
      <c r="D3401">
        <v>152</v>
      </c>
      <c r="E3401">
        <v>18</v>
      </c>
      <c r="F3401">
        <v>20</v>
      </c>
      <c r="G3401">
        <v>10</v>
      </c>
      <c r="H3401">
        <v>0</v>
      </c>
      <c r="I3401">
        <v>0</v>
      </c>
      <c r="J3401">
        <v>30</v>
      </c>
      <c r="K3401" t="s">
        <v>246</v>
      </c>
    </row>
    <row r="3402" spans="2:11" x14ac:dyDescent="0.25">
      <c r="B3402">
        <v>4864</v>
      </c>
      <c r="C3402">
        <v>53</v>
      </c>
      <c r="D3402">
        <v>27</v>
      </c>
      <c r="E3402">
        <v>17</v>
      </c>
      <c r="F3402">
        <v>6</v>
      </c>
      <c r="G3402">
        <v>7</v>
      </c>
      <c r="H3402">
        <v>0</v>
      </c>
      <c r="I3402">
        <v>0</v>
      </c>
      <c r="J3402">
        <v>13</v>
      </c>
      <c r="K3402" t="s">
        <v>243</v>
      </c>
    </row>
    <row r="3403" spans="2:11" x14ac:dyDescent="0.25">
      <c r="B3403">
        <v>4866</v>
      </c>
      <c r="C3403">
        <v>77</v>
      </c>
      <c r="D3403">
        <v>39</v>
      </c>
      <c r="E3403">
        <v>16</v>
      </c>
      <c r="F3403">
        <v>10</v>
      </c>
      <c r="G3403">
        <v>8</v>
      </c>
      <c r="H3403">
        <v>2</v>
      </c>
      <c r="I3403">
        <v>0</v>
      </c>
      <c r="J3403">
        <v>20</v>
      </c>
      <c r="K3403" t="s">
        <v>251</v>
      </c>
    </row>
    <row r="3404" spans="2:11" x14ac:dyDescent="0.25">
      <c r="B3404">
        <v>4857</v>
      </c>
      <c r="C3404">
        <v>255</v>
      </c>
      <c r="D3404">
        <v>116</v>
      </c>
      <c r="E3404">
        <v>18</v>
      </c>
      <c r="F3404">
        <v>10</v>
      </c>
      <c r="G3404">
        <v>18</v>
      </c>
      <c r="H3404">
        <v>2</v>
      </c>
      <c r="I3404">
        <v>0</v>
      </c>
      <c r="J3404">
        <v>30</v>
      </c>
      <c r="K3404" t="s">
        <v>241</v>
      </c>
    </row>
    <row r="3405" spans="2:11" x14ac:dyDescent="0.25">
      <c r="B3405">
        <v>4870</v>
      </c>
      <c r="C3405">
        <v>77</v>
      </c>
      <c r="D3405">
        <v>39</v>
      </c>
      <c r="E3405">
        <v>17</v>
      </c>
      <c r="F3405">
        <v>12</v>
      </c>
      <c r="G3405">
        <v>9</v>
      </c>
      <c r="H3405">
        <v>1</v>
      </c>
      <c r="I3405">
        <v>0</v>
      </c>
      <c r="J3405">
        <v>22</v>
      </c>
      <c r="K3405" t="s">
        <v>251</v>
      </c>
    </row>
    <row r="3406" spans="2:11" x14ac:dyDescent="0.25">
      <c r="B3406">
        <v>4869</v>
      </c>
      <c r="C3406">
        <v>52</v>
      </c>
      <c r="D3406">
        <v>26</v>
      </c>
      <c r="E3406">
        <v>17</v>
      </c>
      <c r="F3406">
        <v>12</v>
      </c>
      <c r="G3406">
        <v>13</v>
      </c>
      <c r="H3406">
        <v>0</v>
      </c>
      <c r="I3406">
        <v>0</v>
      </c>
      <c r="J3406">
        <v>25</v>
      </c>
      <c r="K3406" t="s">
        <v>243</v>
      </c>
    </row>
    <row r="3407" spans="2:11" x14ac:dyDescent="0.25">
      <c r="B3407">
        <v>4871</v>
      </c>
      <c r="C3407">
        <v>287</v>
      </c>
      <c r="D3407">
        <v>133</v>
      </c>
      <c r="E3407">
        <v>18</v>
      </c>
      <c r="F3407">
        <v>10</v>
      </c>
      <c r="G3407">
        <v>2</v>
      </c>
      <c r="H3407">
        <v>0</v>
      </c>
      <c r="I3407">
        <v>0</v>
      </c>
      <c r="J3407">
        <v>12</v>
      </c>
      <c r="K3407" t="s">
        <v>246</v>
      </c>
    </row>
    <row r="3408" spans="2:11" x14ac:dyDescent="0.25">
      <c r="B3408">
        <v>4872</v>
      </c>
      <c r="C3408">
        <v>259</v>
      </c>
      <c r="D3408">
        <v>118</v>
      </c>
      <c r="E3408">
        <v>18</v>
      </c>
      <c r="F3408">
        <v>8</v>
      </c>
      <c r="G3408">
        <v>9</v>
      </c>
      <c r="H3408">
        <v>4</v>
      </c>
      <c r="I3408">
        <v>0</v>
      </c>
      <c r="J3408">
        <v>21</v>
      </c>
      <c r="K3408" t="s">
        <v>251</v>
      </c>
    </row>
    <row r="3409" spans="2:11" x14ac:dyDescent="0.25">
      <c r="B3409">
        <v>4867</v>
      </c>
      <c r="C3409">
        <v>14</v>
      </c>
      <c r="D3409">
        <v>5</v>
      </c>
      <c r="E3409">
        <v>17</v>
      </c>
      <c r="F3409">
        <v>0</v>
      </c>
      <c r="G3409">
        <v>4</v>
      </c>
      <c r="H3409">
        <v>2</v>
      </c>
      <c r="I3409">
        <v>0</v>
      </c>
      <c r="J3409">
        <v>6</v>
      </c>
      <c r="K3409" t="s">
        <v>248</v>
      </c>
    </row>
    <row r="3410" spans="2:11" x14ac:dyDescent="0.25">
      <c r="B3410">
        <v>4877</v>
      </c>
      <c r="C3410">
        <v>259</v>
      </c>
      <c r="D3410">
        <v>118</v>
      </c>
      <c r="E3410">
        <v>17</v>
      </c>
      <c r="F3410">
        <v>12</v>
      </c>
      <c r="G3410">
        <v>6</v>
      </c>
      <c r="H3410">
        <v>2</v>
      </c>
      <c r="I3410">
        <v>0</v>
      </c>
      <c r="J3410">
        <v>20</v>
      </c>
      <c r="K3410" t="s">
        <v>251</v>
      </c>
    </row>
    <row r="3411" spans="2:11" x14ac:dyDescent="0.25">
      <c r="B3411">
        <v>4875</v>
      </c>
      <c r="C3411">
        <v>2</v>
      </c>
      <c r="D3411">
        <v>1</v>
      </c>
      <c r="E3411">
        <v>18</v>
      </c>
      <c r="F3411">
        <v>1</v>
      </c>
      <c r="G3411">
        <v>2</v>
      </c>
      <c r="H3411">
        <v>0</v>
      </c>
      <c r="I3411">
        <v>0</v>
      </c>
      <c r="J3411">
        <v>3</v>
      </c>
      <c r="K3411" t="s">
        <v>250</v>
      </c>
    </row>
    <row r="3412" spans="2:11" x14ac:dyDescent="0.25">
      <c r="B3412">
        <v>4876</v>
      </c>
      <c r="C3412">
        <v>63</v>
      </c>
      <c r="D3412">
        <v>34</v>
      </c>
      <c r="E3412">
        <v>16</v>
      </c>
      <c r="F3412">
        <v>4</v>
      </c>
      <c r="G3412">
        <v>7</v>
      </c>
      <c r="H3412">
        <v>0</v>
      </c>
      <c r="I3412">
        <v>0</v>
      </c>
      <c r="J3412">
        <v>11</v>
      </c>
      <c r="K3412" t="s">
        <v>246</v>
      </c>
    </row>
    <row r="3413" spans="2:11" x14ac:dyDescent="0.25">
      <c r="B3413">
        <v>4868</v>
      </c>
      <c r="C3413">
        <v>2</v>
      </c>
      <c r="D3413">
        <v>1</v>
      </c>
      <c r="E3413">
        <v>17</v>
      </c>
      <c r="F3413">
        <v>1</v>
      </c>
      <c r="G3413">
        <v>2</v>
      </c>
      <c r="H3413">
        <v>0</v>
      </c>
      <c r="I3413">
        <v>0</v>
      </c>
      <c r="J3413">
        <v>3</v>
      </c>
      <c r="K3413" t="s">
        <v>245</v>
      </c>
    </row>
    <row r="3414" spans="2:11" x14ac:dyDescent="0.25">
      <c r="B3414">
        <v>4882</v>
      </c>
      <c r="C3414">
        <v>63</v>
      </c>
      <c r="D3414">
        <v>34</v>
      </c>
      <c r="E3414">
        <v>17</v>
      </c>
      <c r="F3414">
        <v>4</v>
      </c>
      <c r="G3414">
        <v>6</v>
      </c>
      <c r="H3414">
        <v>1</v>
      </c>
      <c r="I3414">
        <v>0</v>
      </c>
      <c r="J3414">
        <v>11</v>
      </c>
      <c r="K3414" t="s">
        <v>246</v>
      </c>
    </row>
    <row r="3415" spans="2:11" x14ac:dyDescent="0.25">
      <c r="B3415">
        <v>4883</v>
      </c>
      <c r="C3415">
        <v>174</v>
      </c>
      <c r="D3415">
        <v>75</v>
      </c>
      <c r="E3415">
        <v>18</v>
      </c>
      <c r="F3415">
        <v>9</v>
      </c>
      <c r="G3415">
        <v>1</v>
      </c>
      <c r="H3415">
        <v>0</v>
      </c>
      <c r="I3415">
        <v>0</v>
      </c>
      <c r="J3415">
        <v>10</v>
      </c>
      <c r="K3415" t="s">
        <v>245</v>
      </c>
    </row>
    <row r="3416" spans="2:11" x14ac:dyDescent="0.25">
      <c r="B3416">
        <v>4880</v>
      </c>
      <c r="C3416">
        <v>47</v>
      </c>
      <c r="D3416">
        <v>23</v>
      </c>
      <c r="E3416">
        <v>17</v>
      </c>
      <c r="F3416">
        <v>16</v>
      </c>
      <c r="G3416">
        <v>4</v>
      </c>
      <c r="H3416">
        <v>3</v>
      </c>
      <c r="I3416">
        <v>0</v>
      </c>
      <c r="J3416">
        <v>23</v>
      </c>
      <c r="K3416" t="s">
        <v>243</v>
      </c>
    </row>
    <row r="3417" spans="2:11" x14ac:dyDescent="0.25">
      <c r="B3417">
        <v>4884</v>
      </c>
      <c r="C3417">
        <v>78</v>
      </c>
      <c r="D3417">
        <v>40</v>
      </c>
      <c r="E3417">
        <v>17</v>
      </c>
      <c r="F3417">
        <v>0</v>
      </c>
      <c r="G3417">
        <v>0</v>
      </c>
      <c r="H3417">
        <v>0</v>
      </c>
      <c r="I3417">
        <v>0</v>
      </c>
      <c r="J3417">
        <v>0</v>
      </c>
      <c r="K3417" t="s">
        <v>250</v>
      </c>
    </row>
    <row r="3418" spans="2:11" x14ac:dyDescent="0.25">
      <c r="B3418">
        <v>4885</v>
      </c>
      <c r="C3418">
        <v>20</v>
      </c>
      <c r="D3418">
        <v>10</v>
      </c>
      <c r="E3418">
        <v>18</v>
      </c>
      <c r="F3418">
        <v>5</v>
      </c>
      <c r="G3418">
        <v>3</v>
      </c>
      <c r="H3418">
        <v>0</v>
      </c>
      <c r="I3418">
        <v>0</v>
      </c>
      <c r="J3418">
        <v>8</v>
      </c>
      <c r="K3418" t="s">
        <v>246</v>
      </c>
    </row>
    <row r="3419" spans="2:11" x14ac:dyDescent="0.25">
      <c r="B3419">
        <v>4879</v>
      </c>
      <c r="C3419">
        <v>250</v>
      </c>
      <c r="D3419">
        <v>112</v>
      </c>
      <c r="E3419">
        <v>17</v>
      </c>
      <c r="F3419">
        <v>14</v>
      </c>
      <c r="G3419">
        <v>3</v>
      </c>
      <c r="H3419">
        <v>3</v>
      </c>
      <c r="I3419">
        <v>0</v>
      </c>
      <c r="J3419">
        <v>20</v>
      </c>
      <c r="K3419" t="s">
        <v>251</v>
      </c>
    </row>
    <row r="3420" spans="2:11" x14ac:dyDescent="0.25">
      <c r="B3420">
        <v>4888</v>
      </c>
      <c r="C3420">
        <v>78</v>
      </c>
      <c r="D3420">
        <v>40</v>
      </c>
      <c r="E3420">
        <v>18</v>
      </c>
      <c r="F3420">
        <v>2</v>
      </c>
      <c r="G3420">
        <v>3</v>
      </c>
      <c r="H3420">
        <v>0</v>
      </c>
      <c r="I3420">
        <v>0</v>
      </c>
      <c r="J3420">
        <v>5</v>
      </c>
      <c r="K3420" t="s">
        <v>250</v>
      </c>
    </row>
    <row r="3421" spans="2:11" x14ac:dyDescent="0.25">
      <c r="B3421">
        <v>4889</v>
      </c>
      <c r="C3421">
        <v>19</v>
      </c>
      <c r="D3421">
        <v>9</v>
      </c>
      <c r="E3421">
        <v>18</v>
      </c>
      <c r="F3421">
        <v>16</v>
      </c>
      <c r="G3421">
        <v>14</v>
      </c>
      <c r="H3421">
        <v>0</v>
      </c>
      <c r="I3421">
        <v>0</v>
      </c>
      <c r="J3421">
        <v>30</v>
      </c>
      <c r="K3421" t="s">
        <v>246</v>
      </c>
    </row>
    <row r="3422" spans="2:11" x14ac:dyDescent="0.25">
      <c r="B3422">
        <v>4891</v>
      </c>
      <c r="C3422">
        <v>107</v>
      </c>
      <c r="D3422">
        <v>51</v>
      </c>
      <c r="E3422">
        <v>17</v>
      </c>
      <c r="F3422">
        <v>8</v>
      </c>
      <c r="G3422">
        <v>14</v>
      </c>
      <c r="H3422">
        <v>2</v>
      </c>
      <c r="I3422">
        <v>0</v>
      </c>
      <c r="J3422">
        <v>24</v>
      </c>
      <c r="K3422" t="s">
        <v>251</v>
      </c>
    </row>
    <row r="3423" spans="2:11" x14ac:dyDescent="0.25">
      <c r="B3423">
        <v>4887</v>
      </c>
      <c r="C3423">
        <v>46</v>
      </c>
      <c r="D3423">
        <v>23</v>
      </c>
      <c r="E3423">
        <v>17</v>
      </c>
      <c r="F3423">
        <v>10</v>
      </c>
      <c r="G3423">
        <v>8</v>
      </c>
      <c r="H3423">
        <v>0</v>
      </c>
      <c r="I3423">
        <v>0</v>
      </c>
      <c r="J3423">
        <v>18</v>
      </c>
      <c r="K3423" t="s">
        <v>243</v>
      </c>
    </row>
    <row r="3424" spans="2:11" x14ac:dyDescent="0.25">
      <c r="B3424">
        <v>4892</v>
      </c>
      <c r="C3424">
        <v>286</v>
      </c>
      <c r="D3424">
        <v>133</v>
      </c>
      <c r="E3424">
        <v>18</v>
      </c>
      <c r="F3424">
        <v>11</v>
      </c>
      <c r="G3424">
        <v>2</v>
      </c>
      <c r="H3424">
        <v>0</v>
      </c>
      <c r="I3424">
        <v>0</v>
      </c>
      <c r="J3424">
        <v>13</v>
      </c>
      <c r="K3424" t="s">
        <v>251</v>
      </c>
    </row>
    <row r="3425" spans="2:11" x14ac:dyDescent="0.25">
      <c r="B3425">
        <v>4893</v>
      </c>
      <c r="C3425">
        <v>318</v>
      </c>
      <c r="D3425">
        <v>147</v>
      </c>
      <c r="E3425">
        <v>18</v>
      </c>
      <c r="F3425">
        <v>0</v>
      </c>
      <c r="G3425">
        <v>1</v>
      </c>
      <c r="H3425">
        <v>0</v>
      </c>
      <c r="I3425">
        <v>0</v>
      </c>
      <c r="J3425">
        <v>1</v>
      </c>
      <c r="K3425" t="s">
        <v>251</v>
      </c>
    </row>
    <row r="3426" spans="2:11" x14ac:dyDescent="0.25">
      <c r="B3426">
        <v>4894</v>
      </c>
      <c r="C3426">
        <v>330</v>
      </c>
      <c r="D3426">
        <v>152</v>
      </c>
      <c r="E3426">
        <v>18</v>
      </c>
      <c r="F3426">
        <v>15</v>
      </c>
      <c r="G3426">
        <v>15</v>
      </c>
      <c r="H3426">
        <v>0</v>
      </c>
      <c r="I3426">
        <v>0</v>
      </c>
      <c r="J3426">
        <v>30</v>
      </c>
      <c r="K3426" t="s">
        <v>251</v>
      </c>
    </row>
    <row r="3427" spans="2:11" x14ac:dyDescent="0.25">
      <c r="B3427">
        <v>4895</v>
      </c>
      <c r="C3427">
        <v>162</v>
      </c>
      <c r="D3427">
        <v>69</v>
      </c>
      <c r="E3427">
        <v>16</v>
      </c>
      <c r="F3427">
        <v>8</v>
      </c>
      <c r="G3427">
        <v>5</v>
      </c>
      <c r="H3427">
        <v>0</v>
      </c>
      <c r="I3427">
        <v>0</v>
      </c>
      <c r="J3427">
        <v>13</v>
      </c>
      <c r="K3427" t="s">
        <v>245</v>
      </c>
    </row>
    <row r="3428" spans="2:11" x14ac:dyDescent="0.25">
      <c r="B3428">
        <v>4878</v>
      </c>
      <c r="C3428">
        <v>236</v>
      </c>
      <c r="D3428">
        <v>103</v>
      </c>
      <c r="E3428">
        <v>16</v>
      </c>
      <c r="F3428">
        <v>9</v>
      </c>
      <c r="G3428">
        <v>6</v>
      </c>
      <c r="H3428">
        <v>1</v>
      </c>
      <c r="I3428">
        <v>0</v>
      </c>
      <c r="J3428">
        <v>16</v>
      </c>
      <c r="K3428" t="s">
        <v>241</v>
      </c>
    </row>
    <row r="3429" spans="2:11" x14ac:dyDescent="0.25">
      <c r="B3429">
        <v>4897</v>
      </c>
      <c r="C3429">
        <v>146</v>
      </c>
      <c r="D3429">
        <v>65</v>
      </c>
      <c r="E3429">
        <v>18</v>
      </c>
      <c r="F3429">
        <v>10</v>
      </c>
      <c r="G3429">
        <v>1</v>
      </c>
      <c r="H3429">
        <v>0</v>
      </c>
      <c r="I3429">
        <v>0</v>
      </c>
      <c r="J3429">
        <v>11</v>
      </c>
      <c r="K3429" t="s">
        <v>245</v>
      </c>
    </row>
    <row r="3430" spans="2:11" x14ac:dyDescent="0.25">
      <c r="B3430">
        <v>4899</v>
      </c>
      <c r="C3430">
        <v>145</v>
      </c>
      <c r="D3430">
        <v>65</v>
      </c>
      <c r="E3430">
        <v>18</v>
      </c>
      <c r="F3430">
        <v>13</v>
      </c>
      <c r="G3430">
        <v>8</v>
      </c>
      <c r="H3430">
        <v>0</v>
      </c>
      <c r="I3430">
        <v>0</v>
      </c>
      <c r="J3430">
        <v>21</v>
      </c>
      <c r="K3430" t="s">
        <v>245</v>
      </c>
    </row>
    <row r="3431" spans="2:11" x14ac:dyDescent="0.25">
      <c r="B3431">
        <v>4900</v>
      </c>
      <c r="C3431">
        <v>142</v>
      </c>
      <c r="D3431">
        <v>62</v>
      </c>
      <c r="E3431">
        <v>18</v>
      </c>
      <c r="F3431">
        <v>9</v>
      </c>
      <c r="G3431">
        <v>2</v>
      </c>
      <c r="H3431">
        <v>3</v>
      </c>
      <c r="I3431">
        <v>0</v>
      </c>
      <c r="J3431">
        <v>14</v>
      </c>
      <c r="K3431" t="s">
        <v>245</v>
      </c>
    </row>
    <row r="3432" spans="2:11" x14ac:dyDescent="0.25">
      <c r="B3432">
        <v>4898</v>
      </c>
      <c r="C3432">
        <v>239</v>
      </c>
      <c r="D3432">
        <v>106</v>
      </c>
      <c r="E3432">
        <v>17</v>
      </c>
      <c r="F3432">
        <v>13</v>
      </c>
      <c r="G3432">
        <v>14</v>
      </c>
      <c r="H3432">
        <v>0</v>
      </c>
      <c r="I3432">
        <v>0</v>
      </c>
      <c r="J3432">
        <v>27</v>
      </c>
      <c r="K3432" t="s">
        <v>243</v>
      </c>
    </row>
    <row r="3433" spans="2:11" x14ac:dyDescent="0.25">
      <c r="B3433">
        <v>4901</v>
      </c>
      <c r="C3433">
        <v>140</v>
      </c>
      <c r="D3433">
        <v>62</v>
      </c>
      <c r="E3433">
        <v>18</v>
      </c>
      <c r="F3433">
        <v>12</v>
      </c>
      <c r="G3433">
        <v>1</v>
      </c>
      <c r="H3433">
        <v>0</v>
      </c>
      <c r="I3433">
        <v>0</v>
      </c>
      <c r="J3433">
        <v>13</v>
      </c>
      <c r="K3433" t="s">
        <v>245</v>
      </c>
    </row>
    <row r="3434" spans="2:11" x14ac:dyDescent="0.25">
      <c r="B3434">
        <v>4902</v>
      </c>
      <c r="C3434">
        <v>167</v>
      </c>
      <c r="D3434">
        <v>72</v>
      </c>
      <c r="E3434">
        <v>18</v>
      </c>
      <c r="F3434">
        <v>4</v>
      </c>
      <c r="G3434">
        <v>8</v>
      </c>
      <c r="H3434">
        <v>0</v>
      </c>
      <c r="I3434">
        <v>0</v>
      </c>
      <c r="J3434">
        <v>12</v>
      </c>
      <c r="K3434" t="s">
        <v>243</v>
      </c>
    </row>
    <row r="3435" spans="2:11" x14ac:dyDescent="0.25">
      <c r="B3435">
        <v>4903</v>
      </c>
      <c r="C3435">
        <v>147</v>
      </c>
      <c r="D3435">
        <v>66</v>
      </c>
      <c r="E3435">
        <v>18</v>
      </c>
      <c r="F3435">
        <v>21</v>
      </c>
      <c r="G3435">
        <v>9</v>
      </c>
      <c r="H3435">
        <v>0</v>
      </c>
      <c r="I3435">
        <v>0</v>
      </c>
      <c r="J3435">
        <v>30</v>
      </c>
      <c r="K3435" t="s">
        <v>245</v>
      </c>
    </row>
    <row r="3436" spans="2:11" x14ac:dyDescent="0.25">
      <c r="B3436">
        <v>4904</v>
      </c>
      <c r="C3436">
        <v>331</v>
      </c>
      <c r="D3436">
        <v>152</v>
      </c>
      <c r="E3436">
        <v>18</v>
      </c>
      <c r="F3436">
        <v>5</v>
      </c>
      <c r="G3436">
        <v>25</v>
      </c>
      <c r="H3436">
        <v>0</v>
      </c>
      <c r="I3436">
        <v>0</v>
      </c>
      <c r="J3436">
        <v>30</v>
      </c>
      <c r="K3436" t="s">
        <v>243</v>
      </c>
    </row>
    <row r="3437" spans="2:11" x14ac:dyDescent="0.25">
      <c r="B3437">
        <v>4906</v>
      </c>
      <c r="C3437">
        <v>239</v>
      </c>
      <c r="D3437">
        <v>106</v>
      </c>
      <c r="E3437">
        <v>18</v>
      </c>
      <c r="F3437">
        <v>13</v>
      </c>
      <c r="G3437">
        <v>12</v>
      </c>
      <c r="H3437">
        <v>0</v>
      </c>
      <c r="I3437">
        <v>0</v>
      </c>
      <c r="J3437">
        <v>25</v>
      </c>
      <c r="K3437" t="s">
        <v>243</v>
      </c>
    </row>
    <row r="3438" spans="2:11" x14ac:dyDescent="0.25">
      <c r="B3438">
        <v>4908</v>
      </c>
      <c r="C3438">
        <v>109</v>
      </c>
      <c r="D3438">
        <v>51</v>
      </c>
      <c r="E3438">
        <v>17</v>
      </c>
      <c r="F3438">
        <v>12</v>
      </c>
      <c r="G3438">
        <v>0</v>
      </c>
      <c r="H3438">
        <v>2</v>
      </c>
      <c r="I3438">
        <v>0</v>
      </c>
      <c r="J3438">
        <v>14</v>
      </c>
      <c r="K3438" t="s">
        <v>250</v>
      </c>
    </row>
    <row r="3439" spans="2:11" x14ac:dyDescent="0.25">
      <c r="B3439">
        <v>4907</v>
      </c>
      <c r="C3439">
        <v>289</v>
      </c>
      <c r="D3439">
        <v>135</v>
      </c>
      <c r="E3439">
        <v>18</v>
      </c>
      <c r="F3439">
        <v>22</v>
      </c>
      <c r="G3439">
        <v>0</v>
      </c>
      <c r="H3439">
        <v>0</v>
      </c>
      <c r="I3439">
        <v>0</v>
      </c>
      <c r="J3439">
        <v>22</v>
      </c>
      <c r="K3439" t="s">
        <v>243</v>
      </c>
    </row>
    <row r="3440" spans="2:11" x14ac:dyDescent="0.25">
      <c r="B3440">
        <v>4909</v>
      </c>
      <c r="C3440">
        <v>132</v>
      </c>
      <c r="D3440">
        <v>59</v>
      </c>
      <c r="E3440">
        <v>17</v>
      </c>
      <c r="F3440">
        <v>16</v>
      </c>
      <c r="G3440">
        <v>3</v>
      </c>
      <c r="H3440">
        <v>0</v>
      </c>
      <c r="I3440">
        <v>0</v>
      </c>
      <c r="J3440">
        <v>19</v>
      </c>
      <c r="K3440" t="s">
        <v>251</v>
      </c>
    </row>
    <row r="3441" spans="2:11" x14ac:dyDescent="0.25">
      <c r="B3441">
        <v>4913</v>
      </c>
      <c r="C3441">
        <v>131</v>
      </c>
      <c r="D3441">
        <v>59</v>
      </c>
      <c r="E3441">
        <v>18</v>
      </c>
      <c r="F3441">
        <v>4</v>
      </c>
      <c r="G3441">
        <v>5</v>
      </c>
      <c r="H3441">
        <v>0</v>
      </c>
      <c r="I3441">
        <v>0</v>
      </c>
      <c r="J3441">
        <v>9</v>
      </c>
      <c r="K3441" t="s">
        <v>241</v>
      </c>
    </row>
    <row r="3442" spans="2:11" x14ac:dyDescent="0.25">
      <c r="B3442">
        <v>4914</v>
      </c>
      <c r="C3442">
        <v>79</v>
      </c>
      <c r="D3442">
        <v>41</v>
      </c>
      <c r="E3442">
        <v>16</v>
      </c>
      <c r="F3442">
        <v>2</v>
      </c>
      <c r="G3442">
        <v>5</v>
      </c>
      <c r="H3442">
        <v>1</v>
      </c>
      <c r="I3442">
        <v>0</v>
      </c>
      <c r="J3442">
        <v>8</v>
      </c>
      <c r="K3442" t="s">
        <v>245</v>
      </c>
    </row>
    <row r="3443" spans="2:11" x14ac:dyDescent="0.25">
      <c r="B3443">
        <v>4910</v>
      </c>
      <c r="C3443">
        <v>21</v>
      </c>
      <c r="D3443">
        <v>10</v>
      </c>
      <c r="E3443">
        <v>18</v>
      </c>
      <c r="F3443">
        <v>6</v>
      </c>
      <c r="G3443">
        <v>4</v>
      </c>
      <c r="H3443">
        <v>0</v>
      </c>
      <c r="I3443">
        <v>0</v>
      </c>
      <c r="J3443">
        <v>10</v>
      </c>
      <c r="K3443" t="s">
        <v>243</v>
      </c>
    </row>
    <row r="3444" spans="2:11" x14ac:dyDescent="0.25">
      <c r="B3444">
        <v>4917</v>
      </c>
      <c r="C3444">
        <v>79</v>
      </c>
      <c r="D3444">
        <v>41</v>
      </c>
      <c r="E3444">
        <v>17</v>
      </c>
      <c r="F3444">
        <v>5</v>
      </c>
      <c r="G3444">
        <v>5</v>
      </c>
      <c r="H3444">
        <v>3</v>
      </c>
      <c r="I3444">
        <v>0</v>
      </c>
      <c r="J3444">
        <v>13</v>
      </c>
      <c r="K3444" t="s">
        <v>245</v>
      </c>
    </row>
    <row r="3445" spans="2:11" x14ac:dyDescent="0.25">
      <c r="B3445">
        <v>4916</v>
      </c>
      <c r="C3445">
        <v>279</v>
      </c>
      <c r="D3445">
        <v>129</v>
      </c>
      <c r="E3445">
        <v>18</v>
      </c>
      <c r="F3445">
        <v>9</v>
      </c>
      <c r="G3445">
        <v>15</v>
      </c>
      <c r="H3445">
        <v>0</v>
      </c>
      <c r="I3445">
        <v>0</v>
      </c>
      <c r="J3445">
        <v>24</v>
      </c>
      <c r="K3445" t="s">
        <v>241</v>
      </c>
    </row>
    <row r="3446" spans="2:11" x14ac:dyDescent="0.25">
      <c r="B3446">
        <v>4915</v>
      </c>
      <c r="C3446">
        <v>290</v>
      </c>
      <c r="D3446">
        <v>135</v>
      </c>
      <c r="E3446">
        <v>18</v>
      </c>
      <c r="F3446">
        <v>13</v>
      </c>
      <c r="G3446">
        <v>14</v>
      </c>
      <c r="H3446">
        <v>0</v>
      </c>
      <c r="I3446">
        <v>0</v>
      </c>
      <c r="J3446">
        <v>27</v>
      </c>
      <c r="K3446" t="s">
        <v>251</v>
      </c>
    </row>
    <row r="3447" spans="2:11" x14ac:dyDescent="0.25">
      <c r="B3447">
        <v>4920</v>
      </c>
      <c r="C3447">
        <v>79</v>
      </c>
      <c r="D3447">
        <v>41</v>
      </c>
      <c r="E3447">
        <v>18</v>
      </c>
      <c r="F3447">
        <v>5</v>
      </c>
      <c r="G3447">
        <v>8</v>
      </c>
      <c r="H3447">
        <v>2</v>
      </c>
      <c r="I3447">
        <v>0</v>
      </c>
      <c r="J3447">
        <v>15</v>
      </c>
      <c r="K3447" t="s">
        <v>245</v>
      </c>
    </row>
    <row r="3448" spans="2:11" x14ac:dyDescent="0.25">
      <c r="B3448">
        <v>4921</v>
      </c>
      <c r="C3448">
        <v>109</v>
      </c>
      <c r="D3448">
        <v>51</v>
      </c>
      <c r="E3448">
        <v>18</v>
      </c>
      <c r="F3448">
        <v>9</v>
      </c>
      <c r="G3448">
        <v>4</v>
      </c>
      <c r="H3448">
        <v>1</v>
      </c>
      <c r="I3448">
        <v>0</v>
      </c>
      <c r="J3448">
        <v>14</v>
      </c>
      <c r="K3448" t="s">
        <v>241</v>
      </c>
    </row>
    <row r="3449" spans="2:11" x14ac:dyDescent="0.25">
      <c r="B3449">
        <v>4923</v>
      </c>
      <c r="C3449">
        <v>63</v>
      </c>
      <c r="D3449">
        <v>34</v>
      </c>
      <c r="E3449">
        <v>18</v>
      </c>
      <c r="F3449">
        <v>8</v>
      </c>
      <c r="G3449">
        <v>5</v>
      </c>
      <c r="H3449">
        <v>1</v>
      </c>
      <c r="I3449">
        <v>0</v>
      </c>
      <c r="J3449">
        <v>14</v>
      </c>
      <c r="K3449" t="s">
        <v>251</v>
      </c>
    </row>
    <row r="3450" spans="2:11" x14ac:dyDescent="0.25">
      <c r="B3450">
        <v>4924</v>
      </c>
      <c r="C3450">
        <v>109</v>
      </c>
      <c r="D3450">
        <v>51</v>
      </c>
      <c r="E3450">
        <v>16</v>
      </c>
      <c r="F3450">
        <v>5</v>
      </c>
      <c r="G3450">
        <v>6</v>
      </c>
      <c r="H3450">
        <v>0</v>
      </c>
      <c r="I3450">
        <v>0</v>
      </c>
      <c r="J3450">
        <v>11</v>
      </c>
      <c r="K3450" t="s">
        <v>241</v>
      </c>
    </row>
    <row r="3451" spans="2:11" x14ac:dyDescent="0.25">
      <c r="B3451">
        <v>4927</v>
      </c>
      <c r="C3451">
        <v>322</v>
      </c>
      <c r="D3451">
        <v>149</v>
      </c>
      <c r="E3451">
        <v>17</v>
      </c>
      <c r="F3451">
        <v>14</v>
      </c>
      <c r="G3451">
        <v>12</v>
      </c>
      <c r="H3451">
        <v>0</v>
      </c>
      <c r="I3451">
        <v>0</v>
      </c>
      <c r="J3451">
        <v>26</v>
      </c>
      <c r="K3451" t="s">
        <v>241</v>
      </c>
    </row>
    <row r="3452" spans="2:11" x14ac:dyDescent="0.25">
      <c r="B3452">
        <v>4925</v>
      </c>
      <c r="C3452">
        <v>100</v>
      </c>
      <c r="D3452">
        <v>50</v>
      </c>
      <c r="E3452">
        <v>18</v>
      </c>
      <c r="F3452">
        <v>8</v>
      </c>
      <c r="G3452">
        <v>5</v>
      </c>
      <c r="H3452">
        <v>0</v>
      </c>
      <c r="I3452">
        <v>0</v>
      </c>
      <c r="J3452">
        <v>13</v>
      </c>
      <c r="K3452" t="s">
        <v>248</v>
      </c>
    </row>
    <row r="3453" spans="2:11" x14ac:dyDescent="0.25">
      <c r="B3453">
        <v>4926</v>
      </c>
      <c r="C3453">
        <v>22</v>
      </c>
      <c r="D3453">
        <v>10</v>
      </c>
      <c r="E3453">
        <v>18</v>
      </c>
      <c r="F3453">
        <v>5</v>
      </c>
      <c r="G3453">
        <v>3</v>
      </c>
      <c r="H3453">
        <v>0</v>
      </c>
      <c r="I3453">
        <v>0</v>
      </c>
      <c r="J3453">
        <v>8</v>
      </c>
      <c r="K3453" t="s">
        <v>243</v>
      </c>
    </row>
    <row r="3454" spans="2:11" x14ac:dyDescent="0.25">
      <c r="B3454">
        <v>3067</v>
      </c>
      <c r="C3454">
        <v>274</v>
      </c>
      <c r="D3454">
        <v>125</v>
      </c>
      <c r="E3454">
        <v>13</v>
      </c>
      <c r="F3454">
        <v>10</v>
      </c>
      <c r="G3454">
        <v>9</v>
      </c>
      <c r="H3454">
        <v>0</v>
      </c>
      <c r="I3454">
        <v>0</v>
      </c>
      <c r="J3454">
        <v>19</v>
      </c>
      <c r="K3454" t="s">
        <v>246</v>
      </c>
    </row>
    <row r="3455" spans="2:11" x14ac:dyDescent="0.25">
      <c r="B3455">
        <v>3103</v>
      </c>
      <c r="C3455">
        <v>93</v>
      </c>
      <c r="D3455">
        <v>46</v>
      </c>
      <c r="E3455">
        <v>12</v>
      </c>
      <c r="F3455">
        <v>15</v>
      </c>
      <c r="G3455">
        <v>10</v>
      </c>
      <c r="H3455">
        <v>0</v>
      </c>
      <c r="I3455">
        <v>0</v>
      </c>
      <c r="J3455">
        <v>25</v>
      </c>
      <c r="K3455" t="s">
        <v>251</v>
      </c>
    </row>
    <row r="3456" spans="2:11" x14ac:dyDescent="0.25">
      <c r="B3456">
        <v>3119</v>
      </c>
      <c r="C3456">
        <v>278</v>
      </c>
      <c r="D3456">
        <v>129</v>
      </c>
      <c r="E3456">
        <v>13</v>
      </c>
      <c r="F3456">
        <v>8</v>
      </c>
      <c r="G3456">
        <v>21</v>
      </c>
      <c r="H3456">
        <v>1</v>
      </c>
      <c r="I3456">
        <v>0</v>
      </c>
      <c r="J3456">
        <v>30</v>
      </c>
      <c r="K3456" t="s">
        <v>252</v>
      </c>
    </row>
    <row r="3457" spans="2:11" x14ac:dyDescent="0.25">
      <c r="B3457">
        <v>3127</v>
      </c>
      <c r="C3457">
        <v>326</v>
      </c>
      <c r="D3457">
        <v>151</v>
      </c>
      <c r="E3457">
        <v>12</v>
      </c>
      <c r="F3457">
        <v>9</v>
      </c>
      <c r="G3457">
        <v>4</v>
      </c>
      <c r="H3457">
        <v>0</v>
      </c>
      <c r="I3457">
        <v>0</v>
      </c>
      <c r="J3457">
        <v>13</v>
      </c>
      <c r="K3457" t="s">
        <v>251</v>
      </c>
    </row>
    <row r="3458" spans="2:11" x14ac:dyDescent="0.25">
      <c r="B3458">
        <v>3135</v>
      </c>
      <c r="C3458">
        <v>156</v>
      </c>
      <c r="D3458">
        <v>69</v>
      </c>
      <c r="E3458">
        <v>12</v>
      </c>
      <c r="F3458">
        <v>11</v>
      </c>
      <c r="G3458">
        <v>13</v>
      </c>
      <c r="H3458">
        <v>0</v>
      </c>
      <c r="I3458">
        <v>0</v>
      </c>
      <c r="J3458">
        <v>24</v>
      </c>
      <c r="K3458" t="s">
        <v>251</v>
      </c>
    </row>
    <row r="3459" spans="2:11" x14ac:dyDescent="0.25">
      <c r="B3459">
        <v>3137</v>
      </c>
      <c r="C3459">
        <v>254</v>
      </c>
      <c r="D3459">
        <v>116</v>
      </c>
      <c r="E3459">
        <v>13</v>
      </c>
      <c r="F3459">
        <v>14</v>
      </c>
      <c r="G3459">
        <v>10</v>
      </c>
      <c r="H3459">
        <v>0</v>
      </c>
      <c r="I3459">
        <v>0</v>
      </c>
      <c r="J3459">
        <v>24</v>
      </c>
      <c r="K3459" t="s">
        <v>241</v>
      </c>
    </row>
    <row r="3460" spans="2:11" x14ac:dyDescent="0.25">
      <c r="B3460">
        <v>3139</v>
      </c>
      <c r="C3460">
        <v>278</v>
      </c>
      <c r="D3460">
        <v>129</v>
      </c>
      <c r="E3460">
        <v>12</v>
      </c>
      <c r="F3460">
        <v>0</v>
      </c>
      <c r="G3460">
        <v>7</v>
      </c>
      <c r="H3460">
        <v>12</v>
      </c>
      <c r="I3460">
        <v>0</v>
      </c>
      <c r="J3460">
        <v>19</v>
      </c>
      <c r="K3460" t="s">
        <v>252</v>
      </c>
    </row>
    <row r="3461" spans="2:11" x14ac:dyDescent="0.25">
      <c r="B3461">
        <v>3206</v>
      </c>
      <c r="C3461">
        <v>236</v>
      </c>
      <c r="D3461">
        <v>103</v>
      </c>
      <c r="E3461">
        <v>11</v>
      </c>
      <c r="F3461">
        <v>8</v>
      </c>
      <c r="G3461">
        <v>7</v>
      </c>
      <c r="H3461">
        <v>0</v>
      </c>
      <c r="I3461">
        <v>0</v>
      </c>
      <c r="J3461">
        <v>15</v>
      </c>
      <c r="K3461" t="s">
        <v>246</v>
      </c>
    </row>
    <row r="3462" spans="2:11" x14ac:dyDescent="0.25">
      <c r="B3462">
        <v>3214</v>
      </c>
      <c r="C3462">
        <v>60</v>
      </c>
      <c r="D3462">
        <v>31</v>
      </c>
      <c r="E3462">
        <v>13</v>
      </c>
      <c r="F3462">
        <v>10</v>
      </c>
      <c r="G3462">
        <v>18</v>
      </c>
      <c r="H3462">
        <v>0</v>
      </c>
      <c r="I3462">
        <v>0</v>
      </c>
      <c r="J3462">
        <v>28</v>
      </c>
      <c r="K3462" t="s">
        <v>241</v>
      </c>
    </row>
    <row r="3463" spans="2:11" x14ac:dyDescent="0.25">
      <c r="B3463">
        <v>3215</v>
      </c>
      <c r="C3463">
        <v>60</v>
      </c>
      <c r="D3463">
        <v>31</v>
      </c>
      <c r="E3463">
        <v>7</v>
      </c>
      <c r="F3463">
        <v>10</v>
      </c>
      <c r="G3463">
        <v>5</v>
      </c>
      <c r="H3463">
        <v>0</v>
      </c>
      <c r="I3463">
        <v>0</v>
      </c>
      <c r="J3463">
        <v>15</v>
      </c>
      <c r="K3463" t="s">
        <v>252</v>
      </c>
    </row>
    <row r="3464" spans="2:11" x14ac:dyDescent="0.25">
      <c r="B3464">
        <v>3224</v>
      </c>
      <c r="C3464">
        <v>320</v>
      </c>
      <c r="D3464">
        <v>148</v>
      </c>
      <c r="E3464">
        <v>12</v>
      </c>
      <c r="F3464">
        <v>16</v>
      </c>
      <c r="G3464">
        <v>11</v>
      </c>
      <c r="H3464">
        <v>0</v>
      </c>
      <c r="I3464">
        <v>0</v>
      </c>
      <c r="J3464">
        <v>27</v>
      </c>
      <c r="K3464" t="s">
        <v>251</v>
      </c>
    </row>
    <row r="3465" spans="2:11" x14ac:dyDescent="0.25">
      <c r="B3465">
        <v>3232</v>
      </c>
      <c r="C3465">
        <v>22</v>
      </c>
      <c r="D3465">
        <v>10</v>
      </c>
      <c r="E3465">
        <v>13</v>
      </c>
      <c r="F3465">
        <v>3</v>
      </c>
      <c r="G3465">
        <v>8</v>
      </c>
      <c r="H3465">
        <v>0</v>
      </c>
      <c r="I3465">
        <v>0</v>
      </c>
      <c r="J3465">
        <v>11</v>
      </c>
      <c r="K3465" t="s">
        <v>241</v>
      </c>
    </row>
    <row r="3466" spans="2:11" x14ac:dyDescent="0.25">
      <c r="B3466">
        <v>3238</v>
      </c>
      <c r="C3466">
        <v>262</v>
      </c>
      <c r="D3466">
        <v>118</v>
      </c>
      <c r="E3466">
        <v>14</v>
      </c>
      <c r="F3466">
        <v>10</v>
      </c>
      <c r="G3466">
        <v>6</v>
      </c>
      <c r="H3466">
        <v>3</v>
      </c>
      <c r="I3466">
        <v>0</v>
      </c>
      <c r="J3466">
        <v>19</v>
      </c>
      <c r="K3466" t="s">
        <v>249</v>
      </c>
    </row>
    <row r="3467" spans="2:11" x14ac:dyDescent="0.25">
      <c r="B3467">
        <v>3334</v>
      </c>
      <c r="C3467">
        <v>294</v>
      </c>
      <c r="D3467">
        <v>136</v>
      </c>
      <c r="E3467">
        <v>12</v>
      </c>
      <c r="F3467">
        <v>16</v>
      </c>
      <c r="G3467">
        <v>4</v>
      </c>
      <c r="H3467">
        <v>0</v>
      </c>
      <c r="I3467">
        <v>0</v>
      </c>
      <c r="J3467">
        <v>20</v>
      </c>
      <c r="K3467" t="s">
        <v>246</v>
      </c>
    </row>
    <row r="3468" spans="2:11" x14ac:dyDescent="0.25">
      <c r="B3468">
        <v>3353</v>
      </c>
      <c r="C3468">
        <v>155</v>
      </c>
      <c r="D3468">
        <v>69</v>
      </c>
      <c r="E3468">
        <v>1</v>
      </c>
      <c r="F3468">
        <v>6</v>
      </c>
      <c r="G3468">
        <v>4</v>
      </c>
      <c r="H3468">
        <v>1</v>
      </c>
      <c r="I3468">
        <v>0</v>
      </c>
      <c r="J3468">
        <v>11</v>
      </c>
      <c r="K3468" t="s">
        <v>251</v>
      </c>
    </row>
    <row r="3469" spans="2:11" x14ac:dyDescent="0.25">
      <c r="B3469">
        <v>3354</v>
      </c>
      <c r="C3469">
        <v>120</v>
      </c>
      <c r="D3469">
        <v>55</v>
      </c>
      <c r="E3469">
        <v>12</v>
      </c>
      <c r="F3469">
        <v>14</v>
      </c>
      <c r="G3469">
        <v>3</v>
      </c>
      <c r="H3469">
        <v>0</v>
      </c>
      <c r="I3469">
        <v>0</v>
      </c>
      <c r="J3469">
        <v>17</v>
      </c>
      <c r="K3469" t="s">
        <v>246</v>
      </c>
    </row>
    <row r="3470" spans="2:11" x14ac:dyDescent="0.25">
      <c r="B3470">
        <v>3360</v>
      </c>
      <c r="C3470">
        <v>140</v>
      </c>
      <c r="D3470">
        <v>62</v>
      </c>
      <c r="E3470">
        <v>13</v>
      </c>
      <c r="F3470">
        <v>15</v>
      </c>
      <c r="G3470">
        <v>2</v>
      </c>
      <c r="H3470">
        <v>0</v>
      </c>
      <c r="I3470">
        <v>0</v>
      </c>
      <c r="J3470">
        <v>17</v>
      </c>
      <c r="K3470" t="s">
        <v>247</v>
      </c>
    </row>
    <row r="3471" spans="2:11" x14ac:dyDescent="0.25">
      <c r="B3471">
        <v>3367</v>
      </c>
      <c r="C3471">
        <v>308</v>
      </c>
      <c r="D3471">
        <v>143</v>
      </c>
      <c r="E3471">
        <v>13</v>
      </c>
      <c r="F3471">
        <v>16</v>
      </c>
      <c r="G3471">
        <v>9</v>
      </c>
      <c r="H3471">
        <v>0</v>
      </c>
      <c r="I3471">
        <v>0</v>
      </c>
      <c r="J3471">
        <v>25</v>
      </c>
      <c r="K3471" t="s">
        <v>246</v>
      </c>
    </row>
    <row r="3472" spans="2:11" x14ac:dyDescent="0.25">
      <c r="B3472">
        <v>3366</v>
      </c>
      <c r="C3472">
        <v>48</v>
      </c>
      <c r="D3472">
        <v>24</v>
      </c>
      <c r="E3472">
        <v>12</v>
      </c>
      <c r="F3472">
        <v>8</v>
      </c>
      <c r="G3472">
        <v>3</v>
      </c>
      <c r="H3472">
        <v>0</v>
      </c>
      <c r="I3472">
        <v>0</v>
      </c>
      <c r="J3472">
        <v>11</v>
      </c>
      <c r="K3472" t="s">
        <v>241</v>
      </c>
    </row>
    <row r="3473" spans="2:11" x14ac:dyDescent="0.25">
      <c r="B3473">
        <v>3376</v>
      </c>
      <c r="C3473">
        <v>81</v>
      </c>
      <c r="D3473">
        <v>38</v>
      </c>
      <c r="E3473">
        <v>11</v>
      </c>
      <c r="F3473">
        <v>1</v>
      </c>
      <c r="G3473">
        <v>14</v>
      </c>
      <c r="H3473">
        <v>0</v>
      </c>
      <c r="I3473">
        <v>0</v>
      </c>
      <c r="J3473">
        <v>15</v>
      </c>
      <c r="K3473" t="s">
        <v>252</v>
      </c>
    </row>
    <row r="3474" spans="2:11" x14ac:dyDescent="0.25">
      <c r="B3474">
        <v>3394</v>
      </c>
      <c r="C3474">
        <v>124</v>
      </c>
      <c r="D3474">
        <v>56</v>
      </c>
      <c r="E3474">
        <v>14</v>
      </c>
      <c r="F3474">
        <v>1</v>
      </c>
      <c r="G3474">
        <v>11</v>
      </c>
      <c r="H3474">
        <v>0</v>
      </c>
      <c r="I3474">
        <v>0</v>
      </c>
      <c r="J3474">
        <v>12</v>
      </c>
      <c r="K3474" t="s">
        <v>247</v>
      </c>
    </row>
    <row r="3475" spans="2:11" x14ac:dyDescent="0.25">
      <c r="B3475">
        <v>3400</v>
      </c>
      <c r="C3475">
        <v>68</v>
      </c>
      <c r="D3475">
        <v>35</v>
      </c>
      <c r="E3475">
        <v>13</v>
      </c>
      <c r="F3475">
        <v>8</v>
      </c>
      <c r="G3475">
        <v>10</v>
      </c>
      <c r="H3475">
        <v>12</v>
      </c>
      <c r="I3475">
        <v>0</v>
      </c>
      <c r="J3475">
        <v>30</v>
      </c>
      <c r="K3475" t="s">
        <v>241</v>
      </c>
    </row>
    <row r="3476" spans="2:11" x14ac:dyDescent="0.25">
      <c r="B3476">
        <v>3402</v>
      </c>
      <c r="C3476">
        <v>45</v>
      </c>
      <c r="D3476">
        <v>23</v>
      </c>
      <c r="E3476">
        <v>12</v>
      </c>
      <c r="F3476">
        <v>20</v>
      </c>
      <c r="G3476">
        <v>6</v>
      </c>
      <c r="H3476">
        <v>0</v>
      </c>
      <c r="I3476">
        <v>0</v>
      </c>
      <c r="J3476">
        <v>26</v>
      </c>
      <c r="K3476" t="s">
        <v>251</v>
      </c>
    </row>
    <row r="3477" spans="2:11" x14ac:dyDescent="0.25">
      <c r="B3477">
        <v>3412</v>
      </c>
      <c r="C3477">
        <v>153</v>
      </c>
      <c r="D3477">
        <v>69</v>
      </c>
      <c r="E3477">
        <v>12</v>
      </c>
      <c r="F3477">
        <v>0</v>
      </c>
      <c r="G3477">
        <v>4</v>
      </c>
      <c r="H3477">
        <v>0</v>
      </c>
      <c r="I3477">
        <v>0</v>
      </c>
      <c r="J3477">
        <v>4</v>
      </c>
      <c r="K3477" t="s">
        <v>250</v>
      </c>
    </row>
    <row r="3478" spans="2:11" x14ac:dyDescent="0.25">
      <c r="B3478">
        <v>3416</v>
      </c>
      <c r="C3478">
        <v>68</v>
      </c>
      <c r="D3478">
        <v>35</v>
      </c>
      <c r="E3478">
        <v>12</v>
      </c>
      <c r="F3478">
        <v>7</v>
      </c>
      <c r="G3478">
        <v>12</v>
      </c>
      <c r="H3478">
        <v>10</v>
      </c>
      <c r="I3478">
        <v>0</v>
      </c>
      <c r="J3478">
        <v>29</v>
      </c>
      <c r="K3478" t="s">
        <v>241</v>
      </c>
    </row>
    <row r="3479" spans="2:11" x14ac:dyDescent="0.25">
      <c r="B3479">
        <v>3421</v>
      </c>
      <c r="C3479">
        <v>281</v>
      </c>
      <c r="D3479">
        <v>129</v>
      </c>
      <c r="E3479">
        <v>12</v>
      </c>
      <c r="F3479">
        <v>10</v>
      </c>
      <c r="G3479">
        <v>15</v>
      </c>
      <c r="H3479">
        <v>1</v>
      </c>
      <c r="I3479">
        <v>0</v>
      </c>
      <c r="J3479">
        <v>26</v>
      </c>
      <c r="K3479" t="s">
        <v>241</v>
      </c>
    </row>
    <row r="3480" spans="2:11" x14ac:dyDescent="0.25">
      <c r="B3480">
        <v>3425</v>
      </c>
      <c r="C3480">
        <v>157</v>
      </c>
      <c r="D3480">
        <v>69</v>
      </c>
      <c r="E3480">
        <v>14</v>
      </c>
      <c r="F3480">
        <v>6</v>
      </c>
      <c r="G3480">
        <v>10</v>
      </c>
      <c r="H3480">
        <v>0</v>
      </c>
      <c r="I3480">
        <v>0</v>
      </c>
      <c r="J3480">
        <v>16</v>
      </c>
      <c r="K3480" t="s">
        <v>241</v>
      </c>
    </row>
    <row r="3481" spans="2:11" x14ac:dyDescent="0.25">
      <c r="B3481">
        <v>3428</v>
      </c>
      <c r="C3481">
        <v>297</v>
      </c>
      <c r="D3481">
        <v>136</v>
      </c>
      <c r="E3481">
        <v>12</v>
      </c>
      <c r="F3481">
        <v>11</v>
      </c>
      <c r="G3481">
        <v>7</v>
      </c>
      <c r="H3481">
        <v>0</v>
      </c>
      <c r="I3481">
        <v>0</v>
      </c>
      <c r="J3481">
        <v>18</v>
      </c>
      <c r="K3481" t="s">
        <v>247</v>
      </c>
    </row>
    <row r="3482" spans="2:11" x14ac:dyDescent="0.25">
      <c r="B3482">
        <v>3432</v>
      </c>
      <c r="C3482">
        <v>43</v>
      </c>
      <c r="D3482">
        <v>22</v>
      </c>
      <c r="E3482">
        <v>4</v>
      </c>
      <c r="F3482">
        <v>11</v>
      </c>
      <c r="G3482">
        <v>19</v>
      </c>
      <c r="H3482">
        <v>0</v>
      </c>
      <c r="I3482">
        <v>0</v>
      </c>
      <c r="J3482">
        <v>30</v>
      </c>
      <c r="K3482" t="s">
        <v>246</v>
      </c>
    </row>
    <row r="3483" spans="2:11" x14ac:dyDescent="0.25">
      <c r="B3483">
        <v>3435</v>
      </c>
      <c r="C3483">
        <v>43</v>
      </c>
      <c r="D3483">
        <v>22</v>
      </c>
      <c r="E3483">
        <v>5</v>
      </c>
      <c r="F3483">
        <v>10</v>
      </c>
      <c r="G3483">
        <v>20</v>
      </c>
      <c r="H3483">
        <v>0</v>
      </c>
      <c r="I3483">
        <v>0</v>
      </c>
      <c r="J3483">
        <v>30</v>
      </c>
      <c r="K3483" t="s">
        <v>246</v>
      </c>
    </row>
    <row r="3484" spans="2:11" x14ac:dyDescent="0.25">
      <c r="B3484">
        <v>3436</v>
      </c>
      <c r="C3484">
        <v>18</v>
      </c>
      <c r="D3484">
        <v>9</v>
      </c>
      <c r="E3484">
        <v>14</v>
      </c>
      <c r="F3484">
        <v>13</v>
      </c>
      <c r="G3484">
        <v>3</v>
      </c>
      <c r="H3484">
        <v>1</v>
      </c>
      <c r="I3484">
        <v>0</v>
      </c>
      <c r="J3484">
        <v>17</v>
      </c>
      <c r="K3484" t="s">
        <v>241</v>
      </c>
    </row>
    <row r="3485" spans="2:11" x14ac:dyDescent="0.25">
      <c r="B3485">
        <v>3439</v>
      </c>
      <c r="C3485">
        <v>43</v>
      </c>
      <c r="D3485">
        <v>22</v>
      </c>
      <c r="E3485">
        <v>6</v>
      </c>
      <c r="F3485">
        <v>18</v>
      </c>
      <c r="G3485">
        <v>12</v>
      </c>
      <c r="H3485">
        <v>0</v>
      </c>
      <c r="I3485">
        <v>0</v>
      </c>
      <c r="J3485">
        <v>30</v>
      </c>
      <c r="K3485" t="s">
        <v>246</v>
      </c>
    </row>
    <row r="3486" spans="2:11" x14ac:dyDescent="0.25">
      <c r="B3486">
        <v>3437</v>
      </c>
      <c r="C3486">
        <v>280</v>
      </c>
      <c r="D3486">
        <v>129</v>
      </c>
      <c r="E3486">
        <v>12</v>
      </c>
      <c r="F3486">
        <v>12</v>
      </c>
      <c r="G3486">
        <v>11</v>
      </c>
      <c r="H3486">
        <v>0</v>
      </c>
      <c r="I3486">
        <v>0</v>
      </c>
      <c r="J3486">
        <v>23</v>
      </c>
      <c r="K3486" t="s">
        <v>250</v>
      </c>
    </row>
    <row r="3487" spans="2:11" x14ac:dyDescent="0.25">
      <c r="B3487">
        <v>3440</v>
      </c>
      <c r="C3487">
        <v>343</v>
      </c>
      <c r="D3487">
        <v>154</v>
      </c>
      <c r="E3487">
        <v>13</v>
      </c>
      <c r="F3487">
        <v>12</v>
      </c>
      <c r="G3487">
        <v>16</v>
      </c>
      <c r="H3487">
        <v>0</v>
      </c>
      <c r="I3487">
        <v>0</v>
      </c>
      <c r="J3487">
        <v>28</v>
      </c>
      <c r="K3487" t="s">
        <v>247</v>
      </c>
    </row>
    <row r="3488" spans="2:11" x14ac:dyDescent="0.25">
      <c r="B3488">
        <v>3443</v>
      </c>
      <c r="C3488">
        <v>19</v>
      </c>
      <c r="D3488">
        <v>9</v>
      </c>
      <c r="E3488">
        <v>13</v>
      </c>
      <c r="F3488">
        <v>19</v>
      </c>
      <c r="G3488">
        <v>11</v>
      </c>
      <c r="H3488">
        <v>0</v>
      </c>
      <c r="I3488">
        <v>0</v>
      </c>
      <c r="J3488">
        <v>30</v>
      </c>
      <c r="K3488" t="s">
        <v>247</v>
      </c>
    </row>
    <row r="3489" spans="2:11" x14ac:dyDescent="0.25">
      <c r="B3489">
        <v>3438</v>
      </c>
      <c r="C3489">
        <v>256</v>
      </c>
      <c r="D3489">
        <v>117</v>
      </c>
      <c r="E3489">
        <v>14</v>
      </c>
      <c r="F3489">
        <v>12</v>
      </c>
      <c r="G3489">
        <v>1</v>
      </c>
      <c r="H3489">
        <v>3</v>
      </c>
      <c r="I3489">
        <v>0</v>
      </c>
      <c r="J3489">
        <v>16</v>
      </c>
      <c r="K3489" t="s">
        <v>241</v>
      </c>
    </row>
    <row r="3490" spans="2:11" x14ac:dyDescent="0.25">
      <c r="B3490">
        <v>3445</v>
      </c>
      <c r="C3490">
        <v>341</v>
      </c>
      <c r="D3490">
        <v>152</v>
      </c>
      <c r="E3490">
        <v>13</v>
      </c>
      <c r="F3490">
        <v>9</v>
      </c>
      <c r="G3490">
        <v>10</v>
      </c>
      <c r="H3490">
        <v>0</v>
      </c>
      <c r="I3490">
        <v>0</v>
      </c>
      <c r="J3490">
        <v>19</v>
      </c>
      <c r="K3490" t="s">
        <v>247</v>
      </c>
    </row>
    <row r="3491" spans="2:11" x14ac:dyDescent="0.25">
      <c r="B3491">
        <v>3446</v>
      </c>
      <c r="C3491">
        <v>138</v>
      </c>
      <c r="D3491">
        <v>61</v>
      </c>
      <c r="E3491">
        <v>12</v>
      </c>
      <c r="F3491">
        <v>13</v>
      </c>
      <c r="G3491">
        <v>17</v>
      </c>
      <c r="H3491">
        <v>0</v>
      </c>
      <c r="I3491">
        <v>0</v>
      </c>
      <c r="J3491">
        <v>30</v>
      </c>
      <c r="K3491" t="s">
        <v>251</v>
      </c>
    </row>
    <row r="3492" spans="2:11" x14ac:dyDescent="0.25">
      <c r="B3492">
        <v>3448</v>
      </c>
      <c r="C3492">
        <v>24</v>
      </c>
      <c r="D3492">
        <v>12</v>
      </c>
      <c r="E3492">
        <v>12</v>
      </c>
      <c r="F3492">
        <v>8</v>
      </c>
      <c r="G3492">
        <v>2</v>
      </c>
      <c r="H3492">
        <v>0</v>
      </c>
      <c r="I3492">
        <v>0</v>
      </c>
      <c r="J3492">
        <v>10</v>
      </c>
      <c r="K3492" t="s">
        <v>250</v>
      </c>
    </row>
    <row r="3493" spans="2:11" x14ac:dyDescent="0.25">
      <c r="B3493">
        <v>3451</v>
      </c>
      <c r="C3493">
        <v>139</v>
      </c>
      <c r="D3493">
        <v>61</v>
      </c>
      <c r="E3493">
        <v>12</v>
      </c>
      <c r="F3493">
        <v>5</v>
      </c>
      <c r="G3493">
        <v>7</v>
      </c>
      <c r="H3493">
        <v>4</v>
      </c>
      <c r="I3493">
        <v>0</v>
      </c>
      <c r="J3493">
        <v>16</v>
      </c>
      <c r="K3493" t="s">
        <v>251</v>
      </c>
    </row>
    <row r="3494" spans="2:11" x14ac:dyDescent="0.25">
      <c r="B3494">
        <v>3452</v>
      </c>
      <c r="C3494">
        <v>107</v>
      </c>
      <c r="D3494">
        <v>51</v>
      </c>
      <c r="E3494">
        <v>13</v>
      </c>
      <c r="F3494">
        <v>21</v>
      </c>
      <c r="G3494">
        <v>9</v>
      </c>
      <c r="H3494">
        <v>0</v>
      </c>
      <c r="I3494">
        <v>0</v>
      </c>
      <c r="J3494">
        <v>30</v>
      </c>
      <c r="K3494" t="s">
        <v>247</v>
      </c>
    </row>
    <row r="3495" spans="2:11" x14ac:dyDescent="0.25">
      <c r="B3495">
        <v>3454</v>
      </c>
      <c r="C3495">
        <v>140</v>
      </c>
      <c r="D3495">
        <v>62</v>
      </c>
      <c r="E3495">
        <v>12</v>
      </c>
      <c r="F3495">
        <v>13</v>
      </c>
      <c r="G3495">
        <v>3</v>
      </c>
      <c r="H3495">
        <v>1</v>
      </c>
      <c r="I3495">
        <v>0</v>
      </c>
      <c r="J3495">
        <v>17</v>
      </c>
      <c r="K3495" t="s">
        <v>251</v>
      </c>
    </row>
    <row r="3496" spans="2:11" x14ac:dyDescent="0.25">
      <c r="B3496">
        <v>3453</v>
      </c>
      <c r="C3496">
        <v>250</v>
      </c>
      <c r="D3496">
        <v>112</v>
      </c>
      <c r="E3496">
        <v>2</v>
      </c>
      <c r="F3496">
        <v>5</v>
      </c>
      <c r="G3496">
        <v>0</v>
      </c>
      <c r="H3496">
        <v>1</v>
      </c>
      <c r="I3496">
        <v>0</v>
      </c>
      <c r="J3496">
        <v>6</v>
      </c>
      <c r="K3496" t="s">
        <v>252</v>
      </c>
    </row>
    <row r="3497" spans="2:11" x14ac:dyDescent="0.25">
      <c r="B3497">
        <v>3455</v>
      </c>
      <c r="C3497">
        <v>146</v>
      </c>
      <c r="D3497">
        <v>65</v>
      </c>
      <c r="E3497">
        <v>12</v>
      </c>
      <c r="F3497">
        <v>12</v>
      </c>
      <c r="G3497">
        <v>2</v>
      </c>
      <c r="H3497">
        <v>1</v>
      </c>
      <c r="I3497">
        <v>0</v>
      </c>
      <c r="J3497">
        <v>15</v>
      </c>
      <c r="K3497" t="s">
        <v>250</v>
      </c>
    </row>
    <row r="3498" spans="2:11" x14ac:dyDescent="0.25">
      <c r="B3498">
        <v>3457</v>
      </c>
      <c r="C3498">
        <v>340</v>
      </c>
      <c r="D3498">
        <v>152</v>
      </c>
      <c r="E3498">
        <v>12</v>
      </c>
      <c r="F3498">
        <v>14</v>
      </c>
      <c r="G3498">
        <v>15</v>
      </c>
      <c r="H3498">
        <v>0</v>
      </c>
      <c r="I3498">
        <v>0</v>
      </c>
      <c r="J3498">
        <v>29</v>
      </c>
      <c r="K3498" t="s">
        <v>252</v>
      </c>
    </row>
    <row r="3499" spans="2:11" x14ac:dyDescent="0.25">
      <c r="B3499">
        <v>3460</v>
      </c>
      <c r="C3499">
        <v>147</v>
      </c>
      <c r="D3499">
        <v>66</v>
      </c>
      <c r="E3499">
        <v>12</v>
      </c>
      <c r="F3499">
        <v>16</v>
      </c>
      <c r="G3499">
        <v>4</v>
      </c>
      <c r="H3499">
        <v>0</v>
      </c>
      <c r="I3499">
        <v>0</v>
      </c>
      <c r="J3499">
        <v>20</v>
      </c>
      <c r="K3499" t="s">
        <v>250</v>
      </c>
    </row>
    <row r="3500" spans="2:11" x14ac:dyDescent="0.25">
      <c r="B3500">
        <v>3463</v>
      </c>
      <c r="C3500">
        <v>83</v>
      </c>
      <c r="D3500">
        <v>40</v>
      </c>
      <c r="E3500">
        <v>13</v>
      </c>
      <c r="F3500">
        <v>22</v>
      </c>
      <c r="G3500">
        <v>3</v>
      </c>
      <c r="H3500">
        <v>0</v>
      </c>
      <c r="I3500">
        <v>0</v>
      </c>
      <c r="J3500">
        <v>25</v>
      </c>
      <c r="K3500" t="s">
        <v>246</v>
      </c>
    </row>
    <row r="3501" spans="2:11" x14ac:dyDescent="0.25">
      <c r="B3501">
        <v>3466</v>
      </c>
      <c r="C3501">
        <v>69</v>
      </c>
      <c r="D3501">
        <v>35</v>
      </c>
      <c r="E3501">
        <v>13</v>
      </c>
      <c r="F3501">
        <v>7</v>
      </c>
      <c r="G3501">
        <v>10</v>
      </c>
      <c r="H3501">
        <v>3</v>
      </c>
      <c r="I3501">
        <v>0</v>
      </c>
      <c r="J3501">
        <v>20</v>
      </c>
      <c r="K3501" t="s">
        <v>247</v>
      </c>
    </row>
    <row r="3502" spans="2:11" x14ac:dyDescent="0.25">
      <c r="B3502">
        <v>3464</v>
      </c>
      <c r="C3502">
        <v>69</v>
      </c>
      <c r="D3502">
        <v>35</v>
      </c>
      <c r="E3502">
        <v>12</v>
      </c>
      <c r="F3502">
        <v>9</v>
      </c>
      <c r="G3502">
        <v>13</v>
      </c>
      <c r="H3502">
        <v>2</v>
      </c>
      <c r="I3502">
        <v>0</v>
      </c>
      <c r="J3502">
        <v>24</v>
      </c>
      <c r="K3502" t="s">
        <v>252</v>
      </c>
    </row>
    <row r="3503" spans="2:11" x14ac:dyDescent="0.25">
      <c r="B3503">
        <v>3468</v>
      </c>
      <c r="C3503">
        <v>282</v>
      </c>
      <c r="D3503">
        <v>130</v>
      </c>
      <c r="E3503">
        <v>13</v>
      </c>
      <c r="F3503">
        <v>14</v>
      </c>
      <c r="G3503">
        <v>8</v>
      </c>
      <c r="H3503">
        <v>0</v>
      </c>
      <c r="I3503">
        <v>0</v>
      </c>
      <c r="J3503">
        <v>22</v>
      </c>
      <c r="K3503" t="s">
        <v>246</v>
      </c>
    </row>
    <row r="3504" spans="2:11" x14ac:dyDescent="0.25">
      <c r="B3504">
        <v>3469</v>
      </c>
      <c r="C3504">
        <v>334</v>
      </c>
      <c r="D3504">
        <v>152</v>
      </c>
      <c r="E3504">
        <v>13</v>
      </c>
      <c r="F3504">
        <v>17</v>
      </c>
      <c r="G3504">
        <v>10</v>
      </c>
      <c r="H3504">
        <v>0</v>
      </c>
      <c r="I3504">
        <v>0</v>
      </c>
      <c r="J3504">
        <v>27</v>
      </c>
      <c r="K3504" t="s">
        <v>246</v>
      </c>
    </row>
    <row r="3505" spans="2:11" x14ac:dyDescent="0.25">
      <c r="B3505">
        <v>3470</v>
      </c>
      <c r="C3505">
        <v>282</v>
      </c>
      <c r="D3505">
        <v>130</v>
      </c>
      <c r="E3505">
        <v>14</v>
      </c>
      <c r="F3505">
        <v>5</v>
      </c>
      <c r="G3505">
        <v>8</v>
      </c>
      <c r="H3505">
        <v>0</v>
      </c>
      <c r="I3505">
        <v>0</v>
      </c>
      <c r="J3505">
        <v>13</v>
      </c>
      <c r="K3505" t="s">
        <v>246</v>
      </c>
    </row>
    <row r="3506" spans="2:11" x14ac:dyDescent="0.25">
      <c r="B3506">
        <v>3472</v>
      </c>
      <c r="C3506">
        <v>83</v>
      </c>
      <c r="D3506">
        <v>40</v>
      </c>
      <c r="E3506">
        <v>12</v>
      </c>
      <c r="F3506">
        <v>24</v>
      </c>
      <c r="G3506">
        <v>5</v>
      </c>
      <c r="H3506">
        <v>0</v>
      </c>
      <c r="I3506">
        <v>0</v>
      </c>
      <c r="J3506">
        <v>29</v>
      </c>
      <c r="K3506" t="s">
        <v>246</v>
      </c>
    </row>
    <row r="3507" spans="2:11" x14ac:dyDescent="0.25">
      <c r="B3507">
        <v>3471</v>
      </c>
      <c r="C3507">
        <v>315</v>
      </c>
      <c r="D3507">
        <v>145</v>
      </c>
      <c r="E3507">
        <v>12</v>
      </c>
      <c r="F3507">
        <v>8</v>
      </c>
      <c r="G3507">
        <v>21</v>
      </c>
      <c r="H3507">
        <v>0</v>
      </c>
      <c r="I3507">
        <v>0</v>
      </c>
      <c r="J3507">
        <v>29</v>
      </c>
      <c r="K3507" t="s">
        <v>250</v>
      </c>
    </row>
    <row r="3508" spans="2:11" x14ac:dyDescent="0.25">
      <c r="B3508">
        <v>3473</v>
      </c>
      <c r="C3508">
        <v>305</v>
      </c>
      <c r="D3508">
        <v>141</v>
      </c>
      <c r="E3508">
        <v>12</v>
      </c>
      <c r="F3508">
        <v>5</v>
      </c>
      <c r="G3508">
        <v>4</v>
      </c>
      <c r="H3508">
        <v>0</v>
      </c>
      <c r="I3508">
        <v>0</v>
      </c>
      <c r="J3508">
        <v>9</v>
      </c>
      <c r="K3508" t="s">
        <v>251</v>
      </c>
    </row>
    <row r="3509" spans="2:11" x14ac:dyDescent="0.25">
      <c r="B3509">
        <v>3474</v>
      </c>
      <c r="C3509">
        <v>43</v>
      </c>
      <c r="D3509">
        <v>22</v>
      </c>
      <c r="E3509">
        <v>12</v>
      </c>
      <c r="F3509">
        <v>18</v>
      </c>
      <c r="G3509">
        <v>12</v>
      </c>
      <c r="H3509">
        <v>0</v>
      </c>
      <c r="I3509">
        <v>0</v>
      </c>
      <c r="J3509">
        <v>30</v>
      </c>
      <c r="K3509" t="s">
        <v>246</v>
      </c>
    </row>
    <row r="3510" spans="2:11" x14ac:dyDescent="0.25">
      <c r="B3510">
        <v>3478</v>
      </c>
      <c r="C3510">
        <v>43</v>
      </c>
      <c r="D3510">
        <v>22</v>
      </c>
      <c r="E3510">
        <v>11</v>
      </c>
      <c r="F3510">
        <v>11</v>
      </c>
      <c r="G3510">
        <v>18</v>
      </c>
      <c r="H3510">
        <v>1</v>
      </c>
      <c r="I3510">
        <v>0</v>
      </c>
      <c r="J3510">
        <v>30</v>
      </c>
      <c r="K3510" t="s">
        <v>246</v>
      </c>
    </row>
    <row r="3511" spans="2:11" x14ac:dyDescent="0.25">
      <c r="B3511">
        <v>3479</v>
      </c>
      <c r="C3511">
        <v>43</v>
      </c>
      <c r="D3511">
        <v>22</v>
      </c>
      <c r="E3511">
        <v>9</v>
      </c>
      <c r="F3511">
        <v>22</v>
      </c>
      <c r="G3511">
        <v>8</v>
      </c>
      <c r="H3511">
        <v>0</v>
      </c>
      <c r="I3511">
        <v>0</v>
      </c>
      <c r="J3511">
        <v>30</v>
      </c>
      <c r="K3511" t="s">
        <v>250</v>
      </c>
    </row>
    <row r="3512" spans="2:11" x14ac:dyDescent="0.25">
      <c r="B3512">
        <v>3483</v>
      </c>
      <c r="C3512">
        <v>101</v>
      </c>
      <c r="D3512">
        <v>51</v>
      </c>
      <c r="E3512">
        <v>6</v>
      </c>
      <c r="F3512">
        <v>20</v>
      </c>
      <c r="G3512">
        <v>7</v>
      </c>
      <c r="H3512">
        <v>5</v>
      </c>
      <c r="I3512">
        <v>0</v>
      </c>
      <c r="J3512">
        <v>32</v>
      </c>
      <c r="K3512" t="s">
        <v>252</v>
      </c>
    </row>
    <row r="3513" spans="2:11" x14ac:dyDescent="0.25">
      <c r="B3513">
        <v>3482</v>
      </c>
      <c r="C3513">
        <v>4</v>
      </c>
      <c r="D3513">
        <v>1</v>
      </c>
      <c r="E3513">
        <v>11</v>
      </c>
      <c r="F3513">
        <v>1</v>
      </c>
      <c r="G3513">
        <v>2</v>
      </c>
      <c r="H3513">
        <v>0</v>
      </c>
      <c r="I3513">
        <v>0</v>
      </c>
      <c r="J3513">
        <v>3</v>
      </c>
      <c r="K3513" t="s">
        <v>246</v>
      </c>
    </row>
    <row r="3514" spans="2:11" x14ac:dyDescent="0.25">
      <c r="B3514">
        <v>3486</v>
      </c>
      <c r="C3514">
        <v>303</v>
      </c>
      <c r="D3514">
        <v>140</v>
      </c>
      <c r="E3514">
        <v>12</v>
      </c>
      <c r="F3514">
        <v>5</v>
      </c>
      <c r="G3514">
        <v>0</v>
      </c>
      <c r="H3514">
        <v>0</v>
      </c>
      <c r="I3514">
        <v>0</v>
      </c>
      <c r="J3514">
        <v>5</v>
      </c>
      <c r="K3514" t="s">
        <v>251</v>
      </c>
    </row>
    <row r="3515" spans="2:11" x14ac:dyDescent="0.25">
      <c r="B3515">
        <v>5691</v>
      </c>
      <c r="C3515">
        <v>195</v>
      </c>
      <c r="D3515">
        <v>86</v>
      </c>
      <c r="E3515">
        <v>1</v>
      </c>
      <c r="F3515">
        <v>10</v>
      </c>
      <c r="G3515">
        <v>5</v>
      </c>
      <c r="H3515">
        <v>0</v>
      </c>
      <c r="I3515">
        <v>0</v>
      </c>
      <c r="J3515">
        <v>15</v>
      </c>
      <c r="K3515" t="s">
        <v>241</v>
      </c>
    </row>
    <row r="3516" spans="2:11" x14ac:dyDescent="0.25">
      <c r="B3516">
        <v>5692</v>
      </c>
      <c r="C3516">
        <v>195</v>
      </c>
      <c r="D3516">
        <v>86</v>
      </c>
      <c r="E3516">
        <v>3</v>
      </c>
      <c r="F3516">
        <v>10</v>
      </c>
      <c r="G3516">
        <v>19</v>
      </c>
      <c r="H3516">
        <v>0</v>
      </c>
      <c r="I3516">
        <v>0</v>
      </c>
      <c r="J3516">
        <v>29</v>
      </c>
      <c r="K3516" t="s">
        <v>241</v>
      </c>
    </row>
    <row r="3517" spans="2:11" x14ac:dyDescent="0.25">
      <c r="B3517">
        <v>5693</v>
      </c>
      <c r="C3517">
        <v>195</v>
      </c>
      <c r="D3517">
        <v>86</v>
      </c>
      <c r="E3517">
        <v>4</v>
      </c>
      <c r="F3517">
        <v>10</v>
      </c>
      <c r="G3517">
        <v>7</v>
      </c>
      <c r="H3517">
        <v>0</v>
      </c>
      <c r="I3517">
        <v>0</v>
      </c>
      <c r="J3517">
        <v>17</v>
      </c>
      <c r="K3517" t="s">
        <v>241</v>
      </c>
    </row>
    <row r="3518" spans="2:11" x14ac:dyDescent="0.25">
      <c r="B3518">
        <v>5694</v>
      </c>
      <c r="C3518">
        <v>195</v>
      </c>
      <c r="D3518">
        <v>86</v>
      </c>
      <c r="E3518">
        <v>5</v>
      </c>
      <c r="F3518">
        <v>11</v>
      </c>
      <c r="G3518">
        <v>9</v>
      </c>
      <c r="H3518">
        <v>0</v>
      </c>
      <c r="I3518">
        <v>0</v>
      </c>
      <c r="J3518">
        <v>20</v>
      </c>
      <c r="K3518" t="s">
        <v>241</v>
      </c>
    </row>
    <row r="3519" spans="2:11" x14ac:dyDescent="0.25">
      <c r="B3519">
        <v>5695</v>
      </c>
      <c r="C3519">
        <v>195</v>
      </c>
      <c r="D3519">
        <v>86</v>
      </c>
      <c r="E3519">
        <v>6</v>
      </c>
      <c r="F3519">
        <v>6</v>
      </c>
      <c r="G3519">
        <v>5</v>
      </c>
      <c r="H3519">
        <v>1</v>
      </c>
      <c r="I3519">
        <v>0</v>
      </c>
      <c r="J3519">
        <v>12</v>
      </c>
      <c r="K3519" t="s">
        <v>241</v>
      </c>
    </row>
    <row r="3520" spans="2:11" x14ac:dyDescent="0.25">
      <c r="B3520">
        <v>5696</v>
      </c>
      <c r="C3520">
        <v>195</v>
      </c>
      <c r="D3520">
        <v>86</v>
      </c>
      <c r="E3520">
        <v>7</v>
      </c>
      <c r="F3520">
        <v>5</v>
      </c>
      <c r="G3520">
        <v>8</v>
      </c>
      <c r="H3520">
        <v>2</v>
      </c>
      <c r="I3520">
        <v>0</v>
      </c>
      <c r="J3520">
        <v>15</v>
      </c>
      <c r="K3520" t="s">
        <v>241</v>
      </c>
    </row>
    <row r="3521" spans="2:11" x14ac:dyDescent="0.25">
      <c r="B3521">
        <v>5697</v>
      </c>
      <c r="C3521">
        <v>195</v>
      </c>
      <c r="D3521">
        <v>86</v>
      </c>
      <c r="E3521">
        <v>8</v>
      </c>
      <c r="F3521">
        <v>7</v>
      </c>
      <c r="G3521">
        <v>2</v>
      </c>
      <c r="H3521">
        <v>0</v>
      </c>
      <c r="I3521">
        <v>0</v>
      </c>
      <c r="J3521">
        <v>9</v>
      </c>
      <c r="K3521" t="s">
        <v>241</v>
      </c>
    </row>
    <row r="3522" spans="2:11" x14ac:dyDescent="0.25">
      <c r="B3522">
        <v>5698</v>
      </c>
      <c r="C3522">
        <v>195</v>
      </c>
      <c r="D3522">
        <v>86</v>
      </c>
      <c r="E3522">
        <v>9</v>
      </c>
      <c r="F3522">
        <v>2</v>
      </c>
      <c r="G3522">
        <v>3</v>
      </c>
      <c r="H3522">
        <v>1</v>
      </c>
      <c r="I3522">
        <v>0</v>
      </c>
      <c r="J3522">
        <v>6</v>
      </c>
      <c r="K3522" t="s">
        <v>241</v>
      </c>
    </row>
    <row r="3523" spans="2:11" x14ac:dyDescent="0.25">
      <c r="B3523">
        <v>5699</v>
      </c>
      <c r="C3523">
        <v>195</v>
      </c>
      <c r="D3523">
        <v>86</v>
      </c>
      <c r="E3523">
        <v>10</v>
      </c>
      <c r="F3523">
        <v>4</v>
      </c>
      <c r="G3523">
        <v>8</v>
      </c>
      <c r="H3523">
        <v>0</v>
      </c>
      <c r="I3523">
        <v>0</v>
      </c>
      <c r="J3523">
        <v>12</v>
      </c>
      <c r="K3523" t="s">
        <v>241</v>
      </c>
    </row>
    <row r="3524" spans="2:11" x14ac:dyDescent="0.25">
      <c r="B3524">
        <v>5701</v>
      </c>
      <c r="C3524">
        <v>195</v>
      </c>
      <c r="D3524">
        <v>86</v>
      </c>
      <c r="E3524">
        <v>11</v>
      </c>
      <c r="F3524">
        <v>4</v>
      </c>
      <c r="G3524">
        <v>12</v>
      </c>
      <c r="H3524">
        <v>0</v>
      </c>
      <c r="I3524">
        <v>0</v>
      </c>
      <c r="J3524">
        <v>16</v>
      </c>
      <c r="K3524" t="s">
        <v>241</v>
      </c>
    </row>
    <row r="3525" spans="2:11" x14ac:dyDescent="0.25">
      <c r="B3525">
        <v>3718</v>
      </c>
      <c r="C3525">
        <v>165</v>
      </c>
      <c r="D3525">
        <v>71</v>
      </c>
      <c r="E3525">
        <v>11</v>
      </c>
      <c r="F3525">
        <v>11</v>
      </c>
      <c r="G3525">
        <v>4</v>
      </c>
      <c r="H3525">
        <v>0</v>
      </c>
      <c r="I3525">
        <v>0</v>
      </c>
      <c r="J3525">
        <v>15</v>
      </c>
      <c r="K3525" t="s">
        <v>246</v>
      </c>
    </row>
    <row r="3526" spans="2:11" x14ac:dyDescent="0.25">
      <c r="B3526">
        <v>3722</v>
      </c>
      <c r="C3526">
        <v>50</v>
      </c>
      <c r="D3526">
        <v>25</v>
      </c>
      <c r="E3526">
        <v>12</v>
      </c>
      <c r="F3526">
        <v>1</v>
      </c>
      <c r="G3526">
        <v>3</v>
      </c>
      <c r="H3526">
        <v>0</v>
      </c>
      <c r="I3526">
        <v>0</v>
      </c>
      <c r="J3526">
        <v>4</v>
      </c>
      <c r="K3526" t="s">
        <v>246</v>
      </c>
    </row>
    <row r="3527" spans="2:11" x14ac:dyDescent="0.25">
      <c r="B3527">
        <v>3721</v>
      </c>
      <c r="C3527">
        <v>247</v>
      </c>
      <c r="D3527">
        <v>110</v>
      </c>
      <c r="E3527">
        <v>11</v>
      </c>
      <c r="F3527">
        <v>6</v>
      </c>
      <c r="G3527">
        <v>3</v>
      </c>
      <c r="H3527">
        <v>15</v>
      </c>
      <c r="I3527">
        <v>0</v>
      </c>
      <c r="J3527">
        <v>24</v>
      </c>
      <c r="K3527" t="s">
        <v>250</v>
      </c>
    </row>
    <row r="3528" spans="2:11" x14ac:dyDescent="0.25">
      <c r="B3528">
        <v>3724</v>
      </c>
      <c r="C3528">
        <v>58</v>
      </c>
      <c r="D3528">
        <v>29</v>
      </c>
      <c r="E3528">
        <v>13</v>
      </c>
      <c r="F3528">
        <v>5</v>
      </c>
      <c r="G3528">
        <v>3</v>
      </c>
      <c r="H3528">
        <v>0</v>
      </c>
      <c r="I3528">
        <v>0</v>
      </c>
      <c r="J3528">
        <v>8</v>
      </c>
      <c r="K3528" t="s">
        <v>248</v>
      </c>
    </row>
    <row r="3529" spans="2:11" x14ac:dyDescent="0.25">
      <c r="B3529">
        <v>3723</v>
      </c>
      <c r="C3529">
        <v>52</v>
      </c>
      <c r="D3529">
        <v>26</v>
      </c>
      <c r="E3529">
        <v>12</v>
      </c>
      <c r="F3529">
        <v>6</v>
      </c>
      <c r="G3529">
        <v>8</v>
      </c>
      <c r="H3529">
        <v>0</v>
      </c>
      <c r="I3529">
        <v>0</v>
      </c>
      <c r="J3529">
        <v>14</v>
      </c>
      <c r="K3529" t="s">
        <v>246</v>
      </c>
    </row>
    <row r="3530" spans="2:11" x14ac:dyDescent="0.25">
      <c r="B3530">
        <v>3728</v>
      </c>
      <c r="C3530">
        <v>310</v>
      </c>
      <c r="D3530">
        <v>144</v>
      </c>
      <c r="E3530">
        <v>15</v>
      </c>
      <c r="F3530">
        <v>8</v>
      </c>
      <c r="G3530">
        <v>13</v>
      </c>
      <c r="H3530">
        <v>0</v>
      </c>
      <c r="I3530">
        <v>0</v>
      </c>
      <c r="J3530">
        <v>21</v>
      </c>
      <c r="K3530" t="s">
        <v>247</v>
      </c>
    </row>
    <row r="3531" spans="2:11" x14ac:dyDescent="0.25">
      <c r="B3531">
        <v>3729</v>
      </c>
      <c r="C3531">
        <v>54</v>
      </c>
      <c r="D3531">
        <v>28</v>
      </c>
      <c r="E3531">
        <v>12</v>
      </c>
      <c r="F3531">
        <v>11</v>
      </c>
      <c r="G3531">
        <v>8</v>
      </c>
      <c r="H3531">
        <v>0</v>
      </c>
      <c r="I3531">
        <v>0</v>
      </c>
      <c r="J3531">
        <v>19</v>
      </c>
      <c r="K3531" t="s">
        <v>246</v>
      </c>
    </row>
    <row r="3532" spans="2:11" x14ac:dyDescent="0.25">
      <c r="B3532">
        <v>3731</v>
      </c>
      <c r="C3532">
        <v>100</v>
      </c>
      <c r="D3532">
        <v>50</v>
      </c>
      <c r="E3532">
        <v>15</v>
      </c>
      <c r="F3532">
        <v>12</v>
      </c>
      <c r="G3532">
        <v>12</v>
      </c>
      <c r="H3532">
        <v>0</v>
      </c>
      <c r="I3532">
        <v>0</v>
      </c>
      <c r="J3532">
        <v>24</v>
      </c>
      <c r="K3532" t="s">
        <v>247</v>
      </c>
    </row>
    <row r="3533" spans="2:11" x14ac:dyDescent="0.25">
      <c r="B3533">
        <v>3732</v>
      </c>
      <c r="C3533">
        <v>51</v>
      </c>
      <c r="D3533">
        <v>26</v>
      </c>
      <c r="E3533">
        <v>12</v>
      </c>
      <c r="F3533">
        <v>13</v>
      </c>
      <c r="G3533">
        <v>7</v>
      </c>
      <c r="H3533">
        <v>0</v>
      </c>
      <c r="I3533">
        <v>0</v>
      </c>
      <c r="J3533">
        <v>20</v>
      </c>
      <c r="K3533" t="s">
        <v>246</v>
      </c>
    </row>
    <row r="3534" spans="2:11" x14ac:dyDescent="0.25">
      <c r="B3534">
        <v>3733</v>
      </c>
      <c r="C3534">
        <v>131</v>
      </c>
      <c r="D3534">
        <v>59</v>
      </c>
      <c r="E3534">
        <v>13</v>
      </c>
      <c r="F3534">
        <v>4</v>
      </c>
      <c r="G3534">
        <v>6</v>
      </c>
      <c r="H3534">
        <v>0</v>
      </c>
      <c r="I3534">
        <v>0</v>
      </c>
      <c r="J3534">
        <v>10</v>
      </c>
      <c r="K3534" t="s">
        <v>250</v>
      </c>
    </row>
    <row r="3535" spans="2:11" x14ac:dyDescent="0.25">
      <c r="B3535">
        <v>3735</v>
      </c>
      <c r="C3535">
        <v>350</v>
      </c>
      <c r="D3535">
        <v>157</v>
      </c>
      <c r="E3535">
        <v>15</v>
      </c>
      <c r="F3535">
        <v>8</v>
      </c>
      <c r="G3535">
        <v>13</v>
      </c>
      <c r="H3535">
        <v>0</v>
      </c>
      <c r="I3535">
        <v>0</v>
      </c>
      <c r="J3535">
        <v>21</v>
      </c>
      <c r="K3535" t="s">
        <v>247</v>
      </c>
    </row>
    <row r="3536" spans="2:11" x14ac:dyDescent="0.25">
      <c r="B3536">
        <v>3736</v>
      </c>
      <c r="C3536">
        <v>120</v>
      </c>
      <c r="D3536">
        <v>55</v>
      </c>
      <c r="E3536">
        <v>13</v>
      </c>
      <c r="F3536">
        <v>24</v>
      </c>
      <c r="G3536">
        <v>1</v>
      </c>
      <c r="H3536">
        <v>1</v>
      </c>
      <c r="I3536">
        <v>0</v>
      </c>
      <c r="J3536">
        <v>26</v>
      </c>
      <c r="K3536" t="s">
        <v>241</v>
      </c>
    </row>
    <row r="3537" spans="2:11" x14ac:dyDescent="0.25">
      <c r="B3537">
        <v>3742</v>
      </c>
      <c r="C3537">
        <v>141</v>
      </c>
      <c r="D3537">
        <v>62</v>
      </c>
      <c r="E3537">
        <v>14</v>
      </c>
      <c r="F3537">
        <v>8</v>
      </c>
      <c r="G3537">
        <v>8</v>
      </c>
      <c r="H3537">
        <v>0</v>
      </c>
      <c r="I3537">
        <v>0</v>
      </c>
      <c r="J3537">
        <v>16</v>
      </c>
      <c r="K3537" t="s">
        <v>251</v>
      </c>
    </row>
    <row r="3538" spans="2:11" x14ac:dyDescent="0.25">
      <c r="B3538">
        <v>3746</v>
      </c>
      <c r="C3538">
        <v>304</v>
      </c>
      <c r="D3538">
        <v>141</v>
      </c>
      <c r="E3538">
        <v>14</v>
      </c>
      <c r="F3538">
        <v>4</v>
      </c>
      <c r="G3538">
        <v>7</v>
      </c>
      <c r="H3538">
        <v>3</v>
      </c>
      <c r="I3538">
        <v>0</v>
      </c>
      <c r="J3538">
        <v>14</v>
      </c>
      <c r="K3538" t="s">
        <v>250</v>
      </c>
    </row>
    <row r="3539" spans="2:11" x14ac:dyDescent="0.25">
      <c r="B3539">
        <v>3747</v>
      </c>
      <c r="C3539">
        <v>140</v>
      </c>
      <c r="D3539">
        <v>62</v>
      </c>
      <c r="E3539">
        <v>14</v>
      </c>
      <c r="F3539">
        <v>16</v>
      </c>
      <c r="G3539">
        <v>4</v>
      </c>
      <c r="H3539">
        <v>1</v>
      </c>
      <c r="I3539">
        <v>0</v>
      </c>
      <c r="J3539">
        <v>21</v>
      </c>
      <c r="K3539" t="s">
        <v>251</v>
      </c>
    </row>
    <row r="3540" spans="2:11" x14ac:dyDescent="0.25">
      <c r="B3540">
        <v>3743</v>
      </c>
      <c r="C3540">
        <v>100</v>
      </c>
      <c r="D3540">
        <v>50</v>
      </c>
      <c r="E3540">
        <v>12</v>
      </c>
      <c r="F3540">
        <v>6</v>
      </c>
      <c r="G3540">
        <v>19</v>
      </c>
      <c r="H3540">
        <v>0</v>
      </c>
      <c r="I3540">
        <v>0</v>
      </c>
      <c r="J3540">
        <v>25</v>
      </c>
      <c r="K3540" t="s">
        <v>246</v>
      </c>
    </row>
    <row r="3541" spans="2:11" x14ac:dyDescent="0.25">
      <c r="B3541">
        <v>3751</v>
      </c>
      <c r="C3541">
        <v>54</v>
      </c>
      <c r="D3541">
        <v>28</v>
      </c>
      <c r="E3541">
        <v>14</v>
      </c>
      <c r="F3541">
        <v>7</v>
      </c>
      <c r="G3541">
        <v>0</v>
      </c>
      <c r="H3541">
        <v>0</v>
      </c>
      <c r="I3541">
        <v>0</v>
      </c>
      <c r="J3541">
        <v>7</v>
      </c>
      <c r="K3541" t="s">
        <v>247</v>
      </c>
    </row>
    <row r="3542" spans="2:11" x14ac:dyDescent="0.25">
      <c r="B3542">
        <v>3749</v>
      </c>
      <c r="C3542">
        <v>333</v>
      </c>
      <c r="D3542">
        <v>152</v>
      </c>
      <c r="E3542">
        <v>14</v>
      </c>
      <c r="F3542">
        <v>4</v>
      </c>
      <c r="G3542">
        <v>26</v>
      </c>
      <c r="H3542">
        <v>0</v>
      </c>
      <c r="I3542">
        <v>0</v>
      </c>
      <c r="J3542">
        <v>30</v>
      </c>
      <c r="K3542" t="s">
        <v>250</v>
      </c>
    </row>
    <row r="3543" spans="2:11" x14ac:dyDescent="0.25">
      <c r="B3543">
        <v>3753</v>
      </c>
      <c r="C3543">
        <v>52</v>
      </c>
      <c r="D3543">
        <v>26</v>
      </c>
      <c r="E3543">
        <v>14</v>
      </c>
      <c r="F3543">
        <v>7</v>
      </c>
      <c r="G3543">
        <v>9</v>
      </c>
      <c r="H3543">
        <v>0</v>
      </c>
      <c r="I3543">
        <v>0</v>
      </c>
      <c r="J3543">
        <v>16</v>
      </c>
      <c r="K3543" t="s">
        <v>247</v>
      </c>
    </row>
    <row r="3544" spans="2:11" x14ac:dyDescent="0.25">
      <c r="B3544">
        <v>3756</v>
      </c>
      <c r="C3544">
        <v>50</v>
      </c>
      <c r="D3544">
        <v>25</v>
      </c>
      <c r="E3544">
        <v>14</v>
      </c>
      <c r="F3544">
        <v>0</v>
      </c>
      <c r="G3544">
        <v>1</v>
      </c>
      <c r="H3544">
        <v>0</v>
      </c>
      <c r="I3544">
        <v>0</v>
      </c>
      <c r="J3544">
        <v>1</v>
      </c>
      <c r="K3544" t="s">
        <v>247</v>
      </c>
    </row>
    <row r="3545" spans="2:11" x14ac:dyDescent="0.25">
      <c r="B3545">
        <v>3755</v>
      </c>
      <c r="C3545">
        <v>238</v>
      </c>
      <c r="D3545">
        <v>105</v>
      </c>
      <c r="E3545">
        <v>13</v>
      </c>
      <c r="F3545">
        <v>4</v>
      </c>
      <c r="G3545">
        <v>3</v>
      </c>
      <c r="H3545">
        <v>1</v>
      </c>
      <c r="I3545">
        <v>0</v>
      </c>
      <c r="J3545">
        <v>8</v>
      </c>
      <c r="K3545" t="s">
        <v>241</v>
      </c>
    </row>
    <row r="3546" spans="2:11" x14ac:dyDescent="0.25">
      <c r="B3546">
        <v>3758</v>
      </c>
      <c r="C3546">
        <v>53</v>
      </c>
      <c r="D3546">
        <v>27</v>
      </c>
      <c r="E3546">
        <v>14</v>
      </c>
      <c r="F3546">
        <v>4</v>
      </c>
      <c r="G3546">
        <v>6</v>
      </c>
      <c r="H3546">
        <v>0</v>
      </c>
      <c r="I3546">
        <v>0</v>
      </c>
      <c r="J3546">
        <v>10</v>
      </c>
      <c r="K3546" t="s">
        <v>247</v>
      </c>
    </row>
    <row r="3547" spans="2:11" x14ac:dyDescent="0.25">
      <c r="B3547">
        <v>3757</v>
      </c>
      <c r="C3547">
        <v>332</v>
      </c>
      <c r="D3547">
        <v>152</v>
      </c>
      <c r="E3547">
        <v>14</v>
      </c>
      <c r="F3547">
        <v>12</v>
      </c>
      <c r="G3547">
        <v>18</v>
      </c>
      <c r="H3547">
        <v>0</v>
      </c>
      <c r="I3547">
        <v>0</v>
      </c>
      <c r="J3547">
        <v>30</v>
      </c>
      <c r="K3547" t="s">
        <v>250</v>
      </c>
    </row>
    <row r="3548" spans="2:11" x14ac:dyDescent="0.25">
      <c r="B3548">
        <v>3760</v>
      </c>
      <c r="C3548">
        <v>50</v>
      </c>
      <c r="D3548">
        <v>25</v>
      </c>
      <c r="E3548">
        <v>13</v>
      </c>
      <c r="F3548">
        <v>0</v>
      </c>
      <c r="G3548">
        <v>0</v>
      </c>
      <c r="H3548">
        <v>2</v>
      </c>
      <c r="I3548">
        <v>0</v>
      </c>
      <c r="J3548">
        <v>2</v>
      </c>
      <c r="K3548" t="s">
        <v>241</v>
      </c>
    </row>
    <row r="3549" spans="2:11" x14ac:dyDescent="0.25">
      <c r="B3549">
        <v>3763</v>
      </c>
      <c r="C3549">
        <v>165</v>
      </c>
      <c r="D3549">
        <v>71</v>
      </c>
      <c r="E3549">
        <v>12</v>
      </c>
      <c r="F3549">
        <v>11</v>
      </c>
      <c r="G3549">
        <v>8</v>
      </c>
      <c r="H3549">
        <v>0</v>
      </c>
      <c r="I3549">
        <v>0</v>
      </c>
      <c r="J3549">
        <v>19</v>
      </c>
      <c r="K3549" t="s">
        <v>246</v>
      </c>
    </row>
    <row r="3550" spans="2:11" x14ac:dyDescent="0.25">
      <c r="B3550">
        <v>3761</v>
      </c>
      <c r="C3550">
        <v>319</v>
      </c>
      <c r="D3550">
        <v>147</v>
      </c>
      <c r="E3550">
        <v>10</v>
      </c>
      <c r="F3550">
        <v>4</v>
      </c>
      <c r="G3550">
        <v>5</v>
      </c>
      <c r="H3550">
        <v>0</v>
      </c>
      <c r="I3550">
        <v>0</v>
      </c>
      <c r="J3550">
        <v>9</v>
      </c>
      <c r="K3550" t="s">
        <v>249</v>
      </c>
    </row>
    <row r="3551" spans="2:11" x14ac:dyDescent="0.25">
      <c r="B3551">
        <v>3764</v>
      </c>
      <c r="C3551">
        <v>51</v>
      </c>
      <c r="D3551">
        <v>26</v>
      </c>
      <c r="E3551">
        <v>13</v>
      </c>
      <c r="F3551">
        <v>16</v>
      </c>
      <c r="G3551">
        <v>10</v>
      </c>
      <c r="H3551">
        <v>0</v>
      </c>
      <c r="I3551">
        <v>0</v>
      </c>
      <c r="J3551">
        <v>26</v>
      </c>
      <c r="K3551" t="s">
        <v>241</v>
      </c>
    </row>
    <row r="3552" spans="2:11" x14ac:dyDescent="0.25">
      <c r="B3552">
        <v>3759</v>
      </c>
      <c r="C3552">
        <v>279</v>
      </c>
      <c r="D3552">
        <v>129</v>
      </c>
      <c r="E3552">
        <v>13</v>
      </c>
      <c r="F3552">
        <v>9</v>
      </c>
      <c r="G3552">
        <v>16</v>
      </c>
      <c r="H3552">
        <v>0</v>
      </c>
      <c r="I3552">
        <v>0</v>
      </c>
      <c r="J3552">
        <v>25</v>
      </c>
      <c r="K3552" t="s">
        <v>248</v>
      </c>
    </row>
    <row r="3553" spans="2:11" x14ac:dyDescent="0.25">
      <c r="B3553">
        <v>3766</v>
      </c>
      <c r="C3553">
        <v>145</v>
      </c>
      <c r="D3553">
        <v>65</v>
      </c>
      <c r="E3553">
        <v>14</v>
      </c>
      <c r="F3553">
        <v>9</v>
      </c>
      <c r="G3553">
        <v>3</v>
      </c>
      <c r="H3553">
        <v>0</v>
      </c>
      <c r="I3553">
        <v>0</v>
      </c>
      <c r="J3553">
        <v>12</v>
      </c>
      <c r="K3553" t="s">
        <v>246</v>
      </c>
    </row>
    <row r="3554" spans="2:11" x14ac:dyDescent="0.25">
      <c r="B3554">
        <v>3767</v>
      </c>
      <c r="C3554">
        <v>288</v>
      </c>
      <c r="D3554">
        <v>134</v>
      </c>
      <c r="E3554">
        <v>14</v>
      </c>
      <c r="F3554">
        <v>9</v>
      </c>
      <c r="G3554">
        <v>7</v>
      </c>
      <c r="H3554">
        <v>4</v>
      </c>
      <c r="I3554">
        <v>0</v>
      </c>
      <c r="J3554">
        <v>20</v>
      </c>
      <c r="K3554" t="s">
        <v>250</v>
      </c>
    </row>
    <row r="3555" spans="2:11" x14ac:dyDescent="0.25">
      <c r="B3555">
        <v>3770</v>
      </c>
      <c r="C3555">
        <v>331</v>
      </c>
      <c r="D3555">
        <v>152</v>
      </c>
      <c r="E3555">
        <v>14</v>
      </c>
      <c r="F3555">
        <v>26</v>
      </c>
      <c r="G3555">
        <v>4</v>
      </c>
      <c r="H3555">
        <v>0</v>
      </c>
      <c r="I3555">
        <v>0</v>
      </c>
      <c r="J3555">
        <v>30</v>
      </c>
      <c r="K3555" t="s">
        <v>247</v>
      </c>
    </row>
    <row r="3556" spans="2:11" x14ac:dyDescent="0.25">
      <c r="B3556">
        <v>3771</v>
      </c>
      <c r="C3556">
        <v>146</v>
      </c>
      <c r="D3556">
        <v>65</v>
      </c>
      <c r="E3556">
        <v>14</v>
      </c>
      <c r="F3556">
        <v>15</v>
      </c>
      <c r="G3556">
        <v>5</v>
      </c>
      <c r="H3556">
        <v>0</v>
      </c>
      <c r="I3556">
        <v>0</v>
      </c>
      <c r="J3556">
        <v>20</v>
      </c>
      <c r="K3556" t="s">
        <v>246</v>
      </c>
    </row>
    <row r="3557" spans="2:11" x14ac:dyDescent="0.25">
      <c r="B3557">
        <v>3773</v>
      </c>
      <c r="C3557">
        <v>139</v>
      </c>
      <c r="D3557">
        <v>61</v>
      </c>
      <c r="E3557">
        <v>14</v>
      </c>
      <c r="F3557">
        <v>8</v>
      </c>
      <c r="G3557">
        <v>3</v>
      </c>
      <c r="H3557">
        <v>0</v>
      </c>
      <c r="I3557">
        <v>0</v>
      </c>
      <c r="J3557">
        <v>11</v>
      </c>
      <c r="K3557" t="s">
        <v>251</v>
      </c>
    </row>
    <row r="3558" spans="2:11" x14ac:dyDescent="0.25">
      <c r="B3558">
        <v>3772</v>
      </c>
      <c r="C3558">
        <v>147</v>
      </c>
      <c r="D3558">
        <v>66</v>
      </c>
      <c r="E3558">
        <v>14</v>
      </c>
      <c r="F3558">
        <v>24</v>
      </c>
      <c r="G3558">
        <v>7</v>
      </c>
      <c r="H3558">
        <v>0</v>
      </c>
      <c r="I3558">
        <v>0</v>
      </c>
      <c r="J3558">
        <v>31</v>
      </c>
      <c r="K3558" t="s">
        <v>252</v>
      </c>
    </row>
    <row r="3559" spans="2:11" x14ac:dyDescent="0.25">
      <c r="B3559">
        <v>3787</v>
      </c>
      <c r="C3559">
        <v>62</v>
      </c>
      <c r="D3559">
        <v>33</v>
      </c>
      <c r="E3559">
        <v>14</v>
      </c>
      <c r="F3559">
        <v>0</v>
      </c>
      <c r="G3559">
        <v>15</v>
      </c>
      <c r="H3559">
        <v>0</v>
      </c>
      <c r="I3559">
        <v>0</v>
      </c>
      <c r="J3559">
        <v>15</v>
      </c>
      <c r="K3559" t="s">
        <v>247</v>
      </c>
    </row>
    <row r="3560" spans="2:11" x14ac:dyDescent="0.25">
      <c r="B3560">
        <v>3789</v>
      </c>
      <c r="C3560">
        <v>350</v>
      </c>
      <c r="D3560">
        <v>157</v>
      </c>
      <c r="E3560">
        <v>14</v>
      </c>
      <c r="F3560">
        <v>8</v>
      </c>
      <c r="G3560">
        <v>9</v>
      </c>
      <c r="H3560">
        <v>0</v>
      </c>
      <c r="I3560">
        <v>0</v>
      </c>
      <c r="J3560">
        <v>17</v>
      </c>
      <c r="K3560" t="s">
        <v>246</v>
      </c>
    </row>
    <row r="3561" spans="2:11" x14ac:dyDescent="0.25">
      <c r="B3561">
        <v>3801</v>
      </c>
      <c r="C3561">
        <v>119</v>
      </c>
      <c r="D3561">
        <v>55</v>
      </c>
      <c r="E3561">
        <v>14</v>
      </c>
      <c r="F3561">
        <v>8</v>
      </c>
      <c r="G3561">
        <v>0</v>
      </c>
      <c r="H3561">
        <v>0</v>
      </c>
      <c r="I3561">
        <v>0</v>
      </c>
      <c r="J3561">
        <v>8</v>
      </c>
      <c r="K3561" t="s">
        <v>251</v>
      </c>
    </row>
    <row r="3562" spans="2:11" x14ac:dyDescent="0.25">
      <c r="B3562">
        <v>3818</v>
      </c>
      <c r="C3562">
        <v>171</v>
      </c>
      <c r="D3562">
        <v>73</v>
      </c>
      <c r="E3562">
        <v>14</v>
      </c>
      <c r="F3562">
        <v>3</v>
      </c>
      <c r="G3562">
        <v>3</v>
      </c>
      <c r="H3562">
        <v>0</v>
      </c>
      <c r="I3562">
        <v>0</v>
      </c>
      <c r="J3562">
        <v>6</v>
      </c>
      <c r="K3562" t="s">
        <v>247</v>
      </c>
    </row>
    <row r="3563" spans="2:11" x14ac:dyDescent="0.25">
      <c r="B3563">
        <v>3825</v>
      </c>
      <c r="C3563">
        <v>8</v>
      </c>
      <c r="D3563">
        <v>3</v>
      </c>
      <c r="E3563">
        <v>13</v>
      </c>
      <c r="F3563">
        <v>6</v>
      </c>
      <c r="G3563">
        <v>8</v>
      </c>
      <c r="H3563">
        <v>0</v>
      </c>
      <c r="I3563">
        <v>0</v>
      </c>
      <c r="J3563">
        <v>14</v>
      </c>
      <c r="K3563" t="s">
        <v>251</v>
      </c>
    </row>
    <row r="3564" spans="2:11" x14ac:dyDescent="0.25">
      <c r="B3564">
        <v>3848</v>
      </c>
      <c r="C3564">
        <v>266</v>
      </c>
      <c r="D3564">
        <v>118</v>
      </c>
      <c r="E3564">
        <v>14</v>
      </c>
      <c r="F3564">
        <v>12</v>
      </c>
      <c r="G3564">
        <v>10</v>
      </c>
      <c r="H3564">
        <v>0</v>
      </c>
      <c r="I3564">
        <v>0</v>
      </c>
      <c r="J3564">
        <v>22</v>
      </c>
      <c r="K3564" t="s">
        <v>247</v>
      </c>
    </row>
    <row r="3565" spans="2:11" x14ac:dyDescent="0.25">
      <c r="B3565">
        <v>3856</v>
      </c>
      <c r="C3565">
        <v>117</v>
      </c>
      <c r="D3565">
        <v>54</v>
      </c>
      <c r="E3565">
        <v>14</v>
      </c>
      <c r="F3565">
        <v>3</v>
      </c>
      <c r="G3565">
        <v>5</v>
      </c>
      <c r="H3565">
        <v>3</v>
      </c>
      <c r="I3565">
        <v>0</v>
      </c>
      <c r="J3565">
        <v>11</v>
      </c>
      <c r="K3565" t="s">
        <v>247</v>
      </c>
    </row>
    <row r="3566" spans="2:11" x14ac:dyDescent="0.25">
      <c r="B3566">
        <v>3860</v>
      </c>
      <c r="C3566">
        <v>168</v>
      </c>
      <c r="D3566">
        <v>72</v>
      </c>
      <c r="E3566">
        <v>14</v>
      </c>
      <c r="F3566">
        <v>4</v>
      </c>
      <c r="G3566">
        <v>8</v>
      </c>
      <c r="H3566">
        <v>0</v>
      </c>
      <c r="I3566">
        <v>0</v>
      </c>
      <c r="J3566">
        <v>12</v>
      </c>
      <c r="K3566" t="s">
        <v>241</v>
      </c>
    </row>
    <row r="3567" spans="2:11" x14ac:dyDescent="0.25">
      <c r="B3567">
        <v>3864</v>
      </c>
      <c r="C3567">
        <v>57</v>
      </c>
      <c r="D3567">
        <v>29</v>
      </c>
      <c r="E3567">
        <v>14</v>
      </c>
      <c r="F3567">
        <v>9</v>
      </c>
      <c r="G3567">
        <v>15</v>
      </c>
      <c r="H3567">
        <v>0</v>
      </c>
      <c r="I3567">
        <v>0</v>
      </c>
      <c r="J3567">
        <v>24</v>
      </c>
      <c r="K3567" t="s">
        <v>247</v>
      </c>
    </row>
    <row r="3568" spans="2:11" x14ac:dyDescent="0.25">
      <c r="B3568">
        <v>3866</v>
      </c>
      <c r="C3568">
        <v>335</v>
      </c>
      <c r="D3568">
        <v>152</v>
      </c>
      <c r="E3568">
        <v>14</v>
      </c>
      <c r="F3568">
        <v>3</v>
      </c>
      <c r="G3568">
        <v>8</v>
      </c>
      <c r="H3568">
        <v>0</v>
      </c>
      <c r="I3568">
        <v>0</v>
      </c>
      <c r="J3568">
        <v>11</v>
      </c>
      <c r="K3568" t="s">
        <v>241</v>
      </c>
    </row>
    <row r="3569" spans="2:11" x14ac:dyDescent="0.25">
      <c r="B3569">
        <v>3867</v>
      </c>
      <c r="C3569">
        <v>58</v>
      </c>
      <c r="D3569">
        <v>29</v>
      </c>
      <c r="E3569">
        <v>14</v>
      </c>
      <c r="F3569">
        <v>6</v>
      </c>
      <c r="G3569">
        <v>4</v>
      </c>
      <c r="H3569">
        <v>0</v>
      </c>
      <c r="I3569">
        <v>0</v>
      </c>
      <c r="J3569">
        <v>10</v>
      </c>
      <c r="K3569" t="s">
        <v>247</v>
      </c>
    </row>
    <row r="3570" spans="2:11" x14ac:dyDescent="0.25">
      <c r="B3570">
        <v>3868</v>
      </c>
      <c r="C3570">
        <v>334</v>
      </c>
      <c r="D3570">
        <v>152</v>
      </c>
      <c r="E3570">
        <v>14</v>
      </c>
      <c r="F3570">
        <v>16</v>
      </c>
      <c r="G3570">
        <v>12</v>
      </c>
      <c r="H3570">
        <v>0</v>
      </c>
      <c r="I3570">
        <v>0</v>
      </c>
      <c r="J3570">
        <v>28</v>
      </c>
      <c r="K3570" t="s">
        <v>241</v>
      </c>
    </row>
    <row r="3571" spans="2:11" x14ac:dyDescent="0.25">
      <c r="B3571">
        <v>3869</v>
      </c>
      <c r="C3571">
        <v>59</v>
      </c>
      <c r="D3571">
        <v>30</v>
      </c>
      <c r="E3571">
        <v>14</v>
      </c>
      <c r="F3571">
        <v>8</v>
      </c>
      <c r="G3571">
        <v>2</v>
      </c>
      <c r="H3571">
        <v>1</v>
      </c>
      <c r="I3571">
        <v>0</v>
      </c>
      <c r="J3571">
        <v>11</v>
      </c>
      <c r="K3571" t="s">
        <v>247</v>
      </c>
    </row>
    <row r="3572" spans="2:11" x14ac:dyDescent="0.25">
      <c r="B3572">
        <v>3870</v>
      </c>
      <c r="C3572">
        <v>289</v>
      </c>
      <c r="D3572">
        <v>135</v>
      </c>
      <c r="E3572">
        <v>14</v>
      </c>
      <c r="F3572">
        <v>26</v>
      </c>
      <c r="G3572">
        <v>4</v>
      </c>
      <c r="H3572">
        <v>0</v>
      </c>
      <c r="I3572">
        <v>0</v>
      </c>
      <c r="J3572">
        <v>30</v>
      </c>
      <c r="K3572" t="s">
        <v>241</v>
      </c>
    </row>
    <row r="3573" spans="2:11" x14ac:dyDescent="0.25">
      <c r="B3573">
        <v>3871</v>
      </c>
      <c r="C3573">
        <v>336</v>
      </c>
      <c r="D3573">
        <v>152</v>
      </c>
      <c r="E3573">
        <v>14</v>
      </c>
      <c r="F3573">
        <v>4</v>
      </c>
      <c r="G3573">
        <v>21</v>
      </c>
      <c r="H3573">
        <v>0</v>
      </c>
      <c r="I3573">
        <v>0</v>
      </c>
      <c r="J3573">
        <v>25</v>
      </c>
      <c r="K3573" t="s">
        <v>247</v>
      </c>
    </row>
    <row r="3574" spans="2:11" x14ac:dyDescent="0.25">
      <c r="B3574">
        <v>3873</v>
      </c>
      <c r="C3574">
        <v>8</v>
      </c>
      <c r="D3574">
        <v>3</v>
      </c>
      <c r="E3574">
        <v>12</v>
      </c>
      <c r="F3574">
        <v>2</v>
      </c>
      <c r="G3574">
        <v>10</v>
      </c>
      <c r="H3574">
        <v>0</v>
      </c>
      <c r="I3574">
        <v>0</v>
      </c>
      <c r="J3574">
        <v>12</v>
      </c>
      <c r="K3574" t="s">
        <v>251</v>
      </c>
    </row>
    <row r="3575" spans="2:11" x14ac:dyDescent="0.25">
      <c r="B3575">
        <v>3863</v>
      </c>
      <c r="C3575">
        <v>133</v>
      </c>
      <c r="D3575">
        <v>60</v>
      </c>
      <c r="E3575">
        <v>15</v>
      </c>
      <c r="F3575">
        <v>12</v>
      </c>
      <c r="G3575">
        <v>0</v>
      </c>
      <c r="H3575">
        <v>8</v>
      </c>
      <c r="I3575">
        <v>0</v>
      </c>
      <c r="J3575">
        <v>20</v>
      </c>
      <c r="K3575" t="s">
        <v>246</v>
      </c>
    </row>
    <row r="3576" spans="2:11" x14ac:dyDescent="0.25">
      <c r="B3576">
        <v>3874</v>
      </c>
      <c r="C3576">
        <v>291</v>
      </c>
      <c r="D3576">
        <v>135</v>
      </c>
      <c r="E3576">
        <v>14</v>
      </c>
      <c r="F3576">
        <v>7</v>
      </c>
      <c r="G3576">
        <v>2</v>
      </c>
      <c r="H3576">
        <v>0</v>
      </c>
      <c r="I3576">
        <v>0</v>
      </c>
      <c r="J3576">
        <v>9</v>
      </c>
      <c r="K3576" t="s">
        <v>247</v>
      </c>
    </row>
    <row r="3577" spans="2:11" x14ac:dyDescent="0.25">
      <c r="B3577">
        <v>3875</v>
      </c>
      <c r="C3577">
        <v>7</v>
      </c>
      <c r="D3577">
        <v>2</v>
      </c>
      <c r="E3577">
        <v>12</v>
      </c>
      <c r="F3577">
        <v>15</v>
      </c>
      <c r="G3577">
        <v>13</v>
      </c>
      <c r="H3577">
        <v>0</v>
      </c>
      <c r="I3577">
        <v>0</v>
      </c>
      <c r="J3577">
        <v>28</v>
      </c>
      <c r="K3577" t="s">
        <v>251</v>
      </c>
    </row>
    <row r="3578" spans="2:11" x14ac:dyDescent="0.25">
      <c r="B3578">
        <v>3876</v>
      </c>
      <c r="C3578">
        <v>321</v>
      </c>
      <c r="D3578">
        <v>149</v>
      </c>
      <c r="E3578">
        <v>14</v>
      </c>
      <c r="F3578">
        <v>26</v>
      </c>
      <c r="G3578">
        <v>4</v>
      </c>
      <c r="H3578">
        <v>0</v>
      </c>
      <c r="I3578">
        <v>0</v>
      </c>
      <c r="J3578">
        <v>30</v>
      </c>
      <c r="K3578" t="s">
        <v>247</v>
      </c>
    </row>
    <row r="3579" spans="2:11" x14ac:dyDescent="0.25">
      <c r="B3579">
        <v>3879</v>
      </c>
      <c r="C3579">
        <v>133</v>
      </c>
      <c r="D3579">
        <v>60</v>
      </c>
      <c r="E3579">
        <v>11</v>
      </c>
      <c r="F3579">
        <v>12</v>
      </c>
      <c r="G3579">
        <v>1</v>
      </c>
      <c r="H3579">
        <v>7</v>
      </c>
      <c r="I3579">
        <v>0</v>
      </c>
      <c r="J3579">
        <v>20</v>
      </c>
      <c r="K3579" t="s">
        <v>251</v>
      </c>
    </row>
    <row r="3580" spans="2:11" x14ac:dyDescent="0.25">
      <c r="B3580">
        <v>3880</v>
      </c>
      <c r="C3580">
        <v>7</v>
      </c>
      <c r="D3580">
        <v>2</v>
      </c>
      <c r="E3580">
        <v>11</v>
      </c>
      <c r="F3580">
        <v>10</v>
      </c>
      <c r="G3580">
        <v>10</v>
      </c>
      <c r="H3580">
        <v>0</v>
      </c>
      <c r="I3580">
        <v>0</v>
      </c>
      <c r="J3580">
        <v>20</v>
      </c>
      <c r="K3580" t="s">
        <v>251</v>
      </c>
    </row>
    <row r="3581" spans="2:11" x14ac:dyDescent="0.25">
      <c r="B3581">
        <v>3878</v>
      </c>
      <c r="C3581">
        <v>319</v>
      </c>
      <c r="D3581">
        <v>147</v>
      </c>
      <c r="E3581">
        <v>14</v>
      </c>
      <c r="F3581">
        <v>2</v>
      </c>
      <c r="G3581">
        <v>5</v>
      </c>
      <c r="H3581">
        <v>0</v>
      </c>
      <c r="I3581">
        <v>0</v>
      </c>
      <c r="J3581">
        <v>7</v>
      </c>
      <c r="K3581" t="s">
        <v>247</v>
      </c>
    </row>
    <row r="3582" spans="2:11" x14ac:dyDescent="0.25">
      <c r="B3582">
        <v>3881</v>
      </c>
      <c r="C3582">
        <v>269</v>
      </c>
      <c r="D3582">
        <v>121</v>
      </c>
      <c r="E3582">
        <v>15</v>
      </c>
      <c r="F3582">
        <v>15</v>
      </c>
      <c r="G3582">
        <v>13</v>
      </c>
      <c r="H3582">
        <v>0</v>
      </c>
      <c r="I3582">
        <v>0</v>
      </c>
      <c r="J3582">
        <v>28</v>
      </c>
      <c r="K3582" t="s">
        <v>251</v>
      </c>
    </row>
    <row r="3583" spans="2:11" x14ac:dyDescent="0.25">
      <c r="B3583">
        <v>3883</v>
      </c>
      <c r="C3583">
        <v>268</v>
      </c>
      <c r="D3583">
        <v>120</v>
      </c>
      <c r="E3583">
        <v>15</v>
      </c>
      <c r="F3583">
        <v>7</v>
      </c>
      <c r="G3583">
        <v>11</v>
      </c>
      <c r="H3583">
        <v>0</v>
      </c>
      <c r="I3583">
        <v>0</v>
      </c>
      <c r="J3583">
        <v>18</v>
      </c>
      <c r="K3583" t="s">
        <v>251</v>
      </c>
    </row>
    <row r="3584" spans="2:11" x14ac:dyDescent="0.25">
      <c r="B3584">
        <v>3887</v>
      </c>
      <c r="C3584">
        <v>341</v>
      </c>
      <c r="D3584">
        <v>152</v>
      </c>
      <c r="E3584">
        <v>15</v>
      </c>
      <c r="F3584">
        <v>18</v>
      </c>
      <c r="G3584">
        <v>6</v>
      </c>
      <c r="H3584">
        <v>0</v>
      </c>
      <c r="I3584">
        <v>0</v>
      </c>
      <c r="J3584">
        <v>24</v>
      </c>
      <c r="K3584" t="s">
        <v>251</v>
      </c>
    </row>
    <row r="3585" spans="2:11" x14ac:dyDescent="0.25">
      <c r="B3585">
        <v>3889</v>
      </c>
      <c r="C3585">
        <v>266</v>
      </c>
      <c r="D3585">
        <v>118</v>
      </c>
      <c r="E3585">
        <v>15</v>
      </c>
      <c r="F3585">
        <v>10</v>
      </c>
      <c r="G3585">
        <v>11</v>
      </c>
      <c r="H3585">
        <v>0</v>
      </c>
      <c r="I3585">
        <v>0</v>
      </c>
      <c r="J3585">
        <v>21</v>
      </c>
      <c r="K3585" t="s">
        <v>251</v>
      </c>
    </row>
    <row r="3586" spans="2:11" x14ac:dyDescent="0.25">
      <c r="B3586">
        <v>3890</v>
      </c>
      <c r="C3586">
        <v>339</v>
      </c>
      <c r="D3586">
        <v>152</v>
      </c>
      <c r="E3586">
        <v>15</v>
      </c>
      <c r="F3586">
        <v>10</v>
      </c>
      <c r="G3586">
        <v>3</v>
      </c>
      <c r="H3586">
        <v>0</v>
      </c>
      <c r="I3586">
        <v>0</v>
      </c>
      <c r="J3586">
        <v>13</v>
      </c>
      <c r="K3586" t="s">
        <v>251</v>
      </c>
    </row>
    <row r="3587" spans="2:11" x14ac:dyDescent="0.25">
      <c r="B3587">
        <v>4513</v>
      </c>
      <c r="C3587">
        <v>282</v>
      </c>
      <c r="D3587">
        <v>130</v>
      </c>
      <c r="E3587">
        <v>17</v>
      </c>
      <c r="F3587">
        <v>5</v>
      </c>
      <c r="G3587">
        <v>12</v>
      </c>
      <c r="H3587">
        <v>0</v>
      </c>
      <c r="I3587">
        <v>0</v>
      </c>
      <c r="J3587">
        <v>17</v>
      </c>
      <c r="K3587" t="s">
        <v>250</v>
      </c>
    </row>
    <row r="3588" spans="2:11" x14ac:dyDescent="0.25">
      <c r="B3588">
        <v>5702</v>
      </c>
      <c r="C3588">
        <v>195</v>
      </c>
      <c r="D3588">
        <v>86</v>
      </c>
      <c r="E3588">
        <v>12</v>
      </c>
      <c r="F3588">
        <v>2</v>
      </c>
      <c r="G3588">
        <v>6</v>
      </c>
      <c r="H3588">
        <v>0</v>
      </c>
      <c r="I3588">
        <v>0</v>
      </c>
      <c r="J3588">
        <v>8</v>
      </c>
      <c r="K3588" t="s">
        <v>241</v>
      </c>
    </row>
    <row r="3589" spans="2:11" x14ac:dyDescent="0.25">
      <c r="B3589">
        <v>5703</v>
      </c>
      <c r="C3589">
        <v>195</v>
      </c>
      <c r="D3589">
        <v>86</v>
      </c>
      <c r="E3589">
        <v>13</v>
      </c>
      <c r="F3589">
        <v>1</v>
      </c>
      <c r="G3589">
        <v>14</v>
      </c>
      <c r="H3589">
        <v>0</v>
      </c>
      <c r="I3589">
        <v>0</v>
      </c>
      <c r="J3589">
        <v>15</v>
      </c>
      <c r="K3589" t="s">
        <v>241</v>
      </c>
    </row>
    <row r="3590" spans="2:11" x14ac:dyDescent="0.25">
      <c r="B3590">
        <v>4570</v>
      </c>
      <c r="C3590">
        <v>133</v>
      </c>
      <c r="D3590">
        <v>60</v>
      </c>
      <c r="E3590">
        <v>17</v>
      </c>
      <c r="F3590">
        <v>9</v>
      </c>
      <c r="G3590">
        <v>4</v>
      </c>
      <c r="H3590">
        <v>7</v>
      </c>
      <c r="I3590">
        <v>0</v>
      </c>
      <c r="J3590">
        <v>20</v>
      </c>
      <c r="K3590" t="s">
        <v>246</v>
      </c>
    </row>
    <row r="3591" spans="2:11" x14ac:dyDescent="0.25">
      <c r="B3591">
        <v>4571</v>
      </c>
      <c r="C3591">
        <v>123</v>
      </c>
      <c r="D3591">
        <v>56</v>
      </c>
      <c r="E3591">
        <v>16</v>
      </c>
      <c r="F3591">
        <v>9</v>
      </c>
      <c r="G3591">
        <v>2</v>
      </c>
      <c r="H3591">
        <v>5</v>
      </c>
      <c r="I3591">
        <v>0</v>
      </c>
      <c r="J3591">
        <v>16</v>
      </c>
      <c r="K3591" t="s">
        <v>251</v>
      </c>
    </row>
    <row r="3592" spans="2:11" x14ac:dyDescent="0.25">
      <c r="B3592">
        <v>4574</v>
      </c>
      <c r="C3592">
        <v>92</v>
      </c>
      <c r="D3592">
        <v>46</v>
      </c>
      <c r="E3592">
        <v>16</v>
      </c>
      <c r="F3592">
        <v>18</v>
      </c>
      <c r="G3592">
        <v>12</v>
      </c>
      <c r="H3592">
        <v>0</v>
      </c>
      <c r="I3592">
        <v>0</v>
      </c>
      <c r="J3592">
        <v>30</v>
      </c>
      <c r="K3592" t="s">
        <v>245</v>
      </c>
    </row>
    <row r="3593" spans="2:11" x14ac:dyDescent="0.25">
      <c r="B3593">
        <v>4575</v>
      </c>
      <c r="C3593">
        <v>92</v>
      </c>
      <c r="D3593">
        <v>46</v>
      </c>
      <c r="E3593">
        <v>14</v>
      </c>
      <c r="F3593">
        <v>13</v>
      </c>
      <c r="G3593">
        <v>13</v>
      </c>
      <c r="H3593">
        <v>0</v>
      </c>
      <c r="I3593">
        <v>0</v>
      </c>
      <c r="J3593">
        <v>26</v>
      </c>
      <c r="K3593" t="s">
        <v>246</v>
      </c>
    </row>
    <row r="3594" spans="2:11" x14ac:dyDescent="0.25">
      <c r="B3594">
        <v>4576</v>
      </c>
      <c r="C3594">
        <v>92</v>
      </c>
      <c r="D3594">
        <v>46</v>
      </c>
      <c r="E3594">
        <v>17</v>
      </c>
      <c r="F3594">
        <v>14</v>
      </c>
      <c r="G3594">
        <v>16</v>
      </c>
      <c r="H3594">
        <v>0</v>
      </c>
      <c r="I3594">
        <v>0</v>
      </c>
      <c r="J3594">
        <v>30</v>
      </c>
      <c r="K3594" t="s">
        <v>245</v>
      </c>
    </row>
    <row r="3595" spans="2:11" x14ac:dyDescent="0.25">
      <c r="B3595">
        <v>4578</v>
      </c>
      <c r="C3595">
        <v>343</v>
      </c>
      <c r="D3595">
        <v>154</v>
      </c>
      <c r="E3595">
        <v>17</v>
      </c>
      <c r="F3595">
        <v>15</v>
      </c>
      <c r="G3595">
        <v>7</v>
      </c>
      <c r="H3595">
        <v>1</v>
      </c>
      <c r="I3595">
        <v>0</v>
      </c>
      <c r="J3595">
        <v>23</v>
      </c>
      <c r="K3595" t="s">
        <v>251</v>
      </c>
    </row>
    <row r="3596" spans="2:11" x14ac:dyDescent="0.25">
      <c r="B3596">
        <v>4583</v>
      </c>
      <c r="C3596">
        <v>157</v>
      </c>
      <c r="D3596">
        <v>69</v>
      </c>
      <c r="E3596">
        <v>16</v>
      </c>
      <c r="F3596">
        <v>15</v>
      </c>
      <c r="G3596">
        <v>8</v>
      </c>
      <c r="H3596">
        <v>0</v>
      </c>
      <c r="I3596">
        <v>0</v>
      </c>
      <c r="J3596">
        <v>23</v>
      </c>
      <c r="K3596" t="s">
        <v>251</v>
      </c>
    </row>
    <row r="3597" spans="2:11" x14ac:dyDescent="0.25">
      <c r="B3597">
        <v>4587</v>
      </c>
      <c r="C3597">
        <v>1</v>
      </c>
      <c r="D3597">
        <v>1</v>
      </c>
      <c r="E3597">
        <v>16</v>
      </c>
      <c r="F3597">
        <v>3</v>
      </c>
      <c r="G3597">
        <v>3</v>
      </c>
      <c r="H3597">
        <v>1</v>
      </c>
      <c r="I3597">
        <v>0</v>
      </c>
      <c r="J3597">
        <v>7</v>
      </c>
      <c r="K3597" t="s">
        <v>251</v>
      </c>
    </row>
    <row r="3598" spans="2:11" x14ac:dyDescent="0.25">
      <c r="B3598">
        <v>4585</v>
      </c>
      <c r="C3598">
        <v>94</v>
      </c>
      <c r="D3598">
        <v>47</v>
      </c>
      <c r="E3598">
        <v>16</v>
      </c>
      <c r="F3598">
        <v>4</v>
      </c>
      <c r="G3598">
        <v>7</v>
      </c>
      <c r="H3598">
        <v>0</v>
      </c>
      <c r="I3598">
        <v>0</v>
      </c>
      <c r="J3598">
        <v>11</v>
      </c>
      <c r="K3598" t="s">
        <v>245</v>
      </c>
    </row>
    <row r="3599" spans="2:11" x14ac:dyDescent="0.25">
      <c r="B3599">
        <v>4586</v>
      </c>
      <c r="C3599">
        <v>332</v>
      </c>
      <c r="D3599">
        <v>152</v>
      </c>
      <c r="E3599">
        <v>15</v>
      </c>
      <c r="F3599">
        <v>5</v>
      </c>
      <c r="G3599">
        <v>25</v>
      </c>
      <c r="H3599">
        <v>0</v>
      </c>
      <c r="I3599">
        <v>0</v>
      </c>
      <c r="J3599">
        <v>30</v>
      </c>
      <c r="K3599" t="s">
        <v>247</v>
      </c>
    </row>
    <row r="3600" spans="2:11" x14ac:dyDescent="0.25">
      <c r="B3600">
        <v>4588</v>
      </c>
      <c r="C3600">
        <v>283</v>
      </c>
      <c r="D3600">
        <v>131</v>
      </c>
      <c r="E3600">
        <v>17</v>
      </c>
      <c r="F3600">
        <v>18</v>
      </c>
      <c r="G3600">
        <v>2</v>
      </c>
      <c r="H3600">
        <v>0</v>
      </c>
      <c r="I3600">
        <v>0</v>
      </c>
      <c r="J3600">
        <v>20</v>
      </c>
      <c r="K3600" t="s">
        <v>247</v>
      </c>
    </row>
    <row r="3601" spans="2:11" x14ac:dyDescent="0.25">
      <c r="B3601">
        <v>4591</v>
      </c>
      <c r="C3601">
        <v>158</v>
      </c>
      <c r="D3601">
        <v>69</v>
      </c>
      <c r="E3601">
        <v>15</v>
      </c>
      <c r="F3601">
        <v>10</v>
      </c>
      <c r="G3601">
        <v>16</v>
      </c>
      <c r="H3601">
        <v>0</v>
      </c>
      <c r="I3601">
        <v>0</v>
      </c>
      <c r="J3601">
        <v>26</v>
      </c>
      <c r="K3601" t="s">
        <v>247</v>
      </c>
    </row>
    <row r="3602" spans="2:11" x14ac:dyDescent="0.25">
      <c r="B3602">
        <v>4592</v>
      </c>
      <c r="C3602">
        <v>243</v>
      </c>
      <c r="D3602">
        <v>108</v>
      </c>
      <c r="E3602">
        <v>16</v>
      </c>
      <c r="F3602">
        <v>6</v>
      </c>
      <c r="G3602">
        <v>2</v>
      </c>
      <c r="H3602">
        <v>2</v>
      </c>
      <c r="I3602">
        <v>0</v>
      </c>
      <c r="J3602">
        <v>10</v>
      </c>
      <c r="K3602" t="s">
        <v>246</v>
      </c>
    </row>
    <row r="3603" spans="2:11" x14ac:dyDescent="0.25">
      <c r="B3603">
        <v>4595</v>
      </c>
      <c r="C3603">
        <v>2</v>
      </c>
      <c r="D3603">
        <v>1</v>
      </c>
      <c r="E3603">
        <v>16</v>
      </c>
      <c r="F3603">
        <v>3</v>
      </c>
      <c r="G3603">
        <v>1</v>
      </c>
      <c r="H3603">
        <v>1</v>
      </c>
      <c r="I3603">
        <v>0</v>
      </c>
      <c r="J3603">
        <v>5</v>
      </c>
      <c r="K3603" t="s">
        <v>251</v>
      </c>
    </row>
    <row r="3604" spans="2:11" x14ac:dyDescent="0.25">
      <c r="B3604">
        <v>4594</v>
      </c>
      <c r="C3604">
        <v>147</v>
      </c>
      <c r="D3604">
        <v>66</v>
      </c>
      <c r="E3604">
        <v>17</v>
      </c>
      <c r="F3604">
        <v>26</v>
      </c>
      <c r="G3604">
        <v>3</v>
      </c>
      <c r="H3604">
        <v>0</v>
      </c>
      <c r="I3604">
        <v>0</v>
      </c>
      <c r="J3604">
        <v>29</v>
      </c>
      <c r="K3604" t="s">
        <v>247</v>
      </c>
    </row>
    <row r="3605" spans="2:11" x14ac:dyDescent="0.25">
      <c r="B3605">
        <v>4599</v>
      </c>
      <c r="C3605">
        <v>33</v>
      </c>
      <c r="D3605">
        <v>17</v>
      </c>
      <c r="E3605">
        <v>16</v>
      </c>
      <c r="F3605">
        <v>6</v>
      </c>
      <c r="G3605">
        <v>6</v>
      </c>
      <c r="H3605">
        <v>0</v>
      </c>
      <c r="I3605">
        <v>0</v>
      </c>
      <c r="J3605">
        <v>12</v>
      </c>
      <c r="K3605" t="s">
        <v>245</v>
      </c>
    </row>
    <row r="3606" spans="2:11" x14ac:dyDescent="0.25">
      <c r="B3606">
        <v>4598</v>
      </c>
      <c r="C3606">
        <v>115</v>
      </c>
      <c r="D3606">
        <v>53</v>
      </c>
      <c r="E3606">
        <v>18</v>
      </c>
      <c r="F3606">
        <v>9</v>
      </c>
      <c r="G3606">
        <v>18</v>
      </c>
      <c r="H3606">
        <v>0</v>
      </c>
      <c r="I3606">
        <v>0</v>
      </c>
      <c r="J3606">
        <v>27</v>
      </c>
      <c r="K3606" t="s">
        <v>246</v>
      </c>
    </row>
    <row r="3607" spans="2:11" x14ac:dyDescent="0.25">
      <c r="B3607">
        <v>4600</v>
      </c>
      <c r="C3607">
        <v>146</v>
      </c>
      <c r="D3607">
        <v>65</v>
      </c>
      <c r="E3607">
        <v>17</v>
      </c>
      <c r="F3607">
        <v>6</v>
      </c>
      <c r="G3607">
        <v>0</v>
      </c>
      <c r="H3607">
        <v>0</v>
      </c>
      <c r="I3607">
        <v>0</v>
      </c>
      <c r="J3607">
        <v>6</v>
      </c>
      <c r="K3607" t="s">
        <v>247</v>
      </c>
    </row>
    <row r="3608" spans="2:11" x14ac:dyDescent="0.25">
      <c r="B3608">
        <v>4601</v>
      </c>
      <c r="C3608">
        <v>31</v>
      </c>
      <c r="D3608">
        <v>17</v>
      </c>
      <c r="E3608">
        <v>16</v>
      </c>
      <c r="F3608">
        <v>5</v>
      </c>
      <c r="G3608">
        <v>6</v>
      </c>
      <c r="H3608">
        <v>0</v>
      </c>
      <c r="I3608">
        <v>0</v>
      </c>
      <c r="J3608">
        <v>11</v>
      </c>
      <c r="K3608" t="s">
        <v>245</v>
      </c>
    </row>
    <row r="3609" spans="2:11" x14ac:dyDescent="0.25">
      <c r="B3609">
        <v>4602</v>
      </c>
      <c r="C3609">
        <v>145</v>
      </c>
      <c r="D3609">
        <v>65</v>
      </c>
      <c r="E3609">
        <v>17</v>
      </c>
      <c r="F3609">
        <v>12</v>
      </c>
      <c r="G3609">
        <v>10</v>
      </c>
      <c r="H3609">
        <v>0</v>
      </c>
      <c r="I3609">
        <v>0</v>
      </c>
      <c r="J3609">
        <v>22</v>
      </c>
      <c r="K3609" t="s">
        <v>247</v>
      </c>
    </row>
    <row r="3610" spans="2:11" x14ac:dyDescent="0.25">
      <c r="B3610">
        <v>4604</v>
      </c>
      <c r="C3610">
        <v>129</v>
      </c>
      <c r="D3610">
        <v>57</v>
      </c>
      <c r="E3610">
        <v>16</v>
      </c>
      <c r="F3610">
        <v>11</v>
      </c>
      <c r="G3610">
        <v>0</v>
      </c>
      <c r="H3610">
        <v>1</v>
      </c>
      <c r="I3610">
        <v>0</v>
      </c>
      <c r="J3610">
        <v>12</v>
      </c>
      <c r="K3610" t="s">
        <v>251</v>
      </c>
    </row>
    <row r="3611" spans="2:11" x14ac:dyDescent="0.25">
      <c r="B3611">
        <v>4608</v>
      </c>
      <c r="C3611">
        <v>45</v>
      </c>
      <c r="D3611">
        <v>23</v>
      </c>
      <c r="E3611">
        <v>15</v>
      </c>
      <c r="F3611">
        <v>15</v>
      </c>
      <c r="G3611">
        <v>4</v>
      </c>
      <c r="H3611">
        <v>0</v>
      </c>
      <c r="I3611">
        <v>0</v>
      </c>
      <c r="J3611">
        <v>19</v>
      </c>
      <c r="K3611" t="s">
        <v>245</v>
      </c>
    </row>
    <row r="3612" spans="2:11" x14ac:dyDescent="0.25">
      <c r="B3612">
        <v>4609</v>
      </c>
      <c r="C3612">
        <v>143</v>
      </c>
      <c r="D3612">
        <v>63</v>
      </c>
      <c r="E3612">
        <v>17</v>
      </c>
      <c r="F3612">
        <v>5</v>
      </c>
      <c r="G3612">
        <v>6</v>
      </c>
      <c r="H3612">
        <v>0</v>
      </c>
      <c r="I3612">
        <v>0</v>
      </c>
      <c r="J3612">
        <v>11</v>
      </c>
      <c r="K3612" t="s">
        <v>247</v>
      </c>
    </row>
    <row r="3613" spans="2:11" x14ac:dyDescent="0.25">
      <c r="B3613">
        <v>4611</v>
      </c>
      <c r="C3613">
        <v>44</v>
      </c>
      <c r="D3613">
        <v>22</v>
      </c>
      <c r="E3613">
        <v>15</v>
      </c>
      <c r="F3613">
        <v>0</v>
      </c>
      <c r="G3613">
        <v>0</v>
      </c>
      <c r="H3613">
        <v>0</v>
      </c>
      <c r="I3613">
        <v>0</v>
      </c>
      <c r="J3613">
        <v>0</v>
      </c>
      <c r="K3613" t="s">
        <v>245</v>
      </c>
    </row>
    <row r="3614" spans="2:11" x14ac:dyDescent="0.25">
      <c r="B3614">
        <v>4612</v>
      </c>
      <c r="C3614">
        <v>90</v>
      </c>
      <c r="D3614">
        <v>45</v>
      </c>
      <c r="E3614">
        <v>15</v>
      </c>
      <c r="F3614">
        <v>4</v>
      </c>
      <c r="G3614">
        <v>6</v>
      </c>
      <c r="H3614">
        <v>0</v>
      </c>
      <c r="I3614">
        <v>0</v>
      </c>
      <c r="J3614">
        <v>10</v>
      </c>
      <c r="K3614" t="s">
        <v>246</v>
      </c>
    </row>
    <row r="3615" spans="2:11" x14ac:dyDescent="0.25">
      <c r="B3615">
        <v>4615</v>
      </c>
      <c r="C3615">
        <v>142</v>
      </c>
      <c r="D3615">
        <v>62</v>
      </c>
      <c r="E3615">
        <v>17</v>
      </c>
      <c r="F3615">
        <v>10</v>
      </c>
      <c r="G3615">
        <v>1</v>
      </c>
      <c r="H3615">
        <v>0</v>
      </c>
      <c r="I3615">
        <v>0</v>
      </c>
      <c r="J3615">
        <v>11</v>
      </c>
      <c r="K3615" t="s">
        <v>247</v>
      </c>
    </row>
    <row r="3616" spans="2:11" x14ac:dyDescent="0.25">
      <c r="B3616">
        <v>4617</v>
      </c>
      <c r="C3616">
        <v>286</v>
      </c>
      <c r="D3616">
        <v>133</v>
      </c>
      <c r="E3616">
        <v>17</v>
      </c>
      <c r="F3616">
        <v>20</v>
      </c>
      <c r="G3616">
        <v>0</v>
      </c>
      <c r="H3616">
        <v>0</v>
      </c>
      <c r="I3616">
        <v>0</v>
      </c>
      <c r="J3616">
        <v>20</v>
      </c>
      <c r="K3616" t="s">
        <v>251</v>
      </c>
    </row>
    <row r="3617" spans="2:11" x14ac:dyDescent="0.25">
      <c r="B3617">
        <v>4618</v>
      </c>
      <c r="C3617">
        <v>90</v>
      </c>
      <c r="D3617">
        <v>45</v>
      </c>
      <c r="E3617">
        <v>16</v>
      </c>
      <c r="F3617">
        <v>7</v>
      </c>
      <c r="G3617">
        <v>15</v>
      </c>
      <c r="H3617">
        <v>0</v>
      </c>
      <c r="I3617">
        <v>0</v>
      </c>
      <c r="J3617">
        <v>22</v>
      </c>
      <c r="K3617" t="s">
        <v>246</v>
      </c>
    </row>
    <row r="3618" spans="2:11" x14ac:dyDescent="0.25">
      <c r="B3618">
        <v>4620</v>
      </c>
      <c r="C3618">
        <v>154</v>
      </c>
      <c r="D3618">
        <v>69</v>
      </c>
      <c r="E3618">
        <v>17</v>
      </c>
      <c r="F3618">
        <v>6</v>
      </c>
      <c r="G3618">
        <v>7</v>
      </c>
      <c r="H3618">
        <v>0</v>
      </c>
      <c r="I3618">
        <v>0</v>
      </c>
      <c r="J3618">
        <v>13</v>
      </c>
      <c r="K3618" t="s">
        <v>247</v>
      </c>
    </row>
    <row r="3619" spans="2:11" x14ac:dyDescent="0.25">
      <c r="B3619">
        <v>4621</v>
      </c>
      <c r="C3619">
        <v>42</v>
      </c>
      <c r="D3619">
        <v>21</v>
      </c>
      <c r="E3619">
        <v>15</v>
      </c>
      <c r="F3619">
        <v>6</v>
      </c>
      <c r="G3619">
        <v>4</v>
      </c>
      <c r="H3619">
        <v>0</v>
      </c>
      <c r="I3619">
        <v>0</v>
      </c>
      <c r="J3619">
        <v>10</v>
      </c>
      <c r="K3619" t="s">
        <v>245</v>
      </c>
    </row>
    <row r="3620" spans="2:11" x14ac:dyDescent="0.25">
      <c r="B3620">
        <v>4622</v>
      </c>
      <c r="C3620">
        <v>90</v>
      </c>
      <c r="D3620">
        <v>45</v>
      </c>
      <c r="E3620">
        <v>17</v>
      </c>
      <c r="F3620">
        <v>8</v>
      </c>
      <c r="G3620">
        <v>4</v>
      </c>
      <c r="H3620">
        <v>0</v>
      </c>
      <c r="I3620">
        <v>0</v>
      </c>
      <c r="J3620">
        <v>12</v>
      </c>
      <c r="K3620" t="s">
        <v>246</v>
      </c>
    </row>
    <row r="3621" spans="2:11" x14ac:dyDescent="0.25">
      <c r="B3621">
        <v>4625</v>
      </c>
      <c r="C3621">
        <v>41</v>
      </c>
      <c r="D3621">
        <v>20</v>
      </c>
      <c r="E3621">
        <v>15</v>
      </c>
      <c r="F3621">
        <v>4</v>
      </c>
      <c r="G3621">
        <v>2</v>
      </c>
      <c r="H3621">
        <v>0</v>
      </c>
      <c r="I3621">
        <v>0</v>
      </c>
      <c r="J3621">
        <v>6</v>
      </c>
      <c r="K3621" t="s">
        <v>245</v>
      </c>
    </row>
    <row r="3622" spans="2:11" x14ac:dyDescent="0.25">
      <c r="B3622">
        <v>4624</v>
      </c>
      <c r="C3622">
        <v>279</v>
      </c>
      <c r="D3622">
        <v>129</v>
      </c>
      <c r="E3622">
        <v>17</v>
      </c>
      <c r="F3622">
        <v>10</v>
      </c>
      <c r="G3622">
        <v>16</v>
      </c>
      <c r="H3622">
        <v>0</v>
      </c>
      <c r="I3622">
        <v>0</v>
      </c>
      <c r="J3622">
        <v>26</v>
      </c>
      <c r="K3622" t="s">
        <v>251</v>
      </c>
    </row>
    <row r="3623" spans="2:11" x14ac:dyDescent="0.25">
      <c r="B3623">
        <v>4626</v>
      </c>
      <c r="C3623">
        <v>89</v>
      </c>
      <c r="D3623">
        <v>44</v>
      </c>
      <c r="E3623">
        <v>16</v>
      </c>
      <c r="F3623">
        <v>15</v>
      </c>
      <c r="G3623">
        <v>8</v>
      </c>
      <c r="H3623">
        <v>0</v>
      </c>
      <c r="I3623">
        <v>0</v>
      </c>
      <c r="J3623">
        <v>23</v>
      </c>
      <c r="K3623" t="s">
        <v>246</v>
      </c>
    </row>
    <row r="3624" spans="2:11" x14ac:dyDescent="0.25">
      <c r="B3624">
        <v>4627</v>
      </c>
      <c r="C3624">
        <v>40</v>
      </c>
      <c r="D3624">
        <v>19</v>
      </c>
      <c r="E3624">
        <v>15</v>
      </c>
      <c r="F3624">
        <v>10</v>
      </c>
      <c r="G3624">
        <v>0</v>
      </c>
      <c r="H3624">
        <v>0</v>
      </c>
      <c r="I3624">
        <v>0</v>
      </c>
      <c r="J3624">
        <v>10</v>
      </c>
      <c r="K3624" t="s">
        <v>245</v>
      </c>
    </row>
    <row r="3625" spans="2:11" x14ac:dyDescent="0.25">
      <c r="B3625">
        <v>4629</v>
      </c>
      <c r="C3625">
        <v>279</v>
      </c>
      <c r="D3625">
        <v>129</v>
      </c>
      <c r="E3625">
        <v>16</v>
      </c>
      <c r="F3625">
        <v>10</v>
      </c>
      <c r="G3625">
        <v>14</v>
      </c>
      <c r="H3625">
        <v>0</v>
      </c>
      <c r="I3625">
        <v>0</v>
      </c>
      <c r="J3625">
        <v>24</v>
      </c>
      <c r="K3625" t="s">
        <v>251</v>
      </c>
    </row>
    <row r="3626" spans="2:11" x14ac:dyDescent="0.25">
      <c r="B3626">
        <v>4630</v>
      </c>
      <c r="C3626">
        <v>39</v>
      </c>
      <c r="D3626">
        <v>19</v>
      </c>
      <c r="E3626">
        <v>15</v>
      </c>
      <c r="F3626">
        <v>2</v>
      </c>
      <c r="G3626">
        <v>6</v>
      </c>
      <c r="H3626">
        <v>0</v>
      </c>
      <c r="I3626">
        <v>0</v>
      </c>
      <c r="J3626">
        <v>8</v>
      </c>
      <c r="K3626" t="s">
        <v>245</v>
      </c>
    </row>
    <row r="3627" spans="2:11" x14ac:dyDescent="0.25">
      <c r="B3627">
        <v>4632</v>
      </c>
      <c r="C3627">
        <v>89</v>
      </c>
      <c r="D3627">
        <v>44</v>
      </c>
      <c r="E3627">
        <v>17</v>
      </c>
      <c r="F3627">
        <v>14</v>
      </c>
      <c r="G3627">
        <v>12</v>
      </c>
      <c r="H3627">
        <v>0</v>
      </c>
      <c r="I3627">
        <v>0</v>
      </c>
      <c r="J3627">
        <v>26</v>
      </c>
      <c r="K3627" t="s">
        <v>246</v>
      </c>
    </row>
    <row r="3628" spans="2:11" x14ac:dyDescent="0.25">
      <c r="B3628">
        <v>4636</v>
      </c>
      <c r="C3628">
        <v>33</v>
      </c>
      <c r="D3628">
        <v>17</v>
      </c>
      <c r="E3628">
        <v>15</v>
      </c>
      <c r="F3628">
        <v>14</v>
      </c>
      <c r="G3628">
        <v>13</v>
      </c>
      <c r="H3628">
        <v>0</v>
      </c>
      <c r="I3628">
        <v>0</v>
      </c>
      <c r="J3628">
        <v>27</v>
      </c>
      <c r="K3628" t="s">
        <v>245</v>
      </c>
    </row>
    <row r="3629" spans="2:11" x14ac:dyDescent="0.25">
      <c r="B3629">
        <v>4638</v>
      </c>
      <c r="C3629">
        <v>9</v>
      </c>
      <c r="D3629">
        <v>3</v>
      </c>
      <c r="E3629">
        <v>17</v>
      </c>
      <c r="F3629">
        <v>26</v>
      </c>
      <c r="G3629">
        <v>4</v>
      </c>
      <c r="H3629">
        <v>0</v>
      </c>
      <c r="I3629">
        <v>0</v>
      </c>
      <c r="J3629">
        <v>30</v>
      </c>
      <c r="K3629" t="s">
        <v>246</v>
      </c>
    </row>
    <row r="3630" spans="2:11" x14ac:dyDescent="0.25">
      <c r="B3630">
        <v>4633</v>
      </c>
      <c r="C3630">
        <v>299</v>
      </c>
      <c r="D3630">
        <v>137</v>
      </c>
      <c r="E3630">
        <v>17</v>
      </c>
      <c r="F3630">
        <v>2</v>
      </c>
      <c r="G3630">
        <v>2</v>
      </c>
      <c r="H3630">
        <v>0</v>
      </c>
      <c r="I3630">
        <v>0</v>
      </c>
      <c r="J3630">
        <v>4</v>
      </c>
      <c r="K3630" t="s">
        <v>251</v>
      </c>
    </row>
    <row r="3631" spans="2:11" x14ac:dyDescent="0.25">
      <c r="B3631">
        <v>4640</v>
      </c>
      <c r="C3631">
        <v>31</v>
      </c>
      <c r="D3631">
        <v>17</v>
      </c>
      <c r="E3631">
        <v>15</v>
      </c>
      <c r="F3631">
        <v>12</v>
      </c>
      <c r="G3631">
        <v>7</v>
      </c>
      <c r="H3631">
        <v>0</v>
      </c>
      <c r="I3631">
        <v>0</v>
      </c>
      <c r="J3631">
        <v>19</v>
      </c>
      <c r="K3631" t="s">
        <v>245</v>
      </c>
    </row>
    <row r="3632" spans="2:11" x14ac:dyDescent="0.25">
      <c r="B3632">
        <v>4641</v>
      </c>
      <c r="C3632">
        <v>8</v>
      </c>
      <c r="D3632">
        <v>3</v>
      </c>
      <c r="E3632">
        <v>17</v>
      </c>
      <c r="F3632">
        <v>12</v>
      </c>
      <c r="G3632">
        <v>11</v>
      </c>
      <c r="H3632">
        <v>0</v>
      </c>
      <c r="I3632">
        <v>0</v>
      </c>
      <c r="J3632">
        <v>23</v>
      </c>
      <c r="K3632" t="s">
        <v>246</v>
      </c>
    </row>
    <row r="3633" spans="2:11" x14ac:dyDescent="0.25">
      <c r="B3633">
        <v>4642</v>
      </c>
      <c r="C3633">
        <v>272</v>
      </c>
      <c r="D3633">
        <v>123</v>
      </c>
      <c r="E3633">
        <v>17</v>
      </c>
      <c r="F3633">
        <v>10</v>
      </c>
      <c r="G3633">
        <v>16</v>
      </c>
      <c r="H3633">
        <v>3</v>
      </c>
      <c r="I3633">
        <v>0</v>
      </c>
      <c r="J3633">
        <v>29</v>
      </c>
      <c r="K3633" t="s">
        <v>246</v>
      </c>
    </row>
    <row r="3634" spans="2:11" x14ac:dyDescent="0.25">
      <c r="B3634">
        <v>4645</v>
      </c>
      <c r="C3634">
        <v>272</v>
      </c>
      <c r="D3634">
        <v>123</v>
      </c>
      <c r="E3634">
        <v>16</v>
      </c>
      <c r="F3634">
        <v>17</v>
      </c>
      <c r="G3634">
        <v>13</v>
      </c>
      <c r="H3634">
        <v>0</v>
      </c>
      <c r="I3634">
        <v>0</v>
      </c>
      <c r="J3634">
        <v>30</v>
      </c>
      <c r="K3634" t="s">
        <v>246</v>
      </c>
    </row>
    <row r="3635" spans="2:11" x14ac:dyDescent="0.25">
      <c r="B3635">
        <v>4646</v>
      </c>
      <c r="C3635">
        <v>158</v>
      </c>
      <c r="D3635">
        <v>69</v>
      </c>
      <c r="E3635">
        <v>18</v>
      </c>
      <c r="F3635">
        <v>9</v>
      </c>
      <c r="G3635">
        <v>18</v>
      </c>
      <c r="H3635">
        <v>0</v>
      </c>
      <c r="I3635">
        <v>0</v>
      </c>
      <c r="J3635">
        <v>27</v>
      </c>
      <c r="K3635" t="s">
        <v>250</v>
      </c>
    </row>
    <row r="3636" spans="2:11" x14ac:dyDescent="0.25">
      <c r="B3636">
        <v>4649</v>
      </c>
      <c r="C3636">
        <v>90</v>
      </c>
      <c r="D3636">
        <v>45</v>
      </c>
      <c r="E3636">
        <v>12</v>
      </c>
      <c r="F3636">
        <v>22</v>
      </c>
      <c r="G3636">
        <v>8</v>
      </c>
      <c r="H3636">
        <v>0</v>
      </c>
      <c r="I3636">
        <v>0</v>
      </c>
      <c r="J3636">
        <v>30</v>
      </c>
      <c r="K3636" t="s">
        <v>241</v>
      </c>
    </row>
    <row r="3637" spans="2:11" x14ac:dyDescent="0.25">
      <c r="B3637">
        <v>4647</v>
      </c>
      <c r="C3637">
        <v>279</v>
      </c>
      <c r="D3637">
        <v>129</v>
      </c>
      <c r="E3637">
        <v>15</v>
      </c>
      <c r="F3637">
        <v>6</v>
      </c>
      <c r="G3637">
        <v>21</v>
      </c>
      <c r="H3637">
        <v>0</v>
      </c>
      <c r="I3637">
        <v>0</v>
      </c>
      <c r="J3637">
        <v>27</v>
      </c>
      <c r="K3637" t="s">
        <v>251</v>
      </c>
    </row>
    <row r="3638" spans="2:11" x14ac:dyDescent="0.25">
      <c r="B3638">
        <v>4650</v>
      </c>
      <c r="C3638">
        <v>158</v>
      </c>
      <c r="D3638">
        <v>69</v>
      </c>
      <c r="E3638">
        <v>16</v>
      </c>
      <c r="F3638">
        <v>10</v>
      </c>
      <c r="G3638">
        <v>20</v>
      </c>
      <c r="H3638">
        <v>0</v>
      </c>
      <c r="I3638">
        <v>0</v>
      </c>
      <c r="J3638">
        <v>30</v>
      </c>
      <c r="K3638" t="s">
        <v>250</v>
      </c>
    </row>
    <row r="3639" spans="2:11" x14ac:dyDescent="0.25">
      <c r="B3639">
        <v>4652</v>
      </c>
      <c r="C3639">
        <v>294</v>
      </c>
      <c r="D3639">
        <v>136</v>
      </c>
      <c r="E3639">
        <v>17</v>
      </c>
      <c r="F3639">
        <v>11</v>
      </c>
      <c r="G3639">
        <v>2</v>
      </c>
      <c r="H3639">
        <v>0</v>
      </c>
      <c r="I3639">
        <v>0</v>
      </c>
      <c r="J3639">
        <v>13</v>
      </c>
      <c r="K3639" t="s">
        <v>246</v>
      </c>
    </row>
    <row r="3640" spans="2:11" x14ac:dyDescent="0.25">
      <c r="B3640">
        <v>4653</v>
      </c>
      <c r="C3640">
        <v>329</v>
      </c>
      <c r="D3640">
        <v>152</v>
      </c>
      <c r="E3640">
        <v>17</v>
      </c>
      <c r="F3640">
        <v>24</v>
      </c>
      <c r="G3640">
        <v>6</v>
      </c>
      <c r="H3640">
        <v>0</v>
      </c>
      <c r="I3640">
        <v>0</v>
      </c>
      <c r="J3640">
        <v>30</v>
      </c>
      <c r="K3640" t="s">
        <v>250</v>
      </c>
    </row>
    <row r="3641" spans="2:11" x14ac:dyDescent="0.25">
      <c r="B3641">
        <v>4657</v>
      </c>
      <c r="C3641">
        <v>21</v>
      </c>
      <c r="D3641">
        <v>10</v>
      </c>
      <c r="E3641">
        <v>17</v>
      </c>
      <c r="F3641">
        <v>5</v>
      </c>
      <c r="G3641">
        <v>3</v>
      </c>
      <c r="H3641">
        <v>0</v>
      </c>
      <c r="I3641">
        <v>0</v>
      </c>
      <c r="J3641">
        <v>8</v>
      </c>
      <c r="K3641" t="s">
        <v>250</v>
      </c>
    </row>
    <row r="3642" spans="2:11" x14ac:dyDescent="0.25">
      <c r="B3642">
        <v>4658</v>
      </c>
      <c r="C3642">
        <v>337</v>
      </c>
      <c r="D3642">
        <v>152</v>
      </c>
      <c r="E3642">
        <v>17</v>
      </c>
      <c r="F3642">
        <v>16</v>
      </c>
      <c r="G3642">
        <v>14</v>
      </c>
      <c r="H3642">
        <v>0</v>
      </c>
      <c r="I3642">
        <v>0</v>
      </c>
      <c r="J3642">
        <v>30</v>
      </c>
      <c r="K3642" t="s">
        <v>245</v>
      </c>
    </row>
    <row r="3643" spans="2:11" x14ac:dyDescent="0.25">
      <c r="B3643">
        <v>4660</v>
      </c>
      <c r="C3643">
        <v>299</v>
      </c>
      <c r="D3643">
        <v>137</v>
      </c>
      <c r="E3643">
        <v>18</v>
      </c>
      <c r="F3643">
        <v>13</v>
      </c>
      <c r="G3643">
        <v>10</v>
      </c>
      <c r="H3643">
        <v>0</v>
      </c>
      <c r="I3643">
        <v>0</v>
      </c>
      <c r="J3643">
        <v>23</v>
      </c>
      <c r="K3643" t="s">
        <v>245</v>
      </c>
    </row>
    <row r="3644" spans="2:11" x14ac:dyDescent="0.25">
      <c r="B3644">
        <v>4661</v>
      </c>
      <c r="C3644">
        <v>141</v>
      </c>
      <c r="D3644">
        <v>62</v>
      </c>
      <c r="E3644">
        <v>17</v>
      </c>
      <c r="F3644">
        <v>6</v>
      </c>
      <c r="G3644">
        <v>5</v>
      </c>
      <c r="H3644">
        <v>0</v>
      </c>
      <c r="I3644">
        <v>0</v>
      </c>
      <c r="J3644">
        <v>11</v>
      </c>
      <c r="K3644" t="s">
        <v>245</v>
      </c>
    </row>
    <row r="3645" spans="2:11" x14ac:dyDescent="0.25">
      <c r="B3645">
        <v>4662</v>
      </c>
      <c r="C3645">
        <v>140</v>
      </c>
      <c r="D3645">
        <v>62</v>
      </c>
      <c r="E3645">
        <v>17</v>
      </c>
      <c r="F3645">
        <v>17</v>
      </c>
      <c r="G3645">
        <v>3</v>
      </c>
      <c r="H3645">
        <v>1</v>
      </c>
      <c r="I3645">
        <v>0</v>
      </c>
      <c r="J3645">
        <v>21</v>
      </c>
      <c r="K3645" t="s">
        <v>245</v>
      </c>
    </row>
    <row r="3646" spans="2:11" x14ac:dyDescent="0.25">
      <c r="B3646">
        <v>4663</v>
      </c>
      <c r="C3646">
        <v>150</v>
      </c>
      <c r="D3646">
        <v>69</v>
      </c>
      <c r="E3646">
        <v>17</v>
      </c>
      <c r="F3646">
        <v>7</v>
      </c>
      <c r="G3646">
        <v>3</v>
      </c>
      <c r="H3646">
        <v>0</v>
      </c>
      <c r="I3646">
        <v>0</v>
      </c>
      <c r="J3646">
        <v>10</v>
      </c>
      <c r="K3646" t="s">
        <v>245</v>
      </c>
    </row>
    <row r="3647" spans="2:11" x14ac:dyDescent="0.25">
      <c r="B3647">
        <v>4665</v>
      </c>
      <c r="C3647">
        <v>134</v>
      </c>
      <c r="D3647">
        <v>60</v>
      </c>
      <c r="E3647">
        <v>16</v>
      </c>
      <c r="F3647">
        <v>5</v>
      </c>
      <c r="G3647">
        <v>6</v>
      </c>
      <c r="H3647">
        <v>8</v>
      </c>
      <c r="I3647">
        <v>0</v>
      </c>
      <c r="J3647">
        <v>19</v>
      </c>
      <c r="K3647" t="s">
        <v>246</v>
      </c>
    </row>
    <row r="3648" spans="2:11" x14ac:dyDescent="0.25">
      <c r="B3648">
        <v>4668</v>
      </c>
      <c r="C3648">
        <v>11</v>
      </c>
      <c r="D3648">
        <v>3</v>
      </c>
      <c r="E3648">
        <v>17</v>
      </c>
      <c r="F3648">
        <v>11</v>
      </c>
      <c r="G3648">
        <v>0</v>
      </c>
      <c r="H3648">
        <v>0</v>
      </c>
      <c r="I3648">
        <v>0</v>
      </c>
      <c r="J3648">
        <v>11</v>
      </c>
      <c r="K3648" t="s">
        <v>251</v>
      </c>
    </row>
    <row r="3649" spans="2:11" x14ac:dyDescent="0.25">
      <c r="B3649">
        <v>4669</v>
      </c>
      <c r="C3649">
        <v>134</v>
      </c>
      <c r="D3649">
        <v>60</v>
      </c>
      <c r="E3649">
        <v>17</v>
      </c>
      <c r="F3649">
        <v>3</v>
      </c>
      <c r="G3649">
        <v>5</v>
      </c>
      <c r="H3649">
        <v>12</v>
      </c>
      <c r="I3649">
        <v>0</v>
      </c>
      <c r="J3649">
        <v>20</v>
      </c>
      <c r="K3649" t="s">
        <v>246</v>
      </c>
    </row>
    <row r="3650" spans="2:11" x14ac:dyDescent="0.25">
      <c r="B3650">
        <v>4671</v>
      </c>
      <c r="C3650">
        <v>97</v>
      </c>
      <c r="D3650">
        <v>48</v>
      </c>
      <c r="E3650">
        <v>16</v>
      </c>
      <c r="F3650">
        <v>13</v>
      </c>
      <c r="G3650">
        <v>9</v>
      </c>
      <c r="H3650">
        <v>0</v>
      </c>
      <c r="I3650">
        <v>0</v>
      </c>
      <c r="J3650">
        <v>22</v>
      </c>
      <c r="K3650" t="s">
        <v>251</v>
      </c>
    </row>
    <row r="3651" spans="2:11" x14ac:dyDescent="0.25">
      <c r="B3651">
        <v>4672</v>
      </c>
      <c r="C3651">
        <v>297</v>
      </c>
      <c r="D3651">
        <v>136</v>
      </c>
      <c r="E3651">
        <v>18</v>
      </c>
      <c r="F3651">
        <v>2</v>
      </c>
      <c r="G3651">
        <v>0</v>
      </c>
      <c r="H3651">
        <v>0</v>
      </c>
      <c r="I3651">
        <v>0</v>
      </c>
      <c r="J3651">
        <v>2</v>
      </c>
      <c r="K3651" t="s">
        <v>245</v>
      </c>
    </row>
    <row r="3652" spans="2:11" x14ac:dyDescent="0.25">
      <c r="B3652">
        <v>4674</v>
      </c>
      <c r="C3652">
        <v>312</v>
      </c>
      <c r="D3652">
        <v>144</v>
      </c>
      <c r="E3652">
        <v>17</v>
      </c>
      <c r="F3652">
        <v>4</v>
      </c>
      <c r="G3652">
        <v>1</v>
      </c>
      <c r="H3652">
        <v>0</v>
      </c>
      <c r="I3652">
        <v>0</v>
      </c>
      <c r="J3652">
        <v>5</v>
      </c>
      <c r="K3652" t="s">
        <v>245</v>
      </c>
    </row>
    <row r="3653" spans="2:11" x14ac:dyDescent="0.25">
      <c r="B3653">
        <v>4677</v>
      </c>
      <c r="C3653">
        <v>292</v>
      </c>
      <c r="D3653">
        <v>135</v>
      </c>
      <c r="E3653">
        <v>17</v>
      </c>
      <c r="F3653">
        <v>10</v>
      </c>
      <c r="G3653">
        <v>4</v>
      </c>
      <c r="H3653">
        <v>0</v>
      </c>
      <c r="I3653">
        <v>0</v>
      </c>
      <c r="J3653">
        <v>14</v>
      </c>
      <c r="K3653" t="s">
        <v>245</v>
      </c>
    </row>
    <row r="3654" spans="2:11" x14ac:dyDescent="0.25">
      <c r="B3654">
        <v>4678</v>
      </c>
      <c r="C3654">
        <v>112</v>
      </c>
      <c r="D3654">
        <v>51</v>
      </c>
      <c r="E3654">
        <v>18</v>
      </c>
      <c r="F3654">
        <v>21</v>
      </c>
      <c r="G3654">
        <v>8</v>
      </c>
      <c r="H3654">
        <v>0</v>
      </c>
      <c r="I3654">
        <v>0</v>
      </c>
      <c r="J3654">
        <v>29</v>
      </c>
      <c r="K3654" t="s">
        <v>251</v>
      </c>
    </row>
    <row r="3655" spans="2:11" x14ac:dyDescent="0.25">
      <c r="B3655">
        <v>4679</v>
      </c>
      <c r="C3655">
        <v>136</v>
      </c>
      <c r="D3655">
        <v>60</v>
      </c>
      <c r="E3655">
        <v>18</v>
      </c>
      <c r="F3655">
        <v>5</v>
      </c>
      <c r="G3655">
        <v>4</v>
      </c>
      <c r="H3655">
        <v>8</v>
      </c>
      <c r="I3655">
        <v>0</v>
      </c>
      <c r="J3655">
        <v>17</v>
      </c>
      <c r="K3655" t="s">
        <v>245</v>
      </c>
    </row>
    <row r="3656" spans="2:11" x14ac:dyDescent="0.25">
      <c r="B3656">
        <v>4682</v>
      </c>
      <c r="C3656">
        <v>137</v>
      </c>
      <c r="D3656">
        <v>60</v>
      </c>
      <c r="E3656">
        <v>18</v>
      </c>
      <c r="F3656">
        <v>3</v>
      </c>
      <c r="G3656">
        <v>8</v>
      </c>
      <c r="H3656">
        <v>5</v>
      </c>
      <c r="I3656">
        <v>0</v>
      </c>
      <c r="J3656">
        <v>16</v>
      </c>
      <c r="K3656" t="s">
        <v>245</v>
      </c>
    </row>
    <row r="3657" spans="2:11" x14ac:dyDescent="0.25">
      <c r="B3657">
        <v>5010</v>
      </c>
      <c r="C3657">
        <v>269</v>
      </c>
      <c r="D3657">
        <v>121</v>
      </c>
      <c r="E3657">
        <v>18</v>
      </c>
      <c r="F3657">
        <v>9</v>
      </c>
      <c r="G3657">
        <v>10</v>
      </c>
      <c r="H3657">
        <v>1</v>
      </c>
      <c r="I3657">
        <v>0</v>
      </c>
      <c r="J3657">
        <v>20</v>
      </c>
      <c r="K3657" t="s">
        <v>246</v>
      </c>
    </row>
    <row r="3658" spans="2:11" x14ac:dyDescent="0.25">
      <c r="B3658">
        <v>5014</v>
      </c>
      <c r="C3658">
        <v>337</v>
      </c>
      <c r="D3658">
        <v>152</v>
      </c>
      <c r="E3658">
        <v>18</v>
      </c>
      <c r="F3658">
        <v>15</v>
      </c>
      <c r="G3658">
        <v>15</v>
      </c>
      <c r="H3658">
        <v>0</v>
      </c>
      <c r="I3658">
        <v>0</v>
      </c>
      <c r="J3658">
        <v>30</v>
      </c>
      <c r="K3658" t="s">
        <v>248</v>
      </c>
    </row>
    <row r="3659" spans="2:11" x14ac:dyDescent="0.25">
      <c r="B3659">
        <v>5017</v>
      </c>
      <c r="C3659">
        <v>270</v>
      </c>
      <c r="D3659">
        <v>122</v>
      </c>
      <c r="E3659">
        <v>18</v>
      </c>
      <c r="F3659">
        <v>6</v>
      </c>
      <c r="G3659">
        <v>20</v>
      </c>
      <c r="H3659">
        <v>0</v>
      </c>
      <c r="I3659">
        <v>0</v>
      </c>
      <c r="J3659">
        <v>26</v>
      </c>
      <c r="K3659" t="s">
        <v>246</v>
      </c>
    </row>
    <row r="3660" spans="2:11" x14ac:dyDescent="0.25">
      <c r="B3660">
        <v>5016</v>
      </c>
      <c r="C3660">
        <v>27</v>
      </c>
      <c r="D3660">
        <v>14</v>
      </c>
      <c r="E3660">
        <v>18</v>
      </c>
      <c r="F3660">
        <v>17</v>
      </c>
      <c r="G3660">
        <v>3</v>
      </c>
      <c r="H3660">
        <v>1</v>
      </c>
      <c r="I3660">
        <v>0</v>
      </c>
      <c r="J3660">
        <v>21</v>
      </c>
      <c r="K3660" t="s">
        <v>245</v>
      </c>
    </row>
    <row r="3661" spans="2:11" x14ac:dyDescent="0.25">
      <c r="B3661">
        <v>5008</v>
      </c>
      <c r="C3661">
        <v>68</v>
      </c>
      <c r="D3661">
        <v>35</v>
      </c>
      <c r="E3661">
        <v>18</v>
      </c>
      <c r="F3661">
        <v>2</v>
      </c>
      <c r="G3661">
        <v>9</v>
      </c>
      <c r="H3661">
        <v>12</v>
      </c>
      <c r="I3661">
        <v>0</v>
      </c>
      <c r="J3661">
        <v>23</v>
      </c>
      <c r="K3661" t="s">
        <v>241</v>
      </c>
    </row>
    <row r="3662" spans="2:11" x14ac:dyDescent="0.25">
      <c r="B3662">
        <v>5018</v>
      </c>
      <c r="C3662">
        <v>84</v>
      </c>
      <c r="D3662">
        <v>41</v>
      </c>
      <c r="E3662">
        <v>17</v>
      </c>
      <c r="F3662">
        <v>5</v>
      </c>
      <c r="G3662">
        <v>0</v>
      </c>
      <c r="H3662">
        <v>4</v>
      </c>
      <c r="I3662">
        <v>0</v>
      </c>
      <c r="J3662">
        <v>9</v>
      </c>
      <c r="K3662" t="s">
        <v>245</v>
      </c>
    </row>
    <row r="3663" spans="2:11" x14ac:dyDescent="0.25">
      <c r="B3663">
        <v>5022</v>
      </c>
      <c r="C3663">
        <v>66</v>
      </c>
      <c r="D3663">
        <v>35</v>
      </c>
      <c r="E3663">
        <v>16</v>
      </c>
      <c r="F3663">
        <v>9</v>
      </c>
      <c r="G3663">
        <v>7</v>
      </c>
      <c r="H3663">
        <v>8</v>
      </c>
      <c r="I3663">
        <v>0</v>
      </c>
      <c r="J3663">
        <v>24</v>
      </c>
      <c r="K3663" t="s">
        <v>250</v>
      </c>
    </row>
    <row r="3664" spans="2:11" x14ac:dyDescent="0.25">
      <c r="B3664">
        <v>5020</v>
      </c>
      <c r="C3664">
        <v>271</v>
      </c>
      <c r="D3664">
        <v>122</v>
      </c>
      <c r="E3664">
        <v>18</v>
      </c>
      <c r="F3664">
        <v>13</v>
      </c>
      <c r="G3664">
        <v>14</v>
      </c>
      <c r="H3664">
        <v>2</v>
      </c>
      <c r="I3664">
        <v>0</v>
      </c>
      <c r="J3664">
        <v>29</v>
      </c>
      <c r="K3664" t="s">
        <v>246</v>
      </c>
    </row>
    <row r="3665" spans="2:11" x14ac:dyDescent="0.25">
      <c r="B3665">
        <v>5019</v>
      </c>
      <c r="C3665">
        <v>320</v>
      </c>
      <c r="D3665">
        <v>148</v>
      </c>
      <c r="E3665">
        <v>18</v>
      </c>
      <c r="F3665">
        <v>4</v>
      </c>
      <c r="G3665">
        <v>3</v>
      </c>
      <c r="H3665">
        <v>1</v>
      </c>
      <c r="I3665">
        <v>0</v>
      </c>
      <c r="J3665">
        <v>8</v>
      </c>
      <c r="K3665" t="s">
        <v>248</v>
      </c>
    </row>
    <row r="3666" spans="2:11" x14ac:dyDescent="0.25">
      <c r="B3666">
        <v>5025</v>
      </c>
      <c r="C3666">
        <v>66</v>
      </c>
      <c r="D3666">
        <v>35</v>
      </c>
      <c r="E3666">
        <v>17</v>
      </c>
      <c r="F3666">
        <v>11</v>
      </c>
      <c r="G3666">
        <v>9</v>
      </c>
      <c r="H3666">
        <v>8</v>
      </c>
      <c r="I3666">
        <v>0</v>
      </c>
      <c r="J3666">
        <v>28</v>
      </c>
      <c r="K3666" t="s">
        <v>250</v>
      </c>
    </row>
    <row r="3667" spans="2:11" x14ac:dyDescent="0.25">
      <c r="B3667">
        <v>5024</v>
      </c>
      <c r="C3667">
        <v>84</v>
      </c>
      <c r="D3667">
        <v>41</v>
      </c>
      <c r="E3667">
        <v>18</v>
      </c>
      <c r="F3667">
        <v>5</v>
      </c>
      <c r="G3667">
        <v>0</v>
      </c>
      <c r="H3667">
        <v>5</v>
      </c>
      <c r="I3667">
        <v>0</v>
      </c>
      <c r="J3667">
        <v>10</v>
      </c>
      <c r="K3667" t="s">
        <v>245</v>
      </c>
    </row>
    <row r="3668" spans="2:11" x14ac:dyDescent="0.25">
      <c r="B3668">
        <v>5026</v>
      </c>
      <c r="C3668">
        <v>66</v>
      </c>
      <c r="D3668">
        <v>35</v>
      </c>
      <c r="E3668">
        <v>18</v>
      </c>
      <c r="F3668">
        <v>9</v>
      </c>
      <c r="G3668">
        <v>11</v>
      </c>
      <c r="H3668">
        <v>10</v>
      </c>
      <c r="I3668">
        <v>0</v>
      </c>
      <c r="J3668">
        <v>30</v>
      </c>
      <c r="K3668" t="s">
        <v>250</v>
      </c>
    </row>
    <row r="3669" spans="2:11" x14ac:dyDescent="0.25">
      <c r="B3669">
        <v>5028</v>
      </c>
      <c r="C3669">
        <v>59</v>
      </c>
      <c r="D3669">
        <v>30</v>
      </c>
      <c r="E3669">
        <v>17</v>
      </c>
      <c r="F3669">
        <v>13</v>
      </c>
      <c r="G3669">
        <v>2</v>
      </c>
      <c r="H3669">
        <v>0</v>
      </c>
      <c r="I3669">
        <v>0</v>
      </c>
      <c r="J3669">
        <v>15</v>
      </c>
      <c r="K3669" t="s">
        <v>250</v>
      </c>
    </row>
    <row r="3670" spans="2:11" x14ac:dyDescent="0.25">
      <c r="B3670">
        <v>5027</v>
      </c>
      <c r="C3670">
        <v>317</v>
      </c>
      <c r="D3670">
        <v>146</v>
      </c>
      <c r="E3670">
        <v>18</v>
      </c>
      <c r="F3670">
        <v>8</v>
      </c>
      <c r="G3670">
        <v>10</v>
      </c>
      <c r="H3670">
        <v>0</v>
      </c>
      <c r="I3670">
        <v>0</v>
      </c>
      <c r="J3670">
        <v>18</v>
      </c>
      <c r="K3670" t="s">
        <v>248</v>
      </c>
    </row>
    <row r="3671" spans="2:11" x14ac:dyDescent="0.25">
      <c r="B3671">
        <v>5030</v>
      </c>
      <c r="C3671">
        <v>59</v>
      </c>
      <c r="D3671">
        <v>30</v>
      </c>
      <c r="E3671">
        <v>18</v>
      </c>
      <c r="F3671">
        <v>20</v>
      </c>
      <c r="G3671">
        <v>8</v>
      </c>
      <c r="H3671">
        <v>0</v>
      </c>
      <c r="I3671">
        <v>0</v>
      </c>
      <c r="J3671">
        <v>28</v>
      </c>
      <c r="K3671" t="s">
        <v>250</v>
      </c>
    </row>
    <row r="3672" spans="2:11" x14ac:dyDescent="0.25">
      <c r="B3672">
        <v>5021</v>
      </c>
      <c r="C3672">
        <v>45</v>
      </c>
      <c r="D3672">
        <v>23</v>
      </c>
      <c r="E3672">
        <v>17</v>
      </c>
      <c r="F3672">
        <v>15</v>
      </c>
      <c r="G3672">
        <v>4</v>
      </c>
      <c r="H3672">
        <v>0</v>
      </c>
      <c r="I3672">
        <v>0</v>
      </c>
      <c r="J3672">
        <v>19</v>
      </c>
      <c r="K3672" t="s">
        <v>243</v>
      </c>
    </row>
    <row r="3673" spans="2:11" x14ac:dyDescent="0.25">
      <c r="B3673">
        <v>5032</v>
      </c>
      <c r="C3673">
        <v>60</v>
      </c>
      <c r="D3673">
        <v>31</v>
      </c>
      <c r="E3673">
        <v>18</v>
      </c>
      <c r="F3673">
        <v>13</v>
      </c>
      <c r="G3673">
        <v>10</v>
      </c>
      <c r="H3673">
        <v>5</v>
      </c>
      <c r="I3673">
        <v>0</v>
      </c>
      <c r="J3673">
        <v>28</v>
      </c>
      <c r="K3673" t="s">
        <v>250</v>
      </c>
    </row>
    <row r="3674" spans="2:11" x14ac:dyDescent="0.25">
      <c r="B3674">
        <v>5031</v>
      </c>
      <c r="C3674">
        <v>108</v>
      </c>
      <c r="D3674">
        <v>51</v>
      </c>
      <c r="E3674">
        <v>17</v>
      </c>
      <c r="F3674">
        <v>12</v>
      </c>
      <c r="G3674">
        <v>15</v>
      </c>
      <c r="H3674">
        <v>0</v>
      </c>
      <c r="I3674">
        <v>0</v>
      </c>
      <c r="J3674">
        <v>27</v>
      </c>
      <c r="K3674" t="s">
        <v>246</v>
      </c>
    </row>
    <row r="3675" spans="2:11" x14ac:dyDescent="0.25">
      <c r="B3675">
        <v>5034</v>
      </c>
      <c r="C3675">
        <v>81</v>
      </c>
      <c r="D3675">
        <v>38</v>
      </c>
      <c r="E3675">
        <v>17</v>
      </c>
      <c r="F3675">
        <v>2</v>
      </c>
      <c r="G3675">
        <v>1</v>
      </c>
      <c r="H3675">
        <v>0</v>
      </c>
      <c r="I3675">
        <v>0</v>
      </c>
      <c r="J3675">
        <v>3</v>
      </c>
      <c r="K3675" t="s">
        <v>250</v>
      </c>
    </row>
    <row r="3676" spans="2:11" x14ac:dyDescent="0.25">
      <c r="B3676">
        <v>5035</v>
      </c>
      <c r="C3676">
        <v>44</v>
      </c>
      <c r="D3676">
        <v>22</v>
      </c>
      <c r="E3676">
        <v>17</v>
      </c>
      <c r="F3676">
        <v>0</v>
      </c>
      <c r="G3676">
        <v>0</v>
      </c>
      <c r="H3676">
        <v>0</v>
      </c>
      <c r="I3676">
        <v>0</v>
      </c>
      <c r="J3676">
        <v>0</v>
      </c>
      <c r="K3676" t="s">
        <v>243</v>
      </c>
    </row>
    <row r="3677" spans="2:11" x14ac:dyDescent="0.25">
      <c r="B3677">
        <v>5036</v>
      </c>
      <c r="C3677">
        <v>113</v>
      </c>
      <c r="D3677">
        <v>52</v>
      </c>
      <c r="E3677">
        <v>17</v>
      </c>
      <c r="F3677">
        <v>9</v>
      </c>
      <c r="G3677">
        <v>20</v>
      </c>
      <c r="H3677">
        <v>0</v>
      </c>
      <c r="I3677">
        <v>0</v>
      </c>
      <c r="J3677">
        <v>29</v>
      </c>
      <c r="K3677" t="s">
        <v>246</v>
      </c>
    </row>
    <row r="3678" spans="2:11" x14ac:dyDescent="0.25">
      <c r="B3678">
        <v>5029</v>
      </c>
      <c r="C3678">
        <v>83</v>
      </c>
      <c r="D3678">
        <v>40</v>
      </c>
      <c r="E3678">
        <v>17</v>
      </c>
      <c r="F3678">
        <v>21</v>
      </c>
      <c r="G3678">
        <v>8</v>
      </c>
      <c r="H3678">
        <v>0</v>
      </c>
      <c r="I3678">
        <v>0</v>
      </c>
      <c r="J3678">
        <v>29</v>
      </c>
      <c r="K3678" t="s">
        <v>245</v>
      </c>
    </row>
    <row r="3679" spans="2:11" x14ac:dyDescent="0.25">
      <c r="B3679">
        <v>5033</v>
      </c>
      <c r="C3679">
        <v>283</v>
      </c>
      <c r="D3679">
        <v>131</v>
      </c>
      <c r="E3679">
        <v>18</v>
      </c>
      <c r="F3679">
        <v>16</v>
      </c>
      <c r="G3679">
        <v>0</v>
      </c>
      <c r="H3679">
        <v>1</v>
      </c>
      <c r="I3679">
        <v>0</v>
      </c>
      <c r="J3679">
        <v>17</v>
      </c>
      <c r="K3679" t="s">
        <v>248</v>
      </c>
    </row>
    <row r="3680" spans="2:11" x14ac:dyDescent="0.25">
      <c r="B3680">
        <v>5039</v>
      </c>
      <c r="C3680">
        <v>83</v>
      </c>
      <c r="D3680">
        <v>40</v>
      </c>
      <c r="E3680">
        <v>18</v>
      </c>
      <c r="F3680">
        <v>17</v>
      </c>
      <c r="G3680">
        <v>5</v>
      </c>
      <c r="H3680">
        <v>0</v>
      </c>
      <c r="I3680">
        <v>0</v>
      </c>
      <c r="J3680">
        <v>22</v>
      </c>
      <c r="K3680" t="s">
        <v>245</v>
      </c>
    </row>
    <row r="3681" spans="2:11" x14ac:dyDescent="0.25">
      <c r="B3681">
        <v>5038</v>
      </c>
      <c r="C3681">
        <v>113</v>
      </c>
      <c r="D3681">
        <v>52</v>
      </c>
      <c r="E3681">
        <v>18</v>
      </c>
      <c r="F3681">
        <v>16</v>
      </c>
      <c r="G3681">
        <v>13</v>
      </c>
      <c r="H3681">
        <v>0</v>
      </c>
      <c r="I3681">
        <v>0</v>
      </c>
      <c r="J3681">
        <v>29</v>
      </c>
      <c r="K3681" t="s">
        <v>246</v>
      </c>
    </row>
    <row r="3682" spans="2:11" x14ac:dyDescent="0.25">
      <c r="B3682">
        <v>5041</v>
      </c>
      <c r="C3682">
        <v>5</v>
      </c>
      <c r="D3682">
        <v>1</v>
      </c>
      <c r="E3682">
        <v>17</v>
      </c>
      <c r="F3682">
        <v>2</v>
      </c>
      <c r="G3682">
        <v>4</v>
      </c>
      <c r="H3682">
        <v>0</v>
      </c>
      <c r="I3682">
        <v>0</v>
      </c>
      <c r="J3682">
        <v>6</v>
      </c>
      <c r="K3682" t="s">
        <v>250</v>
      </c>
    </row>
    <row r="3683" spans="2:11" x14ac:dyDescent="0.25">
      <c r="B3683">
        <v>5042</v>
      </c>
      <c r="C3683">
        <v>70</v>
      </c>
      <c r="D3683">
        <v>35</v>
      </c>
      <c r="E3683">
        <v>16</v>
      </c>
      <c r="F3683">
        <v>18</v>
      </c>
      <c r="G3683">
        <v>7</v>
      </c>
      <c r="H3683">
        <v>4</v>
      </c>
      <c r="I3683">
        <v>0</v>
      </c>
      <c r="J3683">
        <v>29</v>
      </c>
      <c r="K3683" t="s">
        <v>245</v>
      </c>
    </row>
    <row r="3684" spans="2:11" x14ac:dyDescent="0.25">
      <c r="B3684">
        <v>5043</v>
      </c>
      <c r="C3684">
        <v>118</v>
      </c>
      <c r="D3684">
        <v>55</v>
      </c>
      <c r="E3684">
        <v>18</v>
      </c>
      <c r="F3684">
        <v>26</v>
      </c>
      <c r="G3684">
        <v>4</v>
      </c>
      <c r="H3684">
        <v>0</v>
      </c>
      <c r="I3684">
        <v>0</v>
      </c>
      <c r="J3684">
        <v>30</v>
      </c>
      <c r="K3684" t="s">
        <v>246</v>
      </c>
    </row>
    <row r="3685" spans="2:11" x14ac:dyDescent="0.25">
      <c r="B3685">
        <v>5044</v>
      </c>
      <c r="C3685">
        <v>119</v>
      </c>
      <c r="D3685">
        <v>55</v>
      </c>
      <c r="E3685">
        <v>18</v>
      </c>
      <c r="F3685">
        <v>20</v>
      </c>
      <c r="G3685">
        <v>5</v>
      </c>
      <c r="H3685">
        <v>0</v>
      </c>
      <c r="I3685">
        <v>0</v>
      </c>
      <c r="J3685">
        <v>25</v>
      </c>
      <c r="K3685" t="s">
        <v>246</v>
      </c>
    </row>
    <row r="3686" spans="2:11" x14ac:dyDescent="0.25">
      <c r="B3686">
        <v>5046</v>
      </c>
      <c r="C3686">
        <v>120</v>
      </c>
      <c r="D3686">
        <v>55</v>
      </c>
      <c r="E3686">
        <v>18</v>
      </c>
      <c r="F3686">
        <v>28</v>
      </c>
      <c r="G3686">
        <v>2</v>
      </c>
      <c r="H3686">
        <v>0</v>
      </c>
      <c r="I3686">
        <v>0</v>
      </c>
      <c r="J3686">
        <v>30</v>
      </c>
      <c r="K3686" t="s">
        <v>246</v>
      </c>
    </row>
    <row r="3687" spans="2:11" x14ac:dyDescent="0.25">
      <c r="B3687">
        <v>5045</v>
      </c>
      <c r="C3687">
        <v>70</v>
      </c>
      <c r="D3687">
        <v>35</v>
      </c>
      <c r="E3687">
        <v>17</v>
      </c>
      <c r="F3687">
        <v>11</v>
      </c>
      <c r="G3687">
        <v>3</v>
      </c>
      <c r="H3687">
        <v>4</v>
      </c>
      <c r="I3687">
        <v>0</v>
      </c>
      <c r="J3687">
        <v>18</v>
      </c>
      <c r="K3687" t="s">
        <v>245</v>
      </c>
    </row>
    <row r="3688" spans="2:11" x14ac:dyDescent="0.25">
      <c r="B3688">
        <v>5037</v>
      </c>
      <c r="C3688">
        <v>43</v>
      </c>
      <c r="D3688">
        <v>22</v>
      </c>
      <c r="E3688">
        <v>17</v>
      </c>
      <c r="F3688">
        <v>14</v>
      </c>
      <c r="G3688">
        <v>10</v>
      </c>
      <c r="H3688">
        <v>0</v>
      </c>
      <c r="I3688">
        <v>0</v>
      </c>
      <c r="J3688">
        <v>24</v>
      </c>
      <c r="K3688" t="s">
        <v>243</v>
      </c>
    </row>
    <row r="3689" spans="2:11" x14ac:dyDescent="0.25">
      <c r="B3689">
        <v>5048</v>
      </c>
      <c r="C3689">
        <v>170</v>
      </c>
      <c r="D3689">
        <v>73</v>
      </c>
      <c r="E3689">
        <v>18</v>
      </c>
      <c r="F3689">
        <v>7</v>
      </c>
      <c r="G3689">
        <v>1</v>
      </c>
      <c r="H3689">
        <v>0</v>
      </c>
      <c r="I3689">
        <v>0</v>
      </c>
      <c r="J3689">
        <v>8</v>
      </c>
      <c r="K3689" t="s">
        <v>246</v>
      </c>
    </row>
    <row r="3690" spans="2:11" x14ac:dyDescent="0.25">
      <c r="B3690">
        <v>5050</v>
      </c>
      <c r="C3690">
        <v>81</v>
      </c>
      <c r="D3690">
        <v>38</v>
      </c>
      <c r="E3690">
        <v>14</v>
      </c>
      <c r="F3690">
        <v>0</v>
      </c>
      <c r="G3690">
        <v>3</v>
      </c>
      <c r="H3690">
        <v>0</v>
      </c>
      <c r="I3690">
        <v>0</v>
      </c>
      <c r="J3690">
        <v>3</v>
      </c>
      <c r="K3690" t="s">
        <v>250</v>
      </c>
    </row>
    <row r="3691" spans="2:11" x14ac:dyDescent="0.25">
      <c r="B3691">
        <v>5051</v>
      </c>
      <c r="C3691">
        <v>132</v>
      </c>
      <c r="D3691">
        <v>59</v>
      </c>
      <c r="E3691">
        <v>18</v>
      </c>
      <c r="F3691">
        <v>18</v>
      </c>
      <c r="G3691">
        <v>0</v>
      </c>
      <c r="H3691">
        <v>1</v>
      </c>
      <c r="I3691">
        <v>0</v>
      </c>
      <c r="J3691">
        <v>19</v>
      </c>
      <c r="K3691" t="s">
        <v>246</v>
      </c>
    </row>
    <row r="3692" spans="2:11" x14ac:dyDescent="0.25">
      <c r="B3692">
        <v>5052</v>
      </c>
      <c r="C3692">
        <v>54</v>
      </c>
      <c r="D3692">
        <v>28</v>
      </c>
      <c r="E3692">
        <v>18</v>
      </c>
      <c r="F3692">
        <v>3</v>
      </c>
      <c r="G3692">
        <v>7</v>
      </c>
      <c r="H3692">
        <v>0</v>
      </c>
      <c r="I3692">
        <v>0</v>
      </c>
      <c r="J3692">
        <v>10</v>
      </c>
      <c r="K3692" t="s">
        <v>245</v>
      </c>
    </row>
    <row r="3693" spans="2:11" x14ac:dyDescent="0.25">
      <c r="B3693">
        <v>5054</v>
      </c>
      <c r="C3693">
        <v>120</v>
      </c>
      <c r="D3693">
        <v>55</v>
      </c>
      <c r="E3693">
        <v>14</v>
      </c>
      <c r="F3693">
        <v>19</v>
      </c>
      <c r="G3693">
        <v>2</v>
      </c>
      <c r="H3693">
        <v>2</v>
      </c>
      <c r="I3693">
        <v>0</v>
      </c>
      <c r="J3693">
        <v>23</v>
      </c>
      <c r="K3693" t="s">
        <v>250</v>
      </c>
    </row>
    <row r="3694" spans="2:11" x14ac:dyDescent="0.25">
      <c r="B3694">
        <v>5055</v>
      </c>
      <c r="C3694">
        <v>102</v>
      </c>
      <c r="D3694">
        <v>51</v>
      </c>
      <c r="E3694">
        <v>14</v>
      </c>
      <c r="F3694">
        <v>7</v>
      </c>
      <c r="G3694">
        <v>8</v>
      </c>
      <c r="H3694">
        <v>2</v>
      </c>
      <c r="I3694">
        <v>0</v>
      </c>
      <c r="J3694">
        <v>17</v>
      </c>
      <c r="K3694" t="s">
        <v>246</v>
      </c>
    </row>
    <row r="3695" spans="2:11" x14ac:dyDescent="0.25">
      <c r="B3695">
        <v>5056</v>
      </c>
      <c r="C3695">
        <v>118</v>
      </c>
      <c r="D3695">
        <v>55</v>
      </c>
      <c r="E3695">
        <v>14</v>
      </c>
      <c r="F3695">
        <v>14</v>
      </c>
      <c r="G3695">
        <v>0</v>
      </c>
      <c r="H3695">
        <v>0</v>
      </c>
      <c r="I3695">
        <v>0</v>
      </c>
      <c r="J3695">
        <v>14</v>
      </c>
      <c r="K3695" t="s">
        <v>250</v>
      </c>
    </row>
    <row r="3696" spans="2:11" x14ac:dyDescent="0.25">
      <c r="B3696">
        <v>5057</v>
      </c>
      <c r="C3696">
        <v>42</v>
      </c>
      <c r="D3696">
        <v>21</v>
      </c>
      <c r="E3696">
        <v>17</v>
      </c>
      <c r="F3696">
        <v>0</v>
      </c>
      <c r="G3696">
        <v>0</v>
      </c>
      <c r="H3696">
        <v>0</v>
      </c>
      <c r="I3696">
        <v>0</v>
      </c>
      <c r="J3696">
        <v>0</v>
      </c>
      <c r="K3696" t="s">
        <v>243</v>
      </c>
    </row>
    <row r="3697" spans="2:11" x14ac:dyDescent="0.25">
      <c r="B3697">
        <v>5058</v>
      </c>
      <c r="C3697">
        <v>102</v>
      </c>
      <c r="D3697">
        <v>51</v>
      </c>
      <c r="E3697">
        <v>15</v>
      </c>
      <c r="F3697">
        <v>6</v>
      </c>
      <c r="G3697">
        <v>5</v>
      </c>
      <c r="H3697">
        <v>0</v>
      </c>
      <c r="I3697">
        <v>0</v>
      </c>
      <c r="J3697">
        <v>11</v>
      </c>
      <c r="K3697" t="s">
        <v>246</v>
      </c>
    </row>
    <row r="3698" spans="2:11" x14ac:dyDescent="0.25">
      <c r="B3698">
        <v>5061</v>
      </c>
      <c r="C3698">
        <v>276</v>
      </c>
      <c r="D3698">
        <v>127</v>
      </c>
      <c r="E3698">
        <v>14</v>
      </c>
      <c r="F3698">
        <v>13</v>
      </c>
      <c r="G3698">
        <v>17</v>
      </c>
      <c r="H3698">
        <v>0</v>
      </c>
      <c r="I3698">
        <v>0</v>
      </c>
      <c r="J3698">
        <v>30</v>
      </c>
      <c r="K3698" t="s">
        <v>250</v>
      </c>
    </row>
    <row r="3699" spans="2:11" x14ac:dyDescent="0.25">
      <c r="B3699">
        <v>5062</v>
      </c>
      <c r="C3699">
        <v>102</v>
      </c>
      <c r="D3699">
        <v>51</v>
      </c>
      <c r="E3699">
        <v>16</v>
      </c>
      <c r="F3699">
        <v>7</v>
      </c>
      <c r="G3699">
        <v>4</v>
      </c>
      <c r="H3699">
        <v>2</v>
      </c>
      <c r="I3699">
        <v>0</v>
      </c>
      <c r="J3699">
        <v>13</v>
      </c>
      <c r="K3699" t="s">
        <v>246</v>
      </c>
    </row>
    <row r="3700" spans="2:11" x14ac:dyDescent="0.25">
      <c r="B3700">
        <v>5064</v>
      </c>
      <c r="C3700">
        <v>162</v>
      </c>
      <c r="D3700">
        <v>69</v>
      </c>
      <c r="E3700">
        <v>12</v>
      </c>
      <c r="F3700">
        <v>4</v>
      </c>
      <c r="G3700">
        <v>0</v>
      </c>
      <c r="H3700">
        <v>0</v>
      </c>
      <c r="I3700">
        <v>0</v>
      </c>
      <c r="J3700">
        <v>4</v>
      </c>
      <c r="K3700" t="s">
        <v>250</v>
      </c>
    </row>
    <row r="3701" spans="2:11" x14ac:dyDescent="0.25">
      <c r="B3701">
        <v>5065</v>
      </c>
      <c r="C3701">
        <v>40</v>
      </c>
      <c r="D3701">
        <v>19</v>
      </c>
      <c r="E3701">
        <v>17</v>
      </c>
      <c r="F3701">
        <v>20</v>
      </c>
      <c r="G3701">
        <v>0</v>
      </c>
      <c r="H3701">
        <v>0</v>
      </c>
      <c r="I3701">
        <v>0</v>
      </c>
      <c r="J3701">
        <v>20</v>
      </c>
      <c r="K3701" t="s">
        <v>243</v>
      </c>
    </row>
    <row r="3702" spans="2:11" x14ac:dyDescent="0.25">
      <c r="B3702">
        <v>5067</v>
      </c>
      <c r="C3702">
        <v>102</v>
      </c>
      <c r="D3702">
        <v>51</v>
      </c>
      <c r="E3702">
        <v>17</v>
      </c>
      <c r="F3702">
        <v>8</v>
      </c>
      <c r="G3702">
        <v>3</v>
      </c>
      <c r="H3702">
        <v>1</v>
      </c>
      <c r="I3702">
        <v>0</v>
      </c>
      <c r="J3702">
        <v>12</v>
      </c>
      <c r="K3702" t="s">
        <v>246</v>
      </c>
    </row>
    <row r="3703" spans="2:11" x14ac:dyDescent="0.25">
      <c r="B3703">
        <v>5069</v>
      </c>
      <c r="C3703">
        <v>102</v>
      </c>
      <c r="D3703">
        <v>51</v>
      </c>
      <c r="E3703">
        <v>18</v>
      </c>
      <c r="F3703">
        <v>9</v>
      </c>
      <c r="G3703">
        <v>6</v>
      </c>
      <c r="H3703">
        <v>0</v>
      </c>
      <c r="I3703">
        <v>0</v>
      </c>
      <c r="J3703">
        <v>15</v>
      </c>
      <c r="K3703" t="s">
        <v>246</v>
      </c>
    </row>
    <row r="3704" spans="2:11" x14ac:dyDescent="0.25">
      <c r="B3704">
        <v>5068</v>
      </c>
      <c r="C3704">
        <v>39</v>
      </c>
      <c r="D3704">
        <v>19</v>
      </c>
      <c r="E3704">
        <v>17</v>
      </c>
      <c r="F3704">
        <v>0</v>
      </c>
      <c r="G3704">
        <v>0</v>
      </c>
      <c r="H3704">
        <v>0</v>
      </c>
      <c r="I3704">
        <v>0</v>
      </c>
      <c r="J3704">
        <v>0</v>
      </c>
      <c r="K3704" t="s">
        <v>243</v>
      </c>
    </row>
    <row r="3705" spans="2:11" x14ac:dyDescent="0.25">
      <c r="B3705">
        <v>5063</v>
      </c>
      <c r="C3705">
        <v>7</v>
      </c>
      <c r="D3705">
        <v>2</v>
      </c>
      <c r="E3705">
        <v>18</v>
      </c>
      <c r="F3705">
        <v>10</v>
      </c>
      <c r="G3705">
        <v>11</v>
      </c>
      <c r="H3705">
        <v>0</v>
      </c>
      <c r="I3705">
        <v>0</v>
      </c>
      <c r="J3705">
        <v>21</v>
      </c>
      <c r="K3705" t="s">
        <v>241</v>
      </c>
    </row>
    <row r="3706" spans="2:11" x14ac:dyDescent="0.25">
      <c r="B3706">
        <v>5071</v>
      </c>
      <c r="C3706">
        <v>329</v>
      </c>
      <c r="D3706">
        <v>152</v>
      </c>
      <c r="E3706">
        <v>18</v>
      </c>
      <c r="F3706">
        <v>15</v>
      </c>
      <c r="G3706">
        <v>15</v>
      </c>
      <c r="H3706">
        <v>0</v>
      </c>
      <c r="I3706">
        <v>0</v>
      </c>
      <c r="J3706">
        <v>30</v>
      </c>
      <c r="K3706" t="s">
        <v>246</v>
      </c>
    </row>
    <row r="3707" spans="2:11" x14ac:dyDescent="0.25">
      <c r="B3707">
        <v>5074</v>
      </c>
      <c r="C3707">
        <v>162</v>
      </c>
      <c r="D3707">
        <v>69</v>
      </c>
      <c r="E3707">
        <v>13</v>
      </c>
      <c r="F3707">
        <v>2</v>
      </c>
      <c r="G3707">
        <v>3</v>
      </c>
      <c r="H3707">
        <v>0</v>
      </c>
      <c r="I3707">
        <v>0</v>
      </c>
      <c r="J3707">
        <v>5</v>
      </c>
      <c r="K3707" t="s">
        <v>250</v>
      </c>
    </row>
    <row r="3708" spans="2:11" x14ac:dyDescent="0.25">
      <c r="B3708">
        <v>5075</v>
      </c>
      <c r="C3708">
        <v>71</v>
      </c>
      <c r="D3708">
        <v>35</v>
      </c>
      <c r="E3708">
        <v>16</v>
      </c>
      <c r="F3708">
        <v>6</v>
      </c>
      <c r="G3708">
        <v>9</v>
      </c>
      <c r="H3708">
        <v>5</v>
      </c>
      <c r="I3708">
        <v>0</v>
      </c>
      <c r="J3708">
        <v>20</v>
      </c>
      <c r="K3708" t="s">
        <v>245</v>
      </c>
    </row>
    <row r="3709" spans="2:11" x14ac:dyDescent="0.25">
      <c r="B3709">
        <v>5076</v>
      </c>
      <c r="C3709">
        <v>294</v>
      </c>
      <c r="D3709">
        <v>136</v>
      </c>
      <c r="E3709">
        <v>18</v>
      </c>
      <c r="F3709">
        <v>12</v>
      </c>
      <c r="G3709">
        <v>2</v>
      </c>
      <c r="H3709">
        <v>1</v>
      </c>
      <c r="I3709">
        <v>0</v>
      </c>
      <c r="J3709">
        <v>15</v>
      </c>
      <c r="K3709" t="s">
        <v>246</v>
      </c>
    </row>
    <row r="3710" spans="2:11" x14ac:dyDescent="0.25">
      <c r="B3710">
        <v>5078</v>
      </c>
      <c r="C3710">
        <v>81</v>
      </c>
      <c r="D3710">
        <v>38</v>
      </c>
      <c r="E3710">
        <v>13</v>
      </c>
      <c r="F3710">
        <v>0</v>
      </c>
      <c r="G3710">
        <v>10</v>
      </c>
      <c r="H3710">
        <v>1</v>
      </c>
      <c r="I3710">
        <v>0</v>
      </c>
      <c r="J3710">
        <v>11</v>
      </c>
      <c r="K3710" t="s">
        <v>250</v>
      </c>
    </row>
    <row r="3711" spans="2:11" x14ac:dyDescent="0.25">
      <c r="B3711">
        <v>5077</v>
      </c>
      <c r="C3711">
        <v>16</v>
      </c>
      <c r="D3711">
        <v>7</v>
      </c>
      <c r="E3711">
        <v>1</v>
      </c>
      <c r="F3711">
        <v>0</v>
      </c>
      <c r="G3711">
        <v>7</v>
      </c>
      <c r="H3711">
        <v>0</v>
      </c>
      <c r="I3711">
        <v>0</v>
      </c>
      <c r="J3711">
        <v>7</v>
      </c>
      <c r="K3711" t="s">
        <v>248</v>
      </c>
    </row>
    <row r="3712" spans="2:11" x14ac:dyDescent="0.25">
      <c r="B3712">
        <v>5081</v>
      </c>
      <c r="C3712">
        <v>71</v>
      </c>
      <c r="D3712">
        <v>35</v>
      </c>
      <c r="E3712">
        <v>17</v>
      </c>
      <c r="F3712">
        <v>5</v>
      </c>
      <c r="G3712">
        <v>7</v>
      </c>
      <c r="H3712">
        <v>0</v>
      </c>
      <c r="I3712">
        <v>0</v>
      </c>
      <c r="J3712">
        <v>12</v>
      </c>
      <c r="K3712" t="s">
        <v>245</v>
      </c>
    </row>
    <row r="3713" spans="2:11" x14ac:dyDescent="0.25">
      <c r="B3713">
        <v>5079</v>
      </c>
      <c r="C3713">
        <v>7</v>
      </c>
      <c r="D3713">
        <v>2</v>
      </c>
      <c r="E3713">
        <v>16</v>
      </c>
      <c r="F3713">
        <v>13</v>
      </c>
      <c r="G3713">
        <v>15</v>
      </c>
      <c r="H3713">
        <v>0</v>
      </c>
      <c r="I3713">
        <v>0</v>
      </c>
      <c r="J3713">
        <v>28</v>
      </c>
      <c r="K3713" t="s">
        <v>241</v>
      </c>
    </row>
    <row r="3714" spans="2:11" x14ac:dyDescent="0.25">
      <c r="B3714">
        <v>5080</v>
      </c>
      <c r="C3714">
        <v>33</v>
      </c>
      <c r="D3714">
        <v>17</v>
      </c>
      <c r="E3714">
        <v>17</v>
      </c>
      <c r="F3714">
        <v>18</v>
      </c>
      <c r="G3714">
        <v>10</v>
      </c>
      <c r="H3714">
        <v>0</v>
      </c>
      <c r="I3714">
        <v>0</v>
      </c>
      <c r="J3714">
        <v>28</v>
      </c>
      <c r="K3714" t="s">
        <v>243</v>
      </c>
    </row>
    <row r="3715" spans="2:11" x14ac:dyDescent="0.25">
      <c r="B3715">
        <v>5083</v>
      </c>
      <c r="C3715">
        <v>328</v>
      </c>
      <c r="D3715">
        <v>152</v>
      </c>
      <c r="E3715">
        <v>18</v>
      </c>
      <c r="F3715">
        <v>0</v>
      </c>
      <c r="G3715">
        <v>30</v>
      </c>
      <c r="H3715">
        <v>0</v>
      </c>
      <c r="I3715">
        <v>0</v>
      </c>
      <c r="J3715">
        <v>30</v>
      </c>
      <c r="K3715" t="s">
        <v>246</v>
      </c>
    </row>
    <row r="3716" spans="2:11" x14ac:dyDescent="0.25">
      <c r="B3716">
        <v>5084</v>
      </c>
      <c r="C3716">
        <v>71</v>
      </c>
      <c r="D3716">
        <v>35</v>
      </c>
      <c r="E3716">
        <v>18</v>
      </c>
      <c r="F3716">
        <v>5</v>
      </c>
      <c r="G3716">
        <v>6</v>
      </c>
      <c r="H3716">
        <v>1</v>
      </c>
      <c r="I3716">
        <v>0</v>
      </c>
      <c r="J3716">
        <v>12</v>
      </c>
      <c r="K3716" t="s">
        <v>245</v>
      </c>
    </row>
    <row r="3717" spans="2:11" x14ac:dyDescent="0.25">
      <c r="B3717">
        <v>5089</v>
      </c>
      <c r="C3717">
        <v>288</v>
      </c>
      <c r="D3717">
        <v>134</v>
      </c>
      <c r="E3717">
        <v>18</v>
      </c>
      <c r="F3717">
        <v>15</v>
      </c>
      <c r="G3717">
        <v>6</v>
      </c>
      <c r="H3717">
        <v>1</v>
      </c>
      <c r="I3717">
        <v>0</v>
      </c>
      <c r="J3717">
        <v>22</v>
      </c>
      <c r="K3717" t="s">
        <v>246</v>
      </c>
    </row>
    <row r="3718" spans="2:11" x14ac:dyDescent="0.25">
      <c r="B3718">
        <v>5088</v>
      </c>
      <c r="C3718">
        <v>6</v>
      </c>
      <c r="D3718">
        <v>2</v>
      </c>
      <c r="E3718">
        <v>18</v>
      </c>
      <c r="F3718">
        <v>8</v>
      </c>
      <c r="G3718">
        <v>3</v>
      </c>
      <c r="H3718">
        <v>0</v>
      </c>
      <c r="I3718">
        <v>0</v>
      </c>
      <c r="J3718">
        <v>11</v>
      </c>
      <c r="K3718" t="s">
        <v>245</v>
      </c>
    </row>
    <row r="3719" spans="2:11" x14ac:dyDescent="0.25">
      <c r="B3719">
        <v>5090</v>
      </c>
      <c r="C3719">
        <v>16</v>
      </c>
      <c r="D3719">
        <v>7</v>
      </c>
      <c r="E3719">
        <v>2</v>
      </c>
      <c r="F3719">
        <v>0</v>
      </c>
      <c r="G3719">
        <v>7</v>
      </c>
      <c r="H3719">
        <v>0</v>
      </c>
      <c r="I3719">
        <v>0</v>
      </c>
      <c r="J3719">
        <v>7</v>
      </c>
      <c r="K3719" t="s">
        <v>248</v>
      </c>
    </row>
    <row r="3720" spans="2:11" x14ac:dyDescent="0.25">
      <c r="B3720">
        <v>5086</v>
      </c>
      <c r="C3720">
        <v>7</v>
      </c>
      <c r="D3720">
        <v>2</v>
      </c>
      <c r="E3720">
        <v>15</v>
      </c>
      <c r="F3720">
        <v>15</v>
      </c>
      <c r="G3720">
        <v>13</v>
      </c>
      <c r="H3720">
        <v>0</v>
      </c>
      <c r="I3720">
        <v>0</v>
      </c>
      <c r="J3720">
        <v>28</v>
      </c>
      <c r="K3720" t="s">
        <v>241</v>
      </c>
    </row>
    <row r="3721" spans="2:11" x14ac:dyDescent="0.25">
      <c r="B3721">
        <v>5091</v>
      </c>
      <c r="C3721">
        <v>285</v>
      </c>
      <c r="D3721">
        <v>132</v>
      </c>
      <c r="E3721">
        <v>18</v>
      </c>
      <c r="F3721">
        <v>18</v>
      </c>
      <c r="G3721">
        <v>8</v>
      </c>
      <c r="H3721">
        <v>4</v>
      </c>
      <c r="I3721">
        <v>0</v>
      </c>
      <c r="J3721">
        <v>30</v>
      </c>
      <c r="K3721" t="s">
        <v>246</v>
      </c>
    </row>
    <row r="3722" spans="2:11" x14ac:dyDescent="0.25">
      <c r="B3722">
        <v>5095</v>
      </c>
      <c r="C3722">
        <v>85</v>
      </c>
      <c r="D3722">
        <v>41</v>
      </c>
      <c r="E3722">
        <v>17</v>
      </c>
      <c r="F3722">
        <v>14</v>
      </c>
      <c r="G3722">
        <v>12</v>
      </c>
      <c r="H3722">
        <v>0</v>
      </c>
      <c r="I3722">
        <v>0</v>
      </c>
      <c r="J3722">
        <v>26</v>
      </c>
      <c r="K3722" t="s">
        <v>245</v>
      </c>
    </row>
    <row r="3723" spans="2:11" x14ac:dyDescent="0.25">
      <c r="B3723">
        <v>5092</v>
      </c>
      <c r="C3723">
        <v>238</v>
      </c>
      <c r="D3723">
        <v>105</v>
      </c>
      <c r="E3723">
        <v>18</v>
      </c>
      <c r="F3723">
        <v>5</v>
      </c>
      <c r="G3723">
        <v>4</v>
      </c>
      <c r="H3723">
        <v>0</v>
      </c>
      <c r="I3723">
        <v>0</v>
      </c>
      <c r="J3723">
        <v>9</v>
      </c>
      <c r="K3723" t="s">
        <v>243</v>
      </c>
    </row>
    <row r="3724" spans="2:11" x14ac:dyDescent="0.25">
      <c r="B3724">
        <v>5096</v>
      </c>
      <c r="C3724">
        <v>7</v>
      </c>
      <c r="D3724">
        <v>2</v>
      </c>
      <c r="E3724">
        <v>14</v>
      </c>
      <c r="F3724">
        <v>8</v>
      </c>
      <c r="G3724">
        <v>22</v>
      </c>
      <c r="H3724">
        <v>0</v>
      </c>
      <c r="I3724">
        <v>0</v>
      </c>
      <c r="J3724">
        <v>30</v>
      </c>
      <c r="K3724" t="s">
        <v>241</v>
      </c>
    </row>
    <row r="3725" spans="2:11" x14ac:dyDescent="0.25">
      <c r="B3725">
        <v>5093</v>
      </c>
      <c r="C3725">
        <v>159</v>
      </c>
      <c r="D3725">
        <v>69</v>
      </c>
      <c r="E3725">
        <v>6</v>
      </c>
      <c r="F3725">
        <v>0</v>
      </c>
      <c r="G3725">
        <v>22</v>
      </c>
      <c r="H3725">
        <v>0</v>
      </c>
      <c r="I3725">
        <v>0</v>
      </c>
      <c r="J3725">
        <v>22</v>
      </c>
      <c r="K3725" t="s">
        <v>250</v>
      </c>
    </row>
    <row r="3726" spans="2:11" x14ac:dyDescent="0.25">
      <c r="B3726">
        <v>5098</v>
      </c>
      <c r="C3726">
        <v>85</v>
      </c>
      <c r="D3726">
        <v>41</v>
      </c>
      <c r="E3726">
        <v>18</v>
      </c>
      <c r="F3726">
        <v>15</v>
      </c>
      <c r="G3726">
        <v>14</v>
      </c>
      <c r="H3726">
        <v>0</v>
      </c>
      <c r="I3726">
        <v>0</v>
      </c>
      <c r="J3726">
        <v>29</v>
      </c>
      <c r="K3726" t="s">
        <v>245</v>
      </c>
    </row>
    <row r="3727" spans="2:11" x14ac:dyDescent="0.25">
      <c r="B3727">
        <v>5100</v>
      </c>
      <c r="C3727">
        <v>7</v>
      </c>
      <c r="D3727">
        <v>2</v>
      </c>
      <c r="E3727">
        <v>13</v>
      </c>
      <c r="F3727">
        <v>18</v>
      </c>
      <c r="G3727">
        <v>12</v>
      </c>
      <c r="H3727">
        <v>0</v>
      </c>
      <c r="I3727">
        <v>0</v>
      </c>
      <c r="J3727">
        <v>30</v>
      </c>
      <c r="K3727" t="s">
        <v>241</v>
      </c>
    </row>
    <row r="3728" spans="2:11" x14ac:dyDescent="0.25">
      <c r="B3728">
        <v>3335</v>
      </c>
      <c r="C3728">
        <v>292</v>
      </c>
      <c r="D3728">
        <v>135</v>
      </c>
      <c r="E3728">
        <v>12</v>
      </c>
      <c r="F3728">
        <v>7</v>
      </c>
      <c r="G3728">
        <v>2</v>
      </c>
      <c r="H3728">
        <v>0</v>
      </c>
      <c r="I3728">
        <v>0</v>
      </c>
      <c r="J3728">
        <v>9</v>
      </c>
      <c r="K3728" t="s">
        <v>252</v>
      </c>
    </row>
    <row r="3729" spans="2:11" x14ac:dyDescent="0.25">
      <c r="B3729">
        <v>3375</v>
      </c>
      <c r="C3729">
        <v>65</v>
      </c>
      <c r="D3729">
        <v>35</v>
      </c>
      <c r="E3729">
        <v>12</v>
      </c>
      <c r="F3729">
        <v>12</v>
      </c>
      <c r="G3729">
        <v>8</v>
      </c>
      <c r="H3729">
        <v>7</v>
      </c>
      <c r="I3729">
        <v>0</v>
      </c>
      <c r="J3729">
        <v>27</v>
      </c>
      <c r="K3729" t="s">
        <v>251</v>
      </c>
    </row>
    <row r="3730" spans="2:11" x14ac:dyDescent="0.25">
      <c r="B3730">
        <v>3442</v>
      </c>
      <c r="C3730">
        <v>23</v>
      </c>
      <c r="D3730">
        <v>11</v>
      </c>
      <c r="E3730">
        <v>12</v>
      </c>
      <c r="F3730">
        <v>13</v>
      </c>
      <c r="G3730">
        <v>3</v>
      </c>
      <c r="H3730">
        <v>0</v>
      </c>
      <c r="I3730">
        <v>0</v>
      </c>
      <c r="J3730">
        <v>16</v>
      </c>
      <c r="K3730" t="s">
        <v>250</v>
      </c>
    </row>
    <row r="3731" spans="2:11" x14ac:dyDescent="0.25">
      <c r="B3731">
        <v>3444</v>
      </c>
      <c r="C3731">
        <v>250</v>
      </c>
      <c r="D3731">
        <v>112</v>
      </c>
      <c r="E3731">
        <v>11</v>
      </c>
      <c r="F3731">
        <v>13</v>
      </c>
      <c r="G3731">
        <v>0</v>
      </c>
      <c r="H3731">
        <v>2</v>
      </c>
      <c r="I3731">
        <v>0</v>
      </c>
      <c r="J3731">
        <v>15</v>
      </c>
      <c r="K3731" t="s">
        <v>246</v>
      </c>
    </row>
    <row r="3732" spans="2:11" x14ac:dyDescent="0.25">
      <c r="B3732">
        <v>3449</v>
      </c>
      <c r="C3732">
        <v>344</v>
      </c>
      <c r="D3732">
        <v>155</v>
      </c>
      <c r="E3732">
        <v>13</v>
      </c>
      <c r="F3732">
        <v>11</v>
      </c>
      <c r="G3732">
        <v>10</v>
      </c>
      <c r="H3732">
        <v>2</v>
      </c>
      <c r="I3732">
        <v>0</v>
      </c>
      <c r="J3732">
        <v>23</v>
      </c>
      <c r="K3732" t="s">
        <v>247</v>
      </c>
    </row>
    <row r="3733" spans="2:11" x14ac:dyDescent="0.25">
      <c r="B3733">
        <v>3461</v>
      </c>
      <c r="C3733">
        <v>344</v>
      </c>
      <c r="D3733">
        <v>155</v>
      </c>
      <c r="E3733">
        <v>12</v>
      </c>
      <c r="F3733">
        <v>4</v>
      </c>
      <c r="G3733">
        <v>7</v>
      </c>
      <c r="H3733">
        <v>0</v>
      </c>
      <c r="I3733">
        <v>0</v>
      </c>
      <c r="J3733">
        <v>11</v>
      </c>
      <c r="K3733" t="s">
        <v>252</v>
      </c>
    </row>
    <row r="3734" spans="2:11" x14ac:dyDescent="0.25">
      <c r="B3734">
        <v>3476</v>
      </c>
      <c r="C3734">
        <v>312</v>
      </c>
      <c r="D3734">
        <v>144</v>
      </c>
      <c r="E3734">
        <v>12</v>
      </c>
      <c r="F3734">
        <v>9</v>
      </c>
      <c r="G3734">
        <v>8</v>
      </c>
      <c r="H3734">
        <v>3</v>
      </c>
      <c r="I3734">
        <v>0</v>
      </c>
      <c r="J3734">
        <v>20</v>
      </c>
      <c r="K3734" t="s">
        <v>251</v>
      </c>
    </row>
    <row r="3735" spans="2:11" x14ac:dyDescent="0.25">
      <c r="B3735">
        <v>3481</v>
      </c>
      <c r="C3735">
        <v>127</v>
      </c>
      <c r="D3735">
        <v>56</v>
      </c>
      <c r="E3735">
        <v>6</v>
      </c>
      <c r="F3735">
        <v>18</v>
      </c>
      <c r="G3735">
        <v>2</v>
      </c>
      <c r="H3735">
        <v>0</v>
      </c>
      <c r="I3735">
        <v>0</v>
      </c>
      <c r="J3735">
        <v>20</v>
      </c>
      <c r="K3735" t="s">
        <v>252</v>
      </c>
    </row>
    <row r="3736" spans="2:11" x14ac:dyDescent="0.25">
      <c r="B3736">
        <v>3484</v>
      </c>
      <c r="C3736">
        <v>43</v>
      </c>
      <c r="D3736">
        <v>22</v>
      </c>
      <c r="E3736">
        <v>8</v>
      </c>
      <c r="F3736">
        <v>15</v>
      </c>
      <c r="G3736">
        <v>15</v>
      </c>
      <c r="H3736">
        <v>0</v>
      </c>
      <c r="I3736">
        <v>0</v>
      </c>
      <c r="J3736">
        <v>30</v>
      </c>
      <c r="K3736" t="s">
        <v>250</v>
      </c>
    </row>
    <row r="3737" spans="2:11" x14ac:dyDescent="0.25">
      <c r="B3737">
        <v>3487</v>
      </c>
      <c r="C3737">
        <v>83</v>
      </c>
      <c r="D3737">
        <v>40</v>
      </c>
      <c r="E3737">
        <v>11</v>
      </c>
      <c r="F3737">
        <v>10</v>
      </c>
      <c r="G3737">
        <v>8</v>
      </c>
      <c r="H3737">
        <v>0</v>
      </c>
      <c r="I3737">
        <v>0</v>
      </c>
      <c r="J3737">
        <v>18</v>
      </c>
      <c r="K3737" t="s">
        <v>246</v>
      </c>
    </row>
    <row r="3738" spans="2:11" x14ac:dyDescent="0.25">
      <c r="B3738">
        <v>3490</v>
      </c>
      <c r="C3738">
        <v>126</v>
      </c>
      <c r="D3738">
        <v>56</v>
      </c>
      <c r="E3738">
        <v>13</v>
      </c>
      <c r="F3738">
        <v>8</v>
      </c>
      <c r="G3738">
        <v>2</v>
      </c>
      <c r="H3738">
        <v>0</v>
      </c>
      <c r="I3738">
        <v>0</v>
      </c>
      <c r="J3738">
        <v>10</v>
      </c>
      <c r="K3738" t="s">
        <v>247</v>
      </c>
    </row>
    <row r="3739" spans="2:11" x14ac:dyDescent="0.25">
      <c r="B3739">
        <v>3494</v>
      </c>
      <c r="C3739">
        <v>97</v>
      </c>
      <c r="D3739">
        <v>48</v>
      </c>
      <c r="E3739">
        <v>13</v>
      </c>
      <c r="F3739">
        <v>15</v>
      </c>
      <c r="G3739">
        <v>13</v>
      </c>
      <c r="H3739">
        <v>0</v>
      </c>
      <c r="I3739">
        <v>0</v>
      </c>
      <c r="J3739">
        <v>28</v>
      </c>
      <c r="K3739" t="s">
        <v>247</v>
      </c>
    </row>
    <row r="3740" spans="2:11" x14ac:dyDescent="0.25">
      <c r="B3740">
        <v>3497</v>
      </c>
      <c r="C3740">
        <v>111</v>
      </c>
      <c r="D3740">
        <v>51</v>
      </c>
      <c r="E3740">
        <v>13</v>
      </c>
      <c r="F3740">
        <v>4</v>
      </c>
      <c r="G3740">
        <v>22</v>
      </c>
      <c r="H3740">
        <v>0</v>
      </c>
      <c r="I3740">
        <v>0</v>
      </c>
      <c r="J3740">
        <v>26</v>
      </c>
      <c r="K3740" t="s">
        <v>247</v>
      </c>
    </row>
    <row r="3741" spans="2:11" x14ac:dyDescent="0.25">
      <c r="B3741">
        <v>3498</v>
      </c>
      <c r="C3741">
        <v>125</v>
      </c>
      <c r="D3741">
        <v>56</v>
      </c>
      <c r="E3741">
        <v>13</v>
      </c>
      <c r="F3741">
        <v>6</v>
      </c>
      <c r="G3741">
        <v>6</v>
      </c>
      <c r="H3741">
        <v>3</v>
      </c>
      <c r="I3741">
        <v>0</v>
      </c>
      <c r="J3741">
        <v>15</v>
      </c>
      <c r="K3741" t="s">
        <v>247</v>
      </c>
    </row>
    <row r="3742" spans="2:11" x14ac:dyDescent="0.25">
      <c r="B3742">
        <v>3499</v>
      </c>
      <c r="C3742">
        <v>172</v>
      </c>
      <c r="D3742">
        <v>74</v>
      </c>
      <c r="E3742">
        <v>13</v>
      </c>
      <c r="F3742">
        <v>7</v>
      </c>
      <c r="G3742">
        <v>8</v>
      </c>
      <c r="H3742">
        <v>0</v>
      </c>
      <c r="I3742">
        <v>0</v>
      </c>
      <c r="J3742">
        <v>15</v>
      </c>
      <c r="K3742" t="s">
        <v>247</v>
      </c>
    </row>
    <row r="3743" spans="2:11" x14ac:dyDescent="0.25">
      <c r="B3743">
        <v>3502</v>
      </c>
      <c r="C3743">
        <v>158</v>
      </c>
      <c r="D3743">
        <v>69</v>
      </c>
      <c r="E3743">
        <v>13</v>
      </c>
      <c r="F3743">
        <v>10</v>
      </c>
      <c r="G3743">
        <v>17</v>
      </c>
      <c r="H3743">
        <v>0</v>
      </c>
      <c r="I3743">
        <v>0</v>
      </c>
      <c r="J3743">
        <v>27</v>
      </c>
      <c r="K3743" t="s">
        <v>247</v>
      </c>
    </row>
    <row r="3744" spans="2:11" x14ac:dyDescent="0.25">
      <c r="B3744">
        <v>3503</v>
      </c>
      <c r="C3744">
        <v>127</v>
      </c>
      <c r="D3744">
        <v>56</v>
      </c>
      <c r="E3744">
        <v>5</v>
      </c>
      <c r="F3744">
        <v>20</v>
      </c>
      <c r="G3744">
        <v>0</v>
      </c>
      <c r="H3744">
        <v>0</v>
      </c>
      <c r="I3744">
        <v>0</v>
      </c>
      <c r="J3744">
        <v>20</v>
      </c>
      <c r="K3744" t="s">
        <v>252</v>
      </c>
    </row>
    <row r="3745" spans="2:11" x14ac:dyDescent="0.25">
      <c r="B3745">
        <v>3504</v>
      </c>
      <c r="C3745">
        <v>4</v>
      </c>
      <c r="D3745">
        <v>1</v>
      </c>
      <c r="E3745">
        <v>13</v>
      </c>
      <c r="F3745">
        <v>3</v>
      </c>
      <c r="G3745">
        <v>7</v>
      </c>
      <c r="H3745">
        <v>0</v>
      </c>
      <c r="I3745">
        <v>0</v>
      </c>
      <c r="J3745">
        <v>10</v>
      </c>
      <c r="K3745" t="s">
        <v>247</v>
      </c>
    </row>
    <row r="3746" spans="2:11" x14ac:dyDescent="0.25">
      <c r="B3746">
        <v>3505</v>
      </c>
      <c r="C3746">
        <v>97</v>
      </c>
      <c r="D3746">
        <v>48</v>
      </c>
      <c r="E3746">
        <v>10</v>
      </c>
      <c r="F3746">
        <v>15</v>
      </c>
      <c r="G3746">
        <v>10</v>
      </c>
      <c r="H3746">
        <v>1</v>
      </c>
      <c r="I3746">
        <v>0</v>
      </c>
      <c r="J3746">
        <v>26</v>
      </c>
      <c r="K3746" t="s">
        <v>246</v>
      </c>
    </row>
    <row r="3747" spans="2:11" x14ac:dyDescent="0.25">
      <c r="B3747">
        <v>3507</v>
      </c>
      <c r="C3747">
        <v>336</v>
      </c>
      <c r="D3747">
        <v>152</v>
      </c>
      <c r="E3747">
        <v>13</v>
      </c>
      <c r="F3747">
        <v>5</v>
      </c>
      <c r="G3747">
        <v>21</v>
      </c>
      <c r="H3747">
        <v>0</v>
      </c>
      <c r="I3747">
        <v>0</v>
      </c>
      <c r="J3747">
        <v>26</v>
      </c>
      <c r="K3747" t="s">
        <v>247</v>
      </c>
    </row>
    <row r="3748" spans="2:11" x14ac:dyDescent="0.25">
      <c r="B3748">
        <v>3509</v>
      </c>
      <c r="C3748">
        <v>259</v>
      </c>
      <c r="D3748">
        <v>118</v>
      </c>
      <c r="E3748">
        <v>14</v>
      </c>
      <c r="F3748">
        <v>6</v>
      </c>
      <c r="G3748">
        <v>8</v>
      </c>
      <c r="H3748">
        <v>4</v>
      </c>
      <c r="I3748">
        <v>0</v>
      </c>
      <c r="J3748">
        <v>18</v>
      </c>
      <c r="K3748" t="s">
        <v>247</v>
      </c>
    </row>
    <row r="3749" spans="2:11" x14ac:dyDescent="0.25">
      <c r="B3749">
        <v>3513</v>
      </c>
      <c r="C3749">
        <v>257</v>
      </c>
      <c r="D3749">
        <v>117</v>
      </c>
      <c r="E3749">
        <v>14</v>
      </c>
      <c r="F3749">
        <v>8</v>
      </c>
      <c r="G3749">
        <v>5</v>
      </c>
      <c r="H3749">
        <v>0</v>
      </c>
      <c r="I3749">
        <v>0</v>
      </c>
      <c r="J3749">
        <v>13</v>
      </c>
      <c r="K3749" t="s">
        <v>247</v>
      </c>
    </row>
    <row r="3750" spans="2:11" x14ac:dyDescent="0.25">
      <c r="B3750">
        <v>3514</v>
      </c>
      <c r="C3750">
        <v>260</v>
      </c>
      <c r="D3750">
        <v>118</v>
      </c>
      <c r="E3750">
        <v>14</v>
      </c>
      <c r="F3750">
        <v>21</v>
      </c>
      <c r="G3750">
        <v>4</v>
      </c>
      <c r="H3750">
        <v>4</v>
      </c>
      <c r="I3750">
        <v>0</v>
      </c>
      <c r="J3750">
        <v>29</v>
      </c>
      <c r="K3750" t="s">
        <v>247</v>
      </c>
    </row>
    <row r="3751" spans="2:11" x14ac:dyDescent="0.25">
      <c r="B3751">
        <v>3515</v>
      </c>
      <c r="C3751">
        <v>101</v>
      </c>
      <c r="D3751">
        <v>51</v>
      </c>
      <c r="E3751">
        <v>2</v>
      </c>
      <c r="F3751">
        <v>20</v>
      </c>
      <c r="G3751">
        <v>4</v>
      </c>
      <c r="H3751">
        <v>2</v>
      </c>
      <c r="I3751">
        <v>0</v>
      </c>
      <c r="J3751">
        <v>26</v>
      </c>
      <c r="K3751" t="s">
        <v>252</v>
      </c>
    </row>
    <row r="3752" spans="2:11" x14ac:dyDescent="0.25">
      <c r="B3752">
        <v>3518</v>
      </c>
      <c r="C3752">
        <v>97</v>
      </c>
      <c r="D3752">
        <v>48</v>
      </c>
      <c r="E3752">
        <v>12</v>
      </c>
      <c r="F3752">
        <v>11</v>
      </c>
      <c r="G3752">
        <v>15</v>
      </c>
      <c r="H3752">
        <v>0</v>
      </c>
      <c r="I3752">
        <v>0</v>
      </c>
      <c r="J3752">
        <v>26</v>
      </c>
      <c r="K3752" t="s">
        <v>246</v>
      </c>
    </row>
    <row r="3753" spans="2:11" x14ac:dyDescent="0.25">
      <c r="B3753">
        <v>3520</v>
      </c>
      <c r="C3753">
        <v>101</v>
      </c>
      <c r="D3753">
        <v>51</v>
      </c>
      <c r="E3753">
        <v>3</v>
      </c>
      <c r="F3753">
        <v>19</v>
      </c>
      <c r="G3753">
        <v>12</v>
      </c>
      <c r="H3753">
        <v>7</v>
      </c>
      <c r="I3753">
        <v>0</v>
      </c>
      <c r="J3753">
        <v>38</v>
      </c>
      <c r="K3753" t="s">
        <v>252</v>
      </c>
    </row>
    <row r="3754" spans="2:11" x14ac:dyDescent="0.25">
      <c r="B3754">
        <v>3523</v>
      </c>
      <c r="C3754">
        <v>172</v>
      </c>
      <c r="D3754">
        <v>74</v>
      </c>
      <c r="E3754">
        <v>14</v>
      </c>
      <c r="F3754">
        <v>10</v>
      </c>
      <c r="G3754">
        <v>7</v>
      </c>
      <c r="H3754">
        <v>0</v>
      </c>
      <c r="I3754">
        <v>0</v>
      </c>
      <c r="J3754">
        <v>17</v>
      </c>
      <c r="K3754" t="s">
        <v>247</v>
      </c>
    </row>
    <row r="3755" spans="2:11" x14ac:dyDescent="0.25">
      <c r="B3755">
        <v>3524</v>
      </c>
      <c r="C3755">
        <v>158</v>
      </c>
      <c r="D3755">
        <v>69</v>
      </c>
      <c r="E3755">
        <v>14</v>
      </c>
      <c r="F3755">
        <v>9</v>
      </c>
      <c r="G3755">
        <v>5</v>
      </c>
      <c r="H3755">
        <v>0</v>
      </c>
      <c r="I3755">
        <v>0</v>
      </c>
      <c r="J3755">
        <v>14</v>
      </c>
      <c r="K3755" t="s">
        <v>247</v>
      </c>
    </row>
    <row r="3756" spans="2:11" x14ac:dyDescent="0.25">
      <c r="B3756">
        <v>3525</v>
      </c>
      <c r="C3756">
        <v>70</v>
      </c>
      <c r="D3756">
        <v>35</v>
      </c>
      <c r="E3756">
        <v>12</v>
      </c>
      <c r="F3756">
        <v>20</v>
      </c>
      <c r="G3756">
        <v>8</v>
      </c>
      <c r="H3756">
        <v>11</v>
      </c>
      <c r="I3756">
        <v>0</v>
      </c>
      <c r="J3756">
        <v>39</v>
      </c>
      <c r="K3756" t="s">
        <v>252</v>
      </c>
    </row>
    <row r="3757" spans="2:11" x14ac:dyDescent="0.25">
      <c r="B3757">
        <v>3527</v>
      </c>
      <c r="C3757">
        <v>158</v>
      </c>
      <c r="D3757">
        <v>69</v>
      </c>
      <c r="E3757">
        <v>12</v>
      </c>
      <c r="F3757">
        <v>9</v>
      </c>
      <c r="G3757">
        <v>19</v>
      </c>
      <c r="H3757">
        <v>0</v>
      </c>
      <c r="I3757">
        <v>0</v>
      </c>
      <c r="J3757">
        <v>28</v>
      </c>
      <c r="K3757" t="s">
        <v>246</v>
      </c>
    </row>
    <row r="3758" spans="2:11" x14ac:dyDescent="0.25">
      <c r="B3758">
        <v>3529</v>
      </c>
      <c r="C3758">
        <v>101</v>
      </c>
      <c r="D3758">
        <v>51</v>
      </c>
      <c r="E3758">
        <v>4</v>
      </c>
      <c r="F3758">
        <v>17</v>
      </c>
      <c r="G3758">
        <v>9</v>
      </c>
      <c r="H3758">
        <v>2</v>
      </c>
      <c r="I3758">
        <v>0</v>
      </c>
      <c r="J3758">
        <v>28</v>
      </c>
      <c r="K3758" t="s">
        <v>252</v>
      </c>
    </row>
    <row r="3759" spans="2:11" x14ac:dyDescent="0.25">
      <c r="B3759">
        <v>3526</v>
      </c>
      <c r="C3759">
        <v>111</v>
      </c>
      <c r="D3759">
        <v>51</v>
      </c>
      <c r="E3759">
        <v>14</v>
      </c>
      <c r="F3759">
        <v>0</v>
      </c>
      <c r="G3759">
        <v>7</v>
      </c>
      <c r="H3759">
        <v>0</v>
      </c>
      <c r="I3759">
        <v>0</v>
      </c>
      <c r="J3759">
        <v>7</v>
      </c>
      <c r="K3759" t="s">
        <v>247</v>
      </c>
    </row>
    <row r="3760" spans="2:11" x14ac:dyDescent="0.25">
      <c r="B3760">
        <v>3530</v>
      </c>
      <c r="C3760">
        <v>4</v>
      </c>
      <c r="D3760">
        <v>1</v>
      </c>
      <c r="E3760">
        <v>12</v>
      </c>
      <c r="F3760">
        <v>5</v>
      </c>
      <c r="G3760">
        <v>2</v>
      </c>
      <c r="H3760">
        <v>1</v>
      </c>
      <c r="I3760">
        <v>0</v>
      </c>
      <c r="J3760">
        <v>8</v>
      </c>
      <c r="K3760" t="s">
        <v>246</v>
      </c>
    </row>
    <row r="3761" spans="2:11" x14ac:dyDescent="0.25">
      <c r="B3761">
        <v>3534</v>
      </c>
      <c r="C3761">
        <v>126</v>
      </c>
      <c r="D3761">
        <v>56</v>
      </c>
      <c r="E3761">
        <v>11</v>
      </c>
      <c r="F3761">
        <v>6</v>
      </c>
      <c r="G3761">
        <v>3</v>
      </c>
      <c r="H3761">
        <v>1</v>
      </c>
      <c r="I3761">
        <v>0</v>
      </c>
      <c r="J3761">
        <v>10</v>
      </c>
      <c r="K3761" t="s">
        <v>246</v>
      </c>
    </row>
    <row r="3762" spans="2:11" x14ac:dyDescent="0.25">
      <c r="B3762">
        <v>3536</v>
      </c>
      <c r="C3762">
        <v>249</v>
      </c>
      <c r="D3762">
        <v>112</v>
      </c>
      <c r="E3762">
        <v>13</v>
      </c>
      <c r="F3762">
        <v>10</v>
      </c>
      <c r="G3762">
        <v>2</v>
      </c>
      <c r="H3762">
        <v>6</v>
      </c>
      <c r="I3762">
        <v>0</v>
      </c>
      <c r="J3762">
        <v>18</v>
      </c>
      <c r="K3762" t="s">
        <v>247</v>
      </c>
    </row>
    <row r="3763" spans="2:11" x14ac:dyDescent="0.25">
      <c r="B3763">
        <v>3538</v>
      </c>
      <c r="C3763">
        <v>97</v>
      </c>
      <c r="D3763">
        <v>48</v>
      </c>
      <c r="E3763">
        <v>11</v>
      </c>
      <c r="F3763">
        <v>8</v>
      </c>
      <c r="G3763">
        <v>12</v>
      </c>
      <c r="H3763">
        <v>1</v>
      </c>
      <c r="I3763">
        <v>0</v>
      </c>
      <c r="J3763">
        <v>21</v>
      </c>
      <c r="K3763" t="s">
        <v>246</v>
      </c>
    </row>
    <row r="3764" spans="2:11" x14ac:dyDescent="0.25">
      <c r="B3764">
        <v>3540</v>
      </c>
      <c r="C3764">
        <v>158</v>
      </c>
      <c r="D3764">
        <v>69</v>
      </c>
      <c r="E3764">
        <v>11</v>
      </c>
      <c r="F3764">
        <v>6</v>
      </c>
      <c r="G3764">
        <v>11</v>
      </c>
      <c r="H3764">
        <v>0</v>
      </c>
      <c r="I3764">
        <v>0</v>
      </c>
      <c r="J3764">
        <v>17</v>
      </c>
      <c r="K3764" t="s">
        <v>246</v>
      </c>
    </row>
    <row r="3765" spans="2:11" x14ac:dyDescent="0.25">
      <c r="B3765">
        <v>3542</v>
      </c>
      <c r="C3765">
        <v>127</v>
      </c>
      <c r="D3765">
        <v>56</v>
      </c>
      <c r="E3765">
        <v>13</v>
      </c>
      <c r="F3765">
        <v>20</v>
      </c>
      <c r="G3765">
        <v>0</v>
      </c>
      <c r="H3765">
        <v>0</v>
      </c>
      <c r="I3765">
        <v>0</v>
      </c>
      <c r="J3765">
        <v>20</v>
      </c>
      <c r="K3765" t="s">
        <v>241</v>
      </c>
    </row>
    <row r="3766" spans="2:11" x14ac:dyDescent="0.25">
      <c r="B3766">
        <v>3543</v>
      </c>
      <c r="C3766">
        <v>65</v>
      </c>
      <c r="D3766">
        <v>35</v>
      </c>
      <c r="E3766">
        <v>13</v>
      </c>
      <c r="F3766">
        <v>10</v>
      </c>
      <c r="G3766">
        <v>6</v>
      </c>
      <c r="H3766">
        <v>10</v>
      </c>
      <c r="I3766">
        <v>0</v>
      </c>
      <c r="J3766">
        <v>26</v>
      </c>
      <c r="K3766" t="s">
        <v>246</v>
      </c>
    </row>
    <row r="3767" spans="2:11" x14ac:dyDescent="0.25">
      <c r="B3767">
        <v>3544</v>
      </c>
      <c r="C3767">
        <v>113</v>
      </c>
      <c r="D3767">
        <v>52</v>
      </c>
      <c r="E3767">
        <v>13</v>
      </c>
      <c r="F3767">
        <v>16</v>
      </c>
      <c r="G3767">
        <v>14</v>
      </c>
      <c r="H3767">
        <v>0</v>
      </c>
      <c r="I3767">
        <v>0</v>
      </c>
      <c r="J3767">
        <v>30</v>
      </c>
      <c r="K3767" t="s">
        <v>247</v>
      </c>
    </row>
    <row r="3768" spans="2:11" x14ac:dyDescent="0.25">
      <c r="B3768">
        <v>3547</v>
      </c>
      <c r="C3768">
        <v>5</v>
      </c>
      <c r="D3768">
        <v>1</v>
      </c>
      <c r="E3768">
        <v>13</v>
      </c>
      <c r="F3768">
        <v>2</v>
      </c>
      <c r="G3768">
        <v>1</v>
      </c>
      <c r="H3768">
        <v>0</v>
      </c>
      <c r="I3768">
        <v>0</v>
      </c>
      <c r="J3768">
        <v>3</v>
      </c>
      <c r="K3768" t="s">
        <v>247</v>
      </c>
    </row>
    <row r="3769" spans="2:11" x14ac:dyDescent="0.25">
      <c r="B3769">
        <v>3546</v>
      </c>
      <c r="C3769">
        <v>150</v>
      </c>
      <c r="D3769">
        <v>69</v>
      </c>
      <c r="E3769">
        <v>13</v>
      </c>
      <c r="F3769">
        <v>6</v>
      </c>
      <c r="G3769">
        <v>4</v>
      </c>
      <c r="H3769">
        <v>0</v>
      </c>
      <c r="I3769">
        <v>0</v>
      </c>
      <c r="J3769">
        <v>10</v>
      </c>
      <c r="K3769" t="s">
        <v>246</v>
      </c>
    </row>
    <row r="3770" spans="2:11" x14ac:dyDescent="0.25">
      <c r="B3770">
        <v>3548</v>
      </c>
      <c r="C3770">
        <v>127</v>
      </c>
      <c r="D3770">
        <v>56</v>
      </c>
      <c r="E3770">
        <v>14</v>
      </c>
      <c r="F3770">
        <v>18</v>
      </c>
      <c r="G3770">
        <v>2</v>
      </c>
      <c r="H3770">
        <v>0</v>
      </c>
      <c r="I3770">
        <v>0</v>
      </c>
      <c r="J3770">
        <v>20</v>
      </c>
      <c r="K3770" t="s">
        <v>241</v>
      </c>
    </row>
    <row r="3771" spans="2:11" x14ac:dyDescent="0.25">
      <c r="B3771">
        <v>3549</v>
      </c>
      <c r="C3771">
        <v>173</v>
      </c>
      <c r="D3771">
        <v>75</v>
      </c>
      <c r="E3771">
        <v>13</v>
      </c>
      <c r="F3771">
        <v>5</v>
      </c>
      <c r="G3771">
        <v>2</v>
      </c>
      <c r="H3771">
        <v>2</v>
      </c>
      <c r="I3771">
        <v>0</v>
      </c>
      <c r="J3771">
        <v>9</v>
      </c>
      <c r="K3771" t="s">
        <v>247</v>
      </c>
    </row>
    <row r="3772" spans="2:11" x14ac:dyDescent="0.25">
      <c r="B3772">
        <v>3550</v>
      </c>
      <c r="C3772">
        <v>311</v>
      </c>
      <c r="D3772">
        <v>144</v>
      </c>
      <c r="E3772">
        <v>14</v>
      </c>
      <c r="F3772">
        <v>9</v>
      </c>
      <c r="G3772">
        <v>4</v>
      </c>
      <c r="H3772">
        <v>0</v>
      </c>
      <c r="I3772">
        <v>0</v>
      </c>
      <c r="J3772">
        <v>13</v>
      </c>
      <c r="K3772" t="s">
        <v>241</v>
      </c>
    </row>
    <row r="3773" spans="2:11" x14ac:dyDescent="0.25">
      <c r="B3773">
        <v>3551</v>
      </c>
      <c r="C3773">
        <v>280</v>
      </c>
      <c r="D3773">
        <v>129</v>
      </c>
      <c r="E3773">
        <v>13</v>
      </c>
      <c r="F3773">
        <v>12</v>
      </c>
      <c r="G3773">
        <v>7</v>
      </c>
      <c r="H3773">
        <v>0</v>
      </c>
      <c r="I3773">
        <v>0</v>
      </c>
      <c r="J3773">
        <v>19</v>
      </c>
      <c r="K3773" t="s">
        <v>246</v>
      </c>
    </row>
    <row r="3774" spans="2:11" x14ac:dyDescent="0.25">
      <c r="B3774">
        <v>3554</v>
      </c>
      <c r="C3774">
        <v>127</v>
      </c>
      <c r="D3774">
        <v>56</v>
      </c>
      <c r="E3774">
        <v>15</v>
      </c>
      <c r="F3774">
        <v>20</v>
      </c>
      <c r="G3774">
        <v>0</v>
      </c>
      <c r="H3774">
        <v>0</v>
      </c>
      <c r="I3774">
        <v>0</v>
      </c>
      <c r="J3774">
        <v>20</v>
      </c>
      <c r="K3774" t="s">
        <v>241</v>
      </c>
    </row>
    <row r="3775" spans="2:11" x14ac:dyDescent="0.25">
      <c r="B3775">
        <v>3552</v>
      </c>
      <c r="C3775">
        <v>337</v>
      </c>
      <c r="D3775">
        <v>152</v>
      </c>
      <c r="E3775">
        <v>13</v>
      </c>
      <c r="F3775">
        <v>20</v>
      </c>
      <c r="G3775">
        <v>10</v>
      </c>
      <c r="H3775">
        <v>0</v>
      </c>
      <c r="I3775">
        <v>0</v>
      </c>
      <c r="J3775">
        <v>30</v>
      </c>
      <c r="K3775" t="s">
        <v>247</v>
      </c>
    </row>
    <row r="3776" spans="2:11" x14ac:dyDescent="0.25">
      <c r="B3776">
        <v>3556</v>
      </c>
      <c r="C3776">
        <v>127</v>
      </c>
      <c r="D3776">
        <v>56</v>
      </c>
      <c r="E3776">
        <v>16</v>
      </c>
      <c r="F3776">
        <v>19</v>
      </c>
      <c r="G3776">
        <v>0</v>
      </c>
      <c r="H3776">
        <v>1</v>
      </c>
      <c r="I3776">
        <v>0</v>
      </c>
      <c r="J3776">
        <v>20</v>
      </c>
      <c r="K3776" t="s">
        <v>241</v>
      </c>
    </row>
    <row r="3777" spans="2:11" x14ac:dyDescent="0.25">
      <c r="B3777">
        <v>3557</v>
      </c>
      <c r="C3777">
        <v>249</v>
      </c>
      <c r="D3777">
        <v>112</v>
      </c>
      <c r="E3777">
        <v>12</v>
      </c>
      <c r="F3777">
        <v>10</v>
      </c>
      <c r="G3777">
        <v>2</v>
      </c>
      <c r="H3777">
        <v>4</v>
      </c>
      <c r="I3777">
        <v>0</v>
      </c>
      <c r="J3777">
        <v>16</v>
      </c>
      <c r="K3777" t="s">
        <v>250</v>
      </c>
    </row>
    <row r="3778" spans="2:11" x14ac:dyDescent="0.25">
      <c r="B3778">
        <v>3561</v>
      </c>
      <c r="C3778">
        <v>24</v>
      </c>
      <c r="D3778">
        <v>12</v>
      </c>
      <c r="E3778">
        <v>11</v>
      </c>
      <c r="F3778">
        <v>3</v>
      </c>
      <c r="G3778">
        <v>6</v>
      </c>
      <c r="H3778">
        <v>2</v>
      </c>
      <c r="I3778">
        <v>0</v>
      </c>
      <c r="J3778">
        <v>11</v>
      </c>
      <c r="K3778" t="s">
        <v>246</v>
      </c>
    </row>
    <row r="3779" spans="2:11" x14ac:dyDescent="0.25">
      <c r="B3779">
        <v>3562</v>
      </c>
      <c r="C3779">
        <v>5</v>
      </c>
      <c r="D3779">
        <v>1</v>
      </c>
      <c r="E3779">
        <v>12</v>
      </c>
      <c r="F3779">
        <v>0</v>
      </c>
      <c r="G3779">
        <v>1</v>
      </c>
      <c r="H3779">
        <v>0</v>
      </c>
      <c r="I3779">
        <v>0</v>
      </c>
      <c r="J3779">
        <v>1</v>
      </c>
      <c r="K3779" t="s">
        <v>250</v>
      </c>
    </row>
    <row r="3780" spans="2:11" x14ac:dyDescent="0.25">
      <c r="B3780">
        <v>3563</v>
      </c>
      <c r="C3780">
        <v>250</v>
      </c>
      <c r="D3780">
        <v>112</v>
      </c>
      <c r="E3780">
        <v>13</v>
      </c>
      <c r="F3780">
        <v>7</v>
      </c>
      <c r="G3780">
        <v>0</v>
      </c>
      <c r="H3780">
        <v>1</v>
      </c>
      <c r="I3780">
        <v>0</v>
      </c>
      <c r="J3780">
        <v>8</v>
      </c>
      <c r="K3780" t="s">
        <v>241</v>
      </c>
    </row>
    <row r="3781" spans="2:11" x14ac:dyDescent="0.25">
      <c r="B3781">
        <v>3564</v>
      </c>
      <c r="C3781">
        <v>280</v>
      </c>
      <c r="D3781">
        <v>129</v>
      </c>
      <c r="E3781">
        <v>11</v>
      </c>
      <c r="F3781">
        <v>10</v>
      </c>
      <c r="G3781">
        <v>9</v>
      </c>
      <c r="H3781">
        <v>0</v>
      </c>
      <c r="I3781">
        <v>0</v>
      </c>
      <c r="J3781">
        <v>19</v>
      </c>
      <c r="K3781" t="s">
        <v>246</v>
      </c>
    </row>
    <row r="3782" spans="2:11" x14ac:dyDescent="0.25">
      <c r="B3782">
        <v>3565</v>
      </c>
      <c r="C3782">
        <v>173</v>
      </c>
      <c r="D3782">
        <v>75</v>
      </c>
      <c r="E3782">
        <v>12</v>
      </c>
      <c r="F3782">
        <v>6</v>
      </c>
      <c r="G3782">
        <v>5</v>
      </c>
      <c r="H3782">
        <v>0</v>
      </c>
      <c r="I3782">
        <v>0</v>
      </c>
      <c r="J3782">
        <v>11</v>
      </c>
      <c r="K3782" t="s">
        <v>250</v>
      </c>
    </row>
    <row r="3783" spans="2:11" x14ac:dyDescent="0.25">
      <c r="B3783">
        <v>3568</v>
      </c>
      <c r="C3783">
        <v>308</v>
      </c>
      <c r="D3783">
        <v>143</v>
      </c>
      <c r="E3783">
        <v>11</v>
      </c>
      <c r="F3783">
        <v>13</v>
      </c>
      <c r="G3783">
        <v>13</v>
      </c>
      <c r="H3783">
        <v>0</v>
      </c>
      <c r="I3783">
        <v>0</v>
      </c>
      <c r="J3783">
        <v>26</v>
      </c>
      <c r="K3783" t="s">
        <v>246</v>
      </c>
    </row>
    <row r="3784" spans="2:11" x14ac:dyDescent="0.25">
      <c r="B3784">
        <v>3566</v>
      </c>
      <c r="C3784">
        <v>113</v>
      </c>
      <c r="D3784">
        <v>52</v>
      </c>
      <c r="E3784">
        <v>14</v>
      </c>
      <c r="F3784">
        <v>16</v>
      </c>
      <c r="G3784">
        <v>12</v>
      </c>
      <c r="H3784">
        <v>0</v>
      </c>
      <c r="I3784">
        <v>0</v>
      </c>
      <c r="J3784">
        <v>28</v>
      </c>
      <c r="K3784" t="s">
        <v>241</v>
      </c>
    </row>
    <row r="3785" spans="2:11" x14ac:dyDescent="0.25">
      <c r="B3785">
        <v>3569</v>
      </c>
      <c r="C3785">
        <v>297</v>
      </c>
      <c r="D3785">
        <v>136</v>
      </c>
      <c r="E3785">
        <v>14</v>
      </c>
      <c r="F3785">
        <v>5</v>
      </c>
      <c r="G3785">
        <v>2</v>
      </c>
      <c r="H3785">
        <v>1</v>
      </c>
      <c r="I3785">
        <v>0</v>
      </c>
      <c r="J3785">
        <v>8</v>
      </c>
      <c r="K3785" t="s">
        <v>251</v>
      </c>
    </row>
    <row r="3786" spans="2:11" x14ac:dyDescent="0.25">
      <c r="B3786">
        <v>3570</v>
      </c>
      <c r="C3786">
        <v>84</v>
      </c>
      <c r="D3786">
        <v>41</v>
      </c>
      <c r="E3786">
        <v>11</v>
      </c>
      <c r="F3786">
        <v>7</v>
      </c>
      <c r="G3786">
        <v>3</v>
      </c>
      <c r="H3786">
        <v>0</v>
      </c>
      <c r="I3786">
        <v>0</v>
      </c>
      <c r="J3786">
        <v>10</v>
      </c>
      <c r="K3786" t="s">
        <v>247</v>
      </c>
    </row>
    <row r="3787" spans="2:11" x14ac:dyDescent="0.25">
      <c r="B3787">
        <v>3574</v>
      </c>
      <c r="C3787">
        <v>128</v>
      </c>
      <c r="D3787">
        <v>56</v>
      </c>
      <c r="E3787">
        <v>12</v>
      </c>
      <c r="F3787">
        <v>7</v>
      </c>
      <c r="G3787">
        <v>5</v>
      </c>
      <c r="H3787">
        <v>2</v>
      </c>
      <c r="I3787">
        <v>0</v>
      </c>
      <c r="J3787">
        <v>14</v>
      </c>
      <c r="K3787" t="s">
        <v>247</v>
      </c>
    </row>
    <row r="3788" spans="2:11" x14ac:dyDescent="0.25">
      <c r="B3788">
        <v>3575</v>
      </c>
      <c r="C3788">
        <v>249</v>
      </c>
      <c r="D3788">
        <v>112</v>
      </c>
      <c r="E3788">
        <v>14</v>
      </c>
      <c r="F3788">
        <v>17</v>
      </c>
      <c r="G3788">
        <v>3</v>
      </c>
      <c r="H3788">
        <v>7</v>
      </c>
      <c r="I3788">
        <v>0</v>
      </c>
      <c r="J3788">
        <v>27</v>
      </c>
      <c r="K3788" t="s">
        <v>251</v>
      </c>
    </row>
    <row r="3789" spans="2:11" x14ac:dyDescent="0.25">
      <c r="B3789">
        <v>3578</v>
      </c>
      <c r="C3789">
        <v>22</v>
      </c>
      <c r="D3789">
        <v>10</v>
      </c>
      <c r="E3789">
        <v>14</v>
      </c>
      <c r="F3789">
        <v>3</v>
      </c>
      <c r="G3789">
        <v>11</v>
      </c>
      <c r="H3789">
        <v>3</v>
      </c>
      <c r="I3789">
        <v>0</v>
      </c>
      <c r="J3789">
        <v>17</v>
      </c>
      <c r="K3789" t="s">
        <v>241</v>
      </c>
    </row>
    <row r="3790" spans="2:11" x14ac:dyDescent="0.25">
      <c r="B3790">
        <v>3573</v>
      </c>
      <c r="C3790">
        <v>283</v>
      </c>
      <c r="D3790">
        <v>131</v>
      </c>
      <c r="E3790">
        <v>12</v>
      </c>
      <c r="F3790">
        <v>26</v>
      </c>
      <c r="G3790">
        <v>4</v>
      </c>
      <c r="H3790">
        <v>0</v>
      </c>
      <c r="I3790">
        <v>0</v>
      </c>
      <c r="J3790">
        <v>30</v>
      </c>
      <c r="K3790" t="s">
        <v>250</v>
      </c>
    </row>
    <row r="3791" spans="2:11" x14ac:dyDescent="0.25">
      <c r="B3791">
        <v>3576</v>
      </c>
      <c r="C3791">
        <v>67</v>
      </c>
      <c r="D3791">
        <v>35</v>
      </c>
      <c r="E3791">
        <v>4</v>
      </c>
      <c r="F3791">
        <v>18</v>
      </c>
      <c r="G3791">
        <v>10</v>
      </c>
      <c r="H3791">
        <v>2</v>
      </c>
      <c r="I3791">
        <v>0</v>
      </c>
      <c r="J3791">
        <v>30</v>
      </c>
      <c r="K3791" t="s">
        <v>252</v>
      </c>
    </row>
    <row r="3792" spans="2:11" x14ac:dyDescent="0.25">
      <c r="B3792">
        <v>3580</v>
      </c>
      <c r="C3792">
        <v>287</v>
      </c>
      <c r="D3792">
        <v>133</v>
      </c>
      <c r="E3792">
        <v>14</v>
      </c>
      <c r="F3792">
        <v>6</v>
      </c>
      <c r="G3792">
        <v>5</v>
      </c>
      <c r="H3792">
        <v>2</v>
      </c>
      <c r="I3792">
        <v>0</v>
      </c>
      <c r="J3792">
        <v>13</v>
      </c>
      <c r="K3792" t="s">
        <v>251</v>
      </c>
    </row>
    <row r="3793" spans="2:11" x14ac:dyDescent="0.25">
      <c r="B3793">
        <v>3581</v>
      </c>
      <c r="C3793">
        <v>21</v>
      </c>
      <c r="D3793">
        <v>10</v>
      </c>
      <c r="E3793">
        <v>14</v>
      </c>
      <c r="F3793">
        <v>11</v>
      </c>
      <c r="G3793">
        <v>6</v>
      </c>
      <c r="H3793">
        <v>0</v>
      </c>
      <c r="I3793">
        <v>0</v>
      </c>
      <c r="J3793">
        <v>17</v>
      </c>
      <c r="K3793" t="s">
        <v>241</v>
      </c>
    </row>
    <row r="3794" spans="2:11" x14ac:dyDescent="0.25">
      <c r="B3794">
        <v>3579</v>
      </c>
      <c r="C3794">
        <v>84</v>
      </c>
      <c r="D3794">
        <v>41</v>
      </c>
      <c r="E3794">
        <v>12</v>
      </c>
      <c r="F3794">
        <v>8</v>
      </c>
      <c r="G3794">
        <v>2</v>
      </c>
      <c r="H3794">
        <v>0</v>
      </c>
      <c r="I3794">
        <v>0</v>
      </c>
      <c r="J3794">
        <v>10</v>
      </c>
      <c r="K3794" t="s">
        <v>247</v>
      </c>
    </row>
    <row r="3795" spans="2:11" x14ac:dyDescent="0.25">
      <c r="B3795">
        <v>3582</v>
      </c>
      <c r="C3795">
        <v>314</v>
      </c>
      <c r="D3795">
        <v>145</v>
      </c>
      <c r="E3795">
        <v>14</v>
      </c>
      <c r="F3795">
        <v>24</v>
      </c>
      <c r="G3795">
        <v>6</v>
      </c>
      <c r="H3795">
        <v>0</v>
      </c>
      <c r="I3795">
        <v>0</v>
      </c>
      <c r="J3795">
        <v>30</v>
      </c>
      <c r="K3795" t="s">
        <v>251</v>
      </c>
    </row>
    <row r="3796" spans="2:11" x14ac:dyDescent="0.25">
      <c r="B3796">
        <v>3447</v>
      </c>
      <c r="C3796">
        <v>343</v>
      </c>
      <c r="D3796">
        <v>154</v>
      </c>
      <c r="E3796">
        <v>12</v>
      </c>
      <c r="F3796">
        <v>8</v>
      </c>
      <c r="G3796">
        <v>18</v>
      </c>
      <c r="H3796">
        <v>0</v>
      </c>
      <c r="I3796">
        <v>0</v>
      </c>
      <c r="J3796">
        <v>26</v>
      </c>
      <c r="K3796" t="s">
        <v>252</v>
      </c>
    </row>
    <row r="3797" spans="2:11" x14ac:dyDescent="0.25">
      <c r="B3797">
        <v>3485</v>
      </c>
      <c r="C3797">
        <v>101</v>
      </c>
      <c r="D3797">
        <v>51</v>
      </c>
      <c r="E3797">
        <v>5</v>
      </c>
      <c r="F3797">
        <v>17</v>
      </c>
      <c r="G3797">
        <v>8</v>
      </c>
      <c r="H3797">
        <v>1</v>
      </c>
      <c r="I3797">
        <v>0</v>
      </c>
      <c r="J3797">
        <v>26</v>
      </c>
      <c r="K3797" t="s">
        <v>252</v>
      </c>
    </row>
    <row r="3798" spans="2:11" x14ac:dyDescent="0.25">
      <c r="B3798">
        <v>3489</v>
      </c>
      <c r="C3798">
        <v>43</v>
      </c>
      <c r="D3798">
        <v>22</v>
      </c>
      <c r="E3798">
        <v>7</v>
      </c>
      <c r="F3798">
        <v>14</v>
      </c>
      <c r="G3798">
        <v>13</v>
      </c>
      <c r="H3798">
        <v>3</v>
      </c>
      <c r="I3798">
        <v>0</v>
      </c>
      <c r="J3798">
        <v>30</v>
      </c>
      <c r="K3798" t="s">
        <v>250</v>
      </c>
    </row>
    <row r="3799" spans="2:11" x14ac:dyDescent="0.25">
      <c r="B3799">
        <v>3517</v>
      </c>
      <c r="C3799">
        <v>126</v>
      </c>
      <c r="D3799">
        <v>56</v>
      </c>
      <c r="E3799">
        <v>14</v>
      </c>
      <c r="F3799">
        <v>5</v>
      </c>
      <c r="G3799">
        <v>5</v>
      </c>
      <c r="H3799">
        <v>2</v>
      </c>
      <c r="I3799">
        <v>0</v>
      </c>
      <c r="J3799">
        <v>12</v>
      </c>
      <c r="K3799" t="s">
        <v>247</v>
      </c>
    </row>
    <row r="3800" spans="2:11" x14ac:dyDescent="0.25">
      <c r="B3800">
        <v>3519</v>
      </c>
      <c r="C3800">
        <v>125</v>
      </c>
      <c r="D3800">
        <v>56</v>
      </c>
      <c r="E3800">
        <v>14</v>
      </c>
      <c r="F3800">
        <v>3</v>
      </c>
      <c r="G3800">
        <v>11</v>
      </c>
      <c r="H3800">
        <v>4</v>
      </c>
      <c r="I3800">
        <v>0</v>
      </c>
      <c r="J3800">
        <v>18</v>
      </c>
      <c r="K3800" t="s">
        <v>247</v>
      </c>
    </row>
    <row r="3801" spans="2:11" x14ac:dyDescent="0.25">
      <c r="B3801">
        <v>3555</v>
      </c>
      <c r="C3801">
        <v>315</v>
      </c>
      <c r="D3801">
        <v>145</v>
      </c>
      <c r="E3801">
        <v>13</v>
      </c>
      <c r="F3801">
        <v>12</v>
      </c>
      <c r="G3801">
        <v>16</v>
      </c>
      <c r="H3801">
        <v>0</v>
      </c>
      <c r="I3801">
        <v>0</v>
      </c>
      <c r="J3801">
        <v>28</v>
      </c>
      <c r="K3801" t="s">
        <v>246</v>
      </c>
    </row>
    <row r="3802" spans="2:11" x14ac:dyDescent="0.25">
      <c r="B3802">
        <v>3559</v>
      </c>
      <c r="C3802">
        <v>163</v>
      </c>
      <c r="D3802">
        <v>69</v>
      </c>
      <c r="E3802">
        <v>13</v>
      </c>
      <c r="F3802">
        <v>4</v>
      </c>
      <c r="G3802">
        <v>7</v>
      </c>
      <c r="H3802">
        <v>0</v>
      </c>
      <c r="I3802">
        <v>0</v>
      </c>
      <c r="J3802">
        <v>11</v>
      </c>
      <c r="K3802" t="s">
        <v>246</v>
      </c>
    </row>
    <row r="3803" spans="2:11" x14ac:dyDescent="0.25">
      <c r="B3803">
        <v>3572</v>
      </c>
      <c r="C3803">
        <v>136</v>
      </c>
      <c r="D3803">
        <v>60</v>
      </c>
      <c r="E3803">
        <v>14</v>
      </c>
      <c r="F3803">
        <v>5</v>
      </c>
      <c r="G3803">
        <v>4</v>
      </c>
      <c r="H3803">
        <v>8</v>
      </c>
      <c r="I3803">
        <v>0</v>
      </c>
      <c r="J3803">
        <v>17</v>
      </c>
      <c r="K3803" t="s">
        <v>241</v>
      </c>
    </row>
    <row r="3804" spans="2:11" x14ac:dyDescent="0.25">
      <c r="B3804">
        <v>3577</v>
      </c>
      <c r="C3804">
        <v>163</v>
      </c>
      <c r="D3804">
        <v>69</v>
      </c>
      <c r="E3804">
        <v>12</v>
      </c>
      <c r="F3804">
        <v>3</v>
      </c>
      <c r="G3804">
        <v>4</v>
      </c>
      <c r="H3804">
        <v>0</v>
      </c>
      <c r="I3804">
        <v>0</v>
      </c>
      <c r="J3804">
        <v>7</v>
      </c>
      <c r="K3804" t="s">
        <v>246</v>
      </c>
    </row>
    <row r="3805" spans="2:11" x14ac:dyDescent="0.25">
      <c r="B3805">
        <v>3583</v>
      </c>
      <c r="C3805">
        <v>20</v>
      </c>
      <c r="D3805">
        <v>10</v>
      </c>
      <c r="E3805">
        <v>14</v>
      </c>
      <c r="F3805">
        <v>9</v>
      </c>
      <c r="G3805">
        <v>7</v>
      </c>
      <c r="H3805">
        <v>0</v>
      </c>
      <c r="I3805">
        <v>0</v>
      </c>
      <c r="J3805">
        <v>16</v>
      </c>
      <c r="K3805" t="s">
        <v>241</v>
      </c>
    </row>
    <row r="3806" spans="2:11" x14ac:dyDescent="0.25">
      <c r="B3806">
        <v>3584</v>
      </c>
      <c r="C3806">
        <v>128</v>
      </c>
      <c r="D3806">
        <v>56</v>
      </c>
      <c r="E3806">
        <v>13</v>
      </c>
      <c r="F3806">
        <v>6</v>
      </c>
      <c r="G3806">
        <v>4</v>
      </c>
      <c r="H3806">
        <v>3</v>
      </c>
      <c r="I3806">
        <v>0</v>
      </c>
      <c r="J3806">
        <v>13</v>
      </c>
      <c r="K3806" t="s">
        <v>247</v>
      </c>
    </row>
    <row r="3807" spans="2:11" x14ac:dyDescent="0.25">
      <c r="B3807">
        <v>3587</v>
      </c>
      <c r="C3807">
        <v>325</v>
      </c>
      <c r="D3807">
        <v>151</v>
      </c>
      <c r="E3807">
        <v>14</v>
      </c>
      <c r="F3807">
        <v>5</v>
      </c>
      <c r="G3807">
        <v>2</v>
      </c>
      <c r="H3807">
        <v>0</v>
      </c>
      <c r="I3807">
        <v>0</v>
      </c>
      <c r="J3807">
        <v>7</v>
      </c>
      <c r="K3807" t="s">
        <v>251</v>
      </c>
    </row>
    <row r="3808" spans="2:11" x14ac:dyDescent="0.25">
      <c r="B3808">
        <v>3589</v>
      </c>
      <c r="C3808">
        <v>174</v>
      </c>
      <c r="D3808">
        <v>75</v>
      </c>
      <c r="E3808">
        <v>13</v>
      </c>
      <c r="F3808">
        <v>5</v>
      </c>
      <c r="G3808">
        <v>2</v>
      </c>
      <c r="H3808">
        <v>0</v>
      </c>
      <c r="I3808">
        <v>0</v>
      </c>
      <c r="J3808">
        <v>7</v>
      </c>
      <c r="K3808" t="s">
        <v>247</v>
      </c>
    </row>
    <row r="3809" spans="2:11" x14ac:dyDescent="0.25">
      <c r="B3809">
        <v>3590</v>
      </c>
      <c r="C3809">
        <v>128</v>
      </c>
      <c r="D3809">
        <v>56</v>
      </c>
      <c r="E3809">
        <v>14</v>
      </c>
      <c r="F3809">
        <v>9</v>
      </c>
      <c r="G3809">
        <v>5</v>
      </c>
      <c r="H3809">
        <v>2</v>
      </c>
      <c r="I3809">
        <v>0</v>
      </c>
      <c r="J3809">
        <v>16</v>
      </c>
      <c r="K3809" t="s">
        <v>251</v>
      </c>
    </row>
    <row r="3810" spans="2:11" x14ac:dyDescent="0.25">
      <c r="B3810">
        <v>3591</v>
      </c>
      <c r="C3810">
        <v>287</v>
      </c>
      <c r="D3810">
        <v>133</v>
      </c>
      <c r="E3810">
        <v>13</v>
      </c>
      <c r="F3810">
        <v>7</v>
      </c>
      <c r="G3810">
        <v>5</v>
      </c>
      <c r="H3810">
        <v>2</v>
      </c>
      <c r="I3810">
        <v>0</v>
      </c>
      <c r="J3810">
        <v>14</v>
      </c>
      <c r="K3810" t="s">
        <v>247</v>
      </c>
    </row>
    <row r="3811" spans="2:11" x14ac:dyDescent="0.25">
      <c r="B3811">
        <v>3595</v>
      </c>
      <c r="C3811">
        <v>249</v>
      </c>
      <c r="D3811">
        <v>112</v>
      </c>
      <c r="E3811">
        <v>11</v>
      </c>
      <c r="F3811">
        <v>13</v>
      </c>
      <c r="G3811">
        <v>3</v>
      </c>
      <c r="H3811">
        <v>4</v>
      </c>
      <c r="I3811">
        <v>0</v>
      </c>
      <c r="J3811">
        <v>20</v>
      </c>
      <c r="K3811" t="s">
        <v>250</v>
      </c>
    </row>
    <row r="3812" spans="2:11" x14ac:dyDescent="0.25">
      <c r="B3812">
        <v>3596</v>
      </c>
      <c r="C3812">
        <v>283</v>
      </c>
      <c r="D3812">
        <v>131</v>
      </c>
      <c r="E3812">
        <v>14</v>
      </c>
      <c r="F3812">
        <v>23</v>
      </c>
      <c r="G3812">
        <v>4</v>
      </c>
      <c r="H3812">
        <v>0</v>
      </c>
      <c r="I3812">
        <v>0</v>
      </c>
      <c r="J3812">
        <v>27</v>
      </c>
      <c r="K3812" t="s">
        <v>241</v>
      </c>
    </row>
    <row r="3813" spans="2:11" x14ac:dyDescent="0.25">
      <c r="B3813">
        <v>3601</v>
      </c>
      <c r="C3813">
        <v>254</v>
      </c>
      <c r="D3813">
        <v>116</v>
      </c>
      <c r="E3813">
        <v>3</v>
      </c>
      <c r="F3813">
        <v>30</v>
      </c>
      <c r="G3813">
        <v>0</v>
      </c>
      <c r="H3813">
        <v>0</v>
      </c>
      <c r="I3813">
        <v>0</v>
      </c>
      <c r="J3813">
        <v>30</v>
      </c>
      <c r="K3813" t="s">
        <v>252</v>
      </c>
    </row>
    <row r="3814" spans="2:11" x14ac:dyDescent="0.25">
      <c r="B3814">
        <v>3602</v>
      </c>
      <c r="C3814">
        <v>254</v>
      </c>
      <c r="D3814">
        <v>116</v>
      </c>
      <c r="E3814">
        <v>7</v>
      </c>
      <c r="F3814">
        <v>27</v>
      </c>
      <c r="G3814">
        <v>3</v>
      </c>
      <c r="H3814">
        <v>0</v>
      </c>
      <c r="I3814">
        <v>0</v>
      </c>
      <c r="J3814">
        <v>30</v>
      </c>
      <c r="K3814" t="s">
        <v>252</v>
      </c>
    </row>
    <row r="3815" spans="2:11" x14ac:dyDescent="0.25">
      <c r="B3815">
        <v>3603</v>
      </c>
      <c r="C3815">
        <v>254</v>
      </c>
      <c r="D3815">
        <v>116</v>
      </c>
      <c r="E3815">
        <v>5</v>
      </c>
      <c r="F3815">
        <v>10</v>
      </c>
      <c r="G3815">
        <v>24</v>
      </c>
      <c r="H3815">
        <v>9</v>
      </c>
      <c r="I3815">
        <v>0</v>
      </c>
      <c r="J3815">
        <v>43</v>
      </c>
      <c r="K3815" t="s">
        <v>252</v>
      </c>
    </row>
    <row r="3816" spans="2:11" x14ac:dyDescent="0.25">
      <c r="B3816">
        <v>3605</v>
      </c>
      <c r="C3816">
        <v>254</v>
      </c>
      <c r="D3816">
        <v>116</v>
      </c>
      <c r="E3816">
        <v>4</v>
      </c>
      <c r="F3816">
        <v>20</v>
      </c>
      <c r="G3816">
        <v>1</v>
      </c>
      <c r="H3816">
        <v>1</v>
      </c>
      <c r="I3816">
        <v>0</v>
      </c>
      <c r="J3816">
        <v>22</v>
      </c>
      <c r="K3816" t="s">
        <v>252</v>
      </c>
    </row>
    <row r="3817" spans="2:11" x14ac:dyDescent="0.25">
      <c r="B3817">
        <v>3607</v>
      </c>
      <c r="C3817">
        <v>254</v>
      </c>
      <c r="D3817">
        <v>116</v>
      </c>
      <c r="E3817">
        <v>1</v>
      </c>
      <c r="F3817">
        <v>15</v>
      </c>
      <c r="G3817">
        <v>10</v>
      </c>
      <c r="H3817">
        <v>0</v>
      </c>
      <c r="I3817">
        <v>0</v>
      </c>
      <c r="J3817">
        <v>25</v>
      </c>
      <c r="K3817" t="s">
        <v>252</v>
      </c>
    </row>
    <row r="3818" spans="2:11" x14ac:dyDescent="0.25">
      <c r="B3818">
        <v>3609</v>
      </c>
      <c r="C3818">
        <v>254</v>
      </c>
      <c r="D3818">
        <v>116</v>
      </c>
      <c r="E3818">
        <v>2</v>
      </c>
      <c r="F3818">
        <v>20</v>
      </c>
      <c r="G3818">
        <v>8</v>
      </c>
      <c r="H3818">
        <v>2</v>
      </c>
      <c r="I3818">
        <v>0</v>
      </c>
      <c r="J3818">
        <v>30</v>
      </c>
      <c r="K3818" t="s">
        <v>252</v>
      </c>
    </row>
    <row r="3819" spans="2:11" x14ac:dyDescent="0.25">
      <c r="B3819">
        <v>3611</v>
      </c>
      <c r="C3819">
        <v>159</v>
      </c>
      <c r="D3819">
        <v>69</v>
      </c>
      <c r="E3819">
        <v>1</v>
      </c>
      <c r="F3819">
        <v>0</v>
      </c>
      <c r="G3819">
        <v>12</v>
      </c>
      <c r="H3819">
        <v>2</v>
      </c>
      <c r="I3819">
        <v>0</v>
      </c>
      <c r="J3819">
        <v>14</v>
      </c>
      <c r="K3819" t="s">
        <v>241</v>
      </c>
    </row>
    <row r="3820" spans="2:11" x14ac:dyDescent="0.25">
      <c r="B3820">
        <v>3610</v>
      </c>
      <c r="C3820">
        <v>329</v>
      </c>
      <c r="D3820">
        <v>152</v>
      </c>
      <c r="E3820">
        <v>10</v>
      </c>
      <c r="F3820">
        <v>20</v>
      </c>
      <c r="G3820">
        <v>10</v>
      </c>
      <c r="H3820">
        <v>1</v>
      </c>
      <c r="I3820">
        <v>0</v>
      </c>
      <c r="J3820">
        <v>31</v>
      </c>
      <c r="K3820" t="s">
        <v>252</v>
      </c>
    </row>
    <row r="3821" spans="2:11" x14ac:dyDescent="0.25">
      <c r="B3821">
        <v>3612</v>
      </c>
      <c r="C3821">
        <v>179</v>
      </c>
      <c r="D3821">
        <v>77</v>
      </c>
      <c r="E3821">
        <v>12</v>
      </c>
      <c r="F3821">
        <v>1</v>
      </c>
      <c r="G3821">
        <v>6</v>
      </c>
      <c r="H3821">
        <v>1</v>
      </c>
      <c r="I3821">
        <v>0</v>
      </c>
      <c r="J3821">
        <v>8</v>
      </c>
      <c r="K3821" t="s">
        <v>250</v>
      </c>
    </row>
    <row r="3822" spans="2:11" x14ac:dyDescent="0.25">
      <c r="B3822">
        <v>3613</v>
      </c>
      <c r="C3822">
        <v>159</v>
      </c>
      <c r="D3822">
        <v>69</v>
      </c>
      <c r="E3822">
        <v>2</v>
      </c>
      <c r="F3822">
        <v>0</v>
      </c>
      <c r="G3822">
        <v>27</v>
      </c>
      <c r="H3822">
        <v>0</v>
      </c>
      <c r="I3822">
        <v>0</v>
      </c>
      <c r="J3822">
        <v>27</v>
      </c>
      <c r="K3822" t="s">
        <v>241</v>
      </c>
    </row>
    <row r="3823" spans="2:11" x14ac:dyDescent="0.25">
      <c r="B3823">
        <v>3616</v>
      </c>
      <c r="C3823">
        <v>159</v>
      </c>
      <c r="D3823">
        <v>69</v>
      </c>
      <c r="E3823">
        <v>3</v>
      </c>
      <c r="F3823">
        <v>0</v>
      </c>
      <c r="G3823">
        <v>20</v>
      </c>
      <c r="H3823">
        <v>0</v>
      </c>
      <c r="I3823">
        <v>0</v>
      </c>
      <c r="J3823">
        <v>20</v>
      </c>
      <c r="K3823" t="s">
        <v>241</v>
      </c>
    </row>
    <row r="3824" spans="2:11" x14ac:dyDescent="0.25">
      <c r="B3824">
        <v>3615</v>
      </c>
      <c r="C3824">
        <v>72</v>
      </c>
      <c r="D3824">
        <v>35</v>
      </c>
      <c r="E3824">
        <v>12</v>
      </c>
      <c r="F3824">
        <v>7</v>
      </c>
      <c r="G3824">
        <v>13</v>
      </c>
      <c r="H3824">
        <v>1</v>
      </c>
      <c r="I3824">
        <v>0</v>
      </c>
      <c r="J3824">
        <v>21</v>
      </c>
      <c r="K3824" t="s">
        <v>250</v>
      </c>
    </row>
    <row r="3825" spans="2:11" x14ac:dyDescent="0.25">
      <c r="B3825">
        <v>3617</v>
      </c>
      <c r="C3825">
        <v>159</v>
      </c>
      <c r="D3825">
        <v>69</v>
      </c>
      <c r="E3825">
        <v>4</v>
      </c>
      <c r="F3825">
        <v>0</v>
      </c>
      <c r="G3825">
        <v>15</v>
      </c>
      <c r="H3825">
        <v>0</v>
      </c>
      <c r="I3825">
        <v>0</v>
      </c>
      <c r="J3825">
        <v>15</v>
      </c>
      <c r="K3825" t="s">
        <v>241</v>
      </c>
    </row>
    <row r="3826" spans="2:11" x14ac:dyDescent="0.25">
      <c r="B3826">
        <v>3621</v>
      </c>
      <c r="C3826">
        <v>159</v>
      </c>
      <c r="D3826">
        <v>69</v>
      </c>
      <c r="E3826">
        <v>5</v>
      </c>
      <c r="F3826">
        <v>0</v>
      </c>
      <c r="G3826">
        <v>10</v>
      </c>
      <c r="H3826">
        <v>0</v>
      </c>
      <c r="I3826">
        <v>0</v>
      </c>
      <c r="J3826">
        <v>10</v>
      </c>
      <c r="K3826" t="s">
        <v>241</v>
      </c>
    </row>
    <row r="3827" spans="2:11" x14ac:dyDescent="0.25">
      <c r="B3827">
        <v>3618</v>
      </c>
      <c r="C3827">
        <v>164</v>
      </c>
      <c r="D3827">
        <v>70</v>
      </c>
      <c r="E3827">
        <v>11</v>
      </c>
      <c r="F3827">
        <v>5</v>
      </c>
      <c r="G3827">
        <v>5</v>
      </c>
      <c r="H3827">
        <v>0</v>
      </c>
      <c r="I3827">
        <v>0</v>
      </c>
      <c r="J3827">
        <v>10</v>
      </c>
      <c r="K3827" t="s">
        <v>251</v>
      </c>
    </row>
    <row r="3828" spans="2:11" x14ac:dyDescent="0.25">
      <c r="B3828">
        <v>3622</v>
      </c>
      <c r="C3828">
        <v>316</v>
      </c>
      <c r="D3828">
        <v>146</v>
      </c>
      <c r="E3828">
        <v>15</v>
      </c>
      <c r="F3828">
        <v>1</v>
      </c>
      <c r="G3828">
        <v>4</v>
      </c>
      <c r="H3828">
        <v>0</v>
      </c>
      <c r="I3828">
        <v>0</v>
      </c>
      <c r="J3828">
        <v>5</v>
      </c>
      <c r="K3828" t="s">
        <v>247</v>
      </c>
    </row>
    <row r="3829" spans="2:11" x14ac:dyDescent="0.25">
      <c r="B3829">
        <v>3620</v>
      </c>
      <c r="C3829">
        <v>73</v>
      </c>
      <c r="D3829">
        <v>35</v>
      </c>
      <c r="E3829">
        <v>12</v>
      </c>
      <c r="F3829">
        <v>16</v>
      </c>
      <c r="G3829">
        <v>9</v>
      </c>
      <c r="H3829">
        <v>5</v>
      </c>
      <c r="I3829">
        <v>0</v>
      </c>
      <c r="J3829">
        <v>30</v>
      </c>
      <c r="K3829" t="s">
        <v>250</v>
      </c>
    </row>
    <row r="3830" spans="2:11" x14ac:dyDescent="0.25">
      <c r="B3830">
        <v>3625</v>
      </c>
      <c r="C3830">
        <v>129</v>
      </c>
      <c r="D3830">
        <v>57</v>
      </c>
      <c r="E3830">
        <v>13</v>
      </c>
      <c r="F3830">
        <v>9</v>
      </c>
      <c r="G3830">
        <v>6</v>
      </c>
      <c r="H3830">
        <v>0</v>
      </c>
      <c r="I3830">
        <v>0</v>
      </c>
      <c r="J3830">
        <v>15</v>
      </c>
      <c r="K3830" t="s">
        <v>247</v>
      </c>
    </row>
    <row r="3831" spans="2:11" x14ac:dyDescent="0.25">
      <c r="B3831">
        <v>3626</v>
      </c>
      <c r="C3831">
        <v>315</v>
      </c>
      <c r="D3831">
        <v>145</v>
      </c>
      <c r="E3831">
        <v>15</v>
      </c>
      <c r="F3831">
        <v>6</v>
      </c>
      <c r="G3831">
        <v>13</v>
      </c>
      <c r="H3831">
        <v>0</v>
      </c>
      <c r="I3831">
        <v>0</v>
      </c>
      <c r="J3831">
        <v>19</v>
      </c>
      <c r="K3831" t="s">
        <v>247</v>
      </c>
    </row>
    <row r="3832" spans="2:11" x14ac:dyDescent="0.25">
      <c r="B3832">
        <v>3627</v>
      </c>
      <c r="C3832">
        <v>71</v>
      </c>
      <c r="D3832">
        <v>35</v>
      </c>
      <c r="E3832">
        <v>12</v>
      </c>
      <c r="F3832">
        <v>9</v>
      </c>
      <c r="G3832">
        <v>15</v>
      </c>
      <c r="H3832">
        <v>1</v>
      </c>
      <c r="I3832">
        <v>0</v>
      </c>
      <c r="J3832">
        <v>25</v>
      </c>
      <c r="K3832" t="s">
        <v>250</v>
      </c>
    </row>
    <row r="3833" spans="2:11" x14ac:dyDescent="0.25">
      <c r="B3833">
        <v>3628</v>
      </c>
      <c r="C3833">
        <v>98</v>
      </c>
      <c r="D3833">
        <v>48</v>
      </c>
      <c r="E3833">
        <v>11</v>
      </c>
      <c r="F3833">
        <v>16</v>
      </c>
      <c r="G3833">
        <v>14</v>
      </c>
      <c r="H3833">
        <v>0</v>
      </c>
      <c r="I3833">
        <v>0</v>
      </c>
      <c r="J3833">
        <v>30</v>
      </c>
      <c r="K3833" t="s">
        <v>251</v>
      </c>
    </row>
    <row r="3834" spans="2:11" x14ac:dyDescent="0.25">
      <c r="B3834">
        <v>3632</v>
      </c>
      <c r="C3834">
        <v>99</v>
      </c>
      <c r="D3834">
        <v>49</v>
      </c>
      <c r="E3834">
        <v>11</v>
      </c>
      <c r="F3834">
        <v>6</v>
      </c>
      <c r="G3834">
        <v>14</v>
      </c>
      <c r="H3834">
        <v>0</v>
      </c>
      <c r="I3834">
        <v>0</v>
      </c>
      <c r="J3834">
        <v>20</v>
      </c>
      <c r="K3834" t="s">
        <v>251</v>
      </c>
    </row>
    <row r="3835" spans="2:11" x14ac:dyDescent="0.25">
      <c r="B3835">
        <v>3638</v>
      </c>
      <c r="C3835">
        <v>85</v>
      </c>
      <c r="D3835">
        <v>41</v>
      </c>
      <c r="E3835">
        <v>11</v>
      </c>
      <c r="F3835">
        <v>2</v>
      </c>
      <c r="G3835">
        <v>2</v>
      </c>
      <c r="H3835">
        <v>0</v>
      </c>
      <c r="I3835">
        <v>0</v>
      </c>
      <c r="J3835">
        <v>4</v>
      </c>
      <c r="K3835" t="s">
        <v>251</v>
      </c>
    </row>
    <row r="3836" spans="2:11" x14ac:dyDescent="0.25">
      <c r="B3836">
        <v>3651</v>
      </c>
      <c r="C3836">
        <v>179</v>
      </c>
      <c r="D3836">
        <v>77</v>
      </c>
      <c r="E3836">
        <v>13</v>
      </c>
      <c r="F3836">
        <v>2</v>
      </c>
      <c r="G3836">
        <v>2</v>
      </c>
      <c r="H3836">
        <v>2</v>
      </c>
      <c r="I3836">
        <v>0</v>
      </c>
      <c r="J3836">
        <v>6</v>
      </c>
      <c r="K3836" t="s">
        <v>251</v>
      </c>
    </row>
    <row r="3837" spans="2:11" x14ac:dyDescent="0.25">
      <c r="B3837">
        <v>3662</v>
      </c>
      <c r="C3837">
        <v>129</v>
      </c>
      <c r="D3837">
        <v>57</v>
      </c>
      <c r="E3837">
        <v>14</v>
      </c>
      <c r="F3837">
        <v>10</v>
      </c>
      <c r="G3837">
        <v>10</v>
      </c>
      <c r="H3837">
        <v>1</v>
      </c>
      <c r="I3837">
        <v>0</v>
      </c>
      <c r="J3837">
        <v>21</v>
      </c>
      <c r="K3837" t="s">
        <v>247</v>
      </c>
    </row>
    <row r="3838" spans="2:11" x14ac:dyDescent="0.25">
      <c r="B3838">
        <v>3676</v>
      </c>
      <c r="C3838">
        <v>99</v>
      </c>
      <c r="D3838">
        <v>49</v>
      </c>
      <c r="E3838">
        <v>13</v>
      </c>
      <c r="F3838">
        <v>8</v>
      </c>
      <c r="G3838">
        <v>12</v>
      </c>
      <c r="H3838">
        <v>0</v>
      </c>
      <c r="I3838">
        <v>0</v>
      </c>
      <c r="J3838">
        <v>20</v>
      </c>
      <c r="K3838" t="s">
        <v>241</v>
      </c>
    </row>
    <row r="3839" spans="2:11" x14ac:dyDescent="0.25">
      <c r="B3839">
        <v>3681</v>
      </c>
      <c r="C3839">
        <v>27</v>
      </c>
      <c r="D3839">
        <v>14</v>
      </c>
      <c r="E3839">
        <v>13</v>
      </c>
      <c r="F3839">
        <v>8</v>
      </c>
      <c r="G3839">
        <v>6</v>
      </c>
      <c r="H3839">
        <v>5</v>
      </c>
      <c r="I3839">
        <v>0</v>
      </c>
      <c r="J3839">
        <v>19</v>
      </c>
      <c r="K3839" t="s">
        <v>241</v>
      </c>
    </row>
    <row r="3840" spans="2:11" x14ac:dyDescent="0.25">
      <c r="B3840">
        <v>3690</v>
      </c>
      <c r="C3840">
        <v>273</v>
      </c>
      <c r="D3840">
        <v>124</v>
      </c>
      <c r="E3840">
        <v>13</v>
      </c>
      <c r="F3840">
        <v>15</v>
      </c>
      <c r="G3840">
        <v>15</v>
      </c>
      <c r="H3840">
        <v>0</v>
      </c>
      <c r="I3840">
        <v>0</v>
      </c>
      <c r="J3840">
        <v>30</v>
      </c>
      <c r="K3840" t="s">
        <v>248</v>
      </c>
    </row>
    <row r="3841" spans="2:11" x14ac:dyDescent="0.25">
      <c r="B3841">
        <v>3691</v>
      </c>
      <c r="C3841">
        <v>98</v>
      </c>
      <c r="D3841">
        <v>48</v>
      </c>
      <c r="E3841">
        <v>13</v>
      </c>
      <c r="F3841">
        <v>15</v>
      </c>
      <c r="G3841">
        <v>13</v>
      </c>
      <c r="H3841">
        <v>2</v>
      </c>
      <c r="I3841">
        <v>0</v>
      </c>
      <c r="J3841">
        <v>30</v>
      </c>
      <c r="K3841" t="s">
        <v>250</v>
      </c>
    </row>
    <row r="3842" spans="2:11" x14ac:dyDescent="0.25">
      <c r="B3842">
        <v>3719</v>
      </c>
      <c r="C3842">
        <v>102</v>
      </c>
      <c r="D3842">
        <v>51</v>
      </c>
      <c r="E3842">
        <v>8</v>
      </c>
      <c r="F3842">
        <v>3</v>
      </c>
      <c r="G3842">
        <v>3</v>
      </c>
      <c r="H3842">
        <v>1</v>
      </c>
      <c r="I3842">
        <v>0</v>
      </c>
      <c r="J3842">
        <v>7</v>
      </c>
      <c r="K3842" t="s">
        <v>249</v>
      </c>
    </row>
    <row r="3843" spans="2:11" x14ac:dyDescent="0.25">
      <c r="B3843">
        <v>3744</v>
      </c>
      <c r="C3843">
        <v>53</v>
      </c>
      <c r="D3843">
        <v>27</v>
      </c>
      <c r="E3843">
        <v>13</v>
      </c>
      <c r="F3843">
        <v>6</v>
      </c>
      <c r="G3843">
        <v>12</v>
      </c>
      <c r="H3843">
        <v>0</v>
      </c>
      <c r="I3843">
        <v>0</v>
      </c>
      <c r="J3843">
        <v>18</v>
      </c>
      <c r="K3843" t="s">
        <v>241</v>
      </c>
    </row>
    <row r="3844" spans="2:11" x14ac:dyDescent="0.25">
      <c r="B3844">
        <v>3750</v>
      </c>
      <c r="C3844">
        <v>100</v>
      </c>
      <c r="D3844">
        <v>50</v>
      </c>
      <c r="E3844">
        <v>13</v>
      </c>
      <c r="F3844">
        <v>7</v>
      </c>
      <c r="G3844">
        <v>21</v>
      </c>
      <c r="H3844">
        <v>0</v>
      </c>
      <c r="I3844">
        <v>0</v>
      </c>
      <c r="J3844">
        <v>28</v>
      </c>
      <c r="K3844" t="s">
        <v>241</v>
      </c>
    </row>
    <row r="3845" spans="2:11" x14ac:dyDescent="0.25">
      <c r="B3845">
        <v>3754</v>
      </c>
      <c r="C3845">
        <v>310</v>
      </c>
      <c r="D3845">
        <v>144</v>
      </c>
      <c r="E3845">
        <v>13</v>
      </c>
      <c r="F3845">
        <v>10</v>
      </c>
      <c r="G3845">
        <v>14</v>
      </c>
      <c r="H3845">
        <v>0</v>
      </c>
      <c r="I3845">
        <v>0</v>
      </c>
      <c r="J3845">
        <v>24</v>
      </c>
      <c r="K3845" t="s">
        <v>248</v>
      </c>
    </row>
    <row r="3846" spans="2:11" x14ac:dyDescent="0.25">
      <c r="B3846">
        <v>3752</v>
      </c>
      <c r="C3846">
        <v>339</v>
      </c>
      <c r="D3846">
        <v>152</v>
      </c>
      <c r="E3846">
        <v>12</v>
      </c>
      <c r="F3846">
        <v>4</v>
      </c>
      <c r="G3846">
        <v>18</v>
      </c>
      <c r="H3846">
        <v>0</v>
      </c>
      <c r="I3846">
        <v>0</v>
      </c>
      <c r="J3846">
        <v>22</v>
      </c>
      <c r="K3846" t="s">
        <v>246</v>
      </c>
    </row>
    <row r="3847" spans="2:11" x14ac:dyDescent="0.25">
      <c r="B3847">
        <v>3762</v>
      </c>
      <c r="C3847">
        <v>55</v>
      </c>
      <c r="D3847">
        <v>29</v>
      </c>
      <c r="E3847">
        <v>14</v>
      </c>
      <c r="F3847">
        <v>3</v>
      </c>
      <c r="G3847">
        <v>20</v>
      </c>
      <c r="H3847">
        <v>0</v>
      </c>
      <c r="I3847">
        <v>0</v>
      </c>
      <c r="J3847">
        <v>23</v>
      </c>
      <c r="K3847" t="s">
        <v>247</v>
      </c>
    </row>
    <row r="3848" spans="2:11" x14ac:dyDescent="0.25">
      <c r="B3848">
        <v>3769</v>
      </c>
      <c r="C3848">
        <v>54</v>
      </c>
      <c r="D3848">
        <v>28</v>
      </c>
      <c r="E3848">
        <v>13</v>
      </c>
      <c r="F3848">
        <v>6</v>
      </c>
      <c r="G3848">
        <v>6</v>
      </c>
      <c r="H3848">
        <v>3</v>
      </c>
      <c r="I3848">
        <v>0</v>
      </c>
      <c r="J3848">
        <v>15</v>
      </c>
      <c r="K3848" t="s">
        <v>241</v>
      </c>
    </row>
    <row r="3849" spans="2:11" x14ac:dyDescent="0.25">
      <c r="B3849">
        <v>3774</v>
      </c>
      <c r="C3849">
        <v>350</v>
      </c>
      <c r="D3849">
        <v>157</v>
      </c>
      <c r="E3849">
        <v>10</v>
      </c>
      <c r="F3849">
        <v>16</v>
      </c>
      <c r="G3849">
        <v>12</v>
      </c>
      <c r="H3849">
        <v>4</v>
      </c>
      <c r="I3849">
        <v>0</v>
      </c>
      <c r="J3849">
        <v>32</v>
      </c>
      <c r="K3849" t="s">
        <v>249</v>
      </c>
    </row>
    <row r="3850" spans="2:11" x14ac:dyDescent="0.25">
      <c r="B3850">
        <v>3841</v>
      </c>
      <c r="C3850">
        <v>269</v>
      </c>
      <c r="D3850">
        <v>121</v>
      </c>
      <c r="E3850">
        <v>14</v>
      </c>
      <c r="F3850">
        <v>9</v>
      </c>
      <c r="G3850">
        <v>11</v>
      </c>
      <c r="H3850">
        <v>2</v>
      </c>
      <c r="I3850">
        <v>0</v>
      </c>
      <c r="J3850">
        <v>22</v>
      </c>
      <c r="K3850" t="s">
        <v>241</v>
      </c>
    </row>
    <row r="3851" spans="2:11" x14ac:dyDescent="0.25">
      <c r="B3851">
        <v>3862</v>
      </c>
      <c r="C3851">
        <v>112</v>
      </c>
      <c r="D3851">
        <v>51</v>
      </c>
      <c r="E3851">
        <v>12</v>
      </c>
      <c r="F3851">
        <v>24</v>
      </c>
      <c r="G3851">
        <v>6</v>
      </c>
      <c r="H3851">
        <v>0</v>
      </c>
      <c r="I3851">
        <v>0</v>
      </c>
      <c r="J3851">
        <v>30</v>
      </c>
      <c r="K3851" t="s">
        <v>251</v>
      </c>
    </row>
    <row r="3852" spans="2:11" x14ac:dyDescent="0.25">
      <c r="B3852">
        <v>3877</v>
      </c>
      <c r="C3852">
        <v>133</v>
      </c>
      <c r="D3852">
        <v>60</v>
      </c>
      <c r="E3852">
        <v>12</v>
      </c>
      <c r="F3852">
        <v>13</v>
      </c>
      <c r="G3852">
        <v>7</v>
      </c>
      <c r="H3852">
        <v>0</v>
      </c>
      <c r="I3852">
        <v>0</v>
      </c>
      <c r="J3852">
        <v>20</v>
      </c>
      <c r="K3852" t="s">
        <v>251</v>
      </c>
    </row>
    <row r="3853" spans="2:11" x14ac:dyDescent="0.25">
      <c r="B3853">
        <v>3891</v>
      </c>
      <c r="C3853">
        <v>86</v>
      </c>
      <c r="D3853">
        <v>42</v>
      </c>
      <c r="E3853">
        <v>11</v>
      </c>
      <c r="F3853">
        <v>10</v>
      </c>
      <c r="G3853">
        <v>1</v>
      </c>
      <c r="H3853">
        <v>0</v>
      </c>
      <c r="I3853">
        <v>0</v>
      </c>
      <c r="J3853">
        <v>11</v>
      </c>
      <c r="K3853" t="s">
        <v>251</v>
      </c>
    </row>
    <row r="3854" spans="2:11" x14ac:dyDescent="0.25">
      <c r="B3854">
        <v>3892</v>
      </c>
      <c r="C3854">
        <v>86</v>
      </c>
      <c r="D3854">
        <v>42</v>
      </c>
      <c r="E3854">
        <v>12</v>
      </c>
      <c r="F3854">
        <v>17</v>
      </c>
      <c r="G3854">
        <v>4</v>
      </c>
      <c r="H3854">
        <v>0</v>
      </c>
      <c r="I3854">
        <v>0</v>
      </c>
      <c r="J3854">
        <v>21</v>
      </c>
      <c r="K3854" t="s">
        <v>251</v>
      </c>
    </row>
    <row r="3855" spans="2:11" x14ac:dyDescent="0.25">
      <c r="B3855">
        <v>3893</v>
      </c>
      <c r="C3855">
        <v>86</v>
      </c>
      <c r="D3855">
        <v>42</v>
      </c>
      <c r="E3855">
        <v>13</v>
      </c>
      <c r="F3855">
        <v>14</v>
      </c>
      <c r="G3855">
        <v>9</v>
      </c>
      <c r="H3855">
        <v>0</v>
      </c>
      <c r="I3855">
        <v>0</v>
      </c>
      <c r="J3855">
        <v>23</v>
      </c>
      <c r="K3855" t="s">
        <v>251</v>
      </c>
    </row>
    <row r="3856" spans="2:11" x14ac:dyDescent="0.25">
      <c r="B3856">
        <v>4514</v>
      </c>
      <c r="C3856">
        <v>117</v>
      </c>
      <c r="D3856">
        <v>54</v>
      </c>
      <c r="E3856">
        <v>15</v>
      </c>
      <c r="F3856">
        <v>5</v>
      </c>
      <c r="G3856">
        <v>10</v>
      </c>
      <c r="H3856">
        <v>3</v>
      </c>
      <c r="I3856">
        <v>0</v>
      </c>
      <c r="J3856">
        <v>18</v>
      </c>
      <c r="K3856" t="s">
        <v>245</v>
      </c>
    </row>
    <row r="3857" spans="2:11" x14ac:dyDescent="0.25">
      <c r="B3857">
        <v>3989</v>
      </c>
      <c r="C3857">
        <v>108</v>
      </c>
      <c r="D3857">
        <v>51</v>
      </c>
      <c r="E3857">
        <v>6</v>
      </c>
      <c r="F3857">
        <v>18</v>
      </c>
      <c r="G3857">
        <v>6</v>
      </c>
      <c r="H3857">
        <v>0</v>
      </c>
      <c r="I3857">
        <v>0</v>
      </c>
      <c r="J3857">
        <v>24</v>
      </c>
      <c r="K3857" t="s">
        <v>250</v>
      </c>
    </row>
    <row r="3858" spans="2:11" x14ac:dyDescent="0.25">
      <c r="B3858">
        <v>3988</v>
      </c>
      <c r="C3858">
        <v>142</v>
      </c>
      <c r="D3858">
        <v>62</v>
      </c>
      <c r="E3858">
        <v>15</v>
      </c>
      <c r="F3858">
        <v>19</v>
      </c>
      <c r="G3858">
        <v>0</v>
      </c>
      <c r="H3858">
        <v>6</v>
      </c>
      <c r="I3858">
        <v>0</v>
      </c>
      <c r="J3858">
        <v>25</v>
      </c>
      <c r="K3858" t="s">
        <v>243</v>
      </c>
    </row>
    <row r="3859" spans="2:11" x14ac:dyDescent="0.25">
      <c r="B3859">
        <v>3992</v>
      </c>
      <c r="C3859">
        <v>298</v>
      </c>
      <c r="D3859">
        <v>137</v>
      </c>
      <c r="E3859">
        <v>15</v>
      </c>
      <c r="F3859">
        <v>1</v>
      </c>
      <c r="G3859">
        <v>15</v>
      </c>
      <c r="H3859">
        <v>2</v>
      </c>
      <c r="I3859">
        <v>0</v>
      </c>
      <c r="J3859">
        <v>18</v>
      </c>
      <c r="K3859" t="s">
        <v>248</v>
      </c>
    </row>
    <row r="3860" spans="2:11" x14ac:dyDescent="0.25">
      <c r="B3860">
        <v>3991</v>
      </c>
      <c r="C3860">
        <v>286</v>
      </c>
      <c r="D3860">
        <v>133</v>
      </c>
      <c r="E3860">
        <v>15</v>
      </c>
      <c r="F3860">
        <v>7</v>
      </c>
      <c r="G3860">
        <v>5</v>
      </c>
      <c r="H3860">
        <v>0</v>
      </c>
      <c r="I3860">
        <v>0</v>
      </c>
      <c r="J3860">
        <v>12</v>
      </c>
      <c r="K3860" t="s">
        <v>247</v>
      </c>
    </row>
    <row r="3861" spans="2:11" x14ac:dyDescent="0.25">
      <c r="B3861">
        <v>3997</v>
      </c>
      <c r="C3861">
        <v>313</v>
      </c>
      <c r="D3861">
        <v>144</v>
      </c>
      <c r="E3861">
        <v>15</v>
      </c>
      <c r="F3861">
        <v>4</v>
      </c>
      <c r="G3861">
        <v>5</v>
      </c>
      <c r="H3861">
        <v>0</v>
      </c>
      <c r="I3861">
        <v>0</v>
      </c>
      <c r="J3861">
        <v>9</v>
      </c>
      <c r="K3861" t="s">
        <v>248</v>
      </c>
    </row>
    <row r="3862" spans="2:11" x14ac:dyDescent="0.25">
      <c r="B3862">
        <v>3998</v>
      </c>
      <c r="C3862">
        <v>336</v>
      </c>
      <c r="D3862">
        <v>152</v>
      </c>
      <c r="E3862">
        <v>15</v>
      </c>
      <c r="F3862">
        <v>6</v>
      </c>
      <c r="G3862">
        <v>24</v>
      </c>
      <c r="H3862">
        <v>0</v>
      </c>
      <c r="I3862">
        <v>0</v>
      </c>
      <c r="J3862">
        <v>30</v>
      </c>
      <c r="K3862" t="s">
        <v>247</v>
      </c>
    </row>
    <row r="3863" spans="2:11" x14ac:dyDescent="0.25">
      <c r="B3863">
        <v>3995</v>
      </c>
      <c r="C3863">
        <v>14</v>
      </c>
      <c r="D3863">
        <v>5</v>
      </c>
      <c r="E3863">
        <v>15</v>
      </c>
      <c r="F3863">
        <v>0</v>
      </c>
      <c r="G3863">
        <v>8</v>
      </c>
      <c r="H3863">
        <v>0</v>
      </c>
      <c r="I3863">
        <v>0</v>
      </c>
      <c r="J3863">
        <v>8</v>
      </c>
      <c r="K3863" t="s">
        <v>245</v>
      </c>
    </row>
    <row r="3864" spans="2:11" x14ac:dyDescent="0.25">
      <c r="B3864">
        <v>3996</v>
      </c>
      <c r="C3864">
        <v>343</v>
      </c>
      <c r="D3864">
        <v>154</v>
      </c>
      <c r="E3864">
        <v>15</v>
      </c>
      <c r="F3864">
        <v>10</v>
      </c>
      <c r="G3864">
        <v>9</v>
      </c>
      <c r="H3864">
        <v>0</v>
      </c>
      <c r="I3864">
        <v>0</v>
      </c>
      <c r="J3864">
        <v>19</v>
      </c>
      <c r="K3864" t="s">
        <v>243</v>
      </c>
    </row>
    <row r="3865" spans="2:11" x14ac:dyDescent="0.25">
      <c r="B3865">
        <v>3999</v>
      </c>
      <c r="C3865">
        <v>108</v>
      </c>
      <c r="D3865">
        <v>51</v>
      </c>
      <c r="E3865">
        <v>10</v>
      </c>
      <c r="F3865">
        <v>13</v>
      </c>
      <c r="G3865">
        <v>8</v>
      </c>
      <c r="H3865">
        <v>1</v>
      </c>
      <c r="I3865">
        <v>0</v>
      </c>
      <c r="J3865">
        <v>22</v>
      </c>
      <c r="K3865" t="s">
        <v>250</v>
      </c>
    </row>
    <row r="3866" spans="2:11" x14ac:dyDescent="0.25">
      <c r="B3866">
        <v>4001</v>
      </c>
      <c r="C3866">
        <v>334</v>
      </c>
      <c r="D3866">
        <v>152</v>
      </c>
      <c r="E3866">
        <v>15</v>
      </c>
      <c r="F3866">
        <v>15</v>
      </c>
      <c r="G3866">
        <v>10</v>
      </c>
      <c r="H3866">
        <v>0</v>
      </c>
      <c r="I3866">
        <v>0</v>
      </c>
      <c r="J3866">
        <v>25</v>
      </c>
      <c r="K3866" t="s">
        <v>248</v>
      </c>
    </row>
    <row r="3867" spans="2:11" x14ac:dyDescent="0.25">
      <c r="B3867">
        <v>4000</v>
      </c>
      <c r="C3867">
        <v>109</v>
      </c>
      <c r="D3867">
        <v>51</v>
      </c>
      <c r="E3867">
        <v>15</v>
      </c>
      <c r="F3867">
        <v>7</v>
      </c>
      <c r="G3867">
        <v>9</v>
      </c>
      <c r="H3867">
        <v>1</v>
      </c>
      <c r="I3867">
        <v>0</v>
      </c>
      <c r="J3867">
        <v>17</v>
      </c>
      <c r="K3867" t="s">
        <v>245</v>
      </c>
    </row>
    <row r="3868" spans="2:11" x14ac:dyDescent="0.25">
      <c r="B3868">
        <v>4003</v>
      </c>
      <c r="C3868">
        <v>256</v>
      </c>
      <c r="D3868">
        <v>117</v>
      </c>
      <c r="E3868">
        <v>15</v>
      </c>
      <c r="F3868">
        <v>20</v>
      </c>
      <c r="G3868">
        <v>0</v>
      </c>
      <c r="H3868">
        <v>0</v>
      </c>
      <c r="I3868">
        <v>0</v>
      </c>
      <c r="J3868">
        <v>20</v>
      </c>
      <c r="K3868" t="s">
        <v>246</v>
      </c>
    </row>
    <row r="3869" spans="2:11" x14ac:dyDescent="0.25">
      <c r="B3869">
        <v>4004</v>
      </c>
      <c r="C3869">
        <v>108</v>
      </c>
      <c r="D3869">
        <v>51</v>
      </c>
      <c r="E3869">
        <v>11</v>
      </c>
      <c r="F3869">
        <v>18</v>
      </c>
      <c r="G3869">
        <v>8</v>
      </c>
      <c r="H3869">
        <v>0</v>
      </c>
      <c r="I3869">
        <v>0</v>
      </c>
      <c r="J3869">
        <v>26</v>
      </c>
      <c r="K3869" t="s">
        <v>250</v>
      </c>
    </row>
    <row r="3870" spans="2:11" x14ac:dyDescent="0.25">
      <c r="B3870">
        <v>4009</v>
      </c>
      <c r="C3870">
        <v>237</v>
      </c>
      <c r="D3870">
        <v>104</v>
      </c>
      <c r="E3870">
        <v>15</v>
      </c>
      <c r="F3870">
        <v>14</v>
      </c>
      <c r="G3870">
        <v>8</v>
      </c>
      <c r="H3870">
        <v>0</v>
      </c>
      <c r="I3870">
        <v>0</v>
      </c>
      <c r="J3870">
        <v>22</v>
      </c>
      <c r="K3870" t="s">
        <v>246</v>
      </c>
    </row>
    <row r="3871" spans="2:11" x14ac:dyDescent="0.25">
      <c r="B3871">
        <v>4011</v>
      </c>
      <c r="C3871">
        <v>15</v>
      </c>
      <c r="D3871">
        <v>6</v>
      </c>
      <c r="E3871">
        <v>15</v>
      </c>
      <c r="F3871">
        <v>1</v>
      </c>
      <c r="G3871">
        <v>1</v>
      </c>
      <c r="H3871">
        <v>0</v>
      </c>
      <c r="I3871">
        <v>0</v>
      </c>
      <c r="J3871">
        <v>2</v>
      </c>
      <c r="K3871" t="s">
        <v>245</v>
      </c>
    </row>
    <row r="3872" spans="2:11" x14ac:dyDescent="0.25">
      <c r="B3872">
        <v>4010</v>
      </c>
      <c r="C3872">
        <v>108</v>
      </c>
      <c r="D3872">
        <v>51</v>
      </c>
      <c r="E3872">
        <v>7</v>
      </c>
      <c r="F3872">
        <v>19</v>
      </c>
      <c r="G3872">
        <v>7</v>
      </c>
      <c r="H3872">
        <v>0</v>
      </c>
      <c r="I3872">
        <v>0</v>
      </c>
      <c r="J3872">
        <v>26</v>
      </c>
      <c r="K3872" t="s">
        <v>250</v>
      </c>
    </row>
    <row r="3873" spans="2:11" x14ac:dyDescent="0.25">
      <c r="B3873">
        <v>4008</v>
      </c>
      <c r="C3873">
        <v>287</v>
      </c>
      <c r="D3873">
        <v>133</v>
      </c>
      <c r="E3873">
        <v>15</v>
      </c>
      <c r="F3873">
        <v>8</v>
      </c>
      <c r="G3873">
        <v>2</v>
      </c>
      <c r="H3873">
        <v>0</v>
      </c>
      <c r="I3873">
        <v>0</v>
      </c>
      <c r="J3873">
        <v>10</v>
      </c>
      <c r="K3873" t="s">
        <v>243</v>
      </c>
    </row>
    <row r="3874" spans="2:11" x14ac:dyDescent="0.25">
      <c r="B3874">
        <v>4014</v>
      </c>
      <c r="C3874">
        <v>281</v>
      </c>
      <c r="D3874">
        <v>129</v>
      </c>
      <c r="E3874">
        <v>15</v>
      </c>
      <c r="F3874">
        <v>10</v>
      </c>
      <c r="G3874">
        <v>11</v>
      </c>
      <c r="H3874">
        <v>0</v>
      </c>
      <c r="I3874">
        <v>0</v>
      </c>
      <c r="J3874">
        <v>21</v>
      </c>
      <c r="K3874" t="s">
        <v>247</v>
      </c>
    </row>
    <row r="3875" spans="2:11" x14ac:dyDescent="0.25">
      <c r="B3875">
        <v>4015</v>
      </c>
      <c r="C3875">
        <v>163</v>
      </c>
      <c r="D3875">
        <v>69</v>
      </c>
      <c r="E3875">
        <v>15</v>
      </c>
      <c r="F3875">
        <v>1</v>
      </c>
      <c r="G3875">
        <v>2</v>
      </c>
      <c r="H3875">
        <v>0</v>
      </c>
      <c r="I3875">
        <v>0</v>
      </c>
      <c r="J3875">
        <v>3</v>
      </c>
      <c r="K3875" t="s">
        <v>246</v>
      </c>
    </row>
    <row r="3876" spans="2:11" x14ac:dyDescent="0.25">
      <c r="B3876">
        <v>4005</v>
      </c>
      <c r="C3876">
        <v>331</v>
      </c>
      <c r="D3876">
        <v>152</v>
      </c>
      <c r="E3876">
        <v>15</v>
      </c>
      <c r="F3876">
        <v>3</v>
      </c>
      <c r="G3876">
        <v>27</v>
      </c>
      <c r="H3876">
        <v>0</v>
      </c>
      <c r="I3876">
        <v>0</v>
      </c>
      <c r="J3876">
        <v>30</v>
      </c>
      <c r="K3876" t="s">
        <v>248</v>
      </c>
    </row>
    <row r="3877" spans="2:11" x14ac:dyDescent="0.25">
      <c r="B3877">
        <v>4017</v>
      </c>
      <c r="C3877">
        <v>319</v>
      </c>
      <c r="D3877">
        <v>147</v>
      </c>
      <c r="E3877">
        <v>15</v>
      </c>
      <c r="F3877">
        <v>3</v>
      </c>
      <c r="G3877">
        <v>0</v>
      </c>
      <c r="H3877">
        <v>0</v>
      </c>
      <c r="I3877">
        <v>0</v>
      </c>
      <c r="J3877">
        <v>3</v>
      </c>
      <c r="K3877" t="s">
        <v>247</v>
      </c>
    </row>
    <row r="3878" spans="2:11" x14ac:dyDescent="0.25">
      <c r="B3878">
        <v>4018</v>
      </c>
      <c r="C3878">
        <v>169</v>
      </c>
      <c r="D3878">
        <v>73</v>
      </c>
      <c r="E3878">
        <v>15</v>
      </c>
      <c r="F3878">
        <v>7</v>
      </c>
      <c r="G3878">
        <v>2</v>
      </c>
      <c r="H3878">
        <v>0</v>
      </c>
      <c r="I3878">
        <v>0</v>
      </c>
      <c r="J3878">
        <v>9</v>
      </c>
      <c r="K3878" t="s">
        <v>246</v>
      </c>
    </row>
    <row r="3879" spans="2:11" x14ac:dyDescent="0.25">
      <c r="B3879">
        <v>4021</v>
      </c>
      <c r="C3879">
        <v>88</v>
      </c>
      <c r="D3879">
        <v>43</v>
      </c>
      <c r="E3879">
        <v>12</v>
      </c>
      <c r="F3879">
        <v>9</v>
      </c>
      <c r="G3879">
        <v>10</v>
      </c>
      <c r="H3879">
        <v>0</v>
      </c>
      <c r="I3879">
        <v>0</v>
      </c>
      <c r="J3879">
        <v>19</v>
      </c>
      <c r="K3879" t="s">
        <v>248</v>
      </c>
    </row>
    <row r="3880" spans="2:11" x14ac:dyDescent="0.25">
      <c r="B3880">
        <v>4022</v>
      </c>
      <c r="C3880">
        <v>285</v>
      </c>
      <c r="D3880">
        <v>132</v>
      </c>
      <c r="E3880">
        <v>14</v>
      </c>
      <c r="F3880">
        <v>9</v>
      </c>
      <c r="G3880">
        <v>2</v>
      </c>
      <c r="H3880">
        <v>0</v>
      </c>
      <c r="I3880">
        <v>0</v>
      </c>
      <c r="J3880">
        <v>11</v>
      </c>
      <c r="K3880" t="s">
        <v>246</v>
      </c>
    </row>
    <row r="3881" spans="2:11" x14ac:dyDescent="0.25">
      <c r="B3881">
        <v>4024</v>
      </c>
      <c r="C3881">
        <v>76</v>
      </c>
      <c r="D3881">
        <v>38</v>
      </c>
      <c r="E3881">
        <v>15</v>
      </c>
      <c r="F3881">
        <v>12</v>
      </c>
      <c r="G3881">
        <v>8</v>
      </c>
      <c r="H3881">
        <v>0</v>
      </c>
      <c r="I3881">
        <v>0</v>
      </c>
      <c r="J3881">
        <v>20</v>
      </c>
      <c r="K3881" t="s">
        <v>250</v>
      </c>
    </row>
    <row r="3882" spans="2:11" x14ac:dyDescent="0.25">
      <c r="B3882">
        <v>4025</v>
      </c>
      <c r="C3882">
        <v>286</v>
      </c>
      <c r="D3882">
        <v>133</v>
      </c>
      <c r="E3882">
        <v>14</v>
      </c>
      <c r="F3882">
        <v>9</v>
      </c>
      <c r="G3882">
        <v>3</v>
      </c>
      <c r="H3882">
        <v>1</v>
      </c>
      <c r="I3882">
        <v>0</v>
      </c>
      <c r="J3882">
        <v>13</v>
      </c>
      <c r="K3882" t="s">
        <v>246</v>
      </c>
    </row>
    <row r="3883" spans="2:11" x14ac:dyDescent="0.25">
      <c r="B3883">
        <v>4026</v>
      </c>
      <c r="C3883">
        <v>303</v>
      </c>
      <c r="D3883">
        <v>140</v>
      </c>
      <c r="E3883">
        <v>15</v>
      </c>
      <c r="F3883">
        <v>4</v>
      </c>
      <c r="G3883">
        <v>0</v>
      </c>
      <c r="H3883">
        <v>0</v>
      </c>
      <c r="I3883">
        <v>0</v>
      </c>
      <c r="J3883">
        <v>4</v>
      </c>
      <c r="K3883" t="s">
        <v>250</v>
      </c>
    </row>
    <row r="3884" spans="2:11" x14ac:dyDescent="0.25">
      <c r="B3884">
        <v>4027</v>
      </c>
      <c r="C3884">
        <v>167</v>
      </c>
      <c r="D3884">
        <v>72</v>
      </c>
      <c r="E3884">
        <v>15</v>
      </c>
      <c r="F3884">
        <v>6</v>
      </c>
      <c r="G3884">
        <v>8</v>
      </c>
      <c r="H3884">
        <v>0</v>
      </c>
      <c r="I3884">
        <v>0</v>
      </c>
      <c r="J3884">
        <v>14</v>
      </c>
      <c r="K3884" t="s">
        <v>247</v>
      </c>
    </row>
    <row r="3885" spans="2:11" x14ac:dyDescent="0.25">
      <c r="B3885">
        <v>4028</v>
      </c>
      <c r="C3885">
        <v>175</v>
      </c>
      <c r="D3885">
        <v>76</v>
      </c>
      <c r="E3885">
        <v>14</v>
      </c>
      <c r="F3885">
        <v>1</v>
      </c>
      <c r="G3885">
        <v>7</v>
      </c>
      <c r="H3885">
        <v>2</v>
      </c>
      <c r="I3885">
        <v>0</v>
      </c>
      <c r="J3885">
        <v>10</v>
      </c>
      <c r="K3885" t="s">
        <v>246</v>
      </c>
    </row>
    <row r="3886" spans="2:11" x14ac:dyDescent="0.25">
      <c r="B3886">
        <v>4020</v>
      </c>
      <c r="C3886">
        <v>150</v>
      </c>
      <c r="D3886">
        <v>69</v>
      </c>
      <c r="E3886">
        <v>15</v>
      </c>
      <c r="F3886">
        <v>13</v>
      </c>
      <c r="G3886">
        <v>6</v>
      </c>
      <c r="H3886">
        <v>0</v>
      </c>
      <c r="I3886">
        <v>0</v>
      </c>
      <c r="J3886">
        <v>19</v>
      </c>
      <c r="K3886" t="s">
        <v>243</v>
      </c>
    </row>
    <row r="3887" spans="2:11" x14ac:dyDescent="0.25">
      <c r="B3887">
        <v>4030</v>
      </c>
      <c r="C3887">
        <v>295</v>
      </c>
      <c r="D3887">
        <v>136</v>
      </c>
      <c r="E3887">
        <v>15</v>
      </c>
      <c r="F3887">
        <v>27</v>
      </c>
      <c r="G3887">
        <v>1</v>
      </c>
      <c r="H3887">
        <v>0</v>
      </c>
      <c r="I3887">
        <v>0</v>
      </c>
      <c r="J3887">
        <v>28</v>
      </c>
      <c r="K3887" t="s">
        <v>248</v>
      </c>
    </row>
    <row r="3888" spans="2:11" x14ac:dyDescent="0.25">
      <c r="B3888">
        <v>4033</v>
      </c>
      <c r="C3888">
        <v>147</v>
      </c>
      <c r="D3888">
        <v>66</v>
      </c>
      <c r="E3888">
        <v>15</v>
      </c>
      <c r="F3888">
        <v>17</v>
      </c>
      <c r="G3888">
        <v>8</v>
      </c>
      <c r="H3888">
        <v>0</v>
      </c>
      <c r="I3888">
        <v>0</v>
      </c>
      <c r="J3888">
        <v>25</v>
      </c>
      <c r="K3888" t="s">
        <v>243</v>
      </c>
    </row>
    <row r="3889" spans="2:11" x14ac:dyDescent="0.25">
      <c r="B3889">
        <v>4036</v>
      </c>
      <c r="C3889">
        <v>292</v>
      </c>
      <c r="D3889">
        <v>135</v>
      </c>
      <c r="E3889">
        <v>15</v>
      </c>
      <c r="F3889">
        <v>9</v>
      </c>
      <c r="G3889">
        <v>0</v>
      </c>
      <c r="H3889">
        <v>0</v>
      </c>
      <c r="I3889">
        <v>0</v>
      </c>
      <c r="J3889">
        <v>9</v>
      </c>
      <c r="K3889" t="s">
        <v>250</v>
      </c>
    </row>
    <row r="3890" spans="2:11" x14ac:dyDescent="0.25">
      <c r="B3890">
        <v>4035</v>
      </c>
      <c r="C3890">
        <v>307</v>
      </c>
      <c r="D3890">
        <v>142</v>
      </c>
      <c r="E3890">
        <v>15</v>
      </c>
      <c r="F3890">
        <v>3</v>
      </c>
      <c r="G3890">
        <v>6</v>
      </c>
      <c r="H3890">
        <v>0</v>
      </c>
      <c r="I3890">
        <v>0</v>
      </c>
      <c r="J3890">
        <v>9</v>
      </c>
      <c r="K3890" t="s">
        <v>248</v>
      </c>
    </row>
    <row r="3891" spans="2:11" x14ac:dyDescent="0.25">
      <c r="B3891">
        <v>4037</v>
      </c>
      <c r="C3891">
        <v>146</v>
      </c>
      <c r="D3891">
        <v>65</v>
      </c>
      <c r="E3891">
        <v>15</v>
      </c>
      <c r="F3891">
        <v>19</v>
      </c>
      <c r="G3891">
        <v>0</v>
      </c>
      <c r="H3891">
        <v>0</v>
      </c>
      <c r="I3891">
        <v>0</v>
      </c>
      <c r="J3891">
        <v>19</v>
      </c>
      <c r="K3891" t="s">
        <v>243</v>
      </c>
    </row>
    <row r="3892" spans="2:11" x14ac:dyDescent="0.25">
      <c r="B3892">
        <v>4039</v>
      </c>
      <c r="C3892">
        <v>257</v>
      </c>
      <c r="D3892">
        <v>117</v>
      </c>
      <c r="E3892">
        <v>16</v>
      </c>
      <c r="F3892">
        <v>5</v>
      </c>
      <c r="G3892">
        <v>5</v>
      </c>
      <c r="H3892">
        <v>0</v>
      </c>
      <c r="I3892">
        <v>0</v>
      </c>
      <c r="J3892">
        <v>10</v>
      </c>
      <c r="K3892" t="s">
        <v>245</v>
      </c>
    </row>
    <row r="3893" spans="2:11" x14ac:dyDescent="0.25">
      <c r="B3893">
        <v>4040</v>
      </c>
      <c r="C3893">
        <v>145</v>
      </c>
      <c r="D3893">
        <v>65</v>
      </c>
      <c r="E3893">
        <v>15</v>
      </c>
      <c r="F3893">
        <v>5</v>
      </c>
      <c r="G3893">
        <v>2</v>
      </c>
      <c r="H3893">
        <v>0</v>
      </c>
      <c r="I3893">
        <v>0</v>
      </c>
      <c r="J3893">
        <v>7</v>
      </c>
      <c r="K3893" t="s">
        <v>243</v>
      </c>
    </row>
    <row r="3894" spans="2:11" x14ac:dyDescent="0.25">
      <c r="B3894">
        <v>4031</v>
      </c>
      <c r="C3894">
        <v>121</v>
      </c>
      <c r="D3894">
        <v>55</v>
      </c>
      <c r="E3894">
        <v>15</v>
      </c>
      <c r="F3894">
        <v>11</v>
      </c>
      <c r="G3894">
        <v>5</v>
      </c>
      <c r="H3894">
        <v>0</v>
      </c>
      <c r="I3894">
        <v>0</v>
      </c>
      <c r="J3894">
        <v>16</v>
      </c>
      <c r="K3894" t="s">
        <v>247</v>
      </c>
    </row>
    <row r="3895" spans="2:11" x14ac:dyDescent="0.25">
      <c r="B3895">
        <v>4043</v>
      </c>
      <c r="C3895">
        <v>311</v>
      </c>
      <c r="D3895">
        <v>144</v>
      </c>
      <c r="E3895">
        <v>15</v>
      </c>
      <c r="F3895">
        <v>12</v>
      </c>
      <c r="G3895">
        <v>11</v>
      </c>
      <c r="H3895">
        <v>0</v>
      </c>
      <c r="I3895">
        <v>0</v>
      </c>
      <c r="J3895">
        <v>23</v>
      </c>
      <c r="K3895" t="s">
        <v>250</v>
      </c>
    </row>
    <row r="3896" spans="2:11" x14ac:dyDescent="0.25">
      <c r="B3896">
        <v>4045</v>
      </c>
      <c r="C3896">
        <v>281</v>
      </c>
      <c r="D3896">
        <v>129</v>
      </c>
      <c r="E3896">
        <v>14</v>
      </c>
      <c r="F3896">
        <v>6</v>
      </c>
      <c r="G3896">
        <v>15</v>
      </c>
      <c r="H3896">
        <v>0</v>
      </c>
      <c r="I3896">
        <v>0</v>
      </c>
      <c r="J3896">
        <v>21</v>
      </c>
      <c r="K3896" t="s">
        <v>246</v>
      </c>
    </row>
    <row r="3897" spans="2:11" x14ac:dyDescent="0.25">
      <c r="B3897">
        <v>4041</v>
      </c>
      <c r="C3897">
        <v>29</v>
      </c>
      <c r="D3897">
        <v>16</v>
      </c>
      <c r="E3897">
        <v>15</v>
      </c>
      <c r="F3897">
        <v>6</v>
      </c>
      <c r="G3897">
        <v>12</v>
      </c>
      <c r="H3897">
        <v>0</v>
      </c>
      <c r="I3897">
        <v>0</v>
      </c>
      <c r="J3897">
        <v>18</v>
      </c>
      <c r="K3897" t="s">
        <v>248</v>
      </c>
    </row>
    <row r="3898" spans="2:11" x14ac:dyDescent="0.25">
      <c r="B3898">
        <v>4042</v>
      </c>
      <c r="C3898">
        <v>175</v>
      </c>
      <c r="D3898">
        <v>76</v>
      </c>
      <c r="E3898">
        <v>15</v>
      </c>
      <c r="F3898">
        <v>2</v>
      </c>
      <c r="G3898">
        <v>0</v>
      </c>
      <c r="H3898">
        <v>0</v>
      </c>
      <c r="I3898">
        <v>0</v>
      </c>
      <c r="J3898">
        <v>2</v>
      </c>
      <c r="K3898" t="s">
        <v>243</v>
      </c>
    </row>
    <row r="3899" spans="2:11" x14ac:dyDescent="0.25">
      <c r="B3899">
        <v>4049</v>
      </c>
      <c r="C3899">
        <v>304</v>
      </c>
      <c r="D3899">
        <v>141</v>
      </c>
      <c r="E3899">
        <v>15</v>
      </c>
      <c r="F3899">
        <v>2</v>
      </c>
      <c r="G3899">
        <v>5</v>
      </c>
      <c r="H3899">
        <v>0</v>
      </c>
      <c r="I3899">
        <v>0</v>
      </c>
      <c r="J3899">
        <v>7</v>
      </c>
      <c r="K3899" t="s">
        <v>250</v>
      </c>
    </row>
    <row r="3900" spans="2:11" x14ac:dyDescent="0.25">
      <c r="B3900">
        <v>4047</v>
      </c>
      <c r="C3900">
        <v>21</v>
      </c>
      <c r="D3900">
        <v>10</v>
      </c>
      <c r="E3900">
        <v>15</v>
      </c>
      <c r="F3900">
        <v>8</v>
      </c>
      <c r="G3900">
        <v>7</v>
      </c>
      <c r="H3900">
        <v>0</v>
      </c>
      <c r="I3900">
        <v>0</v>
      </c>
      <c r="J3900">
        <v>15</v>
      </c>
      <c r="K3900" t="s">
        <v>248</v>
      </c>
    </row>
    <row r="3901" spans="2:11" x14ac:dyDescent="0.25">
      <c r="B3901">
        <v>4048</v>
      </c>
      <c r="C3901">
        <v>90</v>
      </c>
      <c r="D3901">
        <v>45</v>
      </c>
      <c r="E3901">
        <v>14</v>
      </c>
      <c r="F3901">
        <v>10</v>
      </c>
      <c r="G3901">
        <v>8</v>
      </c>
      <c r="H3901">
        <v>0</v>
      </c>
      <c r="I3901">
        <v>0</v>
      </c>
      <c r="J3901">
        <v>18</v>
      </c>
      <c r="K3901" t="s">
        <v>246</v>
      </c>
    </row>
    <row r="3902" spans="2:11" x14ac:dyDescent="0.25">
      <c r="B3902">
        <v>4050</v>
      </c>
      <c r="C3902">
        <v>256</v>
      </c>
      <c r="D3902">
        <v>117</v>
      </c>
      <c r="E3902">
        <v>16</v>
      </c>
      <c r="F3902">
        <v>7</v>
      </c>
      <c r="G3902">
        <v>3</v>
      </c>
      <c r="H3902">
        <v>1</v>
      </c>
      <c r="I3902">
        <v>0</v>
      </c>
      <c r="J3902">
        <v>11</v>
      </c>
      <c r="K3902" t="s">
        <v>245</v>
      </c>
    </row>
    <row r="3903" spans="2:11" x14ac:dyDescent="0.25">
      <c r="B3903">
        <v>4052</v>
      </c>
      <c r="C3903">
        <v>294</v>
      </c>
      <c r="D3903">
        <v>136</v>
      </c>
      <c r="E3903">
        <v>15</v>
      </c>
      <c r="F3903">
        <v>15</v>
      </c>
      <c r="G3903">
        <v>1</v>
      </c>
      <c r="H3903">
        <v>0</v>
      </c>
      <c r="I3903">
        <v>0</v>
      </c>
      <c r="J3903">
        <v>16</v>
      </c>
      <c r="K3903" t="s">
        <v>250</v>
      </c>
    </row>
    <row r="3904" spans="2:11" x14ac:dyDescent="0.25">
      <c r="B3904">
        <v>4053</v>
      </c>
      <c r="C3904">
        <v>89</v>
      </c>
      <c r="D3904">
        <v>44</v>
      </c>
      <c r="E3904">
        <v>12</v>
      </c>
      <c r="F3904">
        <v>15</v>
      </c>
      <c r="G3904">
        <v>10</v>
      </c>
      <c r="H3904">
        <v>0</v>
      </c>
      <c r="I3904">
        <v>0</v>
      </c>
      <c r="J3904">
        <v>25</v>
      </c>
      <c r="K3904" t="s">
        <v>248</v>
      </c>
    </row>
    <row r="3905" spans="2:11" x14ac:dyDescent="0.25">
      <c r="B3905">
        <v>4056</v>
      </c>
      <c r="C3905">
        <v>121</v>
      </c>
      <c r="D3905">
        <v>55</v>
      </c>
      <c r="E3905">
        <v>14</v>
      </c>
      <c r="F3905">
        <v>7</v>
      </c>
      <c r="G3905">
        <v>4</v>
      </c>
      <c r="H3905">
        <v>0</v>
      </c>
      <c r="I3905">
        <v>0</v>
      </c>
      <c r="J3905">
        <v>11</v>
      </c>
      <c r="K3905" t="s">
        <v>247</v>
      </c>
    </row>
    <row r="3906" spans="2:11" x14ac:dyDescent="0.25">
      <c r="B3906">
        <v>4051</v>
      </c>
      <c r="C3906">
        <v>14</v>
      </c>
      <c r="D3906">
        <v>5</v>
      </c>
      <c r="E3906">
        <v>14</v>
      </c>
      <c r="F3906">
        <v>12</v>
      </c>
      <c r="G3906">
        <v>0</v>
      </c>
      <c r="H3906">
        <v>0</v>
      </c>
      <c r="I3906">
        <v>0</v>
      </c>
      <c r="J3906">
        <v>12</v>
      </c>
      <c r="K3906" t="s">
        <v>243</v>
      </c>
    </row>
    <row r="3907" spans="2:11" x14ac:dyDescent="0.25">
      <c r="B3907">
        <v>4055</v>
      </c>
      <c r="C3907">
        <v>114</v>
      </c>
      <c r="D3907">
        <v>52</v>
      </c>
      <c r="E3907">
        <v>16</v>
      </c>
      <c r="F3907">
        <v>15</v>
      </c>
      <c r="G3907">
        <v>12</v>
      </c>
      <c r="H3907">
        <v>3</v>
      </c>
      <c r="I3907">
        <v>0</v>
      </c>
      <c r="J3907">
        <v>30</v>
      </c>
      <c r="K3907" t="s">
        <v>245</v>
      </c>
    </row>
    <row r="3908" spans="2:11" x14ac:dyDescent="0.25">
      <c r="B3908">
        <v>4059</v>
      </c>
      <c r="C3908">
        <v>1</v>
      </c>
      <c r="D3908">
        <v>1</v>
      </c>
      <c r="E3908">
        <v>14</v>
      </c>
      <c r="F3908">
        <v>2</v>
      </c>
      <c r="G3908">
        <v>2</v>
      </c>
      <c r="H3908">
        <v>0</v>
      </c>
      <c r="I3908">
        <v>0</v>
      </c>
      <c r="J3908">
        <v>4</v>
      </c>
      <c r="K3908" t="s">
        <v>246</v>
      </c>
    </row>
    <row r="3909" spans="2:11" x14ac:dyDescent="0.25">
      <c r="B3909">
        <v>4060</v>
      </c>
      <c r="C3909">
        <v>167</v>
      </c>
      <c r="D3909">
        <v>72</v>
      </c>
      <c r="E3909">
        <v>14</v>
      </c>
      <c r="F3909">
        <v>15</v>
      </c>
      <c r="G3909">
        <v>10</v>
      </c>
      <c r="H3909">
        <v>0</v>
      </c>
      <c r="I3909">
        <v>0</v>
      </c>
      <c r="J3909">
        <v>25</v>
      </c>
      <c r="K3909" t="s">
        <v>247</v>
      </c>
    </row>
    <row r="3910" spans="2:11" x14ac:dyDescent="0.25">
      <c r="B3910">
        <v>4061</v>
      </c>
      <c r="C3910">
        <v>15</v>
      </c>
      <c r="D3910">
        <v>6</v>
      </c>
      <c r="E3910">
        <v>14</v>
      </c>
      <c r="F3910">
        <v>0</v>
      </c>
      <c r="G3910">
        <v>0</v>
      </c>
      <c r="H3910">
        <v>1</v>
      </c>
      <c r="I3910">
        <v>0</v>
      </c>
      <c r="J3910">
        <v>1</v>
      </c>
      <c r="K3910" t="s">
        <v>243</v>
      </c>
    </row>
    <row r="3911" spans="2:11" x14ac:dyDescent="0.25">
      <c r="B3911">
        <v>4064</v>
      </c>
      <c r="C3911">
        <v>110</v>
      </c>
      <c r="D3911">
        <v>51</v>
      </c>
      <c r="E3911">
        <v>14</v>
      </c>
      <c r="F3911">
        <v>4</v>
      </c>
      <c r="G3911">
        <v>24</v>
      </c>
      <c r="H3911">
        <v>1</v>
      </c>
      <c r="I3911">
        <v>0</v>
      </c>
      <c r="J3911">
        <v>29</v>
      </c>
      <c r="K3911" t="s">
        <v>247</v>
      </c>
    </row>
    <row r="3912" spans="2:11" x14ac:dyDescent="0.25">
      <c r="B3912">
        <v>4063</v>
      </c>
      <c r="C3912">
        <v>295</v>
      </c>
      <c r="D3912">
        <v>136</v>
      </c>
      <c r="E3912">
        <v>16</v>
      </c>
      <c r="F3912">
        <v>19</v>
      </c>
      <c r="G3912">
        <v>3</v>
      </c>
      <c r="H3912">
        <v>1</v>
      </c>
      <c r="I3912">
        <v>0</v>
      </c>
      <c r="J3912">
        <v>23</v>
      </c>
      <c r="K3912" t="s">
        <v>250</v>
      </c>
    </row>
    <row r="3913" spans="2:11" x14ac:dyDescent="0.25">
      <c r="B3913">
        <v>4058</v>
      </c>
      <c r="C3913">
        <v>122</v>
      </c>
      <c r="D3913">
        <v>55</v>
      </c>
      <c r="E3913">
        <v>12</v>
      </c>
      <c r="F3913">
        <v>6</v>
      </c>
      <c r="G3913">
        <v>4</v>
      </c>
      <c r="H3913">
        <v>1</v>
      </c>
      <c r="I3913">
        <v>0</v>
      </c>
      <c r="J3913">
        <v>11</v>
      </c>
      <c r="K3913" t="s">
        <v>248</v>
      </c>
    </row>
    <row r="3914" spans="2:11" x14ac:dyDescent="0.25">
      <c r="B3914">
        <v>4067</v>
      </c>
      <c r="C3914">
        <v>108</v>
      </c>
      <c r="D3914">
        <v>51</v>
      </c>
      <c r="E3914">
        <v>14</v>
      </c>
      <c r="F3914">
        <v>9</v>
      </c>
      <c r="G3914">
        <v>7</v>
      </c>
      <c r="H3914">
        <v>2</v>
      </c>
      <c r="I3914">
        <v>0</v>
      </c>
      <c r="J3914">
        <v>18</v>
      </c>
      <c r="K3914" t="s">
        <v>247</v>
      </c>
    </row>
    <row r="3915" spans="2:11" x14ac:dyDescent="0.25">
      <c r="B3915">
        <v>4066</v>
      </c>
      <c r="C3915">
        <v>73</v>
      </c>
      <c r="D3915">
        <v>35</v>
      </c>
      <c r="E3915">
        <v>14</v>
      </c>
      <c r="F3915">
        <v>14</v>
      </c>
      <c r="G3915">
        <v>8</v>
      </c>
      <c r="H3915">
        <v>7</v>
      </c>
      <c r="I3915">
        <v>0</v>
      </c>
      <c r="J3915">
        <v>29</v>
      </c>
      <c r="K3915" t="s">
        <v>243</v>
      </c>
    </row>
    <row r="3916" spans="2:11" x14ac:dyDescent="0.25">
      <c r="B3916">
        <v>4070</v>
      </c>
      <c r="C3916">
        <v>135</v>
      </c>
      <c r="D3916">
        <v>60</v>
      </c>
      <c r="E3916">
        <v>14</v>
      </c>
      <c r="F3916">
        <v>5</v>
      </c>
      <c r="G3916">
        <v>0</v>
      </c>
      <c r="H3916">
        <v>7</v>
      </c>
      <c r="I3916">
        <v>0</v>
      </c>
      <c r="J3916">
        <v>12</v>
      </c>
      <c r="K3916" t="s">
        <v>247</v>
      </c>
    </row>
    <row r="3917" spans="2:11" x14ac:dyDescent="0.25">
      <c r="B3917">
        <v>4073</v>
      </c>
      <c r="C3917">
        <v>74</v>
      </c>
      <c r="D3917">
        <v>36</v>
      </c>
      <c r="E3917">
        <v>14</v>
      </c>
      <c r="F3917">
        <v>6</v>
      </c>
      <c r="G3917">
        <v>4</v>
      </c>
      <c r="H3917">
        <v>2</v>
      </c>
      <c r="I3917">
        <v>0</v>
      </c>
      <c r="J3917">
        <v>12</v>
      </c>
      <c r="K3917" t="s">
        <v>243</v>
      </c>
    </row>
    <row r="3918" spans="2:11" x14ac:dyDescent="0.25">
      <c r="B3918">
        <v>4069</v>
      </c>
      <c r="C3918">
        <v>76</v>
      </c>
      <c r="D3918">
        <v>38</v>
      </c>
      <c r="E3918">
        <v>13</v>
      </c>
      <c r="F3918">
        <v>3</v>
      </c>
      <c r="G3918">
        <v>14</v>
      </c>
      <c r="H3918">
        <v>5</v>
      </c>
      <c r="I3918">
        <v>0</v>
      </c>
      <c r="J3918">
        <v>22</v>
      </c>
      <c r="K3918" t="s">
        <v>246</v>
      </c>
    </row>
    <row r="3919" spans="2:11" x14ac:dyDescent="0.25">
      <c r="B3919">
        <v>4075</v>
      </c>
      <c r="C3919">
        <v>327</v>
      </c>
      <c r="D3919">
        <v>152</v>
      </c>
      <c r="E3919">
        <v>16</v>
      </c>
      <c r="F3919">
        <v>23</v>
      </c>
      <c r="G3919">
        <v>7</v>
      </c>
      <c r="H3919">
        <v>0</v>
      </c>
      <c r="I3919">
        <v>0</v>
      </c>
      <c r="J3919">
        <v>30</v>
      </c>
      <c r="K3919" t="s">
        <v>250</v>
      </c>
    </row>
    <row r="3920" spans="2:11" x14ac:dyDescent="0.25">
      <c r="B3920">
        <v>4077</v>
      </c>
      <c r="C3920">
        <v>75</v>
      </c>
      <c r="D3920">
        <v>37</v>
      </c>
      <c r="E3920">
        <v>14</v>
      </c>
      <c r="F3920">
        <v>1</v>
      </c>
      <c r="G3920">
        <v>4</v>
      </c>
      <c r="H3920">
        <v>0</v>
      </c>
      <c r="I3920">
        <v>0</v>
      </c>
      <c r="J3920">
        <v>5</v>
      </c>
      <c r="K3920" t="s">
        <v>243</v>
      </c>
    </row>
    <row r="3921" spans="2:11" x14ac:dyDescent="0.25">
      <c r="B3921">
        <v>4078</v>
      </c>
      <c r="C3921">
        <v>1</v>
      </c>
      <c r="D3921">
        <v>1</v>
      </c>
      <c r="E3921">
        <v>15</v>
      </c>
      <c r="F3921">
        <v>2</v>
      </c>
      <c r="G3921">
        <v>2</v>
      </c>
      <c r="H3921">
        <v>2</v>
      </c>
      <c r="I3921">
        <v>0</v>
      </c>
      <c r="J3921">
        <v>6</v>
      </c>
      <c r="K3921" t="s">
        <v>246</v>
      </c>
    </row>
    <row r="3922" spans="2:11" x14ac:dyDescent="0.25">
      <c r="B3922">
        <v>4084</v>
      </c>
      <c r="C3922">
        <v>151</v>
      </c>
      <c r="D3922">
        <v>69</v>
      </c>
      <c r="E3922">
        <v>14</v>
      </c>
      <c r="F3922">
        <v>6</v>
      </c>
      <c r="G3922">
        <v>14</v>
      </c>
      <c r="H3922">
        <v>0</v>
      </c>
      <c r="I3922">
        <v>0</v>
      </c>
      <c r="J3922">
        <v>20</v>
      </c>
      <c r="K3922" t="s">
        <v>247</v>
      </c>
    </row>
    <row r="3923" spans="2:11" x14ac:dyDescent="0.25">
      <c r="B3923">
        <v>4080</v>
      </c>
      <c r="C3923">
        <v>246</v>
      </c>
      <c r="D3923">
        <v>110</v>
      </c>
      <c r="E3923">
        <v>12</v>
      </c>
      <c r="F3923">
        <v>5</v>
      </c>
      <c r="G3923">
        <v>4</v>
      </c>
      <c r="H3923">
        <v>3</v>
      </c>
      <c r="I3923">
        <v>0</v>
      </c>
      <c r="J3923">
        <v>12</v>
      </c>
      <c r="K3923" t="s">
        <v>248</v>
      </c>
    </row>
    <row r="3924" spans="2:11" x14ac:dyDescent="0.25">
      <c r="B3924">
        <v>4083</v>
      </c>
      <c r="C3924">
        <v>63</v>
      </c>
      <c r="D3924">
        <v>34</v>
      </c>
      <c r="E3924">
        <v>15</v>
      </c>
      <c r="F3924">
        <v>2</v>
      </c>
      <c r="G3924">
        <v>10</v>
      </c>
      <c r="H3924">
        <v>2</v>
      </c>
      <c r="I3924">
        <v>0</v>
      </c>
      <c r="J3924">
        <v>14</v>
      </c>
      <c r="K3924" t="s">
        <v>246</v>
      </c>
    </row>
    <row r="3925" spans="2:11" x14ac:dyDescent="0.25">
      <c r="B3925">
        <v>4082</v>
      </c>
      <c r="C3925">
        <v>88</v>
      </c>
      <c r="D3925">
        <v>43</v>
      </c>
      <c r="E3925">
        <v>14</v>
      </c>
      <c r="F3925">
        <v>10</v>
      </c>
      <c r="G3925">
        <v>7</v>
      </c>
      <c r="H3925">
        <v>3</v>
      </c>
      <c r="I3925">
        <v>0</v>
      </c>
      <c r="J3925">
        <v>20</v>
      </c>
      <c r="K3925" t="s">
        <v>243</v>
      </c>
    </row>
    <row r="3926" spans="2:11" x14ac:dyDescent="0.25">
      <c r="B3926">
        <v>4086</v>
      </c>
      <c r="C3926">
        <v>311</v>
      </c>
      <c r="D3926">
        <v>144</v>
      </c>
      <c r="E3926">
        <v>16</v>
      </c>
      <c r="F3926">
        <v>14</v>
      </c>
      <c r="G3926">
        <v>10</v>
      </c>
      <c r="H3926">
        <v>0</v>
      </c>
      <c r="I3926">
        <v>0</v>
      </c>
      <c r="J3926">
        <v>24</v>
      </c>
      <c r="K3926" t="s">
        <v>250</v>
      </c>
    </row>
    <row r="3927" spans="2:11" x14ac:dyDescent="0.25">
      <c r="B3927">
        <v>4344</v>
      </c>
      <c r="C3927">
        <v>105</v>
      </c>
      <c r="D3927">
        <v>51</v>
      </c>
      <c r="E3927">
        <v>9</v>
      </c>
      <c r="F3927">
        <v>15</v>
      </c>
      <c r="G3927">
        <v>8</v>
      </c>
      <c r="H3927">
        <v>0</v>
      </c>
      <c r="I3927">
        <v>0</v>
      </c>
      <c r="J3927">
        <v>23</v>
      </c>
      <c r="K3927" t="s">
        <v>251</v>
      </c>
    </row>
    <row r="3928" spans="2:11" x14ac:dyDescent="0.25">
      <c r="B3928">
        <v>4343</v>
      </c>
      <c r="C3928">
        <v>11</v>
      </c>
      <c r="D3928">
        <v>3</v>
      </c>
      <c r="E3928">
        <v>15</v>
      </c>
      <c r="F3928">
        <v>12</v>
      </c>
      <c r="G3928">
        <v>0</v>
      </c>
      <c r="H3928">
        <v>0</v>
      </c>
      <c r="I3928">
        <v>0</v>
      </c>
      <c r="J3928">
        <v>12</v>
      </c>
      <c r="K3928" t="s">
        <v>241</v>
      </c>
    </row>
    <row r="3929" spans="2:11" x14ac:dyDescent="0.25">
      <c r="B3929">
        <v>4342</v>
      </c>
      <c r="C3929">
        <v>19</v>
      </c>
      <c r="D3929">
        <v>9</v>
      </c>
      <c r="E3929">
        <v>16</v>
      </c>
      <c r="F3929">
        <v>27</v>
      </c>
      <c r="G3929">
        <v>3</v>
      </c>
      <c r="H3929">
        <v>0</v>
      </c>
      <c r="I3929">
        <v>0</v>
      </c>
      <c r="J3929">
        <v>30</v>
      </c>
      <c r="K3929" t="s">
        <v>248</v>
      </c>
    </row>
    <row r="3930" spans="2:11" x14ac:dyDescent="0.25">
      <c r="B3930">
        <v>4346</v>
      </c>
      <c r="C3930">
        <v>19</v>
      </c>
      <c r="D3930">
        <v>9</v>
      </c>
      <c r="E3930">
        <v>15</v>
      </c>
      <c r="F3930">
        <v>23</v>
      </c>
      <c r="G3930">
        <v>7</v>
      </c>
      <c r="H3930">
        <v>0</v>
      </c>
      <c r="I3930">
        <v>0</v>
      </c>
      <c r="J3930">
        <v>30</v>
      </c>
      <c r="K3930" t="s">
        <v>241</v>
      </c>
    </row>
    <row r="3931" spans="2:11" x14ac:dyDescent="0.25">
      <c r="B3931">
        <v>4347</v>
      </c>
      <c r="C3931">
        <v>243</v>
      </c>
      <c r="D3931">
        <v>108</v>
      </c>
      <c r="E3931">
        <v>13</v>
      </c>
      <c r="F3931">
        <v>8</v>
      </c>
      <c r="G3931">
        <v>2</v>
      </c>
      <c r="H3931">
        <v>1</v>
      </c>
      <c r="I3931">
        <v>0</v>
      </c>
      <c r="J3931">
        <v>11</v>
      </c>
      <c r="K3931" t="s">
        <v>251</v>
      </c>
    </row>
    <row r="3932" spans="2:11" x14ac:dyDescent="0.25">
      <c r="B3932">
        <v>4348</v>
      </c>
      <c r="C3932">
        <v>20</v>
      </c>
      <c r="D3932">
        <v>10</v>
      </c>
      <c r="E3932">
        <v>16</v>
      </c>
      <c r="F3932">
        <v>9</v>
      </c>
      <c r="G3932">
        <v>6</v>
      </c>
      <c r="H3932">
        <v>2</v>
      </c>
      <c r="I3932">
        <v>0</v>
      </c>
      <c r="J3932">
        <v>17</v>
      </c>
      <c r="K3932" t="s">
        <v>248</v>
      </c>
    </row>
    <row r="3933" spans="2:11" x14ac:dyDescent="0.25">
      <c r="B3933">
        <v>4350</v>
      </c>
      <c r="C3933">
        <v>105</v>
      </c>
      <c r="D3933">
        <v>51</v>
      </c>
      <c r="E3933">
        <v>13</v>
      </c>
      <c r="F3933">
        <v>12</v>
      </c>
      <c r="G3933">
        <v>5</v>
      </c>
      <c r="H3933">
        <v>0</v>
      </c>
      <c r="I3933">
        <v>0</v>
      </c>
      <c r="J3933">
        <v>17</v>
      </c>
      <c r="K3933" t="s">
        <v>251</v>
      </c>
    </row>
    <row r="3934" spans="2:11" x14ac:dyDescent="0.25">
      <c r="B3934">
        <v>4349</v>
      </c>
      <c r="C3934">
        <v>302</v>
      </c>
      <c r="D3934">
        <v>140</v>
      </c>
      <c r="E3934">
        <v>16</v>
      </c>
      <c r="F3934">
        <v>11</v>
      </c>
      <c r="G3934">
        <v>10</v>
      </c>
      <c r="H3934">
        <v>0</v>
      </c>
      <c r="I3934">
        <v>0</v>
      </c>
      <c r="J3934">
        <v>21</v>
      </c>
      <c r="K3934" t="s">
        <v>248</v>
      </c>
    </row>
    <row r="3935" spans="2:11" x14ac:dyDescent="0.25">
      <c r="B3935">
        <v>4351</v>
      </c>
      <c r="C3935">
        <v>243</v>
      </c>
      <c r="D3935">
        <v>108</v>
      </c>
      <c r="E3935">
        <v>14</v>
      </c>
      <c r="F3935">
        <v>7</v>
      </c>
      <c r="G3935">
        <v>1</v>
      </c>
      <c r="H3935">
        <v>0</v>
      </c>
      <c r="I3935">
        <v>0</v>
      </c>
      <c r="J3935">
        <v>8</v>
      </c>
      <c r="K3935" t="s">
        <v>251</v>
      </c>
    </row>
    <row r="3936" spans="2:11" x14ac:dyDescent="0.25">
      <c r="B3936">
        <v>4352</v>
      </c>
      <c r="C3936">
        <v>322</v>
      </c>
      <c r="D3936">
        <v>149</v>
      </c>
      <c r="E3936">
        <v>16</v>
      </c>
      <c r="F3936">
        <v>12</v>
      </c>
      <c r="G3936">
        <v>10</v>
      </c>
      <c r="H3936">
        <v>0</v>
      </c>
      <c r="I3936">
        <v>0</v>
      </c>
      <c r="J3936">
        <v>22</v>
      </c>
      <c r="K3936" t="s">
        <v>248</v>
      </c>
    </row>
    <row r="3937" spans="2:11" x14ac:dyDescent="0.25">
      <c r="B3937">
        <v>4353</v>
      </c>
      <c r="C3937">
        <v>105</v>
      </c>
      <c r="D3937">
        <v>51</v>
      </c>
      <c r="E3937">
        <v>12</v>
      </c>
      <c r="F3937">
        <v>9</v>
      </c>
      <c r="G3937">
        <v>12</v>
      </c>
      <c r="H3937">
        <v>0</v>
      </c>
      <c r="I3937">
        <v>0</v>
      </c>
      <c r="J3937">
        <v>21</v>
      </c>
      <c r="K3937" t="s">
        <v>251</v>
      </c>
    </row>
    <row r="3938" spans="2:11" x14ac:dyDescent="0.25">
      <c r="B3938">
        <v>4355</v>
      </c>
      <c r="C3938">
        <v>105</v>
      </c>
      <c r="D3938">
        <v>51</v>
      </c>
      <c r="E3938">
        <v>14</v>
      </c>
      <c r="F3938">
        <v>10</v>
      </c>
      <c r="G3938">
        <v>2</v>
      </c>
      <c r="H3938">
        <v>0</v>
      </c>
      <c r="I3938">
        <v>0</v>
      </c>
      <c r="J3938">
        <v>12</v>
      </c>
      <c r="K3938" t="s">
        <v>251</v>
      </c>
    </row>
    <row r="3939" spans="2:11" x14ac:dyDescent="0.25">
      <c r="B3939">
        <v>4354</v>
      </c>
      <c r="C3939">
        <v>282</v>
      </c>
      <c r="D3939">
        <v>130</v>
      </c>
      <c r="E3939">
        <v>16</v>
      </c>
      <c r="F3939">
        <v>3</v>
      </c>
      <c r="G3939">
        <v>9</v>
      </c>
      <c r="H3939">
        <v>1</v>
      </c>
      <c r="I3939">
        <v>0</v>
      </c>
      <c r="J3939">
        <v>13</v>
      </c>
      <c r="K3939" t="s">
        <v>248</v>
      </c>
    </row>
    <row r="3940" spans="2:11" x14ac:dyDescent="0.25">
      <c r="B3940">
        <v>4357</v>
      </c>
      <c r="C3940">
        <v>18</v>
      </c>
      <c r="D3940">
        <v>9</v>
      </c>
      <c r="E3940">
        <v>16</v>
      </c>
      <c r="F3940">
        <v>9</v>
      </c>
      <c r="G3940">
        <v>1</v>
      </c>
      <c r="H3940">
        <v>1</v>
      </c>
      <c r="I3940">
        <v>0</v>
      </c>
      <c r="J3940">
        <v>11</v>
      </c>
      <c r="K3940" t="s">
        <v>251</v>
      </c>
    </row>
    <row r="3941" spans="2:11" x14ac:dyDescent="0.25">
      <c r="B3941">
        <v>4356</v>
      </c>
      <c r="C3941">
        <v>301</v>
      </c>
      <c r="D3941">
        <v>139</v>
      </c>
      <c r="E3941">
        <v>16</v>
      </c>
      <c r="F3941">
        <v>3</v>
      </c>
      <c r="G3941">
        <v>4</v>
      </c>
      <c r="H3941">
        <v>0</v>
      </c>
      <c r="I3941">
        <v>0</v>
      </c>
      <c r="J3941">
        <v>7</v>
      </c>
      <c r="K3941" t="s">
        <v>248</v>
      </c>
    </row>
    <row r="3942" spans="2:11" x14ac:dyDescent="0.25">
      <c r="B3942">
        <v>4360</v>
      </c>
      <c r="C3942">
        <v>46</v>
      </c>
      <c r="D3942">
        <v>23</v>
      </c>
      <c r="E3942">
        <v>16</v>
      </c>
      <c r="F3942">
        <v>18</v>
      </c>
      <c r="G3942">
        <v>10</v>
      </c>
      <c r="H3942">
        <v>0</v>
      </c>
      <c r="I3942">
        <v>0</v>
      </c>
      <c r="J3942">
        <v>28</v>
      </c>
      <c r="K3942" t="s">
        <v>251</v>
      </c>
    </row>
    <row r="3943" spans="2:11" x14ac:dyDescent="0.25">
      <c r="B3943">
        <v>4361</v>
      </c>
      <c r="C3943">
        <v>13</v>
      </c>
      <c r="D3943">
        <v>4</v>
      </c>
      <c r="E3943">
        <v>16</v>
      </c>
      <c r="F3943">
        <v>1</v>
      </c>
      <c r="G3943">
        <v>19</v>
      </c>
      <c r="H3943">
        <v>1</v>
      </c>
      <c r="I3943">
        <v>0</v>
      </c>
      <c r="J3943">
        <v>21</v>
      </c>
      <c r="K3943" t="s">
        <v>251</v>
      </c>
    </row>
    <row r="3944" spans="2:11" x14ac:dyDescent="0.25">
      <c r="B3944">
        <v>4362</v>
      </c>
      <c r="C3944">
        <v>14</v>
      </c>
      <c r="D3944">
        <v>5</v>
      </c>
      <c r="E3944">
        <v>16</v>
      </c>
      <c r="F3944">
        <v>5</v>
      </c>
      <c r="G3944">
        <v>8</v>
      </c>
      <c r="H3944">
        <v>0</v>
      </c>
      <c r="I3944">
        <v>0</v>
      </c>
      <c r="J3944">
        <v>13</v>
      </c>
      <c r="K3944" t="s">
        <v>251</v>
      </c>
    </row>
    <row r="3945" spans="2:11" x14ac:dyDescent="0.25">
      <c r="B3945">
        <v>4363</v>
      </c>
      <c r="C3945">
        <v>12</v>
      </c>
      <c r="D3945">
        <v>3</v>
      </c>
      <c r="E3945">
        <v>16</v>
      </c>
      <c r="F3945">
        <v>9</v>
      </c>
      <c r="G3945">
        <v>6</v>
      </c>
      <c r="H3945">
        <v>1</v>
      </c>
      <c r="I3945">
        <v>0</v>
      </c>
      <c r="J3945">
        <v>16</v>
      </c>
      <c r="K3945" t="s">
        <v>251</v>
      </c>
    </row>
    <row r="3946" spans="2:11" x14ac:dyDescent="0.25">
      <c r="B3946">
        <v>4364</v>
      </c>
      <c r="C3946">
        <v>250</v>
      </c>
      <c r="D3946">
        <v>112</v>
      </c>
      <c r="E3946">
        <v>16</v>
      </c>
      <c r="F3946">
        <v>19</v>
      </c>
      <c r="G3946">
        <v>3</v>
      </c>
      <c r="H3946">
        <v>3</v>
      </c>
      <c r="I3946">
        <v>0</v>
      </c>
      <c r="J3946">
        <v>25</v>
      </c>
      <c r="K3946" t="s">
        <v>251</v>
      </c>
    </row>
    <row r="3947" spans="2:11" x14ac:dyDescent="0.25">
      <c r="B3947">
        <v>4365</v>
      </c>
      <c r="C3947">
        <v>81</v>
      </c>
      <c r="D3947">
        <v>38</v>
      </c>
      <c r="E3947">
        <v>16</v>
      </c>
      <c r="F3947">
        <v>0</v>
      </c>
      <c r="G3947">
        <v>1</v>
      </c>
      <c r="H3947">
        <v>0</v>
      </c>
      <c r="I3947">
        <v>0</v>
      </c>
      <c r="J3947">
        <v>1</v>
      </c>
      <c r="K3947" t="s">
        <v>251</v>
      </c>
    </row>
    <row r="3948" spans="2:11" x14ac:dyDescent="0.25">
      <c r="B3948">
        <v>4366</v>
      </c>
      <c r="C3948">
        <v>115</v>
      </c>
      <c r="D3948">
        <v>53</v>
      </c>
      <c r="E3948">
        <v>16</v>
      </c>
      <c r="F3948">
        <v>6</v>
      </c>
      <c r="G3948">
        <v>22</v>
      </c>
      <c r="H3948">
        <v>2</v>
      </c>
      <c r="I3948">
        <v>0</v>
      </c>
      <c r="J3948">
        <v>30</v>
      </c>
      <c r="K3948" t="s">
        <v>251</v>
      </c>
    </row>
    <row r="3949" spans="2:11" x14ac:dyDescent="0.25">
      <c r="B3949">
        <v>4369</v>
      </c>
      <c r="C3949">
        <v>276</v>
      </c>
      <c r="D3949">
        <v>127</v>
      </c>
      <c r="E3949">
        <v>15</v>
      </c>
      <c r="F3949">
        <v>12</v>
      </c>
      <c r="G3949">
        <v>14</v>
      </c>
      <c r="H3949">
        <v>0</v>
      </c>
      <c r="I3949">
        <v>0</v>
      </c>
      <c r="J3949">
        <v>26</v>
      </c>
      <c r="K3949" t="s">
        <v>245</v>
      </c>
    </row>
    <row r="3950" spans="2:11" x14ac:dyDescent="0.25">
      <c r="B3950">
        <v>4370</v>
      </c>
      <c r="C3950">
        <v>12</v>
      </c>
      <c r="D3950">
        <v>3</v>
      </c>
      <c r="E3950">
        <v>15</v>
      </c>
      <c r="F3950">
        <v>10</v>
      </c>
      <c r="G3950">
        <v>7</v>
      </c>
      <c r="H3950">
        <v>0</v>
      </c>
      <c r="I3950">
        <v>0</v>
      </c>
      <c r="J3950">
        <v>17</v>
      </c>
      <c r="K3950" t="s">
        <v>245</v>
      </c>
    </row>
    <row r="3951" spans="2:11" x14ac:dyDescent="0.25">
      <c r="B3951">
        <v>4368</v>
      </c>
      <c r="C3951">
        <v>142</v>
      </c>
      <c r="D3951">
        <v>62</v>
      </c>
      <c r="E3951">
        <v>16</v>
      </c>
      <c r="F3951">
        <v>17</v>
      </c>
      <c r="G3951">
        <v>2</v>
      </c>
      <c r="H3951">
        <v>3</v>
      </c>
      <c r="I3951">
        <v>0</v>
      </c>
      <c r="J3951">
        <v>22</v>
      </c>
      <c r="K3951" t="s">
        <v>251</v>
      </c>
    </row>
    <row r="3952" spans="2:11" x14ac:dyDescent="0.25">
      <c r="B3952">
        <v>4371</v>
      </c>
      <c r="C3952">
        <v>243</v>
      </c>
      <c r="D3952">
        <v>108</v>
      </c>
      <c r="E3952">
        <v>15</v>
      </c>
      <c r="F3952">
        <v>5</v>
      </c>
      <c r="G3952">
        <v>0</v>
      </c>
      <c r="H3952">
        <v>2</v>
      </c>
      <c r="I3952">
        <v>0</v>
      </c>
      <c r="J3952">
        <v>7</v>
      </c>
      <c r="K3952" t="s">
        <v>245</v>
      </c>
    </row>
    <row r="3953" spans="2:11" x14ac:dyDescent="0.25">
      <c r="B3953">
        <v>4373</v>
      </c>
      <c r="C3953">
        <v>305</v>
      </c>
      <c r="D3953">
        <v>141</v>
      </c>
      <c r="E3953">
        <v>16</v>
      </c>
      <c r="F3953">
        <v>12</v>
      </c>
      <c r="G3953">
        <v>9</v>
      </c>
      <c r="H3953">
        <v>3</v>
      </c>
      <c r="I3953">
        <v>0</v>
      </c>
      <c r="J3953">
        <v>24</v>
      </c>
      <c r="K3953" t="s">
        <v>251</v>
      </c>
    </row>
    <row r="3954" spans="2:11" x14ac:dyDescent="0.25">
      <c r="B3954">
        <v>4374</v>
      </c>
      <c r="C3954">
        <v>250</v>
      </c>
      <c r="D3954">
        <v>112</v>
      </c>
      <c r="E3954">
        <v>15</v>
      </c>
      <c r="F3954">
        <v>5</v>
      </c>
      <c r="G3954">
        <v>0</v>
      </c>
      <c r="H3954">
        <v>1</v>
      </c>
      <c r="I3954">
        <v>0</v>
      </c>
      <c r="J3954">
        <v>6</v>
      </c>
      <c r="K3954" t="s">
        <v>245</v>
      </c>
    </row>
    <row r="3955" spans="2:11" x14ac:dyDescent="0.25">
      <c r="B3955">
        <v>4375</v>
      </c>
      <c r="C3955">
        <v>331</v>
      </c>
      <c r="D3955">
        <v>152</v>
      </c>
      <c r="E3955">
        <v>16</v>
      </c>
      <c r="F3955">
        <v>5</v>
      </c>
      <c r="G3955">
        <v>25</v>
      </c>
      <c r="H3955">
        <v>0</v>
      </c>
      <c r="I3955">
        <v>0</v>
      </c>
      <c r="J3955">
        <v>30</v>
      </c>
      <c r="K3955" t="s">
        <v>251</v>
      </c>
    </row>
    <row r="3956" spans="2:11" x14ac:dyDescent="0.25">
      <c r="B3956">
        <v>4376</v>
      </c>
      <c r="C3956">
        <v>118</v>
      </c>
      <c r="D3956">
        <v>55</v>
      </c>
      <c r="E3956">
        <v>15</v>
      </c>
      <c r="F3956">
        <v>18</v>
      </c>
      <c r="G3956">
        <v>2</v>
      </c>
      <c r="H3956">
        <v>1</v>
      </c>
      <c r="I3956">
        <v>0</v>
      </c>
      <c r="J3956">
        <v>21</v>
      </c>
      <c r="K3956" t="s">
        <v>245</v>
      </c>
    </row>
    <row r="3957" spans="2:11" x14ac:dyDescent="0.25">
      <c r="B3957">
        <v>4377</v>
      </c>
      <c r="C3957">
        <v>147</v>
      </c>
      <c r="D3957">
        <v>66</v>
      </c>
      <c r="E3957">
        <v>16</v>
      </c>
      <c r="F3957">
        <v>15</v>
      </c>
      <c r="G3957">
        <v>11</v>
      </c>
      <c r="H3957">
        <v>0</v>
      </c>
      <c r="I3957">
        <v>0</v>
      </c>
      <c r="J3957">
        <v>26</v>
      </c>
      <c r="K3957" t="s">
        <v>251</v>
      </c>
    </row>
    <row r="3958" spans="2:11" x14ac:dyDescent="0.25">
      <c r="B3958">
        <v>4378</v>
      </c>
      <c r="C3958">
        <v>113</v>
      </c>
      <c r="D3958">
        <v>52</v>
      </c>
      <c r="E3958">
        <v>15</v>
      </c>
      <c r="F3958">
        <v>12</v>
      </c>
      <c r="G3958">
        <v>17</v>
      </c>
      <c r="H3958">
        <v>0</v>
      </c>
      <c r="I3958">
        <v>0</v>
      </c>
      <c r="J3958">
        <v>29</v>
      </c>
      <c r="K3958" t="s">
        <v>245</v>
      </c>
    </row>
    <row r="3959" spans="2:11" x14ac:dyDescent="0.25">
      <c r="B3959">
        <v>4379</v>
      </c>
      <c r="C3959">
        <v>281</v>
      </c>
      <c r="D3959">
        <v>129</v>
      </c>
      <c r="E3959">
        <v>16</v>
      </c>
      <c r="F3959">
        <v>6</v>
      </c>
      <c r="G3959">
        <v>12</v>
      </c>
      <c r="H3959">
        <v>1</v>
      </c>
      <c r="I3959">
        <v>0</v>
      </c>
      <c r="J3959">
        <v>19</v>
      </c>
      <c r="K3959" t="s">
        <v>251</v>
      </c>
    </row>
    <row r="3960" spans="2:11" x14ac:dyDescent="0.25">
      <c r="B3960">
        <v>4380</v>
      </c>
      <c r="C3960">
        <v>115</v>
      </c>
      <c r="D3960">
        <v>53</v>
      </c>
      <c r="E3960">
        <v>15</v>
      </c>
      <c r="F3960">
        <v>7</v>
      </c>
      <c r="G3960">
        <v>20</v>
      </c>
      <c r="H3960">
        <v>1</v>
      </c>
      <c r="I3960">
        <v>0</v>
      </c>
      <c r="J3960">
        <v>28</v>
      </c>
      <c r="K3960" t="s">
        <v>245</v>
      </c>
    </row>
    <row r="3961" spans="2:11" x14ac:dyDescent="0.25">
      <c r="B3961">
        <v>4381</v>
      </c>
      <c r="C3961">
        <v>294</v>
      </c>
      <c r="D3961">
        <v>136</v>
      </c>
      <c r="E3961">
        <v>16</v>
      </c>
      <c r="F3961">
        <v>16</v>
      </c>
      <c r="G3961">
        <v>3</v>
      </c>
      <c r="H3961">
        <v>0</v>
      </c>
      <c r="I3961">
        <v>0</v>
      </c>
      <c r="J3961">
        <v>19</v>
      </c>
      <c r="K3961" t="s">
        <v>251</v>
      </c>
    </row>
    <row r="3962" spans="2:11" x14ac:dyDescent="0.25">
      <c r="B3962">
        <v>4382</v>
      </c>
      <c r="C3962">
        <v>113</v>
      </c>
      <c r="D3962">
        <v>52</v>
      </c>
      <c r="E3962">
        <v>16</v>
      </c>
      <c r="F3962">
        <v>13</v>
      </c>
      <c r="G3962">
        <v>14</v>
      </c>
      <c r="H3962">
        <v>0</v>
      </c>
      <c r="I3962">
        <v>0</v>
      </c>
      <c r="J3962">
        <v>27</v>
      </c>
      <c r="K3962" t="s">
        <v>251</v>
      </c>
    </row>
    <row r="3963" spans="2:11" x14ac:dyDescent="0.25">
      <c r="B3963">
        <v>4383</v>
      </c>
      <c r="C3963">
        <v>141</v>
      </c>
      <c r="D3963">
        <v>62</v>
      </c>
      <c r="E3963">
        <v>16</v>
      </c>
      <c r="F3963">
        <v>6</v>
      </c>
      <c r="G3963">
        <v>5</v>
      </c>
      <c r="H3963">
        <v>2</v>
      </c>
      <c r="I3963">
        <v>0</v>
      </c>
      <c r="J3963">
        <v>13</v>
      </c>
      <c r="K3963" t="s">
        <v>251</v>
      </c>
    </row>
    <row r="3964" spans="2:11" x14ac:dyDescent="0.25">
      <c r="B3964">
        <v>4384</v>
      </c>
      <c r="C3964">
        <v>101</v>
      </c>
      <c r="D3964">
        <v>51</v>
      </c>
      <c r="E3964">
        <v>15</v>
      </c>
      <c r="F3964">
        <v>12</v>
      </c>
      <c r="G3964">
        <v>9</v>
      </c>
      <c r="H3964">
        <v>3</v>
      </c>
      <c r="I3964">
        <v>0</v>
      </c>
      <c r="J3964">
        <v>24</v>
      </c>
      <c r="K3964" t="s">
        <v>245</v>
      </c>
    </row>
    <row r="3965" spans="2:11" x14ac:dyDescent="0.25">
      <c r="B3965">
        <v>4385</v>
      </c>
      <c r="C3965">
        <v>21</v>
      </c>
      <c r="D3965">
        <v>10</v>
      </c>
      <c r="E3965">
        <v>16</v>
      </c>
      <c r="F3965">
        <v>9</v>
      </c>
      <c r="G3965">
        <v>6</v>
      </c>
      <c r="H3965">
        <v>1</v>
      </c>
      <c r="I3965">
        <v>0</v>
      </c>
      <c r="J3965">
        <v>16</v>
      </c>
      <c r="K3965" t="s">
        <v>251</v>
      </c>
    </row>
    <row r="3966" spans="2:11" x14ac:dyDescent="0.25">
      <c r="B3966">
        <v>4387</v>
      </c>
      <c r="C3966">
        <v>145</v>
      </c>
      <c r="D3966">
        <v>65</v>
      </c>
      <c r="E3966">
        <v>16</v>
      </c>
      <c r="F3966">
        <v>7</v>
      </c>
      <c r="G3966">
        <v>4</v>
      </c>
      <c r="H3966">
        <v>0</v>
      </c>
      <c r="I3966">
        <v>0</v>
      </c>
      <c r="J3966">
        <v>11</v>
      </c>
      <c r="K3966" t="s">
        <v>251</v>
      </c>
    </row>
    <row r="3967" spans="2:11" x14ac:dyDescent="0.25">
      <c r="B3967">
        <v>4388</v>
      </c>
      <c r="C3967">
        <v>101</v>
      </c>
      <c r="D3967">
        <v>51</v>
      </c>
      <c r="E3967">
        <v>11</v>
      </c>
      <c r="F3967">
        <v>7</v>
      </c>
      <c r="G3967">
        <v>5</v>
      </c>
      <c r="H3967">
        <v>10</v>
      </c>
      <c r="I3967">
        <v>0</v>
      </c>
      <c r="J3967">
        <v>22</v>
      </c>
      <c r="K3967" t="s">
        <v>245</v>
      </c>
    </row>
    <row r="3968" spans="2:11" x14ac:dyDescent="0.25">
      <c r="B3968">
        <v>4389</v>
      </c>
      <c r="C3968">
        <v>101</v>
      </c>
      <c r="D3968">
        <v>51</v>
      </c>
      <c r="E3968">
        <v>16</v>
      </c>
      <c r="F3968">
        <v>9</v>
      </c>
      <c r="G3968">
        <v>4</v>
      </c>
      <c r="H3968">
        <v>4</v>
      </c>
      <c r="I3968">
        <v>0</v>
      </c>
      <c r="J3968">
        <v>17</v>
      </c>
      <c r="K3968" t="s">
        <v>251</v>
      </c>
    </row>
    <row r="3969" spans="2:11" x14ac:dyDescent="0.25">
      <c r="B3969">
        <v>4390</v>
      </c>
      <c r="C3969">
        <v>159</v>
      </c>
      <c r="D3969">
        <v>69</v>
      </c>
      <c r="E3969">
        <v>7</v>
      </c>
      <c r="F3969">
        <v>2</v>
      </c>
      <c r="G3969">
        <v>6</v>
      </c>
      <c r="H3969">
        <v>0</v>
      </c>
      <c r="I3969">
        <v>0</v>
      </c>
      <c r="J3969">
        <v>8</v>
      </c>
      <c r="K3969" t="s">
        <v>245</v>
      </c>
    </row>
    <row r="3970" spans="2:11" x14ac:dyDescent="0.25">
      <c r="B3970">
        <v>4391</v>
      </c>
      <c r="C3970">
        <v>146</v>
      </c>
      <c r="D3970">
        <v>65</v>
      </c>
      <c r="E3970">
        <v>16</v>
      </c>
      <c r="F3970">
        <v>14</v>
      </c>
      <c r="G3970">
        <v>0</v>
      </c>
      <c r="H3970">
        <v>0</v>
      </c>
      <c r="I3970">
        <v>0</v>
      </c>
      <c r="J3970">
        <v>14</v>
      </c>
      <c r="K3970" t="s">
        <v>251</v>
      </c>
    </row>
    <row r="3971" spans="2:11" x14ac:dyDescent="0.25">
      <c r="B3971">
        <v>4392</v>
      </c>
      <c r="C3971">
        <v>324</v>
      </c>
      <c r="D3971">
        <v>150</v>
      </c>
      <c r="E3971">
        <v>16</v>
      </c>
      <c r="F3971">
        <v>7</v>
      </c>
      <c r="G3971">
        <v>6</v>
      </c>
      <c r="H3971">
        <v>0</v>
      </c>
      <c r="I3971">
        <v>0</v>
      </c>
      <c r="J3971">
        <v>13</v>
      </c>
      <c r="K3971" t="s">
        <v>251</v>
      </c>
    </row>
    <row r="3972" spans="2:11" x14ac:dyDescent="0.25">
      <c r="B3972">
        <v>4394</v>
      </c>
      <c r="C3972">
        <v>107</v>
      </c>
      <c r="D3972">
        <v>51</v>
      </c>
      <c r="E3972">
        <v>15</v>
      </c>
      <c r="F3972">
        <v>8</v>
      </c>
      <c r="G3972">
        <v>12</v>
      </c>
      <c r="H3972">
        <v>2</v>
      </c>
      <c r="I3972">
        <v>0</v>
      </c>
      <c r="J3972">
        <v>22</v>
      </c>
      <c r="K3972" t="s">
        <v>251</v>
      </c>
    </row>
    <row r="3973" spans="2:11" x14ac:dyDescent="0.25">
      <c r="B3973">
        <v>4395</v>
      </c>
      <c r="C3973">
        <v>107</v>
      </c>
      <c r="D3973">
        <v>51</v>
      </c>
      <c r="E3973">
        <v>16</v>
      </c>
      <c r="F3973">
        <v>13</v>
      </c>
      <c r="G3973">
        <v>8</v>
      </c>
      <c r="H3973">
        <v>4</v>
      </c>
      <c r="I3973">
        <v>0</v>
      </c>
      <c r="J3973">
        <v>25</v>
      </c>
      <c r="K3973" t="s">
        <v>251</v>
      </c>
    </row>
    <row r="3974" spans="2:11" x14ac:dyDescent="0.25">
      <c r="B3974">
        <v>4397</v>
      </c>
      <c r="C3974">
        <v>315</v>
      </c>
      <c r="D3974">
        <v>145</v>
      </c>
      <c r="E3974">
        <v>16</v>
      </c>
      <c r="F3974">
        <v>9</v>
      </c>
      <c r="G3974">
        <v>12</v>
      </c>
      <c r="H3974">
        <v>0</v>
      </c>
      <c r="I3974">
        <v>0</v>
      </c>
      <c r="J3974">
        <v>21</v>
      </c>
      <c r="K3974" t="s">
        <v>245</v>
      </c>
    </row>
    <row r="3975" spans="2:11" x14ac:dyDescent="0.25">
      <c r="B3975">
        <v>4398</v>
      </c>
      <c r="C3975">
        <v>284</v>
      </c>
      <c r="D3975">
        <v>131</v>
      </c>
      <c r="E3975">
        <v>16</v>
      </c>
      <c r="F3975">
        <v>15</v>
      </c>
      <c r="G3975">
        <v>5</v>
      </c>
      <c r="H3975">
        <v>0</v>
      </c>
      <c r="I3975">
        <v>0</v>
      </c>
      <c r="J3975">
        <v>20</v>
      </c>
      <c r="K3975" t="s">
        <v>245</v>
      </c>
    </row>
    <row r="3976" spans="2:11" x14ac:dyDescent="0.25">
      <c r="B3976">
        <v>4399</v>
      </c>
      <c r="C3976">
        <v>277</v>
      </c>
      <c r="D3976">
        <v>128</v>
      </c>
      <c r="E3976">
        <v>16</v>
      </c>
      <c r="F3976">
        <v>9</v>
      </c>
      <c r="G3976">
        <v>15</v>
      </c>
      <c r="H3976">
        <v>1</v>
      </c>
      <c r="I3976">
        <v>0</v>
      </c>
      <c r="J3976">
        <v>25</v>
      </c>
      <c r="K3976" t="s">
        <v>245</v>
      </c>
    </row>
    <row r="3977" spans="2:11" x14ac:dyDescent="0.25">
      <c r="B3977">
        <v>4400</v>
      </c>
      <c r="C3977">
        <v>171</v>
      </c>
      <c r="D3977">
        <v>73</v>
      </c>
      <c r="E3977">
        <v>16</v>
      </c>
      <c r="F3977">
        <v>3</v>
      </c>
      <c r="G3977">
        <v>2</v>
      </c>
      <c r="H3977">
        <v>0</v>
      </c>
      <c r="I3977">
        <v>0</v>
      </c>
      <c r="J3977">
        <v>5</v>
      </c>
      <c r="K3977" t="s">
        <v>245</v>
      </c>
    </row>
    <row r="3978" spans="2:11" x14ac:dyDescent="0.25">
      <c r="B3978">
        <v>4402</v>
      </c>
      <c r="C3978">
        <v>173</v>
      </c>
      <c r="D3978">
        <v>75</v>
      </c>
      <c r="E3978">
        <v>16</v>
      </c>
      <c r="F3978">
        <v>3</v>
      </c>
      <c r="G3978">
        <v>3</v>
      </c>
      <c r="H3978">
        <v>3</v>
      </c>
      <c r="I3978">
        <v>0</v>
      </c>
      <c r="J3978">
        <v>9</v>
      </c>
      <c r="K3978" t="s">
        <v>245</v>
      </c>
    </row>
    <row r="3979" spans="2:11" x14ac:dyDescent="0.25">
      <c r="B3979">
        <v>4403</v>
      </c>
      <c r="C3979">
        <v>174</v>
      </c>
      <c r="D3979">
        <v>75</v>
      </c>
      <c r="E3979">
        <v>16</v>
      </c>
      <c r="F3979">
        <v>12</v>
      </c>
      <c r="G3979">
        <v>2</v>
      </c>
      <c r="H3979">
        <v>1</v>
      </c>
      <c r="I3979">
        <v>0</v>
      </c>
      <c r="J3979">
        <v>15</v>
      </c>
      <c r="K3979" t="s">
        <v>245</v>
      </c>
    </row>
    <row r="3980" spans="2:11" x14ac:dyDescent="0.25">
      <c r="B3980">
        <v>4404</v>
      </c>
      <c r="C3980">
        <v>179</v>
      </c>
      <c r="D3980">
        <v>77</v>
      </c>
      <c r="E3980">
        <v>16</v>
      </c>
      <c r="F3980">
        <v>5</v>
      </c>
      <c r="G3980">
        <v>5</v>
      </c>
      <c r="H3980">
        <v>1</v>
      </c>
      <c r="I3980">
        <v>0</v>
      </c>
      <c r="J3980">
        <v>11</v>
      </c>
      <c r="K3980" t="s">
        <v>245</v>
      </c>
    </row>
    <row r="3981" spans="2:11" x14ac:dyDescent="0.25">
      <c r="B3981">
        <v>4407</v>
      </c>
      <c r="C3981">
        <v>83</v>
      </c>
      <c r="D3981">
        <v>40</v>
      </c>
      <c r="E3981">
        <v>15</v>
      </c>
      <c r="F3981">
        <v>11</v>
      </c>
      <c r="G3981">
        <v>13</v>
      </c>
      <c r="H3981">
        <v>0</v>
      </c>
      <c r="I3981">
        <v>0</v>
      </c>
      <c r="J3981">
        <v>24</v>
      </c>
      <c r="K3981" t="s">
        <v>245</v>
      </c>
    </row>
    <row r="3982" spans="2:11" x14ac:dyDescent="0.25">
      <c r="B3982">
        <v>4408</v>
      </c>
      <c r="C3982">
        <v>262</v>
      </c>
      <c r="D3982">
        <v>118</v>
      </c>
      <c r="E3982">
        <v>17</v>
      </c>
      <c r="F3982">
        <v>2</v>
      </c>
      <c r="G3982">
        <v>5</v>
      </c>
      <c r="H3982">
        <v>0</v>
      </c>
      <c r="I3982">
        <v>0</v>
      </c>
      <c r="J3982">
        <v>7</v>
      </c>
      <c r="K3982" t="s">
        <v>251</v>
      </c>
    </row>
    <row r="3983" spans="2:11" x14ac:dyDescent="0.25">
      <c r="B3983">
        <v>4409</v>
      </c>
      <c r="C3983">
        <v>122</v>
      </c>
      <c r="D3983">
        <v>55</v>
      </c>
      <c r="E3983">
        <v>15</v>
      </c>
      <c r="F3983">
        <v>16</v>
      </c>
      <c r="G3983">
        <v>5</v>
      </c>
      <c r="H3983">
        <v>0</v>
      </c>
      <c r="I3983">
        <v>0</v>
      </c>
      <c r="J3983">
        <v>21</v>
      </c>
      <c r="K3983" t="s">
        <v>245</v>
      </c>
    </row>
    <row r="3984" spans="2:11" x14ac:dyDescent="0.25">
      <c r="B3984">
        <v>4411</v>
      </c>
      <c r="C3984">
        <v>277</v>
      </c>
      <c r="D3984">
        <v>128</v>
      </c>
      <c r="E3984">
        <v>15</v>
      </c>
      <c r="F3984">
        <v>15</v>
      </c>
      <c r="G3984">
        <v>12</v>
      </c>
      <c r="H3984">
        <v>0</v>
      </c>
      <c r="I3984">
        <v>0</v>
      </c>
      <c r="J3984">
        <v>27</v>
      </c>
      <c r="K3984" t="s">
        <v>245</v>
      </c>
    </row>
    <row r="3985" spans="2:11" x14ac:dyDescent="0.25">
      <c r="B3985">
        <v>4413</v>
      </c>
      <c r="C3985">
        <v>83</v>
      </c>
      <c r="D3985">
        <v>40</v>
      </c>
      <c r="E3985">
        <v>14</v>
      </c>
      <c r="F3985">
        <v>26</v>
      </c>
      <c r="G3985">
        <v>4</v>
      </c>
      <c r="H3985">
        <v>0</v>
      </c>
      <c r="I3985">
        <v>0</v>
      </c>
      <c r="J3985">
        <v>30</v>
      </c>
      <c r="K3985" t="s">
        <v>245</v>
      </c>
    </row>
    <row r="3986" spans="2:11" x14ac:dyDescent="0.25">
      <c r="B3986">
        <v>4414</v>
      </c>
      <c r="C3986">
        <v>277</v>
      </c>
      <c r="D3986">
        <v>128</v>
      </c>
      <c r="E3986">
        <v>14</v>
      </c>
      <c r="F3986">
        <v>13</v>
      </c>
      <c r="G3986">
        <v>14</v>
      </c>
      <c r="H3986">
        <v>1</v>
      </c>
      <c r="I3986">
        <v>0</v>
      </c>
      <c r="J3986">
        <v>28</v>
      </c>
      <c r="K3986" t="s">
        <v>245</v>
      </c>
    </row>
    <row r="3987" spans="2:11" x14ac:dyDescent="0.25">
      <c r="B3987">
        <v>4415</v>
      </c>
      <c r="C3987">
        <v>95</v>
      </c>
      <c r="D3987">
        <v>47</v>
      </c>
      <c r="E3987">
        <v>13</v>
      </c>
      <c r="F3987">
        <v>6</v>
      </c>
      <c r="G3987">
        <v>13</v>
      </c>
      <c r="H3987">
        <v>0</v>
      </c>
      <c r="I3987">
        <v>0</v>
      </c>
      <c r="J3987">
        <v>19</v>
      </c>
      <c r="K3987" t="s">
        <v>245</v>
      </c>
    </row>
    <row r="3988" spans="2:11" x14ac:dyDescent="0.25">
      <c r="B3988">
        <v>4416</v>
      </c>
      <c r="C3988">
        <v>95</v>
      </c>
      <c r="D3988">
        <v>47</v>
      </c>
      <c r="E3988">
        <v>12</v>
      </c>
      <c r="F3988">
        <v>7</v>
      </c>
      <c r="G3988">
        <v>14</v>
      </c>
      <c r="H3988">
        <v>0</v>
      </c>
      <c r="I3988">
        <v>0</v>
      </c>
      <c r="J3988">
        <v>21</v>
      </c>
      <c r="K3988" t="s">
        <v>245</v>
      </c>
    </row>
    <row r="3989" spans="2:11" x14ac:dyDescent="0.25">
      <c r="B3989">
        <v>4412</v>
      </c>
      <c r="C3989">
        <v>304</v>
      </c>
      <c r="D3989">
        <v>141</v>
      </c>
      <c r="E3989">
        <v>17</v>
      </c>
      <c r="F3989">
        <v>7</v>
      </c>
      <c r="G3989">
        <v>8</v>
      </c>
      <c r="H3989">
        <v>2</v>
      </c>
      <c r="I3989">
        <v>0</v>
      </c>
      <c r="J3989">
        <v>17</v>
      </c>
      <c r="K3989" t="s">
        <v>251</v>
      </c>
    </row>
    <row r="3990" spans="2:11" x14ac:dyDescent="0.25">
      <c r="B3990">
        <v>4419</v>
      </c>
      <c r="C3990">
        <v>277</v>
      </c>
      <c r="D3990">
        <v>128</v>
      </c>
      <c r="E3990">
        <v>17</v>
      </c>
      <c r="F3990">
        <v>11</v>
      </c>
      <c r="G3990">
        <v>14</v>
      </c>
      <c r="H3990">
        <v>0</v>
      </c>
      <c r="I3990">
        <v>0</v>
      </c>
      <c r="J3990">
        <v>25</v>
      </c>
      <c r="K3990" t="s">
        <v>251</v>
      </c>
    </row>
    <row r="3991" spans="2:11" x14ac:dyDescent="0.25">
      <c r="B3991">
        <v>4420</v>
      </c>
      <c r="C3991">
        <v>167</v>
      </c>
      <c r="D3991">
        <v>72</v>
      </c>
      <c r="E3991">
        <v>17</v>
      </c>
      <c r="F3991">
        <v>8</v>
      </c>
      <c r="G3991">
        <v>5</v>
      </c>
      <c r="H3991">
        <v>0</v>
      </c>
      <c r="I3991">
        <v>0</v>
      </c>
      <c r="J3991">
        <v>13</v>
      </c>
      <c r="K3991" t="s">
        <v>251</v>
      </c>
    </row>
    <row r="3992" spans="2:11" x14ac:dyDescent="0.25">
      <c r="B3992">
        <v>4421</v>
      </c>
      <c r="C3992">
        <v>286</v>
      </c>
      <c r="D3992">
        <v>133</v>
      </c>
      <c r="E3992">
        <v>16</v>
      </c>
      <c r="F3992">
        <v>10</v>
      </c>
      <c r="G3992">
        <v>6</v>
      </c>
      <c r="H3992">
        <v>0</v>
      </c>
      <c r="I3992">
        <v>0</v>
      </c>
      <c r="J3992">
        <v>16</v>
      </c>
      <c r="K3992" t="s">
        <v>251</v>
      </c>
    </row>
    <row r="3993" spans="2:11" x14ac:dyDescent="0.25">
      <c r="B3993">
        <v>4422</v>
      </c>
      <c r="C3993">
        <v>313</v>
      </c>
      <c r="D3993">
        <v>144</v>
      </c>
      <c r="E3993">
        <v>16</v>
      </c>
      <c r="F3993">
        <v>8</v>
      </c>
      <c r="G3993">
        <v>4</v>
      </c>
      <c r="H3993">
        <v>0</v>
      </c>
      <c r="I3993">
        <v>0</v>
      </c>
      <c r="J3993">
        <v>12</v>
      </c>
      <c r="K3993" t="s">
        <v>251</v>
      </c>
    </row>
    <row r="3994" spans="2:11" x14ac:dyDescent="0.25">
      <c r="B3994">
        <v>4423</v>
      </c>
      <c r="C3994">
        <v>330</v>
      </c>
      <c r="D3994">
        <v>152</v>
      </c>
      <c r="E3994">
        <v>17</v>
      </c>
      <c r="F3994">
        <v>15</v>
      </c>
      <c r="G3994">
        <v>11</v>
      </c>
      <c r="H3994">
        <v>0</v>
      </c>
      <c r="I3994">
        <v>0</v>
      </c>
      <c r="J3994">
        <v>26</v>
      </c>
      <c r="K3994" t="s">
        <v>245</v>
      </c>
    </row>
    <row r="3995" spans="2:11" x14ac:dyDescent="0.25">
      <c r="B3995">
        <v>4386</v>
      </c>
      <c r="C3995">
        <v>81</v>
      </c>
      <c r="D3995">
        <v>38</v>
      </c>
      <c r="E3995">
        <v>15</v>
      </c>
      <c r="F3995">
        <v>0</v>
      </c>
      <c r="G3995">
        <v>5</v>
      </c>
      <c r="H3995">
        <v>1</v>
      </c>
      <c r="I3995">
        <v>0</v>
      </c>
      <c r="J3995">
        <v>6</v>
      </c>
      <c r="K3995" t="s">
        <v>245</v>
      </c>
    </row>
    <row r="3996" spans="2:11" x14ac:dyDescent="0.25">
      <c r="B3996">
        <v>4425</v>
      </c>
      <c r="C3996">
        <v>307</v>
      </c>
      <c r="D3996">
        <v>142</v>
      </c>
      <c r="E3996">
        <v>17</v>
      </c>
      <c r="F3996">
        <v>6</v>
      </c>
      <c r="G3996">
        <v>5</v>
      </c>
      <c r="H3996">
        <v>0</v>
      </c>
      <c r="I3996">
        <v>0</v>
      </c>
      <c r="J3996">
        <v>11</v>
      </c>
      <c r="K3996" t="s">
        <v>245</v>
      </c>
    </row>
    <row r="3997" spans="2:11" x14ac:dyDescent="0.25">
      <c r="B3997">
        <v>4424</v>
      </c>
      <c r="C3997">
        <v>15</v>
      </c>
      <c r="D3997">
        <v>6</v>
      </c>
      <c r="E3997">
        <v>16</v>
      </c>
      <c r="F3997">
        <v>1</v>
      </c>
      <c r="G3997">
        <v>2</v>
      </c>
      <c r="H3997">
        <v>1</v>
      </c>
      <c r="I3997">
        <v>0</v>
      </c>
      <c r="J3997">
        <v>4</v>
      </c>
      <c r="K3997" t="s">
        <v>251</v>
      </c>
    </row>
    <row r="3998" spans="2:11" x14ac:dyDescent="0.25">
      <c r="B3998">
        <v>4426</v>
      </c>
      <c r="C3998">
        <v>124</v>
      </c>
      <c r="D3998">
        <v>56</v>
      </c>
      <c r="E3998">
        <v>16</v>
      </c>
      <c r="F3998">
        <v>7</v>
      </c>
      <c r="G3998">
        <v>0</v>
      </c>
      <c r="H3998">
        <v>0</v>
      </c>
      <c r="I3998">
        <v>0</v>
      </c>
      <c r="J3998">
        <v>7</v>
      </c>
      <c r="K3998" t="s">
        <v>245</v>
      </c>
    </row>
    <row r="3999" spans="2:11" x14ac:dyDescent="0.25">
      <c r="B3999">
        <v>4428</v>
      </c>
      <c r="C3999">
        <v>238</v>
      </c>
      <c r="D3999">
        <v>105</v>
      </c>
      <c r="E3999">
        <v>15</v>
      </c>
      <c r="F3999">
        <v>7</v>
      </c>
      <c r="G3999">
        <v>2</v>
      </c>
      <c r="H3999">
        <v>0</v>
      </c>
      <c r="I3999">
        <v>0</v>
      </c>
      <c r="J3999">
        <v>9</v>
      </c>
      <c r="K3999" t="s">
        <v>245</v>
      </c>
    </row>
    <row r="4000" spans="2:11" x14ac:dyDescent="0.25">
      <c r="B4000">
        <v>4429</v>
      </c>
      <c r="C4000">
        <v>175</v>
      </c>
      <c r="D4000">
        <v>76</v>
      </c>
      <c r="E4000">
        <v>16</v>
      </c>
      <c r="F4000">
        <v>5</v>
      </c>
      <c r="G4000">
        <v>5</v>
      </c>
      <c r="H4000">
        <v>1</v>
      </c>
      <c r="I4000">
        <v>0</v>
      </c>
      <c r="J4000">
        <v>11</v>
      </c>
      <c r="K4000" t="s">
        <v>245</v>
      </c>
    </row>
    <row r="4001" spans="2:11" x14ac:dyDescent="0.25">
      <c r="B4001">
        <v>4430</v>
      </c>
      <c r="C4001">
        <v>83</v>
      </c>
      <c r="D4001">
        <v>40</v>
      </c>
      <c r="E4001">
        <v>16</v>
      </c>
      <c r="F4001">
        <v>23</v>
      </c>
      <c r="G4001">
        <v>7</v>
      </c>
      <c r="H4001">
        <v>0</v>
      </c>
      <c r="I4001">
        <v>0</v>
      </c>
      <c r="J4001">
        <v>30</v>
      </c>
      <c r="K4001" t="s">
        <v>251</v>
      </c>
    </row>
    <row r="4002" spans="2:11" x14ac:dyDescent="0.25">
      <c r="B4002">
        <v>4431</v>
      </c>
      <c r="C4002">
        <v>127</v>
      </c>
      <c r="D4002">
        <v>56</v>
      </c>
      <c r="E4002">
        <v>17</v>
      </c>
      <c r="F4002">
        <v>17</v>
      </c>
      <c r="G4002">
        <v>3</v>
      </c>
      <c r="H4002">
        <v>0</v>
      </c>
      <c r="I4002">
        <v>0</v>
      </c>
      <c r="J4002">
        <v>20</v>
      </c>
      <c r="K4002" t="s">
        <v>245</v>
      </c>
    </row>
    <row r="4003" spans="2:11" x14ac:dyDescent="0.25">
      <c r="B4003">
        <v>4432</v>
      </c>
      <c r="C4003">
        <v>121</v>
      </c>
      <c r="D4003">
        <v>55</v>
      </c>
      <c r="E4003">
        <v>16</v>
      </c>
      <c r="F4003">
        <v>10</v>
      </c>
      <c r="G4003">
        <v>7</v>
      </c>
      <c r="H4003">
        <v>0</v>
      </c>
      <c r="I4003">
        <v>0</v>
      </c>
      <c r="J4003">
        <v>17</v>
      </c>
      <c r="K4003" t="s">
        <v>251</v>
      </c>
    </row>
    <row r="4004" spans="2:11" x14ac:dyDescent="0.25">
      <c r="B4004">
        <v>4433</v>
      </c>
      <c r="C4004">
        <v>331</v>
      </c>
      <c r="D4004">
        <v>152</v>
      </c>
      <c r="E4004">
        <v>17</v>
      </c>
      <c r="F4004">
        <v>2</v>
      </c>
      <c r="G4004">
        <v>23</v>
      </c>
      <c r="H4004">
        <v>1</v>
      </c>
      <c r="I4004">
        <v>0</v>
      </c>
      <c r="J4004">
        <v>26</v>
      </c>
      <c r="K4004" t="s">
        <v>245</v>
      </c>
    </row>
    <row r="4005" spans="2:11" x14ac:dyDescent="0.25">
      <c r="B4005">
        <v>4435</v>
      </c>
      <c r="C4005">
        <v>122</v>
      </c>
      <c r="D4005">
        <v>55</v>
      </c>
      <c r="E4005">
        <v>16</v>
      </c>
      <c r="F4005">
        <v>20</v>
      </c>
      <c r="G4005">
        <v>4</v>
      </c>
      <c r="H4005">
        <v>1</v>
      </c>
      <c r="I4005">
        <v>0</v>
      </c>
      <c r="J4005">
        <v>25</v>
      </c>
      <c r="K4005" t="s">
        <v>251</v>
      </c>
    </row>
    <row r="4006" spans="2:11" x14ac:dyDescent="0.25">
      <c r="B4006">
        <v>4434</v>
      </c>
      <c r="C4006">
        <v>22</v>
      </c>
      <c r="D4006">
        <v>10</v>
      </c>
      <c r="E4006">
        <v>16</v>
      </c>
      <c r="F4006">
        <v>6</v>
      </c>
      <c r="G4006">
        <v>13</v>
      </c>
      <c r="H4006">
        <v>0</v>
      </c>
      <c r="I4006">
        <v>0</v>
      </c>
      <c r="J4006">
        <v>19</v>
      </c>
      <c r="K4006" t="s">
        <v>250</v>
      </c>
    </row>
    <row r="4007" spans="2:11" x14ac:dyDescent="0.25">
      <c r="B4007">
        <v>4436</v>
      </c>
      <c r="C4007">
        <v>262</v>
      </c>
      <c r="D4007">
        <v>118</v>
      </c>
      <c r="E4007">
        <v>16</v>
      </c>
      <c r="F4007">
        <v>16</v>
      </c>
      <c r="G4007">
        <v>5</v>
      </c>
      <c r="H4007">
        <v>4</v>
      </c>
      <c r="I4007">
        <v>0</v>
      </c>
      <c r="J4007">
        <v>25</v>
      </c>
      <c r="K4007" t="s">
        <v>251</v>
      </c>
    </row>
    <row r="4008" spans="2:11" x14ac:dyDescent="0.25">
      <c r="B4008">
        <v>4438</v>
      </c>
      <c r="C4008">
        <v>298</v>
      </c>
      <c r="D4008">
        <v>137</v>
      </c>
      <c r="E4008">
        <v>17</v>
      </c>
      <c r="F4008">
        <v>0</v>
      </c>
      <c r="G4008">
        <v>12</v>
      </c>
      <c r="H4008">
        <v>1</v>
      </c>
      <c r="I4008">
        <v>0</v>
      </c>
      <c r="J4008">
        <v>13</v>
      </c>
      <c r="K4008" t="s">
        <v>245</v>
      </c>
    </row>
    <row r="4009" spans="2:11" x14ac:dyDescent="0.25">
      <c r="B4009">
        <v>4439</v>
      </c>
      <c r="C4009">
        <v>3</v>
      </c>
      <c r="D4009">
        <v>1</v>
      </c>
      <c r="E4009">
        <v>17</v>
      </c>
      <c r="F4009">
        <v>6</v>
      </c>
      <c r="G4009">
        <v>1</v>
      </c>
      <c r="H4009">
        <v>0</v>
      </c>
      <c r="I4009">
        <v>0</v>
      </c>
      <c r="J4009">
        <v>7</v>
      </c>
      <c r="K4009" t="s">
        <v>245</v>
      </c>
    </row>
    <row r="4010" spans="2:11" x14ac:dyDescent="0.25">
      <c r="B4010">
        <v>4441</v>
      </c>
      <c r="C4010">
        <v>91</v>
      </c>
      <c r="D4010">
        <v>45</v>
      </c>
      <c r="E4010">
        <v>15</v>
      </c>
      <c r="F4010">
        <v>11</v>
      </c>
      <c r="G4010">
        <v>13</v>
      </c>
      <c r="H4010">
        <v>0</v>
      </c>
      <c r="I4010">
        <v>0</v>
      </c>
      <c r="J4010">
        <v>24</v>
      </c>
      <c r="K4010" t="s">
        <v>250</v>
      </c>
    </row>
    <row r="4011" spans="2:11" x14ac:dyDescent="0.25">
      <c r="B4011">
        <v>4442</v>
      </c>
      <c r="C4011">
        <v>84</v>
      </c>
      <c r="D4011">
        <v>41</v>
      </c>
      <c r="E4011">
        <v>15</v>
      </c>
      <c r="F4011">
        <v>10</v>
      </c>
      <c r="G4011">
        <v>0</v>
      </c>
      <c r="H4011">
        <v>2</v>
      </c>
      <c r="I4011">
        <v>0</v>
      </c>
      <c r="J4011">
        <v>12</v>
      </c>
      <c r="K4011" t="s">
        <v>250</v>
      </c>
    </row>
    <row r="4012" spans="2:11" x14ac:dyDescent="0.25">
      <c r="B4012">
        <v>4444</v>
      </c>
      <c r="C4012">
        <v>24</v>
      </c>
      <c r="D4012">
        <v>12</v>
      </c>
      <c r="E4012">
        <v>15</v>
      </c>
      <c r="F4012">
        <v>10</v>
      </c>
      <c r="G4012">
        <v>11</v>
      </c>
      <c r="H4012">
        <v>7</v>
      </c>
      <c r="I4012">
        <v>0</v>
      </c>
      <c r="J4012">
        <v>28</v>
      </c>
      <c r="K4012" t="s">
        <v>250</v>
      </c>
    </row>
    <row r="4013" spans="2:11" x14ac:dyDescent="0.25">
      <c r="B4013">
        <v>4445</v>
      </c>
      <c r="C4013">
        <v>3</v>
      </c>
      <c r="D4013">
        <v>1</v>
      </c>
      <c r="E4013">
        <v>16</v>
      </c>
      <c r="F4013">
        <v>6</v>
      </c>
      <c r="G4013">
        <v>3</v>
      </c>
      <c r="H4013">
        <v>0</v>
      </c>
      <c r="I4013">
        <v>0</v>
      </c>
      <c r="J4013">
        <v>9</v>
      </c>
      <c r="K4013" t="s">
        <v>245</v>
      </c>
    </row>
    <row r="4014" spans="2:11" x14ac:dyDescent="0.25">
      <c r="B4014">
        <v>4446</v>
      </c>
      <c r="C4014">
        <v>26</v>
      </c>
      <c r="D4014">
        <v>14</v>
      </c>
      <c r="E4014">
        <v>15</v>
      </c>
      <c r="F4014">
        <v>10</v>
      </c>
      <c r="G4014">
        <v>5</v>
      </c>
      <c r="H4014">
        <v>12</v>
      </c>
      <c r="I4014">
        <v>0</v>
      </c>
      <c r="J4014">
        <v>27</v>
      </c>
      <c r="K4014" t="s">
        <v>250</v>
      </c>
    </row>
    <row r="4015" spans="2:11" x14ac:dyDescent="0.25">
      <c r="B4015">
        <v>4447</v>
      </c>
      <c r="C4015">
        <v>3</v>
      </c>
      <c r="D4015">
        <v>1</v>
      </c>
      <c r="E4015">
        <v>15</v>
      </c>
      <c r="F4015">
        <v>4</v>
      </c>
      <c r="G4015">
        <v>2</v>
      </c>
      <c r="H4015">
        <v>0</v>
      </c>
      <c r="I4015">
        <v>0</v>
      </c>
      <c r="J4015">
        <v>6</v>
      </c>
      <c r="K4015" t="s">
        <v>245</v>
      </c>
    </row>
    <row r="4016" spans="2:11" x14ac:dyDescent="0.25">
      <c r="B4016">
        <v>4448</v>
      </c>
      <c r="C4016">
        <v>91</v>
      </c>
      <c r="D4016">
        <v>45</v>
      </c>
      <c r="E4016">
        <v>14</v>
      </c>
      <c r="F4016">
        <v>26</v>
      </c>
      <c r="G4016">
        <v>4</v>
      </c>
      <c r="H4016">
        <v>0</v>
      </c>
      <c r="I4016">
        <v>0</v>
      </c>
      <c r="J4016">
        <v>30</v>
      </c>
      <c r="K4016" t="s">
        <v>250</v>
      </c>
    </row>
    <row r="4017" spans="2:11" x14ac:dyDescent="0.25">
      <c r="B4017">
        <v>4450</v>
      </c>
      <c r="C4017">
        <v>278</v>
      </c>
      <c r="D4017">
        <v>129</v>
      </c>
      <c r="E4017">
        <v>16</v>
      </c>
      <c r="F4017">
        <v>12</v>
      </c>
      <c r="G4017">
        <v>17</v>
      </c>
      <c r="H4017">
        <v>0</v>
      </c>
      <c r="I4017">
        <v>0</v>
      </c>
      <c r="J4017">
        <v>29</v>
      </c>
      <c r="K4017" t="s">
        <v>250</v>
      </c>
    </row>
    <row r="4018" spans="2:11" x14ac:dyDescent="0.25">
      <c r="B4018">
        <v>4452</v>
      </c>
      <c r="C4018">
        <v>84</v>
      </c>
      <c r="D4018">
        <v>41</v>
      </c>
      <c r="E4018">
        <v>14</v>
      </c>
      <c r="F4018">
        <v>5</v>
      </c>
      <c r="G4018">
        <v>0</v>
      </c>
      <c r="H4018">
        <v>3</v>
      </c>
      <c r="I4018">
        <v>0</v>
      </c>
      <c r="J4018">
        <v>8</v>
      </c>
      <c r="K4018" t="s">
        <v>250</v>
      </c>
    </row>
    <row r="4019" spans="2:11" x14ac:dyDescent="0.25">
      <c r="B4019">
        <v>4451</v>
      </c>
      <c r="C4019">
        <v>318</v>
      </c>
      <c r="D4019">
        <v>147</v>
      </c>
      <c r="E4019">
        <v>17</v>
      </c>
      <c r="F4019">
        <v>3</v>
      </c>
      <c r="G4019">
        <v>7</v>
      </c>
      <c r="H4019">
        <v>0</v>
      </c>
      <c r="I4019">
        <v>0</v>
      </c>
      <c r="J4019">
        <v>10</v>
      </c>
      <c r="K4019" t="s">
        <v>245</v>
      </c>
    </row>
    <row r="4020" spans="2:11" x14ac:dyDescent="0.25">
      <c r="B4020">
        <v>4454</v>
      </c>
      <c r="C4020">
        <v>287</v>
      </c>
      <c r="D4020">
        <v>133</v>
      </c>
      <c r="E4020">
        <v>17</v>
      </c>
      <c r="F4020">
        <v>7</v>
      </c>
      <c r="G4020">
        <v>1</v>
      </c>
      <c r="H4020">
        <v>0</v>
      </c>
      <c r="I4020">
        <v>0</v>
      </c>
      <c r="J4020">
        <v>8</v>
      </c>
      <c r="K4020" t="s">
        <v>245</v>
      </c>
    </row>
    <row r="4021" spans="2:11" x14ac:dyDescent="0.25">
      <c r="B4021">
        <v>4455</v>
      </c>
      <c r="C4021">
        <v>84</v>
      </c>
      <c r="D4021">
        <v>41</v>
      </c>
      <c r="E4021">
        <v>13</v>
      </c>
      <c r="F4021">
        <v>9</v>
      </c>
      <c r="G4021">
        <v>0</v>
      </c>
      <c r="H4021">
        <v>7</v>
      </c>
      <c r="I4021">
        <v>0</v>
      </c>
      <c r="J4021">
        <v>16</v>
      </c>
      <c r="K4021" t="s">
        <v>250</v>
      </c>
    </row>
    <row r="4022" spans="2:11" x14ac:dyDescent="0.25">
      <c r="B4022">
        <v>4456</v>
      </c>
      <c r="C4022">
        <v>128</v>
      </c>
      <c r="D4022">
        <v>56</v>
      </c>
      <c r="E4022">
        <v>17</v>
      </c>
      <c r="F4022">
        <v>7</v>
      </c>
      <c r="G4022">
        <v>6</v>
      </c>
      <c r="H4022">
        <v>0</v>
      </c>
      <c r="I4022">
        <v>0</v>
      </c>
      <c r="J4022">
        <v>13</v>
      </c>
      <c r="K4022" t="s">
        <v>245</v>
      </c>
    </row>
    <row r="4023" spans="2:11" x14ac:dyDescent="0.25">
      <c r="B4023">
        <v>4458</v>
      </c>
      <c r="C4023">
        <v>125</v>
      </c>
      <c r="D4023">
        <v>56</v>
      </c>
      <c r="E4023">
        <v>17</v>
      </c>
      <c r="F4023">
        <v>5</v>
      </c>
      <c r="G4023">
        <v>8</v>
      </c>
      <c r="H4023">
        <v>4</v>
      </c>
      <c r="I4023">
        <v>0</v>
      </c>
      <c r="J4023">
        <v>17</v>
      </c>
      <c r="K4023" t="s">
        <v>245</v>
      </c>
    </row>
    <row r="4024" spans="2:11" x14ac:dyDescent="0.25">
      <c r="B4024">
        <v>4457</v>
      </c>
      <c r="C4024">
        <v>278</v>
      </c>
      <c r="D4024">
        <v>129</v>
      </c>
      <c r="E4024">
        <v>15</v>
      </c>
      <c r="F4024">
        <v>10</v>
      </c>
      <c r="G4024">
        <v>17</v>
      </c>
      <c r="H4024">
        <v>1</v>
      </c>
      <c r="I4024">
        <v>0</v>
      </c>
      <c r="J4024">
        <v>28</v>
      </c>
      <c r="K4024" t="s">
        <v>250</v>
      </c>
    </row>
    <row r="4025" spans="2:11" x14ac:dyDescent="0.25">
      <c r="B4025">
        <v>4459</v>
      </c>
      <c r="C4025">
        <v>91</v>
      </c>
      <c r="D4025">
        <v>45</v>
      </c>
      <c r="E4025">
        <v>12</v>
      </c>
      <c r="F4025">
        <v>9</v>
      </c>
      <c r="G4025">
        <v>15</v>
      </c>
      <c r="H4025">
        <v>0</v>
      </c>
      <c r="I4025">
        <v>0</v>
      </c>
      <c r="J4025">
        <v>24</v>
      </c>
      <c r="K4025" t="s">
        <v>250</v>
      </c>
    </row>
    <row r="4026" spans="2:11" x14ac:dyDescent="0.25">
      <c r="B4026">
        <v>4460</v>
      </c>
      <c r="C4026">
        <v>126</v>
      </c>
      <c r="D4026">
        <v>56</v>
      </c>
      <c r="E4026">
        <v>17</v>
      </c>
      <c r="F4026">
        <v>6</v>
      </c>
      <c r="G4026">
        <v>2</v>
      </c>
      <c r="H4026">
        <v>2</v>
      </c>
      <c r="I4026">
        <v>0</v>
      </c>
      <c r="J4026">
        <v>10</v>
      </c>
      <c r="K4026" t="s">
        <v>245</v>
      </c>
    </row>
    <row r="4027" spans="2:11" x14ac:dyDescent="0.25">
      <c r="B4027">
        <v>4462</v>
      </c>
      <c r="C4027">
        <v>279</v>
      </c>
      <c r="D4027">
        <v>129</v>
      </c>
      <c r="E4027">
        <v>14</v>
      </c>
      <c r="F4027">
        <v>9</v>
      </c>
      <c r="G4027">
        <v>17</v>
      </c>
      <c r="H4027">
        <v>0</v>
      </c>
      <c r="I4027">
        <v>0</v>
      </c>
      <c r="J4027">
        <v>26</v>
      </c>
      <c r="K4027" t="s">
        <v>246</v>
      </c>
    </row>
    <row r="4028" spans="2:11" x14ac:dyDescent="0.25">
      <c r="B4028">
        <v>4463</v>
      </c>
      <c r="C4028">
        <v>238</v>
      </c>
      <c r="D4028">
        <v>105</v>
      </c>
      <c r="E4028">
        <v>17</v>
      </c>
      <c r="F4028">
        <v>1</v>
      </c>
      <c r="G4028">
        <v>2</v>
      </c>
      <c r="H4028">
        <v>0</v>
      </c>
      <c r="I4028">
        <v>0</v>
      </c>
      <c r="J4028">
        <v>3</v>
      </c>
      <c r="K4028" t="s">
        <v>246</v>
      </c>
    </row>
    <row r="4029" spans="2:11" x14ac:dyDescent="0.25">
      <c r="B4029">
        <v>4464</v>
      </c>
      <c r="C4029">
        <v>280</v>
      </c>
      <c r="D4029">
        <v>129</v>
      </c>
      <c r="E4029">
        <v>17</v>
      </c>
      <c r="F4029">
        <v>16</v>
      </c>
      <c r="G4029">
        <v>14</v>
      </c>
      <c r="H4029">
        <v>0</v>
      </c>
      <c r="I4029">
        <v>0</v>
      </c>
      <c r="J4029">
        <v>30</v>
      </c>
      <c r="K4029" t="s">
        <v>245</v>
      </c>
    </row>
    <row r="4030" spans="2:11" x14ac:dyDescent="0.25">
      <c r="B4030">
        <v>4465</v>
      </c>
      <c r="C4030">
        <v>238</v>
      </c>
      <c r="D4030">
        <v>105</v>
      </c>
      <c r="E4030">
        <v>16</v>
      </c>
      <c r="F4030">
        <v>9</v>
      </c>
      <c r="G4030">
        <v>3</v>
      </c>
      <c r="H4030">
        <v>1</v>
      </c>
      <c r="I4030">
        <v>0</v>
      </c>
      <c r="J4030">
        <v>13</v>
      </c>
      <c r="K4030" t="s">
        <v>246</v>
      </c>
    </row>
    <row r="4031" spans="2:11" x14ac:dyDescent="0.25">
      <c r="B4031">
        <v>4466</v>
      </c>
      <c r="C4031">
        <v>334</v>
      </c>
      <c r="D4031">
        <v>152</v>
      </c>
      <c r="E4031">
        <v>17</v>
      </c>
      <c r="F4031">
        <v>11</v>
      </c>
      <c r="G4031">
        <v>13</v>
      </c>
      <c r="H4031">
        <v>0</v>
      </c>
      <c r="I4031">
        <v>0</v>
      </c>
      <c r="J4031">
        <v>24</v>
      </c>
      <c r="K4031" t="s">
        <v>250</v>
      </c>
    </row>
    <row r="4032" spans="2:11" x14ac:dyDescent="0.25">
      <c r="B4032">
        <v>4467</v>
      </c>
      <c r="C4032">
        <v>280</v>
      </c>
      <c r="D4032">
        <v>129</v>
      </c>
      <c r="E4032">
        <v>16</v>
      </c>
      <c r="F4032">
        <v>13</v>
      </c>
      <c r="G4032">
        <v>16</v>
      </c>
      <c r="H4032">
        <v>0</v>
      </c>
      <c r="I4032">
        <v>0</v>
      </c>
      <c r="J4032">
        <v>29</v>
      </c>
      <c r="K4032" t="s">
        <v>245</v>
      </c>
    </row>
    <row r="4033" spans="2:11" x14ac:dyDescent="0.25">
      <c r="B4033">
        <v>4468</v>
      </c>
      <c r="C4033">
        <v>91</v>
      </c>
      <c r="D4033">
        <v>45</v>
      </c>
      <c r="E4033">
        <v>13</v>
      </c>
      <c r="F4033">
        <v>24</v>
      </c>
      <c r="G4033">
        <v>5</v>
      </c>
      <c r="H4033">
        <v>0</v>
      </c>
      <c r="I4033">
        <v>0</v>
      </c>
      <c r="J4033">
        <v>29</v>
      </c>
      <c r="K4033" t="s">
        <v>246</v>
      </c>
    </row>
    <row r="4034" spans="2:11" x14ac:dyDescent="0.25">
      <c r="B4034">
        <v>4469</v>
      </c>
      <c r="C4034">
        <v>280</v>
      </c>
      <c r="D4034">
        <v>129</v>
      </c>
      <c r="E4034">
        <v>15</v>
      </c>
      <c r="F4034">
        <v>15</v>
      </c>
      <c r="G4034">
        <v>9</v>
      </c>
      <c r="H4034">
        <v>0</v>
      </c>
      <c r="I4034">
        <v>0</v>
      </c>
      <c r="J4034">
        <v>24</v>
      </c>
      <c r="K4034" t="s">
        <v>245</v>
      </c>
    </row>
    <row r="4035" spans="2:11" x14ac:dyDescent="0.25">
      <c r="B4035">
        <v>4470</v>
      </c>
      <c r="C4035">
        <v>85</v>
      </c>
      <c r="D4035">
        <v>41</v>
      </c>
      <c r="E4035">
        <v>15</v>
      </c>
      <c r="F4035">
        <v>16</v>
      </c>
      <c r="G4035">
        <v>10</v>
      </c>
      <c r="H4035">
        <v>0</v>
      </c>
      <c r="I4035">
        <v>0</v>
      </c>
      <c r="J4035">
        <v>26</v>
      </c>
      <c r="K4035" t="s">
        <v>250</v>
      </c>
    </row>
    <row r="4036" spans="2:11" x14ac:dyDescent="0.25">
      <c r="B4036">
        <v>4472</v>
      </c>
      <c r="C4036">
        <v>280</v>
      </c>
      <c r="D4036">
        <v>129</v>
      </c>
      <c r="E4036">
        <v>14</v>
      </c>
      <c r="F4036">
        <v>13</v>
      </c>
      <c r="G4036">
        <v>10</v>
      </c>
      <c r="H4036">
        <v>0</v>
      </c>
      <c r="I4036">
        <v>0</v>
      </c>
      <c r="J4036">
        <v>23</v>
      </c>
      <c r="K4036" t="s">
        <v>245</v>
      </c>
    </row>
    <row r="4037" spans="2:11" x14ac:dyDescent="0.25">
      <c r="B4037">
        <v>4473</v>
      </c>
      <c r="C4037">
        <v>85</v>
      </c>
      <c r="D4037">
        <v>41</v>
      </c>
      <c r="E4037">
        <v>16</v>
      </c>
      <c r="F4037">
        <v>10</v>
      </c>
      <c r="G4037">
        <v>7</v>
      </c>
      <c r="H4037">
        <v>0</v>
      </c>
      <c r="I4037">
        <v>0</v>
      </c>
      <c r="J4037">
        <v>17</v>
      </c>
      <c r="K4037" t="s">
        <v>250</v>
      </c>
    </row>
    <row r="4038" spans="2:11" x14ac:dyDescent="0.25">
      <c r="B4038">
        <v>4471</v>
      </c>
      <c r="C4038">
        <v>91</v>
      </c>
      <c r="D4038">
        <v>45</v>
      </c>
      <c r="E4038">
        <v>11</v>
      </c>
      <c r="F4038">
        <v>9</v>
      </c>
      <c r="G4038">
        <v>15</v>
      </c>
      <c r="H4038">
        <v>0</v>
      </c>
      <c r="I4038">
        <v>0</v>
      </c>
      <c r="J4038">
        <v>24</v>
      </c>
      <c r="K4038" t="s">
        <v>246</v>
      </c>
    </row>
    <row r="4039" spans="2:11" x14ac:dyDescent="0.25">
      <c r="B4039">
        <v>4474</v>
      </c>
      <c r="C4039">
        <v>115</v>
      </c>
      <c r="D4039">
        <v>53</v>
      </c>
      <c r="E4039">
        <v>17</v>
      </c>
      <c r="F4039">
        <v>10</v>
      </c>
      <c r="G4039">
        <v>16</v>
      </c>
      <c r="H4039">
        <v>1</v>
      </c>
      <c r="I4039">
        <v>0</v>
      </c>
      <c r="J4039">
        <v>27</v>
      </c>
      <c r="K4039" t="s">
        <v>245</v>
      </c>
    </row>
    <row r="4040" spans="2:11" x14ac:dyDescent="0.25">
      <c r="B4040">
        <v>4475</v>
      </c>
      <c r="C4040">
        <v>5</v>
      </c>
      <c r="D4040">
        <v>1</v>
      </c>
      <c r="E4040">
        <v>16</v>
      </c>
      <c r="F4040">
        <v>3</v>
      </c>
      <c r="G4040">
        <v>1</v>
      </c>
      <c r="H4040">
        <v>0</v>
      </c>
      <c r="I4040">
        <v>0</v>
      </c>
      <c r="J4040">
        <v>4</v>
      </c>
      <c r="K4040" t="s">
        <v>250</v>
      </c>
    </row>
    <row r="4041" spans="2:11" x14ac:dyDescent="0.25">
      <c r="B4041">
        <v>4476</v>
      </c>
      <c r="C4041">
        <v>124</v>
      </c>
      <c r="D4041">
        <v>56</v>
      </c>
      <c r="E4041">
        <v>17</v>
      </c>
      <c r="F4041">
        <v>8</v>
      </c>
      <c r="G4041">
        <v>4</v>
      </c>
      <c r="H4041">
        <v>1</v>
      </c>
      <c r="I4041">
        <v>0</v>
      </c>
      <c r="J4041">
        <v>13</v>
      </c>
      <c r="K4041" t="s">
        <v>246</v>
      </c>
    </row>
    <row r="4042" spans="2:11" x14ac:dyDescent="0.25">
      <c r="B4042">
        <v>4477</v>
      </c>
      <c r="C4042">
        <v>4</v>
      </c>
      <c r="D4042">
        <v>1</v>
      </c>
      <c r="E4042">
        <v>17</v>
      </c>
      <c r="F4042">
        <v>1</v>
      </c>
      <c r="G4042">
        <v>0</v>
      </c>
      <c r="H4042">
        <v>0</v>
      </c>
      <c r="I4042">
        <v>0</v>
      </c>
      <c r="J4042">
        <v>1</v>
      </c>
      <c r="K4042" t="s">
        <v>250</v>
      </c>
    </row>
    <row r="4043" spans="2:11" x14ac:dyDescent="0.25">
      <c r="B4043">
        <v>4478</v>
      </c>
      <c r="C4043">
        <v>112</v>
      </c>
      <c r="D4043">
        <v>51</v>
      </c>
      <c r="E4043">
        <v>17</v>
      </c>
      <c r="F4043">
        <v>18</v>
      </c>
      <c r="G4043">
        <v>7</v>
      </c>
      <c r="H4043">
        <v>0</v>
      </c>
      <c r="I4043">
        <v>0</v>
      </c>
      <c r="J4043">
        <v>25</v>
      </c>
      <c r="K4043" t="s">
        <v>245</v>
      </c>
    </row>
    <row r="4044" spans="2:11" x14ac:dyDescent="0.25">
      <c r="B4044">
        <v>4479</v>
      </c>
      <c r="C4044">
        <v>84</v>
      </c>
      <c r="D4044">
        <v>41</v>
      </c>
      <c r="E4044">
        <v>16</v>
      </c>
      <c r="F4044">
        <v>5</v>
      </c>
      <c r="G4044">
        <v>0</v>
      </c>
      <c r="H4044">
        <v>3</v>
      </c>
      <c r="I4044">
        <v>0</v>
      </c>
      <c r="J4044">
        <v>8</v>
      </c>
      <c r="K4044" t="s">
        <v>246</v>
      </c>
    </row>
    <row r="4045" spans="2:11" x14ac:dyDescent="0.25">
      <c r="B4045">
        <v>4483</v>
      </c>
      <c r="C4045">
        <v>26</v>
      </c>
      <c r="D4045">
        <v>14</v>
      </c>
      <c r="E4045">
        <v>17</v>
      </c>
      <c r="F4045">
        <v>13</v>
      </c>
      <c r="G4045">
        <v>5</v>
      </c>
      <c r="H4045">
        <v>10</v>
      </c>
      <c r="I4045">
        <v>0</v>
      </c>
      <c r="J4045">
        <v>28</v>
      </c>
      <c r="K4045" t="s">
        <v>246</v>
      </c>
    </row>
    <row r="4046" spans="2:11" x14ac:dyDescent="0.25">
      <c r="B4046">
        <v>4481</v>
      </c>
      <c r="C4046">
        <v>93</v>
      </c>
      <c r="D4046">
        <v>46</v>
      </c>
      <c r="E4046">
        <v>16</v>
      </c>
      <c r="F4046">
        <v>25</v>
      </c>
      <c r="G4046">
        <v>3</v>
      </c>
      <c r="H4046">
        <v>0</v>
      </c>
      <c r="I4046">
        <v>0</v>
      </c>
      <c r="J4046">
        <v>28</v>
      </c>
      <c r="K4046" t="s">
        <v>245</v>
      </c>
    </row>
    <row r="4047" spans="2:11" x14ac:dyDescent="0.25">
      <c r="B4047">
        <v>4482</v>
      </c>
      <c r="C4047">
        <v>169</v>
      </c>
      <c r="D4047">
        <v>73</v>
      </c>
      <c r="E4047">
        <v>17</v>
      </c>
      <c r="F4047">
        <v>6</v>
      </c>
      <c r="G4047">
        <v>3</v>
      </c>
      <c r="H4047">
        <v>0</v>
      </c>
      <c r="I4047">
        <v>0</v>
      </c>
      <c r="J4047">
        <v>9</v>
      </c>
      <c r="K4047" t="s">
        <v>250</v>
      </c>
    </row>
    <row r="4048" spans="2:11" x14ac:dyDescent="0.25">
      <c r="B4048">
        <v>4485</v>
      </c>
      <c r="C4048">
        <v>162</v>
      </c>
      <c r="D4048">
        <v>69</v>
      </c>
      <c r="E4048">
        <v>15</v>
      </c>
      <c r="F4048">
        <v>4</v>
      </c>
      <c r="G4048">
        <v>1</v>
      </c>
      <c r="H4048">
        <v>0</v>
      </c>
      <c r="I4048">
        <v>0</v>
      </c>
      <c r="J4048">
        <v>5</v>
      </c>
      <c r="K4048" t="s">
        <v>250</v>
      </c>
    </row>
    <row r="4049" spans="2:11" x14ac:dyDescent="0.25">
      <c r="B4049">
        <v>4486</v>
      </c>
      <c r="C4049">
        <v>93</v>
      </c>
      <c r="D4049">
        <v>46</v>
      </c>
      <c r="E4049">
        <v>14</v>
      </c>
      <c r="F4049">
        <v>21</v>
      </c>
      <c r="G4049">
        <v>8</v>
      </c>
      <c r="H4049">
        <v>0</v>
      </c>
      <c r="I4049">
        <v>0</v>
      </c>
      <c r="J4049">
        <v>29</v>
      </c>
      <c r="K4049" t="s">
        <v>245</v>
      </c>
    </row>
    <row r="4050" spans="2:11" x14ac:dyDescent="0.25">
      <c r="B4050">
        <v>4490</v>
      </c>
      <c r="C4050">
        <v>24</v>
      </c>
      <c r="D4050">
        <v>12</v>
      </c>
      <c r="E4050">
        <v>16</v>
      </c>
      <c r="F4050">
        <v>1</v>
      </c>
      <c r="G4050">
        <v>2</v>
      </c>
      <c r="H4050">
        <v>0</v>
      </c>
      <c r="I4050">
        <v>0</v>
      </c>
      <c r="J4050">
        <v>3</v>
      </c>
      <c r="K4050" t="s">
        <v>246</v>
      </c>
    </row>
    <row r="4051" spans="2:11" x14ac:dyDescent="0.25">
      <c r="B4051">
        <v>4488</v>
      </c>
      <c r="C4051">
        <v>165</v>
      </c>
      <c r="D4051">
        <v>71</v>
      </c>
      <c r="E4051">
        <v>14</v>
      </c>
      <c r="F4051">
        <v>11</v>
      </c>
      <c r="G4051">
        <v>6</v>
      </c>
      <c r="H4051">
        <v>0</v>
      </c>
      <c r="I4051">
        <v>0</v>
      </c>
      <c r="J4051">
        <v>17</v>
      </c>
      <c r="K4051" t="s">
        <v>250</v>
      </c>
    </row>
    <row r="4052" spans="2:11" x14ac:dyDescent="0.25">
      <c r="B4052">
        <v>4491</v>
      </c>
      <c r="C4052">
        <v>26</v>
      </c>
      <c r="D4052">
        <v>14</v>
      </c>
      <c r="E4052">
        <v>16</v>
      </c>
      <c r="F4052">
        <v>11</v>
      </c>
      <c r="G4052">
        <v>6</v>
      </c>
      <c r="H4052">
        <v>9</v>
      </c>
      <c r="I4052">
        <v>0</v>
      </c>
      <c r="J4052">
        <v>26</v>
      </c>
      <c r="K4052" t="s">
        <v>246</v>
      </c>
    </row>
    <row r="4053" spans="2:11" x14ac:dyDescent="0.25">
      <c r="B4053">
        <v>4492</v>
      </c>
      <c r="C4053">
        <v>139</v>
      </c>
      <c r="D4053">
        <v>61</v>
      </c>
      <c r="E4053">
        <v>17</v>
      </c>
      <c r="F4053">
        <v>6</v>
      </c>
      <c r="G4053">
        <v>5</v>
      </c>
      <c r="H4053">
        <v>0</v>
      </c>
      <c r="I4053">
        <v>0</v>
      </c>
      <c r="J4053">
        <v>11</v>
      </c>
      <c r="K4053" t="s">
        <v>250</v>
      </c>
    </row>
    <row r="4054" spans="2:11" x14ac:dyDescent="0.25">
      <c r="B4054">
        <v>4493</v>
      </c>
      <c r="C4054">
        <v>130</v>
      </c>
      <c r="D4054">
        <v>58</v>
      </c>
      <c r="E4054">
        <v>17</v>
      </c>
      <c r="F4054">
        <v>13</v>
      </c>
      <c r="G4054">
        <v>12</v>
      </c>
      <c r="H4054">
        <v>0</v>
      </c>
      <c r="I4054">
        <v>0</v>
      </c>
      <c r="J4054">
        <v>25</v>
      </c>
      <c r="K4054" t="s">
        <v>245</v>
      </c>
    </row>
    <row r="4055" spans="2:11" x14ac:dyDescent="0.25">
      <c r="B4055">
        <v>4494</v>
      </c>
      <c r="C4055">
        <v>138</v>
      </c>
      <c r="D4055">
        <v>61</v>
      </c>
      <c r="E4055">
        <v>17</v>
      </c>
      <c r="F4055">
        <v>21</v>
      </c>
      <c r="G4055">
        <v>9</v>
      </c>
      <c r="H4055">
        <v>0</v>
      </c>
      <c r="I4055">
        <v>0</v>
      </c>
      <c r="J4055">
        <v>30</v>
      </c>
      <c r="K4055" t="s">
        <v>250</v>
      </c>
    </row>
    <row r="4056" spans="2:11" x14ac:dyDescent="0.25">
      <c r="B4056">
        <v>4495</v>
      </c>
      <c r="C4056">
        <v>130</v>
      </c>
      <c r="D4056">
        <v>58</v>
      </c>
      <c r="E4056">
        <v>15</v>
      </c>
      <c r="F4056">
        <v>11</v>
      </c>
      <c r="G4056">
        <v>16</v>
      </c>
      <c r="H4056">
        <v>0</v>
      </c>
      <c r="I4056">
        <v>0</v>
      </c>
      <c r="J4056">
        <v>27</v>
      </c>
      <c r="K4056" t="s">
        <v>245</v>
      </c>
    </row>
    <row r="4057" spans="2:11" x14ac:dyDescent="0.25">
      <c r="B4057">
        <v>4496</v>
      </c>
      <c r="C4057">
        <v>137</v>
      </c>
      <c r="D4057">
        <v>60</v>
      </c>
      <c r="E4057">
        <v>17</v>
      </c>
      <c r="F4057">
        <v>2</v>
      </c>
      <c r="G4057">
        <v>8</v>
      </c>
      <c r="H4057">
        <v>3</v>
      </c>
      <c r="I4057">
        <v>0</v>
      </c>
      <c r="J4057">
        <v>13</v>
      </c>
      <c r="K4057" t="s">
        <v>250</v>
      </c>
    </row>
    <row r="4058" spans="2:11" x14ac:dyDescent="0.25">
      <c r="B4058">
        <v>4497</v>
      </c>
      <c r="C4058">
        <v>130</v>
      </c>
      <c r="D4058">
        <v>58</v>
      </c>
      <c r="E4058">
        <v>16</v>
      </c>
      <c r="F4058">
        <v>16</v>
      </c>
      <c r="G4058">
        <v>10</v>
      </c>
      <c r="H4058">
        <v>0</v>
      </c>
      <c r="I4058">
        <v>0</v>
      </c>
      <c r="J4058">
        <v>26</v>
      </c>
      <c r="K4058" t="s">
        <v>245</v>
      </c>
    </row>
    <row r="4059" spans="2:11" x14ac:dyDescent="0.25">
      <c r="B4059">
        <v>4498</v>
      </c>
      <c r="C4059">
        <v>136</v>
      </c>
      <c r="D4059">
        <v>60</v>
      </c>
      <c r="E4059">
        <v>17</v>
      </c>
      <c r="F4059">
        <v>4</v>
      </c>
      <c r="G4059">
        <v>8</v>
      </c>
      <c r="H4059">
        <v>5</v>
      </c>
      <c r="I4059">
        <v>0</v>
      </c>
      <c r="J4059">
        <v>17</v>
      </c>
      <c r="K4059" t="s">
        <v>250</v>
      </c>
    </row>
    <row r="4060" spans="2:11" x14ac:dyDescent="0.25">
      <c r="B4060">
        <v>4500</v>
      </c>
      <c r="C4060">
        <v>131</v>
      </c>
      <c r="D4060">
        <v>59</v>
      </c>
      <c r="E4060">
        <v>15</v>
      </c>
      <c r="F4060">
        <v>2</v>
      </c>
      <c r="G4060">
        <v>4</v>
      </c>
      <c r="H4060">
        <v>1</v>
      </c>
      <c r="I4060">
        <v>0</v>
      </c>
      <c r="J4060">
        <v>7</v>
      </c>
      <c r="K4060" t="s">
        <v>250</v>
      </c>
    </row>
    <row r="4061" spans="2:11" x14ac:dyDescent="0.25">
      <c r="B4061">
        <v>4515</v>
      </c>
      <c r="C4061">
        <v>335</v>
      </c>
      <c r="D4061">
        <v>152</v>
      </c>
      <c r="E4061">
        <v>17</v>
      </c>
      <c r="F4061">
        <v>3</v>
      </c>
      <c r="G4061">
        <v>5</v>
      </c>
      <c r="H4061">
        <v>0</v>
      </c>
      <c r="I4061">
        <v>0</v>
      </c>
      <c r="J4061">
        <v>8</v>
      </c>
      <c r="K4061" t="s">
        <v>245</v>
      </c>
    </row>
    <row r="4062" spans="2:11" x14ac:dyDescent="0.25">
      <c r="B4062">
        <v>3895</v>
      </c>
      <c r="C4062">
        <v>86</v>
      </c>
      <c r="D4062">
        <v>42</v>
      </c>
      <c r="E4062">
        <v>14</v>
      </c>
      <c r="F4062">
        <v>8</v>
      </c>
      <c r="G4062">
        <v>6</v>
      </c>
      <c r="H4062">
        <v>0</v>
      </c>
      <c r="I4062">
        <v>0</v>
      </c>
      <c r="J4062">
        <v>14</v>
      </c>
      <c r="K4062" t="s">
        <v>251</v>
      </c>
    </row>
    <row r="4063" spans="2:11" x14ac:dyDescent="0.25">
      <c r="B4063">
        <v>3896</v>
      </c>
      <c r="C4063">
        <v>266</v>
      </c>
      <c r="D4063">
        <v>118</v>
      </c>
      <c r="E4063">
        <v>18</v>
      </c>
      <c r="F4063">
        <v>10</v>
      </c>
      <c r="G4063">
        <v>13</v>
      </c>
      <c r="H4063">
        <v>0</v>
      </c>
      <c r="I4063">
        <v>0</v>
      </c>
      <c r="J4063">
        <v>23</v>
      </c>
      <c r="K4063" t="s">
        <v>243</v>
      </c>
    </row>
    <row r="4064" spans="2:11" x14ac:dyDescent="0.25">
      <c r="B4064">
        <v>3898</v>
      </c>
      <c r="C4064">
        <v>170</v>
      </c>
      <c r="D4064">
        <v>73</v>
      </c>
      <c r="E4064">
        <v>14</v>
      </c>
      <c r="F4064">
        <v>13</v>
      </c>
      <c r="G4064">
        <v>1</v>
      </c>
      <c r="H4064">
        <v>0</v>
      </c>
      <c r="I4064">
        <v>0</v>
      </c>
      <c r="J4064">
        <v>14</v>
      </c>
      <c r="K4064" t="s">
        <v>247</v>
      </c>
    </row>
    <row r="4065" spans="2:11" x14ac:dyDescent="0.25">
      <c r="B4065">
        <v>3899</v>
      </c>
      <c r="C4065">
        <v>169</v>
      </c>
      <c r="D4065">
        <v>73</v>
      </c>
      <c r="E4065">
        <v>14</v>
      </c>
      <c r="F4065">
        <v>13</v>
      </c>
      <c r="G4065">
        <v>1</v>
      </c>
      <c r="H4065">
        <v>0</v>
      </c>
      <c r="I4065">
        <v>0</v>
      </c>
      <c r="J4065">
        <v>14</v>
      </c>
      <c r="K4065" t="s">
        <v>247</v>
      </c>
    </row>
    <row r="4066" spans="2:11" x14ac:dyDescent="0.25">
      <c r="B4066">
        <v>3901</v>
      </c>
      <c r="C4066">
        <v>112</v>
      </c>
      <c r="D4066">
        <v>51</v>
      </c>
      <c r="E4066">
        <v>14</v>
      </c>
      <c r="F4066">
        <v>23</v>
      </c>
      <c r="G4066">
        <v>4</v>
      </c>
      <c r="H4066">
        <v>0</v>
      </c>
      <c r="I4066">
        <v>0</v>
      </c>
      <c r="J4066">
        <v>27</v>
      </c>
      <c r="K4066" t="s">
        <v>247</v>
      </c>
    </row>
    <row r="4067" spans="2:11" x14ac:dyDescent="0.25">
      <c r="B4067">
        <v>3902</v>
      </c>
      <c r="C4067">
        <v>254</v>
      </c>
      <c r="D4067">
        <v>116</v>
      </c>
      <c r="E4067">
        <v>10</v>
      </c>
      <c r="F4067">
        <v>13</v>
      </c>
      <c r="G4067">
        <v>0</v>
      </c>
      <c r="H4067">
        <v>0</v>
      </c>
      <c r="I4067">
        <v>0</v>
      </c>
      <c r="J4067">
        <v>13</v>
      </c>
      <c r="K4067" t="s">
        <v>247</v>
      </c>
    </row>
    <row r="4068" spans="2:11" x14ac:dyDescent="0.25">
      <c r="B4068">
        <v>3904</v>
      </c>
      <c r="C4068">
        <v>108</v>
      </c>
      <c r="D4068">
        <v>51</v>
      </c>
      <c r="E4068">
        <v>9</v>
      </c>
      <c r="F4068">
        <v>16</v>
      </c>
      <c r="G4068">
        <v>9</v>
      </c>
      <c r="H4068">
        <v>2</v>
      </c>
      <c r="I4068">
        <v>0</v>
      </c>
      <c r="J4068">
        <v>27</v>
      </c>
      <c r="K4068" t="s">
        <v>247</v>
      </c>
    </row>
    <row r="4069" spans="2:11" x14ac:dyDescent="0.25">
      <c r="B4069">
        <v>3906</v>
      </c>
      <c r="C4069">
        <v>299</v>
      </c>
      <c r="D4069">
        <v>137</v>
      </c>
      <c r="E4069">
        <v>14</v>
      </c>
      <c r="F4069">
        <v>10</v>
      </c>
      <c r="G4069">
        <v>8</v>
      </c>
      <c r="H4069">
        <v>0</v>
      </c>
      <c r="I4069">
        <v>0</v>
      </c>
      <c r="J4069">
        <v>18</v>
      </c>
      <c r="K4069" t="s">
        <v>243</v>
      </c>
    </row>
    <row r="4070" spans="2:11" x14ac:dyDescent="0.25">
      <c r="B4070">
        <v>3909</v>
      </c>
      <c r="C4070">
        <v>150</v>
      </c>
      <c r="D4070">
        <v>69</v>
      </c>
      <c r="E4070">
        <v>14</v>
      </c>
      <c r="F4070">
        <v>10</v>
      </c>
      <c r="G4070">
        <v>3</v>
      </c>
      <c r="H4070">
        <v>0</v>
      </c>
      <c r="I4070">
        <v>0</v>
      </c>
      <c r="J4070">
        <v>13</v>
      </c>
      <c r="K4070" t="s">
        <v>247</v>
      </c>
    </row>
    <row r="4071" spans="2:11" x14ac:dyDescent="0.25">
      <c r="B4071">
        <v>3910</v>
      </c>
      <c r="C4071">
        <v>134</v>
      </c>
      <c r="D4071">
        <v>60</v>
      </c>
      <c r="E4071">
        <v>14</v>
      </c>
      <c r="F4071">
        <v>0</v>
      </c>
      <c r="G4071">
        <v>4</v>
      </c>
      <c r="H4071">
        <v>15</v>
      </c>
      <c r="I4071">
        <v>0</v>
      </c>
      <c r="J4071">
        <v>19</v>
      </c>
      <c r="K4071" t="s">
        <v>247</v>
      </c>
    </row>
    <row r="4072" spans="2:11" x14ac:dyDescent="0.25">
      <c r="B4072">
        <v>3911</v>
      </c>
      <c r="C4072">
        <v>9</v>
      </c>
      <c r="D4072">
        <v>3</v>
      </c>
      <c r="E4072">
        <v>14</v>
      </c>
      <c r="F4072">
        <v>24</v>
      </c>
      <c r="G4072">
        <v>6</v>
      </c>
      <c r="H4072">
        <v>0</v>
      </c>
      <c r="I4072">
        <v>0</v>
      </c>
      <c r="J4072">
        <v>30</v>
      </c>
      <c r="K4072" t="s">
        <v>247</v>
      </c>
    </row>
    <row r="4073" spans="2:11" x14ac:dyDescent="0.25">
      <c r="B4073">
        <v>3907</v>
      </c>
      <c r="C4073">
        <v>245</v>
      </c>
      <c r="D4073">
        <v>109</v>
      </c>
      <c r="E4073">
        <v>14</v>
      </c>
      <c r="F4073">
        <v>11</v>
      </c>
      <c r="G4073">
        <v>1</v>
      </c>
      <c r="H4073">
        <v>3</v>
      </c>
      <c r="I4073">
        <v>0</v>
      </c>
      <c r="J4073">
        <v>15</v>
      </c>
      <c r="K4073" t="s">
        <v>243</v>
      </c>
    </row>
    <row r="4074" spans="2:11" x14ac:dyDescent="0.25">
      <c r="B4074">
        <v>3912</v>
      </c>
      <c r="C4074">
        <v>11</v>
      </c>
      <c r="D4074">
        <v>3</v>
      </c>
      <c r="E4074">
        <v>14</v>
      </c>
      <c r="F4074">
        <v>10</v>
      </c>
      <c r="G4074">
        <v>3</v>
      </c>
      <c r="H4074">
        <v>0</v>
      </c>
      <c r="I4074">
        <v>0</v>
      </c>
      <c r="J4074">
        <v>13</v>
      </c>
      <c r="K4074" t="s">
        <v>247</v>
      </c>
    </row>
    <row r="4075" spans="2:11" x14ac:dyDescent="0.25">
      <c r="B4075">
        <v>3913</v>
      </c>
      <c r="C4075">
        <v>70</v>
      </c>
      <c r="D4075">
        <v>35</v>
      </c>
      <c r="E4075">
        <v>14</v>
      </c>
      <c r="F4075">
        <v>15</v>
      </c>
      <c r="G4075">
        <v>5</v>
      </c>
      <c r="H4075">
        <v>10</v>
      </c>
      <c r="I4075">
        <v>0</v>
      </c>
      <c r="J4075">
        <v>30</v>
      </c>
      <c r="K4075" t="s">
        <v>247</v>
      </c>
    </row>
    <row r="4076" spans="2:11" x14ac:dyDescent="0.25">
      <c r="B4076">
        <v>3915</v>
      </c>
      <c r="C4076">
        <v>324</v>
      </c>
      <c r="D4076">
        <v>150</v>
      </c>
      <c r="E4076">
        <v>14</v>
      </c>
      <c r="F4076">
        <v>10</v>
      </c>
      <c r="G4076">
        <v>5</v>
      </c>
      <c r="H4076">
        <v>0</v>
      </c>
      <c r="I4076">
        <v>0</v>
      </c>
      <c r="J4076">
        <v>15</v>
      </c>
      <c r="K4076" t="s">
        <v>243</v>
      </c>
    </row>
    <row r="4077" spans="2:11" x14ac:dyDescent="0.25">
      <c r="B4077">
        <v>3918</v>
      </c>
      <c r="C4077">
        <v>66</v>
      </c>
      <c r="D4077">
        <v>35</v>
      </c>
      <c r="E4077">
        <v>14</v>
      </c>
      <c r="F4077">
        <v>12</v>
      </c>
      <c r="G4077">
        <v>10</v>
      </c>
      <c r="H4077">
        <v>8</v>
      </c>
      <c r="I4077">
        <v>0</v>
      </c>
      <c r="J4077">
        <v>30</v>
      </c>
      <c r="K4077" t="s">
        <v>247</v>
      </c>
    </row>
    <row r="4078" spans="2:11" x14ac:dyDescent="0.25">
      <c r="B4078">
        <v>3917</v>
      </c>
      <c r="C4078">
        <v>103</v>
      </c>
      <c r="D4078">
        <v>51</v>
      </c>
      <c r="E4078">
        <v>11</v>
      </c>
      <c r="F4078">
        <v>12</v>
      </c>
      <c r="G4078">
        <v>7</v>
      </c>
      <c r="H4078">
        <v>0</v>
      </c>
      <c r="I4078">
        <v>0</v>
      </c>
      <c r="J4078">
        <v>19</v>
      </c>
      <c r="K4078" t="s">
        <v>248</v>
      </c>
    </row>
    <row r="4079" spans="2:11" x14ac:dyDescent="0.25">
      <c r="B4079">
        <v>3916</v>
      </c>
      <c r="C4079">
        <v>347</v>
      </c>
      <c r="D4079">
        <v>155</v>
      </c>
      <c r="E4079">
        <v>14</v>
      </c>
      <c r="F4079">
        <v>7</v>
      </c>
      <c r="G4079">
        <v>9</v>
      </c>
      <c r="H4079">
        <v>0</v>
      </c>
      <c r="I4079">
        <v>0</v>
      </c>
      <c r="J4079">
        <v>16</v>
      </c>
      <c r="K4079" t="s">
        <v>245</v>
      </c>
    </row>
    <row r="4080" spans="2:11" x14ac:dyDescent="0.25">
      <c r="B4080">
        <v>3920</v>
      </c>
      <c r="C4080">
        <v>67</v>
      </c>
      <c r="D4080">
        <v>35</v>
      </c>
      <c r="E4080">
        <v>14</v>
      </c>
      <c r="F4080">
        <v>11</v>
      </c>
      <c r="G4080">
        <v>1</v>
      </c>
      <c r="H4080">
        <v>18</v>
      </c>
      <c r="I4080">
        <v>0</v>
      </c>
      <c r="J4080">
        <v>30</v>
      </c>
      <c r="K4080" t="s">
        <v>247</v>
      </c>
    </row>
    <row r="4081" spans="2:11" x14ac:dyDescent="0.25">
      <c r="B4081">
        <v>3919</v>
      </c>
      <c r="C4081">
        <v>312</v>
      </c>
      <c r="D4081">
        <v>144</v>
      </c>
      <c r="E4081">
        <v>14</v>
      </c>
      <c r="F4081">
        <v>14</v>
      </c>
      <c r="G4081">
        <v>11</v>
      </c>
      <c r="H4081">
        <v>2</v>
      </c>
      <c r="I4081">
        <v>0</v>
      </c>
      <c r="J4081">
        <v>27</v>
      </c>
      <c r="K4081" t="s">
        <v>243</v>
      </c>
    </row>
    <row r="4082" spans="2:11" x14ac:dyDescent="0.25">
      <c r="B4082">
        <v>3923</v>
      </c>
      <c r="C4082">
        <v>348</v>
      </c>
      <c r="D4082">
        <v>155</v>
      </c>
      <c r="E4082">
        <v>14</v>
      </c>
      <c r="F4082">
        <v>12</v>
      </c>
      <c r="G4082">
        <v>12</v>
      </c>
      <c r="H4082">
        <v>0</v>
      </c>
      <c r="I4082">
        <v>0</v>
      </c>
      <c r="J4082">
        <v>24</v>
      </c>
      <c r="K4082" t="s">
        <v>245</v>
      </c>
    </row>
    <row r="4083" spans="2:11" x14ac:dyDescent="0.25">
      <c r="B4083">
        <v>3922</v>
      </c>
      <c r="C4083">
        <v>64</v>
      </c>
      <c r="D4083">
        <v>35</v>
      </c>
      <c r="E4083">
        <v>14</v>
      </c>
      <c r="F4083">
        <v>2</v>
      </c>
      <c r="G4083">
        <v>10</v>
      </c>
      <c r="H4083">
        <v>1</v>
      </c>
      <c r="I4083">
        <v>0</v>
      </c>
      <c r="J4083">
        <v>13</v>
      </c>
      <c r="K4083" t="s">
        <v>247</v>
      </c>
    </row>
    <row r="4084" spans="2:11" x14ac:dyDescent="0.25">
      <c r="B4084">
        <v>3924</v>
      </c>
      <c r="C4084">
        <v>271</v>
      </c>
      <c r="D4084">
        <v>122</v>
      </c>
      <c r="E4084">
        <v>14</v>
      </c>
      <c r="F4084">
        <v>15</v>
      </c>
      <c r="G4084">
        <v>15</v>
      </c>
      <c r="H4084">
        <v>0</v>
      </c>
      <c r="I4084">
        <v>0</v>
      </c>
      <c r="J4084">
        <v>30</v>
      </c>
      <c r="K4084" t="s">
        <v>245</v>
      </c>
    </row>
    <row r="4085" spans="2:11" x14ac:dyDescent="0.25">
      <c r="B4085">
        <v>3925</v>
      </c>
      <c r="C4085">
        <v>69</v>
      </c>
      <c r="D4085">
        <v>35</v>
      </c>
      <c r="E4085">
        <v>14</v>
      </c>
      <c r="F4085">
        <v>7</v>
      </c>
      <c r="G4085">
        <v>8</v>
      </c>
      <c r="H4085">
        <v>1</v>
      </c>
      <c r="I4085">
        <v>0</v>
      </c>
      <c r="J4085">
        <v>16</v>
      </c>
      <c r="K4085" t="s">
        <v>247</v>
      </c>
    </row>
    <row r="4086" spans="2:11" x14ac:dyDescent="0.25">
      <c r="B4086">
        <v>3926</v>
      </c>
      <c r="C4086">
        <v>270</v>
      </c>
      <c r="D4086">
        <v>122</v>
      </c>
      <c r="E4086">
        <v>14</v>
      </c>
      <c r="F4086">
        <v>10</v>
      </c>
      <c r="G4086">
        <v>17</v>
      </c>
      <c r="H4086">
        <v>3</v>
      </c>
      <c r="I4086">
        <v>0</v>
      </c>
      <c r="J4086">
        <v>30</v>
      </c>
      <c r="K4086" t="s">
        <v>245</v>
      </c>
    </row>
    <row r="4087" spans="2:11" x14ac:dyDescent="0.25">
      <c r="B4087">
        <v>3927</v>
      </c>
      <c r="C4087">
        <v>68</v>
      </c>
      <c r="D4087">
        <v>35</v>
      </c>
      <c r="E4087">
        <v>14</v>
      </c>
      <c r="F4087">
        <v>9</v>
      </c>
      <c r="G4087">
        <v>9</v>
      </c>
      <c r="H4087">
        <v>12</v>
      </c>
      <c r="I4087">
        <v>0</v>
      </c>
      <c r="J4087">
        <v>30</v>
      </c>
      <c r="K4087" t="s">
        <v>247</v>
      </c>
    </row>
    <row r="4088" spans="2:11" x14ac:dyDescent="0.25">
      <c r="B4088">
        <v>3929</v>
      </c>
      <c r="C4088">
        <v>65</v>
      </c>
      <c r="D4088">
        <v>35</v>
      </c>
      <c r="E4088">
        <v>14</v>
      </c>
      <c r="F4088">
        <v>8</v>
      </c>
      <c r="G4088">
        <v>7</v>
      </c>
      <c r="H4088">
        <v>15</v>
      </c>
      <c r="I4088">
        <v>0</v>
      </c>
      <c r="J4088">
        <v>30</v>
      </c>
      <c r="K4088" t="s">
        <v>247</v>
      </c>
    </row>
    <row r="4089" spans="2:11" x14ac:dyDescent="0.25">
      <c r="B4089">
        <v>3931</v>
      </c>
      <c r="C4089">
        <v>138</v>
      </c>
      <c r="D4089">
        <v>61</v>
      </c>
      <c r="E4089">
        <v>14</v>
      </c>
      <c r="F4089">
        <v>15</v>
      </c>
      <c r="G4089">
        <v>15</v>
      </c>
      <c r="H4089">
        <v>0</v>
      </c>
      <c r="I4089">
        <v>0</v>
      </c>
      <c r="J4089">
        <v>30</v>
      </c>
      <c r="K4089" t="s">
        <v>245</v>
      </c>
    </row>
    <row r="4090" spans="2:11" x14ac:dyDescent="0.25">
      <c r="B4090">
        <v>3933</v>
      </c>
      <c r="C4090">
        <v>31</v>
      </c>
      <c r="D4090">
        <v>17</v>
      </c>
      <c r="E4090">
        <v>13</v>
      </c>
      <c r="F4090">
        <v>16</v>
      </c>
      <c r="G4090">
        <v>10</v>
      </c>
      <c r="H4090">
        <v>1</v>
      </c>
      <c r="I4090">
        <v>0</v>
      </c>
      <c r="J4090">
        <v>27</v>
      </c>
      <c r="K4090" t="s">
        <v>245</v>
      </c>
    </row>
    <row r="4091" spans="2:11" x14ac:dyDescent="0.25">
      <c r="B4091">
        <v>3935</v>
      </c>
      <c r="C4091">
        <v>33</v>
      </c>
      <c r="D4091">
        <v>17</v>
      </c>
      <c r="E4091">
        <v>13</v>
      </c>
      <c r="F4091">
        <v>10</v>
      </c>
      <c r="G4091">
        <v>14</v>
      </c>
      <c r="H4091">
        <v>0</v>
      </c>
      <c r="I4091">
        <v>0</v>
      </c>
      <c r="J4091">
        <v>24</v>
      </c>
      <c r="K4091" t="s">
        <v>245</v>
      </c>
    </row>
    <row r="4092" spans="2:11" x14ac:dyDescent="0.25">
      <c r="B4092">
        <v>3936</v>
      </c>
      <c r="C4092">
        <v>35</v>
      </c>
      <c r="D4092">
        <v>17</v>
      </c>
      <c r="E4092">
        <v>13</v>
      </c>
      <c r="F4092">
        <v>0</v>
      </c>
      <c r="G4092">
        <v>5</v>
      </c>
      <c r="H4092">
        <v>0</v>
      </c>
      <c r="I4092">
        <v>0</v>
      </c>
      <c r="J4092">
        <v>5</v>
      </c>
      <c r="K4092" t="s">
        <v>245</v>
      </c>
    </row>
    <row r="4093" spans="2:11" x14ac:dyDescent="0.25">
      <c r="B4093">
        <v>3938</v>
      </c>
      <c r="C4093">
        <v>39</v>
      </c>
      <c r="D4093">
        <v>19</v>
      </c>
      <c r="E4093">
        <v>13</v>
      </c>
      <c r="F4093">
        <v>1</v>
      </c>
      <c r="G4093">
        <v>4</v>
      </c>
      <c r="H4093">
        <v>0</v>
      </c>
      <c r="I4093">
        <v>0</v>
      </c>
      <c r="J4093">
        <v>5</v>
      </c>
      <c r="K4093" t="s">
        <v>245</v>
      </c>
    </row>
    <row r="4094" spans="2:11" x14ac:dyDescent="0.25">
      <c r="B4094">
        <v>3939</v>
      </c>
      <c r="C4094">
        <v>102</v>
      </c>
      <c r="D4094">
        <v>51</v>
      </c>
      <c r="E4094">
        <v>12</v>
      </c>
      <c r="F4094">
        <v>4</v>
      </c>
      <c r="G4094">
        <v>9</v>
      </c>
      <c r="H4094">
        <v>1</v>
      </c>
      <c r="I4094">
        <v>0</v>
      </c>
      <c r="J4094">
        <v>14</v>
      </c>
      <c r="K4094" t="s">
        <v>250</v>
      </c>
    </row>
    <row r="4095" spans="2:11" x14ac:dyDescent="0.25">
      <c r="B4095">
        <v>3941</v>
      </c>
      <c r="C4095">
        <v>13</v>
      </c>
      <c r="D4095">
        <v>4</v>
      </c>
      <c r="E4095">
        <v>14</v>
      </c>
      <c r="F4095">
        <v>2</v>
      </c>
      <c r="G4095">
        <v>23</v>
      </c>
      <c r="H4095">
        <v>0</v>
      </c>
      <c r="I4095">
        <v>0</v>
      </c>
      <c r="J4095">
        <v>25</v>
      </c>
      <c r="K4095" t="s">
        <v>243</v>
      </c>
    </row>
    <row r="4096" spans="2:11" x14ac:dyDescent="0.25">
      <c r="B4096">
        <v>3942</v>
      </c>
      <c r="C4096">
        <v>262</v>
      </c>
      <c r="D4096">
        <v>118</v>
      </c>
      <c r="E4096">
        <v>15</v>
      </c>
      <c r="F4096">
        <v>5</v>
      </c>
      <c r="G4096">
        <v>4</v>
      </c>
      <c r="H4096">
        <v>4</v>
      </c>
      <c r="I4096">
        <v>0</v>
      </c>
      <c r="J4096">
        <v>13</v>
      </c>
      <c r="K4096" t="s">
        <v>247</v>
      </c>
    </row>
    <row r="4097" spans="2:11" x14ac:dyDescent="0.25">
      <c r="B4097">
        <v>3943</v>
      </c>
      <c r="C4097">
        <v>40</v>
      </c>
      <c r="D4097">
        <v>19</v>
      </c>
      <c r="E4097">
        <v>13</v>
      </c>
      <c r="F4097">
        <v>27</v>
      </c>
      <c r="G4097">
        <v>0</v>
      </c>
      <c r="H4097">
        <v>0</v>
      </c>
      <c r="I4097">
        <v>0</v>
      </c>
      <c r="J4097">
        <v>27</v>
      </c>
      <c r="K4097" t="s">
        <v>245</v>
      </c>
    </row>
    <row r="4098" spans="2:11" x14ac:dyDescent="0.25">
      <c r="B4098">
        <v>3945</v>
      </c>
      <c r="C4098">
        <v>12</v>
      </c>
      <c r="D4098">
        <v>3</v>
      </c>
      <c r="E4098">
        <v>14</v>
      </c>
      <c r="F4098">
        <v>8</v>
      </c>
      <c r="G4098">
        <v>9</v>
      </c>
      <c r="H4098">
        <v>1</v>
      </c>
      <c r="I4098">
        <v>0</v>
      </c>
      <c r="J4098">
        <v>18</v>
      </c>
      <c r="K4098" t="s">
        <v>243</v>
      </c>
    </row>
    <row r="4099" spans="2:11" x14ac:dyDescent="0.25">
      <c r="B4099">
        <v>3946</v>
      </c>
      <c r="C4099">
        <v>236</v>
      </c>
      <c r="D4099">
        <v>103</v>
      </c>
      <c r="E4099">
        <v>15</v>
      </c>
      <c r="F4099">
        <v>5</v>
      </c>
      <c r="G4099">
        <v>8</v>
      </c>
      <c r="H4099">
        <v>0</v>
      </c>
      <c r="I4099">
        <v>0</v>
      </c>
      <c r="J4099">
        <v>13</v>
      </c>
      <c r="K4099" t="s">
        <v>247</v>
      </c>
    </row>
    <row r="4100" spans="2:11" x14ac:dyDescent="0.25">
      <c r="B4100">
        <v>3948</v>
      </c>
      <c r="C4100">
        <v>25</v>
      </c>
      <c r="D4100">
        <v>13</v>
      </c>
      <c r="E4100">
        <v>14</v>
      </c>
      <c r="F4100">
        <v>2</v>
      </c>
      <c r="G4100">
        <v>0</v>
      </c>
      <c r="H4100">
        <v>1</v>
      </c>
      <c r="I4100">
        <v>0</v>
      </c>
      <c r="J4100">
        <v>3</v>
      </c>
      <c r="K4100" t="s">
        <v>243</v>
      </c>
    </row>
    <row r="4101" spans="2:11" x14ac:dyDescent="0.25">
      <c r="B4101">
        <v>3950</v>
      </c>
      <c r="C4101">
        <v>134</v>
      </c>
      <c r="D4101">
        <v>60</v>
      </c>
      <c r="E4101">
        <v>12</v>
      </c>
      <c r="F4101">
        <v>1</v>
      </c>
      <c r="G4101">
        <v>8</v>
      </c>
      <c r="H4101">
        <v>11</v>
      </c>
      <c r="I4101">
        <v>0</v>
      </c>
      <c r="J4101">
        <v>20</v>
      </c>
      <c r="K4101" t="s">
        <v>250</v>
      </c>
    </row>
    <row r="4102" spans="2:11" x14ac:dyDescent="0.25">
      <c r="B4102">
        <v>3949</v>
      </c>
      <c r="C4102">
        <v>26</v>
      </c>
      <c r="D4102">
        <v>14</v>
      </c>
      <c r="E4102">
        <v>14</v>
      </c>
      <c r="F4102">
        <v>10</v>
      </c>
      <c r="G4102">
        <v>7</v>
      </c>
      <c r="H4102">
        <v>6</v>
      </c>
      <c r="I4102">
        <v>0</v>
      </c>
      <c r="J4102">
        <v>23</v>
      </c>
      <c r="K4102" t="s">
        <v>243</v>
      </c>
    </row>
    <row r="4103" spans="2:11" x14ac:dyDescent="0.25">
      <c r="B4103">
        <v>3953</v>
      </c>
      <c r="C4103">
        <v>273</v>
      </c>
      <c r="D4103">
        <v>124</v>
      </c>
      <c r="E4103">
        <v>15</v>
      </c>
      <c r="F4103">
        <v>7</v>
      </c>
      <c r="G4103">
        <v>6</v>
      </c>
      <c r="H4103">
        <v>0</v>
      </c>
      <c r="I4103">
        <v>0</v>
      </c>
      <c r="J4103">
        <v>13</v>
      </c>
      <c r="K4103" t="s">
        <v>247</v>
      </c>
    </row>
    <row r="4104" spans="2:11" x14ac:dyDescent="0.25">
      <c r="B4104">
        <v>3951</v>
      </c>
      <c r="C4104">
        <v>42</v>
      </c>
      <c r="D4104">
        <v>21</v>
      </c>
      <c r="E4104">
        <v>13</v>
      </c>
      <c r="F4104">
        <v>10</v>
      </c>
      <c r="G4104">
        <v>7</v>
      </c>
      <c r="H4104">
        <v>0</v>
      </c>
      <c r="I4104">
        <v>0</v>
      </c>
      <c r="J4104">
        <v>17</v>
      </c>
      <c r="K4104" t="s">
        <v>245</v>
      </c>
    </row>
    <row r="4105" spans="2:11" x14ac:dyDescent="0.25">
      <c r="B4105">
        <v>3955</v>
      </c>
      <c r="C4105">
        <v>274</v>
      </c>
      <c r="D4105">
        <v>125</v>
      </c>
      <c r="E4105">
        <v>15</v>
      </c>
      <c r="F4105">
        <v>13</v>
      </c>
      <c r="G4105">
        <v>5</v>
      </c>
      <c r="H4105">
        <v>1</v>
      </c>
      <c r="I4105">
        <v>0</v>
      </c>
      <c r="J4105">
        <v>19</v>
      </c>
      <c r="K4105" t="s">
        <v>247</v>
      </c>
    </row>
    <row r="4106" spans="2:11" x14ac:dyDescent="0.25">
      <c r="B4106">
        <v>3957</v>
      </c>
      <c r="C4106">
        <v>297</v>
      </c>
      <c r="D4106">
        <v>136</v>
      </c>
      <c r="E4106">
        <v>15</v>
      </c>
      <c r="F4106">
        <v>4</v>
      </c>
      <c r="G4106">
        <v>5</v>
      </c>
      <c r="H4106">
        <v>0</v>
      </c>
      <c r="I4106">
        <v>0</v>
      </c>
      <c r="J4106">
        <v>9</v>
      </c>
      <c r="K4106" t="s">
        <v>247</v>
      </c>
    </row>
    <row r="4107" spans="2:11" x14ac:dyDescent="0.25">
      <c r="B4107">
        <v>3958</v>
      </c>
      <c r="C4107">
        <v>71</v>
      </c>
      <c r="D4107">
        <v>35</v>
      </c>
      <c r="E4107">
        <v>14</v>
      </c>
      <c r="F4107">
        <v>9</v>
      </c>
      <c r="G4107">
        <v>14</v>
      </c>
      <c r="H4107">
        <v>0</v>
      </c>
      <c r="I4107">
        <v>0</v>
      </c>
      <c r="J4107">
        <v>23</v>
      </c>
      <c r="K4107" t="s">
        <v>243</v>
      </c>
    </row>
    <row r="4108" spans="2:11" x14ac:dyDescent="0.25">
      <c r="B4108">
        <v>3960</v>
      </c>
      <c r="C4108">
        <v>11</v>
      </c>
      <c r="D4108">
        <v>3</v>
      </c>
      <c r="E4108">
        <v>13</v>
      </c>
      <c r="F4108">
        <v>13</v>
      </c>
      <c r="G4108">
        <v>3</v>
      </c>
      <c r="H4108">
        <v>0</v>
      </c>
      <c r="I4108">
        <v>0</v>
      </c>
      <c r="J4108">
        <v>16</v>
      </c>
      <c r="K4108" t="s">
        <v>250</v>
      </c>
    </row>
    <row r="4109" spans="2:11" x14ac:dyDescent="0.25">
      <c r="B4109">
        <v>3961</v>
      </c>
      <c r="C4109">
        <v>72</v>
      </c>
      <c r="D4109">
        <v>35</v>
      </c>
      <c r="E4109">
        <v>14</v>
      </c>
      <c r="F4109">
        <v>10</v>
      </c>
      <c r="G4109">
        <v>16</v>
      </c>
      <c r="H4109">
        <v>3</v>
      </c>
      <c r="I4109">
        <v>0</v>
      </c>
      <c r="J4109">
        <v>29</v>
      </c>
      <c r="K4109" t="s">
        <v>243</v>
      </c>
    </row>
    <row r="4110" spans="2:11" x14ac:dyDescent="0.25">
      <c r="B4110">
        <v>3965</v>
      </c>
      <c r="C4110">
        <v>325</v>
      </c>
      <c r="D4110">
        <v>151</v>
      </c>
      <c r="E4110">
        <v>15</v>
      </c>
      <c r="F4110">
        <v>2</v>
      </c>
      <c r="G4110">
        <v>1</v>
      </c>
      <c r="H4110">
        <v>0</v>
      </c>
      <c r="I4110">
        <v>0</v>
      </c>
      <c r="J4110">
        <v>3</v>
      </c>
      <c r="K4110" t="s">
        <v>247</v>
      </c>
    </row>
    <row r="4111" spans="2:11" x14ac:dyDescent="0.25">
      <c r="B4111">
        <v>3964</v>
      </c>
      <c r="C4111">
        <v>103</v>
      </c>
      <c r="D4111">
        <v>51</v>
      </c>
      <c r="E4111">
        <v>14</v>
      </c>
      <c r="F4111">
        <v>7</v>
      </c>
      <c r="G4111">
        <v>4</v>
      </c>
      <c r="H4111">
        <v>0</v>
      </c>
      <c r="I4111">
        <v>0</v>
      </c>
      <c r="J4111">
        <v>11</v>
      </c>
      <c r="K4111" t="s">
        <v>243</v>
      </c>
    </row>
    <row r="4112" spans="2:11" x14ac:dyDescent="0.25">
      <c r="B4112">
        <v>3966</v>
      </c>
      <c r="C4112">
        <v>324</v>
      </c>
      <c r="D4112">
        <v>150</v>
      </c>
      <c r="E4112">
        <v>15</v>
      </c>
      <c r="F4112">
        <v>9</v>
      </c>
      <c r="G4112">
        <v>8</v>
      </c>
      <c r="H4112">
        <v>1</v>
      </c>
      <c r="I4112">
        <v>0</v>
      </c>
      <c r="J4112">
        <v>18</v>
      </c>
      <c r="K4112" t="s">
        <v>247</v>
      </c>
    </row>
    <row r="4113" spans="2:11" x14ac:dyDescent="0.25">
      <c r="B4113">
        <v>3963</v>
      </c>
      <c r="C4113">
        <v>45</v>
      </c>
      <c r="D4113">
        <v>23</v>
      </c>
      <c r="E4113">
        <v>13</v>
      </c>
      <c r="F4113">
        <v>25</v>
      </c>
      <c r="G4113">
        <v>5</v>
      </c>
      <c r="H4113">
        <v>0</v>
      </c>
      <c r="I4113">
        <v>0</v>
      </c>
      <c r="J4113">
        <v>30</v>
      </c>
      <c r="K4113" t="s">
        <v>250</v>
      </c>
    </row>
    <row r="4114" spans="2:11" x14ac:dyDescent="0.25">
      <c r="B4114">
        <v>3967</v>
      </c>
      <c r="C4114">
        <v>327</v>
      </c>
      <c r="D4114">
        <v>152</v>
      </c>
      <c r="E4114">
        <v>15</v>
      </c>
      <c r="F4114">
        <v>24</v>
      </c>
      <c r="G4114">
        <v>6</v>
      </c>
      <c r="H4114">
        <v>0</v>
      </c>
      <c r="I4114">
        <v>0</v>
      </c>
      <c r="J4114">
        <v>30</v>
      </c>
      <c r="K4114" t="s">
        <v>247</v>
      </c>
    </row>
    <row r="4115" spans="2:11" x14ac:dyDescent="0.25">
      <c r="B4115">
        <v>3968</v>
      </c>
      <c r="C4115">
        <v>328</v>
      </c>
      <c r="D4115">
        <v>152</v>
      </c>
      <c r="E4115">
        <v>15</v>
      </c>
      <c r="F4115">
        <v>2</v>
      </c>
      <c r="G4115">
        <v>28</v>
      </c>
      <c r="H4115">
        <v>0</v>
      </c>
      <c r="I4115">
        <v>0</v>
      </c>
      <c r="J4115">
        <v>30</v>
      </c>
      <c r="K4115" t="s">
        <v>252</v>
      </c>
    </row>
    <row r="4116" spans="2:11" x14ac:dyDescent="0.25">
      <c r="B4116">
        <v>3969</v>
      </c>
      <c r="C4116">
        <v>265</v>
      </c>
      <c r="D4116">
        <v>118</v>
      </c>
      <c r="E4116">
        <v>15</v>
      </c>
      <c r="F4116">
        <v>7</v>
      </c>
      <c r="G4116">
        <v>5</v>
      </c>
      <c r="H4116">
        <v>4</v>
      </c>
      <c r="I4116">
        <v>0</v>
      </c>
      <c r="J4116">
        <v>16</v>
      </c>
      <c r="K4116" t="s">
        <v>247</v>
      </c>
    </row>
    <row r="4117" spans="2:11" x14ac:dyDescent="0.25">
      <c r="B4117">
        <v>3970</v>
      </c>
      <c r="C4117">
        <v>245</v>
      </c>
      <c r="D4117">
        <v>109</v>
      </c>
      <c r="E4117">
        <v>15</v>
      </c>
      <c r="F4117">
        <v>10</v>
      </c>
      <c r="G4117">
        <v>0</v>
      </c>
      <c r="H4117">
        <v>0</v>
      </c>
      <c r="I4117">
        <v>0</v>
      </c>
      <c r="J4117">
        <v>10</v>
      </c>
      <c r="K4117" t="s">
        <v>247</v>
      </c>
    </row>
    <row r="4118" spans="2:11" x14ac:dyDescent="0.25">
      <c r="B4118">
        <v>3971</v>
      </c>
      <c r="C4118">
        <v>251</v>
      </c>
      <c r="D4118">
        <v>113</v>
      </c>
      <c r="E4118">
        <v>15</v>
      </c>
      <c r="F4118">
        <v>1</v>
      </c>
      <c r="G4118">
        <v>4</v>
      </c>
      <c r="H4118">
        <v>2</v>
      </c>
      <c r="I4118">
        <v>0</v>
      </c>
      <c r="J4118">
        <v>7</v>
      </c>
      <c r="K4118" t="s">
        <v>247</v>
      </c>
    </row>
    <row r="4119" spans="2:11" x14ac:dyDescent="0.25">
      <c r="B4119">
        <v>3972</v>
      </c>
      <c r="C4119">
        <v>347</v>
      </c>
      <c r="D4119">
        <v>155</v>
      </c>
      <c r="E4119">
        <v>15</v>
      </c>
      <c r="F4119">
        <v>13</v>
      </c>
      <c r="G4119">
        <v>9</v>
      </c>
      <c r="H4119">
        <v>0</v>
      </c>
      <c r="I4119">
        <v>0</v>
      </c>
      <c r="J4119">
        <v>22</v>
      </c>
      <c r="K4119" t="s">
        <v>247</v>
      </c>
    </row>
    <row r="4120" spans="2:11" x14ac:dyDescent="0.25">
      <c r="B4120">
        <v>3973</v>
      </c>
      <c r="C4120">
        <v>348</v>
      </c>
      <c r="D4120">
        <v>155</v>
      </c>
      <c r="E4120">
        <v>15</v>
      </c>
      <c r="F4120">
        <v>9</v>
      </c>
      <c r="G4120">
        <v>12</v>
      </c>
      <c r="H4120">
        <v>0</v>
      </c>
      <c r="I4120">
        <v>0</v>
      </c>
      <c r="J4120">
        <v>21</v>
      </c>
      <c r="K4120" t="s">
        <v>247</v>
      </c>
    </row>
    <row r="4121" spans="2:11" x14ac:dyDescent="0.25">
      <c r="B4121">
        <v>3974</v>
      </c>
      <c r="C4121">
        <v>329</v>
      </c>
      <c r="D4121">
        <v>152</v>
      </c>
      <c r="E4121">
        <v>15</v>
      </c>
      <c r="F4121">
        <v>26</v>
      </c>
      <c r="G4121">
        <v>4</v>
      </c>
      <c r="H4121">
        <v>0</v>
      </c>
      <c r="I4121">
        <v>0</v>
      </c>
      <c r="J4121">
        <v>30</v>
      </c>
      <c r="K4121" t="s">
        <v>247</v>
      </c>
    </row>
    <row r="4122" spans="2:11" x14ac:dyDescent="0.25">
      <c r="B4122">
        <v>3975</v>
      </c>
      <c r="C4122">
        <v>270</v>
      </c>
      <c r="D4122">
        <v>122</v>
      </c>
      <c r="E4122">
        <v>15</v>
      </c>
      <c r="F4122">
        <v>12</v>
      </c>
      <c r="G4122">
        <v>18</v>
      </c>
      <c r="H4122">
        <v>0</v>
      </c>
      <c r="I4122">
        <v>0</v>
      </c>
      <c r="J4122">
        <v>30</v>
      </c>
      <c r="K4122" t="s">
        <v>247</v>
      </c>
    </row>
    <row r="4123" spans="2:11" x14ac:dyDescent="0.25">
      <c r="B4123">
        <v>3976</v>
      </c>
      <c r="C4123">
        <v>271</v>
      </c>
      <c r="D4123">
        <v>122</v>
      </c>
      <c r="E4123">
        <v>15</v>
      </c>
      <c r="F4123">
        <v>14</v>
      </c>
      <c r="G4123">
        <v>15</v>
      </c>
      <c r="H4123">
        <v>1</v>
      </c>
      <c r="I4123">
        <v>0</v>
      </c>
      <c r="J4123">
        <v>30</v>
      </c>
      <c r="K4123" t="s">
        <v>247</v>
      </c>
    </row>
    <row r="4124" spans="2:11" x14ac:dyDescent="0.25">
      <c r="B4124">
        <v>3977</v>
      </c>
      <c r="C4124">
        <v>272</v>
      </c>
      <c r="D4124">
        <v>123</v>
      </c>
      <c r="E4124">
        <v>15</v>
      </c>
      <c r="F4124">
        <v>14</v>
      </c>
      <c r="G4124">
        <v>15</v>
      </c>
      <c r="H4124">
        <v>1</v>
      </c>
      <c r="I4124">
        <v>0</v>
      </c>
      <c r="J4124">
        <v>30</v>
      </c>
      <c r="K4124" t="s">
        <v>247</v>
      </c>
    </row>
    <row r="4125" spans="2:11" x14ac:dyDescent="0.25">
      <c r="B4125">
        <v>3978</v>
      </c>
      <c r="C4125">
        <v>179</v>
      </c>
      <c r="D4125">
        <v>77</v>
      </c>
      <c r="E4125">
        <v>15</v>
      </c>
      <c r="F4125">
        <v>1</v>
      </c>
      <c r="G4125">
        <v>6</v>
      </c>
      <c r="H4125">
        <v>2</v>
      </c>
      <c r="I4125">
        <v>0</v>
      </c>
      <c r="J4125">
        <v>9</v>
      </c>
      <c r="K4125" t="s">
        <v>247</v>
      </c>
    </row>
    <row r="4126" spans="2:11" x14ac:dyDescent="0.25">
      <c r="B4126">
        <v>3979</v>
      </c>
      <c r="C4126">
        <v>154</v>
      </c>
      <c r="D4126">
        <v>69</v>
      </c>
      <c r="E4126">
        <v>11</v>
      </c>
      <c r="F4126">
        <v>7</v>
      </c>
      <c r="G4126">
        <v>10</v>
      </c>
      <c r="H4126">
        <v>0</v>
      </c>
      <c r="I4126">
        <v>0</v>
      </c>
      <c r="J4126">
        <v>17</v>
      </c>
      <c r="K4126" t="s">
        <v>248</v>
      </c>
    </row>
    <row r="4127" spans="2:11" x14ac:dyDescent="0.25">
      <c r="B4127">
        <v>3980</v>
      </c>
      <c r="C4127">
        <v>134</v>
      </c>
      <c r="D4127">
        <v>60</v>
      </c>
      <c r="E4127">
        <v>15</v>
      </c>
      <c r="F4127">
        <v>1</v>
      </c>
      <c r="G4127">
        <v>9</v>
      </c>
      <c r="H4127">
        <v>9</v>
      </c>
      <c r="I4127">
        <v>0</v>
      </c>
      <c r="J4127">
        <v>19</v>
      </c>
      <c r="K4127" t="s">
        <v>247</v>
      </c>
    </row>
    <row r="4128" spans="2:11" x14ac:dyDescent="0.25">
      <c r="B4128">
        <v>3982</v>
      </c>
      <c r="C4128">
        <v>134</v>
      </c>
      <c r="D4128">
        <v>60</v>
      </c>
      <c r="E4128">
        <v>11</v>
      </c>
      <c r="F4128">
        <v>8</v>
      </c>
      <c r="G4128">
        <v>5</v>
      </c>
      <c r="H4128">
        <v>10</v>
      </c>
      <c r="I4128">
        <v>0</v>
      </c>
      <c r="J4128">
        <v>23</v>
      </c>
      <c r="K4128" t="s">
        <v>248</v>
      </c>
    </row>
    <row r="4129" spans="2:11" x14ac:dyDescent="0.25">
      <c r="B4129">
        <v>3984</v>
      </c>
      <c r="C4129">
        <v>43</v>
      </c>
      <c r="D4129">
        <v>22</v>
      </c>
      <c r="E4129">
        <v>13</v>
      </c>
      <c r="F4129">
        <v>18</v>
      </c>
      <c r="G4129">
        <v>12</v>
      </c>
      <c r="H4129">
        <v>0</v>
      </c>
      <c r="I4129">
        <v>0</v>
      </c>
      <c r="J4129">
        <v>30</v>
      </c>
      <c r="K4129" t="s">
        <v>248</v>
      </c>
    </row>
    <row r="4130" spans="2:11" x14ac:dyDescent="0.25">
      <c r="B4130">
        <v>3921</v>
      </c>
      <c r="C4130">
        <v>246</v>
      </c>
      <c r="D4130">
        <v>110</v>
      </c>
      <c r="E4130">
        <v>11</v>
      </c>
      <c r="F4130">
        <v>3</v>
      </c>
      <c r="G4130">
        <v>5</v>
      </c>
      <c r="H4130">
        <v>3</v>
      </c>
      <c r="I4130">
        <v>0</v>
      </c>
      <c r="J4130">
        <v>11</v>
      </c>
      <c r="K4130" t="s">
        <v>248</v>
      </c>
    </row>
    <row r="4131" spans="2:11" x14ac:dyDescent="0.25">
      <c r="B4131">
        <v>3928</v>
      </c>
      <c r="C4131">
        <v>272</v>
      </c>
      <c r="D4131">
        <v>123</v>
      </c>
      <c r="E4131">
        <v>14</v>
      </c>
      <c r="F4131">
        <v>12</v>
      </c>
      <c r="G4131">
        <v>14</v>
      </c>
      <c r="H4131">
        <v>4</v>
      </c>
      <c r="I4131">
        <v>0</v>
      </c>
      <c r="J4131">
        <v>30</v>
      </c>
      <c r="K4131" t="s">
        <v>245</v>
      </c>
    </row>
    <row r="4132" spans="2:11" x14ac:dyDescent="0.25">
      <c r="B4132">
        <v>3940</v>
      </c>
      <c r="C4132">
        <v>253</v>
      </c>
      <c r="D4132">
        <v>115</v>
      </c>
      <c r="E4132">
        <v>15</v>
      </c>
      <c r="F4132">
        <v>4</v>
      </c>
      <c r="G4132">
        <v>3</v>
      </c>
      <c r="H4132">
        <v>0</v>
      </c>
      <c r="I4132">
        <v>0</v>
      </c>
      <c r="J4132">
        <v>7</v>
      </c>
      <c r="K4132" t="s">
        <v>247</v>
      </c>
    </row>
    <row r="4133" spans="2:11" x14ac:dyDescent="0.25">
      <c r="B4133">
        <v>3944</v>
      </c>
      <c r="C4133">
        <v>154</v>
      </c>
      <c r="D4133">
        <v>69</v>
      </c>
      <c r="E4133">
        <v>12</v>
      </c>
      <c r="F4133">
        <v>15</v>
      </c>
      <c r="G4133">
        <v>10</v>
      </c>
      <c r="H4133">
        <v>0</v>
      </c>
      <c r="I4133">
        <v>0</v>
      </c>
      <c r="J4133">
        <v>25</v>
      </c>
      <c r="K4133" t="s">
        <v>250</v>
      </c>
    </row>
    <row r="4134" spans="2:11" x14ac:dyDescent="0.25">
      <c r="B4134">
        <v>3947</v>
      </c>
      <c r="C4134">
        <v>41</v>
      </c>
      <c r="D4134">
        <v>20</v>
      </c>
      <c r="E4134">
        <v>13</v>
      </c>
      <c r="F4134">
        <v>5</v>
      </c>
      <c r="G4134">
        <v>3</v>
      </c>
      <c r="H4134">
        <v>0</v>
      </c>
      <c r="I4134">
        <v>0</v>
      </c>
      <c r="J4134">
        <v>8</v>
      </c>
      <c r="K4134" t="s">
        <v>245</v>
      </c>
    </row>
    <row r="4135" spans="2:11" x14ac:dyDescent="0.25">
      <c r="B4135">
        <v>3954</v>
      </c>
      <c r="C4135">
        <v>23</v>
      </c>
      <c r="D4135">
        <v>11</v>
      </c>
      <c r="E4135">
        <v>14</v>
      </c>
      <c r="F4135">
        <v>7</v>
      </c>
      <c r="G4135">
        <v>8</v>
      </c>
      <c r="H4135">
        <v>2</v>
      </c>
      <c r="I4135">
        <v>0</v>
      </c>
      <c r="J4135">
        <v>17</v>
      </c>
      <c r="K4135" t="s">
        <v>243</v>
      </c>
    </row>
    <row r="4136" spans="2:11" x14ac:dyDescent="0.25">
      <c r="B4136">
        <v>3956</v>
      </c>
      <c r="C4136">
        <v>134</v>
      </c>
      <c r="D4136">
        <v>60</v>
      </c>
      <c r="E4136">
        <v>13</v>
      </c>
      <c r="F4136">
        <v>10</v>
      </c>
      <c r="G4136">
        <v>0</v>
      </c>
      <c r="H4136">
        <v>10</v>
      </c>
      <c r="I4136">
        <v>0</v>
      </c>
      <c r="J4136">
        <v>20</v>
      </c>
      <c r="K4136" t="s">
        <v>250</v>
      </c>
    </row>
    <row r="4137" spans="2:11" x14ac:dyDescent="0.25">
      <c r="B4137">
        <v>3985</v>
      </c>
      <c r="C4137">
        <v>44</v>
      </c>
      <c r="D4137">
        <v>22</v>
      </c>
      <c r="E4137">
        <v>13</v>
      </c>
      <c r="F4137">
        <v>7</v>
      </c>
      <c r="G4137">
        <v>6</v>
      </c>
      <c r="H4137">
        <v>0</v>
      </c>
      <c r="I4137">
        <v>0</v>
      </c>
      <c r="J4137">
        <v>13</v>
      </c>
      <c r="K4137" t="s">
        <v>248</v>
      </c>
    </row>
    <row r="4138" spans="2:11" x14ac:dyDescent="0.25">
      <c r="B4138">
        <v>3986</v>
      </c>
      <c r="C4138">
        <v>346</v>
      </c>
      <c r="D4138">
        <v>155</v>
      </c>
      <c r="E4138">
        <v>15</v>
      </c>
      <c r="F4138">
        <v>3</v>
      </c>
      <c r="G4138">
        <v>10</v>
      </c>
      <c r="H4138">
        <v>0</v>
      </c>
      <c r="I4138">
        <v>0</v>
      </c>
      <c r="J4138">
        <v>13</v>
      </c>
      <c r="K4138" t="s">
        <v>248</v>
      </c>
    </row>
    <row r="4139" spans="2:11" x14ac:dyDescent="0.25">
      <c r="B4139">
        <v>3981</v>
      </c>
      <c r="C4139">
        <v>123</v>
      </c>
      <c r="D4139">
        <v>56</v>
      </c>
      <c r="E4139">
        <v>15</v>
      </c>
      <c r="F4139">
        <v>9</v>
      </c>
      <c r="G4139">
        <v>5</v>
      </c>
      <c r="H4139">
        <v>1</v>
      </c>
      <c r="I4139">
        <v>0</v>
      </c>
      <c r="J4139">
        <v>15</v>
      </c>
      <c r="K4139" t="s">
        <v>245</v>
      </c>
    </row>
    <row r="4140" spans="2:11" x14ac:dyDescent="0.25">
      <c r="B4140">
        <v>3987</v>
      </c>
      <c r="C4140">
        <v>345</v>
      </c>
      <c r="D4140">
        <v>155</v>
      </c>
      <c r="E4140">
        <v>15</v>
      </c>
      <c r="F4140">
        <v>12</v>
      </c>
      <c r="G4140">
        <v>9</v>
      </c>
      <c r="H4140">
        <v>2</v>
      </c>
      <c r="I4140">
        <v>0</v>
      </c>
      <c r="J4140">
        <v>23</v>
      </c>
      <c r="K4140" t="s">
        <v>248</v>
      </c>
    </row>
    <row r="4141" spans="2:11" x14ac:dyDescent="0.25">
      <c r="B4141">
        <v>3990</v>
      </c>
      <c r="C4141">
        <v>257</v>
      </c>
      <c r="D4141">
        <v>117</v>
      </c>
      <c r="E4141">
        <v>15</v>
      </c>
      <c r="F4141">
        <v>7</v>
      </c>
      <c r="G4141">
        <v>3</v>
      </c>
      <c r="H4141">
        <v>2</v>
      </c>
      <c r="I4141">
        <v>0</v>
      </c>
      <c r="J4141">
        <v>12</v>
      </c>
      <c r="K4141" t="s">
        <v>246</v>
      </c>
    </row>
    <row r="4142" spans="2:11" x14ac:dyDescent="0.25">
      <c r="B4142">
        <v>4002</v>
      </c>
      <c r="C4142">
        <v>320</v>
      </c>
      <c r="D4142">
        <v>148</v>
      </c>
      <c r="E4142">
        <v>15</v>
      </c>
      <c r="F4142">
        <v>11</v>
      </c>
      <c r="G4142">
        <v>13</v>
      </c>
      <c r="H4142">
        <v>0</v>
      </c>
      <c r="I4142">
        <v>0</v>
      </c>
      <c r="J4142">
        <v>24</v>
      </c>
      <c r="K4142" t="s">
        <v>243</v>
      </c>
    </row>
    <row r="4143" spans="2:11" x14ac:dyDescent="0.25">
      <c r="B4143">
        <v>4006</v>
      </c>
      <c r="C4143">
        <v>171</v>
      </c>
      <c r="D4143">
        <v>73</v>
      </c>
      <c r="E4143">
        <v>15</v>
      </c>
      <c r="F4143">
        <v>4</v>
      </c>
      <c r="G4143">
        <v>5</v>
      </c>
      <c r="H4143">
        <v>0</v>
      </c>
      <c r="I4143">
        <v>0</v>
      </c>
      <c r="J4143">
        <v>9</v>
      </c>
      <c r="K4143" t="s">
        <v>245</v>
      </c>
    </row>
    <row r="4144" spans="2:11" x14ac:dyDescent="0.25">
      <c r="B4144">
        <v>4012</v>
      </c>
      <c r="C4144">
        <v>114</v>
      </c>
      <c r="D4144">
        <v>52</v>
      </c>
      <c r="E4144">
        <v>15</v>
      </c>
      <c r="F4144">
        <v>13</v>
      </c>
      <c r="G4144">
        <v>10</v>
      </c>
      <c r="H4144">
        <v>7</v>
      </c>
      <c r="I4144">
        <v>0</v>
      </c>
      <c r="J4144">
        <v>30</v>
      </c>
      <c r="K4144" t="s">
        <v>246</v>
      </c>
    </row>
    <row r="4145" spans="2:11" x14ac:dyDescent="0.25">
      <c r="B4145">
        <v>4013</v>
      </c>
      <c r="C4145">
        <v>88</v>
      </c>
      <c r="D4145">
        <v>43</v>
      </c>
      <c r="E4145">
        <v>11</v>
      </c>
      <c r="F4145">
        <v>12</v>
      </c>
      <c r="G4145">
        <v>10</v>
      </c>
      <c r="H4145">
        <v>0</v>
      </c>
      <c r="I4145">
        <v>0</v>
      </c>
      <c r="J4145">
        <v>22</v>
      </c>
      <c r="K4145" t="s">
        <v>250</v>
      </c>
    </row>
    <row r="4146" spans="2:11" x14ac:dyDescent="0.25">
      <c r="B4146">
        <v>4016</v>
      </c>
      <c r="C4146">
        <v>337</v>
      </c>
      <c r="D4146">
        <v>152</v>
      </c>
      <c r="E4146">
        <v>15</v>
      </c>
      <c r="F4146">
        <v>21</v>
      </c>
      <c r="G4146">
        <v>9</v>
      </c>
      <c r="H4146">
        <v>0</v>
      </c>
      <c r="I4146">
        <v>0</v>
      </c>
      <c r="J4146">
        <v>30</v>
      </c>
      <c r="K4146" t="s">
        <v>243</v>
      </c>
    </row>
    <row r="4147" spans="2:11" x14ac:dyDescent="0.25">
      <c r="B4147">
        <v>4019</v>
      </c>
      <c r="C4147">
        <v>291</v>
      </c>
      <c r="D4147">
        <v>135</v>
      </c>
      <c r="E4147">
        <v>15</v>
      </c>
      <c r="F4147">
        <v>20</v>
      </c>
      <c r="G4147">
        <v>3</v>
      </c>
      <c r="H4147">
        <v>0</v>
      </c>
      <c r="I4147">
        <v>0</v>
      </c>
      <c r="J4147">
        <v>23</v>
      </c>
      <c r="K4147" t="s">
        <v>247</v>
      </c>
    </row>
    <row r="4148" spans="2:11" x14ac:dyDescent="0.25">
      <c r="B4148">
        <v>4038</v>
      </c>
      <c r="C4148">
        <v>293</v>
      </c>
      <c r="D4148">
        <v>136</v>
      </c>
      <c r="E4148">
        <v>15</v>
      </c>
      <c r="F4148">
        <v>13</v>
      </c>
      <c r="G4148">
        <v>10</v>
      </c>
      <c r="H4148">
        <v>2</v>
      </c>
      <c r="I4148">
        <v>0</v>
      </c>
      <c r="J4148">
        <v>25</v>
      </c>
      <c r="K4148" t="s">
        <v>250</v>
      </c>
    </row>
    <row r="4149" spans="2:11" x14ac:dyDescent="0.25">
      <c r="B4149">
        <v>4044</v>
      </c>
      <c r="C4149">
        <v>170</v>
      </c>
      <c r="D4149">
        <v>73</v>
      </c>
      <c r="E4149">
        <v>15</v>
      </c>
      <c r="F4149">
        <v>7</v>
      </c>
      <c r="G4149">
        <v>1</v>
      </c>
      <c r="H4149">
        <v>0</v>
      </c>
      <c r="I4149">
        <v>0</v>
      </c>
      <c r="J4149">
        <v>8</v>
      </c>
      <c r="K4149" t="s">
        <v>247</v>
      </c>
    </row>
    <row r="4150" spans="2:11" x14ac:dyDescent="0.25">
      <c r="B4150">
        <v>4054</v>
      </c>
      <c r="C4150">
        <v>76</v>
      </c>
      <c r="D4150">
        <v>38</v>
      </c>
      <c r="E4150">
        <v>14</v>
      </c>
      <c r="F4150">
        <v>5</v>
      </c>
      <c r="G4150">
        <v>7</v>
      </c>
      <c r="H4150">
        <v>0</v>
      </c>
      <c r="I4150">
        <v>0</v>
      </c>
      <c r="J4150">
        <v>12</v>
      </c>
      <c r="K4150" t="s">
        <v>246</v>
      </c>
    </row>
    <row r="4151" spans="2:11" x14ac:dyDescent="0.25">
      <c r="B4151">
        <v>4057</v>
      </c>
      <c r="C4151">
        <v>312</v>
      </c>
      <c r="D4151">
        <v>144</v>
      </c>
      <c r="E4151">
        <v>15</v>
      </c>
      <c r="F4151">
        <v>4</v>
      </c>
      <c r="G4151">
        <v>8</v>
      </c>
      <c r="H4151">
        <v>0</v>
      </c>
      <c r="I4151">
        <v>0</v>
      </c>
      <c r="J4151">
        <v>12</v>
      </c>
      <c r="K4151" t="s">
        <v>250</v>
      </c>
    </row>
    <row r="4152" spans="2:11" x14ac:dyDescent="0.25">
      <c r="B4152">
        <v>4062</v>
      </c>
      <c r="C4152">
        <v>143</v>
      </c>
      <c r="D4152">
        <v>63</v>
      </c>
      <c r="E4152">
        <v>16</v>
      </c>
      <c r="F4152">
        <v>5</v>
      </c>
      <c r="G4152">
        <v>7</v>
      </c>
      <c r="H4152">
        <v>0</v>
      </c>
      <c r="I4152">
        <v>0</v>
      </c>
      <c r="J4152">
        <v>12</v>
      </c>
      <c r="K4152" t="s">
        <v>245</v>
      </c>
    </row>
    <row r="4153" spans="2:11" x14ac:dyDescent="0.25">
      <c r="B4153">
        <v>4068</v>
      </c>
      <c r="C4153">
        <v>237</v>
      </c>
      <c r="D4153">
        <v>104</v>
      </c>
      <c r="E4153">
        <v>14</v>
      </c>
      <c r="F4153">
        <v>14</v>
      </c>
      <c r="G4153">
        <v>9</v>
      </c>
      <c r="H4153">
        <v>0</v>
      </c>
      <c r="I4153">
        <v>0</v>
      </c>
      <c r="J4153">
        <v>23</v>
      </c>
      <c r="K4153" t="s">
        <v>245</v>
      </c>
    </row>
    <row r="4154" spans="2:11" x14ac:dyDescent="0.25">
      <c r="B4154">
        <v>4071</v>
      </c>
      <c r="C4154">
        <v>108</v>
      </c>
      <c r="D4154">
        <v>51</v>
      </c>
      <c r="E4154">
        <v>12</v>
      </c>
      <c r="F4154">
        <v>15</v>
      </c>
      <c r="G4154">
        <v>7</v>
      </c>
      <c r="H4154">
        <v>0</v>
      </c>
      <c r="I4154">
        <v>0</v>
      </c>
      <c r="J4154">
        <v>22</v>
      </c>
      <c r="K4154" t="s">
        <v>248</v>
      </c>
    </row>
    <row r="4155" spans="2:11" x14ac:dyDescent="0.25">
      <c r="B4155">
        <v>4081</v>
      </c>
      <c r="C4155">
        <v>163</v>
      </c>
      <c r="D4155">
        <v>69</v>
      </c>
      <c r="E4155">
        <v>16</v>
      </c>
      <c r="F4155">
        <v>5</v>
      </c>
      <c r="G4155">
        <v>3</v>
      </c>
      <c r="H4155">
        <v>0</v>
      </c>
      <c r="I4155">
        <v>0</v>
      </c>
      <c r="J4155">
        <v>8</v>
      </c>
      <c r="K4155" t="s">
        <v>252</v>
      </c>
    </row>
    <row r="4156" spans="2:11" x14ac:dyDescent="0.25">
      <c r="B4156">
        <v>4087</v>
      </c>
      <c r="C4156">
        <v>64</v>
      </c>
      <c r="D4156">
        <v>35</v>
      </c>
      <c r="E4156">
        <v>15</v>
      </c>
      <c r="F4156">
        <v>3</v>
      </c>
      <c r="G4156">
        <v>9</v>
      </c>
      <c r="H4156">
        <v>0</v>
      </c>
      <c r="I4156">
        <v>0</v>
      </c>
      <c r="J4156">
        <v>12</v>
      </c>
      <c r="K4156" t="s">
        <v>246</v>
      </c>
    </row>
    <row r="4157" spans="2:11" x14ac:dyDescent="0.25">
      <c r="B4157">
        <v>4088</v>
      </c>
      <c r="C4157">
        <v>89</v>
      </c>
      <c r="D4157">
        <v>44</v>
      </c>
      <c r="E4157">
        <v>14</v>
      </c>
      <c r="F4157">
        <v>8</v>
      </c>
      <c r="G4157">
        <v>11</v>
      </c>
      <c r="H4157">
        <v>9</v>
      </c>
      <c r="I4157">
        <v>0</v>
      </c>
      <c r="J4157">
        <v>28</v>
      </c>
      <c r="K4157" t="s">
        <v>243</v>
      </c>
    </row>
    <row r="4158" spans="2:11" x14ac:dyDescent="0.25">
      <c r="B4158">
        <v>4090</v>
      </c>
      <c r="C4158">
        <v>65</v>
      </c>
      <c r="D4158">
        <v>35</v>
      </c>
      <c r="E4158">
        <v>15</v>
      </c>
      <c r="F4158">
        <v>9</v>
      </c>
      <c r="G4158">
        <v>3</v>
      </c>
      <c r="H4158">
        <v>10</v>
      </c>
      <c r="I4158">
        <v>0</v>
      </c>
      <c r="J4158">
        <v>22</v>
      </c>
      <c r="K4158" t="s">
        <v>246</v>
      </c>
    </row>
    <row r="4159" spans="2:11" x14ac:dyDescent="0.25">
      <c r="B4159">
        <v>4092</v>
      </c>
      <c r="C4159">
        <v>304</v>
      </c>
      <c r="D4159">
        <v>141</v>
      </c>
      <c r="E4159">
        <v>16</v>
      </c>
      <c r="F4159">
        <v>9</v>
      </c>
      <c r="G4159">
        <v>7</v>
      </c>
      <c r="H4159">
        <v>0</v>
      </c>
      <c r="I4159">
        <v>0</v>
      </c>
      <c r="J4159">
        <v>16</v>
      </c>
      <c r="K4159" t="s">
        <v>250</v>
      </c>
    </row>
    <row r="4160" spans="2:11" x14ac:dyDescent="0.25">
      <c r="B4160">
        <v>4089</v>
      </c>
      <c r="C4160">
        <v>136</v>
      </c>
      <c r="D4160">
        <v>60</v>
      </c>
      <c r="E4160">
        <v>16</v>
      </c>
      <c r="F4160">
        <v>6</v>
      </c>
      <c r="G4160">
        <v>4</v>
      </c>
      <c r="H4160">
        <v>7</v>
      </c>
      <c r="I4160">
        <v>0</v>
      </c>
      <c r="J4160">
        <v>17</v>
      </c>
      <c r="K4160" t="s">
        <v>252</v>
      </c>
    </row>
    <row r="4161" spans="2:11" x14ac:dyDescent="0.25">
      <c r="B4161">
        <v>4091</v>
      </c>
      <c r="C4161">
        <v>109</v>
      </c>
      <c r="D4161">
        <v>51</v>
      </c>
      <c r="E4161">
        <v>14</v>
      </c>
      <c r="F4161">
        <v>9</v>
      </c>
      <c r="G4161">
        <v>14</v>
      </c>
      <c r="H4161">
        <v>3</v>
      </c>
      <c r="I4161">
        <v>0</v>
      </c>
      <c r="J4161">
        <v>26</v>
      </c>
      <c r="K4161" t="s">
        <v>245</v>
      </c>
    </row>
    <row r="4162" spans="2:11" x14ac:dyDescent="0.25">
      <c r="B4162">
        <v>4095</v>
      </c>
      <c r="C4162">
        <v>2</v>
      </c>
      <c r="D4162">
        <v>1</v>
      </c>
      <c r="E4162">
        <v>15</v>
      </c>
      <c r="F4162">
        <v>1</v>
      </c>
      <c r="G4162">
        <v>1</v>
      </c>
      <c r="H4162">
        <v>2</v>
      </c>
      <c r="I4162">
        <v>0</v>
      </c>
      <c r="J4162">
        <v>4</v>
      </c>
      <c r="K4162" t="s">
        <v>246</v>
      </c>
    </row>
    <row r="4163" spans="2:11" x14ac:dyDescent="0.25">
      <c r="B4163">
        <v>4098</v>
      </c>
      <c r="C4163">
        <v>122</v>
      </c>
      <c r="D4163">
        <v>55</v>
      </c>
      <c r="E4163">
        <v>14</v>
      </c>
      <c r="F4163">
        <v>6</v>
      </c>
      <c r="G4163">
        <v>4</v>
      </c>
      <c r="H4163">
        <v>1</v>
      </c>
      <c r="I4163">
        <v>0</v>
      </c>
      <c r="J4163">
        <v>11</v>
      </c>
      <c r="K4163" t="s">
        <v>245</v>
      </c>
    </row>
    <row r="4164" spans="2:11" x14ac:dyDescent="0.25">
      <c r="B4164">
        <v>4097</v>
      </c>
      <c r="C4164">
        <v>273</v>
      </c>
      <c r="D4164">
        <v>124</v>
      </c>
      <c r="E4164">
        <v>14</v>
      </c>
      <c r="F4164">
        <v>12</v>
      </c>
      <c r="G4164">
        <v>13</v>
      </c>
      <c r="H4164">
        <v>0</v>
      </c>
      <c r="I4164">
        <v>0</v>
      </c>
      <c r="J4164">
        <v>25</v>
      </c>
      <c r="K4164" t="s">
        <v>247</v>
      </c>
    </row>
    <row r="4165" spans="2:11" x14ac:dyDescent="0.25">
      <c r="B4165">
        <v>4096</v>
      </c>
      <c r="C4165">
        <v>328</v>
      </c>
      <c r="D4165">
        <v>152</v>
      </c>
      <c r="E4165">
        <v>16</v>
      </c>
      <c r="F4165">
        <v>0</v>
      </c>
      <c r="G4165">
        <v>30</v>
      </c>
      <c r="H4165">
        <v>0</v>
      </c>
      <c r="I4165">
        <v>0</v>
      </c>
      <c r="J4165">
        <v>30</v>
      </c>
      <c r="K4165" t="s">
        <v>250</v>
      </c>
    </row>
    <row r="4166" spans="2:11" x14ac:dyDescent="0.25">
      <c r="B4166">
        <v>4094</v>
      </c>
      <c r="C4166">
        <v>343</v>
      </c>
      <c r="D4166">
        <v>154</v>
      </c>
      <c r="E4166">
        <v>14</v>
      </c>
      <c r="F4166">
        <v>13</v>
      </c>
      <c r="G4166">
        <v>11</v>
      </c>
      <c r="H4166">
        <v>0</v>
      </c>
      <c r="I4166">
        <v>0</v>
      </c>
      <c r="J4166">
        <v>24</v>
      </c>
      <c r="K4166" t="s">
        <v>243</v>
      </c>
    </row>
    <row r="4167" spans="2:11" x14ac:dyDescent="0.25">
      <c r="B4167">
        <v>4100</v>
      </c>
      <c r="C4167">
        <v>253</v>
      </c>
      <c r="D4167">
        <v>115</v>
      </c>
      <c r="E4167">
        <v>16</v>
      </c>
      <c r="F4167">
        <v>7</v>
      </c>
      <c r="G4167">
        <v>2</v>
      </c>
      <c r="H4167">
        <v>2</v>
      </c>
      <c r="I4167">
        <v>0</v>
      </c>
      <c r="J4167">
        <v>11</v>
      </c>
      <c r="K4167" t="s">
        <v>252</v>
      </c>
    </row>
    <row r="4168" spans="2:11" x14ac:dyDescent="0.25">
      <c r="B4168">
        <v>4101</v>
      </c>
      <c r="C4168">
        <v>123</v>
      </c>
      <c r="D4168">
        <v>56</v>
      </c>
      <c r="E4168">
        <v>14</v>
      </c>
      <c r="F4168">
        <v>3</v>
      </c>
      <c r="G4168">
        <v>8</v>
      </c>
      <c r="H4168">
        <v>4</v>
      </c>
      <c r="I4168">
        <v>0</v>
      </c>
      <c r="J4168">
        <v>15</v>
      </c>
      <c r="K4168" t="s">
        <v>245</v>
      </c>
    </row>
    <row r="4169" spans="2:11" x14ac:dyDescent="0.25">
      <c r="B4169">
        <v>4102</v>
      </c>
      <c r="C4169">
        <v>274</v>
      </c>
      <c r="D4169">
        <v>125</v>
      </c>
      <c r="E4169">
        <v>14</v>
      </c>
      <c r="F4169">
        <v>8</v>
      </c>
      <c r="G4169">
        <v>6</v>
      </c>
      <c r="H4169">
        <v>3</v>
      </c>
      <c r="I4169">
        <v>0</v>
      </c>
      <c r="J4169">
        <v>17</v>
      </c>
      <c r="K4169" t="s">
        <v>247</v>
      </c>
    </row>
    <row r="4170" spans="2:11" x14ac:dyDescent="0.25">
      <c r="B4170">
        <v>4106</v>
      </c>
      <c r="C4170">
        <v>345</v>
      </c>
      <c r="D4170">
        <v>155</v>
      </c>
      <c r="E4170">
        <v>14</v>
      </c>
      <c r="F4170">
        <v>6</v>
      </c>
      <c r="G4170">
        <v>11</v>
      </c>
      <c r="H4170">
        <v>0</v>
      </c>
      <c r="I4170">
        <v>0</v>
      </c>
      <c r="J4170">
        <v>17</v>
      </c>
      <c r="K4170" t="s">
        <v>247</v>
      </c>
    </row>
    <row r="4171" spans="2:11" x14ac:dyDescent="0.25">
      <c r="B4171">
        <v>4103</v>
      </c>
      <c r="C4171">
        <v>320</v>
      </c>
      <c r="D4171">
        <v>148</v>
      </c>
      <c r="E4171">
        <v>14</v>
      </c>
      <c r="F4171">
        <v>8</v>
      </c>
      <c r="G4171">
        <v>9</v>
      </c>
      <c r="H4171">
        <v>0</v>
      </c>
      <c r="I4171">
        <v>0</v>
      </c>
      <c r="J4171">
        <v>17</v>
      </c>
      <c r="K4171" t="s">
        <v>243</v>
      </c>
    </row>
    <row r="4172" spans="2:11" x14ac:dyDescent="0.25">
      <c r="B4172">
        <v>4109</v>
      </c>
      <c r="C4172">
        <v>265</v>
      </c>
      <c r="D4172">
        <v>118</v>
      </c>
      <c r="E4172">
        <v>16</v>
      </c>
      <c r="F4172">
        <v>6</v>
      </c>
      <c r="G4172">
        <v>5</v>
      </c>
      <c r="H4172">
        <v>3</v>
      </c>
      <c r="I4172">
        <v>0</v>
      </c>
      <c r="J4172">
        <v>14</v>
      </c>
      <c r="K4172" t="s">
        <v>252</v>
      </c>
    </row>
    <row r="4173" spans="2:11" x14ac:dyDescent="0.25">
      <c r="B4173">
        <v>4099</v>
      </c>
      <c r="C4173">
        <v>245</v>
      </c>
      <c r="D4173">
        <v>109</v>
      </c>
      <c r="E4173">
        <v>17</v>
      </c>
      <c r="F4173">
        <v>7</v>
      </c>
      <c r="G4173">
        <v>3</v>
      </c>
      <c r="H4173">
        <v>3</v>
      </c>
      <c r="I4173">
        <v>0</v>
      </c>
      <c r="J4173">
        <v>13</v>
      </c>
      <c r="K4173" t="s">
        <v>248</v>
      </c>
    </row>
    <row r="4174" spans="2:11" x14ac:dyDescent="0.25">
      <c r="B4174">
        <v>4112</v>
      </c>
      <c r="C4174">
        <v>313</v>
      </c>
      <c r="D4174">
        <v>144</v>
      </c>
      <c r="E4174">
        <v>14</v>
      </c>
      <c r="F4174">
        <v>9</v>
      </c>
      <c r="G4174">
        <v>2</v>
      </c>
      <c r="H4174">
        <v>0</v>
      </c>
      <c r="I4174">
        <v>0</v>
      </c>
      <c r="J4174">
        <v>11</v>
      </c>
      <c r="K4174" t="s">
        <v>247</v>
      </c>
    </row>
    <row r="4175" spans="2:11" x14ac:dyDescent="0.25">
      <c r="B4175">
        <v>4110</v>
      </c>
      <c r="C4175">
        <v>246</v>
      </c>
      <c r="D4175">
        <v>110</v>
      </c>
      <c r="E4175">
        <v>14</v>
      </c>
      <c r="F4175">
        <v>8</v>
      </c>
      <c r="G4175">
        <v>5</v>
      </c>
      <c r="H4175">
        <v>6</v>
      </c>
      <c r="I4175">
        <v>0</v>
      </c>
      <c r="J4175">
        <v>19</v>
      </c>
      <c r="K4175" t="s">
        <v>243</v>
      </c>
    </row>
    <row r="4176" spans="2:11" x14ac:dyDescent="0.25">
      <c r="B4176">
        <v>4113</v>
      </c>
      <c r="C4176">
        <v>94</v>
      </c>
      <c r="D4176">
        <v>47</v>
      </c>
      <c r="E4176">
        <v>1</v>
      </c>
      <c r="F4176">
        <v>12</v>
      </c>
      <c r="G4176">
        <v>11</v>
      </c>
      <c r="H4176">
        <v>7</v>
      </c>
      <c r="I4176">
        <v>0</v>
      </c>
      <c r="J4176">
        <v>30</v>
      </c>
      <c r="K4176" t="s">
        <v>250</v>
      </c>
    </row>
    <row r="4177" spans="2:11" x14ac:dyDescent="0.25">
      <c r="B4177">
        <v>4115</v>
      </c>
      <c r="C4177">
        <v>173</v>
      </c>
      <c r="D4177">
        <v>75</v>
      </c>
      <c r="E4177">
        <v>14</v>
      </c>
      <c r="F4177">
        <v>3</v>
      </c>
      <c r="G4177">
        <v>7</v>
      </c>
      <c r="H4177">
        <v>4</v>
      </c>
      <c r="I4177">
        <v>0</v>
      </c>
      <c r="J4177">
        <v>14</v>
      </c>
      <c r="K4177" t="s">
        <v>243</v>
      </c>
    </row>
    <row r="4178" spans="2:11" x14ac:dyDescent="0.25">
      <c r="B4178">
        <v>4117</v>
      </c>
      <c r="C4178">
        <v>94</v>
      </c>
      <c r="D4178">
        <v>47</v>
      </c>
      <c r="E4178">
        <v>2</v>
      </c>
      <c r="F4178">
        <v>1</v>
      </c>
      <c r="G4178">
        <v>7</v>
      </c>
      <c r="H4178">
        <v>1</v>
      </c>
      <c r="I4178">
        <v>0</v>
      </c>
      <c r="J4178">
        <v>9</v>
      </c>
      <c r="K4178" t="s">
        <v>250</v>
      </c>
    </row>
    <row r="4179" spans="2:11" x14ac:dyDescent="0.25">
      <c r="B4179">
        <v>4114</v>
      </c>
      <c r="C4179">
        <v>151</v>
      </c>
      <c r="D4179">
        <v>69</v>
      </c>
      <c r="E4179">
        <v>17</v>
      </c>
      <c r="F4179">
        <v>3</v>
      </c>
      <c r="G4179">
        <v>25</v>
      </c>
      <c r="H4179">
        <v>0</v>
      </c>
      <c r="I4179">
        <v>0</v>
      </c>
      <c r="J4179">
        <v>28</v>
      </c>
      <c r="K4179" t="s">
        <v>248</v>
      </c>
    </row>
    <row r="4180" spans="2:11" x14ac:dyDescent="0.25">
      <c r="B4180">
        <v>4120</v>
      </c>
      <c r="C4180">
        <v>94</v>
      </c>
      <c r="D4180">
        <v>47</v>
      </c>
      <c r="E4180">
        <v>3</v>
      </c>
      <c r="F4180">
        <v>2</v>
      </c>
      <c r="G4180">
        <v>19</v>
      </c>
      <c r="H4180">
        <v>2</v>
      </c>
      <c r="I4180">
        <v>0</v>
      </c>
      <c r="J4180">
        <v>23</v>
      </c>
      <c r="K4180" t="s">
        <v>250</v>
      </c>
    </row>
    <row r="4181" spans="2:11" x14ac:dyDescent="0.25">
      <c r="B4181">
        <v>4121</v>
      </c>
      <c r="C4181">
        <v>114</v>
      </c>
      <c r="D4181">
        <v>52</v>
      </c>
      <c r="E4181">
        <v>14</v>
      </c>
      <c r="F4181">
        <v>17</v>
      </c>
      <c r="G4181">
        <v>12</v>
      </c>
      <c r="H4181">
        <v>1</v>
      </c>
      <c r="I4181">
        <v>0</v>
      </c>
      <c r="J4181">
        <v>30</v>
      </c>
      <c r="K4181" t="s">
        <v>245</v>
      </c>
    </row>
    <row r="4182" spans="2:11" x14ac:dyDescent="0.25">
      <c r="B4182">
        <v>4119</v>
      </c>
      <c r="C4182">
        <v>261</v>
      </c>
      <c r="D4182">
        <v>118</v>
      </c>
      <c r="E4182">
        <v>16</v>
      </c>
      <c r="F4182">
        <v>10</v>
      </c>
      <c r="G4182">
        <v>8</v>
      </c>
      <c r="H4182">
        <v>5</v>
      </c>
      <c r="I4182">
        <v>0</v>
      </c>
      <c r="J4182">
        <v>23</v>
      </c>
      <c r="K4182" t="s">
        <v>243</v>
      </c>
    </row>
    <row r="4183" spans="2:11" x14ac:dyDescent="0.25">
      <c r="B4183">
        <v>4122</v>
      </c>
      <c r="C4183">
        <v>94</v>
      </c>
      <c r="D4183">
        <v>47</v>
      </c>
      <c r="E4183">
        <v>4</v>
      </c>
      <c r="F4183">
        <v>11</v>
      </c>
      <c r="G4183">
        <v>8</v>
      </c>
      <c r="H4183">
        <v>0</v>
      </c>
      <c r="I4183">
        <v>0</v>
      </c>
      <c r="J4183">
        <v>19</v>
      </c>
      <c r="K4183" t="s">
        <v>250</v>
      </c>
    </row>
    <row r="4184" spans="2:11" x14ac:dyDescent="0.25">
      <c r="B4184">
        <v>4123</v>
      </c>
      <c r="C4184">
        <v>61</v>
      </c>
      <c r="D4184">
        <v>32</v>
      </c>
      <c r="E4184">
        <v>15</v>
      </c>
      <c r="F4184">
        <v>10</v>
      </c>
      <c r="G4184">
        <v>8</v>
      </c>
      <c r="H4184">
        <v>1</v>
      </c>
      <c r="I4184">
        <v>0</v>
      </c>
      <c r="J4184">
        <v>19</v>
      </c>
      <c r="K4184" t="s">
        <v>245</v>
      </c>
    </row>
    <row r="4185" spans="2:11" x14ac:dyDescent="0.25">
      <c r="B4185">
        <v>4125</v>
      </c>
      <c r="C4185">
        <v>94</v>
      </c>
      <c r="D4185">
        <v>47</v>
      </c>
      <c r="E4185">
        <v>5</v>
      </c>
      <c r="F4185">
        <v>2</v>
      </c>
      <c r="G4185">
        <v>5</v>
      </c>
      <c r="H4185">
        <v>0</v>
      </c>
      <c r="I4185">
        <v>0</v>
      </c>
      <c r="J4185">
        <v>7</v>
      </c>
      <c r="K4185" t="s">
        <v>250</v>
      </c>
    </row>
    <row r="4186" spans="2:11" x14ac:dyDescent="0.25">
      <c r="B4186">
        <v>4124</v>
      </c>
      <c r="C4186">
        <v>259</v>
      </c>
      <c r="D4186">
        <v>118</v>
      </c>
      <c r="E4186">
        <v>16</v>
      </c>
      <c r="F4186">
        <v>6</v>
      </c>
      <c r="G4186">
        <v>10</v>
      </c>
      <c r="H4186">
        <v>2</v>
      </c>
      <c r="I4186">
        <v>0</v>
      </c>
      <c r="J4186">
        <v>18</v>
      </c>
      <c r="K4186" t="s">
        <v>243</v>
      </c>
    </row>
    <row r="4187" spans="2:11" x14ac:dyDescent="0.25">
      <c r="B4187">
        <v>4126</v>
      </c>
      <c r="C4187">
        <v>94</v>
      </c>
      <c r="D4187">
        <v>47</v>
      </c>
      <c r="E4187">
        <v>6</v>
      </c>
      <c r="F4187">
        <v>3</v>
      </c>
      <c r="G4187">
        <v>14</v>
      </c>
      <c r="H4187">
        <v>1</v>
      </c>
      <c r="I4187">
        <v>0</v>
      </c>
      <c r="J4187">
        <v>18</v>
      </c>
      <c r="K4187" t="s">
        <v>250</v>
      </c>
    </row>
    <row r="4188" spans="2:11" x14ac:dyDescent="0.25">
      <c r="B4188">
        <v>4127</v>
      </c>
      <c r="C4188">
        <v>260</v>
      </c>
      <c r="D4188">
        <v>118</v>
      </c>
      <c r="E4188">
        <v>16</v>
      </c>
      <c r="F4188">
        <v>14</v>
      </c>
      <c r="G4188">
        <v>7</v>
      </c>
      <c r="H4188">
        <v>0</v>
      </c>
      <c r="I4188">
        <v>0</v>
      </c>
      <c r="J4188">
        <v>21</v>
      </c>
      <c r="K4188" t="s">
        <v>243</v>
      </c>
    </row>
    <row r="4189" spans="2:11" x14ac:dyDescent="0.25">
      <c r="B4189">
        <v>4128</v>
      </c>
      <c r="C4189">
        <v>108</v>
      </c>
      <c r="D4189">
        <v>51</v>
      </c>
      <c r="E4189">
        <v>13</v>
      </c>
      <c r="F4189">
        <v>12</v>
      </c>
      <c r="G4189">
        <v>6</v>
      </c>
      <c r="H4189">
        <v>1</v>
      </c>
      <c r="I4189">
        <v>0</v>
      </c>
      <c r="J4189">
        <v>19</v>
      </c>
      <c r="K4189" t="s">
        <v>248</v>
      </c>
    </row>
    <row r="4190" spans="2:11" x14ac:dyDescent="0.25">
      <c r="B4190">
        <v>4129</v>
      </c>
      <c r="C4190">
        <v>94</v>
      </c>
      <c r="D4190">
        <v>47</v>
      </c>
      <c r="E4190">
        <v>11</v>
      </c>
      <c r="F4190">
        <v>8</v>
      </c>
      <c r="G4190">
        <v>8</v>
      </c>
      <c r="H4190">
        <v>0</v>
      </c>
      <c r="I4190">
        <v>0</v>
      </c>
      <c r="J4190">
        <v>16</v>
      </c>
      <c r="K4190" t="s">
        <v>250</v>
      </c>
    </row>
    <row r="4191" spans="2:11" x14ac:dyDescent="0.25">
      <c r="B4191">
        <v>4131</v>
      </c>
      <c r="C4191">
        <v>246</v>
      </c>
      <c r="D4191">
        <v>110</v>
      </c>
      <c r="E4191">
        <v>13</v>
      </c>
      <c r="F4191">
        <v>5</v>
      </c>
      <c r="G4191">
        <v>6</v>
      </c>
      <c r="H4191">
        <v>4</v>
      </c>
      <c r="I4191">
        <v>0</v>
      </c>
      <c r="J4191">
        <v>15</v>
      </c>
      <c r="K4191" t="s">
        <v>243</v>
      </c>
    </row>
    <row r="4192" spans="2:11" x14ac:dyDescent="0.25">
      <c r="B4192">
        <v>4133</v>
      </c>
      <c r="C4192">
        <v>94</v>
      </c>
      <c r="D4192">
        <v>47</v>
      </c>
      <c r="E4192">
        <v>12</v>
      </c>
      <c r="F4192">
        <v>5</v>
      </c>
      <c r="G4192">
        <v>9</v>
      </c>
      <c r="H4192">
        <v>0</v>
      </c>
      <c r="I4192">
        <v>0</v>
      </c>
      <c r="J4192">
        <v>14</v>
      </c>
      <c r="K4192" t="s">
        <v>250</v>
      </c>
    </row>
    <row r="4193" spans="2:11" x14ac:dyDescent="0.25">
      <c r="B4193">
        <v>4132</v>
      </c>
      <c r="C4193">
        <v>285</v>
      </c>
      <c r="D4193">
        <v>132</v>
      </c>
      <c r="E4193">
        <v>15</v>
      </c>
      <c r="F4193">
        <v>16</v>
      </c>
      <c r="G4193">
        <v>4</v>
      </c>
      <c r="H4193">
        <v>3</v>
      </c>
      <c r="I4193">
        <v>0</v>
      </c>
      <c r="J4193">
        <v>23</v>
      </c>
      <c r="K4193" t="s">
        <v>245</v>
      </c>
    </row>
    <row r="4194" spans="2:11" x14ac:dyDescent="0.25">
      <c r="B4194">
        <v>4135</v>
      </c>
      <c r="C4194">
        <v>77</v>
      </c>
      <c r="D4194">
        <v>39</v>
      </c>
      <c r="E4194">
        <v>15</v>
      </c>
      <c r="F4194">
        <v>12</v>
      </c>
      <c r="G4194">
        <v>10</v>
      </c>
      <c r="H4194">
        <v>3</v>
      </c>
      <c r="I4194">
        <v>0</v>
      </c>
      <c r="J4194">
        <v>25</v>
      </c>
      <c r="K4194" t="s">
        <v>247</v>
      </c>
    </row>
    <row r="4195" spans="2:11" x14ac:dyDescent="0.25">
      <c r="B4195">
        <v>4137</v>
      </c>
      <c r="C4195">
        <v>251</v>
      </c>
      <c r="D4195">
        <v>113</v>
      </c>
      <c r="E4195">
        <v>16</v>
      </c>
      <c r="F4195">
        <v>2</v>
      </c>
      <c r="G4195">
        <v>4</v>
      </c>
      <c r="H4195">
        <v>0</v>
      </c>
      <c r="I4195">
        <v>0</v>
      </c>
      <c r="J4195">
        <v>6</v>
      </c>
      <c r="K4195" t="s">
        <v>252</v>
      </c>
    </row>
    <row r="4196" spans="2:11" x14ac:dyDescent="0.25">
      <c r="B4196">
        <v>4134</v>
      </c>
      <c r="C4196">
        <v>89</v>
      </c>
      <c r="D4196">
        <v>44</v>
      </c>
      <c r="E4196">
        <v>15</v>
      </c>
      <c r="F4196">
        <v>16</v>
      </c>
      <c r="G4196">
        <v>9</v>
      </c>
      <c r="H4196">
        <v>0</v>
      </c>
      <c r="I4196">
        <v>0</v>
      </c>
      <c r="J4196">
        <v>25</v>
      </c>
      <c r="K4196" t="s">
        <v>245</v>
      </c>
    </row>
    <row r="4197" spans="2:11" x14ac:dyDescent="0.25">
      <c r="B4197">
        <v>4138</v>
      </c>
      <c r="C4197">
        <v>94</v>
      </c>
      <c r="D4197">
        <v>47</v>
      </c>
      <c r="E4197">
        <v>10</v>
      </c>
      <c r="F4197">
        <v>7</v>
      </c>
      <c r="G4197">
        <v>7</v>
      </c>
      <c r="H4197">
        <v>3</v>
      </c>
      <c r="I4197">
        <v>0</v>
      </c>
      <c r="J4197">
        <v>17</v>
      </c>
      <c r="K4197" t="s">
        <v>250</v>
      </c>
    </row>
    <row r="4198" spans="2:11" x14ac:dyDescent="0.25">
      <c r="B4198">
        <v>4023</v>
      </c>
      <c r="C4198">
        <v>325</v>
      </c>
      <c r="D4198">
        <v>151</v>
      </c>
      <c r="E4198">
        <v>16</v>
      </c>
      <c r="F4198">
        <v>7</v>
      </c>
      <c r="G4198">
        <v>7</v>
      </c>
      <c r="H4198">
        <v>0</v>
      </c>
      <c r="I4198">
        <v>0</v>
      </c>
      <c r="J4198">
        <v>14</v>
      </c>
      <c r="K4198" t="s">
        <v>245</v>
      </c>
    </row>
    <row r="4199" spans="2:11" x14ac:dyDescent="0.25">
      <c r="B4199">
        <v>4079</v>
      </c>
      <c r="C4199">
        <v>326</v>
      </c>
      <c r="D4199">
        <v>151</v>
      </c>
      <c r="E4199">
        <v>16</v>
      </c>
      <c r="F4199">
        <v>9</v>
      </c>
      <c r="G4199">
        <v>5</v>
      </c>
      <c r="H4199">
        <v>0</v>
      </c>
      <c r="I4199">
        <v>0</v>
      </c>
      <c r="J4199">
        <v>14</v>
      </c>
      <c r="K4199" t="s">
        <v>250</v>
      </c>
    </row>
    <row r="4200" spans="2:11" x14ac:dyDescent="0.25">
      <c r="B4200">
        <v>4093</v>
      </c>
      <c r="C4200">
        <v>236</v>
      </c>
      <c r="D4200">
        <v>103</v>
      </c>
      <c r="E4200">
        <v>14</v>
      </c>
      <c r="F4200">
        <v>12</v>
      </c>
      <c r="G4200">
        <v>9</v>
      </c>
      <c r="H4200">
        <v>1</v>
      </c>
      <c r="I4200">
        <v>0</v>
      </c>
      <c r="J4200">
        <v>22</v>
      </c>
      <c r="K4200" t="s">
        <v>247</v>
      </c>
    </row>
    <row r="4201" spans="2:11" x14ac:dyDescent="0.25">
      <c r="B4201">
        <v>4105</v>
      </c>
      <c r="C4201">
        <v>112</v>
      </c>
      <c r="D4201">
        <v>51</v>
      </c>
      <c r="E4201">
        <v>16</v>
      </c>
      <c r="F4201">
        <v>18</v>
      </c>
      <c r="G4201">
        <v>7</v>
      </c>
      <c r="H4201">
        <v>0</v>
      </c>
      <c r="I4201">
        <v>0</v>
      </c>
      <c r="J4201">
        <v>25</v>
      </c>
      <c r="K4201" t="s">
        <v>252</v>
      </c>
    </row>
    <row r="4202" spans="2:11" x14ac:dyDescent="0.25">
      <c r="B4202">
        <v>4108</v>
      </c>
      <c r="C4202">
        <v>346</v>
      </c>
      <c r="D4202">
        <v>155</v>
      </c>
      <c r="E4202">
        <v>14</v>
      </c>
      <c r="F4202">
        <v>2</v>
      </c>
      <c r="G4202">
        <v>9</v>
      </c>
      <c r="H4202">
        <v>0</v>
      </c>
      <c r="I4202">
        <v>0</v>
      </c>
      <c r="J4202">
        <v>11</v>
      </c>
      <c r="K4202" t="s">
        <v>247</v>
      </c>
    </row>
    <row r="4203" spans="2:11" x14ac:dyDescent="0.25">
      <c r="B4203">
        <v>4130</v>
      </c>
      <c r="C4203">
        <v>18</v>
      </c>
      <c r="D4203">
        <v>9</v>
      </c>
      <c r="E4203">
        <v>15</v>
      </c>
      <c r="F4203">
        <v>8</v>
      </c>
      <c r="G4203">
        <v>4</v>
      </c>
      <c r="H4203">
        <v>0</v>
      </c>
      <c r="I4203">
        <v>0</v>
      </c>
      <c r="J4203">
        <v>12</v>
      </c>
      <c r="K4203" t="s">
        <v>245</v>
      </c>
    </row>
    <row r="4204" spans="2:11" x14ac:dyDescent="0.25">
      <c r="B4204">
        <v>4139</v>
      </c>
      <c r="C4204">
        <v>289</v>
      </c>
      <c r="D4204">
        <v>135</v>
      </c>
      <c r="E4204">
        <v>15</v>
      </c>
      <c r="F4204">
        <v>28</v>
      </c>
      <c r="G4204">
        <v>2</v>
      </c>
      <c r="H4204">
        <v>0</v>
      </c>
      <c r="I4204">
        <v>0</v>
      </c>
      <c r="J4204">
        <v>30</v>
      </c>
      <c r="K4204" t="s">
        <v>247</v>
      </c>
    </row>
    <row r="4205" spans="2:11" x14ac:dyDescent="0.25">
      <c r="B4205">
        <v>4136</v>
      </c>
      <c r="C4205">
        <v>165</v>
      </c>
      <c r="D4205">
        <v>71</v>
      </c>
      <c r="E4205">
        <v>13</v>
      </c>
      <c r="F4205">
        <v>6</v>
      </c>
      <c r="G4205">
        <v>14</v>
      </c>
      <c r="H4205">
        <v>0</v>
      </c>
      <c r="I4205">
        <v>0</v>
      </c>
      <c r="J4205">
        <v>20</v>
      </c>
      <c r="K4205" t="s">
        <v>243</v>
      </c>
    </row>
    <row r="4206" spans="2:11" x14ac:dyDescent="0.25">
      <c r="B4206">
        <v>4141</v>
      </c>
      <c r="C4206">
        <v>245</v>
      </c>
      <c r="D4206">
        <v>109</v>
      </c>
      <c r="E4206">
        <v>16</v>
      </c>
      <c r="F4206">
        <v>15</v>
      </c>
      <c r="G4206">
        <v>0</v>
      </c>
      <c r="H4206">
        <v>3</v>
      </c>
      <c r="I4206">
        <v>0</v>
      </c>
      <c r="J4206">
        <v>18</v>
      </c>
      <c r="K4206" t="s">
        <v>252</v>
      </c>
    </row>
    <row r="4207" spans="2:11" x14ac:dyDescent="0.25">
      <c r="B4207">
        <v>4142</v>
      </c>
      <c r="C4207">
        <v>333</v>
      </c>
      <c r="D4207">
        <v>152</v>
      </c>
      <c r="E4207">
        <v>15</v>
      </c>
      <c r="F4207">
        <v>19</v>
      </c>
      <c r="G4207">
        <v>11</v>
      </c>
      <c r="H4207">
        <v>0</v>
      </c>
      <c r="I4207">
        <v>0</v>
      </c>
      <c r="J4207">
        <v>30</v>
      </c>
      <c r="K4207" t="s">
        <v>247</v>
      </c>
    </row>
    <row r="4208" spans="2:11" x14ac:dyDescent="0.25">
      <c r="B4208">
        <v>4143</v>
      </c>
      <c r="C4208">
        <v>94</v>
      </c>
      <c r="D4208">
        <v>47</v>
      </c>
      <c r="E4208">
        <v>8</v>
      </c>
      <c r="F4208">
        <v>0</v>
      </c>
      <c r="G4208">
        <v>15</v>
      </c>
      <c r="H4208">
        <v>2</v>
      </c>
      <c r="I4208">
        <v>0</v>
      </c>
      <c r="J4208">
        <v>17</v>
      </c>
      <c r="K4208" t="s">
        <v>250</v>
      </c>
    </row>
    <row r="4209" spans="2:11" x14ac:dyDescent="0.25">
      <c r="B4209">
        <v>4145</v>
      </c>
      <c r="C4209">
        <v>62</v>
      </c>
      <c r="D4209">
        <v>33</v>
      </c>
      <c r="E4209">
        <v>15</v>
      </c>
      <c r="F4209">
        <v>17</v>
      </c>
      <c r="G4209">
        <v>13</v>
      </c>
      <c r="H4209">
        <v>0</v>
      </c>
      <c r="I4209">
        <v>0</v>
      </c>
      <c r="J4209">
        <v>30</v>
      </c>
      <c r="K4209" t="s">
        <v>245</v>
      </c>
    </row>
    <row r="4210" spans="2:11" x14ac:dyDescent="0.25">
      <c r="B4210">
        <v>4146</v>
      </c>
      <c r="C4210">
        <v>151</v>
      </c>
      <c r="D4210">
        <v>69</v>
      </c>
      <c r="E4210">
        <v>16</v>
      </c>
      <c r="F4210">
        <v>0</v>
      </c>
      <c r="G4210">
        <v>28</v>
      </c>
      <c r="H4210">
        <v>254</v>
      </c>
      <c r="I4210">
        <v>0</v>
      </c>
      <c r="J4210">
        <v>282</v>
      </c>
      <c r="K4210" t="s">
        <v>252</v>
      </c>
    </row>
    <row r="4211" spans="2:11" x14ac:dyDescent="0.25">
      <c r="B4211">
        <v>4150</v>
      </c>
      <c r="C4211">
        <v>94</v>
      </c>
      <c r="D4211">
        <v>47</v>
      </c>
      <c r="E4211">
        <v>7</v>
      </c>
      <c r="F4211">
        <v>10</v>
      </c>
      <c r="G4211">
        <v>8</v>
      </c>
      <c r="H4211">
        <v>0</v>
      </c>
      <c r="I4211">
        <v>0</v>
      </c>
      <c r="J4211">
        <v>18</v>
      </c>
      <c r="K4211" t="s">
        <v>250</v>
      </c>
    </row>
    <row r="4212" spans="2:11" x14ac:dyDescent="0.25">
      <c r="B4212">
        <v>4153</v>
      </c>
      <c r="C4212">
        <v>141</v>
      </c>
      <c r="D4212">
        <v>62</v>
      </c>
      <c r="E4212">
        <v>15</v>
      </c>
      <c r="F4212">
        <v>7</v>
      </c>
      <c r="G4212">
        <v>5</v>
      </c>
      <c r="H4212">
        <v>1</v>
      </c>
      <c r="I4212">
        <v>0</v>
      </c>
      <c r="J4212">
        <v>13</v>
      </c>
      <c r="K4212" t="s">
        <v>245</v>
      </c>
    </row>
    <row r="4213" spans="2:11" x14ac:dyDescent="0.25">
      <c r="B4213">
        <v>4155</v>
      </c>
      <c r="C4213">
        <v>299</v>
      </c>
      <c r="D4213">
        <v>137</v>
      </c>
      <c r="E4213">
        <v>15</v>
      </c>
      <c r="F4213">
        <v>15</v>
      </c>
      <c r="G4213">
        <v>7</v>
      </c>
      <c r="H4213">
        <v>0</v>
      </c>
      <c r="I4213">
        <v>0</v>
      </c>
      <c r="J4213">
        <v>22</v>
      </c>
      <c r="K4213" t="s">
        <v>247</v>
      </c>
    </row>
    <row r="4214" spans="2:11" x14ac:dyDescent="0.25">
      <c r="B4214">
        <v>4157</v>
      </c>
      <c r="C4214">
        <v>309</v>
      </c>
      <c r="D4214">
        <v>144</v>
      </c>
      <c r="E4214">
        <v>15</v>
      </c>
      <c r="F4214">
        <v>11</v>
      </c>
      <c r="G4214">
        <v>18</v>
      </c>
      <c r="H4214">
        <v>0</v>
      </c>
      <c r="I4214">
        <v>0</v>
      </c>
      <c r="J4214">
        <v>29</v>
      </c>
      <c r="K4214" t="s">
        <v>247</v>
      </c>
    </row>
    <row r="4215" spans="2:11" x14ac:dyDescent="0.25">
      <c r="B4215">
        <v>4156</v>
      </c>
      <c r="C4215">
        <v>164</v>
      </c>
      <c r="D4215">
        <v>70</v>
      </c>
      <c r="E4215">
        <v>14</v>
      </c>
      <c r="F4215">
        <v>3</v>
      </c>
      <c r="G4215">
        <v>2</v>
      </c>
      <c r="H4215">
        <v>0</v>
      </c>
      <c r="I4215">
        <v>0</v>
      </c>
      <c r="J4215">
        <v>5</v>
      </c>
      <c r="K4215" t="s">
        <v>243</v>
      </c>
    </row>
    <row r="4216" spans="2:11" x14ac:dyDescent="0.25">
      <c r="B4216">
        <v>4152</v>
      </c>
      <c r="C4216">
        <v>136</v>
      </c>
      <c r="D4216">
        <v>60</v>
      </c>
      <c r="E4216">
        <v>15</v>
      </c>
      <c r="F4216">
        <v>7</v>
      </c>
      <c r="G4216">
        <v>7</v>
      </c>
      <c r="H4216">
        <v>6</v>
      </c>
      <c r="I4216">
        <v>0</v>
      </c>
      <c r="J4216">
        <v>20</v>
      </c>
      <c r="K4216" t="s">
        <v>248</v>
      </c>
    </row>
    <row r="4217" spans="2:11" x14ac:dyDescent="0.25">
      <c r="B4217">
        <v>4160</v>
      </c>
      <c r="C4217">
        <v>4</v>
      </c>
      <c r="D4217">
        <v>1</v>
      </c>
      <c r="E4217">
        <v>15</v>
      </c>
      <c r="F4217">
        <v>2</v>
      </c>
      <c r="G4217">
        <v>2</v>
      </c>
      <c r="H4217">
        <v>0</v>
      </c>
      <c r="I4217">
        <v>0</v>
      </c>
      <c r="J4217">
        <v>4</v>
      </c>
      <c r="K4217" t="s">
        <v>247</v>
      </c>
    </row>
    <row r="4218" spans="2:11" x14ac:dyDescent="0.25">
      <c r="B4218">
        <v>4159</v>
      </c>
      <c r="C4218">
        <v>77</v>
      </c>
      <c r="D4218">
        <v>39</v>
      </c>
      <c r="E4218">
        <v>14</v>
      </c>
      <c r="F4218">
        <v>10</v>
      </c>
      <c r="G4218">
        <v>7</v>
      </c>
      <c r="H4218">
        <v>4</v>
      </c>
      <c r="I4218">
        <v>0</v>
      </c>
      <c r="J4218">
        <v>21</v>
      </c>
      <c r="K4218" t="s">
        <v>243</v>
      </c>
    </row>
    <row r="4219" spans="2:11" x14ac:dyDescent="0.25">
      <c r="B4219">
        <v>4161</v>
      </c>
      <c r="C4219">
        <v>302</v>
      </c>
      <c r="D4219">
        <v>140</v>
      </c>
      <c r="E4219">
        <v>15</v>
      </c>
      <c r="F4219">
        <v>12</v>
      </c>
      <c r="G4219">
        <v>5</v>
      </c>
      <c r="H4219">
        <v>0</v>
      </c>
      <c r="I4219">
        <v>0</v>
      </c>
      <c r="J4219">
        <v>17</v>
      </c>
      <c r="K4219" t="s">
        <v>245</v>
      </c>
    </row>
    <row r="4220" spans="2:11" x14ac:dyDescent="0.25">
      <c r="B4220">
        <v>4163</v>
      </c>
      <c r="C4220">
        <v>27</v>
      </c>
      <c r="D4220">
        <v>14</v>
      </c>
      <c r="E4220">
        <v>15</v>
      </c>
      <c r="F4220">
        <v>4</v>
      </c>
      <c r="G4220">
        <v>1</v>
      </c>
      <c r="H4220">
        <v>0</v>
      </c>
      <c r="I4220">
        <v>0</v>
      </c>
      <c r="J4220">
        <v>5</v>
      </c>
      <c r="K4220" t="s">
        <v>247</v>
      </c>
    </row>
    <row r="4221" spans="2:11" x14ac:dyDescent="0.25">
      <c r="B4221">
        <v>4166</v>
      </c>
      <c r="C4221">
        <v>125</v>
      </c>
      <c r="D4221">
        <v>56</v>
      </c>
      <c r="E4221">
        <v>15</v>
      </c>
      <c r="F4221">
        <v>6</v>
      </c>
      <c r="G4221">
        <v>4</v>
      </c>
      <c r="H4221">
        <v>5</v>
      </c>
      <c r="I4221">
        <v>0</v>
      </c>
      <c r="J4221">
        <v>15</v>
      </c>
      <c r="K4221" t="s">
        <v>247</v>
      </c>
    </row>
    <row r="4222" spans="2:11" x14ac:dyDescent="0.25">
      <c r="B4222">
        <v>4186</v>
      </c>
      <c r="C4222">
        <v>300</v>
      </c>
      <c r="D4222">
        <v>138</v>
      </c>
      <c r="E4222">
        <v>15</v>
      </c>
      <c r="F4222">
        <v>5</v>
      </c>
      <c r="G4222">
        <v>66</v>
      </c>
      <c r="H4222">
        <v>0</v>
      </c>
      <c r="I4222">
        <v>0</v>
      </c>
      <c r="J4222">
        <v>71</v>
      </c>
      <c r="K4222" t="s">
        <v>252</v>
      </c>
    </row>
    <row r="4223" spans="2:11" x14ac:dyDescent="0.25">
      <c r="B4223">
        <v>4234</v>
      </c>
      <c r="C4223">
        <v>51</v>
      </c>
      <c r="D4223">
        <v>26</v>
      </c>
      <c r="E4223">
        <v>14</v>
      </c>
      <c r="F4223">
        <v>9</v>
      </c>
      <c r="G4223">
        <v>7</v>
      </c>
      <c r="H4223">
        <v>0</v>
      </c>
      <c r="I4223">
        <v>0</v>
      </c>
      <c r="J4223">
        <v>16</v>
      </c>
      <c r="K4223" t="s">
        <v>246</v>
      </c>
    </row>
    <row r="4224" spans="2:11" x14ac:dyDescent="0.25">
      <c r="B4224">
        <v>4241</v>
      </c>
      <c r="C4224">
        <v>33</v>
      </c>
      <c r="D4224">
        <v>17</v>
      </c>
      <c r="E4224">
        <v>14</v>
      </c>
      <c r="F4224">
        <v>8</v>
      </c>
      <c r="G4224">
        <v>10</v>
      </c>
      <c r="H4224">
        <v>0</v>
      </c>
      <c r="I4224">
        <v>0</v>
      </c>
      <c r="J4224">
        <v>18</v>
      </c>
      <c r="K4224" t="s">
        <v>246</v>
      </c>
    </row>
    <row r="4225" spans="2:11" x14ac:dyDescent="0.25">
      <c r="B4225">
        <v>4250</v>
      </c>
      <c r="C4225">
        <v>52</v>
      </c>
      <c r="D4225">
        <v>26</v>
      </c>
      <c r="E4225">
        <v>16</v>
      </c>
      <c r="F4225">
        <v>7</v>
      </c>
      <c r="G4225">
        <v>5</v>
      </c>
      <c r="H4225">
        <v>0</v>
      </c>
      <c r="I4225">
        <v>0</v>
      </c>
      <c r="J4225">
        <v>12</v>
      </c>
      <c r="K4225" t="s">
        <v>245</v>
      </c>
    </row>
    <row r="4226" spans="2:11" x14ac:dyDescent="0.25">
      <c r="B4226">
        <v>4248</v>
      </c>
      <c r="C4226">
        <v>40</v>
      </c>
      <c r="D4226">
        <v>19</v>
      </c>
      <c r="E4226">
        <v>14</v>
      </c>
      <c r="F4226">
        <v>20</v>
      </c>
      <c r="G4226">
        <v>6</v>
      </c>
      <c r="H4226">
        <v>0</v>
      </c>
      <c r="I4226">
        <v>0</v>
      </c>
      <c r="J4226">
        <v>26</v>
      </c>
      <c r="K4226" t="s">
        <v>246</v>
      </c>
    </row>
    <row r="4227" spans="2:11" x14ac:dyDescent="0.25">
      <c r="B4227">
        <v>4251</v>
      </c>
      <c r="C4227">
        <v>41</v>
      </c>
      <c r="D4227">
        <v>20</v>
      </c>
      <c r="E4227">
        <v>14</v>
      </c>
      <c r="F4227">
        <v>8</v>
      </c>
      <c r="G4227">
        <v>3</v>
      </c>
      <c r="H4227">
        <v>0</v>
      </c>
      <c r="I4227">
        <v>0</v>
      </c>
      <c r="J4227">
        <v>11</v>
      </c>
      <c r="K4227" t="s">
        <v>246</v>
      </c>
    </row>
    <row r="4228" spans="2:11" x14ac:dyDescent="0.25">
      <c r="B4228">
        <v>4252</v>
      </c>
      <c r="C4228">
        <v>43</v>
      </c>
      <c r="D4228">
        <v>22</v>
      </c>
      <c r="E4228">
        <v>14</v>
      </c>
      <c r="F4228">
        <v>17</v>
      </c>
      <c r="G4228">
        <v>13</v>
      </c>
      <c r="H4228">
        <v>0</v>
      </c>
      <c r="I4228">
        <v>0</v>
      </c>
      <c r="J4228">
        <v>30</v>
      </c>
      <c r="K4228" t="s">
        <v>246</v>
      </c>
    </row>
    <row r="4229" spans="2:11" x14ac:dyDescent="0.25">
      <c r="B4229">
        <v>4253</v>
      </c>
      <c r="C4229">
        <v>94</v>
      </c>
      <c r="D4229">
        <v>47</v>
      </c>
      <c r="E4229">
        <v>13</v>
      </c>
      <c r="F4229">
        <v>5</v>
      </c>
      <c r="G4229">
        <v>7</v>
      </c>
      <c r="H4229">
        <v>1</v>
      </c>
      <c r="I4229">
        <v>0</v>
      </c>
      <c r="J4229">
        <v>13</v>
      </c>
      <c r="K4229" t="s">
        <v>243</v>
      </c>
    </row>
    <row r="4230" spans="2:11" x14ac:dyDescent="0.25">
      <c r="B4230">
        <v>4254</v>
      </c>
      <c r="C4230">
        <v>44</v>
      </c>
      <c r="D4230">
        <v>22</v>
      </c>
      <c r="E4230">
        <v>14</v>
      </c>
      <c r="F4230">
        <v>2</v>
      </c>
      <c r="G4230">
        <v>4</v>
      </c>
      <c r="H4230">
        <v>0</v>
      </c>
      <c r="I4230">
        <v>0</v>
      </c>
      <c r="J4230">
        <v>6</v>
      </c>
      <c r="K4230" t="s">
        <v>246</v>
      </c>
    </row>
    <row r="4231" spans="2:11" x14ac:dyDescent="0.25">
      <c r="B4231">
        <v>4256</v>
      </c>
      <c r="C4231">
        <v>97</v>
      </c>
      <c r="D4231">
        <v>48</v>
      </c>
      <c r="E4231">
        <v>14</v>
      </c>
      <c r="F4231">
        <v>8</v>
      </c>
      <c r="G4231">
        <v>11</v>
      </c>
      <c r="H4231">
        <v>0</v>
      </c>
      <c r="I4231">
        <v>0</v>
      </c>
      <c r="J4231">
        <v>19</v>
      </c>
      <c r="K4231" t="s">
        <v>246</v>
      </c>
    </row>
    <row r="4232" spans="2:11" x14ac:dyDescent="0.25">
      <c r="B4232">
        <v>4257</v>
      </c>
      <c r="C4232">
        <v>174</v>
      </c>
      <c r="D4232">
        <v>75</v>
      </c>
      <c r="E4232">
        <v>14</v>
      </c>
      <c r="F4232">
        <v>6</v>
      </c>
      <c r="G4232">
        <v>3</v>
      </c>
      <c r="H4232">
        <v>0</v>
      </c>
      <c r="I4232">
        <v>0</v>
      </c>
      <c r="J4232">
        <v>9</v>
      </c>
      <c r="K4232" t="s">
        <v>246</v>
      </c>
    </row>
    <row r="4233" spans="2:11" x14ac:dyDescent="0.25">
      <c r="B4233">
        <v>4259</v>
      </c>
      <c r="C4233">
        <v>283</v>
      </c>
      <c r="D4233">
        <v>131</v>
      </c>
      <c r="E4233">
        <v>16</v>
      </c>
      <c r="F4233">
        <v>17</v>
      </c>
      <c r="G4233">
        <v>10</v>
      </c>
      <c r="H4233">
        <v>0</v>
      </c>
      <c r="I4233">
        <v>0</v>
      </c>
      <c r="J4233">
        <v>27</v>
      </c>
      <c r="K4233" t="s">
        <v>246</v>
      </c>
    </row>
    <row r="4234" spans="2:11" x14ac:dyDescent="0.25">
      <c r="B4234">
        <v>4260</v>
      </c>
      <c r="C4234">
        <v>337</v>
      </c>
      <c r="D4234">
        <v>152</v>
      </c>
      <c r="E4234">
        <v>16</v>
      </c>
      <c r="F4234">
        <v>17</v>
      </c>
      <c r="G4234">
        <v>13</v>
      </c>
      <c r="H4234">
        <v>0</v>
      </c>
      <c r="I4234">
        <v>0</v>
      </c>
      <c r="J4234">
        <v>30</v>
      </c>
      <c r="K4234" t="s">
        <v>246</v>
      </c>
    </row>
    <row r="4235" spans="2:11" x14ac:dyDescent="0.25">
      <c r="B4235">
        <v>4258</v>
      </c>
      <c r="C4235">
        <v>283</v>
      </c>
      <c r="D4235">
        <v>131</v>
      </c>
      <c r="E4235">
        <v>15</v>
      </c>
      <c r="F4235">
        <v>20</v>
      </c>
      <c r="G4235">
        <v>10</v>
      </c>
      <c r="H4235">
        <v>0</v>
      </c>
      <c r="I4235">
        <v>0</v>
      </c>
      <c r="J4235">
        <v>30</v>
      </c>
      <c r="K4235" t="s">
        <v>243</v>
      </c>
    </row>
    <row r="4236" spans="2:11" x14ac:dyDescent="0.25">
      <c r="B4236">
        <v>4261</v>
      </c>
      <c r="C4236">
        <v>78</v>
      </c>
      <c r="D4236">
        <v>40</v>
      </c>
      <c r="E4236">
        <v>15</v>
      </c>
      <c r="F4236">
        <v>4</v>
      </c>
      <c r="G4236">
        <v>4</v>
      </c>
      <c r="H4236">
        <v>3</v>
      </c>
      <c r="I4236">
        <v>0</v>
      </c>
      <c r="J4236">
        <v>11</v>
      </c>
      <c r="K4236" t="s">
        <v>243</v>
      </c>
    </row>
    <row r="4237" spans="2:11" x14ac:dyDescent="0.25">
      <c r="B4237">
        <v>4263</v>
      </c>
      <c r="C4237">
        <v>264</v>
      </c>
      <c r="D4237">
        <v>118</v>
      </c>
      <c r="E4237">
        <v>15</v>
      </c>
      <c r="F4237">
        <v>7</v>
      </c>
      <c r="G4237">
        <v>6</v>
      </c>
      <c r="H4237">
        <v>3</v>
      </c>
      <c r="I4237">
        <v>0</v>
      </c>
      <c r="J4237">
        <v>16</v>
      </c>
      <c r="K4237" t="s">
        <v>243</v>
      </c>
    </row>
    <row r="4238" spans="2:11" x14ac:dyDescent="0.25">
      <c r="B4238">
        <v>4264</v>
      </c>
      <c r="C4238">
        <v>307</v>
      </c>
      <c r="D4238">
        <v>142</v>
      </c>
      <c r="E4238">
        <v>16</v>
      </c>
      <c r="F4238">
        <v>5</v>
      </c>
      <c r="G4238">
        <v>8</v>
      </c>
      <c r="H4238">
        <v>0</v>
      </c>
      <c r="I4238">
        <v>0</v>
      </c>
      <c r="J4238">
        <v>13</v>
      </c>
      <c r="K4238" t="s">
        <v>246</v>
      </c>
    </row>
    <row r="4239" spans="2:11" x14ac:dyDescent="0.25">
      <c r="B4239">
        <v>4266</v>
      </c>
      <c r="C4239">
        <v>58</v>
      </c>
      <c r="D4239">
        <v>29</v>
      </c>
      <c r="E4239">
        <v>16</v>
      </c>
      <c r="F4239">
        <v>8</v>
      </c>
      <c r="G4239">
        <v>7</v>
      </c>
      <c r="H4239">
        <v>0</v>
      </c>
      <c r="I4239">
        <v>0</v>
      </c>
      <c r="J4239">
        <v>15</v>
      </c>
      <c r="K4239" t="s">
        <v>246</v>
      </c>
    </row>
    <row r="4240" spans="2:11" x14ac:dyDescent="0.25">
      <c r="B4240">
        <v>4265</v>
      </c>
      <c r="C4240">
        <v>5</v>
      </c>
      <c r="D4240">
        <v>1</v>
      </c>
      <c r="E4240">
        <v>15</v>
      </c>
      <c r="F4240">
        <v>4</v>
      </c>
      <c r="G4240">
        <v>1</v>
      </c>
      <c r="H4240">
        <v>0</v>
      </c>
      <c r="I4240">
        <v>0</v>
      </c>
      <c r="J4240">
        <v>5</v>
      </c>
      <c r="K4240" t="s">
        <v>243</v>
      </c>
    </row>
    <row r="4241" spans="2:11" x14ac:dyDescent="0.25">
      <c r="B4241">
        <v>4268</v>
      </c>
      <c r="C4241">
        <v>169</v>
      </c>
      <c r="D4241">
        <v>73</v>
      </c>
      <c r="E4241">
        <v>16</v>
      </c>
      <c r="F4241">
        <v>10</v>
      </c>
      <c r="G4241">
        <v>0</v>
      </c>
      <c r="H4241">
        <v>0</v>
      </c>
      <c r="I4241">
        <v>0</v>
      </c>
      <c r="J4241">
        <v>10</v>
      </c>
      <c r="K4241" t="s">
        <v>246</v>
      </c>
    </row>
    <row r="4242" spans="2:11" x14ac:dyDescent="0.25">
      <c r="B4242">
        <v>4267</v>
      </c>
      <c r="C4242">
        <v>6</v>
      </c>
      <c r="D4242">
        <v>2</v>
      </c>
      <c r="E4242">
        <v>15</v>
      </c>
      <c r="F4242">
        <v>9</v>
      </c>
      <c r="G4242">
        <v>9</v>
      </c>
      <c r="H4242">
        <v>0</v>
      </c>
      <c r="I4242">
        <v>0</v>
      </c>
      <c r="J4242">
        <v>18</v>
      </c>
      <c r="K4242" t="s">
        <v>243</v>
      </c>
    </row>
    <row r="4243" spans="2:11" x14ac:dyDescent="0.25">
      <c r="B4243">
        <v>4270</v>
      </c>
      <c r="C4243">
        <v>289</v>
      </c>
      <c r="D4243">
        <v>135</v>
      </c>
      <c r="E4243">
        <v>16</v>
      </c>
      <c r="F4243">
        <v>24</v>
      </c>
      <c r="G4243">
        <v>6</v>
      </c>
      <c r="H4243">
        <v>0</v>
      </c>
      <c r="I4243">
        <v>0</v>
      </c>
      <c r="J4243">
        <v>30</v>
      </c>
      <c r="K4243" t="s">
        <v>246</v>
      </c>
    </row>
    <row r="4244" spans="2:11" x14ac:dyDescent="0.25">
      <c r="B4244">
        <v>4269</v>
      </c>
      <c r="C4244">
        <v>80</v>
      </c>
      <c r="D4244">
        <v>38</v>
      </c>
      <c r="E4244">
        <v>14</v>
      </c>
      <c r="F4244">
        <v>4</v>
      </c>
      <c r="G4244">
        <v>8</v>
      </c>
      <c r="H4244">
        <v>0</v>
      </c>
      <c r="I4244">
        <v>0</v>
      </c>
      <c r="J4244">
        <v>12</v>
      </c>
      <c r="K4244" t="s">
        <v>248</v>
      </c>
    </row>
    <row r="4245" spans="2:11" x14ac:dyDescent="0.25">
      <c r="B4245">
        <v>4271</v>
      </c>
      <c r="C4245">
        <v>56</v>
      </c>
      <c r="D4245">
        <v>29</v>
      </c>
      <c r="E4245">
        <v>15</v>
      </c>
      <c r="F4245">
        <v>10</v>
      </c>
      <c r="G4245">
        <v>7</v>
      </c>
      <c r="H4245">
        <v>0</v>
      </c>
      <c r="I4245">
        <v>0</v>
      </c>
      <c r="J4245">
        <v>17</v>
      </c>
      <c r="K4245" t="s">
        <v>243</v>
      </c>
    </row>
    <row r="4246" spans="2:11" x14ac:dyDescent="0.25">
      <c r="B4246">
        <v>4272</v>
      </c>
      <c r="C4246">
        <v>309</v>
      </c>
      <c r="D4246">
        <v>144</v>
      </c>
      <c r="E4246">
        <v>16</v>
      </c>
      <c r="F4246">
        <v>12</v>
      </c>
      <c r="G4246">
        <v>12</v>
      </c>
      <c r="H4246">
        <v>0</v>
      </c>
      <c r="I4246">
        <v>0</v>
      </c>
      <c r="J4246">
        <v>24</v>
      </c>
      <c r="K4246" t="s">
        <v>246</v>
      </c>
    </row>
    <row r="4247" spans="2:11" x14ac:dyDescent="0.25">
      <c r="B4247">
        <v>4275</v>
      </c>
      <c r="C4247">
        <v>297</v>
      </c>
      <c r="D4247">
        <v>136</v>
      </c>
      <c r="E4247">
        <v>16</v>
      </c>
      <c r="F4247">
        <v>7</v>
      </c>
      <c r="G4247">
        <v>3</v>
      </c>
      <c r="H4247">
        <v>0</v>
      </c>
      <c r="I4247">
        <v>0</v>
      </c>
      <c r="J4247">
        <v>10</v>
      </c>
      <c r="K4247" t="s">
        <v>246</v>
      </c>
    </row>
    <row r="4248" spans="2:11" x14ac:dyDescent="0.25">
      <c r="B4248">
        <v>4274</v>
      </c>
      <c r="C4248">
        <v>55</v>
      </c>
      <c r="D4248">
        <v>29</v>
      </c>
      <c r="E4248">
        <v>15</v>
      </c>
      <c r="F4248">
        <v>1</v>
      </c>
      <c r="G4248">
        <v>19</v>
      </c>
      <c r="H4248">
        <v>0</v>
      </c>
      <c r="I4248">
        <v>0</v>
      </c>
      <c r="J4248">
        <v>20</v>
      </c>
      <c r="K4248" t="s">
        <v>243</v>
      </c>
    </row>
    <row r="4249" spans="2:11" x14ac:dyDescent="0.25">
      <c r="B4249">
        <v>4276</v>
      </c>
      <c r="C4249">
        <v>70</v>
      </c>
      <c r="D4249">
        <v>35</v>
      </c>
      <c r="E4249">
        <v>15</v>
      </c>
      <c r="F4249">
        <v>10</v>
      </c>
      <c r="G4249">
        <v>14</v>
      </c>
      <c r="H4249">
        <v>3</v>
      </c>
      <c r="I4249">
        <v>0</v>
      </c>
      <c r="J4249">
        <v>27</v>
      </c>
      <c r="K4249" t="s">
        <v>245</v>
      </c>
    </row>
    <row r="4250" spans="2:11" x14ac:dyDescent="0.25">
      <c r="B4250">
        <v>4278</v>
      </c>
      <c r="C4250">
        <v>8</v>
      </c>
      <c r="D4250">
        <v>3</v>
      </c>
      <c r="E4250">
        <v>16</v>
      </c>
      <c r="F4250">
        <v>8</v>
      </c>
      <c r="G4250">
        <v>13</v>
      </c>
      <c r="H4250">
        <v>0</v>
      </c>
      <c r="I4250">
        <v>0</v>
      </c>
      <c r="J4250">
        <v>21</v>
      </c>
      <c r="K4250" t="s">
        <v>246</v>
      </c>
    </row>
    <row r="4251" spans="2:11" x14ac:dyDescent="0.25">
      <c r="B4251">
        <v>4279</v>
      </c>
      <c r="C4251">
        <v>54</v>
      </c>
      <c r="D4251">
        <v>28</v>
      </c>
      <c r="E4251">
        <v>15</v>
      </c>
      <c r="F4251">
        <v>7</v>
      </c>
      <c r="G4251">
        <v>6</v>
      </c>
      <c r="H4251">
        <v>0</v>
      </c>
      <c r="I4251">
        <v>0</v>
      </c>
      <c r="J4251">
        <v>13</v>
      </c>
      <c r="K4251" t="s">
        <v>243</v>
      </c>
    </row>
    <row r="4252" spans="2:11" x14ac:dyDescent="0.25">
      <c r="B4252">
        <v>4281</v>
      </c>
      <c r="C4252">
        <v>79</v>
      </c>
      <c r="D4252">
        <v>41</v>
      </c>
      <c r="E4252">
        <v>15</v>
      </c>
      <c r="F4252">
        <v>4</v>
      </c>
      <c r="G4252">
        <v>2</v>
      </c>
      <c r="H4252">
        <v>0</v>
      </c>
      <c r="I4252">
        <v>0</v>
      </c>
      <c r="J4252">
        <v>6</v>
      </c>
      <c r="K4252" t="s">
        <v>245</v>
      </c>
    </row>
    <row r="4253" spans="2:11" x14ac:dyDescent="0.25">
      <c r="B4253">
        <v>4282</v>
      </c>
      <c r="C4253">
        <v>154</v>
      </c>
      <c r="D4253">
        <v>69</v>
      </c>
      <c r="E4253">
        <v>16</v>
      </c>
      <c r="F4253">
        <v>6</v>
      </c>
      <c r="G4253">
        <v>6</v>
      </c>
      <c r="H4253">
        <v>0</v>
      </c>
      <c r="I4253">
        <v>0</v>
      </c>
      <c r="J4253">
        <v>12</v>
      </c>
      <c r="K4253" t="s">
        <v>250</v>
      </c>
    </row>
    <row r="4254" spans="2:11" x14ac:dyDescent="0.25">
      <c r="B4254">
        <v>4283</v>
      </c>
      <c r="C4254">
        <v>126</v>
      </c>
      <c r="D4254">
        <v>56</v>
      </c>
      <c r="E4254">
        <v>16</v>
      </c>
      <c r="F4254">
        <v>2</v>
      </c>
      <c r="G4254">
        <v>5</v>
      </c>
      <c r="H4254">
        <v>6</v>
      </c>
      <c r="I4254">
        <v>0</v>
      </c>
      <c r="J4254">
        <v>13</v>
      </c>
      <c r="K4254" t="s">
        <v>246</v>
      </c>
    </row>
    <row r="4255" spans="2:11" x14ac:dyDescent="0.25">
      <c r="B4255">
        <v>4280</v>
      </c>
      <c r="C4255">
        <v>330</v>
      </c>
      <c r="D4255">
        <v>152</v>
      </c>
      <c r="E4255">
        <v>14</v>
      </c>
      <c r="F4255">
        <v>10</v>
      </c>
      <c r="G4255">
        <v>8</v>
      </c>
      <c r="H4255">
        <v>0</v>
      </c>
      <c r="I4255">
        <v>0</v>
      </c>
      <c r="J4255">
        <v>18</v>
      </c>
      <c r="K4255" t="s">
        <v>247</v>
      </c>
    </row>
    <row r="4256" spans="2:11" x14ac:dyDescent="0.25">
      <c r="B4256">
        <v>4286</v>
      </c>
      <c r="C4256">
        <v>69</v>
      </c>
      <c r="D4256">
        <v>35</v>
      </c>
      <c r="E4256">
        <v>15</v>
      </c>
      <c r="F4256">
        <v>8</v>
      </c>
      <c r="G4256">
        <v>14</v>
      </c>
      <c r="H4256">
        <v>0</v>
      </c>
      <c r="I4256">
        <v>0</v>
      </c>
      <c r="J4256">
        <v>22</v>
      </c>
      <c r="K4256" t="s">
        <v>245</v>
      </c>
    </row>
    <row r="4257" spans="2:11" x14ac:dyDescent="0.25">
      <c r="B4257">
        <v>4288</v>
      </c>
      <c r="C4257">
        <v>128</v>
      </c>
      <c r="D4257">
        <v>56</v>
      </c>
      <c r="E4257">
        <v>16</v>
      </c>
      <c r="F4257">
        <v>8</v>
      </c>
      <c r="G4257">
        <v>2</v>
      </c>
      <c r="H4257">
        <v>1</v>
      </c>
      <c r="I4257">
        <v>0</v>
      </c>
      <c r="J4257">
        <v>11</v>
      </c>
      <c r="K4257" t="s">
        <v>246</v>
      </c>
    </row>
    <row r="4258" spans="2:11" x14ac:dyDescent="0.25">
      <c r="B4258">
        <v>4285</v>
      </c>
      <c r="C4258">
        <v>155</v>
      </c>
      <c r="D4258">
        <v>69</v>
      </c>
      <c r="E4258">
        <v>16</v>
      </c>
      <c r="F4258">
        <v>17</v>
      </c>
      <c r="G4258">
        <v>9</v>
      </c>
      <c r="H4258">
        <v>0</v>
      </c>
      <c r="I4258">
        <v>0</v>
      </c>
      <c r="J4258">
        <v>26</v>
      </c>
      <c r="K4258" t="s">
        <v>248</v>
      </c>
    </row>
    <row r="4259" spans="2:11" x14ac:dyDescent="0.25">
      <c r="B4259">
        <v>4293</v>
      </c>
      <c r="C4259">
        <v>58</v>
      </c>
      <c r="D4259">
        <v>29</v>
      </c>
      <c r="E4259">
        <v>15</v>
      </c>
      <c r="F4259">
        <v>6</v>
      </c>
      <c r="G4259">
        <v>6</v>
      </c>
      <c r="H4259">
        <v>1</v>
      </c>
      <c r="I4259">
        <v>0</v>
      </c>
      <c r="J4259">
        <v>13</v>
      </c>
      <c r="K4259" t="s">
        <v>245</v>
      </c>
    </row>
    <row r="4260" spans="2:11" x14ac:dyDescent="0.25">
      <c r="B4260">
        <v>4292</v>
      </c>
      <c r="C4260">
        <v>242</v>
      </c>
      <c r="D4260">
        <v>107</v>
      </c>
      <c r="E4260">
        <v>13</v>
      </c>
      <c r="F4260">
        <v>8</v>
      </c>
      <c r="G4260">
        <v>7</v>
      </c>
      <c r="H4260">
        <v>0</v>
      </c>
      <c r="I4260">
        <v>0</v>
      </c>
      <c r="J4260">
        <v>15</v>
      </c>
      <c r="K4260" t="s">
        <v>250</v>
      </c>
    </row>
    <row r="4261" spans="2:11" x14ac:dyDescent="0.25">
      <c r="B4261">
        <v>4291</v>
      </c>
      <c r="C4261">
        <v>125</v>
      </c>
      <c r="D4261">
        <v>56</v>
      </c>
      <c r="E4261">
        <v>16</v>
      </c>
      <c r="F4261">
        <v>9</v>
      </c>
      <c r="G4261">
        <v>6</v>
      </c>
      <c r="H4261">
        <v>5</v>
      </c>
      <c r="I4261">
        <v>0</v>
      </c>
      <c r="J4261">
        <v>20</v>
      </c>
      <c r="K4261" t="s">
        <v>246</v>
      </c>
    </row>
    <row r="4262" spans="2:11" x14ac:dyDescent="0.25">
      <c r="B4262">
        <v>4296</v>
      </c>
      <c r="C4262">
        <v>128</v>
      </c>
      <c r="D4262">
        <v>56</v>
      </c>
      <c r="E4262">
        <v>15</v>
      </c>
      <c r="F4262">
        <v>14</v>
      </c>
      <c r="G4262">
        <v>5</v>
      </c>
      <c r="H4262">
        <v>2</v>
      </c>
      <c r="I4262">
        <v>0</v>
      </c>
      <c r="J4262">
        <v>21</v>
      </c>
      <c r="K4262" t="s">
        <v>245</v>
      </c>
    </row>
    <row r="4263" spans="2:11" x14ac:dyDescent="0.25">
      <c r="B4263">
        <v>4298</v>
      </c>
      <c r="C4263">
        <v>80</v>
      </c>
      <c r="D4263">
        <v>38</v>
      </c>
      <c r="E4263">
        <v>15</v>
      </c>
      <c r="F4263">
        <v>3</v>
      </c>
      <c r="G4263">
        <v>1</v>
      </c>
      <c r="H4263">
        <v>0</v>
      </c>
      <c r="I4263">
        <v>0</v>
      </c>
      <c r="J4263">
        <v>4</v>
      </c>
      <c r="K4263" t="s">
        <v>250</v>
      </c>
    </row>
    <row r="4264" spans="2:11" x14ac:dyDescent="0.25">
      <c r="B4264">
        <v>4297</v>
      </c>
      <c r="C4264">
        <v>154</v>
      </c>
      <c r="D4264">
        <v>69</v>
      </c>
      <c r="E4264">
        <v>14</v>
      </c>
      <c r="F4264">
        <v>7</v>
      </c>
      <c r="G4264">
        <v>10</v>
      </c>
      <c r="H4264">
        <v>0</v>
      </c>
      <c r="I4264">
        <v>0</v>
      </c>
      <c r="J4264">
        <v>17</v>
      </c>
      <c r="K4264" t="s">
        <v>248</v>
      </c>
    </row>
    <row r="4265" spans="2:11" x14ac:dyDescent="0.25">
      <c r="B4265">
        <v>4299</v>
      </c>
      <c r="C4265">
        <v>72</v>
      </c>
      <c r="D4265">
        <v>35</v>
      </c>
      <c r="E4265">
        <v>15</v>
      </c>
      <c r="F4265">
        <v>7</v>
      </c>
      <c r="G4265">
        <v>17</v>
      </c>
      <c r="H4265">
        <v>1</v>
      </c>
      <c r="I4265">
        <v>0</v>
      </c>
      <c r="J4265">
        <v>25</v>
      </c>
      <c r="K4265" t="s">
        <v>246</v>
      </c>
    </row>
    <row r="4266" spans="2:11" x14ac:dyDescent="0.25">
      <c r="B4266">
        <v>4302</v>
      </c>
      <c r="C4266">
        <v>154</v>
      </c>
      <c r="D4266">
        <v>69</v>
      </c>
      <c r="E4266">
        <v>15</v>
      </c>
      <c r="F4266">
        <v>5</v>
      </c>
      <c r="G4266">
        <v>8</v>
      </c>
      <c r="H4266">
        <v>0</v>
      </c>
      <c r="I4266">
        <v>0</v>
      </c>
      <c r="J4266">
        <v>13</v>
      </c>
      <c r="K4266" t="s">
        <v>248</v>
      </c>
    </row>
    <row r="4267" spans="2:11" x14ac:dyDescent="0.25">
      <c r="B4267">
        <v>4303</v>
      </c>
      <c r="C4267">
        <v>52</v>
      </c>
      <c r="D4267">
        <v>26</v>
      </c>
      <c r="E4267">
        <v>15</v>
      </c>
      <c r="F4267">
        <v>8</v>
      </c>
      <c r="G4267">
        <v>7</v>
      </c>
      <c r="H4267">
        <v>0</v>
      </c>
      <c r="I4267">
        <v>0</v>
      </c>
      <c r="J4267">
        <v>15</v>
      </c>
      <c r="K4267" t="s">
        <v>243</v>
      </c>
    </row>
    <row r="4268" spans="2:11" x14ac:dyDescent="0.25">
      <c r="B4268">
        <v>4140</v>
      </c>
      <c r="C4268">
        <v>20</v>
      </c>
      <c r="D4268">
        <v>10</v>
      </c>
      <c r="E4268">
        <v>15</v>
      </c>
      <c r="F4268">
        <v>11</v>
      </c>
      <c r="G4268">
        <v>6</v>
      </c>
      <c r="H4268">
        <v>0</v>
      </c>
      <c r="I4268">
        <v>0</v>
      </c>
      <c r="J4268">
        <v>17</v>
      </c>
      <c r="K4268" t="s">
        <v>245</v>
      </c>
    </row>
    <row r="4269" spans="2:11" x14ac:dyDescent="0.25">
      <c r="B4269">
        <v>4148</v>
      </c>
      <c r="C4269">
        <v>166</v>
      </c>
      <c r="D4269">
        <v>71</v>
      </c>
      <c r="E4269">
        <v>15</v>
      </c>
      <c r="F4269">
        <v>2</v>
      </c>
      <c r="G4269">
        <v>4</v>
      </c>
      <c r="H4269">
        <v>0</v>
      </c>
      <c r="I4269">
        <v>0</v>
      </c>
      <c r="J4269">
        <v>6</v>
      </c>
      <c r="K4269" t="s">
        <v>248</v>
      </c>
    </row>
    <row r="4270" spans="2:11" x14ac:dyDescent="0.25">
      <c r="B4270">
        <v>4149</v>
      </c>
      <c r="C4270">
        <v>318</v>
      </c>
      <c r="D4270">
        <v>147</v>
      </c>
      <c r="E4270">
        <v>15</v>
      </c>
      <c r="F4270">
        <v>13</v>
      </c>
      <c r="G4270">
        <v>13</v>
      </c>
      <c r="H4270">
        <v>0</v>
      </c>
      <c r="I4270">
        <v>0</v>
      </c>
      <c r="J4270">
        <v>26</v>
      </c>
      <c r="K4270" t="s">
        <v>245</v>
      </c>
    </row>
    <row r="4271" spans="2:11" x14ac:dyDescent="0.25">
      <c r="B4271">
        <v>4154</v>
      </c>
      <c r="C4271">
        <v>94</v>
      </c>
      <c r="D4271">
        <v>47</v>
      </c>
      <c r="E4271">
        <v>9</v>
      </c>
      <c r="F4271">
        <v>2</v>
      </c>
      <c r="G4271">
        <v>12</v>
      </c>
      <c r="H4271">
        <v>1</v>
      </c>
      <c r="I4271">
        <v>0</v>
      </c>
      <c r="J4271">
        <v>15</v>
      </c>
      <c r="K4271" t="s">
        <v>250</v>
      </c>
    </row>
    <row r="4272" spans="2:11" x14ac:dyDescent="0.25">
      <c r="B4272">
        <v>4158</v>
      </c>
      <c r="C4272">
        <v>68</v>
      </c>
      <c r="D4272">
        <v>35</v>
      </c>
      <c r="E4272">
        <v>15</v>
      </c>
      <c r="F4272">
        <v>6</v>
      </c>
      <c r="G4272">
        <v>9</v>
      </c>
      <c r="H4272">
        <v>9</v>
      </c>
      <c r="I4272">
        <v>0</v>
      </c>
      <c r="J4272">
        <v>24</v>
      </c>
      <c r="K4272" t="s">
        <v>247</v>
      </c>
    </row>
    <row r="4273" spans="2:11" x14ac:dyDescent="0.25">
      <c r="B4273">
        <v>4165</v>
      </c>
      <c r="C4273">
        <v>301</v>
      </c>
      <c r="D4273">
        <v>139</v>
      </c>
      <c r="E4273">
        <v>15</v>
      </c>
      <c r="F4273">
        <v>2</v>
      </c>
      <c r="G4273">
        <v>0</v>
      </c>
      <c r="H4273">
        <v>0</v>
      </c>
      <c r="I4273">
        <v>0</v>
      </c>
      <c r="J4273">
        <v>2</v>
      </c>
      <c r="K4273" t="s">
        <v>245</v>
      </c>
    </row>
    <row r="4274" spans="2:11" x14ac:dyDescent="0.25">
      <c r="B4274">
        <v>4273</v>
      </c>
      <c r="C4274">
        <v>155</v>
      </c>
      <c r="D4274">
        <v>69</v>
      </c>
      <c r="E4274">
        <v>14</v>
      </c>
      <c r="F4274">
        <v>13</v>
      </c>
      <c r="G4274">
        <v>17</v>
      </c>
      <c r="H4274">
        <v>0</v>
      </c>
      <c r="I4274">
        <v>0</v>
      </c>
      <c r="J4274">
        <v>30</v>
      </c>
      <c r="K4274" t="s">
        <v>248</v>
      </c>
    </row>
    <row r="4275" spans="2:11" x14ac:dyDescent="0.25">
      <c r="B4275">
        <v>4277</v>
      </c>
      <c r="C4275">
        <v>155</v>
      </c>
      <c r="D4275">
        <v>69</v>
      </c>
      <c r="E4275">
        <v>15</v>
      </c>
      <c r="F4275">
        <v>9</v>
      </c>
      <c r="G4275">
        <v>12</v>
      </c>
      <c r="H4275">
        <v>0</v>
      </c>
      <c r="I4275">
        <v>0</v>
      </c>
      <c r="J4275">
        <v>21</v>
      </c>
      <c r="K4275" t="s">
        <v>248</v>
      </c>
    </row>
    <row r="4276" spans="2:11" x14ac:dyDescent="0.25">
      <c r="B4276">
        <v>4287</v>
      </c>
      <c r="C4276">
        <v>242</v>
      </c>
      <c r="D4276">
        <v>107</v>
      </c>
      <c r="E4276">
        <v>14</v>
      </c>
      <c r="F4276">
        <v>5</v>
      </c>
      <c r="G4276">
        <v>9</v>
      </c>
      <c r="H4276">
        <v>0</v>
      </c>
      <c r="I4276">
        <v>0</v>
      </c>
      <c r="J4276">
        <v>14</v>
      </c>
      <c r="K4276" t="s">
        <v>250</v>
      </c>
    </row>
    <row r="4277" spans="2:11" x14ac:dyDescent="0.25">
      <c r="B4277">
        <v>4290</v>
      </c>
      <c r="C4277">
        <v>74</v>
      </c>
      <c r="D4277">
        <v>36</v>
      </c>
      <c r="E4277">
        <v>15</v>
      </c>
      <c r="F4277">
        <v>5</v>
      </c>
      <c r="G4277">
        <v>10</v>
      </c>
      <c r="H4277">
        <v>2</v>
      </c>
      <c r="I4277">
        <v>0</v>
      </c>
      <c r="J4277">
        <v>17</v>
      </c>
      <c r="K4277" t="s">
        <v>245</v>
      </c>
    </row>
    <row r="4278" spans="2:11" x14ac:dyDescent="0.25">
      <c r="B4278">
        <v>4289</v>
      </c>
      <c r="C4278">
        <v>330</v>
      </c>
      <c r="D4278">
        <v>152</v>
      </c>
      <c r="E4278">
        <v>15</v>
      </c>
      <c r="F4278">
        <v>7</v>
      </c>
      <c r="G4278">
        <v>9</v>
      </c>
      <c r="H4278">
        <v>0</v>
      </c>
      <c r="I4278">
        <v>0</v>
      </c>
      <c r="J4278">
        <v>16</v>
      </c>
      <c r="K4278" t="s">
        <v>247</v>
      </c>
    </row>
    <row r="4279" spans="2:11" x14ac:dyDescent="0.25">
      <c r="B4279">
        <v>4304</v>
      </c>
      <c r="C4279">
        <v>8</v>
      </c>
      <c r="D4279">
        <v>3</v>
      </c>
      <c r="E4279">
        <v>15</v>
      </c>
      <c r="F4279">
        <v>9</v>
      </c>
      <c r="G4279">
        <v>11</v>
      </c>
      <c r="H4279">
        <v>0</v>
      </c>
      <c r="I4279">
        <v>0</v>
      </c>
      <c r="J4279">
        <v>20</v>
      </c>
      <c r="K4279" t="s">
        <v>245</v>
      </c>
    </row>
    <row r="4280" spans="2:11" x14ac:dyDescent="0.25">
      <c r="B4280">
        <v>4305</v>
      </c>
      <c r="C4280">
        <v>73</v>
      </c>
      <c r="D4280">
        <v>35</v>
      </c>
      <c r="E4280">
        <v>15</v>
      </c>
      <c r="F4280">
        <v>14</v>
      </c>
      <c r="G4280">
        <v>14</v>
      </c>
      <c r="H4280">
        <v>2</v>
      </c>
      <c r="I4280">
        <v>0</v>
      </c>
      <c r="J4280">
        <v>30</v>
      </c>
      <c r="K4280" t="s">
        <v>246</v>
      </c>
    </row>
    <row r="4281" spans="2:11" x14ac:dyDescent="0.25">
      <c r="B4281">
        <v>4308</v>
      </c>
      <c r="C4281">
        <v>71</v>
      </c>
      <c r="D4281">
        <v>35</v>
      </c>
      <c r="E4281">
        <v>15</v>
      </c>
      <c r="F4281">
        <v>11</v>
      </c>
      <c r="G4281">
        <v>12</v>
      </c>
      <c r="H4281">
        <v>5</v>
      </c>
      <c r="I4281">
        <v>0</v>
      </c>
      <c r="J4281">
        <v>28</v>
      </c>
      <c r="K4281" t="s">
        <v>246</v>
      </c>
    </row>
    <row r="4282" spans="2:11" x14ac:dyDescent="0.25">
      <c r="B4282">
        <v>4307</v>
      </c>
      <c r="C4282">
        <v>51</v>
      </c>
      <c r="D4282">
        <v>26</v>
      </c>
      <c r="E4282">
        <v>15</v>
      </c>
      <c r="F4282">
        <v>8</v>
      </c>
      <c r="G4282">
        <v>10</v>
      </c>
      <c r="H4282">
        <v>0</v>
      </c>
      <c r="I4282">
        <v>0</v>
      </c>
      <c r="J4282">
        <v>18</v>
      </c>
      <c r="K4282" t="s">
        <v>243</v>
      </c>
    </row>
    <row r="4283" spans="2:11" x14ac:dyDescent="0.25">
      <c r="B4283">
        <v>4300</v>
      </c>
      <c r="C4283">
        <v>60</v>
      </c>
      <c r="D4283">
        <v>31</v>
      </c>
      <c r="E4283">
        <v>15</v>
      </c>
      <c r="F4283">
        <v>27</v>
      </c>
      <c r="G4283">
        <v>2</v>
      </c>
      <c r="H4283">
        <v>0</v>
      </c>
      <c r="I4283">
        <v>0</v>
      </c>
      <c r="J4283">
        <v>29</v>
      </c>
      <c r="K4283" t="s">
        <v>247</v>
      </c>
    </row>
    <row r="4284" spans="2:11" x14ac:dyDescent="0.25">
      <c r="B4284">
        <v>4310</v>
      </c>
      <c r="C4284">
        <v>174</v>
      </c>
      <c r="D4284">
        <v>75</v>
      </c>
      <c r="E4284">
        <v>15</v>
      </c>
      <c r="F4284">
        <v>12</v>
      </c>
      <c r="G4284">
        <v>4</v>
      </c>
      <c r="H4284">
        <v>0</v>
      </c>
      <c r="I4284">
        <v>0</v>
      </c>
      <c r="J4284">
        <v>16</v>
      </c>
      <c r="K4284" t="s">
        <v>250</v>
      </c>
    </row>
    <row r="4285" spans="2:11" x14ac:dyDescent="0.25">
      <c r="B4285">
        <v>4311</v>
      </c>
      <c r="C4285">
        <v>285</v>
      </c>
      <c r="D4285">
        <v>132</v>
      </c>
      <c r="E4285">
        <v>16</v>
      </c>
      <c r="F4285">
        <v>19</v>
      </c>
      <c r="G4285">
        <v>10</v>
      </c>
      <c r="H4285">
        <v>1</v>
      </c>
      <c r="I4285">
        <v>0</v>
      </c>
      <c r="J4285">
        <v>30</v>
      </c>
      <c r="K4285" t="s">
        <v>247</v>
      </c>
    </row>
    <row r="4286" spans="2:11" x14ac:dyDescent="0.25">
      <c r="B4286">
        <v>4312</v>
      </c>
      <c r="C4286">
        <v>321</v>
      </c>
      <c r="D4286">
        <v>149</v>
      </c>
      <c r="E4286">
        <v>16</v>
      </c>
      <c r="F4286">
        <v>15</v>
      </c>
      <c r="G4286">
        <v>10</v>
      </c>
      <c r="H4286">
        <v>0</v>
      </c>
      <c r="I4286">
        <v>0</v>
      </c>
      <c r="J4286">
        <v>25</v>
      </c>
      <c r="K4286" t="s">
        <v>245</v>
      </c>
    </row>
    <row r="4287" spans="2:11" x14ac:dyDescent="0.25">
      <c r="B4287">
        <v>4314</v>
      </c>
      <c r="C4287">
        <v>300</v>
      </c>
      <c r="D4287">
        <v>138</v>
      </c>
      <c r="E4287">
        <v>16</v>
      </c>
      <c r="F4287">
        <v>7</v>
      </c>
      <c r="G4287">
        <v>7</v>
      </c>
      <c r="H4287">
        <v>0</v>
      </c>
      <c r="I4287">
        <v>0</v>
      </c>
      <c r="J4287">
        <v>14</v>
      </c>
      <c r="K4287" t="s">
        <v>247</v>
      </c>
    </row>
    <row r="4288" spans="2:11" x14ac:dyDescent="0.25">
      <c r="B4288">
        <v>4315</v>
      </c>
      <c r="C4288">
        <v>298</v>
      </c>
      <c r="D4288">
        <v>137</v>
      </c>
      <c r="E4288">
        <v>16</v>
      </c>
      <c r="F4288">
        <v>3</v>
      </c>
      <c r="G4288">
        <v>17</v>
      </c>
      <c r="H4288">
        <v>0</v>
      </c>
      <c r="I4288">
        <v>0</v>
      </c>
      <c r="J4288">
        <v>20</v>
      </c>
      <c r="K4288" t="s">
        <v>245</v>
      </c>
    </row>
    <row r="4289" spans="2:11" x14ac:dyDescent="0.25">
      <c r="B4289">
        <v>4316</v>
      </c>
      <c r="C4289">
        <v>299</v>
      </c>
      <c r="D4289">
        <v>137</v>
      </c>
      <c r="E4289">
        <v>16</v>
      </c>
      <c r="F4289">
        <v>12</v>
      </c>
      <c r="G4289">
        <v>15</v>
      </c>
      <c r="H4289">
        <v>3</v>
      </c>
      <c r="I4289">
        <v>0</v>
      </c>
      <c r="J4289">
        <v>30</v>
      </c>
      <c r="K4289" t="s">
        <v>247</v>
      </c>
    </row>
    <row r="4290" spans="2:11" x14ac:dyDescent="0.25">
      <c r="B4290">
        <v>4317</v>
      </c>
      <c r="C4290">
        <v>140</v>
      </c>
      <c r="D4290">
        <v>62</v>
      </c>
      <c r="E4290">
        <v>16</v>
      </c>
      <c r="F4290">
        <v>14</v>
      </c>
      <c r="G4290">
        <v>8</v>
      </c>
      <c r="H4290">
        <v>2</v>
      </c>
      <c r="I4290">
        <v>0</v>
      </c>
      <c r="J4290">
        <v>24</v>
      </c>
      <c r="K4290" t="s">
        <v>245</v>
      </c>
    </row>
    <row r="4291" spans="2:11" x14ac:dyDescent="0.25">
      <c r="B4291">
        <v>4319</v>
      </c>
      <c r="C4291">
        <v>287</v>
      </c>
      <c r="D4291">
        <v>133</v>
      </c>
      <c r="E4291">
        <v>16</v>
      </c>
      <c r="F4291">
        <v>9</v>
      </c>
      <c r="G4291">
        <v>2</v>
      </c>
      <c r="H4291">
        <v>1</v>
      </c>
      <c r="I4291">
        <v>0</v>
      </c>
      <c r="J4291">
        <v>12</v>
      </c>
      <c r="K4291" t="s">
        <v>247</v>
      </c>
    </row>
    <row r="4292" spans="2:11" x14ac:dyDescent="0.25">
      <c r="B4292">
        <v>4320</v>
      </c>
      <c r="C4292">
        <v>139</v>
      </c>
      <c r="D4292">
        <v>61</v>
      </c>
      <c r="E4292">
        <v>16</v>
      </c>
      <c r="F4292">
        <v>3</v>
      </c>
      <c r="G4292">
        <v>3</v>
      </c>
      <c r="H4292">
        <v>0</v>
      </c>
      <c r="I4292">
        <v>0</v>
      </c>
      <c r="J4292">
        <v>6</v>
      </c>
      <c r="K4292" t="s">
        <v>245</v>
      </c>
    </row>
    <row r="4293" spans="2:11" x14ac:dyDescent="0.25">
      <c r="B4293">
        <v>4309</v>
      </c>
      <c r="C4293">
        <v>50</v>
      </c>
      <c r="D4293">
        <v>25</v>
      </c>
      <c r="E4293">
        <v>15</v>
      </c>
      <c r="F4293">
        <v>2</v>
      </c>
      <c r="G4293">
        <v>4</v>
      </c>
      <c r="H4293">
        <v>0</v>
      </c>
      <c r="I4293">
        <v>0</v>
      </c>
      <c r="J4293">
        <v>6</v>
      </c>
      <c r="K4293" t="s">
        <v>243</v>
      </c>
    </row>
    <row r="4294" spans="2:11" x14ac:dyDescent="0.25">
      <c r="B4294">
        <v>4321</v>
      </c>
      <c r="C4294">
        <v>330</v>
      </c>
      <c r="D4294">
        <v>152</v>
      </c>
      <c r="E4294">
        <v>16</v>
      </c>
      <c r="F4294">
        <v>14</v>
      </c>
      <c r="G4294">
        <v>10</v>
      </c>
      <c r="H4294">
        <v>0</v>
      </c>
      <c r="I4294">
        <v>0</v>
      </c>
      <c r="J4294">
        <v>24</v>
      </c>
      <c r="K4294" t="s">
        <v>247</v>
      </c>
    </row>
    <row r="4295" spans="2:11" x14ac:dyDescent="0.25">
      <c r="B4295">
        <v>4322</v>
      </c>
      <c r="C4295">
        <v>138</v>
      </c>
      <c r="D4295">
        <v>61</v>
      </c>
      <c r="E4295">
        <v>16</v>
      </c>
      <c r="F4295">
        <v>17</v>
      </c>
      <c r="G4295">
        <v>13</v>
      </c>
      <c r="H4295">
        <v>0</v>
      </c>
      <c r="I4295">
        <v>0</v>
      </c>
      <c r="J4295">
        <v>30</v>
      </c>
      <c r="K4295" t="s">
        <v>245</v>
      </c>
    </row>
    <row r="4296" spans="2:11" x14ac:dyDescent="0.25">
      <c r="B4296">
        <v>4325</v>
      </c>
      <c r="C4296">
        <v>137</v>
      </c>
      <c r="D4296">
        <v>60</v>
      </c>
      <c r="E4296">
        <v>16</v>
      </c>
      <c r="F4296">
        <v>2</v>
      </c>
      <c r="G4296">
        <v>7</v>
      </c>
      <c r="H4296">
        <v>0</v>
      </c>
      <c r="I4296">
        <v>0</v>
      </c>
      <c r="J4296">
        <v>9</v>
      </c>
      <c r="K4296" t="s">
        <v>245</v>
      </c>
    </row>
    <row r="4297" spans="2:11" x14ac:dyDescent="0.25">
      <c r="B4297">
        <v>4326</v>
      </c>
      <c r="C4297">
        <v>60</v>
      </c>
      <c r="D4297">
        <v>31</v>
      </c>
      <c r="E4297">
        <v>16</v>
      </c>
      <c r="F4297">
        <v>15</v>
      </c>
      <c r="G4297">
        <v>8</v>
      </c>
      <c r="H4297">
        <v>0</v>
      </c>
      <c r="I4297">
        <v>0</v>
      </c>
      <c r="J4297">
        <v>23</v>
      </c>
      <c r="K4297" t="s">
        <v>247</v>
      </c>
    </row>
    <row r="4298" spans="2:11" x14ac:dyDescent="0.25">
      <c r="B4298">
        <v>4324</v>
      </c>
      <c r="C4298">
        <v>314</v>
      </c>
      <c r="D4298">
        <v>145</v>
      </c>
      <c r="E4298">
        <v>15</v>
      </c>
      <c r="F4298">
        <v>19</v>
      </c>
      <c r="G4298">
        <v>11</v>
      </c>
      <c r="H4298">
        <v>0</v>
      </c>
      <c r="I4298">
        <v>0</v>
      </c>
      <c r="J4298">
        <v>30</v>
      </c>
      <c r="K4298" t="s">
        <v>243</v>
      </c>
    </row>
    <row r="4299" spans="2:11" x14ac:dyDescent="0.25">
      <c r="B4299">
        <v>4327</v>
      </c>
      <c r="C4299">
        <v>166</v>
      </c>
      <c r="D4299">
        <v>71</v>
      </c>
      <c r="E4299">
        <v>16</v>
      </c>
      <c r="F4299">
        <v>0</v>
      </c>
      <c r="G4299">
        <v>5</v>
      </c>
      <c r="H4299">
        <v>0</v>
      </c>
      <c r="I4299">
        <v>0</v>
      </c>
      <c r="J4299">
        <v>5</v>
      </c>
      <c r="K4299" t="s">
        <v>245</v>
      </c>
    </row>
    <row r="4300" spans="2:11" x14ac:dyDescent="0.25">
      <c r="B4300">
        <v>4329</v>
      </c>
      <c r="C4300">
        <v>126</v>
      </c>
      <c r="D4300">
        <v>56</v>
      </c>
      <c r="E4300">
        <v>15</v>
      </c>
      <c r="F4300">
        <v>6</v>
      </c>
      <c r="G4300">
        <v>4</v>
      </c>
      <c r="H4300">
        <v>4</v>
      </c>
      <c r="I4300">
        <v>0</v>
      </c>
      <c r="J4300">
        <v>14</v>
      </c>
      <c r="K4300" t="s">
        <v>250</v>
      </c>
    </row>
    <row r="4301" spans="2:11" x14ac:dyDescent="0.25">
      <c r="B4301">
        <v>4328</v>
      </c>
      <c r="C4301">
        <v>59</v>
      </c>
      <c r="D4301">
        <v>30</v>
      </c>
      <c r="E4301">
        <v>16</v>
      </c>
      <c r="F4301">
        <v>4</v>
      </c>
      <c r="G4301">
        <v>5</v>
      </c>
      <c r="H4301">
        <v>0</v>
      </c>
      <c r="I4301">
        <v>0</v>
      </c>
      <c r="J4301">
        <v>9</v>
      </c>
      <c r="K4301" t="s">
        <v>247</v>
      </c>
    </row>
    <row r="4302" spans="2:11" x14ac:dyDescent="0.25">
      <c r="B4302">
        <v>4332</v>
      </c>
      <c r="C4302">
        <v>47</v>
      </c>
      <c r="D4302">
        <v>23</v>
      </c>
      <c r="E4302">
        <v>15</v>
      </c>
      <c r="F4302">
        <v>20</v>
      </c>
      <c r="G4302">
        <v>10</v>
      </c>
      <c r="H4302">
        <v>0</v>
      </c>
      <c r="I4302">
        <v>0</v>
      </c>
      <c r="J4302">
        <v>30</v>
      </c>
      <c r="K4302" t="s">
        <v>243</v>
      </c>
    </row>
    <row r="4303" spans="2:11" x14ac:dyDescent="0.25">
      <c r="B4303">
        <v>4333</v>
      </c>
      <c r="C4303">
        <v>288</v>
      </c>
      <c r="D4303">
        <v>134</v>
      </c>
      <c r="E4303">
        <v>15</v>
      </c>
      <c r="F4303">
        <v>8</v>
      </c>
      <c r="G4303">
        <v>13</v>
      </c>
      <c r="H4303">
        <v>0</v>
      </c>
      <c r="I4303">
        <v>0</v>
      </c>
      <c r="J4303">
        <v>21</v>
      </c>
      <c r="K4303" t="s">
        <v>250</v>
      </c>
    </row>
    <row r="4304" spans="2:11" x14ac:dyDescent="0.25">
      <c r="B4304">
        <v>4334</v>
      </c>
      <c r="C4304">
        <v>46</v>
      </c>
      <c r="D4304">
        <v>23</v>
      </c>
      <c r="E4304">
        <v>15</v>
      </c>
      <c r="F4304">
        <v>6</v>
      </c>
      <c r="G4304">
        <v>18</v>
      </c>
      <c r="H4304">
        <v>1</v>
      </c>
      <c r="I4304">
        <v>0</v>
      </c>
      <c r="J4304">
        <v>25</v>
      </c>
      <c r="K4304" t="s">
        <v>243</v>
      </c>
    </row>
    <row r="4305" spans="2:11" x14ac:dyDescent="0.25">
      <c r="B4305">
        <v>4335</v>
      </c>
      <c r="C4305">
        <v>22</v>
      </c>
      <c r="D4305">
        <v>10</v>
      </c>
      <c r="E4305">
        <v>15</v>
      </c>
      <c r="F4305">
        <v>6</v>
      </c>
      <c r="G4305">
        <v>10</v>
      </c>
      <c r="H4305">
        <v>2</v>
      </c>
      <c r="I4305">
        <v>0</v>
      </c>
      <c r="J4305">
        <v>18</v>
      </c>
      <c r="K4305" t="s">
        <v>243</v>
      </c>
    </row>
    <row r="4306" spans="2:11" x14ac:dyDescent="0.25">
      <c r="B4306">
        <v>4336</v>
      </c>
      <c r="C4306">
        <v>23</v>
      </c>
      <c r="D4306">
        <v>11</v>
      </c>
      <c r="E4306">
        <v>15</v>
      </c>
      <c r="F4306">
        <v>4</v>
      </c>
      <c r="G4306">
        <v>1</v>
      </c>
      <c r="H4306">
        <v>0</v>
      </c>
      <c r="I4306">
        <v>0</v>
      </c>
      <c r="J4306">
        <v>5</v>
      </c>
      <c r="K4306" t="s">
        <v>243</v>
      </c>
    </row>
    <row r="4307" spans="2:11" x14ac:dyDescent="0.25">
      <c r="B4307">
        <v>4337</v>
      </c>
      <c r="C4307">
        <v>97</v>
      </c>
      <c r="D4307">
        <v>48</v>
      </c>
      <c r="E4307">
        <v>15</v>
      </c>
      <c r="F4307">
        <v>11</v>
      </c>
      <c r="G4307">
        <v>15</v>
      </c>
      <c r="H4307">
        <v>0</v>
      </c>
      <c r="I4307">
        <v>0</v>
      </c>
      <c r="J4307">
        <v>26</v>
      </c>
      <c r="K4307" t="s">
        <v>243</v>
      </c>
    </row>
    <row r="4308" spans="2:11" x14ac:dyDescent="0.25">
      <c r="B4308">
        <v>4339</v>
      </c>
      <c r="C4308">
        <v>9</v>
      </c>
      <c r="D4308">
        <v>3</v>
      </c>
      <c r="E4308">
        <v>16</v>
      </c>
      <c r="F4308">
        <v>18</v>
      </c>
      <c r="G4308">
        <v>12</v>
      </c>
      <c r="H4308">
        <v>0</v>
      </c>
      <c r="I4308">
        <v>0</v>
      </c>
      <c r="J4308">
        <v>30</v>
      </c>
      <c r="K4308" t="s">
        <v>241</v>
      </c>
    </row>
    <row r="4309" spans="2:11" x14ac:dyDescent="0.25">
      <c r="B4309">
        <v>4341</v>
      </c>
      <c r="C4309">
        <v>105</v>
      </c>
      <c r="D4309">
        <v>51</v>
      </c>
      <c r="E4309">
        <v>15</v>
      </c>
      <c r="F4309">
        <v>7</v>
      </c>
      <c r="G4309">
        <v>3</v>
      </c>
      <c r="H4309">
        <v>0</v>
      </c>
      <c r="I4309">
        <v>0</v>
      </c>
      <c r="J4309">
        <v>10</v>
      </c>
      <c r="K4309" t="s">
        <v>241</v>
      </c>
    </row>
    <row r="4310" spans="2:11" x14ac:dyDescent="0.25">
      <c r="B4310">
        <v>4449</v>
      </c>
      <c r="C4310">
        <v>300</v>
      </c>
      <c r="D4310">
        <v>138</v>
      </c>
      <c r="E4310">
        <v>17</v>
      </c>
      <c r="F4310">
        <v>6</v>
      </c>
      <c r="G4310">
        <v>9</v>
      </c>
      <c r="H4310">
        <v>1</v>
      </c>
      <c r="I4310">
        <v>0</v>
      </c>
      <c r="J4310">
        <v>16</v>
      </c>
      <c r="K4310" t="s">
        <v>245</v>
      </c>
    </row>
    <row r="4311" spans="2:11" x14ac:dyDescent="0.25">
      <c r="B4311">
        <v>4480</v>
      </c>
      <c r="C4311">
        <v>4</v>
      </c>
      <c r="D4311">
        <v>1</v>
      </c>
      <c r="E4311">
        <v>16</v>
      </c>
      <c r="F4311">
        <v>1</v>
      </c>
      <c r="G4311">
        <v>1</v>
      </c>
      <c r="H4311">
        <v>0</v>
      </c>
      <c r="I4311">
        <v>0</v>
      </c>
      <c r="J4311">
        <v>2</v>
      </c>
      <c r="K4311" t="s">
        <v>250</v>
      </c>
    </row>
    <row r="4312" spans="2:11" x14ac:dyDescent="0.25">
      <c r="B4312">
        <v>4484</v>
      </c>
      <c r="C4312">
        <v>309</v>
      </c>
      <c r="D4312">
        <v>144</v>
      </c>
      <c r="E4312">
        <v>17</v>
      </c>
      <c r="F4312">
        <v>8</v>
      </c>
      <c r="G4312">
        <v>10</v>
      </c>
      <c r="H4312">
        <v>0</v>
      </c>
      <c r="I4312">
        <v>0</v>
      </c>
      <c r="J4312">
        <v>18</v>
      </c>
      <c r="K4312" t="s">
        <v>246</v>
      </c>
    </row>
    <row r="4313" spans="2:11" x14ac:dyDescent="0.25">
      <c r="B4313">
        <v>4489</v>
      </c>
      <c r="C4313">
        <v>93</v>
      </c>
      <c r="D4313">
        <v>46</v>
      </c>
      <c r="E4313">
        <v>15</v>
      </c>
      <c r="F4313">
        <v>22</v>
      </c>
      <c r="G4313">
        <v>7</v>
      </c>
      <c r="H4313">
        <v>0</v>
      </c>
      <c r="I4313">
        <v>0</v>
      </c>
      <c r="J4313">
        <v>29</v>
      </c>
      <c r="K4313" t="s">
        <v>245</v>
      </c>
    </row>
    <row r="4314" spans="2:11" x14ac:dyDescent="0.25">
      <c r="B4314">
        <v>4516</v>
      </c>
      <c r="C4314">
        <v>118</v>
      </c>
      <c r="D4314">
        <v>55</v>
      </c>
      <c r="E4314">
        <v>16</v>
      </c>
      <c r="F4314">
        <v>11</v>
      </c>
      <c r="G4314">
        <v>5</v>
      </c>
      <c r="H4314">
        <v>0</v>
      </c>
      <c r="I4314">
        <v>0</v>
      </c>
      <c r="J4314">
        <v>16</v>
      </c>
      <c r="K4314" t="s">
        <v>245</v>
      </c>
    </row>
    <row r="4315" spans="2:11" x14ac:dyDescent="0.25">
      <c r="B4315">
        <v>4517</v>
      </c>
      <c r="C4315">
        <v>118</v>
      </c>
      <c r="D4315">
        <v>55</v>
      </c>
      <c r="E4315">
        <v>17</v>
      </c>
      <c r="F4315">
        <v>13</v>
      </c>
      <c r="G4315">
        <v>6</v>
      </c>
      <c r="H4315">
        <v>0</v>
      </c>
      <c r="I4315">
        <v>0</v>
      </c>
      <c r="J4315">
        <v>19</v>
      </c>
      <c r="K4315" t="s">
        <v>245</v>
      </c>
    </row>
    <row r="4316" spans="2:11" x14ac:dyDescent="0.25">
      <c r="B4316">
        <v>4519</v>
      </c>
      <c r="C4316">
        <v>132</v>
      </c>
      <c r="D4316">
        <v>59</v>
      </c>
      <c r="E4316">
        <v>15</v>
      </c>
      <c r="F4316">
        <v>15</v>
      </c>
      <c r="G4316">
        <v>0</v>
      </c>
      <c r="H4316">
        <v>0</v>
      </c>
      <c r="I4316">
        <v>0</v>
      </c>
      <c r="J4316">
        <v>15</v>
      </c>
      <c r="K4316" t="s">
        <v>250</v>
      </c>
    </row>
    <row r="4317" spans="2:11" x14ac:dyDescent="0.25">
      <c r="B4317">
        <v>4520</v>
      </c>
      <c r="C4317">
        <v>132</v>
      </c>
      <c r="D4317">
        <v>59</v>
      </c>
      <c r="E4317">
        <v>16</v>
      </c>
      <c r="F4317">
        <v>12</v>
      </c>
      <c r="G4317">
        <v>0</v>
      </c>
      <c r="H4317">
        <v>2</v>
      </c>
      <c r="I4317">
        <v>0</v>
      </c>
      <c r="J4317">
        <v>14</v>
      </c>
      <c r="K4317" t="s">
        <v>250</v>
      </c>
    </row>
    <row r="4318" spans="2:11" x14ac:dyDescent="0.25">
      <c r="B4318">
        <v>4523</v>
      </c>
      <c r="C4318">
        <v>351</v>
      </c>
      <c r="D4318">
        <v>158</v>
      </c>
      <c r="E4318">
        <v>17</v>
      </c>
      <c r="F4318">
        <v>6</v>
      </c>
      <c r="G4318">
        <v>13</v>
      </c>
      <c r="H4318">
        <v>0</v>
      </c>
      <c r="I4318">
        <v>0</v>
      </c>
      <c r="J4318">
        <v>19</v>
      </c>
      <c r="K4318" t="s">
        <v>250</v>
      </c>
    </row>
    <row r="4319" spans="2:11" x14ac:dyDescent="0.25">
      <c r="B4319">
        <v>4525</v>
      </c>
      <c r="C4319">
        <v>327</v>
      </c>
      <c r="D4319">
        <v>152</v>
      </c>
      <c r="E4319">
        <v>17</v>
      </c>
      <c r="F4319">
        <v>25</v>
      </c>
      <c r="G4319">
        <v>5</v>
      </c>
      <c r="H4319">
        <v>0</v>
      </c>
      <c r="I4319">
        <v>0</v>
      </c>
      <c r="J4319">
        <v>30</v>
      </c>
      <c r="K4319" t="s">
        <v>251</v>
      </c>
    </row>
    <row r="4320" spans="2:11" x14ac:dyDescent="0.25">
      <c r="B4320">
        <v>4521</v>
      </c>
      <c r="C4320">
        <v>269</v>
      </c>
      <c r="D4320">
        <v>121</v>
      </c>
      <c r="E4320">
        <v>16</v>
      </c>
      <c r="F4320">
        <v>9</v>
      </c>
      <c r="G4320">
        <v>11</v>
      </c>
      <c r="H4320">
        <v>2</v>
      </c>
      <c r="I4320">
        <v>0</v>
      </c>
      <c r="J4320">
        <v>22</v>
      </c>
      <c r="K4320" t="s">
        <v>245</v>
      </c>
    </row>
    <row r="4321" spans="2:11" x14ac:dyDescent="0.25">
      <c r="B4321">
        <v>4527</v>
      </c>
      <c r="C4321">
        <v>281</v>
      </c>
      <c r="D4321">
        <v>129</v>
      </c>
      <c r="E4321">
        <v>17</v>
      </c>
      <c r="F4321">
        <v>6</v>
      </c>
      <c r="G4321">
        <v>12</v>
      </c>
      <c r="H4321">
        <v>0</v>
      </c>
      <c r="I4321">
        <v>0</v>
      </c>
      <c r="J4321">
        <v>18</v>
      </c>
      <c r="K4321" t="s">
        <v>250</v>
      </c>
    </row>
    <row r="4322" spans="2:11" x14ac:dyDescent="0.25">
      <c r="B4322">
        <v>4526</v>
      </c>
      <c r="C4322">
        <v>293</v>
      </c>
      <c r="D4322">
        <v>136</v>
      </c>
      <c r="E4322">
        <v>17</v>
      </c>
      <c r="F4322">
        <v>5</v>
      </c>
      <c r="G4322">
        <v>9</v>
      </c>
      <c r="H4322">
        <v>0</v>
      </c>
      <c r="I4322">
        <v>0</v>
      </c>
      <c r="J4322">
        <v>14</v>
      </c>
      <c r="K4322" t="s">
        <v>251</v>
      </c>
    </row>
    <row r="4323" spans="2:11" x14ac:dyDescent="0.25">
      <c r="B4323">
        <v>4528</v>
      </c>
      <c r="C4323">
        <v>6</v>
      </c>
      <c r="D4323">
        <v>2</v>
      </c>
      <c r="E4323">
        <v>16</v>
      </c>
      <c r="F4323">
        <v>6</v>
      </c>
      <c r="G4323">
        <v>5</v>
      </c>
      <c r="H4323">
        <v>0</v>
      </c>
      <c r="I4323">
        <v>0</v>
      </c>
      <c r="J4323">
        <v>11</v>
      </c>
      <c r="K4323" t="s">
        <v>250</v>
      </c>
    </row>
    <row r="4324" spans="2:11" x14ac:dyDescent="0.25">
      <c r="B4324">
        <v>4530</v>
      </c>
      <c r="C4324">
        <v>6</v>
      </c>
      <c r="D4324">
        <v>2</v>
      </c>
      <c r="E4324">
        <v>17</v>
      </c>
      <c r="F4324">
        <v>9</v>
      </c>
      <c r="G4324">
        <v>1</v>
      </c>
      <c r="H4324">
        <v>0</v>
      </c>
      <c r="I4324">
        <v>0</v>
      </c>
      <c r="J4324">
        <v>10</v>
      </c>
      <c r="K4324" t="s">
        <v>250</v>
      </c>
    </row>
    <row r="4325" spans="2:11" x14ac:dyDescent="0.25">
      <c r="B4325">
        <v>4529</v>
      </c>
      <c r="C4325">
        <v>123</v>
      </c>
      <c r="D4325">
        <v>56</v>
      </c>
      <c r="E4325">
        <v>17</v>
      </c>
      <c r="F4325">
        <v>10</v>
      </c>
      <c r="G4325">
        <v>7</v>
      </c>
      <c r="H4325">
        <v>2</v>
      </c>
      <c r="I4325">
        <v>0</v>
      </c>
      <c r="J4325">
        <v>19</v>
      </c>
      <c r="K4325" t="s">
        <v>251</v>
      </c>
    </row>
    <row r="4326" spans="2:11" x14ac:dyDescent="0.25">
      <c r="B4326">
        <v>4531</v>
      </c>
      <c r="C4326">
        <v>268</v>
      </c>
      <c r="D4326">
        <v>120</v>
      </c>
      <c r="E4326">
        <v>17</v>
      </c>
      <c r="F4326">
        <v>5</v>
      </c>
      <c r="G4326">
        <v>7</v>
      </c>
      <c r="H4326">
        <v>1</v>
      </c>
      <c r="I4326">
        <v>0</v>
      </c>
      <c r="J4326">
        <v>13</v>
      </c>
      <c r="K4326" t="s">
        <v>245</v>
      </c>
    </row>
    <row r="4327" spans="2:11" x14ac:dyDescent="0.25">
      <c r="B4327">
        <v>4533</v>
      </c>
      <c r="C4327">
        <v>28</v>
      </c>
      <c r="D4327">
        <v>15</v>
      </c>
      <c r="E4327">
        <v>15</v>
      </c>
      <c r="F4327">
        <v>3</v>
      </c>
      <c r="G4327">
        <v>2</v>
      </c>
      <c r="H4327">
        <v>0</v>
      </c>
      <c r="I4327">
        <v>0</v>
      </c>
      <c r="J4327">
        <v>5</v>
      </c>
      <c r="K4327" t="s">
        <v>250</v>
      </c>
    </row>
    <row r="4328" spans="2:11" x14ac:dyDescent="0.25">
      <c r="B4328">
        <v>4535</v>
      </c>
      <c r="C4328">
        <v>18</v>
      </c>
      <c r="D4328">
        <v>9</v>
      </c>
      <c r="E4328">
        <v>18</v>
      </c>
      <c r="F4328">
        <v>9</v>
      </c>
      <c r="G4328">
        <v>2</v>
      </c>
      <c r="H4328">
        <v>0</v>
      </c>
      <c r="I4328">
        <v>0</v>
      </c>
      <c r="J4328">
        <v>11</v>
      </c>
      <c r="K4328" t="s">
        <v>250</v>
      </c>
    </row>
    <row r="4329" spans="2:11" x14ac:dyDescent="0.25">
      <c r="B4329">
        <v>4536</v>
      </c>
      <c r="C4329">
        <v>339</v>
      </c>
      <c r="D4329">
        <v>152</v>
      </c>
      <c r="E4329">
        <v>16</v>
      </c>
      <c r="F4329">
        <v>6</v>
      </c>
      <c r="G4329">
        <v>16</v>
      </c>
      <c r="H4329">
        <v>0</v>
      </c>
      <c r="I4329">
        <v>0</v>
      </c>
      <c r="J4329">
        <v>22</v>
      </c>
      <c r="K4329" t="s">
        <v>250</v>
      </c>
    </row>
    <row r="4330" spans="2:11" x14ac:dyDescent="0.25">
      <c r="B4330">
        <v>4537</v>
      </c>
      <c r="C4330">
        <v>88</v>
      </c>
      <c r="D4330">
        <v>43</v>
      </c>
      <c r="E4330">
        <v>15</v>
      </c>
      <c r="F4330">
        <v>9</v>
      </c>
      <c r="G4330">
        <v>7</v>
      </c>
      <c r="H4330">
        <v>0</v>
      </c>
      <c r="I4330">
        <v>0</v>
      </c>
      <c r="J4330">
        <v>16</v>
      </c>
      <c r="K4330" t="s">
        <v>245</v>
      </c>
    </row>
    <row r="4331" spans="2:11" x14ac:dyDescent="0.25">
      <c r="B4331">
        <v>4538</v>
      </c>
      <c r="C4331">
        <v>339</v>
      </c>
      <c r="D4331">
        <v>152</v>
      </c>
      <c r="E4331">
        <v>17</v>
      </c>
      <c r="F4331">
        <v>10</v>
      </c>
      <c r="G4331">
        <v>8</v>
      </c>
      <c r="H4331">
        <v>0</v>
      </c>
      <c r="I4331">
        <v>0</v>
      </c>
      <c r="J4331">
        <v>18</v>
      </c>
      <c r="K4331" t="s">
        <v>250</v>
      </c>
    </row>
    <row r="4332" spans="2:11" x14ac:dyDescent="0.25">
      <c r="B4332">
        <v>4532</v>
      </c>
      <c r="C4332">
        <v>249</v>
      </c>
      <c r="D4332">
        <v>112</v>
      </c>
      <c r="E4332">
        <v>15</v>
      </c>
      <c r="F4332">
        <v>9</v>
      </c>
      <c r="G4332">
        <v>1</v>
      </c>
      <c r="H4332">
        <v>3</v>
      </c>
      <c r="I4332">
        <v>0</v>
      </c>
      <c r="J4332">
        <v>13</v>
      </c>
      <c r="K4332" t="s">
        <v>251</v>
      </c>
    </row>
    <row r="4333" spans="2:11" x14ac:dyDescent="0.25">
      <c r="B4333">
        <v>4539</v>
      </c>
      <c r="C4333">
        <v>88</v>
      </c>
      <c r="D4333">
        <v>43</v>
      </c>
      <c r="E4333">
        <v>16</v>
      </c>
      <c r="F4333">
        <v>11</v>
      </c>
      <c r="G4333">
        <v>5</v>
      </c>
      <c r="H4333">
        <v>0</v>
      </c>
      <c r="I4333">
        <v>0</v>
      </c>
      <c r="J4333">
        <v>16</v>
      </c>
      <c r="K4333" t="s">
        <v>245</v>
      </c>
    </row>
    <row r="4334" spans="2:11" x14ac:dyDescent="0.25">
      <c r="B4334">
        <v>4540</v>
      </c>
      <c r="C4334">
        <v>340</v>
      </c>
      <c r="D4334">
        <v>152</v>
      </c>
      <c r="E4334">
        <v>16</v>
      </c>
      <c r="F4334">
        <v>4</v>
      </c>
      <c r="G4334">
        <v>0</v>
      </c>
      <c r="H4334">
        <v>0</v>
      </c>
      <c r="I4334">
        <v>0</v>
      </c>
      <c r="J4334">
        <v>4</v>
      </c>
      <c r="K4334" t="s">
        <v>250</v>
      </c>
    </row>
    <row r="4335" spans="2:11" x14ac:dyDescent="0.25">
      <c r="B4335">
        <v>4541</v>
      </c>
      <c r="C4335">
        <v>108</v>
      </c>
      <c r="D4335">
        <v>51</v>
      </c>
      <c r="E4335">
        <v>15</v>
      </c>
      <c r="F4335">
        <v>9</v>
      </c>
      <c r="G4335">
        <v>6</v>
      </c>
      <c r="H4335">
        <v>1</v>
      </c>
      <c r="I4335">
        <v>0</v>
      </c>
      <c r="J4335">
        <v>16</v>
      </c>
      <c r="K4335" t="s">
        <v>251</v>
      </c>
    </row>
    <row r="4336" spans="2:11" x14ac:dyDescent="0.25">
      <c r="B4336">
        <v>4543</v>
      </c>
      <c r="C4336">
        <v>340</v>
      </c>
      <c r="D4336">
        <v>152</v>
      </c>
      <c r="E4336">
        <v>17</v>
      </c>
      <c r="F4336">
        <v>1</v>
      </c>
      <c r="G4336">
        <v>4</v>
      </c>
      <c r="H4336">
        <v>0</v>
      </c>
      <c r="I4336">
        <v>0</v>
      </c>
      <c r="J4336">
        <v>5</v>
      </c>
      <c r="K4336" t="s">
        <v>250</v>
      </c>
    </row>
    <row r="4337" spans="2:11" x14ac:dyDescent="0.25">
      <c r="B4337">
        <v>4544</v>
      </c>
      <c r="C4337">
        <v>341</v>
      </c>
      <c r="D4337">
        <v>152</v>
      </c>
      <c r="E4337">
        <v>16</v>
      </c>
      <c r="F4337">
        <v>10</v>
      </c>
      <c r="G4337">
        <v>9</v>
      </c>
      <c r="H4337">
        <v>0</v>
      </c>
      <c r="I4337">
        <v>0</v>
      </c>
      <c r="J4337">
        <v>19</v>
      </c>
      <c r="K4337" t="s">
        <v>250</v>
      </c>
    </row>
    <row r="4338" spans="2:11" x14ac:dyDescent="0.25">
      <c r="B4338">
        <v>4546</v>
      </c>
      <c r="C4338">
        <v>341</v>
      </c>
      <c r="D4338">
        <v>152</v>
      </c>
      <c r="E4338">
        <v>17</v>
      </c>
      <c r="F4338">
        <v>10</v>
      </c>
      <c r="G4338">
        <v>8</v>
      </c>
      <c r="H4338">
        <v>0</v>
      </c>
      <c r="I4338">
        <v>0</v>
      </c>
      <c r="J4338">
        <v>18</v>
      </c>
      <c r="K4338" t="s">
        <v>250</v>
      </c>
    </row>
    <row r="4339" spans="2:11" x14ac:dyDescent="0.25">
      <c r="B4339">
        <v>4284</v>
      </c>
      <c r="C4339">
        <v>53</v>
      </c>
      <c r="D4339">
        <v>27</v>
      </c>
      <c r="E4339">
        <v>15</v>
      </c>
      <c r="F4339">
        <v>9</v>
      </c>
      <c r="G4339">
        <v>6</v>
      </c>
      <c r="H4339">
        <v>0</v>
      </c>
      <c r="I4339">
        <v>0</v>
      </c>
      <c r="J4339">
        <v>15</v>
      </c>
      <c r="K4339" t="s">
        <v>243</v>
      </c>
    </row>
    <row r="4340" spans="2:11" x14ac:dyDescent="0.25">
      <c r="B4340">
        <v>4330</v>
      </c>
      <c r="C4340">
        <v>48</v>
      </c>
      <c r="D4340">
        <v>24</v>
      </c>
      <c r="E4340">
        <v>15</v>
      </c>
      <c r="F4340">
        <v>2</v>
      </c>
      <c r="G4340">
        <v>7</v>
      </c>
      <c r="H4340">
        <v>0</v>
      </c>
      <c r="I4340">
        <v>0</v>
      </c>
      <c r="J4340">
        <v>9</v>
      </c>
      <c r="K4340" t="s">
        <v>243</v>
      </c>
    </row>
    <row r="4341" spans="2:11" x14ac:dyDescent="0.25">
      <c r="B4341">
        <v>4524</v>
      </c>
      <c r="C4341">
        <v>352</v>
      </c>
      <c r="D4341">
        <v>159</v>
      </c>
      <c r="E4341">
        <v>17</v>
      </c>
      <c r="F4341">
        <v>11</v>
      </c>
      <c r="G4341">
        <v>7</v>
      </c>
      <c r="H4341">
        <v>0</v>
      </c>
      <c r="I4341">
        <v>0</v>
      </c>
      <c r="J4341">
        <v>18</v>
      </c>
      <c r="K4341" t="s">
        <v>250</v>
      </c>
    </row>
    <row r="4342" spans="2:11" x14ac:dyDescent="0.25">
      <c r="B4342">
        <v>4547</v>
      </c>
      <c r="C4342">
        <v>343</v>
      </c>
      <c r="D4342">
        <v>154</v>
      </c>
      <c r="E4342">
        <v>16</v>
      </c>
      <c r="F4342">
        <v>9</v>
      </c>
      <c r="G4342">
        <v>12</v>
      </c>
      <c r="H4342">
        <v>0</v>
      </c>
      <c r="I4342">
        <v>0</v>
      </c>
      <c r="J4342">
        <v>21</v>
      </c>
      <c r="K4342" t="s">
        <v>250</v>
      </c>
    </row>
    <row r="4343" spans="2:11" x14ac:dyDescent="0.25">
      <c r="B4343">
        <v>4551</v>
      </c>
      <c r="C4343">
        <v>320</v>
      </c>
      <c r="D4343">
        <v>148</v>
      </c>
      <c r="E4343">
        <v>17</v>
      </c>
      <c r="F4343">
        <v>16</v>
      </c>
      <c r="G4343">
        <v>14</v>
      </c>
      <c r="H4343">
        <v>0</v>
      </c>
      <c r="I4343">
        <v>0</v>
      </c>
      <c r="J4343">
        <v>30</v>
      </c>
      <c r="K4343" t="s">
        <v>245</v>
      </c>
    </row>
    <row r="4344" spans="2:11" x14ac:dyDescent="0.25">
      <c r="B4344">
        <v>4552</v>
      </c>
      <c r="C4344">
        <v>270</v>
      </c>
      <c r="D4344">
        <v>122</v>
      </c>
      <c r="E4344">
        <v>16</v>
      </c>
      <c r="F4344">
        <v>17</v>
      </c>
      <c r="G4344">
        <v>13</v>
      </c>
      <c r="H4344">
        <v>0</v>
      </c>
      <c r="I4344">
        <v>0</v>
      </c>
      <c r="J4344">
        <v>30</v>
      </c>
      <c r="K4344" t="s">
        <v>246</v>
      </c>
    </row>
    <row r="4345" spans="2:11" x14ac:dyDescent="0.25">
      <c r="B4345">
        <v>4553</v>
      </c>
      <c r="C4345">
        <v>270</v>
      </c>
      <c r="D4345">
        <v>122</v>
      </c>
      <c r="E4345">
        <v>17</v>
      </c>
      <c r="F4345">
        <v>15</v>
      </c>
      <c r="G4345">
        <v>11</v>
      </c>
      <c r="H4345">
        <v>4</v>
      </c>
      <c r="I4345">
        <v>0</v>
      </c>
      <c r="J4345">
        <v>30</v>
      </c>
      <c r="K4345" t="s">
        <v>246</v>
      </c>
    </row>
    <row r="4346" spans="2:11" x14ac:dyDescent="0.25">
      <c r="B4346">
        <v>4550</v>
      </c>
      <c r="C4346">
        <v>156</v>
      </c>
      <c r="D4346">
        <v>69</v>
      </c>
      <c r="E4346">
        <v>15</v>
      </c>
      <c r="F4346">
        <v>9</v>
      </c>
      <c r="G4346">
        <v>13</v>
      </c>
      <c r="H4346">
        <v>0</v>
      </c>
      <c r="I4346">
        <v>0</v>
      </c>
      <c r="J4346">
        <v>22</v>
      </c>
      <c r="K4346" t="s">
        <v>251</v>
      </c>
    </row>
    <row r="4347" spans="2:11" x14ac:dyDescent="0.25">
      <c r="B4347">
        <v>4554</v>
      </c>
      <c r="C4347">
        <v>45</v>
      </c>
      <c r="D4347">
        <v>23</v>
      </c>
      <c r="E4347">
        <v>16</v>
      </c>
      <c r="F4347">
        <v>20</v>
      </c>
      <c r="G4347">
        <v>3</v>
      </c>
      <c r="H4347">
        <v>0</v>
      </c>
      <c r="I4347">
        <v>0</v>
      </c>
      <c r="J4347">
        <v>23</v>
      </c>
      <c r="K4347" t="s">
        <v>245</v>
      </c>
    </row>
    <row r="4348" spans="2:11" x14ac:dyDescent="0.25">
      <c r="B4348">
        <v>4555</v>
      </c>
      <c r="C4348">
        <v>119</v>
      </c>
      <c r="D4348">
        <v>55</v>
      </c>
      <c r="E4348">
        <v>15</v>
      </c>
      <c r="F4348">
        <v>0</v>
      </c>
      <c r="G4348">
        <v>1</v>
      </c>
      <c r="H4348">
        <v>1</v>
      </c>
      <c r="I4348">
        <v>0</v>
      </c>
      <c r="J4348">
        <v>2</v>
      </c>
      <c r="K4348" t="s">
        <v>246</v>
      </c>
    </row>
    <row r="4349" spans="2:11" x14ac:dyDescent="0.25">
      <c r="B4349">
        <v>4557</v>
      </c>
      <c r="C4349">
        <v>44</v>
      </c>
      <c r="D4349">
        <v>22</v>
      </c>
      <c r="E4349">
        <v>16</v>
      </c>
      <c r="F4349">
        <v>0</v>
      </c>
      <c r="G4349">
        <v>0</v>
      </c>
      <c r="H4349">
        <v>0</v>
      </c>
      <c r="I4349">
        <v>0</v>
      </c>
      <c r="J4349">
        <v>0</v>
      </c>
      <c r="K4349" t="s">
        <v>245</v>
      </c>
    </row>
    <row r="4350" spans="2:11" x14ac:dyDescent="0.25">
      <c r="B4350">
        <v>4556</v>
      </c>
      <c r="C4350">
        <v>157</v>
      </c>
      <c r="D4350">
        <v>69</v>
      </c>
      <c r="E4350">
        <v>15</v>
      </c>
      <c r="F4350">
        <v>13</v>
      </c>
      <c r="G4350">
        <v>7</v>
      </c>
      <c r="H4350">
        <v>0</v>
      </c>
      <c r="I4350">
        <v>0</v>
      </c>
      <c r="J4350">
        <v>20</v>
      </c>
      <c r="K4350" t="s">
        <v>251</v>
      </c>
    </row>
    <row r="4351" spans="2:11" x14ac:dyDescent="0.25">
      <c r="B4351">
        <v>4558</v>
      </c>
      <c r="C4351">
        <v>119</v>
      </c>
      <c r="D4351">
        <v>55</v>
      </c>
      <c r="E4351">
        <v>16</v>
      </c>
      <c r="F4351">
        <v>2</v>
      </c>
      <c r="G4351">
        <v>0</v>
      </c>
      <c r="H4351">
        <v>1</v>
      </c>
      <c r="I4351">
        <v>0</v>
      </c>
      <c r="J4351">
        <v>3</v>
      </c>
      <c r="K4351" t="s">
        <v>246</v>
      </c>
    </row>
    <row r="4352" spans="2:11" x14ac:dyDescent="0.25">
      <c r="B4352">
        <v>4559</v>
      </c>
      <c r="C4352">
        <v>42</v>
      </c>
      <c r="D4352">
        <v>21</v>
      </c>
      <c r="E4352">
        <v>16</v>
      </c>
      <c r="F4352">
        <v>13</v>
      </c>
      <c r="G4352">
        <v>17</v>
      </c>
      <c r="H4352">
        <v>0</v>
      </c>
      <c r="I4352">
        <v>0</v>
      </c>
      <c r="J4352">
        <v>30</v>
      </c>
      <c r="K4352" t="s">
        <v>245</v>
      </c>
    </row>
    <row r="4353" spans="2:11" x14ac:dyDescent="0.25">
      <c r="B4353">
        <v>4560</v>
      </c>
      <c r="C4353">
        <v>119</v>
      </c>
      <c r="D4353">
        <v>55</v>
      </c>
      <c r="E4353">
        <v>17</v>
      </c>
      <c r="F4353">
        <v>1</v>
      </c>
      <c r="G4353">
        <v>1</v>
      </c>
      <c r="H4353">
        <v>1</v>
      </c>
      <c r="I4353">
        <v>0</v>
      </c>
      <c r="J4353">
        <v>3</v>
      </c>
      <c r="K4353" t="s">
        <v>246</v>
      </c>
    </row>
    <row r="4354" spans="2:11" x14ac:dyDescent="0.25">
      <c r="B4354">
        <v>4561</v>
      </c>
      <c r="C4354">
        <v>41</v>
      </c>
      <c r="D4354">
        <v>20</v>
      </c>
      <c r="E4354">
        <v>16</v>
      </c>
      <c r="F4354">
        <v>8</v>
      </c>
      <c r="G4354">
        <v>3</v>
      </c>
      <c r="H4354">
        <v>0</v>
      </c>
      <c r="I4354">
        <v>0</v>
      </c>
      <c r="J4354">
        <v>11</v>
      </c>
      <c r="K4354" t="s">
        <v>245</v>
      </c>
    </row>
    <row r="4355" spans="2:11" x14ac:dyDescent="0.25">
      <c r="B4355">
        <v>4562</v>
      </c>
      <c r="C4355">
        <v>237</v>
      </c>
      <c r="D4355">
        <v>104</v>
      </c>
      <c r="E4355">
        <v>16</v>
      </c>
      <c r="F4355">
        <v>14</v>
      </c>
      <c r="G4355">
        <v>8</v>
      </c>
      <c r="H4355">
        <v>0</v>
      </c>
      <c r="I4355">
        <v>0</v>
      </c>
      <c r="J4355">
        <v>22</v>
      </c>
      <c r="K4355" t="s">
        <v>246</v>
      </c>
    </row>
    <row r="4356" spans="2:11" x14ac:dyDescent="0.25">
      <c r="B4356">
        <v>4563</v>
      </c>
      <c r="C4356">
        <v>40</v>
      </c>
      <c r="D4356">
        <v>19</v>
      </c>
      <c r="E4356">
        <v>16</v>
      </c>
      <c r="F4356">
        <v>22</v>
      </c>
      <c r="G4356">
        <v>0</v>
      </c>
      <c r="H4356">
        <v>0</v>
      </c>
      <c r="I4356">
        <v>0</v>
      </c>
      <c r="J4356">
        <v>22</v>
      </c>
      <c r="K4356" t="s">
        <v>245</v>
      </c>
    </row>
    <row r="4357" spans="2:11" x14ac:dyDescent="0.25">
      <c r="B4357">
        <v>4564</v>
      </c>
      <c r="C4357">
        <v>237</v>
      </c>
      <c r="D4357">
        <v>104</v>
      </c>
      <c r="E4357">
        <v>17</v>
      </c>
      <c r="F4357">
        <v>12</v>
      </c>
      <c r="G4357">
        <v>7</v>
      </c>
      <c r="H4357">
        <v>0</v>
      </c>
      <c r="I4357">
        <v>0</v>
      </c>
      <c r="J4357">
        <v>19</v>
      </c>
      <c r="K4357" t="s">
        <v>246</v>
      </c>
    </row>
    <row r="4358" spans="2:11" x14ac:dyDescent="0.25">
      <c r="B4358">
        <v>4565</v>
      </c>
      <c r="C4358">
        <v>39</v>
      </c>
      <c r="D4358">
        <v>19</v>
      </c>
      <c r="E4358">
        <v>16</v>
      </c>
      <c r="F4358">
        <v>1</v>
      </c>
      <c r="G4358">
        <v>3</v>
      </c>
      <c r="H4358">
        <v>2</v>
      </c>
      <c r="I4358">
        <v>0</v>
      </c>
      <c r="J4358">
        <v>6</v>
      </c>
      <c r="K4358" t="s">
        <v>245</v>
      </c>
    </row>
    <row r="4359" spans="2:11" x14ac:dyDescent="0.25">
      <c r="B4359">
        <v>4567</v>
      </c>
      <c r="C4359">
        <v>249</v>
      </c>
      <c r="D4359">
        <v>112</v>
      </c>
      <c r="E4359">
        <v>16</v>
      </c>
      <c r="F4359">
        <v>13</v>
      </c>
      <c r="G4359">
        <v>2</v>
      </c>
      <c r="H4359">
        <v>4</v>
      </c>
      <c r="I4359">
        <v>0</v>
      </c>
      <c r="J4359">
        <v>19</v>
      </c>
      <c r="K4359" t="s">
        <v>251</v>
      </c>
    </row>
    <row r="4360" spans="2:11" x14ac:dyDescent="0.25">
      <c r="B4360">
        <v>4566</v>
      </c>
      <c r="C4360">
        <v>133</v>
      </c>
      <c r="D4360">
        <v>60</v>
      </c>
      <c r="E4360">
        <v>16</v>
      </c>
      <c r="F4360">
        <v>8</v>
      </c>
      <c r="G4360">
        <v>6</v>
      </c>
      <c r="H4360">
        <v>6</v>
      </c>
      <c r="I4360">
        <v>0</v>
      </c>
      <c r="J4360">
        <v>20</v>
      </c>
      <c r="K4360" t="s">
        <v>246</v>
      </c>
    </row>
    <row r="4361" spans="2:11" x14ac:dyDescent="0.25">
      <c r="B4361">
        <v>4569</v>
      </c>
      <c r="C4361">
        <v>108</v>
      </c>
      <c r="D4361">
        <v>51</v>
      </c>
      <c r="E4361">
        <v>16</v>
      </c>
      <c r="F4361">
        <v>20</v>
      </c>
      <c r="G4361">
        <v>6</v>
      </c>
      <c r="H4361">
        <v>0</v>
      </c>
      <c r="I4361">
        <v>0</v>
      </c>
      <c r="J4361">
        <v>26</v>
      </c>
      <c r="K4361" t="s">
        <v>251</v>
      </c>
    </row>
    <row r="4362" spans="2:11" x14ac:dyDescent="0.25">
      <c r="B4362">
        <v>4573</v>
      </c>
      <c r="C4362">
        <v>92</v>
      </c>
      <c r="D4362">
        <v>46</v>
      </c>
      <c r="E4362">
        <v>15</v>
      </c>
      <c r="F4362">
        <v>15</v>
      </c>
      <c r="G4362">
        <v>14</v>
      </c>
      <c r="H4362">
        <v>0</v>
      </c>
      <c r="I4362">
        <v>0</v>
      </c>
      <c r="J4362">
        <v>29</v>
      </c>
      <c r="K4362" t="s">
        <v>245</v>
      </c>
    </row>
    <row r="4363" spans="2:11" x14ac:dyDescent="0.25">
      <c r="B4363">
        <v>4577</v>
      </c>
      <c r="C4363">
        <v>90</v>
      </c>
      <c r="D4363">
        <v>45</v>
      </c>
      <c r="E4363">
        <v>11</v>
      </c>
      <c r="F4363">
        <v>22</v>
      </c>
      <c r="G4363">
        <v>8</v>
      </c>
      <c r="H4363">
        <v>0</v>
      </c>
      <c r="I4363">
        <v>0</v>
      </c>
      <c r="J4363">
        <v>30</v>
      </c>
      <c r="K4363" t="s">
        <v>241</v>
      </c>
    </row>
    <row r="4364" spans="2:11" x14ac:dyDescent="0.25">
      <c r="B4364">
        <v>4579</v>
      </c>
      <c r="C4364">
        <v>170</v>
      </c>
      <c r="D4364">
        <v>73</v>
      </c>
      <c r="E4364">
        <v>17</v>
      </c>
      <c r="F4364">
        <v>17</v>
      </c>
      <c r="G4364">
        <v>3</v>
      </c>
      <c r="H4364">
        <v>0</v>
      </c>
      <c r="I4364">
        <v>0</v>
      </c>
      <c r="J4364">
        <v>20</v>
      </c>
      <c r="K4364" t="s">
        <v>245</v>
      </c>
    </row>
    <row r="4365" spans="2:11" x14ac:dyDescent="0.25">
      <c r="B4365">
        <v>4593</v>
      </c>
      <c r="C4365">
        <v>35</v>
      </c>
      <c r="D4365">
        <v>17</v>
      </c>
      <c r="E4365">
        <v>16</v>
      </c>
      <c r="F4365">
        <v>0</v>
      </c>
      <c r="G4365">
        <v>8</v>
      </c>
      <c r="H4365">
        <v>0</v>
      </c>
      <c r="I4365">
        <v>0</v>
      </c>
      <c r="J4365">
        <v>8</v>
      </c>
      <c r="K4365" t="s">
        <v>245</v>
      </c>
    </row>
    <row r="4366" spans="2:11" x14ac:dyDescent="0.25">
      <c r="B4366">
        <v>4603</v>
      </c>
      <c r="C4366">
        <v>20</v>
      </c>
      <c r="D4366">
        <v>10</v>
      </c>
      <c r="E4366">
        <v>17</v>
      </c>
      <c r="F4366">
        <v>6</v>
      </c>
      <c r="G4366">
        <v>4</v>
      </c>
      <c r="H4366">
        <v>0</v>
      </c>
      <c r="I4366">
        <v>0</v>
      </c>
      <c r="J4366">
        <v>10</v>
      </c>
      <c r="K4366" t="s">
        <v>246</v>
      </c>
    </row>
    <row r="4367" spans="2:11" x14ac:dyDescent="0.25">
      <c r="B4367">
        <v>4610</v>
      </c>
      <c r="C4367">
        <v>129</v>
      </c>
      <c r="D4367">
        <v>57</v>
      </c>
      <c r="E4367">
        <v>17</v>
      </c>
      <c r="F4367">
        <v>12</v>
      </c>
      <c r="G4367">
        <v>14</v>
      </c>
      <c r="H4367">
        <v>0</v>
      </c>
      <c r="I4367">
        <v>0</v>
      </c>
      <c r="J4367">
        <v>26</v>
      </c>
      <c r="K4367" t="s">
        <v>251</v>
      </c>
    </row>
    <row r="4368" spans="2:11" x14ac:dyDescent="0.25">
      <c r="B4368">
        <v>4616</v>
      </c>
      <c r="C4368">
        <v>43</v>
      </c>
      <c r="D4368">
        <v>22</v>
      </c>
      <c r="E4368">
        <v>15</v>
      </c>
      <c r="F4368">
        <v>11</v>
      </c>
      <c r="G4368">
        <v>19</v>
      </c>
      <c r="H4368">
        <v>0</v>
      </c>
      <c r="I4368">
        <v>0</v>
      </c>
      <c r="J4368">
        <v>30</v>
      </c>
      <c r="K4368" t="s">
        <v>245</v>
      </c>
    </row>
    <row r="4369" spans="2:11" x14ac:dyDescent="0.25">
      <c r="B4369">
        <v>4634</v>
      </c>
      <c r="C4369">
        <v>35</v>
      </c>
      <c r="D4369">
        <v>17</v>
      </c>
      <c r="E4369">
        <v>15</v>
      </c>
      <c r="F4369">
        <v>0</v>
      </c>
      <c r="G4369">
        <v>8</v>
      </c>
      <c r="H4369">
        <v>0</v>
      </c>
      <c r="I4369">
        <v>0</v>
      </c>
      <c r="J4369">
        <v>8</v>
      </c>
      <c r="K4369" t="s">
        <v>245</v>
      </c>
    </row>
    <row r="4370" spans="2:11" x14ac:dyDescent="0.25">
      <c r="B4370">
        <v>4639</v>
      </c>
      <c r="C4370">
        <v>158</v>
      </c>
      <c r="D4370">
        <v>69</v>
      </c>
      <c r="E4370">
        <v>17</v>
      </c>
      <c r="F4370">
        <v>13</v>
      </c>
      <c r="G4370">
        <v>15</v>
      </c>
      <c r="H4370">
        <v>0</v>
      </c>
      <c r="I4370">
        <v>0</v>
      </c>
      <c r="J4370">
        <v>28</v>
      </c>
      <c r="K4370" t="s">
        <v>250</v>
      </c>
    </row>
    <row r="4371" spans="2:11" x14ac:dyDescent="0.25">
      <c r="B4371">
        <v>4683</v>
      </c>
      <c r="C4371">
        <v>273</v>
      </c>
      <c r="D4371">
        <v>124</v>
      </c>
      <c r="E4371">
        <v>17</v>
      </c>
      <c r="F4371">
        <v>6</v>
      </c>
      <c r="G4371">
        <v>10</v>
      </c>
      <c r="H4371">
        <v>0</v>
      </c>
      <c r="I4371">
        <v>0</v>
      </c>
      <c r="J4371">
        <v>16</v>
      </c>
      <c r="K4371" t="s">
        <v>251</v>
      </c>
    </row>
    <row r="4372" spans="2:11" x14ac:dyDescent="0.25">
      <c r="B4372">
        <v>4684</v>
      </c>
      <c r="C4372">
        <v>143</v>
      </c>
      <c r="D4372">
        <v>63</v>
      </c>
      <c r="E4372">
        <v>18</v>
      </c>
      <c r="F4372">
        <v>9</v>
      </c>
      <c r="G4372">
        <v>8</v>
      </c>
      <c r="H4372">
        <v>1</v>
      </c>
      <c r="I4372">
        <v>0</v>
      </c>
      <c r="J4372">
        <v>18</v>
      </c>
      <c r="K4372" t="s">
        <v>245</v>
      </c>
    </row>
    <row r="4373" spans="2:11" x14ac:dyDescent="0.25">
      <c r="B4373">
        <v>4687</v>
      </c>
      <c r="C4373">
        <v>273</v>
      </c>
      <c r="D4373">
        <v>124</v>
      </c>
      <c r="E4373">
        <v>16</v>
      </c>
      <c r="F4373">
        <v>8</v>
      </c>
      <c r="G4373">
        <v>5</v>
      </c>
      <c r="H4373">
        <v>0</v>
      </c>
      <c r="I4373">
        <v>0</v>
      </c>
      <c r="J4373">
        <v>13</v>
      </c>
      <c r="K4373" t="s">
        <v>251</v>
      </c>
    </row>
    <row r="4374" spans="2:11" x14ac:dyDescent="0.25">
      <c r="B4374">
        <v>4688</v>
      </c>
      <c r="C4374">
        <v>150</v>
      </c>
      <c r="D4374">
        <v>69</v>
      </c>
      <c r="E4374">
        <v>18</v>
      </c>
      <c r="F4374">
        <v>5</v>
      </c>
      <c r="G4374">
        <v>5</v>
      </c>
      <c r="H4374">
        <v>0</v>
      </c>
      <c r="I4374">
        <v>0</v>
      </c>
      <c r="J4374">
        <v>10</v>
      </c>
      <c r="K4374" t="s">
        <v>245</v>
      </c>
    </row>
    <row r="4375" spans="2:11" x14ac:dyDescent="0.25">
      <c r="B4375">
        <v>4690</v>
      </c>
      <c r="C4375">
        <v>135</v>
      </c>
      <c r="D4375">
        <v>60</v>
      </c>
      <c r="E4375">
        <v>15</v>
      </c>
      <c r="F4375">
        <v>13</v>
      </c>
      <c r="G4375">
        <v>5</v>
      </c>
      <c r="H4375">
        <v>2</v>
      </c>
      <c r="I4375">
        <v>0</v>
      </c>
      <c r="J4375">
        <v>20</v>
      </c>
      <c r="K4375" t="s">
        <v>245</v>
      </c>
    </row>
    <row r="4376" spans="2:11" x14ac:dyDescent="0.25">
      <c r="B4376">
        <v>4692</v>
      </c>
      <c r="C4376">
        <v>291</v>
      </c>
      <c r="D4376">
        <v>135</v>
      </c>
      <c r="E4376">
        <v>17</v>
      </c>
      <c r="F4376">
        <v>14</v>
      </c>
      <c r="G4376">
        <v>1</v>
      </c>
      <c r="H4376">
        <v>0</v>
      </c>
      <c r="I4376">
        <v>0</v>
      </c>
      <c r="J4376">
        <v>15</v>
      </c>
      <c r="K4376" t="s">
        <v>251</v>
      </c>
    </row>
    <row r="4377" spans="2:11" x14ac:dyDescent="0.25">
      <c r="B4377">
        <v>4695</v>
      </c>
      <c r="C4377">
        <v>120</v>
      </c>
      <c r="D4377">
        <v>55</v>
      </c>
      <c r="E4377">
        <v>15</v>
      </c>
      <c r="F4377">
        <v>28</v>
      </c>
      <c r="G4377">
        <v>2</v>
      </c>
      <c r="H4377">
        <v>0</v>
      </c>
      <c r="I4377">
        <v>0</v>
      </c>
      <c r="J4377">
        <v>30</v>
      </c>
      <c r="K4377" t="s">
        <v>241</v>
      </c>
    </row>
    <row r="4378" spans="2:11" x14ac:dyDescent="0.25">
      <c r="B4378">
        <v>4697</v>
      </c>
      <c r="C4378">
        <v>128</v>
      </c>
      <c r="D4378">
        <v>56</v>
      </c>
      <c r="E4378">
        <v>18</v>
      </c>
      <c r="F4378">
        <v>8</v>
      </c>
      <c r="G4378">
        <v>2</v>
      </c>
      <c r="H4378">
        <v>0</v>
      </c>
      <c r="I4378">
        <v>0</v>
      </c>
      <c r="J4378">
        <v>10</v>
      </c>
      <c r="K4378" t="s">
        <v>250</v>
      </c>
    </row>
    <row r="4379" spans="2:11" x14ac:dyDescent="0.25">
      <c r="B4379">
        <v>4698</v>
      </c>
      <c r="C4379">
        <v>120</v>
      </c>
      <c r="D4379">
        <v>55</v>
      </c>
      <c r="E4379">
        <v>16</v>
      </c>
      <c r="F4379">
        <v>27</v>
      </c>
      <c r="G4379">
        <v>0</v>
      </c>
      <c r="H4379">
        <v>1</v>
      </c>
      <c r="I4379">
        <v>0</v>
      </c>
      <c r="J4379">
        <v>28</v>
      </c>
      <c r="K4379" t="s">
        <v>241</v>
      </c>
    </row>
    <row r="4380" spans="2:11" x14ac:dyDescent="0.25">
      <c r="B4380">
        <v>4699</v>
      </c>
      <c r="C4380">
        <v>165</v>
      </c>
      <c r="D4380">
        <v>71</v>
      </c>
      <c r="E4380">
        <v>15</v>
      </c>
      <c r="F4380">
        <v>10</v>
      </c>
      <c r="G4380">
        <v>9</v>
      </c>
      <c r="H4380">
        <v>0</v>
      </c>
      <c r="I4380">
        <v>0</v>
      </c>
      <c r="J4380">
        <v>19</v>
      </c>
      <c r="K4380" t="s">
        <v>251</v>
      </c>
    </row>
    <row r="4381" spans="2:11" x14ac:dyDescent="0.25">
      <c r="B4381">
        <v>4703</v>
      </c>
      <c r="C4381">
        <v>120</v>
      </c>
      <c r="D4381">
        <v>55</v>
      </c>
      <c r="E4381">
        <v>17</v>
      </c>
      <c r="F4381">
        <v>26</v>
      </c>
      <c r="G4381">
        <v>2</v>
      </c>
      <c r="H4381">
        <v>0</v>
      </c>
      <c r="I4381">
        <v>0</v>
      </c>
      <c r="J4381">
        <v>28</v>
      </c>
      <c r="K4381" t="s">
        <v>241</v>
      </c>
    </row>
    <row r="4382" spans="2:11" x14ac:dyDescent="0.25">
      <c r="B4382">
        <v>4704</v>
      </c>
      <c r="C4382">
        <v>126</v>
      </c>
      <c r="D4382">
        <v>56</v>
      </c>
      <c r="E4382">
        <v>18</v>
      </c>
      <c r="F4382">
        <v>5</v>
      </c>
      <c r="G4382">
        <v>6</v>
      </c>
      <c r="H4382">
        <v>4</v>
      </c>
      <c r="I4382">
        <v>0</v>
      </c>
      <c r="J4382">
        <v>15</v>
      </c>
      <c r="K4382" t="s">
        <v>251</v>
      </c>
    </row>
    <row r="4383" spans="2:11" x14ac:dyDescent="0.25">
      <c r="B4383">
        <v>4706</v>
      </c>
      <c r="C4383">
        <v>271</v>
      </c>
      <c r="D4383">
        <v>122</v>
      </c>
      <c r="E4383">
        <v>16</v>
      </c>
      <c r="F4383">
        <v>15</v>
      </c>
      <c r="G4383">
        <v>15</v>
      </c>
      <c r="H4383">
        <v>0</v>
      </c>
      <c r="I4383">
        <v>0</v>
      </c>
      <c r="J4383">
        <v>30</v>
      </c>
      <c r="K4383" t="s">
        <v>241</v>
      </c>
    </row>
    <row r="4384" spans="2:11" x14ac:dyDescent="0.25">
      <c r="B4384">
        <v>4707</v>
      </c>
      <c r="C4384">
        <v>300</v>
      </c>
      <c r="D4384">
        <v>138</v>
      </c>
      <c r="E4384">
        <v>18</v>
      </c>
      <c r="F4384">
        <v>5</v>
      </c>
      <c r="G4384">
        <v>10</v>
      </c>
      <c r="H4384">
        <v>1</v>
      </c>
      <c r="I4384">
        <v>0</v>
      </c>
      <c r="J4384">
        <v>16</v>
      </c>
      <c r="K4384" t="s">
        <v>250</v>
      </c>
    </row>
    <row r="4385" spans="2:11" x14ac:dyDescent="0.25">
      <c r="B4385">
        <v>4701</v>
      </c>
      <c r="C4385">
        <v>135</v>
      </c>
      <c r="D4385">
        <v>60</v>
      </c>
      <c r="E4385">
        <v>16</v>
      </c>
      <c r="F4385">
        <v>9</v>
      </c>
      <c r="G4385">
        <v>10</v>
      </c>
      <c r="H4385">
        <v>0</v>
      </c>
      <c r="I4385">
        <v>0</v>
      </c>
      <c r="J4385">
        <v>19</v>
      </c>
      <c r="K4385" t="s">
        <v>245</v>
      </c>
    </row>
    <row r="4386" spans="2:11" x14ac:dyDescent="0.25">
      <c r="B4386">
        <v>4711</v>
      </c>
      <c r="C4386">
        <v>124</v>
      </c>
      <c r="D4386">
        <v>56</v>
      </c>
      <c r="E4386">
        <v>18</v>
      </c>
      <c r="F4386">
        <v>6</v>
      </c>
      <c r="G4386">
        <v>1</v>
      </c>
      <c r="H4386">
        <v>1</v>
      </c>
      <c r="I4386">
        <v>0</v>
      </c>
      <c r="J4386">
        <v>8</v>
      </c>
      <c r="K4386" t="s">
        <v>251</v>
      </c>
    </row>
    <row r="4387" spans="2:11" x14ac:dyDescent="0.25">
      <c r="B4387">
        <v>4710</v>
      </c>
      <c r="C4387">
        <v>271</v>
      </c>
      <c r="D4387">
        <v>122</v>
      </c>
      <c r="E4387">
        <v>17</v>
      </c>
      <c r="F4387">
        <v>15</v>
      </c>
      <c r="G4387">
        <v>15</v>
      </c>
      <c r="H4387">
        <v>0</v>
      </c>
      <c r="I4387">
        <v>0</v>
      </c>
      <c r="J4387">
        <v>30</v>
      </c>
      <c r="K4387" t="s">
        <v>241</v>
      </c>
    </row>
    <row r="4388" spans="2:11" x14ac:dyDescent="0.25">
      <c r="B4388">
        <v>4712</v>
      </c>
      <c r="C4388">
        <v>125</v>
      </c>
      <c r="D4388">
        <v>56</v>
      </c>
      <c r="E4388">
        <v>18</v>
      </c>
      <c r="F4388">
        <v>6</v>
      </c>
      <c r="G4388">
        <v>6</v>
      </c>
      <c r="H4388">
        <v>5</v>
      </c>
      <c r="I4388">
        <v>0</v>
      </c>
      <c r="J4388">
        <v>17</v>
      </c>
      <c r="K4388" t="s">
        <v>251</v>
      </c>
    </row>
    <row r="4389" spans="2:11" x14ac:dyDescent="0.25">
      <c r="B4389">
        <v>4715</v>
      </c>
      <c r="C4389">
        <v>310</v>
      </c>
      <c r="D4389">
        <v>144</v>
      </c>
      <c r="E4389">
        <v>18</v>
      </c>
      <c r="F4389">
        <v>5</v>
      </c>
      <c r="G4389">
        <v>3</v>
      </c>
      <c r="H4389">
        <v>0</v>
      </c>
      <c r="I4389">
        <v>0</v>
      </c>
      <c r="J4389">
        <v>8</v>
      </c>
      <c r="K4389" t="s">
        <v>241</v>
      </c>
    </row>
    <row r="4390" spans="2:11" x14ac:dyDescent="0.25">
      <c r="B4390">
        <v>4713</v>
      </c>
      <c r="C4390">
        <v>135</v>
      </c>
      <c r="D4390">
        <v>60</v>
      </c>
      <c r="E4390">
        <v>17</v>
      </c>
      <c r="F4390">
        <v>7</v>
      </c>
      <c r="G4390">
        <v>5</v>
      </c>
      <c r="H4390">
        <v>1</v>
      </c>
      <c r="I4390">
        <v>0</v>
      </c>
      <c r="J4390">
        <v>13</v>
      </c>
      <c r="K4390" t="s">
        <v>245</v>
      </c>
    </row>
    <row r="4391" spans="2:11" x14ac:dyDescent="0.25">
      <c r="B4391">
        <v>4714</v>
      </c>
      <c r="C4391">
        <v>254</v>
      </c>
      <c r="D4391">
        <v>116</v>
      </c>
      <c r="E4391">
        <v>14</v>
      </c>
      <c r="F4391">
        <v>24</v>
      </c>
      <c r="G4391">
        <v>0</v>
      </c>
      <c r="H4391">
        <v>0</v>
      </c>
      <c r="I4391">
        <v>0</v>
      </c>
      <c r="J4391">
        <v>24</v>
      </c>
      <c r="K4391" t="s">
        <v>243</v>
      </c>
    </row>
    <row r="4392" spans="2:11" x14ac:dyDescent="0.25">
      <c r="B4392">
        <v>4717</v>
      </c>
      <c r="C4392">
        <v>251</v>
      </c>
      <c r="D4392">
        <v>113</v>
      </c>
      <c r="E4392">
        <v>17</v>
      </c>
      <c r="F4392">
        <v>3</v>
      </c>
      <c r="G4392">
        <v>4</v>
      </c>
      <c r="H4392">
        <v>1</v>
      </c>
      <c r="I4392">
        <v>0</v>
      </c>
      <c r="J4392">
        <v>8</v>
      </c>
      <c r="K4392" t="s">
        <v>251</v>
      </c>
    </row>
    <row r="4393" spans="2:11" x14ac:dyDescent="0.25">
      <c r="B4393">
        <v>4716</v>
      </c>
      <c r="C4393">
        <v>141</v>
      </c>
      <c r="D4393">
        <v>62</v>
      </c>
      <c r="E4393">
        <v>18</v>
      </c>
      <c r="F4393">
        <v>13</v>
      </c>
      <c r="G4393">
        <v>10</v>
      </c>
      <c r="H4393">
        <v>0</v>
      </c>
      <c r="I4393">
        <v>0</v>
      </c>
      <c r="J4393">
        <v>23</v>
      </c>
      <c r="K4393" t="s">
        <v>245</v>
      </c>
    </row>
    <row r="4394" spans="2:11" x14ac:dyDescent="0.25">
      <c r="B4394">
        <v>4719</v>
      </c>
      <c r="C4394">
        <v>303</v>
      </c>
      <c r="D4394">
        <v>140</v>
      </c>
      <c r="E4394">
        <v>18</v>
      </c>
      <c r="F4394">
        <v>3</v>
      </c>
      <c r="G4394">
        <v>1</v>
      </c>
      <c r="H4394">
        <v>0</v>
      </c>
      <c r="I4394">
        <v>0</v>
      </c>
      <c r="J4394">
        <v>4</v>
      </c>
      <c r="K4394" t="s">
        <v>241</v>
      </c>
    </row>
    <row r="4395" spans="2:11" x14ac:dyDescent="0.25">
      <c r="B4395">
        <v>4721</v>
      </c>
      <c r="C4395">
        <v>175</v>
      </c>
      <c r="D4395">
        <v>76</v>
      </c>
      <c r="E4395">
        <v>17</v>
      </c>
      <c r="F4395">
        <v>1</v>
      </c>
      <c r="G4395">
        <v>8</v>
      </c>
      <c r="H4395">
        <v>3</v>
      </c>
      <c r="I4395">
        <v>0</v>
      </c>
      <c r="J4395">
        <v>12</v>
      </c>
      <c r="K4395" t="s">
        <v>245</v>
      </c>
    </row>
    <row r="4396" spans="2:11" x14ac:dyDescent="0.25">
      <c r="B4396">
        <v>4724</v>
      </c>
      <c r="C4396">
        <v>251</v>
      </c>
      <c r="D4396">
        <v>113</v>
      </c>
      <c r="E4396">
        <v>18</v>
      </c>
      <c r="F4396">
        <v>4</v>
      </c>
      <c r="G4396">
        <v>10</v>
      </c>
      <c r="H4396">
        <v>2</v>
      </c>
      <c r="I4396">
        <v>0</v>
      </c>
      <c r="J4396">
        <v>16</v>
      </c>
      <c r="K4396" t="s">
        <v>251</v>
      </c>
    </row>
    <row r="4397" spans="2:11" x14ac:dyDescent="0.25">
      <c r="B4397">
        <v>4725</v>
      </c>
      <c r="C4397">
        <v>252</v>
      </c>
      <c r="D4397">
        <v>114</v>
      </c>
      <c r="E4397">
        <v>16</v>
      </c>
      <c r="F4397">
        <v>8</v>
      </c>
      <c r="G4397">
        <v>3</v>
      </c>
      <c r="H4397">
        <v>1</v>
      </c>
      <c r="I4397">
        <v>0</v>
      </c>
      <c r="J4397">
        <v>12</v>
      </c>
      <c r="K4397" t="s">
        <v>251</v>
      </c>
    </row>
    <row r="4398" spans="2:11" x14ac:dyDescent="0.25">
      <c r="B4398">
        <v>4728</v>
      </c>
      <c r="C4398">
        <v>252</v>
      </c>
      <c r="D4398">
        <v>114</v>
      </c>
      <c r="E4398">
        <v>17</v>
      </c>
      <c r="F4398">
        <v>7</v>
      </c>
      <c r="G4398">
        <v>4</v>
      </c>
      <c r="H4398">
        <v>3</v>
      </c>
      <c r="I4398">
        <v>0</v>
      </c>
      <c r="J4398">
        <v>14</v>
      </c>
      <c r="K4398" t="s">
        <v>251</v>
      </c>
    </row>
    <row r="4399" spans="2:11" x14ac:dyDescent="0.25">
      <c r="B4399">
        <v>4731</v>
      </c>
      <c r="C4399">
        <v>252</v>
      </c>
      <c r="D4399">
        <v>114</v>
      </c>
      <c r="E4399">
        <v>18</v>
      </c>
      <c r="F4399">
        <v>8</v>
      </c>
      <c r="G4399">
        <v>4</v>
      </c>
      <c r="H4399">
        <v>2</v>
      </c>
      <c r="I4399">
        <v>0</v>
      </c>
      <c r="J4399">
        <v>14</v>
      </c>
      <c r="K4399" t="s">
        <v>251</v>
      </c>
    </row>
    <row r="4400" spans="2:11" x14ac:dyDescent="0.25">
      <c r="B4400">
        <v>4730</v>
      </c>
      <c r="C4400">
        <v>295</v>
      </c>
      <c r="D4400">
        <v>136</v>
      </c>
      <c r="E4400">
        <v>17</v>
      </c>
      <c r="F4400">
        <v>22</v>
      </c>
      <c r="G4400">
        <v>1</v>
      </c>
      <c r="H4400">
        <v>0</v>
      </c>
      <c r="I4400">
        <v>0</v>
      </c>
      <c r="J4400">
        <v>23</v>
      </c>
      <c r="K4400" t="s">
        <v>241</v>
      </c>
    </row>
    <row r="4401" spans="2:11" x14ac:dyDescent="0.25">
      <c r="B4401">
        <v>4733</v>
      </c>
      <c r="C4401">
        <v>295</v>
      </c>
      <c r="D4401">
        <v>136</v>
      </c>
      <c r="E4401">
        <v>18</v>
      </c>
      <c r="F4401">
        <v>25</v>
      </c>
      <c r="G4401">
        <v>3</v>
      </c>
      <c r="H4401">
        <v>0</v>
      </c>
      <c r="I4401">
        <v>0</v>
      </c>
      <c r="J4401">
        <v>28</v>
      </c>
      <c r="K4401" t="s">
        <v>241</v>
      </c>
    </row>
    <row r="4402" spans="2:11" x14ac:dyDescent="0.25">
      <c r="B4402">
        <v>4734</v>
      </c>
      <c r="C4402">
        <v>253</v>
      </c>
      <c r="D4402">
        <v>115</v>
      </c>
      <c r="E4402">
        <v>17</v>
      </c>
      <c r="F4402">
        <v>4</v>
      </c>
      <c r="G4402">
        <v>2</v>
      </c>
      <c r="H4402">
        <v>0</v>
      </c>
      <c r="I4402">
        <v>0</v>
      </c>
      <c r="J4402">
        <v>6</v>
      </c>
      <c r="K4402" t="s">
        <v>251</v>
      </c>
    </row>
    <row r="4403" spans="2:11" x14ac:dyDescent="0.25">
      <c r="B4403">
        <v>4737</v>
      </c>
      <c r="C4403">
        <v>253</v>
      </c>
      <c r="D4403">
        <v>115</v>
      </c>
      <c r="E4403">
        <v>18</v>
      </c>
      <c r="F4403">
        <v>3</v>
      </c>
      <c r="G4403">
        <v>1</v>
      </c>
      <c r="H4403">
        <v>1</v>
      </c>
      <c r="I4403">
        <v>0</v>
      </c>
      <c r="J4403">
        <v>5</v>
      </c>
      <c r="K4403" t="s">
        <v>251</v>
      </c>
    </row>
    <row r="4404" spans="2:11" x14ac:dyDescent="0.25">
      <c r="B4404">
        <v>4739</v>
      </c>
      <c r="C4404">
        <v>313</v>
      </c>
      <c r="D4404">
        <v>144</v>
      </c>
      <c r="E4404">
        <v>17</v>
      </c>
      <c r="F4404">
        <v>5</v>
      </c>
      <c r="G4404">
        <v>6</v>
      </c>
      <c r="H4404">
        <v>0</v>
      </c>
      <c r="I4404">
        <v>0</v>
      </c>
      <c r="J4404">
        <v>11</v>
      </c>
      <c r="K4404" t="s">
        <v>241</v>
      </c>
    </row>
    <row r="4405" spans="2:11" x14ac:dyDescent="0.25">
      <c r="B4405">
        <v>4742</v>
      </c>
      <c r="C4405">
        <v>29</v>
      </c>
      <c r="D4405">
        <v>16</v>
      </c>
      <c r="E4405">
        <v>16</v>
      </c>
      <c r="F4405">
        <v>13</v>
      </c>
      <c r="G4405">
        <v>9</v>
      </c>
      <c r="H4405">
        <v>0</v>
      </c>
      <c r="I4405">
        <v>0</v>
      </c>
      <c r="J4405">
        <v>22</v>
      </c>
      <c r="K4405" t="s">
        <v>245</v>
      </c>
    </row>
    <row r="4406" spans="2:11" x14ac:dyDescent="0.25">
      <c r="B4406">
        <v>4757</v>
      </c>
      <c r="C4406">
        <v>314</v>
      </c>
      <c r="D4406">
        <v>145</v>
      </c>
      <c r="E4406">
        <v>17</v>
      </c>
      <c r="F4406">
        <v>13</v>
      </c>
      <c r="G4406">
        <v>8</v>
      </c>
      <c r="H4406">
        <v>0</v>
      </c>
      <c r="I4406">
        <v>0</v>
      </c>
      <c r="J4406">
        <v>21</v>
      </c>
      <c r="K4406" t="s">
        <v>243</v>
      </c>
    </row>
    <row r="4407" spans="2:11" x14ac:dyDescent="0.25">
      <c r="B4407">
        <v>4764</v>
      </c>
      <c r="C4407">
        <v>96</v>
      </c>
      <c r="D4407">
        <v>48</v>
      </c>
      <c r="E4407">
        <v>14</v>
      </c>
      <c r="F4407">
        <v>13</v>
      </c>
      <c r="G4407">
        <v>12</v>
      </c>
      <c r="H4407">
        <v>0</v>
      </c>
      <c r="I4407">
        <v>0</v>
      </c>
      <c r="J4407">
        <v>25</v>
      </c>
      <c r="K4407" t="s">
        <v>241</v>
      </c>
    </row>
    <row r="4408" spans="2:11" x14ac:dyDescent="0.25">
      <c r="B4408">
        <v>4762</v>
      </c>
      <c r="C4408">
        <v>67</v>
      </c>
      <c r="D4408">
        <v>35</v>
      </c>
      <c r="E4408">
        <v>16</v>
      </c>
      <c r="F4408">
        <v>15</v>
      </c>
      <c r="G4408">
        <v>1</v>
      </c>
      <c r="H4408">
        <v>14</v>
      </c>
      <c r="I4408">
        <v>0</v>
      </c>
      <c r="J4408">
        <v>30</v>
      </c>
      <c r="K4408" t="s">
        <v>245</v>
      </c>
    </row>
    <row r="4409" spans="2:11" x14ac:dyDescent="0.25">
      <c r="B4409">
        <v>4761</v>
      </c>
      <c r="C4409">
        <v>314</v>
      </c>
      <c r="D4409">
        <v>145</v>
      </c>
      <c r="E4409">
        <v>18</v>
      </c>
      <c r="F4409">
        <v>20</v>
      </c>
      <c r="G4409">
        <v>6</v>
      </c>
      <c r="H4409">
        <v>0</v>
      </c>
      <c r="I4409">
        <v>0</v>
      </c>
      <c r="J4409">
        <v>26</v>
      </c>
      <c r="K4409" t="s">
        <v>243</v>
      </c>
    </row>
    <row r="4410" spans="2:11" x14ac:dyDescent="0.25">
      <c r="B4410">
        <v>4765</v>
      </c>
      <c r="C4410">
        <v>160</v>
      </c>
      <c r="D4410">
        <v>69</v>
      </c>
      <c r="E4410">
        <v>17</v>
      </c>
      <c r="F4410">
        <v>6</v>
      </c>
      <c r="G4410">
        <v>17</v>
      </c>
      <c r="H4410">
        <v>0</v>
      </c>
      <c r="I4410">
        <v>0</v>
      </c>
      <c r="J4410">
        <v>23</v>
      </c>
      <c r="K4410" t="s">
        <v>246</v>
      </c>
    </row>
    <row r="4411" spans="2:11" x14ac:dyDescent="0.25">
      <c r="B4411">
        <v>4766</v>
      </c>
      <c r="C4411">
        <v>67</v>
      </c>
      <c r="D4411">
        <v>35</v>
      </c>
      <c r="E4411">
        <v>17</v>
      </c>
      <c r="F4411">
        <v>6</v>
      </c>
      <c r="G4411">
        <v>2</v>
      </c>
      <c r="H4411">
        <v>22</v>
      </c>
      <c r="I4411">
        <v>0</v>
      </c>
      <c r="J4411">
        <v>30</v>
      </c>
      <c r="K4411" t="s">
        <v>245</v>
      </c>
    </row>
    <row r="4412" spans="2:11" x14ac:dyDescent="0.25">
      <c r="B4412">
        <v>4768</v>
      </c>
      <c r="C4412">
        <v>309</v>
      </c>
      <c r="D4412">
        <v>144</v>
      </c>
      <c r="E4412">
        <v>18</v>
      </c>
      <c r="F4412">
        <v>5</v>
      </c>
      <c r="G4412">
        <v>9</v>
      </c>
      <c r="H4412">
        <v>0</v>
      </c>
      <c r="I4412">
        <v>0</v>
      </c>
      <c r="J4412">
        <v>14</v>
      </c>
      <c r="K4412" t="s">
        <v>246</v>
      </c>
    </row>
    <row r="4413" spans="2:11" x14ac:dyDescent="0.25">
      <c r="B4413">
        <v>4767</v>
      </c>
      <c r="C4413">
        <v>288</v>
      </c>
      <c r="D4413">
        <v>134</v>
      </c>
      <c r="E4413">
        <v>17</v>
      </c>
      <c r="F4413">
        <v>11</v>
      </c>
      <c r="G4413">
        <v>3</v>
      </c>
      <c r="H4413">
        <v>0</v>
      </c>
      <c r="I4413">
        <v>0</v>
      </c>
      <c r="J4413">
        <v>14</v>
      </c>
      <c r="K4413" t="s">
        <v>243</v>
      </c>
    </row>
    <row r="4414" spans="2:11" x14ac:dyDescent="0.25">
      <c r="B4414">
        <v>4769</v>
      </c>
      <c r="C4414">
        <v>67</v>
      </c>
      <c r="D4414">
        <v>35</v>
      </c>
      <c r="E4414">
        <v>18</v>
      </c>
      <c r="F4414">
        <v>5</v>
      </c>
      <c r="G4414">
        <v>2</v>
      </c>
      <c r="H4414">
        <v>23</v>
      </c>
      <c r="I4414">
        <v>0</v>
      </c>
      <c r="J4414">
        <v>30</v>
      </c>
      <c r="K4414" t="s">
        <v>245</v>
      </c>
    </row>
    <row r="4415" spans="2:11" x14ac:dyDescent="0.25">
      <c r="B4415">
        <v>4771</v>
      </c>
      <c r="C4415">
        <v>96</v>
      </c>
      <c r="D4415">
        <v>48</v>
      </c>
      <c r="E4415">
        <v>15</v>
      </c>
      <c r="F4415">
        <v>15</v>
      </c>
      <c r="G4415">
        <v>11</v>
      </c>
      <c r="H4415">
        <v>0</v>
      </c>
      <c r="I4415">
        <v>0</v>
      </c>
      <c r="J4415">
        <v>26</v>
      </c>
      <c r="K4415" t="s">
        <v>241</v>
      </c>
    </row>
    <row r="4416" spans="2:11" x14ac:dyDescent="0.25">
      <c r="B4416">
        <v>4770</v>
      </c>
      <c r="C4416">
        <v>344</v>
      </c>
      <c r="D4416">
        <v>155</v>
      </c>
      <c r="E4416">
        <v>17</v>
      </c>
      <c r="F4416">
        <v>9</v>
      </c>
      <c r="G4416">
        <v>4</v>
      </c>
      <c r="H4416">
        <v>0</v>
      </c>
      <c r="I4416">
        <v>0</v>
      </c>
      <c r="J4416">
        <v>13</v>
      </c>
      <c r="K4416" t="s">
        <v>251</v>
      </c>
    </row>
    <row r="4417" spans="2:11" x14ac:dyDescent="0.25">
      <c r="B4417">
        <v>4776</v>
      </c>
      <c r="C4417">
        <v>344</v>
      </c>
      <c r="D4417">
        <v>155</v>
      </c>
      <c r="E4417">
        <v>16</v>
      </c>
      <c r="F4417">
        <v>8</v>
      </c>
      <c r="G4417">
        <v>10</v>
      </c>
      <c r="H4417">
        <v>0</v>
      </c>
      <c r="I4417">
        <v>0</v>
      </c>
      <c r="J4417">
        <v>18</v>
      </c>
      <c r="K4417" t="s">
        <v>251</v>
      </c>
    </row>
    <row r="4418" spans="2:11" x14ac:dyDescent="0.25">
      <c r="B4418">
        <v>4775</v>
      </c>
      <c r="C4418">
        <v>347</v>
      </c>
      <c r="D4418">
        <v>155</v>
      </c>
      <c r="E4418">
        <v>16</v>
      </c>
      <c r="F4418">
        <v>3</v>
      </c>
      <c r="G4418">
        <v>9</v>
      </c>
      <c r="H4418">
        <v>0</v>
      </c>
      <c r="I4418">
        <v>0</v>
      </c>
      <c r="J4418">
        <v>12</v>
      </c>
      <c r="K4418" t="s">
        <v>250</v>
      </c>
    </row>
    <row r="4419" spans="2:11" x14ac:dyDescent="0.25">
      <c r="B4419">
        <v>4774</v>
      </c>
      <c r="C4419">
        <v>307</v>
      </c>
      <c r="D4419">
        <v>142</v>
      </c>
      <c r="E4419">
        <v>18</v>
      </c>
      <c r="F4419">
        <v>10</v>
      </c>
      <c r="G4419">
        <v>3</v>
      </c>
      <c r="H4419">
        <v>0</v>
      </c>
      <c r="I4419">
        <v>0</v>
      </c>
      <c r="J4419">
        <v>13</v>
      </c>
      <c r="K4419" t="s">
        <v>243</v>
      </c>
    </row>
    <row r="4420" spans="2:11" x14ac:dyDescent="0.25">
      <c r="B4420">
        <v>4777</v>
      </c>
      <c r="C4420">
        <v>347</v>
      </c>
      <c r="D4420">
        <v>155</v>
      </c>
      <c r="E4420">
        <v>17</v>
      </c>
      <c r="F4420">
        <v>8</v>
      </c>
      <c r="G4420">
        <v>5</v>
      </c>
      <c r="H4420">
        <v>0</v>
      </c>
      <c r="I4420">
        <v>0</v>
      </c>
      <c r="J4420">
        <v>13</v>
      </c>
      <c r="K4420" t="s">
        <v>250</v>
      </c>
    </row>
    <row r="4421" spans="2:11" x14ac:dyDescent="0.25">
      <c r="B4421">
        <v>4778</v>
      </c>
      <c r="C4421">
        <v>345</v>
      </c>
      <c r="D4421">
        <v>155</v>
      </c>
      <c r="E4421">
        <v>16</v>
      </c>
      <c r="F4421">
        <v>7</v>
      </c>
      <c r="G4421">
        <v>8</v>
      </c>
      <c r="H4421">
        <v>0</v>
      </c>
      <c r="I4421">
        <v>0</v>
      </c>
      <c r="J4421">
        <v>15</v>
      </c>
      <c r="K4421" t="s">
        <v>251</v>
      </c>
    </row>
    <row r="4422" spans="2:11" x14ac:dyDescent="0.25">
      <c r="B4422">
        <v>4779</v>
      </c>
      <c r="C4422">
        <v>96</v>
      </c>
      <c r="D4422">
        <v>48</v>
      </c>
      <c r="E4422">
        <v>16</v>
      </c>
      <c r="F4422">
        <v>11</v>
      </c>
      <c r="G4422">
        <v>15</v>
      </c>
      <c r="H4422">
        <v>0</v>
      </c>
      <c r="I4422">
        <v>0</v>
      </c>
      <c r="J4422">
        <v>26</v>
      </c>
      <c r="K4422" t="s">
        <v>241</v>
      </c>
    </row>
    <row r="4423" spans="2:11" x14ac:dyDescent="0.25">
      <c r="B4423">
        <v>4781</v>
      </c>
      <c r="C4423">
        <v>345</v>
      </c>
      <c r="D4423">
        <v>155</v>
      </c>
      <c r="E4423">
        <v>17</v>
      </c>
      <c r="F4423">
        <v>5</v>
      </c>
      <c r="G4423">
        <v>4</v>
      </c>
      <c r="H4423">
        <v>0</v>
      </c>
      <c r="I4423">
        <v>0</v>
      </c>
      <c r="J4423">
        <v>9</v>
      </c>
      <c r="K4423" t="s">
        <v>251</v>
      </c>
    </row>
    <row r="4424" spans="2:11" x14ac:dyDescent="0.25">
      <c r="B4424">
        <v>4780</v>
      </c>
      <c r="C4424">
        <v>348</v>
      </c>
      <c r="D4424">
        <v>155</v>
      </c>
      <c r="E4424">
        <v>16</v>
      </c>
      <c r="F4424">
        <v>10</v>
      </c>
      <c r="G4424">
        <v>14</v>
      </c>
      <c r="H4424">
        <v>0</v>
      </c>
      <c r="I4424">
        <v>0</v>
      </c>
      <c r="J4424">
        <v>24</v>
      </c>
      <c r="K4424" t="s">
        <v>250</v>
      </c>
    </row>
    <row r="4425" spans="2:11" x14ac:dyDescent="0.25">
      <c r="B4425">
        <v>4782</v>
      </c>
      <c r="C4425">
        <v>346</v>
      </c>
      <c r="D4425">
        <v>155</v>
      </c>
      <c r="E4425">
        <v>16</v>
      </c>
      <c r="F4425">
        <v>10</v>
      </c>
      <c r="G4425">
        <v>18</v>
      </c>
      <c r="H4425">
        <v>0</v>
      </c>
      <c r="I4425">
        <v>0</v>
      </c>
      <c r="J4425">
        <v>28</v>
      </c>
      <c r="K4425" t="s">
        <v>251</v>
      </c>
    </row>
    <row r="4426" spans="2:11" x14ac:dyDescent="0.25">
      <c r="B4426">
        <v>4784</v>
      </c>
      <c r="C4426">
        <v>348</v>
      </c>
      <c r="D4426">
        <v>155</v>
      </c>
      <c r="E4426">
        <v>17</v>
      </c>
      <c r="F4426">
        <v>13</v>
      </c>
      <c r="G4426">
        <v>14</v>
      </c>
      <c r="H4426">
        <v>0</v>
      </c>
      <c r="I4426">
        <v>0</v>
      </c>
      <c r="J4426">
        <v>27</v>
      </c>
      <c r="K4426" t="s">
        <v>250</v>
      </c>
    </row>
    <row r="4427" spans="2:11" x14ac:dyDescent="0.25">
      <c r="B4427">
        <v>4783</v>
      </c>
      <c r="C4427">
        <v>174</v>
      </c>
      <c r="D4427">
        <v>75</v>
      </c>
      <c r="E4427">
        <v>17</v>
      </c>
      <c r="F4427">
        <v>6</v>
      </c>
      <c r="G4427">
        <v>2</v>
      </c>
      <c r="H4427">
        <v>1</v>
      </c>
      <c r="I4427">
        <v>0</v>
      </c>
      <c r="J4427">
        <v>9</v>
      </c>
      <c r="K4427" t="s">
        <v>241</v>
      </c>
    </row>
    <row r="4428" spans="2:11" x14ac:dyDescent="0.25">
      <c r="B4428">
        <v>4787</v>
      </c>
      <c r="C4428">
        <v>349</v>
      </c>
      <c r="D4428">
        <v>156</v>
      </c>
      <c r="E4428">
        <v>16</v>
      </c>
      <c r="F4428">
        <v>6</v>
      </c>
      <c r="G4428">
        <v>13</v>
      </c>
      <c r="H4428">
        <v>0</v>
      </c>
      <c r="I4428">
        <v>0</v>
      </c>
      <c r="J4428">
        <v>19</v>
      </c>
      <c r="K4428" t="s">
        <v>250</v>
      </c>
    </row>
    <row r="4429" spans="2:11" x14ac:dyDescent="0.25">
      <c r="B4429">
        <v>4789</v>
      </c>
      <c r="C4429">
        <v>349</v>
      </c>
      <c r="D4429">
        <v>156</v>
      </c>
      <c r="E4429">
        <v>17</v>
      </c>
      <c r="F4429">
        <v>10</v>
      </c>
      <c r="G4429">
        <v>17</v>
      </c>
      <c r="H4429">
        <v>0</v>
      </c>
      <c r="I4429">
        <v>0</v>
      </c>
      <c r="J4429">
        <v>27</v>
      </c>
      <c r="K4429" t="s">
        <v>250</v>
      </c>
    </row>
    <row r="4430" spans="2:11" x14ac:dyDescent="0.25">
      <c r="B4430">
        <v>4788</v>
      </c>
      <c r="C4430">
        <v>289</v>
      </c>
      <c r="D4430">
        <v>135</v>
      </c>
      <c r="E4430">
        <v>17</v>
      </c>
      <c r="F4430">
        <v>17</v>
      </c>
      <c r="G4430">
        <v>3</v>
      </c>
      <c r="H4430">
        <v>0</v>
      </c>
      <c r="I4430">
        <v>0</v>
      </c>
      <c r="J4430">
        <v>20</v>
      </c>
      <c r="K4430" t="s">
        <v>241</v>
      </c>
    </row>
    <row r="4431" spans="2:11" x14ac:dyDescent="0.25">
      <c r="B4431">
        <v>4786</v>
      </c>
      <c r="C4431">
        <v>346</v>
      </c>
      <c r="D4431">
        <v>155</v>
      </c>
      <c r="E4431">
        <v>17</v>
      </c>
      <c r="F4431">
        <v>9</v>
      </c>
      <c r="G4431">
        <v>10</v>
      </c>
      <c r="H4431">
        <v>0</v>
      </c>
      <c r="I4431">
        <v>0</v>
      </c>
      <c r="J4431">
        <v>19</v>
      </c>
      <c r="K4431" t="s">
        <v>251</v>
      </c>
    </row>
    <row r="4432" spans="2:11" x14ac:dyDescent="0.25">
      <c r="B4432">
        <v>4790</v>
      </c>
      <c r="C4432">
        <v>350</v>
      </c>
      <c r="D4432">
        <v>157</v>
      </c>
      <c r="E4432">
        <v>17</v>
      </c>
      <c r="F4432">
        <v>4</v>
      </c>
      <c r="G4432">
        <v>8</v>
      </c>
      <c r="H4432">
        <v>0</v>
      </c>
      <c r="I4432">
        <v>0</v>
      </c>
      <c r="J4432">
        <v>12</v>
      </c>
      <c r="K4432" t="s">
        <v>250</v>
      </c>
    </row>
    <row r="4433" spans="2:11" x14ac:dyDescent="0.25">
      <c r="B4433">
        <v>4792</v>
      </c>
      <c r="C4433">
        <v>350</v>
      </c>
      <c r="D4433">
        <v>157</v>
      </c>
      <c r="E4433">
        <v>16</v>
      </c>
      <c r="F4433">
        <v>13</v>
      </c>
      <c r="G4433">
        <v>14</v>
      </c>
      <c r="H4433">
        <v>0</v>
      </c>
      <c r="I4433">
        <v>0</v>
      </c>
      <c r="J4433">
        <v>27</v>
      </c>
      <c r="K4433" t="s">
        <v>250</v>
      </c>
    </row>
    <row r="4434" spans="2:11" x14ac:dyDescent="0.25">
      <c r="B4434">
        <v>4791</v>
      </c>
      <c r="C4434">
        <v>110</v>
      </c>
      <c r="D4434">
        <v>51</v>
      </c>
      <c r="E4434">
        <v>15</v>
      </c>
      <c r="F4434">
        <v>3</v>
      </c>
      <c r="G4434">
        <v>23</v>
      </c>
      <c r="H4434">
        <v>2</v>
      </c>
      <c r="I4434">
        <v>0</v>
      </c>
      <c r="J4434">
        <v>28</v>
      </c>
      <c r="K4434" t="s">
        <v>241</v>
      </c>
    </row>
    <row r="4435" spans="2:11" x14ac:dyDescent="0.25">
      <c r="B4435">
        <v>4785</v>
      </c>
      <c r="C4435">
        <v>265</v>
      </c>
      <c r="D4435">
        <v>118</v>
      </c>
      <c r="E4435">
        <v>17</v>
      </c>
      <c r="F4435">
        <v>6</v>
      </c>
      <c r="G4435">
        <v>6</v>
      </c>
      <c r="H4435">
        <v>4</v>
      </c>
      <c r="I4435">
        <v>0</v>
      </c>
      <c r="J4435">
        <v>16</v>
      </c>
      <c r="K4435" t="s">
        <v>248</v>
      </c>
    </row>
    <row r="4436" spans="2:11" x14ac:dyDescent="0.25">
      <c r="B4436">
        <v>4793</v>
      </c>
      <c r="C4436">
        <v>351</v>
      </c>
      <c r="D4436">
        <v>158</v>
      </c>
      <c r="E4436">
        <v>16</v>
      </c>
      <c r="F4436">
        <v>9</v>
      </c>
      <c r="G4436">
        <v>10</v>
      </c>
      <c r="H4436">
        <v>0</v>
      </c>
      <c r="I4436">
        <v>0</v>
      </c>
      <c r="J4436">
        <v>19</v>
      </c>
      <c r="K4436" t="s">
        <v>250</v>
      </c>
    </row>
    <row r="4437" spans="2:11" x14ac:dyDescent="0.25">
      <c r="B4437">
        <v>4794</v>
      </c>
      <c r="C4437">
        <v>110</v>
      </c>
      <c r="D4437">
        <v>51</v>
      </c>
      <c r="E4437">
        <v>16</v>
      </c>
      <c r="F4437">
        <v>4</v>
      </c>
      <c r="G4437">
        <v>22</v>
      </c>
      <c r="H4437">
        <v>0</v>
      </c>
      <c r="I4437">
        <v>0</v>
      </c>
      <c r="J4437">
        <v>26</v>
      </c>
      <c r="K4437" t="s">
        <v>241</v>
      </c>
    </row>
    <row r="4438" spans="2:11" x14ac:dyDescent="0.25">
      <c r="B4438">
        <v>4795</v>
      </c>
      <c r="C4438">
        <v>275</v>
      </c>
      <c r="D4438">
        <v>126</v>
      </c>
      <c r="E4438">
        <v>18</v>
      </c>
      <c r="F4438">
        <v>10</v>
      </c>
      <c r="G4438">
        <v>7</v>
      </c>
      <c r="H4438">
        <v>0</v>
      </c>
      <c r="I4438">
        <v>0</v>
      </c>
      <c r="J4438">
        <v>17</v>
      </c>
      <c r="K4438" t="s">
        <v>250</v>
      </c>
    </row>
    <row r="4439" spans="2:11" x14ac:dyDescent="0.25">
      <c r="B4439">
        <v>4796</v>
      </c>
      <c r="C4439">
        <v>15</v>
      </c>
      <c r="D4439">
        <v>6</v>
      </c>
      <c r="E4439">
        <v>17</v>
      </c>
      <c r="F4439">
        <v>2</v>
      </c>
      <c r="G4439">
        <v>3</v>
      </c>
      <c r="H4439">
        <v>0</v>
      </c>
      <c r="I4439">
        <v>0</v>
      </c>
      <c r="J4439">
        <v>5</v>
      </c>
      <c r="K4439" t="s">
        <v>245</v>
      </c>
    </row>
    <row r="4440" spans="2:11" x14ac:dyDescent="0.25">
      <c r="B4440">
        <v>4798</v>
      </c>
      <c r="C4440">
        <v>15</v>
      </c>
      <c r="D4440">
        <v>6</v>
      </c>
      <c r="E4440">
        <v>18</v>
      </c>
      <c r="F4440">
        <v>0</v>
      </c>
      <c r="G4440">
        <v>0</v>
      </c>
      <c r="H4440">
        <v>1</v>
      </c>
      <c r="I4440">
        <v>0</v>
      </c>
      <c r="J4440">
        <v>1</v>
      </c>
      <c r="K4440" t="s">
        <v>245</v>
      </c>
    </row>
    <row r="4441" spans="2:11" x14ac:dyDescent="0.25">
      <c r="B4441">
        <v>4797</v>
      </c>
      <c r="C4441">
        <v>275</v>
      </c>
      <c r="D4441">
        <v>126</v>
      </c>
      <c r="E4441">
        <v>17</v>
      </c>
      <c r="F4441">
        <v>6</v>
      </c>
      <c r="G4441">
        <v>11</v>
      </c>
      <c r="H4441">
        <v>0</v>
      </c>
      <c r="I4441">
        <v>0</v>
      </c>
      <c r="J4441">
        <v>17</v>
      </c>
      <c r="K4441" t="s">
        <v>250</v>
      </c>
    </row>
    <row r="4442" spans="2:11" x14ac:dyDescent="0.25">
      <c r="B4442">
        <v>4801</v>
      </c>
      <c r="C4442">
        <v>275</v>
      </c>
      <c r="D4442">
        <v>126</v>
      </c>
      <c r="E4442">
        <v>16</v>
      </c>
      <c r="F4442">
        <v>5</v>
      </c>
      <c r="G4442">
        <v>8</v>
      </c>
      <c r="H4442">
        <v>0</v>
      </c>
      <c r="I4442">
        <v>0</v>
      </c>
      <c r="J4442">
        <v>13</v>
      </c>
      <c r="K4442" t="s">
        <v>250</v>
      </c>
    </row>
    <row r="4443" spans="2:11" x14ac:dyDescent="0.25">
      <c r="B4443">
        <v>4800</v>
      </c>
      <c r="C4443">
        <v>62</v>
      </c>
      <c r="D4443">
        <v>33</v>
      </c>
      <c r="E4443">
        <v>16</v>
      </c>
      <c r="F4443">
        <v>16</v>
      </c>
      <c r="G4443">
        <v>14</v>
      </c>
      <c r="H4443">
        <v>0</v>
      </c>
      <c r="I4443">
        <v>0</v>
      </c>
      <c r="J4443">
        <v>30</v>
      </c>
      <c r="K4443" t="s">
        <v>243</v>
      </c>
    </row>
    <row r="4444" spans="2:11" x14ac:dyDescent="0.25">
      <c r="B4444">
        <v>4803</v>
      </c>
      <c r="C4444">
        <v>173</v>
      </c>
      <c r="D4444">
        <v>75</v>
      </c>
      <c r="E4444">
        <v>17</v>
      </c>
      <c r="F4444">
        <v>8</v>
      </c>
      <c r="G4444">
        <v>9</v>
      </c>
      <c r="H4444">
        <v>1</v>
      </c>
      <c r="I4444">
        <v>0</v>
      </c>
      <c r="J4444">
        <v>18</v>
      </c>
      <c r="K4444" t="s">
        <v>250</v>
      </c>
    </row>
    <row r="4445" spans="2:11" x14ac:dyDescent="0.25">
      <c r="B4445">
        <v>4804</v>
      </c>
      <c r="C4445">
        <v>62</v>
      </c>
      <c r="D4445">
        <v>33</v>
      </c>
      <c r="E4445">
        <v>17</v>
      </c>
      <c r="F4445">
        <v>15</v>
      </c>
      <c r="G4445">
        <v>15</v>
      </c>
      <c r="H4445">
        <v>0</v>
      </c>
      <c r="I4445">
        <v>0</v>
      </c>
      <c r="J4445">
        <v>30</v>
      </c>
      <c r="K4445" t="s">
        <v>243</v>
      </c>
    </row>
    <row r="4446" spans="2:11" x14ac:dyDescent="0.25">
      <c r="B4446">
        <v>4807</v>
      </c>
      <c r="C4446">
        <v>122</v>
      </c>
      <c r="D4446">
        <v>55</v>
      </c>
      <c r="E4446">
        <v>17</v>
      </c>
      <c r="F4446">
        <v>6</v>
      </c>
      <c r="G4446">
        <v>3</v>
      </c>
      <c r="H4446">
        <v>2</v>
      </c>
      <c r="I4446">
        <v>0</v>
      </c>
      <c r="J4446">
        <v>11</v>
      </c>
      <c r="K4446" t="s">
        <v>245</v>
      </c>
    </row>
    <row r="4447" spans="2:11" x14ac:dyDescent="0.25">
      <c r="B4447">
        <v>4809</v>
      </c>
      <c r="C4447">
        <v>242</v>
      </c>
      <c r="D4447">
        <v>107</v>
      </c>
      <c r="E4447">
        <v>16</v>
      </c>
      <c r="F4447">
        <v>3</v>
      </c>
      <c r="G4447">
        <v>7</v>
      </c>
      <c r="H4447">
        <v>0</v>
      </c>
      <c r="I4447">
        <v>0</v>
      </c>
      <c r="J4447">
        <v>10</v>
      </c>
      <c r="K4447" t="s">
        <v>246</v>
      </c>
    </row>
    <row r="4448" spans="2:11" x14ac:dyDescent="0.25">
      <c r="B4448">
        <v>4810</v>
      </c>
      <c r="C4448">
        <v>240</v>
      </c>
      <c r="D4448">
        <v>107</v>
      </c>
      <c r="E4448">
        <v>15</v>
      </c>
      <c r="F4448">
        <v>6</v>
      </c>
      <c r="G4448">
        <v>4</v>
      </c>
      <c r="H4448">
        <v>0</v>
      </c>
      <c r="I4448">
        <v>0</v>
      </c>
      <c r="J4448">
        <v>10</v>
      </c>
      <c r="K4448" t="s">
        <v>241</v>
      </c>
    </row>
    <row r="4449" spans="2:11" x14ac:dyDescent="0.25">
      <c r="B4449">
        <v>4811</v>
      </c>
      <c r="C4449">
        <v>165</v>
      </c>
      <c r="D4449">
        <v>71</v>
      </c>
      <c r="E4449">
        <v>16</v>
      </c>
      <c r="F4449">
        <v>5</v>
      </c>
      <c r="G4449">
        <v>4</v>
      </c>
      <c r="H4449">
        <v>0</v>
      </c>
      <c r="I4449">
        <v>0</v>
      </c>
      <c r="J4449">
        <v>9</v>
      </c>
      <c r="K4449" t="s">
        <v>245</v>
      </c>
    </row>
    <row r="4450" spans="2:11" x14ac:dyDescent="0.25">
      <c r="B4450">
        <v>4812</v>
      </c>
      <c r="C4450">
        <v>243</v>
      </c>
      <c r="D4450">
        <v>108</v>
      </c>
      <c r="E4450">
        <v>17</v>
      </c>
      <c r="F4450">
        <v>9</v>
      </c>
      <c r="G4450">
        <v>2</v>
      </c>
      <c r="H4450">
        <v>1</v>
      </c>
      <c r="I4450">
        <v>0</v>
      </c>
      <c r="J4450">
        <v>12</v>
      </c>
      <c r="K4450" t="s">
        <v>246</v>
      </c>
    </row>
    <row r="4451" spans="2:11" x14ac:dyDescent="0.25">
      <c r="B4451">
        <v>4808</v>
      </c>
      <c r="C4451">
        <v>62</v>
      </c>
      <c r="D4451">
        <v>33</v>
      </c>
      <c r="E4451">
        <v>18</v>
      </c>
      <c r="F4451">
        <v>13</v>
      </c>
      <c r="G4451">
        <v>14</v>
      </c>
      <c r="H4451">
        <v>3</v>
      </c>
      <c r="I4451">
        <v>0</v>
      </c>
      <c r="J4451">
        <v>30</v>
      </c>
      <c r="K4451" t="s">
        <v>243</v>
      </c>
    </row>
    <row r="4452" spans="2:11" x14ac:dyDescent="0.25">
      <c r="B4452">
        <v>4814</v>
      </c>
      <c r="C4452">
        <v>240</v>
      </c>
      <c r="D4452">
        <v>107</v>
      </c>
      <c r="E4452">
        <v>17</v>
      </c>
      <c r="F4452">
        <v>6</v>
      </c>
      <c r="G4452">
        <v>2</v>
      </c>
      <c r="H4452">
        <v>0</v>
      </c>
      <c r="I4452">
        <v>0</v>
      </c>
      <c r="J4452">
        <v>8</v>
      </c>
      <c r="K4452" t="s">
        <v>241</v>
      </c>
    </row>
    <row r="4453" spans="2:11" x14ac:dyDescent="0.25">
      <c r="B4453">
        <v>4815</v>
      </c>
      <c r="C4453">
        <v>302</v>
      </c>
      <c r="D4453">
        <v>140</v>
      </c>
      <c r="E4453">
        <v>18</v>
      </c>
      <c r="F4453">
        <v>8</v>
      </c>
      <c r="G4453">
        <v>6</v>
      </c>
      <c r="H4453">
        <v>1</v>
      </c>
      <c r="I4453">
        <v>0</v>
      </c>
      <c r="J4453">
        <v>15</v>
      </c>
      <c r="K4453" t="s">
        <v>248</v>
      </c>
    </row>
    <row r="4454" spans="2:11" x14ac:dyDescent="0.25">
      <c r="B4454">
        <v>4819</v>
      </c>
      <c r="C4454">
        <v>256</v>
      </c>
      <c r="D4454">
        <v>117</v>
      </c>
      <c r="E4454">
        <v>17</v>
      </c>
      <c r="F4454">
        <v>2</v>
      </c>
      <c r="G4454">
        <v>4</v>
      </c>
      <c r="H4454">
        <v>0</v>
      </c>
      <c r="I4454">
        <v>0</v>
      </c>
      <c r="J4454">
        <v>6</v>
      </c>
      <c r="K4454" t="s">
        <v>241</v>
      </c>
    </row>
    <row r="4455" spans="2:11" x14ac:dyDescent="0.25">
      <c r="B4455">
        <v>4818</v>
      </c>
      <c r="C4455">
        <v>76</v>
      </c>
      <c r="D4455">
        <v>38</v>
      </c>
      <c r="E4455">
        <v>16</v>
      </c>
      <c r="F4455">
        <v>4</v>
      </c>
      <c r="G4455">
        <v>8</v>
      </c>
      <c r="H4455">
        <v>0</v>
      </c>
      <c r="I4455">
        <v>0</v>
      </c>
      <c r="J4455">
        <v>12</v>
      </c>
      <c r="K4455" t="s">
        <v>248</v>
      </c>
    </row>
    <row r="4456" spans="2:11" x14ac:dyDescent="0.25">
      <c r="B4456">
        <v>4817</v>
      </c>
      <c r="C4456">
        <v>129</v>
      </c>
      <c r="D4456">
        <v>57</v>
      </c>
      <c r="E4456">
        <v>18</v>
      </c>
      <c r="F4456">
        <v>14</v>
      </c>
      <c r="G4456">
        <v>3</v>
      </c>
      <c r="H4456">
        <v>3</v>
      </c>
      <c r="I4456">
        <v>0</v>
      </c>
      <c r="J4456">
        <v>20</v>
      </c>
      <c r="K4456" t="s">
        <v>243</v>
      </c>
    </row>
    <row r="4457" spans="2:11" x14ac:dyDescent="0.25">
      <c r="B4457">
        <v>4823</v>
      </c>
      <c r="C4457">
        <v>138</v>
      </c>
      <c r="D4457">
        <v>61</v>
      </c>
      <c r="E4457">
        <v>18</v>
      </c>
      <c r="F4457">
        <v>23</v>
      </c>
      <c r="G4457">
        <v>7</v>
      </c>
      <c r="H4457">
        <v>0</v>
      </c>
      <c r="I4457">
        <v>0</v>
      </c>
      <c r="J4457">
        <v>30</v>
      </c>
      <c r="K4457" t="s">
        <v>245</v>
      </c>
    </row>
    <row r="4458" spans="2:11" x14ac:dyDescent="0.25">
      <c r="B4458">
        <v>4820</v>
      </c>
      <c r="C4458">
        <v>257</v>
      </c>
      <c r="D4458">
        <v>117</v>
      </c>
      <c r="E4458">
        <v>17</v>
      </c>
      <c r="F4458">
        <v>8</v>
      </c>
      <c r="G4458">
        <v>5</v>
      </c>
      <c r="H4458">
        <v>4</v>
      </c>
      <c r="I4458">
        <v>0</v>
      </c>
      <c r="J4458">
        <v>17</v>
      </c>
      <c r="K4458" t="s">
        <v>246</v>
      </c>
    </row>
    <row r="4459" spans="2:11" x14ac:dyDescent="0.25">
      <c r="B4459">
        <v>4822</v>
      </c>
      <c r="C4459">
        <v>121</v>
      </c>
      <c r="D4459">
        <v>55</v>
      </c>
      <c r="E4459">
        <v>18</v>
      </c>
      <c r="F4459">
        <v>4</v>
      </c>
      <c r="G4459">
        <v>1</v>
      </c>
      <c r="H4459">
        <v>1</v>
      </c>
      <c r="I4459">
        <v>0</v>
      </c>
      <c r="J4459">
        <v>6</v>
      </c>
      <c r="K4459" t="s">
        <v>251</v>
      </c>
    </row>
    <row r="4460" spans="2:11" x14ac:dyDescent="0.25">
      <c r="B4460">
        <v>4826</v>
      </c>
      <c r="C4460">
        <v>246</v>
      </c>
      <c r="D4460">
        <v>110</v>
      </c>
      <c r="E4460">
        <v>17</v>
      </c>
      <c r="F4460">
        <v>6</v>
      </c>
      <c r="G4460">
        <v>6</v>
      </c>
      <c r="H4460">
        <v>4</v>
      </c>
      <c r="I4460">
        <v>0</v>
      </c>
      <c r="J4460">
        <v>16</v>
      </c>
      <c r="K4460" t="s">
        <v>245</v>
      </c>
    </row>
    <row r="4461" spans="2:11" x14ac:dyDescent="0.25">
      <c r="B4461">
        <v>4824</v>
      </c>
      <c r="C4461">
        <v>276</v>
      </c>
      <c r="D4461">
        <v>127</v>
      </c>
      <c r="E4461">
        <v>18</v>
      </c>
      <c r="F4461">
        <v>12</v>
      </c>
      <c r="G4461">
        <v>18</v>
      </c>
      <c r="H4461">
        <v>0</v>
      </c>
      <c r="I4461">
        <v>0</v>
      </c>
      <c r="J4461">
        <v>30</v>
      </c>
      <c r="K4461" t="s">
        <v>243</v>
      </c>
    </row>
    <row r="4462" spans="2:11" x14ac:dyDescent="0.25">
      <c r="B4462">
        <v>4828</v>
      </c>
      <c r="C4462">
        <v>98</v>
      </c>
      <c r="D4462">
        <v>48</v>
      </c>
      <c r="E4462">
        <v>15</v>
      </c>
      <c r="F4462">
        <v>14</v>
      </c>
      <c r="G4462">
        <v>11</v>
      </c>
      <c r="H4462">
        <v>0</v>
      </c>
      <c r="I4462">
        <v>0</v>
      </c>
      <c r="J4462">
        <v>25</v>
      </c>
      <c r="K4462" t="s">
        <v>251</v>
      </c>
    </row>
    <row r="4463" spans="2:11" x14ac:dyDescent="0.25">
      <c r="B4463">
        <v>4829</v>
      </c>
      <c r="C4463">
        <v>246</v>
      </c>
      <c r="D4463">
        <v>110</v>
      </c>
      <c r="E4463">
        <v>16</v>
      </c>
      <c r="F4463">
        <v>0</v>
      </c>
      <c r="G4463">
        <v>0</v>
      </c>
      <c r="H4463">
        <v>5</v>
      </c>
      <c r="I4463">
        <v>0</v>
      </c>
      <c r="J4463">
        <v>5</v>
      </c>
      <c r="K4463" t="s">
        <v>245</v>
      </c>
    </row>
    <row r="4464" spans="2:11" x14ac:dyDescent="0.25">
      <c r="B4464">
        <v>4832</v>
      </c>
      <c r="C4464">
        <v>98</v>
      </c>
      <c r="D4464">
        <v>48</v>
      </c>
      <c r="E4464">
        <v>16</v>
      </c>
      <c r="F4464">
        <v>7</v>
      </c>
      <c r="G4464">
        <v>5</v>
      </c>
      <c r="H4464">
        <v>0</v>
      </c>
      <c r="I4464">
        <v>0</v>
      </c>
      <c r="J4464">
        <v>12</v>
      </c>
      <c r="K4464" t="s">
        <v>251</v>
      </c>
    </row>
    <row r="4465" spans="2:11" x14ac:dyDescent="0.25">
      <c r="B4465">
        <v>4831</v>
      </c>
      <c r="C4465">
        <v>257</v>
      </c>
      <c r="D4465">
        <v>117</v>
      </c>
      <c r="E4465">
        <v>18</v>
      </c>
      <c r="F4465">
        <v>6</v>
      </c>
      <c r="G4465">
        <v>3</v>
      </c>
      <c r="H4465">
        <v>4</v>
      </c>
      <c r="I4465">
        <v>0</v>
      </c>
      <c r="J4465">
        <v>13</v>
      </c>
      <c r="K4465" t="s">
        <v>246</v>
      </c>
    </row>
    <row r="4466" spans="2:11" x14ac:dyDescent="0.25">
      <c r="B4466">
        <v>4834</v>
      </c>
      <c r="C4466">
        <v>98</v>
      </c>
      <c r="D4466">
        <v>48</v>
      </c>
      <c r="E4466">
        <v>17</v>
      </c>
      <c r="F4466">
        <v>13</v>
      </c>
      <c r="G4466">
        <v>10</v>
      </c>
      <c r="H4466">
        <v>0</v>
      </c>
      <c r="I4466">
        <v>0</v>
      </c>
      <c r="J4466">
        <v>23</v>
      </c>
      <c r="K4466" t="s">
        <v>251</v>
      </c>
    </row>
    <row r="4467" spans="2:11" x14ac:dyDescent="0.25">
      <c r="B4467">
        <v>4833</v>
      </c>
      <c r="C4467">
        <v>276</v>
      </c>
      <c r="D4467">
        <v>127</v>
      </c>
      <c r="E4467">
        <v>17</v>
      </c>
      <c r="F4467">
        <v>11</v>
      </c>
      <c r="G4467">
        <v>16</v>
      </c>
      <c r="H4467">
        <v>0</v>
      </c>
      <c r="I4467">
        <v>0</v>
      </c>
      <c r="J4467">
        <v>27</v>
      </c>
      <c r="K4467" t="s">
        <v>243</v>
      </c>
    </row>
    <row r="4468" spans="2:11" x14ac:dyDescent="0.25">
      <c r="B4468">
        <v>4838</v>
      </c>
      <c r="C4468">
        <v>56</v>
      </c>
      <c r="D4468">
        <v>29</v>
      </c>
      <c r="E4468">
        <v>18</v>
      </c>
      <c r="F4468">
        <v>1</v>
      </c>
      <c r="G4468">
        <v>2</v>
      </c>
      <c r="H4468">
        <v>3</v>
      </c>
      <c r="I4468">
        <v>0</v>
      </c>
      <c r="J4468">
        <v>6</v>
      </c>
      <c r="K4468" t="s">
        <v>250</v>
      </c>
    </row>
    <row r="4469" spans="2:11" x14ac:dyDescent="0.25">
      <c r="B4469">
        <v>4835</v>
      </c>
      <c r="C4469">
        <v>255</v>
      </c>
      <c r="D4469">
        <v>116</v>
      </c>
      <c r="E4469">
        <v>16</v>
      </c>
      <c r="F4469">
        <v>16</v>
      </c>
      <c r="G4469">
        <v>9</v>
      </c>
      <c r="H4469">
        <v>5</v>
      </c>
      <c r="I4469">
        <v>0</v>
      </c>
      <c r="J4469">
        <v>30</v>
      </c>
      <c r="K4469" t="s">
        <v>241</v>
      </c>
    </row>
    <row r="4470" spans="2:11" x14ac:dyDescent="0.25">
      <c r="B4470">
        <v>4839</v>
      </c>
      <c r="C4470">
        <v>114</v>
      </c>
      <c r="D4470">
        <v>52</v>
      </c>
      <c r="E4470">
        <v>18</v>
      </c>
      <c r="F4470">
        <v>8</v>
      </c>
      <c r="G4470">
        <v>9</v>
      </c>
      <c r="H4470">
        <v>13</v>
      </c>
      <c r="I4470">
        <v>0</v>
      </c>
      <c r="J4470">
        <v>30</v>
      </c>
      <c r="K4470" t="s">
        <v>243</v>
      </c>
    </row>
    <row r="4471" spans="2:11" x14ac:dyDescent="0.25">
      <c r="B4471">
        <v>4841</v>
      </c>
      <c r="C4471">
        <v>55</v>
      </c>
      <c r="D4471">
        <v>29</v>
      </c>
      <c r="E4471">
        <v>18</v>
      </c>
      <c r="F4471">
        <v>2</v>
      </c>
      <c r="G4471">
        <v>6</v>
      </c>
      <c r="H4471">
        <v>1</v>
      </c>
      <c r="I4471">
        <v>0</v>
      </c>
      <c r="J4471">
        <v>9</v>
      </c>
      <c r="K4471" t="s">
        <v>250</v>
      </c>
    </row>
    <row r="4472" spans="2:11" x14ac:dyDescent="0.25">
      <c r="B4472">
        <v>4845</v>
      </c>
      <c r="C4472">
        <v>51</v>
      </c>
      <c r="D4472">
        <v>26</v>
      </c>
      <c r="E4472">
        <v>16</v>
      </c>
      <c r="F4472">
        <v>10</v>
      </c>
      <c r="G4472">
        <v>7</v>
      </c>
      <c r="H4472">
        <v>0</v>
      </c>
      <c r="I4472">
        <v>0</v>
      </c>
      <c r="J4472">
        <v>17</v>
      </c>
      <c r="K4472" t="s">
        <v>245</v>
      </c>
    </row>
    <row r="4473" spans="2:11" x14ac:dyDescent="0.25">
      <c r="B4473">
        <v>4856</v>
      </c>
      <c r="C4473">
        <v>61</v>
      </c>
      <c r="D4473">
        <v>32</v>
      </c>
      <c r="E4473">
        <v>17</v>
      </c>
      <c r="F4473">
        <v>11</v>
      </c>
      <c r="G4473">
        <v>8</v>
      </c>
      <c r="H4473">
        <v>2</v>
      </c>
      <c r="I4473">
        <v>0</v>
      </c>
      <c r="J4473">
        <v>21</v>
      </c>
      <c r="K4473" t="s">
        <v>248</v>
      </c>
    </row>
    <row r="4474" spans="2:11" x14ac:dyDescent="0.25">
      <c r="B4474">
        <v>4855</v>
      </c>
      <c r="C4474">
        <v>326</v>
      </c>
      <c r="D4474">
        <v>151</v>
      </c>
      <c r="E4474">
        <v>18</v>
      </c>
      <c r="F4474">
        <v>16</v>
      </c>
      <c r="G4474">
        <v>5</v>
      </c>
      <c r="H4474">
        <v>0</v>
      </c>
      <c r="I4474">
        <v>0</v>
      </c>
      <c r="J4474">
        <v>21</v>
      </c>
      <c r="K4474" t="s">
        <v>243</v>
      </c>
    </row>
    <row r="4475" spans="2:11" x14ac:dyDescent="0.25">
      <c r="B4475">
        <v>4873</v>
      </c>
      <c r="C4475">
        <v>236</v>
      </c>
      <c r="D4475">
        <v>103</v>
      </c>
      <c r="E4475">
        <v>17</v>
      </c>
      <c r="F4475">
        <v>8</v>
      </c>
      <c r="G4475">
        <v>5</v>
      </c>
      <c r="H4475">
        <v>0</v>
      </c>
      <c r="I4475">
        <v>0</v>
      </c>
      <c r="J4475">
        <v>13</v>
      </c>
      <c r="K4475" t="s">
        <v>241</v>
      </c>
    </row>
    <row r="4476" spans="2:11" x14ac:dyDescent="0.25">
      <c r="B4476">
        <v>4874</v>
      </c>
      <c r="C4476">
        <v>48</v>
      </c>
      <c r="D4476">
        <v>24</v>
      </c>
      <c r="E4476">
        <v>17</v>
      </c>
      <c r="F4476">
        <v>3</v>
      </c>
      <c r="G4476">
        <v>4</v>
      </c>
      <c r="H4476">
        <v>2</v>
      </c>
      <c r="I4476">
        <v>0</v>
      </c>
      <c r="J4476">
        <v>9</v>
      </c>
      <c r="K4476" t="s">
        <v>243</v>
      </c>
    </row>
    <row r="4477" spans="2:11" x14ac:dyDescent="0.25">
      <c r="B4477">
        <v>4918</v>
      </c>
      <c r="C4477">
        <v>46</v>
      </c>
      <c r="D4477">
        <v>23</v>
      </c>
      <c r="E4477">
        <v>18</v>
      </c>
      <c r="F4477">
        <v>11</v>
      </c>
      <c r="G4477">
        <v>9</v>
      </c>
      <c r="H4477">
        <v>2</v>
      </c>
      <c r="I4477">
        <v>0</v>
      </c>
      <c r="J4477">
        <v>22</v>
      </c>
      <c r="K4477" t="s">
        <v>243</v>
      </c>
    </row>
    <row r="4478" spans="2:11" x14ac:dyDescent="0.25">
      <c r="B4478">
        <v>4922</v>
      </c>
      <c r="C4478">
        <v>291</v>
      </c>
      <c r="D4478">
        <v>135</v>
      </c>
      <c r="E4478">
        <v>18</v>
      </c>
      <c r="F4478">
        <v>29</v>
      </c>
      <c r="G4478">
        <v>1</v>
      </c>
      <c r="H4478">
        <v>0</v>
      </c>
      <c r="I4478">
        <v>0</v>
      </c>
      <c r="J4478">
        <v>30</v>
      </c>
      <c r="K4478" t="s">
        <v>245</v>
      </c>
    </row>
    <row r="4479" spans="2:11" x14ac:dyDescent="0.25">
      <c r="B4479">
        <v>4928</v>
      </c>
      <c r="C4479">
        <v>292</v>
      </c>
      <c r="D4479">
        <v>135</v>
      </c>
      <c r="E4479">
        <v>18</v>
      </c>
      <c r="F4479">
        <v>9</v>
      </c>
      <c r="G4479">
        <v>3</v>
      </c>
      <c r="H4479">
        <v>0</v>
      </c>
      <c r="I4479">
        <v>0</v>
      </c>
      <c r="J4479">
        <v>12</v>
      </c>
      <c r="K4479" t="s">
        <v>241</v>
      </c>
    </row>
    <row r="4480" spans="2:11" x14ac:dyDescent="0.25">
      <c r="B4480">
        <v>4930</v>
      </c>
      <c r="C4480">
        <v>64</v>
      </c>
      <c r="D4480">
        <v>35</v>
      </c>
      <c r="E4480">
        <v>16</v>
      </c>
      <c r="F4480">
        <v>5</v>
      </c>
      <c r="G4480">
        <v>15</v>
      </c>
      <c r="H4480">
        <v>0</v>
      </c>
      <c r="I4480">
        <v>0</v>
      </c>
      <c r="J4480">
        <v>20</v>
      </c>
      <c r="K4480" t="s">
        <v>251</v>
      </c>
    </row>
    <row r="4481" spans="2:11" x14ac:dyDescent="0.25">
      <c r="B4481">
        <v>4929</v>
      </c>
      <c r="C4481">
        <v>169</v>
      </c>
      <c r="D4481">
        <v>73</v>
      </c>
      <c r="E4481">
        <v>18</v>
      </c>
      <c r="F4481">
        <v>9</v>
      </c>
      <c r="G4481">
        <v>6</v>
      </c>
      <c r="H4481">
        <v>0</v>
      </c>
      <c r="I4481">
        <v>0</v>
      </c>
      <c r="J4481">
        <v>15</v>
      </c>
      <c r="K4481" t="s">
        <v>248</v>
      </c>
    </row>
    <row r="4482" spans="2:11" x14ac:dyDescent="0.25">
      <c r="B4482">
        <v>4931</v>
      </c>
      <c r="C4482">
        <v>334</v>
      </c>
      <c r="D4482">
        <v>152</v>
      </c>
      <c r="E4482">
        <v>18</v>
      </c>
      <c r="F4482">
        <v>17</v>
      </c>
      <c r="G4482">
        <v>13</v>
      </c>
      <c r="H4482">
        <v>0</v>
      </c>
      <c r="I4482">
        <v>0</v>
      </c>
      <c r="J4482">
        <v>30</v>
      </c>
      <c r="K4482" t="s">
        <v>241</v>
      </c>
    </row>
    <row r="4483" spans="2:11" x14ac:dyDescent="0.25">
      <c r="B4483">
        <v>4933</v>
      </c>
      <c r="C4483">
        <v>64</v>
      </c>
      <c r="D4483">
        <v>35</v>
      </c>
      <c r="E4483">
        <v>18</v>
      </c>
      <c r="F4483">
        <v>2</v>
      </c>
      <c r="G4483">
        <v>8</v>
      </c>
      <c r="H4483">
        <v>1</v>
      </c>
      <c r="I4483">
        <v>0</v>
      </c>
      <c r="J4483">
        <v>11</v>
      </c>
      <c r="K4483" t="s">
        <v>251</v>
      </c>
    </row>
    <row r="4484" spans="2:11" x14ac:dyDescent="0.25">
      <c r="B4484">
        <v>4934</v>
      </c>
      <c r="C4484">
        <v>100</v>
      </c>
      <c r="D4484">
        <v>50</v>
      </c>
      <c r="E4484">
        <v>16</v>
      </c>
      <c r="F4484">
        <v>10</v>
      </c>
      <c r="G4484">
        <v>14</v>
      </c>
      <c r="H4484">
        <v>7</v>
      </c>
      <c r="I4484">
        <v>0</v>
      </c>
      <c r="J4484">
        <v>31</v>
      </c>
      <c r="K4484" t="s">
        <v>249</v>
      </c>
    </row>
    <row r="4485" spans="2:11" x14ac:dyDescent="0.25">
      <c r="B4485">
        <v>4935</v>
      </c>
      <c r="C4485">
        <v>322</v>
      </c>
      <c r="D4485">
        <v>149</v>
      </c>
      <c r="E4485">
        <v>18</v>
      </c>
      <c r="F4485">
        <v>11</v>
      </c>
      <c r="G4485">
        <v>4</v>
      </c>
      <c r="H4485">
        <v>0</v>
      </c>
      <c r="I4485">
        <v>0</v>
      </c>
      <c r="J4485">
        <v>15</v>
      </c>
      <c r="K4485" t="s">
        <v>241</v>
      </c>
    </row>
    <row r="4486" spans="2:11" x14ac:dyDescent="0.25">
      <c r="B4486">
        <v>4936</v>
      </c>
      <c r="C4486">
        <v>261</v>
      </c>
      <c r="D4486">
        <v>118</v>
      </c>
      <c r="E4486">
        <v>17</v>
      </c>
      <c r="F4486">
        <v>5</v>
      </c>
      <c r="G4486">
        <v>10</v>
      </c>
      <c r="H4486">
        <v>5</v>
      </c>
      <c r="I4486">
        <v>0</v>
      </c>
      <c r="J4486">
        <v>20</v>
      </c>
      <c r="K4486" t="s">
        <v>251</v>
      </c>
    </row>
    <row r="4487" spans="2:11" x14ac:dyDescent="0.25">
      <c r="B4487">
        <v>4937</v>
      </c>
      <c r="C4487">
        <v>261</v>
      </c>
      <c r="D4487">
        <v>118</v>
      </c>
      <c r="E4487">
        <v>18</v>
      </c>
      <c r="F4487">
        <v>8</v>
      </c>
      <c r="G4487">
        <v>8</v>
      </c>
      <c r="H4487">
        <v>5</v>
      </c>
      <c r="I4487">
        <v>0</v>
      </c>
      <c r="J4487">
        <v>21</v>
      </c>
      <c r="K4487" t="s">
        <v>251</v>
      </c>
    </row>
    <row r="4488" spans="2:11" x14ac:dyDescent="0.25">
      <c r="B4488">
        <v>4939</v>
      </c>
      <c r="C4488">
        <v>352</v>
      </c>
      <c r="D4488">
        <v>159</v>
      </c>
      <c r="E4488">
        <v>18</v>
      </c>
      <c r="F4488">
        <v>9</v>
      </c>
      <c r="G4488">
        <v>12</v>
      </c>
      <c r="H4488">
        <v>0</v>
      </c>
      <c r="I4488">
        <v>0</v>
      </c>
      <c r="J4488">
        <v>21</v>
      </c>
      <c r="K4488" t="s">
        <v>243</v>
      </c>
    </row>
    <row r="4489" spans="2:11" x14ac:dyDescent="0.25">
      <c r="B4489">
        <v>4942</v>
      </c>
      <c r="C4489">
        <v>293</v>
      </c>
      <c r="D4489">
        <v>136</v>
      </c>
      <c r="E4489">
        <v>18</v>
      </c>
      <c r="F4489">
        <v>14</v>
      </c>
      <c r="G4489">
        <v>11</v>
      </c>
      <c r="H4489">
        <v>2</v>
      </c>
      <c r="I4489">
        <v>0</v>
      </c>
      <c r="J4489">
        <v>27</v>
      </c>
      <c r="K4489" t="s">
        <v>245</v>
      </c>
    </row>
    <row r="4490" spans="2:11" x14ac:dyDescent="0.25">
      <c r="B4490">
        <v>4941</v>
      </c>
      <c r="C4490">
        <v>351</v>
      </c>
      <c r="D4490">
        <v>158</v>
      </c>
      <c r="E4490">
        <v>18</v>
      </c>
      <c r="F4490">
        <v>10</v>
      </c>
      <c r="G4490">
        <v>14</v>
      </c>
      <c r="H4490">
        <v>0</v>
      </c>
      <c r="I4490">
        <v>0</v>
      </c>
      <c r="J4490">
        <v>24</v>
      </c>
      <c r="K4490" t="s">
        <v>243</v>
      </c>
    </row>
    <row r="4491" spans="2:11" x14ac:dyDescent="0.25">
      <c r="B4491">
        <v>4943</v>
      </c>
      <c r="C4491">
        <v>1</v>
      </c>
      <c r="D4491">
        <v>1</v>
      </c>
      <c r="E4491">
        <v>17</v>
      </c>
      <c r="F4491">
        <v>4</v>
      </c>
      <c r="G4491">
        <v>0</v>
      </c>
      <c r="H4491">
        <v>1</v>
      </c>
      <c r="I4491">
        <v>0</v>
      </c>
      <c r="J4491">
        <v>5</v>
      </c>
      <c r="K4491" t="s">
        <v>246</v>
      </c>
    </row>
    <row r="4492" spans="2:11" x14ac:dyDescent="0.25">
      <c r="B4492">
        <v>4938</v>
      </c>
      <c r="C4492">
        <v>80</v>
      </c>
      <c r="D4492">
        <v>38</v>
      </c>
      <c r="E4492">
        <v>16</v>
      </c>
      <c r="F4492">
        <v>7</v>
      </c>
      <c r="G4492">
        <v>8</v>
      </c>
      <c r="H4492">
        <v>0</v>
      </c>
      <c r="I4492">
        <v>0</v>
      </c>
      <c r="J4492">
        <v>15</v>
      </c>
      <c r="K4492" t="s">
        <v>251</v>
      </c>
    </row>
    <row r="4493" spans="2:11" x14ac:dyDescent="0.25">
      <c r="B4493">
        <v>4945</v>
      </c>
      <c r="C4493">
        <v>333</v>
      </c>
      <c r="D4493">
        <v>152</v>
      </c>
      <c r="E4493">
        <v>18</v>
      </c>
      <c r="F4493">
        <v>16</v>
      </c>
      <c r="G4493">
        <v>13</v>
      </c>
      <c r="H4493">
        <v>0</v>
      </c>
      <c r="I4493">
        <v>0</v>
      </c>
      <c r="J4493">
        <v>29</v>
      </c>
      <c r="K4493" t="s">
        <v>245</v>
      </c>
    </row>
    <row r="4494" spans="2:11" x14ac:dyDescent="0.25">
      <c r="B4494">
        <v>4944</v>
      </c>
      <c r="C4494">
        <v>110</v>
      </c>
      <c r="D4494">
        <v>51</v>
      </c>
      <c r="E4494">
        <v>18</v>
      </c>
      <c r="F4494">
        <v>3</v>
      </c>
      <c r="G4494">
        <v>26</v>
      </c>
      <c r="H4494">
        <v>0</v>
      </c>
      <c r="I4494">
        <v>0</v>
      </c>
      <c r="J4494">
        <v>29</v>
      </c>
      <c r="K4494" t="s">
        <v>241</v>
      </c>
    </row>
    <row r="4495" spans="2:11" x14ac:dyDescent="0.25">
      <c r="B4495">
        <v>4947</v>
      </c>
      <c r="C4495">
        <v>80</v>
      </c>
      <c r="D4495">
        <v>38</v>
      </c>
      <c r="E4495">
        <v>17</v>
      </c>
      <c r="F4495">
        <v>2</v>
      </c>
      <c r="G4495">
        <v>1</v>
      </c>
      <c r="H4495">
        <v>2</v>
      </c>
      <c r="I4495">
        <v>0</v>
      </c>
      <c r="J4495">
        <v>5</v>
      </c>
      <c r="K4495" t="s">
        <v>251</v>
      </c>
    </row>
    <row r="4496" spans="2:11" x14ac:dyDescent="0.25">
      <c r="B4496">
        <v>4949</v>
      </c>
      <c r="C4496">
        <v>311</v>
      </c>
      <c r="D4496">
        <v>144</v>
      </c>
      <c r="E4496">
        <v>18</v>
      </c>
      <c r="F4496">
        <v>10</v>
      </c>
      <c r="G4496">
        <v>6</v>
      </c>
      <c r="H4496">
        <v>0</v>
      </c>
      <c r="I4496">
        <v>0</v>
      </c>
      <c r="J4496">
        <v>16</v>
      </c>
      <c r="K4496" t="s">
        <v>245</v>
      </c>
    </row>
    <row r="4497" spans="2:11" x14ac:dyDescent="0.25">
      <c r="B4497">
        <v>4951</v>
      </c>
      <c r="C4497">
        <v>80</v>
      </c>
      <c r="D4497">
        <v>38</v>
      </c>
      <c r="E4497">
        <v>18</v>
      </c>
      <c r="F4497">
        <v>1</v>
      </c>
      <c r="G4497">
        <v>2</v>
      </c>
      <c r="H4497">
        <v>0</v>
      </c>
      <c r="I4497">
        <v>0</v>
      </c>
      <c r="J4497">
        <v>3</v>
      </c>
      <c r="K4497" t="s">
        <v>251</v>
      </c>
    </row>
    <row r="4498" spans="2:11" x14ac:dyDescent="0.25">
      <c r="B4498">
        <v>4946</v>
      </c>
      <c r="C4498">
        <v>339</v>
      </c>
      <c r="D4498">
        <v>152</v>
      </c>
      <c r="E4498">
        <v>18</v>
      </c>
      <c r="F4498">
        <v>0</v>
      </c>
      <c r="G4498">
        <v>7</v>
      </c>
      <c r="H4498">
        <v>0</v>
      </c>
      <c r="I4498">
        <v>0</v>
      </c>
      <c r="J4498">
        <v>7</v>
      </c>
      <c r="K4498" t="s">
        <v>243</v>
      </c>
    </row>
    <row r="4499" spans="2:11" x14ac:dyDescent="0.25">
      <c r="B4499">
        <v>4952</v>
      </c>
      <c r="C4499">
        <v>280</v>
      </c>
      <c r="D4499">
        <v>129</v>
      </c>
      <c r="E4499">
        <v>18</v>
      </c>
      <c r="F4499">
        <v>15</v>
      </c>
      <c r="G4499">
        <v>13</v>
      </c>
      <c r="H4499">
        <v>0</v>
      </c>
      <c r="I4499">
        <v>0</v>
      </c>
      <c r="J4499">
        <v>28</v>
      </c>
      <c r="K4499" t="s">
        <v>245</v>
      </c>
    </row>
    <row r="4500" spans="2:11" x14ac:dyDescent="0.25">
      <c r="B4500">
        <v>4950</v>
      </c>
      <c r="C4500">
        <v>110</v>
      </c>
      <c r="D4500">
        <v>51</v>
      </c>
      <c r="E4500">
        <v>17</v>
      </c>
      <c r="F4500">
        <v>2</v>
      </c>
      <c r="G4500">
        <v>27</v>
      </c>
      <c r="H4500">
        <v>0</v>
      </c>
      <c r="I4500">
        <v>0</v>
      </c>
      <c r="J4500">
        <v>29</v>
      </c>
      <c r="K4500" t="s">
        <v>241</v>
      </c>
    </row>
    <row r="4501" spans="2:11" x14ac:dyDescent="0.25">
      <c r="B4501">
        <v>4953</v>
      </c>
      <c r="C4501">
        <v>65</v>
      </c>
      <c r="D4501">
        <v>35</v>
      </c>
      <c r="E4501">
        <v>16</v>
      </c>
      <c r="F4501">
        <v>14</v>
      </c>
      <c r="G4501">
        <v>6</v>
      </c>
      <c r="H4501">
        <v>5</v>
      </c>
      <c r="I4501">
        <v>0</v>
      </c>
      <c r="J4501">
        <v>25</v>
      </c>
      <c r="K4501" t="s">
        <v>251</v>
      </c>
    </row>
    <row r="4502" spans="2:11" x14ac:dyDescent="0.25">
      <c r="B4502">
        <v>4955</v>
      </c>
      <c r="C4502">
        <v>278</v>
      </c>
      <c r="D4502">
        <v>129</v>
      </c>
      <c r="E4502">
        <v>18</v>
      </c>
      <c r="F4502">
        <v>10</v>
      </c>
      <c r="G4502">
        <v>16</v>
      </c>
      <c r="H4502">
        <v>1</v>
      </c>
      <c r="I4502">
        <v>0</v>
      </c>
      <c r="J4502">
        <v>27</v>
      </c>
      <c r="K4502" t="s">
        <v>245</v>
      </c>
    </row>
    <row r="4503" spans="2:11" x14ac:dyDescent="0.25">
      <c r="B4503">
        <v>4956</v>
      </c>
      <c r="C4503">
        <v>65</v>
      </c>
      <c r="D4503">
        <v>35</v>
      </c>
      <c r="E4503">
        <v>17</v>
      </c>
      <c r="F4503">
        <v>12</v>
      </c>
      <c r="G4503">
        <v>2</v>
      </c>
      <c r="H4503">
        <v>10</v>
      </c>
      <c r="I4503">
        <v>0</v>
      </c>
      <c r="J4503">
        <v>24</v>
      </c>
      <c r="K4503" t="s">
        <v>251</v>
      </c>
    </row>
    <row r="4504" spans="2:11" x14ac:dyDescent="0.25">
      <c r="B4504">
        <v>4954</v>
      </c>
      <c r="C4504">
        <v>350</v>
      </c>
      <c r="D4504">
        <v>157</v>
      </c>
      <c r="E4504">
        <v>18</v>
      </c>
      <c r="F4504">
        <v>3</v>
      </c>
      <c r="G4504">
        <v>8</v>
      </c>
      <c r="H4504">
        <v>0</v>
      </c>
      <c r="I4504">
        <v>0</v>
      </c>
      <c r="J4504">
        <v>11</v>
      </c>
      <c r="K4504" t="s">
        <v>243</v>
      </c>
    </row>
    <row r="4505" spans="2:11" x14ac:dyDescent="0.25">
      <c r="B4505">
        <v>4957</v>
      </c>
      <c r="C4505">
        <v>171</v>
      </c>
      <c r="D4505">
        <v>73</v>
      </c>
      <c r="E4505">
        <v>18</v>
      </c>
      <c r="F4505">
        <v>9</v>
      </c>
      <c r="G4505">
        <v>5</v>
      </c>
      <c r="H4505">
        <v>0</v>
      </c>
      <c r="I4505">
        <v>0</v>
      </c>
      <c r="J4505">
        <v>14</v>
      </c>
      <c r="K4505" t="s">
        <v>241</v>
      </c>
    </row>
    <row r="4506" spans="2:11" x14ac:dyDescent="0.25">
      <c r="B4506">
        <v>4958</v>
      </c>
      <c r="C4506">
        <v>278</v>
      </c>
      <c r="D4506">
        <v>129</v>
      </c>
      <c r="E4506">
        <v>17</v>
      </c>
      <c r="F4506">
        <v>7</v>
      </c>
      <c r="G4506">
        <v>20</v>
      </c>
      <c r="H4506">
        <v>2</v>
      </c>
      <c r="I4506">
        <v>0</v>
      </c>
      <c r="J4506">
        <v>29</v>
      </c>
      <c r="K4506" t="s">
        <v>245</v>
      </c>
    </row>
    <row r="4507" spans="2:11" x14ac:dyDescent="0.25">
      <c r="B4507">
        <v>4959</v>
      </c>
      <c r="C4507">
        <v>101</v>
      </c>
      <c r="D4507">
        <v>51</v>
      </c>
      <c r="E4507">
        <v>17</v>
      </c>
      <c r="F4507">
        <v>7</v>
      </c>
      <c r="G4507">
        <v>3</v>
      </c>
      <c r="H4507">
        <v>2</v>
      </c>
      <c r="I4507">
        <v>0</v>
      </c>
      <c r="J4507">
        <v>12</v>
      </c>
      <c r="K4507" t="s">
        <v>246</v>
      </c>
    </row>
    <row r="4508" spans="2:11" x14ac:dyDescent="0.25">
      <c r="B4508">
        <v>4961</v>
      </c>
      <c r="C4508">
        <v>122</v>
      </c>
      <c r="D4508">
        <v>55</v>
      </c>
      <c r="E4508">
        <v>18</v>
      </c>
      <c r="F4508">
        <v>11</v>
      </c>
      <c r="G4508">
        <v>6</v>
      </c>
      <c r="H4508">
        <v>0</v>
      </c>
      <c r="I4508">
        <v>0</v>
      </c>
      <c r="J4508">
        <v>17</v>
      </c>
      <c r="K4508" t="s">
        <v>241</v>
      </c>
    </row>
    <row r="4509" spans="2:11" x14ac:dyDescent="0.25">
      <c r="B4509">
        <v>4962</v>
      </c>
      <c r="C4509">
        <v>117</v>
      </c>
      <c r="D4509">
        <v>54</v>
      </c>
      <c r="E4509">
        <v>18</v>
      </c>
      <c r="F4509">
        <v>3</v>
      </c>
      <c r="G4509">
        <v>8</v>
      </c>
      <c r="H4509">
        <v>2</v>
      </c>
      <c r="I4509">
        <v>0</v>
      </c>
      <c r="J4509">
        <v>13</v>
      </c>
      <c r="K4509" t="s">
        <v>245</v>
      </c>
    </row>
    <row r="4510" spans="2:11" x14ac:dyDescent="0.25">
      <c r="B4510">
        <v>4960</v>
      </c>
      <c r="C4510">
        <v>341</v>
      </c>
      <c r="D4510">
        <v>152</v>
      </c>
      <c r="E4510">
        <v>18</v>
      </c>
      <c r="F4510">
        <v>10</v>
      </c>
      <c r="G4510">
        <v>20</v>
      </c>
      <c r="H4510">
        <v>0</v>
      </c>
      <c r="I4510">
        <v>0</v>
      </c>
      <c r="J4510">
        <v>30</v>
      </c>
      <c r="K4510" t="s">
        <v>243</v>
      </c>
    </row>
    <row r="4511" spans="2:11" x14ac:dyDescent="0.25">
      <c r="B4511">
        <v>4963</v>
      </c>
      <c r="C4511">
        <v>101</v>
      </c>
      <c r="D4511">
        <v>51</v>
      </c>
      <c r="E4511">
        <v>18</v>
      </c>
      <c r="F4511">
        <v>8</v>
      </c>
      <c r="G4511">
        <v>6</v>
      </c>
      <c r="H4511">
        <v>3</v>
      </c>
      <c r="I4511">
        <v>0</v>
      </c>
      <c r="J4511">
        <v>17</v>
      </c>
      <c r="K4511" t="s">
        <v>246</v>
      </c>
    </row>
    <row r="4512" spans="2:11" x14ac:dyDescent="0.25">
      <c r="B4512">
        <v>4964</v>
      </c>
      <c r="C4512">
        <v>171</v>
      </c>
      <c r="D4512">
        <v>73</v>
      </c>
      <c r="E4512">
        <v>17</v>
      </c>
      <c r="F4512">
        <v>2</v>
      </c>
      <c r="G4512">
        <v>4</v>
      </c>
      <c r="H4512">
        <v>0</v>
      </c>
      <c r="I4512">
        <v>0</v>
      </c>
      <c r="J4512">
        <v>6</v>
      </c>
      <c r="K4512" t="s">
        <v>241</v>
      </c>
    </row>
    <row r="4513" spans="2:11" x14ac:dyDescent="0.25">
      <c r="B4513">
        <v>4966</v>
      </c>
      <c r="C4513">
        <v>264</v>
      </c>
      <c r="D4513">
        <v>118</v>
      </c>
      <c r="E4513">
        <v>17</v>
      </c>
      <c r="F4513">
        <v>5</v>
      </c>
      <c r="G4513">
        <v>4</v>
      </c>
      <c r="H4513">
        <v>1</v>
      </c>
      <c r="I4513">
        <v>0</v>
      </c>
      <c r="J4513">
        <v>10</v>
      </c>
      <c r="K4513" t="s">
        <v>246</v>
      </c>
    </row>
    <row r="4514" spans="2:11" x14ac:dyDescent="0.25">
      <c r="B4514">
        <v>4965</v>
      </c>
      <c r="C4514">
        <v>340</v>
      </c>
      <c r="D4514">
        <v>152</v>
      </c>
      <c r="E4514">
        <v>18</v>
      </c>
      <c r="F4514">
        <v>4</v>
      </c>
      <c r="G4514">
        <v>3</v>
      </c>
      <c r="H4514">
        <v>0</v>
      </c>
      <c r="I4514">
        <v>0</v>
      </c>
      <c r="J4514">
        <v>7</v>
      </c>
      <c r="K4514" t="s">
        <v>243</v>
      </c>
    </row>
    <row r="4515" spans="2:11" x14ac:dyDescent="0.25">
      <c r="B4515">
        <v>4969</v>
      </c>
      <c r="C4515">
        <v>250</v>
      </c>
      <c r="D4515">
        <v>112</v>
      </c>
      <c r="E4515">
        <v>18</v>
      </c>
      <c r="F4515">
        <v>20</v>
      </c>
      <c r="G4515">
        <v>0</v>
      </c>
      <c r="H4515">
        <v>2</v>
      </c>
      <c r="I4515">
        <v>0</v>
      </c>
      <c r="J4515">
        <v>22</v>
      </c>
      <c r="K4515" t="s">
        <v>246</v>
      </c>
    </row>
    <row r="4516" spans="2:11" x14ac:dyDescent="0.25">
      <c r="B4516">
        <v>4968</v>
      </c>
      <c r="C4516">
        <v>349</v>
      </c>
      <c r="D4516">
        <v>156</v>
      </c>
      <c r="E4516">
        <v>18</v>
      </c>
      <c r="F4516">
        <v>10</v>
      </c>
      <c r="G4516">
        <v>17</v>
      </c>
      <c r="H4516">
        <v>0</v>
      </c>
      <c r="I4516">
        <v>0</v>
      </c>
      <c r="J4516">
        <v>27</v>
      </c>
      <c r="K4516" t="s">
        <v>243</v>
      </c>
    </row>
    <row r="4517" spans="2:11" x14ac:dyDescent="0.25">
      <c r="B4517">
        <v>4970</v>
      </c>
      <c r="C4517">
        <v>249</v>
      </c>
      <c r="D4517">
        <v>112</v>
      </c>
      <c r="E4517">
        <v>17</v>
      </c>
      <c r="F4517">
        <v>9</v>
      </c>
      <c r="G4517">
        <v>2</v>
      </c>
      <c r="H4517">
        <v>4</v>
      </c>
      <c r="I4517">
        <v>0</v>
      </c>
      <c r="J4517">
        <v>15</v>
      </c>
      <c r="K4517" t="s">
        <v>246</v>
      </c>
    </row>
    <row r="4518" spans="2:11" x14ac:dyDescent="0.25">
      <c r="B4518">
        <v>4973</v>
      </c>
      <c r="C4518">
        <v>249</v>
      </c>
      <c r="D4518">
        <v>112</v>
      </c>
      <c r="E4518">
        <v>18</v>
      </c>
      <c r="F4518">
        <v>9</v>
      </c>
      <c r="G4518">
        <v>1</v>
      </c>
      <c r="H4518">
        <v>3</v>
      </c>
      <c r="I4518">
        <v>0</v>
      </c>
      <c r="J4518">
        <v>13</v>
      </c>
      <c r="K4518" t="s">
        <v>246</v>
      </c>
    </row>
    <row r="4519" spans="2:11" x14ac:dyDescent="0.25">
      <c r="B4519">
        <v>4972</v>
      </c>
      <c r="C4519">
        <v>348</v>
      </c>
      <c r="D4519">
        <v>155</v>
      </c>
      <c r="E4519">
        <v>18</v>
      </c>
      <c r="F4519">
        <v>16</v>
      </c>
      <c r="G4519">
        <v>14</v>
      </c>
      <c r="H4519">
        <v>0</v>
      </c>
      <c r="I4519">
        <v>0</v>
      </c>
      <c r="J4519">
        <v>30</v>
      </c>
      <c r="K4519" t="s">
        <v>243</v>
      </c>
    </row>
    <row r="4520" spans="2:11" x14ac:dyDescent="0.25">
      <c r="B4520">
        <v>4974</v>
      </c>
      <c r="C4520">
        <v>262</v>
      </c>
      <c r="D4520">
        <v>118</v>
      </c>
      <c r="E4520">
        <v>18</v>
      </c>
      <c r="F4520">
        <v>2</v>
      </c>
      <c r="G4520">
        <v>2</v>
      </c>
      <c r="H4520">
        <v>1</v>
      </c>
      <c r="I4520">
        <v>0</v>
      </c>
      <c r="J4520">
        <v>5</v>
      </c>
      <c r="K4520" t="s">
        <v>246</v>
      </c>
    </row>
    <row r="4521" spans="2:11" x14ac:dyDescent="0.25">
      <c r="B4521">
        <v>4971</v>
      </c>
      <c r="C4521">
        <v>24</v>
      </c>
      <c r="D4521">
        <v>12</v>
      </c>
      <c r="E4521">
        <v>17</v>
      </c>
      <c r="F4521">
        <v>3</v>
      </c>
      <c r="G4521">
        <v>0</v>
      </c>
      <c r="H4521">
        <v>1</v>
      </c>
      <c r="I4521">
        <v>0</v>
      </c>
      <c r="J4521">
        <v>4</v>
      </c>
      <c r="K4521" t="s">
        <v>248</v>
      </c>
    </row>
    <row r="4522" spans="2:11" x14ac:dyDescent="0.25">
      <c r="B4522">
        <v>4975</v>
      </c>
      <c r="C4522">
        <v>343</v>
      </c>
      <c r="D4522">
        <v>154</v>
      </c>
      <c r="E4522">
        <v>18</v>
      </c>
      <c r="F4522">
        <v>13</v>
      </c>
      <c r="G4522">
        <v>15</v>
      </c>
      <c r="H4522">
        <v>0</v>
      </c>
      <c r="I4522">
        <v>0</v>
      </c>
      <c r="J4522">
        <v>28</v>
      </c>
      <c r="K4522" t="s">
        <v>243</v>
      </c>
    </row>
    <row r="4523" spans="2:11" x14ac:dyDescent="0.25">
      <c r="B4523">
        <v>4978</v>
      </c>
      <c r="C4523">
        <v>347</v>
      </c>
      <c r="D4523">
        <v>155</v>
      </c>
      <c r="E4523">
        <v>18</v>
      </c>
      <c r="F4523">
        <v>6</v>
      </c>
      <c r="G4523">
        <v>14</v>
      </c>
      <c r="H4523">
        <v>0</v>
      </c>
      <c r="I4523">
        <v>0</v>
      </c>
      <c r="J4523">
        <v>20</v>
      </c>
      <c r="K4523" t="s">
        <v>243</v>
      </c>
    </row>
    <row r="4524" spans="2:11" x14ac:dyDescent="0.25">
      <c r="B4524">
        <v>4979</v>
      </c>
      <c r="C4524">
        <v>346</v>
      </c>
      <c r="D4524">
        <v>155</v>
      </c>
      <c r="E4524">
        <v>18</v>
      </c>
      <c r="F4524">
        <v>4</v>
      </c>
      <c r="G4524">
        <v>3</v>
      </c>
      <c r="H4524">
        <v>0</v>
      </c>
      <c r="I4524">
        <v>0</v>
      </c>
      <c r="J4524">
        <v>7</v>
      </c>
      <c r="K4524" t="s">
        <v>243</v>
      </c>
    </row>
    <row r="4525" spans="2:11" x14ac:dyDescent="0.25">
      <c r="B4525">
        <v>4980</v>
      </c>
      <c r="C4525">
        <v>344</v>
      </c>
      <c r="D4525">
        <v>155</v>
      </c>
      <c r="E4525">
        <v>18</v>
      </c>
      <c r="F4525">
        <v>11</v>
      </c>
      <c r="G4525">
        <v>12</v>
      </c>
      <c r="H4525">
        <v>0</v>
      </c>
      <c r="I4525">
        <v>0</v>
      </c>
      <c r="J4525">
        <v>23</v>
      </c>
      <c r="K4525" t="s">
        <v>243</v>
      </c>
    </row>
    <row r="4526" spans="2:11" x14ac:dyDescent="0.25">
      <c r="B4526">
        <v>4977</v>
      </c>
      <c r="C4526">
        <v>24</v>
      </c>
      <c r="D4526">
        <v>12</v>
      </c>
      <c r="E4526">
        <v>18</v>
      </c>
      <c r="F4526">
        <v>2</v>
      </c>
      <c r="G4526">
        <v>0</v>
      </c>
      <c r="H4526">
        <v>2</v>
      </c>
      <c r="I4526">
        <v>0</v>
      </c>
      <c r="J4526">
        <v>4</v>
      </c>
      <c r="K4526" t="s">
        <v>248</v>
      </c>
    </row>
    <row r="4527" spans="2:11" x14ac:dyDescent="0.25">
      <c r="B4527">
        <v>4981</v>
      </c>
      <c r="C4527">
        <v>324</v>
      </c>
      <c r="D4527">
        <v>150</v>
      </c>
      <c r="E4527">
        <v>18</v>
      </c>
      <c r="F4527">
        <v>3</v>
      </c>
      <c r="G4527">
        <v>5</v>
      </c>
      <c r="H4527">
        <v>0</v>
      </c>
      <c r="I4527">
        <v>0</v>
      </c>
      <c r="J4527">
        <v>8</v>
      </c>
      <c r="K4527" t="s">
        <v>243</v>
      </c>
    </row>
    <row r="4528" spans="2:11" x14ac:dyDescent="0.25">
      <c r="B4528">
        <v>4982</v>
      </c>
      <c r="C4528">
        <v>312</v>
      </c>
      <c r="D4528">
        <v>144</v>
      </c>
      <c r="E4528">
        <v>18</v>
      </c>
      <c r="F4528">
        <v>12</v>
      </c>
      <c r="G4528">
        <v>16</v>
      </c>
      <c r="H4528">
        <v>0</v>
      </c>
      <c r="I4528">
        <v>0</v>
      </c>
      <c r="J4528">
        <v>28</v>
      </c>
      <c r="K4528" t="s">
        <v>243</v>
      </c>
    </row>
    <row r="4529" spans="2:11" x14ac:dyDescent="0.25">
      <c r="B4529">
        <v>4983</v>
      </c>
      <c r="C4529">
        <v>23</v>
      </c>
      <c r="D4529">
        <v>11</v>
      </c>
      <c r="E4529">
        <v>18</v>
      </c>
      <c r="F4529">
        <v>3</v>
      </c>
      <c r="G4529">
        <v>0</v>
      </c>
      <c r="H4529">
        <v>1</v>
      </c>
      <c r="I4529">
        <v>0</v>
      </c>
      <c r="J4529">
        <v>4</v>
      </c>
      <c r="K4529" t="s">
        <v>248</v>
      </c>
    </row>
    <row r="4530" spans="2:11" x14ac:dyDescent="0.25">
      <c r="B4530">
        <v>4984</v>
      </c>
      <c r="C4530">
        <v>281</v>
      </c>
      <c r="D4530">
        <v>129</v>
      </c>
      <c r="E4530">
        <v>18</v>
      </c>
      <c r="F4530">
        <v>5</v>
      </c>
      <c r="G4530">
        <v>10</v>
      </c>
      <c r="H4530">
        <v>1</v>
      </c>
      <c r="I4530">
        <v>0</v>
      </c>
      <c r="J4530">
        <v>16</v>
      </c>
      <c r="K4530" t="s">
        <v>243</v>
      </c>
    </row>
    <row r="4531" spans="2:11" x14ac:dyDescent="0.25">
      <c r="B4531">
        <v>4985</v>
      </c>
      <c r="C4531">
        <v>335</v>
      </c>
      <c r="D4531">
        <v>152</v>
      </c>
      <c r="E4531">
        <v>18</v>
      </c>
      <c r="F4531">
        <v>5</v>
      </c>
      <c r="G4531">
        <v>5</v>
      </c>
      <c r="H4531">
        <v>3</v>
      </c>
      <c r="I4531">
        <v>0</v>
      </c>
      <c r="J4531">
        <v>13</v>
      </c>
      <c r="K4531" t="s">
        <v>243</v>
      </c>
    </row>
    <row r="4532" spans="2:11" x14ac:dyDescent="0.25">
      <c r="B4532">
        <v>4986</v>
      </c>
      <c r="C4532">
        <v>345</v>
      </c>
      <c r="D4532">
        <v>155</v>
      </c>
      <c r="E4532">
        <v>18</v>
      </c>
      <c r="F4532">
        <v>3</v>
      </c>
      <c r="G4532">
        <v>3</v>
      </c>
      <c r="H4532">
        <v>0</v>
      </c>
      <c r="I4532">
        <v>0</v>
      </c>
      <c r="J4532">
        <v>6</v>
      </c>
      <c r="K4532" t="s">
        <v>243</v>
      </c>
    </row>
    <row r="4533" spans="2:11" x14ac:dyDescent="0.25">
      <c r="B4533">
        <v>4987</v>
      </c>
      <c r="C4533">
        <v>23</v>
      </c>
      <c r="D4533">
        <v>11</v>
      </c>
      <c r="E4533">
        <v>16</v>
      </c>
      <c r="F4533">
        <v>3</v>
      </c>
      <c r="G4533">
        <v>2</v>
      </c>
      <c r="H4533">
        <v>1</v>
      </c>
      <c r="I4533">
        <v>0</v>
      </c>
      <c r="J4533">
        <v>6</v>
      </c>
      <c r="K4533" t="s">
        <v>248</v>
      </c>
    </row>
    <row r="4534" spans="2:11" x14ac:dyDescent="0.25">
      <c r="B4534">
        <v>4988</v>
      </c>
      <c r="C4534">
        <v>23</v>
      </c>
      <c r="D4534">
        <v>11</v>
      </c>
      <c r="E4534">
        <v>17</v>
      </c>
      <c r="F4534">
        <v>6</v>
      </c>
      <c r="G4534">
        <v>2</v>
      </c>
      <c r="H4534">
        <v>0</v>
      </c>
      <c r="I4534">
        <v>0</v>
      </c>
      <c r="J4534">
        <v>8</v>
      </c>
      <c r="K4534" t="s">
        <v>248</v>
      </c>
    </row>
    <row r="4535" spans="2:11" x14ac:dyDescent="0.25">
      <c r="B4535">
        <v>4989</v>
      </c>
      <c r="C4535">
        <v>336</v>
      </c>
      <c r="D4535">
        <v>152</v>
      </c>
      <c r="E4535">
        <v>18</v>
      </c>
      <c r="F4535">
        <v>10</v>
      </c>
      <c r="G4535">
        <v>20</v>
      </c>
      <c r="H4535">
        <v>0</v>
      </c>
      <c r="I4535">
        <v>0</v>
      </c>
      <c r="J4535">
        <v>30</v>
      </c>
      <c r="K4535" t="s">
        <v>241</v>
      </c>
    </row>
    <row r="4536" spans="2:11" x14ac:dyDescent="0.25">
      <c r="B4536">
        <v>4990</v>
      </c>
      <c r="C4536">
        <v>65</v>
      </c>
      <c r="D4536">
        <v>35</v>
      </c>
      <c r="E4536">
        <v>18</v>
      </c>
      <c r="F4536">
        <v>10</v>
      </c>
      <c r="G4536">
        <v>5</v>
      </c>
      <c r="H4536">
        <v>2</v>
      </c>
      <c r="I4536">
        <v>0</v>
      </c>
      <c r="J4536">
        <v>17</v>
      </c>
      <c r="K4536" t="s">
        <v>241</v>
      </c>
    </row>
    <row r="4537" spans="2:11" x14ac:dyDescent="0.25">
      <c r="B4537">
        <v>4991</v>
      </c>
      <c r="C4537">
        <v>123</v>
      </c>
      <c r="D4537">
        <v>56</v>
      </c>
      <c r="E4537">
        <v>18</v>
      </c>
      <c r="F4537">
        <v>4</v>
      </c>
      <c r="G4537">
        <v>8</v>
      </c>
      <c r="H4537">
        <v>6</v>
      </c>
      <c r="I4537">
        <v>0</v>
      </c>
      <c r="J4537">
        <v>18</v>
      </c>
      <c r="K4537" t="s">
        <v>250</v>
      </c>
    </row>
    <row r="4538" spans="2:11" x14ac:dyDescent="0.25">
      <c r="B4538">
        <v>4992</v>
      </c>
      <c r="C4538">
        <v>175</v>
      </c>
      <c r="D4538">
        <v>76</v>
      </c>
      <c r="E4538">
        <v>18</v>
      </c>
      <c r="F4538">
        <v>5</v>
      </c>
      <c r="G4538">
        <v>9</v>
      </c>
      <c r="H4538">
        <v>1</v>
      </c>
      <c r="I4538">
        <v>0</v>
      </c>
      <c r="J4538">
        <v>15</v>
      </c>
      <c r="K4538" t="s">
        <v>250</v>
      </c>
    </row>
    <row r="4539" spans="2:11" x14ac:dyDescent="0.25">
      <c r="B4539">
        <v>4993</v>
      </c>
      <c r="C4539">
        <v>273</v>
      </c>
      <c r="D4539">
        <v>124</v>
      </c>
      <c r="E4539">
        <v>18</v>
      </c>
      <c r="F4539">
        <v>12</v>
      </c>
      <c r="G4539">
        <v>8</v>
      </c>
      <c r="H4539">
        <v>0</v>
      </c>
      <c r="I4539">
        <v>0</v>
      </c>
      <c r="J4539">
        <v>20</v>
      </c>
      <c r="K4539" t="s">
        <v>250</v>
      </c>
    </row>
    <row r="4540" spans="2:11" x14ac:dyDescent="0.25">
      <c r="B4540">
        <v>4994</v>
      </c>
      <c r="C4540">
        <v>272</v>
      </c>
      <c r="D4540">
        <v>123</v>
      </c>
      <c r="E4540">
        <v>18</v>
      </c>
      <c r="F4540">
        <v>16</v>
      </c>
      <c r="G4540">
        <v>11</v>
      </c>
      <c r="H4540">
        <v>3</v>
      </c>
      <c r="I4540">
        <v>0</v>
      </c>
      <c r="J4540">
        <v>30</v>
      </c>
      <c r="K4540" t="s">
        <v>250</v>
      </c>
    </row>
    <row r="4541" spans="2:11" x14ac:dyDescent="0.25">
      <c r="B4541">
        <v>4996</v>
      </c>
      <c r="C4541">
        <v>321</v>
      </c>
      <c r="D4541">
        <v>149</v>
      </c>
      <c r="E4541">
        <v>18</v>
      </c>
      <c r="F4541">
        <v>18</v>
      </c>
      <c r="G4541">
        <v>4</v>
      </c>
      <c r="H4541">
        <v>0</v>
      </c>
      <c r="I4541">
        <v>0</v>
      </c>
      <c r="J4541">
        <v>22</v>
      </c>
      <c r="K4541" t="s">
        <v>248</v>
      </c>
    </row>
    <row r="4542" spans="2:11" x14ac:dyDescent="0.25">
      <c r="B4542">
        <v>4997</v>
      </c>
      <c r="C4542">
        <v>321</v>
      </c>
      <c r="D4542">
        <v>149</v>
      </c>
      <c r="E4542">
        <v>17</v>
      </c>
      <c r="F4542">
        <v>20</v>
      </c>
      <c r="G4542">
        <v>10</v>
      </c>
      <c r="H4542">
        <v>0</v>
      </c>
      <c r="I4542">
        <v>0</v>
      </c>
      <c r="J4542">
        <v>30</v>
      </c>
      <c r="K4542" t="s">
        <v>248</v>
      </c>
    </row>
    <row r="4543" spans="2:11" x14ac:dyDescent="0.25">
      <c r="B4543">
        <v>4998</v>
      </c>
      <c r="C4543">
        <v>5</v>
      </c>
      <c r="D4543">
        <v>1</v>
      </c>
      <c r="E4543">
        <v>18</v>
      </c>
      <c r="F4543">
        <v>5</v>
      </c>
      <c r="G4543">
        <v>4</v>
      </c>
      <c r="H4543">
        <v>0</v>
      </c>
      <c r="I4543">
        <v>0</v>
      </c>
      <c r="J4543">
        <v>9</v>
      </c>
      <c r="K4543" t="s">
        <v>250</v>
      </c>
    </row>
    <row r="4544" spans="2:11" x14ac:dyDescent="0.25">
      <c r="B4544">
        <v>4999</v>
      </c>
      <c r="C4544">
        <v>68</v>
      </c>
      <c r="D4544">
        <v>35</v>
      </c>
      <c r="E4544">
        <v>16</v>
      </c>
      <c r="F4544">
        <v>5</v>
      </c>
      <c r="G4544">
        <v>7</v>
      </c>
      <c r="H4544">
        <v>8</v>
      </c>
      <c r="I4544">
        <v>0</v>
      </c>
      <c r="J4544">
        <v>20</v>
      </c>
      <c r="K4544" t="s">
        <v>241</v>
      </c>
    </row>
    <row r="4545" spans="2:11" x14ac:dyDescent="0.25">
      <c r="B4545">
        <v>5000</v>
      </c>
      <c r="C4545">
        <v>25</v>
      </c>
      <c r="D4545">
        <v>13</v>
      </c>
      <c r="E4545">
        <v>15</v>
      </c>
      <c r="F4545">
        <v>2</v>
      </c>
      <c r="G4545">
        <v>0</v>
      </c>
      <c r="H4545">
        <v>1</v>
      </c>
      <c r="I4545">
        <v>0</v>
      </c>
      <c r="J4545">
        <v>3</v>
      </c>
      <c r="K4545" t="s">
        <v>250</v>
      </c>
    </row>
    <row r="4546" spans="2:11" x14ac:dyDescent="0.25">
      <c r="B4546">
        <v>5002</v>
      </c>
      <c r="C4546">
        <v>29</v>
      </c>
      <c r="D4546">
        <v>16</v>
      </c>
      <c r="E4546">
        <v>18</v>
      </c>
      <c r="F4546">
        <v>7</v>
      </c>
      <c r="G4546">
        <v>4</v>
      </c>
      <c r="H4546">
        <v>2</v>
      </c>
      <c r="I4546">
        <v>0</v>
      </c>
      <c r="J4546">
        <v>13</v>
      </c>
      <c r="K4546" t="s">
        <v>245</v>
      </c>
    </row>
    <row r="4547" spans="2:11" x14ac:dyDescent="0.25">
      <c r="B4547">
        <v>5001</v>
      </c>
      <c r="C4547">
        <v>69</v>
      </c>
      <c r="D4547">
        <v>35</v>
      </c>
      <c r="E4547">
        <v>18</v>
      </c>
      <c r="F4547">
        <v>11</v>
      </c>
      <c r="G4547">
        <v>13</v>
      </c>
      <c r="H4547">
        <v>3</v>
      </c>
      <c r="I4547">
        <v>0</v>
      </c>
      <c r="J4547">
        <v>27</v>
      </c>
      <c r="K4547" t="s">
        <v>243</v>
      </c>
    </row>
    <row r="4548" spans="2:11" x14ac:dyDescent="0.25">
      <c r="B4548">
        <v>5004</v>
      </c>
      <c r="C4548">
        <v>68</v>
      </c>
      <c r="D4548">
        <v>35</v>
      </c>
      <c r="E4548">
        <v>17</v>
      </c>
      <c r="F4548">
        <v>8</v>
      </c>
      <c r="G4548">
        <v>6</v>
      </c>
      <c r="H4548">
        <v>10</v>
      </c>
      <c r="I4548">
        <v>0</v>
      </c>
      <c r="J4548">
        <v>24</v>
      </c>
      <c r="K4548" t="s">
        <v>241</v>
      </c>
    </row>
    <row r="4549" spans="2:11" x14ac:dyDescent="0.25">
      <c r="B4549">
        <v>5072</v>
      </c>
      <c r="C4549">
        <v>35</v>
      </c>
      <c r="D4549">
        <v>17</v>
      </c>
      <c r="E4549">
        <v>17</v>
      </c>
      <c r="F4549">
        <v>4</v>
      </c>
      <c r="G4549">
        <v>11</v>
      </c>
      <c r="H4549">
        <v>0</v>
      </c>
      <c r="I4549">
        <v>0</v>
      </c>
      <c r="J4549">
        <v>15</v>
      </c>
      <c r="K4549" t="s">
        <v>249</v>
      </c>
    </row>
    <row r="4550" spans="2:11" x14ac:dyDescent="0.25">
      <c r="B4550">
        <v>5082</v>
      </c>
      <c r="C4550">
        <v>101</v>
      </c>
      <c r="D4550">
        <v>51</v>
      </c>
      <c r="E4550">
        <v>13</v>
      </c>
      <c r="F4550">
        <v>11</v>
      </c>
      <c r="G4550">
        <v>13</v>
      </c>
      <c r="H4550">
        <v>3</v>
      </c>
      <c r="I4550">
        <v>0</v>
      </c>
      <c r="J4550">
        <v>27</v>
      </c>
      <c r="K4550" t="s">
        <v>250</v>
      </c>
    </row>
    <row r="4551" spans="2:11" x14ac:dyDescent="0.25">
      <c r="B4551">
        <v>5087</v>
      </c>
      <c r="C4551">
        <v>31</v>
      </c>
      <c r="D4551">
        <v>17</v>
      </c>
      <c r="E4551">
        <v>17</v>
      </c>
      <c r="F4551">
        <v>8</v>
      </c>
      <c r="G4551">
        <v>5</v>
      </c>
      <c r="H4551">
        <v>1</v>
      </c>
      <c r="I4551">
        <v>0</v>
      </c>
      <c r="J4551">
        <v>14</v>
      </c>
      <c r="K4551" t="s">
        <v>243</v>
      </c>
    </row>
    <row r="4552" spans="2:11" x14ac:dyDescent="0.25">
      <c r="B4552">
        <v>5085</v>
      </c>
      <c r="C4552">
        <v>101</v>
      </c>
      <c r="D4552">
        <v>51</v>
      </c>
      <c r="E4552">
        <v>14</v>
      </c>
      <c r="F4552">
        <v>14</v>
      </c>
      <c r="G4552">
        <v>7</v>
      </c>
      <c r="H4552">
        <v>4</v>
      </c>
      <c r="I4552">
        <v>0</v>
      </c>
      <c r="J4552">
        <v>25</v>
      </c>
      <c r="K4552" t="s">
        <v>250</v>
      </c>
    </row>
    <row r="4553" spans="2:11" x14ac:dyDescent="0.25">
      <c r="B4553">
        <v>5094</v>
      </c>
      <c r="C4553">
        <v>16</v>
      </c>
      <c r="D4553">
        <v>7</v>
      </c>
      <c r="E4553">
        <v>3</v>
      </c>
      <c r="F4553">
        <v>0</v>
      </c>
      <c r="G4553">
        <v>3</v>
      </c>
      <c r="H4553">
        <v>0</v>
      </c>
      <c r="I4553">
        <v>0</v>
      </c>
      <c r="J4553">
        <v>3</v>
      </c>
      <c r="K4553" t="s">
        <v>248</v>
      </c>
    </row>
    <row r="4554" spans="2:11" x14ac:dyDescent="0.25">
      <c r="B4554">
        <v>5099</v>
      </c>
      <c r="C4554">
        <v>16</v>
      </c>
      <c r="D4554">
        <v>7</v>
      </c>
      <c r="E4554">
        <v>4</v>
      </c>
      <c r="F4554">
        <v>13</v>
      </c>
      <c r="G4554">
        <v>6</v>
      </c>
      <c r="H4554">
        <v>2</v>
      </c>
      <c r="I4554">
        <v>0</v>
      </c>
      <c r="J4554">
        <v>21</v>
      </c>
      <c r="K4554" t="s">
        <v>248</v>
      </c>
    </row>
    <row r="4555" spans="2:11" x14ac:dyDescent="0.25">
      <c r="B4555">
        <v>5102</v>
      </c>
      <c r="C4555">
        <v>72</v>
      </c>
      <c r="D4555">
        <v>35</v>
      </c>
      <c r="E4555">
        <v>16</v>
      </c>
      <c r="F4555">
        <v>6</v>
      </c>
      <c r="G4555">
        <v>20</v>
      </c>
      <c r="H4555">
        <v>0</v>
      </c>
      <c r="I4555">
        <v>0</v>
      </c>
      <c r="J4555">
        <v>26</v>
      </c>
      <c r="K4555" t="s">
        <v>241</v>
      </c>
    </row>
    <row r="4556" spans="2:11" x14ac:dyDescent="0.25">
      <c r="B4556">
        <v>5097</v>
      </c>
      <c r="C4556">
        <v>237</v>
      </c>
      <c r="D4556">
        <v>104</v>
      </c>
      <c r="E4556">
        <v>18</v>
      </c>
      <c r="F4556">
        <v>13</v>
      </c>
      <c r="G4556">
        <v>8</v>
      </c>
      <c r="H4556">
        <v>0</v>
      </c>
      <c r="I4556">
        <v>0</v>
      </c>
      <c r="J4556">
        <v>21</v>
      </c>
      <c r="K4556" t="s">
        <v>243</v>
      </c>
    </row>
    <row r="4557" spans="2:11" x14ac:dyDescent="0.25">
      <c r="B4557">
        <v>5104</v>
      </c>
      <c r="C4557">
        <v>72</v>
      </c>
      <c r="D4557">
        <v>35</v>
      </c>
      <c r="E4557">
        <v>17</v>
      </c>
      <c r="F4557">
        <v>4</v>
      </c>
      <c r="G4557">
        <v>13</v>
      </c>
      <c r="H4557">
        <v>1</v>
      </c>
      <c r="I4557">
        <v>0</v>
      </c>
      <c r="J4557">
        <v>18</v>
      </c>
      <c r="K4557" t="s">
        <v>241</v>
      </c>
    </row>
    <row r="4558" spans="2:11" x14ac:dyDescent="0.25">
      <c r="B4558">
        <v>5107</v>
      </c>
      <c r="C4558">
        <v>72</v>
      </c>
      <c r="D4558">
        <v>35</v>
      </c>
      <c r="E4558">
        <v>18</v>
      </c>
      <c r="F4558">
        <v>5</v>
      </c>
      <c r="G4558">
        <v>11</v>
      </c>
      <c r="H4558">
        <v>0</v>
      </c>
      <c r="I4558">
        <v>0</v>
      </c>
      <c r="J4558">
        <v>16</v>
      </c>
      <c r="K4558" t="s">
        <v>241</v>
      </c>
    </row>
    <row r="4559" spans="2:11" x14ac:dyDescent="0.25">
      <c r="B4559">
        <v>5106</v>
      </c>
      <c r="C4559">
        <v>236</v>
      </c>
      <c r="D4559">
        <v>103</v>
      </c>
      <c r="E4559">
        <v>18</v>
      </c>
      <c r="F4559">
        <v>13</v>
      </c>
      <c r="G4559">
        <v>9</v>
      </c>
      <c r="H4559">
        <v>0</v>
      </c>
      <c r="I4559">
        <v>0</v>
      </c>
      <c r="J4559">
        <v>22</v>
      </c>
      <c r="K4559" t="s">
        <v>243</v>
      </c>
    </row>
    <row r="4560" spans="2:11" x14ac:dyDescent="0.25">
      <c r="B4560">
        <v>5109</v>
      </c>
      <c r="C4560">
        <v>179</v>
      </c>
      <c r="D4560">
        <v>77</v>
      </c>
      <c r="E4560">
        <v>18</v>
      </c>
      <c r="F4560">
        <v>0</v>
      </c>
      <c r="G4560">
        <v>3</v>
      </c>
      <c r="H4560">
        <v>3</v>
      </c>
      <c r="I4560">
        <v>0</v>
      </c>
      <c r="J4560">
        <v>6</v>
      </c>
      <c r="K4560" t="s">
        <v>245</v>
      </c>
    </row>
    <row r="4561" spans="2:11" x14ac:dyDescent="0.25">
      <c r="B4561">
        <v>5110</v>
      </c>
      <c r="C4561">
        <v>324</v>
      </c>
      <c r="D4561">
        <v>150</v>
      </c>
      <c r="E4561">
        <v>17</v>
      </c>
      <c r="F4561">
        <v>5</v>
      </c>
      <c r="G4561">
        <v>7</v>
      </c>
      <c r="H4561">
        <v>1</v>
      </c>
      <c r="I4561">
        <v>0</v>
      </c>
      <c r="J4561">
        <v>13</v>
      </c>
      <c r="K4561" t="s">
        <v>250</v>
      </c>
    </row>
    <row r="4562" spans="2:11" x14ac:dyDescent="0.25">
      <c r="B4562">
        <v>5111</v>
      </c>
      <c r="C4562">
        <v>103</v>
      </c>
      <c r="D4562">
        <v>51</v>
      </c>
      <c r="E4562">
        <v>12</v>
      </c>
      <c r="F4562">
        <v>7</v>
      </c>
      <c r="G4562">
        <v>6</v>
      </c>
      <c r="H4562">
        <v>0</v>
      </c>
      <c r="I4562">
        <v>0</v>
      </c>
      <c r="J4562">
        <v>13</v>
      </c>
      <c r="K4562" t="s">
        <v>245</v>
      </c>
    </row>
    <row r="4563" spans="2:11" x14ac:dyDescent="0.25">
      <c r="B4563">
        <v>5112</v>
      </c>
      <c r="C4563">
        <v>332</v>
      </c>
      <c r="D4563">
        <v>152</v>
      </c>
      <c r="E4563">
        <v>18</v>
      </c>
      <c r="F4563">
        <v>8</v>
      </c>
      <c r="G4563">
        <v>22</v>
      </c>
      <c r="H4563">
        <v>0</v>
      </c>
      <c r="I4563">
        <v>0</v>
      </c>
      <c r="J4563">
        <v>30</v>
      </c>
      <c r="K4563" t="s">
        <v>243</v>
      </c>
    </row>
    <row r="4564" spans="2:11" x14ac:dyDescent="0.25">
      <c r="B4564">
        <v>5103</v>
      </c>
      <c r="C4564">
        <v>16</v>
      </c>
      <c r="D4564">
        <v>7</v>
      </c>
      <c r="E4564">
        <v>5</v>
      </c>
      <c r="F4564">
        <v>6</v>
      </c>
      <c r="G4564">
        <v>4</v>
      </c>
      <c r="H4564">
        <v>0</v>
      </c>
      <c r="I4564">
        <v>0</v>
      </c>
      <c r="J4564">
        <v>10</v>
      </c>
      <c r="K4564" t="s">
        <v>248</v>
      </c>
    </row>
    <row r="4565" spans="2:11" x14ac:dyDescent="0.25">
      <c r="B4565">
        <v>5114</v>
      </c>
      <c r="C4565">
        <v>18</v>
      </c>
      <c r="D4565">
        <v>9</v>
      </c>
      <c r="E4565">
        <v>17</v>
      </c>
      <c r="F4565">
        <v>6</v>
      </c>
      <c r="G4565">
        <v>4</v>
      </c>
      <c r="H4565">
        <v>0</v>
      </c>
      <c r="I4565">
        <v>0</v>
      </c>
      <c r="J4565">
        <v>10</v>
      </c>
      <c r="K4565" t="s">
        <v>250</v>
      </c>
    </row>
    <row r="4566" spans="2:11" x14ac:dyDescent="0.25">
      <c r="B4566">
        <v>5115</v>
      </c>
      <c r="C4566">
        <v>297</v>
      </c>
      <c r="D4566">
        <v>136</v>
      </c>
      <c r="E4566">
        <v>17</v>
      </c>
      <c r="F4566">
        <v>1</v>
      </c>
      <c r="G4566">
        <v>0</v>
      </c>
      <c r="H4566">
        <v>0</v>
      </c>
      <c r="I4566">
        <v>0</v>
      </c>
      <c r="J4566">
        <v>1</v>
      </c>
      <c r="K4566" t="s">
        <v>250</v>
      </c>
    </row>
    <row r="4567" spans="2:11" x14ac:dyDescent="0.25">
      <c r="B4567">
        <v>5116</v>
      </c>
      <c r="C4567">
        <v>16</v>
      </c>
      <c r="D4567">
        <v>7</v>
      </c>
      <c r="E4567">
        <v>6</v>
      </c>
      <c r="F4567">
        <v>7</v>
      </c>
      <c r="G4567">
        <v>2</v>
      </c>
      <c r="H4567">
        <v>0</v>
      </c>
      <c r="I4567">
        <v>0</v>
      </c>
      <c r="J4567">
        <v>9</v>
      </c>
      <c r="K4567" t="s">
        <v>248</v>
      </c>
    </row>
    <row r="4568" spans="2:11" x14ac:dyDescent="0.25">
      <c r="B4568">
        <v>5118</v>
      </c>
      <c r="C4568">
        <v>19</v>
      </c>
      <c r="D4568">
        <v>9</v>
      </c>
      <c r="E4568">
        <v>17</v>
      </c>
      <c r="F4568">
        <v>18</v>
      </c>
      <c r="G4568">
        <v>12</v>
      </c>
      <c r="H4568">
        <v>0</v>
      </c>
      <c r="I4568">
        <v>0</v>
      </c>
      <c r="J4568">
        <v>30</v>
      </c>
      <c r="K4568" t="s">
        <v>250</v>
      </c>
    </row>
    <row r="4569" spans="2:11" x14ac:dyDescent="0.25">
      <c r="B4569">
        <v>5117</v>
      </c>
      <c r="C4569">
        <v>173</v>
      </c>
      <c r="D4569">
        <v>75</v>
      </c>
      <c r="E4569">
        <v>18</v>
      </c>
      <c r="F4569">
        <v>11</v>
      </c>
      <c r="G4569">
        <v>11</v>
      </c>
      <c r="H4569">
        <v>0</v>
      </c>
      <c r="I4569">
        <v>0</v>
      </c>
      <c r="J4569">
        <v>22</v>
      </c>
      <c r="K4569" t="s">
        <v>243</v>
      </c>
    </row>
    <row r="4570" spans="2:11" x14ac:dyDescent="0.25">
      <c r="B4570">
        <v>5120</v>
      </c>
      <c r="C4570">
        <v>325</v>
      </c>
      <c r="D4570">
        <v>151</v>
      </c>
      <c r="E4570">
        <v>17</v>
      </c>
      <c r="F4570">
        <v>4</v>
      </c>
      <c r="G4570">
        <v>2</v>
      </c>
      <c r="H4570">
        <v>0</v>
      </c>
      <c r="I4570">
        <v>0</v>
      </c>
      <c r="J4570">
        <v>6</v>
      </c>
      <c r="K4570" t="s">
        <v>250</v>
      </c>
    </row>
    <row r="4571" spans="2:11" x14ac:dyDescent="0.25">
      <c r="B4571">
        <v>5119</v>
      </c>
      <c r="C4571">
        <v>245</v>
      </c>
      <c r="D4571">
        <v>109</v>
      </c>
      <c r="E4571">
        <v>18</v>
      </c>
      <c r="F4571">
        <v>7</v>
      </c>
      <c r="G4571">
        <v>5</v>
      </c>
      <c r="H4571">
        <v>3</v>
      </c>
      <c r="I4571">
        <v>0</v>
      </c>
      <c r="J4571">
        <v>15</v>
      </c>
      <c r="K4571" t="s">
        <v>241</v>
      </c>
    </row>
    <row r="4572" spans="2:11" x14ac:dyDescent="0.25">
      <c r="B4572">
        <v>5123</v>
      </c>
      <c r="C4572">
        <v>303</v>
      </c>
      <c r="D4572">
        <v>140</v>
      </c>
      <c r="E4572">
        <v>17</v>
      </c>
      <c r="F4572">
        <v>5</v>
      </c>
      <c r="G4572">
        <v>0</v>
      </c>
      <c r="H4572">
        <v>0</v>
      </c>
      <c r="I4572">
        <v>0</v>
      </c>
      <c r="J4572">
        <v>5</v>
      </c>
      <c r="K4572" t="s">
        <v>250</v>
      </c>
    </row>
    <row r="4573" spans="2:11" x14ac:dyDescent="0.25">
      <c r="B4573">
        <v>5126</v>
      </c>
      <c r="C4573">
        <v>310</v>
      </c>
      <c r="D4573">
        <v>144</v>
      </c>
      <c r="E4573">
        <v>17</v>
      </c>
      <c r="F4573">
        <v>15</v>
      </c>
      <c r="G4573">
        <v>9</v>
      </c>
      <c r="H4573">
        <v>0</v>
      </c>
      <c r="I4573">
        <v>0</v>
      </c>
      <c r="J4573">
        <v>24</v>
      </c>
      <c r="K4573" t="s">
        <v>250</v>
      </c>
    </row>
    <row r="4574" spans="2:11" x14ac:dyDescent="0.25">
      <c r="B4574">
        <v>5127</v>
      </c>
      <c r="C4574">
        <v>141</v>
      </c>
      <c r="D4574">
        <v>62</v>
      </c>
      <c r="E4574">
        <v>10</v>
      </c>
      <c r="F4574">
        <v>19</v>
      </c>
      <c r="G4574">
        <v>19</v>
      </c>
      <c r="H4574">
        <v>0</v>
      </c>
      <c r="I4574">
        <v>0</v>
      </c>
      <c r="J4574">
        <v>38</v>
      </c>
      <c r="K4574" t="s">
        <v>249</v>
      </c>
    </row>
    <row r="4575" spans="2:11" x14ac:dyDescent="0.25">
      <c r="B4575">
        <v>5128</v>
      </c>
      <c r="C4575">
        <v>60</v>
      </c>
      <c r="D4575">
        <v>31</v>
      </c>
      <c r="E4575">
        <v>17</v>
      </c>
      <c r="F4575">
        <v>3</v>
      </c>
      <c r="G4575">
        <v>11</v>
      </c>
      <c r="H4575">
        <v>0</v>
      </c>
      <c r="I4575">
        <v>0</v>
      </c>
      <c r="J4575">
        <v>14</v>
      </c>
      <c r="K4575" t="s">
        <v>250</v>
      </c>
    </row>
    <row r="4576" spans="2:11" x14ac:dyDescent="0.25">
      <c r="B4576">
        <v>5136</v>
      </c>
      <c r="C4576">
        <v>326</v>
      </c>
      <c r="D4576">
        <v>151</v>
      </c>
      <c r="E4576">
        <v>17</v>
      </c>
      <c r="F4576">
        <v>15</v>
      </c>
      <c r="G4576">
        <v>7</v>
      </c>
      <c r="H4576">
        <v>0</v>
      </c>
      <c r="I4576">
        <v>0</v>
      </c>
      <c r="J4576">
        <v>22</v>
      </c>
      <c r="K4576" t="s">
        <v>250</v>
      </c>
    </row>
    <row r="4577" spans="2:11" x14ac:dyDescent="0.25">
      <c r="B4577">
        <v>5137</v>
      </c>
      <c r="C4577">
        <v>240</v>
      </c>
      <c r="D4577">
        <v>107</v>
      </c>
      <c r="E4577">
        <v>18</v>
      </c>
      <c r="F4577">
        <v>9</v>
      </c>
      <c r="G4577">
        <v>8</v>
      </c>
      <c r="H4577">
        <v>0</v>
      </c>
      <c r="I4577">
        <v>0</v>
      </c>
      <c r="J4577">
        <v>17</v>
      </c>
      <c r="K4577" t="s">
        <v>243</v>
      </c>
    </row>
    <row r="4578" spans="2:11" x14ac:dyDescent="0.25">
      <c r="B4578">
        <v>5154</v>
      </c>
      <c r="C4578">
        <v>16</v>
      </c>
      <c r="D4578">
        <v>7</v>
      </c>
      <c r="E4578">
        <v>13</v>
      </c>
      <c r="F4578">
        <v>3</v>
      </c>
      <c r="G4578">
        <v>0</v>
      </c>
      <c r="H4578">
        <v>0</v>
      </c>
      <c r="I4578">
        <v>0</v>
      </c>
      <c r="J4578">
        <v>3</v>
      </c>
      <c r="K4578" t="s">
        <v>248</v>
      </c>
    </row>
    <row r="4579" spans="2:11" x14ac:dyDescent="0.25">
      <c r="B4579">
        <v>5155</v>
      </c>
      <c r="C4579">
        <v>336</v>
      </c>
      <c r="D4579">
        <v>152</v>
      </c>
      <c r="E4579">
        <v>16</v>
      </c>
      <c r="F4579">
        <v>12</v>
      </c>
      <c r="G4579">
        <v>18</v>
      </c>
      <c r="H4579">
        <v>0</v>
      </c>
      <c r="I4579">
        <v>0</v>
      </c>
      <c r="J4579">
        <v>30</v>
      </c>
      <c r="K4579" t="s">
        <v>250</v>
      </c>
    </row>
    <row r="4580" spans="2:11" x14ac:dyDescent="0.25">
      <c r="B4580">
        <v>5167</v>
      </c>
      <c r="C4580">
        <v>288</v>
      </c>
      <c r="D4580">
        <v>134</v>
      </c>
      <c r="E4580">
        <v>16</v>
      </c>
      <c r="F4580">
        <v>13</v>
      </c>
      <c r="G4580">
        <v>1</v>
      </c>
      <c r="H4580">
        <v>1</v>
      </c>
      <c r="I4580">
        <v>0</v>
      </c>
      <c r="J4580">
        <v>15</v>
      </c>
      <c r="K4580" t="s">
        <v>250</v>
      </c>
    </row>
    <row r="4581" spans="2:11" x14ac:dyDescent="0.25">
      <c r="B4581">
        <v>5177</v>
      </c>
      <c r="C4581">
        <v>105</v>
      </c>
      <c r="D4581">
        <v>51</v>
      </c>
      <c r="E4581">
        <v>10</v>
      </c>
      <c r="F4581">
        <v>12</v>
      </c>
      <c r="G4581">
        <v>4</v>
      </c>
      <c r="H4581">
        <v>0</v>
      </c>
      <c r="I4581">
        <v>0</v>
      </c>
      <c r="J4581">
        <v>16</v>
      </c>
      <c r="K4581" t="s">
        <v>241</v>
      </c>
    </row>
    <row r="4582" spans="2:11" x14ac:dyDescent="0.25">
      <c r="B4582">
        <v>4700</v>
      </c>
      <c r="C4582">
        <v>134</v>
      </c>
      <c r="D4582">
        <v>60</v>
      </c>
      <c r="E4582">
        <v>18</v>
      </c>
      <c r="F4582">
        <v>0</v>
      </c>
      <c r="G4582">
        <v>11</v>
      </c>
      <c r="H4582">
        <v>8</v>
      </c>
      <c r="I4582">
        <v>0</v>
      </c>
      <c r="J4582">
        <v>19</v>
      </c>
      <c r="K4582" t="s">
        <v>250</v>
      </c>
    </row>
    <row r="4583" spans="2:11" x14ac:dyDescent="0.25">
      <c r="B4583">
        <v>4705</v>
      </c>
      <c r="C4583">
        <v>127</v>
      </c>
      <c r="D4583">
        <v>56</v>
      </c>
      <c r="E4583">
        <v>18</v>
      </c>
      <c r="F4583">
        <v>20</v>
      </c>
      <c r="G4583">
        <v>0</v>
      </c>
      <c r="H4583">
        <v>0</v>
      </c>
      <c r="I4583">
        <v>0</v>
      </c>
      <c r="J4583">
        <v>20</v>
      </c>
      <c r="K4583" t="s">
        <v>250</v>
      </c>
    </row>
    <row r="4584" spans="2:11" x14ac:dyDescent="0.25">
      <c r="B4584">
        <v>4708</v>
      </c>
      <c r="C4584">
        <v>133</v>
      </c>
      <c r="D4584">
        <v>60</v>
      </c>
      <c r="E4584">
        <v>18</v>
      </c>
      <c r="F4584">
        <v>8</v>
      </c>
      <c r="G4584">
        <v>5</v>
      </c>
      <c r="H4584">
        <v>7</v>
      </c>
      <c r="I4584">
        <v>0</v>
      </c>
      <c r="J4584">
        <v>20</v>
      </c>
      <c r="K4584" t="s">
        <v>251</v>
      </c>
    </row>
    <row r="4585" spans="2:11" x14ac:dyDescent="0.25">
      <c r="B4585">
        <v>4720</v>
      </c>
      <c r="C4585">
        <v>254</v>
      </c>
      <c r="D4585">
        <v>116</v>
      </c>
      <c r="E4585">
        <v>15</v>
      </c>
      <c r="F4585">
        <v>8</v>
      </c>
      <c r="G4585">
        <v>0</v>
      </c>
      <c r="H4585">
        <v>0</v>
      </c>
      <c r="I4585">
        <v>0</v>
      </c>
      <c r="J4585">
        <v>8</v>
      </c>
      <c r="K4585" t="s">
        <v>243</v>
      </c>
    </row>
    <row r="4586" spans="2:11" x14ac:dyDescent="0.25">
      <c r="B4586">
        <v>4743</v>
      </c>
      <c r="C4586">
        <v>274</v>
      </c>
      <c r="D4586">
        <v>125</v>
      </c>
      <c r="E4586">
        <v>18</v>
      </c>
      <c r="F4586">
        <v>14</v>
      </c>
      <c r="G4586">
        <v>13</v>
      </c>
      <c r="H4586">
        <v>2</v>
      </c>
      <c r="I4586">
        <v>0</v>
      </c>
      <c r="J4586">
        <v>29</v>
      </c>
      <c r="K4586" t="s">
        <v>241</v>
      </c>
    </row>
    <row r="4587" spans="2:11" x14ac:dyDescent="0.25">
      <c r="B4587">
        <v>4745</v>
      </c>
      <c r="C4587">
        <v>22</v>
      </c>
      <c r="D4587">
        <v>10</v>
      </c>
      <c r="E4587">
        <v>17</v>
      </c>
      <c r="F4587">
        <v>2</v>
      </c>
      <c r="G4587">
        <v>4</v>
      </c>
      <c r="H4587">
        <v>1</v>
      </c>
      <c r="I4587">
        <v>0</v>
      </c>
      <c r="J4587">
        <v>7</v>
      </c>
      <c r="K4587" t="s">
        <v>245</v>
      </c>
    </row>
    <row r="4588" spans="2:11" x14ac:dyDescent="0.25">
      <c r="B4588">
        <v>4744</v>
      </c>
      <c r="C4588">
        <v>325</v>
      </c>
      <c r="D4588">
        <v>151</v>
      </c>
      <c r="E4588">
        <v>18</v>
      </c>
      <c r="F4588">
        <v>6</v>
      </c>
      <c r="G4588">
        <v>5</v>
      </c>
      <c r="H4588">
        <v>0</v>
      </c>
      <c r="I4588">
        <v>0</v>
      </c>
      <c r="J4588">
        <v>11</v>
      </c>
      <c r="K4588" t="s">
        <v>250</v>
      </c>
    </row>
    <row r="4589" spans="2:11" x14ac:dyDescent="0.25">
      <c r="B4589">
        <v>4747</v>
      </c>
      <c r="C4589">
        <v>290</v>
      </c>
      <c r="D4589">
        <v>135</v>
      </c>
      <c r="E4589">
        <v>17</v>
      </c>
      <c r="F4589">
        <v>7</v>
      </c>
      <c r="G4589">
        <v>17</v>
      </c>
      <c r="H4589">
        <v>6</v>
      </c>
      <c r="I4589">
        <v>0</v>
      </c>
      <c r="J4589">
        <v>30</v>
      </c>
      <c r="K4589" t="s">
        <v>251</v>
      </c>
    </row>
    <row r="4590" spans="2:11" x14ac:dyDescent="0.25">
      <c r="B4590">
        <v>4748</v>
      </c>
      <c r="C4590">
        <v>274</v>
      </c>
      <c r="D4590">
        <v>125</v>
      </c>
      <c r="E4590">
        <v>17</v>
      </c>
      <c r="F4590">
        <v>8</v>
      </c>
      <c r="G4590">
        <v>6</v>
      </c>
      <c r="H4590">
        <v>1</v>
      </c>
      <c r="I4590">
        <v>0</v>
      </c>
      <c r="J4590">
        <v>15</v>
      </c>
      <c r="K4590" t="s">
        <v>241</v>
      </c>
    </row>
    <row r="4591" spans="2:11" x14ac:dyDescent="0.25">
      <c r="B4591">
        <v>4750</v>
      </c>
      <c r="C4591">
        <v>313</v>
      </c>
      <c r="D4591">
        <v>144</v>
      </c>
      <c r="E4591">
        <v>18</v>
      </c>
      <c r="F4591">
        <v>6</v>
      </c>
      <c r="G4591">
        <v>5</v>
      </c>
      <c r="H4591">
        <v>0</v>
      </c>
      <c r="I4591">
        <v>0</v>
      </c>
      <c r="J4591">
        <v>11</v>
      </c>
      <c r="K4591" t="s">
        <v>251</v>
      </c>
    </row>
    <row r="4592" spans="2:11" x14ac:dyDescent="0.25">
      <c r="B4592">
        <v>4749</v>
      </c>
      <c r="C4592">
        <v>282</v>
      </c>
      <c r="D4592">
        <v>130</v>
      </c>
      <c r="E4592">
        <v>18</v>
      </c>
      <c r="F4592">
        <v>7</v>
      </c>
      <c r="G4592">
        <v>11</v>
      </c>
      <c r="H4592">
        <v>1</v>
      </c>
      <c r="I4592">
        <v>0</v>
      </c>
      <c r="J4592">
        <v>19</v>
      </c>
      <c r="K4592" t="s">
        <v>250</v>
      </c>
    </row>
    <row r="4593" spans="2:11" x14ac:dyDescent="0.25">
      <c r="B4593">
        <v>4753</v>
      </c>
      <c r="C4593">
        <v>274</v>
      </c>
      <c r="D4593">
        <v>125</v>
      </c>
      <c r="E4593">
        <v>16</v>
      </c>
      <c r="F4593">
        <v>6</v>
      </c>
      <c r="G4593">
        <v>7</v>
      </c>
      <c r="H4593">
        <v>0</v>
      </c>
      <c r="I4593">
        <v>0</v>
      </c>
      <c r="J4593">
        <v>13</v>
      </c>
      <c r="K4593" t="s">
        <v>241</v>
      </c>
    </row>
    <row r="4594" spans="2:11" x14ac:dyDescent="0.25">
      <c r="B4594">
        <v>4752</v>
      </c>
      <c r="C4594">
        <v>160</v>
      </c>
      <c r="D4594">
        <v>69</v>
      </c>
      <c r="E4594">
        <v>15</v>
      </c>
      <c r="F4594">
        <v>0</v>
      </c>
      <c r="G4594">
        <v>10</v>
      </c>
      <c r="H4594">
        <v>0</v>
      </c>
      <c r="I4594">
        <v>0</v>
      </c>
      <c r="J4594">
        <v>10</v>
      </c>
      <c r="K4594" t="s">
        <v>246</v>
      </c>
    </row>
    <row r="4595" spans="2:11" x14ac:dyDescent="0.25">
      <c r="B4595">
        <v>4755</v>
      </c>
      <c r="C4595">
        <v>315</v>
      </c>
      <c r="D4595">
        <v>145</v>
      </c>
      <c r="E4595">
        <v>18</v>
      </c>
      <c r="F4595">
        <v>10</v>
      </c>
      <c r="G4595">
        <v>6</v>
      </c>
      <c r="H4595">
        <v>0</v>
      </c>
      <c r="I4595">
        <v>0</v>
      </c>
      <c r="J4595">
        <v>16</v>
      </c>
      <c r="K4595" t="s">
        <v>250</v>
      </c>
    </row>
    <row r="4596" spans="2:11" x14ac:dyDescent="0.25">
      <c r="B4596">
        <v>4756</v>
      </c>
      <c r="C4596">
        <v>12</v>
      </c>
      <c r="D4596">
        <v>3</v>
      </c>
      <c r="E4596">
        <v>18</v>
      </c>
      <c r="F4596">
        <v>8</v>
      </c>
      <c r="G4596">
        <v>7</v>
      </c>
      <c r="H4596">
        <v>0</v>
      </c>
      <c r="I4596">
        <v>0</v>
      </c>
      <c r="J4596">
        <v>15</v>
      </c>
      <c r="K4596" t="s">
        <v>241</v>
      </c>
    </row>
    <row r="4597" spans="2:11" x14ac:dyDescent="0.25">
      <c r="B4597">
        <v>4758</v>
      </c>
      <c r="C4597">
        <v>160</v>
      </c>
      <c r="D4597">
        <v>69</v>
      </c>
      <c r="E4597">
        <v>18</v>
      </c>
      <c r="F4597">
        <v>0</v>
      </c>
      <c r="G4597">
        <v>8</v>
      </c>
      <c r="H4597">
        <v>0</v>
      </c>
      <c r="I4597">
        <v>0</v>
      </c>
      <c r="J4597">
        <v>8</v>
      </c>
      <c r="K4597" t="s">
        <v>246</v>
      </c>
    </row>
    <row r="4598" spans="2:11" x14ac:dyDescent="0.25">
      <c r="B4598">
        <v>4760</v>
      </c>
      <c r="C4598">
        <v>12</v>
      </c>
      <c r="D4598">
        <v>3</v>
      </c>
      <c r="E4598">
        <v>17</v>
      </c>
      <c r="F4598">
        <v>8</v>
      </c>
      <c r="G4598">
        <v>5</v>
      </c>
      <c r="H4598">
        <v>0</v>
      </c>
      <c r="I4598">
        <v>0</v>
      </c>
      <c r="J4598">
        <v>13</v>
      </c>
      <c r="K4598" t="s">
        <v>241</v>
      </c>
    </row>
    <row r="4599" spans="2:11" x14ac:dyDescent="0.25">
      <c r="B4599">
        <v>4759</v>
      </c>
      <c r="C4599">
        <v>298</v>
      </c>
      <c r="D4599">
        <v>137</v>
      </c>
      <c r="E4599">
        <v>18</v>
      </c>
      <c r="F4599">
        <v>3</v>
      </c>
      <c r="G4599">
        <v>16</v>
      </c>
      <c r="H4599">
        <v>0</v>
      </c>
      <c r="I4599">
        <v>0</v>
      </c>
      <c r="J4599">
        <v>19</v>
      </c>
      <c r="K4599" t="s">
        <v>250</v>
      </c>
    </row>
    <row r="4600" spans="2:11" x14ac:dyDescent="0.25">
      <c r="B4600">
        <v>4772</v>
      </c>
      <c r="C4600">
        <v>121</v>
      </c>
      <c r="D4600">
        <v>55</v>
      </c>
      <c r="E4600">
        <v>17</v>
      </c>
      <c r="F4600">
        <v>8</v>
      </c>
      <c r="G4600">
        <v>2</v>
      </c>
      <c r="H4600">
        <v>0</v>
      </c>
      <c r="I4600">
        <v>0</v>
      </c>
      <c r="J4600">
        <v>10</v>
      </c>
      <c r="K4600" t="s">
        <v>245</v>
      </c>
    </row>
    <row r="4601" spans="2:11" x14ac:dyDescent="0.25">
      <c r="B4601">
        <v>4806</v>
      </c>
      <c r="C4601">
        <v>117</v>
      </c>
      <c r="D4601">
        <v>54</v>
      </c>
      <c r="E4601">
        <v>17</v>
      </c>
      <c r="F4601">
        <v>4</v>
      </c>
      <c r="G4601">
        <v>10</v>
      </c>
      <c r="H4601">
        <v>3</v>
      </c>
      <c r="I4601">
        <v>0</v>
      </c>
      <c r="J4601">
        <v>17</v>
      </c>
      <c r="K4601" t="s">
        <v>248</v>
      </c>
    </row>
    <row r="4602" spans="2:11" x14ac:dyDescent="0.25">
      <c r="B4602">
        <v>4821</v>
      </c>
      <c r="C4602">
        <v>256</v>
      </c>
      <c r="D4602">
        <v>117</v>
      </c>
      <c r="E4602">
        <v>18</v>
      </c>
      <c r="F4602">
        <v>14</v>
      </c>
      <c r="G4602">
        <v>5</v>
      </c>
      <c r="H4602">
        <v>0</v>
      </c>
      <c r="I4602">
        <v>0</v>
      </c>
      <c r="J4602">
        <v>19</v>
      </c>
      <c r="K4602" t="s">
        <v>241</v>
      </c>
    </row>
    <row r="4603" spans="2:11" x14ac:dyDescent="0.25">
      <c r="B4603">
        <v>4825</v>
      </c>
      <c r="C4603">
        <v>76</v>
      </c>
      <c r="D4603">
        <v>38</v>
      </c>
      <c r="E4603">
        <v>17</v>
      </c>
      <c r="F4603">
        <v>5</v>
      </c>
      <c r="G4603">
        <v>2</v>
      </c>
      <c r="H4603">
        <v>0</v>
      </c>
      <c r="I4603">
        <v>0</v>
      </c>
      <c r="J4603">
        <v>7</v>
      </c>
      <c r="K4603" t="s">
        <v>248</v>
      </c>
    </row>
    <row r="4604" spans="2:11" x14ac:dyDescent="0.25">
      <c r="B4604">
        <v>4827</v>
      </c>
      <c r="C4604">
        <v>240</v>
      </c>
      <c r="D4604">
        <v>107</v>
      </c>
      <c r="E4604">
        <v>16</v>
      </c>
      <c r="F4604">
        <v>9</v>
      </c>
      <c r="G4604">
        <v>2</v>
      </c>
      <c r="H4604">
        <v>0</v>
      </c>
      <c r="I4604">
        <v>0</v>
      </c>
      <c r="J4604">
        <v>11</v>
      </c>
      <c r="K4604" t="s">
        <v>241</v>
      </c>
    </row>
    <row r="4605" spans="2:11" x14ac:dyDescent="0.25">
      <c r="B4605">
        <v>4830</v>
      </c>
      <c r="C4605">
        <v>76</v>
      </c>
      <c r="D4605">
        <v>38</v>
      </c>
      <c r="E4605">
        <v>18</v>
      </c>
      <c r="F4605">
        <v>6</v>
      </c>
      <c r="G4605">
        <v>9</v>
      </c>
      <c r="H4605">
        <v>0</v>
      </c>
      <c r="I4605">
        <v>0</v>
      </c>
      <c r="J4605">
        <v>15</v>
      </c>
      <c r="K4605" t="s">
        <v>248</v>
      </c>
    </row>
    <row r="4606" spans="2:11" x14ac:dyDescent="0.25">
      <c r="B4606">
        <v>4840</v>
      </c>
      <c r="C4606">
        <v>53</v>
      </c>
      <c r="D4606">
        <v>27</v>
      </c>
      <c r="E4606">
        <v>16</v>
      </c>
      <c r="F4606">
        <v>5</v>
      </c>
      <c r="G4606">
        <v>11</v>
      </c>
      <c r="H4606">
        <v>0</v>
      </c>
      <c r="I4606">
        <v>0</v>
      </c>
      <c r="J4606">
        <v>16</v>
      </c>
      <c r="K4606" t="s">
        <v>245</v>
      </c>
    </row>
    <row r="4607" spans="2:11" x14ac:dyDescent="0.25">
      <c r="B4607">
        <v>4881</v>
      </c>
      <c r="C4607">
        <v>78</v>
      </c>
      <c r="D4607">
        <v>40</v>
      </c>
      <c r="E4607">
        <v>16</v>
      </c>
      <c r="F4607">
        <v>2</v>
      </c>
      <c r="G4607">
        <v>2</v>
      </c>
      <c r="H4607">
        <v>0</v>
      </c>
      <c r="I4607">
        <v>0</v>
      </c>
      <c r="J4607">
        <v>4</v>
      </c>
      <c r="K4607" t="s">
        <v>250</v>
      </c>
    </row>
    <row r="4608" spans="2:11" x14ac:dyDescent="0.25">
      <c r="B4608">
        <v>4886</v>
      </c>
      <c r="C4608">
        <v>130</v>
      </c>
      <c r="D4608">
        <v>58</v>
      </c>
      <c r="E4608">
        <v>18</v>
      </c>
      <c r="F4608">
        <v>8</v>
      </c>
      <c r="G4608">
        <v>9</v>
      </c>
      <c r="H4608">
        <v>0</v>
      </c>
      <c r="I4608">
        <v>0</v>
      </c>
      <c r="J4608">
        <v>17</v>
      </c>
      <c r="K4608" t="s">
        <v>245</v>
      </c>
    </row>
    <row r="4609" spans="2:11" x14ac:dyDescent="0.25">
      <c r="B4609">
        <v>4919</v>
      </c>
      <c r="C4609">
        <v>100</v>
      </c>
      <c r="D4609">
        <v>50</v>
      </c>
      <c r="E4609">
        <v>17</v>
      </c>
      <c r="F4609">
        <v>11</v>
      </c>
      <c r="G4609">
        <v>19</v>
      </c>
      <c r="H4609">
        <v>0</v>
      </c>
      <c r="I4609">
        <v>0</v>
      </c>
      <c r="J4609">
        <v>30</v>
      </c>
      <c r="K4609" t="s">
        <v>248</v>
      </c>
    </row>
    <row r="4610" spans="2:11" x14ac:dyDescent="0.25">
      <c r="B4610">
        <v>4967</v>
      </c>
      <c r="C4610">
        <v>135</v>
      </c>
      <c r="D4610">
        <v>60</v>
      </c>
      <c r="E4610">
        <v>18</v>
      </c>
      <c r="F4610">
        <v>10</v>
      </c>
      <c r="G4610">
        <v>12</v>
      </c>
      <c r="H4610">
        <v>3</v>
      </c>
      <c r="I4610">
        <v>0</v>
      </c>
      <c r="J4610">
        <v>25</v>
      </c>
      <c r="K4610" t="s">
        <v>241</v>
      </c>
    </row>
    <row r="4611" spans="2:11" x14ac:dyDescent="0.25">
      <c r="B4611">
        <v>5006</v>
      </c>
      <c r="C4611">
        <v>27</v>
      </c>
      <c r="D4611">
        <v>14</v>
      </c>
      <c r="E4611">
        <v>16</v>
      </c>
      <c r="F4611">
        <v>5</v>
      </c>
      <c r="G4611">
        <v>5</v>
      </c>
      <c r="H4611">
        <v>1</v>
      </c>
      <c r="I4611">
        <v>0</v>
      </c>
      <c r="J4611">
        <v>11</v>
      </c>
      <c r="K4611" t="s">
        <v>245</v>
      </c>
    </row>
    <row r="4612" spans="2:11" x14ac:dyDescent="0.25">
      <c r="B4612">
        <v>5003</v>
      </c>
      <c r="C4612">
        <v>25</v>
      </c>
      <c r="D4612">
        <v>13</v>
      </c>
      <c r="E4612">
        <v>16</v>
      </c>
      <c r="F4612">
        <v>1</v>
      </c>
      <c r="G4612">
        <v>0</v>
      </c>
      <c r="H4612">
        <v>0</v>
      </c>
      <c r="I4612">
        <v>0</v>
      </c>
      <c r="J4612">
        <v>1</v>
      </c>
      <c r="K4612" t="s">
        <v>250</v>
      </c>
    </row>
    <row r="4613" spans="2:11" x14ac:dyDescent="0.25">
      <c r="B4613">
        <v>5009</v>
      </c>
      <c r="C4613">
        <v>25</v>
      </c>
      <c r="D4613">
        <v>13</v>
      </c>
      <c r="E4613">
        <v>17</v>
      </c>
      <c r="F4613">
        <v>1</v>
      </c>
      <c r="G4613">
        <v>0</v>
      </c>
      <c r="H4613">
        <v>0</v>
      </c>
      <c r="I4613">
        <v>0</v>
      </c>
      <c r="J4613">
        <v>1</v>
      </c>
      <c r="K4613" t="s">
        <v>250</v>
      </c>
    </row>
    <row r="4614" spans="2:11" x14ac:dyDescent="0.25">
      <c r="B4614">
        <v>5011</v>
      </c>
      <c r="C4614">
        <v>25</v>
      </c>
      <c r="D4614">
        <v>13</v>
      </c>
      <c r="E4614">
        <v>18</v>
      </c>
      <c r="F4614">
        <v>1</v>
      </c>
      <c r="G4614">
        <v>0</v>
      </c>
      <c r="H4614">
        <v>1</v>
      </c>
      <c r="I4614">
        <v>0</v>
      </c>
      <c r="J4614">
        <v>2</v>
      </c>
      <c r="K4614" t="s">
        <v>250</v>
      </c>
    </row>
    <row r="4615" spans="2:11" x14ac:dyDescent="0.25">
      <c r="B4615">
        <v>5012</v>
      </c>
      <c r="C4615">
        <v>27</v>
      </c>
      <c r="D4615">
        <v>14</v>
      </c>
      <c r="E4615">
        <v>17</v>
      </c>
      <c r="F4615">
        <v>4</v>
      </c>
      <c r="G4615">
        <v>7</v>
      </c>
      <c r="H4615">
        <v>2</v>
      </c>
      <c r="I4615">
        <v>0</v>
      </c>
      <c r="J4615">
        <v>13</v>
      </c>
      <c r="K4615" t="s">
        <v>245</v>
      </c>
    </row>
    <row r="4616" spans="2:11" x14ac:dyDescent="0.25">
      <c r="B4616">
        <v>5007</v>
      </c>
      <c r="C4616">
        <v>69</v>
      </c>
      <c r="D4616">
        <v>35</v>
      </c>
      <c r="E4616">
        <v>16</v>
      </c>
      <c r="F4616">
        <v>9</v>
      </c>
      <c r="G4616">
        <v>11</v>
      </c>
      <c r="H4616">
        <v>2</v>
      </c>
      <c r="I4616">
        <v>0</v>
      </c>
      <c r="J4616">
        <v>22</v>
      </c>
      <c r="K4616" t="s">
        <v>243</v>
      </c>
    </row>
    <row r="4617" spans="2:11" x14ac:dyDescent="0.25">
      <c r="B4617">
        <v>5015</v>
      </c>
      <c r="C4617">
        <v>69</v>
      </c>
      <c r="D4617">
        <v>35</v>
      </c>
      <c r="E4617">
        <v>17</v>
      </c>
      <c r="F4617">
        <v>10</v>
      </c>
      <c r="G4617">
        <v>10</v>
      </c>
      <c r="H4617">
        <v>4</v>
      </c>
      <c r="I4617">
        <v>0</v>
      </c>
      <c r="J4617">
        <v>24</v>
      </c>
      <c r="K4617" t="s">
        <v>243</v>
      </c>
    </row>
    <row r="4618" spans="2:11" x14ac:dyDescent="0.25">
      <c r="B4618">
        <v>5023</v>
      </c>
      <c r="C4618">
        <v>26</v>
      </c>
      <c r="D4618">
        <v>14</v>
      </c>
      <c r="E4618">
        <v>18</v>
      </c>
      <c r="F4618">
        <v>9</v>
      </c>
      <c r="G4618">
        <v>8</v>
      </c>
      <c r="H4618">
        <v>10</v>
      </c>
      <c r="I4618">
        <v>0</v>
      </c>
      <c r="J4618">
        <v>27</v>
      </c>
      <c r="K4618" t="s">
        <v>241</v>
      </c>
    </row>
    <row r="4619" spans="2:11" x14ac:dyDescent="0.25">
      <c r="B4619">
        <v>5040</v>
      </c>
      <c r="C4619">
        <v>81</v>
      </c>
      <c r="D4619">
        <v>38</v>
      </c>
      <c r="E4619">
        <v>18</v>
      </c>
      <c r="F4619">
        <v>0</v>
      </c>
      <c r="G4619">
        <v>1</v>
      </c>
      <c r="H4619">
        <v>0</v>
      </c>
      <c r="I4619">
        <v>0</v>
      </c>
      <c r="J4619">
        <v>1</v>
      </c>
      <c r="K4619" t="s">
        <v>250</v>
      </c>
    </row>
    <row r="4620" spans="2:11" x14ac:dyDescent="0.25">
      <c r="B4620">
        <v>5049</v>
      </c>
      <c r="C4620">
        <v>70</v>
      </c>
      <c r="D4620">
        <v>35</v>
      </c>
      <c r="E4620">
        <v>18</v>
      </c>
      <c r="F4620">
        <v>4</v>
      </c>
      <c r="G4620">
        <v>0</v>
      </c>
      <c r="H4620">
        <v>2</v>
      </c>
      <c r="I4620">
        <v>0</v>
      </c>
      <c r="J4620">
        <v>6</v>
      </c>
      <c r="K4620" t="s">
        <v>245</v>
      </c>
    </row>
    <row r="4621" spans="2:11" x14ac:dyDescent="0.25">
      <c r="B4621">
        <v>5059</v>
      </c>
      <c r="C4621">
        <v>250</v>
      </c>
      <c r="D4621">
        <v>112</v>
      </c>
      <c r="E4621">
        <v>14</v>
      </c>
      <c r="F4621">
        <v>10</v>
      </c>
      <c r="G4621">
        <v>1</v>
      </c>
      <c r="H4621">
        <v>2</v>
      </c>
      <c r="I4621">
        <v>0</v>
      </c>
      <c r="J4621">
        <v>13</v>
      </c>
      <c r="K4621" t="s">
        <v>250</v>
      </c>
    </row>
    <row r="4622" spans="2:11" x14ac:dyDescent="0.25">
      <c r="B4622">
        <v>5060</v>
      </c>
      <c r="C4622">
        <v>41</v>
      </c>
      <c r="D4622">
        <v>20</v>
      </c>
      <c r="E4622">
        <v>17</v>
      </c>
      <c r="F4622">
        <v>5</v>
      </c>
      <c r="G4622">
        <v>3</v>
      </c>
      <c r="H4622">
        <v>0</v>
      </c>
      <c r="I4622">
        <v>0</v>
      </c>
      <c r="J4622">
        <v>8</v>
      </c>
      <c r="K4622" t="s">
        <v>243</v>
      </c>
    </row>
    <row r="4623" spans="2:11" x14ac:dyDescent="0.25">
      <c r="B4623">
        <v>5066</v>
      </c>
      <c r="C4623">
        <v>13</v>
      </c>
      <c r="D4623">
        <v>4</v>
      </c>
      <c r="E4623">
        <v>17</v>
      </c>
      <c r="F4623">
        <v>3</v>
      </c>
      <c r="G4623">
        <v>18</v>
      </c>
      <c r="H4623">
        <v>1</v>
      </c>
      <c r="I4623">
        <v>0</v>
      </c>
      <c r="J4623">
        <v>22</v>
      </c>
      <c r="K4623" t="s">
        <v>250</v>
      </c>
    </row>
    <row r="4624" spans="2:11" x14ac:dyDescent="0.25">
      <c r="B4624">
        <v>5073</v>
      </c>
      <c r="C4624">
        <v>7</v>
      </c>
      <c r="D4624">
        <v>2</v>
      </c>
      <c r="E4624">
        <v>17</v>
      </c>
      <c r="F4624">
        <v>17</v>
      </c>
      <c r="G4624">
        <v>13</v>
      </c>
      <c r="H4624">
        <v>0</v>
      </c>
      <c r="I4624">
        <v>0</v>
      </c>
      <c r="J4624">
        <v>30</v>
      </c>
      <c r="K4624" t="s">
        <v>241</v>
      </c>
    </row>
    <row r="4625" spans="2:11" x14ac:dyDescent="0.25">
      <c r="B4625">
        <v>5122</v>
      </c>
      <c r="C4625">
        <v>16</v>
      </c>
      <c r="D4625">
        <v>7</v>
      </c>
      <c r="E4625">
        <v>7</v>
      </c>
      <c r="F4625">
        <v>6</v>
      </c>
      <c r="G4625">
        <v>11</v>
      </c>
      <c r="H4625">
        <v>0</v>
      </c>
      <c r="I4625">
        <v>0</v>
      </c>
      <c r="J4625">
        <v>17</v>
      </c>
      <c r="K4625" t="s">
        <v>248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W72"/>
  <sheetViews>
    <sheetView zoomScaleNormal="100" workbookViewId="0">
      <pane ySplit="2" topLeftCell="A43" activePane="bottomLeft" state="frozen"/>
      <selection pane="bottomLeft" activeCell="H45" sqref="H45"/>
    </sheetView>
  </sheetViews>
  <sheetFormatPr baseColWidth="10" defaultRowHeight="15.75" customHeight="1" x14ac:dyDescent="0.2"/>
  <cols>
    <col min="1" max="1" width="2.140625" style="61" customWidth="1"/>
    <col min="2" max="2" width="12.42578125" style="61" bestFit="1" customWidth="1"/>
    <col min="3" max="3" width="24.42578125" style="61" bestFit="1" customWidth="1"/>
    <col min="4" max="4" width="10.28515625" style="61" customWidth="1"/>
    <col min="5" max="22" width="7" style="61" customWidth="1"/>
    <col min="23" max="16384" width="11.42578125" style="61"/>
  </cols>
  <sheetData>
    <row r="1" spans="2:22" s="53" customFormat="1" ht="15.75" customHeight="1" thickBot="1" x14ac:dyDescent="0.3">
      <c r="E1" s="54">
        <v>0.3125</v>
      </c>
      <c r="F1" s="54">
        <v>0.33333333333333331</v>
      </c>
      <c r="G1" s="54">
        <v>0.35416666666666702</v>
      </c>
      <c r="H1" s="54">
        <v>0.375</v>
      </c>
      <c r="I1" s="54">
        <v>0.39583333333333298</v>
      </c>
      <c r="J1" s="54">
        <v>0.41666666666666702</v>
      </c>
      <c r="K1" s="54">
        <v>0.4375</v>
      </c>
      <c r="L1" s="54">
        <v>0.45833333333333298</v>
      </c>
      <c r="M1" s="54">
        <v>0.47916666666666702</v>
      </c>
      <c r="N1" s="54">
        <v>0.5</v>
      </c>
      <c r="O1" s="54">
        <v>0.52083333333333304</v>
      </c>
      <c r="P1" s="54">
        <v>4.1666666666666664E-2</v>
      </c>
      <c r="Q1" s="54">
        <v>6.25E-2</v>
      </c>
      <c r="R1" s="54">
        <v>8.3333333333333398E-2</v>
      </c>
      <c r="S1" s="54">
        <v>0.104166666666667</v>
      </c>
      <c r="T1" s="54">
        <v>0.125</v>
      </c>
      <c r="U1" s="54">
        <v>0.14583333333333401</v>
      </c>
      <c r="V1" s="54">
        <v>0.16666666666666699</v>
      </c>
    </row>
    <row r="2" spans="2:22" s="60" customFormat="1" ht="15.75" customHeight="1" thickBot="1" x14ac:dyDescent="0.25">
      <c r="B2" s="55" t="s">
        <v>228</v>
      </c>
      <c r="C2" s="56" t="s">
        <v>1</v>
      </c>
      <c r="D2" s="57" t="s">
        <v>112</v>
      </c>
      <c r="E2" s="58">
        <v>1</v>
      </c>
      <c r="F2" s="58">
        <v>2</v>
      </c>
      <c r="G2" s="58">
        <v>3</v>
      </c>
      <c r="H2" s="58">
        <v>4</v>
      </c>
      <c r="I2" s="58">
        <v>5</v>
      </c>
      <c r="J2" s="58">
        <v>6</v>
      </c>
      <c r="K2" s="58">
        <v>7</v>
      </c>
      <c r="L2" s="58">
        <v>8</v>
      </c>
      <c r="M2" s="58">
        <v>9</v>
      </c>
      <c r="N2" s="58">
        <v>10</v>
      </c>
      <c r="O2" s="58">
        <v>11</v>
      </c>
      <c r="P2" s="58">
        <v>12</v>
      </c>
      <c r="Q2" s="58">
        <v>13</v>
      </c>
      <c r="R2" s="58">
        <v>14</v>
      </c>
      <c r="S2" s="58">
        <v>15</v>
      </c>
      <c r="T2" s="58">
        <v>16</v>
      </c>
      <c r="U2" s="58">
        <v>17</v>
      </c>
      <c r="V2" s="59">
        <v>18</v>
      </c>
    </row>
    <row r="3" spans="2:22" ht="15.75" customHeight="1" x14ac:dyDescent="0.2">
      <c r="B3" s="206" t="s">
        <v>118</v>
      </c>
      <c r="C3" s="63" t="s">
        <v>169</v>
      </c>
      <c r="D3" s="64">
        <f>Alejandro!F5/(Alejandro!$F$5+Alejandro!$F$6+Alejandro!$F$7)</f>
        <v>0.49724770642201838</v>
      </c>
      <c r="E3" s="65">
        <f>IF((Alejandro!G$2+Alejandro!G$3+Alejandro!G$4)=0,NA(),Alejandro!G2/(Alejandro!G$2+Alejandro!G$3+Alejandro!G$4))</f>
        <v>0.36363636363636365</v>
      </c>
      <c r="F3" s="65">
        <f>IF((Alejandro!H$2+Alejandro!H$3+Alejandro!H$4)=0,NA(),Alejandro!H2/(Alejandro!H$2+Alejandro!H$3+Alejandro!H$4))</f>
        <v>0.44776119402985076</v>
      </c>
      <c r="G3" s="65">
        <f>IF((Alejandro!I$2+Alejandro!I$3+Alejandro!I$4)=0,NA(),Alejandro!I2/(Alejandro!I$2+Alejandro!I$3+Alejandro!I$4))</f>
        <v>0.47154471544715448</v>
      </c>
      <c r="H3" s="65">
        <f>IF((Alejandro!J$2+Alejandro!J$3+Alejandro!J$4)=0,NA(),Alejandro!J2/(Alejandro!J$2+Alejandro!J$3+Alejandro!J$4))</f>
        <v>0.45121951219512196</v>
      </c>
      <c r="I3" s="65">
        <f>IF((Alejandro!K$2+Alejandro!K$3+Alejandro!K$4)=0,NA(),Alejandro!K2/(Alejandro!K$2+Alejandro!K$3+Alejandro!K$4))</f>
        <v>0.45360824742268041</v>
      </c>
      <c r="J3" s="65">
        <f>IF((Alejandro!L$2+Alejandro!L$3+Alejandro!L$4)=0,NA(),Alejandro!L2/(Alejandro!L$2+Alejandro!L$3+Alejandro!L$4))</f>
        <v>0.47945205479452052</v>
      </c>
      <c r="K3" s="65">
        <f>IF((Alejandro!M$2+Alejandro!M$3+Alejandro!M$4)=0,NA(),Alejandro!M2/(Alejandro!M$2+Alejandro!M$3+Alejandro!M$4))</f>
        <v>0.5</v>
      </c>
      <c r="L3" s="65">
        <f>IF((Alejandro!N$2+Alejandro!N$3+Alejandro!N$4)=0,NA(),Alejandro!N2/(Alejandro!N$2+Alejandro!N$3+Alejandro!N$4))</f>
        <v>0.48494983277591974</v>
      </c>
      <c r="M3" s="65">
        <f>IF((Alejandro!O$2+Alejandro!O$3+Alejandro!O$4)=0,NA(),Alejandro!O2/(Alejandro!O$2+Alejandro!O$3+Alejandro!O$4))</f>
        <v>0.49068322981366458</v>
      </c>
      <c r="N3" s="65">
        <f>IF((Alejandro!P$2+Alejandro!P$3+Alejandro!P$4)=0,NA(),Alejandro!P2/(Alejandro!P$2+Alejandro!P$3+Alejandro!P$4))</f>
        <v>0.48732394366197185</v>
      </c>
      <c r="O3" s="65">
        <f>IF((Alejandro!Q$2+Alejandro!Q$3+Alejandro!Q$4)=0,NA(),Alejandro!Q2/(Alejandro!Q$2+Alejandro!Q$3+Alejandro!Q$4))</f>
        <v>0.48128342245989303</v>
      </c>
      <c r="P3" s="65">
        <f>IF((Alejandro!R$2+Alejandro!R$3+Alejandro!R$4)=0,NA(),Alejandro!R2/(Alejandro!R$2+Alejandro!R$3+Alejandro!R$4))</f>
        <v>0.48232323232323232</v>
      </c>
      <c r="Q3" s="65">
        <f>IF((Alejandro!S$2+Alejandro!S$3+Alejandro!S$4)=0,NA(),Alejandro!S2/(Alejandro!S$2+Alejandro!S$3+Alejandro!S$4))</f>
        <v>0.47482014388489208</v>
      </c>
      <c r="R3" s="65">
        <f>IF((Alejandro!T$2+Alejandro!T$3+Alejandro!T$4)=0,NA(),Alejandro!T2/(Alejandro!T$2+Alejandro!T$3+Alejandro!T$4))</f>
        <v>0.48089887640449436</v>
      </c>
      <c r="S3" s="65">
        <f>IF((Alejandro!U$2+Alejandro!U$3+Alejandro!U$4)=0,NA(),Alejandro!U2/(Alejandro!U$2+Alejandro!U$3+Alejandro!U$4))</f>
        <v>0.48297872340425529</v>
      </c>
      <c r="T3" s="65">
        <f>IF((Alejandro!V$2+Alejandro!V$3+Alejandro!V$4)=0,NA(),Alejandro!V2/(Alejandro!V$2+Alejandro!V$3+Alejandro!V$4))</f>
        <v>0.48893360160965793</v>
      </c>
      <c r="U3" s="65">
        <f>IF((Alejandro!W$2+Alejandro!W$3+Alejandro!W$4)=0,NA(),Alejandro!W2/(Alejandro!W$2+Alejandro!W$3+Alejandro!W$4))</f>
        <v>0.4951830443159923</v>
      </c>
      <c r="V3" s="66">
        <f>IF((Alejandro!X$2+Alejandro!X$3+Alejandro!X$4)=0,NA(),Alejandro!X2/(Alejandro!X$2+Alejandro!X$3+Alejandro!X$4))</f>
        <v>0.49724770642201838</v>
      </c>
    </row>
    <row r="4" spans="2:22" ht="15.75" customHeight="1" x14ac:dyDescent="0.2">
      <c r="B4" s="207"/>
      <c r="C4" s="67" t="s">
        <v>170</v>
      </c>
      <c r="D4" s="68">
        <f>Alejandro!F6/(Alejandro!$F$5+Alejandro!$F$6+Alejandro!$F$7)</f>
        <v>0.43669724770642204</v>
      </c>
      <c r="E4" s="69">
        <f>IF((Alejandro!G$2+Alejandro!G$3+Alejandro!G$4)=0,NA(),Alejandro!G3/(Alejandro!G$2+Alejandro!G$3+Alejandro!G$4))</f>
        <v>0.63636363636363635</v>
      </c>
      <c r="F4" s="69">
        <f>IF((Alejandro!H$2+Alejandro!H$3+Alejandro!H$4)=0,NA(),Alejandro!H3/(Alejandro!H$2+Alejandro!H$3+Alejandro!H$4))</f>
        <v>0.55223880597014929</v>
      </c>
      <c r="G4" s="69">
        <f>IF((Alejandro!I$2+Alejandro!I$3+Alejandro!I$4)=0,NA(),Alejandro!I3/(Alejandro!I$2+Alejandro!I$3+Alejandro!I$4))</f>
        <v>0.51219512195121952</v>
      </c>
      <c r="H4" s="69">
        <f>IF((Alejandro!J$2+Alejandro!J$3+Alejandro!J$4)=0,NA(),Alejandro!J3/(Alejandro!J$2+Alejandro!J$3+Alejandro!J$4))</f>
        <v>0.53048780487804881</v>
      </c>
      <c r="I4" s="69">
        <f>IF((Alejandro!K$2+Alejandro!K$3+Alejandro!K$4)=0,NA(),Alejandro!K3/(Alejandro!K$2+Alejandro!K$3+Alejandro!K$4))</f>
        <v>0.52061855670103097</v>
      </c>
      <c r="J4" s="69">
        <f>IF((Alejandro!L$2+Alejandro!L$3+Alejandro!L$4)=0,NA(),Alejandro!L3/(Alejandro!L$2+Alejandro!L$3+Alejandro!L$4))</f>
        <v>0.49315068493150682</v>
      </c>
      <c r="K4" s="69">
        <f>IF((Alejandro!M$2+Alejandro!M$3+Alejandro!M$4)=0,NA(),Alejandro!M3/(Alejandro!M$2+Alejandro!M$3+Alejandro!M$4))</f>
        <v>0.4642857142857143</v>
      </c>
      <c r="L4" s="69">
        <f>IF((Alejandro!N$2+Alejandro!N$3+Alejandro!N$4)=0,NA(),Alejandro!N3/(Alejandro!N$2+Alejandro!N$3+Alejandro!N$4))</f>
        <v>0.4682274247491639</v>
      </c>
      <c r="M4" s="69">
        <f>IF((Alejandro!O$2+Alejandro!O$3+Alejandro!O$4)=0,NA(),Alejandro!O3/(Alejandro!O$2+Alejandro!O$3+Alejandro!O$4))</f>
        <v>0.46273291925465837</v>
      </c>
      <c r="N4" s="69">
        <f>IF((Alejandro!P$2+Alejandro!P$3+Alejandro!P$4)=0,NA(),Alejandro!P3/(Alejandro!P$2+Alejandro!P$3+Alejandro!P$4))</f>
        <v>0.44507042253521129</v>
      </c>
      <c r="O4" s="69">
        <f>IF((Alejandro!Q$2+Alejandro!Q$3+Alejandro!Q$4)=0,NA(),Alejandro!Q3/(Alejandro!Q$2+Alejandro!Q$3+Alejandro!Q$4))</f>
        <v>0.45454545454545453</v>
      </c>
      <c r="P4" s="69">
        <f>IF((Alejandro!R$2+Alejandro!R$3+Alejandro!R$4)=0,NA(),Alejandro!R3/(Alejandro!R$2+Alejandro!R$3+Alejandro!R$4))</f>
        <v>0.45202020202020204</v>
      </c>
      <c r="Q4" s="69">
        <f>IF((Alejandro!S$2+Alejandro!S$3+Alejandro!S$4)=0,NA(),Alejandro!S3/(Alejandro!S$2+Alejandro!S$3+Alejandro!S$4))</f>
        <v>0.46043165467625902</v>
      </c>
      <c r="R4" s="69">
        <f>IF((Alejandro!T$2+Alejandro!T$3+Alejandro!T$4)=0,NA(),Alejandro!T3/(Alejandro!T$2+Alejandro!T$3+Alejandro!T$4))</f>
        <v>0.45393258426966293</v>
      </c>
      <c r="S4" s="69">
        <f>IF((Alejandro!U$2+Alejandro!U$3+Alejandro!U$4)=0,NA(),Alejandro!U3/(Alejandro!U$2+Alejandro!U$3+Alejandro!U$4))</f>
        <v>0.44680851063829785</v>
      </c>
      <c r="T4" s="69">
        <f>IF((Alejandro!V$2+Alejandro!V$3+Alejandro!V$4)=0,NA(),Alejandro!V3/(Alejandro!V$2+Alejandro!V$3+Alejandro!V$4))</f>
        <v>0.44064386317907445</v>
      </c>
      <c r="U4" s="69">
        <f>IF((Alejandro!W$2+Alejandro!W$3+Alejandro!W$4)=0,NA(),Alejandro!W3/(Alejandro!W$2+Alejandro!W$3+Alejandro!W$4))</f>
        <v>0.43545279383429675</v>
      </c>
      <c r="V4" s="70">
        <f>IF((Alejandro!X$2+Alejandro!X$3+Alejandro!X$4)=0,NA(),Alejandro!X3/(Alejandro!X$2+Alejandro!X$3+Alejandro!X$4))</f>
        <v>0.43669724770642204</v>
      </c>
    </row>
    <row r="5" spans="2:22" ht="15.75" customHeight="1" thickBot="1" x14ac:dyDescent="0.25">
      <c r="B5" s="208"/>
      <c r="C5" s="71" t="s">
        <v>0</v>
      </c>
      <c r="D5" s="72">
        <f>Alejandro!F7/(Alejandro!$F$5+Alejandro!$F$6+Alejandro!$F$7)</f>
        <v>6.6055045871559637E-2</v>
      </c>
      <c r="E5" s="73">
        <f>IF((Alejandro!G$2+Alejandro!G$3+Alejandro!G$4)=0,NA(),Alejandro!G4/(Alejandro!G$2+Alejandro!G$3+Alejandro!G$4))</f>
        <v>0</v>
      </c>
      <c r="F5" s="73">
        <f>IF((Alejandro!H$2+Alejandro!H$3+Alejandro!H$4)=0,NA(),Alejandro!H4/(Alejandro!H$2+Alejandro!H$3+Alejandro!H$4))</f>
        <v>0</v>
      </c>
      <c r="G5" s="73">
        <f>IF((Alejandro!I$2+Alejandro!I$3+Alejandro!I$4)=0,NA(),Alejandro!I4/(Alejandro!I$2+Alejandro!I$3+Alejandro!I$4))</f>
        <v>1.6260162601626018E-2</v>
      </c>
      <c r="H5" s="73">
        <f>IF((Alejandro!J$2+Alejandro!J$3+Alejandro!J$4)=0,NA(),Alejandro!J4/(Alejandro!J$2+Alejandro!J$3+Alejandro!J$4))</f>
        <v>1.8292682926829267E-2</v>
      </c>
      <c r="I5" s="73">
        <f>IF((Alejandro!K$2+Alejandro!K$3+Alejandro!K$4)=0,NA(),Alejandro!K4/(Alejandro!K$2+Alejandro!K$3+Alejandro!K$4))</f>
        <v>2.5773195876288658E-2</v>
      </c>
      <c r="J5" s="73">
        <f>IF((Alejandro!L$2+Alejandro!L$3+Alejandro!L$4)=0,NA(),Alejandro!L4/(Alejandro!L$2+Alejandro!L$3+Alejandro!L$4))</f>
        <v>2.7397260273972601E-2</v>
      </c>
      <c r="K5" s="73">
        <f>IF((Alejandro!M$2+Alejandro!M$3+Alejandro!M$4)=0,NA(),Alejandro!M4/(Alejandro!M$2+Alejandro!M$3+Alejandro!M$4))</f>
        <v>3.5714285714285712E-2</v>
      </c>
      <c r="L5" s="73">
        <f>IF((Alejandro!N$2+Alejandro!N$3+Alejandro!N$4)=0,NA(),Alejandro!N4/(Alejandro!N$2+Alejandro!N$3+Alejandro!N$4))</f>
        <v>4.6822742474916385E-2</v>
      </c>
      <c r="M5" s="73">
        <f>IF((Alejandro!O$2+Alejandro!O$3+Alejandro!O$4)=0,NA(),Alejandro!O4/(Alejandro!O$2+Alejandro!O$3+Alejandro!O$4))</f>
        <v>4.6583850931677016E-2</v>
      </c>
      <c r="N5" s="73">
        <f>IF((Alejandro!P$2+Alejandro!P$3+Alejandro!P$4)=0,NA(),Alejandro!P4/(Alejandro!P$2+Alejandro!P$3+Alejandro!P$4))</f>
        <v>6.7605633802816895E-2</v>
      </c>
      <c r="O5" s="73">
        <f>IF((Alejandro!Q$2+Alejandro!Q$3+Alejandro!Q$4)=0,NA(),Alejandro!Q4/(Alejandro!Q$2+Alejandro!Q$3+Alejandro!Q$4))</f>
        <v>6.4171122994652413E-2</v>
      </c>
      <c r="P5" s="73">
        <f>IF((Alejandro!R$2+Alejandro!R$3+Alejandro!R$4)=0,NA(),Alejandro!R4/(Alejandro!R$2+Alejandro!R$3+Alejandro!R$4))</f>
        <v>6.5656565656565663E-2</v>
      </c>
      <c r="Q5" s="73">
        <f>IF((Alejandro!S$2+Alejandro!S$3+Alejandro!S$4)=0,NA(),Alejandro!S4/(Alejandro!S$2+Alejandro!S$3+Alejandro!S$4))</f>
        <v>6.4748201438848921E-2</v>
      </c>
      <c r="R5" s="73">
        <f>IF((Alejandro!T$2+Alejandro!T$3+Alejandro!T$4)=0,NA(),Alejandro!T4/(Alejandro!T$2+Alejandro!T$3+Alejandro!T$4))</f>
        <v>6.5168539325842698E-2</v>
      </c>
      <c r="S5" s="73">
        <f>IF((Alejandro!U$2+Alejandro!U$3+Alejandro!U$4)=0,NA(),Alejandro!U4/(Alejandro!U$2+Alejandro!U$3+Alejandro!U$4))</f>
        <v>7.0212765957446813E-2</v>
      </c>
      <c r="T5" s="73">
        <f>IF((Alejandro!V$2+Alejandro!V$3+Alejandro!V$4)=0,NA(),Alejandro!V4/(Alejandro!V$2+Alejandro!V$3+Alejandro!V$4))</f>
        <v>7.0422535211267609E-2</v>
      </c>
      <c r="U5" s="73">
        <f>IF((Alejandro!W$2+Alejandro!W$3+Alejandro!W$4)=0,NA(),Alejandro!W4/(Alejandro!W$2+Alejandro!W$3+Alejandro!W$4))</f>
        <v>6.9364161849710976E-2</v>
      </c>
      <c r="V5" s="74">
        <f>IF((Alejandro!X$2+Alejandro!X$3+Alejandro!X$4)=0,NA(),Alejandro!X4/(Alejandro!X$2+Alejandro!X$3+Alejandro!X$4))</f>
        <v>6.6055045871559637E-2</v>
      </c>
    </row>
    <row r="6" spans="2:22" ht="15.75" customHeight="1" x14ac:dyDescent="0.2">
      <c r="B6" s="209" t="s">
        <v>2</v>
      </c>
      <c r="C6" s="75" t="s">
        <v>237</v>
      </c>
      <c r="D6" s="76">
        <f>Alejandro!F14/(Alejandro!$F$14+Alejandro!$F$15+Alejandro!$F$16)</f>
        <v>0.58135267515114197</v>
      </c>
      <c r="E6" s="77">
        <f>IF((Alejandro!G$11+Alejandro!G$12+Alejandro!G$13)=0,NA(),Alejandro!G11/(Alejandro!G$11+Alejandro!G$12+Alejandro!G$13))</f>
        <v>0.67034891193040524</v>
      </c>
      <c r="F6" s="77">
        <f>IF((Alejandro!H$11+Alejandro!H$12+Alejandro!H$13)=0,NA(),Alejandro!H11/(Alejandro!H$11+Alejandro!H$12+Alejandro!H$13))</f>
        <v>0.6479134625021864</v>
      </c>
      <c r="G6" s="77">
        <f>IF((Alejandro!I$11+Alejandro!I$12+Alejandro!I$13)=0,NA(),Alejandro!I11/(Alejandro!I$11+Alejandro!I$12+Alejandro!I$13))</f>
        <v>0.63870577993400535</v>
      </c>
      <c r="H6" s="77">
        <f>IF((Alejandro!J$11+Alejandro!J$12+Alejandro!J$13)=0,NA(),Alejandro!J11/(Alejandro!J$11+Alejandro!J$12+Alejandro!J$13))</f>
        <v>0.63091952565538978</v>
      </c>
      <c r="I6" s="77">
        <f>IF((Alejandro!K$11+Alejandro!K$12+Alejandro!K$13)=0,NA(),Alejandro!K11/(Alejandro!K$11+Alejandro!K$12+Alejandro!K$13))</f>
        <v>0.60627903531181537</v>
      </c>
      <c r="J6" s="77">
        <f>IF((Alejandro!L$11+Alejandro!L$12+Alejandro!L$13)=0,NA(),Alejandro!L11/(Alejandro!L$11+Alejandro!L$12+Alejandro!L$13))</f>
        <v>0.58914398920446798</v>
      </c>
      <c r="K6" s="77">
        <f>IF((Alejandro!M$11+Alejandro!M$12+Alejandro!M$13)=0,NA(),Alejandro!M11/(Alejandro!M$11+Alejandro!M$12+Alejandro!M$13))</f>
        <v>0.59217944091223584</v>
      </c>
      <c r="L6" s="77">
        <f>IF((Alejandro!N$11+Alejandro!N$12+Alejandro!N$13)=0,NA(),Alejandro!N11/(Alejandro!N$11+Alejandro!N$12+Alejandro!N$13))</f>
        <v>0.57462446581781101</v>
      </c>
      <c r="M6" s="77">
        <f>IF((Alejandro!O$11+Alejandro!O$12+Alejandro!O$13)=0,NA(),Alejandro!O11/(Alejandro!O$11+Alejandro!O$12+Alejandro!O$13))</f>
        <v>0.57329349134716556</v>
      </c>
      <c r="N6" s="77">
        <f>IF((Alejandro!P$11+Alejandro!P$12+Alejandro!P$13)=0,NA(),Alejandro!P11/(Alejandro!P$11+Alejandro!P$12+Alejandro!P$13))</f>
        <v>0.56737469606797786</v>
      </c>
      <c r="O6" s="77">
        <f>IF((Alejandro!Q$11+Alejandro!Q$12+Alejandro!Q$13)=0,NA(),Alejandro!Q11/(Alejandro!Q$11+Alejandro!Q$12+Alejandro!Q$13))</f>
        <v>0.57160665925640375</v>
      </c>
      <c r="P6" s="77">
        <f>IF((Alejandro!R$11+Alejandro!R$12+Alejandro!R$13)=0,NA(),Alejandro!R11/(Alejandro!R$11+Alejandro!R$12+Alejandro!R$13))</f>
        <v>0.5700333422012801</v>
      </c>
      <c r="Q6" s="77">
        <f>IF((Alejandro!S$11+Alejandro!S$12+Alejandro!S$13)=0,NA(),Alejandro!S11/(Alejandro!S$11+Alejandro!S$12+Alejandro!S$13))</f>
        <v>0.57429804879057345</v>
      </c>
      <c r="R6" s="77">
        <f>IF((Alejandro!T$11+Alejandro!T$12+Alejandro!T$13)=0,NA(),Alejandro!T11/(Alejandro!T$11+Alejandro!T$12+Alejandro!T$13))</f>
        <v>0.57609767474345353</v>
      </c>
      <c r="S6" s="77">
        <f>IF((Alejandro!U$11+Alejandro!U$12+Alejandro!U$13)=0,NA(),Alejandro!U11/(Alejandro!U$11+Alejandro!U$12+Alejandro!U$13))</f>
        <v>0.57784093919812207</v>
      </c>
      <c r="T6" s="77">
        <f>IF((Alejandro!V$11+Alejandro!V$12+Alejandro!V$13)=0,NA(),Alejandro!V11/(Alejandro!V$11+Alejandro!V$12+Alejandro!V$13))</f>
        <v>0.57547138197535086</v>
      </c>
      <c r="U6" s="77">
        <f>IF((Alejandro!W$11+Alejandro!W$12+Alejandro!W$13)=0,NA(),Alejandro!W11/(Alejandro!W$11+Alejandro!W$12+Alejandro!W$13))</f>
        <v>0.57973596511748715</v>
      </c>
      <c r="V6" s="78">
        <f>IF((Alejandro!X$11+Alejandro!X$12+Alejandro!X$13)=0,NA(),Alejandro!X11/(Alejandro!X$11+Alejandro!X$12+Alejandro!X$13))</f>
        <v>0.58135267515114197</v>
      </c>
    </row>
    <row r="7" spans="2:22" ht="15.75" customHeight="1" x14ac:dyDescent="0.2">
      <c r="B7" s="210"/>
      <c r="C7" s="79" t="s">
        <v>116</v>
      </c>
      <c r="D7" s="80">
        <f>Alejandro!F15/(Alejandro!$F$14+Alejandro!$F$15+Alejandro!$F$16)</f>
        <v>0.40019382419022109</v>
      </c>
      <c r="E7" s="81">
        <f>IF((Alejandro!G$11+Alejandro!G$12+Alejandro!G$13)=0,NA(),Alejandro!G12/(Alejandro!G$11+Alejandro!G$12+Alejandro!G$13))</f>
        <v>0.29408316481699803</v>
      </c>
      <c r="F7" s="81">
        <f>IF((Alejandro!H$11+Alejandro!H$12+Alejandro!H$13)=0,NA(),Alejandro!H12/(Alejandro!H$11+Alejandro!H$12+Alejandro!H$13))</f>
        <v>0.33628584848371701</v>
      </c>
      <c r="G7" s="81">
        <f>IF((Alejandro!I$11+Alejandro!I$12+Alejandro!I$13)=0,NA(),Alejandro!I12/(Alejandro!I$11+Alejandro!I$12+Alejandro!I$13))</f>
        <v>0.34953844511362808</v>
      </c>
      <c r="H7" s="81">
        <f>IF((Alejandro!J$11+Alejandro!J$12+Alejandro!J$13)=0,NA(),Alejandro!J12/(Alejandro!J$11+Alejandro!J$12+Alejandro!J$13))</f>
        <v>0.35739123133824546</v>
      </c>
      <c r="I7" s="81">
        <f>IF((Alejandro!K$11+Alejandro!K$12+Alejandro!K$13)=0,NA(),Alejandro!K12/(Alejandro!K$11+Alejandro!K$12+Alejandro!K$13))</f>
        <v>0.37473985025547524</v>
      </c>
      <c r="J7" s="81">
        <f>IF((Alejandro!L$11+Alejandro!L$12+Alejandro!L$13)=0,NA(),Alejandro!L12/(Alejandro!L$11+Alejandro!L$12+Alejandro!L$13))</f>
        <v>0.38522128025296931</v>
      </c>
      <c r="K7" s="81">
        <f>IF((Alejandro!M$11+Alejandro!M$12+Alejandro!M$13)=0,NA(),Alejandro!M12/(Alejandro!M$11+Alejandro!M$12+Alejandro!M$13))</f>
        <v>0.38162010501665017</v>
      </c>
      <c r="L7" s="81">
        <f>IF((Alejandro!N$11+Alejandro!N$12+Alejandro!N$13)=0,NA(),Alejandro!N12/(Alejandro!N$11+Alejandro!N$12+Alejandro!N$13))</f>
        <v>0.39895128401249536</v>
      </c>
      <c r="M7" s="81">
        <f>IF((Alejandro!O$11+Alejandro!O$12+Alejandro!O$13)=0,NA(),Alejandro!O12/(Alejandro!O$11+Alejandro!O$12+Alejandro!O$13))</f>
        <v>0.40343682411979126</v>
      </c>
      <c r="N7" s="81">
        <f>IF((Alejandro!P$11+Alejandro!P$12+Alejandro!P$13)=0,NA(),Alejandro!P12/(Alejandro!P$11+Alejandro!P$12+Alejandro!P$13))</f>
        <v>0.41120504294317617</v>
      </c>
      <c r="O7" s="81">
        <f>IF((Alejandro!Q$11+Alejandro!Q$12+Alejandro!Q$13)=0,NA(),Alejandro!Q12/(Alejandro!Q$11+Alejandro!Q$12+Alejandro!Q$13))</f>
        <v>0.40656049345586198</v>
      </c>
      <c r="P7" s="81">
        <f>IF((Alejandro!R$11+Alejandro!R$12+Alejandro!R$13)=0,NA(),Alejandro!R12/(Alejandro!R$11+Alejandro!R$12+Alejandro!R$13))</f>
        <v>0.40986663179410388</v>
      </c>
      <c r="Q7" s="81">
        <f>IF((Alejandro!S$11+Alejandro!S$12+Alejandro!S$13)=0,NA(),Alejandro!S12/(Alejandro!S$11+Alejandro!S$12+Alejandro!S$13))</f>
        <v>0.4060608594827762</v>
      </c>
      <c r="R7" s="81">
        <f>IF((Alejandro!T$11+Alejandro!T$12+Alejandro!T$13)=0,NA(),Alejandro!T12/(Alejandro!T$11+Alejandro!T$12+Alejandro!T$13))</f>
        <v>0.40384453670378062</v>
      </c>
      <c r="S7" s="81">
        <f>IF((Alejandro!U$11+Alejandro!U$12+Alejandro!U$13)=0,NA(),Alejandro!U12/(Alejandro!U$11+Alejandro!U$12+Alejandro!U$13))</f>
        <v>0.40281428964485905</v>
      </c>
      <c r="T7" s="81">
        <f>IF((Alejandro!V$11+Alejandro!V$12+Alejandro!V$13)=0,NA(),Alejandro!V12/(Alejandro!V$11+Alejandro!V$12+Alejandro!V$13))</f>
        <v>0.40479081225675295</v>
      </c>
      <c r="U7" s="81">
        <f>IF((Alejandro!W$11+Alejandro!W$12+Alejandro!W$13)=0,NA(),Alejandro!W12/(Alejandro!W$11+Alejandro!W$12+Alejandro!W$13))</f>
        <v>0.40106687564538251</v>
      </c>
      <c r="V7" s="82">
        <f>IF((Alejandro!X$11+Alejandro!X$12+Alejandro!X$13)=0,NA(),Alejandro!X12/(Alejandro!X$11+Alejandro!X$12+Alejandro!X$13))</f>
        <v>0.40019382419022109</v>
      </c>
    </row>
    <row r="8" spans="2:22" ht="15.75" customHeight="1" thickBot="1" x14ac:dyDescent="0.25">
      <c r="B8" s="211"/>
      <c r="C8" s="83" t="s">
        <v>0</v>
      </c>
      <c r="D8" s="84">
        <f>Alejandro!F16/(Alejandro!$F$14+Alejandro!$F$15+Alejandro!$F$16)</f>
        <v>1.8453500658636858E-2</v>
      </c>
      <c r="E8" s="85">
        <f>IF((Alejandro!G$11+Alejandro!G$12+Alejandro!G$13)=0,NA(),Alejandro!G13/(Alejandro!G$11+Alejandro!G$12+Alejandro!G$13))</f>
        <v>3.556792325259675E-2</v>
      </c>
      <c r="F8" s="85">
        <f>IF((Alejandro!H$11+Alejandro!H$12+Alejandro!H$13)=0,NA(),Alejandro!H13/(Alejandro!H$11+Alejandro!H$12+Alejandro!H$13))</f>
        <v>1.5800689014096685E-2</v>
      </c>
      <c r="G8" s="85">
        <f>IF((Alejandro!I$11+Alejandro!I$12+Alejandro!I$13)=0,NA(),Alejandro!I13/(Alejandro!I$11+Alejandro!I$12+Alejandro!I$13))</f>
        <v>1.1755774952366512E-2</v>
      </c>
      <c r="H8" s="85">
        <f>IF((Alejandro!J$11+Alejandro!J$12+Alejandro!J$13)=0,NA(),Alejandro!J13/(Alejandro!J$11+Alejandro!J$12+Alejandro!J$13))</f>
        <v>1.1689243006364756E-2</v>
      </c>
      <c r="I8" s="85">
        <f>IF((Alejandro!K$11+Alejandro!K$12+Alejandro!K$13)=0,NA(),Alejandro!K13/(Alejandro!K$11+Alejandro!K$12+Alejandro!K$13))</f>
        <v>1.8981114432709438E-2</v>
      </c>
      <c r="J8" s="85">
        <f>IF((Alejandro!L$11+Alejandro!L$12+Alejandro!L$13)=0,NA(),Alejandro!L13/(Alejandro!L$11+Alejandro!L$12+Alejandro!L$13))</f>
        <v>2.5634730542562739E-2</v>
      </c>
      <c r="K8" s="85">
        <f>IF((Alejandro!M$11+Alejandro!M$12+Alejandro!M$13)=0,NA(),Alejandro!M13/(Alejandro!M$11+Alejandro!M$12+Alejandro!M$13))</f>
        <v>2.6200454071114019E-2</v>
      </c>
      <c r="L8" s="85">
        <f>IF((Alejandro!N$11+Alejandro!N$12+Alejandro!N$13)=0,NA(),Alejandro!N13/(Alejandro!N$11+Alejandro!N$12+Alejandro!N$13))</f>
        <v>2.6424250169693561E-2</v>
      </c>
      <c r="M8" s="85">
        <f>IF((Alejandro!O$11+Alejandro!O$12+Alejandro!O$13)=0,NA(),Alejandro!O13/(Alejandro!O$11+Alejandro!O$12+Alejandro!O$13))</f>
        <v>2.326968453304315E-2</v>
      </c>
      <c r="N8" s="85">
        <f>IF((Alejandro!P$11+Alejandro!P$12+Alejandro!P$13)=0,NA(),Alejandro!P13/(Alejandro!P$11+Alejandro!P$12+Alejandro!P$13))</f>
        <v>2.142026098884595E-2</v>
      </c>
      <c r="O8" s="85">
        <f>IF((Alejandro!Q$11+Alejandro!Q$12+Alejandro!Q$13)=0,NA(),Alejandro!Q13/(Alejandro!Q$11+Alejandro!Q$12+Alejandro!Q$13))</f>
        <v>2.183284728773428E-2</v>
      </c>
      <c r="P8" s="85">
        <f>IF((Alejandro!R$11+Alejandro!R$12+Alejandro!R$13)=0,NA(),Alejandro!R13/(Alejandro!R$11+Alejandro!R$12+Alejandro!R$13))</f>
        <v>2.0100026004615978E-2</v>
      </c>
      <c r="Q8" s="85">
        <f>IF((Alejandro!S$11+Alejandro!S$12+Alejandro!S$13)=0,NA(),Alejandro!S13/(Alejandro!S$11+Alejandro!S$12+Alejandro!S$13))</f>
        <v>1.9641091726650382E-2</v>
      </c>
      <c r="R8" s="85">
        <f>IF((Alejandro!T$11+Alejandro!T$12+Alejandro!T$13)=0,NA(),Alejandro!T13/(Alejandro!T$11+Alejandro!T$12+Alejandro!T$13))</f>
        <v>2.0057788552765837E-2</v>
      </c>
      <c r="S8" s="85">
        <f>IF((Alejandro!U$11+Alejandro!U$12+Alejandro!U$13)=0,NA(),Alejandro!U13/(Alejandro!U$11+Alejandro!U$12+Alejandro!U$13))</f>
        <v>1.9344771157018745E-2</v>
      </c>
      <c r="T8" s="85">
        <f>IF((Alejandro!V$11+Alejandro!V$12+Alejandro!V$13)=0,NA(),Alejandro!V13/(Alejandro!V$11+Alejandro!V$12+Alejandro!V$13))</f>
        <v>1.9737805767896209E-2</v>
      </c>
      <c r="U8" s="85">
        <f>IF((Alejandro!W$11+Alejandro!W$12+Alejandro!W$13)=0,NA(),Alejandro!W13/(Alejandro!W$11+Alejandro!W$12+Alejandro!W$13))</f>
        <v>1.9197159237130414E-2</v>
      </c>
      <c r="V8" s="86">
        <f>IF((Alejandro!X$11+Alejandro!X$12+Alejandro!X$13)=0,NA(),Alejandro!X13/(Alejandro!X$11+Alejandro!X$12+Alejandro!X$13))</f>
        <v>1.8453500658636858E-2</v>
      </c>
    </row>
    <row r="9" spans="2:22" ht="15.75" customHeight="1" x14ac:dyDescent="0.2">
      <c r="B9" s="206" t="s">
        <v>148</v>
      </c>
      <c r="C9" s="87" t="s">
        <v>149</v>
      </c>
      <c r="D9" s="64">
        <f>Alejandro!F23/(Alejandro!$F$23+Alejandro!$F$24+Alejandro!$F$25)</f>
        <v>0.49358909301651482</v>
      </c>
      <c r="E9" s="65">
        <f>IF((Alejandro!G$20+Alejandro!G$21+Alejandro!G$22)=0,NA(),Alejandro!G20/(Alejandro!G$20+Alejandro!G$21+Alejandro!G$22))</f>
        <v>0.47596071362627379</v>
      </c>
      <c r="F9" s="65">
        <f>IF((Alejandro!H$20+Alejandro!H$21+Alejandro!H$22)=0,NA(),Alejandro!H20/(Alejandro!H$20+Alejandro!H$21+Alejandro!H$22))</f>
        <v>0.52083169353910985</v>
      </c>
      <c r="G9" s="65">
        <f>IF((Alejandro!I$20+Alejandro!I$21+Alejandro!I$22)=0,NA(),Alejandro!I20/(Alejandro!I$20+Alejandro!I$21+Alejandro!I$22))</f>
        <v>0.49908697457910217</v>
      </c>
      <c r="H9" s="65">
        <f>IF((Alejandro!J$20+Alejandro!J$21+Alejandro!J$22)=0,NA(),Alejandro!J20/(Alejandro!J$20+Alejandro!J$21+Alejandro!J$22))</f>
        <v>0.51526226527842145</v>
      </c>
      <c r="I9" s="65">
        <f>IF((Alejandro!K$20+Alejandro!K$21+Alejandro!K$22)=0,NA(),Alejandro!K20/(Alejandro!K$20+Alejandro!K$21+Alejandro!K$22))</f>
        <v>0.50082909998205116</v>
      </c>
      <c r="J9" s="65">
        <f>IF((Alejandro!L$20+Alejandro!L$21+Alejandro!L$22)=0,NA(),Alejandro!L20/(Alejandro!L$20+Alejandro!L$21+Alejandro!L$22))</f>
        <v>0.47787592130667467</v>
      </c>
      <c r="K9" s="65">
        <f>IF((Alejandro!M$20+Alejandro!M$21+Alejandro!M$22)=0,NA(),Alejandro!M20/(Alejandro!M$20+Alejandro!M$21+Alejandro!M$22))</f>
        <v>0.49384294459313754</v>
      </c>
      <c r="L9" s="65">
        <f>IF((Alejandro!N$20+Alejandro!N$21+Alejandro!N$22)=0,NA(),Alejandro!N20/(Alejandro!N$20+Alejandro!N$21+Alejandro!N$22))</f>
        <v>0.50020854984746721</v>
      </c>
      <c r="M9" s="65">
        <f>IF((Alejandro!O$20+Alejandro!O$21+Alejandro!O$22)=0,NA(),Alejandro!O20/(Alejandro!O$20+Alejandro!O$21+Alejandro!O$22))</f>
        <v>0.50263908400714363</v>
      </c>
      <c r="N9" s="65">
        <f>IF((Alejandro!P$20+Alejandro!P$21+Alejandro!P$22)=0,NA(),Alejandro!P20/(Alejandro!P$20+Alejandro!P$21+Alejandro!P$22))</f>
        <v>0.50178903967270039</v>
      </c>
      <c r="O9" s="65">
        <f>IF((Alejandro!Q$20+Alejandro!Q$21+Alejandro!Q$22)=0,NA(),Alejandro!Q20/(Alejandro!Q$20+Alejandro!Q$21+Alejandro!Q$22))</f>
        <v>0.50353907345740456</v>
      </c>
      <c r="P9" s="65">
        <f>IF((Alejandro!R$20+Alejandro!R$21+Alejandro!R$22)=0,NA(),Alejandro!R20/(Alejandro!R$20+Alejandro!R$21+Alejandro!R$22))</f>
        <v>0.50385367968063854</v>
      </c>
      <c r="Q9" s="65">
        <f>IF((Alejandro!S$20+Alejandro!S$21+Alejandro!S$22)=0,NA(),Alejandro!S20/(Alejandro!S$20+Alejandro!S$21+Alejandro!S$22))</f>
        <v>0.4974000543047411</v>
      </c>
      <c r="R9" s="65">
        <f>IF((Alejandro!T$20+Alejandro!T$21+Alejandro!T$22)=0,NA(),Alejandro!T20/(Alejandro!T$20+Alejandro!T$21+Alejandro!T$22))</f>
        <v>0.49871068163127696</v>
      </c>
      <c r="S9" s="65">
        <f>IF((Alejandro!U$20+Alejandro!U$21+Alejandro!U$22)=0,NA(),Alejandro!U20/(Alejandro!U$20+Alejandro!U$21+Alejandro!U$22))</f>
        <v>0.49533153083140247</v>
      </c>
      <c r="T9" s="65">
        <f>IF((Alejandro!V$20+Alejandro!V$21+Alejandro!V$22)=0,NA(),Alejandro!V20/(Alejandro!V$20+Alejandro!V$21+Alejandro!V$22))</f>
        <v>0.49245598685735942</v>
      </c>
      <c r="U9" s="65">
        <f>IF((Alejandro!W$20+Alejandro!W$21+Alejandro!W$22)=0,NA(),Alejandro!W20/(Alejandro!W$20+Alejandro!W$21+Alejandro!W$22))</f>
        <v>0.49021968029820306</v>
      </c>
      <c r="V9" s="66">
        <f>IF((Alejandro!X$20+Alejandro!X$21+Alejandro!X$22)=0,NA(),Alejandro!X20/(Alejandro!X$20+Alejandro!X$21+Alejandro!X$22))</f>
        <v>0.49358909301651482</v>
      </c>
    </row>
    <row r="10" spans="2:22" ht="15.75" customHeight="1" x14ac:dyDescent="0.2">
      <c r="B10" s="207"/>
      <c r="C10" s="88" t="s">
        <v>150</v>
      </c>
      <c r="D10" s="68">
        <f>Alejandro!F24/(Alejandro!$F$23+Alejandro!$F$24+Alejandro!$F$25)</f>
        <v>0.29659705249573382</v>
      </c>
      <c r="E10" s="69">
        <f>IF((Alejandro!G$20+Alejandro!G$21+Alejandro!G$22)=0,NA(),Alejandro!G21/(Alejandro!G$20+Alejandro!G$21+Alejandro!G$22))</f>
        <v>0.24404618636771677</v>
      </c>
      <c r="F10" s="69">
        <f>IF((Alejandro!H$20+Alejandro!H$21+Alejandro!H$22)=0,NA(),Alejandro!H21/(Alejandro!H$20+Alejandro!H$21+Alejandro!H$22))</f>
        <v>0.27187112125597135</v>
      </c>
      <c r="G10" s="69">
        <f>IF((Alejandro!I$20+Alejandro!I$21+Alejandro!I$22)=0,NA(),Alejandro!I21/(Alejandro!I$20+Alejandro!I$21+Alejandro!I$22))</f>
        <v>0.28382136044173467</v>
      </c>
      <c r="H10" s="69">
        <f>IF((Alejandro!J$20+Alejandro!J$21+Alejandro!J$22)=0,NA(),Alejandro!J21/(Alejandro!J$20+Alejandro!J$21+Alejandro!J$22))</f>
        <v>0.26822339178043547</v>
      </c>
      <c r="I10" s="69">
        <f>IF((Alejandro!K$20+Alejandro!K$21+Alejandro!K$22)=0,NA(),Alejandro!K21/(Alejandro!K$20+Alejandro!K$21+Alejandro!K$22))</f>
        <v>0.28124563800920882</v>
      </c>
      <c r="J10" s="69">
        <f>IF((Alejandro!L$20+Alejandro!L$21+Alejandro!L$22)=0,NA(),Alejandro!L21/(Alejandro!L$20+Alejandro!L$21+Alejandro!L$22))</f>
        <v>0.32452172221981729</v>
      </c>
      <c r="K10" s="69">
        <f>IF((Alejandro!M$20+Alejandro!M$21+Alejandro!M$22)=0,NA(),Alejandro!M21/(Alejandro!M$20+Alejandro!M$21+Alejandro!M$22))</f>
        <v>0.31949287874223464</v>
      </c>
      <c r="L10" s="69">
        <f>IF((Alejandro!N$20+Alejandro!N$21+Alejandro!N$22)=0,NA(),Alejandro!N21/(Alejandro!N$20+Alejandro!N$21+Alejandro!N$22))</f>
        <v>0.31462782364952407</v>
      </c>
      <c r="M10" s="69">
        <f>IF((Alejandro!O$20+Alejandro!O$21+Alejandro!O$22)=0,NA(),Alejandro!O21/(Alejandro!O$20+Alejandro!O$21+Alejandro!O$22))</f>
        <v>0.31287798949692197</v>
      </c>
      <c r="N10" s="69">
        <f>IF((Alejandro!P$20+Alejandro!P$21+Alejandro!P$22)=0,NA(),Alejandro!P21/(Alejandro!P$20+Alejandro!P$21+Alejandro!P$22))</f>
        <v>0.31020265779007566</v>
      </c>
      <c r="O10" s="69">
        <f>IF((Alejandro!Q$20+Alejandro!Q$21+Alejandro!Q$22)=0,NA(),Alejandro!Q21/(Alejandro!Q$20+Alejandro!Q$21+Alejandro!Q$22))</f>
        <v>0.30893826140377317</v>
      </c>
      <c r="P10" s="69">
        <f>IF((Alejandro!R$20+Alejandro!R$21+Alejandro!R$22)=0,NA(),Alejandro!R21/(Alejandro!R$20+Alejandro!R$21+Alejandro!R$22))</f>
        <v>0.31049490260155876</v>
      </c>
      <c r="Q10" s="69">
        <f>IF((Alejandro!S$20+Alejandro!S$21+Alejandro!S$22)=0,NA(),Alejandro!S21/(Alejandro!S$20+Alejandro!S$21+Alejandro!S$22))</f>
        <v>0.30849782740926479</v>
      </c>
      <c r="R10" s="69">
        <f>IF((Alejandro!T$20+Alejandro!T$21+Alejandro!T$22)=0,NA(),Alejandro!T21/(Alejandro!T$20+Alejandro!T$21+Alejandro!T$22))</f>
        <v>0.30902532765989582</v>
      </c>
      <c r="S10" s="69">
        <f>IF((Alejandro!U$20+Alejandro!U$21+Alejandro!U$22)=0,NA(),Alejandro!U21/(Alejandro!U$20+Alejandro!U$21+Alejandro!U$22))</f>
        <v>0.30359701629808578</v>
      </c>
      <c r="T10" s="69">
        <f>IF((Alejandro!V$20+Alejandro!V$21+Alejandro!V$22)=0,NA(),Alejandro!V21/(Alejandro!V$20+Alejandro!V$21+Alejandro!V$22))</f>
        <v>0.30360640547948498</v>
      </c>
      <c r="U10" s="69">
        <f>IF((Alejandro!W$20+Alejandro!W$21+Alejandro!W$22)=0,NA(),Alejandro!W21/(Alejandro!W$20+Alejandro!W$21+Alejandro!W$22))</f>
        <v>0.3021199300696164</v>
      </c>
      <c r="V10" s="70">
        <f>IF((Alejandro!X$20+Alejandro!X$21+Alejandro!X$22)=0,NA(),Alejandro!X21/(Alejandro!X$20+Alejandro!X$21+Alejandro!X$22))</f>
        <v>0.29659705249573382</v>
      </c>
    </row>
    <row r="11" spans="2:22" ht="15.75" customHeight="1" thickBot="1" x14ac:dyDescent="0.25">
      <c r="B11" s="208"/>
      <c r="C11" s="89" t="s">
        <v>0</v>
      </c>
      <c r="D11" s="72">
        <f>Alejandro!F25/(Alejandro!$F$23+Alejandro!$F$24+Alejandro!$F$25)</f>
        <v>0.20981385448775156</v>
      </c>
      <c r="E11" s="73">
        <f>IF((Alejandro!G$20+Alejandro!G$21+Alejandro!G$22)=0,NA(),Alejandro!G22/(Alejandro!G$20+Alejandro!G$21+Alejandro!G$22))</f>
        <v>0.27999310000600941</v>
      </c>
      <c r="F11" s="73">
        <f>IF((Alejandro!H$20+Alejandro!H$21+Alejandro!H$22)=0,NA(),Alejandro!H22/(Alejandro!H$20+Alejandro!H$21+Alejandro!H$22))</f>
        <v>0.20729718520491877</v>
      </c>
      <c r="G11" s="73">
        <f>IF((Alejandro!I$20+Alejandro!I$21+Alejandro!I$22)=0,NA(),Alejandro!I22/(Alejandro!I$20+Alejandro!I$21+Alejandro!I$22))</f>
        <v>0.21709166497916307</v>
      </c>
      <c r="H11" s="73">
        <f>IF((Alejandro!J$20+Alejandro!J$21+Alejandro!J$22)=0,NA(),Alejandro!J22/(Alejandro!J$20+Alejandro!J$21+Alejandro!J$22))</f>
        <v>0.21651434294114291</v>
      </c>
      <c r="I11" s="73">
        <f>IF((Alejandro!K$20+Alejandro!K$21+Alejandro!K$22)=0,NA(),Alejandro!K22/(Alejandro!K$20+Alejandro!K$21+Alejandro!K$22))</f>
        <v>0.21792526200874013</v>
      </c>
      <c r="J11" s="73">
        <f>IF((Alejandro!L$20+Alejandro!L$21+Alejandro!L$22)=0,NA(),Alejandro!L22/(Alejandro!L$20+Alejandro!L$21+Alejandro!L$22))</f>
        <v>0.19760235647350802</v>
      </c>
      <c r="K11" s="73">
        <f>IF((Alejandro!M$20+Alejandro!M$21+Alejandro!M$22)=0,NA(),Alejandro!M22/(Alejandro!M$20+Alejandro!M$21+Alejandro!M$22))</f>
        <v>0.18666417666462781</v>
      </c>
      <c r="L11" s="73">
        <f>IF((Alejandro!N$20+Alejandro!N$21+Alejandro!N$22)=0,NA(),Alejandro!N22/(Alejandro!N$20+Alejandro!N$21+Alejandro!N$22))</f>
        <v>0.18516362650300869</v>
      </c>
      <c r="M11" s="73">
        <f>IF((Alejandro!O$20+Alejandro!O$21+Alejandro!O$22)=0,NA(),Alejandro!O22/(Alejandro!O$20+Alejandro!O$21+Alejandro!O$22))</f>
        <v>0.18448292649593442</v>
      </c>
      <c r="N11" s="73">
        <f>IF((Alejandro!P$20+Alejandro!P$21+Alejandro!P$22)=0,NA(),Alejandro!P22/(Alejandro!P$20+Alejandro!P$21+Alejandro!P$22))</f>
        <v>0.18800830253722395</v>
      </c>
      <c r="O11" s="73">
        <f>IF((Alejandro!Q$20+Alejandro!Q$21+Alejandro!Q$22)=0,NA(),Alejandro!Q22/(Alejandro!Q$20+Alejandro!Q$21+Alejandro!Q$22))</f>
        <v>0.18752266513882246</v>
      </c>
      <c r="P11" s="73">
        <f>IF((Alejandro!R$20+Alejandro!R$21+Alejandro!R$22)=0,NA(),Alejandro!R22/(Alejandro!R$20+Alejandro!R$21+Alejandro!R$22))</f>
        <v>0.18565141771780277</v>
      </c>
      <c r="Q11" s="73">
        <f>IF((Alejandro!S$20+Alejandro!S$21+Alejandro!S$22)=0,NA(),Alejandro!S22/(Alejandro!S$20+Alejandro!S$21+Alejandro!S$22))</f>
        <v>0.19410211828599402</v>
      </c>
      <c r="R11" s="73">
        <f>IF((Alejandro!T$20+Alejandro!T$21+Alejandro!T$22)=0,NA(),Alejandro!T22/(Alejandro!T$20+Alejandro!T$21+Alejandro!T$22))</f>
        <v>0.19226399070882733</v>
      </c>
      <c r="S11" s="73">
        <f>IF((Alejandro!U$20+Alejandro!U$21+Alejandro!U$22)=0,NA(),Alejandro!U22/(Alejandro!U$20+Alejandro!U$21+Alejandro!U$22))</f>
        <v>0.20107145287051165</v>
      </c>
      <c r="T11" s="73">
        <f>IF((Alejandro!V$20+Alejandro!V$21+Alejandro!V$22)=0,NA(),Alejandro!V22/(Alejandro!V$20+Alejandro!V$21+Alejandro!V$22))</f>
        <v>0.20393760766315555</v>
      </c>
      <c r="U11" s="73">
        <f>IF((Alejandro!W$20+Alejandro!W$21+Alejandro!W$22)=0,NA(),Alejandro!W22/(Alejandro!W$20+Alejandro!W$21+Alejandro!W$22))</f>
        <v>0.20766038963218053</v>
      </c>
      <c r="V11" s="74">
        <f>IF((Alejandro!X$20+Alejandro!X$21+Alejandro!X$22)=0,NA(),Alejandro!X22/(Alejandro!X$20+Alejandro!X$21+Alejandro!X$22))</f>
        <v>0.20981385448775156</v>
      </c>
    </row>
    <row r="12" spans="2:22" ht="15.75" customHeight="1" x14ac:dyDescent="0.2">
      <c r="B12" s="209" t="s">
        <v>152</v>
      </c>
      <c r="C12" s="90" t="s">
        <v>153</v>
      </c>
      <c r="D12" s="76">
        <f>Alejandro!F32/(Alejandro!$F$32+Alejandro!$F$33+Alejandro!$F$34)</f>
        <v>0.53108059568925925</v>
      </c>
      <c r="E12" s="77">
        <f>IF((Alejandro!G$29+Alejandro!G$30+Alejandro!G$31)=0,NA(),Alejandro!G29/(Alejandro!G$29+Alejandro!G$30+Alejandro!G$31))</f>
        <v>0.6230198126822466</v>
      </c>
      <c r="F12" s="77">
        <f>IF((Alejandro!H$29+Alejandro!H$30+Alejandro!H$31)=0,NA(),Alejandro!H29/(Alejandro!H$29+Alejandro!H$30+Alejandro!H$31))</f>
        <v>0.56606447101073243</v>
      </c>
      <c r="G12" s="77">
        <f>IF((Alejandro!I$29+Alejandro!I$30+Alejandro!I$31)=0,NA(),Alejandro!I29/(Alejandro!I$29+Alejandro!I$30+Alejandro!I$31))</f>
        <v>0.52816492783493363</v>
      </c>
      <c r="H12" s="77">
        <f>IF((Alejandro!J$29+Alejandro!J$30+Alejandro!J$31)=0,NA(),Alejandro!J29/(Alejandro!J$29+Alejandro!J$30+Alejandro!J$31))</f>
        <v>0.52012883588183489</v>
      </c>
      <c r="I12" s="77">
        <f>IF((Alejandro!K$29+Alejandro!K$30+Alejandro!K$31)=0,NA(),Alejandro!K29/(Alejandro!K$29+Alejandro!K$30+Alejandro!K$31))</f>
        <v>0.51242825913929968</v>
      </c>
      <c r="J12" s="77">
        <f>IF((Alejandro!L$29+Alejandro!L$30+Alejandro!L$31)=0,NA(),Alejandro!L29/(Alejandro!L$29+Alejandro!L$30+Alejandro!L$31))</f>
        <v>0.54279933580491868</v>
      </c>
      <c r="K12" s="77">
        <f>IF((Alejandro!M$29+Alejandro!M$30+Alejandro!M$31)=0,NA(),Alejandro!M29/(Alejandro!M$29+Alejandro!M$30+Alejandro!M$31))</f>
        <v>0.52729988807869921</v>
      </c>
      <c r="L12" s="77">
        <f>IF((Alejandro!N$29+Alejandro!N$30+Alejandro!N$31)=0,NA(),Alejandro!N29/(Alejandro!N$29+Alejandro!N$30+Alejandro!N$31))</f>
        <v>0.53658138382763498</v>
      </c>
      <c r="M12" s="77">
        <f>IF((Alejandro!O$29+Alejandro!O$30+Alejandro!O$31)=0,NA(),Alejandro!O29/(Alejandro!O$29+Alejandro!O$30+Alejandro!O$31))</f>
        <v>0.53016006524115733</v>
      </c>
      <c r="N12" s="77">
        <f>IF((Alejandro!P$29+Alejandro!P$30+Alejandro!P$31)=0,NA(),Alejandro!P29/(Alejandro!P$29+Alejandro!P$30+Alejandro!P$31))</f>
        <v>0.52909053567833253</v>
      </c>
      <c r="O12" s="77">
        <f>IF((Alejandro!Q$29+Alejandro!Q$30+Alejandro!Q$31)=0,NA(),Alejandro!Q29/(Alejandro!Q$29+Alejandro!Q$30+Alejandro!Q$31))</f>
        <v>0.52990955681744234</v>
      </c>
      <c r="P12" s="77">
        <f>IF((Alejandro!R$29+Alejandro!R$30+Alejandro!R$31)=0,NA(),Alejandro!R29/(Alejandro!R$29+Alejandro!R$30+Alejandro!R$31))</f>
        <v>0.5296831537554253</v>
      </c>
      <c r="Q12" s="77">
        <f>IF((Alejandro!S$29+Alejandro!S$30+Alejandro!S$31)=0,NA(),Alejandro!S29/(Alejandro!S$29+Alejandro!S$30+Alejandro!S$31))</f>
        <v>0.53480955287291232</v>
      </c>
      <c r="R12" s="77">
        <f>IF((Alejandro!T$29+Alejandro!T$30+Alejandro!T$31)=0,NA(),Alejandro!T29/(Alejandro!T$29+Alejandro!T$30+Alejandro!T$31))</f>
        <v>0.53439033393715651</v>
      </c>
      <c r="S12" s="77">
        <f>IF((Alejandro!U$29+Alejandro!U$30+Alejandro!U$31)=0,NA(),Alejandro!U29/(Alejandro!U$29+Alejandro!U$30+Alejandro!U$31))</f>
        <v>0.53101816910886268</v>
      </c>
      <c r="T12" s="77">
        <f>IF((Alejandro!V$29+Alejandro!V$30+Alejandro!V$31)=0,NA(),Alejandro!V29/(Alejandro!V$29+Alejandro!V$30+Alejandro!V$31))</f>
        <v>0.53153984012946509</v>
      </c>
      <c r="U12" s="77">
        <f>IF((Alejandro!W$29+Alejandro!W$30+Alejandro!W$31)=0,NA(),Alejandro!W29/(Alejandro!W$29+Alejandro!W$30+Alejandro!W$31))</f>
        <v>0.53557618649381711</v>
      </c>
      <c r="V12" s="78">
        <f>IF((Alejandro!X$29+Alejandro!X$30+Alejandro!X$31)=0,NA(),Alejandro!X29/(Alejandro!X$29+Alejandro!X$30+Alejandro!X$31))</f>
        <v>0.53108059568925925</v>
      </c>
    </row>
    <row r="13" spans="2:22" ht="15.75" customHeight="1" x14ac:dyDescent="0.2">
      <c r="B13" s="210"/>
      <c r="C13" s="91" t="s">
        <v>154</v>
      </c>
      <c r="D13" s="80">
        <f>Alejandro!F33/(Alejandro!$F$32+Alejandro!$F$33+Alejandro!$F$34)</f>
        <v>0.45397950072529597</v>
      </c>
      <c r="E13" s="81">
        <f>IF((Alejandro!G$29+Alejandro!G$30+Alejandro!G$31)=0,NA(),Alejandro!G30/(Alejandro!G$29+Alejandro!G$30+Alejandro!G$31))</f>
        <v>0.36500737974967556</v>
      </c>
      <c r="F13" s="81">
        <f>IF((Alejandro!H$29+Alejandro!H$30+Alejandro!H$31)=0,NA(),Alejandro!H30/(Alejandro!H$29+Alejandro!H$30+Alejandro!H$31))</f>
        <v>0.39544573205425154</v>
      </c>
      <c r="G13" s="81">
        <f>IF((Alejandro!I$29+Alejandro!I$30+Alejandro!I$31)=0,NA(),Alejandro!I30/(Alejandro!I$29+Alejandro!I$30+Alejandro!I$31))</f>
        <v>0.44997187887569623</v>
      </c>
      <c r="H13" s="81">
        <f>IF((Alejandro!J$29+Alejandro!J$30+Alejandro!J$31)=0,NA(),Alejandro!J30/(Alejandro!J$29+Alejandro!J$30+Alejandro!J$31))</f>
        <v>0.4577769798003275</v>
      </c>
      <c r="I13" s="81">
        <f>IF((Alejandro!K$29+Alejandro!K$30+Alejandro!K$31)=0,NA(),Alejandro!K30/(Alejandro!K$29+Alejandro!K$30+Alejandro!K$31))</f>
        <v>0.47054416168394692</v>
      </c>
      <c r="J13" s="81">
        <f>IF((Alejandro!L$29+Alejandro!L$30+Alejandro!L$31)=0,NA(),Alejandro!L30/(Alejandro!L$29+Alejandro!L$30+Alejandro!L$31))</f>
        <v>0.44234634334612888</v>
      </c>
      <c r="K13" s="81">
        <f>IF((Alejandro!M$29+Alejandro!M$30+Alejandro!M$31)=0,NA(),Alejandro!M30/(Alejandro!M$29+Alejandro!M$30+Alejandro!M$31))</f>
        <v>0.45705192254064275</v>
      </c>
      <c r="L13" s="81">
        <f>IF((Alejandro!N$29+Alejandro!N$30+Alejandro!N$31)=0,NA(),Alejandro!N30/(Alejandro!N$29+Alejandro!N$30+Alejandro!N$31))</f>
        <v>0.44771577836066984</v>
      </c>
      <c r="M13" s="81">
        <f>IF((Alejandro!O$29+Alejandro!O$30+Alejandro!O$31)=0,NA(),Alejandro!O30/(Alejandro!O$29+Alejandro!O$30+Alejandro!O$31))</f>
        <v>0.45383033162123404</v>
      </c>
      <c r="N13" s="81">
        <f>IF((Alejandro!P$29+Alejandro!P$30+Alejandro!P$31)=0,NA(),Alejandro!P30/(Alejandro!P$29+Alejandro!P$30+Alejandro!P$31))</f>
        <v>0.45503425294604394</v>
      </c>
      <c r="O13" s="81">
        <f>IF((Alejandro!Q$29+Alejandro!Q$30+Alejandro!Q$31)=0,NA(),Alejandro!Q30/(Alejandro!Q$29+Alejandro!Q$30+Alejandro!Q$31))</f>
        <v>0.45520901249217927</v>
      </c>
      <c r="P13" s="81">
        <f>IF((Alejandro!R$29+Alejandro!R$30+Alejandro!R$31)=0,NA(),Alejandro!R30/(Alejandro!R$29+Alejandro!R$30+Alejandro!R$31))</f>
        <v>0.45634267598087319</v>
      </c>
      <c r="Q13" s="81">
        <f>IF((Alejandro!S$29+Alejandro!S$30+Alejandro!S$31)=0,NA(),Alejandro!S30/(Alejandro!S$29+Alejandro!S$30+Alejandro!S$31))</f>
        <v>0.45074636202527096</v>
      </c>
      <c r="R13" s="81">
        <f>IF((Alejandro!T$29+Alejandro!T$30+Alejandro!T$31)=0,NA(),Alejandro!T30/(Alejandro!T$29+Alejandro!T$30+Alejandro!T$31))</f>
        <v>0.4502559267994154</v>
      </c>
      <c r="S13" s="81">
        <f>IF((Alejandro!U$29+Alejandro!U$30+Alejandro!U$31)=0,NA(),Alejandro!U30/(Alejandro!U$29+Alejandro!U$30+Alejandro!U$31))</f>
        <v>0.45467999938249026</v>
      </c>
      <c r="T13" s="81">
        <f>IF((Alejandro!V$29+Alejandro!V$30+Alejandro!V$31)=0,NA(),Alejandro!V30/(Alejandro!V$29+Alejandro!V$30+Alejandro!V$31))</f>
        <v>0.45460130504337909</v>
      </c>
      <c r="U13" s="81">
        <f>IF((Alejandro!W$29+Alejandro!W$30+Alejandro!W$31)=0,NA(),Alejandro!W30/(Alejandro!W$29+Alejandro!W$30+Alejandro!W$31))</f>
        <v>0.44994257384149333</v>
      </c>
      <c r="V13" s="82">
        <f>IF((Alejandro!X$29+Alejandro!X$30+Alejandro!X$31)=0,NA(),Alejandro!X30/(Alejandro!X$29+Alejandro!X$30+Alejandro!X$31))</f>
        <v>0.45397950072529597</v>
      </c>
    </row>
    <row r="14" spans="2:22" ht="15.75" customHeight="1" thickBot="1" x14ac:dyDescent="0.25">
      <c r="B14" s="211"/>
      <c r="C14" s="92" t="s">
        <v>0</v>
      </c>
      <c r="D14" s="84">
        <f>Alejandro!F34/(Alejandro!$F$32+Alejandro!$F$33+Alejandro!$F$34)</f>
        <v>1.4939903585444777E-2</v>
      </c>
      <c r="E14" s="85">
        <f>IF((Alejandro!G$29+Alejandro!G$30+Alejandro!G$31)=0,NA(),Alejandro!G31/(Alejandro!G$29+Alejandro!G$30+Alejandro!G$31))</f>
        <v>1.1972807568077792E-2</v>
      </c>
      <c r="F14" s="85">
        <f>IF((Alejandro!H$29+Alejandro!H$30+Alejandro!H$31)=0,NA(),Alejandro!H31/(Alejandro!H$29+Alejandro!H$30+Alejandro!H$31))</f>
        <v>3.8489796935015808E-2</v>
      </c>
      <c r="G14" s="85">
        <f>IF((Alejandro!I$29+Alejandro!I$30+Alejandro!I$31)=0,NA(),Alejandro!I31/(Alejandro!I$29+Alejandro!I$30+Alejandro!I$31))</f>
        <v>2.1863193289370062E-2</v>
      </c>
      <c r="H14" s="85">
        <f>IF((Alejandro!J$29+Alejandro!J$30+Alejandro!J$31)=0,NA(),Alejandro!J31/(Alejandro!J$29+Alejandro!J$30+Alejandro!J$31))</f>
        <v>2.2094184317837662E-2</v>
      </c>
      <c r="I14" s="85">
        <f>IF((Alejandro!K$29+Alejandro!K$30+Alejandro!K$31)=0,NA(),Alejandro!K31/(Alejandro!K$29+Alejandro!K$30+Alejandro!K$31))</f>
        <v>1.7027579176753259E-2</v>
      </c>
      <c r="J14" s="85">
        <f>IF((Alejandro!L$29+Alejandro!L$30+Alejandro!L$31)=0,NA(),Alejandro!L31/(Alejandro!L$29+Alejandro!L$30+Alejandro!L$31))</f>
        <v>1.4854320848952411E-2</v>
      </c>
      <c r="K14" s="85">
        <f>IF((Alejandro!M$29+Alejandro!M$30+Alejandro!M$31)=0,NA(),Alejandro!M31/(Alejandro!M$29+Alejandro!M$30+Alejandro!M$31))</f>
        <v>1.5648189380658085E-2</v>
      </c>
      <c r="L14" s="85">
        <f>IF((Alejandro!N$29+Alejandro!N$30+Alejandro!N$31)=0,NA(),Alejandro!N31/(Alejandro!N$29+Alejandro!N$30+Alejandro!N$31))</f>
        <v>1.5702837811695146E-2</v>
      </c>
      <c r="M14" s="85">
        <f>IF((Alejandro!O$29+Alejandro!O$30+Alejandro!O$31)=0,NA(),Alejandro!O31/(Alejandro!O$29+Alejandro!O$30+Alejandro!O$31))</f>
        <v>1.6009603137608543E-2</v>
      </c>
      <c r="N14" s="85">
        <f>IF((Alejandro!P$29+Alejandro!P$30+Alejandro!P$31)=0,NA(),Alejandro!P31/(Alejandro!P$29+Alejandro!P$30+Alejandro!P$31))</f>
        <v>1.5875211375623418E-2</v>
      </c>
      <c r="O14" s="85">
        <f>IF((Alejandro!Q$29+Alejandro!Q$30+Alejandro!Q$31)=0,NA(),Alejandro!Q31/(Alejandro!Q$29+Alejandro!Q$30+Alejandro!Q$31))</f>
        <v>1.4881430690378415E-2</v>
      </c>
      <c r="P14" s="85">
        <f>IF((Alejandro!R$29+Alejandro!R$30+Alejandro!R$31)=0,NA(),Alejandro!R31/(Alejandro!R$29+Alejandro!R$30+Alejandro!R$31))</f>
        <v>1.3974170263701379E-2</v>
      </c>
      <c r="Q14" s="85">
        <f>IF((Alejandro!S$29+Alejandro!S$30+Alejandro!S$31)=0,NA(),Alejandro!S31/(Alejandro!S$29+Alejandro!S$30+Alejandro!S$31))</f>
        <v>1.444408510181674E-2</v>
      </c>
      <c r="R14" s="85">
        <f>IF((Alejandro!T$29+Alejandro!T$30+Alejandro!T$31)=0,NA(),Alejandro!T31/(Alejandro!T$29+Alejandro!T$30+Alejandro!T$31))</f>
        <v>1.5353739263428116E-2</v>
      </c>
      <c r="S14" s="85">
        <f>IF((Alejandro!U$29+Alejandro!U$30+Alejandro!U$31)=0,NA(),Alejandro!U31/(Alejandro!U$29+Alejandro!U$30+Alejandro!U$31))</f>
        <v>1.4301831508647073E-2</v>
      </c>
      <c r="T14" s="85">
        <f>IF((Alejandro!V$29+Alejandro!V$30+Alejandro!V$31)=0,NA(),Alejandro!V31/(Alejandro!V$29+Alejandro!V$30+Alejandro!V$31))</f>
        <v>1.3858854827155771E-2</v>
      </c>
      <c r="U14" s="85">
        <f>IF((Alejandro!W$29+Alejandro!W$30+Alejandro!W$31)=0,NA(),Alejandro!W31/(Alejandro!W$29+Alejandro!W$30+Alejandro!W$31))</f>
        <v>1.4481239664689569E-2</v>
      </c>
      <c r="V14" s="86">
        <f>IF((Alejandro!X$29+Alejandro!X$30+Alejandro!X$31)=0,NA(),Alejandro!X31/(Alejandro!X$29+Alejandro!X$30+Alejandro!X$31))</f>
        <v>1.4939903585444777E-2</v>
      </c>
    </row>
    <row r="15" spans="2:22" ht="15.75" customHeight="1" x14ac:dyDescent="0.2">
      <c r="B15" s="206" t="s">
        <v>155</v>
      </c>
      <c r="C15" s="87" t="s">
        <v>156</v>
      </c>
      <c r="D15" s="64">
        <f>Alejandro!F41/(Alejandro!$F$41+Alejandro!$F$42+Alejandro!$F$43)</f>
        <v>0.40061442510194978</v>
      </c>
      <c r="E15" s="65">
        <f>IF((Alejandro!G$38+Alejandro!G$39+Alejandro!G$40)=0,NA(),Alejandro!G38/(Alejandro!G$38+Alejandro!G$39+Alejandro!G$40))</f>
        <v>0.3708069703566233</v>
      </c>
      <c r="F15" s="65">
        <f>IF((Alejandro!H$38+Alejandro!H$39+Alejandro!H$40)=0,NA(),Alejandro!H38/(Alejandro!H$38+Alejandro!H$39+Alejandro!H$40))</f>
        <v>0.42677523060996864</v>
      </c>
      <c r="G15" s="65">
        <f>IF((Alejandro!I$38+Alejandro!I$39+Alejandro!I$40)=0,NA(),Alejandro!I38/(Alejandro!I$38+Alejandro!I$39+Alejandro!I$40))</f>
        <v>0.39709165949333042</v>
      </c>
      <c r="H15" s="65">
        <f>IF((Alejandro!J$38+Alejandro!J$39+Alejandro!J$40)=0,NA(),Alejandro!J38/(Alejandro!J$38+Alejandro!J$39+Alejandro!J$40))</f>
        <v>0.42586521596879318</v>
      </c>
      <c r="I15" s="65">
        <f>IF((Alejandro!K$38+Alejandro!K$39+Alejandro!K$40)=0,NA(),Alejandro!K38/(Alejandro!K$38+Alejandro!K$39+Alejandro!K$40))</f>
        <v>0.44496300666460631</v>
      </c>
      <c r="J15" s="65">
        <f>IF((Alejandro!L$38+Alejandro!L$39+Alejandro!L$40)=0,NA(),Alejandro!L38/(Alejandro!L$38+Alejandro!L$39+Alejandro!L$40))</f>
        <v>0.44994502575892975</v>
      </c>
      <c r="K15" s="65">
        <f>IF((Alejandro!M$38+Alejandro!M$39+Alejandro!M$40)=0,NA(),Alejandro!M38/(Alejandro!M$38+Alejandro!M$39+Alejandro!M$40))</f>
        <v>0.45051458738501798</v>
      </c>
      <c r="L15" s="65">
        <f>IF((Alejandro!N$38+Alejandro!N$39+Alejandro!N$40)=0,NA(),Alejandro!N38/(Alejandro!N$38+Alejandro!N$39+Alejandro!N$40))</f>
        <v>0.42825042360956994</v>
      </c>
      <c r="M15" s="65">
        <f>IF((Alejandro!O$38+Alejandro!O$39+Alejandro!O$40)=0,NA(),Alejandro!O38/(Alejandro!O$38+Alejandro!O$39+Alejandro!O$40))</f>
        <v>0.41236853027319942</v>
      </c>
      <c r="N15" s="65" t="e">
        <f>IF((Alejandro!P$38+Alejandro!P$39+Alejandro!P$40)=0,NA(),Alejandro!P38/(Alejandro!P$38+Alejandro!P$39+Alejandro!P$40))</f>
        <v>#N/A</v>
      </c>
      <c r="O15" s="65">
        <f>IF((Alejandro!Q$38+Alejandro!Q$39+Alejandro!Q$40)=0,NA(),Alejandro!Q38/(Alejandro!Q$38+Alejandro!Q$39+Alejandro!Q$40))</f>
        <v>0.46438482538869758</v>
      </c>
      <c r="P15" s="65">
        <f>IF((Alejandro!R$38+Alejandro!R$39+Alejandro!R$40)=0,NA(),Alejandro!R38/(Alejandro!R$38+Alejandro!R$39+Alejandro!R$40))</f>
        <v>0.40074340360256649</v>
      </c>
      <c r="Q15" s="65">
        <f>IF((Alejandro!S$38+Alejandro!S$39+Alejandro!S$40)=0,NA(),Alejandro!S38/(Alejandro!S$38+Alejandro!S$39+Alejandro!S$40))</f>
        <v>0.37111397653271638</v>
      </c>
      <c r="R15" s="65">
        <f>IF((Alejandro!T$38+Alejandro!T$39+Alejandro!T$40)=0,NA(),Alejandro!T38/(Alejandro!T$38+Alejandro!T$39+Alejandro!T$40))</f>
        <v>0.36772114620611601</v>
      </c>
      <c r="S15" s="65">
        <f>IF((Alejandro!U$38+Alejandro!U$39+Alejandro!U$40)=0,NA(),Alejandro!U38/(Alejandro!U$38+Alejandro!U$39+Alejandro!U$40))</f>
        <v>0.37646582831206271</v>
      </c>
      <c r="T15" s="65">
        <f>IF((Alejandro!V$38+Alejandro!V$39+Alejandro!V$40)=0,NA(),Alejandro!V38/(Alejandro!V$38+Alejandro!V$39+Alejandro!V$40))</f>
        <v>0.3843589571291986</v>
      </c>
      <c r="U15" s="65">
        <f>IF((Alejandro!W$38+Alejandro!W$39+Alejandro!W$40)=0,NA(),Alejandro!W38/(Alejandro!W$38+Alejandro!W$39+Alejandro!W$40))</f>
        <v>0.38670903990148897</v>
      </c>
      <c r="V15" s="66">
        <f>IF((Alejandro!X$38+Alejandro!X$39+Alejandro!X$40)=0,NA(),Alejandro!X38/(Alejandro!X$38+Alejandro!X$39+Alejandro!X$40))</f>
        <v>0.38312330967151981</v>
      </c>
    </row>
    <row r="16" spans="2:22" ht="15.75" customHeight="1" x14ac:dyDescent="0.2">
      <c r="B16" s="207"/>
      <c r="C16" s="88" t="s">
        <v>157</v>
      </c>
      <c r="D16" s="68">
        <f>Alejandro!F42/(Alejandro!$F$41+Alejandro!$F$42+Alejandro!$F$43)</f>
        <v>0.5730001953980457</v>
      </c>
      <c r="E16" s="69">
        <f>IF((Alejandro!G$38+Alejandro!G$39+Alejandro!G$40)=0,NA(),Alejandro!G39/(Alejandro!G$38+Alejandro!G$39+Alejandro!G$40))</f>
        <v>0.62919302964337676</v>
      </c>
      <c r="F16" s="69">
        <f>IF((Alejandro!H$38+Alejandro!H$39+Alejandro!H$40)=0,NA(),Alejandro!H39/(Alejandro!H$38+Alejandro!H$39+Alejandro!H$40))</f>
        <v>0.56975528132189912</v>
      </c>
      <c r="G16" s="69">
        <f>IF((Alejandro!I$38+Alejandro!I$39+Alejandro!I$40)=0,NA(),Alejandro!I39/(Alejandro!I$38+Alejandro!I$39+Alejandro!I$40))</f>
        <v>0.56946888352790803</v>
      </c>
      <c r="H16" s="69">
        <f>IF((Alejandro!J$38+Alejandro!J$39+Alejandro!J$40)=0,NA(),Alejandro!J39/(Alejandro!J$38+Alejandro!J$39+Alejandro!J$40))</f>
        <v>0.53999686979869566</v>
      </c>
      <c r="I16" s="69">
        <f>IF((Alejandro!K$38+Alejandro!K$39+Alejandro!K$40)=0,NA(),Alejandro!K39/(Alejandro!K$38+Alejandro!K$39+Alejandro!K$40))</f>
        <v>0.52807346260786903</v>
      </c>
      <c r="J16" s="69">
        <f>IF((Alejandro!L$38+Alejandro!L$39+Alejandro!L$40)=0,NA(),Alejandro!L39/(Alejandro!L$38+Alejandro!L$39+Alejandro!L$40))</f>
        <v>0.52656294879867516</v>
      </c>
      <c r="K16" s="69">
        <f>IF((Alejandro!M$38+Alejandro!M$39+Alejandro!M$40)=0,NA(),Alejandro!M39/(Alejandro!M$38+Alejandro!M$39+Alejandro!M$40))</f>
        <v>0.52888038506393209</v>
      </c>
      <c r="L16" s="69">
        <f>IF((Alejandro!N$38+Alejandro!N$39+Alejandro!N$40)=0,NA(),Alejandro!N39/(Alejandro!N$38+Alejandro!N$39+Alejandro!N$40))</f>
        <v>0.54199660193549837</v>
      </c>
      <c r="M16" s="69">
        <f>IF((Alejandro!O$38+Alejandro!O$39+Alejandro!O$40)=0,NA(),Alejandro!O39/(Alejandro!O$38+Alejandro!O$39+Alejandro!O$40))</f>
        <v>0.55963001003190105</v>
      </c>
      <c r="N16" s="69" t="e">
        <f>IF((Alejandro!P$38+Alejandro!P$39+Alejandro!P$40)=0,NA(),Alejandro!P39/(Alejandro!P$38+Alejandro!P$39+Alejandro!P$40))</f>
        <v>#N/A</v>
      </c>
      <c r="O16" s="69">
        <f>IF((Alejandro!Q$38+Alejandro!Q$39+Alejandro!Q$40)=0,NA(),Alejandro!Q39/(Alejandro!Q$38+Alejandro!Q$39+Alejandro!Q$40))</f>
        <v>0.52984196671959627</v>
      </c>
      <c r="P16" s="69">
        <f>IF((Alejandro!R$38+Alejandro!R$39+Alejandro!R$40)=0,NA(),Alejandro!R39/(Alejandro!R$38+Alejandro!R$39+Alejandro!R$40))</f>
        <v>0.58483256247843574</v>
      </c>
      <c r="Q16" s="69">
        <f>IF((Alejandro!S$38+Alejandro!S$39+Alejandro!S$40)=0,NA(),Alejandro!S39/(Alejandro!S$38+Alejandro!S$39+Alejandro!S$40))</f>
        <v>0.60705187119490234</v>
      </c>
      <c r="R16" s="69">
        <f>IF((Alejandro!T$38+Alejandro!T$39+Alejandro!T$40)=0,NA(),Alejandro!T39/(Alejandro!T$38+Alejandro!T$39+Alejandro!T$40))</f>
        <v>0.61214516208273551</v>
      </c>
      <c r="S16" s="69">
        <f>IF((Alejandro!U$38+Alejandro!U$39+Alejandro!U$40)=0,NA(),Alejandro!U39/(Alejandro!U$38+Alejandro!U$39+Alejandro!U$40))</f>
        <v>0.6037696842020619</v>
      </c>
      <c r="T16" s="69">
        <f>IF((Alejandro!V$38+Alejandro!V$39+Alejandro!V$40)=0,NA(),Alejandro!V39/(Alejandro!V$38+Alejandro!V$39+Alejandro!V$40))</f>
        <v>0.59648643545399416</v>
      </c>
      <c r="U16" s="69">
        <f>IF((Alejandro!W$38+Alejandro!W$39+Alejandro!W$40)=0,NA(),Alejandro!W39/(Alejandro!W$38+Alejandro!W$39+Alejandro!W$40))</f>
        <v>0.59631024854339554</v>
      </c>
      <c r="V16" s="70">
        <f>IF((Alejandro!X$38+Alejandro!X$39+Alejandro!X$40)=0,NA(),Alejandro!X39/(Alejandro!X$38+Alejandro!X$39+Alejandro!X$40))</f>
        <v>0.5928961766027655</v>
      </c>
    </row>
    <row r="17" spans="2:23" ht="15.75" customHeight="1" thickBot="1" x14ac:dyDescent="0.25">
      <c r="B17" s="208"/>
      <c r="C17" s="89" t="s">
        <v>0</v>
      </c>
      <c r="D17" s="72">
        <f>Alejandro!F43/(Alejandro!$F$41+Alejandro!$F$42+Alejandro!$F$43)</f>
        <v>2.6385379500004517E-2</v>
      </c>
      <c r="E17" s="73">
        <f>IF((Alejandro!G$38+Alejandro!G$39+Alejandro!G$40)=0,NA(),Alejandro!G40/(Alejandro!G$38+Alejandro!G$39+Alejandro!G$40))</f>
        <v>0</v>
      </c>
      <c r="F17" s="73">
        <f>IF((Alejandro!H$38+Alejandro!H$39+Alejandro!H$40)=0,NA(),Alejandro!H40/(Alejandro!H$38+Alejandro!H$39+Alejandro!H$40))</f>
        <v>3.4694880681321264E-3</v>
      </c>
      <c r="G17" s="73">
        <f>IF((Alejandro!I$38+Alejandro!I$39+Alejandro!I$40)=0,NA(),Alejandro!I40/(Alejandro!I$38+Alejandro!I$39+Alejandro!I$40))</f>
        <v>3.3439456978761488E-2</v>
      </c>
      <c r="H17" s="73">
        <f>IF((Alejandro!J$38+Alejandro!J$39+Alejandro!J$40)=0,NA(),Alejandro!J40/(Alejandro!J$38+Alejandro!J$39+Alejandro!J$40))</f>
        <v>3.4137914232511099E-2</v>
      </c>
      <c r="I17" s="73">
        <f>IF((Alejandro!K$38+Alejandro!K$39+Alejandro!K$40)=0,NA(),Alejandro!K40/(Alejandro!K$38+Alejandro!K$39+Alejandro!K$40))</f>
        <v>2.6963530727524731E-2</v>
      </c>
      <c r="J17" s="73">
        <f>IF((Alejandro!L$38+Alejandro!L$39+Alejandro!L$40)=0,NA(),Alejandro!L40/(Alejandro!L$38+Alejandro!L$39+Alejandro!L$40))</f>
        <v>2.349202544239502E-2</v>
      </c>
      <c r="K17" s="73">
        <f>IF((Alejandro!M$38+Alejandro!M$39+Alejandro!M$40)=0,NA(),Alejandro!M40/(Alejandro!M$38+Alejandro!M$39+Alejandro!M$40))</f>
        <v>2.060502755104985E-2</v>
      </c>
      <c r="L17" s="73">
        <f>IF((Alejandro!N$38+Alejandro!N$39+Alejandro!N$40)=0,NA(),Alejandro!N40/(Alejandro!N$38+Alejandro!N$39+Alejandro!N$40))</f>
        <v>2.9752974454931747E-2</v>
      </c>
      <c r="M17" s="73">
        <f>IF((Alejandro!O$38+Alejandro!O$39+Alejandro!O$40)=0,NA(),Alejandro!O40/(Alejandro!O$38+Alejandro!O$39+Alejandro!O$40))</f>
        <v>2.8001459694899564E-2</v>
      </c>
      <c r="N17" s="73" t="e">
        <f>IF((Alejandro!P$38+Alejandro!P$39+Alejandro!P$40)=0,NA(),Alejandro!P40/(Alejandro!P$38+Alejandro!P$39+Alejandro!P$40))</f>
        <v>#N/A</v>
      </c>
      <c r="O17" s="73">
        <f>IF((Alejandro!Q$38+Alejandro!Q$39+Alejandro!Q$40)=0,NA(),Alejandro!Q40/(Alejandro!Q$38+Alejandro!Q$39+Alejandro!Q$40))</f>
        <v>5.7732078917062443E-3</v>
      </c>
      <c r="P17" s="73">
        <f>IF((Alejandro!R$38+Alejandro!R$39+Alejandro!R$40)=0,NA(),Alejandro!R40/(Alejandro!R$38+Alejandro!R$39+Alejandro!R$40))</f>
        <v>1.4424033918997827E-2</v>
      </c>
      <c r="Q17" s="73">
        <f>IF((Alejandro!S$38+Alejandro!S$39+Alejandro!S$40)=0,NA(),Alejandro!S40/(Alejandro!S$38+Alejandro!S$39+Alejandro!S$40))</f>
        <v>2.1834152272381328E-2</v>
      </c>
      <c r="R17" s="73">
        <f>IF((Alejandro!T$38+Alejandro!T$39+Alejandro!T$40)=0,NA(),Alejandro!T40/(Alejandro!T$38+Alejandro!T$39+Alejandro!T$40))</f>
        <v>2.0133691711148604E-2</v>
      </c>
      <c r="S17" s="73">
        <f>IF((Alejandro!U$38+Alejandro!U$39+Alejandro!U$40)=0,NA(),Alejandro!U40/(Alejandro!U$38+Alejandro!U$39+Alejandro!U$40))</f>
        <v>1.9764487485875268E-2</v>
      </c>
      <c r="T17" s="73">
        <f>IF((Alejandro!V$38+Alejandro!V$39+Alejandro!V$40)=0,NA(),Alejandro!V40/(Alejandro!V$38+Alejandro!V$39+Alejandro!V$40))</f>
        <v>1.9154607416807235E-2</v>
      </c>
      <c r="U17" s="73">
        <f>IF((Alejandro!W$38+Alejandro!W$39+Alejandro!W$40)=0,NA(),Alejandro!W40/(Alejandro!W$38+Alejandro!W$39+Alejandro!W$40))</f>
        <v>1.6980711555115525E-2</v>
      </c>
      <c r="V17" s="74">
        <f>IF((Alejandro!X$38+Alejandro!X$39+Alejandro!X$40)=0,NA(),Alejandro!X40/(Alejandro!X$38+Alejandro!X$39+Alejandro!X$40))</f>
        <v>2.3980513725714709E-2</v>
      </c>
    </row>
    <row r="18" spans="2:23" ht="15.75" customHeight="1" x14ac:dyDescent="0.2">
      <c r="B18" s="209" t="s">
        <v>159</v>
      </c>
      <c r="C18" s="90" t="s">
        <v>161</v>
      </c>
      <c r="D18" s="76">
        <f>Alejandro!F50/(Alejandro!$F$50+Alejandro!$F$51+Alejandro!$F$52)</f>
        <v>0.39132607706881645</v>
      </c>
      <c r="E18" s="77">
        <f>IF((Alejandro!G$47+Alejandro!G$48+Alejandro!G$49)=0,NA(),Alejandro!G47/(Alejandro!G$47+Alejandro!G$48+Alejandro!G$49))</f>
        <v>0.38115817837461469</v>
      </c>
      <c r="F18" s="77">
        <f>IF((Alejandro!H$47+Alejandro!H$48+Alejandro!H$49)=0,NA(),Alejandro!H47/(Alejandro!H$47+Alejandro!H$48+Alejandro!H$49))</f>
        <v>0.4050807615778278</v>
      </c>
      <c r="G18" s="77">
        <f>IF((Alejandro!I$47+Alejandro!I$48+Alejandro!I$49)=0,NA(),Alejandro!I47/(Alejandro!I$47+Alejandro!I$48+Alejandro!I$49))</f>
        <v>0.41603343149696964</v>
      </c>
      <c r="H18" s="77">
        <f>IF((Alejandro!J$47+Alejandro!J$48+Alejandro!J$49)=0,NA(),Alejandro!J47/(Alejandro!J$47+Alejandro!J$48+Alejandro!J$49))</f>
        <v>0.42883812469347132</v>
      </c>
      <c r="I18" s="77">
        <f>IF((Alejandro!K$47+Alejandro!K$48+Alejandro!K$49)=0,NA(),Alejandro!K47/(Alejandro!K$47+Alejandro!K$48+Alejandro!K$49))</f>
        <v>0.42668020174734106</v>
      </c>
      <c r="J18" s="77">
        <f>IF((Alejandro!L$47+Alejandro!L$48+Alejandro!L$49)=0,NA(),Alejandro!L47/(Alejandro!L$47+Alejandro!L$48+Alejandro!L$49))</f>
        <v>0.4136483009513508</v>
      </c>
      <c r="K18" s="77">
        <f>IF((Alejandro!M$47+Alejandro!M$48+Alejandro!M$49)=0,NA(),Alejandro!M47/(Alejandro!M$47+Alejandro!M$48+Alejandro!M$49))</f>
        <v>0.41284638513690602</v>
      </c>
      <c r="L18" s="77">
        <f>IF((Alejandro!N$47+Alejandro!N$48+Alejandro!N$49)=0,NA(),Alejandro!N47/(Alejandro!N$47+Alejandro!N$48+Alejandro!N$49))</f>
        <v>0.40992447544183341</v>
      </c>
      <c r="M18" s="77">
        <f>IF((Alejandro!O$47+Alejandro!O$48+Alejandro!O$49)=0,NA(),Alejandro!O47/(Alejandro!O$47+Alejandro!O$48+Alejandro!O$49))</f>
        <v>0.40561526579534529</v>
      </c>
      <c r="N18" s="77">
        <f>IF((Alejandro!P$47+Alejandro!P$48+Alejandro!P$49)=0,NA(),Alejandro!P47/(Alejandro!P$47+Alejandro!P$48+Alejandro!P$49))</f>
        <v>0.4046445485214632</v>
      </c>
      <c r="O18" s="77">
        <f>IF((Alejandro!Q$47+Alejandro!Q$48+Alejandro!Q$49)=0,NA(),Alejandro!Q47/(Alejandro!Q$47+Alejandro!Q$48+Alejandro!Q$49))</f>
        <v>0.402505319436535</v>
      </c>
      <c r="P18" s="77">
        <f>IF((Alejandro!R$47+Alejandro!R$48+Alejandro!R$49)=0,NA(),Alejandro!R47/(Alejandro!R$47+Alejandro!R$48+Alejandro!R$49))</f>
        <v>0.40168084467359022</v>
      </c>
      <c r="Q18" s="77">
        <f>IF((Alejandro!S$47+Alejandro!S$48+Alejandro!S$49)=0,NA(),Alejandro!S47/(Alejandro!S$47+Alejandro!S$48+Alejandro!S$49))</f>
        <v>0.39813690920524764</v>
      </c>
      <c r="R18" s="77">
        <f>IF((Alejandro!T$47+Alejandro!T$48+Alejandro!T$49)=0,NA(),Alejandro!T47/(Alejandro!T$47+Alejandro!T$48+Alejandro!T$49))</f>
        <v>0.3960725118094055</v>
      </c>
      <c r="S18" s="77">
        <f>IF((Alejandro!U$47+Alejandro!U$48+Alejandro!U$49)=0,NA(),Alejandro!U47/(Alejandro!U$47+Alejandro!U$48+Alejandro!U$49))</f>
        <v>0.39323990443243739</v>
      </c>
      <c r="T18" s="77">
        <f>IF((Alejandro!V$47+Alejandro!V$48+Alejandro!V$49)=0,NA(),Alejandro!V47/(Alejandro!V$47+Alejandro!V$48+Alejandro!V$49))</f>
        <v>0.3946462695262275</v>
      </c>
      <c r="U18" s="77">
        <f>IF((Alejandro!W$47+Alejandro!W$48+Alejandro!W$49)=0,NA(),Alejandro!W47/(Alejandro!W$47+Alejandro!W$48+Alejandro!W$49))</f>
        <v>0.39463371709225842</v>
      </c>
      <c r="V18" s="78">
        <f>IF((Alejandro!X$47+Alejandro!X$48+Alejandro!X$49)=0,NA(),Alejandro!X47/(Alejandro!X$47+Alejandro!X$48+Alejandro!X$49))</f>
        <v>0.39132607706881645</v>
      </c>
      <c r="W18" s="62"/>
    </row>
    <row r="19" spans="2:23" ht="15.75" customHeight="1" x14ac:dyDescent="0.2">
      <c r="B19" s="210"/>
      <c r="C19" s="91" t="s">
        <v>162</v>
      </c>
      <c r="D19" s="80">
        <f>Alejandro!F51/(Alejandro!$F$50+Alejandro!$F$51+Alejandro!$F$52)</f>
        <v>0.41561256232449628</v>
      </c>
      <c r="E19" s="81">
        <f>IF((Alejandro!G$47+Alejandro!G$48+Alejandro!G$49)=0,NA(),Alejandro!G48/(Alejandro!G$47+Alejandro!G$48+Alejandro!G$49))</f>
        <v>0.50072540369418506</v>
      </c>
      <c r="F19" s="81">
        <f>IF((Alejandro!H$47+Alejandro!H$48+Alejandro!H$49)=0,NA(),Alejandro!H48/(Alejandro!H$47+Alejandro!H$48+Alejandro!H$49))</f>
        <v>0.44840863280978854</v>
      </c>
      <c r="G19" s="81">
        <f>IF((Alejandro!I$47+Alejandro!I$48+Alejandro!I$49)=0,NA(),Alejandro!I48/(Alejandro!I$47+Alejandro!I$48+Alejandro!I$49))</f>
        <v>0.44407990165151201</v>
      </c>
      <c r="H19" s="81">
        <f>IF((Alejandro!J$47+Alejandro!J$48+Alejandro!J$49)=0,NA(),Alejandro!J48/(Alejandro!J$47+Alejandro!J$48+Alejandro!J$49))</f>
        <v>0.430333107784867</v>
      </c>
      <c r="I19" s="81">
        <f>IF((Alejandro!K$47+Alejandro!K$48+Alejandro!K$49)=0,NA(),Alejandro!K48/(Alejandro!K$47+Alejandro!K$48+Alejandro!K$49))</f>
        <v>0.43009974781903593</v>
      </c>
      <c r="J19" s="81">
        <f>IF((Alejandro!L$47+Alejandro!L$48+Alejandro!L$49)=0,NA(),Alejandro!L48/(Alejandro!L$47+Alejandro!L$48+Alejandro!L$49))</f>
        <v>0.43634741317692854</v>
      </c>
      <c r="K19" s="81">
        <f>IF((Alejandro!M$47+Alejandro!M$48+Alejandro!M$49)=0,NA(),Alejandro!M48/(Alejandro!M$47+Alejandro!M$48+Alejandro!M$49))</f>
        <v>0.43345699485929007</v>
      </c>
      <c r="L19" s="81">
        <f>IF((Alejandro!N$47+Alejandro!N$48+Alejandro!N$49)=0,NA(),Alejandro!N48/(Alejandro!N$47+Alejandro!N$48+Alejandro!N$49))</f>
        <v>0.43147368127015173</v>
      </c>
      <c r="M19" s="81">
        <f>IF((Alejandro!O$47+Alejandro!O$48+Alejandro!O$49)=0,NA(),Alejandro!O48/(Alejandro!O$47+Alejandro!O$48+Alejandro!O$49))</f>
        <v>0.4348176528965168</v>
      </c>
      <c r="N19" s="81">
        <f>IF((Alejandro!P$47+Alejandro!P$48+Alejandro!P$49)=0,NA(),Alejandro!P48/(Alejandro!P$47+Alejandro!P$48+Alejandro!P$49))</f>
        <v>0.42764302593535919</v>
      </c>
      <c r="O19" s="81">
        <f>IF((Alejandro!Q$47+Alejandro!Q$48+Alejandro!Q$49)=0,NA(),Alejandro!Q48/(Alejandro!Q$47+Alejandro!Q$48+Alejandro!Q$49))</f>
        <v>0.42908740198926065</v>
      </c>
      <c r="P19" s="81">
        <f>IF((Alejandro!R$47+Alejandro!R$48+Alejandro!R$49)=0,NA(),Alejandro!R48/(Alejandro!R$47+Alejandro!R$48+Alejandro!R$49))</f>
        <v>0.42916649687767222</v>
      </c>
      <c r="Q19" s="81">
        <f>IF((Alejandro!S$47+Alejandro!S$48+Alejandro!S$49)=0,NA(),Alejandro!S48/(Alejandro!S$47+Alejandro!S$48+Alejandro!S$49))</f>
        <v>0.43090722468649822</v>
      </c>
      <c r="R19" s="81">
        <f>IF((Alejandro!T$47+Alejandro!T$48+Alejandro!T$49)=0,NA(),Alejandro!T48/(Alejandro!T$47+Alejandro!T$48+Alejandro!T$49))</f>
        <v>0.42465539533374391</v>
      </c>
      <c r="S19" s="81">
        <f>IF((Alejandro!U$47+Alejandro!U$48+Alejandro!U$49)=0,NA(),Alejandro!U48/(Alejandro!U$47+Alejandro!U$48+Alejandro!U$49))</f>
        <v>0.42509483589258362</v>
      </c>
      <c r="T19" s="81">
        <f>IF((Alejandro!V$47+Alejandro!V$48+Alejandro!V$49)=0,NA(),Alejandro!V48/(Alejandro!V$47+Alejandro!V$48+Alejandro!V$49))</f>
        <v>0.42154632976833084</v>
      </c>
      <c r="U19" s="81">
        <f>IF((Alejandro!W$47+Alejandro!W$48+Alejandro!W$49)=0,NA(),Alejandro!W48/(Alejandro!W$47+Alejandro!W$48+Alejandro!W$49))</f>
        <v>0.41634668709123135</v>
      </c>
      <c r="V19" s="82">
        <f>IF((Alejandro!X$47+Alejandro!X$48+Alejandro!X$49)=0,NA(),Alejandro!X48/(Alejandro!X$47+Alejandro!X$48+Alejandro!X$49))</f>
        <v>0.41561256232449628</v>
      </c>
    </row>
    <row r="20" spans="2:23" ht="15.75" customHeight="1" thickBot="1" x14ac:dyDescent="0.25">
      <c r="B20" s="211"/>
      <c r="C20" s="92" t="s">
        <v>0</v>
      </c>
      <c r="D20" s="84">
        <f>Alejandro!F52/(Alejandro!$F$50+Alejandro!$F$51+Alejandro!$F$52)</f>
        <v>0.19306136060668733</v>
      </c>
      <c r="E20" s="85">
        <f>IF((Alejandro!G$47+Alejandro!G$48+Alejandro!G$49)=0,NA(),Alejandro!G49/(Alejandro!G$47+Alejandro!G$48+Alejandro!G$49))</f>
        <v>0.11811641793120026</v>
      </c>
      <c r="F20" s="85">
        <f>IF((Alejandro!H$47+Alejandro!H$48+Alejandro!H$49)=0,NA(),Alejandro!H49/(Alejandro!H$47+Alejandro!H$48+Alejandro!H$49))</f>
        <v>0.14651060561238363</v>
      </c>
      <c r="G20" s="85">
        <f>IF((Alejandro!I$47+Alejandro!I$48+Alejandro!I$49)=0,NA(),Alejandro!I49/(Alejandro!I$47+Alejandro!I$48+Alejandro!I$49))</f>
        <v>0.1398866668515184</v>
      </c>
      <c r="H20" s="85">
        <f>IF((Alejandro!J$47+Alejandro!J$48+Alejandro!J$49)=0,NA(),Alejandro!J49/(Alejandro!J$47+Alejandro!J$48+Alejandro!J$49))</f>
        <v>0.14082876752166162</v>
      </c>
      <c r="I20" s="85">
        <f>IF((Alejandro!K$47+Alejandro!K$48+Alejandro!K$49)=0,NA(),Alejandro!K49/(Alejandro!K$47+Alejandro!K$48+Alejandro!K$49))</f>
        <v>0.14322005043362315</v>
      </c>
      <c r="J20" s="85">
        <f>IF((Alejandro!L$47+Alejandro!L$48+Alejandro!L$49)=0,NA(),Alejandro!L49/(Alejandro!L$47+Alejandro!L$48+Alejandro!L$49))</f>
        <v>0.15000428587172068</v>
      </c>
      <c r="K20" s="85">
        <f>IF((Alejandro!M$47+Alejandro!M$48+Alejandro!M$49)=0,NA(),Alejandro!M49/(Alejandro!M$47+Alejandro!M$48+Alejandro!M$49))</f>
        <v>0.15369662000380396</v>
      </c>
      <c r="L20" s="85">
        <f>IF((Alejandro!N$47+Alejandro!N$48+Alejandro!N$49)=0,NA(),Alejandro!N49/(Alejandro!N$47+Alejandro!N$48+Alejandro!N$49))</f>
        <v>0.15860184328801485</v>
      </c>
      <c r="M20" s="85">
        <f>IF((Alejandro!O$47+Alejandro!O$48+Alejandro!O$49)=0,NA(),Alejandro!O49/(Alejandro!O$47+Alejandro!O$48+Alejandro!O$49))</f>
        <v>0.15956708130813793</v>
      </c>
      <c r="N20" s="85">
        <f>IF((Alejandro!P$47+Alejandro!P$48+Alejandro!P$49)=0,NA(),Alejandro!P49/(Alejandro!P$47+Alejandro!P$48+Alejandro!P$49))</f>
        <v>0.16771242554317764</v>
      </c>
      <c r="O20" s="85">
        <f>IF((Alejandro!Q$47+Alejandro!Q$48+Alejandro!Q$49)=0,NA(),Alejandro!Q49/(Alejandro!Q$47+Alejandro!Q$48+Alejandro!Q$49))</f>
        <v>0.16840727857420426</v>
      </c>
      <c r="P20" s="85">
        <f>IF((Alejandro!R$47+Alejandro!R$48+Alejandro!R$49)=0,NA(),Alejandro!R49/(Alejandro!R$47+Alejandro!R$48+Alejandro!R$49))</f>
        <v>0.16915265844873759</v>
      </c>
      <c r="Q20" s="85">
        <f>IF((Alejandro!S$47+Alejandro!S$48+Alejandro!S$49)=0,NA(),Alejandro!S49/(Alejandro!S$47+Alejandro!S$48+Alejandro!S$49))</f>
        <v>0.17095586610825408</v>
      </c>
      <c r="R20" s="85">
        <f>IF((Alejandro!T$47+Alejandro!T$48+Alejandro!T$49)=0,NA(),Alejandro!T49/(Alejandro!T$47+Alejandro!T$48+Alejandro!T$49))</f>
        <v>0.1792720928568505</v>
      </c>
      <c r="S20" s="85">
        <f>IF((Alejandro!U$47+Alejandro!U$48+Alejandro!U$49)=0,NA(),Alejandro!U49/(Alejandro!U$47+Alejandro!U$48+Alejandro!U$49))</f>
        <v>0.18166525967497896</v>
      </c>
      <c r="T20" s="85">
        <f>IF((Alejandro!V$47+Alejandro!V$48+Alejandro!V$49)=0,NA(),Alejandro!V49/(Alejandro!V$47+Alejandro!V$48+Alejandro!V$49))</f>
        <v>0.18380740070544166</v>
      </c>
      <c r="U20" s="85">
        <f>IF((Alejandro!W$47+Alejandro!W$48+Alejandro!W$49)=0,NA(),Alejandro!W49/(Alejandro!W$47+Alejandro!W$48+Alejandro!W$49))</f>
        <v>0.18901959581651032</v>
      </c>
      <c r="V20" s="86">
        <f>IF((Alejandro!X$47+Alejandro!X$48+Alejandro!X$49)=0,NA(),Alejandro!X49/(Alejandro!X$47+Alejandro!X$48+Alejandro!X$49))</f>
        <v>0.19306136060668733</v>
      </c>
    </row>
    <row r="21" spans="2:23" ht="15.75" customHeight="1" x14ac:dyDescent="0.2">
      <c r="B21" s="206" t="s">
        <v>143</v>
      </c>
      <c r="C21" s="87" t="s">
        <v>145</v>
      </c>
      <c r="D21" s="64">
        <f>Alejandro!F59/(Alejandro!$F$59+Alejandro!$F$60+Alejandro!$F$61)</f>
        <v>0.53475121215620891</v>
      </c>
      <c r="E21" s="65">
        <f>IF((Alejandro!G$56+Alejandro!G$57+Alejandro!G$58)=0,NA(),Alejandro!G56/(Alejandro!G$56+Alejandro!G$57+Alejandro!G$58))</f>
        <v>0.57646833843172829</v>
      </c>
      <c r="F21" s="65">
        <f>IF((Alejandro!H$56+Alejandro!H$57+Alejandro!H$58)=0,NA(),Alejandro!H56/(Alejandro!H$56+Alejandro!H$57+Alejandro!H$58))</f>
        <v>0.53468454638220519</v>
      </c>
      <c r="G21" s="65">
        <f>IF((Alejandro!I$56+Alejandro!I$57+Alejandro!I$58)=0,NA(),Alejandro!I56/(Alejandro!I$56+Alejandro!I$57+Alejandro!I$58))</f>
        <v>0.53915457262157007</v>
      </c>
      <c r="H21" s="65">
        <f>IF((Alejandro!J$56+Alejandro!J$57+Alejandro!J$58)=0,NA(),Alejandro!J56/(Alejandro!J$56+Alejandro!J$57+Alejandro!J$58))</f>
        <v>0.53615586631407874</v>
      </c>
      <c r="I21" s="65">
        <f>IF((Alejandro!K$56+Alejandro!K$57+Alejandro!K$58)=0,NA(),Alejandro!K56/(Alejandro!K$56+Alejandro!K$57+Alejandro!K$58))</f>
        <v>0.55342673303979661</v>
      </c>
      <c r="J21" s="65">
        <f>IF((Alejandro!L$56+Alejandro!L$57+Alejandro!L$58)=0,NA(),Alejandro!L56/(Alejandro!L$56+Alejandro!L$57+Alejandro!L$58))</f>
        <v>0.56225769705345896</v>
      </c>
      <c r="K21" s="65">
        <f>IF((Alejandro!M$56+Alejandro!M$57+Alejandro!M$58)=0,NA(),Alejandro!M56/(Alejandro!M$56+Alejandro!M$57+Alejandro!M$58))</f>
        <v>0.55671099397688484</v>
      </c>
      <c r="L21" s="65">
        <f>IF((Alejandro!N$56+Alejandro!N$57+Alejandro!N$58)=0,NA(),Alejandro!N56/(Alejandro!N$56+Alejandro!N$57+Alejandro!N$58))</f>
        <v>0.54851139173582142</v>
      </c>
      <c r="M21" s="65">
        <f>IF((Alejandro!O$56+Alejandro!O$57+Alejandro!O$58)=0,NA(),Alejandro!O56/(Alejandro!O$56+Alejandro!O$57+Alejandro!O$58))</f>
        <v>0.54840872922974226</v>
      </c>
      <c r="N21" s="65">
        <f>IF((Alejandro!P$56+Alejandro!P$57+Alejandro!P$58)=0,NA(),Alejandro!P56/(Alejandro!P$56+Alejandro!P$57+Alejandro!P$58))</f>
        <v>0.54514829256914354</v>
      </c>
      <c r="O21" s="65">
        <f>IF((Alejandro!Q$56+Alejandro!Q$57+Alejandro!Q$58)=0,NA(),Alejandro!Q56/(Alejandro!Q$56+Alejandro!Q$57+Alejandro!Q$58))</f>
        <v>0.54117585103392996</v>
      </c>
      <c r="P21" s="65">
        <f>IF((Alejandro!R$56+Alejandro!R$57+Alejandro!R$58)=0,NA(),Alejandro!R56/(Alejandro!R$56+Alejandro!R$57+Alejandro!R$58))</f>
        <v>0.54140097030902168</v>
      </c>
      <c r="Q21" s="65">
        <f>IF((Alejandro!S$56+Alejandro!S$57+Alejandro!S$58)=0,NA(),Alejandro!S56/(Alejandro!S$56+Alejandro!S$57+Alejandro!S$58))</f>
        <v>0.53794674219503547</v>
      </c>
      <c r="R21" s="65">
        <f>IF((Alejandro!T$56+Alejandro!T$57+Alejandro!T$58)=0,NA(),Alejandro!T56/(Alejandro!T$56+Alejandro!T$57+Alejandro!T$58))</f>
        <v>0.53576881143653698</v>
      </c>
      <c r="S21" s="65">
        <f>IF((Alejandro!U$56+Alejandro!U$57+Alejandro!U$58)=0,NA(),Alejandro!U56/(Alejandro!U$56+Alejandro!U$57+Alejandro!U$58))</f>
        <v>0.53584740067140879</v>
      </c>
      <c r="T21" s="65">
        <f>IF((Alejandro!V$56+Alejandro!V$57+Alejandro!V$58)=0,NA(),Alejandro!V56/(Alejandro!V$56+Alejandro!V$57+Alejandro!V$58))</f>
        <v>0.53576921099470065</v>
      </c>
      <c r="U21" s="65">
        <f>IF((Alejandro!W$56+Alejandro!W$57+Alejandro!W$58)=0,NA(),Alejandro!W56/(Alejandro!W$56+Alejandro!W$57+Alejandro!W$58))</f>
        <v>0.53599492194179665</v>
      </c>
      <c r="V21" s="66">
        <f>IF((Alejandro!X$56+Alejandro!X$57+Alejandro!X$58)=0,NA(),Alejandro!X56/(Alejandro!X$56+Alejandro!X$57+Alejandro!X$58))</f>
        <v>0.53475121215620891</v>
      </c>
    </row>
    <row r="22" spans="2:23" ht="15.75" customHeight="1" x14ac:dyDescent="0.2">
      <c r="B22" s="207"/>
      <c r="C22" s="88" t="s">
        <v>146</v>
      </c>
      <c r="D22" s="68">
        <f>Alejandro!F60/(Alejandro!$F$59+Alejandro!$F$60+Alejandro!$F$61)</f>
        <v>0.42214297850537835</v>
      </c>
      <c r="E22" s="69">
        <f>IF((Alejandro!G$56+Alejandro!G$57+Alejandro!G$58)=0,NA(),Alejandro!G57/(Alejandro!G$56+Alejandro!G$57+Alejandro!G$58))</f>
        <v>0.37097224423972308</v>
      </c>
      <c r="F22" s="69">
        <f>IF((Alejandro!H$56+Alejandro!H$57+Alejandro!H$58)=0,NA(),Alejandro!H57/(Alejandro!H$56+Alejandro!H$57+Alejandro!H$58))</f>
        <v>0.4131194596023513</v>
      </c>
      <c r="G22" s="69">
        <f>IF((Alejandro!I$56+Alejandro!I$57+Alejandro!I$58)=0,NA(),Alejandro!I57/(Alejandro!I$56+Alejandro!I$57+Alejandro!I$58))</f>
        <v>0.40525386883226155</v>
      </c>
      <c r="H22" s="69">
        <f>IF((Alejandro!J$56+Alejandro!J$57+Alejandro!J$58)=0,NA(),Alejandro!J57/(Alejandro!J$56+Alejandro!J$57+Alejandro!J$58))</f>
        <v>0.39914787389310741</v>
      </c>
      <c r="I22" s="69">
        <f>IF((Alejandro!K$56+Alejandro!K$57+Alejandro!K$58)=0,NA(),Alejandro!K57/(Alejandro!K$56+Alejandro!K$57+Alejandro!K$58))</f>
        <v>0.39167733438415969</v>
      </c>
      <c r="J22" s="69">
        <f>IF((Alejandro!L$56+Alejandro!L$57+Alejandro!L$58)=0,NA(),Alejandro!L57/(Alejandro!L$56+Alejandro!L$57+Alejandro!L$58))</f>
        <v>0.38514065116927348</v>
      </c>
      <c r="K22" s="69">
        <f>IF((Alejandro!M$56+Alejandro!M$57+Alejandro!M$58)=0,NA(),Alejandro!M57/(Alejandro!M$56+Alejandro!M$57+Alejandro!M$58))</f>
        <v>0.39404314422710268</v>
      </c>
      <c r="L22" s="69">
        <f>IF((Alejandro!N$56+Alejandro!N$57+Alejandro!N$58)=0,NA(),Alejandro!N57/(Alejandro!N$56+Alejandro!N$57+Alejandro!N$58))</f>
        <v>0.404611113586682</v>
      </c>
      <c r="M22" s="69">
        <f>IF((Alejandro!O$56+Alejandro!O$57+Alejandro!O$58)=0,NA(),Alejandro!O57/(Alejandro!O$56+Alejandro!O$57+Alejandro!O$58))</f>
        <v>0.40598701261730263</v>
      </c>
      <c r="N22" s="69">
        <f>IF((Alejandro!P$56+Alejandro!P$57+Alejandro!P$58)=0,NA(),Alejandro!P57/(Alejandro!P$56+Alejandro!P$57+Alejandro!P$58))</f>
        <v>0.41038361593225525</v>
      </c>
      <c r="O22" s="69">
        <f>IF((Alejandro!Q$56+Alejandro!Q$57+Alejandro!Q$58)=0,NA(),Alejandro!Q57/(Alejandro!Q$56+Alejandro!Q$57+Alejandro!Q$58))</f>
        <v>0.41391635235583762</v>
      </c>
      <c r="P22" s="69">
        <f>IF((Alejandro!R$56+Alejandro!R$57+Alejandro!R$58)=0,NA(),Alejandro!R57/(Alejandro!R$56+Alejandro!R$57+Alejandro!R$58))</f>
        <v>0.41583386158075697</v>
      </c>
      <c r="Q22" s="69">
        <f>IF((Alejandro!S$56+Alejandro!S$57+Alejandro!S$58)=0,NA(),Alejandro!S57/(Alejandro!S$56+Alejandro!S$57+Alejandro!S$58))</f>
        <v>0.41983001298496675</v>
      </c>
      <c r="R22" s="69">
        <f>IF((Alejandro!T$56+Alejandro!T$57+Alejandro!T$58)=0,NA(),Alejandro!T57/(Alejandro!T$56+Alejandro!T$57+Alejandro!T$58))</f>
        <v>0.4206058894763865</v>
      </c>
      <c r="S22" s="69">
        <f>IF((Alejandro!U$56+Alejandro!U$57+Alejandro!U$58)=0,NA(),Alejandro!U57/(Alejandro!U$56+Alejandro!U$57+Alejandro!U$58))</f>
        <v>0.42082061759043726</v>
      </c>
      <c r="T22" s="69">
        <f>IF((Alejandro!V$56+Alejandro!V$57+Alejandro!V$58)=0,NA(),Alejandro!V57/(Alejandro!V$56+Alejandro!V$57+Alejandro!V$58))</f>
        <v>0.42021109190162304</v>
      </c>
      <c r="U22" s="69">
        <f>IF((Alejandro!W$56+Alejandro!W$57+Alejandro!W$58)=0,NA(),Alejandro!W57/(Alejandro!W$56+Alejandro!W$57+Alejandro!W$58))</f>
        <v>0.4202728088826263</v>
      </c>
      <c r="V22" s="70">
        <f>IF((Alejandro!X$56+Alejandro!X$57+Alejandro!X$58)=0,NA(),Alejandro!X57/(Alejandro!X$56+Alejandro!X$57+Alejandro!X$58))</f>
        <v>0.42214297850537835</v>
      </c>
    </row>
    <row r="23" spans="2:23" ht="15.75" customHeight="1" thickBot="1" x14ac:dyDescent="0.25">
      <c r="B23" s="208"/>
      <c r="C23" s="89" t="s">
        <v>0</v>
      </c>
      <c r="D23" s="72">
        <f>Alejandro!F61/(Alejandro!$F$59+Alejandro!$F$60+Alejandro!$F$61)</f>
        <v>4.3105809338412855E-2</v>
      </c>
      <c r="E23" s="73">
        <f>IF((Alejandro!G$56+Alejandro!G$57+Alejandro!G$58)=0,NA(),Alejandro!G58/(Alejandro!G$56+Alejandro!G$57+Alejandro!G$58))</f>
        <v>5.2559417328548706E-2</v>
      </c>
      <c r="F23" s="73">
        <f>IF((Alejandro!H$56+Alejandro!H$57+Alejandro!H$58)=0,NA(),Alejandro!H58/(Alejandro!H$56+Alejandro!H$57+Alejandro!H$58))</f>
        <v>5.2195994015443413E-2</v>
      </c>
      <c r="G23" s="73">
        <f>IF((Alejandro!I$56+Alejandro!I$57+Alejandro!I$58)=0,NA(),Alejandro!I58/(Alejandro!I$56+Alejandro!I$57+Alejandro!I$58))</f>
        <v>5.5591558546168367E-2</v>
      </c>
      <c r="H23" s="73">
        <f>IF((Alejandro!J$56+Alejandro!J$57+Alejandro!J$58)=0,NA(),Alejandro!J58/(Alejandro!J$56+Alejandro!J$57+Alejandro!J$58))</f>
        <v>6.4696259792813765E-2</v>
      </c>
      <c r="I23" s="73">
        <f>IF((Alejandro!K$56+Alejandro!K$57+Alejandro!K$58)=0,NA(),Alejandro!K58/(Alejandro!K$56+Alejandro!K$57+Alejandro!K$58))</f>
        <v>5.4895932576043749E-2</v>
      </c>
      <c r="J23" s="73">
        <f>IF((Alejandro!L$56+Alejandro!L$57+Alejandro!L$58)=0,NA(),Alejandro!L58/(Alejandro!L$56+Alejandro!L$57+Alejandro!L$58))</f>
        <v>5.2601651777267659E-2</v>
      </c>
      <c r="K23" s="73">
        <f>IF((Alejandro!M$56+Alejandro!M$57+Alejandro!M$58)=0,NA(),Alejandro!M58/(Alejandro!M$56+Alejandro!M$57+Alejandro!M$58))</f>
        <v>4.9245861796012438E-2</v>
      </c>
      <c r="L23" s="73">
        <f>IF((Alejandro!N$56+Alejandro!N$57+Alejandro!N$58)=0,NA(),Alejandro!N58/(Alejandro!N$56+Alejandro!N$57+Alejandro!N$58))</f>
        <v>4.6877494677496613E-2</v>
      </c>
      <c r="M23" s="73">
        <f>IF((Alejandro!O$56+Alejandro!O$57+Alejandro!O$58)=0,NA(),Alejandro!O58/(Alejandro!O$56+Alejandro!O$57+Alejandro!O$58))</f>
        <v>4.5604258152955067E-2</v>
      </c>
      <c r="N23" s="73">
        <f>IF((Alejandro!P$56+Alejandro!P$57+Alejandro!P$58)=0,NA(),Alejandro!P58/(Alejandro!P$56+Alejandro!P$57+Alejandro!P$58))</f>
        <v>4.4468091498601169E-2</v>
      </c>
      <c r="O23" s="73">
        <f>IF((Alejandro!Q$56+Alejandro!Q$57+Alejandro!Q$58)=0,NA(),Alejandro!Q58/(Alejandro!Q$56+Alejandro!Q$57+Alejandro!Q$58))</f>
        <v>4.4907796610232427E-2</v>
      </c>
      <c r="P23" s="73">
        <f>IF((Alejandro!R$56+Alejandro!R$57+Alejandro!R$58)=0,NA(),Alejandro!R58/(Alejandro!R$56+Alejandro!R$57+Alejandro!R$58))</f>
        <v>4.2765168110221193E-2</v>
      </c>
      <c r="Q23" s="73">
        <f>IF((Alejandro!S$56+Alejandro!S$57+Alejandro!S$58)=0,NA(),Alejandro!S58/(Alejandro!S$56+Alejandro!S$57+Alejandro!S$58))</f>
        <v>4.2223244819997723E-2</v>
      </c>
      <c r="R23" s="73">
        <f>IF((Alejandro!T$56+Alejandro!T$57+Alejandro!T$58)=0,NA(),Alejandro!T58/(Alejandro!T$56+Alejandro!T$57+Alejandro!T$58))</f>
        <v>4.3625299087076595E-2</v>
      </c>
      <c r="S23" s="73">
        <f>IF((Alejandro!U$56+Alejandro!U$57+Alejandro!U$58)=0,NA(),Alejandro!U58/(Alejandro!U$56+Alejandro!U$57+Alejandro!U$58))</f>
        <v>4.3331981738154009E-2</v>
      </c>
      <c r="T23" s="73">
        <f>IF((Alejandro!V$56+Alejandro!V$57+Alejandro!V$58)=0,NA(),Alejandro!V58/(Alejandro!V$56+Alejandro!V$57+Alejandro!V$58))</f>
        <v>4.4019697103676245E-2</v>
      </c>
      <c r="U23" s="73">
        <f>IF((Alejandro!W$56+Alejandro!W$57+Alejandro!W$58)=0,NA(),Alejandro!W58/(Alejandro!W$56+Alejandro!W$57+Alejandro!W$58))</f>
        <v>4.3732269175577015E-2</v>
      </c>
      <c r="V23" s="74">
        <f>IF((Alejandro!X$56+Alejandro!X$57+Alejandro!X$58)=0,NA(),Alejandro!X58/(Alejandro!X$56+Alejandro!X$57+Alejandro!X$58))</f>
        <v>4.3105809338412855E-2</v>
      </c>
    </row>
    <row r="24" spans="2:23" ht="15.75" customHeight="1" x14ac:dyDescent="0.2">
      <c r="B24" s="209" t="s">
        <v>163</v>
      </c>
      <c r="C24" s="90" t="s">
        <v>164</v>
      </c>
      <c r="D24" s="76">
        <f>Alejandro!F68/(Alejandro!$F$68+Alejandro!$F$69+Alejandro!$F$70)</f>
        <v>0.42889251603743611</v>
      </c>
      <c r="E24" s="77">
        <f>IF((Alejandro!G$65+Alejandro!G$66+Alejandro!G$67)=0,NA(),Alejandro!G65/(Alejandro!G$65+Alejandro!G$66+Alejandro!G$67))</f>
        <v>0.4</v>
      </c>
      <c r="F24" s="77">
        <f>IF((Alejandro!H$65+Alejandro!H$66+Alejandro!H$67)=0,NA(),Alejandro!H65/(Alejandro!H$65+Alejandro!H$66+Alejandro!H$67))</f>
        <v>0.32222222222222224</v>
      </c>
      <c r="G24" s="77">
        <f>IF((Alejandro!I$65+Alejandro!I$66+Alejandro!I$67)=0,NA(),Alejandro!I65/(Alejandro!I$65+Alejandro!I$66+Alejandro!I$67))</f>
        <v>0.36844247687230752</v>
      </c>
      <c r="H24" s="77">
        <f>IF((Alejandro!J$65+Alejandro!J$66+Alejandro!J$67)=0,NA(),Alejandro!J65/(Alejandro!J$65+Alejandro!J$66+Alejandro!J$67))</f>
        <v>0.39756082820057143</v>
      </c>
      <c r="I24" s="77">
        <f>IF((Alejandro!K$65+Alejandro!K$66+Alejandro!K$67)=0,NA(),Alejandro!K65/(Alejandro!K$65+Alejandro!K$66+Alejandro!K$67))</f>
        <v>0.41270999244086159</v>
      </c>
      <c r="J24" s="77">
        <f>IF((Alejandro!L$65+Alejandro!L$66+Alejandro!L$67)=0,NA(),Alejandro!L65/(Alejandro!L$65+Alejandro!L$66+Alejandro!L$67))</f>
        <v>0.40895647688187242</v>
      </c>
      <c r="K24" s="77">
        <f>IF((Alejandro!M$65+Alejandro!M$66+Alejandro!M$67)=0,NA(),Alejandro!M65/(Alejandro!M$65+Alejandro!M$66+Alejandro!M$67))</f>
        <v>0.43798375206733559</v>
      </c>
      <c r="L24" s="77">
        <f>IF((Alejandro!N$65+Alejandro!N$66+Alejandro!N$67)=0,NA(),Alejandro!N65/(Alejandro!N$65+Alejandro!N$66+Alejandro!N$67))</f>
        <v>0.44082513333302203</v>
      </c>
      <c r="M24" s="77">
        <f>IF((Alejandro!O$65+Alejandro!O$66+Alejandro!O$67)=0,NA(),Alejandro!O65/(Alejandro!O$65+Alejandro!O$66+Alejandro!O$67))</f>
        <v>0.45318576116371817</v>
      </c>
      <c r="N24" s="77">
        <f>IF((Alejandro!P$65+Alejandro!P$66+Alejandro!P$67)=0,NA(),Alejandro!P65/(Alejandro!P$65+Alejandro!P$66+Alejandro!P$67))</f>
        <v>0.44254044381737861</v>
      </c>
      <c r="O24" s="77">
        <f>IF((Alejandro!Q$65+Alejandro!Q$66+Alejandro!Q$67)=0,NA(),Alejandro!Q65/(Alejandro!Q$65+Alejandro!Q$66+Alejandro!Q$67))</f>
        <v>0.44608769827024991</v>
      </c>
      <c r="P24" s="77">
        <f>IF((Alejandro!R$65+Alejandro!R$66+Alejandro!R$67)=0,NA(),Alejandro!R65/(Alejandro!R$65+Alejandro!R$66+Alejandro!R$67))</f>
        <v>0.4531639419076795</v>
      </c>
      <c r="Q24" s="77">
        <f>IF((Alejandro!S$65+Alejandro!S$66+Alejandro!S$67)=0,NA(),Alejandro!S65/(Alejandro!S$65+Alejandro!S$66+Alejandro!S$67))</f>
        <v>0.443464332515001</v>
      </c>
      <c r="R24" s="77">
        <f>IF((Alejandro!T$65+Alejandro!T$66+Alejandro!T$67)=0,NA(),Alejandro!T65/(Alejandro!T$65+Alejandro!T$66+Alejandro!T$67))</f>
        <v>0.44861980572668608</v>
      </c>
      <c r="S24" s="77">
        <f>IF((Alejandro!U$65+Alejandro!U$66+Alejandro!U$67)=0,NA(),Alejandro!U65/(Alejandro!U$65+Alejandro!U$66+Alejandro!U$67))</f>
        <v>0.44364506793589825</v>
      </c>
      <c r="T24" s="77">
        <f>IF((Alejandro!V$65+Alejandro!V$66+Alejandro!V$67)=0,NA(),Alejandro!V65/(Alejandro!V$65+Alejandro!V$66+Alejandro!V$67))</f>
        <v>0.44389113515378609</v>
      </c>
      <c r="U24" s="77">
        <f>IF((Alejandro!W$65+Alejandro!W$66+Alejandro!W$67)=0,NA(),Alejandro!W65/(Alejandro!W$65+Alejandro!W$66+Alejandro!W$67))</f>
        <v>0.43215679316417366</v>
      </c>
      <c r="V24" s="78">
        <f>IF((Alejandro!X$65+Alejandro!X$66+Alejandro!X$67)=0,NA(),Alejandro!X65/(Alejandro!X$65+Alejandro!X$66+Alejandro!X$67))</f>
        <v>0.42889251603743611</v>
      </c>
    </row>
    <row r="25" spans="2:23" ht="15.75" customHeight="1" x14ac:dyDescent="0.2">
      <c r="B25" s="210"/>
      <c r="C25" s="91" t="s">
        <v>165</v>
      </c>
      <c r="D25" s="80">
        <f>Alejandro!F69/(Alejandro!$F$68+Alejandro!$F$69+Alejandro!$F$70)</f>
        <v>0.44392265286209281</v>
      </c>
      <c r="E25" s="81">
        <f>IF((Alejandro!G$65+Alejandro!G$66+Alejandro!G$67)=0,NA(),Alejandro!G66/(Alejandro!G$65+Alejandro!G$66+Alejandro!G$67))</f>
        <v>0.41666666666666669</v>
      </c>
      <c r="F25" s="81">
        <f>IF((Alejandro!H$65+Alejandro!H$66+Alejandro!H$67)=0,NA(),Alejandro!H66/(Alejandro!H$65+Alejandro!H$66+Alejandro!H$67))</f>
        <v>0.34444444444444444</v>
      </c>
      <c r="G25" s="81">
        <f>IF((Alejandro!I$65+Alejandro!I$66+Alejandro!I$67)=0,NA(),Alejandro!I66/(Alejandro!I$65+Alejandro!I$66+Alejandro!I$67))</f>
        <v>0.35223646229876132</v>
      </c>
      <c r="H25" s="81">
        <f>IF((Alejandro!J$65+Alejandro!J$66+Alejandro!J$67)=0,NA(),Alejandro!J66/(Alejandro!J$65+Alejandro!J$66+Alejandro!J$67))</f>
        <v>0.3475760409544208</v>
      </c>
      <c r="I25" s="81">
        <f>IF((Alejandro!K$65+Alejandro!K$66+Alejandro!K$67)=0,NA(),Alejandro!K66/(Alejandro!K$65+Alejandro!K$66+Alejandro!K$67))</f>
        <v>0.39834397935415827</v>
      </c>
      <c r="J25" s="81">
        <f>IF((Alejandro!L$65+Alejandro!L$66+Alejandro!L$67)=0,NA(),Alejandro!L66/(Alejandro!L$65+Alejandro!L$66+Alejandro!L$67))</f>
        <v>0.42224711092942402</v>
      </c>
      <c r="K25" s="81">
        <f>IF((Alejandro!M$65+Alejandro!M$66+Alejandro!M$67)=0,NA(),Alejandro!M66/(Alejandro!M$65+Alejandro!M$66+Alejandro!M$67))</f>
        <v>0.41504498083386787</v>
      </c>
      <c r="L25" s="81">
        <f>IF((Alejandro!N$65+Alejandro!N$66+Alejandro!N$67)=0,NA(),Alejandro!N66/(Alejandro!N$65+Alejandro!N$66+Alejandro!N$67))</f>
        <v>0.42463337861815731</v>
      </c>
      <c r="M25" s="81">
        <f>IF((Alejandro!O$65+Alejandro!O$66+Alejandro!O$67)=0,NA(),Alejandro!O66/(Alejandro!O$65+Alejandro!O$66+Alejandro!O$67))</f>
        <v>0.41649594846372445</v>
      </c>
      <c r="N25" s="81">
        <f>IF((Alejandro!P$65+Alejandro!P$66+Alejandro!P$67)=0,NA(),Alejandro!P66/(Alejandro!P$65+Alejandro!P$66+Alejandro!P$67))</f>
        <v>0.43235555956202504</v>
      </c>
      <c r="O25" s="81">
        <f>IF((Alejandro!Q$65+Alejandro!Q$66+Alejandro!Q$67)=0,NA(),Alejandro!Q66/(Alejandro!Q$65+Alejandro!Q$66+Alejandro!Q$67))</f>
        <v>0.42907031558965436</v>
      </c>
      <c r="P25" s="81">
        <f>IF((Alejandro!R$65+Alejandro!R$66+Alejandro!R$67)=0,NA(),Alejandro!R66/(Alejandro!R$65+Alejandro!R$66+Alejandro!R$67))</f>
        <v>0.42138430377403063</v>
      </c>
      <c r="Q25" s="81">
        <f>IF((Alejandro!S$65+Alejandro!S$66+Alejandro!S$67)=0,NA(),Alejandro!S66/(Alejandro!S$65+Alejandro!S$66+Alejandro!S$67))</f>
        <v>0.42306047813609216</v>
      </c>
      <c r="R25" s="81">
        <f>IF((Alejandro!T$65+Alejandro!T$66+Alejandro!T$67)=0,NA(),Alejandro!T66/(Alejandro!T$65+Alejandro!T$66+Alejandro!T$67))</f>
        <v>0.4238186972548415</v>
      </c>
      <c r="S25" s="81">
        <f>IF((Alejandro!U$65+Alejandro!U$66+Alejandro!U$67)=0,NA(),Alejandro!U66/(Alejandro!U$65+Alejandro!U$66+Alejandro!U$67))</f>
        <v>0.42940259123178864</v>
      </c>
      <c r="T25" s="81">
        <f>IF((Alejandro!V$65+Alejandro!V$66+Alejandro!V$67)=0,NA(),Alejandro!V66/(Alejandro!V$65+Alejandro!V$66+Alejandro!V$67))</f>
        <v>0.43292506727536917</v>
      </c>
      <c r="U25" s="81">
        <f>IF((Alejandro!W$65+Alejandro!W$66+Alejandro!W$67)=0,NA(),Alejandro!W66/(Alejandro!W$65+Alejandro!W$66+Alejandro!W$67))</f>
        <v>0.44408807962127661</v>
      </c>
      <c r="V25" s="82">
        <f>IF((Alejandro!X$65+Alejandro!X$66+Alejandro!X$67)=0,NA(),Alejandro!X66/(Alejandro!X$65+Alejandro!X$66+Alejandro!X$67))</f>
        <v>0.44392265286209281</v>
      </c>
    </row>
    <row r="26" spans="2:23" ht="15.75" customHeight="1" thickBot="1" x14ac:dyDescent="0.25">
      <c r="B26" s="211"/>
      <c r="C26" s="92" t="s">
        <v>0</v>
      </c>
      <c r="D26" s="84">
        <f>Alejandro!F70/(Alejandro!$F$68+Alejandro!$F$69+Alejandro!$F$70)</f>
        <v>0.12718483110047113</v>
      </c>
      <c r="E26" s="85">
        <f>IF((Alejandro!G$65+Alejandro!G$66+Alejandro!G$67)=0,NA(),Alejandro!G67/(Alejandro!G$65+Alejandro!G$66+Alejandro!G$67))</f>
        <v>0.18333333333333332</v>
      </c>
      <c r="F26" s="85">
        <f>IF((Alejandro!H$65+Alejandro!H$66+Alejandro!H$67)=0,NA(),Alejandro!H67/(Alejandro!H$65+Alejandro!H$66+Alejandro!H$67))</f>
        <v>0.33333333333333331</v>
      </c>
      <c r="G26" s="85">
        <f>IF((Alejandro!I$65+Alejandro!I$66+Alejandro!I$67)=0,NA(),Alejandro!I67/(Alejandro!I$65+Alejandro!I$66+Alejandro!I$67))</f>
        <v>0.27932106082893116</v>
      </c>
      <c r="H26" s="85">
        <f>IF((Alejandro!J$65+Alejandro!J$66+Alejandro!J$67)=0,NA(),Alejandro!J67/(Alejandro!J$65+Alejandro!J$66+Alejandro!J$67))</f>
        <v>0.25486313084500772</v>
      </c>
      <c r="I26" s="85">
        <f>IF((Alejandro!K$65+Alejandro!K$66+Alejandro!K$67)=0,NA(),Alejandro!K67/(Alejandro!K$65+Alejandro!K$66+Alejandro!K$67))</f>
        <v>0.18894602820498002</v>
      </c>
      <c r="J26" s="85">
        <f>IF((Alejandro!L$65+Alejandro!L$66+Alejandro!L$67)=0,NA(),Alejandro!L67/(Alejandro!L$65+Alejandro!L$66+Alejandro!L$67))</f>
        <v>0.16879641218870359</v>
      </c>
      <c r="K26" s="85">
        <f>IF((Alejandro!M$65+Alejandro!M$66+Alejandro!M$67)=0,NA(),Alejandro!M67/(Alejandro!M$65+Alejandro!M$66+Alejandro!M$67))</f>
        <v>0.14697126709879646</v>
      </c>
      <c r="L26" s="85">
        <f>IF((Alejandro!N$65+Alejandro!N$66+Alejandro!N$67)=0,NA(),Alejandro!N67/(Alejandro!N$65+Alejandro!N$66+Alejandro!N$67))</f>
        <v>0.1345414880488206</v>
      </c>
      <c r="M26" s="85">
        <f>IF((Alejandro!O$65+Alejandro!O$66+Alejandro!O$67)=0,NA(),Alejandro!O67/(Alejandro!O$65+Alejandro!O$66+Alejandro!O$67))</f>
        <v>0.13031829037255732</v>
      </c>
      <c r="N26" s="85">
        <f>IF((Alejandro!P$65+Alejandro!P$66+Alejandro!P$67)=0,NA(),Alejandro!P67/(Alejandro!P$65+Alejandro!P$66+Alejandro!P$67))</f>
        <v>0.12510399662059637</v>
      </c>
      <c r="O26" s="85">
        <f>IF((Alejandro!Q$65+Alejandro!Q$66+Alejandro!Q$67)=0,NA(),Alejandro!Q67/(Alejandro!Q$65+Alejandro!Q$66+Alejandro!Q$67))</f>
        <v>0.12484198614009574</v>
      </c>
      <c r="P26" s="85">
        <f>IF((Alejandro!R$65+Alejandro!R$66+Alejandro!R$67)=0,NA(),Alejandro!R67/(Alejandro!R$65+Alejandro!R$66+Alejandro!R$67))</f>
        <v>0.12545175431828998</v>
      </c>
      <c r="Q26" s="85">
        <f>IF((Alejandro!S$65+Alejandro!S$66+Alejandro!S$67)=0,NA(),Alejandro!S67/(Alejandro!S$65+Alejandro!S$66+Alejandro!S$67))</f>
        <v>0.13347518934890687</v>
      </c>
      <c r="R26" s="85">
        <f>IF((Alejandro!T$65+Alejandro!T$66+Alejandro!T$67)=0,NA(),Alejandro!T67/(Alejandro!T$65+Alejandro!T$66+Alejandro!T$67))</f>
        <v>0.12756149701847244</v>
      </c>
      <c r="S26" s="85">
        <f>IF((Alejandro!U$65+Alejandro!U$66+Alejandro!U$67)=0,NA(),Alejandro!U67/(Alejandro!U$65+Alejandro!U$66+Alejandro!U$67))</f>
        <v>0.12695234083231297</v>
      </c>
      <c r="T26" s="85">
        <f>IF((Alejandro!V$65+Alejandro!V$66+Alejandro!V$67)=0,NA(),Alejandro!V67/(Alejandro!V$65+Alejandro!V$66+Alejandro!V$67))</f>
        <v>0.12318379757084481</v>
      </c>
      <c r="U26" s="85">
        <f>IF((Alejandro!W$65+Alejandro!W$66+Alejandro!W$67)=0,NA(),Alejandro!W67/(Alejandro!W$65+Alejandro!W$66+Alejandro!W$67))</f>
        <v>0.12375512721454991</v>
      </c>
      <c r="V26" s="86">
        <f>IF((Alejandro!X$65+Alejandro!X$66+Alejandro!X$67)=0,NA(),Alejandro!X67/(Alejandro!X$65+Alejandro!X$66+Alejandro!X$67))</f>
        <v>0.12718483110047113</v>
      </c>
    </row>
    <row r="27" spans="2:23" ht="15.75" customHeight="1" x14ac:dyDescent="0.2">
      <c r="B27" s="206" t="s">
        <v>167</v>
      </c>
      <c r="C27" s="63" t="s">
        <v>171</v>
      </c>
      <c r="D27" s="64">
        <f>Alejandro!F77/(Alejandro!$F$77+Alejandro!$F$78+Alejandro!$F$79)</f>
        <v>0.78367003367003363</v>
      </c>
      <c r="E27" s="65">
        <f>IF((Alejandro!G$74+Alejandro!G$75+Alejandro!G$76)=0,NA(),Alejandro!G74/(Alejandro!G$74+Alejandro!G$75+Alejandro!G$76))</f>
        <v>0.76923076923076927</v>
      </c>
      <c r="F27" s="65">
        <f>IF((Alejandro!H$74+Alejandro!H$75+Alejandro!H$76)=0,NA(),Alejandro!H74/(Alejandro!H$74+Alejandro!H$75+Alejandro!H$76))</f>
        <v>0.7321428571428571</v>
      </c>
      <c r="G27" s="65">
        <f>IF((Alejandro!I$74+Alejandro!I$75+Alejandro!I$76)=0,NA(),Alejandro!I74/(Alejandro!I$74+Alejandro!I$75+Alejandro!I$76))</f>
        <v>0.74615384615384617</v>
      </c>
      <c r="H27" s="65">
        <f>IF((Alejandro!J$74+Alejandro!J$75+Alejandro!J$76)=0,NA(),Alejandro!J74/(Alejandro!J$74+Alejandro!J$75+Alejandro!J$76))</f>
        <v>0.72448979591836737</v>
      </c>
      <c r="I27" s="65">
        <f>IF((Alejandro!K$74+Alejandro!K$75+Alejandro!K$76)=0,NA(),Alejandro!K74/(Alejandro!K$74+Alejandro!K$75+Alejandro!K$76))</f>
        <v>0.74698795180722888</v>
      </c>
      <c r="J27" s="65">
        <f>IF((Alejandro!L$74+Alejandro!L$75+Alejandro!L$76)=0,NA(),Alejandro!L74/(Alejandro!L$74+Alejandro!L$75+Alejandro!L$76))</f>
        <v>0.76012461059190028</v>
      </c>
      <c r="K27" s="65">
        <f>IF((Alejandro!M$74+Alejandro!M$75+Alejandro!M$76)=0,NA(),Alejandro!M74/(Alejandro!M$74+Alejandro!M$75+Alejandro!M$76))</f>
        <v>0.77402597402597406</v>
      </c>
      <c r="L27" s="65">
        <f>IF((Alejandro!N$74+Alejandro!N$75+Alejandro!N$76)=0,NA(),Alejandro!N74/(Alejandro!N$74+Alejandro!N$75+Alejandro!N$76))</f>
        <v>0.77753779697624192</v>
      </c>
      <c r="M27" s="65">
        <f>IF((Alejandro!O$74+Alejandro!O$75+Alejandro!O$76)=0,NA(),Alejandro!O74/(Alejandro!O$74+Alejandro!O$75+Alejandro!O$76))</f>
        <v>0.78079710144927539</v>
      </c>
      <c r="N27" s="65">
        <f>IF((Alejandro!P$74+Alejandro!P$75+Alejandro!P$76)=0,NA(),Alejandro!P74/(Alejandro!P$74+Alejandro!P$75+Alejandro!P$76))</f>
        <v>0.78246753246753242</v>
      </c>
      <c r="O27" s="65">
        <f>IF((Alejandro!Q$74+Alejandro!Q$75+Alejandro!Q$76)=0,NA(),Alejandro!Q74/(Alejandro!Q$74+Alejandro!Q$75+Alejandro!Q$76))</f>
        <v>0.77845220030349016</v>
      </c>
      <c r="P27" s="65">
        <f>IF((Alejandro!R$74+Alejandro!R$75+Alejandro!R$76)=0,NA(),Alejandro!R74/(Alejandro!R$74+Alejandro!R$75+Alejandro!R$76))</f>
        <v>0.77682403433476399</v>
      </c>
      <c r="Q27" s="65">
        <f>IF((Alejandro!S$74+Alejandro!S$75+Alejandro!S$76)=0,NA(),Alejandro!S74/(Alejandro!S$74+Alejandro!S$75+Alejandro!S$76))</f>
        <v>0.7745740498034076</v>
      </c>
      <c r="R27" s="65">
        <f>IF((Alejandro!T$74+Alejandro!T$75+Alejandro!T$76)=0,NA(),Alejandro!T74/(Alejandro!T$74+Alejandro!T$75+Alejandro!T$76))</f>
        <v>0.77710843373493976</v>
      </c>
      <c r="S27" s="65">
        <f>IF((Alejandro!U$74+Alejandro!U$75+Alejandro!U$76)=0,NA(),Alejandro!U74/(Alejandro!U$74+Alejandro!U$75+Alejandro!U$76))</f>
        <v>0.7804347826086957</v>
      </c>
      <c r="T27" s="65">
        <f>IF((Alejandro!V$74+Alejandro!V$75+Alejandro!V$76)=0,NA(),Alejandro!V74/(Alejandro!V$74+Alejandro!V$75+Alejandro!V$76))</f>
        <v>0.78097125867195238</v>
      </c>
      <c r="U27" s="65">
        <f>IF((Alejandro!W$74+Alejandro!W$75+Alejandro!W$76)=0,NA(),Alejandro!W74/(Alejandro!W$74+Alejandro!W$75+Alejandro!W$76))</f>
        <v>0.77962962962962967</v>
      </c>
      <c r="V27" s="66">
        <f>IF((Alejandro!X$74+Alejandro!X$75+Alejandro!X$76)=0,NA(),Alejandro!X74/(Alejandro!X$74+Alejandro!X$75+Alejandro!X$76))</f>
        <v>0.78367003367003363</v>
      </c>
    </row>
    <row r="28" spans="2:23" ht="15.75" customHeight="1" x14ac:dyDescent="0.2">
      <c r="B28" s="207"/>
      <c r="C28" s="67" t="s">
        <v>172</v>
      </c>
      <c r="D28" s="68">
        <f>Alejandro!F78/(Alejandro!$F$77+Alejandro!$F$78+Alejandro!$F$79)</f>
        <v>0.19191919191919191</v>
      </c>
      <c r="E28" s="69">
        <f>IF((Alejandro!G$74+Alejandro!G$75+Alejandro!G$76)=0,NA(),Alejandro!G75/(Alejandro!G$74+Alejandro!G$75+Alejandro!G$76))</f>
        <v>0.23076923076923078</v>
      </c>
      <c r="F28" s="69">
        <f>IF((Alejandro!H$74+Alejandro!H$75+Alejandro!H$76)=0,NA(),Alejandro!H75/(Alejandro!H$74+Alejandro!H$75+Alejandro!H$76))</f>
        <v>0.26785714285714285</v>
      </c>
      <c r="G28" s="69">
        <f>IF((Alejandro!I$74+Alejandro!I$75+Alejandro!I$76)=0,NA(),Alejandro!I75/(Alejandro!I$74+Alejandro!I$75+Alejandro!I$76))</f>
        <v>0.23076923076923078</v>
      </c>
      <c r="H28" s="69">
        <f>IF((Alejandro!J$74+Alejandro!J$75+Alejandro!J$76)=0,NA(),Alejandro!J75/(Alejandro!J$74+Alejandro!J$75+Alejandro!J$76))</f>
        <v>0.25</v>
      </c>
      <c r="I28" s="69">
        <f>IF((Alejandro!K$74+Alejandro!K$75+Alejandro!K$76)=0,NA(),Alejandro!K75/(Alejandro!K$74+Alejandro!K$75+Alejandro!K$76))</f>
        <v>0.2289156626506024</v>
      </c>
      <c r="J28" s="69">
        <f>IF((Alejandro!L$74+Alejandro!L$75+Alejandro!L$76)=0,NA(),Alejandro!L75/(Alejandro!L$74+Alejandro!L$75+Alejandro!L$76))</f>
        <v>0.21806853582554517</v>
      </c>
      <c r="K28" s="69">
        <f>IF((Alejandro!M$74+Alejandro!M$75+Alejandro!M$76)=0,NA(),Alejandro!M75/(Alejandro!M$74+Alejandro!M$75+Alejandro!M$76))</f>
        <v>0.20779220779220781</v>
      </c>
      <c r="L28" s="69">
        <f>IF((Alejandro!N$74+Alejandro!N$75+Alejandro!N$76)=0,NA(),Alejandro!N75/(Alejandro!N$74+Alejandro!N$75+Alejandro!N$76))</f>
        <v>0.20518358531317496</v>
      </c>
      <c r="M28" s="69">
        <f>IF((Alejandro!O$74+Alejandro!O$75+Alejandro!O$76)=0,NA(),Alejandro!O75/(Alejandro!O$74+Alejandro!O$75+Alejandro!O$76))</f>
        <v>0.20289855072463769</v>
      </c>
      <c r="N28" s="69">
        <f>IF((Alejandro!P$74+Alejandro!P$75+Alejandro!P$76)=0,NA(),Alejandro!P75/(Alejandro!P$74+Alejandro!P$75+Alejandro!P$76))</f>
        <v>0.20129870129870131</v>
      </c>
      <c r="O28" s="69">
        <f>IF((Alejandro!Q$74+Alejandro!Q$75+Alejandro!Q$76)=0,NA(),Alejandro!Q75/(Alejandro!Q$74+Alejandro!Q$75+Alejandro!Q$76))</f>
        <v>0.20333839150227617</v>
      </c>
      <c r="P28" s="69">
        <f>IF((Alejandro!R$74+Alejandro!R$75+Alejandro!R$76)=0,NA(),Alejandro!R75/(Alejandro!R$74+Alejandro!R$75+Alejandro!R$76))</f>
        <v>0.20457796852646637</v>
      </c>
      <c r="Q28" s="69">
        <f>IF((Alejandro!S$74+Alejandro!S$75+Alejandro!S$76)=0,NA(),Alejandro!S75/(Alejandro!S$74+Alejandro!S$75+Alejandro!S$76))</f>
        <v>0.20314547837483618</v>
      </c>
      <c r="R28" s="69">
        <f>IF((Alejandro!T$74+Alejandro!T$75+Alejandro!T$76)=0,NA(),Alejandro!T75/(Alejandro!T$74+Alejandro!T$75+Alejandro!T$76))</f>
        <v>0.19879518072289157</v>
      </c>
      <c r="S28" s="69">
        <f>IF((Alejandro!U$74+Alejandro!U$75+Alejandro!U$76)=0,NA(),Alejandro!U75/(Alejandro!U$74+Alejandro!U$75+Alejandro!U$76))</f>
        <v>0.19565217391304349</v>
      </c>
      <c r="T28" s="69">
        <f>IF((Alejandro!V$74+Alejandro!V$75+Alejandro!V$76)=0,NA(),Alejandro!V75/(Alejandro!V$74+Alejandro!V$75+Alejandro!V$76))</f>
        <v>0.19425173439048563</v>
      </c>
      <c r="U28" s="69">
        <f>IF((Alejandro!W$74+Alejandro!W$75+Alejandro!W$76)=0,NA(),Alejandro!W75/(Alejandro!W$74+Alejandro!W$75+Alejandro!W$76))</f>
        <v>0.19444444444444445</v>
      </c>
      <c r="V28" s="70">
        <f>IF((Alejandro!X$74+Alejandro!X$75+Alejandro!X$76)=0,NA(),Alejandro!X75/(Alejandro!X$74+Alejandro!X$75+Alejandro!X$76))</f>
        <v>0.19191919191919191</v>
      </c>
    </row>
    <row r="29" spans="2:23" ht="15.75" customHeight="1" thickBot="1" x14ac:dyDescent="0.25">
      <c r="B29" s="208"/>
      <c r="C29" s="71" t="s">
        <v>0</v>
      </c>
      <c r="D29" s="72">
        <f>Alejandro!F79/(Alejandro!$F$77+Alejandro!$F$78+Alejandro!$F$79)</f>
        <v>2.4410774410774411E-2</v>
      </c>
      <c r="E29" s="73">
        <f>IF((Alejandro!G$74+Alejandro!G$75+Alejandro!G$76)=0,NA(),Alejandro!G76/(Alejandro!G$74+Alejandro!G$75+Alejandro!G$76))</f>
        <v>0</v>
      </c>
      <c r="F29" s="73">
        <f>IF((Alejandro!H$74+Alejandro!H$75+Alejandro!H$76)=0,NA(),Alejandro!H76/(Alejandro!H$74+Alejandro!H$75+Alejandro!H$76))</f>
        <v>0</v>
      </c>
      <c r="G29" s="73">
        <f>IF((Alejandro!I$74+Alejandro!I$75+Alejandro!I$76)=0,NA(),Alejandro!I76/(Alejandro!I$74+Alejandro!I$75+Alejandro!I$76))</f>
        <v>2.3076923076923078E-2</v>
      </c>
      <c r="H29" s="73">
        <f>IF((Alejandro!J$74+Alejandro!J$75+Alejandro!J$76)=0,NA(),Alejandro!J76/(Alejandro!J$74+Alejandro!J$75+Alejandro!J$76))</f>
        <v>2.5510204081632654E-2</v>
      </c>
      <c r="I29" s="73">
        <f>IF((Alejandro!K$74+Alejandro!K$75+Alejandro!K$76)=0,NA(),Alejandro!K76/(Alejandro!K$74+Alejandro!K$75+Alejandro!K$76))</f>
        <v>2.4096385542168676E-2</v>
      </c>
      <c r="J29" s="73">
        <f>IF((Alejandro!L$74+Alejandro!L$75+Alejandro!L$76)=0,NA(),Alejandro!L76/(Alejandro!L$74+Alejandro!L$75+Alejandro!L$76))</f>
        <v>2.1806853582554516E-2</v>
      </c>
      <c r="K29" s="73">
        <f>IF((Alejandro!M$74+Alejandro!M$75+Alejandro!M$76)=0,NA(),Alejandro!M76/(Alejandro!M$74+Alejandro!M$75+Alejandro!M$76))</f>
        <v>1.8181818181818181E-2</v>
      </c>
      <c r="L29" s="73">
        <f>IF((Alejandro!N$74+Alejandro!N$75+Alejandro!N$76)=0,NA(),Alejandro!N76/(Alejandro!N$74+Alejandro!N$75+Alejandro!N$76))</f>
        <v>1.7278617710583154E-2</v>
      </c>
      <c r="M29" s="73">
        <f>IF((Alejandro!O$74+Alejandro!O$75+Alejandro!O$76)=0,NA(),Alejandro!O76/(Alejandro!O$74+Alejandro!O$75+Alejandro!O$76))</f>
        <v>1.6304347826086956E-2</v>
      </c>
      <c r="N29" s="73">
        <f>IF((Alejandro!P$74+Alejandro!P$75+Alejandro!P$76)=0,NA(),Alejandro!P76/(Alejandro!P$74+Alejandro!P$75+Alejandro!P$76))</f>
        <v>1.6233766233766232E-2</v>
      </c>
      <c r="O29" s="73">
        <f>IF((Alejandro!Q$74+Alejandro!Q$75+Alejandro!Q$76)=0,NA(),Alejandro!Q76/(Alejandro!Q$74+Alejandro!Q$75+Alejandro!Q$76))</f>
        <v>1.8209408194233688E-2</v>
      </c>
      <c r="P29" s="73">
        <f>IF((Alejandro!R$74+Alejandro!R$75+Alejandro!R$76)=0,NA(),Alejandro!R76/(Alejandro!R$74+Alejandro!R$75+Alejandro!R$76))</f>
        <v>1.8597997138769671E-2</v>
      </c>
      <c r="Q29" s="73">
        <f>IF((Alejandro!S$74+Alejandro!S$75+Alejandro!S$76)=0,NA(),Alejandro!S76/(Alejandro!S$74+Alejandro!S$75+Alejandro!S$76))</f>
        <v>2.2280471821756225E-2</v>
      </c>
      <c r="R29" s="73">
        <f>IF((Alejandro!T$74+Alejandro!T$75+Alejandro!T$76)=0,NA(),Alejandro!T76/(Alejandro!T$74+Alejandro!T$75+Alejandro!T$76))</f>
        <v>2.4096385542168676E-2</v>
      </c>
      <c r="S29" s="73">
        <f>IF((Alejandro!U$74+Alejandro!U$75+Alejandro!U$76)=0,NA(),Alejandro!U76/(Alejandro!U$74+Alejandro!U$75+Alejandro!U$76))</f>
        <v>2.391304347826087E-2</v>
      </c>
      <c r="T29" s="73">
        <f>IF((Alejandro!V$74+Alejandro!V$75+Alejandro!V$76)=0,NA(),Alejandro!V76/(Alejandro!V$74+Alejandro!V$75+Alejandro!V$76))</f>
        <v>2.4777006937561942E-2</v>
      </c>
      <c r="U29" s="73">
        <f>IF((Alejandro!W$74+Alejandro!W$75+Alejandro!W$76)=0,NA(),Alejandro!W76/(Alejandro!W$74+Alejandro!W$75+Alejandro!W$76))</f>
        <v>2.5925925925925925E-2</v>
      </c>
      <c r="V29" s="74">
        <f>IF((Alejandro!X$74+Alejandro!X$75+Alejandro!X$76)=0,NA(),Alejandro!X76/(Alejandro!X$74+Alejandro!X$75+Alejandro!X$76))</f>
        <v>2.4410774410774411E-2</v>
      </c>
    </row>
    <row r="30" spans="2:23" ht="15.75" customHeight="1" x14ac:dyDescent="0.2">
      <c r="B30" s="209" t="s">
        <v>173</v>
      </c>
      <c r="C30" s="90" t="s">
        <v>175</v>
      </c>
      <c r="D30" s="76">
        <f>Alejandro!F86/(Alejandro!$F$86+Alejandro!$F$87+Alejandro!$F$88)</f>
        <v>0.52758747898176206</v>
      </c>
      <c r="E30" s="77">
        <f>IF((Alejandro!G$83+Alejandro!G$84+Alejandro!G$85)=0,NA(),Alejandro!G83/(Alejandro!G$83+Alejandro!G$84+Alejandro!G$85))</f>
        <v>0.56460973574859574</v>
      </c>
      <c r="F30" s="77">
        <f>IF((Alejandro!H$83+Alejandro!H$84+Alejandro!H$85)=0,NA(),Alejandro!H83/(Alejandro!H$83+Alejandro!H$84+Alejandro!H$85))</f>
        <v>0.56624596175832698</v>
      </c>
      <c r="G30" s="77">
        <f>IF((Alejandro!I$83+Alejandro!I$84+Alejandro!I$85)=0,NA(),Alejandro!I83/(Alejandro!I$83+Alejandro!I$84+Alejandro!I$85))</f>
        <v>0.53829629622872344</v>
      </c>
      <c r="H30" s="77">
        <f>IF((Alejandro!J$83+Alejandro!J$84+Alejandro!J$85)=0,NA(),Alejandro!J83/(Alejandro!J$83+Alejandro!J$84+Alejandro!J$85))</f>
        <v>0.54641443504828457</v>
      </c>
      <c r="I30" s="77">
        <f>IF((Alejandro!K$83+Alejandro!K$84+Alejandro!K$85)=0,NA(),Alejandro!K83/(Alejandro!K$83+Alejandro!K$84+Alejandro!K$85))</f>
        <v>0.54565925996677067</v>
      </c>
      <c r="J30" s="77">
        <f>IF((Alejandro!L$83+Alejandro!L$84+Alejandro!L$85)=0,NA(),Alejandro!L83/(Alejandro!L$83+Alejandro!L$84+Alejandro!L$85))</f>
        <v>0.55245216984662116</v>
      </c>
      <c r="K30" s="77">
        <f>IF((Alejandro!M$83+Alejandro!M$84+Alejandro!M$85)=0,NA(),Alejandro!M83/(Alejandro!M$83+Alejandro!M$84+Alejandro!M$85))</f>
        <v>0.54414085884493779</v>
      </c>
      <c r="L30" s="77">
        <f>IF((Alejandro!N$83+Alejandro!N$84+Alejandro!N$85)=0,NA(),Alejandro!N83/(Alejandro!N$83+Alejandro!N$84+Alejandro!N$85))</f>
        <v>0.54767854813776773</v>
      </c>
      <c r="M30" s="77">
        <f>IF((Alejandro!O$83+Alejandro!O$84+Alejandro!O$85)=0,NA(),Alejandro!O83/(Alejandro!O$83+Alejandro!O$84+Alejandro!O$85))</f>
        <v>0.54600664548981215</v>
      </c>
      <c r="N30" s="77">
        <f>IF((Alejandro!P$83+Alejandro!P$84+Alejandro!P$85)=0,NA(),Alejandro!P83/(Alejandro!P$83+Alejandro!P$84+Alejandro!P$85))</f>
        <v>0.54843836508929245</v>
      </c>
      <c r="O30" s="77">
        <f>IF((Alejandro!Q$83+Alejandro!Q$84+Alejandro!Q$85)=0,NA(),Alejandro!Q83/(Alejandro!Q$83+Alejandro!Q$84+Alejandro!Q$85))</f>
        <v>0.54790099098455258</v>
      </c>
      <c r="P30" s="77">
        <f>IF((Alejandro!R$83+Alejandro!R$84+Alejandro!R$85)=0,NA(),Alejandro!R83/(Alejandro!R$83+Alejandro!R$84+Alejandro!R$85))</f>
        <v>0.55060481644022252</v>
      </c>
      <c r="Q30" s="77">
        <f>IF((Alejandro!S$83+Alejandro!S$84+Alejandro!S$85)=0,NA(),Alejandro!S83/(Alejandro!S$83+Alejandro!S$84+Alejandro!S$85))</f>
        <v>0.55047350200136957</v>
      </c>
      <c r="R30" s="77">
        <f>IF((Alejandro!T$83+Alejandro!T$84+Alejandro!T$85)=0,NA(),Alejandro!T83/(Alejandro!T$83+Alejandro!T$84+Alejandro!T$85))</f>
        <v>0.5383757281640662</v>
      </c>
      <c r="S30" s="77">
        <f>IF((Alejandro!U$83+Alejandro!U$84+Alejandro!U$85)=0,NA(),Alejandro!U83/(Alejandro!U$83+Alejandro!U$84+Alejandro!U$85))</f>
        <v>0.53972627352254687</v>
      </c>
      <c r="T30" s="77">
        <f>IF((Alejandro!V$83+Alejandro!V$84+Alejandro!V$85)=0,NA(),Alejandro!V83/(Alejandro!V$83+Alejandro!V$84+Alejandro!V$85))</f>
        <v>0.53805517236455891</v>
      </c>
      <c r="U30" s="77">
        <f>IF((Alejandro!W$83+Alejandro!W$84+Alejandro!W$85)=0,NA(),Alejandro!W83/(Alejandro!W$83+Alejandro!W$84+Alejandro!W$85))</f>
        <v>0.53359364075711113</v>
      </c>
      <c r="V30" s="78">
        <f>IF((Alejandro!X$83+Alejandro!X$84+Alejandro!X$85)=0,NA(),Alejandro!X83/(Alejandro!X$83+Alejandro!X$84+Alejandro!X$85))</f>
        <v>0.52758747898176206</v>
      </c>
    </row>
    <row r="31" spans="2:23" ht="15.75" customHeight="1" x14ac:dyDescent="0.2">
      <c r="B31" s="210"/>
      <c r="C31" s="91" t="s">
        <v>176</v>
      </c>
      <c r="D31" s="80">
        <f>Alejandro!F87/(Alejandro!$F$86+Alejandro!$F$87+Alejandro!$F$88)</f>
        <v>0.29269940670199818</v>
      </c>
      <c r="E31" s="81">
        <f>IF((Alejandro!G$83+Alejandro!G$84+Alejandro!G$85)=0,NA(),Alejandro!G84/(Alejandro!G$83+Alejandro!G$84+Alejandro!G$85))</f>
        <v>0.32605129325940152</v>
      </c>
      <c r="F31" s="81">
        <f>IF((Alejandro!H$83+Alejandro!H$84+Alejandro!H$85)=0,NA(),Alejandro!H84/(Alejandro!H$83+Alejandro!H$84+Alejandro!H$85))</f>
        <v>0.33028923388668896</v>
      </c>
      <c r="G31" s="81">
        <f>IF((Alejandro!I$83+Alejandro!I$84+Alejandro!I$85)=0,NA(),Alejandro!I84/(Alejandro!I$83+Alejandro!I$84+Alejandro!I$85))</f>
        <v>0.32924538126409436</v>
      </c>
      <c r="H31" s="81">
        <f>IF((Alejandro!J$83+Alejandro!J$84+Alejandro!J$85)=0,NA(),Alejandro!J84/(Alejandro!J$83+Alejandro!J$84+Alejandro!J$85))</f>
        <v>0.31069575830290647</v>
      </c>
      <c r="I31" s="81">
        <f>IF((Alejandro!K$83+Alejandro!K$84+Alejandro!K$85)=0,NA(),Alejandro!K84/(Alejandro!K$83+Alejandro!K$84+Alejandro!K$85))</f>
        <v>0.30763580144626013</v>
      </c>
      <c r="J31" s="81">
        <f>IF((Alejandro!L$83+Alejandro!L$84+Alejandro!L$85)=0,NA(),Alejandro!L84/(Alejandro!L$83+Alejandro!L$84+Alejandro!L$85))</f>
        <v>0.29285921914666702</v>
      </c>
      <c r="K31" s="81">
        <f>IF((Alejandro!M$83+Alejandro!M$84+Alejandro!M$85)=0,NA(),Alejandro!M84/(Alejandro!M$83+Alejandro!M$84+Alejandro!M$85))</f>
        <v>0.2927278971129495</v>
      </c>
      <c r="L31" s="81">
        <f>IF((Alejandro!N$83+Alejandro!N$84+Alejandro!N$85)=0,NA(),Alejandro!N84/(Alejandro!N$83+Alejandro!N$84+Alejandro!N$85))</f>
        <v>0.28636910262871967</v>
      </c>
      <c r="M31" s="81">
        <f>IF((Alejandro!O$83+Alejandro!O$84+Alejandro!O$85)=0,NA(),Alejandro!O84/(Alejandro!O$83+Alejandro!O$84+Alejandro!O$85))</f>
        <v>0.28603730667593985</v>
      </c>
      <c r="N31" s="81">
        <f>IF((Alejandro!P$83+Alejandro!P$84+Alejandro!P$85)=0,NA(),Alejandro!P84/(Alejandro!P$83+Alejandro!P$84+Alejandro!P$85))</f>
        <v>0.28901733047697253</v>
      </c>
      <c r="O31" s="81">
        <f>IF((Alejandro!Q$83+Alejandro!Q$84+Alejandro!Q$85)=0,NA(),Alejandro!Q84/(Alejandro!Q$83+Alejandro!Q$84+Alejandro!Q$85))</f>
        <v>0.28558168470965967</v>
      </c>
      <c r="P31" s="81">
        <f>IF((Alejandro!R$83+Alejandro!R$84+Alejandro!R$85)=0,NA(),Alejandro!R84/(Alejandro!R$83+Alejandro!R$84+Alejandro!R$85))</f>
        <v>0.2857860877888751</v>
      </c>
      <c r="Q31" s="81">
        <f>IF((Alejandro!S$83+Alejandro!S$84+Alejandro!S$85)=0,NA(),Alejandro!S84/(Alejandro!S$83+Alejandro!S$84+Alejandro!S$85))</f>
        <v>0.28458154555302279</v>
      </c>
      <c r="R31" s="81">
        <f>IF((Alejandro!T$83+Alejandro!T$84+Alejandro!T$85)=0,NA(),Alejandro!T84/(Alejandro!T$83+Alejandro!T$84+Alejandro!T$85))</f>
        <v>0.29071167471846049</v>
      </c>
      <c r="S31" s="81">
        <f>IF((Alejandro!U$83+Alejandro!U$84+Alejandro!U$85)=0,NA(),Alejandro!U84/(Alejandro!U$83+Alejandro!U$84+Alejandro!U$85))</f>
        <v>0.28730540967470525</v>
      </c>
      <c r="T31" s="81">
        <f>IF((Alejandro!V$83+Alejandro!V$84+Alejandro!V$85)=0,NA(),Alejandro!V84/(Alejandro!V$83+Alejandro!V$84+Alejandro!V$85))</f>
        <v>0.28638256577118359</v>
      </c>
      <c r="U31" s="81">
        <f>IF((Alejandro!W$83+Alejandro!W$84+Alejandro!W$85)=0,NA(),Alejandro!W84/(Alejandro!W$83+Alejandro!W$84+Alejandro!W$85))</f>
        <v>0.29025015720554997</v>
      </c>
      <c r="V31" s="82">
        <f>IF((Alejandro!X$83+Alejandro!X$84+Alejandro!X$85)=0,NA(),Alejandro!X84/(Alejandro!X$83+Alejandro!X$84+Alejandro!X$85))</f>
        <v>0.29269940670199818</v>
      </c>
    </row>
    <row r="32" spans="2:23" ht="15.75" customHeight="1" thickBot="1" x14ac:dyDescent="0.25">
      <c r="B32" s="211"/>
      <c r="C32" s="92" t="s">
        <v>0</v>
      </c>
      <c r="D32" s="84">
        <f>Alejandro!F88/(Alejandro!$F$86+Alejandro!$F$87+Alejandro!$F$88)</f>
        <v>0.17971311431623985</v>
      </c>
      <c r="E32" s="85">
        <f>IF((Alejandro!G$83+Alejandro!G$84+Alejandro!G$85)=0,NA(),Alejandro!G85/(Alejandro!G$83+Alejandro!G$84+Alejandro!G$85))</f>
        <v>0.1093389709920027</v>
      </c>
      <c r="F32" s="85">
        <f>IF((Alejandro!H$83+Alejandro!H$84+Alejandro!H$85)=0,NA(),Alejandro!H85/(Alejandro!H$83+Alejandro!H$84+Alejandro!H$85))</f>
        <v>0.10346480435498411</v>
      </c>
      <c r="G32" s="85">
        <f>IF((Alejandro!I$83+Alejandro!I$84+Alejandro!I$85)=0,NA(),Alejandro!I85/(Alejandro!I$83+Alejandro!I$84+Alejandro!I$85))</f>
        <v>0.13245832250718206</v>
      </c>
      <c r="H32" s="85">
        <f>IF((Alejandro!J$83+Alejandro!J$84+Alejandro!J$85)=0,NA(),Alejandro!J85/(Alejandro!J$83+Alejandro!J$84+Alejandro!J$85))</f>
        <v>0.14288980664880893</v>
      </c>
      <c r="I32" s="85">
        <f>IF((Alejandro!K$83+Alejandro!K$84+Alejandro!K$85)=0,NA(),Alejandro!K85/(Alejandro!K$83+Alejandro!K$84+Alejandro!K$85))</f>
        <v>0.1467049385869692</v>
      </c>
      <c r="J32" s="85">
        <f>IF((Alejandro!L$83+Alejandro!L$84+Alejandro!L$85)=0,NA(),Alejandro!L85/(Alejandro!L$83+Alejandro!L$84+Alejandro!L$85))</f>
        <v>0.15468861100671169</v>
      </c>
      <c r="K32" s="85">
        <f>IF((Alejandro!M$83+Alejandro!M$84+Alejandro!M$85)=0,NA(),Alejandro!M85/(Alejandro!M$83+Alejandro!M$84+Alejandro!M$85))</f>
        <v>0.16313124404211274</v>
      </c>
      <c r="L32" s="85">
        <f>IF((Alejandro!N$83+Alejandro!N$84+Alejandro!N$85)=0,NA(),Alejandro!N85/(Alejandro!N$83+Alejandro!N$84+Alejandro!N$85))</f>
        <v>0.1659523492335126</v>
      </c>
      <c r="M32" s="85">
        <f>IF((Alejandro!O$83+Alejandro!O$84+Alejandro!O$85)=0,NA(),Alejandro!O85/(Alejandro!O$83+Alejandro!O$84+Alejandro!O$85))</f>
        <v>0.16795604783424792</v>
      </c>
      <c r="N32" s="85">
        <f>IF((Alejandro!P$83+Alejandro!P$84+Alejandro!P$85)=0,NA(),Alejandro!P85/(Alejandro!P$83+Alejandro!P$84+Alejandro!P$85))</f>
        <v>0.16254430443373505</v>
      </c>
      <c r="O32" s="85">
        <f>IF((Alejandro!Q$83+Alejandro!Q$84+Alejandro!Q$85)=0,NA(),Alejandro!Q85/(Alejandro!Q$83+Alejandro!Q$84+Alejandro!Q$85))</f>
        <v>0.1665173243057877</v>
      </c>
      <c r="P32" s="85">
        <f>IF((Alejandro!R$83+Alejandro!R$84+Alejandro!R$85)=0,NA(),Alejandro!R85/(Alejandro!R$83+Alejandro!R$84+Alejandro!R$85))</f>
        <v>0.16360909577090232</v>
      </c>
      <c r="Q32" s="85">
        <f>IF((Alejandro!S$83+Alejandro!S$84+Alejandro!S$85)=0,NA(),Alejandro!S85/(Alejandro!S$83+Alejandro!S$84+Alejandro!S$85))</f>
        <v>0.16494495244560775</v>
      </c>
      <c r="R32" s="85">
        <f>IF((Alejandro!T$83+Alejandro!T$84+Alejandro!T$85)=0,NA(),Alejandro!T85/(Alejandro!T$83+Alejandro!T$84+Alejandro!T$85))</f>
        <v>0.17091259711747323</v>
      </c>
      <c r="S32" s="85">
        <f>IF((Alejandro!U$83+Alejandro!U$84+Alejandro!U$85)=0,NA(),Alejandro!U85/(Alejandro!U$83+Alejandro!U$84+Alejandro!U$85))</f>
        <v>0.17296831680274796</v>
      </c>
      <c r="T32" s="85">
        <f>IF((Alejandro!V$83+Alejandro!V$84+Alejandro!V$85)=0,NA(),Alejandro!V85/(Alejandro!V$83+Alejandro!V$84+Alejandro!V$85))</f>
        <v>0.1755622618642575</v>
      </c>
      <c r="U32" s="85">
        <f>IF((Alejandro!W$83+Alejandro!W$84+Alejandro!W$85)=0,NA(),Alejandro!W85/(Alejandro!W$83+Alejandro!W$84+Alejandro!W$85))</f>
        <v>0.17615620203733887</v>
      </c>
      <c r="V32" s="86">
        <f>IF((Alejandro!X$83+Alejandro!X$84+Alejandro!X$85)=0,NA(),Alejandro!X85/(Alejandro!X$83+Alejandro!X$84+Alejandro!X$85))</f>
        <v>0.17971311431623985</v>
      </c>
    </row>
    <row r="33" spans="2:22" ht="15.75" customHeight="1" x14ac:dyDescent="0.2">
      <c r="B33" s="206" t="s">
        <v>177</v>
      </c>
      <c r="C33" s="87" t="s">
        <v>178</v>
      </c>
      <c r="D33" s="64">
        <f>Alejandro!F95/(Alejandro!$F$95+Alejandro!$F$96+Alejandro!$F$97)</f>
        <v>0.67786527340772396</v>
      </c>
      <c r="E33" s="65">
        <f>IF((Alejandro!G$92+Alejandro!G$93+Alejandro!G$94)=0,NA(),Alejandro!G92/(Alejandro!G$92+Alejandro!G$93+Alejandro!G$94))</f>
        <v>0.86294031583357944</v>
      </c>
      <c r="F33" s="65">
        <f>IF((Alejandro!H$92+Alejandro!H$93+Alejandro!H$94)=0,NA(),Alejandro!H92/(Alejandro!H$92+Alejandro!H$93+Alejandro!H$94))</f>
        <v>0.77036579229376023</v>
      </c>
      <c r="G33" s="65">
        <f>IF((Alejandro!I$92+Alejandro!I$93+Alejandro!I$94)=0,NA(),Alejandro!I92/(Alejandro!I$92+Alejandro!I$93+Alejandro!I$94))</f>
        <v>0.71259159361561752</v>
      </c>
      <c r="H33" s="65">
        <f>IF((Alejandro!J$92+Alejandro!J$93+Alejandro!J$94)=0,NA(),Alejandro!J92/(Alejandro!J$92+Alejandro!J$93+Alejandro!J$94))</f>
        <v>0.71359867239435204</v>
      </c>
      <c r="I33" s="65">
        <f>IF((Alejandro!K$92+Alejandro!K$93+Alejandro!K$94)=0,NA(),Alejandro!K92/(Alejandro!K$92+Alejandro!K$93+Alejandro!K$94))</f>
        <v>0.71550350019863729</v>
      </c>
      <c r="J33" s="65">
        <f>IF((Alejandro!L$92+Alejandro!L$93+Alejandro!L$94)=0,NA(),Alejandro!L92/(Alejandro!L$92+Alejandro!L$93+Alejandro!L$94))</f>
        <v>0.71998122105033224</v>
      </c>
      <c r="K33" s="65">
        <f>IF((Alejandro!M$92+Alejandro!M$93+Alejandro!M$94)=0,NA(),Alejandro!M92/(Alejandro!M$92+Alejandro!M$93+Alejandro!M$94))</f>
        <v>0.71286651160717651</v>
      </c>
      <c r="L33" s="65">
        <f>IF((Alejandro!N$92+Alejandro!N$93+Alejandro!N$94)=0,NA(),Alejandro!N92/(Alejandro!N$92+Alejandro!N$93+Alejandro!N$94))</f>
        <v>0.70542080828447684</v>
      </c>
      <c r="M33" s="65">
        <f>IF((Alejandro!O$92+Alejandro!O$93+Alejandro!O$94)=0,NA(),Alejandro!O92/(Alejandro!O$92+Alejandro!O$93+Alejandro!O$94))</f>
        <v>0.69796892482909345</v>
      </c>
      <c r="N33" s="65">
        <f>IF((Alejandro!P$92+Alejandro!P$93+Alejandro!P$94)=0,NA(),Alejandro!P92/(Alejandro!P$92+Alejandro!P$93+Alejandro!P$94))</f>
        <v>0.69151826155825513</v>
      </c>
      <c r="O33" s="65">
        <f>IF((Alejandro!Q$92+Alejandro!Q$93+Alejandro!Q$94)=0,NA(),Alejandro!Q92/(Alejandro!Q$92+Alejandro!Q$93+Alejandro!Q$94))</f>
        <v>0.68971667065655795</v>
      </c>
      <c r="P33" s="65">
        <f>IF((Alejandro!R$92+Alejandro!R$93+Alejandro!R$94)=0,NA(),Alejandro!R92/(Alejandro!R$92+Alejandro!R$93+Alejandro!R$94))</f>
        <v>0.68537931905693039</v>
      </c>
      <c r="Q33" s="65">
        <f>IF((Alejandro!S$92+Alejandro!S$93+Alejandro!S$94)=0,NA(),Alejandro!S92/(Alejandro!S$92+Alejandro!S$93+Alejandro!S$94))</f>
        <v>0.6821534550970163</v>
      </c>
      <c r="R33" s="65">
        <f>IF((Alejandro!T$92+Alejandro!T$93+Alejandro!T$94)=0,NA(),Alejandro!T92/(Alejandro!T$92+Alejandro!T$93+Alejandro!T$94))</f>
        <v>0.68066160190581537</v>
      </c>
      <c r="S33" s="65">
        <f>IF((Alejandro!U$92+Alejandro!U$93+Alejandro!U$94)=0,NA(),Alejandro!U92/(Alejandro!U$92+Alejandro!U$93+Alejandro!U$94))</f>
        <v>0.68067137228565644</v>
      </c>
      <c r="T33" s="65">
        <f>IF((Alejandro!V$92+Alejandro!V$93+Alejandro!V$94)=0,NA(),Alejandro!V92/(Alejandro!V$92+Alejandro!V$93+Alejandro!V$94))</f>
        <v>0.67798299536637296</v>
      </c>
      <c r="U33" s="65">
        <f>IF((Alejandro!W$92+Alejandro!W$93+Alejandro!W$94)=0,NA(),Alejandro!W92/(Alejandro!W$92+Alejandro!W$93+Alejandro!W$94))</f>
        <v>0.67945277742971821</v>
      </c>
      <c r="V33" s="66">
        <f>IF((Alejandro!X$92+Alejandro!X$93+Alejandro!X$94)=0,NA(),Alejandro!X92/(Alejandro!X$92+Alejandro!X$93+Alejandro!X$94))</f>
        <v>0.67786527340772396</v>
      </c>
    </row>
    <row r="34" spans="2:22" ht="15.75" customHeight="1" x14ac:dyDescent="0.2">
      <c r="B34" s="207"/>
      <c r="C34" s="88" t="s">
        <v>179</v>
      </c>
      <c r="D34" s="68">
        <f>Alejandro!F96/(Alejandro!$F$95+Alejandro!$F$96+Alejandro!$F$97)</f>
        <v>0.28708950612868184</v>
      </c>
      <c r="E34" s="69">
        <f>IF((Alejandro!G$92+Alejandro!G$93+Alejandro!G$94)=0,NA(),Alejandro!G93/(Alejandro!G$92+Alejandro!G$93+Alejandro!G$94))</f>
        <v>0.1125268747037772</v>
      </c>
      <c r="F34" s="69">
        <f>IF((Alejandro!H$92+Alejandro!H$93+Alejandro!H$94)=0,NA(),Alejandro!H93/(Alejandro!H$92+Alejandro!H$93+Alejandro!H$94))</f>
        <v>0.19719946919246104</v>
      </c>
      <c r="G34" s="69">
        <f>IF((Alejandro!I$92+Alejandro!I$93+Alejandro!I$94)=0,NA(),Alejandro!I93/(Alejandro!I$92+Alejandro!I$93+Alejandro!I$94))</f>
        <v>0.26312495379128642</v>
      </c>
      <c r="H34" s="69">
        <f>IF((Alejandro!J$92+Alejandro!J$93+Alejandro!J$94)=0,NA(),Alejandro!J93/(Alejandro!J$92+Alejandro!J$93+Alejandro!J$94))</f>
        <v>0.26831653367516228</v>
      </c>
      <c r="I34" s="69">
        <f>IF((Alejandro!K$92+Alejandro!K$93+Alejandro!K$94)=0,NA(),Alejandro!K93/(Alejandro!K$92+Alejandro!K$93+Alejandro!K$94))</f>
        <v>0.26572045544668621</v>
      </c>
      <c r="J34" s="69">
        <f>IF((Alejandro!L$92+Alejandro!L$93+Alejandro!L$94)=0,NA(),Alejandro!L93/(Alejandro!L$92+Alejandro!L$93+Alejandro!L$94))</f>
        <v>0.25882426671504605</v>
      </c>
      <c r="K34" s="69">
        <f>IF((Alejandro!M$92+Alejandro!M$93+Alejandro!M$94)=0,NA(),Alejandro!M93/(Alejandro!M$92+Alejandro!M$93+Alejandro!M$94))</f>
        <v>0.26500703498212058</v>
      </c>
      <c r="L34" s="69">
        <f>IF((Alejandro!N$92+Alejandro!N$93+Alejandro!N$94)=0,NA(),Alejandro!N93/(Alejandro!N$92+Alejandro!N$93+Alejandro!N$94))</f>
        <v>0.26631335029635028</v>
      </c>
      <c r="M34" s="69">
        <f>IF((Alejandro!O$92+Alejandro!O$93+Alejandro!O$94)=0,NA(),Alejandro!O93/(Alejandro!O$92+Alejandro!O$93+Alejandro!O$94))</f>
        <v>0.27186640204193951</v>
      </c>
      <c r="N34" s="69">
        <f>IF((Alejandro!P$92+Alejandro!P$93+Alejandro!P$94)=0,NA(),Alejandro!P93/(Alejandro!P$92+Alejandro!P$93+Alejandro!P$94))</f>
        <v>0.28045836996131446</v>
      </c>
      <c r="O34" s="69">
        <f>IF((Alejandro!Q$92+Alejandro!Q$93+Alejandro!Q$94)=0,NA(),Alejandro!Q93/(Alejandro!Q$92+Alejandro!Q$93+Alejandro!Q$94))</f>
        <v>0.27893680725260822</v>
      </c>
      <c r="P34" s="69">
        <f>IF((Alejandro!R$92+Alejandro!R$93+Alejandro!R$94)=0,NA(),Alejandro!R93/(Alejandro!R$92+Alejandro!R$93+Alejandro!R$94))</f>
        <v>0.2810581847482822</v>
      </c>
      <c r="Q34" s="69">
        <f>IF((Alejandro!S$92+Alejandro!S$93+Alejandro!S$94)=0,NA(),Alejandro!S93/(Alejandro!S$92+Alejandro!S$93+Alejandro!S$94))</f>
        <v>0.28427746742447141</v>
      </c>
      <c r="R34" s="69">
        <f>IF((Alejandro!T$92+Alejandro!T$93+Alejandro!T$94)=0,NA(),Alejandro!T93/(Alejandro!T$92+Alejandro!T$93+Alejandro!T$94))</f>
        <v>0.2872923869048149</v>
      </c>
      <c r="S34" s="69">
        <f>IF((Alejandro!U$92+Alejandro!U$93+Alejandro!U$94)=0,NA(),Alejandro!U93/(Alejandro!U$92+Alejandro!U$93+Alejandro!U$94))</f>
        <v>0.28417719546232018</v>
      </c>
      <c r="T34" s="69">
        <f>IF((Alejandro!V$92+Alejandro!V$93+Alejandro!V$94)=0,NA(),Alejandro!V93/(Alejandro!V$92+Alejandro!V$93+Alejandro!V$94))</f>
        <v>0.28590334336643192</v>
      </c>
      <c r="U34" s="69">
        <f>IF((Alejandro!W$92+Alejandro!W$93+Alejandro!W$94)=0,NA(),Alejandro!W93/(Alejandro!W$92+Alejandro!W$93+Alejandro!W$94))</f>
        <v>0.28584497590051083</v>
      </c>
      <c r="V34" s="70">
        <f>IF((Alejandro!X$92+Alejandro!X$93+Alejandro!X$94)=0,NA(),Alejandro!X93/(Alejandro!X$92+Alejandro!X$93+Alejandro!X$94))</f>
        <v>0.28708950612868184</v>
      </c>
    </row>
    <row r="35" spans="2:22" ht="15.75" customHeight="1" x14ac:dyDescent="0.2">
      <c r="B35" s="212"/>
      <c r="C35" s="88" t="s">
        <v>0</v>
      </c>
      <c r="D35" s="68">
        <f>Alejandro!F97/(Alejandro!$F$95+Alejandro!$F$96+Alejandro!$F$97)</f>
        <v>3.5045220463594158E-2</v>
      </c>
      <c r="E35" s="69">
        <f>IF((Alejandro!G$92+Alejandro!G$93+Alejandro!G$94)=0,NA(),Alejandro!G94/(Alejandro!G$92+Alejandro!G$93+Alejandro!G$94))</f>
        <v>2.4532809462643301E-2</v>
      </c>
      <c r="F35" s="69">
        <f>IF((Alejandro!H$92+Alejandro!H$93+Alejandro!H$94)=0,NA(),Alejandro!H94/(Alejandro!H$92+Alejandro!H$93+Alejandro!H$94))</f>
        <v>3.2434738513778739E-2</v>
      </c>
      <c r="G35" s="69">
        <f>IF((Alejandro!I$92+Alejandro!I$93+Alejandro!I$94)=0,NA(),Alejandro!I94/(Alejandro!I$92+Alejandro!I$93+Alejandro!I$94))</f>
        <v>2.4283452593095965E-2</v>
      </c>
      <c r="H35" s="69">
        <f>IF((Alejandro!J$92+Alejandro!J$93+Alejandro!J$94)=0,NA(),Alejandro!J94/(Alejandro!J$92+Alejandro!J$93+Alejandro!J$94))</f>
        <v>1.8084793930485645E-2</v>
      </c>
      <c r="I35" s="69">
        <f>IF((Alejandro!K$92+Alejandro!K$93+Alejandro!K$94)=0,NA(),Alejandro!K94/(Alejandro!K$92+Alejandro!K$93+Alejandro!K$94))</f>
        <v>1.8776044354676537E-2</v>
      </c>
      <c r="J35" s="69">
        <f>IF((Alejandro!L$92+Alejandro!L$93+Alejandro!L$94)=0,NA(),Alejandro!L94/(Alejandro!L$92+Alejandro!L$93+Alejandro!L$94))</f>
        <v>2.1194512234621564E-2</v>
      </c>
      <c r="K35" s="69">
        <f>IF((Alejandro!M$92+Alejandro!M$93+Alejandro!M$94)=0,NA(),Alejandro!M94/(Alejandro!M$92+Alejandro!M$93+Alejandro!M$94))</f>
        <v>2.2126453410702955E-2</v>
      </c>
      <c r="L35" s="69">
        <f>IF((Alejandro!N$92+Alejandro!N$93+Alejandro!N$94)=0,NA(),Alejandro!N94/(Alejandro!N$92+Alejandro!N$93+Alejandro!N$94))</f>
        <v>2.8265841419172818E-2</v>
      </c>
      <c r="M35" s="69">
        <f>IF((Alejandro!O$92+Alejandro!O$93+Alejandro!O$94)=0,NA(),Alejandro!O94/(Alejandro!O$92+Alejandro!O$93+Alejandro!O$94))</f>
        <v>3.0164673128967173E-2</v>
      </c>
      <c r="N35" s="69">
        <f>IF((Alejandro!P$92+Alejandro!P$93+Alejandro!P$94)=0,NA(),Alejandro!P94/(Alejandro!P$92+Alejandro!P$93+Alejandro!P$94))</f>
        <v>2.8023368480430317E-2</v>
      </c>
      <c r="O35" s="69">
        <f>IF((Alejandro!Q$92+Alejandro!Q$93+Alejandro!Q$94)=0,NA(),Alejandro!Q94/(Alejandro!Q$92+Alejandro!Q$93+Alejandro!Q$94))</f>
        <v>3.1346522090833877E-2</v>
      </c>
      <c r="P35" s="69">
        <f>IF((Alejandro!R$92+Alejandro!R$93+Alejandro!R$94)=0,NA(),Alejandro!R94/(Alejandro!R$92+Alejandro!R$93+Alejandro!R$94))</f>
        <v>3.3562496194787378E-2</v>
      </c>
      <c r="Q35" s="69">
        <f>IF((Alejandro!S$92+Alejandro!S$93+Alejandro!S$94)=0,NA(),Alejandro!S94/(Alejandro!S$92+Alejandro!S$93+Alejandro!S$94))</f>
        <v>3.3569077478512413E-2</v>
      </c>
      <c r="R35" s="69">
        <f>IF((Alejandro!T$92+Alejandro!T$93+Alejandro!T$94)=0,NA(),Alejandro!T94/(Alejandro!T$92+Alejandro!T$93+Alejandro!T$94))</f>
        <v>3.2046011189369644E-2</v>
      </c>
      <c r="S35" s="69">
        <f>IF((Alejandro!U$92+Alejandro!U$93+Alejandro!U$94)=0,NA(),Alejandro!U94/(Alejandro!U$92+Alejandro!U$93+Alejandro!U$94))</f>
        <v>3.5151432252023496E-2</v>
      </c>
      <c r="T35" s="69">
        <f>IF((Alejandro!V$92+Alejandro!V$93+Alejandro!V$94)=0,NA(),Alejandro!V94/(Alejandro!V$92+Alejandro!V$93+Alejandro!V$94))</f>
        <v>3.6113661267195257E-2</v>
      </c>
      <c r="U35" s="69">
        <f>IF((Alejandro!W$92+Alejandro!W$93+Alejandro!W$94)=0,NA(),Alejandro!W94/(Alejandro!W$92+Alejandro!W$93+Alejandro!W$94))</f>
        <v>3.4702246669771064E-2</v>
      </c>
      <c r="V35" s="70">
        <f>IF((Alejandro!X$92+Alejandro!X$93+Alejandro!X$94)=0,NA(),Alejandro!X94/(Alejandro!X$92+Alejandro!X$93+Alejandro!X$94))</f>
        <v>3.5045220463594158E-2</v>
      </c>
    </row>
    <row r="36" spans="2:22" ht="15.75" customHeight="1" x14ac:dyDescent="0.2">
      <c r="B36" s="213" t="s">
        <v>181</v>
      </c>
      <c r="C36" s="91" t="s">
        <v>183</v>
      </c>
      <c r="D36" s="80">
        <f>Alejandro!F104/(Alejandro!$F$104+Alejandro!$F$105+Alejandro!$F$106)</f>
        <v>0.35661102519542143</v>
      </c>
      <c r="E36" s="81">
        <f>IF((Alejandro!G$101+Alejandro!G$102+Alejandro!G$103)=0,NA(),Alejandro!G101/(Alejandro!G$101+Alejandro!G$102+Alejandro!G$103))</f>
        <v>0.26032967448409733</v>
      </c>
      <c r="F36" s="81">
        <f>IF((Alejandro!H$101+Alejandro!H$102+Alejandro!H$103)=0,NA(),Alejandro!H101/(Alejandro!H$101+Alejandro!H$102+Alejandro!H$103))</f>
        <v>0.354161749346106</v>
      </c>
      <c r="G36" s="81">
        <f>IF((Alejandro!I$101+Alejandro!I$102+Alejandro!I$103)=0,NA(),Alejandro!I101/(Alejandro!I$101+Alejandro!I$102+Alejandro!I$103))</f>
        <v>0.34839137587376873</v>
      </c>
      <c r="H36" s="81">
        <f>IF((Alejandro!J$101+Alejandro!J$102+Alejandro!J$103)=0,NA(),Alejandro!J101/(Alejandro!J$101+Alejandro!J$102+Alejandro!J$103))</f>
        <v>0.35762373726944396</v>
      </c>
      <c r="I36" s="81">
        <f>IF((Alejandro!K$101+Alejandro!K$102+Alejandro!K$103)=0,NA(),Alejandro!K101/(Alejandro!K$101+Alejandro!K$102+Alejandro!K$103))</f>
        <v>0.34884599369343072</v>
      </c>
      <c r="J36" s="81">
        <f>IF((Alejandro!L$101+Alejandro!L$102+Alejandro!L$103)=0,NA(),Alejandro!L101/(Alejandro!L$101+Alejandro!L$102+Alejandro!L$103))</f>
        <v>0.32998217764621401</v>
      </c>
      <c r="K36" s="81">
        <f>IF((Alejandro!M$101+Alejandro!M$102+Alejandro!M$103)=0,NA(),Alejandro!M101/(Alejandro!M$101+Alejandro!M$102+Alejandro!M$103))</f>
        <v>0.32812304158644867</v>
      </c>
      <c r="L36" s="81">
        <f>IF((Alejandro!N$101+Alejandro!N$102+Alejandro!N$103)=0,NA(),Alejandro!N101/(Alejandro!N$101+Alejandro!N$102+Alejandro!N$103))</f>
        <v>0.35091709228854157</v>
      </c>
      <c r="M36" s="81">
        <f>IF((Alejandro!O$101+Alejandro!O$102+Alejandro!O$103)=0,NA(),Alejandro!O101/(Alejandro!O$101+Alejandro!O$102+Alejandro!O$103))</f>
        <v>0.355670077304379</v>
      </c>
      <c r="N36" s="81">
        <f>IF((Alejandro!P$101+Alejandro!P$102+Alejandro!P$103)=0,NA(),Alejandro!P101/(Alejandro!P$101+Alejandro!P$102+Alejandro!P$103))</f>
        <v>0.35871657812008906</v>
      </c>
      <c r="O36" s="81">
        <f>IF((Alejandro!Q$101+Alejandro!Q$102+Alejandro!Q$103)=0,NA(),Alejandro!Q101/(Alejandro!Q$101+Alejandro!Q$102+Alejandro!Q$103))</f>
        <v>0.36364311533397092</v>
      </c>
      <c r="P36" s="81">
        <f>IF((Alejandro!R$101+Alejandro!R$102+Alejandro!R$103)=0,NA(),Alejandro!R101/(Alejandro!R$101+Alejandro!R$102+Alejandro!R$103))</f>
        <v>0.3667273272390244</v>
      </c>
      <c r="Q36" s="81">
        <f>IF((Alejandro!S$101+Alejandro!S$102+Alejandro!S$103)=0,NA(),Alejandro!S101/(Alejandro!S$101+Alejandro!S$102+Alejandro!S$103))</f>
        <v>0.36686287003348966</v>
      </c>
      <c r="R36" s="81">
        <f>IF((Alejandro!T$101+Alejandro!T$102+Alejandro!T$103)=0,NA(),Alejandro!T101/(Alejandro!T$101+Alejandro!T$102+Alejandro!T$103))</f>
        <v>0.37165364513018223</v>
      </c>
      <c r="S36" s="81">
        <f>IF((Alejandro!U$101+Alejandro!U$102+Alejandro!U$103)=0,NA(),Alejandro!U101/(Alejandro!U$101+Alejandro!U$102+Alejandro!U$103))</f>
        <v>0.3751413712029254</v>
      </c>
      <c r="T36" s="81">
        <f>IF((Alejandro!V$101+Alejandro!V$102+Alejandro!V$103)=0,NA(),Alejandro!V101/(Alejandro!V$101+Alejandro!V$102+Alejandro!V$103))</f>
        <v>0.35181074170433213</v>
      </c>
      <c r="U36" s="81">
        <f>IF((Alejandro!W$101+Alejandro!W$102+Alejandro!W$103)=0,NA(),Alejandro!W101/(Alejandro!W$101+Alejandro!W$102+Alejandro!W$103))</f>
        <v>0.35302778534862261</v>
      </c>
      <c r="V36" s="82">
        <f>IF((Alejandro!X$101+Alejandro!X$102+Alejandro!X$103)=0,NA(),Alejandro!X101/(Alejandro!X$101+Alejandro!X$102+Alejandro!X$103))</f>
        <v>0.35661102519542143</v>
      </c>
    </row>
    <row r="37" spans="2:22" ht="15.75" customHeight="1" x14ac:dyDescent="0.2">
      <c r="B37" s="210"/>
      <c r="C37" s="91" t="s">
        <v>184</v>
      </c>
      <c r="D37" s="80">
        <f>Alejandro!F105/(Alejandro!$F$104+Alejandro!$F$105+Alejandro!$F$106)</f>
        <v>0.55700780985683374</v>
      </c>
      <c r="E37" s="81">
        <f>IF((Alejandro!G$101+Alejandro!G$102+Alejandro!G$103)=0,NA(),Alejandro!G102/(Alejandro!G$101+Alejandro!G$102+Alejandro!G$103))</f>
        <v>0.63424935746508748</v>
      </c>
      <c r="F37" s="81">
        <f>IF((Alejandro!H$101+Alejandro!H$102+Alejandro!H$103)=0,NA(),Alejandro!H102/(Alejandro!H$101+Alejandro!H$102+Alejandro!H$103))</f>
        <v>0.61058896275789443</v>
      </c>
      <c r="G37" s="81">
        <f>IF((Alejandro!I$101+Alejandro!I$102+Alejandro!I$103)=0,NA(),Alejandro!I102/(Alejandro!I$101+Alejandro!I$102+Alejandro!I$103))</f>
        <v>0.62331251639355167</v>
      </c>
      <c r="H37" s="81">
        <f>IF((Alejandro!J$101+Alejandro!J$102+Alejandro!J$103)=0,NA(),Alejandro!J102/(Alejandro!J$101+Alejandro!J$102+Alejandro!J$103))</f>
        <v>0.61560063429005918</v>
      </c>
      <c r="I37" s="81">
        <f>IF((Alejandro!K$101+Alejandro!K$102+Alejandro!K$103)=0,NA(),Alejandro!K102/(Alejandro!K$101+Alejandro!K$102+Alejandro!K$103))</f>
        <v>0.62109475064540687</v>
      </c>
      <c r="J37" s="81">
        <f>IF((Alejandro!L$101+Alejandro!L$102+Alejandro!L$103)=0,NA(),Alejandro!L102/(Alejandro!L$101+Alejandro!L$102+Alejandro!L$103))</f>
        <v>0.64026598245091726</v>
      </c>
      <c r="K37" s="81">
        <f>IF((Alejandro!M$101+Alejandro!M$102+Alejandro!M$103)=0,NA(),Alejandro!M102/(Alejandro!M$101+Alejandro!M$102+Alejandro!M$103))</f>
        <v>0.64490553386527494</v>
      </c>
      <c r="L37" s="81">
        <f>IF((Alejandro!N$101+Alejandro!N$102+Alejandro!N$103)=0,NA(),Alejandro!N102/(Alejandro!N$101+Alejandro!N$102+Alejandro!N$103))</f>
        <v>0.62312057162520817</v>
      </c>
      <c r="M37" s="81">
        <f>IF((Alejandro!O$101+Alejandro!O$102+Alejandro!O$103)=0,NA(),Alejandro!O102/(Alejandro!O$101+Alejandro!O$102+Alejandro!O$103))</f>
        <v>0.62063579014003678</v>
      </c>
      <c r="N37" s="81">
        <f>IF((Alejandro!P$101+Alejandro!P$102+Alejandro!P$103)=0,NA(),Alejandro!P102/(Alejandro!P$101+Alejandro!P$102+Alejandro!P$103))</f>
        <v>0.62007159337423812</v>
      </c>
      <c r="O37" s="81">
        <f>IF((Alejandro!Q$101+Alejandro!Q$102+Alejandro!Q$103)=0,NA(),Alejandro!Q102/(Alejandro!Q$101+Alejandro!Q$102+Alejandro!Q$103))</f>
        <v>0.61667950823245443</v>
      </c>
      <c r="P37" s="81">
        <f>IF((Alejandro!R$101+Alejandro!R$102+Alejandro!R$103)=0,NA(),Alejandro!R102/(Alejandro!R$101+Alejandro!R$102+Alejandro!R$103))</f>
        <v>0.61338413015008086</v>
      </c>
      <c r="Q37" s="81">
        <f>IF((Alejandro!S$101+Alejandro!S$102+Alejandro!S$103)=0,NA(),Alejandro!S102/(Alejandro!S$101+Alejandro!S$102+Alejandro!S$103))</f>
        <v>0.61200257027888982</v>
      </c>
      <c r="R37" s="81">
        <f>IF((Alejandro!T$101+Alejandro!T$102+Alejandro!T$103)=0,NA(),Alejandro!T102/(Alejandro!T$101+Alejandro!T$102+Alejandro!T$103))</f>
        <v>0.60849813945188724</v>
      </c>
      <c r="S37" s="81">
        <f>IF((Alejandro!U$101+Alejandro!U$102+Alejandro!U$103)=0,NA(),Alejandro!U102/(Alejandro!U$101+Alejandro!U$102+Alejandro!U$103))</f>
        <v>0.6062116278231342</v>
      </c>
      <c r="T37" s="81">
        <f>IF((Alejandro!V$101+Alejandro!V$102+Alejandro!V$103)=0,NA(),Alejandro!V102/(Alejandro!V$101+Alejandro!V$102+Alejandro!V$103))</f>
        <v>0.5555874317006696</v>
      </c>
      <c r="U37" s="81">
        <f>IF((Alejandro!W$101+Alejandro!W$102+Alejandro!W$103)=0,NA(),Alejandro!W102/(Alejandro!W$101+Alejandro!W$102+Alejandro!W$103))</f>
        <v>0.55807582116919396</v>
      </c>
      <c r="V37" s="82">
        <f>IF((Alejandro!X$101+Alejandro!X$102+Alejandro!X$103)=0,NA(),Alejandro!X102/(Alejandro!X$101+Alejandro!X$102+Alejandro!X$103))</f>
        <v>0.55700780985683374</v>
      </c>
    </row>
    <row r="38" spans="2:22" ht="15.75" customHeight="1" thickBot="1" x14ac:dyDescent="0.25">
      <c r="B38" s="211"/>
      <c r="C38" s="93" t="s">
        <v>0</v>
      </c>
      <c r="D38" s="94">
        <f>Alejandro!F106/(Alejandro!$F$104+Alejandro!$F$105+Alejandro!$F$106)</f>
        <v>8.6381164947744962E-2</v>
      </c>
      <c r="E38" s="95">
        <f>IF((Alejandro!G$101+Alejandro!G$102+Alejandro!G$103)=0,NA(),Alejandro!G103/(Alejandro!G$101+Alejandro!G$102+Alejandro!G$103))</f>
        <v>0.10542096805081526</v>
      </c>
      <c r="F38" s="95">
        <f>IF((Alejandro!H$101+Alejandro!H$102+Alejandro!H$103)=0,NA(),Alejandro!H103/(Alejandro!H$101+Alejandro!H$102+Alejandro!H$103))</f>
        <v>3.5249287895999633E-2</v>
      </c>
      <c r="G38" s="95">
        <f>IF((Alejandro!I$101+Alejandro!I$102+Alejandro!I$103)=0,NA(),Alejandro!I103/(Alejandro!I$101+Alejandro!I$102+Alejandro!I$103))</f>
        <v>2.8296107732679644E-2</v>
      </c>
      <c r="H38" s="95">
        <f>IF((Alejandro!J$101+Alejandro!J$102+Alejandro!J$103)=0,NA(),Alejandro!J103/(Alejandro!J$101+Alejandro!J$102+Alejandro!J$103))</f>
        <v>2.6775628440496975E-2</v>
      </c>
      <c r="I38" s="95">
        <f>IF((Alejandro!K$101+Alejandro!K$102+Alejandro!K$103)=0,NA(),Alejandro!K103/(Alejandro!K$101+Alejandro!K$102+Alejandro!K$103))</f>
        <v>3.0059255661162385E-2</v>
      </c>
      <c r="J38" s="95">
        <f>IF((Alejandro!L$101+Alejandro!L$102+Alejandro!L$103)=0,NA(),Alejandro!L103/(Alejandro!L$101+Alejandro!L$102+Alejandro!L$103))</f>
        <v>2.9751839902868709E-2</v>
      </c>
      <c r="K38" s="95">
        <f>IF((Alejandro!M$101+Alejandro!M$102+Alejandro!M$103)=0,NA(),Alejandro!M103/(Alejandro!M$101+Alejandro!M$102+Alejandro!M$103))</f>
        <v>2.6971424548276349E-2</v>
      </c>
      <c r="L38" s="95">
        <f>IF((Alejandro!N$101+Alejandro!N$102+Alejandro!N$103)=0,NA(),Alejandro!N103/(Alejandro!N$101+Alejandro!N$102+Alejandro!N$103))</f>
        <v>2.596233608625028E-2</v>
      </c>
      <c r="M38" s="95">
        <f>IF((Alejandro!O$101+Alejandro!O$102+Alejandro!O$103)=0,NA(),Alejandro!O103/(Alejandro!O$101+Alejandro!O$102+Alejandro!O$103))</f>
        <v>2.3694132555584193E-2</v>
      </c>
      <c r="N38" s="95">
        <f>IF((Alejandro!P$101+Alejandro!P$102+Alejandro!P$103)=0,NA(),Alejandro!P103/(Alejandro!P$101+Alejandro!P$102+Alejandro!P$103))</f>
        <v>2.1211828505672849E-2</v>
      </c>
      <c r="O38" s="95">
        <f>IF((Alejandro!Q$101+Alejandro!Q$102+Alejandro!Q$103)=0,NA(),Alejandro!Q103/(Alejandro!Q$101+Alejandro!Q$102+Alejandro!Q$103))</f>
        <v>1.96773764335747E-2</v>
      </c>
      <c r="P38" s="95">
        <f>IF((Alejandro!R$101+Alejandro!R$102+Alejandro!R$103)=0,NA(),Alejandro!R103/(Alejandro!R$101+Alejandro!R$102+Alejandro!R$103))</f>
        <v>1.988854261089484E-2</v>
      </c>
      <c r="Q38" s="95">
        <f>IF((Alejandro!S$101+Alejandro!S$102+Alejandro!S$103)=0,NA(),Alejandro!S103/(Alejandro!S$101+Alejandro!S$102+Alejandro!S$103))</f>
        <v>2.1134559687620409E-2</v>
      </c>
      <c r="R38" s="95">
        <f>IF((Alejandro!T$101+Alejandro!T$102+Alejandro!T$103)=0,NA(),Alejandro!T103/(Alejandro!T$101+Alejandro!T$102+Alejandro!T$103))</f>
        <v>1.9848215417930467E-2</v>
      </c>
      <c r="S38" s="95">
        <f>IF((Alejandro!U$101+Alejandro!U$102+Alejandro!U$103)=0,NA(),Alejandro!U103/(Alejandro!U$101+Alejandro!U$102+Alejandro!U$103))</f>
        <v>1.8647000973940397E-2</v>
      </c>
      <c r="T38" s="95">
        <f>IF((Alejandro!V$101+Alejandro!V$102+Alejandro!V$103)=0,NA(),Alejandro!V103/(Alejandro!V$101+Alejandro!V$102+Alejandro!V$103))</f>
        <v>9.260182659499834E-2</v>
      </c>
      <c r="U38" s="95">
        <f>IF((Alejandro!W$101+Alejandro!W$102+Alejandro!W$103)=0,NA(),Alejandro!W103/(Alejandro!W$101+Alejandro!W$102+Alejandro!W$103))</f>
        <v>8.8896393482183284E-2</v>
      </c>
      <c r="V38" s="96">
        <f>IF((Alejandro!X$101+Alejandro!X$102+Alejandro!X$103)=0,NA(),Alejandro!X103/(Alejandro!X$101+Alejandro!X$102+Alejandro!X$103))</f>
        <v>8.6381164947744962E-2</v>
      </c>
    </row>
    <row r="39" spans="2:22" ht="15.75" customHeight="1" x14ac:dyDescent="0.2">
      <c r="B39" s="206" t="s">
        <v>185</v>
      </c>
      <c r="C39" s="97" t="s">
        <v>186</v>
      </c>
      <c r="D39" s="98">
        <f>Alejandro!F113/(Alejandro!$F$113+Alejandro!$F$114+Alejandro!$F$115)</f>
        <v>0.48301423211418881</v>
      </c>
      <c r="E39" s="99">
        <f>IF((Alejandro!G$110+Alejandro!G$111+Alejandro!G$112)=0,NA(),Alejandro!G110/(Alejandro!G$110+Alejandro!G$111+Alejandro!G$112))</f>
        <v>0.2537586284274389</v>
      </c>
      <c r="F39" s="99">
        <f>IF((Alejandro!H$110+Alejandro!H$111+Alejandro!H$112)=0,NA(),Alejandro!H110/(Alejandro!H$110+Alejandro!H$111+Alejandro!H$112))</f>
        <v>0.37762858565871127</v>
      </c>
      <c r="G39" s="99">
        <f>IF((Alejandro!I$110+Alejandro!I$111+Alejandro!I$112)=0,NA(),Alejandro!I110/(Alejandro!I$110+Alejandro!I$111+Alejandro!I$112))</f>
        <v>0.44398040239554692</v>
      </c>
      <c r="H39" s="99">
        <f>IF((Alejandro!J$110+Alejandro!J$111+Alejandro!J$112)=0,NA(),Alejandro!J110/(Alejandro!J$110+Alejandro!J$111+Alejandro!J$112))</f>
        <v>0.4713827061674129</v>
      </c>
      <c r="I39" s="99">
        <f>IF((Alejandro!K$110+Alejandro!K$111+Alejandro!K$112)=0,NA(),Alejandro!K110/(Alejandro!K$110+Alejandro!K$111+Alejandro!K$112))</f>
        <v>0.50083173082760934</v>
      </c>
      <c r="J39" s="99">
        <f>IF((Alejandro!L$110+Alejandro!L$111+Alejandro!L$112)=0,NA(),Alejandro!L110/(Alejandro!L$110+Alejandro!L$111+Alejandro!L$112))</f>
        <v>0.51058638808053658</v>
      </c>
      <c r="K39" s="99">
        <f>IF((Alejandro!M$110+Alejandro!M$111+Alejandro!M$112)=0,NA(),Alejandro!M110/(Alejandro!M$110+Alejandro!M$111+Alejandro!M$112))</f>
        <v>0.50495367192005391</v>
      </c>
      <c r="L39" s="99">
        <f>IF((Alejandro!N$110+Alejandro!N$111+Alejandro!N$112)=0,NA(),Alejandro!N110/(Alejandro!N$110+Alejandro!N$111+Alejandro!N$112))</f>
        <v>0.49863710341618961</v>
      </c>
      <c r="M39" s="99">
        <f>IF((Alejandro!O$110+Alejandro!O$111+Alejandro!O$112)=0,NA(),Alejandro!O110/(Alejandro!O$110+Alejandro!O$111+Alejandro!O$112))</f>
        <v>0.50597104195246068</v>
      </c>
      <c r="N39" s="99">
        <f>IF((Alejandro!P$110+Alejandro!P$111+Alejandro!P$112)=0,NA(),Alejandro!P110/(Alejandro!P$110+Alejandro!P$111+Alejandro!P$112))</f>
        <v>0.51306932598585098</v>
      </c>
      <c r="O39" s="99">
        <f>IF((Alejandro!Q$110+Alejandro!Q$111+Alejandro!Q$112)=0,NA(),Alejandro!Q110/(Alejandro!Q$110+Alejandro!Q$111+Alejandro!Q$112))</f>
        <v>0.50311333980973827</v>
      </c>
      <c r="P39" s="99">
        <f>IF((Alejandro!R$110+Alejandro!R$111+Alejandro!R$112)=0,NA(),Alejandro!R110/(Alejandro!R$110+Alejandro!R$111+Alejandro!R$112))</f>
        <v>0.49701780376428467</v>
      </c>
      <c r="Q39" s="99">
        <f>IF((Alejandro!S$110+Alejandro!S$111+Alejandro!S$112)=0,NA(),Alejandro!S110/(Alejandro!S$110+Alejandro!S$111+Alejandro!S$112))</f>
        <v>0.49649652364499824</v>
      </c>
      <c r="R39" s="99">
        <f>IF((Alejandro!T$110+Alejandro!T$111+Alejandro!T$112)=0,NA(),Alejandro!T110/(Alejandro!T$110+Alejandro!T$111+Alejandro!T$112))</f>
        <v>0.48758545292871269</v>
      </c>
      <c r="S39" s="99">
        <f>IF((Alejandro!U$110+Alejandro!U$111+Alejandro!U$112)=0,NA(),Alejandro!U110/(Alejandro!U$110+Alejandro!U$111+Alejandro!U$112))</f>
        <v>0.48751543085304966</v>
      </c>
      <c r="T39" s="99">
        <f>IF((Alejandro!V$110+Alejandro!V$111+Alejandro!V$112)=0,NA(),Alejandro!V110/(Alejandro!V$110+Alejandro!V$111+Alejandro!V$112))</f>
        <v>0.49046901563718737</v>
      </c>
      <c r="U39" s="99">
        <f>IF((Alejandro!W$110+Alejandro!W$111+Alejandro!W$112)=0,NA(),Alejandro!W110/(Alejandro!W$110+Alejandro!W$111+Alejandro!W$112))</f>
        <v>0.48670025833033342</v>
      </c>
      <c r="V39" s="100">
        <f>IF((Alejandro!X$110+Alejandro!X$111+Alejandro!X$112)=0,NA(),Alejandro!X110/(Alejandro!X$110+Alejandro!X$111+Alejandro!X$112))</f>
        <v>0.48301423211418881</v>
      </c>
    </row>
    <row r="40" spans="2:22" ht="15.75" customHeight="1" x14ac:dyDescent="0.2">
      <c r="B40" s="207"/>
      <c r="C40" s="88" t="s">
        <v>187</v>
      </c>
      <c r="D40" s="68">
        <f>Alejandro!F114/(Alejandro!$F$113+Alejandro!$F$114+Alejandro!$F$115)</f>
        <v>0.39379114063395126</v>
      </c>
      <c r="E40" s="69">
        <f>IF((Alejandro!G$110+Alejandro!G$111+Alejandro!G$112)=0,NA(),Alejandro!G111/(Alejandro!G$110+Alejandro!G$111+Alejandro!G$112))</f>
        <v>0.40671982855342986</v>
      </c>
      <c r="F40" s="69">
        <f>IF((Alejandro!H$110+Alejandro!H$111+Alejandro!H$112)=0,NA(),Alejandro!H111/(Alejandro!H$110+Alejandro!H$111+Alejandro!H$112))</f>
        <v>0.52478334612122923</v>
      </c>
      <c r="G40" s="69">
        <f>IF((Alejandro!I$110+Alejandro!I$111+Alejandro!I$112)=0,NA(),Alejandro!I111/(Alejandro!I$110+Alejandro!I$111+Alejandro!I$112))</f>
        <v>0.47787743340834221</v>
      </c>
      <c r="H40" s="69">
        <f>IF((Alejandro!J$110+Alejandro!J$111+Alejandro!J$112)=0,NA(),Alejandro!J111/(Alejandro!J$110+Alejandro!J$111+Alejandro!J$112))</f>
        <v>0.42202291502781825</v>
      </c>
      <c r="I40" s="69">
        <f>IF((Alejandro!K$110+Alejandro!K$111+Alejandro!K$112)=0,NA(),Alejandro!K111/(Alejandro!K$110+Alejandro!K$111+Alejandro!K$112))</f>
        <v>0.39515364950059811</v>
      </c>
      <c r="J40" s="69">
        <f>IF((Alejandro!L$110+Alejandro!L$111+Alejandro!L$112)=0,NA(),Alejandro!L111/(Alejandro!L$110+Alejandro!L$111+Alejandro!L$112))</f>
        <v>0.39384283296758127</v>
      </c>
      <c r="K40" s="69">
        <f>IF((Alejandro!M$110+Alejandro!M$111+Alejandro!M$112)=0,NA(),Alejandro!M111/(Alejandro!M$110+Alejandro!M$111+Alejandro!M$112))</f>
        <v>0.39280264955329852</v>
      </c>
      <c r="L40" s="69">
        <f>IF((Alejandro!N$110+Alejandro!N$111+Alejandro!N$112)=0,NA(),Alejandro!N111/(Alejandro!N$110+Alejandro!N$111+Alejandro!N$112))</f>
        <v>0.39222617350985034</v>
      </c>
      <c r="M40" s="69">
        <f>IF((Alejandro!O$110+Alejandro!O$111+Alejandro!O$112)=0,NA(),Alejandro!O111/(Alejandro!O$110+Alejandro!O$111+Alejandro!O$112))</f>
        <v>0.38903476146674365</v>
      </c>
      <c r="N40" s="69">
        <f>IF((Alejandro!P$110+Alejandro!P$111+Alejandro!P$112)=0,NA(),Alejandro!P111/(Alejandro!P$110+Alejandro!P$111+Alejandro!P$112))</f>
        <v>0.38399324032640569</v>
      </c>
      <c r="O40" s="69">
        <f>IF((Alejandro!Q$110+Alejandro!Q$111+Alejandro!Q$112)=0,NA(),Alejandro!Q111/(Alejandro!Q$110+Alejandro!Q$111+Alejandro!Q$112))</f>
        <v>0.38620477744328169</v>
      </c>
      <c r="P40" s="69">
        <f>IF((Alejandro!R$110+Alejandro!R$111+Alejandro!R$112)=0,NA(),Alejandro!R111/(Alejandro!R$110+Alejandro!R$111+Alejandro!R$112))</f>
        <v>0.39147578972804969</v>
      </c>
      <c r="Q40" s="69">
        <f>IF((Alejandro!S$110+Alejandro!S$111+Alejandro!S$112)=0,NA(),Alejandro!S111/(Alejandro!S$110+Alejandro!S$111+Alejandro!S$112))</f>
        <v>0.38761324103347183</v>
      </c>
      <c r="R40" s="69">
        <f>IF((Alejandro!T$110+Alejandro!T$111+Alejandro!T$112)=0,NA(),Alejandro!T111/(Alejandro!T$110+Alejandro!T$111+Alejandro!T$112))</f>
        <v>0.38674969044176538</v>
      </c>
      <c r="S40" s="69">
        <f>IF((Alejandro!U$110+Alejandro!U$111+Alejandro!U$112)=0,NA(),Alejandro!U111/(Alejandro!U$110+Alejandro!U$111+Alejandro!U$112))</f>
        <v>0.38904990953251656</v>
      </c>
      <c r="T40" s="69">
        <f>IF((Alejandro!V$110+Alejandro!V$111+Alejandro!V$112)=0,NA(),Alejandro!V111/(Alejandro!V$110+Alejandro!V$111+Alejandro!V$112))</f>
        <v>0.38603976809914053</v>
      </c>
      <c r="U40" s="69">
        <f>IF((Alejandro!W$110+Alejandro!W$111+Alejandro!W$112)=0,NA(),Alejandro!W111/(Alejandro!W$110+Alejandro!W$111+Alejandro!W$112))</f>
        <v>0.38998997408590452</v>
      </c>
      <c r="V40" s="70">
        <f>IF((Alejandro!X$110+Alejandro!X$111+Alejandro!X$112)=0,NA(),Alejandro!X111/(Alejandro!X$110+Alejandro!X$111+Alejandro!X$112))</f>
        <v>0.39379114063395126</v>
      </c>
    </row>
    <row r="41" spans="2:22" ht="15.75" customHeight="1" thickBot="1" x14ac:dyDescent="0.25">
      <c r="B41" s="208"/>
      <c r="C41" s="101" t="s">
        <v>0</v>
      </c>
      <c r="D41" s="102">
        <f>Alejandro!F115/(Alejandro!$F$113+Alejandro!$F$114+Alejandro!$F$115)</f>
        <v>0.1231946272518599</v>
      </c>
      <c r="E41" s="103">
        <f>IF((Alejandro!G$110+Alejandro!G$111+Alejandro!G$112)=0,NA(),Alejandro!G112/(Alejandro!G$110+Alejandro!G$111+Alejandro!G$112))</f>
        <v>0.33952154301913129</v>
      </c>
      <c r="F41" s="103">
        <f>IF((Alejandro!H$110+Alejandro!H$111+Alejandro!H$112)=0,NA(),Alejandro!H112/(Alejandro!H$110+Alejandro!H$111+Alejandro!H$112))</f>
        <v>9.7588068220059498E-2</v>
      </c>
      <c r="G41" s="103">
        <f>IF((Alejandro!I$110+Alejandro!I$111+Alejandro!I$112)=0,NA(),Alejandro!I112/(Alejandro!I$110+Alejandro!I$111+Alejandro!I$112))</f>
        <v>7.814216419611085E-2</v>
      </c>
      <c r="H41" s="103">
        <f>IF((Alejandro!J$110+Alejandro!J$111+Alejandro!J$112)=0,NA(),Alejandro!J112/(Alejandro!J$110+Alejandro!J$111+Alejandro!J$112))</f>
        <v>0.10659437880476888</v>
      </c>
      <c r="I41" s="103">
        <f>IF((Alejandro!K$110+Alejandro!K$111+Alejandro!K$112)=0,NA(),Alejandro!K112/(Alejandro!K$110+Alejandro!K$111+Alejandro!K$112))</f>
        <v>0.10401461967179251</v>
      </c>
      <c r="J41" s="103">
        <f>IF((Alejandro!L$110+Alejandro!L$111+Alejandro!L$112)=0,NA(),Alejandro!L112/(Alejandro!L$110+Alejandro!L$111+Alejandro!L$112))</f>
        <v>9.5570778951882152E-2</v>
      </c>
      <c r="K41" s="103">
        <f>IF((Alejandro!M$110+Alejandro!M$111+Alejandro!M$112)=0,NA(),Alejandro!M112/(Alejandro!M$110+Alejandro!M$111+Alejandro!M$112))</f>
        <v>0.10224367852664754</v>
      </c>
      <c r="L41" s="103">
        <f>IF((Alejandro!N$110+Alejandro!N$111+Alejandro!N$112)=0,NA(),Alejandro!N112/(Alejandro!N$110+Alejandro!N$111+Alejandro!N$112))</f>
        <v>0.10913672307396009</v>
      </c>
      <c r="M41" s="103">
        <f>IF((Alejandro!O$110+Alejandro!O$111+Alejandro!O$112)=0,NA(),Alejandro!O112/(Alejandro!O$110+Alejandro!O$111+Alejandro!O$112))</f>
        <v>0.1049941965807957</v>
      </c>
      <c r="N41" s="103">
        <f>IF((Alejandro!P$110+Alejandro!P$111+Alejandro!P$112)=0,NA(),Alejandro!P112/(Alejandro!P$110+Alejandro!P$111+Alejandro!P$112))</f>
        <v>0.10293743368774333</v>
      </c>
      <c r="O41" s="103">
        <f>IF((Alejandro!Q$110+Alejandro!Q$111+Alejandro!Q$112)=0,NA(),Alejandro!Q112/(Alejandro!Q$110+Alejandro!Q$111+Alejandro!Q$112))</f>
        <v>0.11068188274698001</v>
      </c>
      <c r="P41" s="103">
        <f>IF((Alejandro!R$110+Alejandro!R$111+Alejandro!R$112)=0,NA(),Alejandro!R112/(Alejandro!R$110+Alejandro!R$111+Alejandro!R$112))</f>
        <v>0.11150640650766566</v>
      </c>
      <c r="Q41" s="103">
        <f>IF((Alejandro!S$110+Alejandro!S$111+Alejandro!S$112)=0,NA(),Alejandro!S112/(Alejandro!S$110+Alejandro!S$111+Alejandro!S$112))</f>
        <v>0.11589023532152999</v>
      </c>
      <c r="R41" s="103">
        <f>IF((Alejandro!T$110+Alejandro!T$111+Alejandro!T$112)=0,NA(),Alejandro!T112/(Alejandro!T$110+Alejandro!T$111+Alejandro!T$112))</f>
        <v>0.12566485662952206</v>
      </c>
      <c r="S41" s="103">
        <f>IF((Alejandro!U$110+Alejandro!U$111+Alejandro!U$112)=0,NA(),Alejandro!U112/(Alejandro!U$110+Alejandro!U$111+Alejandro!U$112))</f>
        <v>0.12343465961443378</v>
      </c>
      <c r="T41" s="103">
        <f>IF((Alejandro!V$110+Alejandro!V$111+Alejandro!V$112)=0,NA(),Alejandro!V112/(Alejandro!V$110+Alejandro!V$111+Alejandro!V$112))</f>
        <v>0.12349121626367217</v>
      </c>
      <c r="U41" s="103">
        <f>IF((Alejandro!W$110+Alejandro!W$111+Alejandro!W$112)=0,NA(),Alejandro!W112/(Alejandro!W$110+Alejandro!W$111+Alejandro!W$112))</f>
        <v>0.12330976758376204</v>
      </c>
      <c r="V41" s="104">
        <f>IF((Alejandro!X$110+Alejandro!X$111+Alejandro!X$112)=0,NA(),Alejandro!X112/(Alejandro!X$110+Alejandro!X$111+Alejandro!X$112))</f>
        <v>0.1231946272518599</v>
      </c>
    </row>
    <row r="42" spans="2:22" ht="15.75" customHeight="1" x14ac:dyDescent="0.2">
      <c r="B42" s="209" t="s">
        <v>140</v>
      </c>
      <c r="C42" s="105" t="s">
        <v>142</v>
      </c>
      <c r="D42" s="106">
        <f>Alejandro!F122/(Alejandro!$F$122+Alejandro!$F$123+Alejandro!$F$124)</f>
        <v>0.30919089942558481</v>
      </c>
      <c r="E42" s="107">
        <f>IF((Alejandro!G$119+Alejandro!G$120+Alejandro!G$121)=0,NA(),Alejandro!G119/(Alejandro!G$119+Alejandro!G$120+Alejandro!G$121))</f>
        <v>0.40483897731567864</v>
      </c>
      <c r="F42" s="107">
        <f>IF((Alejandro!H$119+Alejandro!H$120+Alejandro!H$121)=0,NA(),Alejandro!H119/(Alejandro!H$119+Alejandro!H$120+Alejandro!H$121))</f>
        <v>0.35271935842973723</v>
      </c>
      <c r="G42" s="107">
        <f>IF((Alejandro!I$119+Alejandro!I$120+Alejandro!I$121)=0,NA(),Alejandro!I119/(Alejandro!I$119+Alejandro!I$120+Alejandro!I$121))</f>
        <v>0.32330518062456259</v>
      </c>
      <c r="H42" s="107">
        <f>IF((Alejandro!J$119+Alejandro!J$120+Alejandro!J$121)=0,NA(),Alejandro!J119/(Alejandro!J$119+Alejandro!J$120+Alejandro!J$121))</f>
        <v>0.32663018755966094</v>
      </c>
      <c r="I42" s="107">
        <f>IF((Alejandro!K$119+Alejandro!K$120+Alejandro!K$121)=0,NA(),Alejandro!K119/(Alejandro!K$119+Alejandro!K$120+Alejandro!K$121))</f>
        <v>0.33906199559283334</v>
      </c>
      <c r="J42" s="107">
        <f>IF((Alejandro!L$119+Alejandro!L$120+Alejandro!L$121)=0,NA(),Alejandro!L119/(Alejandro!L$119+Alejandro!L$120+Alejandro!L$121))</f>
        <v>0.33786729615004607</v>
      </c>
      <c r="K42" s="107">
        <f>IF((Alejandro!M$119+Alejandro!M$120+Alejandro!M$121)=0,NA(),Alejandro!M119/(Alejandro!M$119+Alejandro!M$120+Alejandro!M$121))</f>
        <v>0.33426286830028845</v>
      </c>
      <c r="L42" s="107">
        <f>IF((Alejandro!N$119+Alejandro!N$120+Alejandro!N$121)=0,NA(),Alejandro!N119/(Alejandro!N$119+Alejandro!N$120+Alejandro!N$121))</f>
        <v>0.3274702004152194</v>
      </c>
      <c r="M42" s="107">
        <f>IF((Alejandro!O$119+Alejandro!O$120+Alejandro!O$121)=0,NA(),Alejandro!O119/(Alejandro!O$119+Alejandro!O$120+Alejandro!O$121))</f>
        <v>0.32253737130354138</v>
      </c>
      <c r="N42" s="107">
        <f>IF((Alejandro!P$119+Alejandro!P$120+Alejandro!P$121)=0,NA(),Alejandro!P119/(Alejandro!P$119+Alejandro!P$120+Alejandro!P$121))</f>
        <v>0.32271782555133793</v>
      </c>
      <c r="O42" s="107">
        <f>IF((Alejandro!Q$119+Alejandro!Q$120+Alejandro!Q$121)=0,NA(),Alejandro!Q119/(Alejandro!Q$119+Alejandro!Q$120+Alejandro!Q$121))</f>
        <v>0.3194367607455168</v>
      </c>
      <c r="P42" s="107">
        <f>IF((Alejandro!R$119+Alejandro!R$120+Alejandro!R$121)=0,NA(),Alejandro!R119/(Alejandro!R$119+Alejandro!R$120+Alejandro!R$121))</f>
        <v>0.31695828081224015</v>
      </c>
      <c r="Q42" s="107">
        <f>IF((Alejandro!S$119+Alejandro!S$120+Alejandro!S$121)=0,NA(),Alejandro!S119/(Alejandro!S$119+Alejandro!S$120+Alejandro!S$121))</f>
        <v>0.31296417269076221</v>
      </c>
      <c r="R42" s="107">
        <f>IF((Alejandro!T$119+Alejandro!T$120+Alejandro!T$121)=0,NA(),Alejandro!T119/(Alejandro!T$119+Alejandro!T$120+Alejandro!T$121))</f>
        <v>0.31063313545950239</v>
      </c>
      <c r="S42" s="107">
        <f>IF((Alejandro!U$119+Alejandro!U$120+Alejandro!U$121)=0,NA(),Alejandro!U119/(Alejandro!U$119+Alejandro!U$120+Alejandro!U$121))</f>
        <v>0.30919089942558481</v>
      </c>
      <c r="T42" s="107" t="e">
        <f>IF((Alejandro!V$119+Alejandro!V$120+Alejandro!V$121)=0,NA(),Alejandro!V119/(Alejandro!V$119+Alejandro!V$120+Alejandro!V$121))</f>
        <v>#N/A</v>
      </c>
      <c r="U42" s="107" t="e">
        <f>IF((Alejandro!W$119+Alejandro!W$120+Alejandro!W$121)=0,NA(),Alejandro!W119/(Alejandro!W$119+Alejandro!W$120+Alejandro!W$121))</f>
        <v>#N/A</v>
      </c>
      <c r="V42" s="108" t="e">
        <f>IF((Alejandro!X$119+Alejandro!X$120+Alejandro!X$121)=0,NA(),Alejandro!X119/(Alejandro!X$119+Alejandro!X$120+Alejandro!X$121))</f>
        <v>#N/A</v>
      </c>
    </row>
    <row r="43" spans="2:22" ht="15.75" customHeight="1" x14ac:dyDescent="0.2">
      <c r="B43" s="210"/>
      <c r="C43" s="91" t="s">
        <v>141</v>
      </c>
      <c r="D43" s="80">
        <f>Alejandro!F123/(Alejandro!$F$122+Alejandro!$F$123+Alejandro!$F$124)</f>
        <v>0.68147182097067993</v>
      </c>
      <c r="E43" s="81">
        <f>IF((Alejandro!G$119+Alejandro!G$120+Alejandro!G$121)=0,NA(),Alejandro!G120/(Alejandro!G$119+Alejandro!G$120+Alejandro!G$121))</f>
        <v>0.57916074224399772</v>
      </c>
      <c r="F43" s="81">
        <f>IF((Alejandro!H$119+Alejandro!H$120+Alejandro!H$121)=0,NA(),Alejandro!H120/(Alejandro!H$119+Alejandro!H$120+Alejandro!H$121))</f>
        <v>0.6300371182112926</v>
      </c>
      <c r="G43" s="81">
        <f>IF((Alejandro!I$119+Alejandro!I$120+Alejandro!I$121)=0,NA(),Alejandro!I120/(Alejandro!I$119+Alejandro!I$120+Alejandro!I$121))</f>
        <v>0.66374053815359157</v>
      </c>
      <c r="H43" s="81">
        <f>IF((Alejandro!J$119+Alejandro!J$120+Alejandro!J$121)=0,NA(),Alejandro!J120/(Alejandro!J$119+Alejandro!J$120+Alejandro!J$121))</f>
        <v>0.66200554571855141</v>
      </c>
      <c r="I43" s="81">
        <f>IF((Alejandro!K$119+Alejandro!K$120+Alejandro!K$121)=0,NA(),Alejandro!K120/(Alejandro!K$119+Alejandro!K$120+Alejandro!K$121))</f>
        <v>0.65092656827416706</v>
      </c>
      <c r="J43" s="81">
        <f>IF((Alejandro!L$119+Alejandro!L$120+Alejandro!L$121)=0,NA(),Alejandro!L120/(Alejandro!L$119+Alejandro!L$120+Alejandro!L$121))</f>
        <v>0.65260318337091383</v>
      </c>
      <c r="K43" s="81">
        <f>IF((Alejandro!M$119+Alejandro!M$120+Alejandro!M$121)=0,NA(),Alejandro!M120/(Alejandro!M$119+Alejandro!M$120+Alejandro!M$121))</f>
        <v>0.65595927183710045</v>
      </c>
      <c r="L43" s="81">
        <f>IF((Alejandro!N$119+Alejandro!N$120+Alejandro!N$121)=0,NA(),Alejandro!N120/(Alejandro!N$119+Alejandro!N$120+Alejandro!N$121))</f>
        <v>0.66378699059431234</v>
      </c>
      <c r="M43" s="81">
        <f>IF((Alejandro!O$119+Alejandro!O$120+Alejandro!O$121)=0,NA(),Alejandro!O120/(Alejandro!O$119+Alejandro!O$120+Alejandro!O$121))</f>
        <v>0.66729920797262332</v>
      </c>
      <c r="N43" s="81">
        <f>IF((Alejandro!P$119+Alejandro!P$120+Alejandro!P$121)=0,NA(),Alejandro!P120/(Alejandro!P$119+Alejandro!P$120+Alejandro!P$121))</f>
        <v>0.6668214300231915</v>
      </c>
      <c r="O43" s="81">
        <f>IF((Alejandro!Q$119+Alejandro!Q$120+Alejandro!Q$121)=0,NA(),Alejandro!Q120/(Alejandro!Q$119+Alejandro!Q$120+Alejandro!Q$121))</f>
        <v>0.6706048217056173</v>
      </c>
      <c r="P43" s="81">
        <f>IF((Alejandro!R$119+Alejandro!R$120+Alejandro!R$121)=0,NA(),Alejandro!R120/(Alejandro!R$119+Alejandro!R$120+Alejandro!R$121))</f>
        <v>0.67301918841500097</v>
      </c>
      <c r="Q43" s="81">
        <f>IF((Alejandro!S$119+Alejandro!S$120+Alejandro!S$121)=0,NA(),Alejandro!S120/(Alejandro!S$119+Alejandro!S$120+Alejandro!S$121))</f>
        <v>0.67743763635216647</v>
      </c>
      <c r="R43" s="81">
        <f>IF((Alejandro!T$119+Alejandro!T$120+Alejandro!T$121)=0,NA(),Alejandro!T120/(Alejandro!T$119+Alejandro!T$120+Alejandro!T$121))</f>
        <v>0.67995488684083694</v>
      </c>
      <c r="S43" s="81">
        <f>IF((Alejandro!U$119+Alejandro!U$120+Alejandro!U$121)=0,NA(),Alejandro!U120/(Alejandro!U$119+Alejandro!U$120+Alejandro!U$121))</f>
        <v>0.68147182097067993</v>
      </c>
      <c r="T43" s="81" t="e">
        <f>IF((Alejandro!V$119+Alejandro!V$120+Alejandro!V$121)=0,NA(),Alejandro!V120/(Alejandro!V$119+Alejandro!V$120+Alejandro!V$121))</f>
        <v>#N/A</v>
      </c>
      <c r="U43" s="81" t="e">
        <f>IF((Alejandro!W$119+Alejandro!W$120+Alejandro!W$121)=0,NA(),Alejandro!W120/(Alejandro!W$119+Alejandro!W$120+Alejandro!W$121))</f>
        <v>#N/A</v>
      </c>
      <c r="V43" s="82" t="e">
        <f>IF((Alejandro!X$119+Alejandro!X$120+Alejandro!X$121)=0,NA(),Alejandro!X120/(Alejandro!X$119+Alejandro!X$120+Alejandro!X$121))</f>
        <v>#N/A</v>
      </c>
    </row>
    <row r="44" spans="2:22" ht="15.75" customHeight="1" thickBot="1" x14ac:dyDescent="0.25">
      <c r="B44" s="211"/>
      <c r="C44" s="93" t="s">
        <v>0</v>
      </c>
      <c r="D44" s="94">
        <f>Alejandro!F124/(Alejandro!$F$122+Alejandro!$F$123+Alejandro!$F$124)</f>
        <v>9.3372796037353312E-3</v>
      </c>
      <c r="E44" s="95">
        <f>IF((Alejandro!G$119+Alejandro!G$120+Alejandro!G$121)=0,NA(),Alejandro!G121/(Alejandro!G$119+Alejandro!G$120+Alejandro!G$121))</f>
        <v>1.6000280440323721E-2</v>
      </c>
      <c r="F44" s="95">
        <f>IF((Alejandro!H$119+Alejandro!H$120+Alejandro!H$121)=0,NA(),Alejandro!H121/(Alejandro!H$119+Alejandro!H$120+Alejandro!H$121))</f>
        <v>1.7243523358970159E-2</v>
      </c>
      <c r="G44" s="95">
        <f>IF((Alejandro!I$119+Alejandro!I$120+Alejandro!I$121)=0,NA(),Alejandro!I121/(Alejandro!I$119+Alejandro!I$120+Alejandro!I$121))</f>
        <v>1.2954281221845783E-2</v>
      </c>
      <c r="H44" s="95">
        <f>IF((Alejandro!J$119+Alejandro!J$120+Alejandro!J$121)=0,NA(),Alejandro!J121/(Alejandro!J$119+Alejandro!J$120+Alejandro!J$121))</f>
        <v>1.1364266721787503E-2</v>
      </c>
      <c r="I44" s="95">
        <f>IF((Alejandro!K$119+Alejandro!K$120+Alejandro!K$121)=0,NA(),Alejandro!K121/(Alejandro!K$119+Alejandro!K$120+Alejandro!K$121))</f>
        <v>1.0011436132999645E-2</v>
      </c>
      <c r="J44" s="95">
        <f>IF((Alejandro!L$119+Alejandro!L$120+Alejandro!L$121)=0,NA(),Alejandro!L121/(Alejandro!L$119+Alejandro!L$120+Alejandro!L$121))</f>
        <v>9.529520479040033E-3</v>
      </c>
      <c r="K44" s="95">
        <f>IF((Alejandro!M$119+Alejandro!M$120+Alejandro!M$121)=0,NA(),Alejandro!M121/(Alejandro!M$119+Alejandro!M$120+Alejandro!M$121))</f>
        <v>9.7778598626111161E-3</v>
      </c>
      <c r="L44" s="95">
        <f>IF((Alejandro!N$119+Alejandro!N$120+Alejandro!N$121)=0,NA(),Alejandro!N121/(Alejandro!N$119+Alejandro!N$120+Alejandro!N$121))</f>
        <v>8.7428089904682781E-3</v>
      </c>
      <c r="M44" s="95">
        <f>IF((Alejandro!O$119+Alejandro!O$120+Alejandro!O$121)=0,NA(),Alejandro!O121/(Alejandro!O$119+Alejandro!O$120+Alejandro!O$121))</f>
        <v>1.0163420723835236E-2</v>
      </c>
      <c r="N44" s="95">
        <f>IF((Alejandro!P$119+Alejandro!P$120+Alejandro!P$121)=0,NA(),Alejandro!P121/(Alejandro!P$119+Alejandro!P$120+Alejandro!P$121))</f>
        <v>1.0460744425470632E-2</v>
      </c>
      <c r="O44" s="95">
        <f>IF((Alejandro!Q$119+Alejandro!Q$120+Alejandro!Q$121)=0,NA(),Alejandro!Q121/(Alejandro!Q$119+Alejandro!Q$120+Alejandro!Q$121))</f>
        <v>9.9584175488657903E-3</v>
      </c>
      <c r="P44" s="95">
        <f>IF((Alejandro!R$119+Alejandro!R$120+Alejandro!R$121)=0,NA(),Alejandro!R121/(Alejandro!R$119+Alejandro!R$120+Alejandro!R$121))</f>
        <v>1.0022530772758916E-2</v>
      </c>
      <c r="Q44" s="95">
        <f>IF((Alejandro!S$119+Alejandro!S$120+Alejandro!S$121)=0,NA(),Alejandro!S121/(Alejandro!S$119+Alejandro!S$120+Alejandro!S$121))</f>
        <v>9.5981909570714095E-3</v>
      </c>
      <c r="R44" s="95">
        <f>IF((Alejandro!T$119+Alejandro!T$120+Alejandro!T$121)=0,NA(),Alejandro!T121/(Alejandro!T$119+Alejandro!T$120+Alejandro!T$121))</f>
        <v>9.4119776996607167E-3</v>
      </c>
      <c r="S44" s="95">
        <f>IF((Alejandro!U$119+Alejandro!U$120+Alejandro!U$121)=0,NA(),Alejandro!U121/(Alejandro!U$119+Alejandro!U$120+Alejandro!U$121))</f>
        <v>9.3372796037353312E-3</v>
      </c>
      <c r="T44" s="95" t="e">
        <f>IF((Alejandro!V$119+Alejandro!V$120+Alejandro!V$121)=0,NA(),Alejandro!V121/(Alejandro!V$119+Alejandro!V$120+Alejandro!V$121))</f>
        <v>#N/A</v>
      </c>
      <c r="U44" s="95" t="e">
        <f>IF((Alejandro!W$119+Alejandro!W$120+Alejandro!W$121)=0,NA(),Alejandro!W121/(Alejandro!W$119+Alejandro!W$120+Alejandro!W$121))</f>
        <v>#N/A</v>
      </c>
      <c r="V44" s="96" t="e">
        <f>IF((Alejandro!X$119+Alejandro!X$120+Alejandro!X$121)=0,NA(),Alejandro!X121/(Alejandro!X$119+Alejandro!X$120+Alejandro!X$121))</f>
        <v>#N/A</v>
      </c>
    </row>
    <row r="45" spans="2:22" ht="15.75" customHeight="1" x14ac:dyDescent="0.2">
      <c r="B45" s="206" t="s">
        <v>189</v>
      </c>
      <c r="C45" s="97" t="s">
        <v>225</v>
      </c>
      <c r="D45" s="203">
        <f>Alejandro!E132</f>
        <v>0.70192433034443047</v>
      </c>
      <c r="E45" s="99">
        <f>IF((Alejandro!G$128+Alejandro!G$129+Alejandro!G$130+Alejandro!G$131)=0,NA(),Alejandro!G128/(Alejandro!G$128+Alejandro!G$129+Alejandro!G$130+Alejandro!G$131))</f>
        <v>0.25</v>
      </c>
      <c r="F45" s="99" t="e">
        <f>IF((Alejandro!H$128+Alejandro!H$129+Alejandro!H$130+Alejandro!H$131)=0,NA(),Alejandro!H128/(Alejandro!H$128+Alejandro!H$129+Alejandro!H$130+Alejandro!H$131))</f>
        <v>#N/A</v>
      </c>
      <c r="G45" s="99" t="e">
        <f>IF((Alejandro!I$128+Alejandro!I$129+Alejandro!I$130+Alejandro!I$131)=0,NA(),Alejandro!I128/(Alejandro!I$128+Alejandro!I$129+Alejandro!I$130+Alejandro!I$131))</f>
        <v>#N/A</v>
      </c>
      <c r="H45" s="99" t="e">
        <f>IF((Alejandro!J$128+Alejandro!J$129+Alejandro!J$130+Alejandro!J$131)=0,NA(),Alejandro!J128/(Alejandro!J$128+Alejandro!J$129+Alejandro!J$130+Alejandro!J$131))</f>
        <v>#N/A</v>
      </c>
      <c r="I45" s="99" t="e">
        <f>IF((Alejandro!K$128+Alejandro!K$129+Alejandro!K$130+Alejandro!K$131)=0,NA(),Alejandro!K128/(Alejandro!K$128+Alejandro!K$129+Alejandro!K$130+Alejandro!K$131))</f>
        <v>#N/A</v>
      </c>
      <c r="J45" s="99">
        <f>IF((Alejandro!L$128+Alejandro!L$129+Alejandro!L$130+Alejandro!L$131)=0,NA(),Alejandro!L128/(Alejandro!L$128+Alejandro!L$129+Alejandro!L$130+Alejandro!L$131))</f>
        <v>0.76666666666666672</v>
      </c>
      <c r="K45" s="99" t="e">
        <f>IF((Alejandro!M$128+Alejandro!M$129+Alejandro!M$130+Alejandro!M$131)=0,NA(),Alejandro!M128/(Alejandro!M$128+Alejandro!M$129+Alejandro!M$130+Alejandro!M$131))</f>
        <v>#N/A</v>
      </c>
      <c r="L45" s="99" t="e">
        <f>IF((Alejandro!N$128+Alejandro!N$129+Alejandro!N$130+Alejandro!N$131)=0,NA(),Alejandro!N128/(Alejandro!N$128+Alejandro!N$129+Alejandro!N$130+Alejandro!N$131))</f>
        <v>#N/A</v>
      </c>
      <c r="M45" s="99" t="e">
        <f>IF((Alejandro!O$128+Alejandro!O$129+Alejandro!O$130+Alejandro!O$131)=0,NA(),Alejandro!O128/(Alejandro!O$128+Alejandro!O$129+Alejandro!O$130+Alejandro!O$131))</f>
        <v>#N/A</v>
      </c>
      <c r="N45" s="99" t="e">
        <f>IF((Alejandro!P$128+Alejandro!P$129+Alejandro!P$130+Alejandro!P$131)=0,NA(),Alejandro!P128/(Alejandro!P$128+Alejandro!P$129+Alejandro!P$130+Alejandro!P$131))</f>
        <v>#N/A</v>
      </c>
      <c r="O45" s="99" t="e">
        <f>IF((Alejandro!Q$128+Alejandro!Q$129+Alejandro!Q$130+Alejandro!Q$131)=0,NA(),Alejandro!Q128/(Alejandro!Q$128+Alejandro!Q$129+Alejandro!Q$130+Alejandro!Q$131))</f>
        <v>#N/A</v>
      </c>
      <c r="P45" s="99" t="e">
        <f>IF((Alejandro!R$128+Alejandro!R$129+Alejandro!R$130+Alejandro!R$131)=0,NA(),Alejandro!R128/(Alejandro!R$128+Alejandro!R$129+Alejandro!R$130+Alejandro!R$131))</f>
        <v>#N/A</v>
      </c>
      <c r="Q45" s="99" t="e">
        <f>IF((Alejandro!S$128+Alejandro!S$129+Alejandro!S$130+Alejandro!S$131)=0,NA(),Alejandro!S128/(Alejandro!S$128+Alejandro!S$129+Alejandro!S$130+Alejandro!S$131))</f>
        <v>#N/A</v>
      </c>
      <c r="R45" s="99" t="e">
        <f>IF((Alejandro!T$128+Alejandro!T$129+Alejandro!T$130+Alejandro!T$131)=0,NA(),Alejandro!T128/(Alejandro!T$128+Alejandro!T$129+Alejandro!T$130+Alejandro!T$131))</f>
        <v>#N/A</v>
      </c>
      <c r="S45" s="99" t="e">
        <f>IF((Alejandro!U$128+Alejandro!U$129+Alejandro!U$130+Alejandro!U$131)=0,NA(),Alejandro!U128/(Alejandro!U$128+Alejandro!U$129+Alejandro!U$130+Alejandro!U$131))</f>
        <v>#N/A</v>
      </c>
      <c r="T45" s="99" t="e">
        <f>IF((Alejandro!V$128+Alejandro!V$129+Alejandro!V$130+Alejandro!V$131)=0,NA(),Alejandro!V128/(Alejandro!V$128+Alejandro!V$129+Alejandro!V$130+Alejandro!V$131))</f>
        <v>#N/A</v>
      </c>
      <c r="U45" s="99" t="e">
        <f>IF((Alejandro!W$128+Alejandro!W$129+Alejandro!W$130+Alejandro!W$131)=0,NA(),Alejandro!W128/(Alejandro!W$128+Alejandro!W$129+Alejandro!W$130+Alejandro!W$131))</f>
        <v>#N/A</v>
      </c>
      <c r="V45" s="100" t="e">
        <f>IF((Alejandro!X$128+Alejandro!X$129+Alejandro!X$130+Alejandro!X$131)=0,NA(),Alejandro!X128/(Alejandro!X$128+Alejandro!X$129+Alejandro!X$130+Alejandro!X$131))</f>
        <v>#N/A</v>
      </c>
    </row>
    <row r="46" spans="2:22" ht="15.75" customHeight="1" x14ac:dyDescent="0.2">
      <c r="B46" s="207"/>
      <c r="C46" s="88" t="s">
        <v>227</v>
      </c>
      <c r="D46" s="204">
        <f>Alejandro!E133</f>
        <v>0.21362914401787014</v>
      </c>
      <c r="E46" s="69">
        <f>IF((Alejandro!G$128+Alejandro!G$129+Alejandro!G$130+Alejandro!G$131)=0,NA(),Alejandro!G129/(Alejandro!G$128+Alejandro!G$129+Alejandro!G$130+Alejandro!G$131))</f>
        <v>0.25</v>
      </c>
      <c r="F46" s="69" t="e">
        <f>IF((Alejandro!H$128+Alejandro!H$129+Alejandro!H$130+Alejandro!H$131)=0,NA(),Alejandro!H129/(Alejandro!H$128+Alejandro!H$129+Alejandro!H$130+Alejandro!H$131))</f>
        <v>#N/A</v>
      </c>
      <c r="G46" s="69" t="e">
        <f>IF((Alejandro!I$128+Alejandro!I$129+Alejandro!I$130+Alejandro!I$131)=0,NA(),Alejandro!I129/(Alejandro!I$128+Alejandro!I$129+Alejandro!I$130+Alejandro!I$131))</f>
        <v>#N/A</v>
      </c>
      <c r="H46" s="69" t="e">
        <f>IF((Alejandro!J$128+Alejandro!J$129+Alejandro!J$130+Alejandro!J$131)=0,NA(),Alejandro!J129/(Alejandro!J$128+Alejandro!J$129+Alejandro!J$130+Alejandro!J$131))</f>
        <v>#N/A</v>
      </c>
      <c r="I46" s="69" t="e">
        <f>IF((Alejandro!K$128+Alejandro!K$129+Alejandro!K$130+Alejandro!K$131)=0,NA(),Alejandro!K129/(Alejandro!K$128+Alejandro!K$129+Alejandro!K$130+Alejandro!K$131))</f>
        <v>#N/A</v>
      </c>
      <c r="J46" s="69">
        <f>IF((Alejandro!L$128+Alejandro!L$129+Alejandro!L$130+Alejandro!L$131)=0,NA(),Alejandro!L129/(Alejandro!L$128+Alejandro!L$129+Alejandro!L$130+Alejandro!L$131))</f>
        <v>0.23333333333333334</v>
      </c>
      <c r="K46" s="69" t="e">
        <f>IF((Alejandro!M$128+Alejandro!M$129+Alejandro!M$130+Alejandro!M$131)=0,NA(),Alejandro!M129/(Alejandro!M$128+Alejandro!M$129+Alejandro!M$130+Alejandro!M$131))</f>
        <v>#N/A</v>
      </c>
      <c r="L46" s="69" t="e">
        <f>IF((Alejandro!N$128+Alejandro!N$129+Alejandro!N$130+Alejandro!N$131)=0,NA(),Alejandro!N129/(Alejandro!N$128+Alejandro!N$129+Alejandro!N$130+Alejandro!N$131))</f>
        <v>#N/A</v>
      </c>
      <c r="M46" s="69" t="e">
        <f>IF((Alejandro!O$128+Alejandro!O$129+Alejandro!O$130+Alejandro!O$131)=0,NA(),Alejandro!O129/(Alejandro!O$128+Alejandro!O$129+Alejandro!O$130+Alejandro!O$131))</f>
        <v>#N/A</v>
      </c>
      <c r="N46" s="69" t="e">
        <f>IF((Alejandro!P$128+Alejandro!P$129+Alejandro!P$130+Alejandro!P$131)=0,NA(),Alejandro!P129/(Alejandro!P$128+Alejandro!P$129+Alejandro!P$130+Alejandro!P$131))</f>
        <v>#N/A</v>
      </c>
      <c r="O46" s="69" t="e">
        <f>IF((Alejandro!Q$128+Alejandro!Q$129+Alejandro!Q$130+Alejandro!Q$131)=0,NA(),Alejandro!Q129/(Alejandro!Q$128+Alejandro!Q$129+Alejandro!Q$130+Alejandro!Q$131))</f>
        <v>#N/A</v>
      </c>
      <c r="P46" s="69" t="e">
        <f>IF((Alejandro!R$128+Alejandro!R$129+Alejandro!R$130+Alejandro!R$131)=0,NA(),Alejandro!R129/(Alejandro!R$128+Alejandro!R$129+Alejandro!R$130+Alejandro!R$131))</f>
        <v>#N/A</v>
      </c>
      <c r="Q46" s="69" t="e">
        <f>IF((Alejandro!S$128+Alejandro!S$129+Alejandro!S$130+Alejandro!S$131)=0,NA(),Alejandro!S129/(Alejandro!S$128+Alejandro!S$129+Alejandro!S$130+Alejandro!S$131))</f>
        <v>#N/A</v>
      </c>
      <c r="R46" s="69" t="e">
        <f>IF((Alejandro!T$128+Alejandro!T$129+Alejandro!T$130+Alejandro!T$131)=0,NA(),Alejandro!T129/(Alejandro!T$128+Alejandro!T$129+Alejandro!T$130+Alejandro!T$131))</f>
        <v>#N/A</v>
      </c>
      <c r="S46" s="69" t="e">
        <f>IF((Alejandro!U$128+Alejandro!U$129+Alejandro!U$130+Alejandro!U$131)=0,NA(),Alejandro!U129/(Alejandro!U$128+Alejandro!U$129+Alejandro!U$130+Alejandro!U$131))</f>
        <v>#N/A</v>
      </c>
      <c r="T46" s="69" t="e">
        <f>IF((Alejandro!V$128+Alejandro!V$129+Alejandro!V$130+Alejandro!V$131)=0,NA(),Alejandro!V129/(Alejandro!V$128+Alejandro!V$129+Alejandro!V$130+Alejandro!V$131))</f>
        <v>#N/A</v>
      </c>
      <c r="U46" s="69" t="e">
        <f>IF((Alejandro!W$128+Alejandro!W$129+Alejandro!W$130+Alejandro!W$131)=0,NA(),Alejandro!W129/(Alejandro!W$128+Alejandro!W$129+Alejandro!W$130+Alejandro!W$131))</f>
        <v>#N/A</v>
      </c>
      <c r="V46" s="70" t="e">
        <f>IF((Alejandro!X$128+Alejandro!X$129+Alejandro!X$130+Alejandro!X$131)=0,NA(),Alejandro!X129/(Alejandro!X$128+Alejandro!X$129+Alejandro!X$130+Alejandro!X$131))</f>
        <v>#N/A</v>
      </c>
    </row>
    <row r="47" spans="2:22" ht="15.75" customHeight="1" x14ac:dyDescent="0.2">
      <c r="B47" s="207"/>
      <c r="C47" s="88" t="s">
        <v>226</v>
      </c>
      <c r="D47" s="204">
        <f>Alejandro!E134</f>
        <v>4.2223262818849701E-2</v>
      </c>
      <c r="E47" s="69">
        <f>IF((Alejandro!G$128+Alejandro!G$129+Alejandro!G$130+Alejandro!G$131)=0,NA(),Alejandro!G130/(Alejandro!G$128+Alejandro!G$129+Alejandro!G$130+Alejandro!G$131))</f>
        <v>0.25</v>
      </c>
      <c r="F47" s="69" t="e">
        <f>IF((Alejandro!H$128+Alejandro!H$129+Alejandro!H$130+Alejandro!H$131)=0,NA(),Alejandro!H130/(Alejandro!H$128+Alejandro!H$129+Alejandro!H$130+Alejandro!H$131))</f>
        <v>#N/A</v>
      </c>
      <c r="G47" s="69" t="e">
        <f>IF((Alejandro!I$128+Alejandro!I$129+Alejandro!I$130+Alejandro!I$131)=0,NA(),Alejandro!I130/(Alejandro!I$128+Alejandro!I$129+Alejandro!I$130+Alejandro!I$131))</f>
        <v>#N/A</v>
      </c>
      <c r="H47" s="69" t="e">
        <f>IF((Alejandro!J$128+Alejandro!J$129+Alejandro!J$130+Alejandro!J$131)=0,NA(),Alejandro!J130/(Alejandro!J$128+Alejandro!J$129+Alejandro!J$130+Alejandro!J$131))</f>
        <v>#N/A</v>
      </c>
      <c r="I47" s="69" t="e">
        <f>IF((Alejandro!K$128+Alejandro!K$129+Alejandro!K$130+Alejandro!K$131)=0,NA(),Alejandro!K130/(Alejandro!K$128+Alejandro!K$129+Alejandro!K$130+Alejandro!K$131))</f>
        <v>#N/A</v>
      </c>
      <c r="J47" s="69">
        <f>IF((Alejandro!L$128+Alejandro!L$129+Alejandro!L$130+Alejandro!L$131)=0,NA(),Alejandro!L130/(Alejandro!L$128+Alejandro!L$129+Alejandro!L$130+Alejandro!L$131))</f>
        <v>0</v>
      </c>
      <c r="K47" s="69" t="e">
        <f>IF((Alejandro!M$128+Alejandro!M$129+Alejandro!M$130+Alejandro!M$131)=0,NA(),Alejandro!M130/(Alejandro!M$128+Alejandro!M$129+Alejandro!M$130+Alejandro!M$131))</f>
        <v>#N/A</v>
      </c>
      <c r="L47" s="69" t="e">
        <f>IF((Alejandro!N$128+Alejandro!N$129+Alejandro!N$130+Alejandro!N$131)=0,NA(),Alejandro!N130/(Alejandro!N$128+Alejandro!N$129+Alejandro!N$130+Alejandro!N$131))</f>
        <v>#N/A</v>
      </c>
      <c r="M47" s="69" t="e">
        <f>IF((Alejandro!O$128+Alejandro!O$129+Alejandro!O$130+Alejandro!O$131)=0,NA(),Alejandro!O130/(Alejandro!O$128+Alejandro!O$129+Alejandro!O$130+Alejandro!O$131))</f>
        <v>#N/A</v>
      </c>
      <c r="N47" s="69" t="e">
        <f>IF((Alejandro!P$128+Alejandro!P$129+Alejandro!P$130+Alejandro!P$131)=0,NA(),Alejandro!P130/(Alejandro!P$128+Alejandro!P$129+Alejandro!P$130+Alejandro!P$131))</f>
        <v>#N/A</v>
      </c>
      <c r="O47" s="69" t="e">
        <f>IF((Alejandro!Q$128+Alejandro!Q$129+Alejandro!Q$130+Alejandro!Q$131)=0,NA(),Alejandro!Q130/(Alejandro!Q$128+Alejandro!Q$129+Alejandro!Q$130+Alejandro!Q$131))</f>
        <v>#N/A</v>
      </c>
      <c r="P47" s="69" t="e">
        <f>IF((Alejandro!R$128+Alejandro!R$129+Alejandro!R$130+Alejandro!R$131)=0,NA(),Alejandro!R130/(Alejandro!R$128+Alejandro!R$129+Alejandro!R$130+Alejandro!R$131))</f>
        <v>#N/A</v>
      </c>
      <c r="Q47" s="69" t="e">
        <f>IF((Alejandro!S$128+Alejandro!S$129+Alejandro!S$130+Alejandro!S$131)=0,NA(),Alejandro!S130/(Alejandro!S$128+Alejandro!S$129+Alejandro!S$130+Alejandro!S$131))</f>
        <v>#N/A</v>
      </c>
      <c r="R47" s="69" t="e">
        <f>IF((Alejandro!T$128+Alejandro!T$129+Alejandro!T$130+Alejandro!T$131)=0,NA(),Alejandro!T130/(Alejandro!T$128+Alejandro!T$129+Alejandro!T$130+Alejandro!T$131))</f>
        <v>#N/A</v>
      </c>
      <c r="S47" s="69" t="e">
        <f>IF((Alejandro!U$128+Alejandro!U$129+Alejandro!U$130+Alejandro!U$131)=0,NA(),Alejandro!U130/(Alejandro!U$128+Alejandro!U$129+Alejandro!U$130+Alejandro!U$131))</f>
        <v>#N/A</v>
      </c>
      <c r="T47" s="69" t="e">
        <f>IF((Alejandro!V$128+Alejandro!V$129+Alejandro!V$130+Alejandro!V$131)=0,NA(),Alejandro!V130/(Alejandro!V$128+Alejandro!V$129+Alejandro!V$130+Alejandro!V$131))</f>
        <v>#N/A</v>
      </c>
      <c r="U47" s="69" t="e">
        <f>IF((Alejandro!W$128+Alejandro!W$129+Alejandro!W$130+Alejandro!W$131)=0,NA(),Alejandro!W130/(Alejandro!W$128+Alejandro!W$129+Alejandro!W$130+Alejandro!W$131))</f>
        <v>#N/A</v>
      </c>
      <c r="V47" s="70" t="e">
        <f>IF((Alejandro!X$128+Alejandro!X$129+Alejandro!X$130+Alejandro!X$131)=0,NA(),Alejandro!X130/(Alejandro!X$128+Alejandro!X$129+Alejandro!X$130+Alejandro!X$131))</f>
        <v>#N/A</v>
      </c>
    </row>
    <row r="48" spans="2:22" ht="15.75" customHeight="1" thickBot="1" x14ac:dyDescent="0.25">
      <c r="B48" s="208"/>
      <c r="C48" s="101" t="s">
        <v>0</v>
      </c>
      <c r="D48" s="205">
        <f>Alejandro!E135</f>
        <v>4.2223262818849701E-2</v>
      </c>
      <c r="E48" s="103">
        <f>IF((Alejandro!G$128+Alejandro!G$129+Alejandro!G$130+Alejandro!G$131)=0,NA(),Alejandro!G131/(Alejandro!G$128+Alejandro!G$129+Alejandro!G$130+Alejandro!G$131))</f>
        <v>0.25</v>
      </c>
      <c r="F48" s="103" t="e">
        <f>IF((Alejandro!H$128+Alejandro!H$129+Alejandro!H$130+Alejandro!H$131)=0,NA(),Alejandro!H131/(Alejandro!H$128+Alejandro!H$129+Alejandro!H$130+Alejandro!H$131))</f>
        <v>#N/A</v>
      </c>
      <c r="G48" s="103" t="e">
        <f>IF((Alejandro!I$128+Alejandro!I$129+Alejandro!I$130+Alejandro!I$131)=0,NA(),Alejandro!I131/(Alejandro!I$128+Alejandro!I$129+Alejandro!I$130+Alejandro!I$131))</f>
        <v>#N/A</v>
      </c>
      <c r="H48" s="103" t="e">
        <f>IF((Alejandro!J$128+Alejandro!J$129+Alejandro!J$130+Alejandro!J$131)=0,NA(),Alejandro!J131/(Alejandro!J$128+Alejandro!J$129+Alejandro!J$130+Alejandro!J$131))</f>
        <v>#N/A</v>
      </c>
      <c r="I48" s="103" t="e">
        <f>IF((Alejandro!K$128+Alejandro!K$129+Alejandro!K$130+Alejandro!K$131)=0,NA(),Alejandro!K131/(Alejandro!K$128+Alejandro!K$129+Alejandro!K$130+Alejandro!K$131))</f>
        <v>#N/A</v>
      </c>
      <c r="J48" s="103">
        <f>IF((Alejandro!L$128+Alejandro!L$129+Alejandro!L$130+Alejandro!L$131)=0,NA(),Alejandro!L131/(Alejandro!L$128+Alejandro!L$129+Alejandro!L$130+Alejandro!L$131))</f>
        <v>0</v>
      </c>
      <c r="K48" s="103" t="e">
        <f>IF((Alejandro!M$128+Alejandro!M$129+Alejandro!M$130+Alejandro!M$131)=0,NA(),Alejandro!M131/(Alejandro!M$128+Alejandro!M$129+Alejandro!M$130+Alejandro!M$131))</f>
        <v>#N/A</v>
      </c>
      <c r="L48" s="103" t="e">
        <f>IF((Alejandro!N$128+Alejandro!N$129+Alejandro!N$130+Alejandro!N$131)=0,NA(),Alejandro!N131/(Alejandro!N$128+Alejandro!N$129+Alejandro!N$130+Alejandro!N$131))</f>
        <v>#N/A</v>
      </c>
      <c r="M48" s="103" t="e">
        <f>IF((Alejandro!O$128+Alejandro!O$129+Alejandro!O$130+Alejandro!O$131)=0,NA(),Alejandro!O131/(Alejandro!O$128+Alejandro!O$129+Alejandro!O$130+Alejandro!O$131))</f>
        <v>#N/A</v>
      </c>
      <c r="N48" s="103" t="e">
        <f>IF((Alejandro!P$128+Alejandro!P$129+Alejandro!P$130+Alejandro!P$131)=0,NA(),Alejandro!P131/(Alejandro!P$128+Alejandro!P$129+Alejandro!P$130+Alejandro!P$131))</f>
        <v>#N/A</v>
      </c>
      <c r="O48" s="103" t="e">
        <f>IF((Alejandro!Q$128+Alejandro!Q$129+Alejandro!Q$130+Alejandro!Q$131)=0,NA(),Alejandro!Q131/(Alejandro!Q$128+Alejandro!Q$129+Alejandro!Q$130+Alejandro!Q$131))</f>
        <v>#N/A</v>
      </c>
      <c r="P48" s="103" t="e">
        <f>IF((Alejandro!R$128+Alejandro!R$129+Alejandro!R$130+Alejandro!R$131)=0,NA(),Alejandro!R131/(Alejandro!R$128+Alejandro!R$129+Alejandro!R$130+Alejandro!R$131))</f>
        <v>#N/A</v>
      </c>
      <c r="Q48" s="103" t="e">
        <f>IF((Alejandro!S$128+Alejandro!S$129+Alejandro!S$130+Alejandro!S$131)=0,NA(),Alejandro!S131/(Alejandro!S$128+Alejandro!S$129+Alejandro!S$130+Alejandro!S$131))</f>
        <v>#N/A</v>
      </c>
      <c r="R48" s="103" t="e">
        <f>IF((Alejandro!T$128+Alejandro!T$129+Alejandro!T$130+Alejandro!T$131)=0,NA(),Alejandro!T131/(Alejandro!T$128+Alejandro!T$129+Alejandro!T$130+Alejandro!T$131))</f>
        <v>#N/A</v>
      </c>
      <c r="S48" s="103" t="e">
        <f>IF((Alejandro!U$128+Alejandro!U$129+Alejandro!U$130+Alejandro!U$131)=0,NA(),Alejandro!U131/(Alejandro!U$128+Alejandro!U$129+Alejandro!U$130+Alejandro!U$131))</f>
        <v>#N/A</v>
      </c>
      <c r="T48" s="103" t="e">
        <f>IF((Alejandro!V$128+Alejandro!V$129+Alejandro!V$130+Alejandro!V$131)=0,NA(),Alejandro!V131/(Alejandro!V$128+Alejandro!V$129+Alejandro!V$130+Alejandro!V$131))</f>
        <v>#N/A</v>
      </c>
      <c r="U48" s="103" t="e">
        <f>IF((Alejandro!W$128+Alejandro!W$129+Alejandro!W$130+Alejandro!W$131)=0,NA(),Alejandro!W131/(Alejandro!W$128+Alejandro!W$129+Alejandro!W$130+Alejandro!W$131))</f>
        <v>#N/A</v>
      </c>
      <c r="V48" s="104" t="e">
        <f>IF((Alejandro!X$128+Alejandro!X$129+Alejandro!X$130+Alejandro!X$131)=0,NA(),Alejandro!X131/(Alejandro!X$128+Alejandro!X$129+Alejandro!X$130+Alejandro!X$131))</f>
        <v>#N/A</v>
      </c>
    </row>
    <row r="49" spans="2:22" ht="15.75" customHeight="1" x14ac:dyDescent="0.2">
      <c r="B49" s="209" t="s">
        <v>190</v>
      </c>
      <c r="C49" s="105" t="s">
        <v>191</v>
      </c>
      <c r="D49" s="106">
        <f>Alejandro!F143/(Alejandro!$F$143+Alejandro!$F$144+Alejandro!$F$145)</f>
        <v>0.53839004599859641</v>
      </c>
      <c r="E49" s="107">
        <f>IF((Alejandro!G$140+Alejandro!G$141+Alejandro!G$142)=0,NA(),Alejandro!G140/(Alejandro!G$140+Alejandro!G$141+Alejandro!G$142))</f>
        <v>0.52829697750078097</v>
      </c>
      <c r="F49" s="107">
        <f>IF((Alejandro!H$140+Alejandro!H$141+Alejandro!H$142)=0,NA(),Alejandro!H140/(Alejandro!H$140+Alejandro!H$141+Alejandro!H$142))</f>
        <v>0.5764464122658447</v>
      </c>
      <c r="G49" s="107">
        <f>IF((Alejandro!I$140+Alejandro!I$141+Alejandro!I$142)=0,NA(),Alejandro!I140/(Alejandro!I$140+Alejandro!I$141+Alejandro!I$142))</f>
        <v>0.52419197155735542</v>
      </c>
      <c r="H49" s="107">
        <f>IF((Alejandro!J$140+Alejandro!J$141+Alejandro!J$142)=0,NA(),Alejandro!J140/(Alejandro!J$140+Alejandro!J$141+Alejandro!J$142))</f>
        <v>0.53160122401060361</v>
      </c>
      <c r="I49" s="107">
        <f>IF((Alejandro!K$140+Alejandro!K$141+Alejandro!K$142)=0,NA(),Alejandro!K140/(Alejandro!K$140+Alejandro!K$141+Alejandro!K$142))</f>
        <v>0.53595299382840922</v>
      </c>
      <c r="J49" s="107">
        <f>IF((Alejandro!L$140+Alejandro!L$141+Alejandro!L$142)=0,NA(),Alejandro!L140/(Alejandro!L$140+Alejandro!L$141+Alejandro!L$142))</f>
        <v>0.53189537909282392</v>
      </c>
      <c r="K49" s="107">
        <f>IF((Alejandro!M$140+Alejandro!M$141+Alejandro!M$142)=0,NA(),Alejandro!M140/(Alejandro!M$140+Alejandro!M$141+Alejandro!M$142))</f>
        <v>0.5338361822585368</v>
      </c>
      <c r="L49" s="107">
        <f>IF((Alejandro!N$140+Alejandro!N$141+Alejandro!N$142)=0,NA(),Alejandro!N140/(Alejandro!N$140+Alejandro!N$141+Alejandro!N$142))</f>
        <v>0.53315270083832289</v>
      </c>
      <c r="M49" s="107">
        <f>IF((Alejandro!O$140+Alejandro!O$141+Alejandro!O$142)=0,NA(),Alejandro!O140/(Alejandro!O$140+Alejandro!O$141+Alejandro!O$142))</f>
        <v>0.52487418118419182</v>
      </c>
      <c r="N49" s="107">
        <f>IF((Alejandro!P$140+Alejandro!P$141+Alejandro!P$142)=0,NA(),Alejandro!P140/(Alejandro!P$140+Alejandro!P$141+Alejandro!P$142))</f>
        <v>0.53165401833941828</v>
      </c>
      <c r="O49" s="107">
        <f>IF((Alejandro!Q$140+Alejandro!Q$141+Alejandro!Q$142)=0,NA(),Alejandro!Q140/(Alejandro!Q$140+Alejandro!Q$141+Alejandro!Q$142))</f>
        <v>0.53232579620078468</v>
      </c>
      <c r="P49" s="107">
        <f>IF((Alejandro!R$140+Alejandro!R$141+Alejandro!R$142)=0,NA(),Alejandro!R140/(Alejandro!R$140+Alejandro!R$141+Alejandro!R$142))</f>
        <v>0.53350470726017829</v>
      </c>
      <c r="Q49" s="107">
        <f>IF((Alejandro!S$140+Alejandro!S$141+Alejandro!S$142)=0,NA(),Alejandro!S140/(Alejandro!S$140+Alejandro!S$141+Alejandro!S$142))</f>
        <v>0.53532057969156221</v>
      </c>
      <c r="R49" s="107">
        <f>IF((Alejandro!T$140+Alejandro!T$141+Alejandro!T$142)=0,NA(),Alejandro!T140/(Alejandro!T$140+Alejandro!T$141+Alejandro!T$142))</f>
        <v>0.53499364182692632</v>
      </c>
      <c r="S49" s="107">
        <f>IF((Alejandro!U$140+Alejandro!U$141+Alejandro!U$142)=0,NA(),Alejandro!U140/(Alejandro!U$140+Alejandro!U$141+Alejandro!U$142))</f>
        <v>0.53683986662250716</v>
      </c>
      <c r="T49" s="107">
        <f>IF((Alejandro!V$140+Alejandro!V$141+Alejandro!V$142)=0,NA(),Alejandro!V140/(Alejandro!V$140+Alejandro!V$141+Alejandro!V$142))</f>
        <v>0.53955117269302844</v>
      </c>
      <c r="U49" s="107">
        <f>IF((Alejandro!W$140+Alejandro!W$141+Alejandro!W$142)=0,NA(),Alejandro!W140/(Alejandro!W$140+Alejandro!W$141+Alejandro!W$142))</f>
        <v>0.53946479807425973</v>
      </c>
      <c r="V49" s="108">
        <f>IF((Alejandro!X$140+Alejandro!X$141+Alejandro!X$142)=0,NA(),Alejandro!X140/(Alejandro!X$140+Alejandro!X$141+Alejandro!X$142))</f>
        <v>0.53839004599859641</v>
      </c>
    </row>
    <row r="50" spans="2:22" ht="15.75" customHeight="1" x14ac:dyDescent="0.2">
      <c r="B50" s="210"/>
      <c r="C50" s="91" t="s">
        <v>192</v>
      </c>
      <c r="D50" s="80">
        <f>Alejandro!F144/(Alejandro!$F$143+Alejandro!$F$144+Alejandro!$F$145)</f>
        <v>0.44862585215128142</v>
      </c>
      <c r="E50" s="81">
        <f>IF((Alejandro!G$140+Alejandro!G$141+Alejandro!G$142)=0,NA(),Alejandro!G141/(Alejandro!G$140+Alejandro!G$141+Alejandro!G$142))</f>
        <v>0.47170302249921908</v>
      </c>
      <c r="F50" s="81">
        <f>IF((Alejandro!H$140+Alejandro!H$141+Alejandro!H$142)=0,NA(),Alejandro!H141/(Alejandro!H$140+Alejandro!H$141+Alejandro!H$142))</f>
        <v>0.41392226658617753</v>
      </c>
      <c r="G50" s="81">
        <f>IF((Alejandro!I$140+Alejandro!I$141+Alejandro!I$142)=0,NA(),Alejandro!I141/(Alejandro!I$140+Alejandro!I$141+Alejandro!I$142))</f>
        <v>0.47112543104174015</v>
      </c>
      <c r="H50" s="81">
        <f>IF((Alejandro!J$140+Alejandro!J$141+Alejandro!J$142)=0,NA(),Alejandro!J141/(Alejandro!J$140+Alejandro!J$141+Alejandro!J$142))</f>
        <v>0.45902052921816633</v>
      </c>
      <c r="I50" s="81">
        <f>IF((Alejandro!K$140+Alejandro!K$141+Alejandro!K$142)=0,NA(),Alejandro!K141/(Alejandro!K$140+Alejandro!K$141+Alejandro!K$142))</f>
        <v>0.44770986910569055</v>
      </c>
      <c r="J50" s="81">
        <f>IF((Alejandro!L$140+Alejandro!L$141+Alejandro!L$142)=0,NA(),Alejandro!L141/(Alejandro!L$140+Alejandro!L$141+Alejandro!L$142))</f>
        <v>0.44781430007543538</v>
      </c>
      <c r="K50" s="81">
        <f>IF((Alejandro!M$140+Alejandro!M$141+Alejandro!M$142)=0,NA(),Alejandro!M141/(Alejandro!M$140+Alejandro!M$141+Alejandro!M$142))</f>
        <v>0.44569557861618481</v>
      </c>
      <c r="L50" s="81">
        <f>IF((Alejandro!N$140+Alejandro!N$141+Alejandro!N$142)=0,NA(),Alejandro!N141/(Alejandro!N$140+Alejandro!N$141+Alejandro!N$142))</f>
        <v>0.44814679871867408</v>
      </c>
      <c r="M50" s="81">
        <f>IF((Alejandro!O$140+Alejandro!O$141+Alejandro!O$142)=0,NA(),Alejandro!O141/(Alejandro!O$140+Alejandro!O$141+Alejandro!O$142))</f>
        <v>0.45803293847178128</v>
      </c>
      <c r="N50" s="81">
        <f>IF((Alejandro!P$140+Alejandro!P$141+Alejandro!P$142)=0,NA(),Alejandro!P141/(Alejandro!P$140+Alejandro!P$141+Alejandro!P$142))</f>
        <v>0.45098742654015439</v>
      </c>
      <c r="O50" s="81">
        <f>IF((Alejandro!Q$140+Alejandro!Q$141+Alejandro!Q$142)=0,NA(),Alejandro!Q141/(Alejandro!Q$140+Alejandro!Q$141+Alejandro!Q$142))</f>
        <v>0.45179681470970734</v>
      </c>
      <c r="P50" s="81">
        <f>IF((Alejandro!R$140+Alejandro!R$141+Alejandro!R$142)=0,NA(),Alejandro!R141/(Alejandro!R$140+Alejandro!R$141+Alejandro!R$142))</f>
        <v>0.45152913524209976</v>
      </c>
      <c r="Q50" s="81">
        <f>IF((Alejandro!S$140+Alejandro!S$141+Alejandro!S$142)=0,NA(),Alejandro!S141/(Alejandro!S$140+Alejandro!S$141+Alejandro!S$142))</f>
        <v>0.45012439448359287</v>
      </c>
      <c r="R50" s="81">
        <f>IF((Alejandro!T$140+Alejandro!T$141+Alejandro!T$142)=0,NA(),Alejandro!T141/(Alejandro!T$140+Alejandro!T$141+Alejandro!T$142))</f>
        <v>0.45058203062482538</v>
      </c>
      <c r="S50" s="81">
        <f>IF((Alejandro!U$140+Alejandro!U$141+Alejandro!U$142)=0,NA(),Alejandro!U141/(Alejandro!U$140+Alejandro!U$141+Alejandro!U$142))</f>
        <v>0.44916988842872918</v>
      </c>
      <c r="T50" s="81">
        <f>IF((Alejandro!V$140+Alejandro!V$141+Alejandro!V$142)=0,NA(),Alejandro!V141/(Alejandro!V$140+Alejandro!V$141+Alejandro!V$142))</f>
        <v>0.44625060864271865</v>
      </c>
      <c r="U50" s="81">
        <f>IF((Alejandro!W$140+Alejandro!W$141+Alejandro!W$142)=0,NA(),Alejandro!W141/(Alejandro!W$140+Alejandro!W$141+Alejandro!W$142))</f>
        <v>0.44685308474131535</v>
      </c>
      <c r="V50" s="82">
        <f>IF((Alejandro!X$140+Alejandro!X$141+Alejandro!X$142)=0,NA(),Alejandro!X141/(Alejandro!X$140+Alejandro!X$141+Alejandro!X$142))</f>
        <v>0.44862585215128142</v>
      </c>
    </row>
    <row r="51" spans="2:22" ht="15.75" customHeight="1" thickBot="1" x14ac:dyDescent="0.25">
      <c r="B51" s="211"/>
      <c r="C51" s="93" t="s">
        <v>0</v>
      </c>
      <c r="D51" s="94">
        <f>Alejandro!F145/(Alejandro!$F$143+Alejandro!$F$144+Alejandro!$F$145)</f>
        <v>1.2984101850122179E-2</v>
      </c>
      <c r="E51" s="95">
        <f>IF((Alejandro!G$140+Alejandro!G$141+Alejandro!G$142)=0,NA(),Alejandro!G142/(Alejandro!G$140+Alejandro!G$141+Alejandro!G$142))</f>
        <v>0</v>
      </c>
      <c r="F51" s="95">
        <f>IF((Alejandro!H$140+Alejandro!H$141+Alejandro!H$142)=0,NA(),Alejandro!H142/(Alejandro!H$140+Alejandro!H$141+Alejandro!H$142))</f>
        <v>9.6313211479777394E-3</v>
      </c>
      <c r="G51" s="95">
        <f>IF((Alejandro!I$140+Alejandro!I$141+Alejandro!I$142)=0,NA(),Alejandro!I142/(Alejandro!I$140+Alejandro!I$141+Alejandro!I$142))</f>
        <v>4.6825974009045293E-3</v>
      </c>
      <c r="H51" s="95">
        <f>IF((Alejandro!J$140+Alejandro!J$141+Alejandro!J$142)=0,NA(),Alejandro!J142/(Alejandro!J$140+Alejandro!J$141+Alejandro!J$142))</f>
        <v>9.3782467712299859E-3</v>
      </c>
      <c r="I51" s="95">
        <f>IF((Alejandro!K$140+Alejandro!K$141+Alejandro!K$142)=0,NA(),Alejandro!K142/(Alejandro!K$140+Alejandro!K$141+Alejandro!K$142))</f>
        <v>1.6337137065900235E-2</v>
      </c>
      <c r="J51" s="95">
        <f>IF((Alejandro!L$140+Alejandro!L$141+Alejandro!L$142)=0,NA(),Alejandro!L142/(Alejandro!L$140+Alejandro!L$141+Alejandro!L$142))</f>
        <v>2.0290320831740632E-2</v>
      </c>
      <c r="K51" s="95">
        <f>IF((Alejandro!M$140+Alejandro!M$141+Alejandro!M$142)=0,NA(),Alejandro!M142/(Alejandro!M$140+Alejandro!M$141+Alejandro!M$142))</f>
        <v>2.046823912527844E-2</v>
      </c>
      <c r="L51" s="95">
        <f>IF((Alejandro!N$140+Alejandro!N$141+Alejandro!N$142)=0,NA(),Alejandro!N142/(Alejandro!N$140+Alejandro!N$141+Alejandro!N$142))</f>
        <v>1.8700500443003035E-2</v>
      </c>
      <c r="M51" s="95">
        <f>IF((Alejandro!O$140+Alejandro!O$141+Alejandro!O$142)=0,NA(),Alejandro!O142/(Alejandro!O$140+Alejandro!O$141+Alejandro!O$142))</f>
        <v>1.7092880344026923E-2</v>
      </c>
      <c r="N51" s="95">
        <f>IF((Alejandro!P$140+Alejandro!P$141+Alejandro!P$142)=0,NA(),Alejandro!P142/(Alejandro!P$140+Alejandro!P$141+Alejandro!P$142))</f>
        <v>1.7358555120427343E-2</v>
      </c>
      <c r="O51" s="95">
        <f>IF((Alejandro!Q$140+Alejandro!Q$141+Alejandro!Q$142)=0,NA(),Alejandro!Q142/(Alejandro!Q$140+Alejandro!Q$141+Alejandro!Q$142))</f>
        <v>1.5877389089507966E-2</v>
      </c>
      <c r="P51" s="95">
        <f>IF((Alejandro!R$140+Alejandro!R$141+Alejandro!R$142)=0,NA(),Alejandro!R142/(Alejandro!R$140+Alejandro!R$141+Alejandro!R$142))</f>
        <v>1.4966157497721774E-2</v>
      </c>
      <c r="Q51" s="95">
        <f>IF((Alejandro!S$140+Alejandro!S$141+Alejandro!S$142)=0,NA(),Alejandro!S142/(Alejandro!S$140+Alejandro!S$141+Alejandro!S$142))</f>
        <v>1.455502582484489E-2</v>
      </c>
      <c r="R51" s="95">
        <f>IF((Alejandro!T$140+Alejandro!T$141+Alejandro!T$142)=0,NA(),Alejandro!T142/(Alejandro!T$140+Alejandro!T$141+Alejandro!T$142))</f>
        <v>1.4424327548248241E-2</v>
      </c>
      <c r="S51" s="95">
        <f>IF((Alejandro!U$140+Alejandro!U$141+Alejandro!U$142)=0,NA(),Alejandro!U142/(Alejandro!U$140+Alejandro!U$141+Alejandro!U$142))</f>
        <v>1.3990244948763676E-2</v>
      </c>
      <c r="T51" s="95">
        <f>IF((Alejandro!V$140+Alejandro!V$141+Alejandro!V$142)=0,NA(),Alejandro!V142/(Alejandro!V$140+Alejandro!V$141+Alejandro!V$142))</f>
        <v>1.4198218664252941E-2</v>
      </c>
      <c r="U51" s="95">
        <f>IF((Alejandro!W$140+Alejandro!W$141+Alejandro!W$142)=0,NA(),Alejandro!W142/(Alejandro!W$140+Alejandro!W$141+Alejandro!W$142))</f>
        <v>1.3682117184424827E-2</v>
      </c>
      <c r="V51" s="96">
        <f>IF((Alejandro!X$140+Alejandro!X$141+Alejandro!X$142)=0,NA(),Alejandro!X142/(Alejandro!X$140+Alejandro!X$141+Alejandro!X$142))</f>
        <v>1.2984101850122179E-2</v>
      </c>
    </row>
    <row r="52" spans="2:22" ht="15.75" customHeight="1" x14ac:dyDescent="0.2">
      <c r="B52" s="206" t="s">
        <v>195</v>
      </c>
      <c r="C52" s="97" t="s">
        <v>196</v>
      </c>
      <c r="D52" s="98">
        <f>Alejandro!F152/(Alejandro!$F$152+Alejandro!$F$153+Alejandro!$F$154)</f>
        <v>0.48963955590888386</v>
      </c>
      <c r="E52" s="99">
        <f>IF((Alejandro!G$149+Alejandro!G$150+Alejandro!G$151)=0,NA(),Alejandro!G149/(Alejandro!G$149+Alejandro!G$150+Alejandro!G$151))</f>
        <v>0.44827586206896552</v>
      </c>
      <c r="F52" s="99">
        <f>IF((Alejandro!H$149+Alejandro!H$150+Alejandro!H$151)=0,NA(),Alejandro!H149/(Alejandro!H$149+Alejandro!H$150+Alejandro!H$151))</f>
        <v>0.4934234826575199</v>
      </c>
      <c r="G52" s="99">
        <f>IF((Alejandro!I$149+Alejandro!I$150+Alejandro!I$151)=0,NA(),Alejandro!I149/(Alejandro!I$149+Alejandro!I$150+Alejandro!I$151))</f>
        <v>0.43805094347829987</v>
      </c>
      <c r="H52" s="99">
        <f>IF((Alejandro!J$149+Alejandro!J$150+Alejandro!J$151)=0,NA(),Alejandro!J149/(Alejandro!J$149+Alejandro!J$150+Alejandro!J$151))</f>
        <v>0.38305811938497242</v>
      </c>
      <c r="I52" s="99">
        <f>IF((Alejandro!K$149+Alejandro!K$150+Alejandro!K$151)=0,NA(),Alejandro!K149/(Alejandro!K$149+Alejandro!K$150+Alejandro!K$151))</f>
        <v>0.42459309320423216</v>
      </c>
      <c r="J52" s="99">
        <f>IF((Alejandro!L$149+Alejandro!L$150+Alejandro!L$151)=0,NA(),Alejandro!L149/(Alejandro!L$149+Alejandro!L$150+Alejandro!L$151))</f>
        <v>0.42142505344731085</v>
      </c>
      <c r="K52" s="99">
        <f>IF((Alejandro!M$149+Alejandro!M$150+Alejandro!M$151)=0,NA(),Alejandro!M149/(Alejandro!M$149+Alejandro!M$150+Alejandro!M$151))</f>
        <v>0.40419928755409301</v>
      </c>
      <c r="L52" s="99">
        <f>IF((Alejandro!N$149+Alejandro!N$150+Alejandro!N$151)=0,NA(),Alejandro!N149/(Alejandro!N$149+Alejandro!N$150+Alejandro!N$151))</f>
        <v>0.42352443890826896</v>
      </c>
      <c r="M52" s="99">
        <f>IF((Alejandro!O$149+Alejandro!O$150+Alejandro!O$151)=0,NA(),Alejandro!O149/(Alejandro!O$149+Alejandro!O$150+Alejandro!O$151))</f>
        <v>0.43912703945744458</v>
      </c>
      <c r="N52" s="99">
        <f>IF((Alejandro!P$149+Alejandro!P$150+Alejandro!P$151)=0,NA(),Alejandro!P149/(Alejandro!P$149+Alejandro!P$150+Alejandro!P$151))</f>
        <v>0.45037166821840896</v>
      </c>
      <c r="O52" s="99">
        <f>IF((Alejandro!Q$149+Alejandro!Q$150+Alejandro!Q$151)=0,NA(),Alejandro!Q149/(Alejandro!Q$149+Alejandro!Q$150+Alejandro!Q$151))</f>
        <v>0.45471376795716067</v>
      </c>
      <c r="P52" s="99">
        <f>IF((Alejandro!R$149+Alejandro!R$150+Alejandro!R$151)=0,NA(),Alejandro!R149/(Alejandro!R$149+Alejandro!R$150+Alejandro!R$151))</f>
        <v>0.45275259921086053</v>
      </c>
      <c r="Q52" s="99">
        <f>IF((Alejandro!S$149+Alejandro!S$150+Alejandro!S$151)=0,NA(),Alejandro!S149/(Alejandro!S$149+Alejandro!S$150+Alejandro!S$151))</f>
        <v>0.45733981614780966</v>
      </c>
      <c r="R52" s="99">
        <f>IF((Alejandro!T$149+Alejandro!T$150+Alejandro!T$151)=0,NA(),Alejandro!T149/(Alejandro!T$149+Alejandro!T$150+Alejandro!T$151))</f>
        <v>0.46666137966490051</v>
      </c>
      <c r="S52" s="99">
        <f>IF((Alejandro!U$149+Alejandro!U$150+Alejandro!U$151)=0,NA(),Alejandro!U149/(Alejandro!U$149+Alejandro!U$150+Alejandro!U$151))</f>
        <v>0.47000603252755835</v>
      </c>
      <c r="T52" s="99">
        <f>IF((Alejandro!V$149+Alejandro!V$150+Alejandro!V$151)=0,NA(),Alejandro!V149/(Alejandro!V$149+Alejandro!V$150+Alejandro!V$151))</f>
        <v>0.47767504416022671</v>
      </c>
      <c r="U52" s="99">
        <f>IF((Alejandro!W$149+Alejandro!W$150+Alejandro!W$151)=0,NA(),Alejandro!W149/(Alejandro!W$149+Alejandro!W$150+Alejandro!W$151))</f>
        <v>0.48207258486931936</v>
      </c>
      <c r="V52" s="100">
        <f>IF((Alejandro!X$149+Alejandro!X$150+Alejandro!X$151)=0,NA(),Alejandro!X149/(Alejandro!X$149+Alejandro!X$150+Alejandro!X$151))</f>
        <v>0.48963955590888386</v>
      </c>
    </row>
    <row r="53" spans="2:22" ht="15.75" customHeight="1" x14ac:dyDescent="0.2">
      <c r="B53" s="207"/>
      <c r="C53" s="88" t="s">
        <v>197</v>
      </c>
      <c r="D53" s="68">
        <f>Alejandro!F153/(Alejandro!$F$152+Alejandro!$F$153+Alejandro!$F$154)</f>
        <v>0.2295420388800645</v>
      </c>
      <c r="E53" s="69">
        <f>IF((Alejandro!G$149+Alejandro!G$150+Alejandro!G$151)=0,NA(),Alejandro!G150/(Alejandro!G$149+Alejandro!G$150+Alejandro!G$151))</f>
        <v>0.31034482758620691</v>
      </c>
      <c r="F53" s="69">
        <f>IF((Alejandro!H$149+Alejandro!H$150+Alejandro!H$151)=0,NA(),Alejandro!H150/(Alejandro!H$149+Alejandro!H$150+Alejandro!H$151))</f>
        <v>0.25100885400621942</v>
      </c>
      <c r="G53" s="69">
        <f>IF((Alejandro!I$149+Alejandro!I$150+Alejandro!I$151)=0,NA(),Alejandro!I150/(Alejandro!I$149+Alejandro!I$150+Alejandro!I$151))</f>
        <v>0.26311552636906788</v>
      </c>
      <c r="H53" s="69">
        <f>IF((Alejandro!J$149+Alejandro!J$150+Alejandro!J$151)=0,NA(),Alejandro!J150/(Alejandro!J$149+Alejandro!J$150+Alejandro!J$151))</f>
        <v>0.29959787858765874</v>
      </c>
      <c r="I53" s="69">
        <f>IF((Alejandro!K$149+Alejandro!K$150+Alejandro!K$151)=0,NA(),Alejandro!K150/(Alejandro!K$149+Alejandro!K$150+Alejandro!K$151))</f>
        <v>0.25344626570993317</v>
      </c>
      <c r="J53" s="69">
        <f>IF((Alejandro!L$149+Alejandro!L$150+Alejandro!L$151)=0,NA(),Alejandro!L150/(Alejandro!L$149+Alejandro!L$150+Alejandro!L$151))</f>
        <v>0.26411266512577392</v>
      </c>
      <c r="K53" s="69">
        <f>IF((Alejandro!M$149+Alejandro!M$150+Alejandro!M$151)=0,NA(),Alejandro!M150/(Alejandro!M$149+Alejandro!M$150+Alejandro!M$151))</f>
        <v>0.28753477089202062</v>
      </c>
      <c r="L53" s="69">
        <f>IF((Alejandro!N$149+Alejandro!N$150+Alejandro!N$151)=0,NA(),Alejandro!N150/(Alejandro!N$149+Alejandro!N$150+Alejandro!N$151))</f>
        <v>0.28003359744587603</v>
      </c>
      <c r="M53" s="69">
        <f>IF((Alejandro!O$149+Alejandro!O$150+Alejandro!O$151)=0,NA(),Alejandro!O150/(Alejandro!O$149+Alejandro!O$150+Alejandro!O$151))</f>
        <v>0.26639191947250285</v>
      </c>
      <c r="N53" s="69">
        <f>IF((Alejandro!P$149+Alejandro!P$150+Alejandro!P$151)=0,NA(),Alejandro!P150/(Alejandro!P$149+Alejandro!P$150+Alejandro!P$151))</f>
        <v>0.26020605912265005</v>
      </c>
      <c r="O53" s="69">
        <f>IF((Alejandro!Q$149+Alejandro!Q$150+Alejandro!Q$151)=0,NA(),Alejandro!Q150/(Alejandro!Q$149+Alejandro!Q$150+Alejandro!Q$151))</f>
        <v>0.25125742025491338</v>
      </c>
      <c r="P53" s="69">
        <f>IF((Alejandro!R$149+Alejandro!R$150+Alejandro!R$151)=0,NA(),Alejandro!R150/(Alejandro!R$149+Alejandro!R$150+Alejandro!R$151))</f>
        <v>0.25002840780847585</v>
      </c>
      <c r="Q53" s="69">
        <f>IF((Alejandro!S$149+Alejandro!S$150+Alejandro!S$151)=0,NA(),Alejandro!S150/(Alejandro!S$149+Alejandro!S$150+Alejandro!S$151))</f>
        <v>0.24811076573076643</v>
      </c>
      <c r="R53" s="69">
        <f>IF((Alejandro!T$149+Alejandro!T$150+Alejandro!T$151)=0,NA(),Alejandro!T150/(Alejandro!T$149+Alejandro!T$150+Alejandro!T$151))</f>
        <v>0.24300917528590568</v>
      </c>
      <c r="S53" s="69">
        <f>IF((Alejandro!U$149+Alejandro!U$150+Alejandro!U$151)=0,NA(),Alejandro!U150/(Alejandro!U$149+Alejandro!U$150+Alejandro!U$151))</f>
        <v>0.23898104653073807</v>
      </c>
      <c r="T53" s="69">
        <f>IF((Alejandro!V$149+Alejandro!V$150+Alejandro!V$151)=0,NA(),Alejandro!V150/(Alejandro!V$149+Alejandro!V$150+Alejandro!V$151))</f>
        <v>0.23382718186195214</v>
      </c>
      <c r="U53" s="69">
        <f>IF((Alejandro!W$149+Alejandro!W$150+Alejandro!W$151)=0,NA(),Alejandro!W150/(Alejandro!W$149+Alejandro!W$150+Alejandro!W$151))</f>
        <v>0.23321482233549237</v>
      </c>
      <c r="V53" s="70">
        <f>IF((Alejandro!X$149+Alejandro!X$150+Alejandro!X$151)=0,NA(),Alejandro!X150/(Alejandro!X$149+Alejandro!X$150+Alejandro!X$151))</f>
        <v>0.2295420388800645</v>
      </c>
    </row>
    <row r="54" spans="2:22" ht="15.75" customHeight="1" thickBot="1" x14ac:dyDescent="0.25">
      <c r="B54" s="208"/>
      <c r="C54" s="101" t="s">
        <v>0</v>
      </c>
      <c r="D54" s="102">
        <f>Alejandro!F154/(Alejandro!$F$152+Alejandro!$F$153+Alejandro!$F$154)</f>
        <v>0.28081840521105172</v>
      </c>
      <c r="E54" s="103">
        <f>IF((Alejandro!G$149+Alejandro!G$150+Alejandro!G$151)=0,NA(),Alejandro!G151/(Alejandro!G$149+Alejandro!G$150+Alejandro!G$151))</f>
        <v>0.2413793103448276</v>
      </c>
      <c r="F54" s="103">
        <f>IF((Alejandro!H$149+Alejandro!H$150+Alejandro!H$151)=0,NA(),Alejandro!H151/(Alejandro!H$149+Alejandro!H$150+Alejandro!H$151))</f>
        <v>0.25556766333626063</v>
      </c>
      <c r="G54" s="103">
        <f>IF((Alejandro!I$149+Alejandro!I$150+Alejandro!I$151)=0,NA(),Alejandro!I151/(Alejandro!I$149+Alejandro!I$150+Alejandro!I$151))</f>
        <v>0.2988335301526322</v>
      </c>
      <c r="H54" s="103">
        <f>IF((Alejandro!J$149+Alejandro!J$150+Alejandro!J$151)=0,NA(),Alejandro!J151/(Alejandro!J$149+Alejandro!J$150+Alejandro!J$151))</f>
        <v>0.3173440020273689</v>
      </c>
      <c r="I54" s="103">
        <f>IF((Alejandro!K$149+Alejandro!K$150+Alejandro!K$151)=0,NA(),Alejandro!K151/(Alejandro!K$149+Alejandro!K$150+Alejandro!K$151))</f>
        <v>0.32196064108583472</v>
      </c>
      <c r="J54" s="103">
        <f>IF((Alejandro!L$149+Alejandro!L$150+Alejandro!L$151)=0,NA(),Alejandro!L151/(Alejandro!L$149+Alejandro!L$150+Alejandro!L$151))</f>
        <v>0.31446228142691518</v>
      </c>
      <c r="K54" s="103">
        <f>IF((Alejandro!M$149+Alejandro!M$150+Alejandro!M$151)=0,NA(),Alejandro!M151/(Alejandro!M$149+Alejandro!M$150+Alejandro!M$151))</f>
        <v>0.30826594155388631</v>
      </c>
      <c r="L54" s="103">
        <f>IF((Alejandro!N$149+Alejandro!N$150+Alejandro!N$151)=0,NA(),Alejandro!N151/(Alejandro!N$149+Alejandro!N$150+Alejandro!N$151))</f>
        <v>0.29644196364585496</v>
      </c>
      <c r="M54" s="103">
        <f>IF((Alejandro!O$149+Alejandro!O$150+Alejandro!O$151)=0,NA(),Alejandro!O151/(Alejandro!O$149+Alejandro!O$150+Alejandro!O$151))</f>
        <v>0.29448104107005263</v>
      </c>
      <c r="N54" s="103">
        <f>IF((Alejandro!P$149+Alejandro!P$150+Alejandro!P$151)=0,NA(),Alejandro!P151/(Alejandro!P$149+Alejandro!P$150+Alejandro!P$151))</f>
        <v>0.28942227265894094</v>
      </c>
      <c r="O54" s="103">
        <f>IF((Alejandro!Q$149+Alejandro!Q$150+Alejandro!Q$151)=0,NA(),Alejandro!Q151/(Alejandro!Q$149+Alejandro!Q$150+Alejandro!Q$151))</f>
        <v>0.29402881178792595</v>
      </c>
      <c r="P54" s="103">
        <f>IF((Alejandro!R$149+Alejandro!R$150+Alejandro!R$151)=0,NA(),Alejandro!R151/(Alejandro!R$149+Alejandro!R$150+Alejandro!R$151))</f>
        <v>0.29721899298066362</v>
      </c>
      <c r="Q54" s="103">
        <f>IF((Alejandro!S$149+Alejandro!S$150+Alejandro!S$151)=0,NA(),Alejandro!S151/(Alejandro!S$149+Alejandro!S$150+Alejandro!S$151))</f>
        <v>0.29454941812142393</v>
      </c>
      <c r="R54" s="103">
        <f>IF((Alejandro!T$149+Alejandro!T$150+Alejandro!T$151)=0,NA(),Alejandro!T151/(Alejandro!T$149+Alejandro!T$150+Alejandro!T$151))</f>
        <v>0.29032944504919383</v>
      </c>
      <c r="S54" s="103">
        <f>IF((Alejandro!U$149+Alejandro!U$150+Alejandro!U$151)=0,NA(),Alejandro!U151/(Alejandro!U$149+Alejandro!U$150+Alejandro!U$151))</f>
        <v>0.29101292094170356</v>
      </c>
      <c r="T54" s="103">
        <f>IF((Alejandro!V$149+Alejandro!V$150+Alejandro!V$151)=0,NA(),Alejandro!V151/(Alejandro!V$149+Alejandro!V$150+Alejandro!V$151))</f>
        <v>0.28849777397782123</v>
      </c>
      <c r="U54" s="103">
        <f>IF((Alejandro!W$149+Alejandro!W$150+Alejandro!W$151)=0,NA(),Alejandro!W151/(Alejandro!W$149+Alejandro!W$150+Alejandro!W$151))</f>
        <v>0.2847125927951884</v>
      </c>
      <c r="V54" s="104">
        <f>IF((Alejandro!X$149+Alejandro!X$150+Alejandro!X$151)=0,NA(),Alejandro!X151/(Alejandro!X$149+Alejandro!X$150+Alejandro!X$151))</f>
        <v>0.28081840521105172</v>
      </c>
    </row>
    <row r="55" spans="2:22" ht="15.75" customHeight="1" x14ac:dyDescent="0.2">
      <c r="B55" s="209" t="s">
        <v>200</v>
      </c>
      <c r="C55" s="105" t="s">
        <v>201</v>
      </c>
      <c r="D55" s="106">
        <f>Alejandro!F161/(Alejandro!$F$161+Alejandro!$F$162+Alejandro!$F$163)</f>
        <v>0.50944964928072667</v>
      </c>
      <c r="E55" s="107">
        <f>IF((Alejandro!G$158+Alejandro!G$159+Alejandro!G$160)=0,NA(),Alejandro!G158/(Alejandro!G$158+Alejandro!G$159+Alejandro!G$160))</f>
        <v>0.63958040584083875</v>
      </c>
      <c r="F55" s="107">
        <f>IF((Alejandro!H$158+Alejandro!H$159+Alejandro!H$160)=0,NA(),Alejandro!H158/(Alejandro!H$158+Alejandro!H$159+Alejandro!H$160))</f>
        <v>0.64812306270788611</v>
      </c>
      <c r="G55" s="107">
        <f>IF((Alejandro!I$158+Alejandro!I$159+Alejandro!I$160)=0,NA(),Alejandro!I158/(Alejandro!I$158+Alejandro!I$159+Alejandro!I$160))</f>
        <v>0.62010180299938633</v>
      </c>
      <c r="H55" s="107">
        <f>IF((Alejandro!J$158+Alejandro!J$159+Alejandro!J$160)=0,NA(),Alejandro!J158/(Alejandro!J$158+Alejandro!J$159+Alejandro!J$160))</f>
        <v>0.52243386122940139</v>
      </c>
      <c r="I55" s="107">
        <f>IF((Alejandro!K$158+Alejandro!K$159+Alejandro!K$160)=0,NA(),Alejandro!K158/(Alejandro!K$158+Alejandro!K$159+Alejandro!K$160))</f>
        <v>0.52376088935437415</v>
      </c>
      <c r="J55" s="107">
        <f>IF((Alejandro!L$158+Alejandro!L$159+Alejandro!L$160)=0,NA(),Alejandro!L158/(Alejandro!L$158+Alejandro!L$159+Alejandro!L$160))</f>
        <v>0.52645887374913003</v>
      </c>
      <c r="K55" s="107">
        <f>IF((Alejandro!M$158+Alejandro!M$159+Alejandro!M$160)=0,NA(),Alejandro!M158/(Alejandro!M$158+Alejandro!M$159+Alejandro!M$160))</f>
        <v>0.53705850792993681</v>
      </c>
      <c r="L55" s="107">
        <f>IF((Alejandro!N$158+Alejandro!N$159+Alejandro!N$160)=0,NA(),Alejandro!N158/(Alejandro!N$158+Alejandro!N$159+Alejandro!N$160))</f>
        <v>0.53028540409081892</v>
      </c>
      <c r="M55" s="107">
        <f>IF((Alejandro!O$158+Alejandro!O$159+Alejandro!O$160)=0,NA(),Alejandro!O158/(Alejandro!O$158+Alejandro!O$159+Alejandro!O$160))</f>
        <v>0.52604747744048785</v>
      </c>
      <c r="N55" s="107">
        <f>IF((Alejandro!P$158+Alejandro!P$159+Alejandro!P$160)=0,NA(),Alejandro!P158/(Alejandro!P$158+Alejandro!P$159+Alejandro!P$160))</f>
        <v>0.52913132561273746</v>
      </c>
      <c r="O55" s="107">
        <f>IF((Alejandro!Q$158+Alejandro!Q$159+Alejandro!Q$160)=0,NA(),Alejandro!Q158/(Alejandro!Q$158+Alejandro!Q$159+Alejandro!Q$160))</f>
        <v>0.52327396281115102</v>
      </c>
      <c r="P55" s="107">
        <f>IF((Alejandro!R$158+Alejandro!R$159+Alejandro!R$160)=0,NA(),Alejandro!R158/(Alejandro!R$158+Alejandro!R$159+Alejandro!R$160))</f>
        <v>0.51793649884900561</v>
      </c>
      <c r="Q55" s="107">
        <f>IF((Alejandro!S$158+Alejandro!S$159+Alejandro!S$160)=0,NA(),Alejandro!S158/(Alejandro!S$158+Alejandro!S$159+Alejandro!S$160))</f>
        <v>0.51368836123454831</v>
      </c>
      <c r="R55" s="107">
        <f>IF((Alejandro!T$158+Alejandro!T$159+Alejandro!T$160)=0,NA(),Alejandro!T158/(Alejandro!T$158+Alejandro!T$159+Alejandro!T$160))</f>
        <v>0.51488430526643847</v>
      </c>
      <c r="S55" s="107">
        <f>IF((Alejandro!U$158+Alejandro!U$159+Alejandro!U$160)=0,NA(),Alejandro!U158/(Alejandro!U$158+Alejandro!U$159+Alejandro!U$160))</f>
        <v>0.51621170468321298</v>
      </c>
      <c r="T55" s="107">
        <f>IF((Alejandro!V$158+Alejandro!V$159+Alejandro!V$160)=0,NA(),Alejandro!V158/(Alejandro!V$158+Alejandro!V$159+Alejandro!V$160))</f>
        <v>0.51735862156182288</v>
      </c>
      <c r="U55" s="107">
        <f>IF((Alejandro!W$158+Alejandro!W$159+Alejandro!W$160)=0,NA(),Alejandro!W158/(Alejandro!W$158+Alejandro!W$159+Alejandro!W$160))</f>
        <v>0.51384254542027719</v>
      </c>
      <c r="V55" s="108">
        <f>IF((Alejandro!X$158+Alejandro!X$159+Alejandro!X$160)=0,NA(),Alejandro!X158/(Alejandro!X$158+Alejandro!X$159+Alejandro!X$160))</f>
        <v>0.50944964928072667</v>
      </c>
    </row>
    <row r="56" spans="2:22" ht="15.75" customHeight="1" x14ac:dyDescent="0.2">
      <c r="B56" s="210"/>
      <c r="C56" s="91" t="s">
        <v>202</v>
      </c>
      <c r="D56" s="80">
        <f>Alejandro!F162/(Alejandro!$F$161+Alejandro!$F$162+Alejandro!$F$163)</f>
        <v>0.38132740706586377</v>
      </c>
      <c r="E56" s="81">
        <f>IF((Alejandro!G$158+Alejandro!G$159+Alejandro!G$160)=0,NA(),Alejandro!G159/(Alejandro!G$158+Alejandro!G$159+Alejandro!G$160))</f>
        <v>0.34968076578488239</v>
      </c>
      <c r="F56" s="81">
        <f>IF((Alejandro!H$158+Alejandro!H$159+Alejandro!H$160)=0,NA(),Alejandro!H159/(Alejandro!H$158+Alejandro!H$159+Alejandro!H$160))</f>
        <v>0.34187894389161688</v>
      </c>
      <c r="G56" s="81">
        <f>IF((Alejandro!I$158+Alejandro!I$159+Alejandro!I$160)=0,NA(),Alejandro!I159/(Alejandro!I$158+Alejandro!I$159+Alejandro!I$160))</f>
        <v>0.36828074329545807</v>
      </c>
      <c r="H56" s="81">
        <f>IF((Alejandro!J$158+Alejandro!J$159+Alejandro!J$160)=0,NA(),Alejandro!J159/(Alejandro!J$158+Alejandro!J$159+Alejandro!J$160))</f>
        <v>0.41821060508171104</v>
      </c>
      <c r="I56" s="81">
        <f>IF((Alejandro!K$158+Alejandro!K$159+Alejandro!K$160)=0,NA(),Alejandro!K159/(Alejandro!K$158+Alejandro!K$159+Alejandro!K$160))</f>
        <v>0.39934273233322931</v>
      </c>
      <c r="J56" s="81">
        <f>IF((Alejandro!L$158+Alejandro!L$159+Alejandro!L$160)=0,NA(),Alejandro!L159/(Alejandro!L$158+Alejandro!L$159+Alejandro!L$160))</f>
        <v>0.3965172698983731</v>
      </c>
      <c r="K56" s="81">
        <f>IF((Alejandro!M$158+Alejandro!M$159+Alejandro!M$160)=0,NA(),Alejandro!M159/(Alejandro!M$158+Alejandro!M$159+Alejandro!M$160))</f>
        <v>0.38887289823720245</v>
      </c>
      <c r="L56" s="81">
        <f>IF((Alejandro!N$158+Alejandro!N$159+Alejandro!N$160)=0,NA(),Alejandro!N159/(Alejandro!N$158+Alejandro!N$159+Alejandro!N$160))</f>
        <v>0.39766524182253277</v>
      </c>
      <c r="M56" s="81">
        <f>IF((Alejandro!O$158+Alejandro!O$159+Alejandro!O$160)=0,NA(),Alejandro!O159/(Alejandro!O$158+Alejandro!O$159+Alejandro!O$160))</f>
        <v>0.39021818580285689</v>
      </c>
      <c r="N56" s="81">
        <f>IF((Alejandro!P$158+Alejandro!P$159+Alejandro!P$160)=0,NA(),Alejandro!P159/(Alejandro!P$158+Alejandro!P$159+Alejandro!P$160))</f>
        <v>0.38136888548582265</v>
      </c>
      <c r="O56" s="81">
        <f>IF((Alejandro!Q$158+Alejandro!Q$159+Alejandro!Q$160)=0,NA(),Alejandro!Q159/(Alejandro!Q$158+Alejandro!Q$159+Alejandro!Q$160))</f>
        <v>0.38443365405527913</v>
      </c>
      <c r="P56" s="81">
        <f>IF((Alejandro!R$158+Alejandro!R$159+Alejandro!R$160)=0,NA(),Alejandro!R159/(Alejandro!R$158+Alejandro!R$159+Alejandro!R$160))</f>
        <v>0.38545046264506072</v>
      </c>
      <c r="Q56" s="81">
        <f>IF((Alejandro!S$158+Alejandro!S$159+Alejandro!S$160)=0,NA(),Alejandro!S159/(Alejandro!S$158+Alejandro!S$159+Alejandro!S$160))</f>
        <v>0.38424440061567072</v>
      </c>
      <c r="R56" s="81">
        <f>IF((Alejandro!T$158+Alejandro!T$159+Alejandro!T$160)=0,NA(),Alejandro!T159/(Alejandro!T$158+Alejandro!T$159+Alejandro!T$160))</f>
        <v>0.38034038547773152</v>
      </c>
      <c r="S56" s="81">
        <f>IF((Alejandro!U$158+Alejandro!U$159+Alejandro!U$160)=0,NA(),Alejandro!U159/(Alejandro!U$158+Alejandro!U$159+Alejandro!U$160))</f>
        <v>0.37715714482970542</v>
      </c>
      <c r="T56" s="81">
        <f>IF((Alejandro!V$158+Alejandro!V$159+Alejandro!V$160)=0,NA(),Alejandro!V159/(Alejandro!V$158+Alejandro!V$159+Alejandro!V$160))</f>
        <v>0.37623294282341774</v>
      </c>
      <c r="U56" s="81">
        <f>IF((Alejandro!W$158+Alejandro!W$159+Alejandro!W$160)=0,NA(),Alejandro!W159/(Alejandro!W$158+Alejandro!W$159+Alejandro!W$160))</f>
        <v>0.3792780594890009</v>
      </c>
      <c r="V56" s="82">
        <f>IF((Alejandro!X$158+Alejandro!X$159+Alejandro!X$160)=0,NA(),Alejandro!X159/(Alejandro!X$158+Alejandro!X$159+Alejandro!X$160))</f>
        <v>0.38132740706586377</v>
      </c>
    </row>
    <row r="57" spans="2:22" ht="15.75" customHeight="1" thickBot="1" x14ac:dyDescent="0.25">
      <c r="B57" s="211"/>
      <c r="C57" s="93" t="s">
        <v>0</v>
      </c>
      <c r="D57" s="94">
        <f>Alejandro!F163/(Alejandro!$F$161+Alejandro!$F$162+Alejandro!$F$163)</f>
        <v>0.10922294365340943</v>
      </c>
      <c r="E57" s="95">
        <f>IF((Alejandro!G$158+Alejandro!G$159+Alejandro!G$160)=0,NA(),Alejandro!G160/(Alejandro!G$158+Alejandro!G$159+Alejandro!G$160))</f>
        <v>1.0738828374278935E-2</v>
      </c>
      <c r="F57" s="95">
        <f>IF((Alejandro!H$158+Alejandro!H$159+Alejandro!H$160)=0,NA(),Alejandro!H160/(Alejandro!H$158+Alejandro!H$159+Alejandro!H$160))</f>
        <v>9.9979934004969864E-3</v>
      </c>
      <c r="G57" s="95">
        <f>IF((Alejandro!I$158+Alejandro!I$159+Alejandro!I$160)=0,NA(),Alejandro!I160/(Alejandro!I$158+Alejandro!I$159+Alejandro!I$160))</f>
        <v>1.1617453705155574E-2</v>
      </c>
      <c r="H57" s="95">
        <f>IF((Alejandro!J$158+Alejandro!J$159+Alejandro!J$160)=0,NA(),Alejandro!J160/(Alejandro!J$158+Alejandro!J$159+Alejandro!J$160))</f>
        <v>5.9355533688887449E-2</v>
      </c>
      <c r="I57" s="95">
        <f>IF((Alejandro!K$158+Alejandro!K$159+Alejandro!K$160)=0,NA(),Alejandro!K160/(Alejandro!K$158+Alejandro!K$159+Alejandro!K$160))</f>
        <v>7.6896378312396721E-2</v>
      </c>
      <c r="J57" s="95">
        <f>IF((Alejandro!L$158+Alejandro!L$159+Alejandro!L$160)=0,NA(),Alejandro!L160/(Alejandro!L$158+Alejandro!L$159+Alejandro!L$160))</f>
        <v>7.7023856352496936E-2</v>
      </c>
      <c r="K57" s="95">
        <f>IF((Alejandro!M$158+Alejandro!M$159+Alejandro!M$160)=0,NA(),Alejandro!M160/(Alejandro!M$158+Alejandro!M$159+Alejandro!M$160))</f>
        <v>7.4068593832860713E-2</v>
      </c>
      <c r="L57" s="95">
        <f>IF((Alejandro!N$158+Alejandro!N$159+Alejandro!N$160)=0,NA(),Alejandro!N160/(Alejandro!N$158+Alejandro!N$159+Alejandro!N$160))</f>
        <v>7.2049354086648407E-2</v>
      </c>
      <c r="M57" s="95">
        <f>IF((Alejandro!O$158+Alejandro!O$159+Alejandro!O$160)=0,NA(),Alejandro!O160/(Alejandro!O$158+Alejandro!O$159+Alejandro!O$160))</f>
        <v>8.3734336756655245E-2</v>
      </c>
      <c r="N57" s="95">
        <f>IF((Alejandro!P$158+Alejandro!P$159+Alejandro!P$160)=0,NA(),Alejandro!P160/(Alejandro!P$158+Alejandro!P$159+Alejandro!P$160))</f>
        <v>8.9499788901439767E-2</v>
      </c>
      <c r="O57" s="95">
        <f>IF((Alejandro!Q$158+Alejandro!Q$159+Alejandro!Q$160)=0,NA(),Alejandro!Q160/(Alejandro!Q$158+Alejandro!Q$159+Alejandro!Q$160))</f>
        <v>9.2292383133569827E-2</v>
      </c>
      <c r="P57" s="95">
        <f>IF((Alejandro!R$158+Alejandro!R$159+Alejandro!R$160)=0,NA(),Alejandro!R160/(Alejandro!R$158+Alejandro!R$159+Alejandro!R$160))</f>
        <v>9.6613038505933571E-2</v>
      </c>
      <c r="Q57" s="95">
        <f>IF((Alejandro!S$158+Alejandro!S$159+Alejandro!S$160)=0,NA(),Alejandro!S160/(Alejandro!S$158+Alejandro!S$159+Alejandro!S$160))</f>
        <v>0.10206723814978091</v>
      </c>
      <c r="R57" s="95">
        <f>IF((Alejandro!T$158+Alejandro!T$159+Alejandro!T$160)=0,NA(),Alejandro!T160/(Alejandro!T$158+Alejandro!T$159+Alejandro!T$160))</f>
        <v>0.10477530925582999</v>
      </c>
      <c r="S57" s="95">
        <f>IF((Alejandro!U$158+Alejandro!U$159+Alejandro!U$160)=0,NA(),Alejandro!U160/(Alejandro!U$158+Alejandro!U$159+Alejandro!U$160))</f>
        <v>0.10663115048708156</v>
      </c>
      <c r="T57" s="95">
        <f>IF((Alejandro!V$158+Alejandro!V$159+Alejandro!V$160)=0,NA(),Alejandro!V160/(Alejandro!V$158+Alejandro!V$159+Alejandro!V$160))</f>
        <v>0.10640843561475935</v>
      </c>
      <c r="U57" s="95">
        <f>IF((Alejandro!W$158+Alejandro!W$159+Alejandro!W$160)=0,NA(),Alejandro!W160/(Alejandro!W$158+Alejandro!W$159+Alejandro!W$160))</f>
        <v>0.10687939509072186</v>
      </c>
      <c r="V57" s="96">
        <f>IF((Alejandro!X$158+Alejandro!X$159+Alejandro!X$160)=0,NA(),Alejandro!X160/(Alejandro!X$158+Alejandro!X$159+Alejandro!X$160))</f>
        <v>0.10922294365340943</v>
      </c>
    </row>
    <row r="58" spans="2:22" ht="15.75" customHeight="1" x14ac:dyDescent="0.2">
      <c r="B58" s="206" t="s">
        <v>204</v>
      </c>
      <c r="C58" s="97" t="s">
        <v>209</v>
      </c>
      <c r="D58" s="98">
        <f>Alejandro!F170/(Alejandro!$F$170+Alejandro!$F$171+Alejandro!$F$172)</f>
        <v>0.43360702993212047</v>
      </c>
      <c r="E58" s="99">
        <f>IF((Alejandro!G$167+Alejandro!G$168+Alejandro!G$169)=0,NA(),Alejandro!G167/(Alejandro!G$167+Alejandro!G$168+Alejandro!G$169))</f>
        <v>0.55328504251875921</v>
      </c>
      <c r="F58" s="99">
        <f>IF((Alejandro!H$167+Alejandro!H$168+Alejandro!H$169)=0,NA(),Alejandro!H167/(Alejandro!H$167+Alejandro!H$168+Alejandro!H$169))</f>
        <v>0.49836681213939327</v>
      </c>
      <c r="G58" s="99">
        <f>IF((Alejandro!I$167+Alejandro!I$168+Alejandro!I$169)=0,NA(),Alejandro!I167/(Alejandro!I$167+Alejandro!I$168+Alejandro!I$169))</f>
        <v>0.48170351572297859</v>
      </c>
      <c r="H58" s="99">
        <f>IF((Alejandro!J$167+Alejandro!J$168+Alejandro!J$169)=0,NA(),Alejandro!J167/(Alejandro!J$167+Alejandro!J$168+Alejandro!J$169))</f>
        <v>0.47410562756646951</v>
      </c>
      <c r="I58" s="99">
        <f>IF((Alejandro!K$167+Alejandro!K$168+Alejandro!K$169)=0,NA(),Alejandro!K167/(Alejandro!K$167+Alejandro!K$168+Alejandro!K$169))</f>
        <v>0.49691966842060392</v>
      </c>
      <c r="J58" s="99">
        <f>IF((Alejandro!L$167+Alejandro!L$168+Alejandro!L$169)=0,NA(),Alejandro!L167/(Alejandro!L$167+Alejandro!L$168+Alejandro!L$169))</f>
        <v>0.49577463503171088</v>
      </c>
      <c r="K58" s="99">
        <f>IF((Alejandro!M$167+Alejandro!M$168+Alejandro!M$169)=0,NA(),Alejandro!M167/(Alejandro!M$167+Alejandro!M$168+Alejandro!M$169))</f>
        <v>0.47930941662783599</v>
      </c>
      <c r="L58" s="99">
        <f>IF((Alejandro!N$167+Alejandro!N$168+Alejandro!N$169)=0,NA(),Alejandro!N167/(Alejandro!N$167+Alejandro!N$168+Alejandro!N$169))</f>
        <v>0.47762304373279918</v>
      </c>
      <c r="M58" s="99">
        <f>IF((Alejandro!O$167+Alejandro!O$168+Alejandro!O$169)=0,NA(),Alejandro!O167/(Alejandro!O$167+Alejandro!O$168+Alejandro!O$169))</f>
        <v>0.46491429047443494</v>
      </c>
      <c r="N58" s="99">
        <f>IF((Alejandro!P$167+Alejandro!P$168+Alejandro!P$169)=0,NA(),Alejandro!P167/(Alejandro!P$167+Alejandro!P$168+Alejandro!P$169))</f>
        <v>0.45722469999533766</v>
      </c>
      <c r="O58" s="99">
        <f>IF((Alejandro!Q$167+Alejandro!Q$168+Alejandro!Q$169)=0,NA(),Alejandro!Q167/(Alejandro!Q$167+Alejandro!Q$168+Alejandro!Q$169))</f>
        <v>0.45145325199708858</v>
      </c>
      <c r="P58" s="99">
        <f>IF((Alejandro!R$167+Alejandro!R$168+Alejandro!R$169)=0,NA(),Alejandro!R167/(Alejandro!R$167+Alejandro!R$168+Alejandro!R$169))</f>
        <v>0.44437956158436048</v>
      </c>
      <c r="Q58" s="99">
        <f>IF((Alejandro!S$167+Alejandro!S$168+Alejandro!S$169)=0,NA(),Alejandro!S167/(Alejandro!S$167+Alejandro!S$168+Alejandro!S$169))</f>
        <v>0.44086905605333837</v>
      </c>
      <c r="R58" s="99">
        <f>IF((Alejandro!T$167+Alejandro!T$168+Alejandro!T$169)=0,NA(),Alejandro!T167/(Alejandro!T$167+Alejandro!T$168+Alejandro!T$169))</f>
        <v>0.43935211145870839</v>
      </c>
      <c r="S58" s="99">
        <f>IF((Alejandro!U$167+Alejandro!U$168+Alejandro!U$169)=0,NA(),Alejandro!U167/(Alejandro!U$167+Alejandro!U$168+Alejandro!U$169))</f>
        <v>0.43885838245896569</v>
      </c>
      <c r="T58" s="99">
        <f>IF((Alejandro!V$167+Alejandro!V$168+Alejandro!V$169)=0,NA(),Alejandro!V167/(Alejandro!V$167+Alejandro!V$168+Alejandro!V$169))</f>
        <v>0.4371618548890342</v>
      </c>
      <c r="U58" s="99">
        <f>IF((Alejandro!W$167+Alejandro!W$168+Alejandro!W$169)=0,NA(),Alejandro!W167/(Alejandro!W$167+Alejandro!W$168+Alejandro!W$169))</f>
        <v>0.43470221342229953</v>
      </c>
      <c r="V58" s="100">
        <f>IF((Alejandro!X$167+Alejandro!X$168+Alejandro!X$169)=0,NA(),Alejandro!X167/(Alejandro!X$167+Alejandro!X$168+Alejandro!X$169))</f>
        <v>0.43360702993212047</v>
      </c>
    </row>
    <row r="59" spans="2:22" ht="15.75" customHeight="1" x14ac:dyDescent="0.2">
      <c r="B59" s="207"/>
      <c r="C59" s="88" t="s">
        <v>210</v>
      </c>
      <c r="D59" s="68">
        <f>Alejandro!F171/(Alejandro!$F$170+Alejandro!$F$171+Alejandro!$F$172)</f>
        <v>0.54085425870011428</v>
      </c>
      <c r="E59" s="69">
        <f>IF((Alejandro!G$167+Alejandro!G$168+Alejandro!G$169)=0,NA(),Alejandro!G168/(Alejandro!G$167+Alejandro!G$168+Alejandro!G$169))</f>
        <v>0.42373651008788416</v>
      </c>
      <c r="F59" s="69">
        <f>IF((Alejandro!H$167+Alejandro!H$168+Alejandro!H$169)=0,NA(),Alejandro!H168/(Alejandro!H$167+Alejandro!H$168+Alejandro!H$169))</f>
        <v>0.49057733184464275</v>
      </c>
      <c r="G59" s="69">
        <f>IF((Alejandro!I$167+Alejandro!I$168+Alejandro!I$169)=0,NA(),Alejandro!I168/(Alejandro!I$167+Alejandro!I$168+Alejandro!I$169))</f>
        <v>0.50211112358287291</v>
      </c>
      <c r="H59" s="69">
        <f>IF((Alejandro!J$167+Alejandro!J$168+Alejandro!J$169)=0,NA(),Alejandro!J168/(Alejandro!J$167+Alejandro!J$168+Alejandro!J$169))</f>
        <v>0.50928329260793381</v>
      </c>
      <c r="I59" s="69">
        <f>IF((Alejandro!K$167+Alejandro!K$168+Alejandro!K$169)=0,NA(),Alejandro!K168/(Alejandro!K$167+Alejandro!K$168+Alejandro!K$169))</f>
        <v>0.48991025432546043</v>
      </c>
      <c r="J59" s="69">
        <f>IF((Alejandro!L$167+Alejandro!L$168+Alejandro!L$169)=0,NA(),Alejandro!L168/(Alejandro!L$167+Alejandro!L$168+Alejandro!L$169))</f>
        <v>0.49266101139484797</v>
      </c>
      <c r="K59" s="69">
        <f>IF((Alejandro!M$167+Alejandro!M$168+Alejandro!M$169)=0,NA(),Alejandro!M168/(Alejandro!M$167+Alejandro!M$168+Alejandro!M$169))</f>
        <v>0.50920430698603913</v>
      </c>
      <c r="L59" s="69">
        <f>IF((Alejandro!N$167+Alejandro!N$168+Alejandro!N$169)=0,NA(),Alejandro!N168/(Alejandro!N$167+Alejandro!N$168+Alejandro!N$169))</f>
        <v>0.50600708808997874</v>
      </c>
      <c r="M59" s="69">
        <f>IF((Alejandro!O$167+Alejandro!O$168+Alejandro!O$169)=0,NA(),Alejandro!O168/(Alejandro!O$167+Alejandro!O$168+Alejandro!O$169))</f>
        <v>0.51849899829088475</v>
      </c>
      <c r="N59" s="69">
        <f>IF((Alejandro!P$167+Alejandro!P$168+Alejandro!P$169)=0,NA(),Alejandro!P168/(Alejandro!P$167+Alejandro!P$168+Alejandro!P$169))</f>
        <v>0.52466037877018301</v>
      </c>
      <c r="O59" s="69">
        <f>IF((Alejandro!Q$167+Alejandro!Q$168+Alejandro!Q$169)=0,NA(),Alejandro!Q168/(Alejandro!Q$167+Alejandro!Q$168+Alejandro!Q$169))</f>
        <v>0.5303651112386798</v>
      </c>
      <c r="P59" s="69">
        <f>IF((Alejandro!R$167+Alejandro!R$168+Alejandro!R$169)=0,NA(),Alejandro!R168/(Alejandro!R$167+Alejandro!R$168+Alejandro!R$169))</f>
        <v>0.52923382169894173</v>
      </c>
      <c r="Q59" s="69">
        <f>IF((Alejandro!S$167+Alejandro!S$168+Alejandro!S$169)=0,NA(),Alejandro!S168/(Alejandro!S$167+Alejandro!S$168+Alejandro!S$169))</f>
        <v>0.53108631231407211</v>
      </c>
      <c r="R59" s="69">
        <f>IF((Alejandro!T$167+Alejandro!T$168+Alejandro!T$169)=0,NA(),Alejandro!T168/(Alejandro!T$167+Alejandro!T$168+Alejandro!T$169))</f>
        <v>0.53304862210526027</v>
      </c>
      <c r="S59" s="69">
        <f>IF((Alejandro!U$167+Alejandro!U$168+Alejandro!U$169)=0,NA(),Alejandro!U168/(Alejandro!U$167+Alejandro!U$168+Alejandro!U$169))</f>
        <v>0.53477210463012015</v>
      </c>
      <c r="T59" s="69">
        <f>IF((Alejandro!V$167+Alejandro!V$168+Alejandro!V$169)=0,NA(),Alejandro!V168/(Alejandro!V$167+Alejandro!V$168+Alejandro!V$169))</f>
        <v>0.53740406870140467</v>
      </c>
      <c r="U59" s="69">
        <f>IF((Alejandro!W$167+Alejandro!W$168+Alejandro!W$169)=0,NA(),Alejandro!W168/(Alejandro!W$167+Alejandro!W$168+Alejandro!W$169))</f>
        <v>0.53976335658635932</v>
      </c>
      <c r="V59" s="70">
        <f>IF((Alejandro!X$167+Alejandro!X$168+Alejandro!X$169)=0,NA(),Alejandro!X168/(Alejandro!X$167+Alejandro!X$168+Alejandro!X$169))</f>
        <v>0.54085425870011428</v>
      </c>
    </row>
    <row r="60" spans="2:22" ht="15.75" customHeight="1" thickBot="1" x14ac:dyDescent="0.25">
      <c r="B60" s="208"/>
      <c r="C60" s="101" t="s">
        <v>0</v>
      </c>
      <c r="D60" s="102">
        <f>Alejandro!F172/(Alejandro!$F$170+Alejandro!$F$171+Alejandro!$F$172)</f>
        <v>2.5538711367765397E-2</v>
      </c>
      <c r="E60" s="103">
        <f>IF((Alejandro!G$167+Alejandro!G$168+Alejandro!G$169)=0,NA(),Alejandro!G169/(Alejandro!G$167+Alejandro!G$168+Alejandro!G$169))</f>
        <v>2.29784473933567E-2</v>
      </c>
      <c r="F60" s="103">
        <f>IF((Alejandro!H$167+Alejandro!H$168+Alejandro!H$169)=0,NA(),Alejandro!H169/(Alejandro!H$167+Alejandro!H$168+Alejandro!H$169))</f>
        <v>1.1055856015964051E-2</v>
      </c>
      <c r="G60" s="103">
        <f>IF((Alejandro!I$167+Alejandro!I$168+Alejandro!I$169)=0,NA(),Alejandro!I169/(Alejandro!I$167+Alejandro!I$168+Alejandro!I$169))</f>
        <v>1.618536069414854E-2</v>
      </c>
      <c r="H60" s="103">
        <f>IF((Alejandro!J$167+Alejandro!J$168+Alejandro!J$169)=0,NA(),Alejandro!J169/(Alejandro!J$167+Alejandro!J$168+Alejandro!J$169))</f>
        <v>1.6611079825596817E-2</v>
      </c>
      <c r="I60" s="103">
        <f>IF((Alejandro!K$167+Alejandro!K$168+Alejandro!K$169)=0,NA(),Alejandro!K169/(Alejandro!K$167+Alejandro!K$168+Alejandro!K$169))</f>
        <v>1.3170077253935838E-2</v>
      </c>
      <c r="J60" s="103">
        <f>IF((Alejandro!L$167+Alejandro!L$168+Alejandro!L$169)=0,NA(),Alejandro!L169/(Alejandro!L$167+Alejandro!L$168+Alejandro!L$169))</f>
        <v>1.1564353573441145E-2</v>
      </c>
      <c r="K60" s="103">
        <f>IF((Alejandro!M$167+Alejandro!M$168+Alejandro!M$169)=0,NA(),Alejandro!M169/(Alejandro!M$167+Alejandro!M$168+Alejandro!M$169))</f>
        <v>1.1486276386124782E-2</v>
      </c>
      <c r="L60" s="103">
        <f>IF((Alejandro!N$167+Alejandro!N$168+Alejandro!N$169)=0,NA(),Alejandro!N169/(Alejandro!N$167+Alejandro!N$168+Alejandro!N$169))</f>
        <v>1.6369868177221983E-2</v>
      </c>
      <c r="M60" s="103">
        <f>IF((Alejandro!O$167+Alejandro!O$168+Alejandro!O$169)=0,NA(),Alejandro!O169/(Alejandro!O$167+Alejandro!O$168+Alejandro!O$169))</f>
        <v>1.6586711234680376E-2</v>
      </c>
      <c r="N60" s="103">
        <f>IF((Alejandro!P$167+Alejandro!P$168+Alejandro!P$169)=0,NA(),Alejandro!P169/(Alejandro!P$167+Alejandro!P$168+Alejandro!P$169))</f>
        <v>1.8114921234479438E-2</v>
      </c>
      <c r="O60" s="103">
        <f>IF((Alejandro!Q$167+Alejandro!Q$168+Alejandro!Q$169)=0,NA(),Alejandro!Q169/(Alejandro!Q$167+Alejandro!Q$168+Alejandro!Q$169))</f>
        <v>1.8181636764231422E-2</v>
      </c>
      <c r="P60" s="103">
        <f>IF((Alejandro!R$167+Alejandro!R$168+Alejandro!R$169)=0,NA(),Alejandro!R169/(Alejandro!R$167+Alejandro!R$168+Alejandro!R$169))</f>
        <v>2.6386616716697966E-2</v>
      </c>
      <c r="Q60" s="103">
        <f>IF((Alejandro!S$167+Alejandro!S$168+Alejandro!S$169)=0,NA(),Alejandro!S169/(Alejandro!S$167+Alejandro!S$168+Alejandro!S$169))</f>
        <v>2.8044631632589554E-2</v>
      </c>
      <c r="R60" s="103">
        <f>IF((Alejandro!T$167+Alejandro!T$168+Alejandro!T$169)=0,NA(),Alejandro!T169/(Alejandro!T$167+Alejandro!T$168+Alejandro!T$169))</f>
        <v>2.7599266436031368E-2</v>
      </c>
      <c r="S60" s="103">
        <f>IF((Alejandro!U$167+Alejandro!U$168+Alejandro!U$169)=0,NA(),Alejandro!U169/(Alejandro!U$167+Alejandro!U$168+Alejandro!U$169))</f>
        <v>2.6369512910913988E-2</v>
      </c>
      <c r="T60" s="103">
        <f>IF((Alejandro!V$167+Alejandro!V$168+Alejandro!V$169)=0,NA(),Alejandro!V169/(Alejandro!V$167+Alejandro!V$168+Alejandro!V$169))</f>
        <v>2.5434076409561246E-2</v>
      </c>
      <c r="U60" s="103">
        <f>IF((Alejandro!W$167+Alejandro!W$168+Alejandro!W$169)=0,NA(),Alejandro!W169/(Alejandro!W$167+Alejandro!W$168+Alejandro!W$169))</f>
        <v>2.5534429991341097E-2</v>
      </c>
      <c r="V60" s="104">
        <f>IF((Alejandro!X$167+Alejandro!X$168+Alejandro!X$169)=0,NA(),Alejandro!X169/(Alejandro!X$167+Alejandro!X$168+Alejandro!X$169))</f>
        <v>2.5538711367765397E-2</v>
      </c>
    </row>
    <row r="61" spans="2:22" ht="15.75" customHeight="1" x14ac:dyDescent="0.2">
      <c r="B61" s="209" t="s">
        <v>211</v>
      </c>
      <c r="C61" s="105" t="s">
        <v>212</v>
      </c>
      <c r="D61" s="106">
        <f>Alejandro!F179/(Alejandro!$F$179+Alejandro!$F$180+Alejandro!$F$181)</f>
        <v>0.77760053176578936</v>
      </c>
      <c r="E61" s="107">
        <f>IF((Alejandro!G$176+Alejandro!G$177+Alejandro!G$178)=0,NA(),Alejandro!G176/(Alejandro!G$176+Alejandro!G$177+Alejandro!G$178))</f>
        <v>0.93085422865779888</v>
      </c>
      <c r="F61" s="107">
        <f>IF((Alejandro!H$176+Alejandro!H$177+Alejandro!H$178)=0,NA(),Alejandro!H176/(Alejandro!H$176+Alejandro!H$177+Alejandro!H$178))</f>
        <v>0.94137853952946571</v>
      </c>
      <c r="G61" s="107">
        <f>IF((Alejandro!I$176+Alejandro!I$177+Alejandro!I$178)=0,NA(),Alejandro!I176/(Alejandro!I$176+Alejandro!I$177+Alejandro!I$178))</f>
        <v>0.89904816697014767</v>
      </c>
      <c r="H61" s="107">
        <f>IF((Alejandro!J$176+Alejandro!J$177+Alejandro!J$178)=0,NA(),Alejandro!J176/(Alejandro!J$176+Alejandro!J$177+Alejandro!J$178))</f>
        <v>0.87372183561959949</v>
      </c>
      <c r="I61" s="107">
        <f>IF((Alejandro!K$176+Alejandro!K$177+Alejandro!K$178)=0,NA(),Alejandro!K176/(Alejandro!K$176+Alejandro!K$177+Alejandro!K$178))</f>
        <v>0.87677569386168019</v>
      </c>
      <c r="J61" s="107">
        <f>IF((Alejandro!L$176+Alejandro!L$177+Alejandro!L$178)=0,NA(),Alejandro!L176/(Alejandro!L$176+Alejandro!L$177+Alejandro!L$178))</f>
        <v>0.84154900923526221</v>
      </c>
      <c r="K61" s="107">
        <f>IF((Alejandro!M$176+Alejandro!M$177+Alejandro!M$178)=0,NA(),Alejandro!M176/(Alejandro!M$176+Alejandro!M$177+Alejandro!M$178))</f>
        <v>0.83289365291753503</v>
      </c>
      <c r="L61" s="107">
        <f>IF((Alejandro!N$176+Alejandro!N$177+Alejandro!N$178)=0,NA(),Alejandro!N176/(Alejandro!N$176+Alejandro!N$177+Alejandro!N$178))</f>
        <v>0.83243279135572135</v>
      </c>
      <c r="M61" s="107">
        <f>IF((Alejandro!O$176+Alejandro!O$177+Alejandro!O$178)=0,NA(),Alejandro!O176/(Alejandro!O$176+Alejandro!O$177+Alejandro!O$178))</f>
        <v>0.81929689018206964</v>
      </c>
      <c r="N61" s="107">
        <f>IF((Alejandro!P$176+Alejandro!P$177+Alejandro!P$178)=0,NA(),Alejandro!P176/(Alejandro!P$176+Alejandro!P$177+Alejandro!P$178))</f>
        <v>0.8171373746130961</v>
      </c>
      <c r="O61" s="107">
        <f>IF((Alejandro!Q$176+Alejandro!Q$177+Alejandro!Q$178)=0,NA(),Alejandro!Q176/(Alejandro!Q$176+Alejandro!Q$177+Alejandro!Q$178))</f>
        <v>0.81957600055415447</v>
      </c>
      <c r="P61" s="107">
        <f>IF((Alejandro!R$176+Alejandro!R$177+Alejandro!R$178)=0,NA(),Alejandro!R176/(Alejandro!R$176+Alejandro!R$177+Alejandro!R$178))</f>
        <v>0.80828633217604207</v>
      </c>
      <c r="Q61" s="107">
        <f>IF((Alejandro!S$176+Alejandro!S$177+Alejandro!S$178)=0,NA(),Alejandro!S176/(Alejandro!S$176+Alejandro!S$177+Alejandro!S$178))</f>
        <v>0.79938677869230423</v>
      </c>
      <c r="R61" s="107">
        <f>IF((Alejandro!T$176+Alejandro!T$177+Alejandro!T$178)=0,NA(),Alejandro!T176/(Alejandro!T$176+Alejandro!T$177+Alejandro!T$178))</f>
        <v>0.7987551516297946</v>
      </c>
      <c r="S61" s="107">
        <f>IF((Alejandro!U$176+Alejandro!U$177+Alejandro!U$178)=0,NA(),Alejandro!U176/(Alejandro!U$176+Alejandro!U$177+Alejandro!U$178))</f>
        <v>0.79118460466506879</v>
      </c>
      <c r="T61" s="107">
        <f>IF((Alejandro!V$176+Alejandro!V$177+Alejandro!V$178)=0,NA(),Alejandro!V176/(Alejandro!V$176+Alejandro!V$177+Alejandro!V$178))</f>
        <v>0.78355683511736329</v>
      </c>
      <c r="U61" s="107">
        <f>IF((Alejandro!W$176+Alejandro!W$177+Alejandro!W$178)=0,NA(),Alejandro!W176/(Alejandro!W$176+Alejandro!W$177+Alejandro!W$178))</f>
        <v>0.77618803958464311</v>
      </c>
      <c r="V61" s="108">
        <f>IF((Alejandro!X$176+Alejandro!X$177+Alejandro!X$178)=0,NA(),Alejandro!X176/(Alejandro!X$176+Alejandro!X$177+Alejandro!X$178))</f>
        <v>0.77760053176578936</v>
      </c>
    </row>
    <row r="62" spans="2:22" ht="15.75" customHeight="1" x14ac:dyDescent="0.2">
      <c r="B62" s="210"/>
      <c r="C62" s="91" t="s">
        <v>213</v>
      </c>
      <c r="D62" s="80">
        <f>Alejandro!F180/(Alejandro!$F$179+Alejandro!$F$180+Alejandro!$F$181)</f>
        <v>0.19493263374409595</v>
      </c>
      <c r="E62" s="81">
        <f>IF((Alejandro!G$176+Alejandro!G$177+Alejandro!G$178)=0,NA(),Alejandro!G177/(Alejandro!G$176+Alejandro!G$177+Alejandro!G$178))</f>
        <v>6.3786430274346245E-2</v>
      </c>
      <c r="F62" s="81">
        <f>IF((Alejandro!H$176+Alejandro!H$177+Alejandro!H$178)=0,NA(),Alejandro!H177/(Alejandro!H$176+Alejandro!H$177+Alejandro!H$178))</f>
        <v>4.2653365783388637E-2</v>
      </c>
      <c r="G62" s="81">
        <f>IF((Alejandro!I$176+Alejandro!I$177+Alejandro!I$178)=0,NA(),Alejandro!I177/(Alejandro!I$176+Alejandro!I$177+Alejandro!I$178))</f>
        <v>7.6019403657015774E-2</v>
      </c>
      <c r="H62" s="81">
        <f>IF((Alejandro!J$176+Alejandro!J$177+Alejandro!J$178)=0,NA(),Alejandro!J177/(Alejandro!J$176+Alejandro!J$177+Alejandro!J$178))</f>
        <v>0.1048634000246351</v>
      </c>
      <c r="I62" s="81">
        <f>IF((Alejandro!K$176+Alejandro!K$177+Alejandro!K$178)=0,NA(),Alejandro!K177/(Alejandro!K$176+Alejandro!K$177+Alejandro!K$178))</f>
        <v>0.10421435521886779</v>
      </c>
      <c r="J62" s="81">
        <f>IF((Alejandro!L$176+Alejandro!L$177+Alejandro!L$178)=0,NA(),Alejandro!L177/(Alejandro!L$176+Alejandro!L$177+Alejandro!L$178))</f>
        <v>0.1430826097254024</v>
      </c>
      <c r="K62" s="81">
        <f>IF((Alejandro!M$176+Alejandro!M$177+Alejandro!M$178)=0,NA(),Alejandro!M177/(Alejandro!M$176+Alejandro!M$177+Alejandro!M$178))</f>
        <v>0.15031281318404779</v>
      </c>
      <c r="L62" s="81">
        <f>IF((Alejandro!N$176+Alejandro!N$177+Alejandro!N$178)=0,NA(),Alejandro!N177/(Alejandro!N$176+Alejandro!N$177+Alejandro!N$178))</f>
        <v>0.14961161630064984</v>
      </c>
      <c r="M62" s="81">
        <f>IF((Alejandro!O$176+Alejandro!O$177+Alejandro!O$178)=0,NA(),Alejandro!O177/(Alejandro!O$176+Alejandro!O$177+Alejandro!O$178))</f>
        <v>0.16095375163111528</v>
      </c>
      <c r="N62" s="81">
        <f>IF((Alejandro!P$176+Alejandro!P$177+Alejandro!P$178)=0,NA(),Alejandro!P177/(Alejandro!P$176+Alejandro!P$177+Alejandro!P$178))</f>
        <v>0.16120387009647308</v>
      </c>
      <c r="O62" s="81">
        <f>IF((Alejandro!Q$176+Alejandro!Q$177+Alejandro!Q$178)=0,NA(),Alejandro!Q177/(Alejandro!Q$176+Alejandro!Q$177+Alejandro!Q$178))</f>
        <v>0.15985062104381789</v>
      </c>
      <c r="P62" s="81">
        <f>IF((Alejandro!R$176+Alejandro!R$177+Alejandro!R$178)=0,NA(),Alejandro!R177/(Alejandro!R$176+Alejandro!R$177+Alejandro!R$178))</f>
        <v>0.16949904838529195</v>
      </c>
      <c r="Q62" s="81">
        <f>IF((Alejandro!S$176+Alejandro!S$177+Alejandro!S$178)=0,NA(),Alejandro!S177/(Alejandro!S$176+Alejandro!S$177+Alejandro!S$178))</f>
        <v>0.17555244009331661</v>
      </c>
      <c r="R62" s="81">
        <f>IF((Alejandro!T$176+Alejandro!T$177+Alejandro!T$178)=0,NA(),Alejandro!T177/(Alejandro!T$176+Alejandro!T$177+Alejandro!T$178))</f>
        <v>0.17588168098548279</v>
      </c>
      <c r="S62" s="81">
        <f>IF((Alejandro!U$176+Alejandro!U$177+Alejandro!U$178)=0,NA(),Alejandro!U177/(Alejandro!U$176+Alejandro!U$177+Alejandro!U$178))</f>
        <v>0.18227440408776813</v>
      </c>
      <c r="T62" s="81">
        <f>IF((Alejandro!V$176+Alejandro!V$177+Alejandro!V$178)=0,NA(),Alejandro!V177/(Alejandro!V$176+Alejandro!V$177+Alejandro!V$178))</f>
        <v>0.19007508924384797</v>
      </c>
      <c r="U62" s="81">
        <f>IF((Alejandro!W$176+Alejandro!W$177+Alejandro!W$178)=0,NA(),Alejandro!W177/(Alejandro!W$176+Alejandro!W$177+Alejandro!W$178))</f>
        <v>0.19535055989527</v>
      </c>
      <c r="V62" s="82">
        <f>IF((Alejandro!X$176+Alejandro!X$177+Alejandro!X$178)=0,NA(),Alejandro!X177/(Alejandro!X$176+Alejandro!X$177+Alejandro!X$178))</f>
        <v>0.19493263374409595</v>
      </c>
    </row>
    <row r="63" spans="2:22" ht="15.75" customHeight="1" thickBot="1" x14ac:dyDescent="0.25">
      <c r="B63" s="211"/>
      <c r="C63" s="93" t="s">
        <v>0</v>
      </c>
      <c r="D63" s="94">
        <f>Alejandro!F181/(Alejandro!$F$179+Alejandro!$F$180+Alejandro!$F$181)</f>
        <v>2.7466834490114733E-2</v>
      </c>
      <c r="E63" s="95">
        <f>IF((Alejandro!G$176+Alejandro!G$177+Alejandro!G$178)=0,NA(),Alejandro!G178/(Alejandro!G$176+Alejandro!G$177+Alejandro!G$178))</f>
        <v>5.3593410678549882E-3</v>
      </c>
      <c r="F63" s="95">
        <f>IF((Alejandro!H$176+Alejandro!H$177+Alejandro!H$178)=0,NA(),Alejandro!H178/(Alejandro!H$176+Alejandro!H$177+Alejandro!H$178))</f>
        <v>1.5968094687145648E-2</v>
      </c>
      <c r="G63" s="95">
        <f>IF((Alejandro!I$176+Alejandro!I$177+Alejandro!I$178)=0,NA(),Alejandro!I178/(Alejandro!I$176+Alejandro!I$177+Alejandro!I$178))</f>
        <v>2.4932429372836552E-2</v>
      </c>
      <c r="H63" s="95">
        <f>IF((Alejandro!J$176+Alejandro!J$177+Alejandro!J$178)=0,NA(),Alejandro!J178/(Alejandro!J$176+Alejandro!J$177+Alejandro!J$178))</f>
        <v>2.1414764355765361E-2</v>
      </c>
      <c r="I63" s="95">
        <f>IF((Alejandro!K$176+Alejandro!K$177+Alejandro!K$178)=0,NA(),Alejandro!K178/(Alejandro!K$176+Alejandro!K$177+Alejandro!K$178))</f>
        <v>1.9009950919452061E-2</v>
      </c>
      <c r="J63" s="95">
        <f>IF((Alejandro!L$176+Alejandro!L$177+Alejandro!L$178)=0,NA(),Alejandro!L178/(Alejandro!L$176+Alejandro!L$177+Alejandro!L$178))</f>
        <v>1.5368381039335435E-2</v>
      </c>
      <c r="K63" s="95">
        <f>IF((Alejandro!M$176+Alejandro!M$177+Alejandro!M$178)=0,NA(),Alejandro!M178/(Alejandro!M$176+Alejandro!M$177+Alejandro!M$178))</f>
        <v>1.6793533898417107E-2</v>
      </c>
      <c r="L63" s="95">
        <f>IF((Alejandro!N$176+Alejandro!N$177+Alejandro!N$178)=0,NA(),Alejandro!N178/(Alejandro!N$176+Alejandro!N$177+Alejandro!N$178))</f>
        <v>1.7955592343628739E-2</v>
      </c>
      <c r="M63" s="95">
        <f>IF((Alejandro!O$176+Alejandro!O$177+Alejandro!O$178)=0,NA(),Alejandro!O178/(Alejandro!O$176+Alejandro!O$177+Alejandro!O$178))</f>
        <v>1.9749358186815315E-2</v>
      </c>
      <c r="N63" s="95">
        <f>IF((Alejandro!P$176+Alejandro!P$177+Alejandro!P$178)=0,NA(),Alejandro!P178/(Alejandro!P$176+Alejandro!P$177+Alejandro!P$178))</f>
        <v>2.1658755290430806E-2</v>
      </c>
      <c r="O63" s="95">
        <f>IF((Alejandro!Q$176+Alejandro!Q$177+Alejandro!Q$178)=0,NA(),Alejandro!Q178/(Alejandro!Q$176+Alejandro!Q$177+Alejandro!Q$178))</f>
        <v>2.0573378402027581E-2</v>
      </c>
      <c r="P63" s="95">
        <f>IF((Alejandro!R$176+Alejandro!R$177+Alejandro!R$178)=0,NA(),Alejandro!R178/(Alejandro!R$176+Alejandro!R$177+Alejandro!R$178))</f>
        <v>2.2214619438666108E-2</v>
      </c>
      <c r="Q63" s="95">
        <f>IF((Alejandro!S$176+Alejandro!S$177+Alejandro!S$178)=0,NA(),Alejandro!S178/(Alejandro!S$176+Alejandro!S$177+Alejandro!S$178))</f>
        <v>2.5060781214379216E-2</v>
      </c>
      <c r="R63" s="95">
        <f>IF((Alejandro!T$176+Alejandro!T$177+Alejandro!T$178)=0,NA(),Alejandro!T178/(Alejandro!T$176+Alejandro!T$177+Alejandro!T$178))</f>
        <v>2.5363167384722721E-2</v>
      </c>
      <c r="S63" s="95">
        <f>IF((Alejandro!U$176+Alejandro!U$177+Alejandro!U$178)=0,NA(),Alejandro!U178/(Alejandro!U$176+Alejandro!U$177+Alejandro!U$178))</f>
        <v>2.6540991247163141E-2</v>
      </c>
      <c r="T63" s="95">
        <f>IF((Alejandro!V$176+Alejandro!V$177+Alejandro!V$178)=0,NA(),Alejandro!V178/(Alejandro!V$176+Alejandro!V$177+Alejandro!V$178))</f>
        <v>2.6368075638788811E-2</v>
      </c>
      <c r="U63" s="95">
        <f>IF((Alejandro!W$176+Alejandro!W$177+Alejandro!W$178)=0,NA(),Alejandro!W178/(Alejandro!W$176+Alejandro!W$177+Alejandro!W$178))</f>
        <v>2.8461400520086944E-2</v>
      </c>
      <c r="V63" s="96">
        <f>IF((Alejandro!X$176+Alejandro!X$177+Alejandro!X$178)=0,NA(),Alejandro!X178/(Alejandro!X$176+Alejandro!X$177+Alejandro!X$178))</f>
        <v>2.7466834490114733E-2</v>
      </c>
    </row>
    <row r="64" spans="2:22" ht="15.75" customHeight="1" x14ac:dyDescent="0.2">
      <c r="B64" s="206" t="s">
        <v>218</v>
      </c>
      <c r="C64" s="97" t="s">
        <v>219</v>
      </c>
      <c r="D64" s="98">
        <f>Alejandro!F188/(Alejandro!$F$188+Alejandro!$F$189+Alejandro!$F$190)</f>
        <v>0.73150457190357443</v>
      </c>
      <c r="E64" s="99">
        <f>IF((Alejandro!G$185+Alejandro!G$186+Alejandro!G$187)=0,NA(),Alejandro!G185/(Alejandro!G$185+Alejandro!G$186+Alejandro!G$187))</f>
        <v>0.33333333333333331</v>
      </c>
      <c r="F64" s="99">
        <f>IF((Alejandro!H$185+Alejandro!H$186+Alejandro!H$187)=0,NA(),Alejandro!H185/(Alejandro!H$185+Alejandro!H$186+Alejandro!H$187))</f>
        <v>0.86486486486486491</v>
      </c>
      <c r="G64" s="99">
        <f>IF((Alejandro!I$185+Alejandro!I$186+Alejandro!I$187)=0,NA(),Alejandro!I185/(Alejandro!I$185+Alejandro!I$186+Alejandro!I$187))</f>
        <v>0.86206896551724133</v>
      </c>
      <c r="H64" s="99">
        <f>IF((Alejandro!J$185+Alejandro!J$186+Alejandro!J$187)=0,NA(),Alejandro!J185/(Alejandro!J$185+Alejandro!J$186+Alejandro!J$187))</f>
        <v>0.8380281690140845</v>
      </c>
      <c r="I64" s="99">
        <f>IF((Alejandro!K$185+Alejandro!K$186+Alejandro!K$187)=0,NA(),Alejandro!K185/(Alejandro!K$185+Alejandro!K$186+Alejandro!K$187))</f>
        <v>0.82629107981220662</v>
      </c>
      <c r="J64" s="99">
        <f>IF((Alejandro!L$185+Alejandro!L$186+Alejandro!L$187)=0,NA(),Alejandro!L185/(Alejandro!L$185+Alejandro!L$186+Alejandro!L$187))</f>
        <v>0.84962406015037595</v>
      </c>
      <c r="K64" s="99">
        <f>IF((Alejandro!M$185+Alejandro!M$186+Alejandro!M$187)=0,NA(),Alejandro!M185/(Alejandro!M$185+Alejandro!M$186+Alejandro!M$187))</f>
        <v>0.81194029850746263</v>
      </c>
      <c r="L64" s="99">
        <f>IF((Alejandro!N$185+Alejandro!N$186+Alejandro!N$187)=0,NA(),Alejandro!N185/(Alejandro!N$185+Alejandro!N$186+Alejandro!N$187))</f>
        <v>0.78960396039603964</v>
      </c>
      <c r="M64" s="99">
        <f>IF((Alejandro!O$185+Alejandro!O$186+Alejandro!O$187)=0,NA(),Alejandro!O185/(Alejandro!O$185+Alejandro!O$186+Alejandro!O$187))</f>
        <v>0.75697211155378485</v>
      </c>
      <c r="N64" s="99">
        <f>IF((Alejandro!P$185+Alejandro!P$186+Alejandro!P$187)=0,NA(),Alejandro!P185/(Alejandro!P$185+Alejandro!P$186+Alejandro!P$187))</f>
        <v>0.74794069192751234</v>
      </c>
      <c r="O64" s="99">
        <f>IF((Alejandro!Q$185+Alejandro!Q$186+Alejandro!Q$187)=0,NA(),Alejandro!Q185/(Alejandro!Q$185+Alejandro!Q$186+Alejandro!Q$187))</f>
        <v>0.73254086181277855</v>
      </c>
      <c r="P64" s="99">
        <f>IF((Alejandro!R$185+Alejandro!R$186+Alejandro!R$187)=0,NA(),Alejandro!R185/(Alejandro!R$185+Alejandro!R$186+Alejandro!R$187))</f>
        <v>0.73746701846965701</v>
      </c>
      <c r="Q64" s="99">
        <f>IF((Alejandro!S$185+Alejandro!S$186+Alejandro!S$187)=0,NA(),Alejandro!S185/(Alejandro!S$185+Alejandro!S$186+Alejandro!S$187))</f>
        <v>0.73602853745541019</v>
      </c>
      <c r="R64" s="99">
        <f>IF((Alejandro!T$185+Alejandro!T$186+Alejandro!T$187)=0,NA(),Alejandro!T185/(Alejandro!T$185+Alejandro!T$186+Alejandro!T$187))</f>
        <v>0.73081081081081078</v>
      </c>
      <c r="S64" s="99">
        <f>IF((Alejandro!U$185+Alejandro!U$186+Alejandro!U$187)=0,NA(),Alejandro!U185/(Alejandro!U$185+Alejandro!U$186+Alejandro!U$187))</f>
        <v>0.73280159521435695</v>
      </c>
      <c r="T64" s="99">
        <f>IF((Alejandro!V$185+Alejandro!V$186+Alejandro!V$187)=0,NA(),Alejandro!V185/(Alejandro!V$185+Alejandro!V$186+Alejandro!V$187))</f>
        <v>0.72853185595567871</v>
      </c>
      <c r="U64" s="99">
        <f>IF((Alejandro!W$185+Alejandro!W$186+Alejandro!W$187)=0,NA(),Alejandro!W185/(Alejandro!W$185+Alejandro!W$186+Alejandro!W$187))</f>
        <v>0.73015873015873012</v>
      </c>
      <c r="V64" s="100">
        <f>IF((Alejandro!X$185+Alejandro!X$186+Alejandro!X$187)=0,NA(),Alejandro!X185/(Alejandro!X$185+Alejandro!X$186+Alejandro!X$187))</f>
        <v>0.73051409618573793</v>
      </c>
    </row>
    <row r="65" spans="2:22" ht="15.75" customHeight="1" x14ac:dyDescent="0.2">
      <c r="B65" s="207"/>
      <c r="C65" s="88" t="s">
        <v>220</v>
      </c>
      <c r="D65" s="68">
        <f>Alejandro!F189/(Alejandro!$F$188+Alejandro!$F$189+Alejandro!$F$190)</f>
        <v>0.25602660016625106</v>
      </c>
      <c r="E65" s="69">
        <f>IF((Alejandro!G$185+Alejandro!G$186+Alejandro!G$187)=0,NA(),Alejandro!G186/(Alejandro!G$185+Alejandro!G$186+Alejandro!G$187))</f>
        <v>0.33333333333333331</v>
      </c>
      <c r="F65" s="69">
        <f>IF((Alejandro!H$185+Alejandro!H$186+Alejandro!H$187)=0,NA(),Alejandro!H186/(Alejandro!H$185+Alejandro!H$186+Alejandro!H$187))</f>
        <v>0.10810810810810811</v>
      </c>
      <c r="G65" s="69">
        <f>IF((Alejandro!I$185+Alejandro!I$186+Alejandro!I$187)=0,NA(),Alejandro!I186/(Alejandro!I$185+Alejandro!I$186+Alejandro!I$187))</f>
        <v>0.12643678160919541</v>
      </c>
      <c r="H65" s="69">
        <f>IF((Alejandro!J$185+Alejandro!J$186+Alejandro!J$187)=0,NA(),Alejandro!J186/(Alejandro!J$185+Alejandro!J$186+Alejandro!J$187))</f>
        <v>0.14788732394366197</v>
      </c>
      <c r="I65" s="69">
        <f>IF((Alejandro!K$185+Alejandro!K$186+Alejandro!K$187)=0,NA(),Alejandro!K186/(Alejandro!K$185+Alejandro!K$186+Alejandro!K$187))</f>
        <v>0.16431924882629109</v>
      </c>
      <c r="J65" s="69">
        <f>IF((Alejandro!L$185+Alejandro!L$186+Alejandro!L$187)=0,NA(),Alejandro!L186/(Alejandro!L$185+Alejandro!L$186+Alejandro!L$187))</f>
        <v>0.14285714285714285</v>
      </c>
      <c r="K65" s="69">
        <f>IF((Alejandro!M$185+Alejandro!M$186+Alejandro!M$187)=0,NA(),Alejandro!M186/(Alejandro!M$185+Alejandro!M$186+Alejandro!M$187))</f>
        <v>0.17910447761194029</v>
      </c>
      <c r="L65" s="69">
        <f>IF((Alejandro!N$185+Alejandro!N$186+Alejandro!N$187)=0,NA(),Alejandro!N186/(Alejandro!N$185+Alejandro!N$186+Alejandro!N$187))</f>
        <v>0.20297029702970298</v>
      </c>
      <c r="M65" s="69">
        <f>IF((Alejandro!O$185+Alejandro!O$186+Alejandro!O$187)=0,NA(),Alejandro!O186/(Alejandro!O$185+Alejandro!O$186+Alejandro!O$187))</f>
        <v>0.23306772908366533</v>
      </c>
      <c r="N65" s="69">
        <f>IF((Alejandro!P$185+Alejandro!P$186+Alejandro!P$187)=0,NA(),Alejandro!P186/(Alejandro!P$185+Alejandro!P$186+Alejandro!P$187))</f>
        <v>0.24052718286655683</v>
      </c>
      <c r="O65" s="69">
        <f>IF((Alejandro!Q$185+Alejandro!Q$186+Alejandro!Q$187)=0,NA(),Alejandro!Q186/(Alejandro!Q$185+Alejandro!Q$186+Alejandro!Q$187))</f>
        <v>0.25705794947994054</v>
      </c>
      <c r="P65" s="69">
        <f>IF((Alejandro!R$185+Alejandro!R$186+Alejandro!R$187)=0,NA(),Alejandro!R186/(Alejandro!R$185+Alejandro!R$186+Alejandro!R$187))</f>
        <v>0.25197889182058048</v>
      </c>
      <c r="Q65" s="69">
        <f>IF((Alejandro!S$185+Alejandro!S$186+Alejandro!S$187)=0,NA(),Alejandro!S186/(Alejandro!S$185+Alejandro!S$186+Alejandro!S$187))</f>
        <v>0.25326991676575505</v>
      </c>
      <c r="R65" s="69">
        <f>IF((Alejandro!T$185+Alejandro!T$186+Alejandro!T$187)=0,NA(),Alejandro!T186/(Alejandro!T$185+Alejandro!T$186+Alejandro!T$187))</f>
        <v>0.2583783783783784</v>
      </c>
      <c r="S65" s="69">
        <f>IF((Alejandro!U$185+Alejandro!U$186+Alejandro!U$187)=0,NA(),Alejandro!U186/(Alejandro!U$185+Alejandro!U$186+Alejandro!U$187))</f>
        <v>0.25523429710867396</v>
      </c>
      <c r="T65" s="69">
        <f>IF((Alejandro!V$185+Alejandro!V$186+Alejandro!V$187)=0,NA(),Alejandro!V186/(Alejandro!V$185+Alejandro!V$186+Alejandro!V$187))</f>
        <v>0.25946445060018469</v>
      </c>
      <c r="U65" s="69">
        <f>IF((Alejandro!W$185+Alejandro!W$186+Alejandro!W$187)=0,NA(),Alejandro!W186/(Alejandro!W$185+Alejandro!W$186+Alejandro!W$187))</f>
        <v>0.25837742504409172</v>
      </c>
      <c r="V65" s="70">
        <f>IF((Alejandro!X$185+Alejandro!X$186+Alejandro!X$187)=0,NA(),Alejandro!X186/(Alejandro!X$185+Alejandro!X$186+Alejandro!X$187))</f>
        <v>0.25621890547263682</v>
      </c>
    </row>
    <row r="66" spans="2:22" ht="15.75" customHeight="1" thickBot="1" x14ac:dyDescent="0.25">
      <c r="B66" s="208"/>
      <c r="C66" s="101" t="s">
        <v>0</v>
      </c>
      <c r="D66" s="102">
        <f>Alejandro!F190/(Alejandro!$F$188+Alejandro!$F$189+Alejandro!$F$190)</f>
        <v>1.2468827930174564E-2</v>
      </c>
      <c r="E66" s="103">
        <f>IF((Alejandro!G$185+Alejandro!G$186+Alejandro!G$187)=0,NA(),Alejandro!G187/(Alejandro!G$185+Alejandro!G$186+Alejandro!G$187))</f>
        <v>0.33333333333333331</v>
      </c>
      <c r="F66" s="103">
        <f>IF((Alejandro!H$185+Alejandro!H$186+Alejandro!H$187)=0,NA(),Alejandro!H187/(Alejandro!H$185+Alejandro!H$186+Alejandro!H$187))</f>
        <v>2.7027027027027029E-2</v>
      </c>
      <c r="G66" s="103">
        <f>IF((Alejandro!I$185+Alejandro!I$186+Alejandro!I$187)=0,NA(),Alejandro!I187/(Alejandro!I$185+Alejandro!I$186+Alejandro!I$187))</f>
        <v>1.1494252873563218E-2</v>
      </c>
      <c r="H66" s="103">
        <f>IF((Alejandro!J$185+Alejandro!J$186+Alejandro!J$187)=0,NA(),Alejandro!J187/(Alejandro!J$185+Alejandro!J$186+Alejandro!J$187))</f>
        <v>1.4084507042253521E-2</v>
      </c>
      <c r="I66" s="103">
        <f>IF((Alejandro!K$185+Alejandro!K$186+Alejandro!K$187)=0,NA(),Alejandro!K187/(Alejandro!K$185+Alejandro!K$186+Alejandro!K$187))</f>
        <v>9.3896713615023476E-3</v>
      </c>
      <c r="J66" s="103">
        <f>IF((Alejandro!L$185+Alejandro!L$186+Alejandro!L$187)=0,NA(),Alejandro!L187/(Alejandro!L$185+Alejandro!L$186+Alejandro!L$187))</f>
        <v>7.5187969924812026E-3</v>
      </c>
      <c r="K66" s="103">
        <f>IF((Alejandro!M$185+Alejandro!M$186+Alejandro!M$187)=0,NA(),Alejandro!M187/(Alejandro!M$185+Alejandro!M$186+Alejandro!M$187))</f>
        <v>8.9552238805970154E-3</v>
      </c>
      <c r="L66" s="103">
        <f>IF((Alejandro!N$185+Alejandro!N$186+Alejandro!N$187)=0,NA(),Alejandro!N187/(Alejandro!N$185+Alejandro!N$186+Alejandro!N$187))</f>
        <v>7.4257425742574254E-3</v>
      </c>
      <c r="M66" s="103">
        <f>IF((Alejandro!O$185+Alejandro!O$186+Alejandro!O$187)=0,NA(),Alejandro!O187/(Alejandro!O$185+Alejandro!O$186+Alejandro!O$187))</f>
        <v>9.9601593625498006E-3</v>
      </c>
      <c r="N66" s="103">
        <f>IF((Alejandro!P$185+Alejandro!P$186+Alejandro!P$187)=0,NA(),Alejandro!P187/(Alejandro!P$185+Alejandro!P$186+Alejandro!P$187))</f>
        <v>1.1532125205930808E-2</v>
      </c>
      <c r="O66" s="103">
        <f>IF((Alejandro!Q$185+Alejandro!Q$186+Alejandro!Q$187)=0,NA(),Alejandro!Q187/(Alejandro!Q$185+Alejandro!Q$186+Alejandro!Q$187))</f>
        <v>1.0401188707280832E-2</v>
      </c>
      <c r="P66" s="103">
        <f>IF((Alejandro!R$185+Alejandro!R$186+Alejandro!R$187)=0,NA(),Alejandro!R187/(Alejandro!R$185+Alejandro!R$186+Alejandro!R$187))</f>
        <v>1.0554089709762533E-2</v>
      </c>
      <c r="Q66" s="103">
        <f>IF((Alejandro!S$185+Alejandro!S$186+Alejandro!S$187)=0,NA(),Alejandro!S187/(Alejandro!S$185+Alejandro!S$186+Alejandro!S$187))</f>
        <v>1.070154577883472E-2</v>
      </c>
      <c r="R66" s="103">
        <f>IF((Alejandro!T$185+Alejandro!T$186+Alejandro!T$187)=0,NA(),Alejandro!T187/(Alejandro!T$185+Alejandro!T$186+Alejandro!T$187))</f>
        <v>1.0810810810810811E-2</v>
      </c>
      <c r="S66" s="103">
        <f>IF((Alejandro!U$185+Alejandro!U$186+Alejandro!U$187)=0,NA(),Alejandro!U187/(Alejandro!U$185+Alejandro!U$186+Alejandro!U$187))</f>
        <v>1.1964107676969093E-2</v>
      </c>
      <c r="T66" s="103">
        <f>IF((Alejandro!V$185+Alejandro!V$186+Alejandro!V$187)=0,NA(),Alejandro!V187/(Alejandro!V$185+Alejandro!V$186+Alejandro!V$187))</f>
        <v>1.2003693444136657E-2</v>
      </c>
      <c r="U66" s="103">
        <f>IF((Alejandro!W$185+Alejandro!W$186+Alejandro!W$187)=0,NA(),Alejandro!W187/(Alejandro!W$185+Alejandro!W$186+Alejandro!W$187))</f>
        <v>1.146384479717813E-2</v>
      </c>
      <c r="V66" s="104">
        <f>IF((Alejandro!X$185+Alejandro!X$186+Alejandro!X$187)=0,NA(),Alejandro!X187/(Alejandro!X$185+Alejandro!X$186+Alejandro!X$187))</f>
        <v>1.3266998341625208E-2</v>
      </c>
    </row>
    <row r="67" spans="2:22" ht="15.75" customHeight="1" x14ac:dyDescent="0.2">
      <c r="B67" s="209" t="s">
        <v>221</v>
      </c>
      <c r="C67" s="105" t="s">
        <v>223</v>
      </c>
      <c r="D67" s="106">
        <f>Alejandro!F197/(Alejandro!$F$197+Alejandro!$F$198+Alejandro!$F$199)</f>
        <v>0.46958330663374398</v>
      </c>
      <c r="E67" s="107">
        <f>IF((Alejandro!G$194+Alejandro!G$195+Alejandro!G$196)=0,NA(),Alejandro!G194/(Alejandro!G$194+Alejandro!G$195+Alejandro!G$196))</f>
        <v>0.33333333333333331</v>
      </c>
      <c r="F67" s="107">
        <f>IF((Alejandro!H$194+Alejandro!H$195+Alejandro!H$196)=0,NA(),Alejandro!H194/(Alejandro!H$194+Alejandro!H$195+Alejandro!H$196))</f>
        <v>0.40503983131265847</v>
      </c>
      <c r="G67" s="107">
        <f>IF((Alejandro!I$194+Alejandro!I$195+Alejandro!I$196)=0,NA(),Alejandro!I194/(Alejandro!I$194+Alejandro!I$195+Alejandro!I$196))</f>
        <v>0.43015166967204255</v>
      </c>
      <c r="H67" s="107">
        <f>IF((Alejandro!J$194+Alejandro!J$195+Alejandro!J$196)=0,NA(),Alejandro!J194/(Alejandro!J$194+Alejandro!J$195+Alejandro!J$196))</f>
        <v>0.45601461372724189</v>
      </c>
      <c r="I67" s="107">
        <f>IF((Alejandro!K$194+Alejandro!K$195+Alejandro!K$196)=0,NA(),Alejandro!K194/(Alejandro!K$194+Alejandro!K$195+Alejandro!K$196))</f>
        <v>0.43743908385396196</v>
      </c>
      <c r="J67" s="107">
        <f>IF((Alejandro!L$194+Alejandro!L$195+Alejandro!L$196)=0,NA(),Alejandro!L194/(Alejandro!L$194+Alejandro!L$195+Alejandro!L$196))</f>
        <v>0.44753213146822962</v>
      </c>
      <c r="K67" s="107">
        <f>IF((Alejandro!M$194+Alejandro!M$195+Alejandro!M$196)=0,NA(),Alejandro!M194/(Alejandro!M$194+Alejandro!M$195+Alejandro!M$196))</f>
        <v>0.46260993417138063</v>
      </c>
      <c r="L67" s="107">
        <f>IF((Alejandro!N$194+Alejandro!N$195+Alejandro!N$196)=0,NA(),Alejandro!N194/(Alejandro!N$194+Alejandro!N$195+Alejandro!N$196))</f>
        <v>0.45435912788249039</v>
      </c>
      <c r="M67" s="107">
        <f>IF((Alejandro!O$194+Alejandro!O$195+Alejandro!O$196)=0,NA(),Alejandro!O194/(Alejandro!O$194+Alejandro!O$195+Alejandro!O$196))</f>
        <v>0.45828957872920384</v>
      </c>
      <c r="N67" s="107">
        <f>IF((Alejandro!P$194+Alejandro!P$195+Alejandro!P$196)=0,NA(),Alejandro!P194/(Alejandro!P$194+Alejandro!P$195+Alejandro!P$196))</f>
        <v>0.47351264201655657</v>
      </c>
      <c r="O67" s="107">
        <f>IF((Alejandro!Q$194+Alejandro!Q$195+Alejandro!Q$196)=0,NA(),Alejandro!Q194/(Alejandro!Q$194+Alejandro!Q$195+Alejandro!Q$196))</f>
        <v>0.47681076511163306</v>
      </c>
      <c r="P67" s="107">
        <f>IF((Alejandro!R$194+Alejandro!R$195+Alejandro!R$196)=0,NA(),Alejandro!R194/(Alejandro!R$194+Alejandro!R$195+Alejandro!R$196))</f>
        <v>0.47762389838142499</v>
      </c>
      <c r="Q67" s="107">
        <f>IF((Alejandro!S$194+Alejandro!S$195+Alejandro!S$196)=0,NA(),Alejandro!S194/(Alejandro!S$194+Alejandro!S$195+Alejandro!S$196))</f>
        <v>0.4756605105079853</v>
      </c>
      <c r="R67" s="107">
        <f>IF((Alejandro!T$194+Alejandro!T$195+Alejandro!T$196)=0,NA(),Alejandro!T194/(Alejandro!T$194+Alejandro!T$195+Alejandro!T$196))</f>
        <v>0.48343491644139153</v>
      </c>
      <c r="S67" s="107">
        <f>IF((Alejandro!U$194+Alejandro!U$195+Alejandro!U$196)=0,NA(),Alejandro!U194/(Alejandro!U$194+Alejandro!U$195+Alejandro!U$196))</f>
        <v>0.47163694177007526</v>
      </c>
      <c r="T67" s="107">
        <f>IF((Alejandro!V$194+Alejandro!V$195+Alejandro!V$196)=0,NA(),Alejandro!V194/(Alejandro!V$194+Alejandro!V$195+Alejandro!V$196))</f>
        <v>0.46880979341484763</v>
      </c>
      <c r="U67" s="107">
        <f>IF((Alejandro!W$194+Alejandro!W$195+Alejandro!W$196)=0,NA(),Alejandro!W194/(Alejandro!W$194+Alejandro!W$195+Alejandro!W$196))</f>
        <v>0.46678398013074685</v>
      </c>
      <c r="V67" s="108">
        <f>IF((Alejandro!X$194+Alejandro!X$195+Alejandro!X$196)=0,NA(),Alejandro!X194/(Alejandro!X$194+Alejandro!X$195+Alejandro!X$196))</f>
        <v>0.46824059436526977</v>
      </c>
    </row>
    <row r="68" spans="2:22" ht="15.75" customHeight="1" x14ac:dyDescent="0.2">
      <c r="B68" s="210"/>
      <c r="C68" s="91" t="s">
        <v>224</v>
      </c>
      <c r="D68" s="80">
        <f>Alejandro!F198/(Alejandro!$F$197+Alejandro!$F$198+Alejandro!$F$199)</f>
        <v>0.50371364066147517</v>
      </c>
      <c r="E68" s="81">
        <f>IF((Alejandro!G$194+Alejandro!G$195+Alejandro!G$196)=0,NA(),Alejandro!G195/(Alejandro!G$194+Alejandro!G$195+Alejandro!G$196))</f>
        <v>0.33333333333333331</v>
      </c>
      <c r="F68" s="81">
        <f>IF((Alejandro!H$194+Alejandro!H$195+Alejandro!H$196)=0,NA(),Alejandro!H195/(Alejandro!H$194+Alejandro!H$195+Alejandro!H$196))</f>
        <v>0.51764136592246057</v>
      </c>
      <c r="G68" s="81">
        <f>IF((Alejandro!I$194+Alejandro!I$195+Alejandro!I$196)=0,NA(),Alejandro!I195/(Alejandro!I$194+Alejandro!I$195+Alejandro!I$196))</f>
        <v>0.52874466259158492</v>
      </c>
      <c r="H68" s="81">
        <f>IF((Alejandro!J$194+Alejandro!J$195+Alejandro!J$196)=0,NA(),Alejandro!J195/(Alejandro!J$194+Alejandro!J$195+Alejandro!J$196))</f>
        <v>0.48156539120861214</v>
      </c>
      <c r="I68" s="81">
        <f>IF((Alejandro!K$194+Alejandro!K$195+Alejandro!K$196)=0,NA(),Alejandro!K195/(Alejandro!K$194+Alejandro!K$195+Alejandro!K$196))</f>
        <v>0.51705652089065068</v>
      </c>
      <c r="J68" s="81">
        <f>IF((Alejandro!L$194+Alejandro!L$195+Alejandro!L$196)=0,NA(),Alejandro!L195/(Alejandro!L$194+Alejandro!L$195+Alejandro!L$196))</f>
        <v>0.51468994351387554</v>
      </c>
      <c r="K68" s="81">
        <f>IF((Alejandro!M$194+Alejandro!M$195+Alejandro!M$196)=0,NA(),Alejandro!M195/(Alejandro!M$194+Alejandro!M$195+Alejandro!M$196))</f>
        <v>0.50375373039543092</v>
      </c>
      <c r="L68" s="81">
        <f>IF((Alejandro!N$194+Alejandro!N$195+Alejandro!N$196)=0,NA(),Alejandro!N195/(Alejandro!N$194+Alejandro!N$195+Alejandro!N$196))</f>
        <v>0.5177790401352188</v>
      </c>
      <c r="M68" s="81">
        <f>IF((Alejandro!O$194+Alejandro!O$195+Alejandro!O$196)=0,NA(),Alejandro!O195/(Alejandro!O$194+Alejandro!O$195+Alejandro!O$196))</f>
        <v>0.51559393007109922</v>
      </c>
      <c r="N68" s="81">
        <f>IF((Alejandro!P$194+Alejandro!P$195+Alejandro!P$196)=0,NA(),Alejandro!P195/(Alejandro!P$194+Alejandro!P$195+Alejandro!P$196))</f>
        <v>0.50281826207409819</v>
      </c>
      <c r="O68" s="81">
        <f>IF((Alejandro!Q$194+Alejandro!Q$195+Alejandro!Q$196)=0,NA(),Alejandro!Q195/(Alejandro!Q$194+Alejandro!Q$195+Alejandro!Q$196))</f>
        <v>0.49711997226645033</v>
      </c>
      <c r="P68" s="81">
        <f>IF((Alejandro!R$194+Alejandro!R$195+Alejandro!R$196)=0,NA(),Alejandro!R195/(Alejandro!R$194+Alejandro!R$195+Alejandro!R$196))</f>
        <v>0.49922545803009266</v>
      </c>
      <c r="Q68" s="81">
        <f>IF((Alejandro!S$194+Alejandro!S$195+Alejandro!S$196)=0,NA(),Alejandro!S195/(Alejandro!S$194+Alejandro!S$195+Alejandro!S$196))</f>
        <v>0.4957213082453677</v>
      </c>
      <c r="R68" s="81">
        <f>IF((Alejandro!T$194+Alejandro!T$195+Alejandro!T$196)=0,NA(),Alejandro!T195/(Alejandro!T$194+Alejandro!T$195+Alejandro!T$196))</f>
        <v>0.48829890713160601</v>
      </c>
      <c r="S68" s="81">
        <f>IF((Alejandro!U$194+Alejandro!U$195+Alejandro!U$196)=0,NA(),Alejandro!U195/(Alejandro!U$194+Alejandro!U$195+Alejandro!U$196))</f>
        <v>0.50108526032091061</v>
      </c>
      <c r="T68" s="81">
        <f>IF((Alejandro!V$194+Alejandro!V$195+Alejandro!V$196)=0,NA(),Alejandro!V195/(Alejandro!V$194+Alejandro!V$195+Alejandro!V$196))</f>
        <v>0.50237131692216463</v>
      </c>
      <c r="U68" s="81">
        <f>IF((Alejandro!W$194+Alejandro!W$195+Alejandro!W$196)=0,NA(),Alejandro!W195/(Alejandro!W$194+Alejandro!W$195+Alejandro!W$196))</f>
        <v>0.50285728077618908</v>
      </c>
      <c r="V68" s="82">
        <f>IF((Alejandro!X$194+Alejandro!X$195+Alejandro!X$196)=0,NA(),Alejandro!X195/(Alejandro!X$194+Alejandro!X$195+Alejandro!X$196))</f>
        <v>0.502034581771302</v>
      </c>
    </row>
    <row r="69" spans="2:22" ht="15.75" customHeight="1" thickBot="1" x14ac:dyDescent="0.25">
      <c r="B69" s="211"/>
      <c r="C69" s="93" t="s">
        <v>0</v>
      </c>
      <c r="D69" s="94">
        <f>Alejandro!F199/(Alejandro!$F$197+Alejandro!$F$198+Alejandro!$F$199)</f>
        <v>2.6703052704780753E-2</v>
      </c>
      <c r="E69" s="95">
        <f>IF((Alejandro!G$194+Alejandro!G$195+Alejandro!G$196)=0,NA(),Alejandro!G196/(Alejandro!G$194+Alejandro!G$195+Alejandro!G$196))</f>
        <v>0.33333333333333331</v>
      </c>
      <c r="F69" s="95">
        <f>IF((Alejandro!H$194+Alejandro!H$195+Alejandro!H$196)=0,NA(),Alejandro!H196/(Alejandro!H$194+Alejandro!H$195+Alejandro!H$196))</f>
        <v>7.7318802764880942E-2</v>
      </c>
      <c r="G69" s="95">
        <f>IF((Alejandro!I$194+Alejandro!I$195+Alejandro!I$196)=0,NA(),Alejandro!I196/(Alejandro!I$194+Alejandro!I$195+Alejandro!I$196))</f>
        <v>4.1103667736372466E-2</v>
      </c>
      <c r="H69" s="95">
        <f>IF((Alejandro!J$194+Alejandro!J$195+Alejandro!J$196)=0,NA(),Alejandro!J196/(Alejandro!J$194+Alejandro!J$195+Alejandro!J$196))</f>
        <v>6.2419995064145944E-2</v>
      </c>
      <c r="I69" s="95">
        <f>IF((Alejandro!K$194+Alejandro!K$195+Alejandro!K$196)=0,NA(),Alejandro!K196/(Alejandro!K$194+Alejandro!K$195+Alejandro!K$196))</f>
        <v>4.5504395255387263E-2</v>
      </c>
      <c r="J69" s="95">
        <f>IF((Alejandro!L$194+Alejandro!L$195+Alejandro!L$196)=0,NA(),Alejandro!L196/(Alejandro!L$194+Alejandro!L$195+Alejandro!L$196))</f>
        <v>3.7777925017894773E-2</v>
      </c>
      <c r="K69" s="95">
        <f>IF((Alejandro!M$194+Alejandro!M$195+Alejandro!M$196)=0,NA(),Alejandro!M196/(Alejandro!M$194+Alejandro!M$195+Alejandro!M$196))</f>
        <v>3.3636335433188301E-2</v>
      </c>
      <c r="L69" s="95">
        <f>IF((Alejandro!N$194+Alejandro!N$195+Alejandro!N$196)=0,NA(),Alejandro!N196/(Alejandro!N$194+Alejandro!N$195+Alejandro!N$196))</f>
        <v>2.7861831982290627E-2</v>
      </c>
      <c r="M69" s="95">
        <f>IF((Alejandro!O$194+Alejandro!O$195+Alejandro!O$196)=0,NA(),Alejandro!O196/(Alejandro!O$194+Alejandro!O$195+Alejandro!O$196))</f>
        <v>2.6116491199696983E-2</v>
      </c>
      <c r="N69" s="95">
        <f>IF((Alejandro!P$194+Alejandro!P$195+Alejandro!P$196)=0,NA(),Alejandro!P196/(Alejandro!P$194+Alejandro!P$195+Alejandro!P$196))</f>
        <v>2.3669095909345229E-2</v>
      </c>
      <c r="O69" s="95">
        <f>IF((Alejandro!Q$194+Alejandro!Q$195+Alejandro!Q$196)=0,NA(),Alejandro!Q196/(Alejandro!Q$194+Alejandro!Q$195+Alejandro!Q$196))</f>
        <v>2.6069262621916625E-2</v>
      </c>
      <c r="P69" s="95">
        <f>IF((Alejandro!R$194+Alejandro!R$195+Alejandro!R$196)=0,NA(),Alejandro!R196/(Alejandro!R$194+Alejandro!R$195+Alejandro!R$196))</f>
        <v>2.3150643588482206E-2</v>
      </c>
      <c r="Q69" s="95">
        <f>IF((Alejandro!S$194+Alejandro!S$195+Alejandro!S$196)=0,NA(),Alejandro!S196/(Alejandro!S$194+Alejandro!S$195+Alejandro!S$196))</f>
        <v>2.8618181246646977E-2</v>
      </c>
      <c r="R69" s="95">
        <f>IF((Alejandro!T$194+Alejandro!T$195+Alejandro!T$196)=0,NA(),Alejandro!T196/(Alejandro!T$194+Alejandro!T$195+Alejandro!T$196))</f>
        <v>2.8266176427002458E-2</v>
      </c>
      <c r="S69" s="95">
        <f>IF((Alejandro!U$194+Alejandro!U$195+Alejandro!U$196)=0,NA(),Alejandro!U196/(Alejandro!U$194+Alejandro!U$195+Alejandro!U$196))</f>
        <v>2.727779790901403E-2</v>
      </c>
      <c r="T69" s="95">
        <f>IF((Alejandro!V$194+Alejandro!V$195+Alejandro!V$196)=0,NA(),Alejandro!V196/(Alejandro!V$194+Alejandro!V$195+Alejandro!V$196))</f>
        <v>2.8818889662987773E-2</v>
      </c>
      <c r="U69" s="95">
        <f>IF((Alejandro!W$194+Alejandro!W$195+Alejandro!W$196)=0,NA(),Alejandro!W196/(Alejandro!W$194+Alejandro!W$195+Alejandro!W$196))</f>
        <v>3.0358739093063941E-2</v>
      </c>
      <c r="V69" s="96">
        <f>IF((Alejandro!X$194+Alejandro!X$195+Alejandro!X$196)=0,NA(),Alejandro!X196/(Alejandro!X$194+Alejandro!X$195+Alejandro!X$196))</f>
        <v>2.9724823863428156E-2</v>
      </c>
    </row>
    <row r="70" spans="2:22" ht="15.75" customHeight="1" x14ac:dyDescent="0.2">
      <c r="B70" s="206" t="s">
        <v>121</v>
      </c>
      <c r="C70" s="97" t="s">
        <v>122</v>
      </c>
      <c r="D70" s="98">
        <f>Alejandro!F206/(Alejandro!$F$206+Alejandro!$F$207+Alejandro!$F$208)</f>
        <v>0.42430997243284935</v>
      </c>
      <c r="E70" s="99">
        <f>IF((Alejandro!G$203+Alejandro!G$204+Alejandro!G$205)=0,NA(),Alejandro!G203/(Alejandro!G$203+Alejandro!G$204+Alejandro!G$205))</f>
        <v>0.46850094315238516</v>
      </c>
      <c r="F70" s="99">
        <f>IF((Alejandro!H$203+Alejandro!H$204+Alejandro!H$205)=0,NA(),Alejandro!H203/(Alejandro!H$203+Alejandro!H$204+Alejandro!H$205))</f>
        <v>0.42846427735655401</v>
      </c>
      <c r="G70" s="99">
        <f>IF((Alejandro!I$203+Alejandro!I$204+Alejandro!I$205)=0,NA(),Alejandro!I203/(Alejandro!I$203+Alejandro!I$204+Alejandro!I$205))</f>
        <v>0.43391227425338857</v>
      </c>
      <c r="H70" s="99">
        <f>IF((Alejandro!J$203+Alejandro!J$204+Alejandro!J$205)=0,NA(),Alejandro!J203/(Alejandro!J$203+Alejandro!J$204+Alejandro!J$205))</f>
        <v>0.44364304527880466</v>
      </c>
      <c r="I70" s="99">
        <f>IF((Alejandro!K$203+Alejandro!K$204+Alejandro!K$205)=0,NA(),Alejandro!K203/(Alejandro!K$203+Alejandro!K$204+Alejandro!K$205))</f>
        <v>0.45040689898769931</v>
      </c>
      <c r="J70" s="99">
        <f>IF((Alejandro!L$203+Alejandro!L$204+Alejandro!L$205)=0,NA(),Alejandro!L203/(Alejandro!L$203+Alejandro!L$204+Alejandro!L$205))</f>
        <v>0.45439389574825934</v>
      </c>
      <c r="K70" s="99">
        <f>IF((Alejandro!M$203+Alejandro!M$204+Alejandro!M$205)=0,NA(),Alejandro!M203/(Alejandro!M$203+Alejandro!M$204+Alejandro!M$205))</f>
        <v>0.44818335005134635</v>
      </c>
      <c r="L70" s="99">
        <f>IF((Alejandro!N$203+Alejandro!N$204+Alejandro!N$205)=0,NA(),Alejandro!N203/(Alejandro!N$203+Alejandro!N$204+Alejandro!N$205))</f>
        <v>0.43293309705012956</v>
      </c>
      <c r="M70" s="99">
        <f>IF((Alejandro!O$203+Alejandro!O$204+Alejandro!O$205)=0,NA(),Alejandro!O203/(Alejandro!O$203+Alejandro!O$204+Alejandro!O$205))</f>
        <v>0.42759375011094042</v>
      </c>
      <c r="N70" s="99">
        <f>IF((Alejandro!P$203+Alejandro!P$204+Alejandro!P$205)=0,NA(),Alejandro!P203/(Alejandro!P$203+Alejandro!P$204+Alejandro!P$205))</f>
        <v>0.42558825555506913</v>
      </c>
      <c r="O70" s="99">
        <f>IF((Alejandro!Q$203+Alejandro!Q$204+Alejandro!Q$205)=0,NA(),Alejandro!Q203/(Alejandro!Q$203+Alejandro!Q$204+Alejandro!Q$205))</f>
        <v>0.422918766470469</v>
      </c>
      <c r="P70" s="99">
        <f>IF((Alejandro!R$203+Alejandro!R$204+Alejandro!R$205)=0,NA(),Alejandro!R203/(Alejandro!R$203+Alejandro!R$204+Alejandro!R$205))</f>
        <v>0.41694761889832932</v>
      </c>
      <c r="Q70" s="99">
        <f>IF((Alejandro!S$203+Alejandro!S$204+Alejandro!S$205)=0,NA(),Alejandro!S203/(Alejandro!S$203+Alejandro!S$204+Alejandro!S$205))</f>
        <v>0.41444645768803851</v>
      </c>
      <c r="R70" s="99">
        <f>IF((Alejandro!T$203+Alejandro!T$204+Alejandro!T$205)=0,NA(),Alejandro!T203/(Alejandro!T$203+Alejandro!T$204+Alejandro!T$205))</f>
        <v>0.41461092627497792</v>
      </c>
      <c r="S70" s="99">
        <f>IF((Alejandro!U$203+Alejandro!U$204+Alejandro!U$205)=0,NA(),Alejandro!U203/(Alejandro!U$203+Alejandro!U$204+Alejandro!U$205))</f>
        <v>0.41788761108090705</v>
      </c>
      <c r="T70" s="99">
        <f>IF((Alejandro!V$203+Alejandro!V$204+Alejandro!V$205)=0,NA(),Alejandro!V203/(Alejandro!V$203+Alejandro!V$204+Alejandro!V$205))</f>
        <v>0.41934731903187489</v>
      </c>
      <c r="U70" s="99">
        <f>IF((Alejandro!W$203+Alejandro!W$204+Alejandro!W$205)=0,NA(),Alejandro!W203/(Alejandro!W$203+Alejandro!W$204+Alejandro!W$205))</f>
        <v>0.42514860713747893</v>
      </c>
      <c r="V70" s="100">
        <f>IF((Alejandro!X$203+Alejandro!X$204+Alejandro!X$205)=0,NA(),Alejandro!X203/(Alejandro!X$203+Alejandro!X$204+Alejandro!X$205))</f>
        <v>0.42430997243284935</v>
      </c>
    </row>
    <row r="71" spans="2:22" ht="15.75" customHeight="1" x14ac:dyDescent="0.2">
      <c r="B71" s="207"/>
      <c r="C71" s="88" t="s">
        <v>123</v>
      </c>
      <c r="D71" s="68">
        <f>Alejandro!F207/(Alejandro!$F$206+Alejandro!$F$207+Alejandro!$F$208)</f>
        <v>0.56394773339133308</v>
      </c>
      <c r="E71" s="69">
        <f>IF((Alejandro!G$203+Alejandro!G$204+Alejandro!G$205)=0,NA(),Alejandro!G204/(Alejandro!G$203+Alejandro!G$204+Alejandro!G$205))</f>
        <v>0.52175198594065753</v>
      </c>
      <c r="F71" s="69">
        <f>IF((Alejandro!H$203+Alejandro!H$204+Alejandro!H$205)=0,NA(),Alejandro!H204/(Alejandro!H$203+Alejandro!H$204+Alejandro!H$205))</f>
        <v>0.56356229856705675</v>
      </c>
      <c r="G71" s="69">
        <f>IF((Alejandro!I$203+Alejandro!I$204+Alejandro!I$205)=0,NA(),Alejandro!I204/(Alejandro!I$203+Alejandro!I$204+Alejandro!I$205))</f>
        <v>0.55397796690196721</v>
      </c>
      <c r="H71" s="69">
        <f>IF((Alejandro!J$203+Alejandro!J$204+Alejandro!J$205)=0,NA(),Alejandro!J204/(Alejandro!J$203+Alejandro!J$204+Alejandro!J$205))</f>
        <v>0.54519159380849669</v>
      </c>
      <c r="I71" s="69">
        <f>IF((Alejandro!K$203+Alejandro!K$204+Alejandro!K$205)=0,NA(),Alejandro!K204/(Alejandro!K$203+Alejandro!K$204+Alejandro!K$205))</f>
        <v>0.5381997574026729</v>
      </c>
      <c r="J71" s="69">
        <f>IF((Alejandro!L$203+Alejandro!L$204+Alejandro!L$205)=0,NA(),Alejandro!L204/(Alejandro!L$203+Alejandro!L$204+Alejandro!L$205))</f>
        <v>0.5344259048195078</v>
      </c>
      <c r="K71" s="69">
        <f>IF((Alejandro!M$203+Alejandro!M$204+Alejandro!M$205)=0,NA(),Alejandro!M204/(Alejandro!M$203+Alejandro!M$204+Alejandro!M$205))</f>
        <v>0.54183162581830013</v>
      </c>
      <c r="L71" s="69">
        <f>IF((Alejandro!N$203+Alejandro!N$204+Alejandro!N$205)=0,NA(),Alejandro!N204/(Alejandro!N$203+Alejandro!N$204+Alejandro!N$205))</f>
        <v>0.55280152820789552</v>
      </c>
      <c r="M71" s="69">
        <f>IF((Alejandro!O$203+Alejandro!O$204+Alejandro!O$205)=0,NA(),Alejandro!O204/(Alejandro!O$203+Alejandro!O$204+Alejandro!O$205))</f>
        <v>0.5593761458519203</v>
      </c>
      <c r="N71" s="69">
        <f>IF((Alejandro!P$203+Alejandro!P$204+Alejandro!P$205)=0,NA(),Alejandro!P204/(Alejandro!P$203+Alejandro!P$204+Alejandro!P$205))</f>
        <v>0.56164956794898557</v>
      </c>
      <c r="O71" s="69">
        <f>IF((Alejandro!Q$203+Alejandro!Q$204+Alejandro!Q$205)=0,NA(),Alejandro!Q204/(Alejandro!Q$203+Alejandro!Q$204+Alejandro!Q$205))</f>
        <v>0.56403925540975197</v>
      </c>
      <c r="P71" s="69">
        <f>IF((Alejandro!R$203+Alejandro!R$204+Alejandro!R$205)=0,NA(),Alejandro!R204/(Alejandro!R$203+Alejandro!R$204+Alejandro!R$205))</f>
        <v>0.56932756573202004</v>
      </c>
      <c r="Q71" s="69">
        <f>IF((Alejandro!S$203+Alejandro!S$204+Alejandro!S$205)=0,NA(),Alejandro!S204/(Alejandro!S$203+Alejandro!S$204+Alejandro!S$205))</f>
        <v>0.57246702531307514</v>
      </c>
      <c r="R71" s="69">
        <f>IF((Alejandro!T$203+Alejandro!T$204+Alejandro!T$205)=0,NA(),Alejandro!T204/(Alejandro!T$203+Alejandro!T$204+Alejandro!T$205))</f>
        <v>0.57176841659920252</v>
      </c>
      <c r="S71" s="69">
        <f>IF((Alejandro!U$203+Alejandro!U$204+Alejandro!U$205)=0,NA(),Alejandro!U204/(Alejandro!U$203+Alejandro!U$204+Alejandro!U$205))</f>
        <v>0.56918211608937153</v>
      </c>
      <c r="T71" s="69">
        <f>IF((Alejandro!V$203+Alejandro!V$204+Alejandro!V$205)=0,NA(),Alejandro!V204/(Alejandro!V$203+Alejandro!V$204+Alejandro!V$205))</f>
        <v>0.5682078545101622</v>
      </c>
      <c r="U71" s="69">
        <f>IF((Alejandro!W$203+Alejandro!W$204+Alejandro!W$205)=0,NA(),Alejandro!W204/(Alejandro!W$203+Alejandro!W$204+Alejandro!W$205))</f>
        <v>0.56282861954655494</v>
      </c>
      <c r="V71" s="70">
        <f>IF((Alejandro!X$203+Alejandro!X$204+Alejandro!X$205)=0,NA(),Alejandro!X204/(Alejandro!X$203+Alejandro!X$204+Alejandro!X$205))</f>
        <v>0.56394773339133308</v>
      </c>
    </row>
    <row r="72" spans="2:22" ht="15.75" customHeight="1" thickBot="1" x14ac:dyDescent="0.25">
      <c r="B72" s="208"/>
      <c r="C72" s="101" t="s">
        <v>0</v>
      </c>
      <c r="D72" s="102">
        <f>Alejandro!F208/(Alejandro!$F$206+Alejandro!$F$207+Alejandro!$F$208)</f>
        <v>1.1742294175817618E-2</v>
      </c>
      <c r="E72" s="103">
        <f>IF((Alejandro!G$203+Alejandro!G$204+Alejandro!G$205)=0,NA(),Alejandro!G205/(Alejandro!G$203+Alejandro!G$204+Alejandro!G$205))</f>
        <v>9.7470709069572906E-3</v>
      </c>
      <c r="F72" s="103">
        <f>IF((Alejandro!H$203+Alejandro!H$204+Alejandro!H$205)=0,NA(),Alejandro!H205/(Alejandro!H$203+Alejandro!H$204+Alejandro!H$205))</f>
        <v>7.9734240763893356E-3</v>
      </c>
      <c r="G72" s="103">
        <f>IF((Alejandro!I$203+Alejandro!I$204+Alejandro!I$205)=0,NA(),Alejandro!I205/(Alejandro!I$203+Alejandro!I$204+Alejandro!I$205))</f>
        <v>1.2109758844644257E-2</v>
      </c>
      <c r="H72" s="103">
        <f>IF((Alejandro!J$203+Alejandro!J$204+Alejandro!J$205)=0,NA(),Alejandro!J205/(Alejandro!J$203+Alejandro!J$204+Alejandro!J$205))</f>
        <v>1.1165360912698659E-2</v>
      </c>
      <c r="I72" s="103">
        <f>IF((Alejandro!K$203+Alejandro!K$204+Alejandro!K$205)=0,NA(),Alejandro!K205/(Alejandro!K$203+Alejandro!K$204+Alejandro!K$205))</f>
        <v>1.1393343609627836E-2</v>
      </c>
      <c r="J72" s="103">
        <f>IF((Alejandro!L$203+Alejandro!L$204+Alejandro!L$205)=0,NA(),Alejandro!L205/(Alejandro!L$203+Alejandro!L$204+Alejandro!L$205))</f>
        <v>1.1180199432232868E-2</v>
      </c>
      <c r="K72" s="103">
        <f>IF((Alejandro!M$203+Alejandro!M$204+Alejandro!M$205)=0,NA(),Alejandro!M205/(Alejandro!M$203+Alejandro!M$204+Alejandro!M$205))</f>
        <v>9.9850241303534159E-3</v>
      </c>
      <c r="L72" s="103">
        <f>IF((Alejandro!N$203+Alejandro!N$204+Alejandro!N$205)=0,NA(),Alejandro!N205/(Alejandro!N$203+Alejandro!N$204+Alejandro!N$205))</f>
        <v>1.4265374741974847E-2</v>
      </c>
      <c r="M72" s="103">
        <f>IF((Alejandro!O$203+Alejandro!O$204+Alejandro!O$205)=0,NA(),Alejandro!O205/(Alejandro!O$203+Alejandro!O$204+Alejandro!O$205))</f>
        <v>1.3030104037139093E-2</v>
      </c>
      <c r="N72" s="103">
        <f>IF((Alejandro!P$203+Alejandro!P$204+Alejandro!P$205)=0,NA(),Alejandro!P205/(Alejandro!P$203+Alejandro!P$204+Alejandro!P$205))</f>
        <v>1.2762176495945301E-2</v>
      </c>
      <c r="O72" s="103">
        <f>IF((Alejandro!Q$203+Alejandro!Q$204+Alejandro!Q$205)=0,NA(),Alejandro!Q205/(Alejandro!Q$203+Alejandro!Q$204+Alejandro!Q$205))</f>
        <v>1.3041978119778965E-2</v>
      </c>
      <c r="P72" s="103">
        <f>IF((Alejandro!R$203+Alejandro!R$204+Alejandro!R$205)=0,NA(),Alejandro!R205/(Alejandro!R$203+Alejandro!R$204+Alejandro!R$205))</f>
        <v>1.3724815369650761E-2</v>
      </c>
      <c r="Q72" s="103">
        <f>IF((Alejandro!S$203+Alejandro!S$204+Alejandro!S$205)=0,NA(),Alejandro!S205/(Alejandro!S$203+Alejandro!S$204+Alejandro!S$205))</f>
        <v>1.3086516998886365E-2</v>
      </c>
      <c r="R72" s="103">
        <f>IF((Alejandro!T$203+Alejandro!T$204+Alejandro!T$205)=0,NA(),Alejandro!T205/(Alejandro!T$203+Alejandro!T$204+Alejandro!T$205))</f>
        <v>1.3620657125819679E-2</v>
      </c>
      <c r="S72" s="103">
        <f>IF((Alejandro!U$203+Alejandro!U$204+Alejandro!U$205)=0,NA(),Alejandro!U205/(Alejandro!U$203+Alejandro!U$204+Alejandro!U$205))</f>
        <v>1.2930272829721531E-2</v>
      </c>
      <c r="T72" s="103">
        <f>IF((Alejandro!V$203+Alejandro!V$204+Alejandro!V$205)=0,NA(),Alejandro!V205/(Alejandro!V$203+Alejandro!V$204+Alejandro!V$205))</f>
        <v>1.2444826457962939E-2</v>
      </c>
      <c r="U72" s="103">
        <f>IF((Alejandro!W$203+Alejandro!W$204+Alejandro!W$205)=0,NA(),Alejandro!W205/(Alejandro!W$203+Alejandro!W$204+Alejandro!W$205))</f>
        <v>1.202277331596617E-2</v>
      </c>
      <c r="V72" s="104">
        <f>IF((Alejandro!X$203+Alejandro!X$204+Alejandro!X$205)=0,NA(),Alejandro!X205/(Alejandro!X$203+Alejandro!X$204+Alejandro!X$205))</f>
        <v>1.1742294175817618E-2</v>
      </c>
    </row>
  </sheetData>
  <mergeCells count="23">
    <mergeCell ref="B18:B20"/>
    <mergeCell ref="B3:B5"/>
    <mergeCell ref="B6:B8"/>
    <mergeCell ref="B9:B11"/>
    <mergeCell ref="B12:B14"/>
    <mergeCell ref="B15:B17"/>
    <mergeCell ref="B55:B57"/>
    <mergeCell ref="B21:B23"/>
    <mergeCell ref="B24:B26"/>
    <mergeCell ref="B27:B29"/>
    <mergeCell ref="B30:B32"/>
    <mergeCell ref="B33:B35"/>
    <mergeCell ref="B36:B38"/>
    <mergeCell ref="B39:B41"/>
    <mergeCell ref="B42:B44"/>
    <mergeCell ref="B45:B48"/>
    <mergeCell ref="B49:B51"/>
    <mergeCell ref="B52:B54"/>
    <mergeCell ref="B58:B60"/>
    <mergeCell ref="B61:B63"/>
    <mergeCell ref="B64:B66"/>
    <mergeCell ref="B67:B69"/>
    <mergeCell ref="B70:B7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X212"/>
  <sheetViews>
    <sheetView tabSelected="1" zoomScale="90" zoomScaleNormal="90" workbookViewId="0">
      <pane ySplit="1" topLeftCell="A104" activePane="bottomLeft" state="frozen"/>
      <selection pane="bottomLeft" activeCell="F116" sqref="F116:F118"/>
    </sheetView>
  </sheetViews>
  <sheetFormatPr baseColWidth="10" defaultRowHeight="15.75" customHeight="1" x14ac:dyDescent="0.2"/>
  <cols>
    <col min="1" max="1" width="2" style="51" customWidth="1"/>
    <col min="2" max="2" width="6.42578125" style="110" customWidth="1"/>
    <col min="3" max="3" width="16.5703125" style="51" customWidth="1"/>
    <col min="4" max="4" width="23.28515625" style="51" customWidth="1"/>
    <col min="5" max="5" width="10.7109375" style="51" customWidth="1"/>
    <col min="6" max="6" width="7.7109375" style="51" customWidth="1"/>
    <col min="7" max="10" width="7" style="51" bestFit="1" customWidth="1"/>
    <col min="11" max="11" width="7" style="51" customWidth="1"/>
    <col min="12" max="17" width="7" style="51" bestFit="1" customWidth="1"/>
    <col min="18" max="24" width="7.85546875" style="51" bestFit="1" customWidth="1"/>
    <col min="25" max="25" width="6.140625" style="51" customWidth="1"/>
    <col min="26" max="16384" width="11.42578125" style="51"/>
  </cols>
  <sheetData>
    <row r="1" spans="2:24" s="52" customFormat="1" ht="15.75" customHeight="1" thickBot="1" x14ac:dyDescent="0.25">
      <c r="B1" s="110"/>
      <c r="C1" s="111" t="s">
        <v>230</v>
      </c>
      <c r="D1" s="112" t="s">
        <v>1</v>
      </c>
      <c r="E1" s="113" t="s">
        <v>112</v>
      </c>
      <c r="F1" s="114" t="s">
        <v>229</v>
      </c>
      <c r="G1" s="115">
        <v>1</v>
      </c>
      <c r="H1" s="115">
        <v>2</v>
      </c>
      <c r="I1" s="115">
        <v>3</v>
      </c>
      <c r="J1" s="115">
        <v>4</v>
      </c>
      <c r="K1" s="115">
        <v>5</v>
      </c>
      <c r="L1" s="115">
        <v>6</v>
      </c>
      <c r="M1" s="115">
        <v>7</v>
      </c>
      <c r="N1" s="115">
        <v>8</v>
      </c>
      <c r="O1" s="115">
        <v>9</v>
      </c>
      <c r="P1" s="115">
        <v>10</v>
      </c>
      <c r="Q1" s="115">
        <v>11</v>
      </c>
      <c r="R1" s="115">
        <v>12</v>
      </c>
      <c r="S1" s="115">
        <v>13</v>
      </c>
      <c r="T1" s="115">
        <v>14</v>
      </c>
      <c r="U1" s="115">
        <v>15</v>
      </c>
      <c r="V1" s="115">
        <v>16</v>
      </c>
      <c r="W1" s="115">
        <v>17</v>
      </c>
      <c r="X1" s="116">
        <v>18</v>
      </c>
    </row>
    <row r="2" spans="2:24" ht="15.75" customHeight="1" x14ac:dyDescent="0.2">
      <c r="B2" s="222" t="s">
        <v>120</v>
      </c>
      <c r="C2" s="230" t="s">
        <v>231</v>
      </c>
      <c r="D2" s="128" t="s">
        <v>169</v>
      </c>
      <c r="E2" s="129"/>
      <c r="F2" s="130"/>
      <c r="G2" s="130">
        <f>IF(SUM(G5:G7)=0,1,G5)</f>
        <v>4</v>
      </c>
      <c r="H2" s="130">
        <f t="shared" ref="H2:X2" si="0">IF(SUM(H5:H7)=0,0,G2+H5)</f>
        <v>30</v>
      </c>
      <c r="I2" s="130">
        <f t="shared" si="0"/>
        <v>58</v>
      </c>
      <c r="J2" s="130">
        <f t="shared" si="0"/>
        <v>74</v>
      </c>
      <c r="K2" s="130">
        <f t="shared" si="0"/>
        <v>88</v>
      </c>
      <c r="L2" s="130">
        <f t="shared" si="0"/>
        <v>105</v>
      </c>
      <c r="M2" s="130">
        <f t="shared" si="0"/>
        <v>126</v>
      </c>
      <c r="N2" s="130">
        <f t="shared" si="0"/>
        <v>145</v>
      </c>
      <c r="O2" s="130">
        <f t="shared" si="0"/>
        <v>158</v>
      </c>
      <c r="P2" s="130">
        <f t="shared" si="0"/>
        <v>173</v>
      </c>
      <c r="Q2" s="130">
        <f t="shared" si="0"/>
        <v>180</v>
      </c>
      <c r="R2" s="130">
        <f t="shared" si="0"/>
        <v>191</v>
      </c>
      <c r="S2" s="130">
        <f t="shared" si="0"/>
        <v>198</v>
      </c>
      <c r="T2" s="130">
        <f t="shared" si="0"/>
        <v>214</v>
      </c>
      <c r="U2" s="130">
        <f t="shared" si="0"/>
        <v>227</v>
      </c>
      <c r="V2" s="130">
        <f t="shared" si="0"/>
        <v>243</v>
      </c>
      <c r="W2" s="130">
        <f t="shared" si="0"/>
        <v>257</v>
      </c>
      <c r="X2" s="131">
        <f t="shared" si="0"/>
        <v>271</v>
      </c>
    </row>
    <row r="3" spans="2:24" ht="15.75" customHeight="1" x14ac:dyDescent="0.2">
      <c r="B3" s="223"/>
      <c r="C3" s="226"/>
      <c r="D3" s="117" t="s">
        <v>170</v>
      </c>
      <c r="E3" s="118"/>
      <c r="F3" s="119"/>
      <c r="G3" s="119">
        <f>IF(SUM(G5:G7)=0,1,G6)</f>
        <v>7</v>
      </c>
      <c r="H3" s="119">
        <f t="shared" ref="H3:X3" si="1">IF(SUM(H5:H7)=0,0,G3+H6)</f>
        <v>37</v>
      </c>
      <c r="I3" s="119">
        <f t="shared" si="1"/>
        <v>63</v>
      </c>
      <c r="J3" s="119">
        <f t="shared" si="1"/>
        <v>87</v>
      </c>
      <c r="K3" s="119">
        <f t="shared" si="1"/>
        <v>101</v>
      </c>
      <c r="L3" s="119">
        <f t="shared" si="1"/>
        <v>108</v>
      </c>
      <c r="M3" s="119">
        <f t="shared" si="1"/>
        <v>117</v>
      </c>
      <c r="N3" s="119">
        <f t="shared" si="1"/>
        <v>140</v>
      </c>
      <c r="O3" s="119">
        <f t="shared" si="1"/>
        <v>149</v>
      </c>
      <c r="P3" s="119">
        <f t="shared" si="1"/>
        <v>158</v>
      </c>
      <c r="Q3" s="119">
        <f t="shared" si="1"/>
        <v>170</v>
      </c>
      <c r="R3" s="119">
        <f t="shared" si="1"/>
        <v>179</v>
      </c>
      <c r="S3" s="119">
        <f t="shared" si="1"/>
        <v>192</v>
      </c>
      <c r="T3" s="119">
        <f t="shared" si="1"/>
        <v>202</v>
      </c>
      <c r="U3" s="119">
        <f t="shared" si="1"/>
        <v>210</v>
      </c>
      <c r="V3" s="119">
        <f t="shared" si="1"/>
        <v>219</v>
      </c>
      <c r="W3" s="119">
        <f t="shared" si="1"/>
        <v>226</v>
      </c>
      <c r="X3" s="132">
        <f t="shared" si="1"/>
        <v>238</v>
      </c>
    </row>
    <row r="4" spans="2:24" ht="15.75" customHeight="1" thickBot="1" x14ac:dyDescent="0.25">
      <c r="B4" s="223"/>
      <c r="C4" s="227"/>
      <c r="D4" s="120" t="s">
        <v>0</v>
      </c>
      <c r="E4" s="121"/>
      <c r="F4" s="122"/>
      <c r="G4" s="122">
        <f>IF(SUM(G5:G7)=0,1,G7)</f>
        <v>0</v>
      </c>
      <c r="H4" s="122">
        <f t="shared" ref="H4:X4" si="2">IF(SUM(H5:H7)=0,0,G4+H7)</f>
        <v>0</v>
      </c>
      <c r="I4" s="122">
        <f t="shared" si="2"/>
        <v>2</v>
      </c>
      <c r="J4" s="122">
        <f t="shared" si="2"/>
        <v>3</v>
      </c>
      <c r="K4" s="122">
        <f t="shared" si="2"/>
        <v>5</v>
      </c>
      <c r="L4" s="122">
        <f t="shared" si="2"/>
        <v>6</v>
      </c>
      <c r="M4" s="122">
        <f t="shared" si="2"/>
        <v>9</v>
      </c>
      <c r="N4" s="122">
        <f t="shared" si="2"/>
        <v>14</v>
      </c>
      <c r="O4" s="122">
        <f t="shared" si="2"/>
        <v>15</v>
      </c>
      <c r="P4" s="122">
        <f t="shared" si="2"/>
        <v>24</v>
      </c>
      <c r="Q4" s="122">
        <f t="shared" si="2"/>
        <v>24</v>
      </c>
      <c r="R4" s="122">
        <f t="shared" si="2"/>
        <v>26</v>
      </c>
      <c r="S4" s="122">
        <f t="shared" si="2"/>
        <v>27</v>
      </c>
      <c r="T4" s="122">
        <f t="shared" si="2"/>
        <v>29</v>
      </c>
      <c r="U4" s="122">
        <f t="shared" si="2"/>
        <v>33</v>
      </c>
      <c r="V4" s="122">
        <f t="shared" si="2"/>
        <v>35</v>
      </c>
      <c r="W4" s="122">
        <f t="shared" si="2"/>
        <v>36</v>
      </c>
      <c r="X4" s="133">
        <f t="shared" si="2"/>
        <v>36</v>
      </c>
    </row>
    <row r="5" spans="2:24" ht="15.75" customHeight="1" x14ac:dyDescent="0.2">
      <c r="B5" s="223"/>
      <c r="C5" s="228" t="s">
        <v>232</v>
      </c>
      <c r="D5" s="123" t="s">
        <v>169</v>
      </c>
      <c r="E5" s="124">
        <f>F5/(F5+F6+F7)</f>
        <v>0.49724770642201838</v>
      </c>
      <c r="F5" s="125">
        <f t="shared" ref="F5:F10" si="3">IF(SUM(G5:X5)=0,1,SUM(G5:X5))</f>
        <v>271</v>
      </c>
      <c r="G5" s="125">
        <f>AM!F3*AM!$B$5</f>
        <v>4</v>
      </c>
      <c r="H5" s="125">
        <f>AM!G3*AM!$B$5</f>
        <v>26</v>
      </c>
      <c r="I5" s="125">
        <f>AM!H3*AM!$B$5</f>
        <v>28</v>
      </c>
      <c r="J5" s="125">
        <f>AM!I3*AM!$B$5</f>
        <v>16</v>
      </c>
      <c r="K5" s="125">
        <f>AM!J3*AM!$B$5</f>
        <v>14</v>
      </c>
      <c r="L5" s="125">
        <f>AM!K3*AM!$B$5</f>
        <v>17</v>
      </c>
      <c r="M5" s="125">
        <f>AM!L3*AM!$B$5</f>
        <v>21</v>
      </c>
      <c r="N5" s="125">
        <f>AM!M3*AM!$B$5</f>
        <v>19</v>
      </c>
      <c r="O5" s="125">
        <f>AM!N3*AM!$B$5</f>
        <v>13</v>
      </c>
      <c r="P5" s="125">
        <f>AM!O3*AM!$B$5</f>
        <v>15</v>
      </c>
      <c r="Q5" s="125">
        <f>AM!P3*AM!$B$5</f>
        <v>7</v>
      </c>
      <c r="R5" s="125">
        <f>AM!Q3*AM!$B$5</f>
        <v>11</v>
      </c>
      <c r="S5" s="125">
        <f>AM!R3*AM!$B$5</f>
        <v>7</v>
      </c>
      <c r="T5" s="125">
        <f>AM!S3*AM!$B$5</f>
        <v>16</v>
      </c>
      <c r="U5" s="125">
        <f>AM!T3*AM!$B$5</f>
        <v>13</v>
      </c>
      <c r="V5" s="125">
        <f>AM!U3*AM!$B$5</f>
        <v>16</v>
      </c>
      <c r="W5" s="125">
        <f>AM!V3*AM!$B$5</f>
        <v>14</v>
      </c>
      <c r="X5" s="134">
        <f>AM!W3*AM!$B$5</f>
        <v>14</v>
      </c>
    </row>
    <row r="6" spans="2:24" ht="15.75" customHeight="1" x14ac:dyDescent="0.2">
      <c r="B6" s="223"/>
      <c r="C6" s="226"/>
      <c r="D6" s="117" t="s">
        <v>170</v>
      </c>
      <c r="E6" s="118">
        <f>F6/(F5+F6+F7)</f>
        <v>0.43669724770642204</v>
      </c>
      <c r="F6" s="119">
        <f t="shared" si="3"/>
        <v>238</v>
      </c>
      <c r="G6" s="119">
        <f>AM!F4*AM!$B$5</f>
        <v>7</v>
      </c>
      <c r="H6" s="119">
        <f>AM!G4*AM!$B$5</f>
        <v>30</v>
      </c>
      <c r="I6" s="119">
        <f>AM!H4*AM!$B$5</f>
        <v>26</v>
      </c>
      <c r="J6" s="119">
        <f>AM!I4*AM!$B$5</f>
        <v>24</v>
      </c>
      <c r="K6" s="119">
        <f>AM!J4*AM!$B$5</f>
        <v>14</v>
      </c>
      <c r="L6" s="119">
        <f>AM!K4*AM!$B$5</f>
        <v>7</v>
      </c>
      <c r="M6" s="119">
        <f>AM!L4*AM!$B$5</f>
        <v>9</v>
      </c>
      <c r="N6" s="119">
        <f>AM!M4*AM!$B$5</f>
        <v>23</v>
      </c>
      <c r="O6" s="119">
        <f>AM!N4*AM!$B$5</f>
        <v>9</v>
      </c>
      <c r="P6" s="119">
        <f>AM!O4*AM!$B$5</f>
        <v>9</v>
      </c>
      <c r="Q6" s="119">
        <f>AM!P4*AM!$B$5</f>
        <v>12</v>
      </c>
      <c r="R6" s="119">
        <f>AM!Q4*AM!$B$5</f>
        <v>9</v>
      </c>
      <c r="S6" s="119">
        <f>AM!R4*AM!$B$5</f>
        <v>13</v>
      </c>
      <c r="T6" s="119">
        <f>AM!S4*AM!$B$5</f>
        <v>10</v>
      </c>
      <c r="U6" s="119">
        <f>AM!T4*AM!$B$5</f>
        <v>8</v>
      </c>
      <c r="V6" s="119">
        <f>AM!U4*AM!$B$5</f>
        <v>9</v>
      </c>
      <c r="W6" s="119">
        <f>AM!V4*AM!$B$5</f>
        <v>7</v>
      </c>
      <c r="X6" s="132">
        <f>AM!W4*AM!$B$5</f>
        <v>12</v>
      </c>
    </row>
    <row r="7" spans="2:24" ht="15.75" customHeight="1" thickBot="1" x14ac:dyDescent="0.25">
      <c r="B7" s="223"/>
      <c r="C7" s="227"/>
      <c r="D7" s="120" t="s">
        <v>0</v>
      </c>
      <c r="E7" s="121">
        <f>F7/(F5+F6+F7)</f>
        <v>6.6055045871559637E-2</v>
      </c>
      <c r="F7" s="122">
        <f t="shared" si="3"/>
        <v>36</v>
      </c>
      <c r="G7" s="122">
        <f>AM!F5*AM!$B$5</f>
        <v>0</v>
      </c>
      <c r="H7" s="122">
        <f>AM!G5*AM!$B$5</f>
        <v>0</v>
      </c>
      <c r="I7" s="122">
        <f>AM!H5*AM!$B$5</f>
        <v>2</v>
      </c>
      <c r="J7" s="122">
        <f>AM!I5*AM!$B$5</f>
        <v>1</v>
      </c>
      <c r="K7" s="122">
        <f>AM!J5*AM!$B$5</f>
        <v>2</v>
      </c>
      <c r="L7" s="122">
        <f>AM!K5*AM!$B$5</f>
        <v>1</v>
      </c>
      <c r="M7" s="122">
        <f>AM!L5*AM!$B$5</f>
        <v>3</v>
      </c>
      <c r="N7" s="122">
        <f>AM!M5*AM!$B$5</f>
        <v>5</v>
      </c>
      <c r="O7" s="122">
        <f>AM!N5*AM!$B$5</f>
        <v>1</v>
      </c>
      <c r="P7" s="122">
        <f>AM!O5*AM!$B$5</f>
        <v>9</v>
      </c>
      <c r="Q7" s="122">
        <f>AM!P5*AM!$B$5</f>
        <v>0</v>
      </c>
      <c r="R7" s="122">
        <f>AM!Q5*AM!$B$5</f>
        <v>2</v>
      </c>
      <c r="S7" s="122">
        <f>AM!R5*AM!$B$5</f>
        <v>1</v>
      </c>
      <c r="T7" s="122">
        <f>AM!S5*AM!$B$5</f>
        <v>2</v>
      </c>
      <c r="U7" s="122">
        <f>AM!T5*AM!$B$5</f>
        <v>4</v>
      </c>
      <c r="V7" s="122">
        <f>AM!U5*AM!$B$5</f>
        <v>2</v>
      </c>
      <c r="W7" s="122">
        <f>AM!V5*AM!$B$5</f>
        <v>1</v>
      </c>
      <c r="X7" s="133">
        <f>AM!W5*AM!$B$5</f>
        <v>0</v>
      </c>
    </row>
    <row r="8" spans="2:24" ht="15.75" customHeight="1" x14ac:dyDescent="0.2">
      <c r="B8" s="223"/>
      <c r="C8" s="228" t="s">
        <v>111</v>
      </c>
      <c r="D8" s="123" t="s">
        <v>169</v>
      </c>
      <c r="E8" s="124">
        <f>F8/(F8+F9+F10)</f>
        <v>0.49724770642201838</v>
      </c>
      <c r="F8" s="126">
        <f t="shared" si="3"/>
        <v>271</v>
      </c>
      <c r="G8" s="126">
        <f>SUMIF(AM!$C$3:$C$5,"PSUV",AM!F$3:F$5)</f>
        <v>4</v>
      </c>
      <c r="H8" s="126">
        <f>SUMIF(AM!$C$3:$C$5,"PSUV",AM!G$3:G$5)</f>
        <v>26</v>
      </c>
      <c r="I8" s="126">
        <f>SUMIF(AM!$C$3:$C$5,"PSUV",AM!H$3:H$5)</f>
        <v>28</v>
      </c>
      <c r="J8" s="126">
        <f>SUMIF(AM!$C$3:$C$5,"PSUV",AM!I$3:I$5)</f>
        <v>16</v>
      </c>
      <c r="K8" s="126">
        <f>SUMIF(AM!$C$3:$C$5,"PSUV",AM!J$3:J$5)</f>
        <v>14</v>
      </c>
      <c r="L8" s="126">
        <f>SUMIF(AM!$C$3:$C$5,"PSUV",AM!K$3:K$5)</f>
        <v>17</v>
      </c>
      <c r="M8" s="126">
        <f>SUMIF(AM!$C$3:$C$5,"PSUV",AM!L$3:L$5)</f>
        <v>21</v>
      </c>
      <c r="N8" s="126">
        <f>SUMIF(AM!$C$3:$C$5,"PSUV",AM!M$3:M$5)</f>
        <v>19</v>
      </c>
      <c r="O8" s="126">
        <f>SUMIF(AM!$C$3:$C$5,"PSUV",AM!N$3:N$5)</f>
        <v>13</v>
      </c>
      <c r="P8" s="126">
        <f>SUMIF(AM!$C$3:$C$5,"PSUV",AM!O$3:O$5)</f>
        <v>15</v>
      </c>
      <c r="Q8" s="126">
        <f>SUMIF(AM!$C$3:$C$5,"PSUV",AM!P$3:P$5)</f>
        <v>7</v>
      </c>
      <c r="R8" s="126">
        <f>SUMIF(AM!$C$3:$C$5,"PSUV",AM!Q$3:Q$5)</f>
        <v>11</v>
      </c>
      <c r="S8" s="126">
        <f>SUMIF(AM!$C$3:$C$5,"PSUV",AM!R$3:R$5)</f>
        <v>7</v>
      </c>
      <c r="T8" s="126">
        <f>SUMIF(AM!$C$3:$C$5,"PSUV",AM!S$3:S$5)</f>
        <v>16</v>
      </c>
      <c r="U8" s="126">
        <f>SUMIF(AM!$C$3:$C$5,"PSUV",AM!T$3:T$5)</f>
        <v>13</v>
      </c>
      <c r="V8" s="126">
        <f>SUMIF(AM!$C$3:$C$5,"PSUV",AM!U$3:U$5)</f>
        <v>16</v>
      </c>
      <c r="W8" s="126">
        <f>SUMIF(AM!$C$3:$C$5,"PSUV",AM!V$3:V$5)</f>
        <v>14</v>
      </c>
      <c r="X8" s="135">
        <f>SUMIF(AM!$C$3:$C$5,"PSUV",AM!W$3:W$5)</f>
        <v>14</v>
      </c>
    </row>
    <row r="9" spans="2:24" ht="15.75" customHeight="1" x14ac:dyDescent="0.2">
      <c r="B9" s="223"/>
      <c r="C9" s="226"/>
      <c r="D9" s="117" t="s">
        <v>170</v>
      </c>
      <c r="E9" s="118">
        <f>F9/(F8+F9+F10)</f>
        <v>0.43669724770642204</v>
      </c>
      <c r="F9" s="127">
        <f t="shared" si="3"/>
        <v>238</v>
      </c>
      <c r="G9" s="127">
        <f>SUMIF(AM!$C$3:$C$5,"MUD",AM!F$3:F$5)</f>
        <v>7</v>
      </c>
      <c r="H9" s="127">
        <f>SUMIF(AM!$C$3:$C$5,"MUD",AM!G$3:G$5)</f>
        <v>30</v>
      </c>
      <c r="I9" s="127">
        <f>SUMIF(AM!$C$3:$C$5,"MUD",AM!H$3:H$5)</f>
        <v>26</v>
      </c>
      <c r="J9" s="127">
        <f>SUMIF(AM!$C$3:$C$5,"MUD",AM!I$3:I$5)</f>
        <v>24</v>
      </c>
      <c r="K9" s="127">
        <f>SUMIF(AM!$C$3:$C$5,"MUD",AM!J$3:J$5)</f>
        <v>14</v>
      </c>
      <c r="L9" s="127">
        <f>SUMIF(AM!$C$3:$C$5,"MUD",AM!K$3:K$5)</f>
        <v>7</v>
      </c>
      <c r="M9" s="127">
        <f>SUMIF(AM!$C$3:$C$5,"MUD",AM!L$3:L$5)</f>
        <v>9</v>
      </c>
      <c r="N9" s="127">
        <f>SUMIF(AM!$C$3:$C$5,"MUD",AM!M$3:M$5)</f>
        <v>23</v>
      </c>
      <c r="O9" s="127">
        <f>SUMIF(AM!$C$3:$C$5,"MUD",AM!N$3:N$5)</f>
        <v>9</v>
      </c>
      <c r="P9" s="127">
        <f>SUMIF(AM!$C$3:$C$5,"MUD",AM!O$3:O$5)</f>
        <v>9</v>
      </c>
      <c r="Q9" s="127">
        <f>SUMIF(AM!$C$3:$C$5,"MUD",AM!P$3:P$5)</f>
        <v>12</v>
      </c>
      <c r="R9" s="127">
        <f>SUMIF(AM!$C$3:$C$5,"MUD",AM!Q$3:Q$5)</f>
        <v>9</v>
      </c>
      <c r="S9" s="127">
        <f>SUMIF(AM!$C$3:$C$5,"MUD",AM!R$3:R$5)</f>
        <v>13</v>
      </c>
      <c r="T9" s="127">
        <f>SUMIF(AM!$C$3:$C$5,"MUD",AM!S$3:S$5)</f>
        <v>10</v>
      </c>
      <c r="U9" s="127">
        <f>SUMIF(AM!$C$3:$C$5,"MUD",AM!T$3:T$5)</f>
        <v>8</v>
      </c>
      <c r="V9" s="127">
        <f>SUMIF(AM!$C$3:$C$5,"MUD",AM!U$3:U$5)</f>
        <v>9</v>
      </c>
      <c r="W9" s="127">
        <f>SUMIF(AM!$C$3:$C$5,"MUD",AM!V$3:V$5)</f>
        <v>7</v>
      </c>
      <c r="X9" s="136">
        <f>SUMIF(AM!$C$3:$C$5,"MUD",AM!W$3:W$5)</f>
        <v>12</v>
      </c>
    </row>
    <row r="10" spans="2:24" ht="15.75" customHeight="1" thickBot="1" x14ac:dyDescent="0.25">
      <c r="B10" s="224"/>
      <c r="C10" s="229"/>
      <c r="D10" s="137" t="s">
        <v>0</v>
      </c>
      <c r="E10" s="138">
        <f>F10/(F8+F9+F10)</f>
        <v>6.6055045871559637E-2</v>
      </c>
      <c r="F10" s="139">
        <f t="shared" si="3"/>
        <v>36</v>
      </c>
      <c r="G10" s="139">
        <f>SUMIF(AM!$C$3:$C$5,"Otro",AM!F$3:F$5)</f>
        <v>0</v>
      </c>
      <c r="H10" s="139">
        <f>SUMIF(AM!$C$3:$C$5,"Otro",AM!G$3:G$5)</f>
        <v>0</v>
      </c>
      <c r="I10" s="139">
        <f>SUMIF(AM!$C$3:$C$5,"Otro",AM!H$3:H$5)</f>
        <v>2</v>
      </c>
      <c r="J10" s="139">
        <f>SUMIF(AM!$C$3:$C$5,"Otro",AM!I$3:I$5)</f>
        <v>1</v>
      </c>
      <c r="K10" s="139">
        <f>SUMIF(AM!$C$3:$C$5,"Otro",AM!J$3:J$5)</f>
        <v>2</v>
      </c>
      <c r="L10" s="139">
        <f>SUMIF(AM!$C$3:$C$5,"Otro",AM!K$3:K$5)</f>
        <v>1</v>
      </c>
      <c r="M10" s="139">
        <f>SUMIF(AM!$C$3:$C$5,"Otro",AM!L$3:L$5)</f>
        <v>3</v>
      </c>
      <c r="N10" s="139">
        <f>SUMIF(AM!$C$3:$C$5,"Otro",AM!M$3:M$5)</f>
        <v>5</v>
      </c>
      <c r="O10" s="139">
        <f>SUMIF(AM!$C$3:$C$5,"Otro",AM!N$3:N$5)</f>
        <v>1</v>
      </c>
      <c r="P10" s="139">
        <f>SUMIF(AM!$C$3:$C$5,"Otro",AM!O$3:O$5)</f>
        <v>9</v>
      </c>
      <c r="Q10" s="139">
        <f>SUMIF(AM!$C$3:$C$5,"Otro",AM!P$3:P$5)</f>
        <v>0</v>
      </c>
      <c r="R10" s="139">
        <f>SUMIF(AM!$C$3:$C$5,"Otro",AM!Q$3:Q$5)</f>
        <v>2</v>
      </c>
      <c r="S10" s="139">
        <f>SUMIF(AM!$C$3:$C$5,"Otro",AM!R$3:R$5)</f>
        <v>1</v>
      </c>
      <c r="T10" s="139">
        <f>SUMIF(AM!$C$3:$C$5,"Otro",AM!S$3:S$5)</f>
        <v>2</v>
      </c>
      <c r="U10" s="139">
        <f>SUMIF(AM!$C$3:$C$5,"Otro",AM!T$3:T$5)</f>
        <v>4</v>
      </c>
      <c r="V10" s="139">
        <f>SUMIF(AM!$C$3:$C$5,"Otro",AM!U$3:U$5)</f>
        <v>2</v>
      </c>
      <c r="W10" s="139">
        <f>SUMIF(AM!$C$3:$C$5,"Otro",AM!V$3:V$5)</f>
        <v>1</v>
      </c>
      <c r="X10" s="140">
        <f>SUMIF(AM!$C$3:$C$5,"Otro",AM!W$3:W$5)</f>
        <v>0</v>
      </c>
    </row>
    <row r="11" spans="2:24" ht="15.75" customHeight="1" x14ac:dyDescent="0.2">
      <c r="B11" s="222" t="s">
        <v>119</v>
      </c>
      <c r="C11" s="217" t="s">
        <v>231</v>
      </c>
      <c r="D11" s="141" t="s">
        <v>237</v>
      </c>
      <c r="E11" s="142"/>
      <c r="F11" s="143"/>
      <c r="G11" s="143">
        <f>IF(SUM(G14:G16)=0,1,G14)</f>
        <v>15.009235209591484</v>
      </c>
      <c r="H11" s="143">
        <f t="shared" ref="H11:X11" si="4">IF(SUM(H14:H16)=0,0,G11+H14)</f>
        <v>40.699390903300042</v>
      </c>
      <c r="I11" s="143">
        <f t="shared" si="4"/>
        <v>60.944264071936132</v>
      </c>
      <c r="J11" s="143">
        <f t="shared" si="4"/>
        <v>97.746306409958876</v>
      </c>
      <c r="K11" s="143">
        <f t="shared" si="4"/>
        <v>131.01892841447216</v>
      </c>
      <c r="L11" s="143">
        <f t="shared" si="4"/>
        <v>159.1007811844178</v>
      </c>
      <c r="M11" s="143">
        <f t="shared" si="4"/>
        <v>194.12351429290959</v>
      </c>
      <c r="N11" s="143">
        <f t="shared" si="4"/>
        <v>220.93639791025763</v>
      </c>
      <c r="O11" s="143">
        <f t="shared" si="4"/>
        <v>250.30662475989197</v>
      </c>
      <c r="P11" s="143">
        <f t="shared" si="4"/>
        <v>269.9071874398187</v>
      </c>
      <c r="Q11" s="143">
        <f t="shared" si="4"/>
        <v>302.72392883419832</v>
      </c>
      <c r="R11" s="143">
        <f t="shared" si="4"/>
        <v>328.81837956081836</v>
      </c>
      <c r="S11" s="143">
        <f t="shared" si="4"/>
        <v>359.12228227323681</v>
      </c>
      <c r="T11" s="143">
        <f t="shared" si="4"/>
        <v>386.01644338881954</v>
      </c>
      <c r="U11" s="143">
        <f t="shared" si="4"/>
        <v>415.83020719657509</v>
      </c>
      <c r="V11" s="143">
        <f t="shared" si="4"/>
        <v>440.61329396137535</v>
      </c>
      <c r="W11" s="143">
        <f t="shared" si="4"/>
        <v>468.51306212440687</v>
      </c>
      <c r="X11" s="144">
        <f t="shared" si="4"/>
        <v>489.70015505177452</v>
      </c>
    </row>
    <row r="12" spans="2:24" ht="15.75" customHeight="1" x14ac:dyDescent="0.2">
      <c r="B12" s="223"/>
      <c r="C12" s="218"/>
      <c r="D12" s="145" t="s">
        <v>116</v>
      </c>
      <c r="E12" s="146"/>
      <c r="F12" s="147"/>
      <c r="G12" s="147">
        <f>IF(SUM(G14:G16)=0,1,G15)</f>
        <v>6.5845760519077787</v>
      </c>
      <c r="H12" s="147">
        <f t="shared" ref="H12:X12" si="5">IF(SUM(H14:H16)=0,0,G12+H15)</f>
        <v>21.124162399450903</v>
      </c>
      <c r="I12" s="147">
        <f t="shared" si="5"/>
        <v>33.352388488640237</v>
      </c>
      <c r="J12" s="147">
        <f t="shared" si="5"/>
        <v>55.369458997693975</v>
      </c>
      <c r="K12" s="147">
        <f t="shared" si="5"/>
        <v>80.982535689066879</v>
      </c>
      <c r="L12" s="147">
        <f t="shared" si="5"/>
        <v>104.03060667710221</v>
      </c>
      <c r="M12" s="147">
        <f t="shared" si="5"/>
        <v>125.09964175139373</v>
      </c>
      <c r="N12" s="147">
        <f t="shared" si="5"/>
        <v>153.39211062993485</v>
      </c>
      <c r="O12" s="147">
        <f t="shared" si="5"/>
        <v>176.14522277582176</v>
      </c>
      <c r="P12" s="147">
        <f t="shared" si="5"/>
        <v>195.61534444702312</v>
      </c>
      <c r="Q12" s="147">
        <f t="shared" si="5"/>
        <v>215.31517853174853</v>
      </c>
      <c r="R12" s="147">
        <f t="shared" si="5"/>
        <v>236.42771698606998</v>
      </c>
      <c r="S12" s="147">
        <f t="shared" si="5"/>
        <v>253.91955084364949</v>
      </c>
      <c r="T12" s="147">
        <f t="shared" si="5"/>
        <v>270.59757151392745</v>
      </c>
      <c r="U12" s="147">
        <f t="shared" si="5"/>
        <v>289.87622399549656</v>
      </c>
      <c r="V12" s="147">
        <f t="shared" si="5"/>
        <v>309.9306390207048</v>
      </c>
      <c r="W12" s="147">
        <f t="shared" si="5"/>
        <v>324.12180946408375</v>
      </c>
      <c r="X12" s="148">
        <f t="shared" si="5"/>
        <v>337.10170458192806</v>
      </c>
    </row>
    <row r="13" spans="2:24" ht="15.75" customHeight="1" thickBot="1" x14ac:dyDescent="0.25">
      <c r="B13" s="223"/>
      <c r="C13" s="219"/>
      <c r="D13" s="149" t="s">
        <v>0</v>
      </c>
      <c r="E13" s="150"/>
      <c r="F13" s="151"/>
      <c r="G13" s="151">
        <f>IF(SUM(G14:G16)=0,1,G16)</f>
        <v>0.79637233165278287</v>
      </c>
      <c r="H13" s="151">
        <f t="shared" ref="H13:X13" si="6">IF(SUM(H14:H16)=0,0,G13+H16)</f>
        <v>0.9925375161100769</v>
      </c>
      <c r="I13" s="151">
        <f t="shared" si="6"/>
        <v>1.1217168774350288</v>
      </c>
      <c r="J13" s="151">
        <f t="shared" si="6"/>
        <v>1.8109763323835999</v>
      </c>
      <c r="K13" s="151">
        <f t="shared" si="6"/>
        <v>4.1018823482936897</v>
      </c>
      <c r="L13" s="151">
        <f t="shared" si="6"/>
        <v>6.9227654520944331</v>
      </c>
      <c r="M13" s="151">
        <f t="shared" si="6"/>
        <v>8.5888226928641611</v>
      </c>
      <c r="N13" s="151">
        <f t="shared" si="6"/>
        <v>10.159815666154765</v>
      </c>
      <c r="O13" s="151">
        <f t="shared" si="6"/>
        <v>10.159815666154765</v>
      </c>
      <c r="P13" s="151">
        <f t="shared" si="6"/>
        <v>10.189884106205527</v>
      </c>
      <c r="Q13" s="151">
        <f t="shared" si="6"/>
        <v>11.562715726891607</v>
      </c>
      <c r="R13" s="151">
        <f t="shared" si="6"/>
        <v>11.594511216563875</v>
      </c>
      <c r="S13" s="151">
        <f t="shared" si="6"/>
        <v>12.28204362189094</v>
      </c>
      <c r="T13" s="151">
        <f t="shared" si="6"/>
        <v>13.43979769200002</v>
      </c>
      <c r="U13" s="151">
        <f t="shared" si="6"/>
        <v>13.921028526563727</v>
      </c>
      <c r="V13" s="151">
        <f t="shared" si="6"/>
        <v>15.112375501819637</v>
      </c>
      <c r="W13" s="151">
        <f t="shared" si="6"/>
        <v>15.514165757260027</v>
      </c>
      <c r="X13" s="152">
        <f t="shared" si="6"/>
        <v>15.544234197310789</v>
      </c>
    </row>
    <row r="14" spans="2:24" ht="15.75" customHeight="1" x14ac:dyDescent="0.2">
      <c r="B14" s="223"/>
      <c r="C14" s="220" t="s">
        <v>232</v>
      </c>
      <c r="D14" s="141" t="s">
        <v>237</v>
      </c>
      <c r="E14" s="154">
        <f>F14/(F14+F15+F16)</f>
        <v>0.58135267515114197</v>
      </c>
      <c r="F14" s="155">
        <f t="shared" ref="F14:F19" si="7">IF(SUM(G14:X14)=0,1,SUM(G14:X14))</f>
        <v>489.70015505177452</v>
      </c>
      <c r="G14" s="155">
        <f>AN!F3*AN!$B$5+AN!F6*AN!$B$8+AN!F9*AN!$B$11+AN!F12*AN!$B$14+AN!F15*AN!$B$17+AN!F18*AN!$B$20+AN!F21*AN!$B$23+AN!F24*AN!$B$26+AN!F27*AN!$B$29</f>
        <v>15.009235209591484</v>
      </c>
      <c r="H14" s="155">
        <f>AN!G3*AN!$B$5+AN!G6*AN!$B$8+AN!G9*AN!$B$11+AN!G12*AN!$B$14+AN!G15*AN!$B$17+AN!G18*AN!$B$20+AN!G21*AN!$B$23+AN!G24*AN!$B$26+AN!G27*AN!$B$29</f>
        <v>25.690155693708554</v>
      </c>
      <c r="I14" s="155">
        <f>AN!H3*AN!$B$5+AN!H6*AN!$B$8+AN!H9*AN!$B$11+AN!H12*AN!$B$14+AN!H15*AN!$B$17+AN!H18*AN!$B$20+AN!H21*AN!$B$23+AN!H24*AN!$B$26+AN!H27*AN!$B$29</f>
        <v>20.244873168636087</v>
      </c>
      <c r="J14" s="155">
        <f>AN!I3*AN!$B$5+AN!I6*AN!$B$8+AN!I9*AN!$B$11+AN!I12*AN!$B$14+AN!I15*AN!$B$17+AN!I18*AN!$B$20+AN!I21*AN!$B$23+AN!I24*AN!$B$26+AN!I27*AN!$B$29</f>
        <v>36.802042338022744</v>
      </c>
      <c r="K14" s="155">
        <f>AN!J3*AN!$B$5+AN!J6*AN!$B$8+AN!J9*AN!$B$11+AN!J12*AN!$B$14+AN!J15*AN!$B$17+AN!J18*AN!$B$20+AN!J21*AN!$B$23+AN!J24*AN!$B$26+AN!J27*AN!$B$29</f>
        <v>33.272622004513295</v>
      </c>
      <c r="L14" s="155">
        <f>AN!K3*AN!$B$5+AN!K6*AN!$B$8+AN!K9*AN!$B$11+AN!K12*AN!$B$14+AN!K15*AN!$B$17+AN!K18*AN!$B$20+AN!K21*AN!$B$23+AN!K24*AN!$B$26+AN!K27*AN!$B$29</f>
        <v>28.08185276994563</v>
      </c>
      <c r="M14" s="155">
        <f>AN!L3*AN!$B$5+AN!L6*AN!$B$8+AN!L9*AN!$B$11+AN!L12*AN!$B$14+AN!L15*AN!$B$17+AN!L18*AN!$B$20+AN!L21*AN!$B$23+AN!L24*AN!$B$26+AN!L27*AN!$B$29</f>
        <v>35.022733108491806</v>
      </c>
      <c r="N14" s="155">
        <f>AN!M3*AN!$B$5+AN!M6*AN!$B$8+AN!M9*AN!$B$11+AN!M12*AN!$B$14+AN!M15*AN!$B$17+AN!M18*AN!$B$20+AN!M21*AN!$B$23+AN!M24*AN!$B$26+AN!M27*AN!$B$29</f>
        <v>26.812883617348025</v>
      </c>
      <c r="O14" s="155">
        <f>AN!N3*AN!$B$5+AN!N6*AN!$B$8+AN!N9*AN!$B$11+AN!N12*AN!$B$14+AN!N15*AN!$B$17+AN!N18*AN!$B$20+AN!N21*AN!$B$23+AN!N24*AN!$B$26+AN!N27*AN!$B$29</f>
        <v>29.370226849634342</v>
      </c>
      <c r="P14" s="155">
        <f>AN!O3*AN!$B$5+AN!O6*AN!$B$8+AN!O9*AN!$B$11+AN!O12*AN!$B$14+AN!O15*AN!$B$17+AN!O18*AN!$B$20+AN!O21*AN!$B$23+AN!O24*AN!$B$26+AN!O27*AN!$B$29</f>
        <v>19.600562679926721</v>
      </c>
      <c r="Q14" s="155">
        <f>AN!P3*AN!$B$5+AN!P6*AN!$B$8+AN!P9*AN!$B$11+AN!P12*AN!$B$14+AN!P15*AN!$B$17+AN!P18*AN!$B$20+AN!P21*AN!$B$23+AN!P24*AN!$B$26+AN!P27*AN!$B$29</f>
        <v>32.816741394379619</v>
      </c>
      <c r="R14" s="155">
        <f>AN!Q3*AN!$B$5+AN!Q6*AN!$B$8+AN!Q9*AN!$B$11+AN!Q12*AN!$B$14+AN!Q15*AN!$B$17+AN!Q18*AN!$B$20+AN!Q21*AN!$B$23+AN!Q24*AN!$B$26+AN!Q27*AN!$B$29</f>
        <v>26.094450726620018</v>
      </c>
      <c r="S14" s="155">
        <f>AN!R3*AN!$B$5+AN!R6*AN!$B$8+AN!R9*AN!$B$11+AN!R12*AN!$B$14+AN!R15*AN!$B$17+AN!R18*AN!$B$20+AN!R21*AN!$B$23+AN!R24*AN!$B$26+AN!R27*AN!$B$29</f>
        <v>30.303902712418459</v>
      </c>
      <c r="T14" s="155">
        <f>AN!S3*AN!$B$5+AN!S6*AN!$B$8+AN!S9*AN!$B$11+AN!S12*AN!$B$14+AN!S15*AN!$B$17+AN!S18*AN!$B$20+AN!S21*AN!$B$23+AN!S24*AN!$B$26+AN!S27*AN!$B$29</f>
        <v>26.894161115582705</v>
      </c>
      <c r="U14" s="155">
        <f>AN!T3*AN!$B$5+AN!T6*AN!$B$8+AN!T9*AN!$B$11+AN!T12*AN!$B$14+AN!T15*AN!$B$17+AN!T18*AN!$B$20+AN!T21*AN!$B$23+AN!T24*AN!$B$26+AN!T27*AN!$B$29</f>
        <v>29.813763807755553</v>
      </c>
      <c r="V14" s="155">
        <f>AN!U3*AN!$B$5+AN!U6*AN!$B$8+AN!U9*AN!$B$11+AN!U12*AN!$B$14+AN!U15*AN!$B$17+AN!U18*AN!$B$20+AN!U21*AN!$B$23+AN!U24*AN!$B$26+AN!U27*AN!$B$29</f>
        <v>24.783086764800284</v>
      </c>
      <c r="W14" s="155">
        <f>AN!V3*AN!$B$5+AN!V6*AN!$B$8+AN!V9*AN!$B$11+AN!V12*AN!$B$14+AN!V15*AN!$B$17+AN!V18*AN!$B$20+AN!V21*AN!$B$23+AN!V24*AN!$B$26+AN!V27*AN!$B$29</f>
        <v>27.899768163031514</v>
      </c>
      <c r="X14" s="156">
        <f>AN!W3*AN!$B$5+AN!W6*AN!$B$8+AN!W9*AN!$B$11+AN!W12*AN!$B$14+AN!W15*AN!$B$17+AN!W18*AN!$B$20+AN!W21*AN!$B$23+AN!W24*AN!$B$26+AN!W27*AN!$B$29</f>
        <v>21.18709292736763</v>
      </c>
    </row>
    <row r="15" spans="2:24" ht="15.75" customHeight="1" x14ac:dyDescent="0.2">
      <c r="B15" s="223"/>
      <c r="C15" s="218"/>
      <c r="D15" s="145" t="s">
        <v>116</v>
      </c>
      <c r="E15" s="146">
        <f>F15/(F14+F15+F16)</f>
        <v>0.40019382419022109</v>
      </c>
      <c r="F15" s="147">
        <f t="shared" si="7"/>
        <v>337.10170458192806</v>
      </c>
      <c r="G15" s="147">
        <f>AN!F4*AN!$B$5+AN!F7*AN!$B$8+AN!F10*AN!$B$11+AN!F13*AN!$B$14+AN!F16*AN!$B$17+AN!F19*AN!$B$20+AN!F22*AN!$B$23+AN!F25*AN!$B$26+AN!F28*AN!$B$29</f>
        <v>6.5845760519077787</v>
      </c>
      <c r="H15" s="147">
        <f>AN!G4*AN!$B$5+AN!G7*AN!$B$8+AN!G10*AN!$B$11+AN!G13*AN!$B$14+AN!G16*AN!$B$17+AN!G19*AN!$B$20+AN!G22*AN!$B$23+AN!G25*AN!$B$26+AN!G28*AN!$B$29</f>
        <v>14.539586347543123</v>
      </c>
      <c r="I15" s="147">
        <f>AN!H4*AN!$B$5+AN!H7*AN!$B$8+AN!H10*AN!$B$11+AN!H13*AN!$B$14+AN!H16*AN!$B$17+AN!H19*AN!$B$20+AN!H22*AN!$B$23+AN!H25*AN!$B$26+AN!H28*AN!$B$29</f>
        <v>12.228226089189334</v>
      </c>
      <c r="J15" s="147">
        <f>AN!I4*AN!$B$5+AN!I7*AN!$B$8+AN!I10*AN!$B$11+AN!I13*AN!$B$14+AN!I16*AN!$B$17+AN!I19*AN!$B$20+AN!I22*AN!$B$23+AN!I25*AN!$B$26+AN!I28*AN!$B$29</f>
        <v>22.017070509053738</v>
      </c>
      <c r="K15" s="147">
        <f>AN!J4*AN!$B$5+AN!J7*AN!$B$8+AN!J10*AN!$B$11+AN!J13*AN!$B$14+AN!J16*AN!$B$17+AN!J19*AN!$B$20+AN!J22*AN!$B$23+AN!J25*AN!$B$26+AN!J28*AN!$B$29</f>
        <v>25.613076691372896</v>
      </c>
      <c r="L15" s="147">
        <f>AN!K4*AN!$B$5+AN!K7*AN!$B$8+AN!K10*AN!$B$11+AN!K13*AN!$B$14+AN!K16*AN!$B$17+AN!K19*AN!$B$20+AN!K22*AN!$B$23+AN!K25*AN!$B$26+AN!K28*AN!$B$29</f>
        <v>23.048070988035334</v>
      </c>
      <c r="M15" s="147">
        <f>AN!L4*AN!$B$5+AN!L7*AN!$B$8+AN!L10*AN!$B$11+AN!L13*AN!$B$14+AN!L16*AN!$B$17+AN!L19*AN!$B$20+AN!L22*AN!$B$23+AN!L25*AN!$B$26+AN!L28*AN!$B$29</f>
        <v>21.069035074291527</v>
      </c>
      <c r="N15" s="147">
        <f>AN!M4*AN!$B$5+AN!M7*AN!$B$8+AN!M10*AN!$B$11+AN!M13*AN!$B$14+AN!M16*AN!$B$17+AN!M19*AN!$B$20+AN!M22*AN!$B$23+AN!M25*AN!$B$26+AN!M28*AN!$B$29</f>
        <v>28.292468878541129</v>
      </c>
      <c r="O15" s="147">
        <f>AN!N4*AN!$B$5+AN!N7*AN!$B$8+AN!N10*AN!$B$11+AN!N13*AN!$B$14+AN!N16*AN!$B$17+AN!N19*AN!$B$20+AN!N22*AN!$B$23+AN!N25*AN!$B$26+AN!N28*AN!$B$29</f>
        <v>22.753112145886927</v>
      </c>
      <c r="P15" s="147">
        <f>AN!O4*AN!$B$5+AN!O7*AN!$B$8+AN!O10*AN!$B$11+AN!O13*AN!$B$14+AN!O16*AN!$B$17+AN!O19*AN!$B$20+AN!O22*AN!$B$23+AN!O25*AN!$B$26+AN!O28*AN!$B$29</f>
        <v>19.470121671201355</v>
      </c>
      <c r="Q15" s="147">
        <f>AN!P4*AN!$B$5+AN!P7*AN!$B$8+AN!P10*AN!$B$11+AN!P13*AN!$B$14+AN!P16*AN!$B$17+AN!P19*AN!$B$20+AN!P22*AN!$B$23+AN!P25*AN!$B$26+AN!P28*AN!$B$29</f>
        <v>19.699834084725424</v>
      </c>
      <c r="R15" s="147">
        <f>AN!Q4*AN!$B$5+AN!Q7*AN!$B$8+AN!Q10*AN!$B$11+AN!Q13*AN!$B$14+AN!Q16*AN!$B$17+AN!Q19*AN!$B$20+AN!Q22*AN!$B$23+AN!Q25*AN!$B$26+AN!Q28*AN!$B$29</f>
        <v>21.112538454321449</v>
      </c>
      <c r="S15" s="147">
        <f>AN!R4*AN!$B$5+AN!R7*AN!$B$8+AN!R10*AN!$B$11+AN!R13*AN!$B$14+AN!R16*AN!$B$17+AN!R19*AN!$B$20+AN!R22*AN!$B$23+AN!R25*AN!$B$26+AN!R28*AN!$B$29</f>
        <v>17.491833857579515</v>
      </c>
      <c r="T15" s="147">
        <f>AN!S4*AN!$B$5+AN!S7*AN!$B$8+AN!S10*AN!$B$11+AN!S13*AN!$B$14+AN!S16*AN!$B$17+AN!S19*AN!$B$20+AN!S22*AN!$B$23+AN!S25*AN!$B$26+AN!S28*AN!$B$29</f>
        <v>16.678020670277959</v>
      </c>
      <c r="U15" s="147">
        <f>AN!T4*AN!$B$5+AN!T7*AN!$B$8+AN!T10*AN!$B$11+AN!T13*AN!$B$14+AN!T16*AN!$B$17+AN!T19*AN!$B$20+AN!T22*AN!$B$23+AN!T25*AN!$B$26+AN!T28*AN!$B$29</f>
        <v>19.278652481569086</v>
      </c>
      <c r="V15" s="147">
        <f>AN!U4*AN!$B$5+AN!U7*AN!$B$8+AN!U10*AN!$B$11+AN!U13*AN!$B$14+AN!U16*AN!$B$17+AN!U19*AN!$B$20+AN!U22*AN!$B$23+AN!U25*AN!$B$26+AN!U28*AN!$B$29</f>
        <v>20.054415025208257</v>
      </c>
      <c r="W15" s="147">
        <f>AN!V4*AN!$B$5+AN!V7*AN!$B$8+AN!V10*AN!$B$11+AN!V13*AN!$B$14+AN!V16*AN!$B$17+AN!V19*AN!$B$20+AN!V22*AN!$B$23+AN!V25*AN!$B$26+AN!V28*AN!$B$29</f>
        <v>14.191170443378946</v>
      </c>
      <c r="X15" s="148">
        <f>AN!W4*AN!$B$5+AN!W7*AN!$B$8+AN!W10*AN!$B$11+AN!W13*AN!$B$14+AN!W16*AN!$B$17+AN!W19*AN!$B$20+AN!W22*AN!$B$23+AN!W25*AN!$B$26+AN!W28*AN!$B$29</f>
        <v>12.97989511784429</v>
      </c>
    </row>
    <row r="16" spans="2:24" ht="15.75" customHeight="1" thickBot="1" x14ac:dyDescent="0.25">
      <c r="B16" s="223"/>
      <c r="C16" s="219"/>
      <c r="D16" s="149" t="s">
        <v>0</v>
      </c>
      <c r="E16" s="150">
        <f>F16/(F14+F15+F16)</f>
        <v>1.8453500658636858E-2</v>
      </c>
      <c r="F16" s="151">
        <f t="shared" si="7"/>
        <v>15.544234197310789</v>
      </c>
      <c r="G16" s="151">
        <f>AN!F5*AN!$B$5+AN!F8*AN!$B$8+AN!F11*AN!$B$11+AN!F14*AN!$B$14+AN!F17*AN!$B$17+AN!F20*AN!$B$20+AN!F23*AN!$B$23+AN!F26*AN!$B$26+AN!F29*AN!$B$29</f>
        <v>0.79637233165278287</v>
      </c>
      <c r="H16" s="151">
        <f>AN!G5*AN!$B$5+AN!G8*AN!$B$8+AN!G11*AN!$B$11+AN!G14*AN!$B$14+AN!G17*AN!$B$17+AN!G20*AN!$B$20+AN!G23*AN!$B$23+AN!G26*AN!$B$26+AN!G29*AN!$B$29</f>
        <v>0.19616518445729408</v>
      </c>
      <c r="I16" s="151">
        <f>AN!H5*AN!$B$5+AN!H8*AN!$B$8+AN!H11*AN!$B$11+AN!H14*AN!$B$14+AN!H17*AN!$B$17+AN!H20*AN!$B$20+AN!H23*AN!$B$23+AN!H26*AN!$B$26+AN!H29*AN!$B$29</f>
        <v>0.12917936132495197</v>
      </c>
      <c r="J16" s="151">
        <f>AN!I5*AN!$B$5+AN!I8*AN!$B$8+AN!I11*AN!$B$11+AN!I14*AN!$B$14+AN!I17*AN!$B$17+AN!I20*AN!$B$20+AN!I23*AN!$B$23+AN!I26*AN!$B$26+AN!I29*AN!$B$29</f>
        <v>0.68925945494857122</v>
      </c>
      <c r="K16" s="151">
        <f>AN!J5*AN!$B$5+AN!J8*AN!$B$8+AN!J11*AN!$B$11+AN!J14*AN!$B$14+AN!J17*AN!$B$17+AN!J20*AN!$B$20+AN!J23*AN!$B$23+AN!J26*AN!$B$26+AN!J29*AN!$B$29</f>
        <v>2.2909060159100898</v>
      </c>
      <c r="L16" s="151">
        <f>AN!K5*AN!$B$5+AN!K8*AN!$B$8+AN!K11*AN!$B$11+AN!K14*AN!$B$14+AN!K17*AN!$B$17+AN!K20*AN!$B$20+AN!K23*AN!$B$23+AN!K26*AN!$B$26+AN!K29*AN!$B$29</f>
        <v>2.8208831038007434</v>
      </c>
      <c r="M16" s="151">
        <f>AN!L5*AN!$B$5+AN!L8*AN!$B$8+AN!L11*AN!$B$11+AN!L14*AN!$B$14+AN!L17*AN!$B$17+AN!L20*AN!$B$20+AN!L23*AN!$B$23+AN!L26*AN!$B$26+AN!L29*AN!$B$29</f>
        <v>1.6660572407697285</v>
      </c>
      <c r="N16" s="151">
        <f>AN!M5*AN!$B$5+AN!M8*AN!$B$8+AN!M11*AN!$B$11+AN!M14*AN!$B$14+AN!M17*AN!$B$17+AN!M20*AN!$B$20+AN!M23*AN!$B$23+AN!M26*AN!$B$26+AN!M29*AN!$B$29</f>
        <v>1.5709929732906036</v>
      </c>
      <c r="O16" s="151">
        <f>AN!N5*AN!$B$5+AN!N8*AN!$B$8+AN!N11*AN!$B$11+AN!N14*AN!$B$14+AN!N17*AN!$B$17+AN!N20*AN!$B$20+AN!N23*AN!$B$23+AN!N26*AN!$B$26+AN!N29*AN!$B$29</f>
        <v>0</v>
      </c>
      <c r="P16" s="151">
        <f>AN!O5*AN!$B$5+AN!O8*AN!$B$8+AN!O11*AN!$B$11+AN!O14*AN!$B$14+AN!O17*AN!$B$17+AN!O20*AN!$B$20+AN!O23*AN!$B$23+AN!O26*AN!$B$26+AN!O29*AN!$B$29</f>
        <v>3.0068440050762174E-2</v>
      </c>
      <c r="Q16" s="151">
        <f>AN!P5*AN!$B$5+AN!P8*AN!$B$8+AN!P11*AN!$B$11+AN!P14*AN!$B$14+AN!P17*AN!$B$17+AN!P20*AN!$B$20+AN!P23*AN!$B$23+AN!P26*AN!$B$26+AN!P29*AN!$B$29</f>
        <v>1.3728316206860796</v>
      </c>
      <c r="R16" s="151">
        <f>AN!Q5*AN!$B$5+AN!Q8*AN!$B$8+AN!Q11*AN!$B$11+AN!Q14*AN!$B$14+AN!Q17*AN!$B$17+AN!Q20*AN!$B$20+AN!Q23*AN!$B$23+AN!Q26*AN!$B$26+AN!Q29*AN!$B$29</f>
        <v>3.1795489672267953E-2</v>
      </c>
      <c r="S16" s="151">
        <f>AN!R5*AN!$B$5+AN!R8*AN!$B$8+AN!R11*AN!$B$11+AN!R14*AN!$B$14+AN!R17*AN!$B$17+AN!R20*AN!$B$20+AN!R23*AN!$B$23+AN!R26*AN!$B$26+AN!R29*AN!$B$29</f>
        <v>0.68753240532706539</v>
      </c>
      <c r="T16" s="151">
        <f>AN!S5*AN!$B$5+AN!S8*AN!$B$8+AN!S11*AN!$B$11+AN!S14*AN!$B$14+AN!S17*AN!$B$17+AN!S20*AN!$B$20+AN!S23*AN!$B$23+AN!S26*AN!$B$26+AN!S29*AN!$B$29</f>
        <v>1.1577540701090796</v>
      </c>
      <c r="U16" s="151">
        <f>AN!T5*AN!$B$5+AN!T8*AN!$B$8+AN!T11*AN!$B$11+AN!T14*AN!$B$14+AN!T17*AN!$B$17+AN!T20*AN!$B$20+AN!T23*AN!$B$23+AN!T26*AN!$B$26+AN!T29*AN!$B$29</f>
        <v>0.48123083456370702</v>
      </c>
      <c r="V16" s="151">
        <f>AN!U5*AN!$B$5+AN!U8*AN!$B$8+AN!U11*AN!$B$11+AN!U14*AN!$B$14+AN!U17*AN!$B$17+AN!U20*AN!$B$20+AN!U23*AN!$B$23+AN!U26*AN!$B$26+AN!U29*AN!$B$29</f>
        <v>1.1913469752559096</v>
      </c>
      <c r="W16" s="151">
        <f>AN!V5*AN!$B$5+AN!V8*AN!$B$8+AN!V11*AN!$B$11+AN!V14*AN!$B$14+AN!V17*AN!$B$17+AN!V20*AN!$B$20+AN!V23*AN!$B$23+AN!V26*AN!$B$26+AN!V29*AN!$B$29</f>
        <v>0.40179025544039149</v>
      </c>
      <c r="X16" s="152">
        <f>AN!W5*AN!$B$5+AN!W8*AN!$B$8+AN!W11*AN!$B$11+AN!W14*AN!$B$14+AN!W17*AN!$B$17+AN!W20*AN!$B$20+AN!W23*AN!$B$23+AN!W26*AN!$B$26+AN!W29*AN!$B$29</f>
        <v>3.0068440050762174E-2</v>
      </c>
    </row>
    <row r="17" spans="2:24" ht="15.75" customHeight="1" x14ac:dyDescent="0.2">
      <c r="B17" s="223"/>
      <c r="C17" s="220" t="s">
        <v>111</v>
      </c>
      <c r="D17" s="141" t="s">
        <v>237</v>
      </c>
      <c r="E17" s="154">
        <f>F17/(F17+F18+F19)</f>
        <v>0.54346826126954917</v>
      </c>
      <c r="F17" s="157">
        <f t="shared" si="7"/>
        <v>2363</v>
      </c>
      <c r="G17" s="157">
        <f>SUMIF(AN!$C$3:$C$29,"PSUV",AN!F$3:F$29)</f>
        <v>73</v>
      </c>
      <c r="H17" s="157">
        <f>SUMIF(AN!$C$3:$C$29,"PSUV",AN!G$3:G$29)</f>
        <v>130</v>
      </c>
      <c r="I17" s="157">
        <f>SUMIF(AN!$C$3:$C$29,"PSUV",AN!H$3:H$29)</f>
        <v>105</v>
      </c>
      <c r="J17" s="157">
        <f>SUMIF(AN!$C$3:$C$29,"PSUV",AN!I$3:I$29)</f>
        <v>188</v>
      </c>
      <c r="K17" s="157">
        <f>SUMIF(AN!$C$3:$C$29,"PSUV",AN!J$3:J$29)</f>
        <v>155</v>
      </c>
      <c r="L17" s="157">
        <f>SUMIF(AN!$C$3:$C$29,"PSUV",AN!K$3:K$29)</f>
        <v>130</v>
      </c>
      <c r="M17" s="157">
        <f>SUMIF(AN!$C$3:$C$29,"PSUV",AN!L$3:L$29)</f>
        <v>159</v>
      </c>
      <c r="N17" s="157">
        <f>SUMIF(AN!$C$3:$C$29,"PSUV",AN!M$3:M$29)</f>
        <v>118</v>
      </c>
      <c r="O17" s="157">
        <f>SUMIF(AN!$C$3:$C$29,"PSUV",AN!N$3:N$29)</f>
        <v>146</v>
      </c>
      <c r="P17" s="157">
        <f>SUMIF(AN!$C$3:$C$29,"PSUV",AN!O$3:O$29)</f>
        <v>101</v>
      </c>
      <c r="Q17" s="157">
        <f>SUMIF(AN!$C$3:$C$29,"PSUV",AN!P$3:P$29)</f>
        <v>145</v>
      </c>
      <c r="R17" s="157">
        <f>SUMIF(AN!$C$3:$C$29,"PSUV",AN!Q$3:Q$29)</f>
        <v>130</v>
      </c>
      <c r="S17" s="157">
        <f>SUMIF(AN!$C$3:$C$29,"PSUV",AN!R$3:R$29)</f>
        <v>139</v>
      </c>
      <c r="T17" s="157">
        <f>SUMIF(AN!$C$3:$C$29,"PSUV",AN!S$3:S$29)</f>
        <v>145</v>
      </c>
      <c r="U17" s="157">
        <f>SUMIF(AN!$C$3:$C$29,"PSUV",AN!T$3:T$29)</f>
        <v>141</v>
      </c>
      <c r="V17" s="157">
        <f>SUMIF(AN!$C$3:$C$29,"PSUV",AN!U$3:U$29)</f>
        <v>129</v>
      </c>
      <c r="W17" s="157">
        <f>SUMIF(AN!$C$3:$C$29,"PSUV",AN!V$3:V$29)</f>
        <v>127</v>
      </c>
      <c r="X17" s="158">
        <f>SUMIF(AN!$C$3:$C$29,"PSUV",AN!W$3:W$29)</f>
        <v>102</v>
      </c>
    </row>
    <row r="18" spans="2:24" ht="15.75" customHeight="1" x14ac:dyDescent="0.2">
      <c r="B18" s="223"/>
      <c r="C18" s="218"/>
      <c r="D18" s="145" t="s">
        <v>116</v>
      </c>
      <c r="E18" s="146">
        <f>F18/(F17+F18+F19)</f>
        <v>0.43468261269549219</v>
      </c>
      <c r="F18" s="159">
        <f t="shared" si="7"/>
        <v>1890</v>
      </c>
      <c r="G18" s="159">
        <f>SUMIF(AN!$C$3:$C$29,"MUD",AN!F$3:F$29)</f>
        <v>45</v>
      </c>
      <c r="H18" s="159">
        <f>SUMIF(AN!$C$3:$C$29,"MUD",AN!G$3:G$29)</f>
        <v>93</v>
      </c>
      <c r="I18" s="159">
        <f>SUMIF(AN!$C$3:$C$29,"MUD",AN!H$3:H$29)</f>
        <v>77</v>
      </c>
      <c r="J18" s="159">
        <f>SUMIF(AN!$C$3:$C$29,"MUD",AN!I$3:I$29)</f>
        <v>110</v>
      </c>
      <c r="K18" s="159">
        <f>SUMIF(AN!$C$3:$C$29,"MUD",AN!J$3:J$29)</f>
        <v>141</v>
      </c>
      <c r="L18" s="159">
        <f>SUMIF(AN!$C$3:$C$29,"MUD",AN!K$3:K$29)</f>
        <v>120</v>
      </c>
      <c r="M18" s="159">
        <f>SUMIF(AN!$C$3:$C$29,"MUD",AN!L$3:L$29)</f>
        <v>127</v>
      </c>
      <c r="N18" s="159">
        <f>SUMIF(AN!$C$3:$C$29,"MUD",AN!M$3:M$29)</f>
        <v>158</v>
      </c>
      <c r="O18" s="159">
        <f>SUMIF(AN!$C$3:$C$29,"MUD",AN!N$3:N$29)</f>
        <v>105</v>
      </c>
      <c r="P18" s="159">
        <f>SUMIF(AN!$C$3:$C$29,"MUD",AN!O$3:O$29)</f>
        <v>96</v>
      </c>
      <c r="Q18" s="159">
        <f>SUMIF(AN!$C$3:$C$29,"MUD",AN!P$3:P$29)</f>
        <v>111</v>
      </c>
      <c r="R18" s="159">
        <f>SUMIF(AN!$C$3:$C$29,"MUD",AN!Q$3:Q$29)</f>
        <v>116</v>
      </c>
      <c r="S18" s="159">
        <f>SUMIF(AN!$C$3:$C$29,"MUD",AN!R$3:R$29)</f>
        <v>93</v>
      </c>
      <c r="T18" s="159">
        <f>SUMIF(AN!$C$3:$C$29,"MUD",AN!S$3:S$29)</f>
        <v>106</v>
      </c>
      <c r="U18" s="159">
        <f>SUMIF(AN!$C$3:$C$29,"MUD",AN!T$3:T$29)</f>
        <v>116</v>
      </c>
      <c r="V18" s="159">
        <f>SUMIF(AN!$C$3:$C$29,"MUD",AN!U$3:U$29)</f>
        <v>117</v>
      </c>
      <c r="W18" s="159">
        <f>SUMIF(AN!$C$3:$C$29,"MUD",AN!V$3:V$29)</f>
        <v>89</v>
      </c>
      <c r="X18" s="160">
        <f>SUMIF(AN!$C$3:$C$29,"MUD",AN!W$3:W$29)</f>
        <v>70</v>
      </c>
    </row>
    <row r="19" spans="2:24" ht="15.75" customHeight="1" thickBot="1" x14ac:dyDescent="0.25">
      <c r="B19" s="224"/>
      <c r="C19" s="221"/>
      <c r="D19" s="161" t="s">
        <v>0</v>
      </c>
      <c r="E19" s="162">
        <f>F19/(F17+F18+F19)</f>
        <v>2.1849126034958602E-2</v>
      </c>
      <c r="F19" s="163">
        <f t="shared" si="7"/>
        <v>95</v>
      </c>
      <c r="G19" s="163">
        <f>SUMIF(AN!$C$3:$C$29,"Otro",AN!F$3:F$29)</f>
        <v>7</v>
      </c>
      <c r="H19" s="163">
        <f>SUMIF(AN!$C$3:$C$29,"Otro",AN!G$3:G$29)</f>
        <v>3</v>
      </c>
      <c r="I19" s="163">
        <f>SUMIF(AN!$C$3:$C$29,"Otro",AN!H$3:H$29)</f>
        <v>2</v>
      </c>
      <c r="J19" s="163">
        <f>SUMIF(AN!$C$3:$C$29,"Otro",AN!I$3:I$29)</f>
        <v>4</v>
      </c>
      <c r="K19" s="163">
        <f>SUMIF(AN!$C$3:$C$29,"Otro",AN!J$3:J$29)</f>
        <v>9</v>
      </c>
      <c r="L19" s="163">
        <f>SUMIF(AN!$C$3:$C$29,"Otro",AN!K$3:K$29)</f>
        <v>16</v>
      </c>
      <c r="M19" s="163">
        <f>SUMIF(AN!$C$3:$C$29,"Otro",AN!L$3:L$29)</f>
        <v>8</v>
      </c>
      <c r="N19" s="163">
        <f>SUMIF(AN!$C$3:$C$29,"Otro",AN!M$3:M$29)</f>
        <v>8</v>
      </c>
      <c r="O19" s="163">
        <f>SUMIF(AN!$C$3:$C$29,"Otro",AN!N$3:N$29)</f>
        <v>0</v>
      </c>
      <c r="P19" s="163">
        <f>SUMIF(AN!$C$3:$C$29,"Otro",AN!O$3:O$29)</f>
        <v>1</v>
      </c>
      <c r="Q19" s="163">
        <f>SUMIF(AN!$C$3:$C$29,"Otro",AN!P$3:P$29)</f>
        <v>6</v>
      </c>
      <c r="R19" s="163">
        <f>SUMIF(AN!$C$3:$C$29,"Otro",AN!Q$3:Q$29)</f>
        <v>2</v>
      </c>
      <c r="S19" s="163">
        <f>SUMIF(AN!$C$3:$C$29,"Otro",AN!R$3:R$29)</f>
        <v>3</v>
      </c>
      <c r="T19" s="163">
        <f>SUMIF(AN!$C$3:$C$29,"Otro",AN!S$3:S$29)</f>
        <v>8</v>
      </c>
      <c r="U19" s="163">
        <f>SUMIF(AN!$C$3:$C$29,"Otro",AN!T$3:T$29)</f>
        <v>6</v>
      </c>
      <c r="V19" s="163">
        <f>SUMIF(AN!$C$3:$C$29,"Otro",AN!U$3:U$29)</f>
        <v>7</v>
      </c>
      <c r="W19" s="163">
        <f>SUMIF(AN!$C$3:$C$29,"Otro",AN!V$3:V$29)</f>
        <v>4</v>
      </c>
      <c r="X19" s="164">
        <f>SUMIF(AN!$C$3:$C$29,"Otro",AN!W$3:W$29)</f>
        <v>1</v>
      </c>
    </row>
    <row r="20" spans="2:24" ht="15.75" customHeight="1" x14ac:dyDescent="0.2">
      <c r="B20" s="215" t="s">
        <v>147</v>
      </c>
      <c r="C20" s="225" t="s">
        <v>231</v>
      </c>
      <c r="D20" s="165" t="s">
        <v>149</v>
      </c>
      <c r="E20" s="166"/>
      <c r="F20" s="167"/>
      <c r="G20" s="167">
        <f>IF(SUM(G23:G25)=0,1,G23)</f>
        <v>6.1106851461717131</v>
      </c>
      <c r="H20" s="167">
        <f t="shared" ref="H20:X20" si="8">IF(SUM(H23:H25)=0,0,G20+H23)</f>
        <v>13.75523183996866</v>
      </c>
      <c r="I20" s="167">
        <f t="shared" si="8"/>
        <v>24.749571258959591</v>
      </c>
      <c r="J20" s="167">
        <f t="shared" si="8"/>
        <v>37.737826352882863</v>
      </c>
      <c r="K20" s="167">
        <f t="shared" si="8"/>
        <v>47.060747308625594</v>
      </c>
      <c r="L20" s="167">
        <f t="shared" si="8"/>
        <v>58.428745037997054</v>
      </c>
      <c r="M20" s="167">
        <f t="shared" si="8"/>
        <v>73.776634912512847</v>
      </c>
      <c r="N20" s="167">
        <f t="shared" si="8"/>
        <v>83.858765305755327</v>
      </c>
      <c r="O20" s="167">
        <f t="shared" si="8"/>
        <v>93.566605770114847</v>
      </c>
      <c r="P20" s="167">
        <f t="shared" si="8"/>
        <v>97.450415948766945</v>
      </c>
      <c r="Q20" s="167">
        <f t="shared" si="8"/>
        <v>106.97427553757531</v>
      </c>
      <c r="R20" s="167">
        <f t="shared" si="8"/>
        <v>122.2590275473614</v>
      </c>
      <c r="S20" s="167">
        <f t="shared" si="8"/>
        <v>133.85188945876692</v>
      </c>
      <c r="T20" s="167">
        <f t="shared" si="8"/>
        <v>144.8765305755324</v>
      </c>
      <c r="U20" s="167">
        <f t="shared" si="8"/>
        <v>153.55027563351737</v>
      </c>
      <c r="V20" s="167">
        <f t="shared" si="8"/>
        <v>161.37885117389098</v>
      </c>
      <c r="W20" s="167">
        <f t="shared" si="8"/>
        <v>170.40314050313611</v>
      </c>
      <c r="X20" s="168">
        <f t="shared" si="8"/>
        <v>182.71658318375702</v>
      </c>
    </row>
    <row r="21" spans="2:24" ht="15.75" customHeight="1" x14ac:dyDescent="0.2">
      <c r="B21" s="215"/>
      <c r="C21" s="226"/>
      <c r="D21" s="117" t="s">
        <v>150</v>
      </c>
      <c r="E21" s="118"/>
      <c r="F21" s="119"/>
      <c r="G21" s="119">
        <f>IF(SUM(G23:G25)=0,1,G24)</f>
        <v>3.1332195354006185</v>
      </c>
      <c r="H21" s="119">
        <f t="shared" ref="H21:X21" si="9">IF(SUM(H23:H25)=0,0,G21+H24)</f>
        <v>7.1801511886820366</v>
      </c>
      <c r="I21" s="119">
        <f t="shared" si="9"/>
        <v>14.074614932580722</v>
      </c>
      <c r="J21" s="119">
        <f t="shared" si="9"/>
        <v>19.64469060687345</v>
      </c>
      <c r="K21" s="119">
        <f t="shared" si="9"/>
        <v>26.427437827552161</v>
      </c>
      <c r="L21" s="119">
        <f t="shared" si="9"/>
        <v>39.678494189509536</v>
      </c>
      <c r="M21" s="119">
        <f t="shared" si="9"/>
        <v>47.729971097457138</v>
      </c>
      <c r="N21" s="119">
        <f t="shared" si="9"/>
        <v>52.74660105296401</v>
      </c>
      <c r="O21" s="119">
        <f t="shared" si="9"/>
        <v>58.242449560465481</v>
      </c>
      <c r="P21" s="119">
        <f t="shared" si="9"/>
        <v>60.243201106531657</v>
      </c>
      <c r="Q21" s="119">
        <f t="shared" si="9"/>
        <v>65.632338067807041</v>
      </c>
      <c r="R21" s="119">
        <f t="shared" si="9"/>
        <v>75.340930078232745</v>
      </c>
      <c r="S21" s="119">
        <f t="shared" si="9"/>
        <v>83.017717298751549</v>
      </c>
      <c r="T21" s="119">
        <f t="shared" si="9"/>
        <v>89.772525394661614</v>
      </c>
      <c r="U21" s="119">
        <f t="shared" si="9"/>
        <v>94.113543419774444</v>
      </c>
      <c r="V21" s="119">
        <f t="shared" si="9"/>
        <v>99.492450559861837</v>
      </c>
      <c r="W21" s="119">
        <f t="shared" si="9"/>
        <v>105.01860076513785</v>
      </c>
      <c r="X21" s="132">
        <f t="shared" si="9"/>
        <v>109.79416032716239</v>
      </c>
    </row>
    <row r="22" spans="2:24" ht="15.75" customHeight="1" thickBot="1" x14ac:dyDescent="0.25">
      <c r="B22" s="215"/>
      <c r="C22" s="227"/>
      <c r="D22" s="120" t="s">
        <v>0</v>
      </c>
      <c r="E22" s="121"/>
      <c r="F22" s="122"/>
      <c r="G22" s="122">
        <f>IF(SUM(G23:G25)=0,1,G25)</f>
        <v>3.5947287838145758</v>
      </c>
      <c r="H22" s="122">
        <f t="shared" ref="H22:X22" si="10">IF(SUM(H23:H25)=0,0,G22+H25)</f>
        <v>5.474745253866665</v>
      </c>
      <c r="I22" s="122">
        <f t="shared" si="10"/>
        <v>10.765509632182162</v>
      </c>
      <c r="J22" s="122">
        <f t="shared" si="10"/>
        <v>15.857518059092309</v>
      </c>
      <c r="K22" s="122">
        <f t="shared" si="10"/>
        <v>20.477495592662031</v>
      </c>
      <c r="L22" s="122">
        <f t="shared" si="10"/>
        <v>24.160367138248496</v>
      </c>
      <c r="M22" s="122">
        <f t="shared" si="10"/>
        <v>27.886304671978124</v>
      </c>
      <c r="N22" s="122">
        <f t="shared" si="10"/>
        <v>31.042238487953277</v>
      </c>
      <c r="O22" s="122">
        <f t="shared" si="10"/>
        <v>34.341621660517049</v>
      </c>
      <c r="P22" s="122">
        <f t="shared" si="10"/>
        <v>36.512330552346384</v>
      </c>
      <c r="Q22" s="122">
        <f t="shared" si="10"/>
        <v>39.838221714084696</v>
      </c>
      <c r="R22" s="122">
        <f t="shared" si="10"/>
        <v>45.047923054475099</v>
      </c>
      <c r="S22" s="122">
        <f t="shared" si="10"/>
        <v>52.233478978696866</v>
      </c>
      <c r="T22" s="122">
        <f t="shared" si="10"/>
        <v>55.853104724746252</v>
      </c>
      <c r="U22" s="122">
        <f t="shared" si="10"/>
        <v>62.331135993859711</v>
      </c>
      <c r="V22" s="122">
        <f t="shared" si="10"/>
        <v>66.830778209961181</v>
      </c>
      <c r="W22" s="122">
        <f t="shared" si="10"/>
        <v>72.18392890694021</v>
      </c>
      <c r="X22" s="133">
        <f t="shared" si="10"/>
        <v>77.668796047187499</v>
      </c>
    </row>
    <row r="23" spans="2:24" ht="15.75" customHeight="1" x14ac:dyDescent="0.2">
      <c r="B23" s="215"/>
      <c r="C23" s="228" t="s">
        <v>232</v>
      </c>
      <c r="D23" s="123" t="s">
        <v>149</v>
      </c>
      <c r="E23" s="124">
        <f>F23/(F23+F24+F25)</f>
        <v>0.49358909301651482</v>
      </c>
      <c r="F23" s="125">
        <f t="shared" ref="F23:F28" si="11">IF(SUM(G23:X23)=0,1,SUM(G23:X23))</f>
        <v>182.71658318375702</v>
      </c>
      <c r="G23" s="125">
        <f>AP!F3*AP!$B$5+AP!F6*AP!$B$8+AP!F9*AP!$B$11+AP!F12*AP!$B$14</f>
        <v>6.1106851461717131</v>
      </c>
      <c r="H23" s="125">
        <f>AP!G3*AP!$B$5+AP!G6*AP!$B$8+AP!G9*AP!$B$11+AP!G12*AP!$B$14</f>
        <v>7.6445466937969471</v>
      </c>
      <c r="I23" s="125">
        <f>AP!H3*AP!$B$5+AP!H6*AP!$B$8+AP!H9*AP!$B$11+AP!H12*AP!$B$14</f>
        <v>10.994339418990929</v>
      </c>
      <c r="J23" s="125">
        <f>AP!I3*AP!$B$5+AP!I6*AP!$B$8+AP!I9*AP!$B$11+AP!I12*AP!$B$14</f>
        <v>12.988255093923271</v>
      </c>
      <c r="K23" s="125">
        <f>AP!J3*AP!$B$5+AP!J6*AP!$B$8+AP!J9*AP!$B$11+AP!J12*AP!$B$14</f>
        <v>9.3229209557427328</v>
      </c>
      <c r="L23" s="125">
        <f>AP!K3*AP!$B$5+AP!K6*AP!$B$8+AP!K9*AP!$B$11+AP!K12*AP!$B$14</f>
        <v>11.36799772937146</v>
      </c>
      <c r="M23" s="125">
        <f>AP!L3*AP!$B$5+AP!L6*AP!$B$8+AP!L9*AP!$B$11+AP!L12*AP!$B$14</f>
        <v>15.347889874515793</v>
      </c>
      <c r="N23" s="125">
        <f>AP!M3*AP!$B$5+AP!M6*AP!$B$8+AP!M9*AP!$B$11+AP!M12*AP!$B$14</f>
        <v>10.082130393242482</v>
      </c>
      <c r="O23" s="125">
        <f>AP!N3*AP!$B$5+AP!N6*AP!$B$8+AP!N9*AP!$B$11+AP!N12*AP!$B$14</f>
        <v>9.7078404643595277</v>
      </c>
      <c r="P23" s="125">
        <f>AP!O3*AP!$B$5+AP!O6*AP!$B$8+AP!O9*AP!$B$11+AP!O12*AP!$B$14</f>
        <v>3.883810178652094</v>
      </c>
      <c r="Q23" s="125">
        <f>AP!P3*AP!$B$5+AP!P6*AP!$B$8+AP!P9*AP!$B$11+AP!P12*AP!$B$14</f>
        <v>9.5238595888083601</v>
      </c>
      <c r="R23" s="125">
        <f>AP!Q3*AP!$B$5+AP!Q6*AP!$B$8+AP!Q9*AP!$B$11+AP!Q12*AP!$B$14</f>
        <v>15.284752009786089</v>
      </c>
      <c r="S23" s="125">
        <f>AP!R3*AP!$B$5+AP!R6*AP!$B$8+AP!R9*AP!$B$11+AP!R12*AP!$B$14</f>
        <v>11.592861911405512</v>
      </c>
      <c r="T23" s="125">
        <f>AP!S3*AP!$B$5+AP!S6*AP!$B$8+AP!S9*AP!$B$11+AP!S12*AP!$B$14</f>
        <v>11.024641116765475</v>
      </c>
      <c r="U23" s="125">
        <f>AP!T3*AP!$B$5+AP!T6*AP!$B$8+AP!T9*AP!$B$11+AP!T12*AP!$B$14</f>
        <v>8.6737450579849771</v>
      </c>
      <c r="V23" s="125">
        <f>AP!U3*AP!$B$5+AP!U6*AP!$B$8+AP!U9*AP!$B$11+AP!U12*AP!$B$14</f>
        <v>7.828575540373615</v>
      </c>
      <c r="W23" s="125">
        <f>AP!V3*AP!$B$5+AP!V6*AP!$B$8+AP!V9*AP!$B$11+AP!V12*AP!$B$14</f>
        <v>9.0242893292451356</v>
      </c>
      <c r="X23" s="134">
        <f>AP!W3*AP!$B$5+AP!W6*AP!$B$8+AP!W9*AP!$B$11+AP!W12*AP!$B$14</f>
        <v>12.313442680620906</v>
      </c>
    </row>
    <row r="24" spans="2:24" ht="15.75" customHeight="1" x14ac:dyDescent="0.2">
      <c r="B24" s="215"/>
      <c r="C24" s="226"/>
      <c r="D24" s="117" t="s">
        <v>150</v>
      </c>
      <c r="E24" s="118">
        <f>F24/(F23+F24+F25)</f>
        <v>0.29659705249573382</v>
      </c>
      <c r="F24" s="119">
        <f t="shared" si="11"/>
        <v>109.79416032716239</v>
      </c>
      <c r="G24" s="119">
        <f>AP!F4*AP!$B$5+AP!F7*AP!$B$8+AP!F10*AP!$B$11+AP!F13*AP!$B$14</f>
        <v>3.1332195354006185</v>
      </c>
      <c r="H24" s="119">
        <f>AP!G4*AP!$B$5+AP!G7*AP!$B$8+AP!G10*AP!$B$11+AP!G13*AP!$B$14</f>
        <v>4.0469316532814181</v>
      </c>
      <c r="I24" s="119">
        <f>AP!H4*AP!$B$5+AP!H7*AP!$B$8+AP!H10*AP!$B$11+AP!H13*AP!$B$14</f>
        <v>6.8944637438986858</v>
      </c>
      <c r="J24" s="119">
        <f>AP!I4*AP!$B$5+AP!I7*AP!$B$8+AP!I10*AP!$B$11+AP!I13*AP!$B$14</f>
        <v>5.5700756742927275</v>
      </c>
      <c r="K24" s="119">
        <f>AP!J4*AP!$B$5+AP!J7*AP!$B$8+AP!J10*AP!$B$11+AP!J13*AP!$B$14</f>
        <v>6.7827472206787105</v>
      </c>
      <c r="L24" s="119">
        <f>AP!K4*AP!$B$5+AP!K7*AP!$B$8+AP!K10*AP!$B$11+AP!K13*AP!$B$14</f>
        <v>13.251056361957378</v>
      </c>
      <c r="M24" s="119">
        <f>AP!L4*AP!$B$5+AP!L7*AP!$B$8+AP!L10*AP!$B$11+AP!L13*AP!$B$14</f>
        <v>8.051476907947599</v>
      </c>
      <c r="N24" s="119">
        <f>AP!M4*AP!$B$5+AP!M7*AP!$B$8+AP!M10*AP!$B$11+AP!M13*AP!$B$14</f>
        <v>5.0166299555068736</v>
      </c>
      <c r="O24" s="119">
        <f>AP!N4*AP!$B$5+AP!N7*AP!$B$8+AP!N10*AP!$B$11+AP!N13*AP!$B$14</f>
        <v>5.4958485075014689</v>
      </c>
      <c r="P24" s="119">
        <f>AP!O4*AP!$B$5+AP!O7*AP!$B$8+AP!O10*AP!$B$11+AP!O13*AP!$B$14</f>
        <v>2.000751546066176</v>
      </c>
      <c r="Q24" s="119">
        <f>AP!P4*AP!$B$5+AP!P7*AP!$B$8+AP!P10*AP!$B$11+AP!P13*AP!$B$14</f>
        <v>5.3891369612753905</v>
      </c>
      <c r="R24" s="119">
        <f>AP!Q4*AP!$B$5+AP!Q7*AP!$B$8+AP!Q10*AP!$B$11+AP!Q13*AP!$B$14</f>
        <v>9.7085920104257024</v>
      </c>
      <c r="S24" s="119">
        <f>AP!R4*AP!$B$5+AP!R7*AP!$B$8+AP!R10*AP!$B$11+AP!R13*AP!$B$14</f>
        <v>7.6767872205188077</v>
      </c>
      <c r="T24" s="119">
        <f>AP!S4*AP!$B$5+AP!S7*AP!$B$8+AP!S10*AP!$B$11+AP!S13*AP!$B$14</f>
        <v>6.7548080959100707</v>
      </c>
      <c r="U24" s="119">
        <f>AP!T4*AP!$B$5+AP!T7*AP!$B$8+AP!T10*AP!$B$11+AP!T13*AP!$B$14</f>
        <v>4.3410180251128327</v>
      </c>
      <c r="V24" s="119">
        <f>AP!U4*AP!$B$5+AP!U7*AP!$B$8+AP!U10*AP!$B$11+AP!U13*AP!$B$14</f>
        <v>5.3789071400873878</v>
      </c>
      <c r="W24" s="119">
        <f>AP!V4*AP!$B$5+AP!V7*AP!$B$8+AP!V10*AP!$B$11+AP!V13*AP!$B$14</f>
        <v>5.5261502052760134</v>
      </c>
      <c r="X24" s="132">
        <f>AP!W4*AP!$B$5+AP!W7*AP!$B$8+AP!W10*AP!$B$11+AP!W13*AP!$B$14</f>
        <v>4.7755595620245375</v>
      </c>
    </row>
    <row r="25" spans="2:24" ht="15.75" customHeight="1" thickBot="1" x14ac:dyDescent="0.25">
      <c r="B25" s="215"/>
      <c r="C25" s="227"/>
      <c r="D25" s="120" t="s">
        <v>0</v>
      </c>
      <c r="E25" s="121">
        <f>F25/(F23+F24+F25)</f>
        <v>0.20981385448775156</v>
      </c>
      <c r="F25" s="122">
        <f t="shared" si="11"/>
        <v>77.668796047187499</v>
      </c>
      <c r="G25" s="122">
        <f>AP!F5*AP!$B$5+AP!F8*AP!$B$8+AP!F11*AP!$B$11+AP!F14*AP!$B$14</f>
        <v>3.5947287838145758</v>
      </c>
      <c r="H25" s="122">
        <f>AP!G5*AP!$B$5+AP!G8*AP!$B$8+AP!G11*AP!$B$11+AP!G14*AP!$B$14</f>
        <v>1.8800164700520887</v>
      </c>
      <c r="I25" s="122">
        <f>AP!H5*AP!$B$5+AP!H8*AP!$B$8+AP!H11*AP!$B$11+AP!H14*AP!$B$14</f>
        <v>5.2907643783154974</v>
      </c>
      <c r="J25" s="122">
        <f>AP!I5*AP!$B$5+AP!I8*AP!$B$8+AP!I11*AP!$B$11+AP!I14*AP!$B$14</f>
        <v>5.0920084269101462</v>
      </c>
      <c r="K25" s="122">
        <f>AP!J5*AP!$B$5+AP!J8*AP!$B$8+AP!J11*AP!$B$11+AP!J14*AP!$B$14</f>
        <v>4.619977533569724</v>
      </c>
      <c r="L25" s="122">
        <f>AP!K5*AP!$B$5+AP!K8*AP!$B$8+AP!K11*AP!$B$11+AP!K14*AP!$B$14</f>
        <v>3.6828715455864662</v>
      </c>
      <c r="M25" s="122">
        <f>AP!L5*AP!$B$5+AP!L8*AP!$B$8+AP!L11*AP!$B$11+AP!L14*AP!$B$14</f>
        <v>3.7259375337296277</v>
      </c>
      <c r="N25" s="122">
        <f>AP!M5*AP!$B$5+AP!M8*AP!$B$8+AP!M11*AP!$B$11+AP!M14*AP!$B$14</f>
        <v>3.1559338159751515</v>
      </c>
      <c r="O25" s="122">
        <f>AP!N5*AP!$B$5+AP!N8*AP!$B$8+AP!N11*AP!$B$11+AP!N14*AP!$B$14</f>
        <v>3.2993831725637719</v>
      </c>
      <c r="P25" s="122">
        <f>AP!O5*AP!$B$5+AP!O8*AP!$B$8+AP!O11*AP!$B$11+AP!O14*AP!$B$14</f>
        <v>2.1707088918293351</v>
      </c>
      <c r="Q25" s="122">
        <f>AP!P5*AP!$B$5+AP!P8*AP!$B$8+AP!P11*AP!$B$11+AP!P14*AP!$B$14</f>
        <v>3.3258911617383102</v>
      </c>
      <c r="R25" s="122">
        <f>AP!Q5*AP!$B$5+AP!Q8*AP!$B$8+AP!Q11*AP!$B$11+AP!Q14*AP!$B$14</f>
        <v>5.2097013403904047</v>
      </c>
      <c r="S25" s="122">
        <f>AP!R5*AP!$B$5+AP!R8*AP!$B$8+AP!R11*AP!$B$11+AP!R14*AP!$B$14</f>
        <v>7.1855559242217701</v>
      </c>
      <c r="T25" s="122">
        <f>AP!S5*AP!$B$5+AP!S8*AP!$B$8+AP!S11*AP!$B$11+AP!S14*AP!$B$14</f>
        <v>3.6196257460493859</v>
      </c>
      <c r="U25" s="122">
        <f>AP!T5*AP!$B$5+AP!T8*AP!$B$8+AP!T11*AP!$B$11+AP!T14*AP!$B$14</f>
        <v>6.4780312691134565</v>
      </c>
      <c r="V25" s="122">
        <f>AP!U5*AP!$B$5+AP!U8*AP!$B$8+AP!U11*AP!$B$11+AP!U14*AP!$B$14</f>
        <v>4.4996422161014751</v>
      </c>
      <c r="W25" s="122">
        <f>AP!V5*AP!$B$5+AP!V8*AP!$B$8+AP!V11*AP!$B$11+AP!V14*AP!$B$14</f>
        <v>5.353150696979025</v>
      </c>
      <c r="X25" s="133">
        <f>AP!W5*AP!$B$5+AP!W8*AP!$B$8+AP!W11*AP!$B$11+AP!W14*AP!$B$14</f>
        <v>5.4848671402472906</v>
      </c>
    </row>
    <row r="26" spans="2:24" ht="15.75" customHeight="1" x14ac:dyDescent="0.2">
      <c r="B26" s="215"/>
      <c r="C26" s="228" t="s">
        <v>111</v>
      </c>
      <c r="D26" s="123" t="s">
        <v>149</v>
      </c>
      <c r="E26" s="124">
        <f>F26/(F26+F27+F28)</f>
        <v>0.50424448217317486</v>
      </c>
      <c r="F26" s="126">
        <f t="shared" si="11"/>
        <v>594</v>
      </c>
      <c r="G26" s="126">
        <f>SUMIF(AP!$C$3:$C$14,"PSUV",AP!F$3:F$14)</f>
        <v>24</v>
      </c>
      <c r="H26" s="126">
        <f>SUMIF(AP!$C$3:$C$14,"PSUV",AP!G$3:G$14)</f>
        <v>31</v>
      </c>
      <c r="I26" s="126">
        <f>SUMIF(AP!$C$3:$C$14,"PSUV",AP!H$3:H$14)</f>
        <v>43</v>
      </c>
      <c r="J26" s="126">
        <f>SUMIF(AP!$C$3:$C$14,"PSUV",AP!I$3:I$14)</f>
        <v>49</v>
      </c>
      <c r="K26" s="126">
        <f>SUMIF(AP!$C$3:$C$14,"PSUV",AP!J$3:J$14)</f>
        <v>28</v>
      </c>
      <c r="L26" s="126">
        <f>SUMIF(AP!$C$3:$C$14,"PSUV",AP!K$3:K$14)</f>
        <v>33</v>
      </c>
      <c r="M26" s="126">
        <f>SUMIF(AP!$C$3:$C$14,"PSUV",AP!L$3:L$14)</f>
        <v>44</v>
      </c>
      <c r="N26" s="126">
        <f>SUMIF(AP!$C$3:$C$14,"PSUV",AP!M$3:M$14)</f>
        <v>33</v>
      </c>
      <c r="O26" s="126">
        <f>SUMIF(AP!$C$3:$C$14,"PSUV",AP!N$3:N$14)</f>
        <v>29</v>
      </c>
      <c r="P26" s="126">
        <f>SUMIF(AP!$C$3:$C$14,"PSUV",AP!O$3:O$14)</f>
        <v>11</v>
      </c>
      <c r="Q26" s="126">
        <f>SUMIF(AP!$C$3:$C$14,"PSUV",AP!P$3:P$14)</f>
        <v>26</v>
      </c>
      <c r="R26" s="126">
        <f>SUMIF(AP!$C$3:$C$14,"PSUV",AP!Q$3:Q$14)</f>
        <v>50</v>
      </c>
      <c r="S26" s="126">
        <f>SUMIF(AP!$C$3:$C$14,"PSUV",AP!R$3:R$14)</f>
        <v>43</v>
      </c>
      <c r="T26" s="126">
        <f>SUMIF(AP!$C$3:$C$14,"PSUV",AP!S$3:S$14)</f>
        <v>40</v>
      </c>
      <c r="U26" s="126">
        <f>SUMIF(AP!$C$3:$C$14,"PSUV",AP!T$3:T$14)</f>
        <v>30</v>
      </c>
      <c r="V26" s="126">
        <f>SUMIF(AP!$C$3:$C$14,"PSUV",AP!U$3:U$14)</f>
        <v>21</v>
      </c>
      <c r="W26" s="126">
        <f>SUMIF(AP!$C$3:$C$14,"PSUV",AP!V$3:V$14)</f>
        <v>27</v>
      </c>
      <c r="X26" s="135">
        <f>SUMIF(AP!$C$3:$C$14,"PSUV",AP!W$3:W$14)</f>
        <v>32</v>
      </c>
    </row>
    <row r="27" spans="2:24" ht="15.75" customHeight="1" x14ac:dyDescent="0.2">
      <c r="B27" s="215"/>
      <c r="C27" s="226"/>
      <c r="D27" s="117" t="s">
        <v>150</v>
      </c>
      <c r="E27" s="118">
        <f>F27/(F26+F27+F28)</f>
        <v>0.30050933786078099</v>
      </c>
      <c r="F27" s="127">
        <f t="shared" si="11"/>
        <v>354</v>
      </c>
      <c r="G27" s="127">
        <f>SUMIF(AP!$C$3:$C$14,"MUD",AP!F$3:F$14)</f>
        <v>8</v>
      </c>
      <c r="H27" s="127">
        <f>SUMIF(AP!$C$3:$C$14,"MUD",AP!G$3:G$14)</f>
        <v>12</v>
      </c>
      <c r="I27" s="127">
        <f>SUMIF(AP!$C$3:$C$14,"MUD",AP!H$3:H$14)</f>
        <v>29</v>
      </c>
      <c r="J27" s="127">
        <f>SUMIF(AP!$C$3:$C$14,"MUD",AP!I$3:I$14)</f>
        <v>22</v>
      </c>
      <c r="K27" s="127">
        <f>SUMIF(AP!$C$3:$C$14,"MUD",AP!J$3:J$14)</f>
        <v>23</v>
      </c>
      <c r="L27" s="127">
        <f>SUMIF(AP!$C$3:$C$14,"MUD",AP!K$3:K$14)</f>
        <v>39</v>
      </c>
      <c r="M27" s="127">
        <f>SUMIF(AP!$C$3:$C$14,"MUD",AP!L$3:L$14)</f>
        <v>23</v>
      </c>
      <c r="N27" s="127">
        <f>SUMIF(AP!$C$3:$C$14,"MUD",AP!M$3:M$14)</f>
        <v>19</v>
      </c>
      <c r="O27" s="127">
        <f>SUMIF(AP!$C$3:$C$14,"MUD",AP!N$3:N$14)</f>
        <v>17</v>
      </c>
      <c r="P27" s="127">
        <f>SUMIF(AP!$C$3:$C$14,"MUD",AP!O$3:O$14)</f>
        <v>5</v>
      </c>
      <c r="Q27" s="127">
        <f>SUMIF(AP!$C$3:$C$14,"MUD",AP!P$3:P$14)</f>
        <v>20</v>
      </c>
      <c r="R27" s="127">
        <f>SUMIF(AP!$C$3:$C$14,"MUD",AP!Q$3:Q$14)</f>
        <v>26</v>
      </c>
      <c r="S27" s="127">
        <f>SUMIF(AP!$C$3:$C$14,"MUD",AP!R$3:R$14)</f>
        <v>27</v>
      </c>
      <c r="T27" s="127">
        <f>SUMIF(AP!$C$3:$C$14,"MUD",AP!S$3:S$14)</f>
        <v>26</v>
      </c>
      <c r="U27" s="127">
        <f>SUMIF(AP!$C$3:$C$14,"MUD",AP!T$3:T$14)</f>
        <v>18</v>
      </c>
      <c r="V27" s="127">
        <f>SUMIF(AP!$C$3:$C$14,"MUD",AP!U$3:U$14)</f>
        <v>15</v>
      </c>
      <c r="W27" s="127">
        <f>SUMIF(AP!$C$3:$C$14,"MUD",AP!V$3:V$14)</f>
        <v>14</v>
      </c>
      <c r="X27" s="136">
        <f>SUMIF(AP!$C$3:$C$14,"MUD",AP!W$3:W$14)</f>
        <v>11</v>
      </c>
    </row>
    <row r="28" spans="2:24" ht="15.75" customHeight="1" thickBot="1" x14ac:dyDescent="0.25">
      <c r="B28" s="216"/>
      <c r="C28" s="229"/>
      <c r="D28" s="137" t="s">
        <v>0</v>
      </c>
      <c r="E28" s="138">
        <f>F28/(F26+F27+F28)</f>
        <v>0.19524617996604415</v>
      </c>
      <c r="F28" s="139">
        <f t="shared" si="11"/>
        <v>230</v>
      </c>
      <c r="G28" s="139">
        <f>SUMIF(AP!$C$3:$C$14,"Otro",AP!F$3:F$14)</f>
        <v>14</v>
      </c>
      <c r="H28" s="139">
        <f>SUMIF(AP!$C$3:$C$14,"Otro",AP!G$3:G$14)</f>
        <v>5</v>
      </c>
      <c r="I28" s="139">
        <f>SUMIF(AP!$C$3:$C$14,"Otro",AP!H$3:H$14)</f>
        <v>16</v>
      </c>
      <c r="J28" s="139">
        <f>SUMIF(AP!$C$3:$C$14,"Otro",AP!I$3:I$14)</f>
        <v>13</v>
      </c>
      <c r="K28" s="139">
        <f>SUMIF(AP!$C$3:$C$14,"Otro",AP!J$3:J$14)</f>
        <v>19</v>
      </c>
      <c r="L28" s="139">
        <f>SUMIF(AP!$C$3:$C$14,"Otro",AP!K$3:K$14)</f>
        <v>13</v>
      </c>
      <c r="M28" s="139">
        <f>SUMIF(AP!$C$3:$C$14,"Otro",AP!L$3:L$14)</f>
        <v>15</v>
      </c>
      <c r="N28" s="139">
        <f>SUMIF(AP!$C$3:$C$14,"Otro",AP!M$3:M$14)</f>
        <v>9</v>
      </c>
      <c r="O28" s="139">
        <f>SUMIF(AP!$C$3:$C$14,"Otro",AP!N$3:N$14)</f>
        <v>10</v>
      </c>
      <c r="P28" s="139">
        <f>SUMIF(AP!$C$3:$C$14,"Otro",AP!O$3:O$14)</f>
        <v>5</v>
      </c>
      <c r="Q28" s="139">
        <f>SUMIF(AP!$C$3:$C$14,"Otro",AP!P$3:P$14)</f>
        <v>9</v>
      </c>
      <c r="R28" s="139">
        <f>SUMIF(AP!$C$3:$C$14,"Otro",AP!Q$3:Q$14)</f>
        <v>12</v>
      </c>
      <c r="S28" s="139">
        <f>SUMIF(AP!$C$3:$C$14,"Otro",AP!R$3:R$14)</f>
        <v>21</v>
      </c>
      <c r="T28" s="139">
        <f>SUMIF(AP!$C$3:$C$14,"Otro",AP!S$3:S$14)</f>
        <v>10</v>
      </c>
      <c r="U28" s="139">
        <f>SUMIF(AP!$C$3:$C$14,"Otro",AP!T$3:T$14)</f>
        <v>20</v>
      </c>
      <c r="V28" s="139">
        <f>SUMIF(AP!$C$3:$C$14,"Otro",AP!U$3:U$14)</f>
        <v>11</v>
      </c>
      <c r="W28" s="139">
        <f>SUMIF(AP!$C$3:$C$14,"Otro",AP!V$3:V$14)</f>
        <v>13</v>
      </c>
      <c r="X28" s="140">
        <f>SUMIF(AP!$C$3:$C$14,"Otro",AP!W$3:W$14)</f>
        <v>15</v>
      </c>
    </row>
    <row r="29" spans="2:24" ht="15.75" customHeight="1" x14ac:dyDescent="0.2">
      <c r="B29" s="214" t="s">
        <v>151</v>
      </c>
      <c r="C29" s="217" t="s">
        <v>231</v>
      </c>
      <c r="D29" s="141" t="s">
        <v>153</v>
      </c>
      <c r="E29" s="142"/>
      <c r="F29" s="143"/>
      <c r="G29" s="143">
        <f>IF(SUM(G32:G34)=0,1,G32)</f>
        <v>6.3289008313599595</v>
      </c>
      <c r="H29" s="143">
        <f t="shared" ref="H29:X29" si="12">IF(SUM(H32:H34)=0,0,G29+H32)</f>
        <v>12.587425946456758</v>
      </c>
      <c r="I29" s="143">
        <f t="shared" si="12"/>
        <v>30.247628945862203</v>
      </c>
      <c r="J29" s="143">
        <f t="shared" si="12"/>
        <v>45.971301391332808</v>
      </c>
      <c r="K29" s="143">
        <f t="shared" si="12"/>
        <v>62.427246525828927</v>
      </c>
      <c r="L29" s="143">
        <f t="shared" si="12"/>
        <v>80.984676568520385</v>
      </c>
      <c r="M29" s="143">
        <f t="shared" si="12"/>
        <v>94.265589501803547</v>
      </c>
      <c r="N29" s="143">
        <f t="shared" si="12"/>
        <v>108.27604645851383</v>
      </c>
      <c r="O29" s="143">
        <f t="shared" si="12"/>
        <v>124.18523025369839</v>
      </c>
      <c r="P29" s="143">
        <f t="shared" si="12"/>
        <v>124.98387304076539</v>
      </c>
      <c r="Q29" s="143">
        <f t="shared" si="12"/>
        <v>140.65213813280121</v>
      </c>
      <c r="R29" s="143">
        <f t="shared" si="12"/>
        <v>156.66874129087796</v>
      </c>
      <c r="S29" s="143">
        <f t="shared" si="12"/>
        <v>179.39728853303941</v>
      </c>
      <c r="T29" s="143">
        <f t="shared" si="12"/>
        <v>197.52422650051179</v>
      </c>
      <c r="U29" s="143">
        <f t="shared" si="12"/>
        <v>215.22998739691218</v>
      </c>
      <c r="V29" s="143">
        <f t="shared" si="12"/>
        <v>229.6774108837788</v>
      </c>
      <c r="W29" s="143">
        <f t="shared" si="12"/>
        <v>248.30332386791815</v>
      </c>
      <c r="X29" s="144">
        <f t="shared" si="12"/>
        <v>261.4380816676391</v>
      </c>
    </row>
    <row r="30" spans="2:24" ht="15.75" customHeight="1" x14ac:dyDescent="0.2">
      <c r="B30" s="215"/>
      <c r="C30" s="218"/>
      <c r="D30" s="145" t="s">
        <v>154</v>
      </c>
      <c r="E30" s="146"/>
      <c r="F30" s="147"/>
      <c r="G30" s="147">
        <f>IF(SUM(G32:G34)=0,1,G33)</f>
        <v>3.707900554887233</v>
      </c>
      <c r="H30" s="147">
        <f t="shared" ref="H30:X30" si="13">IF(SUM(H32:H34)=0,0,G30+H33)</f>
        <v>8.7934221683043905</v>
      </c>
      <c r="I30" s="147">
        <f t="shared" si="13"/>
        <v>25.769568767273768</v>
      </c>
      <c r="J30" s="147">
        <f t="shared" si="13"/>
        <v>40.460366848793463</v>
      </c>
      <c r="K30" s="147">
        <f t="shared" si="13"/>
        <v>57.324661274677965</v>
      </c>
      <c r="L30" s="147">
        <f t="shared" si="13"/>
        <v>65.997272259059571</v>
      </c>
      <c r="M30" s="147">
        <f t="shared" si="13"/>
        <v>81.707335588882287</v>
      </c>
      <c r="N30" s="147">
        <f t="shared" si="13"/>
        <v>90.343973680536237</v>
      </c>
      <c r="O30" s="147">
        <f t="shared" si="13"/>
        <v>106.30567619773257</v>
      </c>
      <c r="P30" s="147">
        <f t="shared" si="13"/>
        <v>107.49000306061781</v>
      </c>
      <c r="Q30" s="147">
        <f t="shared" si="13"/>
        <v>120.82462012739938</v>
      </c>
      <c r="R30" s="147">
        <f t="shared" si="13"/>
        <v>134.97622519489479</v>
      </c>
      <c r="S30" s="147">
        <f t="shared" si="13"/>
        <v>151.19901043106631</v>
      </c>
      <c r="T30" s="147">
        <f t="shared" si="13"/>
        <v>166.42601488144501</v>
      </c>
      <c r="U30" s="147">
        <f t="shared" si="13"/>
        <v>184.28893064233216</v>
      </c>
      <c r="V30" s="147">
        <f t="shared" si="13"/>
        <v>196.43240796648303</v>
      </c>
      <c r="W30" s="147">
        <f t="shared" si="13"/>
        <v>208.6019495488132</v>
      </c>
      <c r="X30" s="148">
        <f t="shared" si="13"/>
        <v>223.48308476986654</v>
      </c>
    </row>
    <row r="31" spans="2:24" ht="15.75" customHeight="1" thickBot="1" x14ac:dyDescent="0.25">
      <c r="B31" s="215"/>
      <c r="C31" s="219"/>
      <c r="D31" s="149" t="s">
        <v>0</v>
      </c>
      <c r="E31" s="150"/>
      <c r="F31" s="151"/>
      <c r="G31" s="151">
        <f>IF(SUM(G32:G34)=0,1,G34)</f>
        <v>0.1216248829151876</v>
      </c>
      <c r="H31" s="151">
        <f t="shared" ref="H31:X31" si="14">IF(SUM(H32:H34)=0,0,G31+H34)</f>
        <v>0.8558874358402967</v>
      </c>
      <c r="I31" s="151">
        <f t="shared" si="14"/>
        <v>1.2520894957932684</v>
      </c>
      <c r="J31" s="151">
        <f t="shared" si="14"/>
        <v>1.9527823419921382</v>
      </c>
      <c r="K31" s="151">
        <f t="shared" si="14"/>
        <v>2.074407224907326</v>
      </c>
      <c r="L31" s="151">
        <f t="shared" si="14"/>
        <v>2.2162377332565248</v>
      </c>
      <c r="M31" s="151">
        <f t="shared" si="14"/>
        <v>2.7974324098157988</v>
      </c>
      <c r="N31" s="151">
        <f t="shared" si="14"/>
        <v>3.1686548353600292</v>
      </c>
      <c r="O31" s="151">
        <f t="shared" si="14"/>
        <v>3.7501056421703201</v>
      </c>
      <c r="P31" s="151">
        <f t="shared" si="14"/>
        <v>3.7501056421703201</v>
      </c>
      <c r="Q31" s="151">
        <f t="shared" si="14"/>
        <v>3.9499288475710621</v>
      </c>
      <c r="R31" s="151">
        <f t="shared" si="14"/>
        <v>4.1332552305588353</v>
      </c>
      <c r="S31" s="151">
        <f t="shared" si="14"/>
        <v>4.8451447598247217</v>
      </c>
      <c r="T31" s="151">
        <f t="shared" si="14"/>
        <v>5.6751316019421516</v>
      </c>
      <c r="U31" s="151">
        <f t="shared" si="14"/>
        <v>5.7967564848573394</v>
      </c>
      <c r="V31" s="151">
        <f t="shared" si="14"/>
        <v>5.988386296199379</v>
      </c>
      <c r="W31" s="151">
        <f t="shared" si="14"/>
        <v>6.71377860544938</v>
      </c>
      <c r="X31" s="152">
        <f t="shared" si="14"/>
        <v>7.3545517674374317</v>
      </c>
    </row>
    <row r="32" spans="2:24" ht="15.75" customHeight="1" x14ac:dyDescent="0.2">
      <c r="B32" s="215"/>
      <c r="C32" s="220" t="s">
        <v>232</v>
      </c>
      <c r="D32" s="153" t="s">
        <v>153</v>
      </c>
      <c r="E32" s="154">
        <f>F32/(F32+F33+F34)</f>
        <v>0.53108059568925925</v>
      </c>
      <c r="F32" s="155">
        <f t="shared" ref="F32:F37" si="15">IF(SUM(G32:X32)=0,1,SUM(G32:X32))</f>
        <v>261.4380816676391</v>
      </c>
      <c r="G32" s="155">
        <f>AR!F3*AR!$B$5+AR!F6*AR!$B$8+AR!F9*AR!$B$11+AR!F12*AR!$B$14+AR!F15*AR!$B$17+AR!F18*AR!$B$20+AR!F21*AR!$B$23+AR!F24*AR!$B$26+AR!F27*AR!$B$29+AR!F30*AR!$B$32+AR!F33*AR!$B$35+AR!F36*AR!$B$38</f>
        <v>6.3289008313599595</v>
      </c>
      <c r="H32" s="155">
        <f>AR!G3*AR!$B$5+AR!G6*AR!$B$8+AR!G9*AR!$B$11+AR!G12*AR!$B$14+AR!G15*AR!$B$17+AR!G18*AR!$B$20+AR!G21*AR!$B$23+AR!G24*AR!$B$26+AR!G27*AR!$B$29+AR!G30*AR!$B$32+AR!G33*AR!$B$35+AR!G36*AR!$B$38</f>
        <v>6.2585251150967984</v>
      </c>
      <c r="I32" s="155">
        <f>AR!H3*AR!$B$5+AR!H6*AR!$B$8+AR!H9*AR!$B$11+AR!H12*AR!$B$14+AR!H15*AR!$B$17+AR!H18*AR!$B$20+AR!H21*AR!$B$23+AR!H24*AR!$B$26+AR!H27*AR!$B$29+AR!H30*AR!$B$32+AR!H33*AR!$B$35+AR!H36*AR!$B$38</f>
        <v>17.660202999405445</v>
      </c>
      <c r="J32" s="155">
        <f>AR!I3*AR!$B$5+AR!I6*AR!$B$8+AR!I9*AR!$B$11+AR!I12*AR!$B$14+AR!I15*AR!$B$17+AR!I18*AR!$B$20+AR!I21*AR!$B$23+AR!I24*AR!$B$26+AR!I27*AR!$B$29+AR!I30*AR!$B$32+AR!I33*AR!$B$35+AR!I36*AR!$B$38</f>
        <v>15.723672445470607</v>
      </c>
      <c r="K32" s="155">
        <f>AR!J3*AR!$B$5+AR!J6*AR!$B$8+AR!J9*AR!$B$11+AR!J12*AR!$B$14+AR!J15*AR!$B$17+AR!J18*AR!$B$20+AR!J21*AR!$B$23+AR!J24*AR!$B$26+AR!J27*AR!$B$29+AR!J30*AR!$B$32+AR!J33*AR!$B$35+AR!J36*AR!$B$38</f>
        <v>16.455945134496119</v>
      </c>
      <c r="L32" s="155">
        <f>AR!K3*AR!$B$5+AR!K6*AR!$B$8+AR!K9*AR!$B$11+AR!K12*AR!$B$14+AR!K15*AR!$B$17+AR!K18*AR!$B$20+AR!K21*AR!$B$23+AR!K24*AR!$B$26+AR!K27*AR!$B$29+AR!K30*AR!$B$32+AR!K33*AR!$B$35+AR!K36*AR!$B$38</f>
        <v>18.557430042691458</v>
      </c>
      <c r="M32" s="155">
        <f>AR!L3*AR!$B$5+AR!L6*AR!$B$8+AR!L9*AR!$B$11+AR!L12*AR!$B$14+AR!L15*AR!$B$17+AR!L18*AR!$B$20+AR!L21*AR!$B$23+AR!L24*AR!$B$26+AR!L27*AR!$B$29+AR!L30*AR!$B$32+AR!L33*AR!$B$35+AR!L36*AR!$B$38</f>
        <v>13.280912933283156</v>
      </c>
      <c r="N32" s="155">
        <f>AR!M3*AR!$B$5+AR!M6*AR!$B$8+AR!M9*AR!$B$11+AR!M12*AR!$B$14+AR!M15*AR!$B$17+AR!M18*AR!$B$20+AR!M21*AR!$B$23+AR!M24*AR!$B$26+AR!M27*AR!$B$29+AR!M30*AR!$B$32+AR!M33*AR!$B$35+AR!M36*AR!$B$38</f>
        <v>14.010456956710291</v>
      </c>
      <c r="O32" s="155">
        <f>AR!N3*AR!$B$5+AR!N6*AR!$B$8+AR!N9*AR!$B$11+AR!N12*AR!$B$14+AR!N15*AR!$B$17+AR!N18*AR!$B$20+AR!N21*AR!$B$23+AR!N24*AR!$B$26+AR!N27*AR!$B$29+AR!N30*AR!$B$32+AR!N33*AR!$B$35+AR!N36*AR!$B$38</f>
        <v>15.909183795184566</v>
      </c>
      <c r="P32" s="155">
        <f>AR!O3*AR!$B$5+AR!O6*AR!$B$8+AR!O9*AR!$B$11+AR!O12*AR!$B$14+AR!O15*AR!$B$17+AR!O18*AR!$B$20+AR!O21*AR!$B$23+AR!O24*AR!$B$26+AR!O27*AR!$B$29+AR!O30*AR!$B$32+AR!O33*AR!$B$35+AR!O36*AR!$B$38</f>
        <v>0.79864278706699421</v>
      </c>
      <c r="Q32" s="155">
        <f>AR!P3*AR!$B$5+AR!P6*AR!$B$8+AR!P9*AR!$B$11+AR!P12*AR!$B$14+AR!P15*AR!$B$17+AR!P18*AR!$B$20+AR!P21*AR!$B$23+AR!P24*AR!$B$26+AR!P27*AR!$B$29+AR!P30*AR!$B$32+AR!P33*AR!$B$35+AR!P36*AR!$B$38</f>
        <v>15.668265092035828</v>
      </c>
      <c r="R32" s="155">
        <f>AR!Q3*AR!$B$5+AR!Q6*AR!$B$8+AR!Q9*AR!$B$11+AR!Q12*AR!$B$14+AR!Q15*AR!$B$17+AR!Q18*AR!$B$20+AR!Q21*AR!$B$23+AR!Q24*AR!$B$26+AR!Q27*AR!$B$29+AR!Q30*AR!$B$32+AR!Q33*AR!$B$35+AR!Q36*AR!$B$38</f>
        <v>16.016603158076748</v>
      </c>
      <c r="S32" s="155">
        <f>AR!R3*AR!$B$5+AR!R6*AR!$B$8+AR!R9*AR!$B$11+AR!R12*AR!$B$14+AR!R15*AR!$B$17+AR!R18*AR!$B$20+AR!R21*AR!$B$23+AR!R24*AR!$B$26+AR!R27*AR!$B$29+AR!R30*AR!$B$32+AR!R33*AR!$B$35+AR!R36*AR!$B$38</f>
        <v>22.728547242161444</v>
      </c>
      <c r="T32" s="155">
        <f>AR!S3*AR!$B$5+AR!S6*AR!$B$8+AR!S9*AR!$B$11+AR!S12*AR!$B$14+AR!S15*AR!$B$17+AR!S18*AR!$B$20+AR!S21*AR!$B$23+AR!S24*AR!$B$26+AR!S27*AR!$B$29+AR!S30*AR!$B$32+AR!S33*AR!$B$35+AR!S36*AR!$B$38</f>
        <v>18.126937967472383</v>
      </c>
      <c r="U32" s="155">
        <f>AR!T3*AR!$B$5+AR!T6*AR!$B$8+AR!T9*AR!$B$11+AR!T12*AR!$B$14+AR!T15*AR!$B$17+AR!T18*AR!$B$20+AR!T21*AR!$B$23+AR!T24*AR!$B$26+AR!T27*AR!$B$29+AR!T30*AR!$B$32+AR!T33*AR!$B$35+AR!T36*AR!$B$38</f>
        <v>17.705760896400399</v>
      </c>
      <c r="V32" s="155">
        <f>AR!U3*AR!$B$5+AR!U6*AR!$B$8+AR!U9*AR!$B$11+AR!U12*AR!$B$14+AR!U15*AR!$B$17+AR!U18*AR!$B$20+AR!U21*AR!$B$23+AR!U24*AR!$B$26+AR!U27*AR!$B$29+AR!U30*AR!$B$32+AR!U33*AR!$B$35+AR!U36*AR!$B$38</f>
        <v>14.44742348686662</v>
      </c>
      <c r="W32" s="155">
        <f>AR!V3*AR!$B$5+AR!V6*AR!$B$8+AR!V9*AR!$B$11+AR!V12*AR!$B$14+AR!V15*AR!$B$17+AR!V18*AR!$B$20+AR!V21*AR!$B$23+AR!V24*AR!$B$26+AR!V27*AR!$B$29+AR!V30*AR!$B$32+AR!V33*AR!$B$35+AR!V36*AR!$B$38</f>
        <v>18.62591298413934</v>
      </c>
      <c r="X32" s="156">
        <f>AR!W3*AR!$B$5+AR!W6*AR!$B$8+AR!W9*AR!$B$11+AR!W12*AR!$B$14+AR!W15*AR!$B$17+AR!W18*AR!$B$20+AR!W21*AR!$B$23+AR!W24*AR!$B$26+AR!W27*AR!$B$29+AR!W30*AR!$B$32+AR!W33*AR!$B$35+AR!W36*AR!$B$38</f>
        <v>13.134757799720939</v>
      </c>
    </row>
    <row r="33" spans="2:24" ht="15.75" customHeight="1" x14ac:dyDescent="0.2">
      <c r="B33" s="215"/>
      <c r="C33" s="218"/>
      <c r="D33" s="145" t="s">
        <v>154</v>
      </c>
      <c r="E33" s="146">
        <f>F33/(F32+F33+F34)</f>
        <v>0.45397950072529597</v>
      </c>
      <c r="F33" s="147">
        <f t="shared" si="15"/>
        <v>223.48308476986654</v>
      </c>
      <c r="G33" s="147">
        <f>AR!F4*AR!$B$5+AR!F7*AR!$B$8+AR!F10*AR!$B$11+AR!F13*AR!$B$14+AR!F16*AR!$B$17+AR!F19*AR!$B$20+AR!F22*AR!$B$23+AR!F25*AR!$B$26+AR!F28*AR!$B$29+AR!F31*AR!$B$32+AR!F34*AR!$B$35+AR!F37*AR!$B$38</f>
        <v>3.707900554887233</v>
      </c>
      <c r="H33" s="147">
        <f>AR!G4*AR!$B$5+AR!G7*AR!$B$8+AR!G10*AR!$B$11+AR!G13*AR!$B$14+AR!G16*AR!$B$17+AR!G19*AR!$B$20+AR!G22*AR!$B$23+AR!G25*AR!$B$26+AR!G28*AR!$B$29+AR!G31*AR!$B$32+AR!G34*AR!$B$35+AR!G37*AR!$B$38</f>
        <v>5.085521613417157</v>
      </c>
      <c r="I33" s="147">
        <f>AR!H4*AR!$B$5+AR!H7*AR!$B$8+AR!H10*AR!$B$11+AR!H13*AR!$B$14+AR!H16*AR!$B$17+AR!H19*AR!$B$20+AR!H22*AR!$B$23+AR!H25*AR!$B$26+AR!H28*AR!$B$29+AR!H31*AR!$B$32+AR!H34*AR!$B$35+AR!H37*AR!$B$38</f>
        <v>16.976146598969375</v>
      </c>
      <c r="J33" s="147">
        <f>AR!I4*AR!$B$5+AR!I7*AR!$B$8+AR!I10*AR!$B$11+AR!I13*AR!$B$14+AR!I16*AR!$B$17+AR!I19*AR!$B$20+AR!I22*AR!$B$23+AR!I25*AR!$B$26+AR!I28*AR!$B$29+AR!I31*AR!$B$32+AR!I34*AR!$B$35+AR!I37*AR!$B$38</f>
        <v>14.690798081519693</v>
      </c>
      <c r="K33" s="147">
        <f>AR!J4*AR!$B$5+AR!J7*AR!$B$8+AR!J10*AR!$B$11+AR!J13*AR!$B$14+AR!J16*AR!$B$17+AR!J19*AR!$B$20+AR!J22*AR!$B$23+AR!J25*AR!$B$26+AR!J28*AR!$B$29+AR!J31*AR!$B$32+AR!J34*AR!$B$35+AR!J37*AR!$B$38</f>
        <v>16.864294425884506</v>
      </c>
      <c r="L33" s="147">
        <f>AR!K4*AR!$B$5+AR!K7*AR!$B$8+AR!K10*AR!$B$11+AR!K13*AR!$B$14+AR!K16*AR!$B$17+AR!K19*AR!$B$20+AR!K22*AR!$B$23+AR!K25*AR!$B$26+AR!K28*AR!$B$29+AR!K31*AR!$B$32+AR!K34*AR!$B$35+AR!K37*AR!$B$38</f>
        <v>8.6726109843816026</v>
      </c>
      <c r="M33" s="147">
        <f>AR!L4*AR!$B$5+AR!L7*AR!$B$8+AR!L10*AR!$B$11+AR!L13*AR!$B$14+AR!L16*AR!$B$17+AR!L19*AR!$B$20+AR!L22*AR!$B$23+AR!L25*AR!$B$26+AR!L28*AR!$B$29+AR!L31*AR!$B$32+AR!L34*AR!$B$35+AR!L37*AR!$B$38</f>
        <v>15.710063329822717</v>
      </c>
      <c r="N33" s="147">
        <f>AR!M4*AR!$B$5+AR!M7*AR!$B$8+AR!M10*AR!$B$11+AR!M13*AR!$B$14+AR!M16*AR!$B$17+AR!M19*AR!$B$20+AR!M22*AR!$B$23+AR!M25*AR!$B$26+AR!M28*AR!$B$29+AR!M31*AR!$B$32+AR!M34*AR!$B$35+AR!M37*AR!$B$38</f>
        <v>8.6366380916539445</v>
      </c>
      <c r="O33" s="147">
        <f>AR!N4*AR!$B$5+AR!N7*AR!$B$8+AR!N10*AR!$B$11+AR!N13*AR!$B$14+AR!N16*AR!$B$17+AR!N19*AR!$B$20+AR!N22*AR!$B$23+AR!N25*AR!$B$26+AR!N28*AR!$B$29+AR!N31*AR!$B$32+AR!N34*AR!$B$35+AR!N37*AR!$B$38</f>
        <v>15.961702517196329</v>
      </c>
      <c r="P33" s="147">
        <f>AR!O4*AR!$B$5+AR!O7*AR!$B$8+AR!O10*AR!$B$11+AR!O13*AR!$B$14+AR!O16*AR!$B$17+AR!O19*AR!$B$20+AR!O22*AR!$B$23+AR!O25*AR!$B$26+AR!O28*AR!$B$29+AR!O31*AR!$B$32+AR!O34*AR!$B$35+AR!O37*AR!$B$38</f>
        <v>1.1843268628852472</v>
      </c>
      <c r="Q33" s="147">
        <f>AR!P4*AR!$B$5+AR!P7*AR!$B$8+AR!P10*AR!$B$11+AR!P13*AR!$B$14+AR!P16*AR!$B$17+AR!P19*AR!$B$20+AR!P22*AR!$B$23+AR!P25*AR!$B$26+AR!P28*AR!$B$29+AR!P31*AR!$B$32+AR!P34*AR!$B$35+AR!P37*AR!$B$38</f>
        <v>13.33461706678157</v>
      </c>
      <c r="R33" s="147">
        <f>AR!Q4*AR!$B$5+AR!Q7*AR!$B$8+AR!Q10*AR!$B$11+AR!Q13*AR!$B$14+AR!Q16*AR!$B$17+AR!Q19*AR!$B$20+AR!Q22*AR!$B$23+AR!Q25*AR!$B$26+AR!Q28*AR!$B$29+AR!Q31*AR!$B$32+AR!Q34*AR!$B$35+AR!Q37*AR!$B$38</f>
        <v>14.151605067495408</v>
      </c>
      <c r="S33" s="147">
        <f>AR!R4*AR!$B$5+AR!R7*AR!$B$8+AR!R10*AR!$B$11+AR!R13*AR!$B$14+AR!R16*AR!$B$17+AR!R19*AR!$B$20+AR!R22*AR!$B$23+AR!R25*AR!$B$26+AR!R28*AR!$B$29+AR!R31*AR!$B$32+AR!R34*AR!$B$35+AR!R37*AR!$B$38</f>
        <v>16.222785236171507</v>
      </c>
      <c r="T33" s="147">
        <f>AR!S4*AR!$B$5+AR!S7*AR!$B$8+AR!S10*AR!$B$11+AR!S13*AR!$B$14+AR!S16*AR!$B$17+AR!S19*AR!$B$20+AR!S22*AR!$B$23+AR!S25*AR!$B$26+AR!S28*AR!$B$29+AR!S31*AR!$B$32+AR!S34*AR!$B$35+AR!S37*AR!$B$38</f>
        <v>15.227004450378693</v>
      </c>
      <c r="U33" s="147">
        <f>AR!T4*AR!$B$5+AR!T7*AR!$B$8+AR!T10*AR!$B$11+AR!T13*AR!$B$14+AR!T16*AR!$B$17+AR!T19*AR!$B$20+AR!T22*AR!$B$23+AR!T25*AR!$B$26+AR!T28*AR!$B$29+AR!T31*AR!$B$32+AR!T34*AR!$B$35+AR!T37*AR!$B$38</f>
        <v>17.862915760887155</v>
      </c>
      <c r="V33" s="147">
        <f>AR!U4*AR!$B$5+AR!U7*AR!$B$8+AR!U10*AR!$B$11+AR!U13*AR!$B$14+AR!U16*AR!$B$17+AR!U19*AR!$B$20+AR!U22*AR!$B$23+AR!U25*AR!$B$26+AR!U28*AR!$B$29+AR!U31*AR!$B$32+AR!U34*AR!$B$35+AR!U37*AR!$B$38</f>
        <v>12.143477324150862</v>
      </c>
      <c r="W33" s="147">
        <f>AR!V4*AR!$B$5+AR!V7*AR!$B$8+AR!V10*AR!$B$11+AR!V13*AR!$B$14+AR!V16*AR!$B$17+AR!V19*AR!$B$20+AR!V22*AR!$B$23+AR!V25*AR!$B$26+AR!V28*AR!$B$29+AR!V31*AR!$B$32+AR!V34*AR!$B$35+AR!V37*AR!$B$38</f>
        <v>12.169541582330156</v>
      </c>
      <c r="X33" s="148">
        <f>AR!W4*AR!$B$5+AR!W7*AR!$B$8+AR!W10*AR!$B$11+AR!W13*AR!$B$14+AR!W16*AR!$B$17+AR!W19*AR!$B$20+AR!W22*AR!$B$23+AR!W25*AR!$B$26+AR!W28*AR!$B$29+AR!W31*AR!$B$32+AR!W34*AR!$B$35+AR!W37*AR!$B$38</f>
        <v>14.881135221053354</v>
      </c>
    </row>
    <row r="34" spans="2:24" ht="15.75" customHeight="1" thickBot="1" x14ac:dyDescent="0.25">
      <c r="B34" s="215"/>
      <c r="C34" s="219"/>
      <c r="D34" s="149" t="s">
        <v>0</v>
      </c>
      <c r="E34" s="150">
        <f>F34/(F32+F33+F34)</f>
        <v>1.4939903585444777E-2</v>
      </c>
      <c r="F34" s="151">
        <f t="shared" si="15"/>
        <v>7.3545517674374317</v>
      </c>
      <c r="G34" s="151">
        <f>AR!F5*AR!$B$5+AR!F8*AR!$B$8+AR!F11*AR!$B$11+AR!F14*AR!$B$14+AR!F17*AR!$B$17+AR!F20*AR!$B$20+AR!F23*AR!$B$23+AR!F26*AR!$B$26+AR!F29*AR!$B$29+AR!F32*AR!$B$32+AR!F35*AR!$B$35+AR!F38*AR!$B$38</f>
        <v>0.1216248829151876</v>
      </c>
      <c r="H34" s="151">
        <f>AR!G5*AR!$B$5+AR!G8*AR!$B$8+AR!G11*AR!$B$11+AR!G14*AR!$B$14+AR!G17*AR!$B$17+AR!G20*AR!$B$20+AR!G23*AR!$B$23+AR!G26*AR!$B$26+AR!G29*AR!$B$29+AR!G32*AR!$B$32+AR!G35*AR!$B$35+AR!G38*AR!$B$38</f>
        <v>0.73426255292510911</v>
      </c>
      <c r="I34" s="151">
        <f>AR!H5*AR!$B$5+AR!H8*AR!$B$8+AR!H11*AR!$B$11+AR!H14*AR!$B$14+AR!H17*AR!$B$17+AR!H20*AR!$B$20+AR!H23*AR!$B$23+AR!H26*AR!$B$26+AR!H29*AR!$B$29+AR!H32*AR!$B$32+AR!H35*AR!$B$35+AR!H38*AR!$B$38</f>
        <v>0.39620205995297186</v>
      </c>
      <c r="J34" s="151">
        <f>AR!I5*AR!$B$5+AR!I8*AR!$B$8+AR!I11*AR!$B$11+AR!I14*AR!$B$14+AR!I17*AR!$B$17+AR!I20*AR!$B$20+AR!I23*AR!$B$23+AR!I26*AR!$B$26+AR!I29*AR!$B$29+AR!I32*AR!$B$32+AR!I35*AR!$B$35+AR!I38*AR!$B$38</f>
        <v>0.70069284619886985</v>
      </c>
      <c r="K34" s="151">
        <f>AR!J5*AR!$B$5+AR!J8*AR!$B$8+AR!J11*AR!$B$11+AR!J14*AR!$B$14+AR!J17*AR!$B$17+AR!J20*AR!$B$20+AR!J23*AR!$B$23+AR!J26*AR!$B$26+AR!J29*AR!$B$29+AR!J32*AR!$B$32+AR!J35*AR!$B$35+AR!J38*AR!$B$38</f>
        <v>0.1216248829151876</v>
      </c>
      <c r="L34" s="151">
        <f>AR!K5*AR!$B$5+AR!K8*AR!$B$8+AR!K11*AR!$B$11+AR!K14*AR!$B$14+AR!K17*AR!$B$17+AR!K20*AR!$B$20+AR!K23*AR!$B$23+AR!K26*AR!$B$26+AR!K29*AR!$B$29+AR!K32*AR!$B$32+AR!K35*AR!$B$35+AR!K38*AR!$B$38</f>
        <v>0.14183050834919891</v>
      </c>
      <c r="M34" s="151">
        <f>AR!L5*AR!$B$5+AR!L8*AR!$B$8+AR!L11*AR!$B$11+AR!L14*AR!$B$14+AR!L17*AR!$B$17+AR!L20*AR!$B$20+AR!L23*AR!$B$23+AR!L26*AR!$B$26+AR!L29*AR!$B$29+AR!L32*AR!$B$32+AR!L35*AR!$B$35+AR!L38*AR!$B$38</f>
        <v>0.58119467655927382</v>
      </c>
      <c r="N34" s="151">
        <f>AR!M5*AR!$B$5+AR!M8*AR!$B$8+AR!M11*AR!$B$11+AR!M14*AR!$B$14+AR!M17*AR!$B$17+AR!M20*AR!$B$20+AR!M23*AR!$B$23+AR!M26*AR!$B$26+AR!M29*AR!$B$29+AR!M32*AR!$B$32+AR!M35*AR!$B$35+AR!M38*AR!$B$38</f>
        <v>0.37122242554423057</v>
      </c>
      <c r="O34" s="151">
        <f>AR!N5*AR!$B$5+AR!N8*AR!$B$8+AR!N11*AR!$B$11+AR!N14*AR!$B$14+AR!N17*AR!$B$17+AR!N20*AR!$B$20+AR!N23*AR!$B$23+AR!N26*AR!$B$26+AR!N29*AR!$B$29+AR!N32*AR!$B$32+AR!N35*AR!$B$35+AR!N38*AR!$B$38</f>
        <v>0.58145080681029071</v>
      </c>
      <c r="P34" s="151">
        <f>AR!O5*AR!$B$5+AR!O8*AR!$B$8+AR!O11*AR!$B$11+AR!O14*AR!$B$14+AR!O17*AR!$B$17+AR!O20*AR!$B$20+AR!O23*AR!$B$23+AR!O26*AR!$B$26+AR!O29*AR!$B$29+AR!O32*AR!$B$32+AR!O35*AR!$B$35+AR!O38*AR!$B$38</f>
        <v>0</v>
      </c>
      <c r="Q34" s="151">
        <f>AR!P5*AR!$B$5+AR!P8*AR!$B$8+AR!P11*AR!$B$11+AR!P14*AR!$B$14+AR!P17*AR!$B$17+AR!P20*AR!$B$20+AR!P23*AR!$B$23+AR!P26*AR!$B$26+AR!P29*AR!$B$29+AR!P32*AR!$B$32+AR!P35*AR!$B$35+AR!P38*AR!$B$38</f>
        <v>0.19982320540074211</v>
      </c>
      <c r="R34" s="151">
        <f>AR!Q5*AR!$B$5+AR!Q8*AR!$B$8+AR!Q11*AR!$B$11+AR!Q14*AR!$B$14+AR!Q17*AR!$B$17+AR!Q20*AR!$B$20+AR!Q23*AR!$B$23+AR!Q26*AR!$B$26+AR!Q29*AR!$B$29+AR!Q32*AR!$B$32+AR!Q35*AR!$B$35+AR!Q38*AR!$B$38</f>
        <v>0.18332638298777326</v>
      </c>
      <c r="S34" s="151">
        <f>AR!R5*AR!$B$5+AR!R8*AR!$B$8+AR!R11*AR!$B$11+AR!R14*AR!$B$14+AR!R17*AR!$B$17+AR!R20*AR!$B$20+AR!R23*AR!$B$23+AR!R26*AR!$B$26+AR!R29*AR!$B$29+AR!R32*AR!$B$32+AR!R35*AR!$B$35+AR!R38*AR!$B$38</f>
        <v>0.71188952926588633</v>
      </c>
      <c r="T34" s="151">
        <f>AR!S5*AR!$B$5+AR!S8*AR!$B$8+AR!S11*AR!$B$11+AR!S14*AR!$B$14+AR!S17*AR!$B$17+AR!S20*AR!$B$20+AR!S23*AR!$B$23+AR!S26*AR!$B$26+AR!S29*AR!$B$29+AR!S32*AR!$B$32+AR!S35*AR!$B$35+AR!S38*AR!$B$38</f>
        <v>0.82998684211742968</v>
      </c>
      <c r="U34" s="151">
        <f>AR!T5*AR!$B$5+AR!T8*AR!$B$8+AR!T11*AR!$B$11+AR!T14*AR!$B$14+AR!T17*AR!$B$17+AR!T20*AR!$B$20+AR!T23*AR!$B$23+AR!T26*AR!$B$26+AR!T29*AR!$B$29+AR!T32*AR!$B$32+AR!T35*AR!$B$35+AR!T38*AR!$B$38</f>
        <v>0.1216248829151876</v>
      </c>
      <c r="V34" s="151">
        <f>AR!U5*AR!$B$5+AR!U8*AR!$B$8+AR!U11*AR!$B$11+AR!U14*AR!$B$14+AR!U17*AR!$B$17+AR!U20*AR!$B$20+AR!U23*AR!$B$23+AR!U26*AR!$B$26+AR!U29*AR!$B$29+AR!U32*AR!$B$32+AR!U35*AR!$B$35+AR!U38*AR!$B$38</f>
        <v>0.1916298113420393</v>
      </c>
      <c r="W34" s="151">
        <f>AR!V5*AR!$B$5+AR!V8*AR!$B$8+AR!V11*AR!$B$11+AR!V14*AR!$B$14+AR!V17*AR!$B$17+AR!V20*AR!$B$20+AR!V23*AR!$B$23+AR!V26*AR!$B$26+AR!V29*AR!$B$29+AR!V32*AR!$B$32+AR!V35*AR!$B$35+AR!V38*AR!$B$38</f>
        <v>0.72539230925000076</v>
      </c>
      <c r="X34" s="152">
        <f>AR!W5*AR!$B$5+AR!W8*AR!$B$8+AR!W11*AR!$B$11+AR!W14*AR!$B$14+AR!W17*AR!$B$17+AR!W20*AR!$B$20+AR!W23*AR!$B$23+AR!W26*AR!$B$26+AR!W29*AR!$B$29+AR!W32*AR!$B$32+AR!W35*AR!$B$35+AR!W38*AR!$B$38</f>
        <v>0.64077316198805156</v>
      </c>
    </row>
    <row r="35" spans="2:24" ht="15.75" customHeight="1" x14ac:dyDescent="0.2">
      <c r="B35" s="215"/>
      <c r="C35" s="220" t="s">
        <v>111</v>
      </c>
      <c r="D35" s="153" t="s">
        <v>153</v>
      </c>
      <c r="E35" s="154">
        <f>F35/(F35+F36+F37)</f>
        <v>0.56811101670914754</v>
      </c>
      <c r="F35" s="157">
        <f t="shared" si="15"/>
        <v>2006</v>
      </c>
      <c r="G35" s="157">
        <f>SUMIF(AR!$C$3:$C$29,"PSUV",AR!F$3:F$29)</f>
        <v>68</v>
      </c>
      <c r="H35" s="157">
        <f>SUMIF(AR!$C$3:$C$29,"PSUV",AR!G$3:G$29)</f>
        <v>88</v>
      </c>
      <c r="I35" s="157">
        <f>SUMIF(AR!$C$3:$C$29,"PSUV",AR!H$3:H$29)</f>
        <v>148</v>
      </c>
      <c r="J35" s="157">
        <f>SUMIF(AR!$C$3:$C$29,"PSUV",AR!I$3:I$29)</f>
        <v>121</v>
      </c>
      <c r="K35" s="157">
        <f>SUMIF(AR!$C$3:$C$29,"PSUV",AR!J$3:J$29)</f>
        <v>153</v>
      </c>
      <c r="L35" s="157">
        <f>SUMIF(AR!$C$3:$C$29,"PSUV",AR!K$3:K$29)</f>
        <v>148</v>
      </c>
      <c r="M35" s="157">
        <f>SUMIF(AR!$C$3:$C$29,"PSUV",AR!L$3:L$29)</f>
        <v>99</v>
      </c>
      <c r="N35" s="157">
        <f>SUMIF(AR!$C$3:$C$29,"PSUV",AR!M$3:M$29)</f>
        <v>118</v>
      </c>
      <c r="O35" s="157">
        <f>SUMIF(AR!$C$3:$C$29,"PSUV",AR!N$3:N$29)</f>
        <v>98</v>
      </c>
      <c r="P35" s="157">
        <f>SUMIF(AR!$C$3:$C$29,"PSUV",AR!O$3:O$29)</f>
        <v>11</v>
      </c>
      <c r="Q35" s="157">
        <f>SUMIF(AR!$C$3:$C$29,"PSUV",AR!P$3:P$29)</f>
        <v>121</v>
      </c>
      <c r="R35" s="157">
        <f>SUMIF(AR!$C$3:$C$29,"PSUV",AR!Q$3:Q$29)</f>
        <v>134</v>
      </c>
      <c r="S35" s="157">
        <f>SUMIF(AR!$C$3:$C$29,"PSUV",AR!R$3:R$29)</f>
        <v>161</v>
      </c>
      <c r="T35" s="157">
        <f>SUMIF(AR!$C$3:$C$29,"PSUV",AR!S$3:S$29)</f>
        <v>122</v>
      </c>
      <c r="U35" s="157">
        <f>SUMIF(AR!$C$3:$C$29,"PSUV",AR!T$3:T$29)</f>
        <v>109</v>
      </c>
      <c r="V35" s="157">
        <f>SUMIF(AR!$C$3:$C$29,"PSUV",AR!U$3:U$29)</f>
        <v>112</v>
      </c>
      <c r="W35" s="157">
        <f>SUMIF(AR!$C$3:$C$29,"PSUV",AR!V$3:V$29)</f>
        <v>110</v>
      </c>
      <c r="X35" s="158">
        <f>SUMIF(AR!$C$3:$C$29,"PSUV",AR!W$3:W$29)</f>
        <v>85</v>
      </c>
    </row>
    <row r="36" spans="2:24" ht="15.75" customHeight="1" x14ac:dyDescent="0.2">
      <c r="B36" s="215"/>
      <c r="C36" s="218"/>
      <c r="D36" s="145" t="s">
        <v>154</v>
      </c>
      <c r="E36" s="146">
        <f>F36/(F35+F36+F37)</f>
        <v>0.41348060039648826</v>
      </c>
      <c r="F36" s="159">
        <f t="shared" si="15"/>
        <v>1460</v>
      </c>
      <c r="G36" s="159">
        <f>SUMIF(AR!$C$3:$C$29,"MUD",AR!F$3:F$29)</f>
        <v>52</v>
      </c>
      <c r="H36" s="159">
        <f>SUMIF(AR!$C$3:$C$29,"MUD",AR!G$3:G$29)</f>
        <v>64</v>
      </c>
      <c r="I36" s="159">
        <f>SUMIF(AR!$C$3:$C$29,"MUD",AR!H$3:H$29)</f>
        <v>119</v>
      </c>
      <c r="J36" s="159">
        <f>SUMIF(AR!$C$3:$C$29,"MUD",AR!I$3:I$29)</f>
        <v>98</v>
      </c>
      <c r="K36" s="159">
        <f>SUMIF(AR!$C$3:$C$29,"MUD",AR!J$3:J$29)</f>
        <v>103</v>
      </c>
      <c r="L36" s="159">
        <f>SUMIF(AR!$C$3:$C$29,"MUD",AR!K$3:K$29)</f>
        <v>80</v>
      </c>
      <c r="M36" s="159">
        <f>SUMIF(AR!$C$3:$C$29,"MUD",AR!L$3:L$29)</f>
        <v>117</v>
      </c>
      <c r="N36" s="159">
        <f>SUMIF(AR!$C$3:$C$29,"MUD",AR!M$3:M$29)</f>
        <v>65</v>
      </c>
      <c r="O36" s="159">
        <f>SUMIF(AR!$C$3:$C$29,"MUD",AR!N$3:N$29)</f>
        <v>84</v>
      </c>
      <c r="P36" s="159">
        <f>SUMIF(AR!$C$3:$C$29,"MUD",AR!O$3:O$29)</f>
        <v>16</v>
      </c>
      <c r="Q36" s="159">
        <f>SUMIF(AR!$C$3:$C$29,"MUD",AR!P$3:P$29)</f>
        <v>90</v>
      </c>
      <c r="R36" s="159">
        <f>SUMIF(AR!$C$3:$C$29,"MUD",AR!Q$3:Q$29)</f>
        <v>85</v>
      </c>
      <c r="S36" s="159">
        <f>SUMIF(AR!$C$3:$C$29,"MUD",AR!R$3:R$29)</f>
        <v>93</v>
      </c>
      <c r="T36" s="159">
        <f>SUMIF(AR!$C$3:$C$29,"MUD",AR!S$3:S$29)</f>
        <v>84</v>
      </c>
      <c r="U36" s="159">
        <f>SUMIF(AR!$C$3:$C$29,"MUD",AR!T$3:T$29)</f>
        <v>105</v>
      </c>
      <c r="V36" s="159">
        <f>SUMIF(AR!$C$3:$C$29,"MUD",AR!U$3:U$29)</f>
        <v>73</v>
      </c>
      <c r="W36" s="159">
        <f>SUMIF(AR!$C$3:$C$29,"MUD",AR!V$3:V$29)</f>
        <v>55</v>
      </c>
      <c r="X36" s="160">
        <f>SUMIF(AR!$C$3:$C$29,"MUD",AR!W$3:W$29)</f>
        <v>77</v>
      </c>
    </row>
    <row r="37" spans="2:24" ht="15.75" customHeight="1" thickBot="1" x14ac:dyDescent="0.25">
      <c r="B37" s="216"/>
      <c r="C37" s="221"/>
      <c r="D37" s="161" t="s">
        <v>0</v>
      </c>
      <c r="E37" s="162">
        <f>F37/(F35+F36+F37)</f>
        <v>1.8408382894364202E-2</v>
      </c>
      <c r="F37" s="163">
        <f t="shared" si="15"/>
        <v>65</v>
      </c>
      <c r="G37" s="163">
        <f>SUMIF(AR!$C$3:$C$29,"Otro",AR!F$3:F$29)</f>
        <v>1</v>
      </c>
      <c r="H37" s="163">
        <f>SUMIF(AR!$C$3:$C$29,"Otro",AR!G$3:G$29)</f>
        <v>16</v>
      </c>
      <c r="I37" s="163">
        <f>SUMIF(AR!$C$3:$C$29,"Otro",AR!H$3:H$29)</f>
        <v>4</v>
      </c>
      <c r="J37" s="163">
        <f>SUMIF(AR!$C$3:$C$29,"Otro",AR!I$3:I$29)</f>
        <v>4</v>
      </c>
      <c r="K37" s="163">
        <f>SUMIF(AR!$C$3:$C$29,"Otro",AR!J$3:J$29)</f>
        <v>1</v>
      </c>
      <c r="L37" s="163">
        <f>SUMIF(AR!$C$3:$C$29,"Otro",AR!K$3:K$29)</f>
        <v>1</v>
      </c>
      <c r="M37" s="163">
        <f>SUMIF(AR!$C$3:$C$29,"Otro",AR!L$3:L$29)</f>
        <v>6</v>
      </c>
      <c r="N37" s="163">
        <f>SUMIF(AR!$C$3:$C$29,"Otro",AR!M$3:M$29)</f>
        <v>2</v>
      </c>
      <c r="O37" s="163">
        <f>SUMIF(AR!$C$3:$C$29,"Otro",AR!N$3:N$29)</f>
        <v>4</v>
      </c>
      <c r="P37" s="163">
        <f>SUMIF(AR!$C$3:$C$29,"Otro",AR!O$3:O$29)</f>
        <v>0</v>
      </c>
      <c r="Q37" s="163">
        <f>SUMIF(AR!$C$3:$C$29,"Otro",AR!P$3:P$29)</f>
        <v>3</v>
      </c>
      <c r="R37" s="163">
        <f>SUMIF(AR!$C$3:$C$29,"Otro",AR!Q$3:Q$29)</f>
        <v>3</v>
      </c>
      <c r="S37" s="163">
        <f>SUMIF(AR!$C$3:$C$29,"Otro",AR!R$3:R$29)</f>
        <v>3</v>
      </c>
      <c r="T37" s="163">
        <f>SUMIF(AR!$C$3:$C$29,"Otro",AR!S$3:S$29)</f>
        <v>4</v>
      </c>
      <c r="U37" s="163">
        <f>SUMIF(AR!$C$3:$C$29,"Otro",AR!T$3:T$29)</f>
        <v>1</v>
      </c>
      <c r="V37" s="163">
        <f>SUMIF(AR!$C$3:$C$29,"Otro",AR!U$3:U$29)</f>
        <v>2</v>
      </c>
      <c r="W37" s="163">
        <f>SUMIF(AR!$C$3:$C$29,"Otro",AR!V$3:V$29)</f>
        <v>4</v>
      </c>
      <c r="X37" s="164">
        <f>SUMIF(AR!$C$3:$C$29,"Otro",AR!W$3:W$29)</f>
        <v>6</v>
      </c>
    </row>
    <row r="38" spans="2:24" ht="15.75" customHeight="1" x14ac:dyDescent="0.2">
      <c r="B38" s="214" t="s">
        <v>21</v>
      </c>
      <c r="C38" s="225" t="s">
        <v>231</v>
      </c>
      <c r="D38" s="165" t="s">
        <v>156</v>
      </c>
      <c r="E38" s="166"/>
      <c r="F38" s="167"/>
      <c r="G38" s="167">
        <f>IF(SUM(G41:G43)=0,1,G41)</f>
        <v>11.386100067786675</v>
      </c>
      <c r="H38" s="167">
        <f t="shared" ref="H38:X38" si="16">IF(SUM(H41:H43)=0,0,G38+H41)</f>
        <v>30.050317864536581</v>
      </c>
      <c r="I38" s="167">
        <f t="shared" si="16"/>
        <v>47.940817195830206</v>
      </c>
      <c r="J38" s="167">
        <f t="shared" si="16"/>
        <v>72.676295733103714</v>
      </c>
      <c r="K38" s="167">
        <f t="shared" si="16"/>
        <v>102.81386374878625</v>
      </c>
      <c r="L38" s="167">
        <f t="shared" si="16"/>
        <v>128.69818899657403</v>
      </c>
      <c r="M38" s="167">
        <f t="shared" si="16"/>
        <v>154.71845171573568</v>
      </c>
      <c r="N38" s="167">
        <f t="shared" si="16"/>
        <v>171.63987642672629</v>
      </c>
      <c r="O38" s="167">
        <f t="shared" si="16"/>
        <v>185.42590412765881</v>
      </c>
      <c r="P38" s="167">
        <f t="shared" si="16"/>
        <v>0</v>
      </c>
      <c r="Q38" s="167">
        <f t="shared" si="16"/>
        <v>21.242371709140208</v>
      </c>
      <c r="R38" s="167">
        <f t="shared" si="16"/>
        <v>35.408439898869609</v>
      </c>
      <c r="S38" s="167">
        <f t="shared" si="16"/>
        <v>52.042783467379948</v>
      </c>
      <c r="T38" s="167">
        <f t="shared" si="16"/>
        <v>64.568938588937939</v>
      </c>
      <c r="U38" s="167">
        <f t="shared" si="16"/>
        <v>78.825568400417708</v>
      </c>
      <c r="V38" s="167">
        <f t="shared" si="16"/>
        <v>88.930594232636537</v>
      </c>
      <c r="W38" s="167">
        <f t="shared" si="16"/>
        <v>105.3853672388839</v>
      </c>
      <c r="X38" s="168">
        <f t="shared" si="16"/>
        <v>115.76986653353609</v>
      </c>
    </row>
    <row r="39" spans="2:24" ht="15.75" customHeight="1" x14ac:dyDescent="0.2">
      <c r="B39" s="215"/>
      <c r="C39" s="226"/>
      <c r="D39" s="117" t="s">
        <v>157</v>
      </c>
      <c r="E39" s="118"/>
      <c r="F39" s="119"/>
      <c r="G39" s="119">
        <f>IF(SUM(G41:G43)=0,1,G42)</f>
        <v>19.320172947621053</v>
      </c>
      <c r="H39" s="119">
        <f t="shared" ref="H39:X39" si="17">IF(SUM(H41:H43)=0,0,G39+H42)</f>
        <v>40.117903010094722</v>
      </c>
      <c r="I39" s="119">
        <f t="shared" si="17"/>
        <v>68.751893904695606</v>
      </c>
      <c r="J39" s="119">
        <f t="shared" si="17"/>
        <v>92.153504754227512</v>
      </c>
      <c r="K39" s="119">
        <f t="shared" si="17"/>
        <v>122.01749858014401</v>
      </c>
      <c r="L39" s="119">
        <f t="shared" si="17"/>
        <v>150.61328389791694</v>
      </c>
      <c r="M39" s="119">
        <f t="shared" si="17"/>
        <v>181.6313091988348</v>
      </c>
      <c r="N39" s="119">
        <f t="shared" si="17"/>
        <v>217.22857620504553</v>
      </c>
      <c r="O39" s="119">
        <f t="shared" si="17"/>
        <v>251.64359782349817</v>
      </c>
      <c r="P39" s="119">
        <f t="shared" si="17"/>
        <v>0</v>
      </c>
      <c r="Q39" s="119">
        <f t="shared" si="17"/>
        <v>24.236580070717988</v>
      </c>
      <c r="R39" s="119">
        <f t="shared" si="17"/>
        <v>51.673985031969657</v>
      </c>
      <c r="S39" s="119">
        <f t="shared" si="17"/>
        <v>85.129289339171535</v>
      </c>
      <c r="T39" s="119">
        <f t="shared" si="17"/>
        <v>107.48787168165913</v>
      </c>
      <c r="U39" s="119">
        <f t="shared" si="17"/>
        <v>126.41914607112105</v>
      </c>
      <c r="V39" s="119">
        <f t="shared" si="17"/>
        <v>138.01133594708975</v>
      </c>
      <c r="W39" s="119">
        <f t="shared" si="17"/>
        <v>162.50557407984169</v>
      </c>
      <c r="X39" s="132">
        <f t="shared" si="17"/>
        <v>179.15775287177325</v>
      </c>
    </row>
    <row r="40" spans="2:24" ht="15.75" customHeight="1" thickBot="1" x14ac:dyDescent="0.25">
      <c r="B40" s="215"/>
      <c r="C40" s="227"/>
      <c r="D40" s="120" t="s">
        <v>0</v>
      </c>
      <c r="E40" s="121"/>
      <c r="F40" s="122"/>
      <c r="G40" s="122">
        <f>IF(SUM(G41:G43)=0,1,G43)</f>
        <v>0</v>
      </c>
      <c r="H40" s="122">
        <f t="shared" ref="H40:X40" si="18">IF(SUM(H41:H43)=0,0,G40+H43)</f>
        <v>0.24429538500998482</v>
      </c>
      <c r="I40" s="122">
        <f t="shared" si="18"/>
        <v>4.0371406848286098</v>
      </c>
      <c r="J40" s="122">
        <f t="shared" si="18"/>
        <v>5.8258271806240041</v>
      </c>
      <c r="K40" s="122">
        <f t="shared" si="18"/>
        <v>6.2302365205283703</v>
      </c>
      <c r="L40" s="122">
        <f t="shared" si="18"/>
        <v>6.7194456149350534</v>
      </c>
      <c r="M40" s="122">
        <f t="shared" si="18"/>
        <v>7.0763035194108062</v>
      </c>
      <c r="N40" s="122">
        <f t="shared" si="18"/>
        <v>11.924791143762711</v>
      </c>
      <c r="O40" s="122">
        <f t="shared" si="18"/>
        <v>12.591154755143544</v>
      </c>
      <c r="P40" s="122">
        <f t="shared" si="18"/>
        <v>0</v>
      </c>
      <c r="Q40" s="122">
        <f t="shared" si="18"/>
        <v>0.26408405547514796</v>
      </c>
      <c r="R40" s="122">
        <f t="shared" si="18"/>
        <v>1.2744627448106554</v>
      </c>
      <c r="S40" s="122">
        <f t="shared" si="18"/>
        <v>3.0618896909294104</v>
      </c>
      <c r="T40" s="122">
        <f t="shared" si="18"/>
        <v>3.5353177729329648</v>
      </c>
      <c r="U40" s="122">
        <f t="shared" si="18"/>
        <v>4.1383489364820552</v>
      </c>
      <c r="V40" s="122">
        <f t="shared" si="18"/>
        <v>4.4318743931260656</v>
      </c>
      <c r="W40" s="122">
        <f t="shared" si="18"/>
        <v>4.6275580308887392</v>
      </c>
      <c r="X40" s="133">
        <f t="shared" si="18"/>
        <v>7.2462854734990758</v>
      </c>
    </row>
    <row r="41" spans="2:24" ht="15.75" customHeight="1" x14ac:dyDescent="0.2">
      <c r="B41" s="215"/>
      <c r="C41" s="228" t="s">
        <v>232</v>
      </c>
      <c r="D41" s="123" t="s">
        <v>156</v>
      </c>
      <c r="E41" s="124">
        <f>F41/(F41+F42+F43)</f>
        <v>0.40061442510194978</v>
      </c>
      <c r="F41" s="125">
        <f t="shared" ref="F41:F46" si="19">IF(SUM(G41:X41)=0,1,SUM(G41:X41))</f>
        <v>301.19577066119484</v>
      </c>
      <c r="G41" s="125">
        <f>BA!F3*BA!$B$5+BA!F6*BA!$B$8+BA!F9*BA!$B$11+BA!F12*BA!$B$14+BA!F15*BA!$B$17+BA!F18*BA!$B$20+BA!F21*BA!$B$23</f>
        <v>11.386100067786675</v>
      </c>
      <c r="H41" s="125">
        <f>BA!G3*BA!$B$5+BA!G6*BA!$B$8+BA!G9*BA!$B$11+BA!G12*BA!$B$14+BA!G15*BA!$B$17+BA!G18*BA!$B$20+BA!G21*BA!$B$23</f>
        <v>18.664217796749906</v>
      </c>
      <c r="I41" s="125">
        <f>BA!H3*BA!$B$5+BA!H6*BA!$B$8+BA!H9*BA!$B$11+BA!H12*BA!$B$14+BA!H15*BA!$B$17+BA!H18*BA!$B$20+BA!H21*BA!$B$23</f>
        <v>17.890499331293626</v>
      </c>
      <c r="J41" s="125">
        <f>BA!I3*BA!$B$5+BA!I6*BA!$B$8+BA!I9*BA!$B$11+BA!I12*BA!$B$14+BA!I15*BA!$B$17+BA!I18*BA!$B$20+BA!I21*BA!$B$23</f>
        <v>24.735478537273508</v>
      </c>
      <c r="K41" s="125">
        <f>BA!J3*BA!$B$5+BA!J6*BA!$B$8+BA!J9*BA!$B$11+BA!J12*BA!$B$14+BA!J15*BA!$B$17+BA!J18*BA!$B$20+BA!J21*BA!$B$23</f>
        <v>30.13756801568254</v>
      </c>
      <c r="L41" s="125">
        <f>BA!K3*BA!$B$5+BA!K6*BA!$B$8+BA!K9*BA!$B$11+BA!K12*BA!$B$14+BA!K15*BA!$B$17+BA!K18*BA!$B$20+BA!K21*BA!$B$23</f>
        <v>25.884325247787775</v>
      </c>
      <c r="M41" s="125">
        <f>BA!L3*BA!$B$5+BA!L6*BA!$B$8+BA!L9*BA!$B$11+BA!L12*BA!$B$14+BA!L15*BA!$B$17+BA!L18*BA!$B$20+BA!L21*BA!$B$23</f>
        <v>26.020262719161639</v>
      </c>
      <c r="N41" s="125">
        <f>BA!M3*BA!$B$5+BA!M6*BA!$B$8+BA!M9*BA!$B$11+BA!M12*BA!$B$14+BA!M15*BA!$B$17+BA!M18*BA!$B$20+BA!M21*BA!$B$23</f>
        <v>16.9214247109906</v>
      </c>
      <c r="O41" s="125">
        <f>BA!N3*BA!$B$5+BA!N6*BA!$B$8+BA!N9*BA!$B$11+BA!N12*BA!$B$14+BA!N15*BA!$B$17+BA!N18*BA!$B$20+BA!N21*BA!$B$23</f>
        <v>13.786027700932523</v>
      </c>
      <c r="P41" s="125">
        <f>BA!O3*BA!$B$5+BA!O6*BA!$B$8+BA!O9*BA!$B$11+BA!O12*BA!$B$14+BA!O15*BA!$B$17+BA!O18*BA!$B$20+BA!O21*BA!$B$23</f>
        <v>0</v>
      </c>
      <c r="Q41" s="125">
        <f>BA!P3*BA!$B$5+BA!P6*BA!$B$8+BA!P9*BA!$B$11+BA!P12*BA!$B$14+BA!P15*BA!$B$17+BA!P18*BA!$B$20+BA!P21*BA!$B$23</f>
        <v>21.242371709140208</v>
      </c>
      <c r="R41" s="125">
        <f>BA!Q3*BA!$B$5+BA!Q6*BA!$B$8+BA!Q9*BA!$B$11+BA!Q12*BA!$B$14+BA!Q15*BA!$B$17+BA!Q18*BA!$B$20+BA!Q21*BA!$B$23</f>
        <v>14.166068189729403</v>
      </c>
      <c r="S41" s="125">
        <f>BA!R3*BA!$B$5+BA!R6*BA!$B$8+BA!R9*BA!$B$11+BA!R12*BA!$B$14+BA!R15*BA!$B$17+BA!R18*BA!$B$20+BA!R21*BA!$B$23</f>
        <v>16.634343568510342</v>
      </c>
      <c r="T41" s="125">
        <f>BA!S3*BA!$B$5+BA!S6*BA!$B$8+BA!S9*BA!$B$11+BA!S12*BA!$B$14+BA!S15*BA!$B$17+BA!S18*BA!$B$20+BA!S21*BA!$B$23</f>
        <v>12.526155121557995</v>
      </c>
      <c r="U41" s="125">
        <f>BA!T3*BA!$B$5+BA!T6*BA!$B$8+BA!T9*BA!$B$11+BA!T12*BA!$B$14+BA!T15*BA!$B$17+BA!T18*BA!$B$20+BA!T21*BA!$B$23</f>
        <v>14.256629811479764</v>
      </c>
      <c r="V41" s="125">
        <f>BA!U3*BA!$B$5+BA!U6*BA!$B$8+BA!U9*BA!$B$11+BA!U12*BA!$B$14+BA!U15*BA!$B$17+BA!U18*BA!$B$20+BA!U21*BA!$B$23</f>
        <v>10.105025832218821</v>
      </c>
      <c r="W41" s="125">
        <f>BA!V3*BA!$B$5+BA!V6*BA!$B$8+BA!V9*BA!$B$11+BA!V12*BA!$B$14+BA!V15*BA!$B$17+BA!V18*BA!$B$20+BA!V21*BA!$B$23</f>
        <v>16.454773006247368</v>
      </c>
      <c r="X41" s="134">
        <f>BA!W3*BA!$B$5+BA!W6*BA!$B$8+BA!W9*BA!$B$11+BA!W12*BA!$B$14+BA!W15*BA!$B$17+BA!W18*BA!$B$20+BA!W21*BA!$B$23</f>
        <v>10.38449929465218</v>
      </c>
    </row>
    <row r="42" spans="2:24" ht="15.75" customHeight="1" x14ac:dyDescent="0.2">
      <c r="B42" s="215"/>
      <c r="C42" s="226"/>
      <c r="D42" s="117" t="s">
        <v>157</v>
      </c>
      <c r="E42" s="118">
        <f>F42/(F41+F42+F43)</f>
        <v>0.5730001953980457</v>
      </c>
      <c r="F42" s="119">
        <f t="shared" si="19"/>
        <v>430.80135069527137</v>
      </c>
      <c r="G42" s="119">
        <f>BA!F4*BA!$B$5+BA!F7*BA!$B$8+BA!F10*BA!$B$11+BA!F13*BA!$B$14+BA!F16*BA!$B$17+BA!F19*BA!$B$20+BA!F22*BA!$B$23</f>
        <v>19.320172947621053</v>
      </c>
      <c r="H42" s="119">
        <f>BA!G4*BA!$B$5+BA!G7*BA!$B$8+BA!G10*BA!$B$11+BA!G13*BA!$B$14+BA!G16*BA!$B$17+BA!G19*BA!$B$20+BA!G22*BA!$B$23</f>
        <v>20.797730062473669</v>
      </c>
      <c r="I42" s="119">
        <f>BA!H4*BA!$B$5+BA!H7*BA!$B$8+BA!H10*BA!$B$11+BA!H13*BA!$B$14+BA!H16*BA!$B$17+BA!H19*BA!$B$20+BA!H22*BA!$B$23</f>
        <v>28.633990894600881</v>
      </c>
      <c r="J42" s="119">
        <f>BA!I4*BA!$B$5+BA!I7*BA!$B$8+BA!I10*BA!$B$11+BA!I13*BA!$B$14+BA!I16*BA!$B$17+BA!I19*BA!$B$20+BA!I22*BA!$B$23</f>
        <v>23.401610849531902</v>
      </c>
      <c r="K42" s="119">
        <f>BA!J4*BA!$B$5+BA!J7*BA!$B$8+BA!J10*BA!$B$11+BA!J13*BA!$B$14+BA!J16*BA!$B$17+BA!J19*BA!$B$20+BA!J22*BA!$B$23</f>
        <v>29.863993825916495</v>
      </c>
      <c r="L42" s="119">
        <f>BA!K4*BA!$B$5+BA!K7*BA!$B$8+BA!K10*BA!$B$11+BA!K13*BA!$B$14+BA!K16*BA!$B$17+BA!K19*BA!$B$20+BA!K22*BA!$B$23</f>
        <v>28.595785317772933</v>
      </c>
      <c r="M42" s="119">
        <f>BA!L4*BA!$B$5+BA!L7*BA!$B$8+BA!L10*BA!$B$11+BA!L13*BA!$B$14+BA!L16*BA!$B$17+BA!L19*BA!$B$20+BA!L22*BA!$B$23</f>
        <v>31.018025300917866</v>
      </c>
      <c r="N42" s="119">
        <f>BA!M4*BA!$B$5+BA!M7*BA!$B$8+BA!M10*BA!$B$11+BA!M13*BA!$B$14+BA!M16*BA!$B$17+BA!M19*BA!$B$20+BA!M22*BA!$B$23</f>
        <v>35.597267006210721</v>
      </c>
      <c r="O42" s="119">
        <f>BA!N4*BA!$B$5+BA!N7*BA!$B$8+BA!N10*BA!$B$11+BA!N13*BA!$B$14+BA!N16*BA!$B$17+BA!N19*BA!$B$20+BA!N22*BA!$B$23</f>
        <v>34.415021618452634</v>
      </c>
      <c r="P42" s="119">
        <f>BA!O4*BA!$B$5+BA!O7*BA!$B$8+BA!O10*BA!$B$11+BA!O13*BA!$B$14+BA!O16*BA!$B$17+BA!O19*BA!$B$20+BA!O22*BA!$B$23</f>
        <v>0</v>
      </c>
      <c r="Q42" s="119">
        <f>BA!P4*BA!$B$5+BA!P7*BA!$B$8+BA!P10*BA!$B$11+BA!P13*BA!$B$14+BA!P16*BA!$B$17+BA!P19*BA!$B$20+BA!P22*BA!$B$23</f>
        <v>24.236580070717988</v>
      </c>
      <c r="R42" s="119">
        <f>BA!Q4*BA!$B$5+BA!Q7*BA!$B$8+BA!Q10*BA!$B$11+BA!Q13*BA!$B$14+BA!Q16*BA!$B$17+BA!Q19*BA!$B$20+BA!Q22*BA!$B$23</f>
        <v>27.437404961251669</v>
      </c>
      <c r="S42" s="119">
        <f>BA!R4*BA!$B$5+BA!R7*BA!$B$8+BA!R10*BA!$B$11+BA!R13*BA!$B$14+BA!R16*BA!$B$17+BA!R19*BA!$B$20+BA!R22*BA!$B$23</f>
        <v>33.455304307201878</v>
      </c>
      <c r="T42" s="119">
        <f>BA!S4*BA!$B$5+BA!S7*BA!$B$8+BA!S10*BA!$B$11+BA!S13*BA!$B$14+BA!S16*BA!$B$17+BA!S19*BA!$B$20+BA!S22*BA!$B$23</f>
        <v>22.35858234248759</v>
      </c>
      <c r="U42" s="119">
        <f>BA!T4*BA!$B$5+BA!T7*BA!$B$8+BA!T10*BA!$B$11+BA!T13*BA!$B$14+BA!T16*BA!$B$17+BA!T19*BA!$B$20+BA!T22*BA!$B$23</f>
        <v>18.931274389461919</v>
      </c>
      <c r="V42" s="119">
        <f>BA!U4*BA!$B$5+BA!U7*BA!$B$8+BA!U10*BA!$B$11+BA!U13*BA!$B$14+BA!U16*BA!$B$17+BA!U19*BA!$B$20+BA!U22*BA!$B$23</f>
        <v>11.592189875968709</v>
      </c>
      <c r="W42" s="119">
        <f>BA!V4*BA!$B$5+BA!V7*BA!$B$8+BA!V10*BA!$B$11+BA!V13*BA!$B$14+BA!V16*BA!$B$17+BA!V19*BA!$B$20+BA!V22*BA!$B$23</f>
        <v>24.494238132751956</v>
      </c>
      <c r="X42" s="132">
        <f>BA!W4*BA!$B$5+BA!W7*BA!$B$8+BA!W10*BA!$B$11+BA!W13*BA!$B$14+BA!W16*BA!$B$17+BA!W19*BA!$B$20+BA!W22*BA!$B$23</f>
        <v>16.652178791931554</v>
      </c>
    </row>
    <row r="43" spans="2:24" ht="15.75" customHeight="1" thickBot="1" x14ac:dyDescent="0.25">
      <c r="B43" s="215"/>
      <c r="C43" s="227"/>
      <c r="D43" s="120" t="s">
        <v>0</v>
      </c>
      <c r="E43" s="121">
        <f>F43/(F41+F42+F43)</f>
        <v>2.6385379500004517E-2</v>
      </c>
      <c r="F43" s="122">
        <f t="shared" si="19"/>
        <v>19.837440228642617</v>
      </c>
      <c r="G43" s="122">
        <f>BA!F5*BA!$B$5+BA!F8*BA!$B$8+BA!F11*BA!$B$11+BA!F14*BA!$B$14+BA!F17*BA!$B$17+BA!F20*BA!$B$20+BA!F23*BA!$B$23</f>
        <v>0</v>
      </c>
      <c r="H43" s="122">
        <f>BA!G5*BA!$B$5+BA!G8*BA!$B$8+BA!G11*BA!$B$11+BA!G14*BA!$B$14+BA!G17*BA!$B$17+BA!G20*BA!$B$20+BA!G23*BA!$B$23</f>
        <v>0.24429538500998482</v>
      </c>
      <c r="I43" s="122">
        <f>BA!H5*BA!$B$5+BA!H8*BA!$B$8+BA!H11*BA!$B$11+BA!H14*BA!$B$14+BA!H17*BA!$B$17+BA!H20*BA!$B$20+BA!H23*BA!$B$23</f>
        <v>3.7928452998186248</v>
      </c>
      <c r="J43" s="122">
        <f>BA!I5*BA!$B$5+BA!I8*BA!$B$8+BA!I11*BA!$B$11+BA!I14*BA!$B$14+BA!I17*BA!$B$17+BA!I20*BA!$B$20+BA!I23*BA!$B$23</f>
        <v>1.7886864957953941</v>
      </c>
      <c r="K43" s="122">
        <f>BA!J5*BA!$B$5+BA!J8*BA!$B$8+BA!J11*BA!$B$11+BA!J14*BA!$B$14+BA!J17*BA!$B$17+BA!J20*BA!$B$20+BA!J23*BA!$B$23</f>
        <v>0.40440933990436578</v>
      </c>
      <c r="L43" s="122">
        <f>BA!K5*BA!$B$5+BA!K8*BA!$B$8+BA!K11*BA!$B$11+BA!K14*BA!$B$14+BA!K17*BA!$B$17+BA!K20*BA!$B$20+BA!K23*BA!$B$23</f>
        <v>0.48920909440668342</v>
      </c>
      <c r="M43" s="122">
        <f>BA!L5*BA!$B$5+BA!L8*BA!$B$8+BA!L11*BA!$B$11+BA!L14*BA!$B$14+BA!L17*BA!$B$17+BA!L20*BA!$B$20+BA!L23*BA!$B$23</f>
        <v>0.3568579044757525</v>
      </c>
      <c r="N43" s="122">
        <f>BA!M5*BA!$B$5+BA!M8*BA!$B$8+BA!M11*BA!$B$11+BA!M14*BA!$B$14+BA!M17*BA!$B$17+BA!M20*BA!$B$20+BA!M23*BA!$B$23</f>
        <v>4.8484876243519039</v>
      </c>
      <c r="O43" s="122">
        <f>BA!N5*BA!$B$5+BA!N8*BA!$B$8+BA!N11*BA!$B$11+BA!N14*BA!$B$14+BA!N17*BA!$B$17+BA!N20*BA!$B$20+BA!N23*BA!$B$23</f>
        <v>0.66636361138083289</v>
      </c>
      <c r="P43" s="122">
        <f>BA!O5*BA!$B$5+BA!O8*BA!$B$8+BA!O11*BA!$B$11+BA!O14*BA!$B$14+BA!O17*BA!$B$17+BA!O20*BA!$B$20+BA!O23*BA!$B$23</f>
        <v>0</v>
      </c>
      <c r="Q43" s="122">
        <f>BA!P5*BA!$B$5+BA!P8*BA!$B$8+BA!P11*BA!$B$11+BA!P14*BA!$B$14+BA!P17*BA!$B$17+BA!P20*BA!$B$20+BA!P23*BA!$B$23</f>
        <v>0.26408405547514796</v>
      </c>
      <c r="R43" s="122">
        <f>BA!Q5*BA!$B$5+BA!Q8*BA!$B$8+BA!Q11*BA!$B$11+BA!Q14*BA!$B$14+BA!Q17*BA!$B$17+BA!Q20*BA!$B$20+BA!Q23*BA!$B$23</f>
        <v>1.0103786893355073</v>
      </c>
      <c r="S43" s="122">
        <f>BA!R5*BA!$B$5+BA!R8*BA!$B$8+BA!R11*BA!$B$11+BA!R14*BA!$B$14+BA!R17*BA!$B$17+BA!R20*BA!$B$20+BA!R23*BA!$B$23</f>
        <v>1.7874269461187549</v>
      </c>
      <c r="T43" s="122">
        <f>BA!S5*BA!$B$5+BA!S8*BA!$B$8+BA!S11*BA!$B$11+BA!S14*BA!$B$14+BA!S17*BA!$B$17+BA!S20*BA!$B$20+BA!S23*BA!$B$23</f>
        <v>0.47342808200355424</v>
      </c>
      <c r="U43" s="122">
        <f>BA!T5*BA!$B$5+BA!T8*BA!$B$8+BA!T11*BA!$B$11+BA!T14*BA!$B$14+BA!T17*BA!$B$17+BA!T20*BA!$B$20+BA!T23*BA!$B$23</f>
        <v>0.60303116354909037</v>
      </c>
      <c r="V43" s="122">
        <f>BA!U5*BA!$B$5+BA!U8*BA!$B$8+BA!U11*BA!$B$11+BA!U14*BA!$B$14+BA!U17*BA!$B$17+BA!U20*BA!$B$20+BA!U23*BA!$B$23</f>
        <v>0.29352545664401003</v>
      </c>
      <c r="W43" s="122">
        <f>BA!V5*BA!$B$5+BA!V8*BA!$B$8+BA!V11*BA!$B$11+BA!V14*BA!$B$14+BA!V17*BA!$B$17+BA!V20*BA!$B$20+BA!V23*BA!$B$23</f>
        <v>0.19568363776267336</v>
      </c>
      <c r="X43" s="133">
        <f>BA!W5*BA!$B$5+BA!W8*BA!$B$8+BA!W11*BA!$B$11+BA!W14*BA!$B$14+BA!W17*BA!$B$17+BA!W20*BA!$B$20+BA!W23*BA!$B$23</f>
        <v>2.6187274426103366</v>
      </c>
    </row>
    <row r="44" spans="2:24" ht="15.75" customHeight="1" x14ac:dyDescent="0.2">
      <c r="B44" s="215"/>
      <c r="C44" s="228" t="s">
        <v>111</v>
      </c>
      <c r="D44" s="123" t="s">
        <v>156</v>
      </c>
      <c r="E44" s="124">
        <f>F44/(F44+F45+F46)</f>
        <v>0.47692307692307695</v>
      </c>
      <c r="F44" s="126">
        <f t="shared" si="19"/>
        <v>1488</v>
      </c>
      <c r="G44" s="126">
        <f>SUMIF(BA!$C$3:$C$23,"PSUV",BA!F$3:F$23)</f>
        <v>80</v>
      </c>
      <c r="H44" s="126">
        <f>SUMIF(BA!$C$3:$C$23,"PSUV",BA!G$3:G$23)</f>
        <v>84</v>
      </c>
      <c r="I44" s="126">
        <f>SUMIF(BA!$C$3:$C$23,"PSUV",BA!H$3:H$23)</f>
        <v>89</v>
      </c>
      <c r="J44" s="126">
        <f>SUMIF(BA!$C$3:$C$23,"PSUV",BA!I$3:I$23)</f>
        <v>98</v>
      </c>
      <c r="K44" s="126">
        <f>SUMIF(BA!$C$3:$C$23,"PSUV",BA!J$3:J$23)</f>
        <v>125</v>
      </c>
      <c r="L44" s="126">
        <f>SUMIF(BA!$C$3:$C$23,"PSUV",BA!K$3:K$23)</f>
        <v>128</v>
      </c>
      <c r="M44" s="126">
        <f>SUMIF(BA!$C$3:$C$23,"PSUV",BA!L$3:L$23)</f>
        <v>119</v>
      </c>
      <c r="N44" s="126">
        <f>SUMIF(BA!$C$3:$C$23,"PSUV",BA!M$3:M$23)</f>
        <v>90</v>
      </c>
      <c r="O44" s="126">
        <f>SUMIF(BA!$C$3:$C$23,"PSUV",BA!N$3:N$23)</f>
        <v>70</v>
      </c>
      <c r="P44" s="126">
        <f>SUMIF(BA!$C$3:$C$23,"PSUV",BA!O$3:O$23)</f>
        <v>0</v>
      </c>
      <c r="Q44" s="126">
        <f>SUMIF(BA!$C$3:$C$23,"PSUV",BA!P$3:P$23)</f>
        <v>94</v>
      </c>
      <c r="R44" s="126">
        <f>SUMIF(BA!$C$3:$C$23,"PSUV",BA!Q$3:Q$23)</f>
        <v>74</v>
      </c>
      <c r="S44" s="126">
        <f>SUMIF(BA!$C$3:$C$23,"PSUV",BA!R$3:R$23)</f>
        <v>75</v>
      </c>
      <c r="T44" s="126">
        <f>SUMIF(BA!$C$3:$C$23,"PSUV",BA!S$3:S$23)</f>
        <v>59</v>
      </c>
      <c r="U44" s="126">
        <f>SUMIF(BA!$C$3:$C$23,"PSUV",BA!T$3:T$23)</f>
        <v>87</v>
      </c>
      <c r="V44" s="126">
        <f>SUMIF(BA!$C$3:$C$23,"PSUV",BA!U$3:U$23)</f>
        <v>67</v>
      </c>
      <c r="W44" s="126">
        <f>SUMIF(BA!$C$3:$C$23,"PSUV",BA!V$3:V$23)</f>
        <v>78</v>
      </c>
      <c r="X44" s="135">
        <f>SUMIF(BA!$C$3:$C$23,"PSUV",BA!W$3:W$23)</f>
        <v>71</v>
      </c>
    </row>
    <row r="45" spans="2:24" ht="15.75" customHeight="1" x14ac:dyDescent="0.2">
      <c r="B45" s="215"/>
      <c r="C45" s="226"/>
      <c r="D45" s="117" t="s">
        <v>157</v>
      </c>
      <c r="E45" s="118">
        <f>F45/(F44+F45+F46)</f>
        <v>0.491025641025641</v>
      </c>
      <c r="F45" s="127">
        <f t="shared" si="19"/>
        <v>1532</v>
      </c>
      <c r="G45" s="127">
        <f>SUMIF(BA!$C$3:$C$23,"MUD",BA!F$3:F$23)</f>
        <v>81</v>
      </c>
      <c r="H45" s="127">
        <f>SUMIF(BA!$C$3:$C$23,"MUD",BA!G$3:G$23)</f>
        <v>105</v>
      </c>
      <c r="I45" s="127">
        <f>SUMIF(BA!$C$3:$C$23,"MUD",BA!H$3:H$23)</f>
        <v>88</v>
      </c>
      <c r="J45" s="127">
        <f>SUMIF(BA!$C$3:$C$23,"MUD",BA!I$3:I$23)</f>
        <v>86</v>
      </c>
      <c r="K45" s="127">
        <f>SUMIF(BA!$C$3:$C$23,"MUD",BA!J$3:J$23)</f>
        <v>112</v>
      </c>
      <c r="L45" s="127">
        <f>SUMIF(BA!$C$3:$C$23,"MUD",BA!K$3:K$23)</f>
        <v>89</v>
      </c>
      <c r="M45" s="127">
        <f>SUMIF(BA!$C$3:$C$23,"MUD",BA!L$3:L$23)</f>
        <v>96</v>
      </c>
      <c r="N45" s="127">
        <f>SUMIF(BA!$C$3:$C$23,"MUD",BA!M$3:M$23)</f>
        <v>120</v>
      </c>
      <c r="O45" s="127">
        <f>SUMIF(BA!$C$3:$C$23,"MUD",BA!N$3:N$23)</f>
        <v>100</v>
      </c>
      <c r="P45" s="127">
        <f>SUMIF(BA!$C$3:$C$23,"MUD",BA!O$3:O$23)</f>
        <v>0</v>
      </c>
      <c r="Q45" s="127">
        <f>SUMIF(BA!$C$3:$C$23,"MUD",BA!P$3:P$23)</f>
        <v>79</v>
      </c>
      <c r="R45" s="127">
        <f>SUMIF(BA!$C$3:$C$23,"MUD",BA!Q$3:Q$23)</f>
        <v>71</v>
      </c>
      <c r="S45" s="127">
        <f>SUMIF(BA!$C$3:$C$23,"MUD",BA!R$3:R$23)</f>
        <v>123</v>
      </c>
      <c r="T45" s="127">
        <f>SUMIF(BA!$C$3:$C$23,"MUD",BA!S$3:S$23)</f>
        <v>72</v>
      </c>
      <c r="U45" s="127">
        <f>SUMIF(BA!$C$3:$C$23,"MUD",BA!T$3:T$23)</f>
        <v>67</v>
      </c>
      <c r="V45" s="127">
        <f>SUMIF(BA!$C$3:$C$23,"MUD",BA!U$3:U$23)</f>
        <v>64</v>
      </c>
      <c r="W45" s="127">
        <f>SUMIF(BA!$C$3:$C$23,"MUD",BA!V$3:V$23)</f>
        <v>95</v>
      </c>
      <c r="X45" s="136">
        <f>SUMIF(BA!$C$3:$C$23,"MUD",BA!W$3:W$23)</f>
        <v>84</v>
      </c>
    </row>
    <row r="46" spans="2:24" ht="15.75" customHeight="1" thickBot="1" x14ac:dyDescent="0.25">
      <c r="B46" s="216"/>
      <c r="C46" s="229"/>
      <c r="D46" s="137" t="s">
        <v>0</v>
      </c>
      <c r="E46" s="138">
        <f>F46/(F44+F45+F46)</f>
        <v>3.2051282051282048E-2</v>
      </c>
      <c r="F46" s="139">
        <f t="shared" si="19"/>
        <v>100</v>
      </c>
      <c r="G46" s="139">
        <f>SUMIF(BA!$C$3:$C$23,"Otro",BA!F$3:F$23)</f>
        <v>0</v>
      </c>
      <c r="H46" s="139">
        <f>SUMIF(BA!$C$3:$C$23,"Otro",BA!G$3:G$23)</f>
        <v>3</v>
      </c>
      <c r="I46" s="139">
        <f>SUMIF(BA!$C$3:$C$23,"Otro",BA!H$3:H$23)</f>
        <v>16</v>
      </c>
      <c r="J46" s="139">
        <f>SUMIF(BA!$C$3:$C$23,"Otro",BA!I$3:I$23)</f>
        <v>7</v>
      </c>
      <c r="K46" s="139">
        <f>SUMIF(BA!$C$3:$C$23,"Otro",BA!J$3:J$23)</f>
        <v>5</v>
      </c>
      <c r="L46" s="139">
        <f>SUMIF(BA!$C$3:$C$23,"Otro",BA!K$3:K$23)</f>
        <v>5</v>
      </c>
      <c r="M46" s="139">
        <f>SUMIF(BA!$C$3:$C$23,"Otro",BA!L$3:L$23)</f>
        <v>4</v>
      </c>
      <c r="N46" s="139">
        <f>SUMIF(BA!$C$3:$C$23,"Otro",BA!M$3:M$23)</f>
        <v>17</v>
      </c>
      <c r="O46" s="139">
        <f>SUMIF(BA!$C$3:$C$23,"Otro",BA!N$3:N$23)</f>
        <v>3</v>
      </c>
      <c r="P46" s="139">
        <f>SUMIF(BA!$C$3:$C$23,"Otro",BA!O$3:O$23)</f>
        <v>0</v>
      </c>
      <c r="Q46" s="139">
        <f>SUMIF(BA!$C$3:$C$23,"Otro",BA!P$3:P$23)</f>
        <v>3</v>
      </c>
      <c r="R46" s="139">
        <f>SUMIF(BA!$C$3:$C$23,"Otro",BA!Q$3:Q$23)</f>
        <v>2</v>
      </c>
      <c r="S46" s="139">
        <f>SUMIF(BA!$C$3:$C$23,"Otro",BA!R$3:R$23)</f>
        <v>11</v>
      </c>
      <c r="T46" s="139">
        <f>SUMIF(BA!$C$3:$C$23,"Otro",BA!S$3:S$23)</f>
        <v>5</v>
      </c>
      <c r="U46" s="139">
        <f>SUMIF(BA!$C$3:$C$23,"Otro",BA!T$3:T$23)</f>
        <v>2</v>
      </c>
      <c r="V46" s="139">
        <f>SUMIF(BA!$C$3:$C$23,"Otro",BA!U$3:U$23)</f>
        <v>3</v>
      </c>
      <c r="W46" s="139">
        <f>SUMIF(BA!$C$3:$C$23,"Otro",BA!V$3:V$23)</f>
        <v>2</v>
      </c>
      <c r="X46" s="140">
        <f>SUMIF(BA!$C$3:$C$23,"Otro",BA!W$3:W$23)</f>
        <v>12</v>
      </c>
    </row>
    <row r="47" spans="2:24" ht="15.75" customHeight="1" x14ac:dyDescent="0.2">
      <c r="B47" s="214" t="s">
        <v>5</v>
      </c>
      <c r="C47" s="217" t="s">
        <v>231</v>
      </c>
      <c r="D47" s="141" t="s">
        <v>161</v>
      </c>
      <c r="E47" s="142"/>
      <c r="F47" s="143"/>
      <c r="G47" s="143">
        <f>IF(SUM(G50:G52)=0,1,G50)</f>
        <v>24.831265690611588</v>
      </c>
      <c r="H47" s="143">
        <f t="shared" ref="H47:X47" si="20">IF(SUM(H50:H52)=0,0,G47+H50)</f>
        <v>91.685180258003015</v>
      </c>
      <c r="I47" s="143">
        <f t="shared" si="20"/>
        <v>163.53584406769238</v>
      </c>
      <c r="J47" s="143">
        <f t="shared" si="20"/>
        <v>232.9939679465121</v>
      </c>
      <c r="K47" s="143">
        <f t="shared" si="20"/>
        <v>290.59916703029273</v>
      </c>
      <c r="L47" s="143">
        <f t="shared" si="20"/>
        <v>342.78542161109397</v>
      </c>
      <c r="M47" s="143">
        <f t="shared" si="20"/>
        <v>402.48815643369767</v>
      </c>
      <c r="N47" s="143">
        <f t="shared" si="20"/>
        <v>459.46900664460077</v>
      </c>
      <c r="O47" s="143">
        <f t="shared" si="20"/>
        <v>507.16075109176501</v>
      </c>
      <c r="P47" s="143">
        <f t="shared" si="20"/>
        <v>560.49298231299269</v>
      </c>
      <c r="Q47" s="143">
        <f t="shared" si="20"/>
        <v>604.06987414400055</v>
      </c>
      <c r="R47" s="143">
        <f t="shared" si="20"/>
        <v>663.42115109223789</v>
      </c>
      <c r="S47" s="143">
        <f t="shared" si="20"/>
        <v>708.51824338466656</v>
      </c>
      <c r="T47" s="143">
        <f t="shared" si="20"/>
        <v>762.99351740497525</v>
      </c>
      <c r="U47" s="143">
        <f t="shared" si="20"/>
        <v>816.06353226929843</v>
      </c>
      <c r="V47" s="143">
        <f t="shared" si="20"/>
        <v>874.64317346795178</v>
      </c>
      <c r="W47" s="143">
        <f t="shared" si="20"/>
        <v>921.55283102090812</v>
      </c>
      <c r="X47" s="144">
        <f t="shared" si="20"/>
        <v>959.94717311792476</v>
      </c>
    </row>
    <row r="48" spans="2:24" ht="15.75" customHeight="1" x14ac:dyDescent="0.2">
      <c r="B48" s="215"/>
      <c r="C48" s="218"/>
      <c r="D48" s="145" t="s">
        <v>162</v>
      </c>
      <c r="E48" s="146"/>
      <c r="F48" s="147"/>
      <c r="G48" s="147">
        <f>IF(SUM(G50:G52)=0,1,G51)</f>
        <v>32.620697239634886</v>
      </c>
      <c r="H48" s="147">
        <f t="shared" ref="H48:X48" si="21">IF(SUM(H50:H52)=0,0,G48+H51)</f>
        <v>101.49192513678844</v>
      </c>
      <c r="I48" s="147">
        <f t="shared" si="21"/>
        <v>174.56044647365513</v>
      </c>
      <c r="J48" s="147">
        <f t="shared" si="21"/>
        <v>233.8062139256358</v>
      </c>
      <c r="K48" s="147">
        <f t="shared" si="21"/>
        <v>292.92811793072536</v>
      </c>
      <c r="L48" s="147">
        <f t="shared" si="21"/>
        <v>361.59590562987717</v>
      </c>
      <c r="M48" s="147">
        <f t="shared" si="21"/>
        <v>422.58165030645102</v>
      </c>
      <c r="N48" s="147">
        <f t="shared" si="21"/>
        <v>483.62270516490884</v>
      </c>
      <c r="O48" s="147">
        <f t="shared" si="21"/>
        <v>543.6739344574404</v>
      </c>
      <c r="P48" s="147">
        <f t="shared" si="21"/>
        <v>592.34929976858007</v>
      </c>
      <c r="Q48" s="147">
        <f t="shared" si="21"/>
        <v>643.96359600732683</v>
      </c>
      <c r="R48" s="147">
        <f t="shared" si="21"/>
        <v>708.81680106048714</v>
      </c>
      <c r="S48" s="147">
        <f t="shared" si="21"/>
        <v>766.83578647878721</v>
      </c>
      <c r="T48" s="147">
        <f t="shared" si="21"/>
        <v>818.05554313905645</v>
      </c>
      <c r="U48" s="147">
        <f t="shared" si="21"/>
        <v>882.16986480206322</v>
      </c>
      <c r="V48" s="147">
        <f t="shared" si="21"/>
        <v>934.26100308756941</v>
      </c>
      <c r="W48" s="147">
        <f t="shared" si="21"/>
        <v>972.25718826605362</v>
      </c>
      <c r="X48" s="148">
        <f t="shared" si="21"/>
        <v>1019.5234299336959</v>
      </c>
    </row>
    <row r="49" spans="2:24" ht="15.75" customHeight="1" thickBot="1" x14ac:dyDescent="0.25">
      <c r="B49" s="215"/>
      <c r="C49" s="219"/>
      <c r="D49" s="149" t="s">
        <v>0</v>
      </c>
      <c r="E49" s="150"/>
      <c r="F49" s="151"/>
      <c r="G49" s="151">
        <f>IF(SUM(G50:G52)=0,1,G52)</f>
        <v>7.6949159757771843</v>
      </c>
      <c r="H49" s="151">
        <f t="shared" ref="H49:X49" si="22">IF(SUM(H50:H52)=0,0,G49+H52)</f>
        <v>33.160921375180486</v>
      </c>
      <c r="I49" s="151">
        <f t="shared" si="22"/>
        <v>54.987129411848187</v>
      </c>
      <c r="J49" s="151">
        <f t="shared" si="22"/>
        <v>76.514310310779067</v>
      </c>
      <c r="K49" s="151">
        <f t="shared" si="22"/>
        <v>97.54290728186281</v>
      </c>
      <c r="L49" s="151">
        <f t="shared" si="22"/>
        <v>124.30676557295048</v>
      </c>
      <c r="M49" s="151">
        <f t="shared" si="22"/>
        <v>149.84040423390792</v>
      </c>
      <c r="N49" s="151">
        <f t="shared" si="22"/>
        <v>177.7708718392619</v>
      </c>
      <c r="O49" s="151">
        <f t="shared" si="22"/>
        <v>199.51458347375802</v>
      </c>
      <c r="P49" s="151">
        <f t="shared" si="22"/>
        <v>232.30669462152736</v>
      </c>
      <c r="Q49" s="151">
        <f t="shared" si="22"/>
        <v>252.7414139909111</v>
      </c>
      <c r="R49" s="151">
        <f t="shared" si="22"/>
        <v>279.37466490234124</v>
      </c>
      <c r="S49" s="151">
        <f t="shared" si="22"/>
        <v>304.23039700868799</v>
      </c>
      <c r="T49" s="151">
        <f t="shared" si="22"/>
        <v>345.34950198013593</v>
      </c>
      <c r="U49" s="151">
        <f t="shared" si="22"/>
        <v>376.99732867891993</v>
      </c>
      <c r="V49" s="151">
        <f t="shared" si="22"/>
        <v>407.36705417968915</v>
      </c>
      <c r="W49" s="151">
        <f t="shared" si="22"/>
        <v>441.40055980672827</v>
      </c>
      <c r="X49" s="152">
        <f t="shared" si="22"/>
        <v>473.59150900669187</v>
      </c>
    </row>
    <row r="50" spans="2:24" ht="15.75" customHeight="1" x14ac:dyDescent="0.2">
      <c r="B50" s="215"/>
      <c r="C50" s="220" t="s">
        <v>232</v>
      </c>
      <c r="D50" s="153" t="s">
        <v>161</v>
      </c>
      <c r="E50" s="154">
        <f>F50/(F50+F51+F52)</f>
        <v>0.39132607706881645</v>
      </c>
      <c r="F50" s="155">
        <f t="shared" ref="F50:F55" si="23">IF(SUM(G50:X50)=0,1,SUM(G50:X50))</f>
        <v>959.94717311792476</v>
      </c>
      <c r="G50" s="155">
        <f>BO!F3*BO!$B$5+BO!F6*BO!$B$8+BO!F9*BO!$B$11+BO!F12*BO!$B$14+BO!F15*BO!$B$17+BO!F18*BO!$B$20</f>
        <v>24.831265690611588</v>
      </c>
      <c r="H50" s="155">
        <f>BO!G3*BO!$B$5+BO!G6*BO!$B$8+BO!G9*BO!$B$11+BO!G12*BO!$B$14+BO!G15*BO!$B$17+BO!G18*BO!$B$20</f>
        <v>66.853914567391428</v>
      </c>
      <c r="I50" s="155">
        <f>BO!H3*BO!$B$5+BO!H6*BO!$B$8+BO!H9*BO!$B$11+BO!H12*BO!$B$14+BO!H15*BO!$B$17+BO!H18*BO!$B$20</f>
        <v>71.850663809689379</v>
      </c>
      <c r="J50" s="155">
        <f>BO!I3*BO!$B$5+BO!I6*BO!$B$8+BO!I9*BO!$B$11+BO!I12*BO!$B$14+BO!I15*BO!$B$17+BO!I18*BO!$B$20</f>
        <v>69.458123878819706</v>
      </c>
      <c r="K50" s="155">
        <f>BO!J3*BO!$B$5+BO!J6*BO!$B$8+BO!J9*BO!$B$11+BO!J12*BO!$B$14+BO!J15*BO!$B$17+BO!J18*BO!$B$20</f>
        <v>57.605199083780626</v>
      </c>
      <c r="L50" s="155">
        <f>BO!K3*BO!$B$5+BO!K6*BO!$B$8+BO!K9*BO!$B$11+BO!K12*BO!$B$14+BO!K15*BO!$B$17+BO!K18*BO!$B$20</f>
        <v>52.186254580801261</v>
      </c>
      <c r="M50" s="155">
        <f>BO!L3*BO!$B$5+BO!L6*BO!$B$8+BO!L9*BO!$B$11+BO!L12*BO!$B$14+BO!L15*BO!$B$17+BO!L18*BO!$B$20</f>
        <v>59.702734822603709</v>
      </c>
      <c r="N50" s="155">
        <f>BO!M3*BO!$B$5+BO!M6*BO!$B$8+BO!M9*BO!$B$11+BO!M12*BO!$B$14+BO!M15*BO!$B$17+BO!M18*BO!$B$20</f>
        <v>56.980850210903114</v>
      </c>
      <c r="O50" s="155">
        <f>BO!N3*BO!$B$5+BO!N6*BO!$B$8+BO!N9*BO!$B$11+BO!N12*BO!$B$14+BO!N15*BO!$B$17+BO!N18*BO!$B$20</f>
        <v>47.691744447164247</v>
      </c>
      <c r="P50" s="155">
        <f>BO!O3*BO!$B$5+BO!O6*BO!$B$8+BO!O9*BO!$B$11+BO!O12*BO!$B$14+BO!O15*BO!$B$17+BO!O18*BO!$B$20</f>
        <v>53.332231221227715</v>
      </c>
      <c r="Q50" s="155">
        <f>BO!P3*BO!$B$5+BO!P6*BO!$B$8+BO!P9*BO!$B$11+BO!P12*BO!$B$14+BO!P15*BO!$B$17+BO!P18*BO!$B$20</f>
        <v>43.576891831007906</v>
      </c>
      <c r="R50" s="155">
        <f>BO!Q3*BO!$B$5+BO!Q6*BO!$B$8+BO!Q9*BO!$B$11+BO!Q12*BO!$B$14+BO!Q15*BO!$B$17+BO!Q18*BO!$B$20</f>
        <v>59.351276948237391</v>
      </c>
      <c r="S50" s="155">
        <f>BO!R3*BO!$B$5+BO!R6*BO!$B$8+BO!R9*BO!$B$11+BO!R12*BO!$B$14+BO!R15*BO!$B$17+BO!R18*BO!$B$20</f>
        <v>45.097092292428655</v>
      </c>
      <c r="T50" s="155">
        <f>BO!S3*BO!$B$5+BO!S6*BO!$B$8+BO!S9*BO!$B$11+BO!S12*BO!$B$14+BO!S15*BO!$B$17+BO!S18*BO!$B$20</f>
        <v>54.475274020308653</v>
      </c>
      <c r="U50" s="155">
        <f>BO!T3*BO!$B$5+BO!T6*BO!$B$8+BO!T9*BO!$B$11+BO!T12*BO!$B$14+BO!T15*BO!$B$17+BO!T18*BO!$B$20</f>
        <v>53.070014864323149</v>
      </c>
      <c r="V50" s="155">
        <f>BO!U3*BO!$B$5+BO!U6*BO!$B$8+BO!U9*BO!$B$11+BO!U12*BO!$B$14+BO!U15*BO!$B$17+BO!U18*BO!$B$20</f>
        <v>58.579641198653341</v>
      </c>
      <c r="W50" s="155">
        <f>BO!V3*BO!$B$5+BO!V6*BO!$B$8+BO!V9*BO!$B$11+BO!V12*BO!$B$14+BO!V15*BO!$B$17+BO!V18*BO!$B$20</f>
        <v>46.909657552956361</v>
      </c>
      <c r="X50" s="156">
        <f>BO!W3*BO!$B$5+BO!W6*BO!$B$8+BO!W9*BO!$B$11+BO!W12*BO!$B$14+BO!W15*BO!$B$17+BO!W18*BO!$B$20</f>
        <v>38.394342097016604</v>
      </c>
    </row>
    <row r="51" spans="2:24" ht="15.75" customHeight="1" x14ac:dyDescent="0.2">
      <c r="B51" s="215"/>
      <c r="C51" s="218"/>
      <c r="D51" s="145" t="s">
        <v>162</v>
      </c>
      <c r="E51" s="146">
        <f>F51/(F50+F51+F52)</f>
        <v>0.41561256232449628</v>
      </c>
      <c r="F51" s="147">
        <f t="shared" si="23"/>
        <v>1019.5234299336959</v>
      </c>
      <c r="G51" s="147">
        <f>BO!F4*BO!$B$5+BO!F7*BO!$B$8+BO!F10*BO!$B$11+BO!F13*BO!$B$14+BO!F16*BO!$B$17+BO!F19*BO!$B$20</f>
        <v>32.620697239634886</v>
      </c>
      <c r="H51" s="147">
        <f>BO!G4*BO!$B$5+BO!G7*BO!$B$8+BO!G10*BO!$B$11+BO!G13*BO!$B$14+BO!G16*BO!$B$17+BO!G19*BO!$B$20</f>
        <v>68.871227897153545</v>
      </c>
      <c r="I51" s="147">
        <f>BO!H4*BO!$B$5+BO!H7*BO!$B$8+BO!H10*BO!$B$11+BO!H13*BO!$B$14+BO!H16*BO!$B$17+BO!H19*BO!$B$20</f>
        <v>73.068521336866709</v>
      </c>
      <c r="J51" s="147">
        <f>BO!I4*BO!$B$5+BO!I7*BO!$B$8+BO!I10*BO!$B$11+BO!I13*BO!$B$14+BO!I16*BO!$B$17+BO!I19*BO!$B$20</f>
        <v>59.245767451980669</v>
      </c>
      <c r="K51" s="147">
        <f>BO!J4*BO!$B$5+BO!J7*BO!$B$8+BO!J10*BO!$B$11+BO!J13*BO!$B$14+BO!J16*BO!$B$17+BO!J19*BO!$B$20</f>
        <v>59.121904005089576</v>
      </c>
      <c r="L51" s="147">
        <f>BO!K4*BO!$B$5+BO!K7*BO!$B$8+BO!K10*BO!$B$11+BO!K13*BO!$B$14+BO!K16*BO!$B$17+BO!K19*BO!$B$20</f>
        <v>68.667787699151788</v>
      </c>
      <c r="M51" s="147">
        <f>BO!L4*BO!$B$5+BO!L7*BO!$B$8+BO!L10*BO!$B$11+BO!L13*BO!$B$14+BO!L16*BO!$B$17+BO!L19*BO!$B$20</f>
        <v>60.985744676573859</v>
      </c>
      <c r="N51" s="147">
        <f>BO!M4*BO!$B$5+BO!M7*BO!$B$8+BO!M10*BO!$B$11+BO!M13*BO!$B$14+BO!M16*BO!$B$17+BO!M19*BO!$B$20</f>
        <v>61.041054858457819</v>
      </c>
      <c r="O51" s="147">
        <f>BO!N4*BO!$B$5+BO!N7*BO!$B$8+BO!N10*BO!$B$11+BO!N13*BO!$B$14+BO!N16*BO!$B$17+BO!N19*BO!$B$20</f>
        <v>60.051229292531538</v>
      </c>
      <c r="P51" s="147">
        <f>BO!O4*BO!$B$5+BO!O7*BO!$B$8+BO!O10*BO!$B$11+BO!O13*BO!$B$14+BO!O16*BO!$B$17+BO!O19*BO!$B$20</f>
        <v>48.675365311139728</v>
      </c>
      <c r="Q51" s="147">
        <f>BO!P4*BO!$B$5+BO!P7*BO!$B$8+BO!P10*BO!$B$11+BO!P13*BO!$B$14+BO!P16*BO!$B$17+BO!P19*BO!$B$20</f>
        <v>51.61429623874681</v>
      </c>
      <c r="R51" s="147">
        <f>BO!Q4*BO!$B$5+BO!Q7*BO!$B$8+BO!Q10*BO!$B$11+BO!Q13*BO!$B$14+BO!Q16*BO!$B$17+BO!Q19*BO!$B$20</f>
        <v>64.853205053160352</v>
      </c>
      <c r="S51" s="147">
        <f>BO!R4*BO!$B$5+BO!R7*BO!$B$8+BO!R10*BO!$B$11+BO!R13*BO!$B$14+BO!R16*BO!$B$17+BO!R19*BO!$B$20</f>
        <v>58.018985418300034</v>
      </c>
      <c r="T51" s="147">
        <f>BO!S4*BO!$B$5+BO!S7*BO!$B$8+BO!S10*BO!$B$11+BO!S13*BO!$B$14+BO!S16*BO!$B$17+BO!S19*BO!$B$20</f>
        <v>51.219756660269219</v>
      </c>
      <c r="U51" s="147">
        <f>BO!T4*BO!$B$5+BO!T7*BO!$B$8+BO!T10*BO!$B$11+BO!T13*BO!$B$14+BO!T16*BO!$B$17+BO!T19*BO!$B$20</f>
        <v>64.114321663006763</v>
      </c>
      <c r="V51" s="147">
        <f>BO!U4*BO!$B$5+BO!U7*BO!$B$8+BO!U10*BO!$B$11+BO!U13*BO!$B$14+BO!U16*BO!$B$17+BO!U19*BO!$B$20</f>
        <v>52.091138285506162</v>
      </c>
      <c r="W51" s="147">
        <f>BO!V4*BO!$B$5+BO!V7*BO!$B$8+BO!V10*BO!$B$11+BO!V13*BO!$B$14+BO!V16*BO!$B$17+BO!V19*BO!$B$20</f>
        <v>37.996185178484218</v>
      </c>
      <c r="X51" s="148">
        <f>BO!W4*BO!$B$5+BO!W7*BO!$B$8+BO!W10*BO!$B$11+BO!W13*BO!$B$14+BO!W16*BO!$B$17+BO!W19*BO!$B$20</f>
        <v>47.266241667642255</v>
      </c>
    </row>
    <row r="52" spans="2:24" ht="15.75" customHeight="1" thickBot="1" x14ac:dyDescent="0.25">
      <c r="B52" s="215"/>
      <c r="C52" s="219"/>
      <c r="D52" s="149" t="s">
        <v>0</v>
      </c>
      <c r="E52" s="150">
        <f>F52/(F50+F51+F52)</f>
        <v>0.19306136060668733</v>
      </c>
      <c r="F52" s="151">
        <f t="shared" si="23"/>
        <v>473.59150900669187</v>
      </c>
      <c r="G52" s="151">
        <f>BO!F5*BO!$B$5+BO!F8*BO!$B$8+BO!F11*BO!$B$11+BO!F14*BO!$B$14+BO!F17*BO!$B$17+BO!F20*BO!$B$20</f>
        <v>7.6949159757771843</v>
      </c>
      <c r="H52" s="151">
        <f>BO!G5*BO!$B$5+BO!G8*BO!$B$8+BO!G11*BO!$B$11+BO!G14*BO!$B$14+BO!G17*BO!$B$17+BO!G20*BO!$B$20</f>
        <v>25.466005399403301</v>
      </c>
      <c r="I52" s="151">
        <f>BO!H5*BO!$B$5+BO!H8*BO!$B$8+BO!H11*BO!$B$11+BO!H14*BO!$B$14+BO!H17*BO!$B$17+BO!H20*BO!$B$20</f>
        <v>21.826208036667698</v>
      </c>
      <c r="J52" s="151">
        <f>BO!I5*BO!$B$5+BO!I8*BO!$B$8+BO!I11*BO!$B$11+BO!I14*BO!$B$14+BO!I17*BO!$B$17+BO!I20*BO!$B$20</f>
        <v>21.527180898930883</v>
      </c>
      <c r="K52" s="151">
        <f>BO!J5*BO!$B$5+BO!J8*BO!$B$8+BO!J11*BO!$B$11+BO!J14*BO!$B$14+BO!J17*BO!$B$17+BO!J20*BO!$B$20</f>
        <v>21.028596971083743</v>
      </c>
      <c r="L52" s="151">
        <f>BO!K5*BO!$B$5+BO!K8*BO!$B$8+BO!K11*BO!$B$11+BO!K14*BO!$B$14+BO!K17*BO!$B$17+BO!K20*BO!$B$20</f>
        <v>26.763858291087676</v>
      </c>
      <c r="M52" s="151">
        <f>BO!L5*BO!$B$5+BO!L8*BO!$B$8+BO!L11*BO!$B$11+BO!L14*BO!$B$14+BO!L17*BO!$B$17+BO!L20*BO!$B$20</f>
        <v>25.53363866095744</v>
      </c>
      <c r="N52" s="151">
        <f>BO!M5*BO!$B$5+BO!M8*BO!$B$8+BO!M11*BO!$B$11+BO!M14*BO!$B$14+BO!M17*BO!$B$17+BO!M20*BO!$B$20</f>
        <v>27.930467605353993</v>
      </c>
      <c r="O52" s="151">
        <f>BO!N5*BO!$B$5+BO!N8*BO!$B$8+BO!N11*BO!$B$11+BO!N14*BO!$B$14+BO!N17*BO!$B$17+BO!N20*BO!$B$20</f>
        <v>21.743711634496112</v>
      </c>
      <c r="P52" s="151">
        <f>BO!O5*BO!$B$5+BO!O8*BO!$B$8+BO!O11*BO!$B$11+BO!O14*BO!$B$14+BO!O17*BO!$B$17+BO!O20*BO!$B$20</f>
        <v>32.792111147769347</v>
      </c>
      <c r="Q52" s="151">
        <f>BO!P5*BO!$B$5+BO!P8*BO!$B$8+BO!P11*BO!$B$11+BO!P14*BO!$B$14+BO!P17*BO!$B$17+BO!P20*BO!$B$20</f>
        <v>20.43471936938375</v>
      </c>
      <c r="R52" s="151">
        <f>BO!Q5*BO!$B$5+BO!Q8*BO!$B$8+BO!Q11*BO!$B$11+BO!Q14*BO!$B$14+BO!Q17*BO!$B$17+BO!Q20*BO!$B$20</f>
        <v>26.633250911430157</v>
      </c>
      <c r="S52" s="151">
        <f>BO!R5*BO!$B$5+BO!R8*BO!$B$8+BO!R11*BO!$B$11+BO!R14*BO!$B$14+BO!R17*BO!$B$17+BO!R20*BO!$B$20</f>
        <v>24.855732106346725</v>
      </c>
      <c r="T52" s="151">
        <f>BO!S5*BO!$B$5+BO!S8*BO!$B$8+BO!S11*BO!$B$11+BO!S14*BO!$B$14+BO!S17*BO!$B$17+BO!S20*BO!$B$20</f>
        <v>41.11910497144796</v>
      </c>
      <c r="U52" s="151">
        <f>BO!T5*BO!$B$5+BO!T8*BO!$B$8+BO!T11*BO!$B$11+BO!T14*BO!$B$14+BO!T17*BO!$B$17+BO!T20*BO!$B$20</f>
        <v>31.647826698784012</v>
      </c>
      <c r="V52" s="151">
        <f>BO!U5*BO!$B$5+BO!U8*BO!$B$8+BO!U11*BO!$B$11+BO!U14*BO!$B$14+BO!U17*BO!$B$17+BO!U20*BO!$B$20</f>
        <v>30.369725500769235</v>
      </c>
      <c r="W52" s="151">
        <f>BO!V5*BO!$B$5+BO!V8*BO!$B$8+BO!V11*BO!$B$11+BO!V14*BO!$B$14+BO!V17*BO!$B$17+BO!V20*BO!$B$20</f>
        <v>34.033505627039119</v>
      </c>
      <c r="X52" s="152">
        <f>BO!W5*BO!$B$5+BO!W8*BO!$B$8+BO!W11*BO!$B$11+BO!W14*BO!$B$14+BO!W17*BO!$B$17+BO!W20*BO!$B$20</f>
        <v>32.190949199963583</v>
      </c>
    </row>
    <row r="53" spans="2:24" ht="15.75" customHeight="1" x14ac:dyDescent="0.2">
      <c r="B53" s="215"/>
      <c r="C53" s="220" t="s">
        <v>111</v>
      </c>
      <c r="D53" s="153" t="s">
        <v>161</v>
      </c>
      <c r="E53" s="154">
        <f>F53/(F53+F54+F55)</f>
        <v>0.41290217744556384</v>
      </c>
      <c r="F53" s="157">
        <f t="shared" si="23"/>
        <v>2541</v>
      </c>
      <c r="G53" s="157">
        <f>SUMIF(BO!$C$3:$C$20,"PSUV",BO!F$3:F$20)</f>
        <v>98</v>
      </c>
      <c r="H53" s="157">
        <f>SUMIF(BO!$C$3:$C$20,"PSUV",BO!G$3:G$20)</f>
        <v>201</v>
      </c>
      <c r="I53" s="157">
        <f>SUMIF(BO!$C$3:$C$20,"PSUV",BO!H$3:H$20)</f>
        <v>209</v>
      </c>
      <c r="J53" s="157">
        <f>SUMIF(BO!$C$3:$C$20,"PSUV",BO!I$3:I$20)</f>
        <v>181</v>
      </c>
      <c r="K53" s="157">
        <f>SUMIF(BO!$C$3:$C$20,"PSUV",BO!J$3:J$20)</f>
        <v>165</v>
      </c>
      <c r="L53" s="157">
        <f>SUMIF(BO!$C$3:$C$20,"PSUV",BO!K$3:K$20)</f>
        <v>155</v>
      </c>
      <c r="M53" s="157">
        <f>SUMIF(BO!$C$3:$C$20,"PSUV",BO!L$3:L$20)</f>
        <v>162</v>
      </c>
      <c r="N53" s="157">
        <f>SUMIF(BO!$C$3:$C$20,"PSUV",BO!M$3:M$20)</f>
        <v>152</v>
      </c>
      <c r="O53" s="157">
        <f>SUMIF(BO!$C$3:$C$20,"PSUV",BO!N$3:N$20)</f>
        <v>141</v>
      </c>
      <c r="P53" s="157">
        <f>SUMIF(BO!$C$3:$C$20,"PSUV",BO!O$3:O$20)</f>
        <v>124</v>
      </c>
      <c r="Q53" s="157">
        <f>SUMIF(BO!$C$3:$C$20,"PSUV",BO!P$3:P$20)</f>
        <v>110</v>
      </c>
      <c r="R53" s="157">
        <f>SUMIF(BO!$C$3:$C$20,"PSUV",BO!Q$3:Q$20)</f>
        <v>137</v>
      </c>
      <c r="S53" s="157">
        <f>SUMIF(BO!$C$3:$C$20,"PSUV",BO!R$3:R$20)</f>
        <v>106</v>
      </c>
      <c r="T53" s="157">
        <f>SUMIF(BO!$C$3:$C$20,"PSUV",BO!S$3:S$20)</f>
        <v>124</v>
      </c>
      <c r="U53" s="157">
        <f>SUMIF(BO!$C$3:$C$20,"PSUV",BO!T$3:T$20)</f>
        <v>130</v>
      </c>
      <c r="V53" s="157">
        <f>SUMIF(BO!$C$3:$C$20,"PSUV",BO!U$3:U$20)</f>
        <v>139</v>
      </c>
      <c r="W53" s="157">
        <f>SUMIF(BO!$C$3:$C$20,"PSUV",BO!V$3:V$20)</f>
        <v>111</v>
      </c>
      <c r="X53" s="158">
        <f>SUMIF(BO!$C$3:$C$20,"PSUV",BO!W$3:W$20)</f>
        <v>96</v>
      </c>
    </row>
    <row r="54" spans="2:24" ht="15.75" customHeight="1" x14ac:dyDescent="0.2">
      <c r="B54" s="215"/>
      <c r="C54" s="218"/>
      <c r="D54" s="145" t="s">
        <v>162</v>
      </c>
      <c r="E54" s="146">
        <f>F54/(F53+F54+F55)</f>
        <v>0.4262268443288918</v>
      </c>
      <c r="F54" s="159">
        <f t="shared" si="23"/>
        <v>2623</v>
      </c>
      <c r="G54" s="159">
        <f>SUMIF(BO!$C$3:$C$20,"MUD",BO!F$3:F$20)</f>
        <v>96</v>
      </c>
      <c r="H54" s="159">
        <f>SUMIF(BO!$C$3:$C$20,"MUD",BO!G$3:G$20)</f>
        <v>177</v>
      </c>
      <c r="I54" s="159">
        <f>SUMIF(BO!$C$3:$C$20,"MUD",BO!H$3:H$20)</f>
        <v>184</v>
      </c>
      <c r="J54" s="159">
        <f>SUMIF(BO!$C$3:$C$20,"MUD",BO!I$3:I$20)</f>
        <v>173</v>
      </c>
      <c r="K54" s="159">
        <f>SUMIF(BO!$C$3:$C$20,"MUD",BO!J$3:J$20)</f>
        <v>147</v>
      </c>
      <c r="L54" s="159">
        <f>SUMIF(BO!$C$3:$C$20,"MUD",BO!K$3:K$20)</f>
        <v>170</v>
      </c>
      <c r="M54" s="159">
        <f>SUMIF(BO!$C$3:$C$20,"MUD",BO!L$3:L$20)</f>
        <v>163</v>
      </c>
      <c r="N54" s="159">
        <f>SUMIF(BO!$C$3:$C$20,"MUD",BO!M$3:M$20)</f>
        <v>157</v>
      </c>
      <c r="O54" s="159">
        <f>SUMIF(BO!$C$3:$C$20,"MUD",BO!N$3:N$20)</f>
        <v>158</v>
      </c>
      <c r="P54" s="159">
        <f>SUMIF(BO!$C$3:$C$20,"MUD",BO!O$3:O$20)</f>
        <v>108</v>
      </c>
      <c r="Q54" s="159">
        <f>SUMIF(BO!$C$3:$C$20,"MUD",BO!P$3:P$20)</f>
        <v>149</v>
      </c>
      <c r="R54" s="159">
        <f>SUMIF(BO!$C$3:$C$20,"MUD",BO!Q$3:Q$20)</f>
        <v>156</v>
      </c>
      <c r="S54" s="159">
        <f>SUMIF(BO!$C$3:$C$20,"MUD",BO!R$3:R$20)</f>
        <v>155</v>
      </c>
      <c r="T54" s="159">
        <f>SUMIF(BO!$C$3:$C$20,"MUD",BO!S$3:S$20)</f>
        <v>130</v>
      </c>
      <c r="U54" s="159">
        <f>SUMIF(BO!$C$3:$C$20,"MUD",BO!T$3:T$20)</f>
        <v>159</v>
      </c>
      <c r="V54" s="159">
        <f>SUMIF(BO!$C$3:$C$20,"MUD",BO!U$3:U$20)</f>
        <v>131</v>
      </c>
      <c r="W54" s="159">
        <f>SUMIF(BO!$C$3:$C$20,"MUD",BO!V$3:V$20)</f>
        <v>92</v>
      </c>
      <c r="X54" s="160">
        <f>SUMIF(BO!$C$3:$C$20,"MUD",BO!W$3:W$20)</f>
        <v>118</v>
      </c>
    </row>
    <row r="55" spans="2:24" ht="15.75" customHeight="1" thickBot="1" x14ac:dyDescent="0.25">
      <c r="B55" s="216"/>
      <c r="C55" s="221"/>
      <c r="D55" s="161" t="s">
        <v>0</v>
      </c>
      <c r="E55" s="162">
        <f>F55/(F53+F54+F55)</f>
        <v>0.16087097822554436</v>
      </c>
      <c r="F55" s="163">
        <f t="shared" si="23"/>
        <v>990</v>
      </c>
      <c r="G55" s="163">
        <f>SUMIF(BO!$C$3:$C$20,"Otro",BO!F$3:F$20)</f>
        <v>17</v>
      </c>
      <c r="H55" s="163">
        <f>SUMIF(BO!$C$3:$C$20,"Otro",BO!G$3:G$20)</f>
        <v>54</v>
      </c>
      <c r="I55" s="163">
        <f>SUMIF(BO!$C$3:$C$20,"Otro",BO!H$3:H$20)</f>
        <v>50</v>
      </c>
      <c r="J55" s="163">
        <f>SUMIF(BO!$C$3:$C$20,"Otro",BO!I$3:I$20)</f>
        <v>51</v>
      </c>
      <c r="K55" s="163">
        <f>SUMIF(BO!$C$3:$C$20,"Otro",BO!J$3:J$20)</f>
        <v>47</v>
      </c>
      <c r="L55" s="163">
        <f>SUMIF(BO!$C$3:$C$20,"Otro",BO!K$3:K$20)</f>
        <v>56</v>
      </c>
      <c r="M55" s="163">
        <f>SUMIF(BO!$C$3:$C$20,"Otro",BO!L$3:L$20)</f>
        <v>56</v>
      </c>
      <c r="N55" s="163">
        <f>SUMIF(BO!$C$3:$C$20,"Otro",BO!M$3:M$20)</f>
        <v>58</v>
      </c>
      <c r="O55" s="163">
        <f>SUMIF(BO!$C$3:$C$20,"Otro",BO!N$3:N$20)</f>
        <v>45</v>
      </c>
      <c r="P55" s="163">
        <f>SUMIF(BO!$C$3:$C$20,"Otro",BO!O$3:O$20)</f>
        <v>64</v>
      </c>
      <c r="Q55" s="163">
        <f>SUMIF(BO!$C$3:$C$20,"Otro",BO!P$3:P$20)</f>
        <v>46</v>
      </c>
      <c r="R55" s="163">
        <f>SUMIF(BO!$C$3:$C$20,"Otro",BO!Q$3:Q$20)</f>
        <v>54</v>
      </c>
      <c r="S55" s="163">
        <f>SUMIF(BO!$C$3:$C$20,"Otro",BO!R$3:R$20)</f>
        <v>54</v>
      </c>
      <c r="T55" s="163">
        <f>SUMIF(BO!$C$3:$C$20,"Otro",BO!S$3:S$20)</f>
        <v>82</v>
      </c>
      <c r="U55" s="163">
        <f>SUMIF(BO!$C$3:$C$20,"Otro",BO!T$3:T$20)</f>
        <v>67</v>
      </c>
      <c r="V55" s="163">
        <f>SUMIF(BO!$C$3:$C$20,"Otro",BO!U$3:U$20)</f>
        <v>62</v>
      </c>
      <c r="W55" s="163">
        <f>SUMIF(BO!$C$3:$C$20,"Otro",BO!V$3:V$20)</f>
        <v>66</v>
      </c>
      <c r="X55" s="164">
        <f>SUMIF(BO!$C$3:$C$20,"Otro",BO!W$3:W$20)</f>
        <v>61</v>
      </c>
    </row>
    <row r="56" spans="2:24" ht="15.75" customHeight="1" x14ac:dyDescent="0.2">
      <c r="B56" s="214" t="s">
        <v>28</v>
      </c>
      <c r="C56" s="225" t="s">
        <v>231</v>
      </c>
      <c r="D56" s="165" t="s">
        <v>145</v>
      </c>
      <c r="E56" s="166"/>
      <c r="F56" s="167"/>
      <c r="G56" s="167">
        <f>IF(SUM(G59:G61)=0,1,G59)</f>
        <v>44.766371377734302</v>
      </c>
      <c r="H56" s="167">
        <f t="shared" ref="H56:X56" si="24">IF(SUM(H59:H61)=0,0,G56+H59)</f>
        <v>78.090511889691541</v>
      </c>
      <c r="I56" s="167">
        <f t="shared" si="24"/>
        <v>137.34747000387745</v>
      </c>
      <c r="J56" s="167">
        <f t="shared" si="24"/>
        <v>204.80102177986677</v>
      </c>
      <c r="K56" s="167">
        <f t="shared" si="24"/>
        <v>271.72141333380171</v>
      </c>
      <c r="L56" s="167">
        <f t="shared" si="24"/>
        <v>349.89262935046793</v>
      </c>
      <c r="M56" s="167">
        <f t="shared" si="24"/>
        <v>416.05454694067248</v>
      </c>
      <c r="N56" s="167">
        <f t="shared" si="24"/>
        <v>472.52604370024011</v>
      </c>
      <c r="O56" s="167">
        <f t="shared" si="24"/>
        <v>533.78993932548747</v>
      </c>
      <c r="P56" s="167">
        <f t="shared" si="24"/>
        <v>588.64950437664402</v>
      </c>
      <c r="Q56" s="167">
        <f t="shared" si="24"/>
        <v>649.75435266334227</v>
      </c>
      <c r="R56" s="167">
        <f t="shared" si="24"/>
        <v>710.79728281942619</v>
      </c>
      <c r="S56" s="167">
        <f t="shared" si="24"/>
        <v>761.69291279541847</v>
      </c>
      <c r="T56" s="167">
        <f t="shared" si="24"/>
        <v>805.88136856084816</v>
      </c>
      <c r="U56" s="167">
        <f t="shared" si="24"/>
        <v>857.91424979633314</v>
      </c>
      <c r="V56" s="167">
        <f t="shared" si="24"/>
        <v>906.50411589629005</v>
      </c>
      <c r="W56" s="167">
        <f t="shared" si="24"/>
        <v>957.5652517836902</v>
      </c>
      <c r="X56" s="168">
        <f t="shared" si="24"/>
        <v>994.27032987966425</v>
      </c>
    </row>
    <row r="57" spans="2:24" ht="15.75" customHeight="1" x14ac:dyDescent="0.2">
      <c r="B57" s="215"/>
      <c r="C57" s="226"/>
      <c r="D57" s="117" t="s">
        <v>146</v>
      </c>
      <c r="E57" s="118"/>
      <c r="F57" s="119"/>
      <c r="G57" s="119">
        <f>IF(SUM(G59:G61)=0,1,G60)</f>
        <v>28.808314610384784</v>
      </c>
      <c r="H57" s="119">
        <f t="shared" ref="H57:X57" si="25">IF(SUM(H59:H61)=0,0,G57+H60)</f>
        <v>60.335968731887824</v>
      </c>
      <c r="I57" s="119">
        <f t="shared" si="25"/>
        <v>103.23680150342011</v>
      </c>
      <c r="J57" s="119">
        <f t="shared" si="25"/>
        <v>152.46665671411915</v>
      </c>
      <c r="K57" s="119">
        <f t="shared" si="25"/>
        <v>192.30570645749202</v>
      </c>
      <c r="L57" s="119">
        <f t="shared" si="25"/>
        <v>239.67279739090137</v>
      </c>
      <c r="M57" s="119">
        <f t="shared" si="25"/>
        <v>294.48572710114712</v>
      </c>
      <c r="N57" s="119">
        <f t="shared" si="25"/>
        <v>348.5602881194954</v>
      </c>
      <c r="O57" s="119">
        <f t="shared" si="25"/>
        <v>395.16472164165691</v>
      </c>
      <c r="P57" s="119">
        <f t="shared" si="25"/>
        <v>443.13100749953725</v>
      </c>
      <c r="Q57" s="119">
        <f t="shared" si="25"/>
        <v>496.96221859847412</v>
      </c>
      <c r="R57" s="119">
        <f t="shared" si="25"/>
        <v>545.942093061273</v>
      </c>
      <c r="S57" s="119">
        <f t="shared" si="25"/>
        <v>594.4483354702038</v>
      </c>
      <c r="T57" s="119">
        <f t="shared" si="25"/>
        <v>632.65804690487028</v>
      </c>
      <c r="U57" s="119">
        <f t="shared" si="25"/>
        <v>673.75152699549699</v>
      </c>
      <c r="V57" s="119">
        <f t="shared" si="25"/>
        <v>710.98352898420512</v>
      </c>
      <c r="W57" s="119">
        <f t="shared" si="25"/>
        <v>750.82546789357707</v>
      </c>
      <c r="X57" s="132">
        <f t="shared" si="25"/>
        <v>784.8962825208497</v>
      </c>
    </row>
    <row r="58" spans="2:24" ht="15.75" customHeight="1" thickBot="1" x14ac:dyDescent="0.25">
      <c r="B58" s="215"/>
      <c r="C58" s="227"/>
      <c r="D58" s="120" t="s">
        <v>0</v>
      </c>
      <c r="E58" s="121"/>
      <c r="F58" s="122"/>
      <c r="G58" s="122">
        <f>IF(SUM(G59:G61)=0,1,G61)</f>
        <v>4.0815674316618011</v>
      </c>
      <c r="H58" s="122">
        <f t="shared" ref="H58:X58" si="26">IF(SUM(H59:H61)=0,0,G58+H61)</f>
        <v>7.6232087103254758</v>
      </c>
      <c r="I58" s="122">
        <f t="shared" si="26"/>
        <v>14.161727095743057</v>
      </c>
      <c r="J58" s="122">
        <f t="shared" si="26"/>
        <v>24.712701927506725</v>
      </c>
      <c r="K58" s="122">
        <f t="shared" si="26"/>
        <v>26.952800606339817</v>
      </c>
      <c r="L58" s="122">
        <f t="shared" si="26"/>
        <v>32.733976511087178</v>
      </c>
      <c r="M58" s="122">
        <f t="shared" si="26"/>
        <v>36.803592779584392</v>
      </c>
      <c r="N58" s="122">
        <f t="shared" si="26"/>
        <v>40.383549789983228</v>
      </c>
      <c r="O58" s="122">
        <f t="shared" si="26"/>
        <v>44.388597217700038</v>
      </c>
      <c r="P58" s="122">
        <f t="shared" si="26"/>
        <v>48.016512897555856</v>
      </c>
      <c r="Q58" s="122">
        <f t="shared" si="26"/>
        <v>53.917846223683725</v>
      </c>
      <c r="R58" s="122">
        <f t="shared" si="26"/>
        <v>56.145753256982424</v>
      </c>
      <c r="S58" s="122">
        <f t="shared" si="26"/>
        <v>59.785000655246897</v>
      </c>
      <c r="T58" s="122">
        <f t="shared" si="26"/>
        <v>65.61937720470317</v>
      </c>
      <c r="U58" s="122">
        <f t="shared" si="26"/>
        <v>69.376327212741771</v>
      </c>
      <c r="V58" s="122">
        <f t="shared" si="26"/>
        <v>74.479898781240735</v>
      </c>
      <c r="W58" s="122">
        <f t="shared" si="26"/>
        <v>78.128541204222202</v>
      </c>
      <c r="X58" s="133">
        <f t="shared" si="26"/>
        <v>80.147227900278153</v>
      </c>
    </row>
    <row r="59" spans="2:24" ht="15.75" customHeight="1" x14ac:dyDescent="0.2">
      <c r="B59" s="215"/>
      <c r="C59" s="228" t="s">
        <v>232</v>
      </c>
      <c r="D59" s="123" t="s">
        <v>145</v>
      </c>
      <c r="E59" s="124">
        <f>F59/(F59+F60+F61)</f>
        <v>0.53475121215620891</v>
      </c>
      <c r="F59" s="125">
        <f t="shared" ref="F59:F64" si="27">IF(SUM(G59:X59)=0,1,SUM(G59:X59))</f>
        <v>994.27032987966425</v>
      </c>
      <c r="G59" s="125">
        <f>CA!F3*CA!$B$5+CA!F6*CA!$B$8+CA!F9*CA!$B$11+CA!F12*CA!$B$14+CA!F15*CA!$B$17+CA!F18*CA!$B$20+CA!F21*CA!$B$23+CA!F24*CA!$B$26+CA!F27*CA!$B$29+CA!F30*CA!$B$32+CA!F33*CA!$B$35+CA!F36*CA!$B$38</f>
        <v>44.766371377734302</v>
      </c>
      <c r="H59" s="125">
        <f>CA!G3*CA!$B$5+CA!G6*CA!$B$8+CA!G9*CA!$B$11+CA!G12*CA!$B$14+CA!G15*CA!$B$17+CA!G18*CA!$B$20+CA!G21*CA!$B$23+CA!G24*CA!$B$26+CA!G27*CA!$B$29+CA!G30*CA!$B$32+CA!G33*CA!$B$35+CA!G36*CA!$B$38</f>
        <v>33.324140511957239</v>
      </c>
      <c r="I59" s="125">
        <f>CA!H3*CA!$B$5+CA!H6*CA!$B$8+CA!H9*CA!$B$11+CA!H12*CA!$B$14+CA!H15*CA!$B$17+CA!H18*CA!$B$20+CA!H21*CA!$B$23+CA!H24*CA!$B$26+CA!H27*CA!$B$29+CA!H30*CA!$B$32+CA!H33*CA!$B$35+CA!H36*CA!$B$38</f>
        <v>59.256958114185892</v>
      </c>
      <c r="J59" s="125">
        <f>CA!I3*CA!$B$5+CA!I6*CA!$B$8+CA!I9*CA!$B$11+CA!I12*CA!$B$14+CA!I15*CA!$B$17+CA!I18*CA!$B$20+CA!I21*CA!$B$23+CA!I24*CA!$B$26+CA!I27*CA!$B$29+CA!I30*CA!$B$32+CA!I33*CA!$B$35+CA!I36*CA!$B$38</f>
        <v>67.453551775989325</v>
      </c>
      <c r="K59" s="125">
        <f>CA!J3*CA!$B$5+CA!J6*CA!$B$8+CA!J9*CA!$B$11+CA!J12*CA!$B$14+CA!J15*CA!$B$17+CA!J18*CA!$B$20+CA!J21*CA!$B$23+CA!J24*CA!$B$26+CA!J27*CA!$B$29+CA!J30*CA!$B$32+CA!J33*CA!$B$35+CA!J36*CA!$B$38</f>
        <v>66.92039155393492</v>
      </c>
      <c r="L59" s="125">
        <f>CA!K3*CA!$B$5+CA!K6*CA!$B$8+CA!K9*CA!$B$11+CA!K12*CA!$B$14+CA!K15*CA!$B$17+CA!K18*CA!$B$20+CA!K21*CA!$B$23+CA!K24*CA!$B$26+CA!K27*CA!$B$29+CA!K30*CA!$B$32+CA!K33*CA!$B$35+CA!K36*CA!$B$38</f>
        <v>78.171216016666236</v>
      </c>
      <c r="M59" s="125">
        <f>CA!L3*CA!$B$5+CA!L6*CA!$B$8+CA!L9*CA!$B$11+CA!L12*CA!$B$14+CA!L15*CA!$B$17+CA!L18*CA!$B$20+CA!L21*CA!$B$23+CA!L24*CA!$B$26+CA!L27*CA!$B$29+CA!L30*CA!$B$32+CA!L33*CA!$B$35+CA!L36*CA!$B$38</f>
        <v>66.161917590204524</v>
      </c>
      <c r="N59" s="125">
        <f>CA!M3*CA!$B$5+CA!M6*CA!$B$8+CA!M9*CA!$B$11+CA!M12*CA!$B$14+CA!M15*CA!$B$17+CA!M18*CA!$B$20+CA!M21*CA!$B$23+CA!M24*CA!$B$26+CA!M27*CA!$B$29+CA!M30*CA!$B$32+CA!M33*CA!$B$35+CA!M36*CA!$B$38</f>
        <v>56.471496759567614</v>
      </c>
      <c r="O59" s="125">
        <f>CA!N3*CA!$B$5+CA!N6*CA!$B$8+CA!N9*CA!$B$11+CA!N12*CA!$B$14+CA!N15*CA!$B$17+CA!N18*CA!$B$20+CA!N21*CA!$B$23+CA!N24*CA!$B$26+CA!N27*CA!$B$29+CA!N30*CA!$B$32+CA!N33*CA!$B$35+CA!N36*CA!$B$38</f>
        <v>61.2638956252474</v>
      </c>
      <c r="P59" s="125">
        <f>CA!O3*CA!$B$5+CA!O6*CA!$B$8+CA!O9*CA!$B$11+CA!O12*CA!$B$14+CA!O15*CA!$B$17+CA!O18*CA!$B$20+CA!O21*CA!$B$23+CA!O24*CA!$B$26+CA!O27*CA!$B$29+CA!O30*CA!$B$32+CA!O33*CA!$B$35+CA!O36*CA!$B$38</f>
        <v>54.859565051156544</v>
      </c>
      <c r="Q59" s="125">
        <f>CA!P3*CA!$B$5+CA!P6*CA!$B$8+CA!P9*CA!$B$11+CA!P12*CA!$B$14+CA!P15*CA!$B$17+CA!P18*CA!$B$20+CA!P21*CA!$B$23+CA!P24*CA!$B$26+CA!P27*CA!$B$29+CA!P30*CA!$B$32+CA!P33*CA!$B$35+CA!P36*CA!$B$38</f>
        <v>61.104848286698214</v>
      </c>
      <c r="R59" s="125">
        <f>CA!Q3*CA!$B$5+CA!Q6*CA!$B$8+CA!Q9*CA!$B$11+CA!Q12*CA!$B$14+CA!Q15*CA!$B$17+CA!Q18*CA!$B$20+CA!Q21*CA!$B$23+CA!Q24*CA!$B$26+CA!Q27*CA!$B$29+CA!Q30*CA!$B$32+CA!Q33*CA!$B$35+CA!Q36*CA!$B$38</f>
        <v>61.042930156083862</v>
      </c>
      <c r="S59" s="125">
        <f>CA!R3*CA!$B$5+CA!R6*CA!$B$8+CA!R9*CA!$B$11+CA!R12*CA!$B$14+CA!R15*CA!$B$17+CA!R18*CA!$B$20+CA!R21*CA!$B$23+CA!R24*CA!$B$26+CA!R27*CA!$B$29+CA!R30*CA!$B$32+CA!R33*CA!$B$35+CA!R36*CA!$B$38</f>
        <v>50.895629975992286</v>
      </c>
      <c r="T59" s="125">
        <f>CA!S3*CA!$B$5+CA!S6*CA!$B$8+CA!S9*CA!$B$11+CA!S12*CA!$B$14+CA!S15*CA!$B$17+CA!S18*CA!$B$20+CA!S21*CA!$B$23+CA!S24*CA!$B$26+CA!S27*CA!$B$29+CA!S30*CA!$B$32+CA!S33*CA!$B$35+CA!S36*CA!$B$38</f>
        <v>44.188455765429715</v>
      </c>
      <c r="U59" s="125">
        <f>CA!T3*CA!$B$5+CA!T6*CA!$B$8+CA!T9*CA!$B$11+CA!T12*CA!$B$14+CA!T15*CA!$B$17+CA!T18*CA!$B$20+CA!T21*CA!$B$23+CA!T24*CA!$B$26+CA!T27*CA!$B$29+CA!T30*CA!$B$32+CA!T33*CA!$B$35+CA!T36*CA!$B$38</f>
        <v>52.032881235484929</v>
      </c>
      <c r="V59" s="125">
        <f>CA!U3*CA!$B$5+CA!U6*CA!$B$8+CA!U9*CA!$B$11+CA!U12*CA!$B$14+CA!U15*CA!$B$17+CA!U18*CA!$B$20+CA!U21*CA!$B$23+CA!U24*CA!$B$26+CA!U27*CA!$B$29+CA!U30*CA!$B$32+CA!U33*CA!$B$35+CA!U36*CA!$B$38</f>
        <v>48.589866099956893</v>
      </c>
      <c r="W59" s="125">
        <f>CA!V3*CA!$B$5+CA!V6*CA!$B$8+CA!V9*CA!$B$11+CA!V12*CA!$B$14+CA!V15*CA!$B$17+CA!V18*CA!$B$20+CA!V21*CA!$B$23+CA!V24*CA!$B$26+CA!V27*CA!$B$29+CA!V30*CA!$B$32+CA!V33*CA!$B$35+CA!V36*CA!$B$38</f>
        <v>51.061135887400205</v>
      </c>
      <c r="X59" s="134">
        <f>CA!W3*CA!$B$5+CA!W6*CA!$B$8+CA!W9*CA!$B$11+CA!W12*CA!$B$14+CA!W15*CA!$B$17+CA!W18*CA!$B$20+CA!W21*CA!$B$23+CA!W24*CA!$B$26+CA!W27*CA!$B$29+CA!W30*CA!$B$32+CA!W33*CA!$B$35+CA!W36*CA!$B$38</f>
        <v>36.705078095974081</v>
      </c>
    </row>
    <row r="60" spans="2:24" ht="15.75" customHeight="1" x14ac:dyDescent="0.2">
      <c r="B60" s="215"/>
      <c r="C60" s="226"/>
      <c r="D60" s="117" t="s">
        <v>146</v>
      </c>
      <c r="E60" s="118">
        <f>F60/(F59+F60+F61)</f>
        <v>0.42214297850537835</v>
      </c>
      <c r="F60" s="119">
        <f t="shared" si="27"/>
        <v>784.8962825208497</v>
      </c>
      <c r="G60" s="119">
        <f>CA!F4*CA!$B$5+CA!F7*CA!$B$8+CA!F10*CA!$B$11+CA!F13*CA!$B$14+CA!F16*CA!$B$17+CA!F19*CA!$B$20+CA!F22*CA!$B$23+CA!F25*CA!$B$26+CA!F28*CA!$B$29+CA!F31*CA!$B$32+CA!F34*CA!$B$35+CA!F37*CA!$B$38</f>
        <v>28.808314610384784</v>
      </c>
      <c r="H60" s="119">
        <f>CA!G4*CA!$B$5+CA!G7*CA!$B$8+CA!G10*CA!$B$11+CA!G13*CA!$B$14+CA!G16*CA!$B$17+CA!G19*CA!$B$20+CA!G22*CA!$B$23+CA!G25*CA!$B$26+CA!G28*CA!$B$29+CA!G31*CA!$B$32+CA!G34*CA!$B$35+CA!G37*CA!$B$38</f>
        <v>31.527654121503041</v>
      </c>
      <c r="I60" s="119">
        <f>CA!H4*CA!$B$5+CA!H7*CA!$B$8+CA!H10*CA!$B$11+CA!H13*CA!$B$14+CA!H16*CA!$B$17+CA!H19*CA!$B$20+CA!H22*CA!$B$23+CA!H25*CA!$B$26+CA!H28*CA!$B$29+CA!H31*CA!$B$32+CA!H34*CA!$B$35+CA!H37*CA!$B$38</f>
        <v>42.900832771532293</v>
      </c>
      <c r="J60" s="119">
        <f>CA!I4*CA!$B$5+CA!I7*CA!$B$8+CA!I10*CA!$B$11+CA!I13*CA!$B$14+CA!I16*CA!$B$17+CA!I19*CA!$B$20+CA!I22*CA!$B$23+CA!I25*CA!$B$26+CA!I28*CA!$B$29+CA!I31*CA!$B$32+CA!I34*CA!$B$35+CA!I37*CA!$B$38</f>
        <v>49.229855210699029</v>
      </c>
      <c r="K60" s="119">
        <f>CA!J4*CA!$B$5+CA!J7*CA!$B$8+CA!J10*CA!$B$11+CA!J13*CA!$B$14+CA!J16*CA!$B$17+CA!J19*CA!$B$20+CA!J22*CA!$B$23+CA!J25*CA!$B$26+CA!J28*CA!$B$29+CA!J31*CA!$B$32+CA!J34*CA!$B$35+CA!J37*CA!$B$38</f>
        <v>39.839049743372883</v>
      </c>
      <c r="L60" s="119">
        <f>CA!K4*CA!$B$5+CA!K7*CA!$B$8+CA!K10*CA!$B$11+CA!K13*CA!$B$14+CA!K16*CA!$B$17+CA!K19*CA!$B$20+CA!K22*CA!$B$23+CA!K25*CA!$B$26+CA!K28*CA!$B$29+CA!K31*CA!$B$32+CA!K34*CA!$B$35+CA!K37*CA!$B$38</f>
        <v>47.367090933409344</v>
      </c>
      <c r="M60" s="119">
        <f>CA!L4*CA!$B$5+CA!L7*CA!$B$8+CA!L10*CA!$B$11+CA!L13*CA!$B$14+CA!L16*CA!$B$17+CA!L19*CA!$B$20+CA!L22*CA!$B$23+CA!L25*CA!$B$26+CA!L28*CA!$B$29+CA!L31*CA!$B$32+CA!L34*CA!$B$35+CA!L37*CA!$B$38</f>
        <v>54.812929710245768</v>
      </c>
      <c r="N60" s="119">
        <f>CA!M4*CA!$B$5+CA!M7*CA!$B$8+CA!M10*CA!$B$11+CA!M13*CA!$B$14+CA!M16*CA!$B$17+CA!M19*CA!$B$20+CA!M22*CA!$B$23+CA!M25*CA!$B$26+CA!M28*CA!$B$29+CA!M31*CA!$B$32+CA!M34*CA!$B$35+CA!M37*CA!$B$38</f>
        <v>54.074561018348263</v>
      </c>
      <c r="O60" s="119">
        <f>CA!N4*CA!$B$5+CA!N7*CA!$B$8+CA!N10*CA!$B$11+CA!N13*CA!$B$14+CA!N16*CA!$B$17+CA!N19*CA!$B$20+CA!N22*CA!$B$23+CA!N25*CA!$B$26+CA!N28*CA!$B$29+CA!N31*CA!$B$32+CA!N34*CA!$B$35+CA!N37*CA!$B$38</f>
        <v>46.604433522161528</v>
      </c>
      <c r="P60" s="119">
        <f>CA!O4*CA!$B$5+CA!O7*CA!$B$8+CA!O10*CA!$B$11+CA!O13*CA!$B$14+CA!O16*CA!$B$17+CA!O19*CA!$B$20+CA!O22*CA!$B$23+CA!O25*CA!$B$26+CA!O28*CA!$B$29+CA!O31*CA!$B$32+CA!O34*CA!$B$35+CA!O37*CA!$B$38</f>
        <v>47.966285857880322</v>
      </c>
      <c r="Q60" s="119">
        <f>CA!P4*CA!$B$5+CA!P7*CA!$B$8+CA!P10*CA!$B$11+CA!P13*CA!$B$14+CA!P16*CA!$B$17+CA!P19*CA!$B$20+CA!P22*CA!$B$23+CA!P25*CA!$B$26+CA!P28*CA!$B$29+CA!P31*CA!$B$32+CA!P34*CA!$B$35+CA!P37*CA!$B$38</f>
        <v>53.831211098936876</v>
      </c>
      <c r="R60" s="119">
        <f>CA!Q4*CA!$B$5+CA!Q7*CA!$B$8+CA!Q10*CA!$B$11+CA!Q13*CA!$B$14+CA!Q16*CA!$B$17+CA!Q19*CA!$B$20+CA!Q22*CA!$B$23+CA!Q25*CA!$B$26+CA!Q28*CA!$B$29+CA!Q31*CA!$B$32+CA!Q34*CA!$B$35+CA!Q37*CA!$B$38</f>
        <v>48.979874462798861</v>
      </c>
      <c r="S60" s="119">
        <f>CA!R4*CA!$B$5+CA!R7*CA!$B$8+CA!R10*CA!$B$11+CA!R13*CA!$B$14+CA!R16*CA!$B$17+CA!R19*CA!$B$20+CA!R22*CA!$B$23+CA!R25*CA!$B$26+CA!R28*CA!$B$29+CA!R31*CA!$B$32+CA!R34*CA!$B$35+CA!R37*CA!$B$38</f>
        <v>48.50624240893081</v>
      </c>
      <c r="T60" s="119">
        <f>CA!S4*CA!$B$5+CA!S7*CA!$B$8+CA!S10*CA!$B$11+CA!S13*CA!$B$14+CA!S16*CA!$B$17+CA!S19*CA!$B$20+CA!S22*CA!$B$23+CA!S25*CA!$B$26+CA!S28*CA!$B$29+CA!S31*CA!$B$32+CA!S34*CA!$B$35+CA!S37*CA!$B$38</f>
        <v>38.209711434666474</v>
      </c>
      <c r="U60" s="119">
        <f>CA!T4*CA!$B$5+CA!T7*CA!$B$8+CA!T10*CA!$B$11+CA!T13*CA!$B$14+CA!T16*CA!$B$17+CA!T19*CA!$B$20+CA!T22*CA!$B$23+CA!T25*CA!$B$26+CA!T28*CA!$B$29+CA!T31*CA!$B$32+CA!T34*CA!$B$35+CA!T37*CA!$B$38</f>
        <v>41.093480090626727</v>
      </c>
      <c r="V60" s="119">
        <f>CA!U4*CA!$B$5+CA!U7*CA!$B$8+CA!U10*CA!$B$11+CA!U13*CA!$B$14+CA!U16*CA!$B$17+CA!U19*CA!$B$20+CA!U22*CA!$B$23+CA!U25*CA!$B$26+CA!U28*CA!$B$29+CA!U31*CA!$B$32+CA!U34*CA!$B$35+CA!U37*CA!$B$38</f>
        <v>37.232001988708134</v>
      </c>
      <c r="W60" s="119">
        <f>CA!V4*CA!$B$5+CA!V7*CA!$B$8+CA!V10*CA!$B$11+CA!V13*CA!$B$14+CA!V16*CA!$B$17+CA!V19*CA!$B$20+CA!V22*CA!$B$23+CA!V25*CA!$B$26+CA!V28*CA!$B$29+CA!V31*CA!$B$32+CA!V34*CA!$B$35+CA!V37*CA!$B$38</f>
        <v>39.841938909371919</v>
      </c>
      <c r="X60" s="132">
        <f>CA!W4*CA!$B$5+CA!W7*CA!$B$8+CA!W10*CA!$B$11+CA!W13*CA!$B$14+CA!W16*CA!$B$17+CA!W19*CA!$B$20+CA!W22*CA!$B$23+CA!W25*CA!$B$26+CA!W28*CA!$B$29+CA!W31*CA!$B$32+CA!W34*CA!$B$35+CA!W37*CA!$B$38</f>
        <v>34.07081462727259</v>
      </c>
    </row>
    <row r="61" spans="2:24" ht="15.75" customHeight="1" thickBot="1" x14ac:dyDescent="0.25">
      <c r="B61" s="215"/>
      <c r="C61" s="227"/>
      <c r="D61" s="120" t="s">
        <v>0</v>
      </c>
      <c r="E61" s="121">
        <f>F61/(F59+F60+F61)</f>
        <v>4.3105809338412855E-2</v>
      </c>
      <c r="F61" s="122">
        <f t="shared" si="27"/>
        <v>80.147227900278153</v>
      </c>
      <c r="G61" s="122">
        <f>CA!F5*CA!$B$5+CA!F8*CA!$B$8+CA!F11*CA!$B$11+CA!F14*CA!$B$14+CA!F17*CA!$B$17+CA!F20*CA!$B$20+CA!F23*CA!$B$23+CA!F26*CA!$B$26+CA!F29*CA!$B$29+CA!F32*CA!$B$32+CA!F35*CA!$B$35+CA!F38*CA!$B$38</f>
        <v>4.0815674316618011</v>
      </c>
      <c r="H61" s="122">
        <f>CA!G5*CA!$B$5+CA!G8*CA!$B$8+CA!G11*CA!$B$11+CA!G14*CA!$B$14+CA!G17*CA!$B$17+CA!G20*CA!$B$20+CA!G23*CA!$B$23+CA!G26*CA!$B$26+CA!G29*CA!$B$29+CA!G32*CA!$B$32+CA!G35*CA!$B$35+CA!G38*CA!$B$38</f>
        <v>3.5416412786636746</v>
      </c>
      <c r="I61" s="122">
        <f>CA!H5*CA!$B$5+CA!H8*CA!$B$8+CA!H11*CA!$B$11+CA!H14*CA!$B$14+CA!H17*CA!$B$17+CA!H20*CA!$B$20+CA!H23*CA!$B$23+CA!H26*CA!$B$26+CA!H29*CA!$B$29+CA!H32*CA!$B$32+CA!H35*CA!$B$35+CA!H38*CA!$B$38</f>
        <v>6.5385183854175803</v>
      </c>
      <c r="J61" s="122">
        <f>CA!I5*CA!$B$5+CA!I8*CA!$B$8+CA!I11*CA!$B$11+CA!I14*CA!$B$14+CA!I17*CA!$B$17+CA!I20*CA!$B$20+CA!I23*CA!$B$23+CA!I26*CA!$B$26+CA!I29*CA!$B$29+CA!I32*CA!$B$32+CA!I35*CA!$B$35+CA!I38*CA!$B$38</f>
        <v>10.550974831763668</v>
      </c>
      <c r="K61" s="122">
        <f>CA!J5*CA!$B$5+CA!J8*CA!$B$8+CA!J11*CA!$B$11+CA!J14*CA!$B$14+CA!J17*CA!$B$17+CA!J20*CA!$B$20+CA!J23*CA!$B$23+CA!J26*CA!$B$26+CA!J29*CA!$B$29+CA!J32*CA!$B$32+CA!J35*CA!$B$35+CA!J38*CA!$B$38</f>
        <v>2.240098678833093</v>
      </c>
      <c r="L61" s="122">
        <f>CA!K5*CA!$B$5+CA!K8*CA!$B$8+CA!K11*CA!$B$11+CA!K14*CA!$B$14+CA!K17*CA!$B$17+CA!K20*CA!$B$20+CA!K23*CA!$B$23+CA!K26*CA!$B$26+CA!K29*CA!$B$29+CA!K32*CA!$B$32+CA!K35*CA!$B$35+CA!K38*CA!$B$38</f>
        <v>5.7811759047473643</v>
      </c>
      <c r="M61" s="122">
        <f>CA!L5*CA!$B$5+CA!L8*CA!$B$8+CA!L11*CA!$B$11+CA!L14*CA!$B$14+CA!L17*CA!$B$17+CA!L20*CA!$B$20+CA!L23*CA!$B$23+CA!L26*CA!$B$26+CA!L29*CA!$B$29+CA!L32*CA!$B$32+CA!L35*CA!$B$35+CA!L38*CA!$B$38</f>
        <v>4.0696162684972146</v>
      </c>
      <c r="N61" s="122">
        <f>CA!M5*CA!$B$5+CA!M8*CA!$B$8+CA!M11*CA!$B$11+CA!M14*CA!$B$14+CA!M17*CA!$B$17+CA!M20*CA!$B$20+CA!M23*CA!$B$23+CA!M26*CA!$B$26+CA!M29*CA!$B$29+CA!M32*CA!$B$32+CA!M35*CA!$B$35+CA!M38*CA!$B$38</f>
        <v>3.5799570103988358</v>
      </c>
      <c r="O61" s="122">
        <f>CA!N5*CA!$B$5+CA!N8*CA!$B$8+CA!N11*CA!$B$11+CA!N14*CA!$B$14+CA!N17*CA!$B$17+CA!N20*CA!$B$20+CA!N23*CA!$B$23+CA!N26*CA!$B$26+CA!N29*CA!$B$29+CA!N32*CA!$B$32+CA!N35*CA!$B$35+CA!N38*CA!$B$38</f>
        <v>4.0050474277168089</v>
      </c>
      <c r="P61" s="122">
        <f>CA!O5*CA!$B$5+CA!O8*CA!$B$8+CA!O11*CA!$B$11+CA!O14*CA!$B$14+CA!O17*CA!$B$17+CA!O20*CA!$B$20+CA!O23*CA!$B$23+CA!O26*CA!$B$26+CA!O29*CA!$B$29+CA!O32*CA!$B$32+CA!O35*CA!$B$35+CA!O38*CA!$B$38</f>
        <v>3.6279156798558185</v>
      </c>
      <c r="Q61" s="122">
        <f>CA!P5*CA!$B$5+CA!P8*CA!$B$8+CA!P11*CA!$B$11+CA!P14*CA!$B$14+CA!P17*CA!$B$17+CA!P20*CA!$B$20+CA!P23*CA!$B$23+CA!P26*CA!$B$26+CA!P29*CA!$B$29+CA!P32*CA!$B$32+CA!P35*CA!$B$35+CA!P38*CA!$B$38</f>
        <v>5.9013333261278689</v>
      </c>
      <c r="R61" s="122">
        <f>CA!Q5*CA!$B$5+CA!Q8*CA!$B$8+CA!Q11*CA!$B$11+CA!Q14*CA!$B$14+CA!Q17*CA!$B$17+CA!Q20*CA!$B$20+CA!Q23*CA!$B$23+CA!Q26*CA!$B$26+CA!Q29*CA!$B$29+CA!Q32*CA!$B$32+CA!Q35*CA!$B$35+CA!Q38*CA!$B$38</f>
        <v>2.2279070332987021</v>
      </c>
      <c r="S61" s="122">
        <f>CA!R5*CA!$B$5+CA!R8*CA!$B$8+CA!R11*CA!$B$11+CA!R14*CA!$B$14+CA!R17*CA!$B$17+CA!R20*CA!$B$20+CA!R23*CA!$B$23+CA!R26*CA!$B$26+CA!R29*CA!$B$29+CA!R32*CA!$B$32+CA!R35*CA!$B$35+CA!R38*CA!$B$38</f>
        <v>3.639247398264474</v>
      </c>
      <c r="T61" s="122">
        <f>CA!S5*CA!$B$5+CA!S8*CA!$B$8+CA!S11*CA!$B$11+CA!S14*CA!$B$14+CA!S17*CA!$B$17+CA!S20*CA!$B$20+CA!S23*CA!$B$23+CA!S26*CA!$B$26+CA!S29*CA!$B$29+CA!S32*CA!$B$32+CA!S35*CA!$B$35+CA!S38*CA!$B$38</f>
        <v>5.8343765494562794</v>
      </c>
      <c r="U61" s="122">
        <f>CA!T5*CA!$B$5+CA!T8*CA!$B$8+CA!T11*CA!$B$11+CA!T14*CA!$B$14+CA!T17*CA!$B$17+CA!T20*CA!$B$20+CA!T23*CA!$B$23+CA!T26*CA!$B$26+CA!T29*CA!$B$29+CA!T32*CA!$B$32+CA!T35*CA!$B$35+CA!T38*CA!$B$38</f>
        <v>3.7569500080385958</v>
      </c>
      <c r="V61" s="122">
        <f>CA!U5*CA!$B$5+CA!U8*CA!$B$8+CA!U11*CA!$B$11+CA!U14*CA!$B$14+CA!U17*CA!$B$17+CA!U20*CA!$B$20+CA!U23*CA!$B$23+CA!U26*CA!$B$26+CA!U29*CA!$B$29+CA!U32*CA!$B$32+CA!U35*CA!$B$35+CA!U38*CA!$B$38</f>
        <v>5.1035715684989711</v>
      </c>
      <c r="W61" s="122">
        <f>CA!V5*CA!$B$5+CA!V8*CA!$B$8+CA!V11*CA!$B$11+CA!V14*CA!$B$14+CA!V17*CA!$B$17+CA!V20*CA!$B$20+CA!V23*CA!$B$23+CA!V26*CA!$B$26+CA!V29*CA!$B$29+CA!V32*CA!$B$32+CA!V35*CA!$B$35+CA!V38*CA!$B$38</f>
        <v>3.6486424229814682</v>
      </c>
      <c r="X61" s="133">
        <f>CA!W5*CA!$B$5+CA!W8*CA!$B$8+CA!W11*CA!$B$11+CA!W14*CA!$B$14+CA!W17*CA!$B$17+CA!W20*CA!$B$20+CA!W23*CA!$B$23+CA!W26*CA!$B$26+CA!W29*CA!$B$29+CA!W32*CA!$B$32+CA!W35*CA!$B$35+CA!W38*CA!$B$38</f>
        <v>2.018686696055954</v>
      </c>
    </row>
    <row r="62" spans="2:24" ht="15.75" customHeight="1" x14ac:dyDescent="0.2">
      <c r="B62" s="215"/>
      <c r="C62" s="228" t="s">
        <v>111</v>
      </c>
      <c r="D62" s="123" t="s">
        <v>145</v>
      </c>
      <c r="E62" s="124">
        <f>F62/(F62+F63+F64)</f>
        <v>0.56395173453996983</v>
      </c>
      <c r="F62" s="126">
        <f t="shared" si="27"/>
        <v>3739</v>
      </c>
      <c r="G62" s="126">
        <f>SUMIF(CA!$C$3:$C$29,"PSUV",CA!F$3:F$29)</f>
        <v>235</v>
      </c>
      <c r="H62" s="126">
        <f>SUMIF(CA!$C$3:$C$29,"PSUV",CA!G$3:G$29)</f>
        <v>212</v>
      </c>
      <c r="I62" s="126">
        <f>SUMIF(CA!$C$3:$C$29,"PSUV",CA!H$3:H$29)</f>
        <v>200</v>
      </c>
      <c r="J62" s="126">
        <f>SUMIF(CA!$C$3:$C$29,"PSUV",CA!I$3:I$29)</f>
        <v>306</v>
      </c>
      <c r="K62" s="126">
        <f>SUMIF(CA!$C$3:$C$29,"PSUV",CA!J$3:J$29)</f>
        <v>232</v>
      </c>
      <c r="L62" s="126">
        <f>SUMIF(CA!$C$3:$C$29,"PSUV",CA!K$3:K$29)</f>
        <v>219</v>
      </c>
      <c r="M62" s="126">
        <f>SUMIF(CA!$C$3:$C$29,"PSUV",CA!L$3:L$29)</f>
        <v>231</v>
      </c>
      <c r="N62" s="126">
        <f>SUMIF(CA!$C$3:$C$29,"PSUV",CA!M$3:M$29)</f>
        <v>224</v>
      </c>
      <c r="O62" s="126">
        <f>SUMIF(CA!$C$3:$C$29,"PSUV",CA!N$3:N$29)</f>
        <v>231</v>
      </c>
      <c r="P62" s="126">
        <f>SUMIF(CA!$C$3:$C$29,"PSUV",CA!O$3:O$29)</f>
        <v>166</v>
      </c>
      <c r="Q62" s="126">
        <f>SUMIF(CA!$C$3:$C$29,"PSUV",CA!P$3:P$29)</f>
        <v>171</v>
      </c>
      <c r="R62" s="126">
        <f>SUMIF(CA!$C$3:$C$29,"PSUV",CA!Q$3:Q$29)</f>
        <v>214</v>
      </c>
      <c r="S62" s="126">
        <f>SUMIF(CA!$C$3:$C$29,"PSUV",CA!R$3:R$29)</f>
        <v>212</v>
      </c>
      <c r="T62" s="126">
        <f>SUMIF(CA!$C$3:$C$29,"PSUV",CA!S$3:S$29)</f>
        <v>180</v>
      </c>
      <c r="U62" s="126">
        <f>SUMIF(CA!$C$3:$C$29,"PSUV",CA!T$3:T$29)</f>
        <v>192</v>
      </c>
      <c r="V62" s="126">
        <f>SUMIF(CA!$C$3:$C$29,"PSUV",CA!U$3:U$29)</f>
        <v>192</v>
      </c>
      <c r="W62" s="126">
        <f>SUMIF(CA!$C$3:$C$29,"PSUV",CA!V$3:V$29)</f>
        <v>179</v>
      </c>
      <c r="X62" s="135">
        <f>SUMIF(CA!$C$3:$C$29,"PSUV",CA!W$3:W$29)</f>
        <v>143</v>
      </c>
    </row>
    <row r="63" spans="2:24" ht="15.75" customHeight="1" x14ac:dyDescent="0.2">
      <c r="B63" s="215"/>
      <c r="C63" s="226"/>
      <c r="D63" s="117" t="s">
        <v>146</v>
      </c>
      <c r="E63" s="118">
        <f>F63/(F62+F63+F64)</f>
        <v>0.3847662141779789</v>
      </c>
      <c r="F63" s="127">
        <f t="shared" si="27"/>
        <v>2551</v>
      </c>
      <c r="G63" s="127">
        <f>SUMIF(CA!$C$3:$C$29,"MUD",CA!F$3:F$29)</f>
        <v>120</v>
      </c>
      <c r="H63" s="127">
        <f>SUMIF(CA!$C$3:$C$29,"MUD",CA!G$3:G$29)</f>
        <v>97</v>
      </c>
      <c r="I63" s="127">
        <f>SUMIF(CA!$C$3:$C$29,"MUD",CA!H$3:H$29)</f>
        <v>131</v>
      </c>
      <c r="J63" s="127">
        <f>SUMIF(CA!$C$3:$C$29,"MUD",CA!I$3:I$29)</f>
        <v>168</v>
      </c>
      <c r="K63" s="127">
        <f>SUMIF(CA!$C$3:$C$29,"MUD",CA!J$3:J$29)</f>
        <v>146</v>
      </c>
      <c r="L63" s="127">
        <f>SUMIF(CA!$C$3:$C$29,"MUD",CA!K$3:K$29)</f>
        <v>164</v>
      </c>
      <c r="M63" s="127">
        <f>SUMIF(CA!$C$3:$C$29,"MUD",CA!L$3:L$29)</f>
        <v>161</v>
      </c>
      <c r="N63" s="127">
        <f>SUMIF(CA!$C$3:$C$29,"MUD",CA!M$3:M$29)</f>
        <v>171</v>
      </c>
      <c r="O63" s="127">
        <f>SUMIF(CA!$C$3:$C$29,"MUD",CA!N$3:N$29)</f>
        <v>194</v>
      </c>
      <c r="P63" s="127">
        <f>SUMIF(CA!$C$3:$C$29,"MUD",CA!O$3:O$29)</f>
        <v>99</v>
      </c>
      <c r="Q63" s="127">
        <f>SUMIF(CA!$C$3:$C$29,"MUD",CA!P$3:P$29)</f>
        <v>160</v>
      </c>
      <c r="R63" s="127">
        <f>SUMIF(CA!$C$3:$C$29,"MUD",CA!Q$3:Q$29)</f>
        <v>163</v>
      </c>
      <c r="S63" s="127">
        <f>SUMIF(CA!$C$3:$C$29,"MUD",CA!R$3:R$29)</f>
        <v>127</v>
      </c>
      <c r="T63" s="127">
        <f>SUMIF(CA!$C$3:$C$29,"MUD",CA!S$3:S$29)</f>
        <v>110</v>
      </c>
      <c r="U63" s="127">
        <f>SUMIF(CA!$C$3:$C$29,"MUD",CA!T$3:T$29)</f>
        <v>144</v>
      </c>
      <c r="V63" s="127">
        <f>SUMIF(CA!$C$3:$C$29,"MUD",CA!U$3:U$29)</f>
        <v>141</v>
      </c>
      <c r="W63" s="127">
        <f>SUMIF(CA!$C$3:$C$29,"MUD",CA!V$3:V$29)</f>
        <v>133</v>
      </c>
      <c r="X63" s="136">
        <f>SUMIF(CA!$C$3:$C$29,"MUD",CA!W$3:W$29)</f>
        <v>122</v>
      </c>
    </row>
    <row r="64" spans="2:24" ht="15.75" customHeight="1" thickBot="1" x14ac:dyDescent="0.25">
      <c r="B64" s="216"/>
      <c r="C64" s="229"/>
      <c r="D64" s="137" t="s">
        <v>0</v>
      </c>
      <c r="E64" s="138">
        <f>F64/(F62+F63+F64)</f>
        <v>5.128205128205128E-2</v>
      </c>
      <c r="F64" s="139">
        <f t="shared" si="27"/>
        <v>340</v>
      </c>
      <c r="G64" s="139">
        <f>SUMIF(CA!$C$3:$C$29,"Otro",CA!F$3:F$29)</f>
        <v>29</v>
      </c>
      <c r="H64" s="139">
        <f>SUMIF(CA!$C$3:$C$29,"Otro",CA!G$3:G$29)</f>
        <v>8</v>
      </c>
      <c r="I64" s="139">
        <f>SUMIF(CA!$C$3:$C$29,"Otro",CA!H$3:H$29)</f>
        <v>17</v>
      </c>
      <c r="J64" s="139">
        <f>SUMIF(CA!$C$3:$C$29,"Otro",CA!I$3:I$29)</f>
        <v>105</v>
      </c>
      <c r="K64" s="139">
        <f>SUMIF(CA!$C$3:$C$29,"Otro",CA!J$3:J$29)</f>
        <v>15</v>
      </c>
      <c r="L64" s="139">
        <f>SUMIF(CA!$C$3:$C$29,"Otro",CA!K$3:K$29)</f>
        <v>20</v>
      </c>
      <c r="M64" s="139">
        <f>SUMIF(CA!$C$3:$C$29,"Otro",CA!L$3:L$29)</f>
        <v>20</v>
      </c>
      <c r="N64" s="139">
        <f>SUMIF(CA!$C$3:$C$29,"Otro",CA!M$3:M$29)</f>
        <v>17</v>
      </c>
      <c r="O64" s="139">
        <f>SUMIF(CA!$C$3:$C$29,"Otro",CA!N$3:N$29)</f>
        <v>17</v>
      </c>
      <c r="P64" s="139">
        <f>SUMIF(CA!$C$3:$C$29,"Otro",CA!O$3:O$29)</f>
        <v>7</v>
      </c>
      <c r="Q64" s="139">
        <f>SUMIF(CA!$C$3:$C$29,"Otro",CA!P$3:P$29)</f>
        <v>14</v>
      </c>
      <c r="R64" s="139">
        <f>SUMIF(CA!$C$3:$C$29,"Otro",CA!Q$3:Q$29)</f>
        <v>4</v>
      </c>
      <c r="S64" s="139">
        <f>SUMIF(CA!$C$3:$C$29,"Otro",CA!R$3:R$29)</f>
        <v>14</v>
      </c>
      <c r="T64" s="139">
        <f>SUMIF(CA!$C$3:$C$29,"Otro",CA!S$3:S$29)</f>
        <v>23</v>
      </c>
      <c r="U64" s="139">
        <f>SUMIF(CA!$C$3:$C$29,"Otro",CA!T$3:T$29)</f>
        <v>6</v>
      </c>
      <c r="V64" s="139">
        <f>SUMIF(CA!$C$3:$C$29,"Otro",CA!U$3:U$29)</f>
        <v>4</v>
      </c>
      <c r="W64" s="139">
        <f>SUMIF(CA!$C$3:$C$29,"Otro",CA!V$3:V$29)</f>
        <v>13</v>
      </c>
      <c r="X64" s="140">
        <f>SUMIF(CA!$C$3:$C$29,"Otro",CA!W$3:W$29)</f>
        <v>7</v>
      </c>
    </row>
    <row r="65" spans="2:24" ht="15.75" customHeight="1" x14ac:dyDescent="0.2">
      <c r="B65" s="214" t="s">
        <v>40</v>
      </c>
      <c r="C65" s="217" t="s">
        <v>231</v>
      </c>
      <c r="D65" s="141" t="s">
        <v>164</v>
      </c>
      <c r="E65" s="142"/>
      <c r="F65" s="143"/>
      <c r="G65" s="143">
        <f>IF(SUM(G68:G70)=0,1,G68)</f>
        <v>10.799670512812327</v>
      </c>
      <c r="H65" s="143">
        <f t="shared" ref="H65:X65" si="28">IF(SUM(H68:H70)=0,0,G65+H68)</f>
        <v>13.049601869648228</v>
      </c>
      <c r="I65" s="143">
        <f t="shared" si="28"/>
        <v>27.834662562976114</v>
      </c>
      <c r="J65" s="143">
        <f t="shared" si="28"/>
        <v>44.229536355335334</v>
      </c>
      <c r="K65" s="143">
        <f t="shared" si="28"/>
        <v>62.812198688436666</v>
      </c>
      <c r="L65" s="143">
        <f t="shared" si="28"/>
        <v>78.392517575842717</v>
      </c>
      <c r="M65" s="143">
        <f t="shared" si="28"/>
        <v>100.30556743951421</v>
      </c>
      <c r="N65" s="143">
        <f t="shared" si="28"/>
        <v>119.98095232013895</v>
      </c>
      <c r="O65" s="143">
        <f t="shared" si="28"/>
        <v>141.42597712745919</v>
      </c>
      <c r="P65" s="143">
        <f t="shared" si="28"/>
        <v>155.3562548289668</v>
      </c>
      <c r="Q65" s="143">
        <f t="shared" si="28"/>
        <v>175.56334008058391</v>
      </c>
      <c r="R65" s="143">
        <f t="shared" si="28"/>
        <v>195.03605202832571</v>
      </c>
      <c r="S65" s="143">
        <f t="shared" si="28"/>
        <v>210.06870063279422</v>
      </c>
      <c r="T65" s="143">
        <f t="shared" si="28"/>
        <v>228.19145376643448</v>
      </c>
      <c r="U65" s="143">
        <f t="shared" si="28"/>
        <v>242.48630010152806</v>
      </c>
      <c r="V65" s="143">
        <f t="shared" si="28"/>
        <v>255.97127842305903</v>
      </c>
      <c r="W65" s="143">
        <f t="shared" si="28"/>
        <v>265.35650385998076</v>
      </c>
      <c r="X65" s="144">
        <f t="shared" si="28"/>
        <v>278.69157828194147</v>
      </c>
    </row>
    <row r="66" spans="2:24" ht="15.75" customHeight="1" x14ac:dyDescent="0.2">
      <c r="B66" s="215"/>
      <c r="C66" s="218"/>
      <c r="D66" s="145" t="s">
        <v>165</v>
      </c>
      <c r="E66" s="146"/>
      <c r="F66" s="147"/>
      <c r="G66" s="147">
        <f>IF(SUM(G68:G70)=0,1,G69)</f>
        <v>11.249656784179507</v>
      </c>
      <c r="H66" s="147">
        <f t="shared" ref="H66:X66" si="29">IF(SUM(H68:H70)=0,0,G66+H69)</f>
        <v>13.949574412382589</v>
      </c>
      <c r="I66" s="147">
        <f t="shared" si="29"/>
        <v>26.610349473522895</v>
      </c>
      <c r="J66" s="147">
        <f t="shared" si="29"/>
        <v>38.66861634537409</v>
      </c>
      <c r="K66" s="147">
        <f t="shared" si="29"/>
        <v>60.625770240155298</v>
      </c>
      <c r="L66" s="147">
        <f t="shared" si="29"/>
        <v>80.940187858780263</v>
      </c>
      <c r="M66" s="147">
        <f t="shared" si="29"/>
        <v>95.052207117178682</v>
      </c>
      <c r="N66" s="147">
        <f t="shared" si="29"/>
        <v>115.57398456007715</v>
      </c>
      <c r="O66" s="147">
        <f t="shared" si="29"/>
        <v>129.9761632621786</v>
      </c>
      <c r="P66" s="147">
        <f t="shared" si="29"/>
        <v>151.78079523903787</v>
      </c>
      <c r="Q66" s="147">
        <f t="shared" si="29"/>
        <v>168.86593830416268</v>
      </c>
      <c r="R66" s="147">
        <f t="shared" si="29"/>
        <v>181.35849610809225</v>
      </c>
      <c r="S66" s="147">
        <f t="shared" si="29"/>
        <v>200.40341108634993</v>
      </c>
      <c r="T66" s="147">
        <f t="shared" si="29"/>
        <v>215.57631523495121</v>
      </c>
      <c r="U66" s="147">
        <f t="shared" si="29"/>
        <v>234.70168638694315</v>
      </c>
      <c r="V66" s="147">
        <f t="shared" si="29"/>
        <v>249.64765942773954</v>
      </c>
      <c r="W66" s="147">
        <f t="shared" si="29"/>
        <v>272.68265147790333</v>
      </c>
      <c r="X66" s="148">
        <f t="shared" si="29"/>
        <v>288.45806381579371</v>
      </c>
    </row>
    <row r="67" spans="2:24" ht="15.75" customHeight="1" thickBot="1" x14ac:dyDescent="0.25">
      <c r="B67" s="215"/>
      <c r="C67" s="219"/>
      <c r="D67" s="149" t="s">
        <v>0</v>
      </c>
      <c r="E67" s="150"/>
      <c r="F67" s="151"/>
      <c r="G67" s="151">
        <f>IF(SUM(G68:G70)=0,1,G70)</f>
        <v>4.9498489850389831</v>
      </c>
      <c r="H67" s="151">
        <f t="shared" ref="H67:X67" si="30">IF(SUM(H68:H70)=0,0,G67+H70)</f>
        <v>13.499588141015408</v>
      </c>
      <c r="I67" s="151">
        <f t="shared" si="30"/>
        <v>21.101821757648125</v>
      </c>
      <c r="J67" s="151">
        <f t="shared" si="30"/>
        <v>28.3540965601793</v>
      </c>
      <c r="K67" s="151">
        <f t="shared" si="30"/>
        <v>28.756549834937132</v>
      </c>
      <c r="L67" s="151">
        <f t="shared" si="30"/>
        <v>32.356440005874575</v>
      </c>
      <c r="M67" s="151">
        <f t="shared" si="30"/>
        <v>33.658865823366767</v>
      </c>
      <c r="N67" s="151">
        <f t="shared" si="30"/>
        <v>36.618637736499643</v>
      </c>
      <c r="O67" s="151">
        <f t="shared" si="30"/>
        <v>40.668514178804266</v>
      </c>
      <c r="P67" s="151">
        <f t="shared" si="30"/>
        <v>43.918445535640167</v>
      </c>
      <c r="Q67" s="151">
        <f t="shared" si="30"/>
        <v>49.133110269655887</v>
      </c>
      <c r="R67" s="151">
        <f t="shared" si="30"/>
        <v>53.992854725523124</v>
      </c>
      <c r="S67" s="151">
        <f t="shared" si="30"/>
        <v>63.227090743070235</v>
      </c>
      <c r="T67" s="151">
        <f t="shared" si="30"/>
        <v>64.884436838710911</v>
      </c>
      <c r="U67" s="151">
        <f t="shared" si="30"/>
        <v>69.389261016429657</v>
      </c>
      <c r="V67" s="151">
        <f t="shared" si="30"/>
        <v>71.034340738281173</v>
      </c>
      <c r="W67" s="151">
        <f t="shared" si="30"/>
        <v>75.989151187367099</v>
      </c>
      <c r="X67" s="152">
        <f t="shared" si="30"/>
        <v>82.643879264656107</v>
      </c>
    </row>
    <row r="68" spans="2:24" ht="15.75" customHeight="1" x14ac:dyDescent="0.2">
      <c r="B68" s="215"/>
      <c r="C68" s="220" t="s">
        <v>232</v>
      </c>
      <c r="D68" s="153" t="s">
        <v>164</v>
      </c>
      <c r="E68" s="154">
        <f>F68/(F68+F69+F70)</f>
        <v>0.42889251603743611</v>
      </c>
      <c r="F68" s="155">
        <f t="shared" ref="F68:F73" si="31">IF(SUM(G68:X68)=0,1,SUM(G68:X68))</f>
        <v>278.69157828194147</v>
      </c>
      <c r="G68" s="155">
        <f>CO!F3*CO!$B$5+CO!F6*CO!$B$8+CO!F9*CO!$B$11</f>
        <v>10.799670512812327</v>
      </c>
      <c r="H68" s="155">
        <f>CO!G3*CO!$B$5+CO!G6*CO!$B$8+CO!G9*CO!$B$11</f>
        <v>2.2499313568359014</v>
      </c>
      <c r="I68" s="155">
        <f>CO!H3*CO!$B$5+CO!H6*CO!$B$8+CO!H9*CO!$B$11</f>
        <v>14.785060693327885</v>
      </c>
      <c r="J68" s="155">
        <f>CO!I3*CO!$B$5+CO!I6*CO!$B$8+CO!I9*CO!$B$11</f>
        <v>16.39487379235922</v>
      </c>
      <c r="K68" s="155">
        <f>CO!J3*CO!$B$5+CO!J6*CO!$B$8+CO!J9*CO!$B$11</f>
        <v>18.582662333101329</v>
      </c>
      <c r="L68" s="155">
        <f>CO!K3*CO!$B$5+CO!K6*CO!$B$8+CO!K9*CO!$B$11</f>
        <v>15.580318887406056</v>
      </c>
      <c r="M68" s="155">
        <f>CO!L3*CO!$B$5+CO!L6*CO!$B$8+CO!L9*CO!$B$11</f>
        <v>21.913049863671485</v>
      </c>
      <c r="N68" s="155">
        <f>CO!M3*CO!$B$5+CO!M6*CO!$B$8+CO!M9*CO!$B$11</f>
        <v>19.675384880624748</v>
      </c>
      <c r="O68" s="155">
        <f>CO!N3*CO!$B$5+CO!N6*CO!$B$8+CO!N9*CO!$B$11</f>
        <v>21.445024807320234</v>
      </c>
      <c r="P68" s="155">
        <f>CO!O3*CO!$B$5+CO!O6*CO!$B$8+CO!O9*CO!$B$11</f>
        <v>13.930277701507595</v>
      </c>
      <c r="Q68" s="155">
        <f>CO!P3*CO!$B$5+CO!P6*CO!$B$8+CO!P9*CO!$B$11</f>
        <v>20.207085251617109</v>
      </c>
      <c r="R68" s="155">
        <f>CO!Q3*CO!$B$5+CO!Q6*CO!$B$8+CO!Q9*CO!$B$11</f>
        <v>19.4727119477418</v>
      </c>
      <c r="S68" s="155">
        <f>CO!R3*CO!$B$5+CO!R6*CO!$B$8+CO!R9*CO!$B$11</f>
        <v>15.032648604468511</v>
      </c>
      <c r="T68" s="155">
        <f>CO!S3*CO!$B$5+CO!S6*CO!$B$8+CO!S9*CO!$B$11</f>
        <v>18.122753133640259</v>
      </c>
      <c r="U68" s="155">
        <f>CO!T3*CO!$B$5+CO!T6*CO!$B$8+CO!T9*CO!$B$11</f>
        <v>14.294846335093579</v>
      </c>
      <c r="V68" s="155">
        <f>CO!U3*CO!$B$5+CO!U6*CO!$B$8+CO!U9*CO!$B$11</f>
        <v>13.484978321530967</v>
      </c>
      <c r="W68" s="155">
        <f>CO!V3*CO!$B$5+CO!V6*CO!$B$8+CO!V9*CO!$B$11</f>
        <v>9.3852254369217221</v>
      </c>
      <c r="X68" s="156">
        <f>CO!W3*CO!$B$5+CO!W6*CO!$B$8+CO!W9*CO!$B$11</f>
        <v>13.335074421960703</v>
      </c>
    </row>
    <row r="69" spans="2:24" ht="15.75" customHeight="1" x14ac:dyDescent="0.2">
      <c r="B69" s="215"/>
      <c r="C69" s="218"/>
      <c r="D69" s="145" t="s">
        <v>165</v>
      </c>
      <c r="E69" s="146">
        <f>F69/(F68+F69+F70)</f>
        <v>0.44392265286209281</v>
      </c>
      <c r="F69" s="147">
        <f t="shared" si="31"/>
        <v>288.45806381579371</v>
      </c>
      <c r="G69" s="147">
        <f>CO!F4*CO!$B$5+CO!F7*CO!$B$8+CO!F10*CO!$B$11</f>
        <v>11.249656784179507</v>
      </c>
      <c r="H69" s="147">
        <f>CO!G4*CO!$B$5+CO!G7*CO!$B$8+CO!G10*CO!$B$11</f>
        <v>2.6999176282030817</v>
      </c>
      <c r="I69" s="147">
        <f>CO!H4*CO!$B$5+CO!H7*CO!$B$8+CO!H10*CO!$B$11</f>
        <v>12.660775061140306</v>
      </c>
      <c r="J69" s="147">
        <f>CO!I4*CO!$B$5+CO!I7*CO!$B$8+CO!I10*CO!$B$11</f>
        <v>12.058266871851195</v>
      </c>
      <c r="K69" s="147">
        <f>CO!J4*CO!$B$5+CO!J7*CO!$B$8+CO!J10*CO!$B$11</f>
        <v>21.957153894781207</v>
      </c>
      <c r="L69" s="147">
        <f>CO!K4*CO!$B$5+CO!K7*CO!$B$8+CO!K10*CO!$B$11</f>
        <v>20.314417618624965</v>
      </c>
      <c r="M69" s="147">
        <f>CO!L4*CO!$B$5+CO!L7*CO!$B$8+CO!L10*CO!$B$11</f>
        <v>14.112019258398412</v>
      </c>
      <c r="N69" s="147">
        <f>CO!M4*CO!$B$5+CO!M7*CO!$B$8+CO!M10*CO!$B$11</f>
        <v>20.521777442898468</v>
      </c>
      <c r="O69" s="147">
        <f>CO!N4*CO!$B$5+CO!N7*CO!$B$8+CO!N10*CO!$B$11</f>
        <v>14.402178702101438</v>
      </c>
      <c r="P69" s="147">
        <f>CO!O4*CO!$B$5+CO!O7*CO!$B$8+CO!O10*CO!$B$11</f>
        <v>21.804631976859273</v>
      </c>
      <c r="Q69" s="147">
        <f>CO!P4*CO!$B$5+CO!P7*CO!$B$8+CO!P10*CO!$B$11</f>
        <v>17.085143065124804</v>
      </c>
      <c r="R69" s="147">
        <f>CO!Q4*CO!$B$5+CO!Q7*CO!$B$8+CO!Q10*CO!$B$11</f>
        <v>12.492557803929582</v>
      </c>
      <c r="S69" s="147">
        <f>CO!R4*CO!$B$5+CO!R7*CO!$B$8+CO!R10*CO!$B$11</f>
        <v>19.04491497825768</v>
      </c>
      <c r="T69" s="147">
        <f>CO!S4*CO!$B$5+CO!S7*CO!$B$8+CO!S10*CO!$B$11</f>
        <v>15.172904148601276</v>
      </c>
      <c r="U69" s="147">
        <f>CO!T4*CO!$B$5+CO!T7*CO!$B$8+CO!T10*CO!$B$11</f>
        <v>19.125371151991928</v>
      </c>
      <c r="V69" s="147">
        <f>CO!U4*CO!$B$5+CO!U7*CO!$B$8+CO!U10*CO!$B$11</f>
        <v>14.945973040796389</v>
      </c>
      <c r="W69" s="147">
        <f>CO!V4*CO!$B$5+CO!V7*CO!$B$8+CO!V10*CO!$B$11</f>
        <v>23.034992050163787</v>
      </c>
      <c r="X69" s="148">
        <f>CO!W4*CO!$B$5+CO!W7*CO!$B$8+CO!W10*CO!$B$11</f>
        <v>15.775412337890389</v>
      </c>
    </row>
    <row r="70" spans="2:24" ht="15.75" customHeight="1" thickBot="1" x14ac:dyDescent="0.25">
      <c r="B70" s="215"/>
      <c r="C70" s="219"/>
      <c r="D70" s="149" t="s">
        <v>0</v>
      </c>
      <c r="E70" s="150">
        <f>F70/(F68+F69+F70)</f>
        <v>0.12718483110047113</v>
      </c>
      <c r="F70" s="151">
        <f t="shared" si="31"/>
        <v>82.643879264656107</v>
      </c>
      <c r="G70" s="151">
        <f>CO!F5*CO!$B$5+CO!F8*CO!$B$8+CO!F11*CO!$B$11</f>
        <v>4.9498489850389831</v>
      </c>
      <c r="H70" s="151">
        <f>CO!G5*CO!$B$5+CO!G8*CO!$B$8+CO!G11*CO!$B$11</f>
        <v>8.5497391559764253</v>
      </c>
      <c r="I70" s="151">
        <f>CO!H5*CO!$B$5+CO!H8*CO!$B$8+CO!H11*CO!$B$11</f>
        <v>7.6022336166327182</v>
      </c>
      <c r="J70" s="151">
        <f>CO!I5*CO!$B$5+CO!I8*CO!$B$8+CO!I11*CO!$B$11</f>
        <v>7.2522748025311774</v>
      </c>
      <c r="K70" s="151">
        <f>CO!J5*CO!$B$5+CO!J8*CO!$B$8+CO!J11*CO!$B$11</f>
        <v>0.40245327475783332</v>
      </c>
      <c r="L70" s="151">
        <f>CO!K5*CO!$B$5+CO!K8*CO!$B$8+CO!K11*CO!$B$11</f>
        <v>3.5998901709374422</v>
      </c>
      <c r="M70" s="151">
        <f>CO!L5*CO!$B$5+CO!L8*CO!$B$8+CO!L11*CO!$B$11</f>
        <v>1.3024258174921939</v>
      </c>
      <c r="N70" s="151">
        <f>CO!M5*CO!$B$5+CO!M8*CO!$B$8+CO!M11*CO!$B$11</f>
        <v>2.9597719131328741</v>
      </c>
      <c r="O70" s="151">
        <f>CO!N5*CO!$B$5+CO!N8*CO!$B$8+CO!N11*CO!$B$11</f>
        <v>4.0498764423046225</v>
      </c>
      <c r="P70" s="151">
        <f>CO!O5*CO!$B$5+CO!O8*CO!$B$8+CO!O11*CO!$B$11</f>
        <v>3.2499313568359014</v>
      </c>
      <c r="Q70" s="151">
        <f>CO!P5*CO!$B$5+CO!P8*CO!$B$8+CO!P11*CO!$B$11</f>
        <v>5.2146647340157211</v>
      </c>
      <c r="R70" s="151">
        <f>CO!Q5*CO!$B$5+CO!Q8*CO!$B$8+CO!Q11*CO!$B$11</f>
        <v>4.8597444558672347</v>
      </c>
      <c r="S70" s="151">
        <f>CO!R5*CO!$B$5+CO!R8*CO!$B$8+CO!R11*CO!$B$11</f>
        <v>9.2342360175471079</v>
      </c>
      <c r="T70" s="151">
        <f>CO!S5*CO!$B$5+CO!S8*CO!$B$8+CO!S11*CO!$B$11</f>
        <v>1.6573460956406803</v>
      </c>
      <c r="U70" s="151">
        <f>CO!T5*CO!$B$5+CO!T8*CO!$B$8+CO!T11*CO!$B$11</f>
        <v>4.5048241777187483</v>
      </c>
      <c r="V70" s="151">
        <f>CO!U5*CO!$B$5+CO!U8*CO!$B$8+CO!U11*CO!$B$11</f>
        <v>1.6450797218515136</v>
      </c>
      <c r="W70" s="151">
        <f>CO!V5*CO!$B$5+CO!V8*CO!$B$8+CO!V11*CO!$B$11</f>
        <v>4.9548104490859286</v>
      </c>
      <c r="X70" s="152">
        <f>CO!W5*CO!$B$5+CO!W8*CO!$B$8+CO!W11*CO!$B$11</f>
        <v>6.6547280772890103</v>
      </c>
    </row>
    <row r="71" spans="2:24" ht="15.75" customHeight="1" x14ac:dyDescent="0.2">
      <c r="B71" s="215"/>
      <c r="C71" s="220" t="s">
        <v>111</v>
      </c>
      <c r="D71" s="153" t="s">
        <v>164</v>
      </c>
      <c r="E71" s="154">
        <f>F71/(F71+F72+F73)</f>
        <v>0.43679458239277652</v>
      </c>
      <c r="F71" s="157">
        <f t="shared" si="31"/>
        <v>774</v>
      </c>
      <c r="G71" s="157">
        <f>SUMIF(CO!$C$3:$C$11,"PSUV",CO!F$3:F$11)</f>
        <v>24</v>
      </c>
      <c r="H71" s="157">
        <f>SUMIF(CO!$C$3:$C$11,"PSUV",CO!G$3:G$11)</f>
        <v>5</v>
      </c>
      <c r="I71" s="157">
        <f>SUMIF(CO!$C$3:$C$11,"PSUV",CO!H$3:H$11)</f>
        <v>40</v>
      </c>
      <c r="J71" s="157">
        <f>SUMIF(CO!$C$3:$C$11,"PSUV",CO!I$3:I$11)</f>
        <v>44</v>
      </c>
      <c r="K71" s="157">
        <f>SUMIF(CO!$C$3:$C$11,"PSUV",CO!J$3:J$11)</f>
        <v>53</v>
      </c>
      <c r="L71" s="157">
        <f>SUMIF(CO!$C$3:$C$11,"PSUV",CO!K$3:K$11)</f>
        <v>47</v>
      </c>
      <c r="M71" s="157">
        <f>SUMIF(CO!$C$3:$C$11,"PSUV",CO!L$3:L$11)</f>
        <v>65</v>
      </c>
      <c r="N71" s="157">
        <f>SUMIF(CO!$C$3:$C$11,"PSUV",CO!M$3:M$11)</f>
        <v>59</v>
      </c>
      <c r="O71" s="157">
        <f>SUMIF(CO!$C$3:$C$11,"PSUV",CO!N$3:N$11)</f>
        <v>63</v>
      </c>
      <c r="P71" s="157">
        <f>SUMIF(CO!$C$3:$C$11,"PSUV",CO!O$3:O$11)</f>
        <v>41</v>
      </c>
      <c r="Q71" s="157">
        <f>SUMIF(CO!$C$3:$C$11,"PSUV",CO!P$3:P$11)</f>
        <v>53</v>
      </c>
      <c r="R71" s="157">
        <f>SUMIF(CO!$C$3:$C$11,"PSUV",CO!Q$3:Q$11)</f>
        <v>53</v>
      </c>
      <c r="S71" s="157">
        <f>SUMIF(CO!$C$3:$C$11,"PSUV",CO!R$3:R$11)</f>
        <v>42</v>
      </c>
      <c r="T71" s="157">
        <f>SUMIF(CO!$C$3:$C$11,"PSUV",CO!S$3:S$11)</f>
        <v>50</v>
      </c>
      <c r="U71" s="157">
        <f>SUMIF(CO!$C$3:$C$11,"PSUV",CO!T$3:T$11)</f>
        <v>37</v>
      </c>
      <c r="V71" s="157">
        <f>SUMIF(CO!$C$3:$C$11,"PSUV",CO!U$3:U$11)</f>
        <v>34</v>
      </c>
      <c r="W71" s="157">
        <f>SUMIF(CO!$C$3:$C$11,"PSUV",CO!V$3:V$11)</f>
        <v>28</v>
      </c>
      <c r="X71" s="158">
        <f>SUMIF(CO!$C$3:$C$11,"PSUV",CO!W$3:W$11)</f>
        <v>36</v>
      </c>
    </row>
    <row r="72" spans="2:24" ht="15.75" customHeight="1" x14ac:dyDescent="0.2">
      <c r="B72" s="215"/>
      <c r="C72" s="218"/>
      <c r="D72" s="145" t="s">
        <v>165</v>
      </c>
      <c r="E72" s="146">
        <f>F72/(F71+F72+F73)</f>
        <v>0.45372460496613998</v>
      </c>
      <c r="F72" s="159">
        <f t="shared" si="31"/>
        <v>804</v>
      </c>
      <c r="G72" s="159">
        <f>SUMIF(CO!$C$3:$C$11,"MUD",CO!F$3:F$11)</f>
        <v>25</v>
      </c>
      <c r="H72" s="159">
        <f>SUMIF(CO!$C$3:$C$11,"MUD",CO!G$3:G$11)</f>
        <v>6</v>
      </c>
      <c r="I72" s="159">
        <f>SUMIF(CO!$C$3:$C$11,"MUD",CO!H$3:H$11)</f>
        <v>42</v>
      </c>
      <c r="J72" s="159">
        <f>SUMIF(CO!$C$3:$C$11,"MUD",CO!I$3:I$11)</f>
        <v>39</v>
      </c>
      <c r="K72" s="159">
        <f>SUMIF(CO!$C$3:$C$11,"MUD",CO!J$3:J$11)</f>
        <v>60</v>
      </c>
      <c r="L72" s="159">
        <f>SUMIF(CO!$C$3:$C$11,"MUD",CO!K$3:K$11)</f>
        <v>52</v>
      </c>
      <c r="M72" s="159">
        <f>SUMIF(CO!$C$3:$C$11,"MUD",CO!L$3:L$11)</f>
        <v>35</v>
      </c>
      <c r="N72" s="159">
        <f>SUMIF(CO!$C$3:$C$11,"MUD",CO!M$3:M$11)</f>
        <v>52</v>
      </c>
      <c r="O72" s="159">
        <f>SUMIF(CO!$C$3:$C$11,"MUD",CO!N$3:N$11)</f>
        <v>36</v>
      </c>
      <c r="P72" s="159">
        <f>SUMIF(CO!$C$3:$C$11,"MUD",CO!O$3:O$11)</f>
        <v>58</v>
      </c>
      <c r="Q72" s="159">
        <f>SUMIF(CO!$C$3:$C$11,"MUD",CO!P$3:P$11)</f>
        <v>49</v>
      </c>
      <c r="R72" s="159">
        <f>SUMIF(CO!$C$3:$C$11,"MUD",CO!Q$3:Q$11)</f>
        <v>36</v>
      </c>
      <c r="S72" s="159">
        <f>SUMIF(CO!$C$3:$C$11,"MUD",CO!R$3:R$11)</f>
        <v>53</v>
      </c>
      <c r="T72" s="159">
        <f>SUMIF(CO!$C$3:$C$11,"MUD",CO!S$3:S$11)</f>
        <v>45</v>
      </c>
      <c r="U72" s="159">
        <f>SUMIF(CO!$C$3:$C$11,"MUD",CO!T$3:T$11)</f>
        <v>57</v>
      </c>
      <c r="V72" s="159">
        <f>SUMIF(CO!$C$3:$C$11,"MUD",CO!U$3:U$11)</f>
        <v>48</v>
      </c>
      <c r="W72" s="159">
        <f>SUMIF(CO!$C$3:$C$11,"MUD",CO!V$3:V$11)</f>
        <v>63</v>
      </c>
      <c r="X72" s="160">
        <f>SUMIF(CO!$C$3:$C$11,"MUD",CO!W$3:W$11)</f>
        <v>48</v>
      </c>
    </row>
    <row r="73" spans="2:24" ht="15.75" customHeight="1" thickBot="1" x14ac:dyDescent="0.25">
      <c r="B73" s="216"/>
      <c r="C73" s="221"/>
      <c r="D73" s="161" t="s">
        <v>0</v>
      </c>
      <c r="E73" s="162">
        <f>F73/(F71+F72+F73)</f>
        <v>0.10948081264108352</v>
      </c>
      <c r="F73" s="163">
        <f t="shared" si="31"/>
        <v>194</v>
      </c>
      <c r="G73" s="163">
        <f>SUMIF(CO!$C$3:$C$11,"Otro",CO!F$3:F$11)</f>
        <v>11</v>
      </c>
      <c r="H73" s="163">
        <f>SUMIF(CO!$C$3:$C$11,"Otro",CO!G$3:G$11)</f>
        <v>19</v>
      </c>
      <c r="I73" s="163">
        <f>SUMIF(CO!$C$3:$C$11,"Otro",CO!H$3:H$11)</f>
        <v>17</v>
      </c>
      <c r="J73" s="163">
        <f>SUMIF(CO!$C$3:$C$11,"Otro",CO!I$3:I$11)</f>
        <v>17</v>
      </c>
      <c r="K73" s="163">
        <f>SUMIF(CO!$C$3:$C$11,"Otro",CO!J$3:J$11)</f>
        <v>1</v>
      </c>
      <c r="L73" s="163">
        <f>SUMIF(CO!$C$3:$C$11,"Otro",CO!K$3:K$11)</f>
        <v>8</v>
      </c>
      <c r="M73" s="163">
        <f>SUMIF(CO!$C$3:$C$11,"Otro",CO!L$3:L$11)</f>
        <v>3</v>
      </c>
      <c r="N73" s="163">
        <f>SUMIF(CO!$C$3:$C$11,"Otro",CO!M$3:M$11)</f>
        <v>7</v>
      </c>
      <c r="O73" s="163">
        <f>SUMIF(CO!$C$3:$C$11,"Otro",CO!N$3:N$11)</f>
        <v>9</v>
      </c>
      <c r="P73" s="163">
        <f>SUMIF(CO!$C$3:$C$11,"Otro",CO!O$3:O$11)</f>
        <v>8</v>
      </c>
      <c r="Q73" s="163">
        <f>SUMIF(CO!$C$3:$C$11,"Otro",CO!P$3:P$11)</f>
        <v>13</v>
      </c>
      <c r="R73" s="163">
        <f>SUMIF(CO!$C$3:$C$11,"Otro",CO!Q$3:Q$11)</f>
        <v>12</v>
      </c>
      <c r="S73" s="163">
        <f>SUMIF(CO!$C$3:$C$11,"Otro",CO!R$3:R$11)</f>
        <v>22</v>
      </c>
      <c r="T73" s="163">
        <f>SUMIF(CO!$C$3:$C$11,"Otro",CO!S$3:S$11)</f>
        <v>4</v>
      </c>
      <c r="U73" s="163">
        <f>SUMIF(CO!$C$3:$C$11,"Otro",CO!T$3:T$11)</f>
        <v>11</v>
      </c>
      <c r="V73" s="163">
        <f>SUMIF(CO!$C$3:$C$11,"Otro",CO!U$3:U$11)</f>
        <v>5</v>
      </c>
      <c r="W73" s="163">
        <f>SUMIF(CO!$C$3:$C$11,"Otro",CO!V$3:V$11)</f>
        <v>12</v>
      </c>
      <c r="X73" s="164">
        <f>SUMIF(CO!$C$3:$C$11,"Otro",CO!W$3:W$11)</f>
        <v>15</v>
      </c>
    </row>
    <row r="74" spans="2:24" ht="15.75" customHeight="1" x14ac:dyDescent="0.2">
      <c r="B74" s="231" t="s">
        <v>42</v>
      </c>
      <c r="C74" s="225" t="s">
        <v>231</v>
      </c>
      <c r="D74" s="165" t="s">
        <v>171</v>
      </c>
      <c r="E74" s="166"/>
      <c r="F74" s="167"/>
      <c r="G74" s="167">
        <f>IF(SUM(G77:G79)=0,1,G77)</f>
        <v>20</v>
      </c>
      <c r="H74" s="167">
        <f t="shared" ref="H74:X74" si="32">IF(SUM(H77:H79)=0,0,G74+H77)</f>
        <v>41</v>
      </c>
      <c r="I74" s="167">
        <f t="shared" si="32"/>
        <v>97</v>
      </c>
      <c r="J74" s="167">
        <f t="shared" si="32"/>
        <v>142</v>
      </c>
      <c r="K74" s="167">
        <f t="shared" si="32"/>
        <v>186</v>
      </c>
      <c r="L74" s="167">
        <f t="shared" si="32"/>
        <v>244</v>
      </c>
      <c r="M74" s="167">
        <f t="shared" si="32"/>
        <v>298</v>
      </c>
      <c r="N74" s="167">
        <f t="shared" si="32"/>
        <v>360</v>
      </c>
      <c r="O74" s="167">
        <f t="shared" si="32"/>
        <v>431</v>
      </c>
      <c r="P74" s="167">
        <f t="shared" si="32"/>
        <v>482</v>
      </c>
      <c r="Q74" s="167">
        <f t="shared" si="32"/>
        <v>513</v>
      </c>
      <c r="R74" s="167">
        <f t="shared" si="32"/>
        <v>543</v>
      </c>
      <c r="S74" s="167">
        <f t="shared" si="32"/>
        <v>591</v>
      </c>
      <c r="T74" s="167">
        <f t="shared" si="32"/>
        <v>645</v>
      </c>
      <c r="U74" s="167">
        <f t="shared" si="32"/>
        <v>718</v>
      </c>
      <c r="V74" s="167">
        <f t="shared" si="32"/>
        <v>788</v>
      </c>
      <c r="W74" s="167">
        <f t="shared" si="32"/>
        <v>842</v>
      </c>
      <c r="X74" s="168">
        <f t="shared" si="32"/>
        <v>931</v>
      </c>
    </row>
    <row r="75" spans="2:24" ht="15.75" customHeight="1" x14ac:dyDescent="0.2">
      <c r="B75" s="232"/>
      <c r="C75" s="226"/>
      <c r="D75" s="117" t="s">
        <v>172</v>
      </c>
      <c r="E75" s="118"/>
      <c r="F75" s="119"/>
      <c r="G75" s="119">
        <f>IF(SUM(G77:G79)=0,1,G78)</f>
        <v>6</v>
      </c>
      <c r="H75" s="119">
        <f t="shared" ref="H75:X75" si="33">IF(SUM(H77:H79)=0,0,G75+H78)</f>
        <v>15</v>
      </c>
      <c r="I75" s="119">
        <f t="shared" si="33"/>
        <v>30</v>
      </c>
      <c r="J75" s="119">
        <f t="shared" si="33"/>
        <v>49</v>
      </c>
      <c r="K75" s="119">
        <f t="shared" si="33"/>
        <v>57</v>
      </c>
      <c r="L75" s="119">
        <f t="shared" si="33"/>
        <v>70</v>
      </c>
      <c r="M75" s="119">
        <f t="shared" si="33"/>
        <v>80</v>
      </c>
      <c r="N75" s="119">
        <f t="shared" si="33"/>
        <v>95</v>
      </c>
      <c r="O75" s="119">
        <f t="shared" si="33"/>
        <v>112</v>
      </c>
      <c r="P75" s="119">
        <f t="shared" si="33"/>
        <v>124</v>
      </c>
      <c r="Q75" s="119">
        <f t="shared" si="33"/>
        <v>134</v>
      </c>
      <c r="R75" s="119">
        <f t="shared" si="33"/>
        <v>143</v>
      </c>
      <c r="S75" s="119">
        <f t="shared" si="33"/>
        <v>155</v>
      </c>
      <c r="T75" s="119">
        <f t="shared" si="33"/>
        <v>165</v>
      </c>
      <c r="U75" s="119">
        <f t="shared" si="33"/>
        <v>180</v>
      </c>
      <c r="V75" s="119">
        <f t="shared" si="33"/>
        <v>196</v>
      </c>
      <c r="W75" s="119">
        <f t="shared" si="33"/>
        <v>210</v>
      </c>
      <c r="X75" s="132">
        <f t="shared" si="33"/>
        <v>228</v>
      </c>
    </row>
    <row r="76" spans="2:24" ht="15.75" customHeight="1" thickBot="1" x14ac:dyDescent="0.25">
      <c r="B76" s="232"/>
      <c r="C76" s="227"/>
      <c r="D76" s="120" t="s">
        <v>0</v>
      </c>
      <c r="E76" s="121"/>
      <c r="F76" s="122"/>
      <c r="G76" s="122">
        <f>IF(SUM(G77:G79)=0,1,G79)</f>
        <v>0</v>
      </c>
      <c r="H76" s="122">
        <f t="shared" ref="H76:X76" si="34">IF(SUM(H77:H79)=0,0,G76+H79)</f>
        <v>0</v>
      </c>
      <c r="I76" s="122">
        <f t="shared" si="34"/>
        <v>3</v>
      </c>
      <c r="J76" s="122">
        <f t="shared" si="34"/>
        <v>5</v>
      </c>
      <c r="K76" s="122">
        <f t="shared" si="34"/>
        <v>6</v>
      </c>
      <c r="L76" s="122">
        <f t="shared" si="34"/>
        <v>7</v>
      </c>
      <c r="M76" s="122">
        <f t="shared" si="34"/>
        <v>7</v>
      </c>
      <c r="N76" s="122">
        <f t="shared" si="34"/>
        <v>8</v>
      </c>
      <c r="O76" s="122">
        <f t="shared" si="34"/>
        <v>9</v>
      </c>
      <c r="P76" s="122">
        <f t="shared" si="34"/>
        <v>10</v>
      </c>
      <c r="Q76" s="122">
        <f t="shared" si="34"/>
        <v>12</v>
      </c>
      <c r="R76" s="122">
        <f t="shared" si="34"/>
        <v>13</v>
      </c>
      <c r="S76" s="122">
        <f t="shared" si="34"/>
        <v>17</v>
      </c>
      <c r="T76" s="122">
        <f t="shared" si="34"/>
        <v>20</v>
      </c>
      <c r="U76" s="122">
        <f t="shared" si="34"/>
        <v>22</v>
      </c>
      <c r="V76" s="122">
        <f t="shared" si="34"/>
        <v>25</v>
      </c>
      <c r="W76" s="122">
        <f t="shared" si="34"/>
        <v>28</v>
      </c>
      <c r="X76" s="133">
        <f t="shared" si="34"/>
        <v>29</v>
      </c>
    </row>
    <row r="77" spans="2:24" ht="15.75" customHeight="1" x14ac:dyDescent="0.2">
      <c r="B77" s="232"/>
      <c r="C77" s="228" t="s">
        <v>232</v>
      </c>
      <c r="D77" s="123" t="s">
        <v>171</v>
      </c>
      <c r="E77" s="124">
        <f>F77/(F77+F78+F79)</f>
        <v>0.78367003367003363</v>
      </c>
      <c r="F77" s="125">
        <f t="shared" ref="F77:F82" si="35">IF(SUM(G77:X77)=0,1,SUM(G77:X77))</f>
        <v>931</v>
      </c>
      <c r="G77" s="125">
        <f>DA!F3*DA!$B$5</f>
        <v>20</v>
      </c>
      <c r="H77" s="125">
        <f>DA!G3*DA!$B$5</f>
        <v>21</v>
      </c>
      <c r="I77" s="125">
        <f>DA!H3*DA!$B$5</f>
        <v>56</v>
      </c>
      <c r="J77" s="125">
        <f>DA!I3*DA!$B$5</f>
        <v>45</v>
      </c>
      <c r="K77" s="125">
        <f>DA!J3*DA!$B$5</f>
        <v>44</v>
      </c>
      <c r="L77" s="125">
        <f>DA!K3*DA!$B$5</f>
        <v>58</v>
      </c>
      <c r="M77" s="125">
        <f>DA!L3*DA!$B$5</f>
        <v>54</v>
      </c>
      <c r="N77" s="125">
        <f>DA!M3*DA!$B$5</f>
        <v>62</v>
      </c>
      <c r="O77" s="125">
        <f>DA!N3*DA!$B$5</f>
        <v>71</v>
      </c>
      <c r="P77" s="125">
        <f>DA!O3*DA!$B$5</f>
        <v>51</v>
      </c>
      <c r="Q77" s="125">
        <f>DA!P3*DA!$B$5</f>
        <v>31</v>
      </c>
      <c r="R77" s="125">
        <f>DA!Q3*DA!$B$5</f>
        <v>30</v>
      </c>
      <c r="S77" s="125">
        <f>DA!R3*DA!$B$5</f>
        <v>48</v>
      </c>
      <c r="T77" s="125">
        <f>DA!S3*DA!$B$5</f>
        <v>54</v>
      </c>
      <c r="U77" s="125">
        <f>DA!T3*DA!$B$5</f>
        <v>73</v>
      </c>
      <c r="V77" s="125">
        <f>DA!U3*DA!$B$5</f>
        <v>70</v>
      </c>
      <c r="W77" s="125">
        <f>DA!V3*DA!$B$5</f>
        <v>54</v>
      </c>
      <c r="X77" s="134">
        <f>DA!W3*DA!$B$5</f>
        <v>89</v>
      </c>
    </row>
    <row r="78" spans="2:24" ht="15.75" customHeight="1" x14ac:dyDescent="0.2">
      <c r="B78" s="232"/>
      <c r="C78" s="226"/>
      <c r="D78" s="117" t="s">
        <v>172</v>
      </c>
      <c r="E78" s="118">
        <f>F78/(F77+F78+F79)</f>
        <v>0.19191919191919191</v>
      </c>
      <c r="F78" s="119">
        <f t="shared" si="35"/>
        <v>228</v>
      </c>
      <c r="G78" s="119">
        <f>DA!F4*DA!$B$5</f>
        <v>6</v>
      </c>
      <c r="H78" s="119">
        <f>DA!G4*DA!$B$5</f>
        <v>9</v>
      </c>
      <c r="I78" s="119">
        <f>DA!H4*DA!$B$5</f>
        <v>15</v>
      </c>
      <c r="J78" s="119">
        <f>DA!I4*DA!$B$5</f>
        <v>19</v>
      </c>
      <c r="K78" s="119">
        <f>DA!J4*DA!$B$5</f>
        <v>8</v>
      </c>
      <c r="L78" s="119">
        <f>DA!K4*DA!$B$5</f>
        <v>13</v>
      </c>
      <c r="M78" s="119">
        <f>DA!L4*DA!$B$5</f>
        <v>10</v>
      </c>
      <c r="N78" s="119">
        <f>DA!M4*DA!$B$5</f>
        <v>15</v>
      </c>
      <c r="O78" s="119">
        <f>DA!N4*DA!$B$5</f>
        <v>17</v>
      </c>
      <c r="P78" s="119">
        <f>DA!O4*DA!$B$5</f>
        <v>12</v>
      </c>
      <c r="Q78" s="119">
        <f>DA!P4*DA!$B$5</f>
        <v>10</v>
      </c>
      <c r="R78" s="119">
        <f>DA!Q4*DA!$B$5</f>
        <v>9</v>
      </c>
      <c r="S78" s="119">
        <f>DA!R4*DA!$B$5</f>
        <v>12</v>
      </c>
      <c r="T78" s="119">
        <f>DA!S4*DA!$B$5</f>
        <v>10</v>
      </c>
      <c r="U78" s="119">
        <f>DA!T4*DA!$B$5</f>
        <v>15</v>
      </c>
      <c r="V78" s="119">
        <f>DA!U4*DA!$B$5</f>
        <v>16</v>
      </c>
      <c r="W78" s="119">
        <f>DA!V4*DA!$B$5</f>
        <v>14</v>
      </c>
      <c r="X78" s="132">
        <f>DA!W4*DA!$B$5</f>
        <v>18</v>
      </c>
    </row>
    <row r="79" spans="2:24" ht="15.75" customHeight="1" thickBot="1" x14ac:dyDescent="0.25">
      <c r="B79" s="232"/>
      <c r="C79" s="227"/>
      <c r="D79" s="120" t="s">
        <v>0</v>
      </c>
      <c r="E79" s="121">
        <f>F79/(F77+F78+F79)</f>
        <v>2.4410774410774411E-2</v>
      </c>
      <c r="F79" s="122">
        <f t="shared" si="35"/>
        <v>29</v>
      </c>
      <c r="G79" s="122">
        <f>DA!F5*DA!$B$5</f>
        <v>0</v>
      </c>
      <c r="H79" s="122">
        <f>DA!G5*DA!$B$5</f>
        <v>0</v>
      </c>
      <c r="I79" s="122">
        <f>DA!H5*DA!$B$5</f>
        <v>3</v>
      </c>
      <c r="J79" s="122">
        <f>DA!I5*DA!$B$5</f>
        <v>2</v>
      </c>
      <c r="K79" s="122">
        <f>DA!J5*DA!$B$5</f>
        <v>1</v>
      </c>
      <c r="L79" s="122">
        <f>DA!K5*DA!$B$5</f>
        <v>1</v>
      </c>
      <c r="M79" s="122">
        <f>DA!L5*DA!$B$5</f>
        <v>0</v>
      </c>
      <c r="N79" s="122">
        <f>DA!M5*DA!$B$5</f>
        <v>1</v>
      </c>
      <c r="O79" s="122">
        <f>DA!N5*DA!$B$5</f>
        <v>1</v>
      </c>
      <c r="P79" s="122">
        <f>DA!O5*DA!$B$5</f>
        <v>1</v>
      </c>
      <c r="Q79" s="122">
        <f>DA!P5*DA!$B$5</f>
        <v>2</v>
      </c>
      <c r="R79" s="122">
        <f>DA!Q5*DA!$B$5</f>
        <v>1</v>
      </c>
      <c r="S79" s="122">
        <f>DA!R5*DA!$B$5</f>
        <v>4</v>
      </c>
      <c r="T79" s="122">
        <f>DA!S5*DA!$B$5</f>
        <v>3</v>
      </c>
      <c r="U79" s="122">
        <f>DA!T5*DA!$B$5</f>
        <v>2</v>
      </c>
      <c r="V79" s="122">
        <f>DA!U5*DA!$B$5</f>
        <v>3</v>
      </c>
      <c r="W79" s="122">
        <f>DA!V5*DA!$B$5</f>
        <v>3</v>
      </c>
      <c r="X79" s="133">
        <f>DA!W5*DA!$B$5</f>
        <v>1</v>
      </c>
    </row>
    <row r="80" spans="2:24" ht="15.75" customHeight="1" x14ac:dyDescent="0.2">
      <c r="B80" s="232"/>
      <c r="C80" s="228" t="s">
        <v>111</v>
      </c>
      <c r="D80" s="123" t="s">
        <v>171</v>
      </c>
      <c r="E80" s="124">
        <f>F80/(F80+F81+F82)</f>
        <v>0.78367003367003363</v>
      </c>
      <c r="F80" s="126">
        <f t="shared" si="35"/>
        <v>931</v>
      </c>
      <c r="G80" s="126">
        <f>SUMIF(DA!$C$3:$C$5,"PSUV",DA!F$3:F$5)</f>
        <v>20</v>
      </c>
      <c r="H80" s="126">
        <f>SUMIF(DA!$C$3:$C$5,"PSUV",DA!G$3:G$5)</f>
        <v>21</v>
      </c>
      <c r="I80" s="126">
        <f>SUMIF(DA!$C$3:$C$5,"PSUV",DA!H$3:H$5)</f>
        <v>56</v>
      </c>
      <c r="J80" s="126">
        <f>SUMIF(DA!$C$3:$C$5,"PSUV",DA!I$3:I$5)</f>
        <v>45</v>
      </c>
      <c r="K80" s="126">
        <f>SUMIF(DA!$C$3:$C$5,"PSUV",DA!J$3:J$5)</f>
        <v>44</v>
      </c>
      <c r="L80" s="126">
        <f>SUMIF(DA!$C$3:$C$5,"PSUV",DA!K$3:K$5)</f>
        <v>58</v>
      </c>
      <c r="M80" s="126">
        <f>SUMIF(DA!$C$3:$C$5,"PSUV",DA!L$3:L$5)</f>
        <v>54</v>
      </c>
      <c r="N80" s="126">
        <f>SUMIF(DA!$C$3:$C$5,"PSUV",DA!M$3:M$5)</f>
        <v>62</v>
      </c>
      <c r="O80" s="126">
        <f>SUMIF(DA!$C$3:$C$5,"PSUV",DA!N$3:N$5)</f>
        <v>71</v>
      </c>
      <c r="P80" s="126">
        <f>SUMIF(DA!$C$3:$C$5,"PSUV",DA!O$3:O$5)</f>
        <v>51</v>
      </c>
      <c r="Q80" s="126">
        <f>SUMIF(DA!$C$3:$C$5,"PSUV",DA!P$3:P$5)</f>
        <v>31</v>
      </c>
      <c r="R80" s="126">
        <f>SUMIF(DA!$C$3:$C$5,"PSUV",DA!Q$3:Q$5)</f>
        <v>30</v>
      </c>
      <c r="S80" s="126">
        <f>SUMIF(DA!$C$3:$C$5,"PSUV",DA!R$3:R$5)</f>
        <v>48</v>
      </c>
      <c r="T80" s="126">
        <f>SUMIF(DA!$C$3:$C$5,"PSUV",DA!S$3:S$5)</f>
        <v>54</v>
      </c>
      <c r="U80" s="126">
        <f>SUMIF(DA!$C$3:$C$5,"PSUV",DA!T$3:T$5)</f>
        <v>73</v>
      </c>
      <c r="V80" s="126">
        <f>SUMIF(DA!$C$3:$C$5,"PSUV",DA!U$3:U$5)</f>
        <v>70</v>
      </c>
      <c r="W80" s="126">
        <f>SUMIF(DA!$C$3:$C$5,"PSUV",DA!V$3:V$5)</f>
        <v>54</v>
      </c>
      <c r="X80" s="135">
        <f>SUMIF(DA!$C$3:$C$5,"PSUV",DA!W$3:W$5)</f>
        <v>89</v>
      </c>
    </row>
    <row r="81" spans="2:24" ht="15.75" customHeight="1" x14ac:dyDescent="0.2">
      <c r="B81" s="232"/>
      <c r="C81" s="226"/>
      <c r="D81" s="117" t="s">
        <v>172</v>
      </c>
      <c r="E81" s="118">
        <f>F81/(F80+F81+F82)</f>
        <v>0.19191919191919191</v>
      </c>
      <c r="F81" s="127">
        <f t="shared" si="35"/>
        <v>228</v>
      </c>
      <c r="G81" s="127">
        <f>SUMIF(DA!$C$3:$C$5,"MUD",DA!F$3:F$5)</f>
        <v>6</v>
      </c>
      <c r="H81" s="127">
        <f>SUMIF(DA!$C$3:$C$5,"MUD",DA!G$3:G$5)</f>
        <v>9</v>
      </c>
      <c r="I81" s="127">
        <f>SUMIF(DA!$C$3:$C$5,"MUD",DA!H$3:H$5)</f>
        <v>15</v>
      </c>
      <c r="J81" s="127">
        <f>SUMIF(DA!$C$3:$C$5,"MUD",DA!I$3:I$5)</f>
        <v>19</v>
      </c>
      <c r="K81" s="127">
        <f>SUMIF(DA!$C$3:$C$5,"MUD",DA!J$3:J$5)</f>
        <v>8</v>
      </c>
      <c r="L81" s="127">
        <f>SUMIF(DA!$C$3:$C$5,"MUD",DA!K$3:K$5)</f>
        <v>13</v>
      </c>
      <c r="M81" s="127">
        <f>SUMIF(DA!$C$3:$C$5,"MUD",DA!L$3:L$5)</f>
        <v>10</v>
      </c>
      <c r="N81" s="127">
        <f>SUMIF(DA!$C$3:$C$5,"MUD",DA!M$3:M$5)</f>
        <v>15</v>
      </c>
      <c r="O81" s="127">
        <f>SUMIF(DA!$C$3:$C$5,"MUD",DA!N$3:N$5)</f>
        <v>17</v>
      </c>
      <c r="P81" s="127">
        <f>SUMIF(DA!$C$3:$C$5,"MUD",DA!O$3:O$5)</f>
        <v>12</v>
      </c>
      <c r="Q81" s="127">
        <f>SUMIF(DA!$C$3:$C$5,"MUD",DA!P$3:P$5)</f>
        <v>10</v>
      </c>
      <c r="R81" s="127">
        <f>SUMIF(DA!$C$3:$C$5,"MUD",DA!Q$3:Q$5)</f>
        <v>9</v>
      </c>
      <c r="S81" s="127">
        <f>SUMIF(DA!$C$3:$C$5,"MUD",DA!R$3:R$5)</f>
        <v>12</v>
      </c>
      <c r="T81" s="127">
        <f>SUMIF(DA!$C$3:$C$5,"MUD",DA!S$3:S$5)</f>
        <v>10</v>
      </c>
      <c r="U81" s="127">
        <f>SUMIF(DA!$C$3:$C$5,"MUD",DA!T$3:T$5)</f>
        <v>15</v>
      </c>
      <c r="V81" s="127">
        <f>SUMIF(DA!$C$3:$C$5,"MUD",DA!U$3:U$5)</f>
        <v>16</v>
      </c>
      <c r="W81" s="127">
        <f>SUMIF(DA!$C$3:$C$5,"MUD",DA!V$3:V$5)</f>
        <v>14</v>
      </c>
      <c r="X81" s="136">
        <f>SUMIF(DA!$C$3:$C$5,"MUD",DA!W$3:W$5)</f>
        <v>18</v>
      </c>
    </row>
    <row r="82" spans="2:24" ht="15.75" customHeight="1" thickBot="1" x14ac:dyDescent="0.25">
      <c r="B82" s="233"/>
      <c r="C82" s="229"/>
      <c r="D82" s="137" t="s">
        <v>0</v>
      </c>
      <c r="E82" s="138">
        <f>F82/(F80+F81+F82)</f>
        <v>2.4410774410774411E-2</v>
      </c>
      <c r="F82" s="139">
        <f t="shared" si="35"/>
        <v>29</v>
      </c>
      <c r="G82" s="139">
        <f>SUMIF(DA!$C$3:$C$5,"Otro",DA!F$3:F$5)</f>
        <v>0</v>
      </c>
      <c r="H82" s="139">
        <f>SUMIF(DA!$C$3:$C$5,"Otro",DA!G$3:G$5)</f>
        <v>0</v>
      </c>
      <c r="I82" s="139">
        <f>SUMIF(DA!$C$3:$C$5,"Otro",DA!H$3:H$5)</f>
        <v>3</v>
      </c>
      <c r="J82" s="139">
        <f>SUMIF(DA!$C$3:$C$5,"Otro",DA!I$3:I$5)</f>
        <v>2</v>
      </c>
      <c r="K82" s="139">
        <f>SUMIF(DA!$C$3:$C$5,"Otro",DA!J$3:J$5)</f>
        <v>1</v>
      </c>
      <c r="L82" s="139">
        <f>SUMIF(DA!$C$3:$C$5,"Otro",DA!K$3:K$5)</f>
        <v>1</v>
      </c>
      <c r="M82" s="139">
        <f>SUMIF(DA!$C$3:$C$5,"Otro",DA!L$3:L$5)</f>
        <v>0</v>
      </c>
      <c r="N82" s="139">
        <f>SUMIF(DA!$C$3:$C$5,"Otro",DA!M$3:M$5)</f>
        <v>1</v>
      </c>
      <c r="O82" s="139">
        <f>SUMIF(DA!$C$3:$C$5,"Otro",DA!N$3:N$5)</f>
        <v>1</v>
      </c>
      <c r="P82" s="139">
        <f>SUMIF(DA!$C$3:$C$5,"Otro",DA!O$3:O$5)</f>
        <v>1</v>
      </c>
      <c r="Q82" s="139">
        <f>SUMIF(DA!$C$3:$C$5,"Otro",DA!P$3:P$5)</f>
        <v>2</v>
      </c>
      <c r="R82" s="139">
        <f>SUMIF(DA!$C$3:$C$5,"Otro",DA!Q$3:Q$5)</f>
        <v>1</v>
      </c>
      <c r="S82" s="139">
        <f>SUMIF(DA!$C$3:$C$5,"Otro",DA!R$3:R$5)</f>
        <v>4</v>
      </c>
      <c r="T82" s="139">
        <f>SUMIF(DA!$C$3:$C$5,"Otro",DA!S$3:S$5)</f>
        <v>3</v>
      </c>
      <c r="U82" s="139">
        <f>SUMIF(DA!$C$3:$C$5,"Otro",DA!T$3:T$5)</f>
        <v>2</v>
      </c>
      <c r="V82" s="139">
        <f>SUMIF(DA!$C$3:$C$5,"Otro",DA!U$3:U$5)</f>
        <v>3</v>
      </c>
      <c r="W82" s="139">
        <f>SUMIF(DA!$C$3:$C$5,"Otro",DA!V$3:V$5)</f>
        <v>3</v>
      </c>
      <c r="X82" s="140">
        <f>SUMIF(DA!$C$3:$C$5,"Otro",DA!W$3:W$5)</f>
        <v>1</v>
      </c>
    </row>
    <row r="83" spans="2:24" ht="15.75" customHeight="1" x14ac:dyDescent="0.2">
      <c r="B83" s="214" t="s">
        <v>41</v>
      </c>
      <c r="C83" s="217" t="s">
        <v>231</v>
      </c>
      <c r="D83" s="141" t="s">
        <v>175</v>
      </c>
      <c r="E83" s="142"/>
      <c r="F83" s="143"/>
      <c r="G83" s="143">
        <f>IF(SUM(G86:G88)=0,1,G86)</f>
        <v>34.582696859612923</v>
      </c>
      <c r="H83" s="143">
        <f t="shared" ref="H83:X83" si="36">IF(SUM(H86:H88)=0,0,G83+H86)</f>
        <v>69.621480196954536</v>
      </c>
      <c r="I83" s="143">
        <f t="shared" si="36"/>
        <v>103.07452122071314</v>
      </c>
      <c r="J83" s="143">
        <f t="shared" si="36"/>
        <v>142.08655873827576</v>
      </c>
      <c r="K83" s="143">
        <f t="shared" si="36"/>
        <v>180.83799602546739</v>
      </c>
      <c r="L83" s="143">
        <f t="shared" si="36"/>
        <v>223.35637380858955</v>
      </c>
      <c r="M83" s="143">
        <f t="shared" si="36"/>
        <v>261.81573357973747</v>
      </c>
      <c r="N83" s="143">
        <f t="shared" si="36"/>
        <v>303.05511942584457</v>
      </c>
      <c r="O83" s="143">
        <f t="shared" si="36"/>
        <v>336.76732275989519</v>
      </c>
      <c r="P83" s="143">
        <f t="shared" si="36"/>
        <v>374.54813108362976</v>
      </c>
      <c r="Q83" s="143">
        <f t="shared" si="36"/>
        <v>411.24287432122833</v>
      </c>
      <c r="R83" s="143">
        <f t="shared" si="36"/>
        <v>446.47072136501146</v>
      </c>
      <c r="S83" s="143">
        <f t="shared" si="36"/>
        <v>485.91898535498655</v>
      </c>
      <c r="T83" s="143">
        <f t="shared" si="36"/>
        <v>511.92123843398355</v>
      </c>
      <c r="U83" s="143">
        <f t="shared" si="36"/>
        <v>554.21378428667265</v>
      </c>
      <c r="V83" s="143">
        <f t="shared" si="36"/>
        <v>589.95290558586385</v>
      </c>
      <c r="W83" s="143">
        <f t="shared" si="36"/>
        <v>623.81860941989544</v>
      </c>
      <c r="X83" s="144">
        <f t="shared" si="36"/>
        <v>656.32142830019109</v>
      </c>
    </row>
    <row r="84" spans="2:24" ht="15.75" customHeight="1" x14ac:dyDescent="0.2">
      <c r="B84" s="215"/>
      <c r="C84" s="218"/>
      <c r="D84" s="145" t="s">
        <v>176</v>
      </c>
      <c r="E84" s="146"/>
      <c r="F84" s="147"/>
      <c r="G84" s="147">
        <f>IF(SUM(G86:G88)=0,1,G87)</f>
        <v>19.970844145159042</v>
      </c>
      <c r="H84" s="147">
        <f t="shared" ref="H84:X84" si="37">IF(SUM(H86:H88)=0,0,G84+H87)</f>
        <v>40.609959115476627</v>
      </c>
      <c r="I84" s="147">
        <f t="shared" si="37"/>
        <v>63.044851461336911</v>
      </c>
      <c r="J84" s="147">
        <f t="shared" si="37"/>
        <v>80.791590192777491</v>
      </c>
      <c r="K84" s="147">
        <f t="shared" si="37"/>
        <v>101.95417895522955</v>
      </c>
      <c r="L84" s="147">
        <f t="shared" si="37"/>
        <v>118.40296191283875</v>
      </c>
      <c r="M84" s="147">
        <f t="shared" si="37"/>
        <v>140.84729693809095</v>
      </c>
      <c r="N84" s="147">
        <f t="shared" si="37"/>
        <v>158.46087616925939</v>
      </c>
      <c r="O84" s="147">
        <f t="shared" si="37"/>
        <v>176.42279407111121</v>
      </c>
      <c r="P84" s="147">
        <f t="shared" si="37"/>
        <v>197.38024885130943</v>
      </c>
      <c r="Q84" s="147">
        <f t="shared" si="37"/>
        <v>214.35156133311392</v>
      </c>
      <c r="R84" s="147">
        <f t="shared" si="37"/>
        <v>231.73629609002188</v>
      </c>
      <c r="S84" s="147">
        <f t="shared" si="37"/>
        <v>251.20841487032135</v>
      </c>
      <c r="T84" s="147">
        <f t="shared" si="37"/>
        <v>276.42680151386651</v>
      </c>
      <c r="U84" s="147">
        <f t="shared" si="37"/>
        <v>295.01735630292512</v>
      </c>
      <c r="V84" s="147">
        <f t="shared" si="37"/>
        <v>314.00539473184551</v>
      </c>
      <c r="W84" s="147">
        <f t="shared" si="37"/>
        <v>339.32834955634587</v>
      </c>
      <c r="X84" s="148">
        <f t="shared" si="37"/>
        <v>364.11950685417003</v>
      </c>
    </row>
    <row r="85" spans="2:24" ht="15.75" customHeight="1" thickBot="1" x14ac:dyDescent="0.25">
      <c r="B85" s="215"/>
      <c r="C85" s="219"/>
      <c r="D85" s="149" t="s">
        <v>0</v>
      </c>
      <c r="E85" s="150"/>
      <c r="F85" s="151"/>
      <c r="G85" s="151">
        <f>IF(SUM(G86:G88)=0,1,G88)</f>
        <v>6.697079857726921</v>
      </c>
      <c r="H85" s="151">
        <f t="shared" ref="H85:X85" si="38">IF(SUM(H86:H88)=0,0,G85+H88)</f>
        <v>12.721278938774475</v>
      </c>
      <c r="I85" s="151">
        <f t="shared" si="38"/>
        <v>25.363500120248595</v>
      </c>
      <c r="J85" s="151">
        <f t="shared" si="38"/>
        <v>37.156267483513275</v>
      </c>
      <c r="K85" s="151">
        <f t="shared" si="38"/>
        <v>48.619768869536593</v>
      </c>
      <c r="L85" s="151">
        <f t="shared" si="38"/>
        <v>62.540594660962235</v>
      </c>
      <c r="M85" s="151">
        <f t="shared" si="38"/>
        <v>78.491305393466064</v>
      </c>
      <c r="N85" s="151">
        <f t="shared" si="38"/>
        <v>91.828882447501982</v>
      </c>
      <c r="O85" s="151">
        <f t="shared" si="38"/>
        <v>103.59234459450906</v>
      </c>
      <c r="P85" s="151">
        <f t="shared" si="38"/>
        <v>111.00730605166891</v>
      </c>
      <c r="Q85" s="151">
        <f t="shared" si="38"/>
        <v>124.9843752768882</v>
      </c>
      <c r="R85" s="151">
        <f t="shared" si="38"/>
        <v>132.66624052251177</v>
      </c>
      <c r="S85" s="151">
        <f t="shared" si="38"/>
        <v>145.60171132741792</v>
      </c>
      <c r="T85" s="151">
        <f t="shared" si="38"/>
        <v>162.51436274571847</v>
      </c>
      <c r="U85" s="151">
        <f t="shared" si="38"/>
        <v>177.6111894485019</v>
      </c>
      <c r="V85" s="151">
        <f t="shared" si="38"/>
        <v>192.49599635456877</v>
      </c>
      <c r="W85" s="151">
        <f t="shared" si="38"/>
        <v>205.94232877232506</v>
      </c>
      <c r="X85" s="152">
        <f t="shared" si="38"/>
        <v>223.56400136703664</v>
      </c>
    </row>
    <row r="86" spans="2:24" ht="15.75" customHeight="1" x14ac:dyDescent="0.2">
      <c r="B86" s="215"/>
      <c r="C86" s="220" t="s">
        <v>232</v>
      </c>
      <c r="D86" s="153" t="s">
        <v>175</v>
      </c>
      <c r="E86" s="154">
        <f>F86/(F86+F87+F88)</f>
        <v>0.52758747898176206</v>
      </c>
      <c r="F86" s="155">
        <f t="shared" ref="F86:F91" si="39">IF(SUM(G86:X86)=0,1,SUM(G86:X86))</f>
        <v>656.32142830019109</v>
      </c>
      <c r="G86" s="155">
        <f>FA!F3*FA!$B$5+FA!F6*FA!$B$8+FA!F9*FA!$B$11+FA!F12*FA!$B$14+FA!F15*FA!$B$17</f>
        <v>34.582696859612923</v>
      </c>
      <c r="H86" s="155">
        <f>FA!G3*FA!$B$5+FA!G6*FA!$B$8+FA!G9*FA!$B$11+FA!G12*FA!$B$14+FA!G15*FA!$B$17</f>
        <v>35.03878333734162</v>
      </c>
      <c r="I86" s="155">
        <f>FA!H3*FA!$B$5+FA!H6*FA!$B$8+FA!H9*FA!$B$11+FA!H12*FA!$B$14+FA!H15*FA!$B$17</f>
        <v>33.453041023758594</v>
      </c>
      <c r="J86" s="155">
        <f>FA!I3*FA!$B$5+FA!I6*FA!$B$8+FA!I9*FA!$B$11+FA!I12*FA!$B$14+FA!I15*FA!$B$17</f>
        <v>39.012037517562625</v>
      </c>
      <c r="K86" s="155">
        <f>FA!J3*FA!$B$5+FA!J6*FA!$B$8+FA!J9*FA!$B$11+FA!J12*FA!$B$14+FA!J15*FA!$B$17</f>
        <v>38.751437287191628</v>
      </c>
      <c r="L86" s="155">
        <f>FA!K3*FA!$B$5+FA!K6*FA!$B$8+FA!K9*FA!$B$11+FA!K12*FA!$B$14+FA!K15*FA!$B$17</f>
        <v>42.518377783122162</v>
      </c>
      <c r="M86" s="155">
        <f>FA!L3*FA!$B$5+FA!L6*FA!$B$8+FA!L9*FA!$B$11+FA!L12*FA!$B$14+FA!L15*FA!$B$17</f>
        <v>38.45935977114793</v>
      </c>
      <c r="N86" s="155">
        <f>FA!M3*FA!$B$5+FA!M6*FA!$B$8+FA!M9*FA!$B$11+FA!M12*FA!$B$14+FA!M15*FA!$B$17</f>
        <v>41.239385846107112</v>
      </c>
      <c r="O86" s="155">
        <f>FA!N3*FA!$B$5+FA!N6*FA!$B$8+FA!N9*FA!$B$11+FA!N12*FA!$B$14+FA!N15*FA!$B$17</f>
        <v>33.712203334050606</v>
      </c>
      <c r="P86" s="155">
        <f>FA!O3*FA!$B$5+FA!O6*FA!$B$8+FA!O9*FA!$B$11+FA!O12*FA!$B$14+FA!O15*FA!$B$17</f>
        <v>37.780808323734533</v>
      </c>
      <c r="Q86" s="155">
        <f>FA!P3*FA!$B$5+FA!P6*FA!$B$8+FA!P9*FA!$B$11+FA!P12*FA!$B$14+FA!P15*FA!$B$17</f>
        <v>36.694743237598573</v>
      </c>
      <c r="R86" s="155">
        <f>FA!Q3*FA!$B$5+FA!Q6*FA!$B$8+FA!Q9*FA!$B$11+FA!Q12*FA!$B$14+FA!Q15*FA!$B$17</f>
        <v>35.22784704378315</v>
      </c>
      <c r="S86" s="155">
        <f>FA!R3*FA!$B$5+FA!R6*FA!$B$8+FA!R9*FA!$B$11+FA!R12*FA!$B$14+FA!R15*FA!$B$17</f>
        <v>39.448263989975068</v>
      </c>
      <c r="T86" s="155">
        <f>FA!S3*FA!$B$5+FA!S6*FA!$B$8+FA!S9*FA!$B$11+FA!S12*FA!$B$14+FA!S15*FA!$B$17</f>
        <v>26.002253078996997</v>
      </c>
      <c r="U86" s="155">
        <f>FA!T3*FA!$B$5+FA!T6*FA!$B$8+FA!T9*FA!$B$11+FA!T12*FA!$B$14+FA!T15*FA!$B$17</f>
        <v>42.292545852689138</v>
      </c>
      <c r="V86" s="155">
        <f>FA!U3*FA!$B$5+FA!U6*FA!$B$8+FA!U9*FA!$B$11+FA!U12*FA!$B$14+FA!U15*FA!$B$17</f>
        <v>35.739121299191169</v>
      </c>
      <c r="W86" s="155">
        <f>FA!V3*FA!$B$5+FA!V6*FA!$B$8+FA!V9*FA!$B$11+FA!V12*FA!$B$14+FA!V15*FA!$B$17</f>
        <v>33.865703834031621</v>
      </c>
      <c r="X86" s="156">
        <f>FA!W3*FA!$B$5+FA!W6*FA!$B$8+FA!W9*FA!$B$11+FA!W12*FA!$B$14+FA!W15*FA!$B$17</f>
        <v>32.502818880295685</v>
      </c>
    </row>
    <row r="87" spans="2:24" ht="15.75" customHeight="1" x14ac:dyDescent="0.2">
      <c r="B87" s="215"/>
      <c r="C87" s="218"/>
      <c r="D87" s="145" t="s">
        <v>176</v>
      </c>
      <c r="E87" s="146">
        <f>F87/(F86+F87+F88)</f>
        <v>0.29269940670199818</v>
      </c>
      <c r="F87" s="147">
        <f t="shared" si="39"/>
        <v>364.11950685417003</v>
      </c>
      <c r="G87" s="147">
        <f>FA!F4*FA!$B$5+FA!F7*FA!$B$8+FA!F10*FA!$B$11+FA!F13*FA!$B$14+FA!F16*FA!$B$17</f>
        <v>19.970844145159042</v>
      </c>
      <c r="H87" s="147">
        <f>FA!G4*FA!$B$5+FA!G7*FA!$B$8+FA!G10*FA!$B$11+FA!G13*FA!$B$14+FA!G16*FA!$B$17</f>
        <v>20.639114970317582</v>
      </c>
      <c r="I87" s="147">
        <f>FA!H4*FA!$B$5+FA!H7*FA!$B$8+FA!H10*FA!$B$11+FA!H13*FA!$B$14+FA!H16*FA!$B$17</f>
        <v>22.434892345860284</v>
      </c>
      <c r="J87" s="147">
        <f>FA!I4*FA!$B$5+FA!I7*FA!$B$8+FA!I10*FA!$B$11+FA!I13*FA!$B$14+FA!I16*FA!$B$17</f>
        <v>17.746738731440576</v>
      </c>
      <c r="K87" s="147">
        <f>FA!J4*FA!$B$5+FA!J7*FA!$B$8+FA!J10*FA!$B$11+FA!J13*FA!$B$14+FA!J16*FA!$B$17</f>
        <v>21.162588762452057</v>
      </c>
      <c r="L87" s="147">
        <f>FA!K4*FA!$B$5+FA!K7*FA!$B$8+FA!K10*FA!$B$11+FA!K13*FA!$B$14+FA!K16*FA!$B$17</f>
        <v>16.448782957609204</v>
      </c>
      <c r="M87" s="147">
        <f>FA!L4*FA!$B$5+FA!L7*FA!$B$8+FA!L10*FA!$B$11+FA!L13*FA!$B$14+FA!L16*FA!$B$17</f>
        <v>22.444335025252204</v>
      </c>
      <c r="N87" s="147">
        <f>FA!M4*FA!$B$5+FA!M7*FA!$B$8+FA!M10*FA!$B$11+FA!M13*FA!$B$14+FA!M16*FA!$B$17</f>
        <v>17.613579231168437</v>
      </c>
      <c r="O87" s="147">
        <f>FA!N4*FA!$B$5+FA!N7*FA!$B$8+FA!N10*FA!$B$11+FA!N13*FA!$B$14+FA!N16*FA!$B$17</f>
        <v>17.961917901851827</v>
      </c>
      <c r="P87" s="147">
        <f>FA!O4*FA!$B$5+FA!O7*FA!$B$8+FA!O10*FA!$B$11+FA!O13*FA!$B$14+FA!O16*FA!$B$17</f>
        <v>20.957454780198219</v>
      </c>
      <c r="Q87" s="147">
        <f>FA!P4*FA!$B$5+FA!P7*FA!$B$8+FA!P10*FA!$B$11+FA!P13*FA!$B$14+FA!P16*FA!$B$17</f>
        <v>16.971312481804489</v>
      </c>
      <c r="R87" s="147">
        <f>FA!Q4*FA!$B$5+FA!Q7*FA!$B$8+FA!Q10*FA!$B$11+FA!Q13*FA!$B$14+FA!Q16*FA!$B$17</f>
        <v>17.384734756907964</v>
      </c>
      <c r="S87" s="147">
        <f>FA!R4*FA!$B$5+FA!R7*FA!$B$8+FA!R10*FA!$B$11+FA!R13*FA!$B$14+FA!R16*FA!$B$17</f>
        <v>19.472118780299482</v>
      </c>
      <c r="T87" s="147">
        <f>FA!S4*FA!$B$5+FA!S7*FA!$B$8+FA!S10*FA!$B$11+FA!S13*FA!$B$14+FA!S16*FA!$B$17</f>
        <v>25.218386643545177</v>
      </c>
      <c r="U87" s="147">
        <f>FA!T4*FA!$B$5+FA!T7*FA!$B$8+FA!T10*FA!$B$11+FA!T13*FA!$B$14+FA!T16*FA!$B$17</f>
        <v>18.590554789058643</v>
      </c>
      <c r="V87" s="147">
        <f>FA!U4*FA!$B$5+FA!U7*FA!$B$8+FA!U10*FA!$B$11+FA!U13*FA!$B$14+FA!U16*FA!$B$17</f>
        <v>18.988038428920419</v>
      </c>
      <c r="W87" s="147">
        <f>FA!V4*FA!$B$5+FA!V7*FA!$B$8+FA!V10*FA!$B$11+FA!V13*FA!$B$14+FA!V16*FA!$B$17</f>
        <v>25.322954824500336</v>
      </c>
      <c r="X87" s="148">
        <f>FA!W4*FA!$B$5+FA!W7*FA!$B$8+FA!W10*FA!$B$11+FA!W13*FA!$B$14+FA!W16*FA!$B$17</f>
        <v>24.791157297824132</v>
      </c>
    </row>
    <row r="88" spans="2:24" ht="15.75" customHeight="1" thickBot="1" x14ac:dyDescent="0.25">
      <c r="B88" s="215"/>
      <c r="C88" s="219"/>
      <c r="D88" s="149" t="s">
        <v>0</v>
      </c>
      <c r="E88" s="150">
        <f>F88/(F86+F87+F88)</f>
        <v>0.17971311431623985</v>
      </c>
      <c r="F88" s="151">
        <f t="shared" si="39"/>
        <v>223.56400136703664</v>
      </c>
      <c r="G88" s="151">
        <f>FA!F5*FA!$B$5+FA!F8*FA!$B$8+FA!F11*FA!$B$11+FA!F14*FA!$B$14+FA!F17*FA!$B$17</f>
        <v>6.697079857726921</v>
      </c>
      <c r="H88" s="151">
        <f>FA!G5*FA!$B$5+FA!G8*FA!$B$8+FA!G11*FA!$B$11+FA!G14*FA!$B$14+FA!G17*FA!$B$17</f>
        <v>6.0241990810475547</v>
      </c>
      <c r="I88" s="151">
        <f>FA!H5*FA!$B$5+FA!H8*FA!$B$8+FA!H11*FA!$B$11+FA!H14*FA!$B$14+FA!H17*FA!$B$17</f>
        <v>12.64222118147412</v>
      </c>
      <c r="J88" s="151">
        <f>FA!I5*FA!$B$5+FA!I8*FA!$B$8+FA!I11*FA!$B$11+FA!I14*FA!$B$14+FA!I17*FA!$B$17</f>
        <v>11.792767363264684</v>
      </c>
      <c r="K88" s="151">
        <f>FA!J5*FA!$B$5+FA!J8*FA!$B$8+FA!J11*FA!$B$11+FA!J14*FA!$B$14+FA!J17*FA!$B$17</f>
        <v>11.463501386023315</v>
      </c>
      <c r="L88" s="151">
        <f>FA!K5*FA!$B$5+FA!K8*FA!$B$8+FA!K11*FA!$B$11+FA!K14*FA!$B$14+FA!K17*FA!$B$17</f>
        <v>13.920825791425642</v>
      </c>
      <c r="M88" s="151">
        <f>FA!L5*FA!$B$5+FA!L8*FA!$B$8+FA!L11*FA!$B$11+FA!L14*FA!$B$14+FA!L17*FA!$B$17</f>
        <v>15.950710732503829</v>
      </c>
      <c r="N88" s="151">
        <f>FA!M5*FA!$B$5+FA!M8*FA!$B$8+FA!M11*FA!$B$11+FA!M14*FA!$B$14+FA!M17*FA!$B$17</f>
        <v>13.337577054035922</v>
      </c>
      <c r="O88" s="151">
        <f>FA!N5*FA!$B$5+FA!N8*FA!$B$8+FA!N11*FA!$B$11+FA!N14*FA!$B$14+FA!N17*FA!$B$17</f>
        <v>11.763462147007075</v>
      </c>
      <c r="P88" s="151">
        <f>FA!O5*FA!$B$5+FA!O8*FA!$B$8+FA!O11*FA!$B$11+FA!O14*FA!$B$14+FA!O17*FA!$B$17</f>
        <v>7.4149614571598548</v>
      </c>
      <c r="Q88" s="151">
        <f>FA!P5*FA!$B$5+FA!P8*FA!$B$8+FA!P11*FA!$B$11+FA!P14*FA!$B$14+FA!P17*FA!$B$17</f>
        <v>13.977069225219296</v>
      </c>
      <c r="R88" s="151">
        <f>FA!Q5*FA!$B$5+FA!Q8*FA!$B$8+FA!Q11*FA!$B$11+FA!Q14*FA!$B$14+FA!Q17*FA!$B$17</f>
        <v>7.681865245623583</v>
      </c>
      <c r="S88" s="151">
        <f>FA!R5*FA!$B$5+FA!R8*FA!$B$8+FA!R11*FA!$B$11+FA!R14*FA!$B$14+FA!R17*FA!$B$17</f>
        <v>12.935470804906142</v>
      </c>
      <c r="T88" s="151">
        <f>FA!S5*FA!$B$5+FA!S8*FA!$B$8+FA!S11*FA!$B$11+FA!S14*FA!$B$14+FA!S17*FA!$B$17</f>
        <v>16.91265141830057</v>
      </c>
      <c r="U88" s="151">
        <f>FA!T5*FA!$B$5+FA!T8*FA!$B$8+FA!T11*FA!$B$11+FA!T14*FA!$B$14+FA!T17*FA!$B$17</f>
        <v>15.096826702783439</v>
      </c>
      <c r="V88" s="151">
        <f>FA!U5*FA!$B$5+FA!U8*FA!$B$8+FA!U11*FA!$B$11+FA!U14*FA!$B$14+FA!U17*FA!$B$17</f>
        <v>14.884806906066858</v>
      </c>
      <c r="W88" s="151">
        <f>FA!V5*FA!$B$5+FA!V8*FA!$B$8+FA!V11*FA!$B$11+FA!V14*FA!$B$14+FA!V17*FA!$B$17</f>
        <v>13.446332417756286</v>
      </c>
      <c r="X88" s="152">
        <f>FA!W5*FA!$B$5+FA!W8*FA!$B$8+FA!W11*FA!$B$11+FA!W14*FA!$B$14+FA!W17*FA!$B$17</f>
        <v>17.62167259471159</v>
      </c>
    </row>
    <row r="89" spans="2:24" ht="15.75" customHeight="1" x14ac:dyDescent="0.2">
      <c r="B89" s="215"/>
      <c r="C89" s="220" t="s">
        <v>111</v>
      </c>
      <c r="D89" s="153" t="s">
        <v>175</v>
      </c>
      <c r="E89" s="154">
        <f>F89/(F89+F90+F91)</f>
        <v>0.52452182442373707</v>
      </c>
      <c r="F89" s="157">
        <f t="shared" si="39"/>
        <v>2139</v>
      </c>
      <c r="G89" s="157">
        <f>SUMIF(FA!$C$3:$C$17,"PSUV",FA!F$3:F$17)</f>
        <v>121</v>
      </c>
      <c r="H89" s="157">
        <f>SUMIF(FA!$C$3:$C$17,"PSUV",FA!G$3:G$17)</f>
        <v>102</v>
      </c>
      <c r="I89" s="157">
        <f>SUMIF(FA!$C$3:$C$17,"PSUV",FA!H$3:H$17)</f>
        <v>108</v>
      </c>
      <c r="J89" s="157">
        <f>SUMIF(FA!$C$3:$C$17,"PSUV",FA!I$3:I$17)</f>
        <v>129</v>
      </c>
      <c r="K89" s="157">
        <f>SUMIF(FA!$C$3:$C$17,"PSUV",FA!J$3:J$17)</f>
        <v>119</v>
      </c>
      <c r="L89" s="157">
        <f>SUMIF(FA!$C$3:$C$17,"PSUV",FA!K$3:K$17)</f>
        <v>132</v>
      </c>
      <c r="M89" s="157">
        <f>SUMIF(FA!$C$3:$C$17,"PSUV",FA!L$3:L$17)</f>
        <v>114</v>
      </c>
      <c r="N89" s="157">
        <f>SUMIF(FA!$C$3:$C$17,"PSUV",FA!M$3:M$17)</f>
        <v>130</v>
      </c>
      <c r="O89" s="157">
        <f>SUMIF(FA!$C$3:$C$17,"PSUV",FA!N$3:N$17)</f>
        <v>110</v>
      </c>
      <c r="P89" s="157">
        <f>SUMIF(FA!$C$3:$C$17,"PSUV",FA!O$3:O$17)</f>
        <v>117</v>
      </c>
      <c r="Q89" s="157">
        <f>SUMIF(FA!$C$3:$C$17,"PSUV",FA!P$3:P$17)</f>
        <v>117</v>
      </c>
      <c r="R89" s="157">
        <f>SUMIF(FA!$C$3:$C$17,"PSUV",FA!Q$3:Q$17)</f>
        <v>111</v>
      </c>
      <c r="S89" s="157">
        <f>SUMIF(FA!$C$3:$C$17,"PSUV",FA!R$3:R$17)</f>
        <v>129</v>
      </c>
      <c r="T89" s="157">
        <f>SUMIF(FA!$C$3:$C$17,"PSUV",FA!S$3:S$17)</f>
        <v>104</v>
      </c>
      <c r="U89" s="157">
        <f>SUMIF(FA!$C$3:$C$17,"PSUV",FA!T$3:T$17)</f>
        <v>131</v>
      </c>
      <c r="V89" s="157">
        <f>SUMIF(FA!$C$3:$C$17,"PSUV",FA!U$3:U$17)</f>
        <v>124</v>
      </c>
      <c r="W89" s="157">
        <f>SUMIF(FA!$C$3:$C$17,"PSUV",FA!V$3:V$17)</f>
        <v>122</v>
      </c>
      <c r="X89" s="158">
        <f>SUMIF(FA!$C$3:$C$17,"PSUV",FA!W$3:W$17)</f>
        <v>119</v>
      </c>
    </row>
    <row r="90" spans="2:24" ht="15.75" customHeight="1" x14ac:dyDescent="0.2">
      <c r="B90" s="215"/>
      <c r="C90" s="218"/>
      <c r="D90" s="145" t="s">
        <v>176</v>
      </c>
      <c r="E90" s="146">
        <f>F90/(F89+F90+F91)</f>
        <v>0.31780284453163316</v>
      </c>
      <c r="F90" s="159">
        <f t="shared" si="39"/>
        <v>1296</v>
      </c>
      <c r="G90" s="159">
        <f>SUMIF(FA!$C$3:$C$17,"MUD",FA!F$3:F$17)</f>
        <v>74</v>
      </c>
      <c r="H90" s="159">
        <f>SUMIF(FA!$C$3:$C$17,"MUD",FA!G$3:G$17)</f>
        <v>77</v>
      </c>
      <c r="I90" s="159">
        <f>SUMIF(FA!$C$3:$C$17,"MUD",FA!H$3:H$17)</f>
        <v>83</v>
      </c>
      <c r="J90" s="159">
        <f>SUMIF(FA!$C$3:$C$17,"MUD",FA!I$3:I$17)</f>
        <v>69</v>
      </c>
      <c r="K90" s="159">
        <f>SUMIF(FA!$C$3:$C$17,"MUD",FA!J$3:J$17)</f>
        <v>70</v>
      </c>
      <c r="L90" s="159">
        <f>SUMIF(FA!$C$3:$C$17,"MUD",FA!K$3:K$17)</f>
        <v>62</v>
      </c>
      <c r="M90" s="159">
        <f>SUMIF(FA!$C$3:$C$17,"MUD",FA!L$3:L$17)</f>
        <v>75</v>
      </c>
      <c r="N90" s="159">
        <f>SUMIF(FA!$C$3:$C$17,"MUD",FA!M$3:M$17)</f>
        <v>68</v>
      </c>
      <c r="O90" s="159">
        <f>SUMIF(FA!$C$3:$C$17,"MUD",FA!N$3:N$17)</f>
        <v>66</v>
      </c>
      <c r="P90" s="159">
        <f>SUMIF(FA!$C$3:$C$17,"MUD",FA!O$3:O$17)</f>
        <v>69</v>
      </c>
      <c r="Q90" s="159">
        <f>SUMIF(FA!$C$3:$C$17,"MUD",FA!P$3:P$17)</f>
        <v>57</v>
      </c>
      <c r="R90" s="159">
        <f>SUMIF(FA!$C$3:$C$17,"MUD",FA!Q$3:Q$17)</f>
        <v>69</v>
      </c>
      <c r="S90" s="159">
        <f>SUMIF(FA!$C$3:$C$17,"MUD",FA!R$3:R$17)</f>
        <v>67</v>
      </c>
      <c r="T90" s="159">
        <f>SUMIF(FA!$C$3:$C$17,"MUD",FA!S$3:S$17)</f>
        <v>89</v>
      </c>
      <c r="U90" s="159">
        <f>SUMIF(FA!$C$3:$C$17,"MUD",FA!T$3:T$17)</f>
        <v>65</v>
      </c>
      <c r="V90" s="159">
        <f>SUMIF(FA!$C$3:$C$17,"MUD",FA!U$3:U$17)</f>
        <v>63</v>
      </c>
      <c r="W90" s="159">
        <f>SUMIF(FA!$C$3:$C$17,"MUD",FA!V$3:V$17)</f>
        <v>93</v>
      </c>
      <c r="X90" s="160">
        <f>SUMIF(FA!$C$3:$C$17,"MUD",FA!W$3:W$17)</f>
        <v>80</v>
      </c>
    </row>
    <row r="91" spans="2:24" ht="15.75" customHeight="1" thickBot="1" x14ac:dyDescent="0.25">
      <c r="B91" s="216"/>
      <c r="C91" s="221"/>
      <c r="D91" s="161" t="s">
        <v>0</v>
      </c>
      <c r="E91" s="162">
        <f>F91/(F89+F90+F91)</f>
        <v>0.15767533104462972</v>
      </c>
      <c r="F91" s="163">
        <f t="shared" si="39"/>
        <v>643</v>
      </c>
      <c r="G91" s="163">
        <f>SUMIF(FA!$C$3:$C$17,"Otro",FA!F$3:F$17)</f>
        <v>22</v>
      </c>
      <c r="H91" s="163">
        <f>SUMIF(FA!$C$3:$C$17,"Otro",FA!G$3:G$17)</f>
        <v>21</v>
      </c>
      <c r="I91" s="163">
        <f>SUMIF(FA!$C$3:$C$17,"Otro",FA!H$3:H$17)</f>
        <v>38</v>
      </c>
      <c r="J91" s="163">
        <f>SUMIF(FA!$C$3:$C$17,"Otro",FA!I$3:I$17)</f>
        <v>34</v>
      </c>
      <c r="K91" s="163">
        <f>SUMIF(FA!$C$3:$C$17,"Otro",FA!J$3:J$17)</f>
        <v>35</v>
      </c>
      <c r="L91" s="163">
        <f>SUMIF(FA!$C$3:$C$17,"Otro",FA!K$3:K$17)</f>
        <v>39</v>
      </c>
      <c r="M91" s="163">
        <f>SUMIF(FA!$C$3:$C$17,"Otro",FA!L$3:L$17)</f>
        <v>44</v>
      </c>
      <c r="N91" s="163">
        <f>SUMIF(FA!$C$3:$C$17,"Otro",FA!M$3:M$17)</f>
        <v>39</v>
      </c>
      <c r="O91" s="163">
        <f>SUMIF(FA!$C$3:$C$17,"Otro",FA!N$3:N$17)</f>
        <v>33</v>
      </c>
      <c r="P91" s="163">
        <f>SUMIF(FA!$C$3:$C$17,"Otro",FA!O$3:O$17)</f>
        <v>21</v>
      </c>
      <c r="Q91" s="163">
        <f>SUMIF(FA!$C$3:$C$17,"Otro",FA!P$3:P$17)</f>
        <v>39</v>
      </c>
      <c r="R91" s="163">
        <f>SUMIF(FA!$C$3:$C$17,"Otro",FA!Q$3:Q$17)</f>
        <v>21</v>
      </c>
      <c r="S91" s="163">
        <f>SUMIF(FA!$C$3:$C$17,"Otro",FA!R$3:R$17)</f>
        <v>37</v>
      </c>
      <c r="T91" s="163">
        <f>SUMIF(FA!$C$3:$C$17,"Otro",FA!S$3:S$17)</f>
        <v>48</v>
      </c>
      <c r="U91" s="163">
        <f>SUMIF(FA!$C$3:$C$17,"Otro",FA!T$3:T$17)</f>
        <v>42</v>
      </c>
      <c r="V91" s="163">
        <f>SUMIF(FA!$C$3:$C$17,"Otro",FA!U$3:U$17)</f>
        <v>42</v>
      </c>
      <c r="W91" s="163">
        <f>SUMIF(FA!$C$3:$C$17,"Otro",FA!V$3:V$17)</f>
        <v>37</v>
      </c>
      <c r="X91" s="164">
        <f>SUMIF(FA!$C$3:$C$17,"Otro",FA!W$3:W$17)</f>
        <v>51</v>
      </c>
    </row>
    <row r="92" spans="2:24" ht="15.75" customHeight="1" x14ac:dyDescent="0.2">
      <c r="B92" s="231" t="s">
        <v>45</v>
      </c>
      <c r="C92" s="225" t="s">
        <v>231</v>
      </c>
      <c r="D92" s="165" t="s">
        <v>178</v>
      </c>
      <c r="E92" s="166"/>
      <c r="F92" s="167"/>
      <c r="G92" s="167">
        <f>IF(SUM(G95:G97)=0,1,G95)</f>
        <v>16.80827801013077</v>
      </c>
      <c r="H92" s="167">
        <f t="shared" ref="H92:X92" si="40">IF(SUM(H95:H97)=0,0,G92+H95)</f>
        <v>48.622793427041607</v>
      </c>
      <c r="I92" s="167">
        <f t="shared" si="40"/>
        <v>74.095913174013219</v>
      </c>
      <c r="J92" s="167">
        <f t="shared" si="40"/>
        <v>99.63328811146522</v>
      </c>
      <c r="K92" s="167">
        <f t="shared" si="40"/>
        <v>130.67498856074047</v>
      </c>
      <c r="L92" s="167">
        <f t="shared" si="40"/>
        <v>160.80612662658245</v>
      </c>
      <c r="M92" s="167">
        <f t="shared" si="40"/>
        <v>189.33748892866987</v>
      </c>
      <c r="N92" s="167">
        <f t="shared" si="40"/>
        <v>218.88561008046281</v>
      </c>
      <c r="O92" s="167">
        <f t="shared" si="40"/>
        <v>239.60468059714273</v>
      </c>
      <c r="P92" s="167">
        <f t="shared" si="40"/>
        <v>266.0484971087439</v>
      </c>
      <c r="Q92" s="167">
        <f t="shared" si="40"/>
        <v>288.09232218306562</v>
      </c>
      <c r="R92" s="167">
        <f t="shared" si="40"/>
        <v>308.96852129842955</v>
      </c>
      <c r="S92" s="167">
        <f t="shared" si="40"/>
        <v>326.350587215323</v>
      </c>
      <c r="T92" s="167">
        <f t="shared" si="40"/>
        <v>346.18834506693639</v>
      </c>
      <c r="U92" s="167">
        <f t="shared" si="40"/>
        <v>366.50087634093541</v>
      </c>
      <c r="V92" s="167">
        <f t="shared" si="40"/>
        <v>386.7249199251832</v>
      </c>
      <c r="W92" s="167">
        <f t="shared" si="40"/>
        <v>408.00433220144868</v>
      </c>
      <c r="X92" s="168">
        <f t="shared" si="40"/>
        <v>431.94254949653873</v>
      </c>
    </row>
    <row r="93" spans="2:24" ht="15.75" customHeight="1" x14ac:dyDescent="0.2">
      <c r="B93" s="232"/>
      <c r="C93" s="226"/>
      <c r="D93" s="117" t="s">
        <v>179</v>
      </c>
      <c r="E93" s="118"/>
      <c r="F93" s="119"/>
      <c r="G93" s="119">
        <f>IF(SUM(G95:G97)=0,1,G96)</f>
        <v>2.1917888861238435</v>
      </c>
      <c r="H93" s="119">
        <f t="shared" ref="H93:X93" si="41">IF(SUM(H95:H97)=0,0,G93+H96)</f>
        <v>12.446540527088969</v>
      </c>
      <c r="I93" s="119">
        <f t="shared" si="41"/>
        <v>27.359968746069846</v>
      </c>
      <c r="J93" s="119">
        <f t="shared" si="41"/>
        <v>37.46259562819597</v>
      </c>
      <c r="K93" s="119">
        <f t="shared" si="41"/>
        <v>48.529486531108098</v>
      </c>
      <c r="L93" s="119">
        <f t="shared" si="41"/>
        <v>57.807796357097558</v>
      </c>
      <c r="M93" s="119">
        <f t="shared" si="41"/>
        <v>70.385921817009304</v>
      </c>
      <c r="N93" s="119">
        <f t="shared" si="41"/>
        <v>82.634591250505053</v>
      </c>
      <c r="O93" s="119">
        <f t="shared" si="41"/>
        <v>93.328599754356944</v>
      </c>
      <c r="P93" s="119">
        <f t="shared" si="41"/>
        <v>107.90102297752553</v>
      </c>
      <c r="Q93" s="119">
        <f t="shared" si="41"/>
        <v>116.5109616202808</v>
      </c>
      <c r="R93" s="119">
        <f t="shared" si="41"/>
        <v>126.70083459767254</v>
      </c>
      <c r="S93" s="119">
        <f t="shared" si="41"/>
        <v>136.0018302815262</v>
      </c>
      <c r="T93" s="119">
        <f t="shared" si="41"/>
        <v>146.11853481147298</v>
      </c>
      <c r="U93" s="119">
        <f t="shared" si="41"/>
        <v>153.01244537920812</v>
      </c>
      <c r="V93" s="119">
        <f t="shared" si="41"/>
        <v>163.08070899326489</v>
      </c>
      <c r="W93" s="119">
        <f t="shared" si="41"/>
        <v>171.64693762325635</v>
      </c>
      <c r="X93" s="132">
        <f t="shared" si="41"/>
        <v>182.93631208975873</v>
      </c>
    </row>
    <row r="94" spans="2:24" ht="15.75" customHeight="1" thickBot="1" x14ac:dyDescent="0.25">
      <c r="B94" s="232"/>
      <c r="C94" s="227"/>
      <c r="D94" s="120" t="s">
        <v>0</v>
      </c>
      <c r="E94" s="121"/>
      <c r="F94" s="122"/>
      <c r="G94" s="122">
        <f>IF(SUM(G95:G97)=0,1,G97)</f>
        <v>0.47784797424761782</v>
      </c>
      <c r="H94" s="122">
        <f t="shared" ref="H94:X94" si="42">IF(SUM(H95:H97)=0,0,G94+H97)</f>
        <v>2.0471672112021793</v>
      </c>
      <c r="I94" s="122">
        <f t="shared" si="42"/>
        <v>2.5250151854497971</v>
      </c>
      <c r="J94" s="122">
        <f t="shared" si="42"/>
        <v>2.5250151854497971</v>
      </c>
      <c r="K94" s="122">
        <f t="shared" si="42"/>
        <v>3.4291367974889821</v>
      </c>
      <c r="L94" s="122">
        <f t="shared" si="42"/>
        <v>4.7337448790917094</v>
      </c>
      <c r="M94" s="122">
        <f t="shared" si="42"/>
        <v>5.8767904782547031</v>
      </c>
      <c r="N94" s="122">
        <f t="shared" si="42"/>
        <v>8.7706314738850395</v>
      </c>
      <c r="O94" s="122">
        <f t="shared" si="42"/>
        <v>10.355184325939959</v>
      </c>
      <c r="P94" s="122">
        <f t="shared" si="42"/>
        <v>10.781457963731526</v>
      </c>
      <c r="Q94" s="122">
        <f t="shared" si="42"/>
        <v>13.09333633028554</v>
      </c>
      <c r="R94" s="122">
        <f t="shared" si="42"/>
        <v>15.129949988360051</v>
      </c>
      <c r="S94" s="122">
        <f t="shared" si="42"/>
        <v>16.059858768627262</v>
      </c>
      <c r="T94" s="122">
        <f t="shared" si="42"/>
        <v>16.29878275575107</v>
      </c>
      <c r="U94" s="122">
        <f t="shared" si="42"/>
        <v>18.926946614112968</v>
      </c>
      <c r="V94" s="122">
        <f t="shared" si="42"/>
        <v>20.599414523979629</v>
      </c>
      <c r="W94" s="122">
        <f t="shared" si="42"/>
        <v>20.838338511103437</v>
      </c>
      <c r="X94" s="133">
        <f t="shared" si="42"/>
        <v>22.331165894683885</v>
      </c>
    </row>
    <row r="95" spans="2:24" ht="15.75" customHeight="1" x14ac:dyDescent="0.2">
      <c r="B95" s="232"/>
      <c r="C95" s="228" t="s">
        <v>232</v>
      </c>
      <c r="D95" s="123" t="s">
        <v>178</v>
      </c>
      <c r="E95" s="124">
        <f>F95/(F95+F96+F97)</f>
        <v>0.67786527340772396</v>
      </c>
      <c r="F95" s="125">
        <f t="shared" ref="F95:F100" si="43">IF(SUM(G95:X95)=0,1,SUM(G95:X95))</f>
        <v>431.94254949653873</v>
      </c>
      <c r="G95" s="125">
        <f>GU!F3*GU!$B$5+GU!F6*GU!$B$8+GU!F9*GU!$B$11+GU!F12*GU!$B$14+GU!F15*GU!$B$17+GU!F18*GU!$B$20</f>
        <v>16.80827801013077</v>
      </c>
      <c r="H95" s="125">
        <f>GU!G3*GU!$B$5+GU!G6*GU!$B$8+GU!G9*GU!$B$11+GU!G12*GU!$B$14+GU!G15*GU!$B$17+GU!G18*GU!$B$20</f>
        <v>31.814515416910837</v>
      </c>
      <c r="I95" s="125">
        <f>GU!H3*GU!$B$5+GU!H6*GU!$B$8+GU!H9*GU!$B$11+GU!H12*GU!$B$14+GU!H15*GU!$B$17+GU!H18*GU!$B$20</f>
        <v>25.473119746971605</v>
      </c>
      <c r="J95" s="125">
        <f>GU!I3*GU!$B$5+GU!I6*GU!$B$8+GU!I9*GU!$B$11+GU!I12*GU!$B$14+GU!I15*GU!$B$17+GU!I18*GU!$B$20</f>
        <v>25.537374937452007</v>
      </c>
      <c r="K95" s="125">
        <f>GU!J3*GU!$B$5+GU!J6*GU!$B$8+GU!J9*GU!$B$11+GU!J12*GU!$B$14+GU!J15*GU!$B$17+GU!J18*GU!$B$20</f>
        <v>31.041700449275247</v>
      </c>
      <c r="L95" s="125">
        <f>GU!K3*GU!$B$5+GU!K6*GU!$B$8+GU!K9*GU!$B$11+GU!K12*GU!$B$14+GU!K15*GU!$B$17+GU!K18*GU!$B$20</f>
        <v>30.131138065841967</v>
      </c>
      <c r="M95" s="125">
        <f>GU!L3*GU!$B$5+GU!L6*GU!$B$8+GU!L9*GU!$B$11+GU!L12*GU!$B$14+GU!L15*GU!$B$17+GU!L18*GU!$B$20</f>
        <v>28.53136230208743</v>
      </c>
      <c r="N95" s="125">
        <f>GU!M3*GU!$B$5+GU!M6*GU!$B$8+GU!M9*GU!$B$11+GU!M12*GU!$B$14+GU!M15*GU!$B$17+GU!M18*GU!$B$20</f>
        <v>29.548121151792955</v>
      </c>
      <c r="O95" s="125">
        <f>GU!N3*GU!$B$5+GU!N6*GU!$B$8+GU!N9*GU!$B$11+GU!N12*GU!$B$14+GU!N15*GU!$B$17+GU!N18*GU!$B$20</f>
        <v>20.719070516679913</v>
      </c>
      <c r="P95" s="125">
        <f>GU!O3*GU!$B$5+GU!O6*GU!$B$8+GU!O9*GU!$B$11+GU!O12*GU!$B$14+GU!O15*GU!$B$17+GU!O18*GU!$B$20</f>
        <v>26.443816511601145</v>
      </c>
      <c r="Q95" s="125">
        <f>GU!P3*GU!$B$5+GU!P6*GU!$B$8+GU!P9*GU!$B$11+GU!P12*GU!$B$14+GU!P15*GU!$B$17+GU!P18*GU!$B$20</f>
        <v>22.043825074321742</v>
      </c>
      <c r="R95" s="125">
        <f>GU!Q3*GU!$B$5+GU!Q6*GU!$B$8+GU!Q9*GU!$B$11+GU!Q12*GU!$B$14+GU!Q15*GU!$B$17+GU!Q18*GU!$B$20</f>
        <v>20.876199115363928</v>
      </c>
      <c r="S95" s="125">
        <f>GU!R3*GU!$B$5+GU!R6*GU!$B$8+GU!R9*GU!$B$11+GU!R12*GU!$B$14+GU!R15*GU!$B$17+GU!R18*GU!$B$20</f>
        <v>17.382065916893445</v>
      </c>
      <c r="T95" s="125">
        <f>GU!S3*GU!$B$5+GU!S6*GU!$B$8+GU!S9*GU!$B$11+GU!S12*GU!$B$14+GU!S15*GU!$B$17+GU!S18*GU!$B$20</f>
        <v>19.837757851613404</v>
      </c>
      <c r="U95" s="125">
        <f>GU!T3*GU!$B$5+GU!T6*GU!$B$8+GU!T9*GU!$B$11+GU!T12*GU!$B$14+GU!T15*GU!$B$17+GU!T18*GU!$B$20</f>
        <v>20.312531273999028</v>
      </c>
      <c r="V95" s="125">
        <f>GU!U3*GU!$B$5+GU!U6*GU!$B$8+GU!U9*GU!$B$11+GU!U12*GU!$B$14+GU!U15*GU!$B$17+GU!U18*GU!$B$20</f>
        <v>20.224043584247806</v>
      </c>
      <c r="W95" s="125">
        <f>GU!V3*GU!$B$5+GU!V6*GU!$B$8+GU!V9*GU!$B$11+GU!V12*GU!$B$14+GU!V15*GU!$B$17+GU!V18*GU!$B$20</f>
        <v>21.279412276265475</v>
      </c>
      <c r="X95" s="134">
        <f>GU!W3*GU!$B$5+GU!W6*GU!$B$8+GU!W9*GU!$B$11+GU!W12*GU!$B$14+GU!W15*GU!$B$17+GU!W18*GU!$B$20</f>
        <v>23.938217295090084</v>
      </c>
    </row>
    <row r="96" spans="2:24" ht="15.75" customHeight="1" x14ac:dyDescent="0.2">
      <c r="B96" s="232"/>
      <c r="C96" s="226"/>
      <c r="D96" s="117" t="s">
        <v>179</v>
      </c>
      <c r="E96" s="118">
        <f>F96/(F95+F96+F97)</f>
        <v>0.28708950612868184</v>
      </c>
      <c r="F96" s="119">
        <f t="shared" si="43"/>
        <v>182.93631208975873</v>
      </c>
      <c r="G96" s="119">
        <f>GU!F4*GU!$B$5+GU!F7*GU!$B$8+GU!F10*GU!$B$11+GU!F13*GU!$B$14+GU!F16*GU!$B$17+GU!F19*GU!$B$20</f>
        <v>2.1917888861238435</v>
      </c>
      <c r="H96" s="119">
        <f>GU!G4*GU!$B$5+GU!G7*GU!$B$8+GU!G10*GU!$B$11+GU!G13*GU!$B$14+GU!G16*GU!$B$17+GU!G19*GU!$B$20</f>
        <v>10.254751640965125</v>
      </c>
      <c r="I96" s="119">
        <f>GU!H4*GU!$B$5+GU!H7*GU!$B$8+GU!H10*GU!$B$11+GU!H13*GU!$B$14+GU!H16*GU!$B$17+GU!H19*GU!$B$20</f>
        <v>14.913428218980876</v>
      </c>
      <c r="J96" s="119">
        <f>GU!I4*GU!$B$5+GU!I7*GU!$B$8+GU!I10*GU!$B$11+GU!I13*GU!$B$14+GU!I16*GU!$B$17+GU!I19*GU!$B$20</f>
        <v>10.102626882126124</v>
      </c>
      <c r="K96" s="119">
        <f>GU!J4*GU!$B$5+GU!J7*GU!$B$8+GU!J10*GU!$B$11+GU!J13*GU!$B$14+GU!J16*GU!$B$17+GU!J19*GU!$B$20</f>
        <v>11.066890902912126</v>
      </c>
      <c r="L96" s="119">
        <f>GU!K4*GU!$B$5+GU!K7*GU!$B$8+GU!K10*GU!$B$11+GU!K13*GU!$B$14+GU!K16*GU!$B$17+GU!K19*GU!$B$20</f>
        <v>9.2783098259894636</v>
      </c>
      <c r="M96" s="119">
        <f>GU!L4*GU!$B$5+GU!L7*GU!$B$8+GU!L10*GU!$B$11+GU!L13*GU!$B$14+GU!L16*GU!$B$17+GU!L19*GU!$B$20</f>
        <v>12.578125459911751</v>
      </c>
      <c r="N96" s="119">
        <f>GU!M4*GU!$B$5+GU!M7*GU!$B$8+GU!M10*GU!$B$11+GU!M13*GU!$B$14+GU!M16*GU!$B$17+GU!M19*GU!$B$20</f>
        <v>12.248669433495756</v>
      </c>
      <c r="O96" s="119">
        <f>GU!N4*GU!$B$5+GU!N7*GU!$B$8+GU!N10*GU!$B$11+GU!N13*GU!$B$14+GU!N16*GU!$B$17+GU!N19*GU!$B$20</f>
        <v>10.694008503851885</v>
      </c>
      <c r="P96" s="119">
        <f>GU!O4*GU!$B$5+GU!O7*GU!$B$8+GU!O10*GU!$B$11+GU!O13*GU!$B$14+GU!O16*GU!$B$17+GU!O19*GU!$B$20</f>
        <v>14.572423223168579</v>
      </c>
      <c r="Q96" s="119">
        <f>GU!P4*GU!$B$5+GU!P7*GU!$B$8+GU!P10*GU!$B$11+GU!P13*GU!$B$14+GU!P16*GU!$B$17+GU!P19*GU!$B$20</f>
        <v>8.6099386427552691</v>
      </c>
      <c r="R96" s="119">
        <f>GU!Q4*GU!$B$5+GU!Q7*GU!$B$8+GU!Q10*GU!$B$11+GU!Q13*GU!$B$14+GU!Q16*GU!$B$17+GU!Q19*GU!$B$20</f>
        <v>10.18987297739174</v>
      </c>
      <c r="S96" s="119">
        <f>GU!R4*GU!$B$5+GU!R7*GU!$B$8+GU!R10*GU!$B$11+GU!R13*GU!$B$14+GU!R16*GU!$B$17+GU!R19*GU!$B$20</f>
        <v>9.3009956838536532</v>
      </c>
      <c r="T96" s="119">
        <f>GU!S4*GU!$B$5+GU!S7*GU!$B$8+GU!S10*GU!$B$11+GU!S13*GU!$B$14+GU!S16*GU!$B$17+GU!S19*GU!$B$20</f>
        <v>10.116704529946778</v>
      </c>
      <c r="U96" s="119">
        <f>GU!T4*GU!$B$5+GU!T7*GU!$B$8+GU!T10*GU!$B$11+GU!T13*GU!$B$14+GU!T16*GU!$B$17+GU!T19*GU!$B$20</f>
        <v>6.8939105677351336</v>
      </c>
      <c r="V96" s="119">
        <f>GU!U4*GU!$B$5+GU!U7*GU!$B$8+GU!U10*GU!$B$11+GU!U13*GU!$B$14+GU!U16*GU!$B$17+GU!U19*GU!$B$20</f>
        <v>10.068263614056775</v>
      </c>
      <c r="W96" s="119">
        <f>GU!V4*GU!$B$5+GU!V7*GU!$B$8+GU!V10*GU!$B$11+GU!V13*GU!$B$14+GU!V16*GU!$B$17+GU!V19*GU!$B$20</f>
        <v>8.5662286299914641</v>
      </c>
      <c r="X96" s="132">
        <f>GU!W4*GU!$B$5+GU!W7*GU!$B$8+GU!W10*GU!$B$11+GU!W13*GU!$B$14+GU!W16*GU!$B$17+GU!W19*GU!$B$20</f>
        <v>11.28937446650237</v>
      </c>
    </row>
    <row r="97" spans="2:24" ht="15.75" customHeight="1" thickBot="1" x14ac:dyDescent="0.25">
      <c r="B97" s="232"/>
      <c r="C97" s="227"/>
      <c r="D97" s="120" t="s">
        <v>0</v>
      </c>
      <c r="E97" s="121">
        <f>F97/(F95+F96+F97)</f>
        <v>3.5045220463594158E-2</v>
      </c>
      <c r="F97" s="122">
        <f t="shared" si="43"/>
        <v>22.331165894683885</v>
      </c>
      <c r="G97" s="122">
        <f>GU!F5*GU!$B$5+GU!F8*GU!$B$8+GU!F11*GU!$B$11+GU!F14*GU!$B$14+GU!F17*GU!$B$17+GU!F20*GU!$B$20</f>
        <v>0.47784797424761782</v>
      </c>
      <c r="H97" s="122">
        <f>GU!G5*GU!$B$5+GU!G8*GU!$B$8+GU!G11*GU!$B$11+GU!G14*GU!$B$14+GU!G17*GU!$B$17+GU!G20*GU!$B$20</f>
        <v>1.5693192369545614</v>
      </c>
      <c r="I97" s="122">
        <f>GU!H5*GU!$B$5+GU!H8*GU!$B$8+GU!H11*GU!$B$11+GU!H14*GU!$B$14+GU!H17*GU!$B$17+GU!H20*GU!$B$20</f>
        <v>0.47784797424761782</v>
      </c>
      <c r="J97" s="122">
        <f>GU!I5*GU!$B$5+GU!I8*GU!$B$8+GU!I11*GU!$B$11+GU!I14*GU!$B$14+GU!I17*GU!$B$17+GU!I20*GU!$B$20</f>
        <v>0</v>
      </c>
      <c r="K97" s="122">
        <f>GU!J5*GU!$B$5+GU!J8*GU!$B$8+GU!J11*GU!$B$11+GU!J14*GU!$B$14+GU!J17*GU!$B$17+GU!J20*GU!$B$20</f>
        <v>0.90412161203918517</v>
      </c>
      <c r="L97" s="122">
        <f>GU!K5*GU!$B$5+GU!K8*GU!$B$8+GU!K11*GU!$B$11+GU!K14*GU!$B$14+GU!K17*GU!$B$17+GU!K20*GU!$B$20</f>
        <v>1.3046080816027272</v>
      </c>
      <c r="M97" s="122">
        <f>GU!L5*GU!$B$5+GU!L8*GU!$B$8+GU!L11*GU!$B$11+GU!L14*GU!$B$14+GU!L17*GU!$B$17+GU!L20*GU!$B$20</f>
        <v>1.1430455991629942</v>
      </c>
      <c r="N97" s="122">
        <f>GU!M5*GU!$B$5+GU!M8*GU!$B$8+GU!M11*GU!$B$11+GU!M14*GU!$B$14+GU!M17*GU!$B$17+GU!M20*GU!$B$20</f>
        <v>2.8938409956303373</v>
      </c>
      <c r="O97" s="122">
        <f>GU!N5*GU!$B$5+GU!N8*GU!$B$8+GU!N11*GU!$B$11+GU!N14*GU!$B$14+GU!N17*GU!$B$17+GU!N20*GU!$B$20</f>
        <v>1.5845528520549192</v>
      </c>
      <c r="P97" s="122">
        <f>GU!O5*GU!$B$5+GU!O8*GU!$B$8+GU!O11*GU!$B$11+GU!O14*GU!$B$14+GU!O17*GU!$B$17+GU!O20*GU!$B$20</f>
        <v>0.42627363779156735</v>
      </c>
      <c r="Q97" s="122">
        <f>GU!P5*GU!$B$5+GU!P8*GU!$B$8+GU!P11*GU!$B$11+GU!P14*GU!$B$14+GU!P17*GU!$B$17+GU!P20*GU!$B$20</f>
        <v>2.3118783665540135</v>
      </c>
      <c r="R97" s="122">
        <f>GU!Q5*GU!$B$5+GU!Q8*GU!$B$8+GU!Q11*GU!$B$11+GU!Q14*GU!$B$14+GU!Q17*GU!$B$17+GU!Q20*GU!$B$20</f>
        <v>2.0366136580745118</v>
      </c>
      <c r="S97" s="122">
        <f>GU!R5*GU!$B$5+GU!R8*GU!$B$8+GU!R11*GU!$B$11+GU!R14*GU!$B$14+GU!R17*GU!$B$17+GU!R20*GU!$B$20</f>
        <v>0.92990878026721036</v>
      </c>
      <c r="T97" s="122">
        <f>GU!S5*GU!$B$5+GU!S8*GU!$B$8+GU!S11*GU!$B$11+GU!S14*GU!$B$14+GU!S17*GU!$B$17+GU!S20*GU!$B$20</f>
        <v>0.23892398712380891</v>
      </c>
      <c r="U97" s="122">
        <f>GU!T5*GU!$B$5+GU!T8*GU!$B$8+GU!T11*GU!$B$11+GU!T14*GU!$B$14+GU!T17*GU!$B$17+GU!T20*GU!$B$20</f>
        <v>2.6281638583618978</v>
      </c>
      <c r="V97" s="122">
        <f>GU!U5*GU!$B$5+GU!U8*GU!$B$8+GU!U11*GU!$B$11+GU!U14*GU!$B$14+GU!U17*GU!$B$17+GU!U20*GU!$B$20</f>
        <v>1.6724679098666624</v>
      </c>
      <c r="W97" s="122">
        <f>GU!V5*GU!$B$5+GU!V8*GU!$B$8+GU!V11*GU!$B$11+GU!V14*GU!$B$14+GU!V17*GU!$B$17+GU!V20*GU!$B$20</f>
        <v>0.23892398712380891</v>
      </c>
      <c r="X97" s="133">
        <f>GU!W5*GU!$B$5+GU!W8*GU!$B$8+GU!W11*GU!$B$11+GU!W14*GU!$B$14+GU!W17*GU!$B$17+GU!W20*GU!$B$20</f>
        <v>1.4928273835804482</v>
      </c>
    </row>
    <row r="98" spans="2:24" ht="15.75" customHeight="1" x14ac:dyDescent="0.2">
      <c r="B98" s="232"/>
      <c r="C98" s="228" t="s">
        <v>111</v>
      </c>
      <c r="D98" s="123" t="s">
        <v>178</v>
      </c>
      <c r="E98" s="124">
        <f>F98/(F98+F99+F100)</f>
        <v>0.68371641307866626</v>
      </c>
      <c r="F98" s="126">
        <f t="shared" si="43"/>
        <v>2112</v>
      </c>
      <c r="G98" s="126">
        <f>SUMIF(GU!$C$3:$C$20,"PSUV",GU!F$3:F$20)</f>
        <v>96</v>
      </c>
      <c r="H98" s="126">
        <f>SUMIF(GU!$C$3:$C$20,"PSUV",GU!G$3:G$20)</f>
        <v>150</v>
      </c>
      <c r="I98" s="126">
        <f>SUMIF(GU!$C$3:$C$20,"PSUV",GU!H$3:H$20)</f>
        <v>129</v>
      </c>
      <c r="J98" s="126">
        <f>SUMIF(GU!$C$3:$C$20,"PSUV",GU!I$3:I$20)</f>
        <v>119</v>
      </c>
      <c r="K98" s="126">
        <f>SUMIF(GU!$C$3:$C$20,"PSUV",GU!J$3:J$20)</f>
        <v>151</v>
      </c>
      <c r="L98" s="126">
        <f>SUMIF(GU!$C$3:$C$20,"PSUV",GU!K$3:K$20)</f>
        <v>143</v>
      </c>
      <c r="M98" s="126">
        <f>SUMIF(GU!$C$3:$C$20,"PSUV",GU!L$3:L$20)</f>
        <v>138</v>
      </c>
      <c r="N98" s="126">
        <f>SUMIF(GU!$C$3:$C$20,"PSUV",GU!M$3:M$20)</f>
        <v>143</v>
      </c>
      <c r="O98" s="126">
        <f>SUMIF(GU!$C$3:$C$20,"PSUV",GU!N$3:N$20)</f>
        <v>100</v>
      </c>
      <c r="P98" s="126">
        <f>SUMIF(GU!$C$3:$C$20,"PSUV",GU!O$3:O$20)</f>
        <v>125</v>
      </c>
      <c r="Q98" s="126">
        <f>SUMIF(GU!$C$3:$C$20,"PSUV",GU!P$3:P$20)</f>
        <v>98</v>
      </c>
      <c r="R98" s="126">
        <f>SUMIF(GU!$C$3:$C$20,"PSUV",GU!Q$3:Q$20)</f>
        <v>102</v>
      </c>
      <c r="S98" s="126">
        <f>SUMIF(GU!$C$3:$C$20,"PSUV",GU!R$3:R$20)</f>
        <v>88</v>
      </c>
      <c r="T98" s="126">
        <f>SUMIF(GU!$C$3:$C$20,"PSUV",GU!S$3:S$20)</f>
        <v>103</v>
      </c>
      <c r="U98" s="126">
        <f>SUMIF(GU!$C$3:$C$20,"PSUV",GU!T$3:T$20)</f>
        <v>100</v>
      </c>
      <c r="V98" s="126">
        <f>SUMIF(GU!$C$3:$C$20,"PSUV",GU!U$3:U$20)</f>
        <v>98</v>
      </c>
      <c r="W98" s="126">
        <f>SUMIF(GU!$C$3:$C$20,"PSUV",GU!V$3:V$20)</f>
        <v>109</v>
      </c>
      <c r="X98" s="135">
        <f>SUMIF(GU!$C$3:$C$20,"PSUV",GU!W$3:W$20)</f>
        <v>120</v>
      </c>
    </row>
    <row r="99" spans="2:24" ht="15.75" customHeight="1" x14ac:dyDescent="0.2">
      <c r="B99" s="232"/>
      <c r="C99" s="226"/>
      <c r="D99" s="117" t="s">
        <v>179</v>
      </c>
      <c r="E99" s="118">
        <f>F99/(F98+F99+F100)</f>
        <v>0.28455810942052445</v>
      </c>
      <c r="F99" s="127">
        <f t="shared" si="43"/>
        <v>879</v>
      </c>
      <c r="G99" s="127">
        <f>SUMIF(GU!$C$3:$C$20,"MUD",GU!F$3:F$20)</f>
        <v>10</v>
      </c>
      <c r="H99" s="127">
        <f>SUMIF(GU!$C$3:$C$20,"MUD",GU!G$3:G$20)</f>
        <v>48</v>
      </c>
      <c r="I99" s="127">
        <f>SUMIF(GU!$C$3:$C$20,"MUD",GU!H$3:H$20)</f>
        <v>70</v>
      </c>
      <c r="J99" s="127">
        <f>SUMIF(GU!$C$3:$C$20,"MUD",GU!I$3:I$20)</f>
        <v>47</v>
      </c>
      <c r="K99" s="127">
        <f>SUMIF(GU!$C$3:$C$20,"MUD",GU!J$3:J$20)</f>
        <v>50</v>
      </c>
      <c r="L99" s="127">
        <f>SUMIF(GU!$C$3:$C$20,"MUD",GU!K$3:K$20)</f>
        <v>43</v>
      </c>
      <c r="M99" s="127">
        <f>SUMIF(GU!$C$3:$C$20,"MUD",GU!L$3:L$20)</f>
        <v>59</v>
      </c>
      <c r="N99" s="127">
        <f>SUMIF(GU!$C$3:$C$20,"MUD",GU!M$3:M$20)</f>
        <v>58</v>
      </c>
      <c r="O99" s="127">
        <f>SUMIF(GU!$C$3:$C$20,"MUD",GU!N$3:N$20)</f>
        <v>52</v>
      </c>
      <c r="P99" s="127">
        <f>SUMIF(GU!$C$3:$C$20,"MUD",GU!O$3:O$20)</f>
        <v>69</v>
      </c>
      <c r="Q99" s="127">
        <f>SUMIF(GU!$C$3:$C$20,"MUD",GU!P$3:P$20)</f>
        <v>38</v>
      </c>
      <c r="R99" s="127">
        <f>SUMIF(GU!$C$3:$C$20,"MUD",GU!Q$3:Q$20)</f>
        <v>49</v>
      </c>
      <c r="S99" s="127">
        <f>SUMIF(GU!$C$3:$C$20,"MUD",GU!R$3:R$20)</f>
        <v>47</v>
      </c>
      <c r="T99" s="127">
        <f>SUMIF(GU!$C$3:$C$20,"MUD",GU!S$3:S$20)</f>
        <v>51</v>
      </c>
      <c r="U99" s="127">
        <f>SUMIF(GU!$C$3:$C$20,"MUD",GU!T$3:T$20)</f>
        <v>35</v>
      </c>
      <c r="V99" s="127">
        <f>SUMIF(GU!$C$3:$C$20,"MUD",GU!U$3:U$20)</f>
        <v>53</v>
      </c>
      <c r="W99" s="127">
        <f>SUMIF(GU!$C$3:$C$20,"MUD",GU!V$3:V$20)</f>
        <v>42</v>
      </c>
      <c r="X99" s="136">
        <f>SUMIF(GU!$C$3:$C$20,"MUD",GU!W$3:W$20)</f>
        <v>58</v>
      </c>
    </row>
    <row r="100" spans="2:24" ht="15.75" customHeight="1" thickBot="1" x14ac:dyDescent="0.25">
      <c r="B100" s="233"/>
      <c r="C100" s="229"/>
      <c r="D100" s="137" t="s">
        <v>0</v>
      </c>
      <c r="E100" s="138">
        <f>F100/(F98+F99+F100)</f>
        <v>3.1725477500809326E-2</v>
      </c>
      <c r="F100" s="139">
        <f t="shared" si="43"/>
        <v>98</v>
      </c>
      <c r="G100" s="139">
        <f>SUMIF(GU!$C$3:$C$20,"Otro",GU!F$3:F$20)</f>
        <v>2</v>
      </c>
      <c r="H100" s="139">
        <f>SUMIF(GU!$C$3:$C$20,"Otro",GU!G$3:G$20)</f>
        <v>7</v>
      </c>
      <c r="I100" s="139">
        <f>SUMIF(GU!$C$3:$C$20,"Otro",GU!H$3:H$20)</f>
        <v>2</v>
      </c>
      <c r="J100" s="139">
        <f>SUMIF(GU!$C$3:$C$20,"Otro",GU!I$3:I$20)</f>
        <v>0</v>
      </c>
      <c r="K100" s="139">
        <f>SUMIF(GU!$C$3:$C$20,"Otro",GU!J$3:J$20)</f>
        <v>4</v>
      </c>
      <c r="L100" s="139">
        <f>SUMIF(GU!$C$3:$C$20,"Otro",GU!K$3:K$20)</f>
        <v>6</v>
      </c>
      <c r="M100" s="139">
        <f>SUMIF(GU!$C$3:$C$20,"Otro",GU!L$3:L$20)</f>
        <v>5</v>
      </c>
      <c r="N100" s="139">
        <f>SUMIF(GU!$C$3:$C$20,"Otro",GU!M$3:M$20)</f>
        <v>13</v>
      </c>
      <c r="O100" s="139">
        <f>SUMIF(GU!$C$3:$C$20,"Otro",GU!N$3:N$20)</f>
        <v>7</v>
      </c>
      <c r="P100" s="139">
        <f>SUMIF(GU!$C$3:$C$20,"Otro",GU!O$3:O$20)</f>
        <v>2</v>
      </c>
      <c r="Q100" s="139">
        <f>SUMIF(GU!$C$3:$C$20,"Otro",GU!P$3:P$20)</f>
        <v>10</v>
      </c>
      <c r="R100" s="139">
        <f>SUMIF(GU!$C$3:$C$20,"Otro",GU!Q$3:Q$20)</f>
        <v>9</v>
      </c>
      <c r="S100" s="139">
        <f>SUMIF(GU!$C$3:$C$20,"Otro",GU!R$3:R$20)</f>
        <v>4</v>
      </c>
      <c r="T100" s="139">
        <f>SUMIF(GU!$C$3:$C$20,"Otro",GU!S$3:S$20)</f>
        <v>1</v>
      </c>
      <c r="U100" s="139">
        <f>SUMIF(GU!$C$3:$C$20,"Otro",GU!T$3:T$20)</f>
        <v>11</v>
      </c>
      <c r="V100" s="139">
        <f>SUMIF(GU!$C$3:$C$20,"Otro",GU!U$3:U$20)</f>
        <v>7</v>
      </c>
      <c r="W100" s="139">
        <f>SUMIF(GU!$C$3:$C$20,"Otro",GU!V$3:V$20)</f>
        <v>1</v>
      </c>
      <c r="X100" s="140">
        <f>SUMIF(GU!$C$3:$C$20,"Otro",GU!W$3:W$20)</f>
        <v>7</v>
      </c>
    </row>
    <row r="101" spans="2:24" ht="15.75" customHeight="1" x14ac:dyDescent="0.2">
      <c r="B101" s="214" t="s">
        <v>46</v>
      </c>
      <c r="C101" s="217" t="s">
        <v>231</v>
      </c>
      <c r="D101" s="141" t="s">
        <v>183</v>
      </c>
      <c r="E101" s="142"/>
      <c r="F101" s="143"/>
      <c r="G101" s="143">
        <f>IF(SUM(G104:G106)=0,1,G104)</f>
        <v>4.2977436121304722</v>
      </c>
      <c r="H101" s="143">
        <f t="shared" ref="H101:X101" si="44">IF(SUM(H104:H106)=0,0,G101+H104)</f>
        <v>29.143646064963235</v>
      </c>
      <c r="I101" s="143">
        <f t="shared" si="44"/>
        <v>61.437335443297002</v>
      </c>
      <c r="J101" s="143">
        <f t="shared" si="44"/>
        <v>97.640053101510176</v>
      </c>
      <c r="K101" s="143">
        <f t="shared" si="44"/>
        <v>145.43199886089246</v>
      </c>
      <c r="L101" s="143">
        <f t="shared" si="44"/>
        <v>184.02910266291968</v>
      </c>
      <c r="M101" s="143">
        <f t="shared" si="44"/>
        <v>223.47852492394583</v>
      </c>
      <c r="N101" s="143">
        <f t="shared" si="44"/>
        <v>282.01526796311202</v>
      </c>
      <c r="O101" s="143">
        <f t="shared" si="44"/>
        <v>339.32221055072785</v>
      </c>
      <c r="P101" s="143">
        <f t="shared" si="44"/>
        <v>393.33763283903801</v>
      </c>
      <c r="Q101" s="143">
        <f t="shared" si="44"/>
        <v>451.27534940589067</v>
      </c>
      <c r="R101" s="143">
        <f t="shared" si="44"/>
        <v>503.75587288378381</v>
      </c>
      <c r="S101" s="143">
        <f t="shared" si="44"/>
        <v>544.72205690763008</v>
      </c>
      <c r="T101" s="143">
        <f t="shared" si="44"/>
        <v>587.59939224861205</v>
      </c>
      <c r="U101" s="143">
        <f t="shared" si="44"/>
        <v>631.32120104224941</v>
      </c>
      <c r="V101" s="143">
        <f t="shared" si="44"/>
        <v>679.0380032195136</v>
      </c>
      <c r="W101" s="143">
        <f t="shared" si="44"/>
        <v>709.78903319100175</v>
      </c>
      <c r="X101" s="144">
        <f t="shared" si="44"/>
        <v>737.87067036819781</v>
      </c>
    </row>
    <row r="102" spans="2:24" ht="15.75" customHeight="1" x14ac:dyDescent="0.2">
      <c r="B102" s="215"/>
      <c r="C102" s="218"/>
      <c r="D102" s="145" t="s">
        <v>184</v>
      </c>
      <c r="E102" s="146"/>
      <c r="F102" s="147"/>
      <c r="G102" s="147">
        <f>IF(SUM(G104:G106)=0,1,G105)</f>
        <v>10.470727664624913</v>
      </c>
      <c r="H102" s="147">
        <f t="shared" ref="H102:X102" si="45">IF(SUM(H104:H106)=0,0,G102+H105)</f>
        <v>50.244806658663364</v>
      </c>
      <c r="I102" s="147">
        <f t="shared" si="45"/>
        <v>109.9185077691227</v>
      </c>
      <c r="J102" s="147">
        <f t="shared" si="45"/>
        <v>168.07407438986127</v>
      </c>
      <c r="K102" s="147">
        <f t="shared" si="45"/>
        <v>258.93102601530632</v>
      </c>
      <c r="L102" s="147">
        <f t="shared" si="45"/>
        <v>357.07253966413379</v>
      </c>
      <c r="M102" s="147">
        <f t="shared" si="45"/>
        <v>439.23321180579239</v>
      </c>
      <c r="N102" s="147">
        <f t="shared" si="45"/>
        <v>500.77217337626018</v>
      </c>
      <c r="O102" s="147">
        <f t="shared" si="45"/>
        <v>592.10915310423854</v>
      </c>
      <c r="P102" s="147">
        <f t="shared" si="45"/>
        <v>679.91698071702376</v>
      </c>
      <c r="Q102" s="147">
        <f t="shared" si="45"/>
        <v>765.28950725072639</v>
      </c>
      <c r="R102" s="147">
        <f t="shared" si="45"/>
        <v>842.57658196117484</v>
      </c>
      <c r="S102" s="147">
        <f t="shared" si="45"/>
        <v>908.70820174481264</v>
      </c>
      <c r="T102" s="147">
        <f t="shared" si="45"/>
        <v>962.06008365960463</v>
      </c>
      <c r="U102" s="147">
        <f t="shared" si="45"/>
        <v>1020.1867411633903</v>
      </c>
      <c r="V102" s="147">
        <f t="shared" si="45"/>
        <v>1072.3520788712603</v>
      </c>
      <c r="W102" s="147">
        <f t="shared" si="45"/>
        <v>1122.0536002960314</v>
      </c>
      <c r="X102" s="148">
        <f t="shared" si="45"/>
        <v>1152.5154777089613</v>
      </c>
    </row>
    <row r="103" spans="2:24" ht="15.75" customHeight="1" thickBot="1" x14ac:dyDescent="0.25">
      <c r="B103" s="215"/>
      <c r="C103" s="219"/>
      <c r="D103" s="149" t="s">
        <v>0</v>
      </c>
      <c r="E103" s="150"/>
      <c r="F103" s="151"/>
      <c r="G103" s="151">
        <f>IF(SUM(G104:G106)=0,1,G106)</f>
        <v>1.7403789749396341</v>
      </c>
      <c r="H103" s="151">
        <f t="shared" ref="H103:X103" si="46">IF(SUM(H104:H106)=0,0,G103+H106)</f>
        <v>2.9006316248993902</v>
      </c>
      <c r="I103" s="151">
        <f t="shared" si="46"/>
        <v>4.9898980942116964</v>
      </c>
      <c r="J103" s="151">
        <f t="shared" si="46"/>
        <v>7.3104033941312085</v>
      </c>
      <c r="K103" s="151">
        <f t="shared" si="46"/>
        <v>12.53154031895011</v>
      </c>
      <c r="L103" s="151">
        <f t="shared" si="46"/>
        <v>16.592424593809255</v>
      </c>
      <c r="M103" s="151">
        <f t="shared" si="46"/>
        <v>18.369737596005617</v>
      </c>
      <c r="N103" s="151">
        <f t="shared" si="46"/>
        <v>20.864686643111465</v>
      </c>
      <c r="O103" s="151">
        <f t="shared" si="46"/>
        <v>22.6050656180511</v>
      </c>
      <c r="P103" s="151">
        <f t="shared" si="46"/>
        <v>23.259059997544437</v>
      </c>
      <c r="Q103" s="151">
        <f t="shared" si="46"/>
        <v>24.419312647504192</v>
      </c>
      <c r="R103" s="151">
        <f t="shared" si="46"/>
        <v>27.319944272403582</v>
      </c>
      <c r="S103" s="151">
        <f t="shared" si="46"/>
        <v>31.38082854726273</v>
      </c>
      <c r="T103" s="151">
        <f t="shared" si="46"/>
        <v>31.38082854726273</v>
      </c>
      <c r="U103" s="151">
        <f t="shared" si="46"/>
        <v>31.38082854726273</v>
      </c>
      <c r="V103" s="151">
        <f t="shared" si="46"/>
        <v>178.73291509215176</v>
      </c>
      <c r="W103" s="151">
        <f t="shared" si="46"/>
        <v>178.73291509215176</v>
      </c>
      <c r="X103" s="152">
        <f t="shared" si="46"/>
        <v>178.73291509215176</v>
      </c>
    </row>
    <row r="104" spans="2:24" ht="15.75" customHeight="1" x14ac:dyDescent="0.2">
      <c r="B104" s="215"/>
      <c r="C104" s="220" t="s">
        <v>232</v>
      </c>
      <c r="D104" s="153" t="s">
        <v>183</v>
      </c>
      <c r="E104" s="154">
        <f>F104/(F104+F105+F106)</f>
        <v>0.35661102519542143</v>
      </c>
      <c r="F104" s="155">
        <f t="shared" ref="F104:F109" si="47">IF(SUM(G104:X104)=0,1,SUM(G104:X104))</f>
        <v>737.87067036819781</v>
      </c>
      <c r="G104" s="155">
        <f>LA!F3*LA!$B$5+LA!F6*LA!$B$8+LA!F9*LA!$B$11+LA!F12*LA!$B$14+LA!F15*LA!$B$17+LA!F18*LA!$B$20+LA!F21*LA!$B$23+LA!F24*LA!$B$26</f>
        <v>4.2977436121304722</v>
      </c>
      <c r="H104" s="155">
        <f>LA!G3*LA!$B$5+LA!G6*LA!$B$8+LA!G9*LA!$B$11+LA!G12*LA!$B$14+LA!G15*LA!$B$17+LA!G18*LA!$B$20+LA!G21*LA!$B$23+LA!G24*LA!$B$26</f>
        <v>24.845902452832764</v>
      </c>
      <c r="I104" s="155">
        <f>LA!H3*LA!$B$5+LA!H6*LA!$B$8+LA!H9*LA!$B$11+LA!H12*LA!$B$14+LA!H15*LA!$B$17+LA!H18*LA!$B$20+LA!H21*LA!$B$23+LA!H24*LA!$B$26</f>
        <v>32.293689378333767</v>
      </c>
      <c r="J104" s="155">
        <f>LA!I3*LA!$B$5+LA!I6*LA!$B$8+LA!I9*LA!$B$11+LA!I12*LA!$B$14+LA!I15*LA!$B$17+LA!I18*LA!$B$20+LA!I21*LA!$B$23+LA!I24*LA!$B$26</f>
        <v>36.202717658213174</v>
      </c>
      <c r="K104" s="155">
        <f>LA!J3*LA!$B$5+LA!J6*LA!$B$8+LA!J9*LA!$B$11+LA!J12*LA!$B$14+LA!J15*LA!$B$17+LA!J18*LA!$B$20+LA!J21*LA!$B$23+LA!J24*LA!$B$26</f>
        <v>47.791945759382294</v>
      </c>
      <c r="L104" s="155">
        <f>LA!K3*LA!$B$5+LA!K6*LA!$B$8+LA!K9*LA!$B$11+LA!K12*LA!$B$14+LA!K15*LA!$B$17+LA!K18*LA!$B$20+LA!K21*LA!$B$23+LA!K24*LA!$B$26</f>
        <v>38.597103802027206</v>
      </c>
      <c r="M104" s="155">
        <f>LA!L3*LA!$B$5+LA!L6*LA!$B$8+LA!L9*LA!$B$11+LA!L12*LA!$B$14+LA!L15*LA!$B$17+LA!L18*LA!$B$20+LA!L21*LA!$B$23+LA!L24*LA!$B$26</f>
        <v>39.44942226102615</v>
      </c>
      <c r="N104" s="155">
        <f>LA!M3*LA!$B$5+LA!M6*LA!$B$8+LA!M9*LA!$B$11+LA!M12*LA!$B$14+LA!M15*LA!$B$17+LA!M18*LA!$B$20+LA!M21*LA!$B$23+LA!M24*LA!$B$26</f>
        <v>58.536743039166204</v>
      </c>
      <c r="O104" s="155">
        <f>LA!N3*LA!$B$5+LA!N6*LA!$B$8+LA!N9*LA!$B$11+LA!N12*LA!$B$14+LA!N15*LA!$B$17+LA!N18*LA!$B$20+LA!N21*LA!$B$23+LA!N24*LA!$B$26</f>
        <v>57.306942587615794</v>
      </c>
      <c r="P104" s="155">
        <f>LA!O3*LA!$B$5+LA!O6*LA!$B$8+LA!O9*LA!$B$11+LA!O12*LA!$B$14+LA!O15*LA!$B$17+LA!O18*LA!$B$20+LA!O21*LA!$B$23+LA!O24*LA!$B$26</f>
        <v>54.01542228831017</v>
      </c>
      <c r="Q104" s="155">
        <f>LA!P3*LA!$B$5+LA!P6*LA!$B$8+LA!P9*LA!$B$11+LA!P12*LA!$B$14+LA!P15*LA!$B$17+LA!P18*LA!$B$20+LA!P21*LA!$B$23+LA!P24*LA!$B$26</f>
        <v>57.937716566852657</v>
      </c>
      <c r="R104" s="155">
        <f>LA!Q3*LA!$B$5+LA!Q6*LA!$B$8+LA!Q9*LA!$B$11+LA!Q12*LA!$B$14+LA!Q15*LA!$B$17+LA!Q18*LA!$B$20+LA!Q21*LA!$B$23+LA!Q24*LA!$B$26</f>
        <v>52.480523477893129</v>
      </c>
      <c r="S104" s="155">
        <f>LA!R3*LA!$B$5+LA!R6*LA!$B$8+LA!R9*LA!$B$11+LA!R12*LA!$B$14+LA!R15*LA!$B$17+LA!R18*LA!$B$20+LA!R21*LA!$B$23+LA!R24*LA!$B$26</f>
        <v>40.966184023846232</v>
      </c>
      <c r="T104" s="155">
        <f>LA!S3*LA!$B$5+LA!S6*LA!$B$8+LA!S9*LA!$B$11+LA!S12*LA!$B$14+LA!S15*LA!$B$17+LA!S18*LA!$B$20+LA!S21*LA!$B$23+LA!S24*LA!$B$26</f>
        <v>42.877335340981951</v>
      </c>
      <c r="U104" s="155">
        <f>LA!T3*LA!$B$5+LA!T6*LA!$B$8+LA!T9*LA!$B$11+LA!T12*LA!$B$14+LA!T15*LA!$B$17+LA!T18*LA!$B$20+LA!T21*LA!$B$23+LA!T24*LA!$B$26</f>
        <v>43.721808793637372</v>
      </c>
      <c r="V104" s="155">
        <f>LA!U3*LA!$B$5+LA!U6*LA!$B$8+LA!U9*LA!$B$11+LA!U12*LA!$B$14+LA!U15*LA!$B$17+LA!U18*LA!$B$20+LA!U21*LA!$B$23+LA!U24*LA!$B$26</f>
        <v>47.716802177264235</v>
      </c>
      <c r="W104" s="155">
        <f>LA!V3*LA!$B$5+LA!V6*LA!$B$8+LA!V9*LA!$B$11+LA!V12*LA!$B$14+LA!V15*LA!$B$17+LA!V18*LA!$B$20+LA!V21*LA!$B$23+LA!V24*LA!$B$26</f>
        <v>30.751029971488204</v>
      </c>
      <c r="X104" s="156">
        <f>LA!W3*LA!$B$5+LA!W6*LA!$B$8+LA!W9*LA!$B$11+LA!W12*LA!$B$14+LA!W15*LA!$B$17+LA!W18*LA!$B$20+LA!W21*LA!$B$23+LA!W24*LA!$B$26</f>
        <v>28.081637177196022</v>
      </c>
    </row>
    <row r="105" spans="2:24" ht="15.75" customHeight="1" x14ac:dyDescent="0.2">
      <c r="B105" s="215"/>
      <c r="C105" s="218"/>
      <c r="D105" s="145" t="s">
        <v>184</v>
      </c>
      <c r="E105" s="146">
        <f>F105/(F104+F105+F106)</f>
        <v>0.55700780985683374</v>
      </c>
      <c r="F105" s="147">
        <f t="shared" si="47"/>
        <v>1152.5154777089613</v>
      </c>
      <c r="G105" s="147">
        <f>LA!F4*LA!$B$5+LA!F7*LA!$B$8+LA!F10*LA!$B$11+LA!F13*LA!$B$14+LA!F16*LA!$B$17+LA!F19*LA!$B$20+LA!F22*LA!$B$23+LA!F25*LA!$B$26</f>
        <v>10.470727664624913</v>
      </c>
      <c r="H105" s="147">
        <f>LA!G4*LA!$B$5+LA!G7*LA!$B$8+LA!G10*LA!$B$11+LA!G13*LA!$B$14+LA!G16*LA!$B$17+LA!G19*LA!$B$20+LA!G22*LA!$B$23+LA!G25*LA!$B$26</f>
        <v>39.774078994038447</v>
      </c>
      <c r="I105" s="147">
        <f>LA!H4*LA!$B$5+LA!H7*LA!$B$8+LA!H10*LA!$B$11+LA!H13*LA!$B$14+LA!H16*LA!$B$17+LA!H19*LA!$B$20+LA!H22*LA!$B$23+LA!H25*LA!$B$26</f>
        <v>59.673701110459326</v>
      </c>
      <c r="J105" s="147">
        <f>LA!I4*LA!$B$5+LA!I7*LA!$B$8+LA!I10*LA!$B$11+LA!I13*LA!$B$14+LA!I16*LA!$B$17+LA!I19*LA!$B$20+LA!I22*LA!$B$23+LA!I25*LA!$B$26</f>
        <v>58.155566620738583</v>
      </c>
      <c r="K105" s="147">
        <f>LA!J4*LA!$B$5+LA!J7*LA!$B$8+LA!J10*LA!$B$11+LA!J13*LA!$B$14+LA!J16*LA!$B$17+LA!J19*LA!$B$20+LA!J22*LA!$B$23+LA!J25*LA!$B$26</f>
        <v>90.856951625445078</v>
      </c>
      <c r="L105" s="147">
        <f>LA!K4*LA!$B$5+LA!K7*LA!$B$8+LA!K10*LA!$B$11+LA!K13*LA!$B$14+LA!K16*LA!$B$17+LA!K19*LA!$B$20+LA!K22*LA!$B$23+LA!K25*LA!$B$26</f>
        <v>98.14151364882747</v>
      </c>
      <c r="M105" s="147">
        <f>LA!L4*LA!$B$5+LA!L7*LA!$B$8+LA!L10*LA!$B$11+LA!L13*LA!$B$14+LA!L16*LA!$B$17+LA!L19*LA!$B$20+LA!L22*LA!$B$23+LA!L25*LA!$B$26</f>
        <v>82.160672141658594</v>
      </c>
      <c r="N105" s="147">
        <f>LA!M4*LA!$B$5+LA!M7*LA!$B$8+LA!M10*LA!$B$11+LA!M13*LA!$B$14+LA!M16*LA!$B$17+LA!M19*LA!$B$20+LA!M22*LA!$B$23+LA!M25*LA!$B$26</f>
        <v>61.538961570467784</v>
      </c>
      <c r="O105" s="147">
        <f>LA!N4*LA!$B$5+LA!N7*LA!$B$8+LA!N10*LA!$B$11+LA!N13*LA!$B$14+LA!N16*LA!$B$17+LA!N19*LA!$B$20+LA!N22*LA!$B$23+LA!N25*LA!$B$26</f>
        <v>91.336979727978388</v>
      </c>
      <c r="P105" s="147">
        <f>LA!O4*LA!$B$5+LA!O7*LA!$B$8+LA!O10*LA!$B$11+LA!O13*LA!$B$14+LA!O16*LA!$B$17+LA!O19*LA!$B$20+LA!O22*LA!$B$23+LA!O25*LA!$B$26</f>
        <v>87.807827612785275</v>
      </c>
      <c r="Q105" s="147">
        <f>LA!P4*LA!$B$5+LA!P7*LA!$B$8+LA!P10*LA!$B$11+LA!P13*LA!$B$14+LA!P16*LA!$B$17+LA!P19*LA!$B$20+LA!P22*LA!$B$23+LA!P25*LA!$B$26</f>
        <v>85.372526533702583</v>
      </c>
      <c r="R105" s="147">
        <f>LA!Q4*LA!$B$5+LA!Q7*LA!$B$8+LA!Q10*LA!$B$11+LA!Q13*LA!$B$14+LA!Q16*LA!$B$17+LA!Q19*LA!$B$20+LA!Q22*LA!$B$23+LA!Q25*LA!$B$26</f>
        <v>77.287074710448408</v>
      </c>
      <c r="S105" s="147">
        <f>LA!R4*LA!$B$5+LA!R7*LA!$B$8+LA!R10*LA!$B$11+LA!R13*LA!$B$14+LA!R16*LA!$B$17+LA!R19*LA!$B$20+LA!R22*LA!$B$23+LA!R25*LA!$B$26</f>
        <v>66.131619783637788</v>
      </c>
      <c r="T105" s="147">
        <f>LA!S4*LA!$B$5+LA!S7*LA!$B$8+LA!S10*LA!$B$11+LA!S13*LA!$B$14+LA!S16*LA!$B$17+LA!S19*LA!$B$20+LA!S22*LA!$B$23+LA!S25*LA!$B$26</f>
        <v>53.351881914792031</v>
      </c>
      <c r="U105" s="147">
        <f>LA!T4*LA!$B$5+LA!T7*LA!$B$8+LA!T10*LA!$B$11+LA!T13*LA!$B$14+LA!T16*LA!$B$17+LA!T19*LA!$B$20+LA!T22*LA!$B$23+LA!T25*LA!$B$26</f>
        <v>58.126657503785658</v>
      </c>
      <c r="V105" s="147">
        <f>LA!U4*LA!$B$5+LA!U7*LA!$B$8+LA!U10*LA!$B$11+LA!U13*LA!$B$14+LA!U16*LA!$B$17+LA!U19*LA!$B$20+LA!U22*LA!$B$23+LA!U25*LA!$B$26</f>
        <v>52.16533770787008</v>
      </c>
      <c r="W105" s="147">
        <f>LA!V4*LA!$B$5+LA!V7*LA!$B$8+LA!V10*LA!$B$11+LA!V13*LA!$B$14+LA!V16*LA!$B$17+LA!V19*LA!$B$20+LA!V22*LA!$B$23+LA!V25*LA!$B$26</f>
        <v>49.701521424771151</v>
      </c>
      <c r="X105" s="148">
        <f>LA!W4*LA!$B$5+LA!W7*LA!$B$8+LA!W10*LA!$B$11+LA!W13*LA!$B$14+LA!W16*LA!$B$17+LA!W19*LA!$B$20+LA!W22*LA!$B$23+LA!W25*LA!$B$26</f>
        <v>30.461877412929894</v>
      </c>
    </row>
    <row r="106" spans="2:24" ht="15.75" customHeight="1" thickBot="1" x14ac:dyDescent="0.25">
      <c r="B106" s="215"/>
      <c r="C106" s="219"/>
      <c r="D106" s="149" t="s">
        <v>0</v>
      </c>
      <c r="E106" s="150">
        <f>F106/(F104+F105+F106)</f>
        <v>8.6381164947744962E-2</v>
      </c>
      <c r="F106" s="151">
        <f t="shared" si="47"/>
        <v>178.73291509215176</v>
      </c>
      <c r="G106" s="151">
        <f>LA!F5*LA!$B$5+LA!F8*LA!$B$8+LA!F11*LA!$B$11+LA!F14*LA!$B$14+LA!F17*LA!$B$17+LA!F20*LA!$B$20+LA!F23*LA!$B$23+LA!F26*LA!$B$26</f>
        <v>1.7403789749396341</v>
      </c>
      <c r="H106" s="151">
        <f>LA!G5*LA!$B$5+LA!G8*LA!$B$8+LA!G11*LA!$B$11+LA!G14*LA!$B$14+LA!G17*LA!$B$17+LA!G20*LA!$B$20+LA!G23*LA!$B$23+LA!G26*LA!$B$26</f>
        <v>1.1602526499597561</v>
      </c>
      <c r="I106" s="151">
        <f>LA!H5*LA!$B$5+LA!H8*LA!$B$8+LA!H11*LA!$B$11+LA!H14*LA!$B$14+LA!H17*LA!$B$17+LA!H20*LA!$B$20+LA!H23*LA!$B$23+LA!H26*LA!$B$26</f>
        <v>2.0892664693123066</v>
      </c>
      <c r="J106" s="151">
        <f>LA!I5*LA!$B$5+LA!I8*LA!$B$8+LA!I11*LA!$B$11+LA!I14*LA!$B$14+LA!I17*LA!$B$17+LA!I20*LA!$B$20+LA!I23*LA!$B$23+LA!I26*LA!$B$26</f>
        <v>2.3205052999195122</v>
      </c>
      <c r="K106" s="151">
        <f>LA!J5*LA!$B$5+LA!J8*LA!$B$8+LA!J11*LA!$B$11+LA!J14*LA!$B$14+LA!J17*LA!$B$17+LA!J20*LA!$B$20+LA!J23*LA!$B$23+LA!J26*LA!$B$26</f>
        <v>5.2211369248189019</v>
      </c>
      <c r="L106" s="151">
        <f>LA!K5*LA!$B$5+LA!K8*LA!$B$8+LA!K11*LA!$B$11+LA!K14*LA!$B$14+LA!K17*LA!$B$17+LA!K20*LA!$B$20+LA!K23*LA!$B$23+LA!K26*LA!$B$26</f>
        <v>4.0608842748591467</v>
      </c>
      <c r="M106" s="151">
        <f>LA!L5*LA!$B$5+LA!L8*LA!$B$8+LA!L11*LA!$B$11+LA!L14*LA!$B$14+LA!L17*LA!$B$17+LA!L20*LA!$B$20+LA!L23*LA!$B$23+LA!L26*LA!$B$26</f>
        <v>1.777313002196363</v>
      </c>
      <c r="N106" s="151">
        <f>LA!M5*LA!$B$5+LA!M8*LA!$B$8+LA!M11*LA!$B$11+LA!M14*LA!$B$14+LA!M17*LA!$B$17+LA!M20*LA!$B$20+LA!M23*LA!$B$23+LA!M26*LA!$B$26</f>
        <v>2.4949490471058482</v>
      </c>
      <c r="O106" s="151">
        <f>LA!N5*LA!$B$5+LA!N8*LA!$B$8+LA!N11*LA!$B$11+LA!N14*LA!$B$14+LA!N17*LA!$B$17+LA!N20*LA!$B$20+LA!N23*LA!$B$23+LA!N26*LA!$B$26</f>
        <v>1.7403789749396341</v>
      </c>
      <c r="P106" s="151">
        <f>LA!O5*LA!$B$5+LA!O8*LA!$B$8+LA!O11*LA!$B$11+LA!O14*LA!$B$14+LA!O17*LA!$B$17+LA!O20*LA!$B$20+LA!O23*LA!$B$23+LA!O26*LA!$B$26</f>
        <v>0.65399437949333583</v>
      </c>
      <c r="Q106" s="151">
        <f>LA!P5*LA!$B$5+LA!P8*LA!$B$8+LA!P11*LA!$B$11+LA!P14*LA!$B$14+LA!P17*LA!$B$17+LA!P20*LA!$B$20+LA!P23*LA!$B$23+LA!P26*LA!$B$26</f>
        <v>1.1602526499597561</v>
      </c>
      <c r="R106" s="151">
        <f>LA!Q5*LA!$B$5+LA!Q8*LA!$B$8+LA!Q11*LA!$B$11+LA!Q14*LA!$B$14+LA!Q17*LA!$B$17+LA!Q20*LA!$B$20+LA!Q23*LA!$B$23+LA!Q26*LA!$B$26</f>
        <v>2.9006316248993902</v>
      </c>
      <c r="S106" s="151">
        <f>LA!R5*LA!$B$5+LA!R8*LA!$B$8+LA!R11*LA!$B$11+LA!R14*LA!$B$14+LA!R17*LA!$B$17+LA!R20*LA!$B$20+LA!R23*LA!$B$23+LA!R26*LA!$B$26</f>
        <v>4.0608842748591467</v>
      </c>
      <c r="T106" s="151">
        <f>LA!S5*LA!$B$5+LA!S8*LA!$B$8+LA!S11*LA!$B$11+LA!S14*LA!$B$14+LA!S17*LA!$B$17+LA!S20*LA!$B$20+LA!S23*LA!$B$23+LA!S26*LA!$B$26</f>
        <v>0</v>
      </c>
      <c r="U106" s="151">
        <f>LA!T5*LA!$B$5+LA!T8*LA!$B$8+LA!T11*LA!$B$11+LA!T14*LA!$B$14+LA!T17*LA!$B$17+LA!T20*LA!$B$20+LA!T23*LA!$B$23+LA!T26*LA!$B$26</f>
        <v>0</v>
      </c>
      <c r="V106" s="151">
        <f>LA!U5*LA!$B$5+LA!U8*LA!$B$8+LA!U11*LA!$B$11+LA!U14*LA!$B$14+LA!U17*LA!$B$17+LA!U20*LA!$B$20+LA!U23*LA!$B$23+LA!U26*LA!$B$26</f>
        <v>147.35208654488903</v>
      </c>
      <c r="W106" s="151">
        <f>LA!V5*LA!$B$5+LA!V8*LA!$B$8+LA!V11*LA!$B$11+LA!V14*LA!$B$14+LA!V17*LA!$B$17+LA!V20*LA!$B$20+LA!V23*LA!$B$23+LA!V26*LA!$B$26</f>
        <v>0</v>
      </c>
      <c r="X106" s="152">
        <f>LA!W5*LA!$B$5+LA!W8*LA!$B$8+LA!W11*LA!$B$11+LA!W14*LA!$B$14+LA!W17*LA!$B$17+LA!W20*LA!$B$20+LA!W23*LA!$B$23+LA!W26*LA!$B$26</f>
        <v>0</v>
      </c>
    </row>
    <row r="107" spans="2:24" ht="15.75" customHeight="1" x14ac:dyDescent="0.2">
      <c r="B107" s="215"/>
      <c r="C107" s="220" t="s">
        <v>111</v>
      </c>
      <c r="D107" s="153" t="s">
        <v>183</v>
      </c>
      <c r="E107" s="154">
        <f>F107/(F107+F108+F109)</f>
        <v>0.40211113324039038</v>
      </c>
      <c r="F107" s="157">
        <f t="shared" si="47"/>
        <v>2019</v>
      </c>
      <c r="G107" s="157">
        <f>SUMIF(LA!$C$3:$C$26,"PSUV",LA!F$3:F$26)</f>
        <v>16</v>
      </c>
      <c r="H107" s="157">
        <f>SUMIF(LA!$C$3:$C$26,"PSUV",LA!G$3:G$26)</f>
        <v>81</v>
      </c>
      <c r="I107" s="157">
        <f>SUMIF(LA!$C$3:$C$26,"PSUV",LA!H$3:H$26)</f>
        <v>85</v>
      </c>
      <c r="J107" s="157">
        <f>SUMIF(LA!$C$3:$C$26,"PSUV",LA!I$3:I$26)</f>
        <v>81</v>
      </c>
      <c r="K107" s="157">
        <f>SUMIF(LA!$C$3:$C$26,"PSUV",LA!J$3:J$26)</f>
        <v>138</v>
      </c>
      <c r="L107" s="157">
        <f>SUMIF(LA!$C$3:$C$26,"PSUV",LA!K$3:K$26)</f>
        <v>133</v>
      </c>
      <c r="M107" s="157">
        <f>SUMIF(LA!$C$3:$C$26,"PSUV",LA!L$3:L$26)</f>
        <v>120</v>
      </c>
      <c r="N107" s="157">
        <f>SUMIF(LA!$C$3:$C$26,"PSUV",LA!M$3:M$26)</f>
        <v>150</v>
      </c>
      <c r="O107" s="157">
        <f>SUMIF(LA!$C$3:$C$26,"PSUV",LA!N$3:N$26)</f>
        <v>152</v>
      </c>
      <c r="P107" s="157">
        <f>SUMIF(LA!$C$3:$C$26,"PSUV",LA!O$3:O$26)</f>
        <v>146</v>
      </c>
      <c r="Q107" s="157">
        <f>SUMIF(LA!$C$3:$C$26,"PSUV",LA!P$3:P$26)</f>
        <v>152</v>
      </c>
      <c r="R107" s="157">
        <f>SUMIF(LA!$C$3:$C$26,"PSUV",LA!Q$3:Q$26)</f>
        <v>140</v>
      </c>
      <c r="S107" s="157">
        <f>SUMIF(LA!$C$3:$C$26,"PSUV",LA!R$3:R$26)</f>
        <v>113</v>
      </c>
      <c r="T107" s="157">
        <f>SUMIF(LA!$C$3:$C$26,"PSUV",LA!S$3:S$26)</f>
        <v>143</v>
      </c>
      <c r="U107" s="157">
        <f>SUMIF(LA!$C$3:$C$26,"PSUV",LA!T$3:T$26)</f>
        <v>111</v>
      </c>
      <c r="V107" s="157">
        <f>SUMIF(LA!$C$3:$C$26,"PSUV",LA!U$3:U$26)</f>
        <v>106</v>
      </c>
      <c r="W107" s="157">
        <f>SUMIF(LA!$C$3:$C$26,"PSUV",LA!V$3:V$26)</f>
        <v>80</v>
      </c>
      <c r="X107" s="158">
        <f>SUMIF(LA!$C$3:$C$26,"PSUV",LA!W$3:W$26)</f>
        <v>72</v>
      </c>
    </row>
    <row r="108" spans="2:24" ht="15.75" customHeight="1" x14ac:dyDescent="0.2">
      <c r="B108" s="215"/>
      <c r="C108" s="218"/>
      <c r="D108" s="145" t="s">
        <v>184</v>
      </c>
      <c r="E108" s="146">
        <f>F108/(F107+F108+F109)</f>
        <v>0.53495319657438756</v>
      </c>
      <c r="F108" s="159">
        <f t="shared" si="47"/>
        <v>2686</v>
      </c>
      <c r="G108" s="159">
        <f>SUMIF(LA!$C$3:$C$26,"MUD",LA!F$3:F$26)</f>
        <v>29</v>
      </c>
      <c r="H108" s="159">
        <f>SUMIF(LA!$C$3:$C$26,"MUD",LA!G$3:G$26)</f>
        <v>104</v>
      </c>
      <c r="I108" s="159">
        <f>SUMIF(LA!$C$3:$C$26,"MUD",LA!H$3:H$26)</f>
        <v>160</v>
      </c>
      <c r="J108" s="159">
        <f>SUMIF(LA!$C$3:$C$26,"MUD",LA!I$3:I$26)</f>
        <v>141</v>
      </c>
      <c r="K108" s="159">
        <f>SUMIF(LA!$C$3:$C$26,"MUD",LA!J$3:J$26)</f>
        <v>191</v>
      </c>
      <c r="L108" s="159">
        <f>SUMIF(LA!$C$3:$C$26,"MUD",LA!K$3:K$26)</f>
        <v>221</v>
      </c>
      <c r="M108" s="159">
        <f>SUMIF(LA!$C$3:$C$26,"MUD",LA!L$3:L$26)</f>
        <v>203</v>
      </c>
      <c r="N108" s="159">
        <f>SUMIF(LA!$C$3:$C$26,"MUD",LA!M$3:M$26)</f>
        <v>162</v>
      </c>
      <c r="O108" s="159">
        <f>SUMIF(LA!$C$3:$C$26,"MUD",LA!N$3:N$26)</f>
        <v>231</v>
      </c>
      <c r="P108" s="159">
        <f>SUMIF(LA!$C$3:$C$26,"MUD",LA!O$3:O$26)</f>
        <v>193</v>
      </c>
      <c r="Q108" s="159">
        <f>SUMIF(LA!$C$3:$C$26,"MUD",LA!P$3:P$26)</f>
        <v>186</v>
      </c>
      <c r="R108" s="159">
        <f>SUMIF(LA!$C$3:$C$26,"MUD",LA!Q$3:Q$26)</f>
        <v>175</v>
      </c>
      <c r="S108" s="159">
        <f>SUMIF(LA!$C$3:$C$26,"MUD",LA!R$3:R$26)</f>
        <v>160</v>
      </c>
      <c r="T108" s="159">
        <f>SUMIF(LA!$C$3:$C$26,"MUD",LA!S$3:S$26)</f>
        <v>131</v>
      </c>
      <c r="U108" s="159">
        <f>SUMIF(LA!$C$3:$C$26,"MUD",LA!T$3:T$26)</f>
        <v>131</v>
      </c>
      <c r="V108" s="159">
        <f>SUMIF(LA!$C$3:$C$26,"MUD",LA!U$3:U$26)</f>
        <v>101</v>
      </c>
      <c r="W108" s="159">
        <f>SUMIF(LA!$C$3:$C$26,"MUD",LA!V$3:V$26)</f>
        <v>98</v>
      </c>
      <c r="X108" s="160">
        <f>SUMIF(LA!$C$3:$C$26,"MUD",LA!W$3:W$26)</f>
        <v>69</v>
      </c>
    </row>
    <row r="109" spans="2:24" ht="15.75" customHeight="1" thickBot="1" x14ac:dyDescent="0.25">
      <c r="B109" s="216"/>
      <c r="C109" s="221"/>
      <c r="D109" s="161" t="s">
        <v>0</v>
      </c>
      <c r="E109" s="162">
        <f>F109/(F107+F108+F109)</f>
        <v>6.2935670185222073E-2</v>
      </c>
      <c r="F109" s="163">
        <f t="shared" si="47"/>
        <v>316</v>
      </c>
      <c r="G109" s="163">
        <f>SUMIF(LA!$C$3:$C$26,"Otro",LA!F$3:F$26)</f>
        <v>3</v>
      </c>
      <c r="H109" s="163">
        <f>SUMIF(LA!$C$3:$C$26,"Otro",LA!G$3:G$26)</f>
        <v>2</v>
      </c>
      <c r="I109" s="163">
        <f>SUMIF(LA!$C$3:$C$26,"Otro",LA!H$3:H$26)</f>
        <v>7</v>
      </c>
      <c r="J109" s="163">
        <f>SUMIF(LA!$C$3:$C$26,"Otro",LA!I$3:I$26)</f>
        <v>4</v>
      </c>
      <c r="K109" s="163">
        <f>SUMIF(LA!$C$3:$C$26,"Otro",LA!J$3:J$26)</f>
        <v>9</v>
      </c>
      <c r="L109" s="163">
        <f>SUMIF(LA!$C$3:$C$26,"Otro",LA!K$3:K$26)</f>
        <v>7</v>
      </c>
      <c r="M109" s="163">
        <f>SUMIF(LA!$C$3:$C$26,"Otro",LA!L$3:L$26)</f>
        <v>4</v>
      </c>
      <c r="N109" s="163">
        <f>SUMIF(LA!$C$3:$C$26,"Otro",LA!M$3:M$26)</f>
        <v>6</v>
      </c>
      <c r="O109" s="163">
        <f>SUMIF(LA!$C$3:$C$26,"Otro",LA!N$3:N$26)</f>
        <v>3</v>
      </c>
      <c r="P109" s="163">
        <f>SUMIF(LA!$C$3:$C$26,"Otro",LA!O$3:O$26)</f>
        <v>3</v>
      </c>
      <c r="Q109" s="163">
        <f>SUMIF(LA!$C$3:$C$26,"Otro",LA!P$3:P$26)</f>
        <v>2</v>
      </c>
      <c r="R109" s="163">
        <f>SUMIF(LA!$C$3:$C$26,"Otro",LA!Q$3:Q$26)</f>
        <v>5</v>
      </c>
      <c r="S109" s="163">
        <f>SUMIF(LA!$C$3:$C$26,"Otro",LA!R$3:R$26)</f>
        <v>7</v>
      </c>
      <c r="T109" s="163">
        <f>SUMIF(LA!$C$3:$C$26,"Otro",LA!S$3:S$26)</f>
        <v>0</v>
      </c>
      <c r="U109" s="163">
        <f>SUMIF(LA!$C$3:$C$26,"Otro",LA!T$3:T$26)</f>
        <v>0</v>
      </c>
      <c r="V109" s="163">
        <f>SUMIF(LA!$C$3:$C$26,"Otro",LA!U$3:U$26)</f>
        <v>254</v>
      </c>
      <c r="W109" s="163">
        <f>SUMIF(LA!$C$3:$C$26,"Otro",LA!V$3:V$26)</f>
        <v>0</v>
      </c>
      <c r="X109" s="164">
        <f>SUMIF(LA!$C$3:$C$26,"Otro",LA!W$3:W$26)</f>
        <v>0</v>
      </c>
    </row>
    <row r="110" spans="2:24" ht="15.75" customHeight="1" x14ac:dyDescent="0.2">
      <c r="B110" s="231" t="s">
        <v>54</v>
      </c>
      <c r="C110" s="225" t="s">
        <v>231</v>
      </c>
      <c r="D110" s="165" t="s">
        <v>186</v>
      </c>
      <c r="E110" s="166"/>
      <c r="F110" s="167"/>
      <c r="G110" s="167">
        <f>IF(SUM(G113:G115)=0,1,G113)</f>
        <v>1.326171507264932</v>
      </c>
      <c r="H110" s="167">
        <f t="shared" ref="H110:X110" si="48">IF(SUM(H113:H115)=0,0,G110+H113)</f>
        <v>7.5456445374489629</v>
      </c>
      <c r="I110" s="167">
        <f t="shared" si="48"/>
        <v>13.074486398089224</v>
      </c>
      <c r="J110" s="167">
        <f t="shared" si="48"/>
        <v>20.867466768517374</v>
      </c>
      <c r="K110" s="167">
        <f t="shared" si="48"/>
        <v>28.733058802644535</v>
      </c>
      <c r="L110" s="167">
        <f t="shared" si="48"/>
        <v>35.30659841952091</v>
      </c>
      <c r="M110" s="167">
        <f t="shared" si="48"/>
        <v>40.534213230191561</v>
      </c>
      <c r="N110" s="167">
        <f t="shared" si="48"/>
        <v>46.63683947216947</v>
      </c>
      <c r="O110" s="167">
        <f t="shared" si="48"/>
        <v>52.663545695642114</v>
      </c>
      <c r="P110" s="167">
        <f t="shared" si="48"/>
        <v>57.822865842178025</v>
      </c>
      <c r="Q110" s="167">
        <f t="shared" si="48"/>
        <v>61.462833457956997</v>
      </c>
      <c r="R110" s="167">
        <f t="shared" si="48"/>
        <v>65.755614789152901</v>
      </c>
      <c r="S110" s="167">
        <f t="shared" si="48"/>
        <v>69.378166472110294</v>
      </c>
      <c r="T110" s="167">
        <f t="shared" si="48"/>
        <v>73.27164013706809</v>
      </c>
      <c r="U110" s="167">
        <f t="shared" si="48"/>
        <v>79.012343122118637</v>
      </c>
      <c r="V110" s="167">
        <f t="shared" si="48"/>
        <v>85.500416906499979</v>
      </c>
      <c r="W110" s="167">
        <f t="shared" si="48"/>
        <v>88.82048006111043</v>
      </c>
      <c r="X110" s="168">
        <f t="shared" si="48"/>
        <v>94.190545098524424</v>
      </c>
    </row>
    <row r="111" spans="2:24" ht="15.75" customHeight="1" x14ac:dyDescent="0.2">
      <c r="B111" s="232"/>
      <c r="C111" s="226"/>
      <c r="D111" s="117" t="s">
        <v>187</v>
      </c>
      <c r="E111" s="118"/>
      <c r="F111" s="119"/>
      <c r="G111" s="119">
        <f>IF(SUM(G113:G115)=0,1,G114)</f>
        <v>2.1255641686346447</v>
      </c>
      <c r="H111" s="119">
        <f t="shared" ref="H111:X111" si="49">IF(SUM(H113:H115)=0,0,G111+H114)</f>
        <v>10.486040356549198</v>
      </c>
      <c r="I111" s="119">
        <f t="shared" si="49"/>
        <v>14.072697734718361</v>
      </c>
      <c r="J111" s="119">
        <f t="shared" si="49"/>
        <v>18.68237642084425</v>
      </c>
      <c r="K111" s="119">
        <f t="shared" si="49"/>
        <v>22.670235027677212</v>
      </c>
      <c r="L111" s="119">
        <f t="shared" si="49"/>
        <v>27.233884546486419</v>
      </c>
      <c r="M111" s="119">
        <f t="shared" si="49"/>
        <v>31.531499303362686</v>
      </c>
      <c r="N111" s="119">
        <f t="shared" si="49"/>
        <v>36.684372192605423</v>
      </c>
      <c r="O111" s="119">
        <f t="shared" si="49"/>
        <v>40.49233698955851</v>
      </c>
      <c r="P111" s="119">
        <f t="shared" si="49"/>
        <v>43.276002861861393</v>
      </c>
      <c r="Q111" s="119">
        <f t="shared" si="49"/>
        <v>47.180700725686279</v>
      </c>
      <c r="R111" s="119">
        <f t="shared" si="49"/>
        <v>51.792372493853989</v>
      </c>
      <c r="S111" s="119">
        <f t="shared" si="49"/>
        <v>54.163311690058258</v>
      </c>
      <c r="T111" s="119">
        <f t="shared" si="49"/>
        <v>58.118600485225372</v>
      </c>
      <c r="U111" s="119">
        <f t="shared" si="49"/>
        <v>63.053891216990422</v>
      </c>
      <c r="V111" s="119">
        <f t="shared" si="49"/>
        <v>67.295914854244117</v>
      </c>
      <c r="W111" s="119">
        <f t="shared" si="49"/>
        <v>71.171313605138451</v>
      </c>
      <c r="X111" s="132">
        <f t="shared" si="49"/>
        <v>76.79153061169599</v>
      </c>
    </row>
    <row r="112" spans="2:24" ht="15.75" customHeight="1" thickBot="1" x14ac:dyDescent="0.25">
      <c r="B112" s="232"/>
      <c r="C112" s="227"/>
      <c r="D112" s="120" t="s">
        <v>0</v>
      </c>
      <c r="E112" s="121"/>
      <c r="F112" s="122"/>
      <c r="G112" s="122">
        <f>IF(SUM(G113:G115)=0,1,G115)</f>
        <v>1.7743782713711651</v>
      </c>
      <c r="H112" s="122">
        <f t="shared" ref="H112:X112" si="50">IF(SUM(H113:H115)=0,0,G112+H115)</f>
        <v>1.9499712200029049</v>
      </c>
      <c r="I112" s="122">
        <f t="shared" si="50"/>
        <v>2.3011571172663845</v>
      </c>
      <c r="J112" s="122">
        <f t="shared" si="50"/>
        <v>4.7187871517485869</v>
      </c>
      <c r="K112" s="122">
        <f t="shared" si="50"/>
        <v>5.9673898425438292</v>
      </c>
      <c r="L112" s="122">
        <f t="shared" si="50"/>
        <v>6.6086350750162728</v>
      </c>
      <c r="M112" s="122">
        <f t="shared" si="50"/>
        <v>8.2074203977556976</v>
      </c>
      <c r="N112" s="122">
        <f t="shared" si="50"/>
        <v>10.207406949158925</v>
      </c>
      <c r="O112" s="122">
        <f t="shared" si="50"/>
        <v>10.928227528739651</v>
      </c>
      <c r="P112" s="122">
        <f t="shared" si="50"/>
        <v>11.601039307558649</v>
      </c>
      <c r="Q112" s="122">
        <f t="shared" si="50"/>
        <v>13.521450511853592</v>
      </c>
      <c r="R112" s="122">
        <f t="shared" si="50"/>
        <v>14.752333331540186</v>
      </c>
      <c r="S112" s="122">
        <f t="shared" si="50"/>
        <v>16.193974490701638</v>
      </c>
      <c r="T112" s="122">
        <f t="shared" si="50"/>
        <v>18.884218340658332</v>
      </c>
      <c r="U112" s="122">
        <f t="shared" si="50"/>
        <v>20.005236883583564</v>
      </c>
      <c r="V112" s="122">
        <f t="shared" si="50"/>
        <v>21.527456655172596</v>
      </c>
      <c r="W112" s="122">
        <f t="shared" si="50"/>
        <v>22.503445530493345</v>
      </c>
      <c r="X112" s="133">
        <f t="shared" si="50"/>
        <v>24.023658771443785</v>
      </c>
    </row>
    <row r="113" spans="2:24" ht="15.75" customHeight="1" x14ac:dyDescent="0.2">
      <c r="B113" s="232"/>
      <c r="C113" s="228" t="s">
        <v>232</v>
      </c>
      <c r="D113" s="123" t="s">
        <v>186</v>
      </c>
      <c r="E113" s="124">
        <f>F113/(F113+F114+F115)</f>
        <v>0.48301423211418881</v>
      </c>
      <c r="F113" s="125">
        <f t="shared" ref="F113:F118" si="51">IF(SUM(G113:X113)=0,1,SUM(G113:X113))</f>
        <v>94.190545098524424</v>
      </c>
      <c r="G113" s="125">
        <f>ME!F3*ME!$B$5+ME!F6*ME!$B$8+ME!F9*ME!$B$11+ME!F12*ME!$B$14+ME!F15*ME!$B$17</f>
        <v>1.326171507264932</v>
      </c>
      <c r="H113" s="125">
        <f>ME!G3*ME!$B$5+ME!G6*ME!$B$8+ME!G9*ME!$B$11+ME!G12*ME!$B$14+ME!G15*ME!$B$17</f>
        <v>6.2194730301840311</v>
      </c>
      <c r="I113" s="125">
        <f>ME!H3*ME!$B$5+ME!H6*ME!$B$8+ME!H9*ME!$B$11+ME!H12*ME!$B$14+ME!H15*ME!$B$17</f>
        <v>5.5288418606402612</v>
      </c>
      <c r="J113" s="125">
        <f>ME!I3*ME!$B$5+ME!I6*ME!$B$8+ME!I9*ME!$B$11+ME!I12*ME!$B$14+ME!I15*ME!$B$17</f>
        <v>7.7929803704281495</v>
      </c>
      <c r="K113" s="125">
        <f>ME!J3*ME!$B$5+ME!J6*ME!$B$8+ME!J9*ME!$B$11+ME!J12*ME!$B$14+ME!J15*ME!$B$17</f>
        <v>7.8655920341271592</v>
      </c>
      <c r="L113" s="125">
        <f>ME!K3*ME!$B$5+ME!K6*ME!$B$8+ME!K9*ME!$B$11+ME!K12*ME!$B$14+ME!K15*ME!$B$17</f>
        <v>6.5735396168763742</v>
      </c>
      <c r="M113" s="125">
        <f>ME!L3*ME!$B$5+ME!L6*ME!$B$8+ME!L9*ME!$B$11+ME!L12*ME!$B$14+ME!L15*ME!$B$17</f>
        <v>5.2276148106706541</v>
      </c>
      <c r="N113" s="125">
        <f>ME!M3*ME!$B$5+ME!M6*ME!$B$8+ME!M9*ME!$B$11+ME!M12*ME!$B$14+ME!M15*ME!$B$17</f>
        <v>6.1026262419779123</v>
      </c>
      <c r="O113" s="125">
        <f>ME!N3*ME!$B$5+ME!N6*ME!$B$8+ME!N9*ME!$B$11+ME!N12*ME!$B$14+ME!N15*ME!$B$17</f>
        <v>6.026706223472643</v>
      </c>
      <c r="P113" s="125">
        <f>ME!O3*ME!$B$5+ME!O6*ME!$B$8+ME!O9*ME!$B$11+ME!O12*ME!$B$14+ME!O15*ME!$B$17</f>
        <v>5.1593201465359098</v>
      </c>
      <c r="Q113" s="125">
        <f>ME!P3*ME!$B$5+ME!P6*ME!$B$8+ME!P9*ME!$B$11+ME!P12*ME!$B$14+ME!P15*ME!$B$17</f>
        <v>3.63996761577897</v>
      </c>
      <c r="R113" s="125">
        <f>ME!Q3*ME!$B$5+ME!Q6*ME!$B$8+ME!Q9*ME!$B$11+ME!Q12*ME!$B$14+ME!Q15*ME!$B$17</f>
        <v>4.2927813311959033</v>
      </c>
      <c r="S113" s="125">
        <f>ME!R3*ME!$B$5+ME!R6*ME!$B$8+ME!R9*ME!$B$11+ME!R12*ME!$B$14+ME!R15*ME!$B$17</f>
        <v>3.6225516829574</v>
      </c>
      <c r="T113" s="125">
        <f>ME!S3*ME!$B$5+ME!S6*ME!$B$8+ME!S9*ME!$B$11+ME!S12*ME!$B$14+ME!S15*ME!$B$17</f>
        <v>3.8934736649577983</v>
      </c>
      <c r="U113" s="125">
        <f>ME!T3*ME!$B$5+ME!T6*ME!$B$8+ME!T9*ME!$B$11+ME!T12*ME!$B$14+ME!T15*ME!$B$17</f>
        <v>5.7407029850505396</v>
      </c>
      <c r="V113" s="125">
        <f>ME!U3*ME!$B$5+ME!U6*ME!$B$8+ME!U9*ME!$B$11+ME!U12*ME!$B$14+ME!U15*ME!$B$17</f>
        <v>6.4880737843813385</v>
      </c>
      <c r="W113" s="125">
        <f>ME!V3*ME!$B$5+ME!V6*ME!$B$8+ME!V9*ME!$B$11+ME!V12*ME!$B$14+ME!V15*ME!$B$17</f>
        <v>3.3200631546104478</v>
      </c>
      <c r="X113" s="134">
        <f>ME!W3*ME!$B$5+ME!W6*ME!$B$8+ME!W9*ME!$B$11+ME!W12*ME!$B$14+ME!W15*ME!$B$17</f>
        <v>5.3700650374139958</v>
      </c>
    </row>
    <row r="114" spans="2:24" ht="15.75" customHeight="1" x14ac:dyDescent="0.2">
      <c r="B114" s="232"/>
      <c r="C114" s="226"/>
      <c r="D114" s="117" t="s">
        <v>187</v>
      </c>
      <c r="E114" s="118">
        <f>F114/(F113+F114+F115)</f>
        <v>0.39379114063395126</v>
      </c>
      <c r="F114" s="119">
        <f t="shared" si="51"/>
        <v>76.79153061169599</v>
      </c>
      <c r="G114" s="119">
        <f>ME!F4*ME!$B$5+ME!F7*ME!$B$8+ME!F10*ME!$B$11+ME!F13*ME!$B$14+ME!F16*ME!$B$17</f>
        <v>2.1255641686346447</v>
      </c>
      <c r="H114" s="119">
        <f>ME!G4*ME!$B$5+ME!G7*ME!$B$8+ME!G10*ME!$B$11+ME!G13*ME!$B$14+ME!G16*ME!$B$17</f>
        <v>8.3604761879145535</v>
      </c>
      <c r="I114" s="119">
        <f>ME!H4*ME!$B$5+ME!H7*ME!$B$8+ME!H10*ME!$B$11+ME!H13*ME!$B$14+ME!H16*ME!$B$17</f>
        <v>3.586657378169162</v>
      </c>
      <c r="J114" s="119">
        <f>ME!I4*ME!$B$5+ME!I7*ME!$B$8+ME!I10*ME!$B$11+ME!I13*ME!$B$14+ME!I16*ME!$B$17</f>
        <v>4.6096786861258892</v>
      </c>
      <c r="K114" s="119">
        <f>ME!J4*ME!$B$5+ME!J7*ME!$B$8+ME!J10*ME!$B$11+ME!J13*ME!$B$14+ME!J16*ME!$B$17</f>
        <v>3.9878586068329631</v>
      </c>
      <c r="L114" s="119">
        <f>ME!K4*ME!$B$5+ME!K7*ME!$B$8+ME!K10*ME!$B$11+ME!K13*ME!$B$14+ME!K16*ME!$B$17</f>
        <v>4.563649518809207</v>
      </c>
      <c r="M114" s="119">
        <f>ME!L4*ME!$B$5+ME!L7*ME!$B$8+ME!L10*ME!$B$11+ME!L13*ME!$B$14+ME!L16*ME!$B$17</f>
        <v>4.2976147568762677</v>
      </c>
      <c r="N114" s="119">
        <f>ME!M4*ME!$B$5+ME!M7*ME!$B$8+ME!M10*ME!$B$11+ME!M13*ME!$B$14+ME!M16*ME!$B$17</f>
        <v>5.1528728892427367</v>
      </c>
      <c r="O114" s="119">
        <f>ME!N4*ME!$B$5+ME!N7*ME!$B$8+ME!N10*ME!$B$11+ME!N13*ME!$B$14+ME!N16*ME!$B$17</f>
        <v>3.8079647969530859</v>
      </c>
      <c r="P114" s="119">
        <f>ME!O4*ME!$B$5+ME!O7*ME!$B$8+ME!O10*ME!$B$11+ME!O13*ME!$B$14+ME!O16*ME!$B$17</f>
        <v>2.7836658723028842</v>
      </c>
      <c r="Q114" s="119">
        <f>ME!P4*ME!$B$5+ME!P7*ME!$B$8+ME!P10*ME!$B$11+ME!P13*ME!$B$14+ME!P16*ME!$B$17</f>
        <v>3.9046978638248886</v>
      </c>
      <c r="R114" s="119">
        <f>ME!Q4*ME!$B$5+ME!Q7*ME!$B$8+ME!Q10*ME!$B$11+ME!Q13*ME!$B$14+ME!Q16*ME!$B$17</f>
        <v>4.6116717681677093</v>
      </c>
      <c r="S114" s="119">
        <f>ME!R4*ME!$B$5+ME!R7*ME!$B$8+ME!R10*ME!$B$11+ME!R13*ME!$B$14+ME!R16*ME!$B$17</f>
        <v>2.3709391962042679</v>
      </c>
      <c r="T114" s="119">
        <f>ME!S4*ME!$B$5+ME!S7*ME!$B$8+ME!S10*ME!$B$11+ME!S13*ME!$B$14+ME!S16*ME!$B$17</f>
        <v>3.9552887951671125</v>
      </c>
      <c r="U114" s="119">
        <f>ME!T4*ME!$B$5+ME!T7*ME!$B$8+ME!T10*ME!$B$11+ME!T13*ME!$B$14+ME!T16*ME!$B$17</f>
        <v>4.935290731765047</v>
      </c>
      <c r="V114" s="119">
        <f>ME!U4*ME!$B$5+ME!U7*ME!$B$8+ME!U10*ME!$B$11+ME!U13*ME!$B$14+ME!U16*ME!$B$17</f>
        <v>4.2420236372536895</v>
      </c>
      <c r="W114" s="119">
        <f>ME!V4*ME!$B$5+ME!V7*ME!$B$8+ME!V10*ME!$B$11+ME!V13*ME!$B$14+ME!V16*ME!$B$17</f>
        <v>3.8753987508943313</v>
      </c>
      <c r="X114" s="132">
        <f>ME!W4*ME!$B$5+ME!W7*ME!$B$8+ME!W10*ME!$B$11+ME!W13*ME!$B$14+ME!W16*ME!$B$17</f>
        <v>5.6202170065575352</v>
      </c>
    </row>
    <row r="115" spans="2:24" ht="15.75" customHeight="1" thickBot="1" x14ac:dyDescent="0.25">
      <c r="B115" s="232"/>
      <c r="C115" s="227"/>
      <c r="D115" s="120" t="s">
        <v>0</v>
      </c>
      <c r="E115" s="121">
        <f>F115/(F113+F114+F115)</f>
        <v>0.1231946272518599</v>
      </c>
      <c r="F115" s="122">
        <f t="shared" si="51"/>
        <v>24.023658771443785</v>
      </c>
      <c r="G115" s="122">
        <f>ME!F5*ME!$B$5+ME!F8*ME!$B$8+ME!F11*ME!$B$11+ME!F14*ME!$B$14+ME!F17*ME!$B$17</f>
        <v>1.7743782713711651</v>
      </c>
      <c r="H115" s="122">
        <f>ME!G5*ME!$B$5+ME!G8*ME!$B$8+ME!G11*ME!$B$11+ME!G14*ME!$B$14+ME!G17*ME!$B$17</f>
        <v>0.17559294863173977</v>
      </c>
      <c r="I115" s="122">
        <f>ME!H5*ME!$B$5+ME!H8*ME!$B$8+ME!H11*ME!$B$11+ME!H14*ME!$B$14+ME!H17*ME!$B$17</f>
        <v>0.35118589726347954</v>
      </c>
      <c r="J115" s="122">
        <f>ME!I5*ME!$B$5+ME!I8*ME!$B$8+ME!I11*ME!$B$11+ME!I14*ME!$B$14+ME!I17*ME!$B$17</f>
        <v>2.4176300344822024</v>
      </c>
      <c r="K115" s="122">
        <f>ME!J5*ME!$B$5+ME!J8*ME!$B$8+ME!J11*ME!$B$11+ME!J14*ME!$B$14+ME!J17*ME!$B$17</f>
        <v>1.2486026907952423</v>
      </c>
      <c r="L115" s="122">
        <f>ME!K5*ME!$B$5+ME!K8*ME!$B$8+ME!K11*ME!$B$11+ME!K14*ME!$B$14+ME!K17*ME!$B$17</f>
        <v>0.6412452324724438</v>
      </c>
      <c r="M115" s="122">
        <f>ME!L5*ME!$B$5+ME!L8*ME!$B$8+ME!L11*ME!$B$11+ME!L14*ME!$B$14+ME!L17*ME!$B$17</f>
        <v>1.5987853227394253</v>
      </c>
      <c r="N115" s="122">
        <f>ME!M5*ME!$B$5+ME!M8*ME!$B$8+ME!M11*ME!$B$11+ME!M14*ME!$B$14+ME!M17*ME!$B$17</f>
        <v>1.9999865514032269</v>
      </c>
      <c r="O115" s="122">
        <f>ME!N5*ME!$B$5+ME!N8*ME!$B$8+ME!N11*ME!$B$11+ME!N14*ME!$B$14+ME!N17*ME!$B$17</f>
        <v>0.72082057958072654</v>
      </c>
      <c r="P115" s="122">
        <f>ME!O5*ME!$B$5+ME!O8*ME!$B$8+ME!O11*ME!$B$11+ME!O14*ME!$B$14+ME!O17*ME!$B$17</f>
        <v>0.67281177881899801</v>
      </c>
      <c r="Q115" s="122">
        <f>ME!P5*ME!$B$5+ME!P8*ME!$B$8+ME!P11*ME!$B$11+ME!P14*ME!$B$14+ME!P17*ME!$B$17</f>
        <v>1.9204112042949437</v>
      </c>
      <c r="R115" s="122">
        <f>ME!Q5*ME!$B$5+ME!Q8*ME!$B$8+ME!Q11*ME!$B$11+ME!Q14*ME!$B$14+ME!Q17*ME!$B$17</f>
        <v>1.230882819686594</v>
      </c>
      <c r="S115" s="122">
        <f>ME!R5*ME!$B$5+ME!R8*ME!$B$8+ME!R11*ME!$B$11+ME!R14*ME!$B$14+ME!R17*ME!$B$17</f>
        <v>1.4416411591614531</v>
      </c>
      <c r="T115" s="122">
        <f>ME!S5*ME!$B$5+ME!S8*ME!$B$8+ME!S11*ME!$B$11+ME!S14*ME!$B$14+ME!S17*ME!$B$17</f>
        <v>2.6902438499566954</v>
      </c>
      <c r="U115" s="122">
        <f>ME!T5*ME!$B$5+ME!T8*ME!$B$8+ME!T11*ME!$B$11+ME!T14*ME!$B$14+ME!T17*ME!$B$17</f>
        <v>1.1210185429252313</v>
      </c>
      <c r="V115" s="122">
        <f>ME!U5*ME!$B$5+ME!U8*ME!$B$8+ME!U11*ME!$B$11+ME!U14*ME!$B$14+ME!U17*ME!$B$17</f>
        <v>1.5222197715890324</v>
      </c>
      <c r="W115" s="122">
        <f>ME!V5*ME!$B$5+ME!V8*ME!$B$8+ME!V11*ME!$B$11+ME!V14*ME!$B$14+ME!V17*ME!$B$17</f>
        <v>0.97598887532074907</v>
      </c>
      <c r="X115" s="133">
        <f>ME!W5*ME!$B$5+ME!W8*ME!$B$8+ME!W11*ME!$B$11+ME!W14*ME!$B$14+ME!W17*ME!$B$17</f>
        <v>1.5202132409504392</v>
      </c>
    </row>
    <row r="116" spans="2:24" ht="15.75" customHeight="1" x14ac:dyDescent="0.2">
      <c r="B116" s="232"/>
      <c r="C116" s="228" t="s">
        <v>111</v>
      </c>
      <c r="D116" s="123" t="s">
        <v>186</v>
      </c>
      <c r="E116" s="124">
        <f>F116/(F116+F117+F118)</f>
        <v>0.52860169491525422</v>
      </c>
      <c r="F116" s="126">
        <f t="shared" si="51"/>
        <v>499</v>
      </c>
      <c r="G116" s="126">
        <f>SUMIF(ME!$C$3:$C$17,"PSUV",ME!F$3:F$17)</f>
        <v>6</v>
      </c>
      <c r="H116" s="126">
        <f>SUMIF(ME!$C$3:$C$17,"PSUV",ME!G$3:G$17)</f>
        <v>29</v>
      </c>
      <c r="I116" s="126">
        <f>SUMIF(ME!$C$3:$C$17,"PSUV",ME!H$3:H$17)</f>
        <v>30</v>
      </c>
      <c r="J116" s="126">
        <f>SUMIF(ME!$C$3:$C$17,"PSUV",ME!I$3:I$17)</f>
        <v>51</v>
      </c>
      <c r="K116" s="126">
        <f>SUMIF(ME!$C$3:$C$17,"PSUV",ME!J$3:J$17)</f>
        <v>40</v>
      </c>
      <c r="L116" s="126">
        <f>SUMIF(ME!$C$3:$C$17,"PSUV",ME!K$3:K$17)</f>
        <v>35</v>
      </c>
      <c r="M116" s="126">
        <f>SUMIF(ME!$C$3:$C$17,"PSUV",ME!L$3:L$17)</f>
        <v>29</v>
      </c>
      <c r="N116" s="126">
        <f>SUMIF(ME!$C$3:$C$17,"PSUV",ME!M$3:M$17)</f>
        <v>34</v>
      </c>
      <c r="O116" s="126">
        <f>SUMIF(ME!$C$3:$C$17,"PSUV",ME!N$3:N$17)</f>
        <v>33</v>
      </c>
      <c r="P116" s="126">
        <f>SUMIF(ME!$C$3:$C$17,"PSUV",ME!O$3:O$17)</f>
        <v>27</v>
      </c>
      <c r="Q116" s="126">
        <f>SUMIF(ME!$C$3:$C$17,"PSUV",ME!P$3:P$17)</f>
        <v>27</v>
      </c>
      <c r="R116" s="126">
        <f>SUMIF(ME!$C$3:$C$17,"PSUV",ME!Q$3:Q$17)</f>
        <v>27</v>
      </c>
      <c r="S116" s="126">
        <f>SUMIF(ME!$C$3:$C$17,"PSUV",ME!R$3:R$17)</f>
        <v>17</v>
      </c>
      <c r="T116" s="126">
        <f>SUMIF(ME!$C$3:$C$17,"PSUV",ME!S$3:S$17)</f>
        <v>24</v>
      </c>
      <c r="U116" s="126">
        <f>SUMIF(ME!$C$3:$C$17,"PSUV",ME!T$3:T$17)</f>
        <v>25</v>
      </c>
      <c r="V116" s="126">
        <f>SUMIF(ME!$C$3:$C$17,"PSUV",ME!U$3:U$17)</f>
        <v>25</v>
      </c>
      <c r="W116" s="126">
        <f>SUMIF(ME!$C$3:$C$17,"PSUV",ME!V$3:V$17)</f>
        <v>15</v>
      </c>
      <c r="X116" s="135">
        <f>SUMIF(ME!$C$3:$C$17,"PSUV",ME!W$3:W$17)</f>
        <v>25</v>
      </c>
    </row>
    <row r="117" spans="2:24" ht="15.75" customHeight="1" x14ac:dyDescent="0.2">
      <c r="B117" s="232"/>
      <c r="C117" s="226"/>
      <c r="D117" s="117" t="s">
        <v>187</v>
      </c>
      <c r="E117" s="118">
        <f>F117/(F116+F117+F118)</f>
        <v>0.36758474576271188</v>
      </c>
      <c r="F117" s="127">
        <f t="shared" si="51"/>
        <v>347</v>
      </c>
      <c r="G117" s="127">
        <f>SUMIF(ME!$C$3:$C$17,"MUD",ME!F$3:F$17)</f>
        <v>9</v>
      </c>
      <c r="H117" s="127">
        <f>SUMIF(ME!$C$3:$C$17,"MUD",ME!G$3:G$17)</f>
        <v>32</v>
      </c>
      <c r="I117" s="127">
        <f>SUMIF(ME!$C$3:$C$17,"MUD",ME!H$3:H$17)</f>
        <v>18</v>
      </c>
      <c r="J117" s="127">
        <f>SUMIF(ME!$C$3:$C$17,"MUD",ME!I$3:I$17)</f>
        <v>29</v>
      </c>
      <c r="K117" s="127">
        <f>SUMIF(ME!$C$3:$C$17,"MUD",ME!J$3:J$17)</f>
        <v>15</v>
      </c>
      <c r="L117" s="127">
        <f>SUMIF(ME!$C$3:$C$17,"MUD",ME!K$3:K$17)</f>
        <v>18</v>
      </c>
      <c r="M117" s="127">
        <f>SUMIF(ME!$C$3:$C$17,"MUD",ME!L$3:L$17)</f>
        <v>20</v>
      </c>
      <c r="N117" s="127">
        <f>SUMIF(ME!$C$3:$C$17,"MUD",ME!M$3:M$17)</f>
        <v>22</v>
      </c>
      <c r="O117" s="127">
        <f>SUMIF(ME!$C$3:$C$17,"MUD",ME!N$3:N$17)</f>
        <v>18</v>
      </c>
      <c r="P117" s="127">
        <f>SUMIF(ME!$C$3:$C$17,"MUD",ME!O$3:O$17)</f>
        <v>18</v>
      </c>
      <c r="Q117" s="127">
        <f>SUMIF(ME!$C$3:$C$17,"MUD",ME!P$3:P$17)</f>
        <v>22</v>
      </c>
      <c r="R117" s="127">
        <f>SUMIF(ME!$C$3:$C$17,"MUD",ME!Q$3:Q$17)</f>
        <v>18</v>
      </c>
      <c r="S117" s="127">
        <f>SUMIF(ME!$C$3:$C$17,"MUD",ME!R$3:R$17)</f>
        <v>12</v>
      </c>
      <c r="T117" s="127">
        <f>SUMIF(ME!$C$3:$C$17,"MUD",ME!S$3:S$17)</f>
        <v>22</v>
      </c>
      <c r="U117" s="127">
        <f>SUMIF(ME!$C$3:$C$17,"MUD",ME!T$3:T$17)</f>
        <v>16</v>
      </c>
      <c r="V117" s="127">
        <f>SUMIF(ME!$C$3:$C$17,"MUD",ME!U$3:U$17)</f>
        <v>15</v>
      </c>
      <c r="W117" s="127">
        <f>SUMIF(ME!$C$3:$C$17,"MUD",ME!V$3:V$17)</f>
        <v>19</v>
      </c>
      <c r="X117" s="136">
        <f>SUMIF(ME!$C$3:$C$17,"MUD",ME!W$3:W$17)</f>
        <v>24</v>
      </c>
    </row>
    <row r="118" spans="2:24" ht="15.75" customHeight="1" thickBot="1" x14ac:dyDescent="0.25">
      <c r="B118" s="233"/>
      <c r="C118" s="229"/>
      <c r="D118" s="137" t="s">
        <v>0</v>
      </c>
      <c r="E118" s="138">
        <f>F118/(F116+F117+F118)</f>
        <v>0.1038135593220339</v>
      </c>
      <c r="F118" s="139">
        <f t="shared" si="51"/>
        <v>98</v>
      </c>
      <c r="G118" s="139">
        <f>SUMIF(ME!$C$3:$C$17,"Otro",ME!F$3:F$17)</f>
        <v>7</v>
      </c>
      <c r="H118" s="139">
        <f>SUMIF(ME!$C$3:$C$17,"Otro",ME!G$3:G$17)</f>
        <v>1</v>
      </c>
      <c r="I118" s="139">
        <f>SUMIF(ME!$C$3:$C$17,"Otro",ME!H$3:H$17)</f>
        <v>2</v>
      </c>
      <c r="J118" s="139">
        <f>SUMIF(ME!$C$3:$C$17,"Otro",ME!I$3:I$17)</f>
        <v>10</v>
      </c>
      <c r="K118" s="139">
        <f>SUMIF(ME!$C$3:$C$17,"Otro",ME!J$3:J$17)</f>
        <v>5</v>
      </c>
      <c r="L118" s="139">
        <f>SUMIF(ME!$C$3:$C$17,"Otro",ME!K$3:K$17)</f>
        <v>4</v>
      </c>
      <c r="M118" s="139">
        <f>SUMIF(ME!$C$3:$C$17,"Otro",ME!L$3:L$17)</f>
        <v>6</v>
      </c>
      <c r="N118" s="139">
        <f>SUMIF(ME!$C$3:$C$17,"Otro",ME!M$3:M$17)</f>
        <v>9</v>
      </c>
      <c r="O118" s="139">
        <f>SUMIF(ME!$C$3:$C$17,"Otro",ME!N$3:N$17)</f>
        <v>4</v>
      </c>
      <c r="P118" s="139">
        <f>SUMIF(ME!$C$3:$C$17,"Otro",ME!O$3:O$17)</f>
        <v>2</v>
      </c>
      <c r="Q118" s="139">
        <f>SUMIF(ME!$C$3:$C$17,"Otro",ME!P$3:P$17)</f>
        <v>6</v>
      </c>
      <c r="R118" s="139">
        <f>SUMIF(ME!$C$3:$C$17,"Otro",ME!Q$3:Q$17)</f>
        <v>9</v>
      </c>
      <c r="S118" s="139">
        <f>SUMIF(ME!$C$3:$C$17,"Otro",ME!R$3:R$17)</f>
        <v>5</v>
      </c>
      <c r="T118" s="139">
        <f>SUMIF(ME!$C$3:$C$17,"Otro",ME!S$3:S$17)</f>
        <v>10</v>
      </c>
      <c r="U118" s="139">
        <f>SUMIF(ME!$C$3:$C$17,"Otro",ME!T$3:T$17)</f>
        <v>3</v>
      </c>
      <c r="V118" s="139">
        <f>SUMIF(ME!$C$3:$C$17,"Otro",ME!U$3:U$17)</f>
        <v>6</v>
      </c>
      <c r="W118" s="139">
        <f>SUMIF(ME!$C$3:$C$17,"Otro",ME!V$3:V$17)</f>
        <v>5</v>
      </c>
      <c r="X118" s="140">
        <f>SUMIF(ME!$C$3:$C$17,"Otro",ME!W$3:W$17)</f>
        <v>4</v>
      </c>
    </row>
    <row r="119" spans="2:24" ht="15.75" customHeight="1" x14ac:dyDescent="0.2">
      <c r="B119" s="214" t="s">
        <v>8</v>
      </c>
      <c r="C119" s="217" t="s">
        <v>231</v>
      </c>
      <c r="D119" s="141" t="s">
        <v>142</v>
      </c>
      <c r="E119" s="142"/>
      <c r="F119" s="143"/>
      <c r="G119" s="143">
        <f>IF(SUM(G122:G124)=0,1,G122)</f>
        <v>5.0984779763352952</v>
      </c>
      <c r="H119" s="143">
        <f t="shared" ref="H119:X119" si="52">IF(SUM(H122:H124)=0,0,G119+H122)</f>
        <v>20.862463606292184</v>
      </c>
      <c r="I119" s="143">
        <f t="shared" si="52"/>
        <v>35.512410516190471</v>
      </c>
      <c r="J119" s="143">
        <f t="shared" si="52"/>
        <v>56.060685450411917</v>
      </c>
      <c r="K119" s="143">
        <f t="shared" si="52"/>
        <v>80.712874121408504</v>
      </c>
      <c r="L119" s="143">
        <f t="shared" si="52"/>
        <v>103.74298429209708</v>
      </c>
      <c r="M119" s="143">
        <f t="shared" si="52"/>
        <v>123.20477741095392</v>
      </c>
      <c r="N119" s="143">
        <f t="shared" si="52"/>
        <v>140.59535728805986</v>
      </c>
      <c r="O119" s="143">
        <f t="shared" si="52"/>
        <v>158.67235915010724</v>
      </c>
      <c r="P119" s="143">
        <f t="shared" si="52"/>
        <v>177.62944612818214</v>
      </c>
      <c r="Q119" s="143">
        <f t="shared" si="52"/>
        <v>195.64982714163648</v>
      </c>
      <c r="R119" s="143">
        <f t="shared" si="52"/>
        <v>211.7348781827879</v>
      </c>
      <c r="S119" s="143">
        <f t="shared" si="52"/>
        <v>221.5948459903681</v>
      </c>
      <c r="T119" s="143">
        <f t="shared" si="52"/>
        <v>232.34334338205167</v>
      </c>
      <c r="U119" s="143">
        <f t="shared" si="52"/>
        <v>233.11471167805007</v>
      </c>
      <c r="V119" s="143">
        <f t="shared" si="52"/>
        <v>0</v>
      </c>
      <c r="W119" s="143">
        <f t="shared" si="52"/>
        <v>0</v>
      </c>
      <c r="X119" s="144">
        <f t="shared" si="52"/>
        <v>0</v>
      </c>
    </row>
    <row r="120" spans="2:24" ht="15.75" customHeight="1" x14ac:dyDescent="0.2">
      <c r="B120" s="215"/>
      <c r="C120" s="218"/>
      <c r="D120" s="145" t="s">
        <v>141</v>
      </c>
      <c r="E120" s="146"/>
      <c r="F120" s="147"/>
      <c r="G120" s="147">
        <f>IF(SUM(G122:G124)=0,1,G123)</f>
        <v>7.2938586809701125</v>
      </c>
      <c r="H120" s="147">
        <f t="shared" ref="H120:X120" si="53">IF(SUM(H122:H124)=0,0,G120+H123)</f>
        <v>37.265112149818819</v>
      </c>
      <c r="I120" s="147">
        <f t="shared" si="53"/>
        <v>72.906429837013121</v>
      </c>
      <c r="J120" s="147">
        <f t="shared" si="53"/>
        <v>113.62233522330872</v>
      </c>
      <c r="K120" s="147">
        <f t="shared" si="53"/>
        <v>154.95146861131653</v>
      </c>
      <c r="L120" s="147">
        <f t="shared" si="53"/>
        <v>200.38341257910477</v>
      </c>
      <c r="M120" s="147">
        <f t="shared" si="53"/>
        <v>241.77772568126926</v>
      </c>
      <c r="N120" s="147">
        <f t="shared" si="53"/>
        <v>284.98889055382887</v>
      </c>
      <c r="O120" s="147">
        <f t="shared" si="53"/>
        <v>328.27805088163944</v>
      </c>
      <c r="P120" s="147">
        <f t="shared" si="53"/>
        <v>367.02999308781381</v>
      </c>
      <c r="Q120" s="147">
        <f t="shared" si="53"/>
        <v>410.73456023296274</v>
      </c>
      <c r="R120" s="147">
        <f t="shared" si="53"/>
        <v>449.59114337872177</v>
      </c>
      <c r="S120" s="147">
        <f t="shared" si="53"/>
        <v>479.66093819903983</v>
      </c>
      <c r="T120" s="147">
        <f t="shared" si="53"/>
        <v>508.58383644059472</v>
      </c>
      <c r="U120" s="147">
        <f t="shared" si="53"/>
        <v>513.79619308792121</v>
      </c>
      <c r="V120" s="147">
        <f t="shared" si="53"/>
        <v>0</v>
      </c>
      <c r="W120" s="147">
        <f t="shared" si="53"/>
        <v>0</v>
      </c>
      <c r="X120" s="148">
        <f t="shared" si="53"/>
        <v>0</v>
      </c>
    </row>
    <row r="121" spans="2:24" ht="15.75" customHeight="1" thickBot="1" x14ac:dyDescent="0.25">
      <c r="B121" s="215"/>
      <c r="C121" s="219"/>
      <c r="D121" s="149" t="s">
        <v>0</v>
      </c>
      <c r="E121" s="150"/>
      <c r="F121" s="151"/>
      <c r="G121" s="151">
        <f>IF(SUM(G122:G124)=0,1,G124)</f>
        <v>0.20150499831089155</v>
      </c>
      <c r="H121" s="151">
        <f t="shared" ref="H121:X121" si="54">IF(SUM(H122:H124)=0,0,G121+H124)</f>
        <v>1.01991107072289</v>
      </c>
      <c r="I121" s="151">
        <f t="shared" si="54"/>
        <v>1.4229210673446731</v>
      </c>
      <c r="J121" s="151">
        <f t="shared" si="54"/>
        <v>1.9504889821255267</v>
      </c>
      <c r="K121" s="151">
        <f t="shared" si="54"/>
        <v>2.3831977481418463</v>
      </c>
      <c r="L121" s="151">
        <f t="shared" si="54"/>
        <v>2.9260627016389988</v>
      </c>
      <c r="M121" s="151">
        <f t="shared" si="54"/>
        <v>3.6039870478412439</v>
      </c>
      <c r="N121" s="151">
        <f t="shared" si="54"/>
        <v>3.7536189618401128</v>
      </c>
      <c r="O121" s="151">
        <f t="shared" si="54"/>
        <v>4.9998979552926022</v>
      </c>
      <c r="P121" s="151">
        <f t="shared" si="54"/>
        <v>5.7577737926634152</v>
      </c>
      <c r="Q121" s="151">
        <f t="shared" si="54"/>
        <v>6.0993689877540982</v>
      </c>
      <c r="R121" s="151">
        <f t="shared" si="54"/>
        <v>6.6952638902987172</v>
      </c>
      <c r="S121" s="151">
        <f t="shared" si="54"/>
        <v>6.796016389454163</v>
      </c>
      <c r="T121" s="151">
        <f t="shared" si="54"/>
        <v>7.0398489953161478</v>
      </c>
      <c r="U121" s="151">
        <f t="shared" si="54"/>
        <v>7.0398489953161478</v>
      </c>
      <c r="V121" s="151">
        <f t="shared" si="54"/>
        <v>0</v>
      </c>
      <c r="W121" s="151">
        <f t="shared" si="54"/>
        <v>0</v>
      </c>
      <c r="X121" s="152">
        <f t="shared" si="54"/>
        <v>0</v>
      </c>
    </row>
    <row r="122" spans="2:24" ht="15.75" customHeight="1" x14ac:dyDescent="0.2">
      <c r="B122" s="215"/>
      <c r="C122" s="220" t="s">
        <v>232</v>
      </c>
      <c r="D122" s="153" t="s">
        <v>142</v>
      </c>
      <c r="E122" s="154">
        <f>F122/(F122+F123+F124)</f>
        <v>0.30919089942558481</v>
      </c>
      <c r="F122" s="155">
        <f t="shared" ref="F122:F127" si="55">IF(SUM(G122:X122)=0,1,SUM(G122:X122))</f>
        <v>233.11471167805007</v>
      </c>
      <c r="G122" s="155">
        <f>MI!F3*MI!$B$5+MI!F6*MI!$B$8+MI!F9*MI!$B$11+MI!F12*MI!$B$14+MI!F15*MI!$B$17+MI!F18*MI!$B$20+MI!F21*MI!$B$23+MI!F24*MI!$B$26+MI!F27*MI!$B$29+MI!F30*MI!$B$32+MI!F33*MI!$B$35+MI!F36*MI!$B$38+MI!F39*MI!$B$41+MI!F42*MI!$B$44+MI!F45*MI!$B$47+MI!F48*MI!$B$50+MI!F51*MI!$B$53</f>
        <v>5.0984779763352952</v>
      </c>
      <c r="H122" s="155">
        <f>MI!G3*MI!$B$5+MI!G6*MI!$B$8+MI!G9*MI!$B$11+MI!G12*MI!$B$14+MI!G15*MI!$B$17+MI!G18*MI!$B$20+MI!G21*MI!$B$23+MI!G24*MI!$B$26+MI!G27*MI!$B$29+MI!G30*MI!$B$32+MI!G33*MI!$B$35+MI!G36*MI!$B$38+MI!G39*MI!$B$41+MI!G42*MI!$B$44+MI!G45*MI!$B$47+MI!G48*MI!$B$50+MI!G51*MI!$B$53</f>
        <v>15.76398562995689</v>
      </c>
      <c r="I122" s="155">
        <f>MI!H3*MI!$B$5+MI!H6*MI!$B$8+MI!H9*MI!$B$11+MI!H12*MI!$B$14+MI!H15*MI!$B$17+MI!H18*MI!$B$20+MI!H21*MI!$B$23+MI!H24*MI!$B$26+MI!H27*MI!$B$29+MI!H30*MI!$B$32+MI!H33*MI!$B$35+MI!H36*MI!$B$38+MI!H39*MI!$B$41+MI!H42*MI!$B$44+MI!H45*MI!$B$47+MI!H48*MI!$B$50+MI!H51*MI!$B$53</f>
        <v>14.649946909898283</v>
      </c>
      <c r="J122" s="155">
        <f>MI!I3*MI!$B$5+MI!I6*MI!$B$8+MI!I9*MI!$B$11+MI!I12*MI!$B$14+MI!I15*MI!$B$17+MI!I18*MI!$B$20+MI!I21*MI!$B$23+MI!I24*MI!$B$26+MI!I27*MI!$B$29+MI!I30*MI!$B$32+MI!I33*MI!$B$35+MI!I36*MI!$B$38+MI!I39*MI!$B$41+MI!I42*MI!$B$44+MI!I45*MI!$B$47+MI!I48*MI!$B$50+MI!I51*MI!$B$53</f>
        <v>20.548274934221446</v>
      </c>
      <c r="K122" s="155">
        <f>MI!J3*MI!$B$5+MI!J6*MI!$B$8+MI!J9*MI!$B$11+MI!J12*MI!$B$14+MI!J15*MI!$B$17+MI!J18*MI!$B$20+MI!J21*MI!$B$23+MI!J24*MI!$B$26+MI!J27*MI!$B$29+MI!J30*MI!$B$32+MI!J33*MI!$B$35+MI!J36*MI!$B$38+MI!J39*MI!$B$41+MI!J42*MI!$B$44+MI!J45*MI!$B$47+MI!J48*MI!$B$50+MI!J51*MI!$B$53</f>
        <v>24.652188670996583</v>
      </c>
      <c r="L122" s="155">
        <f>MI!K3*MI!$B$5+MI!K6*MI!$B$8+MI!K9*MI!$B$11+MI!K12*MI!$B$14+MI!K15*MI!$B$17+MI!K18*MI!$B$20+MI!K21*MI!$B$23+MI!K24*MI!$B$26+MI!K27*MI!$B$29+MI!K30*MI!$B$32+MI!K33*MI!$B$35+MI!K36*MI!$B$38+MI!K39*MI!$B$41+MI!K42*MI!$B$44+MI!K45*MI!$B$47+MI!K48*MI!$B$50+MI!K51*MI!$B$53</f>
        <v>23.03011017068857</v>
      </c>
      <c r="M122" s="155">
        <f>MI!L3*MI!$B$5+MI!L6*MI!$B$8+MI!L9*MI!$B$11+MI!L12*MI!$B$14+MI!L15*MI!$B$17+MI!L18*MI!$B$20+MI!L21*MI!$B$23+MI!L24*MI!$B$26+MI!L27*MI!$B$29+MI!L30*MI!$B$32+MI!L33*MI!$B$35+MI!L36*MI!$B$38+MI!L39*MI!$B$41+MI!L42*MI!$B$44+MI!L45*MI!$B$47+MI!L48*MI!$B$50+MI!L51*MI!$B$53</f>
        <v>19.461793118856843</v>
      </c>
      <c r="N122" s="155">
        <f>MI!M3*MI!$B$5+MI!M6*MI!$B$8+MI!M9*MI!$B$11+MI!M12*MI!$B$14+MI!M15*MI!$B$17+MI!M18*MI!$B$20+MI!M21*MI!$B$23+MI!M24*MI!$B$26+MI!M27*MI!$B$29+MI!M30*MI!$B$32+MI!M33*MI!$B$35+MI!M36*MI!$B$38+MI!M39*MI!$B$41+MI!M42*MI!$B$44+MI!M45*MI!$B$47+MI!M48*MI!$B$50+MI!M51*MI!$B$53</f>
        <v>17.390579877105949</v>
      </c>
      <c r="O122" s="155">
        <f>MI!N3*MI!$B$5+MI!N6*MI!$B$8+MI!N9*MI!$B$11+MI!N12*MI!$B$14+MI!N15*MI!$B$17+MI!N18*MI!$B$20+MI!N21*MI!$B$23+MI!N24*MI!$B$26+MI!N27*MI!$B$29+MI!N30*MI!$B$32+MI!N33*MI!$B$35+MI!N36*MI!$B$38+MI!N39*MI!$B$41+MI!N42*MI!$B$44+MI!N45*MI!$B$47+MI!N48*MI!$B$50+MI!N51*MI!$B$53</f>
        <v>18.077001862047371</v>
      </c>
      <c r="P122" s="155">
        <f>MI!O3*MI!$B$5+MI!O6*MI!$B$8+MI!O9*MI!$B$11+MI!O12*MI!$B$14+MI!O15*MI!$B$17+MI!O18*MI!$B$20+MI!O21*MI!$B$23+MI!O24*MI!$B$26+MI!O27*MI!$B$29+MI!O30*MI!$B$32+MI!O33*MI!$B$35+MI!O36*MI!$B$38+MI!O39*MI!$B$41+MI!O42*MI!$B$44+MI!O45*MI!$B$47+MI!O48*MI!$B$50+MI!O51*MI!$B$53</f>
        <v>18.957086978074887</v>
      </c>
      <c r="Q122" s="155">
        <f>MI!P3*MI!$B$5+MI!P6*MI!$B$8+MI!P9*MI!$B$11+MI!P12*MI!$B$14+MI!P15*MI!$B$17+MI!P18*MI!$B$20+MI!P21*MI!$B$23+MI!P24*MI!$B$26+MI!P27*MI!$B$29+MI!P30*MI!$B$32+MI!P33*MI!$B$35+MI!P36*MI!$B$38+MI!P39*MI!$B$41+MI!P42*MI!$B$44+MI!P45*MI!$B$47+MI!P48*MI!$B$50+MI!P51*MI!$B$53</f>
        <v>18.020381013454326</v>
      </c>
      <c r="R122" s="155">
        <f>MI!Q3*MI!$B$5+MI!Q6*MI!$B$8+MI!Q9*MI!$B$11+MI!Q12*MI!$B$14+MI!Q15*MI!$B$17+MI!Q18*MI!$B$20+MI!Q21*MI!$B$23+MI!Q24*MI!$B$26+MI!Q27*MI!$B$29+MI!Q30*MI!$B$32+MI!Q33*MI!$B$35+MI!Q36*MI!$B$38+MI!Q39*MI!$B$41+MI!Q42*MI!$B$44+MI!Q45*MI!$B$47+MI!Q48*MI!$B$50+MI!Q51*MI!$B$53</f>
        <v>16.085051041151406</v>
      </c>
      <c r="S122" s="155">
        <f>MI!R3*MI!$B$5+MI!R6*MI!$B$8+MI!R9*MI!$B$11+MI!R12*MI!$B$14+MI!R15*MI!$B$17+MI!R18*MI!$B$20+MI!R21*MI!$B$23+MI!R24*MI!$B$26+MI!R27*MI!$B$29+MI!R30*MI!$B$32+MI!R33*MI!$B$35+MI!R36*MI!$B$38+MI!R39*MI!$B$41+MI!R42*MI!$B$44+MI!R45*MI!$B$47+MI!R48*MI!$B$50+MI!R51*MI!$B$53</f>
        <v>9.8599678075802029</v>
      </c>
      <c r="T122" s="155">
        <f>MI!S3*MI!$B$5+MI!S6*MI!$B$8+MI!S9*MI!$B$11+MI!S12*MI!$B$14+MI!S15*MI!$B$17+MI!S18*MI!$B$20+MI!S21*MI!$B$23+MI!S24*MI!$B$26+MI!S27*MI!$B$29+MI!S30*MI!$B$32+MI!S33*MI!$B$35+MI!S36*MI!$B$38+MI!S39*MI!$B$41+MI!S42*MI!$B$44+MI!S45*MI!$B$47+MI!S48*MI!$B$50+MI!S51*MI!$B$53</f>
        <v>10.748497391683571</v>
      </c>
      <c r="U122" s="155">
        <f>MI!T3*MI!$B$5+MI!T6*MI!$B$8+MI!T9*MI!$B$11+MI!T12*MI!$B$14+MI!T15*MI!$B$17+MI!T18*MI!$B$20+MI!T21*MI!$B$23+MI!T24*MI!$B$26+MI!T27*MI!$B$29+MI!T30*MI!$B$32+MI!T33*MI!$B$35+MI!T36*MI!$B$38+MI!T39*MI!$B$41+MI!T42*MI!$B$44+MI!T45*MI!$B$47+MI!T48*MI!$B$50+MI!T51*MI!$B$53</f>
        <v>0.77136829599839729</v>
      </c>
      <c r="V122" s="155">
        <f>MI!U3*MI!$B$5+MI!U6*MI!$B$8+MI!U9*MI!$B$11+MI!U12*MI!$B$14+MI!U15*MI!$B$17+MI!U18*MI!$B$20+MI!U21*MI!$B$23+MI!U24*MI!$B$26+MI!U27*MI!$B$29+MI!U30*MI!$B$32+MI!U33*MI!$B$35+MI!U36*MI!$B$38+MI!U39*MI!$B$41+MI!U42*MI!$B$44+MI!U45*MI!$B$47+MI!U48*MI!$B$50+MI!U51*MI!$B$53</f>
        <v>0</v>
      </c>
      <c r="W122" s="155">
        <f>MI!V3*MI!$B$5+MI!V6*MI!$B$8+MI!V9*MI!$B$11+MI!V12*MI!$B$14+MI!V15*MI!$B$17+MI!V18*MI!$B$20+MI!V21*MI!$B$23+MI!V24*MI!$B$26+MI!V27*MI!$B$29+MI!V30*MI!$B$32+MI!V33*MI!$B$35+MI!V36*MI!$B$38+MI!V39*MI!$B$41+MI!V42*MI!$B$44+MI!V45*MI!$B$47+MI!V48*MI!$B$50+MI!V51*MI!$B$53</f>
        <v>0</v>
      </c>
      <c r="X122" s="156">
        <f>MI!W3*MI!$B$5+MI!W6*MI!$B$8+MI!W9*MI!$B$11+MI!W12*MI!$B$14+MI!W15*MI!$B$17+MI!W18*MI!$B$20+MI!W21*MI!$B$23+MI!W24*MI!$B$26+MI!W27*MI!$B$29+MI!W30*MI!$B$32+MI!W33*MI!$B$35+MI!W36*MI!$B$38+MI!W39*MI!$B$41+MI!W42*MI!$B$44+MI!W45*MI!$B$47+MI!W48*MI!$B$50+MI!W51*MI!$B$53</f>
        <v>0</v>
      </c>
    </row>
    <row r="123" spans="2:24" ht="15.75" customHeight="1" x14ac:dyDescent="0.2">
      <c r="B123" s="215"/>
      <c r="C123" s="218"/>
      <c r="D123" s="145" t="s">
        <v>141</v>
      </c>
      <c r="E123" s="146">
        <f>F123/(F122+F123+F124)</f>
        <v>0.68147182097067993</v>
      </c>
      <c r="F123" s="147">
        <f t="shared" si="55"/>
        <v>513.79619308792121</v>
      </c>
      <c r="G123" s="147">
        <f>MI!F4*MI!$B$5+MI!F7*MI!$B$8+MI!F10*MI!$B$11+MI!F13*MI!$B$14+MI!F16*MI!$B$17+MI!F19*MI!$B$20+MI!F22*MI!$B$23+MI!F25*MI!$B$26+MI!F28*MI!$B$29+MI!F31*MI!$B$32+MI!F34*MI!$B$35+MI!F37*MI!$B$38+MI!F40*MI!$B$41+MI!F43*MI!$B$44+MI!F46*MI!$B$47+MI!F49*MI!$B$50+MI!F52*MI!$B$53</f>
        <v>7.2938586809701125</v>
      </c>
      <c r="H123" s="147">
        <f>MI!G4*MI!$B$5+MI!G7*MI!$B$8+MI!G10*MI!$B$11+MI!G13*MI!$B$14+MI!G16*MI!$B$17+MI!G19*MI!$B$20+MI!G22*MI!$B$23+MI!G25*MI!$B$26+MI!G28*MI!$B$29+MI!G31*MI!$B$32+MI!G34*MI!$B$35+MI!G37*MI!$B$38+MI!G40*MI!$B$41+MI!G43*MI!$B$44+MI!G46*MI!$B$47+MI!G49*MI!$B$50+MI!G52*MI!$B$53</f>
        <v>29.971253468848705</v>
      </c>
      <c r="I123" s="147">
        <f>MI!H4*MI!$B$5+MI!H7*MI!$B$8+MI!H10*MI!$B$11+MI!H13*MI!$B$14+MI!H16*MI!$B$17+MI!H19*MI!$B$20+MI!H22*MI!$B$23+MI!H25*MI!$B$26+MI!H28*MI!$B$29+MI!H31*MI!$B$32+MI!H34*MI!$B$35+MI!H37*MI!$B$38+MI!H40*MI!$B$41+MI!H43*MI!$B$44+MI!H46*MI!$B$47+MI!H49*MI!$B$50+MI!H52*MI!$B$53</f>
        <v>35.641317687194302</v>
      </c>
      <c r="J123" s="147">
        <f>MI!I4*MI!$B$5+MI!I7*MI!$B$8+MI!I10*MI!$B$11+MI!I13*MI!$B$14+MI!I16*MI!$B$17+MI!I19*MI!$B$20+MI!I22*MI!$B$23+MI!I25*MI!$B$26+MI!I28*MI!$B$29+MI!I31*MI!$B$32+MI!I34*MI!$B$35+MI!I37*MI!$B$38+MI!I40*MI!$B$41+MI!I43*MI!$B$44+MI!I46*MI!$B$47+MI!I49*MI!$B$50+MI!I52*MI!$B$53</f>
        <v>40.715905386295603</v>
      </c>
      <c r="K123" s="147">
        <f>MI!J4*MI!$B$5+MI!J7*MI!$B$8+MI!J10*MI!$B$11+MI!J13*MI!$B$14+MI!J16*MI!$B$17+MI!J19*MI!$B$20+MI!J22*MI!$B$23+MI!J25*MI!$B$26+MI!J28*MI!$B$29+MI!J31*MI!$B$32+MI!J34*MI!$B$35+MI!J37*MI!$B$38+MI!J40*MI!$B$41+MI!J43*MI!$B$44+MI!J46*MI!$B$47+MI!J49*MI!$B$50+MI!J52*MI!$B$53</f>
        <v>41.329133388007804</v>
      </c>
      <c r="L123" s="147">
        <f>MI!K4*MI!$B$5+MI!K7*MI!$B$8+MI!K10*MI!$B$11+MI!K13*MI!$B$14+MI!K16*MI!$B$17+MI!K19*MI!$B$20+MI!K22*MI!$B$23+MI!K25*MI!$B$26+MI!K28*MI!$B$29+MI!K31*MI!$B$32+MI!K34*MI!$B$35+MI!K37*MI!$B$38+MI!K40*MI!$B$41+MI!K43*MI!$B$44+MI!K46*MI!$B$47+MI!K49*MI!$B$50+MI!K52*MI!$B$53</f>
        <v>45.431943967788243</v>
      </c>
      <c r="M123" s="147">
        <f>MI!L4*MI!$B$5+MI!L7*MI!$B$8+MI!L10*MI!$B$11+MI!L13*MI!$B$14+MI!L16*MI!$B$17+MI!L19*MI!$B$20+MI!L22*MI!$B$23+MI!L25*MI!$B$26+MI!L28*MI!$B$29+MI!L31*MI!$B$32+MI!L34*MI!$B$35+MI!L37*MI!$B$38+MI!L40*MI!$B$41+MI!L43*MI!$B$44+MI!L46*MI!$B$47+MI!L49*MI!$B$50+MI!L52*MI!$B$53</f>
        <v>41.394313102164475</v>
      </c>
      <c r="N123" s="147">
        <f>MI!M4*MI!$B$5+MI!M7*MI!$B$8+MI!M10*MI!$B$11+MI!M13*MI!$B$14+MI!M16*MI!$B$17+MI!M19*MI!$B$20+MI!M22*MI!$B$23+MI!M25*MI!$B$26+MI!M28*MI!$B$29+MI!M31*MI!$B$32+MI!M34*MI!$B$35+MI!M37*MI!$B$38+MI!M40*MI!$B$41+MI!M43*MI!$B$44+MI!M46*MI!$B$47+MI!M49*MI!$B$50+MI!M52*MI!$B$53</f>
        <v>43.211164872559586</v>
      </c>
      <c r="O123" s="147">
        <f>MI!N4*MI!$B$5+MI!N7*MI!$B$8+MI!N10*MI!$B$11+MI!N13*MI!$B$14+MI!N16*MI!$B$17+MI!N19*MI!$B$20+MI!N22*MI!$B$23+MI!N25*MI!$B$26+MI!N28*MI!$B$29+MI!N31*MI!$B$32+MI!N34*MI!$B$35+MI!N37*MI!$B$38+MI!N40*MI!$B$41+MI!N43*MI!$B$44+MI!N46*MI!$B$47+MI!N49*MI!$B$50+MI!N52*MI!$B$53</f>
        <v>43.289160327810571</v>
      </c>
      <c r="P123" s="147">
        <f>MI!O4*MI!$B$5+MI!O7*MI!$B$8+MI!O10*MI!$B$11+MI!O13*MI!$B$14+MI!O16*MI!$B$17+MI!O19*MI!$B$20+MI!O22*MI!$B$23+MI!O25*MI!$B$26+MI!O28*MI!$B$29+MI!O31*MI!$B$32+MI!O34*MI!$B$35+MI!O37*MI!$B$38+MI!O40*MI!$B$41+MI!O43*MI!$B$44+MI!O46*MI!$B$47+MI!O49*MI!$B$50+MI!O52*MI!$B$53</f>
        <v>38.751942206174355</v>
      </c>
      <c r="Q123" s="147">
        <f>MI!P4*MI!$B$5+MI!P7*MI!$B$8+MI!P10*MI!$B$11+MI!P13*MI!$B$14+MI!P16*MI!$B$17+MI!P19*MI!$B$20+MI!P22*MI!$B$23+MI!P25*MI!$B$26+MI!P28*MI!$B$29+MI!P31*MI!$B$32+MI!P34*MI!$B$35+MI!P37*MI!$B$38+MI!P40*MI!$B$41+MI!P43*MI!$B$44+MI!P46*MI!$B$47+MI!P49*MI!$B$50+MI!P52*MI!$B$53</f>
        <v>43.704567145148935</v>
      </c>
      <c r="R123" s="147">
        <f>MI!Q4*MI!$B$5+MI!Q7*MI!$B$8+MI!Q10*MI!$B$11+MI!Q13*MI!$B$14+MI!Q16*MI!$B$17+MI!Q19*MI!$B$20+MI!Q22*MI!$B$23+MI!Q25*MI!$B$26+MI!Q28*MI!$B$29+MI!Q31*MI!$B$32+MI!Q34*MI!$B$35+MI!Q37*MI!$B$38+MI!Q40*MI!$B$41+MI!Q43*MI!$B$44+MI!Q46*MI!$B$47+MI!Q49*MI!$B$50+MI!Q52*MI!$B$53</f>
        <v>38.856583145759046</v>
      </c>
      <c r="S123" s="147">
        <f>MI!R4*MI!$B$5+MI!R7*MI!$B$8+MI!R10*MI!$B$11+MI!R13*MI!$B$14+MI!R16*MI!$B$17+MI!R19*MI!$B$20+MI!R22*MI!$B$23+MI!R25*MI!$B$26+MI!R28*MI!$B$29+MI!R31*MI!$B$32+MI!R34*MI!$B$35+MI!R37*MI!$B$38+MI!R40*MI!$B$41+MI!R43*MI!$B$44+MI!R46*MI!$B$47+MI!R49*MI!$B$50+MI!R52*MI!$B$53</f>
        <v>30.069794820318069</v>
      </c>
      <c r="T123" s="147">
        <f>MI!S4*MI!$B$5+MI!S7*MI!$B$8+MI!S10*MI!$B$11+MI!S13*MI!$B$14+MI!S16*MI!$B$17+MI!S19*MI!$B$20+MI!S22*MI!$B$23+MI!S25*MI!$B$26+MI!S28*MI!$B$29+MI!S31*MI!$B$32+MI!S34*MI!$B$35+MI!S37*MI!$B$38+MI!S40*MI!$B$41+MI!S43*MI!$B$44+MI!S46*MI!$B$47+MI!S49*MI!$B$50+MI!S52*MI!$B$53</f>
        <v>28.922898241554861</v>
      </c>
      <c r="U123" s="147">
        <f>MI!T4*MI!$B$5+MI!T7*MI!$B$8+MI!T10*MI!$B$11+MI!T13*MI!$B$14+MI!T16*MI!$B$17+MI!T19*MI!$B$20+MI!T22*MI!$B$23+MI!T25*MI!$B$26+MI!T28*MI!$B$29+MI!T31*MI!$B$32+MI!T34*MI!$B$35+MI!T37*MI!$B$38+MI!T40*MI!$B$41+MI!T43*MI!$B$44+MI!T46*MI!$B$47+MI!T49*MI!$B$50+MI!T52*MI!$B$53</f>
        <v>5.2123566473265095</v>
      </c>
      <c r="V123" s="147">
        <f>MI!U4*MI!$B$5+MI!U7*MI!$B$8+MI!U10*MI!$B$11+MI!U13*MI!$B$14+MI!U16*MI!$B$17+MI!U19*MI!$B$20+MI!U22*MI!$B$23+MI!U25*MI!$B$26+MI!U28*MI!$B$29+MI!U31*MI!$B$32+MI!U34*MI!$B$35+MI!U37*MI!$B$38+MI!U40*MI!$B$41+MI!U43*MI!$B$44+MI!U46*MI!$B$47+MI!U49*MI!$B$50+MI!U52*MI!$B$53</f>
        <v>0</v>
      </c>
      <c r="W123" s="147">
        <f>MI!V4*MI!$B$5+MI!V7*MI!$B$8+MI!V10*MI!$B$11+MI!V13*MI!$B$14+MI!V16*MI!$B$17+MI!V19*MI!$B$20+MI!V22*MI!$B$23+MI!V25*MI!$B$26+MI!V28*MI!$B$29+MI!V31*MI!$B$32+MI!V34*MI!$B$35+MI!V37*MI!$B$38+MI!V40*MI!$B$41+MI!V43*MI!$B$44+MI!V46*MI!$B$47+MI!V49*MI!$B$50+MI!V52*MI!$B$53</f>
        <v>0</v>
      </c>
      <c r="X123" s="148">
        <f>MI!W4*MI!$B$5+MI!W7*MI!$B$8+MI!W10*MI!$B$11+MI!W13*MI!$B$14+MI!W16*MI!$B$17+MI!W19*MI!$B$20+MI!W22*MI!$B$23+MI!W25*MI!$B$26+MI!W28*MI!$B$29+MI!W31*MI!$B$32+MI!W34*MI!$B$35+MI!W37*MI!$B$38+MI!W40*MI!$B$41+MI!W43*MI!$B$44+MI!W46*MI!$B$47+MI!W49*MI!$B$50+MI!W52*MI!$B$53</f>
        <v>0</v>
      </c>
    </row>
    <row r="124" spans="2:24" ht="15.75" customHeight="1" thickBot="1" x14ac:dyDescent="0.25">
      <c r="B124" s="215"/>
      <c r="C124" s="219"/>
      <c r="D124" s="149" t="s">
        <v>0</v>
      </c>
      <c r="E124" s="150">
        <f>F124/(F122+F123+F124)</f>
        <v>9.3372796037353312E-3</v>
      </c>
      <c r="F124" s="151">
        <f t="shared" si="55"/>
        <v>7.0398489953161478</v>
      </c>
      <c r="G124" s="151">
        <f>MI!F5*MI!$B$5+MI!F8*MI!$B$8+MI!F11*MI!$B$11+MI!F14*MI!$B$14+MI!F17*MI!$B$17+MI!F20*MI!$B$20+MI!F23*MI!$B$23+MI!F26*MI!$B$26+MI!F29*MI!$B$29+MI!F32*MI!$B$32+MI!F35*MI!$B$35+MI!F38*MI!$B$38+MI!F41*MI!$B$41+MI!F44*MI!$B$44+MI!F47*MI!$B$47+MI!F50*MI!$B$50+MI!F53*MI!$B$53</f>
        <v>0.20150499831089155</v>
      </c>
      <c r="H124" s="151">
        <f>MI!G5*MI!$B$5+MI!G8*MI!$B$8+MI!G11*MI!$B$11+MI!G14*MI!$B$14+MI!G17*MI!$B$17+MI!G20*MI!$B$20+MI!G23*MI!$B$23+MI!G26*MI!$B$26+MI!G29*MI!$B$29+MI!G32*MI!$B$32+MI!G35*MI!$B$35+MI!G38*MI!$B$38+MI!G41*MI!$B$41+MI!G44*MI!$B$44+MI!G47*MI!$B$47+MI!G50*MI!$B$50+MI!G53*MI!$B$53</f>
        <v>0.81840607241199848</v>
      </c>
      <c r="I124" s="151">
        <f>MI!H5*MI!$B$5+MI!H8*MI!$B$8+MI!H11*MI!$B$11+MI!H14*MI!$B$14+MI!H17*MI!$B$17+MI!H20*MI!$B$20+MI!H23*MI!$B$23+MI!H26*MI!$B$26+MI!H29*MI!$B$29+MI!H32*MI!$B$32+MI!H35*MI!$B$35+MI!H38*MI!$B$38+MI!H41*MI!$B$41+MI!H44*MI!$B$44+MI!H47*MI!$B$47+MI!H50*MI!$B$50+MI!H53*MI!$B$53</f>
        <v>0.40300999662178311</v>
      </c>
      <c r="J124" s="151">
        <f>MI!I5*MI!$B$5+MI!I8*MI!$B$8+MI!I11*MI!$B$11+MI!I14*MI!$B$14+MI!I17*MI!$B$17+MI!I20*MI!$B$20+MI!I23*MI!$B$23+MI!I26*MI!$B$26+MI!I29*MI!$B$29+MI!I32*MI!$B$32+MI!I35*MI!$B$35+MI!I38*MI!$B$38+MI!I41*MI!$B$41+MI!I44*MI!$B$44+MI!I47*MI!$B$47+MI!I50*MI!$B$50+MI!I53*MI!$B$53</f>
        <v>0.52756791478085363</v>
      </c>
      <c r="K124" s="151">
        <f>MI!J5*MI!$B$5+MI!J8*MI!$B$8+MI!J11*MI!$B$11+MI!J14*MI!$B$14+MI!J17*MI!$B$17+MI!J20*MI!$B$20+MI!J23*MI!$B$23+MI!J26*MI!$B$26+MI!J29*MI!$B$29+MI!J32*MI!$B$32+MI!J35*MI!$B$35+MI!J38*MI!$B$38+MI!J41*MI!$B$41+MI!J44*MI!$B$44+MI!J47*MI!$B$47+MI!J50*MI!$B$50+MI!J53*MI!$B$53</f>
        <v>0.43270876601631963</v>
      </c>
      <c r="L124" s="151">
        <f>MI!K5*MI!$B$5+MI!K8*MI!$B$8+MI!K11*MI!$B$11+MI!K14*MI!$B$14+MI!K17*MI!$B$17+MI!K20*MI!$B$20+MI!K23*MI!$B$23+MI!K26*MI!$B$26+MI!K29*MI!$B$29+MI!K32*MI!$B$32+MI!K35*MI!$B$35+MI!K38*MI!$B$38+MI!K41*MI!$B$41+MI!K44*MI!$B$44+MI!K47*MI!$B$47+MI!K50*MI!$B$50+MI!K53*MI!$B$53</f>
        <v>0.54286495349715269</v>
      </c>
      <c r="M124" s="151">
        <f>MI!L5*MI!$B$5+MI!L8*MI!$B$8+MI!L11*MI!$B$11+MI!L14*MI!$B$14+MI!L17*MI!$B$17+MI!L20*MI!$B$20+MI!L23*MI!$B$23+MI!L26*MI!$B$26+MI!L29*MI!$B$29+MI!L32*MI!$B$32+MI!L35*MI!$B$35+MI!L38*MI!$B$38+MI!L41*MI!$B$41+MI!L44*MI!$B$44+MI!L47*MI!$B$47+MI!L50*MI!$B$50+MI!L53*MI!$B$53</f>
        <v>0.67792434620224507</v>
      </c>
      <c r="N124" s="151">
        <f>MI!M5*MI!$B$5+MI!M8*MI!$B$8+MI!M11*MI!$B$11+MI!M14*MI!$B$14+MI!M17*MI!$B$17+MI!M20*MI!$B$20+MI!M23*MI!$B$23+MI!M26*MI!$B$26+MI!M29*MI!$B$29+MI!M32*MI!$B$32+MI!M35*MI!$B$35+MI!M38*MI!$B$38+MI!M41*MI!$B$41+MI!M44*MI!$B$44+MI!M47*MI!$B$47+MI!M50*MI!$B$50+MI!M53*MI!$B$53</f>
        <v>0.14963191399886891</v>
      </c>
      <c r="O124" s="151">
        <f>MI!N5*MI!$B$5+MI!N8*MI!$B$8+MI!N11*MI!$B$11+MI!N14*MI!$B$14+MI!N17*MI!$B$17+MI!N20*MI!$B$20+MI!N23*MI!$B$23+MI!N26*MI!$B$26+MI!N29*MI!$B$29+MI!N32*MI!$B$32+MI!N35*MI!$B$35+MI!N38*MI!$B$38+MI!N41*MI!$B$41+MI!N44*MI!$B$44+MI!N47*MI!$B$47+MI!N50*MI!$B$50+MI!N53*MI!$B$53</f>
        <v>1.2462789934524894</v>
      </c>
      <c r="P124" s="151">
        <f>MI!O5*MI!$B$5+MI!O8*MI!$B$8+MI!O11*MI!$B$11+MI!O14*MI!$B$14+MI!O17*MI!$B$17+MI!O20*MI!$B$20+MI!O23*MI!$B$23+MI!O26*MI!$B$26+MI!O29*MI!$B$29+MI!O32*MI!$B$32+MI!O35*MI!$B$35+MI!O38*MI!$B$38+MI!O41*MI!$B$41+MI!O44*MI!$B$44+MI!O47*MI!$B$47+MI!O50*MI!$B$50+MI!O53*MI!$B$53</f>
        <v>0.75787583737081288</v>
      </c>
      <c r="Q124" s="151">
        <f>MI!P5*MI!$B$5+MI!P8*MI!$B$8+MI!P11*MI!$B$11+MI!P14*MI!$B$14+MI!P17*MI!$B$17+MI!P20*MI!$B$20+MI!P23*MI!$B$23+MI!P26*MI!$B$26+MI!P29*MI!$B$29+MI!P32*MI!$B$32+MI!P35*MI!$B$35+MI!P38*MI!$B$38+MI!P41*MI!$B$41+MI!P44*MI!$B$44+MI!P47*MI!$B$47+MI!P50*MI!$B$50+MI!P53*MI!$B$53</f>
        <v>0.34159519509068287</v>
      </c>
      <c r="R124" s="151">
        <f>MI!Q5*MI!$B$5+MI!Q8*MI!$B$8+MI!Q11*MI!$B$11+MI!Q14*MI!$B$14+MI!Q17*MI!$B$17+MI!Q20*MI!$B$20+MI!Q23*MI!$B$23+MI!Q26*MI!$B$26+MI!Q29*MI!$B$29+MI!Q32*MI!$B$32+MI!Q35*MI!$B$35+MI!Q38*MI!$B$38+MI!Q41*MI!$B$41+MI!Q44*MI!$B$44+MI!Q47*MI!$B$47+MI!Q50*MI!$B$50+MI!Q53*MI!$B$53</f>
        <v>0.59589490254461908</v>
      </c>
      <c r="S124" s="151">
        <f>MI!R5*MI!$B$5+MI!R8*MI!$B$8+MI!R11*MI!$B$11+MI!R14*MI!$B$14+MI!R17*MI!$B$17+MI!R20*MI!$B$20+MI!R23*MI!$B$23+MI!R26*MI!$B$26+MI!R29*MI!$B$29+MI!R32*MI!$B$32+MI!R35*MI!$B$35+MI!R38*MI!$B$38+MI!R41*MI!$B$41+MI!R44*MI!$B$44+MI!R47*MI!$B$47+MI!R50*MI!$B$50+MI!R53*MI!$B$53</f>
        <v>0.10075249915544578</v>
      </c>
      <c r="T124" s="151">
        <f>MI!S5*MI!$B$5+MI!S8*MI!$B$8+MI!S11*MI!$B$11+MI!S14*MI!$B$14+MI!S17*MI!$B$17+MI!S20*MI!$B$20+MI!S23*MI!$B$23+MI!S26*MI!$B$26+MI!S29*MI!$B$29+MI!S32*MI!$B$32+MI!S35*MI!$B$35+MI!S38*MI!$B$38+MI!S41*MI!$B$41+MI!S44*MI!$B$44+MI!S47*MI!$B$47+MI!S50*MI!$B$50+MI!S53*MI!$B$53</f>
        <v>0.24383260586198507</v>
      </c>
      <c r="U124" s="151">
        <f>MI!T5*MI!$B$5+MI!T8*MI!$B$8+MI!T11*MI!$B$11+MI!T14*MI!$B$14+MI!T17*MI!$B$17+MI!T20*MI!$B$20+MI!T23*MI!$B$23+MI!T26*MI!$B$26+MI!T29*MI!$B$29+MI!T32*MI!$B$32+MI!T35*MI!$B$35+MI!T38*MI!$B$38+MI!T41*MI!$B$41+MI!T44*MI!$B$44+MI!T47*MI!$B$47+MI!T50*MI!$B$50+MI!T53*MI!$B$53</f>
        <v>0</v>
      </c>
      <c r="V124" s="151">
        <f>MI!U5*MI!$B$5+MI!U8*MI!$B$8+MI!U11*MI!$B$11+MI!U14*MI!$B$14+MI!U17*MI!$B$17+MI!U20*MI!$B$20+MI!U23*MI!$B$23+MI!U26*MI!$B$26+MI!U29*MI!$B$29+MI!U32*MI!$B$32+MI!U35*MI!$B$35+MI!U38*MI!$B$38+MI!U41*MI!$B$41+MI!U44*MI!$B$44+MI!U47*MI!$B$47+MI!U50*MI!$B$50+MI!U53*MI!$B$53</f>
        <v>0</v>
      </c>
      <c r="W124" s="151">
        <f>MI!V5*MI!$B$5+MI!V8*MI!$B$8+MI!V11*MI!$B$11+MI!V14*MI!$B$14+MI!V17*MI!$B$17+MI!V20*MI!$B$20+MI!V23*MI!$B$23+MI!V26*MI!$B$26+MI!V29*MI!$B$29+MI!V32*MI!$B$32+MI!V35*MI!$B$35+MI!V38*MI!$B$38+MI!V41*MI!$B$41+MI!V44*MI!$B$44+MI!V47*MI!$B$47+MI!V50*MI!$B$50+MI!V53*MI!$B$53</f>
        <v>0</v>
      </c>
      <c r="X124" s="152">
        <f>MI!W5*MI!$B$5+MI!W8*MI!$B$8+MI!W11*MI!$B$11+MI!W14*MI!$B$14+MI!W17*MI!$B$17+MI!W20*MI!$B$20+MI!W23*MI!$B$23+MI!W26*MI!$B$26+MI!W29*MI!$B$29+MI!W32*MI!$B$32+MI!W35*MI!$B$35+MI!W38*MI!$B$38+MI!W41*MI!$B$41+MI!W44*MI!$B$44+MI!W47*MI!$B$47+MI!W50*MI!$B$50+MI!W53*MI!$B$53</f>
        <v>0</v>
      </c>
    </row>
    <row r="125" spans="2:24" ht="15.75" customHeight="1" x14ac:dyDescent="0.2">
      <c r="B125" s="215"/>
      <c r="C125" s="220" t="s">
        <v>111</v>
      </c>
      <c r="D125" s="153" t="s">
        <v>142</v>
      </c>
      <c r="E125" s="154">
        <f>F125/(F125+F126+F127)</f>
        <v>0.34018640350877194</v>
      </c>
      <c r="F125" s="157">
        <f t="shared" si="55"/>
        <v>1241</v>
      </c>
      <c r="G125" s="157">
        <f>SUMIF(MI!$C$3:$C$29,"PSUV",MI!F$3:F$29)</f>
        <v>57</v>
      </c>
      <c r="H125" s="157">
        <f>SUMIF(MI!$C$3:$C$29,"PSUV",MI!G$3:G$29)</f>
        <v>49</v>
      </c>
      <c r="I125" s="157">
        <f>SUMIF(MI!$C$3:$C$29,"PSUV",MI!H$3:H$29)</f>
        <v>94</v>
      </c>
      <c r="J125" s="157">
        <f>SUMIF(MI!$C$3:$C$29,"PSUV",MI!I$3:I$29)</f>
        <v>99</v>
      </c>
      <c r="K125" s="157">
        <f>SUMIF(MI!$C$3:$C$29,"PSUV",MI!J$3:J$29)</f>
        <v>110</v>
      </c>
      <c r="L125" s="157">
        <f>SUMIF(MI!$C$3:$C$29,"PSUV",MI!K$3:K$29)</f>
        <v>121</v>
      </c>
      <c r="M125" s="157">
        <f>SUMIF(MI!$C$3:$C$29,"PSUV",MI!L$3:L$29)</f>
        <v>90</v>
      </c>
      <c r="N125" s="157">
        <f>SUMIF(MI!$C$3:$C$29,"PSUV",MI!M$3:M$29)</f>
        <v>105</v>
      </c>
      <c r="O125" s="157">
        <f>SUMIF(MI!$C$3:$C$29,"PSUV",MI!N$3:N$29)</f>
        <v>100</v>
      </c>
      <c r="P125" s="157">
        <f>SUMIF(MI!$C$3:$C$29,"PSUV",MI!O$3:O$29)</f>
        <v>95</v>
      </c>
      <c r="Q125" s="157">
        <f>SUMIF(MI!$C$3:$C$29,"PSUV",MI!P$3:P$29)</f>
        <v>109</v>
      </c>
      <c r="R125" s="157">
        <f>SUMIF(MI!$C$3:$C$29,"PSUV",MI!Q$3:Q$29)</f>
        <v>102</v>
      </c>
      <c r="S125" s="157">
        <f>SUMIF(MI!$C$3:$C$29,"PSUV",MI!R$3:R$29)</f>
        <v>56</v>
      </c>
      <c r="T125" s="157">
        <f>SUMIF(MI!$C$3:$C$29,"PSUV",MI!S$3:S$29)</f>
        <v>43</v>
      </c>
      <c r="U125" s="157">
        <f>SUMIF(MI!$C$3:$C$29,"PSUV",MI!T$3:T$29)</f>
        <v>11</v>
      </c>
      <c r="V125" s="157">
        <f>SUMIF(MI!$C$3:$C$29,"PSUV",MI!U$3:U$29)</f>
        <v>0</v>
      </c>
      <c r="W125" s="157">
        <f>SUMIF(MI!$C$3:$C$29,"PSUV",MI!V$3:V$29)</f>
        <v>0</v>
      </c>
      <c r="X125" s="158">
        <f>SUMIF(MI!$C$3:$C$29,"PSUV",MI!W$3:W$29)</f>
        <v>0</v>
      </c>
    </row>
    <row r="126" spans="2:24" ht="15.75" customHeight="1" x14ac:dyDescent="0.2">
      <c r="B126" s="215"/>
      <c r="C126" s="218"/>
      <c r="D126" s="145" t="s">
        <v>141</v>
      </c>
      <c r="E126" s="146">
        <f>F126/(F125+F126+F127)</f>
        <v>0.64528508771929827</v>
      </c>
      <c r="F126" s="159">
        <f t="shared" si="55"/>
        <v>2354</v>
      </c>
      <c r="G126" s="159">
        <f>SUMIF(MI!$C$3:$C$29,"MUD",MI!F$3:F$29)</f>
        <v>57</v>
      </c>
      <c r="H126" s="159">
        <f>SUMIF(MI!$C$3:$C$29,"MUD",MI!G$3:G$29)</f>
        <v>94</v>
      </c>
      <c r="I126" s="159">
        <f>SUMIF(MI!$C$3:$C$29,"MUD",MI!H$3:H$29)</f>
        <v>181</v>
      </c>
      <c r="J126" s="159">
        <f>SUMIF(MI!$C$3:$C$29,"MUD",MI!I$3:I$29)</f>
        <v>166</v>
      </c>
      <c r="K126" s="159">
        <f>SUMIF(MI!$C$3:$C$29,"MUD",MI!J$3:J$29)</f>
        <v>219</v>
      </c>
      <c r="L126" s="159">
        <f>SUMIF(MI!$C$3:$C$29,"MUD",MI!K$3:K$29)</f>
        <v>199</v>
      </c>
      <c r="M126" s="159">
        <f>SUMIF(MI!$C$3:$C$29,"MUD",MI!L$3:L$29)</f>
        <v>246</v>
      </c>
      <c r="N126" s="159">
        <f>SUMIF(MI!$C$3:$C$29,"MUD",MI!M$3:M$29)</f>
        <v>200</v>
      </c>
      <c r="O126" s="159">
        <f>SUMIF(MI!$C$3:$C$29,"MUD",MI!N$3:N$29)</f>
        <v>202</v>
      </c>
      <c r="P126" s="159">
        <f>SUMIF(MI!$C$3:$C$29,"MUD",MI!O$3:O$29)</f>
        <v>164</v>
      </c>
      <c r="Q126" s="159">
        <f>SUMIF(MI!$C$3:$C$29,"MUD",MI!P$3:P$29)</f>
        <v>196</v>
      </c>
      <c r="R126" s="159">
        <f>SUMIF(MI!$C$3:$C$29,"MUD",MI!Q$3:Q$29)</f>
        <v>184</v>
      </c>
      <c r="S126" s="159">
        <f>SUMIF(MI!$C$3:$C$29,"MUD",MI!R$3:R$29)</f>
        <v>136</v>
      </c>
      <c r="T126" s="159">
        <f>SUMIF(MI!$C$3:$C$29,"MUD",MI!S$3:S$29)</f>
        <v>103</v>
      </c>
      <c r="U126" s="159">
        <f>SUMIF(MI!$C$3:$C$29,"MUD",MI!T$3:T$29)</f>
        <v>7</v>
      </c>
      <c r="V126" s="159">
        <f>SUMIF(MI!$C$3:$C$29,"MUD",MI!U$3:U$29)</f>
        <v>0</v>
      </c>
      <c r="W126" s="159">
        <f>SUMIF(MI!$C$3:$C$29,"MUD",MI!V$3:V$29)</f>
        <v>0</v>
      </c>
      <c r="X126" s="160">
        <f>SUMIF(MI!$C$3:$C$29,"MUD",MI!W$3:W$29)</f>
        <v>0</v>
      </c>
    </row>
    <row r="127" spans="2:24" ht="15.75" customHeight="1" thickBot="1" x14ac:dyDescent="0.25">
      <c r="B127" s="216"/>
      <c r="C127" s="234"/>
      <c r="D127" s="181" t="s">
        <v>0</v>
      </c>
      <c r="E127" s="182">
        <f>F127/(F125+F126+F127)</f>
        <v>1.4528508771929825E-2</v>
      </c>
      <c r="F127" s="183">
        <f t="shared" si="55"/>
        <v>53</v>
      </c>
      <c r="G127" s="183">
        <f>SUMIF(MI!$C$3:$C$29,"Otro",MI!F$3:F$29)</f>
        <v>2</v>
      </c>
      <c r="H127" s="183">
        <f>SUMIF(MI!$C$3:$C$29,"Otro",MI!G$3:G$29)</f>
        <v>3</v>
      </c>
      <c r="I127" s="183">
        <f>SUMIF(MI!$C$3:$C$29,"Otro",MI!H$3:H$29)</f>
        <v>4</v>
      </c>
      <c r="J127" s="183">
        <f>SUMIF(MI!$C$3:$C$29,"Otro",MI!I$3:I$29)</f>
        <v>8</v>
      </c>
      <c r="K127" s="183">
        <f>SUMIF(MI!$C$3:$C$29,"Otro",MI!J$3:J$29)</f>
        <v>3</v>
      </c>
      <c r="L127" s="183">
        <f>SUMIF(MI!$C$3:$C$29,"Otro",MI!K$3:K$29)</f>
        <v>7</v>
      </c>
      <c r="M127" s="183">
        <f>SUMIF(MI!$C$3:$C$29,"Otro",MI!L$3:L$29)</f>
        <v>6</v>
      </c>
      <c r="N127" s="183">
        <f>SUMIF(MI!$C$3:$C$29,"Otro",MI!M$3:M$29)</f>
        <v>2</v>
      </c>
      <c r="O127" s="183">
        <f>SUMIF(MI!$C$3:$C$29,"Otro",MI!N$3:N$29)</f>
        <v>6</v>
      </c>
      <c r="P127" s="183">
        <f>SUMIF(MI!$C$3:$C$29,"Otro",MI!O$3:O$29)</f>
        <v>7</v>
      </c>
      <c r="Q127" s="183">
        <f>SUMIF(MI!$C$3:$C$29,"Otro",MI!P$3:P$29)</f>
        <v>1</v>
      </c>
      <c r="R127" s="183">
        <f>SUMIF(MI!$C$3:$C$29,"Otro",MI!Q$3:Q$29)</f>
        <v>3</v>
      </c>
      <c r="S127" s="183">
        <f>SUMIF(MI!$C$3:$C$29,"Otro",MI!R$3:R$29)</f>
        <v>1</v>
      </c>
      <c r="T127" s="183">
        <f>SUMIF(MI!$C$3:$C$29,"Otro",MI!S$3:S$29)</f>
        <v>0</v>
      </c>
      <c r="U127" s="183">
        <f>SUMIF(MI!$C$3:$C$29,"Otro",MI!T$3:T$29)</f>
        <v>0</v>
      </c>
      <c r="V127" s="183">
        <f>SUMIF(MI!$C$3:$C$29,"Otro",MI!U$3:U$29)</f>
        <v>0</v>
      </c>
      <c r="W127" s="183">
        <f>SUMIF(MI!$C$3:$C$29,"Otro",MI!V$3:V$29)</f>
        <v>0</v>
      </c>
      <c r="X127" s="184">
        <f>SUMIF(MI!$C$3:$C$29,"Otro",MI!W$3:W$29)</f>
        <v>0</v>
      </c>
    </row>
    <row r="128" spans="2:24" ht="15" customHeight="1" x14ac:dyDescent="0.2">
      <c r="B128" s="214" t="s">
        <v>69</v>
      </c>
      <c r="C128" s="230" t="s">
        <v>231</v>
      </c>
      <c r="D128" s="189" t="s">
        <v>225</v>
      </c>
      <c r="E128" s="129"/>
      <c r="F128" s="130"/>
      <c r="G128" s="130">
        <f>IF(SUM(G132:G135)=0,1,G132)</f>
        <v>1</v>
      </c>
      <c r="H128" s="130">
        <f>IF(SUM(H132:H135)=0,0,H132)</f>
        <v>0</v>
      </c>
      <c r="I128" s="130">
        <f>IF(SUM(I$132:I$135)=0,0,I132+H128)</f>
        <v>0</v>
      </c>
      <c r="J128" s="130">
        <f t="shared" ref="J128:X128" si="56">IF(SUM(J$132:J$135)=0,0,J132+I128)</f>
        <v>0</v>
      </c>
      <c r="K128" s="130">
        <f t="shared" si="56"/>
        <v>0</v>
      </c>
      <c r="L128" s="130">
        <f t="shared" si="56"/>
        <v>16.624113900337207</v>
      </c>
      <c r="M128" s="130">
        <f t="shared" si="56"/>
        <v>0</v>
      </c>
      <c r="N128" s="130">
        <f t="shared" si="56"/>
        <v>0</v>
      </c>
      <c r="O128" s="130">
        <f t="shared" si="56"/>
        <v>0</v>
      </c>
      <c r="P128" s="130">
        <f t="shared" si="56"/>
        <v>0</v>
      </c>
      <c r="Q128" s="130">
        <f t="shared" si="56"/>
        <v>0</v>
      </c>
      <c r="R128" s="130">
        <f t="shared" si="56"/>
        <v>0</v>
      </c>
      <c r="S128" s="130">
        <f t="shared" si="56"/>
        <v>0</v>
      </c>
      <c r="T128" s="130">
        <f t="shared" si="56"/>
        <v>0</v>
      </c>
      <c r="U128" s="130">
        <f t="shared" si="56"/>
        <v>0</v>
      </c>
      <c r="V128" s="130">
        <f t="shared" si="56"/>
        <v>0</v>
      </c>
      <c r="W128" s="130">
        <f t="shared" si="56"/>
        <v>0</v>
      </c>
      <c r="X128" s="131">
        <f t="shared" si="56"/>
        <v>0</v>
      </c>
    </row>
    <row r="129" spans="2:24" ht="15" customHeight="1" x14ac:dyDescent="0.2">
      <c r="B129" s="215"/>
      <c r="C129" s="226"/>
      <c r="D129" s="190" t="s">
        <v>227</v>
      </c>
      <c r="E129" s="118"/>
      <c r="F129" s="119"/>
      <c r="G129" s="119">
        <f>IF(SUM(G132:G135)=0,1,G133)</f>
        <v>1</v>
      </c>
      <c r="H129" s="119">
        <f>IF(SUM(H132:H135)=0,0,H133)</f>
        <v>0</v>
      </c>
      <c r="I129" s="119">
        <f t="shared" ref="I129:X131" si="57">IF(SUM(I$132:I$135)=0,0,I133+H129)</f>
        <v>0</v>
      </c>
      <c r="J129" s="119">
        <f t="shared" si="57"/>
        <v>0</v>
      </c>
      <c r="K129" s="119">
        <f t="shared" si="57"/>
        <v>0</v>
      </c>
      <c r="L129" s="119">
        <f t="shared" si="57"/>
        <v>5.0595129261895844</v>
      </c>
      <c r="M129" s="119">
        <f t="shared" si="57"/>
        <v>0</v>
      </c>
      <c r="N129" s="119">
        <f t="shared" si="57"/>
        <v>0</v>
      </c>
      <c r="O129" s="119">
        <f t="shared" si="57"/>
        <v>0</v>
      </c>
      <c r="P129" s="119">
        <f t="shared" si="57"/>
        <v>0</v>
      </c>
      <c r="Q129" s="119">
        <f t="shared" si="57"/>
        <v>0</v>
      </c>
      <c r="R129" s="119">
        <f t="shared" si="57"/>
        <v>0</v>
      </c>
      <c r="S129" s="119">
        <f t="shared" si="57"/>
        <v>0</v>
      </c>
      <c r="T129" s="119">
        <f t="shared" si="57"/>
        <v>0</v>
      </c>
      <c r="U129" s="119">
        <f t="shared" si="57"/>
        <v>0</v>
      </c>
      <c r="V129" s="119">
        <f t="shared" si="57"/>
        <v>0</v>
      </c>
      <c r="W129" s="119">
        <f t="shared" si="57"/>
        <v>0</v>
      </c>
      <c r="X129" s="132">
        <f t="shared" si="57"/>
        <v>0</v>
      </c>
    </row>
    <row r="130" spans="2:24" ht="15" customHeight="1" x14ac:dyDescent="0.2">
      <c r="B130" s="215"/>
      <c r="C130" s="226"/>
      <c r="D130" s="190" t="s">
        <v>226</v>
      </c>
      <c r="E130" s="118"/>
      <c r="F130" s="119"/>
      <c r="G130" s="119">
        <f>IF(SUM(G132:G135)=0,1,G134)</f>
        <v>1</v>
      </c>
      <c r="H130" s="119">
        <f>IF(SUM(H132:H135)=0,0,H134)</f>
        <v>0</v>
      </c>
      <c r="I130" s="119">
        <f t="shared" si="57"/>
        <v>0</v>
      </c>
      <c r="J130" s="119">
        <f t="shared" si="57"/>
        <v>0</v>
      </c>
      <c r="K130" s="119">
        <f t="shared" si="57"/>
        <v>0</v>
      </c>
      <c r="L130" s="119">
        <f t="shared" si="57"/>
        <v>0</v>
      </c>
      <c r="M130" s="119">
        <f t="shared" si="57"/>
        <v>0</v>
      </c>
      <c r="N130" s="119">
        <f t="shared" si="57"/>
        <v>0</v>
      </c>
      <c r="O130" s="119">
        <f t="shared" si="57"/>
        <v>0</v>
      </c>
      <c r="P130" s="119">
        <f t="shared" si="57"/>
        <v>0</v>
      </c>
      <c r="Q130" s="119">
        <f t="shared" si="57"/>
        <v>0</v>
      </c>
      <c r="R130" s="119">
        <f t="shared" si="57"/>
        <v>0</v>
      </c>
      <c r="S130" s="119">
        <f t="shared" si="57"/>
        <v>0</v>
      </c>
      <c r="T130" s="119">
        <f t="shared" si="57"/>
        <v>0</v>
      </c>
      <c r="U130" s="119">
        <f t="shared" si="57"/>
        <v>0</v>
      </c>
      <c r="V130" s="119">
        <f t="shared" si="57"/>
        <v>0</v>
      </c>
      <c r="W130" s="119">
        <f t="shared" si="57"/>
        <v>0</v>
      </c>
      <c r="X130" s="132">
        <f t="shared" si="57"/>
        <v>0</v>
      </c>
    </row>
    <row r="131" spans="2:24" ht="15" customHeight="1" thickBot="1" x14ac:dyDescent="0.25">
      <c r="B131" s="215"/>
      <c r="C131" s="229"/>
      <c r="D131" s="195" t="s">
        <v>0</v>
      </c>
      <c r="E131" s="138"/>
      <c r="F131" s="196"/>
      <c r="G131" s="196">
        <f>IF(SUM(G132:G135)=0,1,G135)</f>
        <v>1</v>
      </c>
      <c r="H131" s="196">
        <f>IF(SUM(H132:H135)=0,0,H135)</f>
        <v>0</v>
      </c>
      <c r="I131" s="196">
        <f t="shared" si="57"/>
        <v>0</v>
      </c>
      <c r="J131" s="196">
        <f t="shared" si="57"/>
        <v>0</v>
      </c>
      <c r="K131" s="196">
        <f t="shared" si="57"/>
        <v>0</v>
      </c>
      <c r="L131" s="196">
        <f t="shared" si="57"/>
        <v>0</v>
      </c>
      <c r="M131" s="196">
        <f t="shared" si="57"/>
        <v>0</v>
      </c>
      <c r="N131" s="196">
        <f t="shared" si="57"/>
        <v>0</v>
      </c>
      <c r="O131" s="196">
        <f t="shared" si="57"/>
        <v>0</v>
      </c>
      <c r="P131" s="196">
        <f t="shared" si="57"/>
        <v>0</v>
      </c>
      <c r="Q131" s="196">
        <f t="shared" si="57"/>
        <v>0</v>
      </c>
      <c r="R131" s="196">
        <f t="shared" si="57"/>
        <v>0</v>
      </c>
      <c r="S131" s="196">
        <f t="shared" si="57"/>
        <v>0</v>
      </c>
      <c r="T131" s="196">
        <f t="shared" si="57"/>
        <v>0</v>
      </c>
      <c r="U131" s="196">
        <f t="shared" si="57"/>
        <v>0</v>
      </c>
      <c r="V131" s="196">
        <f t="shared" si="57"/>
        <v>0</v>
      </c>
      <c r="W131" s="196">
        <f t="shared" si="57"/>
        <v>0</v>
      </c>
      <c r="X131" s="197">
        <f t="shared" si="57"/>
        <v>0</v>
      </c>
    </row>
    <row r="132" spans="2:24" ht="15" customHeight="1" x14ac:dyDescent="0.2">
      <c r="B132" s="215"/>
      <c r="C132" s="228" t="s">
        <v>232</v>
      </c>
      <c r="D132" s="201" t="s">
        <v>225</v>
      </c>
      <c r="E132" s="124">
        <f>F132/(F132+F133+F134+F135)</f>
        <v>0.70192433034443047</v>
      </c>
      <c r="F132" s="125">
        <f t="shared" ref="F132:F135" si="58">IF(SUM(G132:X132)=0,1,SUM(G132:X132))</f>
        <v>16.624113900337207</v>
      </c>
      <c r="G132" s="125">
        <f>MO!F3*MO!$B$6+MO!F7*MO!$B$10+MO!F11*MO!$B$14+MO!F15*MO!$B$18+MO!F19*MO!$B$22</f>
        <v>0</v>
      </c>
      <c r="H132" s="125">
        <f>MO!G3*MO!$B$6+MO!G7*MO!$B$10+MO!G11*MO!$B$14+MO!G15*MO!$B$18+MO!G19*MO!$B$22</f>
        <v>0</v>
      </c>
      <c r="I132" s="125">
        <f>MO!H3*MO!$B$6+MO!H7*MO!$B$10+MO!H11*MO!$B$14+MO!H15*MO!$B$18+MO!H19*MO!$B$22</f>
        <v>0</v>
      </c>
      <c r="J132" s="125">
        <f>MO!I3*MO!$B$6+MO!I7*MO!$B$10+MO!I11*MO!$B$14+MO!I15*MO!$B$18+MO!I19*MO!$B$22</f>
        <v>0</v>
      </c>
      <c r="K132" s="125">
        <f>MO!J3*MO!$B$6+MO!J7*MO!$B$10+MO!J11*MO!$B$14+MO!J15*MO!$B$18+MO!J19*MO!$B$22</f>
        <v>0</v>
      </c>
      <c r="L132" s="125">
        <f>MO!K3*MO!$B$6+MO!K7*MO!$B$10+MO!K11*MO!$B$14+MO!K15*MO!$B$18+MO!K19*MO!$B$22</f>
        <v>16.624113900337207</v>
      </c>
      <c r="M132" s="125">
        <f>MO!L3*MO!$B$6+MO!L7*MO!$B$10+MO!L11*MO!$B$14+MO!L15*MO!$B$18+MO!L19*MO!$B$22</f>
        <v>0</v>
      </c>
      <c r="N132" s="125">
        <f>MO!M3*MO!$B$6+MO!M7*MO!$B$10+MO!M11*MO!$B$14+MO!M15*MO!$B$18+MO!M19*MO!$B$22</f>
        <v>0</v>
      </c>
      <c r="O132" s="125">
        <f>MO!N3*MO!$B$6+MO!N7*MO!$B$10+MO!N11*MO!$B$14+MO!N15*MO!$B$18+MO!N19*MO!$B$22</f>
        <v>0</v>
      </c>
      <c r="P132" s="125">
        <f>MO!O3*MO!$B$6+MO!O7*MO!$B$10+MO!O11*MO!$B$14+MO!O15*MO!$B$18+MO!O19*MO!$B$22</f>
        <v>0</v>
      </c>
      <c r="Q132" s="125">
        <f>MO!P3*MO!$B$6+MO!P7*MO!$B$10+MO!P11*MO!$B$14+MO!P15*MO!$B$18+MO!P19*MO!$B$22</f>
        <v>0</v>
      </c>
      <c r="R132" s="125">
        <f>MO!Q3*MO!$B$6+MO!Q7*MO!$B$10+MO!Q11*MO!$B$14+MO!Q15*MO!$B$18+MO!Q19*MO!$B$22</f>
        <v>0</v>
      </c>
      <c r="S132" s="125">
        <f>MO!R3*MO!$B$6+MO!R7*MO!$B$10+MO!R11*MO!$B$14+MO!R15*MO!$B$18+MO!R19*MO!$B$22</f>
        <v>0</v>
      </c>
      <c r="T132" s="125">
        <f>MO!S3*MO!$B$6+MO!S7*MO!$B$10+MO!S11*MO!$B$14+MO!S15*MO!$B$18+MO!S19*MO!$B$22</f>
        <v>0</v>
      </c>
      <c r="U132" s="125">
        <f>MO!T3*MO!$B$6+MO!T7*MO!$B$10+MO!T11*MO!$B$14+MO!T15*MO!$B$18+MO!T19*MO!$B$22</f>
        <v>0</v>
      </c>
      <c r="V132" s="125">
        <f>MO!U3*MO!$B$6+MO!U7*MO!$B$10+MO!U11*MO!$B$14+MO!U15*MO!$B$18+MO!U19*MO!$B$22</f>
        <v>0</v>
      </c>
      <c r="W132" s="125">
        <f>MO!V3*MO!$B$6+MO!V7*MO!$B$10+MO!V11*MO!$B$14+MO!V15*MO!$B$18+MO!V19*MO!$B$22</f>
        <v>0</v>
      </c>
      <c r="X132" s="134">
        <f>MO!W3*MO!$B$6+MO!W7*MO!$B$10+MO!W11*MO!$B$14+MO!W15*MO!$B$18+MO!W19*MO!$B$22</f>
        <v>0</v>
      </c>
    </row>
    <row r="133" spans="2:24" ht="15" customHeight="1" x14ac:dyDescent="0.2">
      <c r="B133" s="215"/>
      <c r="C133" s="226"/>
      <c r="D133" s="190" t="s">
        <v>227</v>
      </c>
      <c r="E133" s="118">
        <f>F133/(F132+F133+F134+F135)</f>
        <v>0.21362914401787014</v>
      </c>
      <c r="F133" s="119">
        <f t="shared" si="58"/>
        <v>5.0595129261895844</v>
      </c>
      <c r="G133" s="119">
        <f>MO!F4*MO!$B$6+MO!F8*MO!$B$10+MO!F12*MO!$B$14+MO!F16*MO!$B$18+MO!F20*MO!$B$22</f>
        <v>0</v>
      </c>
      <c r="H133" s="119">
        <f>MO!G4*MO!$B$6+MO!G8*MO!$B$10+MO!G12*MO!$B$14+MO!G16*MO!$B$18+MO!G20*MO!$B$22</f>
        <v>0</v>
      </c>
      <c r="I133" s="119">
        <f>MO!H4*MO!$B$6+MO!H8*MO!$B$10+MO!H12*MO!$B$14+MO!H16*MO!$B$18+MO!H20*MO!$B$22</f>
        <v>0</v>
      </c>
      <c r="J133" s="119">
        <f>MO!I4*MO!$B$6+MO!I8*MO!$B$10+MO!I12*MO!$B$14+MO!I16*MO!$B$18+MO!I20*MO!$B$22</f>
        <v>0</v>
      </c>
      <c r="K133" s="119">
        <f>MO!J4*MO!$B$6+MO!J8*MO!$B$10+MO!J12*MO!$B$14+MO!J16*MO!$B$18+MO!J20*MO!$B$22</f>
        <v>0</v>
      </c>
      <c r="L133" s="119">
        <f>MO!K4*MO!$B$6+MO!K8*MO!$B$10+MO!K12*MO!$B$14+MO!K16*MO!$B$18+MO!K20*MO!$B$22</f>
        <v>5.0595129261895844</v>
      </c>
      <c r="M133" s="119">
        <f>MO!L4*MO!$B$6+MO!L8*MO!$B$10+MO!L12*MO!$B$14+MO!L16*MO!$B$18+MO!L20*MO!$B$22</f>
        <v>0</v>
      </c>
      <c r="N133" s="119">
        <f>MO!M4*MO!$B$6+MO!M8*MO!$B$10+MO!M12*MO!$B$14+MO!M16*MO!$B$18+MO!M20*MO!$B$22</f>
        <v>0</v>
      </c>
      <c r="O133" s="119">
        <f>MO!N4*MO!$B$6+MO!N8*MO!$B$10+MO!N12*MO!$B$14+MO!N16*MO!$B$18+MO!N20*MO!$B$22</f>
        <v>0</v>
      </c>
      <c r="P133" s="119">
        <f>MO!O4*MO!$B$6+MO!O8*MO!$B$10+MO!O12*MO!$B$14+MO!O16*MO!$B$18+MO!O20*MO!$B$22</f>
        <v>0</v>
      </c>
      <c r="Q133" s="119">
        <f>MO!P4*MO!$B$6+MO!P8*MO!$B$10+MO!P12*MO!$B$14+MO!P16*MO!$B$18+MO!P20*MO!$B$22</f>
        <v>0</v>
      </c>
      <c r="R133" s="119">
        <f>MO!Q4*MO!$B$6+MO!Q8*MO!$B$10+MO!Q12*MO!$B$14+MO!Q16*MO!$B$18+MO!Q20*MO!$B$22</f>
        <v>0</v>
      </c>
      <c r="S133" s="119">
        <f>MO!R4*MO!$B$6+MO!R8*MO!$B$10+MO!R12*MO!$B$14+MO!R16*MO!$B$18+MO!R20*MO!$B$22</f>
        <v>0</v>
      </c>
      <c r="T133" s="119">
        <f>MO!S4*MO!$B$6+MO!S8*MO!$B$10+MO!S12*MO!$B$14+MO!S16*MO!$B$18+MO!S20*MO!$B$22</f>
        <v>0</v>
      </c>
      <c r="U133" s="119">
        <f>MO!T4*MO!$B$6+MO!T8*MO!$B$10+MO!T12*MO!$B$14+MO!T16*MO!$B$18+MO!T20*MO!$B$22</f>
        <v>0</v>
      </c>
      <c r="V133" s="119">
        <f>MO!U4*MO!$B$6+MO!U8*MO!$B$10+MO!U12*MO!$B$14+MO!U16*MO!$B$18+MO!U20*MO!$B$22</f>
        <v>0</v>
      </c>
      <c r="W133" s="119">
        <f>MO!V4*MO!$B$6+MO!V8*MO!$B$10+MO!V12*MO!$B$14+MO!V16*MO!$B$18+MO!V20*MO!$B$22</f>
        <v>0</v>
      </c>
      <c r="X133" s="132">
        <f>MO!W4*MO!$B$6+MO!W8*MO!$B$10+MO!W12*MO!$B$14+MO!W16*MO!$B$18+MO!W20*MO!$B$22</f>
        <v>0</v>
      </c>
    </row>
    <row r="134" spans="2:24" ht="15" customHeight="1" x14ac:dyDescent="0.2">
      <c r="B134" s="215"/>
      <c r="C134" s="226"/>
      <c r="D134" s="190" t="s">
        <v>226</v>
      </c>
      <c r="E134" s="118">
        <f>F134/(F132+F133+F134+F135)</f>
        <v>4.2223262818849701E-2</v>
      </c>
      <c r="F134" s="119">
        <f t="shared" si="58"/>
        <v>1</v>
      </c>
      <c r="G134" s="119">
        <f>MO!F5*MO!$B$6+MO!F9*MO!$B$10+MO!F13*MO!$B$14+MO!F17*MO!$B$18+MO!F21*MO!$B$22</f>
        <v>0</v>
      </c>
      <c r="H134" s="119">
        <f>MO!G5*MO!$B$6+MO!G9*MO!$B$10+MO!G13*MO!$B$14+MO!G17*MO!$B$18+MO!G21*MO!$B$22</f>
        <v>0</v>
      </c>
      <c r="I134" s="119">
        <f>MO!H5*MO!$B$6+MO!H9*MO!$B$10+MO!H13*MO!$B$14+MO!H17*MO!$B$18+MO!H21*MO!$B$22</f>
        <v>0</v>
      </c>
      <c r="J134" s="119">
        <f>MO!I5*MO!$B$6+MO!I9*MO!$B$10+MO!I13*MO!$B$14+MO!I17*MO!$B$18+MO!I21*MO!$B$22</f>
        <v>0</v>
      </c>
      <c r="K134" s="119">
        <f>MO!J5*MO!$B$6+MO!J9*MO!$B$10+MO!J13*MO!$B$14+MO!J17*MO!$B$18+MO!J21*MO!$B$22</f>
        <v>0</v>
      </c>
      <c r="L134" s="119">
        <f>MO!K5*MO!$B$6+MO!K9*MO!$B$10+MO!K13*MO!$B$14+MO!K17*MO!$B$18+MO!K21*MO!$B$22</f>
        <v>0</v>
      </c>
      <c r="M134" s="119">
        <f>MO!L5*MO!$B$6+MO!L9*MO!$B$10+MO!L13*MO!$B$14+MO!L17*MO!$B$18+MO!L21*MO!$B$22</f>
        <v>0</v>
      </c>
      <c r="N134" s="119">
        <f>MO!M5*MO!$B$6+MO!M9*MO!$B$10+MO!M13*MO!$B$14+MO!M17*MO!$B$18+MO!M21*MO!$B$22</f>
        <v>0</v>
      </c>
      <c r="O134" s="119">
        <f>MO!N5*MO!$B$6+MO!N9*MO!$B$10+MO!N13*MO!$B$14+MO!N17*MO!$B$18+MO!N21*MO!$B$22</f>
        <v>0</v>
      </c>
      <c r="P134" s="119">
        <f>MO!O5*MO!$B$6+MO!O9*MO!$B$10+MO!O13*MO!$B$14+MO!O17*MO!$B$18+MO!O21*MO!$B$22</f>
        <v>0</v>
      </c>
      <c r="Q134" s="119">
        <f>MO!P5*MO!$B$6+MO!P9*MO!$B$10+MO!P13*MO!$B$14+MO!P17*MO!$B$18+MO!P21*MO!$B$22</f>
        <v>0</v>
      </c>
      <c r="R134" s="119">
        <f>MO!Q5*MO!$B$6+MO!Q9*MO!$B$10+MO!Q13*MO!$B$14+MO!Q17*MO!$B$18+MO!Q21*MO!$B$22</f>
        <v>0</v>
      </c>
      <c r="S134" s="119">
        <f>MO!R5*MO!$B$6+MO!R9*MO!$B$10+MO!R13*MO!$B$14+MO!R17*MO!$B$18+MO!R21*MO!$B$22</f>
        <v>0</v>
      </c>
      <c r="T134" s="119">
        <f>MO!S5*MO!$B$6+MO!S9*MO!$B$10+MO!S13*MO!$B$14+MO!S17*MO!$B$18+MO!S21*MO!$B$22</f>
        <v>0</v>
      </c>
      <c r="U134" s="119">
        <f>MO!T5*MO!$B$6+MO!T9*MO!$B$10+MO!T13*MO!$B$14+MO!T17*MO!$B$18+MO!T21*MO!$B$22</f>
        <v>0</v>
      </c>
      <c r="V134" s="119">
        <f>MO!U5*MO!$B$6+MO!U9*MO!$B$10+MO!U13*MO!$B$14+MO!U17*MO!$B$18+MO!U21*MO!$B$22</f>
        <v>0</v>
      </c>
      <c r="W134" s="119">
        <f>MO!V5*MO!$B$6+MO!V9*MO!$B$10+MO!V13*MO!$B$14+MO!V17*MO!$B$18+MO!V21*MO!$B$22</f>
        <v>0</v>
      </c>
      <c r="X134" s="132">
        <f>MO!W5*MO!$B$6+MO!W9*MO!$B$10+MO!W13*MO!$B$14+MO!W17*MO!$B$18+MO!W21*MO!$B$22</f>
        <v>0</v>
      </c>
    </row>
    <row r="135" spans="2:24" ht="15" customHeight="1" thickBot="1" x14ac:dyDescent="0.25">
      <c r="B135" s="215"/>
      <c r="C135" s="227"/>
      <c r="D135" s="202" t="s">
        <v>0</v>
      </c>
      <c r="E135" s="121">
        <f>F135/(F132+F133+F134+F135)</f>
        <v>4.2223262818849701E-2</v>
      </c>
      <c r="F135" s="122">
        <f t="shared" si="58"/>
        <v>1</v>
      </c>
      <c r="G135" s="122">
        <f>MO!F6*MO!$B$6+MO!F10*MO!$B$10+MO!F14*MO!$B$14+MO!F18*MO!$B$18+MO!F22*MO!$B$22</f>
        <v>0</v>
      </c>
      <c r="H135" s="122">
        <f>MO!G6*MO!$B$6+MO!G10*MO!$B$10+MO!G14*MO!$B$14+MO!G18*MO!$B$18+MO!G22*MO!$B$22</f>
        <v>0</v>
      </c>
      <c r="I135" s="122">
        <f>MO!H6*MO!$B$6+MO!H10*MO!$B$10+MO!H14*MO!$B$14+MO!H18*MO!$B$18+MO!H22*MO!$B$22</f>
        <v>0</v>
      </c>
      <c r="J135" s="122">
        <f>MO!I6*MO!$B$6+MO!I10*MO!$B$10+MO!I14*MO!$B$14+MO!I18*MO!$B$18+MO!I22*MO!$B$22</f>
        <v>0</v>
      </c>
      <c r="K135" s="122">
        <f>MO!J6*MO!$B$6+MO!J10*MO!$B$10+MO!J14*MO!$B$14+MO!J18*MO!$B$18+MO!J22*MO!$B$22</f>
        <v>0</v>
      </c>
      <c r="L135" s="122">
        <f>MO!K6*MO!$B$6+MO!K10*MO!$B$10+MO!K14*MO!$B$14+MO!K18*MO!$B$18+MO!K22*MO!$B$22</f>
        <v>0</v>
      </c>
      <c r="M135" s="122">
        <f>MO!L6*MO!$B$6+MO!L10*MO!$B$10+MO!L14*MO!$B$14+MO!L18*MO!$B$18+MO!L22*MO!$B$22</f>
        <v>0</v>
      </c>
      <c r="N135" s="122">
        <f>MO!M6*MO!$B$6+MO!M10*MO!$B$10+MO!M14*MO!$B$14+MO!M18*MO!$B$18+MO!M22*MO!$B$22</f>
        <v>0</v>
      </c>
      <c r="O135" s="122">
        <f>MO!N6*MO!$B$6+MO!N10*MO!$B$10+MO!N14*MO!$B$14+MO!N18*MO!$B$18+MO!N22*MO!$B$22</f>
        <v>0</v>
      </c>
      <c r="P135" s="122">
        <f>MO!O6*MO!$B$6+MO!O10*MO!$B$10+MO!O14*MO!$B$14+MO!O18*MO!$B$18+MO!O22*MO!$B$22</f>
        <v>0</v>
      </c>
      <c r="Q135" s="122">
        <f>MO!P6*MO!$B$6+MO!P10*MO!$B$10+MO!P14*MO!$B$14+MO!P18*MO!$B$18+MO!P22*MO!$B$22</f>
        <v>0</v>
      </c>
      <c r="R135" s="122">
        <f>MO!Q6*MO!$B$6+MO!Q10*MO!$B$10+MO!Q14*MO!$B$14+MO!Q18*MO!$B$18+MO!Q22*MO!$B$22</f>
        <v>0</v>
      </c>
      <c r="S135" s="122">
        <f>MO!R6*MO!$B$6+MO!R10*MO!$B$10+MO!R14*MO!$B$14+MO!R18*MO!$B$18+MO!R22*MO!$B$22</f>
        <v>0</v>
      </c>
      <c r="T135" s="122">
        <f>MO!S6*MO!$B$6+MO!S10*MO!$B$10+MO!S14*MO!$B$14+MO!S18*MO!$B$18+MO!S22*MO!$B$22</f>
        <v>0</v>
      </c>
      <c r="U135" s="122">
        <f>MO!T6*MO!$B$6+MO!T10*MO!$B$10+MO!T14*MO!$B$14+MO!T18*MO!$B$18+MO!T22*MO!$B$22</f>
        <v>0</v>
      </c>
      <c r="V135" s="122">
        <f>MO!U6*MO!$B$6+MO!U10*MO!$B$10+MO!U14*MO!$B$14+MO!U18*MO!$B$18+MO!U22*MO!$B$22</f>
        <v>0</v>
      </c>
      <c r="W135" s="122">
        <f>MO!V6*MO!$B$6+MO!V10*MO!$B$10+MO!V14*MO!$B$14+MO!V18*MO!$B$18+MO!V22*MO!$B$22</f>
        <v>0</v>
      </c>
      <c r="X135" s="133">
        <f>MO!W6*MO!$B$6+MO!W10*MO!$B$10+MO!W14*MO!$B$14+MO!W18*MO!$B$18+MO!W22*MO!$B$22</f>
        <v>0</v>
      </c>
    </row>
    <row r="136" spans="2:24" ht="15" customHeight="1" x14ac:dyDescent="0.2">
      <c r="B136" s="215"/>
      <c r="C136" s="225" t="s">
        <v>111</v>
      </c>
      <c r="D136" s="198" t="s">
        <v>225</v>
      </c>
      <c r="E136" s="166">
        <f>F136/(F136+F137+F138+F139)</f>
        <v>0.71875</v>
      </c>
      <c r="F136" s="199">
        <f>IF(SUM(G136:X136)=0,1,SUM(G136:X136))</f>
        <v>23</v>
      </c>
      <c r="G136" s="199">
        <f>SUMIF(MO!$C$3:$C$22,"PSUV",MO!F$3:F$22)</f>
        <v>0</v>
      </c>
      <c r="H136" s="199">
        <f>SUMIF(MO!$C$3:$C$22,"PSUV",MO!G$3:G$22)</f>
        <v>0</v>
      </c>
      <c r="I136" s="199">
        <f>SUMIF(MO!$C$3:$C$22,"PSUV",MO!H$3:H$22)</f>
        <v>0</v>
      </c>
      <c r="J136" s="199">
        <f>SUMIF(MO!$C$3:$C$22,"PSUV",MO!I$3:I$22)</f>
        <v>0</v>
      </c>
      <c r="K136" s="199">
        <f>SUMIF(MO!$C$3:$C$22,"PSUV",MO!J$3:J$22)</f>
        <v>0</v>
      </c>
      <c r="L136" s="199">
        <f>SUMIF(MO!$C$3:$C$22,"PSUV",MO!K$3:K$22)</f>
        <v>23</v>
      </c>
      <c r="M136" s="199">
        <f>SUMIF(MO!$C$3:$C$22,"PSUV",MO!L$3:L$22)</f>
        <v>0</v>
      </c>
      <c r="N136" s="199">
        <f>SUMIF(MO!$C$3:$C$22,"PSUV",MO!M$3:M$22)</f>
        <v>0</v>
      </c>
      <c r="O136" s="199">
        <f>SUMIF(MO!$C$3:$C$22,"PSUV",MO!N$3:N$22)</f>
        <v>0</v>
      </c>
      <c r="P136" s="199">
        <f>SUMIF(MO!$C$3:$C$22,"PSUV",MO!O$3:O$22)</f>
        <v>0</v>
      </c>
      <c r="Q136" s="199">
        <f>SUMIF(MO!$C$3:$C$22,"PSUV",MO!P$3:P$22)</f>
        <v>0</v>
      </c>
      <c r="R136" s="199">
        <f>SUMIF(MO!$C$3:$C$22,"PSUV",MO!Q$3:Q$22)</f>
        <v>0</v>
      </c>
      <c r="S136" s="199">
        <f>SUMIF(MO!$C$3:$C$22,"PSUV",MO!R$3:R$22)</f>
        <v>0</v>
      </c>
      <c r="T136" s="199">
        <f>SUMIF(MO!$C$3:$C$22,"PSUV",MO!S$3:S$22)</f>
        <v>0</v>
      </c>
      <c r="U136" s="199">
        <f>SUMIF(MO!$C$3:$C$22,"PSUV",MO!T$3:T$22)</f>
        <v>0</v>
      </c>
      <c r="V136" s="199">
        <f>SUMIF(MO!$C$3:$C$22,"PSUV",MO!U$3:U$22)</f>
        <v>0</v>
      </c>
      <c r="W136" s="199">
        <f>SUMIF(MO!$C$3:$C$22,"PSUV",MO!V$3:V$22)</f>
        <v>0</v>
      </c>
      <c r="X136" s="200">
        <f>SUMIF(MO!$C$3:$C$22,"PSUV",MO!W$3:W$22)</f>
        <v>0</v>
      </c>
    </row>
    <row r="137" spans="2:24" ht="15" customHeight="1" x14ac:dyDescent="0.2">
      <c r="B137" s="215"/>
      <c r="C137" s="226"/>
      <c r="D137" s="190" t="s">
        <v>227</v>
      </c>
      <c r="E137" s="118">
        <f>F137/(F136+F137+F138+F139)</f>
        <v>0.21875</v>
      </c>
      <c r="F137" s="127">
        <f t="shared" ref="F137:F139" si="59">IF(SUM(G137:X137)=0,1,SUM(G137:X137))</f>
        <v>7</v>
      </c>
      <c r="G137" s="127">
        <f>SUMIF(MO!$C$3:$C$22,"MUD",MO!F$3:F$22)</f>
        <v>0</v>
      </c>
      <c r="H137" s="127">
        <f>SUMIF(MO!$C$3:$C$22,"MUD",MO!G$3:G$22)</f>
        <v>0</v>
      </c>
      <c r="I137" s="127">
        <f>SUMIF(MO!$C$3:$C$22,"MUD",MO!H$3:H$22)</f>
        <v>0</v>
      </c>
      <c r="J137" s="127">
        <f>SUMIF(MO!$C$3:$C$22,"MUD",MO!I$3:I$22)</f>
        <v>0</v>
      </c>
      <c r="K137" s="127">
        <f>SUMIF(MO!$C$3:$C$22,"MUD",MO!J$3:J$22)</f>
        <v>0</v>
      </c>
      <c r="L137" s="127">
        <f>SUMIF(MO!$C$3:$C$22,"MUD",MO!K$3:K$22)</f>
        <v>7</v>
      </c>
      <c r="M137" s="127">
        <f>SUMIF(MO!$C$3:$C$22,"MUD",MO!L$3:L$22)</f>
        <v>0</v>
      </c>
      <c r="N137" s="127">
        <f>SUMIF(MO!$C$3:$C$22,"MUD",MO!M$3:M$22)</f>
        <v>0</v>
      </c>
      <c r="O137" s="127">
        <f>SUMIF(MO!$C$3:$C$22,"MUD",MO!N$3:N$22)</f>
        <v>0</v>
      </c>
      <c r="P137" s="127">
        <f>SUMIF(MO!$C$3:$C$22,"MUD",MO!O$3:O$22)</f>
        <v>0</v>
      </c>
      <c r="Q137" s="127">
        <f>SUMIF(MO!$C$3:$C$22,"MUD",MO!P$3:P$22)</f>
        <v>0</v>
      </c>
      <c r="R137" s="127">
        <f>SUMIF(MO!$C$3:$C$22,"MUD",MO!Q$3:Q$22)</f>
        <v>0</v>
      </c>
      <c r="S137" s="127">
        <f>SUMIF(MO!$C$3:$C$22,"MUD",MO!R$3:R$22)</f>
        <v>0</v>
      </c>
      <c r="T137" s="127">
        <f>SUMIF(MO!$C$3:$C$22,"MUD",MO!S$3:S$22)</f>
        <v>0</v>
      </c>
      <c r="U137" s="127">
        <f>SUMIF(MO!$C$3:$C$22,"MUD",MO!T$3:T$22)</f>
        <v>0</v>
      </c>
      <c r="V137" s="127">
        <f>SUMIF(MO!$C$3:$C$22,"MUD",MO!U$3:U$22)</f>
        <v>0</v>
      </c>
      <c r="W137" s="127">
        <f>SUMIF(MO!$C$3:$C$22,"MUD",MO!V$3:V$22)</f>
        <v>0</v>
      </c>
      <c r="X137" s="136">
        <f>SUMIF(MO!$C$3:$C$22,"MUD",MO!W$3:W$22)</f>
        <v>0</v>
      </c>
    </row>
    <row r="138" spans="2:24" ht="15" customHeight="1" x14ac:dyDescent="0.2">
      <c r="B138" s="215"/>
      <c r="C138" s="226"/>
      <c r="D138" s="190" t="s">
        <v>226</v>
      </c>
      <c r="E138" s="118">
        <f>F138/(F136+F137+F138+F139)</f>
        <v>3.125E-2</v>
      </c>
      <c r="F138" s="127">
        <f t="shared" si="59"/>
        <v>1</v>
      </c>
      <c r="G138" s="127">
        <f>SUMIF(MO!$C$3:$C$22,"IND",MO!F$3:F$22)</f>
        <v>0</v>
      </c>
      <c r="H138" s="127">
        <f>SUMIF(MO!$C$3:$C$22,"IND",MO!G$3:G$22)</f>
        <v>0</v>
      </c>
      <c r="I138" s="127">
        <f>SUMIF(MO!$C$3:$C$22,"IND",MO!H$3:H$22)</f>
        <v>0</v>
      </c>
      <c r="J138" s="127">
        <f>SUMIF(MO!$C$3:$C$22,"IND",MO!I$3:I$22)</f>
        <v>0</v>
      </c>
      <c r="K138" s="127">
        <f>SUMIF(MO!$C$3:$C$22,"IND",MO!J$3:J$22)</f>
        <v>0</v>
      </c>
      <c r="L138" s="127">
        <f>SUMIF(MO!$C$3:$C$22,"IND",MO!K$3:K$22)</f>
        <v>0</v>
      </c>
      <c r="M138" s="127">
        <f>SUMIF(MO!$C$3:$C$22,"IND",MO!L$3:L$22)</f>
        <v>0</v>
      </c>
      <c r="N138" s="127">
        <f>SUMIF(MO!$C$3:$C$22,"IND",MO!M$3:M$22)</f>
        <v>0</v>
      </c>
      <c r="O138" s="127">
        <f>SUMIF(MO!$C$3:$C$22,"IND",MO!N$3:N$22)</f>
        <v>0</v>
      </c>
      <c r="P138" s="127">
        <f>SUMIF(MO!$C$3:$C$22,"IND",MO!O$3:O$22)</f>
        <v>0</v>
      </c>
      <c r="Q138" s="127">
        <f>SUMIF(MO!$C$3:$C$22,"IND",MO!P$3:P$22)</f>
        <v>0</v>
      </c>
      <c r="R138" s="127">
        <f>SUMIF(MO!$C$3:$C$22,"IND",MO!Q$3:Q$22)</f>
        <v>0</v>
      </c>
      <c r="S138" s="127">
        <f>SUMIF(MO!$C$3:$C$22,"IND",MO!R$3:R$22)</f>
        <v>0</v>
      </c>
      <c r="T138" s="127">
        <f>SUMIF(MO!$C$3:$C$22,"IND",MO!S$3:S$22)</f>
        <v>0</v>
      </c>
      <c r="U138" s="127">
        <f>SUMIF(MO!$C$3:$C$22,"IND",MO!T$3:T$22)</f>
        <v>0</v>
      </c>
      <c r="V138" s="127">
        <f>SUMIF(MO!$C$3:$C$22,"IND",MO!U$3:U$22)</f>
        <v>0</v>
      </c>
      <c r="W138" s="127">
        <f>SUMIF(MO!$C$3:$C$22,"IND",MO!V$3:V$22)</f>
        <v>0</v>
      </c>
      <c r="X138" s="136">
        <f>SUMIF(MO!$C$3:$C$22,"IND",MO!W$3:W$22)</f>
        <v>0</v>
      </c>
    </row>
    <row r="139" spans="2:24" ht="15" customHeight="1" thickBot="1" x14ac:dyDescent="0.25">
      <c r="B139" s="216"/>
      <c r="C139" s="235"/>
      <c r="D139" s="191" t="s">
        <v>0</v>
      </c>
      <c r="E139" s="192">
        <f>F139/(F136+F137+F138+F139)</f>
        <v>3.125E-2</v>
      </c>
      <c r="F139" s="193">
        <f t="shared" si="59"/>
        <v>1</v>
      </c>
      <c r="G139" s="193">
        <f>SUMIF(MO!$C$3:$C$22,"Otro",MO!F$3:F$22)</f>
        <v>0</v>
      </c>
      <c r="H139" s="193">
        <f>SUMIF(MO!$C$3:$C$22,"Otro",MO!G$3:G$22)</f>
        <v>0</v>
      </c>
      <c r="I139" s="193">
        <f>SUMIF(MO!$C$3:$C$22,"Otro",MO!H$3:H$22)</f>
        <v>0</v>
      </c>
      <c r="J139" s="193">
        <f>SUMIF(MO!$C$3:$C$22,"Otro",MO!I$3:I$22)</f>
        <v>0</v>
      </c>
      <c r="K139" s="193">
        <f>SUMIF(MO!$C$3:$C$22,"Otro",MO!J$3:J$22)</f>
        <v>0</v>
      </c>
      <c r="L139" s="193">
        <f>SUMIF(MO!$C$3:$C$22,"Otro",MO!K$3:K$22)</f>
        <v>0</v>
      </c>
      <c r="M139" s="193">
        <f>SUMIF(MO!$C$3:$C$22,"Otro",MO!L$3:L$22)</f>
        <v>0</v>
      </c>
      <c r="N139" s="193">
        <f>SUMIF(MO!$C$3:$C$22,"Otro",MO!M$3:M$22)</f>
        <v>0</v>
      </c>
      <c r="O139" s="193">
        <f>SUMIF(MO!$C$3:$C$22,"Otro",MO!N$3:N$22)</f>
        <v>0</v>
      </c>
      <c r="P139" s="193">
        <f>SUMIF(MO!$C$3:$C$22,"Otro",MO!O$3:O$22)</f>
        <v>0</v>
      </c>
      <c r="Q139" s="193">
        <f>SUMIF(MO!$C$3:$C$22,"Otro",MO!P$3:P$22)</f>
        <v>0</v>
      </c>
      <c r="R139" s="193">
        <f>SUMIF(MO!$C$3:$C$22,"Otro",MO!Q$3:Q$22)</f>
        <v>0</v>
      </c>
      <c r="S139" s="193">
        <f>SUMIF(MO!$C$3:$C$22,"Otro",MO!R$3:R$22)</f>
        <v>0</v>
      </c>
      <c r="T139" s="193">
        <f>SUMIF(MO!$C$3:$C$22,"Otro",MO!S$3:S$22)</f>
        <v>0</v>
      </c>
      <c r="U139" s="193">
        <f>SUMIF(MO!$C$3:$C$22,"Otro",MO!T$3:T$22)</f>
        <v>0</v>
      </c>
      <c r="V139" s="193">
        <f>SUMIF(MO!$C$3:$C$22,"Otro",MO!U$3:U$22)</f>
        <v>0</v>
      </c>
      <c r="W139" s="193">
        <f>SUMIF(MO!$C$3:$C$22,"Otro",MO!V$3:V$22)</f>
        <v>0</v>
      </c>
      <c r="X139" s="194">
        <f>SUMIF(MO!$C$3:$C$22,"Otro",MO!W$3:W$22)</f>
        <v>0</v>
      </c>
    </row>
    <row r="140" spans="2:24" ht="15.75" customHeight="1" x14ac:dyDescent="0.2">
      <c r="B140" s="231" t="s">
        <v>71</v>
      </c>
      <c r="C140" s="236" t="s">
        <v>231</v>
      </c>
      <c r="D140" s="185" t="s">
        <v>191</v>
      </c>
      <c r="E140" s="186"/>
      <c r="F140" s="187"/>
      <c r="G140" s="187">
        <f>IF(SUM(G143:G145)=0,1,G143)</f>
        <v>5.7662871731754377</v>
      </c>
      <c r="H140" s="187">
        <f t="shared" ref="H140:X140" si="60">IF(SUM(H143:H145)=0,0,G140+H143)</f>
        <v>17.164771971259398</v>
      </c>
      <c r="I140" s="187">
        <f t="shared" si="60"/>
        <v>32.104691969928815</v>
      </c>
      <c r="J140" s="187">
        <f t="shared" si="60"/>
        <v>52.079897378750587</v>
      </c>
      <c r="K140" s="187">
        <f t="shared" si="60"/>
        <v>70.671025713525381</v>
      </c>
      <c r="L140" s="187">
        <f t="shared" si="60"/>
        <v>85.707063734947781</v>
      </c>
      <c r="M140" s="187">
        <f t="shared" si="60"/>
        <v>101.23891457654182</v>
      </c>
      <c r="N140" s="187">
        <f t="shared" si="60"/>
        <v>115.17480124409553</v>
      </c>
      <c r="O140" s="187">
        <f t="shared" si="60"/>
        <v>128.4539160734482</v>
      </c>
      <c r="P140" s="187">
        <f t="shared" si="60"/>
        <v>145.68928797152552</v>
      </c>
      <c r="Q140" s="187">
        <f t="shared" si="60"/>
        <v>159.48157557714057</v>
      </c>
      <c r="R140" s="187">
        <f t="shared" si="60"/>
        <v>175.53015850575477</v>
      </c>
      <c r="S140" s="187">
        <f t="shared" si="60"/>
        <v>186.37658006785975</v>
      </c>
      <c r="T140" s="187">
        <f t="shared" si="60"/>
        <v>193.8147495176635</v>
      </c>
      <c r="U140" s="187">
        <f t="shared" si="60"/>
        <v>200.51793377020823</v>
      </c>
      <c r="V140" s="187">
        <f t="shared" si="60"/>
        <v>210.036283347748</v>
      </c>
      <c r="W140" s="187">
        <f t="shared" si="60"/>
        <v>217.92414426851175</v>
      </c>
      <c r="X140" s="188">
        <f t="shared" si="60"/>
        <v>229.18207787239706</v>
      </c>
    </row>
    <row r="141" spans="2:24" ht="15.75" customHeight="1" x14ac:dyDescent="0.2">
      <c r="B141" s="232"/>
      <c r="C141" s="218"/>
      <c r="D141" s="145" t="s">
        <v>192</v>
      </c>
      <c r="E141" s="146"/>
      <c r="F141" s="147"/>
      <c r="G141" s="147">
        <f>IF(SUM(G143:G145)=0,1,G144)</f>
        <v>5.1485721176235781</v>
      </c>
      <c r="H141" s="147">
        <f t="shared" ref="H141:X141" si="61">IF(SUM(H143:H145)=0,0,G141+H144)</f>
        <v>12.325311023883973</v>
      </c>
      <c r="I141" s="147">
        <f t="shared" si="61"/>
        <v>28.854575543875992</v>
      </c>
      <c r="J141" s="147">
        <f t="shared" si="61"/>
        <v>44.969313418934206</v>
      </c>
      <c r="K141" s="147">
        <f t="shared" si="61"/>
        <v>59.035243829419201</v>
      </c>
      <c r="L141" s="147">
        <f t="shared" si="61"/>
        <v>72.158642971192876</v>
      </c>
      <c r="M141" s="147">
        <f t="shared" si="61"/>
        <v>84.523563801476953</v>
      </c>
      <c r="N141" s="147">
        <f t="shared" si="61"/>
        <v>96.811323265251815</v>
      </c>
      <c r="O141" s="147">
        <f t="shared" si="61"/>
        <v>112.09567310890826</v>
      </c>
      <c r="P141" s="147">
        <f t="shared" si="61"/>
        <v>123.58420098463176</v>
      </c>
      <c r="Q141" s="147">
        <f t="shared" si="61"/>
        <v>135.35558179761824</v>
      </c>
      <c r="R141" s="147">
        <f t="shared" si="61"/>
        <v>148.55910285410152</v>
      </c>
      <c r="S141" s="147">
        <f t="shared" si="61"/>
        <v>156.71477696094738</v>
      </c>
      <c r="T141" s="147">
        <f t="shared" si="61"/>
        <v>163.2345444414876</v>
      </c>
      <c r="U141" s="147">
        <f t="shared" si="61"/>
        <v>167.77185067527111</v>
      </c>
      <c r="V141" s="147">
        <f t="shared" si="61"/>
        <v>173.71627386734085</v>
      </c>
      <c r="W141" s="147">
        <f t="shared" si="61"/>
        <v>180.51238274233253</v>
      </c>
      <c r="X141" s="148">
        <f t="shared" si="61"/>
        <v>190.97122197458589</v>
      </c>
    </row>
    <row r="142" spans="2:24" ht="15.75" customHeight="1" thickBot="1" x14ac:dyDescent="0.25">
      <c r="B142" s="232"/>
      <c r="C142" s="219"/>
      <c r="D142" s="149" t="s">
        <v>0</v>
      </c>
      <c r="E142" s="150"/>
      <c r="F142" s="151"/>
      <c r="G142" s="151">
        <f>IF(SUM(G143:G145)=0,1,G145)</f>
        <v>0</v>
      </c>
      <c r="H142" s="151">
        <f t="shared" ref="H142:X142" si="62">IF(SUM(H143:H145)=0,0,G142+H145)</f>
        <v>0.28679063269243565</v>
      </c>
      <c r="I142" s="151">
        <f t="shared" si="62"/>
        <v>0.28679063269243565</v>
      </c>
      <c r="J142" s="151">
        <f t="shared" si="62"/>
        <v>0.9187678797152552</v>
      </c>
      <c r="K142" s="151">
        <f t="shared" si="62"/>
        <v>2.1542229392588652</v>
      </c>
      <c r="L142" s="151">
        <f t="shared" si="62"/>
        <v>3.2694847315547868</v>
      </c>
      <c r="M142" s="151">
        <f t="shared" si="62"/>
        <v>3.8816820238174441</v>
      </c>
      <c r="N142" s="151">
        <f t="shared" si="62"/>
        <v>4.0397927616259732</v>
      </c>
      <c r="O142" s="151">
        <f t="shared" si="62"/>
        <v>4.1831880779721908</v>
      </c>
      <c r="P142" s="151">
        <f t="shared" si="62"/>
        <v>4.7567693433570621</v>
      </c>
      <c r="Q142" s="151">
        <f t="shared" si="62"/>
        <v>4.7567693433570621</v>
      </c>
      <c r="R142" s="151">
        <f t="shared" si="62"/>
        <v>4.9240652651187542</v>
      </c>
      <c r="S142" s="151">
        <f t="shared" si="62"/>
        <v>5.0674605814649718</v>
      </c>
      <c r="T142" s="151">
        <f t="shared" si="62"/>
        <v>5.2255713192735005</v>
      </c>
      <c r="U142" s="151">
        <f t="shared" si="62"/>
        <v>5.2255713192735005</v>
      </c>
      <c r="V142" s="151">
        <f t="shared" si="62"/>
        <v>5.5270773734282477</v>
      </c>
      <c r="W142" s="151">
        <f t="shared" si="62"/>
        <v>5.5270773734282477</v>
      </c>
      <c r="X142" s="152">
        <f t="shared" si="62"/>
        <v>5.5270773734282477</v>
      </c>
    </row>
    <row r="143" spans="2:24" ht="15.75" customHeight="1" x14ac:dyDescent="0.2">
      <c r="B143" s="232"/>
      <c r="C143" s="220" t="s">
        <v>232</v>
      </c>
      <c r="D143" s="153" t="s">
        <v>191</v>
      </c>
      <c r="E143" s="154">
        <f>F143/(F143+F144+F145)</f>
        <v>0.53839004599859641</v>
      </c>
      <c r="F143" s="155">
        <f t="shared" ref="F143:F148" si="63">IF(SUM(G143:X143)=0,1,SUM(G143:X143))</f>
        <v>229.18207787239706</v>
      </c>
      <c r="G143" s="155">
        <f>NE!F3*NE!$B$5+NE!F6*NE!$B$8+NE!F9*NE!$B$11+NE!F12*NE!$B$14+NE!F15*NE!$B$17+NE!F18*NE!$B$20</f>
        <v>5.7662871731754377</v>
      </c>
      <c r="H143" s="155">
        <f>NE!G3*NE!$B$5+NE!G6*NE!$B$8+NE!G9*NE!$B$11+NE!G12*NE!$B$14+NE!G15*NE!$B$17+NE!G18*NE!$B$20</f>
        <v>11.39848479808396</v>
      </c>
      <c r="I143" s="155">
        <f>NE!H3*NE!$B$5+NE!H6*NE!$B$8+NE!H9*NE!$B$11+NE!H12*NE!$B$14+NE!H15*NE!$B$17+NE!H18*NE!$B$20</f>
        <v>14.939919998669417</v>
      </c>
      <c r="J143" s="155">
        <f>NE!I3*NE!$B$5+NE!I6*NE!$B$8+NE!I9*NE!$B$11+NE!I12*NE!$B$14+NE!I15*NE!$B$17+NE!I18*NE!$B$20</f>
        <v>19.975205408821768</v>
      </c>
      <c r="K143" s="155">
        <f>NE!J3*NE!$B$5+NE!J6*NE!$B$8+NE!J9*NE!$B$11+NE!J12*NE!$B$14+NE!J15*NE!$B$17+NE!J18*NE!$B$20</f>
        <v>18.591128334774801</v>
      </c>
      <c r="L143" s="155">
        <f>NE!K3*NE!$B$5+NE!K6*NE!$B$8+NE!K9*NE!$B$11+NE!K12*NE!$B$14+NE!K15*NE!$B$17+NE!K18*NE!$B$20</f>
        <v>15.036038021422394</v>
      </c>
      <c r="M143" s="155">
        <f>NE!L3*NE!$B$5+NE!L6*NE!$B$8+NE!L9*NE!$B$11+NE!L12*NE!$B$14+NE!L15*NE!$B$17+NE!L18*NE!$B$20</f>
        <v>15.531850841594039</v>
      </c>
      <c r="N143" s="155">
        <f>NE!M3*NE!$B$5+NE!M6*NE!$B$8+NE!M9*NE!$B$11+NE!M12*NE!$B$14+NE!M15*NE!$B$17+NE!M18*NE!$B$20</f>
        <v>13.935886667553723</v>
      </c>
      <c r="O143" s="155">
        <f>NE!N3*NE!$B$5+NE!N6*NE!$B$8+NE!N9*NE!$B$11+NE!N12*NE!$B$14+NE!N15*NE!$B$17+NE!N18*NE!$B$20</f>
        <v>13.279114829352672</v>
      </c>
      <c r="P143" s="155">
        <f>NE!O3*NE!$B$5+NE!O6*NE!$B$8+NE!O9*NE!$B$11+NE!O12*NE!$B$14+NE!O15*NE!$B$17+NE!O18*NE!$B$20</f>
        <v>17.235371898077307</v>
      </c>
      <c r="Q143" s="155">
        <f>NE!P3*NE!$B$5+NE!P6*NE!$B$8+NE!P9*NE!$B$11+NE!P12*NE!$B$14+NE!P15*NE!$B$17+NE!P18*NE!$B$20</f>
        <v>13.792287605615064</v>
      </c>
      <c r="R143" s="155">
        <f>NE!Q3*NE!$B$5+NE!Q6*NE!$B$8+NE!Q9*NE!$B$11+NE!Q12*NE!$B$14+NE!Q15*NE!$B$17+NE!Q18*NE!$B$20</f>
        <v>16.048582928614199</v>
      </c>
      <c r="S143" s="155">
        <f>NE!R3*NE!$B$5+NE!R6*NE!$B$8+NE!R9*NE!$B$11+NE!R12*NE!$B$14+NE!R15*NE!$B$17+NE!R18*NE!$B$20</f>
        <v>10.846421562104982</v>
      </c>
      <c r="T143" s="155">
        <f>NE!S3*NE!$B$5+NE!S6*NE!$B$8+NE!S9*NE!$B$11+NE!S12*NE!$B$14+NE!S15*NE!$B$17+NE!S18*NE!$B$20</f>
        <v>7.4381694498037394</v>
      </c>
      <c r="U143" s="155">
        <f>NE!T3*NE!$B$5+NE!T6*NE!$B$8+NE!T9*NE!$B$11+NE!T12*NE!$B$14+NE!T15*NE!$B$17+NE!T18*NE!$B$20</f>
        <v>6.7031842525447409</v>
      </c>
      <c r="V143" s="155">
        <f>NE!U3*NE!$B$5+NE!U6*NE!$B$8+NE!U9*NE!$B$11+NE!U12*NE!$B$14+NE!U15*NE!$B$17+NE!U18*NE!$B$20</f>
        <v>9.5183495775397517</v>
      </c>
      <c r="W143" s="155">
        <f>NE!V3*NE!$B$5+NE!V6*NE!$B$8+NE!V9*NE!$B$11+NE!V12*NE!$B$14+NE!V15*NE!$B$17+NE!V18*NE!$B$20</f>
        <v>7.8878609207637549</v>
      </c>
      <c r="X143" s="156">
        <f>NE!W3*NE!$B$5+NE!W6*NE!$B$8+NE!W9*NE!$B$11+NE!W12*NE!$B$14+NE!W15*NE!$B$17+NE!W18*NE!$B$20</f>
        <v>11.257933603885304</v>
      </c>
    </row>
    <row r="144" spans="2:24" ht="15.75" customHeight="1" x14ac:dyDescent="0.2">
      <c r="B144" s="232"/>
      <c r="C144" s="218"/>
      <c r="D144" s="145" t="s">
        <v>192</v>
      </c>
      <c r="E144" s="146">
        <f>F144/(F143+F144+F145)</f>
        <v>0.44862585215128142</v>
      </c>
      <c r="F144" s="147">
        <f t="shared" si="63"/>
        <v>190.97122197458589</v>
      </c>
      <c r="G144" s="147">
        <f>NE!F4*NE!$B$5+NE!F7*NE!$B$8+NE!F10*NE!$B$11+NE!F13*NE!$B$14+NE!F16*NE!$B$17+NE!F19*NE!$B$20</f>
        <v>5.1485721176235781</v>
      </c>
      <c r="H144" s="147">
        <f>NE!G4*NE!$B$5+NE!G7*NE!$B$8+NE!G10*NE!$B$11+NE!G13*NE!$B$14+NE!G16*NE!$B$17+NE!G19*NE!$B$20</f>
        <v>7.1767389062603959</v>
      </c>
      <c r="I144" s="147">
        <f>NE!H4*NE!$B$5+NE!H7*NE!$B$8+NE!H10*NE!$B$11+NE!H13*NE!$B$14+NE!H16*NE!$B$17+NE!H19*NE!$B$20</f>
        <v>16.529264519992019</v>
      </c>
      <c r="J144" s="147">
        <f>NE!I4*NE!$B$5+NE!I7*NE!$B$8+NE!I10*NE!$B$11+NE!I13*NE!$B$14+NE!I16*NE!$B$17+NE!I19*NE!$B$20</f>
        <v>16.114737875058211</v>
      </c>
      <c r="K144" s="147">
        <f>NE!J4*NE!$B$5+NE!J7*NE!$B$8+NE!J10*NE!$B$11+NE!J13*NE!$B$14+NE!J16*NE!$B$17+NE!J19*NE!$B$20</f>
        <v>14.065930410484999</v>
      </c>
      <c r="L144" s="147">
        <f>NE!K4*NE!$B$5+NE!K7*NE!$B$8+NE!K10*NE!$B$11+NE!K13*NE!$B$14+NE!K16*NE!$B$17+NE!K19*NE!$B$20</f>
        <v>13.123399141773668</v>
      </c>
      <c r="M144" s="147">
        <f>NE!L4*NE!$B$5+NE!L7*NE!$B$8+NE!L10*NE!$B$11+NE!L13*NE!$B$14+NE!L16*NE!$B$17+NE!L19*NE!$B$20</f>
        <v>12.364920830284081</v>
      </c>
      <c r="N144" s="147">
        <f>NE!M4*NE!$B$5+NE!M7*NE!$B$8+NE!M10*NE!$B$11+NE!M13*NE!$B$14+NE!M16*NE!$B$17+NE!M19*NE!$B$20</f>
        <v>12.287759463774865</v>
      </c>
      <c r="O144" s="147">
        <f>NE!N4*NE!$B$5+NE!N7*NE!$B$8+NE!N10*NE!$B$11+NE!N13*NE!$B$14+NE!N16*NE!$B$17+NE!N19*NE!$B$20</f>
        <v>15.284349843656447</v>
      </c>
      <c r="P144" s="147">
        <f>NE!O4*NE!$B$5+NE!O7*NE!$B$8+NE!O10*NE!$B$11+NE!O13*NE!$B$14+NE!O16*NE!$B$17+NE!O19*NE!$B$20</f>
        <v>11.488527875723506</v>
      </c>
      <c r="Q144" s="147">
        <f>NE!P4*NE!$B$5+NE!P7*NE!$B$8+NE!P10*NE!$B$11+NE!P13*NE!$B$14+NE!P16*NE!$B$17+NE!P19*NE!$B$20</f>
        <v>11.771380812986493</v>
      </c>
      <c r="R144" s="147">
        <f>NE!Q4*NE!$B$5+NE!Q7*NE!$B$8+NE!Q10*NE!$B$11+NE!Q13*NE!$B$14+NE!Q16*NE!$B$17+NE!Q19*NE!$B$20</f>
        <v>13.203521056483268</v>
      </c>
      <c r="S144" s="147">
        <f>NE!R4*NE!$B$5+NE!R7*NE!$B$8+NE!R10*NE!$B$11+NE!R13*NE!$B$14+NE!R16*NE!$B$17+NE!R19*NE!$B$20</f>
        <v>8.1556741068458525</v>
      </c>
      <c r="T144" s="147">
        <f>NE!S4*NE!$B$5+NE!S7*NE!$B$8+NE!S10*NE!$B$11+NE!S13*NE!$B$14+NE!S16*NE!$B$17+NE!S19*NE!$B$20</f>
        <v>6.5197674805402173</v>
      </c>
      <c r="U144" s="147">
        <f>NE!T4*NE!$B$5+NE!T7*NE!$B$8+NE!T10*NE!$B$11+NE!T13*NE!$B$14+NE!T16*NE!$B$17+NE!T19*NE!$B$20</f>
        <v>4.5373062337835144</v>
      </c>
      <c r="V144" s="147">
        <f>NE!U4*NE!$B$5+NE!U7*NE!$B$8+NE!U10*NE!$B$11+NE!U13*NE!$B$14+NE!U16*NE!$B$17+NE!U19*NE!$B$20</f>
        <v>5.9444231920697224</v>
      </c>
      <c r="W144" s="147">
        <f>NE!V4*NE!$B$5+NE!V7*NE!$B$8+NE!V10*NE!$B$11+NE!V13*NE!$B$14+NE!V16*NE!$B$17+NE!V19*NE!$B$20</f>
        <v>6.7961088749916847</v>
      </c>
      <c r="X144" s="148">
        <f>NE!W4*NE!$B$5+NE!W7*NE!$B$8+NE!W10*NE!$B$11+NE!W13*NE!$B$14+NE!W16*NE!$B$17+NE!W19*NE!$B$20</f>
        <v>10.458839232253343</v>
      </c>
    </row>
    <row r="145" spans="2:24" ht="15.75" customHeight="1" thickBot="1" x14ac:dyDescent="0.25">
      <c r="B145" s="232"/>
      <c r="C145" s="219"/>
      <c r="D145" s="149" t="s">
        <v>0</v>
      </c>
      <c r="E145" s="150">
        <f>F145/(F143+F144+F145)</f>
        <v>1.2984101850122179E-2</v>
      </c>
      <c r="F145" s="151">
        <f t="shared" si="63"/>
        <v>5.5270773734282477</v>
      </c>
      <c r="G145" s="151">
        <f>NE!F5*NE!$B$5+NE!F8*NE!$B$8+NE!F11*NE!$B$11+NE!F14*NE!$B$14+NE!F17*NE!$B$17+NE!F20*NE!$B$20</f>
        <v>0</v>
      </c>
      <c r="H145" s="151">
        <f>NE!G5*NE!$B$5+NE!G8*NE!$B$8+NE!G11*NE!$B$11+NE!G14*NE!$B$14+NE!G17*NE!$B$17+NE!G20*NE!$B$20</f>
        <v>0.28679063269243565</v>
      </c>
      <c r="I145" s="151">
        <f>NE!H5*NE!$B$5+NE!H8*NE!$B$8+NE!H11*NE!$B$11+NE!H14*NE!$B$14+NE!H17*NE!$B$17+NE!H20*NE!$B$20</f>
        <v>0</v>
      </c>
      <c r="J145" s="151">
        <f>NE!I5*NE!$B$5+NE!I8*NE!$B$8+NE!I11*NE!$B$11+NE!I14*NE!$B$14+NE!I17*NE!$B$17+NE!I20*NE!$B$20</f>
        <v>0.63197724702281954</v>
      </c>
      <c r="K145" s="151">
        <f>NE!J5*NE!$B$5+NE!J8*NE!$B$8+NE!J11*NE!$B$11+NE!J14*NE!$B$14+NE!J17*NE!$B$17+NE!J20*NE!$B$20</f>
        <v>1.23545505954361</v>
      </c>
      <c r="L145" s="151">
        <f>NE!K5*NE!$B$5+NE!K8*NE!$B$8+NE!K11*NE!$B$11+NE!K14*NE!$B$14+NE!K17*NE!$B$17+NE!K20*NE!$B$20</f>
        <v>1.1152617922959218</v>
      </c>
      <c r="M145" s="151">
        <f>NE!L5*NE!$B$5+NE!L8*NE!$B$8+NE!L11*NE!$B$11+NE!L14*NE!$B$14+NE!L17*NE!$B$17+NE!L20*NE!$B$20</f>
        <v>0.61219729226265718</v>
      </c>
      <c r="N145" s="151">
        <f>NE!M5*NE!$B$5+NE!M8*NE!$B$8+NE!M11*NE!$B$11+NE!M14*NE!$B$14+NE!M17*NE!$B$17+NE!M20*NE!$B$20</f>
        <v>0.15811073780852905</v>
      </c>
      <c r="O145" s="151">
        <f>NE!N5*NE!$B$5+NE!N8*NE!$B$8+NE!N11*NE!$B$11+NE!N14*NE!$B$14+NE!N17*NE!$B$17+NE!N20*NE!$B$20</f>
        <v>0.14339531634621783</v>
      </c>
      <c r="P145" s="151">
        <f>NE!O5*NE!$B$5+NE!O8*NE!$B$8+NE!O11*NE!$B$11+NE!O14*NE!$B$14+NE!O17*NE!$B$17+NE!O20*NE!$B$20</f>
        <v>0.57358126538487131</v>
      </c>
      <c r="Q145" s="151">
        <f>NE!P5*NE!$B$5+NE!P8*NE!$B$8+NE!P11*NE!$B$11+NE!P14*NE!$B$14+NE!P17*NE!$B$17+NE!P20*NE!$B$20</f>
        <v>0</v>
      </c>
      <c r="R145" s="151">
        <f>NE!Q5*NE!$B$5+NE!Q8*NE!$B$8+NE!Q11*NE!$B$11+NE!Q14*NE!$B$14+NE!Q17*NE!$B$17+NE!Q20*NE!$B$20</f>
        <v>0.1672959217616925</v>
      </c>
      <c r="S145" s="151">
        <f>NE!R5*NE!$B$5+NE!R8*NE!$B$8+NE!R11*NE!$B$11+NE!R14*NE!$B$14+NE!R17*NE!$B$17+NE!R20*NE!$B$20</f>
        <v>0.14339531634621783</v>
      </c>
      <c r="T145" s="151">
        <f>NE!S5*NE!$B$5+NE!S8*NE!$B$8+NE!S11*NE!$B$11+NE!S14*NE!$B$14+NE!S17*NE!$B$17+NE!S20*NE!$B$20</f>
        <v>0.15811073780852905</v>
      </c>
      <c r="U145" s="151">
        <f>NE!T5*NE!$B$5+NE!T8*NE!$B$8+NE!T11*NE!$B$11+NE!T14*NE!$B$14+NE!T17*NE!$B$17+NE!T20*NE!$B$20</f>
        <v>0</v>
      </c>
      <c r="V145" s="151">
        <f>NE!U5*NE!$B$5+NE!U8*NE!$B$8+NE!U11*NE!$B$11+NE!U14*NE!$B$14+NE!U17*NE!$B$17+NE!U20*NE!$B$20</f>
        <v>0.30150605415474685</v>
      </c>
      <c r="W145" s="151">
        <f>NE!V5*NE!$B$5+NE!V8*NE!$B$8+NE!V11*NE!$B$11+NE!V14*NE!$B$14+NE!V17*NE!$B$17+NE!V20*NE!$B$20</f>
        <v>0</v>
      </c>
      <c r="X145" s="152">
        <f>NE!W5*NE!$B$5+NE!W8*NE!$B$8+NE!W11*NE!$B$11+NE!W14*NE!$B$14+NE!W17*NE!$B$17+NE!W20*NE!$B$20</f>
        <v>0</v>
      </c>
    </row>
    <row r="146" spans="2:24" ht="15.75" customHeight="1" x14ac:dyDescent="0.2">
      <c r="B146" s="232"/>
      <c r="C146" s="220" t="s">
        <v>111</v>
      </c>
      <c r="D146" s="153" t="s">
        <v>191</v>
      </c>
      <c r="E146" s="154">
        <f>F146/(F146+F147+F148)</f>
        <v>0.54166666666666663</v>
      </c>
      <c r="F146" s="157">
        <f t="shared" si="63"/>
        <v>1404</v>
      </c>
      <c r="G146" s="157">
        <f>SUMIF(NE!$C$3:$C$20,"PSUV",NE!F$3:F$20)</f>
        <v>32</v>
      </c>
      <c r="H146" s="157">
        <f>SUMIF(NE!$C$3:$C$20,"PSUV",NE!G$3:G$20)</f>
        <v>78</v>
      </c>
      <c r="I146" s="157">
        <f>SUMIF(NE!$C$3:$C$20,"PSUV",NE!H$3:H$20)</f>
        <v>95</v>
      </c>
      <c r="J146" s="157">
        <f>SUMIF(NE!$C$3:$C$20,"PSUV",NE!I$3:I$20)</f>
        <v>116</v>
      </c>
      <c r="K146" s="157">
        <f>SUMIF(NE!$C$3:$C$20,"PSUV",NE!J$3:J$20)</f>
        <v>106</v>
      </c>
      <c r="L146" s="157">
        <f>SUMIF(NE!$C$3:$C$20,"PSUV",NE!K$3:K$20)</f>
        <v>94</v>
      </c>
      <c r="M146" s="157">
        <f>SUMIF(NE!$C$3:$C$20,"PSUV",NE!L$3:L$20)</f>
        <v>97</v>
      </c>
      <c r="N146" s="157">
        <f>SUMIF(NE!$C$3:$C$20,"PSUV",NE!M$3:M$20)</f>
        <v>91</v>
      </c>
      <c r="O146" s="157">
        <f>SUMIF(NE!$C$3:$C$20,"PSUV",NE!N$3:N$20)</f>
        <v>80</v>
      </c>
      <c r="P146" s="157">
        <f>SUMIF(NE!$C$3:$C$20,"PSUV",NE!O$3:O$20)</f>
        <v>113</v>
      </c>
      <c r="Q146" s="157">
        <f>SUMIF(NE!$C$3:$C$20,"PSUV",NE!P$3:P$20)</f>
        <v>89</v>
      </c>
      <c r="R146" s="157">
        <f>SUMIF(NE!$C$3:$C$20,"PSUV",NE!Q$3:Q$20)</f>
        <v>94</v>
      </c>
      <c r="S146" s="157">
        <f>SUMIF(NE!$C$3:$C$20,"PSUV",NE!R$3:R$20)</f>
        <v>59</v>
      </c>
      <c r="T146" s="157">
        <f>SUMIF(NE!$C$3:$C$20,"PSUV",NE!S$3:S$20)</f>
        <v>48</v>
      </c>
      <c r="U146" s="157">
        <f>SUMIF(NE!$C$3:$C$20,"PSUV",NE!T$3:T$20)</f>
        <v>46</v>
      </c>
      <c r="V146" s="157">
        <f>SUMIF(NE!$C$3:$C$20,"PSUV",NE!U$3:U$20)</f>
        <v>58</v>
      </c>
      <c r="W146" s="157">
        <f>SUMIF(NE!$C$3:$C$20,"PSUV",NE!V$3:V$20)</f>
        <v>46</v>
      </c>
      <c r="X146" s="158">
        <f>SUMIF(NE!$C$3:$C$20,"PSUV",NE!W$3:W$20)</f>
        <v>62</v>
      </c>
    </row>
    <row r="147" spans="2:24" ht="15.75" customHeight="1" x14ac:dyDescent="0.2">
      <c r="B147" s="232"/>
      <c r="C147" s="218"/>
      <c r="D147" s="145" t="s">
        <v>192</v>
      </c>
      <c r="E147" s="146">
        <f>F147/(F146+F147+F148)</f>
        <v>0.44637345679012347</v>
      </c>
      <c r="F147" s="159">
        <f t="shared" si="63"/>
        <v>1157</v>
      </c>
      <c r="G147" s="159">
        <f>SUMIF(NE!$C$3:$C$20,"MUD",NE!F$3:F$20)</f>
        <v>33</v>
      </c>
      <c r="H147" s="159">
        <f>SUMIF(NE!$C$3:$C$20,"MUD",NE!G$3:G$20)</f>
        <v>49</v>
      </c>
      <c r="I147" s="159">
        <f>SUMIF(NE!$C$3:$C$20,"MUD",NE!H$3:H$20)</f>
        <v>100</v>
      </c>
      <c r="J147" s="159">
        <f>SUMIF(NE!$C$3:$C$20,"MUD",NE!I$3:I$20)</f>
        <v>98</v>
      </c>
      <c r="K147" s="159">
        <f>SUMIF(NE!$C$3:$C$20,"MUD",NE!J$3:J$20)</f>
        <v>91</v>
      </c>
      <c r="L147" s="159">
        <f>SUMIF(NE!$C$3:$C$20,"MUD",NE!K$3:K$20)</f>
        <v>78</v>
      </c>
      <c r="M147" s="159">
        <f>SUMIF(NE!$C$3:$C$20,"MUD",NE!L$3:L$20)</f>
        <v>75</v>
      </c>
      <c r="N147" s="159">
        <f>SUMIF(NE!$C$3:$C$20,"MUD",NE!M$3:M$20)</f>
        <v>80</v>
      </c>
      <c r="O147" s="159">
        <f>SUMIF(NE!$C$3:$C$20,"MUD",NE!N$3:N$20)</f>
        <v>92</v>
      </c>
      <c r="P147" s="159">
        <f>SUMIF(NE!$C$3:$C$20,"MUD",NE!O$3:O$20)</f>
        <v>73</v>
      </c>
      <c r="Q147" s="159">
        <f>SUMIF(NE!$C$3:$C$20,"MUD",NE!P$3:P$20)</f>
        <v>66</v>
      </c>
      <c r="R147" s="159">
        <f>SUMIF(NE!$C$3:$C$20,"MUD",NE!Q$3:Q$20)</f>
        <v>80</v>
      </c>
      <c r="S147" s="159">
        <f>SUMIF(NE!$C$3:$C$20,"MUD",NE!R$3:R$20)</f>
        <v>49</v>
      </c>
      <c r="T147" s="159">
        <f>SUMIF(NE!$C$3:$C$20,"MUD",NE!S$3:S$20)</f>
        <v>37</v>
      </c>
      <c r="U147" s="159">
        <f>SUMIF(NE!$C$3:$C$20,"MUD",NE!T$3:T$20)</f>
        <v>30</v>
      </c>
      <c r="V147" s="159">
        <f>SUMIF(NE!$C$3:$C$20,"MUD",NE!U$3:U$20)</f>
        <v>34</v>
      </c>
      <c r="W147" s="159">
        <f>SUMIF(NE!$C$3:$C$20,"MUD",NE!V$3:V$20)</f>
        <v>39</v>
      </c>
      <c r="X147" s="160">
        <f>SUMIF(NE!$C$3:$C$20,"MUD",NE!W$3:W$20)</f>
        <v>53</v>
      </c>
    </row>
    <row r="148" spans="2:24" ht="15.75" customHeight="1" thickBot="1" x14ac:dyDescent="0.25">
      <c r="B148" s="233"/>
      <c r="C148" s="221"/>
      <c r="D148" s="161" t="s">
        <v>0</v>
      </c>
      <c r="E148" s="162">
        <f>F148/(F146+F147+F148)</f>
        <v>1.1959876543209876E-2</v>
      </c>
      <c r="F148" s="163">
        <f t="shared" si="63"/>
        <v>31</v>
      </c>
      <c r="G148" s="163">
        <f>SUMIF(NE!$C$3:$C$20,"Otro",NE!F$3:F$20)</f>
        <v>0</v>
      </c>
      <c r="H148" s="163">
        <f>SUMIF(NE!$C$3:$C$20,"Otro",NE!G$3:G$20)</f>
        <v>2</v>
      </c>
      <c r="I148" s="163">
        <f>SUMIF(NE!$C$3:$C$20,"Otro",NE!H$3:H$20)</f>
        <v>0</v>
      </c>
      <c r="J148" s="163">
        <f>SUMIF(NE!$C$3:$C$20,"Otro",NE!I$3:I$20)</f>
        <v>2</v>
      </c>
      <c r="K148" s="163">
        <f>SUMIF(NE!$C$3:$C$20,"Otro",NE!J$3:J$20)</f>
        <v>8</v>
      </c>
      <c r="L148" s="163">
        <f>SUMIF(NE!$C$3:$C$20,"Otro",NE!K$3:K$20)</f>
        <v>4</v>
      </c>
      <c r="M148" s="163">
        <f>SUMIF(NE!$C$3:$C$20,"Otro",NE!L$3:L$20)</f>
        <v>4</v>
      </c>
      <c r="N148" s="163">
        <f>SUMIF(NE!$C$3:$C$20,"Otro",NE!M$3:M$20)</f>
        <v>1</v>
      </c>
      <c r="O148" s="163">
        <f>SUMIF(NE!$C$3:$C$20,"Otro",NE!N$3:N$20)</f>
        <v>1</v>
      </c>
      <c r="P148" s="163">
        <f>SUMIF(NE!$C$3:$C$20,"Otro",NE!O$3:O$20)</f>
        <v>4</v>
      </c>
      <c r="Q148" s="163">
        <f>SUMIF(NE!$C$3:$C$20,"Otro",NE!P$3:P$20)</f>
        <v>0</v>
      </c>
      <c r="R148" s="163">
        <f>SUMIF(NE!$C$3:$C$20,"Otro",NE!Q$3:Q$20)</f>
        <v>1</v>
      </c>
      <c r="S148" s="163">
        <f>SUMIF(NE!$C$3:$C$20,"Otro",NE!R$3:R$20)</f>
        <v>1</v>
      </c>
      <c r="T148" s="163">
        <f>SUMIF(NE!$C$3:$C$20,"Otro",NE!S$3:S$20)</f>
        <v>1</v>
      </c>
      <c r="U148" s="163">
        <f>SUMIF(NE!$C$3:$C$20,"Otro",NE!T$3:T$20)</f>
        <v>0</v>
      </c>
      <c r="V148" s="163">
        <f>SUMIF(NE!$C$3:$C$20,"Otro",NE!U$3:U$20)</f>
        <v>2</v>
      </c>
      <c r="W148" s="163">
        <f>SUMIF(NE!$C$3:$C$20,"Otro",NE!V$3:V$20)</f>
        <v>0</v>
      </c>
      <c r="X148" s="164">
        <f>SUMIF(NE!$C$3:$C$20,"Otro",NE!W$3:W$20)</f>
        <v>0</v>
      </c>
    </row>
    <row r="149" spans="2:24" ht="15.75" customHeight="1" x14ac:dyDescent="0.2">
      <c r="B149" s="231" t="s">
        <v>76</v>
      </c>
      <c r="C149" s="225" t="s">
        <v>231</v>
      </c>
      <c r="D149" s="165" t="s">
        <v>196</v>
      </c>
      <c r="E149" s="166"/>
      <c r="F149" s="167"/>
      <c r="G149" s="167">
        <f>IF(SUM(G152:G154)=0,1,G152)</f>
        <v>3.4635985017949502</v>
      </c>
      <c r="H149" s="167">
        <f t="shared" ref="H149:X149" si="64">IF(SUM(H152:H154)=0,0,G149+H152)</f>
        <v>8.3498045114731987</v>
      </c>
      <c r="I149" s="167">
        <f t="shared" si="64"/>
        <v>12.34075303606974</v>
      </c>
      <c r="J149" s="167">
        <f t="shared" si="64"/>
        <v>22.42393670018825</v>
      </c>
      <c r="K149" s="167">
        <f t="shared" si="64"/>
        <v>36.238770486311481</v>
      </c>
      <c r="L149" s="167">
        <f t="shared" si="64"/>
        <v>49.236230972558126</v>
      </c>
      <c r="M149" s="167">
        <f t="shared" si="64"/>
        <v>57.826195678720175</v>
      </c>
      <c r="N149" s="167">
        <f t="shared" si="64"/>
        <v>68.532863469256768</v>
      </c>
      <c r="O149" s="167">
        <f t="shared" si="64"/>
        <v>81.67250430636696</v>
      </c>
      <c r="P149" s="167">
        <f t="shared" si="64"/>
        <v>93.12971187865665</v>
      </c>
      <c r="Q149" s="167">
        <f t="shared" si="64"/>
        <v>105.31012325827182</v>
      </c>
      <c r="R149" s="167">
        <f t="shared" si="64"/>
        <v>113.32659011383508</v>
      </c>
      <c r="S149" s="167">
        <f t="shared" si="64"/>
        <v>121.89776025693398</v>
      </c>
      <c r="T149" s="167">
        <f t="shared" si="64"/>
        <v>133.30854984038888</v>
      </c>
      <c r="U149" s="167">
        <f t="shared" si="64"/>
        <v>140.7641061884168</v>
      </c>
      <c r="V149" s="167">
        <f t="shared" si="64"/>
        <v>153.39006715122753</v>
      </c>
      <c r="W149" s="167">
        <f t="shared" si="64"/>
        <v>165.80199357232863</v>
      </c>
      <c r="X149" s="168">
        <f t="shared" si="64"/>
        <v>179.77770501440503</v>
      </c>
    </row>
    <row r="150" spans="2:24" ht="15.75" customHeight="1" x14ac:dyDescent="0.2">
      <c r="B150" s="232"/>
      <c r="C150" s="226"/>
      <c r="D150" s="117" t="s">
        <v>197</v>
      </c>
      <c r="E150" s="118"/>
      <c r="F150" s="119"/>
      <c r="G150" s="119">
        <f>IF(SUM(G152:G154)=0,1,G153)</f>
        <v>2.3978758858580425</v>
      </c>
      <c r="H150" s="119">
        <f t="shared" ref="H150:X150" si="65">IF(SUM(H152:H154)=0,0,G150+H153)</f>
        <v>4.2476188006146707</v>
      </c>
      <c r="I150" s="119">
        <f t="shared" si="65"/>
        <v>7.4124797109060765</v>
      </c>
      <c r="J150" s="119">
        <f t="shared" si="65"/>
        <v>17.538236431972368</v>
      </c>
      <c r="K150" s="119">
        <f t="shared" si="65"/>
        <v>21.631489538283979</v>
      </c>
      <c r="L150" s="119">
        <f t="shared" si="65"/>
        <v>30.856998359582178</v>
      </c>
      <c r="M150" s="119">
        <f t="shared" si="65"/>
        <v>41.13575267945717</v>
      </c>
      <c r="N150" s="119">
        <f t="shared" si="65"/>
        <v>45.313806093536236</v>
      </c>
      <c r="O150" s="119">
        <f t="shared" si="65"/>
        <v>49.54578797329512</v>
      </c>
      <c r="P150" s="119">
        <f t="shared" si="65"/>
        <v>53.806482568129212</v>
      </c>
      <c r="Q150" s="119">
        <f t="shared" si="65"/>
        <v>58.190342499357016</v>
      </c>
      <c r="R150" s="119">
        <f t="shared" si="65"/>
        <v>62.583554325062082</v>
      </c>
      <c r="S150" s="119">
        <f t="shared" si="65"/>
        <v>66.130578555265217</v>
      </c>
      <c r="T150" s="119">
        <f t="shared" si="65"/>
        <v>69.419073801511601</v>
      </c>
      <c r="U150" s="119">
        <f t="shared" si="65"/>
        <v>71.573450302256163</v>
      </c>
      <c r="V150" s="119">
        <f t="shared" si="65"/>
        <v>75.086123016207495</v>
      </c>
      <c r="W150" s="119">
        <f t="shared" si="65"/>
        <v>80.210913641403366</v>
      </c>
      <c r="X150" s="132">
        <f t="shared" si="65"/>
        <v>84.279426480536515</v>
      </c>
    </row>
    <row r="151" spans="2:24" ht="15.75" customHeight="1" thickBot="1" x14ac:dyDescent="0.25">
      <c r="B151" s="232"/>
      <c r="C151" s="227"/>
      <c r="D151" s="120" t="s">
        <v>0</v>
      </c>
      <c r="E151" s="121"/>
      <c r="F151" s="122"/>
      <c r="G151" s="122">
        <f>IF(SUM(G152:G154)=0,1,G154)</f>
        <v>1.8650145778895886</v>
      </c>
      <c r="H151" s="122">
        <f t="shared" ref="H151:X151" si="66">IF(SUM(H152:H154)=0,0,G151+H154)</f>
        <v>4.3247638252209377</v>
      </c>
      <c r="I151" s="122">
        <f t="shared" si="66"/>
        <v>8.4187258340951878</v>
      </c>
      <c r="J151" s="122">
        <f t="shared" si="66"/>
        <v>18.577081266601397</v>
      </c>
      <c r="K151" s="122">
        <f t="shared" si="66"/>
        <v>27.479151132407008</v>
      </c>
      <c r="L151" s="122">
        <f t="shared" si="66"/>
        <v>36.73948046951827</v>
      </c>
      <c r="M151" s="122">
        <f t="shared" si="66"/>
        <v>44.101628098476937</v>
      </c>
      <c r="N151" s="122">
        <f t="shared" si="66"/>
        <v>47.968935803253601</v>
      </c>
      <c r="O151" s="122">
        <f t="shared" si="66"/>
        <v>54.770036763513993</v>
      </c>
      <c r="P151" s="122">
        <f t="shared" si="66"/>
        <v>59.847931755160616</v>
      </c>
      <c r="Q151" s="122">
        <f t="shared" si="66"/>
        <v>68.096047652084451</v>
      </c>
      <c r="R151" s="122">
        <f t="shared" si="66"/>
        <v>74.395630307313581</v>
      </c>
      <c r="S151" s="122">
        <f t="shared" si="66"/>
        <v>78.508175072997517</v>
      </c>
      <c r="T151" s="122">
        <f t="shared" si="66"/>
        <v>82.936790962356852</v>
      </c>
      <c r="U151" s="122">
        <f t="shared" si="66"/>
        <v>87.156697724379555</v>
      </c>
      <c r="V151" s="122">
        <f t="shared" si="66"/>
        <v>92.641835625379585</v>
      </c>
      <c r="W151" s="122">
        <f t="shared" si="66"/>
        <v>97.92283768508733</v>
      </c>
      <c r="X151" s="133">
        <f t="shared" si="66"/>
        <v>103.1062294812692</v>
      </c>
    </row>
    <row r="152" spans="2:24" ht="15.75" customHeight="1" x14ac:dyDescent="0.2">
      <c r="B152" s="232"/>
      <c r="C152" s="225" t="s">
        <v>232</v>
      </c>
      <c r="D152" s="165" t="s">
        <v>196</v>
      </c>
      <c r="E152" s="166">
        <f>F152/(F152+F153+F154)</f>
        <v>0.48963955590888386</v>
      </c>
      <c r="F152" s="167">
        <f t="shared" ref="F152:F157" si="67">IF(SUM(G152:X152)=0,1,SUM(G152:X152))</f>
        <v>179.77770501440503</v>
      </c>
      <c r="G152" s="167">
        <f>PO!F3*PO!$B$5+PO!F6*PO!$B$8+PO!F9*PO!$B$11+PO!F12*PO!$B$14+PO!F15*PO!$B$17+PO!F18*PO!$B$20+PO!F21*PO!$B$23</f>
        <v>3.4635985017949502</v>
      </c>
      <c r="H152" s="167">
        <f>PO!G3*PO!$B$5+PO!G6*PO!$B$8+PO!G9*PO!$B$11+PO!G12*PO!$B$14+PO!G15*PO!$B$17+PO!G18*PO!$B$20+PO!G21*PO!$B$23</f>
        <v>4.8862060096782489</v>
      </c>
      <c r="I152" s="167">
        <f>PO!H3*PO!$B$5+PO!H6*PO!$B$8+PO!H9*PO!$B$11+PO!H12*PO!$B$14+PO!H15*PO!$B$17+PO!H18*PO!$B$20+PO!H21*PO!$B$23</f>
        <v>3.9909485245965417</v>
      </c>
      <c r="J152" s="167">
        <f>PO!I3*PO!$B$5+PO!I6*PO!$B$8+PO!I9*PO!$B$11+PO!I12*PO!$B$14+PO!I15*PO!$B$17+PO!I18*PO!$B$20+PO!I21*PO!$B$23</f>
        <v>10.083183664118508</v>
      </c>
      <c r="K152" s="167">
        <f>PO!J3*PO!$B$5+PO!J6*PO!$B$8+PO!J9*PO!$B$11+PO!J12*PO!$B$14+PO!J15*PO!$B$17+PO!J18*PO!$B$20+PO!J21*PO!$B$23</f>
        <v>13.814833786123232</v>
      </c>
      <c r="L152" s="167">
        <f>PO!K3*PO!$B$5+PO!K6*PO!$B$8+PO!K9*PO!$B$11+PO!K12*PO!$B$14+PO!K15*PO!$B$17+PO!K18*PO!$B$20+PO!K21*PO!$B$23</f>
        <v>12.997460486246643</v>
      </c>
      <c r="M152" s="167">
        <f>PO!L3*PO!$B$5+PO!L6*PO!$B$8+PO!L9*PO!$B$11+PO!L12*PO!$B$14+PO!L15*PO!$B$17+PO!L18*PO!$B$20+PO!L21*PO!$B$23</f>
        <v>8.5899647061620499</v>
      </c>
      <c r="N152" s="167">
        <f>PO!M3*PO!$B$5+PO!M6*PO!$B$8+PO!M9*PO!$B$11+PO!M12*PO!$B$14+PO!M15*PO!$B$17+PO!M18*PO!$B$20+PO!M21*PO!$B$23</f>
        <v>10.706667790536585</v>
      </c>
      <c r="O152" s="167">
        <f>PO!N3*PO!$B$5+PO!N6*PO!$B$8+PO!N9*PO!$B$11+PO!N12*PO!$B$14+PO!N15*PO!$B$17+PO!N18*PO!$B$20+PO!N21*PO!$B$23</f>
        <v>13.139640837110186</v>
      </c>
      <c r="P152" s="167">
        <f>PO!O3*PO!$B$5+PO!O6*PO!$B$8+PO!O9*PO!$B$11+PO!O12*PO!$B$14+PO!O15*PO!$B$17+PO!O18*PO!$B$20+PO!O21*PO!$B$23</f>
        <v>11.457207572289692</v>
      </c>
      <c r="Q152" s="167">
        <f>PO!P3*PO!$B$5+PO!P6*PO!$B$8+PO!P9*PO!$B$11+PO!P12*PO!$B$14+PO!P15*PO!$B$17+PO!P18*PO!$B$20+PO!P21*PO!$B$23</f>
        <v>12.18041137961516</v>
      </c>
      <c r="R152" s="167">
        <f>PO!Q3*PO!$B$5+PO!Q6*PO!$B$8+PO!Q9*PO!$B$11+PO!Q12*PO!$B$14+PO!Q15*PO!$B$17+PO!Q18*PO!$B$20+PO!Q21*PO!$B$23</f>
        <v>8.0164668555632641</v>
      </c>
      <c r="S152" s="167">
        <f>PO!R3*PO!$B$5+PO!R6*PO!$B$8+PO!R9*PO!$B$11+PO!R12*PO!$B$14+PO!R15*PO!$B$17+PO!R18*PO!$B$20+PO!R21*PO!$B$23</f>
        <v>8.5711701430988985</v>
      </c>
      <c r="T152" s="167">
        <f>PO!S3*PO!$B$5+PO!S6*PO!$B$8+PO!S9*PO!$B$11+PO!S12*PO!$B$14+PO!S15*PO!$B$17+PO!S18*PO!$B$20+PO!S21*PO!$B$23</f>
        <v>11.410789583454907</v>
      </c>
      <c r="U152" s="167">
        <f>PO!T3*PO!$B$5+PO!T6*PO!$B$8+PO!T9*PO!$B$11+PO!T12*PO!$B$14+PO!T15*PO!$B$17+PO!T18*PO!$B$20+PO!T21*PO!$B$23</f>
        <v>7.4555563480279323</v>
      </c>
      <c r="V152" s="167">
        <f>PO!U3*PO!$B$5+PO!U6*PO!$B$8+PO!U9*PO!$B$11+PO!U12*PO!$B$14+PO!U15*PO!$B$17+PO!U18*PO!$B$20+PO!U21*PO!$B$23</f>
        <v>12.625960962810712</v>
      </c>
      <c r="W152" s="167">
        <f>PO!V3*PO!$B$5+PO!V6*PO!$B$8+PO!V9*PO!$B$11+PO!V12*PO!$B$14+PO!V15*PO!$B$17+PO!V18*PO!$B$20+PO!V21*PO!$B$23</f>
        <v>12.411926421101089</v>
      </c>
      <c r="X152" s="168">
        <f>PO!W3*PO!$B$5+PO!W6*PO!$B$8+PO!W9*PO!$B$11+PO!W12*PO!$B$14+PO!W15*PO!$B$17+PO!W18*PO!$B$20+PO!W21*PO!$B$23</f>
        <v>13.975711442076392</v>
      </c>
    </row>
    <row r="153" spans="2:24" ht="15.75" customHeight="1" x14ac:dyDescent="0.2">
      <c r="B153" s="232"/>
      <c r="C153" s="226"/>
      <c r="D153" s="117" t="s">
        <v>197</v>
      </c>
      <c r="E153" s="118">
        <f>F153/(F152+F153+F154)</f>
        <v>0.2295420388800645</v>
      </c>
      <c r="F153" s="119">
        <f t="shared" si="67"/>
        <v>84.279426480536515</v>
      </c>
      <c r="G153" s="119">
        <f>PO!F4*PO!$B$5+PO!F7*PO!$B$8+PO!F10*PO!$B$11+PO!F13*PO!$B$14+PO!F16*PO!$B$17+PO!F19*PO!$B$20+PO!F22*PO!$B$23</f>
        <v>2.3978758858580425</v>
      </c>
      <c r="H153" s="119">
        <f>PO!G4*PO!$B$5+PO!G7*PO!$B$8+PO!G10*PO!$B$11+PO!G13*PO!$B$14+PO!G16*PO!$B$17+PO!G19*PO!$B$20+PO!G22*PO!$B$23</f>
        <v>1.8497429147566282</v>
      </c>
      <c r="I153" s="119">
        <f>PO!H4*PO!$B$5+PO!H7*PO!$B$8+PO!H10*PO!$B$11+PO!H13*PO!$B$14+PO!H16*PO!$B$17+PO!H19*PO!$B$20+PO!H22*PO!$B$23</f>
        <v>3.1648609102914063</v>
      </c>
      <c r="J153" s="119">
        <f>PO!I4*PO!$B$5+PO!I7*PO!$B$8+PO!I10*PO!$B$11+PO!I13*PO!$B$14+PO!I16*PO!$B$17+PO!I19*PO!$B$20+PO!I22*PO!$B$23</f>
        <v>10.125756721066292</v>
      </c>
      <c r="K153" s="119">
        <f>PO!J4*PO!$B$5+PO!J7*PO!$B$8+PO!J10*PO!$B$11+PO!J13*PO!$B$14+PO!J16*PO!$B$17+PO!J19*PO!$B$20+PO!J22*PO!$B$23</f>
        <v>4.0932531063116109</v>
      </c>
      <c r="L153" s="119">
        <f>PO!K4*PO!$B$5+PO!K7*PO!$B$8+PO!K10*PO!$B$11+PO!K13*PO!$B$14+PO!K16*PO!$B$17+PO!K19*PO!$B$20+PO!K22*PO!$B$23</f>
        <v>9.2255088212982006</v>
      </c>
      <c r="M153" s="119">
        <f>PO!L4*PO!$B$5+PO!L7*PO!$B$8+PO!L10*PO!$B$11+PO!L13*PO!$B$14+PO!L16*PO!$B$17+PO!L19*PO!$B$20+PO!L22*PO!$B$23</f>
        <v>10.278754319874992</v>
      </c>
      <c r="N153" s="119">
        <f>PO!M4*PO!$B$5+PO!M7*PO!$B$8+PO!M10*PO!$B$11+PO!M13*PO!$B$14+PO!M16*PO!$B$17+PO!M19*PO!$B$20+PO!M22*PO!$B$23</f>
        <v>4.1780534140790646</v>
      </c>
      <c r="O153" s="119">
        <f>PO!N4*PO!$B$5+PO!N7*PO!$B$8+PO!N10*PO!$B$11+PO!N13*PO!$B$14+PO!N16*PO!$B$17+PO!N19*PO!$B$20+PO!N22*PO!$B$23</f>
        <v>4.2319818797588864</v>
      </c>
      <c r="P153" s="119">
        <f>PO!O4*PO!$B$5+PO!O7*PO!$B$8+PO!O10*PO!$B$11+PO!O13*PO!$B$14+PO!O16*PO!$B$17+PO!O19*PO!$B$20+PO!O22*PO!$B$23</f>
        <v>4.2606945948340886</v>
      </c>
      <c r="Q153" s="119">
        <f>PO!P4*PO!$B$5+PO!P7*PO!$B$8+PO!P10*PO!$B$11+PO!P13*PO!$B$14+PO!P16*PO!$B$17+PO!P19*PO!$B$20+PO!P22*PO!$B$23</f>
        <v>4.383859931227807</v>
      </c>
      <c r="R153" s="119">
        <f>PO!Q4*PO!$B$5+PO!Q7*PO!$B$8+PO!Q10*PO!$B$11+PO!Q13*PO!$B$14+PO!Q16*PO!$B$17+PO!Q19*PO!$B$20+PO!Q22*PO!$B$23</f>
        <v>4.3932118257050661</v>
      </c>
      <c r="S153" s="119">
        <f>PO!R4*PO!$B$5+PO!R7*PO!$B$8+PO!R10*PO!$B$11+PO!R13*PO!$B$14+PO!R16*PO!$B$17+PO!R19*PO!$B$20+PO!R22*PO!$B$23</f>
        <v>3.5470242302031401</v>
      </c>
      <c r="T153" s="119">
        <f>PO!S4*PO!$B$5+PO!S7*PO!$B$8+PO!S10*PO!$B$11+PO!S13*PO!$B$14+PO!S16*PO!$B$17+PO!S19*PO!$B$20+PO!S22*PO!$B$23</f>
        <v>3.2884952462463826</v>
      </c>
      <c r="U153" s="119">
        <f>PO!T4*PO!$B$5+PO!T7*PO!$B$8+PO!T10*PO!$B$11+PO!T13*PO!$B$14+PO!T16*PO!$B$17+PO!T19*PO!$B$20+PO!T22*PO!$B$23</f>
        <v>2.1543765007445641</v>
      </c>
      <c r="V153" s="119">
        <f>PO!U4*PO!$B$5+PO!U7*PO!$B$8+PO!U10*PO!$B$11+PO!U13*PO!$B$14+PO!U16*PO!$B$17+PO!U19*PO!$B$20+PO!U22*PO!$B$23</f>
        <v>3.5126727139513321</v>
      </c>
      <c r="W153" s="119">
        <f>PO!V4*PO!$B$5+PO!V7*PO!$B$8+PO!V10*PO!$B$11+PO!V13*PO!$B$14+PO!V16*PO!$B$17+PO!V19*PO!$B$20+PO!V22*PO!$B$23</f>
        <v>5.1247906251958666</v>
      </c>
      <c r="X153" s="132">
        <f>PO!W4*PO!$B$5+PO!W7*PO!$B$8+PO!W10*PO!$B$11+PO!W13*PO!$B$14+PO!W16*PO!$B$17+PO!W19*PO!$B$20+PO!W22*PO!$B$23</f>
        <v>4.0685128391331506</v>
      </c>
    </row>
    <row r="154" spans="2:24" ht="15.75" customHeight="1" thickBot="1" x14ac:dyDescent="0.25">
      <c r="B154" s="232"/>
      <c r="C154" s="227"/>
      <c r="D154" s="120" t="s">
        <v>0</v>
      </c>
      <c r="E154" s="121">
        <f>F154/(F152+F153+F154)</f>
        <v>0.28081840521105172</v>
      </c>
      <c r="F154" s="122">
        <f t="shared" si="67"/>
        <v>103.1062294812692</v>
      </c>
      <c r="G154" s="122">
        <f>PO!F5*PO!$B$5+PO!F8*PO!$B$8+PO!F11*PO!$B$11+PO!F14*PO!$B$14+PO!F17*PO!$B$17+PO!F20*PO!$B$20+PO!F23*PO!$B$23</f>
        <v>1.8650145778895886</v>
      </c>
      <c r="H154" s="122">
        <f>PO!G5*PO!$B$5+PO!G8*PO!$B$8+PO!G11*PO!$B$11+PO!G14*PO!$B$14+PO!G17*PO!$B$17+PO!G20*PO!$B$20+PO!G23*PO!$B$23</f>
        <v>2.4597492473313491</v>
      </c>
      <c r="I154" s="122">
        <f>PO!H5*PO!$B$5+PO!H8*PO!$B$8+PO!H11*PO!$B$11+PO!H14*PO!$B$14+PO!H17*PO!$B$17+PO!H20*PO!$B$20+PO!H23*PO!$B$23</f>
        <v>4.0939620088742501</v>
      </c>
      <c r="J154" s="122">
        <f>PO!I5*PO!$B$5+PO!I8*PO!$B$8+PO!I11*PO!$B$11+PO!I14*PO!$B$14+PO!I17*PO!$B$17+PO!I20*PO!$B$20+PO!I23*PO!$B$23</f>
        <v>10.158355432506209</v>
      </c>
      <c r="K154" s="122">
        <f>PO!J5*PO!$B$5+PO!J8*PO!$B$8+PO!J11*PO!$B$11+PO!J14*PO!$B$14+PO!J17*PO!$B$17+PO!J20*PO!$B$20+PO!J23*PO!$B$23</f>
        <v>8.9020698658056112</v>
      </c>
      <c r="L154" s="122">
        <f>PO!K5*PO!$B$5+PO!K8*PO!$B$8+PO!K11*PO!$B$11+PO!K14*PO!$B$14+PO!K17*PO!$B$17+PO!K20*PO!$B$20+PO!K23*PO!$B$23</f>
        <v>9.2603293371112656</v>
      </c>
      <c r="M154" s="122">
        <f>PO!L5*PO!$B$5+PO!L8*PO!$B$8+PO!L11*PO!$B$11+PO!L14*PO!$B$14+PO!L17*PO!$B$17+PO!L20*PO!$B$20+PO!L23*PO!$B$23</f>
        <v>7.3621476289586703</v>
      </c>
      <c r="N154" s="122">
        <f>PO!M5*PO!$B$5+PO!M8*PO!$B$8+PO!M11*PO!$B$11+PO!M14*PO!$B$14+PO!M17*PO!$B$17+PO!M20*PO!$B$20+PO!M23*PO!$B$23</f>
        <v>3.8673077047766631</v>
      </c>
      <c r="O154" s="122">
        <f>PO!N5*PO!$B$5+PO!N8*PO!$B$8+PO!N11*PO!$B$11+PO!N14*PO!$B$14+PO!N17*PO!$B$17+PO!N20*PO!$B$20+PO!N23*PO!$B$23</f>
        <v>6.801100960260392</v>
      </c>
      <c r="P154" s="122">
        <f>PO!O5*PO!$B$5+PO!O8*PO!$B$8+PO!O11*PO!$B$11+PO!O14*PO!$B$14+PO!O17*PO!$B$17+PO!O20*PO!$B$20+PO!O23*PO!$B$23</f>
        <v>5.0778949916466205</v>
      </c>
      <c r="Q154" s="122">
        <f>PO!P5*PO!$B$5+PO!P8*PO!$B$8+PO!P11*PO!$B$11+PO!P14*PO!$B$14+PO!P17*PO!$B$17+PO!P20*PO!$B$20+PO!P23*PO!$B$23</f>
        <v>8.2481158969238386</v>
      </c>
      <c r="R154" s="122">
        <f>PO!Q5*PO!$B$5+PO!Q8*PO!$B$8+PO!Q11*PO!$B$11+PO!Q14*PO!$B$14+PO!Q17*PO!$B$17+PO!Q20*PO!$B$20+PO!Q23*PO!$B$23</f>
        <v>6.2995826552291296</v>
      </c>
      <c r="S154" s="122">
        <f>PO!R5*PO!$B$5+PO!R8*PO!$B$8+PO!R11*PO!$B$11+PO!R14*PO!$B$14+PO!R17*PO!$B$17+PO!R20*PO!$B$20+PO!R23*PO!$B$23</f>
        <v>4.1125447656839285</v>
      </c>
      <c r="T154" s="122">
        <f>PO!S5*PO!$B$5+PO!S8*PO!$B$8+PO!S11*PO!$B$11+PO!S14*PO!$B$14+PO!S17*PO!$B$17+PO!S20*PO!$B$20+PO!S23*PO!$B$23</f>
        <v>4.4286158893593299</v>
      </c>
      <c r="U154" s="122">
        <f>PO!T5*PO!$B$5+PO!T8*PO!$B$8+PO!T11*PO!$B$11+PO!T14*PO!$B$14+PO!T17*PO!$B$17+PO!T20*PO!$B$20+PO!T23*PO!$B$23</f>
        <v>4.2199067620227062</v>
      </c>
      <c r="V154" s="122">
        <f>PO!U5*PO!$B$5+PO!U8*PO!$B$8+PO!U11*PO!$B$11+PO!U14*PO!$B$14+PO!U17*PO!$B$17+PO!U20*PO!$B$20+PO!U23*PO!$B$23</f>
        <v>5.4851379010000283</v>
      </c>
      <c r="W154" s="122">
        <f>PO!V5*PO!$B$5+PO!V8*PO!$B$8+PO!V11*PO!$B$11+PO!V14*PO!$B$14+PO!V17*PO!$B$17+PO!V20*PO!$B$20+PO!V23*PO!$B$23</f>
        <v>5.2810020597077507</v>
      </c>
      <c r="X154" s="133">
        <f>PO!W5*PO!$B$5+PO!W8*PO!$B$8+PO!W11*PO!$B$11+PO!W14*PO!$B$14+PO!W17*PO!$B$17+PO!W20*PO!$B$20+PO!W23*PO!$B$23</f>
        <v>5.1833917961818683</v>
      </c>
    </row>
    <row r="155" spans="2:24" ht="15.75" customHeight="1" x14ac:dyDescent="0.2">
      <c r="B155" s="232"/>
      <c r="C155" s="225" t="s">
        <v>111</v>
      </c>
      <c r="D155" s="165" t="s">
        <v>196</v>
      </c>
      <c r="E155" s="166">
        <f>F155/(F155+F156+F157)</f>
        <v>0.49265477439664218</v>
      </c>
      <c r="F155" s="167">
        <f t="shared" si="67"/>
        <v>939</v>
      </c>
      <c r="G155" s="167">
        <f>SUMIF(PO!$C$3:$C$23,"PSUV",PO!F$3:F$23)</f>
        <v>13</v>
      </c>
      <c r="H155" s="167">
        <f>SUMIF(PO!$C$3:$C$23,"PSUV",PO!G$3:G$23)</f>
        <v>26</v>
      </c>
      <c r="I155" s="167">
        <f>SUMIF(PO!$C$3:$C$23,"PSUV",PO!H$3:H$23)</f>
        <v>31</v>
      </c>
      <c r="J155" s="167">
        <f>SUMIF(PO!$C$3:$C$23,"PSUV",PO!I$3:I$23)</f>
        <v>52</v>
      </c>
      <c r="K155" s="167">
        <f>SUMIF(PO!$C$3:$C$23,"PSUV",PO!J$3:J$23)</f>
        <v>82</v>
      </c>
      <c r="L155" s="167">
        <f>SUMIF(PO!$C$3:$C$23,"PSUV",PO!K$3:K$23)</f>
        <v>73</v>
      </c>
      <c r="M155" s="167">
        <f>SUMIF(PO!$C$3:$C$23,"PSUV",PO!L$3:L$23)</f>
        <v>44</v>
      </c>
      <c r="N155" s="167">
        <f>SUMIF(PO!$C$3:$C$23,"PSUV",PO!M$3:M$23)</f>
        <v>54</v>
      </c>
      <c r="O155" s="167">
        <f>SUMIF(PO!$C$3:$C$23,"PSUV",PO!N$3:N$23)</f>
        <v>68</v>
      </c>
      <c r="P155" s="167">
        <f>SUMIF(PO!$C$3:$C$23,"PSUV",PO!O$3:O$23)</f>
        <v>54</v>
      </c>
      <c r="Q155" s="167">
        <f>SUMIF(PO!$C$3:$C$23,"PSUV",PO!P$3:P$23)</f>
        <v>62</v>
      </c>
      <c r="R155" s="167">
        <f>SUMIF(PO!$C$3:$C$23,"PSUV",PO!Q$3:Q$23)</f>
        <v>39</v>
      </c>
      <c r="S155" s="167">
        <f>SUMIF(PO!$C$3:$C$23,"PSUV",PO!R$3:R$23)</f>
        <v>46</v>
      </c>
      <c r="T155" s="167">
        <f>SUMIF(PO!$C$3:$C$23,"PSUV",PO!S$3:S$23)</f>
        <v>54</v>
      </c>
      <c r="U155" s="167">
        <f>SUMIF(PO!$C$3:$C$23,"PSUV",PO!T$3:T$23)</f>
        <v>42</v>
      </c>
      <c r="V155" s="167">
        <f>SUMIF(PO!$C$3:$C$23,"PSUV",PO!U$3:U$23)</f>
        <v>68</v>
      </c>
      <c r="W155" s="167">
        <f>SUMIF(PO!$C$3:$C$23,"PSUV",PO!V$3:V$23)</f>
        <v>62</v>
      </c>
      <c r="X155" s="168">
        <f>SUMIF(PO!$C$3:$C$23,"PSUV",PO!W$3:W$23)</f>
        <v>69</v>
      </c>
    </row>
    <row r="156" spans="2:24" ht="15.75" customHeight="1" x14ac:dyDescent="0.2">
      <c r="B156" s="232"/>
      <c r="C156" s="226"/>
      <c r="D156" s="117" t="s">
        <v>197</v>
      </c>
      <c r="E156" s="118">
        <f>F156/(F155+F156+F157)</f>
        <v>0.24186778593913955</v>
      </c>
      <c r="F156" s="119">
        <f t="shared" si="67"/>
        <v>461</v>
      </c>
      <c r="G156" s="119">
        <f>SUMIF(PO!$C$3:$C$23,"MUD",PO!F$3:F$23)</f>
        <v>9</v>
      </c>
      <c r="H156" s="119">
        <f>SUMIF(PO!$C$3:$C$23,"MUD",PO!G$3:G$23)</f>
        <v>10</v>
      </c>
      <c r="I156" s="119">
        <f>SUMIF(PO!$C$3:$C$23,"MUD",PO!H$3:H$23)</f>
        <v>16</v>
      </c>
      <c r="J156" s="119">
        <f>SUMIF(PO!$C$3:$C$23,"MUD",PO!I$3:I$23)</f>
        <v>44</v>
      </c>
      <c r="K156" s="119">
        <f>SUMIF(PO!$C$3:$C$23,"MUD",PO!J$3:J$23)</f>
        <v>21</v>
      </c>
      <c r="L156" s="119">
        <f>SUMIF(PO!$C$3:$C$23,"MUD",PO!K$3:K$23)</f>
        <v>44</v>
      </c>
      <c r="M156" s="119">
        <f>SUMIF(PO!$C$3:$C$23,"MUD",PO!L$3:L$23)</f>
        <v>59</v>
      </c>
      <c r="N156" s="119">
        <f>SUMIF(PO!$C$3:$C$23,"MUD",PO!M$3:M$23)</f>
        <v>30</v>
      </c>
      <c r="O156" s="119">
        <f>SUMIF(PO!$C$3:$C$23,"MUD",PO!N$3:N$23)</f>
        <v>26</v>
      </c>
      <c r="P156" s="119">
        <f>SUMIF(PO!$C$3:$C$23,"MUD",PO!O$3:O$23)</f>
        <v>24</v>
      </c>
      <c r="Q156" s="119">
        <f>SUMIF(PO!$C$3:$C$23,"MUD",PO!P$3:P$23)</f>
        <v>25</v>
      </c>
      <c r="R156" s="119">
        <f>SUMIF(PO!$C$3:$C$23,"MUD",PO!Q$3:Q$23)</f>
        <v>25</v>
      </c>
      <c r="S156" s="119">
        <f>SUMIF(PO!$C$3:$C$23,"MUD",PO!R$3:R$23)</f>
        <v>20</v>
      </c>
      <c r="T156" s="119">
        <f>SUMIF(PO!$C$3:$C$23,"MUD",PO!S$3:S$23)</f>
        <v>19</v>
      </c>
      <c r="U156" s="119">
        <f>SUMIF(PO!$C$3:$C$23,"MUD",PO!T$3:T$23)</f>
        <v>12</v>
      </c>
      <c r="V156" s="119">
        <f>SUMIF(PO!$C$3:$C$23,"MUD",PO!U$3:U$23)</f>
        <v>19</v>
      </c>
      <c r="W156" s="119">
        <f>SUMIF(PO!$C$3:$C$23,"MUD",PO!V$3:V$23)</f>
        <v>28</v>
      </c>
      <c r="X156" s="132">
        <f>SUMIF(PO!$C$3:$C$23,"MUD",PO!W$3:W$23)</f>
        <v>30</v>
      </c>
    </row>
    <row r="157" spans="2:24" ht="15.75" customHeight="1" thickBot="1" x14ac:dyDescent="0.25">
      <c r="B157" s="233"/>
      <c r="C157" s="227"/>
      <c r="D157" s="120" t="s">
        <v>0</v>
      </c>
      <c r="E157" s="121">
        <f>F157/(F155+F156+F157)</f>
        <v>0.26547743966421827</v>
      </c>
      <c r="F157" s="122">
        <f t="shared" si="67"/>
        <v>506</v>
      </c>
      <c r="G157" s="122">
        <f>SUMIF(PO!$C$3:$C$23,"Otro",PO!F$3:F$23)</f>
        <v>7</v>
      </c>
      <c r="H157" s="122">
        <f>SUMIF(PO!$C$3:$C$23,"Otro",PO!G$3:G$23)</f>
        <v>10</v>
      </c>
      <c r="I157" s="122">
        <f>SUMIF(PO!$C$3:$C$23,"Otro",PO!H$3:H$23)</f>
        <v>25</v>
      </c>
      <c r="J157" s="122">
        <f>SUMIF(PO!$C$3:$C$23,"Otro",PO!I$3:I$23)</f>
        <v>47</v>
      </c>
      <c r="K157" s="122">
        <f>SUMIF(PO!$C$3:$C$23,"Otro",PO!J$3:J$23)</f>
        <v>48</v>
      </c>
      <c r="L157" s="122">
        <f>SUMIF(PO!$C$3:$C$23,"Otro",PO!K$3:K$23)</f>
        <v>47</v>
      </c>
      <c r="M157" s="122">
        <f>SUMIF(PO!$C$3:$C$23,"Otro",PO!L$3:L$23)</f>
        <v>33</v>
      </c>
      <c r="N157" s="122">
        <f>SUMIF(PO!$C$3:$C$23,"Otro",PO!M$3:M$23)</f>
        <v>19</v>
      </c>
      <c r="O157" s="122">
        <f>SUMIF(PO!$C$3:$C$23,"Otro",PO!N$3:N$23)</f>
        <v>33</v>
      </c>
      <c r="P157" s="122">
        <f>SUMIF(PO!$C$3:$C$23,"Otro",PO!O$3:O$23)</f>
        <v>26</v>
      </c>
      <c r="Q157" s="122">
        <f>SUMIF(PO!$C$3:$C$23,"Otro",PO!P$3:P$23)</f>
        <v>42</v>
      </c>
      <c r="R157" s="122">
        <f>SUMIF(PO!$C$3:$C$23,"Otro",PO!Q$3:Q$23)</f>
        <v>26</v>
      </c>
      <c r="S157" s="122">
        <f>SUMIF(PO!$C$3:$C$23,"Otro",PO!R$3:R$23)</f>
        <v>22</v>
      </c>
      <c r="T157" s="122">
        <f>SUMIF(PO!$C$3:$C$23,"Otro",PO!S$3:S$23)</f>
        <v>21</v>
      </c>
      <c r="U157" s="122">
        <f>SUMIF(PO!$C$3:$C$23,"Otro",PO!T$3:T$23)</f>
        <v>23</v>
      </c>
      <c r="V157" s="122">
        <f>SUMIF(PO!$C$3:$C$23,"Otro",PO!U$3:U$23)</f>
        <v>25</v>
      </c>
      <c r="W157" s="122">
        <f>SUMIF(PO!$C$3:$C$23,"Otro",PO!V$3:V$23)</f>
        <v>26</v>
      </c>
      <c r="X157" s="133">
        <f>SUMIF(PO!$C$3:$C$23,"Otro",PO!W$3:W$23)</f>
        <v>26</v>
      </c>
    </row>
    <row r="158" spans="2:24" ht="15.75" customHeight="1" x14ac:dyDescent="0.2">
      <c r="B158" s="231" t="s">
        <v>19</v>
      </c>
      <c r="C158" s="217" t="s">
        <v>231</v>
      </c>
      <c r="D158" s="141" t="s">
        <v>201</v>
      </c>
      <c r="E158" s="142"/>
      <c r="F158" s="143"/>
      <c r="G158" s="143">
        <f>IF(SUM(G161:G163)=0,1,G161)</f>
        <v>18.573887937920802</v>
      </c>
      <c r="H158" s="143">
        <f t="shared" ref="H158:X158" si="68">IF(SUM(H161:H163)=0,0,G158+H161)</f>
        <v>48.808734451671796</v>
      </c>
      <c r="I158" s="143">
        <f t="shared" si="68"/>
        <v>81.909631404770053</v>
      </c>
      <c r="J158" s="143">
        <f t="shared" si="68"/>
        <v>127.48953098254023</v>
      </c>
      <c r="K158" s="143">
        <f t="shared" si="68"/>
        <v>177.66835786830995</v>
      </c>
      <c r="L158" s="143">
        <f t="shared" si="68"/>
        <v>215.84521967362775</v>
      </c>
      <c r="M158" s="143">
        <f t="shared" si="68"/>
        <v>257.36450074175514</v>
      </c>
      <c r="N158" s="143">
        <f t="shared" si="68"/>
        <v>301.68274791737991</v>
      </c>
      <c r="O158" s="143">
        <f t="shared" si="68"/>
        <v>348.2341937692571</v>
      </c>
      <c r="P158" s="143">
        <f t="shared" si="68"/>
        <v>392.0423188405797</v>
      </c>
      <c r="Q158" s="143">
        <f t="shared" si="68"/>
        <v>430.52581992468333</v>
      </c>
      <c r="R158" s="143">
        <f t="shared" si="68"/>
        <v>471.13589866484079</v>
      </c>
      <c r="S158" s="143">
        <f t="shared" si="68"/>
        <v>504.7700536346</v>
      </c>
      <c r="T158" s="143">
        <f t="shared" si="68"/>
        <v>547.04075088440027</v>
      </c>
      <c r="U158" s="143">
        <f t="shared" si="68"/>
        <v>582.35154170946021</v>
      </c>
      <c r="V158" s="143">
        <f t="shared" si="68"/>
        <v>631.49850736049291</v>
      </c>
      <c r="W158" s="143">
        <f t="shared" si="68"/>
        <v>657.90023279698721</v>
      </c>
      <c r="X158" s="144">
        <f t="shared" si="68"/>
        <v>680.84675567727936</v>
      </c>
    </row>
    <row r="159" spans="2:24" ht="15.75" customHeight="1" x14ac:dyDescent="0.2">
      <c r="B159" s="232"/>
      <c r="C159" s="218"/>
      <c r="D159" s="145" t="s">
        <v>202</v>
      </c>
      <c r="E159" s="146"/>
      <c r="F159" s="147"/>
      <c r="G159" s="147">
        <f>IF(SUM(G161:G163)=0,1,G162)</f>
        <v>10.154988017802122</v>
      </c>
      <c r="H159" s="147">
        <f t="shared" ref="H159:X159" si="69">IF(SUM(H161:H163)=0,0,G159+H162)</f>
        <v>25.746157708547301</v>
      </c>
      <c r="I159" s="147">
        <f t="shared" si="69"/>
        <v>48.646431587355927</v>
      </c>
      <c r="J159" s="147">
        <f t="shared" si="69"/>
        <v>102.05593061736847</v>
      </c>
      <c r="K159" s="147">
        <f t="shared" si="69"/>
        <v>135.46366084674199</v>
      </c>
      <c r="L159" s="147">
        <f t="shared" si="69"/>
        <v>162.56988246034464</v>
      </c>
      <c r="M159" s="147">
        <f t="shared" si="69"/>
        <v>186.35228346456694</v>
      </c>
      <c r="N159" s="147">
        <f t="shared" si="69"/>
        <v>226.23429190916355</v>
      </c>
      <c r="O159" s="147">
        <f t="shared" si="69"/>
        <v>258.31758758416072</v>
      </c>
      <c r="P159" s="147">
        <f t="shared" si="69"/>
        <v>282.56263608353311</v>
      </c>
      <c r="Q159" s="147">
        <f t="shared" si="69"/>
        <v>316.29438091977642</v>
      </c>
      <c r="R159" s="147">
        <f t="shared" si="69"/>
        <v>350.62126440716656</v>
      </c>
      <c r="S159" s="147">
        <f t="shared" si="69"/>
        <v>377.57341093232918</v>
      </c>
      <c r="T159" s="147">
        <f t="shared" si="69"/>
        <v>404.09406139449965</v>
      </c>
      <c r="U159" s="147">
        <f t="shared" si="69"/>
        <v>425.48055916923431</v>
      </c>
      <c r="V159" s="147">
        <f t="shared" si="69"/>
        <v>459.23761953668838</v>
      </c>
      <c r="W159" s="147">
        <f t="shared" si="69"/>
        <v>485.61008786945115</v>
      </c>
      <c r="X159" s="148">
        <f t="shared" si="69"/>
        <v>509.61960287572754</v>
      </c>
    </row>
    <row r="160" spans="2:24" ht="15.75" customHeight="1" thickBot="1" x14ac:dyDescent="0.25">
      <c r="B160" s="232"/>
      <c r="C160" s="219"/>
      <c r="D160" s="149" t="s">
        <v>0</v>
      </c>
      <c r="E160" s="150"/>
      <c r="F160" s="151"/>
      <c r="G160" s="151">
        <f>IF(SUM(G161:G163)=0,1,G163)</f>
        <v>0.31186351706036747</v>
      </c>
      <c r="H160" s="151">
        <f t="shared" ref="H160:X160" si="70">IF(SUM(H161:H163)=0,0,G160+H163)</f>
        <v>0.75292707976720297</v>
      </c>
      <c r="I160" s="151">
        <f t="shared" si="70"/>
        <v>1.5345566586785346</v>
      </c>
      <c r="J160" s="151">
        <f t="shared" si="70"/>
        <v>14.484530411959373</v>
      </c>
      <c r="K160" s="151">
        <f t="shared" si="70"/>
        <v>26.084523564989155</v>
      </c>
      <c r="L160" s="151">
        <f t="shared" si="70"/>
        <v>31.579354102476316</v>
      </c>
      <c r="M160" s="151">
        <f t="shared" si="70"/>
        <v>35.494506447563616</v>
      </c>
      <c r="N160" s="151">
        <f t="shared" si="70"/>
        <v>40.989336985050777</v>
      </c>
      <c r="O160" s="151">
        <f t="shared" si="70"/>
        <v>55.43066073262581</v>
      </c>
      <c r="P160" s="151">
        <f t="shared" si="70"/>
        <v>66.311902316558246</v>
      </c>
      <c r="Q160" s="151">
        <f t="shared" si="70"/>
        <v>75.933940431359119</v>
      </c>
      <c r="R160" s="151">
        <f t="shared" si="70"/>
        <v>87.883110806801312</v>
      </c>
      <c r="S160" s="151">
        <f t="shared" si="70"/>
        <v>100.29521625014263</v>
      </c>
      <c r="T160" s="151">
        <f t="shared" si="70"/>
        <v>111.3189181787059</v>
      </c>
      <c r="U160" s="151">
        <f t="shared" si="70"/>
        <v>120.29331051009926</v>
      </c>
      <c r="V160" s="151">
        <f t="shared" si="70"/>
        <v>129.88431130891246</v>
      </c>
      <c r="W160" s="151">
        <f t="shared" si="70"/>
        <v>136.84343489672486</v>
      </c>
      <c r="X160" s="152">
        <f t="shared" si="70"/>
        <v>145.96945338354445</v>
      </c>
    </row>
    <row r="161" spans="2:24" ht="15.75" customHeight="1" x14ac:dyDescent="0.2">
      <c r="B161" s="232"/>
      <c r="C161" s="220" t="s">
        <v>232</v>
      </c>
      <c r="D161" s="153" t="s">
        <v>201</v>
      </c>
      <c r="E161" s="154">
        <f>F161/(F161+F162+F163)</f>
        <v>0.50944964928072667</v>
      </c>
      <c r="F161" s="155">
        <f t="shared" ref="F161:F166" si="71">IF(SUM(G161:X161)=0,1,SUM(G161:X161))</f>
        <v>680.84675567727936</v>
      </c>
      <c r="G161" s="155">
        <f>SU!F3*SU!$B$5+SU!F6*SU!$B$8+SU!F9*SU!$B$11+SU!F12*SU!$B$14+SU!F15*SU!$B$17</f>
        <v>18.573887937920802</v>
      </c>
      <c r="H161" s="155">
        <f>SU!G3*SU!$B$5+SU!G6*SU!$B$8+SU!G9*SU!$B$11+SU!G12*SU!$B$14+SU!G15*SU!$B$17</f>
        <v>30.234846513750998</v>
      </c>
      <c r="I161" s="155">
        <f>SU!H3*SU!$B$5+SU!H6*SU!$B$8+SU!H9*SU!$B$11+SU!H12*SU!$B$14+SU!H15*SU!$B$17</f>
        <v>33.100896953098257</v>
      </c>
      <c r="J161" s="155">
        <f>SU!I3*SU!$B$5+SU!I6*SU!$B$8+SU!I9*SU!$B$11+SU!I12*SU!$B$14+SU!I15*SU!$B$17</f>
        <v>45.579899577770171</v>
      </c>
      <c r="K161" s="155">
        <f>SU!J3*SU!$B$5+SU!J6*SU!$B$8+SU!J9*SU!$B$11+SU!J12*SU!$B$14+SU!J15*SU!$B$17</f>
        <v>50.178826885769709</v>
      </c>
      <c r="L161" s="155">
        <f>SU!K3*SU!$B$5+SU!K6*SU!$B$8+SU!K9*SU!$B$11+SU!K12*SU!$B$14+SU!K15*SU!$B$17</f>
        <v>38.176861805317813</v>
      </c>
      <c r="M161" s="155">
        <f>SU!L3*SU!$B$5+SU!L6*SU!$B$8+SU!L9*SU!$B$11+SU!L12*SU!$B$14+SU!L15*SU!$B$17</f>
        <v>41.519281068127356</v>
      </c>
      <c r="N161" s="155">
        <f>SU!M3*SU!$B$5+SU!M6*SU!$B$8+SU!M9*SU!$B$11+SU!M12*SU!$B$14+SU!M15*SU!$B$17</f>
        <v>44.318247175624791</v>
      </c>
      <c r="O161" s="155">
        <f>SU!N3*SU!$B$5+SU!N6*SU!$B$8+SU!N9*SU!$B$11+SU!N12*SU!$B$14+SU!N15*SU!$B$17</f>
        <v>46.551445851877212</v>
      </c>
      <c r="P161" s="155">
        <f>SU!O3*SU!$B$5+SU!O6*SU!$B$8+SU!O9*SU!$B$11+SU!O12*SU!$B$14+SU!O15*SU!$B$17</f>
        <v>43.808125071322607</v>
      </c>
      <c r="Q161" s="155">
        <f>SU!P3*SU!$B$5+SU!P6*SU!$B$8+SU!P9*SU!$B$11+SU!P12*SU!$B$14+SU!P15*SU!$B$17</f>
        <v>38.483501084103622</v>
      </c>
      <c r="R161" s="155">
        <f>SU!Q3*SU!$B$5+SU!Q6*SU!$B$8+SU!Q9*SU!$B$11+SU!Q12*SU!$B$14+SU!Q15*SU!$B$17</f>
        <v>40.610078740157483</v>
      </c>
      <c r="S161" s="155">
        <f>SU!R3*SU!$B$5+SU!R6*SU!$B$8+SU!R9*SU!$B$11+SU!R12*SU!$B$14+SU!R15*SU!$B$17</f>
        <v>33.634154969759216</v>
      </c>
      <c r="T161" s="155">
        <f>SU!S3*SU!$B$5+SU!S6*SU!$B$8+SU!S9*SU!$B$11+SU!S12*SU!$B$14+SU!S15*SU!$B$17</f>
        <v>42.270697249800293</v>
      </c>
      <c r="U161" s="155">
        <f>SU!T3*SU!$B$5+SU!T6*SU!$B$8+SU!T9*SU!$B$11+SU!T12*SU!$B$14+SU!T15*SU!$B$17</f>
        <v>35.310790825059911</v>
      </c>
      <c r="V161" s="155">
        <f>SU!U3*SU!$B$5+SU!U6*SU!$B$8+SU!U9*SU!$B$11+SU!U12*SU!$B$14+SU!U15*SU!$B$17</f>
        <v>49.146965651032751</v>
      </c>
      <c r="W161" s="155">
        <f>SU!V3*SU!$B$5+SU!V6*SU!$B$8+SU!V9*SU!$B$11+SU!V12*SU!$B$14+SU!V15*SU!$B$17</f>
        <v>26.401725436494353</v>
      </c>
      <c r="X161" s="156">
        <f>SU!W3*SU!$B$5+SU!W6*SU!$B$8+SU!W9*SU!$B$11+SU!W12*SU!$B$14+SU!W15*SU!$B$17</f>
        <v>22.946522880292136</v>
      </c>
    </row>
    <row r="162" spans="2:24" ht="15.75" customHeight="1" x14ac:dyDescent="0.2">
      <c r="B162" s="232"/>
      <c r="C162" s="218"/>
      <c r="D162" s="145" t="s">
        <v>202</v>
      </c>
      <c r="E162" s="146">
        <f>F162/(F161+F162+F163)</f>
        <v>0.38132740706586377</v>
      </c>
      <c r="F162" s="147">
        <f t="shared" si="71"/>
        <v>509.61960287572754</v>
      </c>
      <c r="G162" s="147">
        <f>SU!F4*SU!$B$5+SU!F7*SU!$B$8+SU!F10*SU!$B$11+SU!F13*SU!$B$14+SU!F16*SU!$B$17</f>
        <v>10.154988017802122</v>
      </c>
      <c r="H162" s="147">
        <f>SU!G4*SU!$B$5+SU!G7*SU!$B$8+SU!G10*SU!$B$11+SU!G13*SU!$B$14+SU!G16*SU!$B$17</f>
        <v>15.591169690745179</v>
      </c>
      <c r="I162" s="147">
        <f>SU!H4*SU!$B$5+SU!H7*SU!$B$8+SU!H10*SU!$B$11+SU!H13*SU!$B$14+SU!H16*SU!$B$17</f>
        <v>22.900273878808626</v>
      </c>
      <c r="J162" s="147">
        <f>SU!I4*SU!$B$5+SU!I7*SU!$B$8+SU!I10*SU!$B$11+SU!I13*SU!$B$14+SU!I16*SU!$B$17</f>
        <v>53.409499030012547</v>
      </c>
      <c r="K162" s="147">
        <f>SU!J4*SU!$B$5+SU!J7*SU!$B$8+SU!J10*SU!$B$11+SU!J13*SU!$B$14+SU!J16*SU!$B$17</f>
        <v>33.407730229373506</v>
      </c>
      <c r="L162" s="147">
        <f>SU!K4*SU!$B$5+SU!K7*SU!$B$8+SU!K10*SU!$B$11+SU!K13*SU!$B$14+SU!K16*SU!$B$17</f>
        <v>27.106221613602646</v>
      </c>
      <c r="M162" s="147">
        <f>SU!L4*SU!$B$5+SU!L7*SU!$B$8+SU!L10*SU!$B$11+SU!L13*SU!$B$14+SU!L16*SU!$B$17</f>
        <v>23.782401004222297</v>
      </c>
      <c r="N162" s="147">
        <f>SU!M4*SU!$B$5+SU!M7*SU!$B$8+SU!M10*SU!$B$11+SU!M13*SU!$B$14+SU!M16*SU!$B$17</f>
        <v>39.8820084445966</v>
      </c>
      <c r="O162" s="147">
        <f>SU!N4*SU!$B$5+SU!N7*SU!$B$8+SU!N10*SU!$B$11+SU!N13*SU!$B$14+SU!N16*SU!$B$17</f>
        <v>32.083295674997146</v>
      </c>
      <c r="P162" s="147">
        <f>SU!O4*SU!$B$5+SU!O7*SU!$B$8+SU!O10*SU!$B$11+SU!O13*SU!$B$14+SU!O16*SU!$B$17</f>
        <v>24.245048499372359</v>
      </c>
      <c r="Q162" s="147">
        <f>SU!P4*SU!$B$5+SU!P7*SU!$B$8+SU!P10*SU!$B$11+SU!P13*SU!$B$14+SU!P16*SU!$B$17</f>
        <v>33.731744836243294</v>
      </c>
      <c r="R162" s="147">
        <f>SU!Q4*SU!$B$5+SU!Q7*SU!$B$8+SU!Q10*SU!$B$11+SU!Q13*SU!$B$14+SU!Q16*SU!$B$17</f>
        <v>34.326883487390162</v>
      </c>
      <c r="S162" s="147">
        <f>SU!R4*SU!$B$5+SU!R7*SU!$B$8+SU!R10*SU!$B$11+SU!R13*SU!$B$14+SU!R16*SU!$B$17</f>
        <v>26.952146525162615</v>
      </c>
      <c r="T162" s="147">
        <f>SU!S4*SU!$B$5+SU!S7*SU!$B$8+SU!S10*SU!$B$11+SU!S13*SU!$B$14+SU!S16*SU!$B$17</f>
        <v>26.520650462170487</v>
      </c>
      <c r="U162" s="147">
        <f>SU!T4*SU!$B$5+SU!T7*SU!$B$8+SU!T10*SU!$B$11+SU!T13*SU!$B$14+SU!T16*SU!$B$17</f>
        <v>21.386497774734679</v>
      </c>
      <c r="V162" s="147">
        <f>SU!U4*SU!$B$5+SU!U7*SU!$B$8+SU!U10*SU!$B$11+SU!U13*SU!$B$14+SU!U16*SU!$B$17</f>
        <v>33.757060367454073</v>
      </c>
      <c r="W162" s="147">
        <f>SU!V4*SU!$B$5+SU!V7*SU!$B$8+SU!V10*SU!$B$11+SU!V13*SU!$B$14+SU!V16*SU!$B$17</f>
        <v>26.37246833276275</v>
      </c>
      <c r="X162" s="148">
        <f>SU!W4*SU!$B$5+SU!W7*SU!$B$8+SU!W10*SU!$B$11+SU!W13*SU!$B$14+SU!W16*SU!$B$17</f>
        <v>24.009515006276388</v>
      </c>
    </row>
    <row r="163" spans="2:24" ht="15.75" customHeight="1" thickBot="1" x14ac:dyDescent="0.25">
      <c r="B163" s="232"/>
      <c r="C163" s="219"/>
      <c r="D163" s="149" t="s">
        <v>0</v>
      </c>
      <c r="E163" s="150">
        <f>F163/(F161+F162+F163)</f>
        <v>0.10922294365340943</v>
      </c>
      <c r="F163" s="151">
        <f t="shared" si="71"/>
        <v>145.96945338354445</v>
      </c>
      <c r="G163" s="151">
        <f>SU!F5*SU!$B$5+SU!F8*SU!$B$8+SU!F11*SU!$B$11+SU!F14*SU!$B$14+SU!F17*SU!$B$17</f>
        <v>0.31186351706036747</v>
      </c>
      <c r="H163" s="151">
        <f>SU!G5*SU!$B$5+SU!G8*SU!$B$8+SU!G11*SU!$B$11+SU!G14*SU!$B$14+SU!G17*SU!$B$17</f>
        <v>0.44106356270683555</v>
      </c>
      <c r="I163" s="151">
        <f>SU!H5*SU!$B$5+SU!H8*SU!$B$8+SU!H11*SU!$B$11+SU!H14*SU!$B$14+SU!H17*SU!$B$17</f>
        <v>0.78162957891133167</v>
      </c>
      <c r="J163" s="151">
        <f>SU!I5*SU!$B$5+SU!I8*SU!$B$8+SU!I11*SU!$B$11+SU!I14*SU!$B$14+SU!I17*SU!$B$17</f>
        <v>12.949973753280839</v>
      </c>
      <c r="K163" s="151">
        <f>SU!J5*SU!$B$5+SU!J8*SU!$B$8+SU!J11*SU!$B$11+SU!J14*SU!$B$14+SU!J17*SU!$B$17</f>
        <v>11.599993153029784</v>
      </c>
      <c r="L163" s="151">
        <f>SU!K5*SU!$B$5+SU!K8*SU!$B$8+SU!K11*SU!$B$11+SU!K14*SU!$B$14+SU!K17*SU!$B$17</f>
        <v>5.4948305374871618</v>
      </c>
      <c r="M163" s="151">
        <f>SU!L5*SU!$B$5+SU!L8*SU!$B$8+SU!L11*SU!$B$11+SU!L14*SU!$B$14+SU!L17*SU!$B$17</f>
        <v>3.9151523450872987</v>
      </c>
      <c r="N163" s="151">
        <f>SU!M5*SU!$B$5+SU!M8*SU!$B$8+SU!M11*SU!$B$11+SU!M14*SU!$B$14+SU!M17*SU!$B$17</f>
        <v>5.4948305374871618</v>
      </c>
      <c r="O163" s="151">
        <f>SU!N5*SU!$B$5+SU!N8*SU!$B$8+SU!N11*SU!$B$11+SU!N14*SU!$B$14+SU!N17*SU!$B$17</f>
        <v>14.441323747575032</v>
      </c>
      <c r="P163" s="151">
        <f>SU!O5*SU!$B$5+SU!O8*SU!$B$8+SU!O11*SU!$B$11+SU!O14*SU!$B$14+SU!O17*SU!$B$17</f>
        <v>10.881241583932443</v>
      </c>
      <c r="Q163" s="151">
        <f>SU!P5*SU!$B$5+SU!P8*SU!$B$8+SU!P11*SU!$B$11+SU!P14*SU!$B$14+SU!P17*SU!$B$17</f>
        <v>9.6220381148008673</v>
      </c>
      <c r="R163" s="151">
        <f>SU!Q5*SU!$B$5+SU!Q8*SU!$B$8+SU!Q11*SU!$B$11+SU!Q14*SU!$B$14+SU!Q17*SU!$B$17</f>
        <v>11.949170375442201</v>
      </c>
      <c r="S163" s="151">
        <f>SU!R5*SU!$B$5+SU!R8*SU!$B$8+SU!R11*SU!$B$11+SU!R14*SU!$B$14+SU!R17*SU!$B$17</f>
        <v>12.412105443341321</v>
      </c>
      <c r="T163" s="151">
        <f>SU!S5*SU!$B$5+SU!S8*SU!$B$8+SU!S11*SU!$B$11+SU!S14*SU!$B$14+SU!S17*SU!$B$17</f>
        <v>11.023701928563277</v>
      </c>
      <c r="U163" s="151">
        <f>SU!T5*SU!$B$5+SU!T8*SU!$B$8+SU!T11*SU!$B$11+SU!T14*SU!$B$14+SU!T17*SU!$B$17</f>
        <v>8.9743923313933589</v>
      </c>
      <c r="V163" s="151">
        <f>SU!U5*SU!$B$5+SU!U8*SU!$B$8+SU!U11*SU!$B$11+SU!U14*SU!$B$14+SU!U17*SU!$B$17</f>
        <v>9.5910007988131927</v>
      </c>
      <c r="W163" s="151">
        <f>SU!V5*SU!$B$5+SU!V8*SU!$B$8+SU!V11*SU!$B$11+SU!V14*SU!$B$14+SU!V17*SU!$B$17</f>
        <v>6.9591235878123934</v>
      </c>
      <c r="X163" s="152">
        <f>SU!W5*SU!$B$5+SU!W8*SU!$B$8+SU!W11*SU!$B$11+SU!W14*SU!$B$14+SU!W17*SU!$B$17</f>
        <v>9.1260184868195822</v>
      </c>
    </row>
    <row r="164" spans="2:24" ht="15.75" customHeight="1" x14ac:dyDescent="0.2">
      <c r="B164" s="232"/>
      <c r="C164" s="220" t="s">
        <v>111</v>
      </c>
      <c r="D164" s="153" t="s">
        <v>201</v>
      </c>
      <c r="E164" s="154">
        <f>F164/(F164+F165+F166)</f>
        <v>0.55123991634299374</v>
      </c>
      <c r="F164" s="157">
        <f t="shared" si="71"/>
        <v>1845</v>
      </c>
      <c r="G164" s="157">
        <f>SUMIF(SU!$C$3:$C$17,"PSUV",SU!F$3:F$17)</f>
        <v>57</v>
      </c>
      <c r="H164" s="157">
        <f>SUMIF(SU!$C$3:$C$17,"PSUV",SU!G$3:G$17)</f>
        <v>72</v>
      </c>
      <c r="I164" s="157">
        <f>SUMIF(SU!$C$3:$C$17,"PSUV",SU!H$3:H$17)</f>
        <v>97</v>
      </c>
      <c r="J164" s="157">
        <f>SUMIF(SU!$C$3:$C$17,"PSUV",SU!I$3:I$17)</f>
        <v>123</v>
      </c>
      <c r="K164" s="157">
        <f>SUMIF(SU!$C$3:$C$17,"PSUV",SU!J$3:J$17)</f>
        <v>122</v>
      </c>
      <c r="L164" s="157">
        <f>SUMIF(SU!$C$3:$C$17,"PSUV",SU!K$3:K$17)</f>
        <v>105</v>
      </c>
      <c r="M164" s="157">
        <f>SUMIF(SU!$C$3:$C$17,"PSUV",SU!L$3:L$17)</f>
        <v>123</v>
      </c>
      <c r="N164" s="157">
        <f>SUMIF(SU!$C$3:$C$17,"PSUV",SU!M$3:M$17)</f>
        <v>120</v>
      </c>
      <c r="O164" s="157">
        <f>SUMIF(SU!$C$3:$C$17,"PSUV",SU!N$3:N$17)</f>
        <v>118</v>
      </c>
      <c r="P164" s="157">
        <f>SUMIF(SU!$C$3:$C$17,"PSUV",SU!O$3:O$17)</f>
        <v>113</v>
      </c>
      <c r="Q164" s="157">
        <f>SUMIF(SU!$C$3:$C$17,"PSUV",SU!P$3:P$17)</f>
        <v>106</v>
      </c>
      <c r="R164" s="157">
        <f>SUMIF(SU!$C$3:$C$17,"PSUV",SU!Q$3:Q$17)</f>
        <v>110</v>
      </c>
      <c r="S164" s="157">
        <f>SUMIF(SU!$C$3:$C$17,"PSUV",SU!R$3:R$17)</f>
        <v>94</v>
      </c>
      <c r="T164" s="157">
        <f>SUMIF(SU!$C$3:$C$17,"PSUV",SU!S$3:S$17)</f>
        <v>120</v>
      </c>
      <c r="U164" s="157">
        <f>SUMIF(SU!$C$3:$C$17,"PSUV",SU!T$3:T$17)</f>
        <v>95</v>
      </c>
      <c r="V164" s="157">
        <f>SUMIF(SU!$C$3:$C$17,"PSUV",SU!U$3:U$17)</f>
        <v>133</v>
      </c>
      <c r="W164" s="157">
        <f>SUMIF(SU!$C$3:$C$17,"PSUV",SU!V$3:V$17)</f>
        <v>70</v>
      </c>
      <c r="X164" s="158">
        <f>SUMIF(SU!$C$3:$C$17,"PSUV",SU!W$3:W$17)</f>
        <v>67</v>
      </c>
    </row>
    <row r="165" spans="2:24" ht="15.75" customHeight="1" x14ac:dyDescent="0.2">
      <c r="B165" s="232"/>
      <c r="C165" s="218"/>
      <c r="D165" s="145" t="s">
        <v>202</v>
      </c>
      <c r="E165" s="146">
        <f>F165/(F164+F165+F166)</f>
        <v>0.35255452644158947</v>
      </c>
      <c r="F165" s="159">
        <f t="shared" si="71"/>
        <v>1180</v>
      </c>
      <c r="G165" s="159">
        <f>SUMIF(SU!$C$3:$C$17,"MUD",SU!F$3:F$17)</f>
        <v>29</v>
      </c>
      <c r="H165" s="159">
        <f>SUMIF(SU!$C$3:$C$17,"MUD",SU!G$3:G$17)</f>
        <v>39</v>
      </c>
      <c r="I165" s="159">
        <f>SUMIF(SU!$C$3:$C$17,"MUD",SU!H$3:H$17)</f>
        <v>51</v>
      </c>
      <c r="J165" s="159">
        <f>SUMIF(SU!$C$3:$C$17,"MUD",SU!I$3:I$17)</f>
        <v>111</v>
      </c>
      <c r="K165" s="159">
        <f>SUMIF(SU!$C$3:$C$17,"MUD",SU!J$3:J$17)</f>
        <v>76</v>
      </c>
      <c r="L165" s="159">
        <f>SUMIF(SU!$C$3:$C$17,"MUD",SU!K$3:K$17)</f>
        <v>68</v>
      </c>
      <c r="M165" s="159">
        <f>SUMIF(SU!$C$3:$C$17,"MUD",SU!L$3:L$17)</f>
        <v>55</v>
      </c>
      <c r="N165" s="159">
        <f>SUMIF(SU!$C$3:$C$17,"MUD",SU!M$3:M$17)</f>
        <v>95</v>
      </c>
      <c r="O165" s="159">
        <f>SUMIF(SU!$C$3:$C$17,"MUD",SU!N$3:N$17)</f>
        <v>70</v>
      </c>
      <c r="P165" s="159">
        <f>SUMIF(SU!$C$3:$C$17,"MUD",SU!O$3:O$17)</f>
        <v>58</v>
      </c>
      <c r="Q165" s="159">
        <f>SUMIF(SU!$C$3:$C$17,"MUD",SU!P$3:P$17)</f>
        <v>73</v>
      </c>
      <c r="R165" s="159">
        <f>SUMIF(SU!$C$3:$C$17,"MUD",SU!Q$3:Q$17)</f>
        <v>82</v>
      </c>
      <c r="S165" s="159">
        <f>SUMIF(SU!$C$3:$C$17,"MUD",SU!R$3:R$17)</f>
        <v>61</v>
      </c>
      <c r="T165" s="159">
        <f>SUMIF(SU!$C$3:$C$17,"MUD",SU!S$3:S$17)</f>
        <v>61</v>
      </c>
      <c r="U165" s="159">
        <f>SUMIF(SU!$C$3:$C$17,"MUD",SU!T$3:T$17)</f>
        <v>44</v>
      </c>
      <c r="V165" s="159">
        <f>SUMIF(SU!$C$3:$C$17,"MUD",SU!U$3:U$17)</f>
        <v>80</v>
      </c>
      <c r="W165" s="159">
        <f>SUMIF(SU!$C$3:$C$17,"MUD",SU!V$3:V$17)</f>
        <v>65</v>
      </c>
      <c r="X165" s="160">
        <f>SUMIF(SU!$C$3:$C$17,"MUD",SU!W$3:W$17)</f>
        <v>62</v>
      </c>
    </row>
    <row r="166" spans="2:24" ht="15.75" customHeight="1" thickBot="1" x14ac:dyDescent="0.25">
      <c r="B166" s="233"/>
      <c r="C166" s="221"/>
      <c r="D166" s="161" t="s">
        <v>0</v>
      </c>
      <c r="E166" s="162">
        <f>F166/(F164+F165+F166)</f>
        <v>9.6205557215416793E-2</v>
      </c>
      <c r="F166" s="163">
        <f t="shared" si="71"/>
        <v>322</v>
      </c>
      <c r="G166" s="163">
        <f>SUMIF(SU!$C$3:$C$17,"Otro",SU!F$3:F$17)</f>
        <v>2</v>
      </c>
      <c r="H166" s="163">
        <f>SUMIF(SU!$C$3:$C$17,"Otro",SU!G$3:G$17)</f>
        <v>2</v>
      </c>
      <c r="I166" s="163">
        <f>SUMIF(SU!$C$3:$C$17,"Otro",SU!H$3:H$17)</f>
        <v>4</v>
      </c>
      <c r="J166" s="163">
        <f>SUMIF(SU!$C$3:$C$17,"Otro",SU!I$3:I$17)</f>
        <v>25</v>
      </c>
      <c r="K166" s="163">
        <f>SUMIF(SU!$C$3:$C$17,"Otro",SU!J$3:J$17)</f>
        <v>29</v>
      </c>
      <c r="L166" s="163">
        <f>SUMIF(SU!$C$3:$C$17,"Otro",SU!K$3:K$17)</f>
        <v>10</v>
      </c>
      <c r="M166" s="163">
        <f>SUMIF(SU!$C$3:$C$17,"Otro",SU!L$3:L$17)</f>
        <v>14</v>
      </c>
      <c r="N166" s="163">
        <f>SUMIF(SU!$C$3:$C$17,"Otro",SU!M$3:M$17)</f>
        <v>10</v>
      </c>
      <c r="O166" s="163">
        <f>SUMIF(SU!$C$3:$C$17,"Otro",SU!N$3:N$17)</f>
        <v>28</v>
      </c>
      <c r="P166" s="163">
        <f>SUMIF(SU!$C$3:$C$17,"Otro",SU!O$3:O$17)</f>
        <v>21</v>
      </c>
      <c r="Q166" s="163">
        <f>SUMIF(SU!$C$3:$C$17,"Otro",SU!P$3:P$17)</f>
        <v>21</v>
      </c>
      <c r="R166" s="163">
        <f>SUMIF(SU!$C$3:$C$17,"Otro",SU!Q$3:Q$17)</f>
        <v>25</v>
      </c>
      <c r="S166" s="163">
        <f>SUMIF(SU!$C$3:$C$17,"Otro",SU!R$3:R$17)</f>
        <v>26</v>
      </c>
      <c r="T166" s="163">
        <f>SUMIF(SU!$C$3:$C$17,"Otro",SU!S$3:S$17)</f>
        <v>26</v>
      </c>
      <c r="U166" s="163">
        <f>SUMIF(SU!$C$3:$C$17,"Otro",SU!T$3:T$17)</f>
        <v>18</v>
      </c>
      <c r="V166" s="163">
        <f>SUMIF(SU!$C$3:$C$17,"Otro",SU!U$3:U$17)</f>
        <v>23</v>
      </c>
      <c r="W166" s="163">
        <f>SUMIF(SU!$C$3:$C$17,"Otro",SU!V$3:V$17)</f>
        <v>16</v>
      </c>
      <c r="X166" s="164">
        <f>SUMIF(SU!$C$3:$C$17,"Otro",SU!W$3:W$17)</f>
        <v>22</v>
      </c>
    </row>
    <row r="167" spans="2:24" ht="15.75" customHeight="1" x14ac:dyDescent="0.2">
      <c r="B167" s="231" t="s">
        <v>83</v>
      </c>
      <c r="C167" s="225" t="s">
        <v>231</v>
      </c>
      <c r="D167" s="165" t="s">
        <v>209</v>
      </c>
      <c r="E167" s="166"/>
      <c r="F167" s="167"/>
      <c r="G167" s="167">
        <f>IF(SUM(G170:G172)=0,1,G170)</f>
        <v>19.656992858220505</v>
      </c>
      <c r="H167" s="167">
        <f t="shared" ref="H167:X167" si="72">IF(SUM(H170:H172)=0,0,G167+H170)</f>
        <v>39.550400146463268</v>
      </c>
      <c r="I167" s="167">
        <f t="shared" si="72"/>
        <v>52.808189059668521</v>
      </c>
      <c r="J167" s="167">
        <f t="shared" si="72"/>
        <v>66.524457162036853</v>
      </c>
      <c r="K167" s="167">
        <f t="shared" si="72"/>
        <v>96.677284123483446</v>
      </c>
      <c r="L167" s="167">
        <f t="shared" si="72"/>
        <v>123.38232168012354</v>
      </c>
      <c r="M167" s="167">
        <f t="shared" si="72"/>
        <v>147.09462984968866</v>
      </c>
      <c r="N167" s="167">
        <f t="shared" si="72"/>
        <v>174.48082161824956</v>
      </c>
      <c r="O167" s="167">
        <f t="shared" si="72"/>
        <v>197.6178258002505</v>
      </c>
      <c r="P167" s="167">
        <f t="shared" si="72"/>
        <v>219.80277127489151</v>
      </c>
      <c r="Q167" s="167">
        <f t="shared" si="72"/>
        <v>236.84432344649764</v>
      </c>
      <c r="R167" s="167">
        <f t="shared" si="72"/>
        <v>256.11676885756953</v>
      </c>
      <c r="S167" s="167">
        <f t="shared" si="72"/>
        <v>278.59608346372062</v>
      </c>
      <c r="T167" s="167">
        <f t="shared" si="72"/>
        <v>296.42379248324738</v>
      </c>
      <c r="U167" s="167">
        <f t="shared" si="72"/>
        <v>319.14205411343102</v>
      </c>
      <c r="V167" s="167">
        <f t="shared" si="72"/>
        <v>340.20207014980275</v>
      </c>
      <c r="W167" s="167">
        <f t="shared" si="72"/>
        <v>360.84454551464717</v>
      </c>
      <c r="X167" s="168">
        <f t="shared" si="72"/>
        <v>381.70097421805735</v>
      </c>
    </row>
    <row r="168" spans="2:24" ht="15.75" customHeight="1" x14ac:dyDescent="0.2">
      <c r="B168" s="232"/>
      <c r="C168" s="226"/>
      <c r="D168" s="117" t="s">
        <v>210</v>
      </c>
      <c r="E168" s="118"/>
      <c r="F168" s="119"/>
      <c r="G168" s="119">
        <f>IF(SUM(G170:G172)=0,1,G171)</f>
        <v>15.054420258039798</v>
      </c>
      <c r="H168" s="119">
        <f t="shared" ref="H168:X168" si="73">IF(SUM(H170:H172)=0,0,G168+H171)</f>
        <v>38.932226834986409</v>
      </c>
      <c r="I168" s="119">
        <f t="shared" si="73"/>
        <v>55.04543412628049</v>
      </c>
      <c r="J168" s="119">
        <f t="shared" si="73"/>
        <v>71.460435423090672</v>
      </c>
      <c r="K168" s="119">
        <f t="shared" si="73"/>
        <v>95.313580569206422</v>
      </c>
      <c r="L168" s="119">
        <f t="shared" si="73"/>
        <v>122.60744114770243</v>
      </c>
      <c r="M168" s="119">
        <f t="shared" si="73"/>
        <v>156.26903302034719</v>
      </c>
      <c r="N168" s="119">
        <f t="shared" si="73"/>
        <v>184.84981751422674</v>
      </c>
      <c r="O168" s="119">
        <f t="shared" si="73"/>
        <v>220.39469816531022</v>
      </c>
      <c r="P168" s="119">
        <f t="shared" si="73"/>
        <v>252.22129345373605</v>
      </c>
      <c r="Q168" s="119">
        <f t="shared" si="73"/>
        <v>278.24357316128419</v>
      </c>
      <c r="R168" s="119">
        <f t="shared" si="73"/>
        <v>305.02225597507413</v>
      </c>
      <c r="S168" s="119">
        <f t="shared" si="73"/>
        <v>335.60660373040588</v>
      </c>
      <c r="T168" s="119">
        <f t="shared" si="73"/>
        <v>359.6393189458035</v>
      </c>
      <c r="U168" s="119">
        <f t="shared" si="73"/>
        <v>388.89143918807815</v>
      </c>
      <c r="V168" s="119">
        <f t="shared" si="73"/>
        <v>418.2111834198156</v>
      </c>
      <c r="W168" s="119">
        <f t="shared" si="73"/>
        <v>448.05537464252961</v>
      </c>
      <c r="X168" s="132">
        <f t="shared" si="73"/>
        <v>476.10989491599554</v>
      </c>
    </row>
    <row r="169" spans="2:24" ht="15.75" customHeight="1" thickBot="1" x14ac:dyDescent="0.25">
      <c r="B169" s="232"/>
      <c r="C169" s="227"/>
      <c r="D169" s="120" t="s">
        <v>0</v>
      </c>
      <c r="E169" s="121"/>
      <c r="F169" s="122"/>
      <c r="G169" s="122">
        <f>IF(SUM(G170:G172)=0,1,G172)</f>
        <v>0.81637337284225198</v>
      </c>
      <c r="H169" s="122">
        <f t="shared" ref="H169:X169" si="74">IF(SUM(H170:H172)=0,0,G169+H172)</f>
        <v>0.87739295382847193</v>
      </c>
      <c r="I169" s="122">
        <f t="shared" si="74"/>
        <v>1.7743685890535659</v>
      </c>
      <c r="J169" s="122">
        <f t="shared" si="74"/>
        <v>2.3307950887340252</v>
      </c>
      <c r="K169" s="122">
        <f t="shared" si="74"/>
        <v>2.5622799448728535</v>
      </c>
      <c r="L169" s="122">
        <f t="shared" si="74"/>
        <v>2.8779947415618343</v>
      </c>
      <c r="M169" s="122">
        <f t="shared" si="74"/>
        <v>3.525008094468808</v>
      </c>
      <c r="N169" s="122">
        <f t="shared" si="74"/>
        <v>5.9800884543209207</v>
      </c>
      <c r="O169" s="122">
        <f t="shared" si="74"/>
        <v>7.0503959085214838</v>
      </c>
      <c r="P169" s="122">
        <f t="shared" si="74"/>
        <v>8.7084313004209122</v>
      </c>
      <c r="Q169" s="122">
        <f t="shared" si="74"/>
        <v>9.5385678130016665</v>
      </c>
      <c r="R169" s="122">
        <f t="shared" si="74"/>
        <v>15.207843921689616</v>
      </c>
      <c r="S169" s="122">
        <f t="shared" si="74"/>
        <v>17.722097815086734</v>
      </c>
      <c r="T169" s="122">
        <f t="shared" si="74"/>
        <v>18.620780493262519</v>
      </c>
      <c r="U169" s="122">
        <f t="shared" si="74"/>
        <v>19.176164459264054</v>
      </c>
      <c r="V169" s="122">
        <f t="shared" si="74"/>
        <v>19.792956201719246</v>
      </c>
      <c r="W169" s="122">
        <f t="shared" si="74"/>
        <v>21.196026844818437</v>
      </c>
      <c r="X169" s="133">
        <f t="shared" si="74"/>
        <v>22.481533592469347</v>
      </c>
    </row>
    <row r="170" spans="2:24" ht="15.75" customHeight="1" x14ac:dyDescent="0.2">
      <c r="B170" s="232"/>
      <c r="C170" s="225" t="s">
        <v>232</v>
      </c>
      <c r="D170" s="165" t="s">
        <v>209</v>
      </c>
      <c r="E170" s="166">
        <f>F170/(F170+F171+F172)</f>
        <v>0.43360702993212047</v>
      </c>
      <c r="F170" s="167">
        <f t="shared" ref="F170:F175" si="75">IF(SUM(G170:X170)=0,1,SUM(G170:X170))</f>
        <v>381.70097421805735</v>
      </c>
      <c r="G170" s="167">
        <f>TA!F3*TA!$B$5+TA!F6*TA!$B$8+TA!F9*TA!$B$11+TA!F12*TA!$B$14+TA!F15*TA!$B$17+TA!F18*TA!$B$20+TA!F21*TA!$B$23+TA!F24*TA!$B$26+TA!F27*TA!$B$29+TA!F30*TA!$B$32+TA!F33*TA!$B$35</f>
        <v>19.656992858220505</v>
      </c>
      <c r="H170" s="167">
        <f>TA!G3*TA!$B$5+TA!G6*TA!$B$8+TA!G9*TA!$B$11+TA!G12*TA!$B$14+TA!G15*TA!$B$17+TA!G18*TA!$B$20+TA!G21*TA!$B$23+TA!G24*TA!$B$26+TA!G27*TA!$B$29+TA!G30*TA!$B$32+TA!G33*TA!$B$35</f>
        <v>19.893407288242763</v>
      </c>
      <c r="I170" s="167">
        <f>TA!H3*TA!$B$5+TA!H6*TA!$B$8+TA!H9*TA!$B$11+TA!H12*TA!$B$14+TA!H15*TA!$B$17+TA!H18*TA!$B$20+TA!H21*TA!$B$23+TA!H24*TA!$B$26+TA!H27*TA!$B$29+TA!H30*TA!$B$32+TA!H33*TA!$B$35</f>
        <v>13.257788913205257</v>
      </c>
      <c r="J170" s="167">
        <f>TA!I3*TA!$B$5+TA!I6*TA!$B$8+TA!I9*TA!$B$11+TA!I12*TA!$B$14+TA!I15*TA!$B$17+TA!I18*TA!$B$20+TA!I21*TA!$B$23+TA!I24*TA!$B$26+TA!I27*TA!$B$29+TA!I30*TA!$B$32+TA!I33*TA!$B$35</f>
        <v>13.71626810236833</v>
      </c>
      <c r="K170" s="167">
        <f>TA!J3*TA!$B$5+TA!J6*TA!$B$8+TA!J9*TA!$B$11+TA!J12*TA!$B$14+TA!J15*TA!$B$17+TA!J18*TA!$B$20+TA!J21*TA!$B$23+TA!J24*TA!$B$26+TA!J27*TA!$B$29+TA!J30*TA!$B$32+TA!J33*TA!$B$35</f>
        <v>30.152826961446589</v>
      </c>
      <c r="L170" s="167">
        <f>TA!K3*TA!$B$5+TA!K6*TA!$B$8+TA!K9*TA!$B$11+TA!K12*TA!$B$14+TA!K15*TA!$B$17+TA!K18*TA!$B$20+TA!K21*TA!$B$23+TA!K24*TA!$B$26+TA!K27*TA!$B$29+TA!K30*TA!$B$32+TA!K33*TA!$B$35</f>
        <v>26.705037556640093</v>
      </c>
      <c r="M170" s="167">
        <f>TA!L3*TA!$B$5+TA!L6*TA!$B$8+TA!L9*TA!$B$11+TA!L12*TA!$B$14+TA!L15*TA!$B$17+TA!L18*TA!$B$20+TA!L21*TA!$B$23+TA!L24*TA!$B$26+TA!L27*TA!$B$29+TA!L30*TA!$B$32+TA!L33*TA!$B$35</f>
        <v>23.712308169565134</v>
      </c>
      <c r="N170" s="167">
        <f>TA!M3*TA!$B$5+TA!M6*TA!$B$8+TA!M9*TA!$B$11+TA!M12*TA!$B$14+TA!M15*TA!$B$17+TA!M18*TA!$B$20+TA!M21*TA!$B$23+TA!M24*TA!$B$26+TA!M27*TA!$B$29+TA!M30*TA!$B$32+TA!M33*TA!$B$35</f>
        <v>27.386191768560913</v>
      </c>
      <c r="O170" s="167">
        <f>TA!N3*TA!$B$5+TA!N6*TA!$B$8+TA!N9*TA!$B$11+TA!N12*TA!$B$14+TA!N15*TA!$B$17+TA!N18*TA!$B$20+TA!N21*TA!$B$23+TA!N24*TA!$B$26+TA!N27*TA!$B$29+TA!N30*TA!$B$32+TA!N33*TA!$B$35</f>
        <v>23.13700418200095</v>
      </c>
      <c r="P170" s="167">
        <f>TA!O3*TA!$B$5+TA!O6*TA!$B$8+TA!O9*TA!$B$11+TA!O12*TA!$B$14+TA!O15*TA!$B$17+TA!O18*TA!$B$20+TA!O21*TA!$B$23+TA!O24*TA!$B$26+TA!O27*TA!$B$29+TA!O30*TA!$B$32+TA!O33*TA!$B$35</f>
        <v>22.184945474641005</v>
      </c>
      <c r="Q170" s="167">
        <f>TA!P3*TA!$B$5+TA!P6*TA!$B$8+TA!P9*TA!$B$11+TA!P12*TA!$B$14+TA!P15*TA!$B$17+TA!P18*TA!$B$20+TA!P21*TA!$B$23+TA!P24*TA!$B$26+TA!P27*TA!$B$29+TA!P30*TA!$B$32+TA!P33*TA!$B$35</f>
        <v>17.041552171606124</v>
      </c>
      <c r="R170" s="167">
        <f>TA!Q3*TA!$B$5+TA!Q6*TA!$B$8+TA!Q9*TA!$B$11+TA!Q12*TA!$B$14+TA!Q15*TA!$B$17+TA!Q18*TA!$B$20+TA!Q21*TA!$B$23+TA!Q24*TA!$B$26+TA!Q27*TA!$B$29+TA!Q30*TA!$B$32+TA!Q33*TA!$B$35</f>
        <v>19.272445411071878</v>
      </c>
      <c r="S170" s="167">
        <f>TA!R3*TA!$B$5+TA!R6*TA!$B$8+TA!R9*TA!$B$11+TA!R12*TA!$B$14+TA!R15*TA!$B$17+TA!R18*TA!$B$20+TA!R21*TA!$B$23+TA!R24*TA!$B$26+TA!R27*TA!$B$29+TA!R30*TA!$B$32+TA!R33*TA!$B$35</f>
        <v>22.479314606151117</v>
      </c>
      <c r="T170" s="167">
        <f>TA!S3*TA!$B$5+TA!S6*TA!$B$8+TA!S9*TA!$B$11+TA!S12*TA!$B$14+TA!S15*TA!$B$17+TA!S18*TA!$B$20+TA!S21*TA!$B$23+TA!S24*TA!$B$26+TA!S27*TA!$B$29+TA!S30*TA!$B$32+TA!S33*TA!$B$35</f>
        <v>17.82770901952674</v>
      </c>
      <c r="U170" s="167">
        <f>TA!T3*TA!$B$5+TA!T6*TA!$B$8+TA!T9*TA!$B$11+TA!T12*TA!$B$14+TA!T15*TA!$B$17+TA!T18*TA!$B$20+TA!T21*TA!$B$23+TA!T24*TA!$B$26+TA!T27*TA!$B$29+TA!T30*TA!$B$32+TA!T33*TA!$B$35</f>
        <v>22.718261630183637</v>
      </c>
      <c r="V170" s="167">
        <f>TA!U3*TA!$B$5+TA!U6*TA!$B$8+TA!U9*TA!$B$11+TA!U12*TA!$B$14+TA!U15*TA!$B$17+TA!U18*TA!$B$20+TA!U21*TA!$B$23+TA!U24*TA!$B$26+TA!U27*TA!$B$29+TA!U30*TA!$B$32+TA!U33*TA!$B$35</f>
        <v>21.06001603637171</v>
      </c>
      <c r="W170" s="167">
        <f>TA!V3*TA!$B$5+TA!V6*TA!$B$8+TA!V9*TA!$B$11+TA!V12*TA!$B$14+TA!V15*TA!$B$17+TA!V18*TA!$B$20+TA!V21*TA!$B$23+TA!V24*TA!$B$26+TA!V27*TA!$B$29+TA!V30*TA!$B$32+TA!V33*TA!$B$35</f>
        <v>20.642475364844408</v>
      </c>
      <c r="X170" s="168">
        <f>TA!W3*TA!$B$5+TA!W6*TA!$B$8+TA!W9*TA!$B$11+TA!W12*TA!$B$14+TA!W15*TA!$B$17+TA!W18*TA!$B$20+TA!W21*TA!$B$23+TA!W24*TA!$B$26+TA!W27*TA!$B$29+TA!W30*TA!$B$32+TA!W33*TA!$B$35</f>
        <v>20.856428703410188</v>
      </c>
    </row>
    <row r="171" spans="2:24" ht="15.75" customHeight="1" x14ac:dyDescent="0.2">
      <c r="B171" s="232"/>
      <c r="C171" s="226"/>
      <c r="D171" s="117" t="s">
        <v>210</v>
      </c>
      <c r="E171" s="118">
        <f>F171/(F170+F171+F172)</f>
        <v>0.54085425870011428</v>
      </c>
      <c r="F171" s="119">
        <f t="shared" si="75"/>
        <v>476.10989491599554</v>
      </c>
      <c r="G171" s="119">
        <f>TA!F4*TA!$B$5+TA!F7*TA!$B$8+TA!F10*TA!$B$11+TA!F13*TA!$B$14+TA!F16*TA!$B$17+TA!F19*TA!$B$20+TA!F22*TA!$B$23+TA!F25*TA!$B$26+TA!F28*TA!$B$29+TA!F31*TA!$B$32+TA!F34*TA!$B$35</f>
        <v>15.054420258039798</v>
      </c>
      <c r="H171" s="119">
        <f>TA!G4*TA!$B$5+TA!G7*TA!$B$8+TA!G10*TA!$B$11+TA!G13*TA!$B$14+TA!G16*TA!$B$17+TA!G19*TA!$B$20+TA!G22*TA!$B$23+TA!G25*TA!$B$26+TA!G28*TA!$B$29+TA!G31*TA!$B$32+TA!G34*TA!$B$35</f>
        <v>23.877806576946615</v>
      </c>
      <c r="I171" s="119">
        <f>TA!H4*TA!$B$5+TA!H7*TA!$B$8+TA!H10*TA!$B$11+TA!H13*TA!$B$14+TA!H16*TA!$B$17+TA!H19*TA!$B$20+TA!H22*TA!$B$23+TA!H25*TA!$B$26+TA!H28*TA!$B$29+TA!H31*TA!$B$32+TA!H34*TA!$B$35</f>
        <v>16.113207291294081</v>
      </c>
      <c r="J171" s="119">
        <f>TA!I4*TA!$B$5+TA!I7*TA!$B$8+TA!I10*TA!$B$11+TA!I13*TA!$B$14+TA!I16*TA!$B$17+TA!I19*TA!$B$20+TA!I22*TA!$B$23+TA!I25*TA!$B$26+TA!I28*TA!$B$29+TA!I31*TA!$B$32+TA!I34*TA!$B$35</f>
        <v>16.415001296810185</v>
      </c>
      <c r="K171" s="119">
        <f>TA!J4*TA!$B$5+TA!J7*TA!$B$8+TA!J10*TA!$B$11+TA!J13*TA!$B$14+TA!J16*TA!$B$17+TA!J19*TA!$B$20+TA!J22*TA!$B$23+TA!J25*TA!$B$26+TA!J28*TA!$B$29+TA!J31*TA!$B$32+TA!J34*TA!$B$35</f>
        <v>23.853145146115754</v>
      </c>
      <c r="L171" s="119">
        <f>TA!K4*TA!$B$5+TA!K7*TA!$B$8+TA!K10*TA!$B$11+TA!K13*TA!$B$14+TA!K16*TA!$B$17+TA!K19*TA!$B$20+TA!K22*TA!$B$23+TA!K25*TA!$B$26+TA!K28*TA!$B$29+TA!K31*TA!$B$32+TA!K34*TA!$B$35</f>
        <v>27.293860578496005</v>
      </c>
      <c r="M171" s="119">
        <f>TA!L4*TA!$B$5+TA!L7*TA!$B$8+TA!L10*TA!$B$11+TA!L13*TA!$B$14+TA!L16*TA!$B$17+TA!L19*TA!$B$20+TA!L22*TA!$B$23+TA!L25*TA!$B$26+TA!L28*TA!$B$29+TA!L31*TA!$B$32+TA!L34*TA!$B$35</f>
        <v>33.661591872644763</v>
      </c>
      <c r="N171" s="119">
        <f>TA!M4*TA!$B$5+TA!M7*TA!$B$8+TA!M10*TA!$B$11+TA!M13*TA!$B$14+TA!M16*TA!$B$17+TA!M19*TA!$B$20+TA!M22*TA!$B$23+TA!M25*TA!$B$26+TA!M28*TA!$B$29+TA!M31*TA!$B$32+TA!M34*TA!$B$35</f>
        <v>28.580784493879563</v>
      </c>
      <c r="O171" s="119">
        <f>TA!N4*TA!$B$5+TA!N7*TA!$B$8+TA!N10*TA!$B$11+TA!N13*TA!$B$14+TA!N16*TA!$B$17+TA!N19*TA!$B$20+TA!N22*TA!$B$23+TA!N25*TA!$B$26+TA!N28*TA!$B$29+TA!N31*TA!$B$32+TA!N34*TA!$B$35</f>
        <v>35.544880651083467</v>
      </c>
      <c r="P171" s="119">
        <f>TA!O4*TA!$B$5+TA!O7*TA!$B$8+TA!O10*TA!$B$11+TA!O13*TA!$B$14+TA!O16*TA!$B$17+TA!O19*TA!$B$20+TA!O22*TA!$B$23+TA!O25*TA!$B$26+TA!O28*TA!$B$29+TA!O31*TA!$B$32+TA!O34*TA!$B$35</f>
        <v>31.826595288425839</v>
      </c>
      <c r="Q171" s="119">
        <f>TA!P4*TA!$B$5+TA!P7*TA!$B$8+TA!P10*TA!$B$11+TA!P13*TA!$B$14+TA!P16*TA!$B$17+TA!P19*TA!$B$20+TA!P22*TA!$B$23+TA!P25*TA!$B$26+TA!P28*TA!$B$29+TA!P31*TA!$B$32+TA!P34*TA!$B$35</f>
        <v>26.022279707548112</v>
      </c>
      <c r="R171" s="119">
        <f>TA!Q4*TA!$B$5+TA!Q7*TA!$B$8+TA!Q10*TA!$B$11+TA!Q13*TA!$B$14+TA!Q16*TA!$B$17+TA!Q19*TA!$B$20+TA!Q22*TA!$B$23+TA!Q25*TA!$B$26+TA!Q28*TA!$B$29+TA!Q31*TA!$B$32+TA!Q34*TA!$B$35</f>
        <v>26.778682813789921</v>
      </c>
      <c r="S171" s="119">
        <f>TA!R4*TA!$B$5+TA!R7*TA!$B$8+TA!R10*TA!$B$11+TA!R13*TA!$B$14+TA!R16*TA!$B$17+TA!R19*TA!$B$20+TA!R22*TA!$B$23+TA!R25*TA!$B$26+TA!R28*TA!$B$29+TA!R31*TA!$B$32+TA!R34*TA!$B$35</f>
        <v>30.584347755331756</v>
      </c>
      <c r="T171" s="119">
        <f>TA!S4*TA!$B$5+TA!S7*TA!$B$8+TA!S10*TA!$B$11+TA!S13*TA!$B$14+TA!S16*TA!$B$17+TA!S19*TA!$B$20+TA!S22*TA!$B$23+TA!S25*TA!$B$26+TA!S28*TA!$B$29+TA!S31*TA!$B$32+TA!S34*TA!$B$35</f>
        <v>24.032715215397623</v>
      </c>
      <c r="U171" s="119">
        <f>TA!T4*TA!$B$5+TA!T7*TA!$B$8+TA!T10*TA!$B$11+TA!T13*TA!$B$14+TA!T16*TA!$B$17+TA!T19*TA!$B$20+TA!T22*TA!$B$23+TA!T25*TA!$B$26+TA!T28*TA!$B$29+TA!T31*TA!$B$32+TA!T34*TA!$B$35</f>
        <v>29.252120242274653</v>
      </c>
      <c r="V171" s="119">
        <f>TA!U4*TA!$B$5+TA!U7*TA!$B$8+TA!U10*TA!$B$11+TA!U13*TA!$B$14+TA!U16*TA!$B$17+TA!U19*TA!$B$20+TA!U22*TA!$B$23+TA!U25*TA!$B$26+TA!U28*TA!$B$29+TA!U31*TA!$B$32+TA!U34*TA!$B$35</f>
        <v>29.319744231737435</v>
      </c>
      <c r="W171" s="119">
        <f>TA!V4*TA!$B$5+TA!V7*TA!$B$8+TA!V10*TA!$B$11+TA!V13*TA!$B$14+TA!V16*TA!$B$17+TA!V19*TA!$B$20+TA!V22*TA!$B$23+TA!V25*TA!$B$26+TA!V28*TA!$B$29+TA!V31*TA!$B$32+TA!V34*TA!$B$35</f>
        <v>29.844191222714013</v>
      </c>
      <c r="X171" s="132">
        <f>TA!W4*TA!$B$5+TA!W7*TA!$B$8+TA!W10*TA!$B$11+TA!W13*TA!$B$14+TA!W16*TA!$B$17+TA!W19*TA!$B$20+TA!W22*TA!$B$23+TA!W25*TA!$B$26+TA!W28*TA!$B$29+TA!W31*TA!$B$32+TA!W34*TA!$B$35</f>
        <v>28.054520273465908</v>
      </c>
    </row>
    <row r="172" spans="2:24" ht="15.75" customHeight="1" thickBot="1" x14ac:dyDescent="0.25">
      <c r="B172" s="232"/>
      <c r="C172" s="227"/>
      <c r="D172" s="120" t="s">
        <v>0</v>
      </c>
      <c r="E172" s="121">
        <f>F172/(F170+F171+F172)</f>
        <v>2.5538711367765397E-2</v>
      </c>
      <c r="F172" s="122">
        <f t="shared" si="75"/>
        <v>22.481533592469347</v>
      </c>
      <c r="G172" s="122">
        <f>TA!F5*TA!$B$5+TA!F8*TA!$B$8+TA!F11*TA!$B$11+TA!F14*TA!$B$14+TA!F17*TA!$B$17+TA!F20*TA!$B$20+TA!F23*TA!$B$23+TA!F26*TA!$B$26+TA!F29*TA!$B$29+TA!F32*TA!$B$32+TA!F35*TA!$B$35</f>
        <v>0.81637337284225198</v>
      </c>
      <c r="H172" s="122">
        <f>TA!G5*TA!$B$5+TA!G8*TA!$B$8+TA!G11*TA!$B$11+TA!G14*TA!$B$14+TA!G17*TA!$B$17+TA!G20*TA!$B$20+TA!G23*TA!$B$23+TA!G26*TA!$B$26+TA!G29*TA!$B$29+TA!G32*TA!$B$32+TA!G35*TA!$B$35</f>
        <v>6.1019580986219908E-2</v>
      </c>
      <c r="I172" s="122">
        <f>TA!H5*TA!$B$5+TA!H8*TA!$B$8+TA!H11*TA!$B$11+TA!H14*TA!$B$14+TA!H17*TA!$B$17+TA!H20*TA!$B$20+TA!H23*TA!$B$23+TA!H26*TA!$B$26+TA!H29*TA!$B$29+TA!H32*TA!$B$32+TA!H35*TA!$B$35</f>
        <v>0.89697563522509394</v>
      </c>
      <c r="J172" s="122">
        <f>TA!I5*TA!$B$5+TA!I8*TA!$B$8+TA!I11*TA!$B$11+TA!I14*TA!$B$14+TA!I17*TA!$B$17+TA!I20*TA!$B$20+TA!I23*TA!$B$23+TA!I26*TA!$B$26+TA!I29*TA!$B$29+TA!I32*TA!$B$32+TA!I35*TA!$B$35</f>
        <v>0.55642649968045921</v>
      </c>
      <c r="K172" s="122">
        <f>TA!J5*TA!$B$5+TA!J8*TA!$B$8+TA!J11*TA!$B$11+TA!J14*TA!$B$14+TA!J17*TA!$B$17+TA!J20*TA!$B$20+TA!J23*TA!$B$23+TA!J26*TA!$B$26+TA!J29*TA!$B$29+TA!J32*TA!$B$32+TA!J35*TA!$B$35</f>
        <v>0.23148485613882819</v>
      </c>
      <c r="L172" s="122">
        <f>TA!K5*TA!$B$5+TA!K8*TA!$B$8+TA!K11*TA!$B$11+TA!K14*TA!$B$14+TA!K17*TA!$B$17+TA!K20*TA!$B$20+TA!K23*TA!$B$23+TA!K26*TA!$B$26+TA!K29*TA!$B$29+TA!K32*TA!$B$32+TA!K35*TA!$B$35</f>
        <v>0.31571479668898084</v>
      </c>
      <c r="M172" s="122">
        <f>TA!L5*TA!$B$5+TA!L8*TA!$B$8+TA!L11*TA!$B$11+TA!L14*TA!$B$14+TA!L17*TA!$B$17+TA!L20*TA!$B$20+TA!L23*TA!$B$23+TA!L26*TA!$B$26+TA!L29*TA!$B$29+TA!L32*TA!$B$32+TA!L35*TA!$B$35</f>
        <v>0.64701335290697382</v>
      </c>
      <c r="N172" s="122">
        <f>TA!M5*TA!$B$5+TA!M8*TA!$B$8+TA!M11*TA!$B$11+TA!M14*TA!$B$14+TA!M17*TA!$B$17+TA!M20*TA!$B$20+TA!M23*TA!$B$23+TA!M26*TA!$B$26+TA!M29*TA!$B$29+TA!M32*TA!$B$32+TA!M35*TA!$B$35</f>
        <v>2.4550803598521127</v>
      </c>
      <c r="O172" s="122">
        <f>TA!N5*TA!$B$5+TA!N8*TA!$B$8+TA!N11*TA!$B$11+TA!N14*TA!$B$14+TA!N17*TA!$B$17+TA!N20*TA!$B$20+TA!N23*TA!$B$23+TA!N26*TA!$B$26+TA!N29*TA!$B$29+TA!N32*TA!$B$32+TA!N35*TA!$B$35</f>
        <v>1.0703074542005631</v>
      </c>
      <c r="P172" s="122">
        <f>TA!O5*TA!$B$5+TA!O8*TA!$B$8+TA!O11*TA!$B$11+TA!O14*TA!$B$14+TA!O17*TA!$B$17+TA!O20*TA!$B$20+TA!O23*TA!$B$23+TA!O26*TA!$B$26+TA!O29*TA!$B$29+TA!O32*TA!$B$32+TA!O35*TA!$B$35</f>
        <v>1.6580353918994284</v>
      </c>
      <c r="Q172" s="122">
        <f>TA!P5*TA!$B$5+TA!P8*TA!$B$8+TA!P11*TA!$B$11+TA!P14*TA!$B$14+TA!P17*TA!$B$17+TA!P20*TA!$B$20+TA!P23*TA!$B$23+TA!P26*TA!$B$26+TA!P29*TA!$B$29+TA!P32*TA!$B$32+TA!P35*TA!$B$35</f>
        <v>0.83013651258075394</v>
      </c>
      <c r="R172" s="122">
        <f>TA!Q5*TA!$B$5+TA!Q8*TA!$B$8+TA!Q11*TA!$B$11+TA!Q14*TA!$B$14+TA!Q17*TA!$B$17+TA!Q20*TA!$B$20+TA!Q23*TA!$B$23+TA!Q26*TA!$B$26+TA!Q29*TA!$B$29+TA!Q32*TA!$B$32+TA!Q35*TA!$B$35</f>
        <v>5.6692761086879493</v>
      </c>
      <c r="S172" s="122">
        <f>TA!R5*TA!$B$5+TA!R8*TA!$B$8+TA!R11*TA!$B$11+TA!R14*TA!$B$14+TA!R17*TA!$B$17+TA!R20*TA!$B$20+TA!R23*TA!$B$23+TA!R26*TA!$B$26+TA!R29*TA!$B$29+TA!R32*TA!$B$32+TA!R35*TA!$B$35</f>
        <v>2.5142538933971172</v>
      </c>
      <c r="T172" s="122">
        <f>TA!S5*TA!$B$5+TA!S8*TA!$B$8+TA!S11*TA!$B$11+TA!S14*TA!$B$14+TA!S17*TA!$B$17+TA!S20*TA!$B$20+TA!S23*TA!$B$23+TA!S26*TA!$B$26+TA!S29*TA!$B$29+TA!S32*TA!$B$32+TA!S35*TA!$B$35</f>
        <v>0.8986826781757864</v>
      </c>
      <c r="U172" s="122">
        <f>TA!T5*TA!$B$5+TA!T8*TA!$B$8+TA!T11*TA!$B$11+TA!T14*TA!$B$14+TA!T17*TA!$B$17+TA!T20*TA!$B$20+TA!T23*TA!$B$23+TA!T26*TA!$B$26+TA!T29*TA!$B$29+TA!T32*TA!$B$32+TA!T35*TA!$B$35</f>
        <v>0.55538396600153583</v>
      </c>
      <c r="V172" s="122">
        <f>TA!U5*TA!$B$5+TA!U8*TA!$B$8+TA!U11*TA!$B$11+TA!U14*TA!$B$14+TA!U17*TA!$B$17+TA!U20*TA!$B$20+TA!U23*TA!$B$23+TA!U26*TA!$B$26+TA!U29*TA!$B$29+TA!U32*TA!$B$32+TA!U35*TA!$B$35</f>
        <v>0.61679174245519219</v>
      </c>
      <c r="W172" s="122">
        <f>TA!V5*TA!$B$5+TA!V8*TA!$B$8+TA!V11*TA!$B$11+TA!V14*TA!$B$14+TA!V17*TA!$B$17+TA!V20*TA!$B$20+TA!V23*TA!$B$23+TA!V26*TA!$B$26+TA!V29*TA!$B$29+TA!V32*TA!$B$32+TA!V35*TA!$B$35</f>
        <v>1.4030706430991899</v>
      </c>
      <c r="X172" s="133">
        <f>TA!W5*TA!$B$5+TA!W8*TA!$B$8+TA!W11*TA!$B$11+TA!W14*TA!$B$14+TA!W17*TA!$B$17+TA!W20*TA!$B$20+TA!W23*TA!$B$23+TA!W26*TA!$B$26+TA!W29*TA!$B$29+TA!W32*TA!$B$32+TA!W35*TA!$B$35</f>
        <v>1.2855067476509088</v>
      </c>
    </row>
    <row r="173" spans="2:24" ht="15.75" customHeight="1" x14ac:dyDescent="0.2">
      <c r="B173" s="232"/>
      <c r="C173" s="225" t="s">
        <v>111</v>
      </c>
      <c r="D173" s="165" t="s">
        <v>209</v>
      </c>
      <c r="E173" s="166">
        <f>F173/(F173+F174+F175)</f>
        <v>0.47890240745534557</v>
      </c>
      <c r="F173" s="167">
        <f t="shared" si="75"/>
        <v>1850</v>
      </c>
      <c r="G173" s="167">
        <f>SUMIF(TA!$C$3:$C$29,"PSUV",TA!F$3:F$29)</f>
        <v>110</v>
      </c>
      <c r="H173" s="167">
        <f>SUMIF(TA!$C$3:$C$29,"PSUV",TA!G$3:G$29)</f>
        <v>84</v>
      </c>
      <c r="I173" s="167">
        <f>SUMIF(TA!$C$3:$C$29,"PSUV",TA!H$3:H$29)</f>
        <v>78</v>
      </c>
      <c r="J173" s="167">
        <f>SUMIF(TA!$C$3:$C$29,"PSUV",TA!I$3:I$29)</f>
        <v>68</v>
      </c>
      <c r="K173" s="167">
        <f>SUMIF(TA!$C$3:$C$29,"PSUV",TA!J$3:J$29)</f>
        <v>95</v>
      </c>
      <c r="L173" s="167">
        <f>SUMIF(TA!$C$3:$C$29,"PSUV",TA!K$3:K$29)</f>
        <v>108</v>
      </c>
      <c r="M173" s="167">
        <f>SUMIF(TA!$C$3:$C$29,"PSUV",TA!L$3:L$29)</f>
        <v>123</v>
      </c>
      <c r="N173" s="167">
        <f>SUMIF(TA!$C$3:$C$29,"PSUV",TA!M$3:M$29)</f>
        <v>115</v>
      </c>
      <c r="O173" s="167">
        <f>SUMIF(TA!$C$3:$C$29,"PSUV",TA!N$3:N$29)</f>
        <v>112</v>
      </c>
      <c r="P173" s="167">
        <f>SUMIF(TA!$C$3:$C$29,"PSUV",TA!O$3:O$29)</f>
        <v>129</v>
      </c>
      <c r="Q173" s="167">
        <f>SUMIF(TA!$C$3:$C$29,"PSUV",TA!P$3:P$29)</f>
        <v>114</v>
      </c>
      <c r="R173" s="167">
        <f>SUMIF(TA!$C$3:$C$29,"PSUV",TA!Q$3:Q$29)</f>
        <v>116</v>
      </c>
      <c r="S173" s="167">
        <f>SUMIF(TA!$C$3:$C$29,"PSUV",TA!R$3:R$29)</f>
        <v>114</v>
      </c>
      <c r="T173" s="167">
        <f>SUMIF(TA!$C$3:$C$29,"PSUV",TA!S$3:S$29)</f>
        <v>103</v>
      </c>
      <c r="U173" s="167">
        <f>SUMIF(TA!$C$3:$C$29,"PSUV",TA!T$3:T$29)</f>
        <v>109</v>
      </c>
      <c r="V173" s="167">
        <f>SUMIF(TA!$C$3:$C$29,"PSUV",TA!U$3:U$29)</f>
        <v>86</v>
      </c>
      <c r="W173" s="167">
        <f>SUMIF(TA!$C$3:$C$29,"PSUV",TA!V$3:V$29)</f>
        <v>87</v>
      </c>
      <c r="X173" s="168">
        <f>SUMIF(TA!$C$3:$C$29,"PSUV",TA!W$3:W$29)</f>
        <v>99</v>
      </c>
    </row>
    <row r="174" spans="2:24" ht="15.75" customHeight="1" x14ac:dyDescent="0.2">
      <c r="B174" s="232"/>
      <c r="C174" s="226"/>
      <c r="D174" s="117" t="s">
        <v>210</v>
      </c>
      <c r="E174" s="118">
        <f>F174/(F173+F174+F175)</f>
        <v>0.48356199844680298</v>
      </c>
      <c r="F174" s="119">
        <f t="shared" si="75"/>
        <v>1868</v>
      </c>
      <c r="G174" s="119">
        <f>SUMIF(TA!$C$3:$C$29,"MUD",TA!F$3:F$29)</f>
        <v>64</v>
      </c>
      <c r="H174" s="119">
        <f>SUMIF(TA!$C$3:$C$29,"MUD",TA!G$3:G$29)</f>
        <v>65</v>
      </c>
      <c r="I174" s="119">
        <f>SUMIF(TA!$C$3:$C$29,"MUD",TA!H$3:H$29)</f>
        <v>78</v>
      </c>
      <c r="J174" s="119">
        <f>SUMIF(TA!$C$3:$C$29,"MUD",TA!I$3:I$29)</f>
        <v>63</v>
      </c>
      <c r="K174" s="119">
        <f>SUMIF(TA!$C$3:$C$29,"MUD",TA!J$3:J$29)</f>
        <v>98</v>
      </c>
      <c r="L174" s="119">
        <f>SUMIF(TA!$C$3:$C$29,"MUD",TA!K$3:K$29)</f>
        <v>96</v>
      </c>
      <c r="M174" s="119">
        <f>SUMIF(TA!$C$3:$C$29,"MUD",TA!L$3:L$29)</f>
        <v>120</v>
      </c>
      <c r="N174" s="119">
        <f>SUMIF(TA!$C$3:$C$29,"MUD",TA!M$3:M$29)</f>
        <v>116</v>
      </c>
      <c r="O174" s="119">
        <f>SUMIF(TA!$C$3:$C$29,"MUD",TA!N$3:N$29)</f>
        <v>140</v>
      </c>
      <c r="P174" s="119">
        <f>SUMIF(TA!$C$3:$C$29,"MUD",TA!O$3:O$29)</f>
        <v>106</v>
      </c>
      <c r="Q174" s="119">
        <f>SUMIF(TA!$C$3:$C$29,"MUD",TA!P$3:P$29)</f>
        <v>127</v>
      </c>
      <c r="R174" s="119">
        <f>SUMIF(TA!$C$3:$C$29,"MUD",TA!Q$3:Q$29)</f>
        <v>117</v>
      </c>
      <c r="S174" s="119">
        <f>SUMIF(TA!$C$3:$C$29,"MUD",TA!R$3:R$29)</f>
        <v>133</v>
      </c>
      <c r="T174" s="119">
        <f>SUMIF(TA!$C$3:$C$29,"MUD",TA!S$3:S$29)</f>
        <v>114</v>
      </c>
      <c r="U174" s="119">
        <f>SUMIF(TA!$C$3:$C$29,"MUD",TA!T$3:T$29)</f>
        <v>109</v>
      </c>
      <c r="V174" s="119">
        <f>SUMIF(TA!$C$3:$C$29,"MUD",TA!U$3:U$29)</f>
        <v>107</v>
      </c>
      <c r="W174" s="119">
        <f>SUMIF(TA!$C$3:$C$29,"MUD",TA!V$3:V$29)</f>
        <v>106</v>
      </c>
      <c r="X174" s="132">
        <f>SUMIF(TA!$C$3:$C$29,"MUD",TA!W$3:W$29)</f>
        <v>109</v>
      </c>
    </row>
    <row r="175" spans="2:24" ht="15.75" customHeight="1" thickBot="1" x14ac:dyDescent="0.25">
      <c r="B175" s="233"/>
      <c r="C175" s="227"/>
      <c r="D175" s="120" t="s">
        <v>0</v>
      </c>
      <c r="E175" s="121">
        <f>F175/(F173+F174+F175)</f>
        <v>3.7535594097851413E-2</v>
      </c>
      <c r="F175" s="122">
        <f t="shared" si="75"/>
        <v>145</v>
      </c>
      <c r="G175" s="122">
        <f>SUMIF(TA!$C$3:$C$29,"Otro",TA!F$3:F$29)</f>
        <v>6</v>
      </c>
      <c r="H175" s="122">
        <f>SUMIF(TA!$C$3:$C$29,"Otro",TA!G$3:G$29)</f>
        <v>1</v>
      </c>
      <c r="I175" s="122">
        <f>SUMIF(TA!$C$3:$C$29,"Otro",TA!H$3:H$29)</f>
        <v>3</v>
      </c>
      <c r="J175" s="122">
        <f>SUMIF(TA!$C$3:$C$29,"Otro",TA!I$3:I$29)</f>
        <v>9</v>
      </c>
      <c r="K175" s="122">
        <f>SUMIF(TA!$C$3:$C$29,"Otro",TA!J$3:J$29)</f>
        <v>0</v>
      </c>
      <c r="L175" s="122">
        <f>SUMIF(TA!$C$3:$C$29,"Otro",TA!K$3:K$29)</f>
        <v>7</v>
      </c>
      <c r="M175" s="122">
        <f>SUMIF(TA!$C$3:$C$29,"Otro",TA!L$3:L$29)</f>
        <v>13</v>
      </c>
      <c r="N175" s="122">
        <f>SUMIF(TA!$C$3:$C$29,"Otro",TA!M$3:M$29)</f>
        <v>16</v>
      </c>
      <c r="O175" s="122">
        <f>SUMIF(TA!$C$3:$C$29,"Otro",TA!N$3:N$29)</f>
        <v>10</v>
      </c>
      <c r="P175" s="122">
        <f>SUMIF(TA!$C$3:$C$29,"Otro",TA!O$3:O$29)</f>
        <v>9</v>
      </c>
      <c r="Q175" s="122">
        <f>SUMIF(TA!$C$3:$C$29,"Otro",TA!P$3:P$29)</f>
        <v>7</v>
      </c>
      <c r="R175" s="122">
        <f>SUMIF(TA!$C$3:$C$29,"Otro",TA!Q$3:Q$29)</f>
        <v>10</v>
      </c>
      <c r="S175" s="122">
        <f>SUMIF(TA!$C$3:$C$29,"Otro",TA!R$3:R$29)</f>
        <v>18</v>
      </c>
      <c r="T175" s="122">
        <f>SUMIF(TA!$C$3:$C$29,"Otro",TA!S$3:S$29)</f>
        <v>13</v>
      </c>
      <c r="U175" s="122">
        <f>SUMIF(TA!$C$3:$C$29,"Otro",TA!T$3:T$29)</f>
        <v>3</v>
      </c>
      <c r="V175" s="122">
        <f>SUMIF(TA!$C$3:$C$29,"Otro",TA!U$3:U$29)</f>
        <v>3</v>
      </c>
      <c r="W175" s="122">
        <f>SUMIF(TA!$C$3:$C$29,"Otro",TA!V$3:V$29)</f>
        <v>9</v>
      </c>
      <c r="X175" s="133">
        <f>SUMIF(TA!$C$3:$C$29,"Otro",TA!W$3:W$29)</f>
        <v>8</v>
      </c>
    </row>
    <row r="176" spans="2:24" ht="15.75" customHeight="1" x14ac:dyDescent="0.2">
      <c r="B176" s="231" t="s">
        <v>90</v>
      </c>
      <c r="C176" s="217" t="s">
        <v>231</v>
      </c>
      <c r="D176" s="141" t="s">
        <v>212</v>
      </c>
      <c r="E176" s="142"/>
      <c r="F176" s="143"/>
      <c r="G176" s="143">
        <f>IF(SUM(G179:G181)=0,1,G179)</f>
        <v>20.992304934021803</v>
      </c>
      <c r="H176" s="143">
        <f t="shared" ref="H176:X176" si="76">IF(SUM(H179:H181)=0,0,G176+H179)</f>
        <v>42.418011331038443</v>
      </c>
      <c r="I176" s="143">
        <f t="shared" si="76"/>
        <v>51.686417096959268</v>
      </c>
      <c r="J176" s="143">
        <f t="shared" si="76"/>
        <v>68.343760757314982</v>
      </c>
      <c r="K176" s="143">
        <f t="shared" si="76"/>
        <v>101.82002294893863</v>
      </c>
      <c r="L176" s="143">
        <f t="shared" si="76"/>
        <v>120.88627008032131</v>
      </c>
      <c r="M176" s="143">
        <f t="shared" si="76"/>
        <v>152.50371485943776</v>
      </c>
      <c r="N176" s="143">
        <f t="shared" si="76"/>
        <v>183.4081397016638</v>
      </c>
      <c r="O176" s="143">
        <f t="shared" si="76"/>
        <v>214.47346170395869</v>
      </c>
      <c r="P176" s="143">
        <f t="shared" si="76"/>
        <v>254.23331899024669</v>
      </c>
      <c r="Q176" s="143">
        <f t="shared" si="76"/>
        <v>292.95076735513481</v>
      </c>
      <c r="R176" s="143">
        <f t="shared" si="76"/>
        <v>321.71546901893288</v>
      </c>
      <c r="S176" s="143">
        <f t="shared" si="76"/>
        <v>352.42259753298913</v>
      </c>
      <c r="T176" s="143">
        <f t="shared" si="76"/>
        <v>379.47271944922551</v>
      </c>
      <c r="U176" s="143">
        <f t="shared" si="76"/>
        <v>412.56423909925422</v>
      </c>
      <c r="V176" s="143">
        <f t="shared" si="76"/>
        <v>444.46704317269081</v>
      </c>
      <c r="W176" s="143">
        <f t="shared" si="76"/>
        <v>472.90034781985088</v>
      </c>
      <c r="X176" s="144">
        <f t="shared" si="76"/>
        <v>515.73092728055087</v>
      </c>
    </row>
    <row r="177" spans="2:24" ht="15.75" customHeight="1" x14ac:dyDescent="0.2">
      <c r="B177" s="232"/>
      <c r="C177" s="218"/>
      <c r="D177" s="145" t="s">
        <v>213</v>
      </c>
      <c r="E177" s="146"/>
      <c r="F177" s="147"/>
      <c r="G177" s="147">
        <f>IF(SUM(G179:G181)=0,1,G180)</f>
        <v>1.4384896729776249</v>
      </c>
      <c r="H177" s="147">
        <f t="shared" ref="H177:X177" si="77">IF(SUM(H179:H181)=0,0,G177+H180)</f>
        <v>1.9219377510040161</v>
      </c>
      <c r="I177" s="147">
        <f t="shared" si="77"/>
        <v>4.3703671830177857</v>
      </c>
      <c r="J177" s="147">
        <f t="shared" si="77"/>
        <v>8.2025638267355134</v>
      </c>
      <c r="K177" s="147">
        <f t="shared" si="77"/>
        <v>12.102420395869192</v>
      </c>
      <c r="L177" s="147">
        <f t="shared" si="77"/>
        <v>20.553435169248424</v>
      </c>
      <c r="M177" s="147">
        <f t="shared" si="77"/>
        <v>27.522436173264488</v>
      </c>
      <c r="N177" s="147">
        <f t="shared" si="77"/>
        <v>32.963608003442346</v>
      </c>
      <c r="O177" s="147">
        <f t="shared" si="77"/>
        <v>42.134064830751583</v>
      </c>
      <c r="P177" s="147">
        <f t="shared" si="77"/>
        <v>50.154840791738387</v>
      </c>
      <c r="Q177" s="147">
        <f t="shared" si="77"/>
        <v>57.137302782558812</v>
      </c>
      <c r="R177" s="147">
        <f t="shared" si="77"/>
        <v>67.464292885829039</v>
      </c>
      <c r="S177" s="147">
        <f t="shared" si="77"/>
        <v>77.395134107860017</v>
      </c>
      <c r="T177" s="147">
        <f t="shared" si="77"/>
        <v>83.557895869191057</v>
      </c>
      <c r="U177" s="147">
        <f t="shared" si="77"/>
        <v>95.04722461273667</v>
      </c>
      <c r="V177" s="147">
        <f t="shared" si="77"/>
        <v>107.81874282845669</v>
      </c>
      <c r="W177" s="147">
        <f t="shared" si="77"/>
        <v>119.01928786574872</v>
      </c>
      <c r="X177" s="148">
        <f t="shared" si="77"/>
        <v>129.28590433161219</v>
      </c>
    </row>
    <row r="178" spans="2:24" ht="15.75" customHeight="1" thickBot="1" x14ac:dyDescent="0.25">
      <c r="B178" s="232"/>
      <c r="C178" s="219"/>
      <c r="D178" s="149" t="s">
        <v>0</v>
      </c>
      <c r="E178" s="150"/>
      <c r="F178" s="151"/>
      <c r="G178" s="151">
        <f>IF(SUM(G179:G181)=0,1,G181)</f>
        <v>0.12086201950659782</v>
      </c>
      <c r="H178" s="151">
        <f t="shared" ref="H178:X178" si="78">IF(SUM(H179:H181)=0,0,G178+H181)</f>
        <v>0.71951376936316691</v>
      </c>
      <c r="I178" s="151">
        <f t="shared" si="78"/>
        <v>1.433369191049914</v>
      </c>
      <c r="J178" s="151">
        <f t="shared" si="78"/>
        <v>1.6750932300631096</v>
      </c>
      <c r="K178" s="151">
        <f t="shared" si="78"/>
        <v>2.2076269363166956</v>
      </c>
      <c r="L178" s="151">
        <f t="shared" si="78"/>
        <v>2.2076269363166956</v>
      </c>
      <c r="M178" s="151">
        <f t="shared" si="78"/>
        <v>3.0749139414802067</v>
      </c>
      <c r="N178" s="151">
        <f t="shared" si="78"/>
        <v>3.956117326448652</v>
      </c>
      <c r="O178" s="151">
        <f t="shared" si="78"/>
        <v>5.1699368904188185</v>
      </c>
      <c r="P178" s="151">
        <f t="shared" si="78"/>
        <v>6.7386187607573156</v>
      </c>
      <c r="Q178" s="151">
        <f t="shared" si="78"/>
        <v>7.353786574870913</v>
      </c>
      <c r="R178" s="151">
        <f t="shared" si="78"/>
        <v>8.8418997418244416</v>
      </c>
      <c r="S178" s="151">
        <f t="shared" si="78"/>
        <v>11.048450946643719</v>
      </c>
      <c r="T178" s="151">
        <f t="shared" si="78"/>
        <v>12.049537435456111</v>
      </c>
      <c r="U178" s="151">
        <f t="shared" si="78"/>
        <v>13.839834337349398</v>
      </c>
      <c r="V178" s="151">
        <f t="shared" si="78"/>
        <v>14.957103413654618</v>
      </c>
      <c r="W178" s="151">
        <f t="shared" si="78"/>
        <v>17.340393717728055</v>
      </c>
      <c r="X178" s="152">
        <f t="shared" si="78"/>
        <v>18.216932013769362</v>
      </c>
    </row>
    <row r="179" spans="2:24" ht="15.75" customHeight="1" x14ac:dyDescent="0.2">
      <c r="B179" s="232"/>
      <c r="C179" s="220" t="s">
        <v>232</v>
      </c>
      <c r="D179" s="153" t="s">
        <v>212</v>
      </c>
      <c r="E179" s="154">
        <f>F179/(F179+F180+F181)</f>
        <v>0.77760053176578936</v>
      </c>
      <c r="F179" s="155">
        <f t="shared" ref="F179:F184" si="79">IF(SUM(G179:X179)=0,1,SUM(G179:X179))</f>
        <v>515.73092728055087</v>
      </c>
      <c r="G179" s="155">
        <f>TR!F3*TR!$B$5+TR!F6*TR!$B$8+TR!F9*TR!$B$11+TR!F12*TR!$B$14+TR!F15*TR!$B$17</f>
        <v>20.992304934021803</v>
      </c>
      <c r="H179" s="155">
        <f>TR!G3*TR!$B$5+TR!G6*TR!$B$8+TR!G9*TR!$B$11+TR!G12*TR!$B$14+TR!G15*TR!$B$17</f>
        <v>21.42570639701664</v>
      </c>
      <c r="I179" s="155">
        <f>TR!H3*TR!$B$5+TR!H6*TR!$B$8+TR!H9*TR!$B$11+TR!H12*TR!$B$14+TR!H15*TR!$B$17</f>
        <v>9.268405765920825</v>
      </c>
      <c r="J179" s="155">
        <f>TR!I3*TR!$B$5+TR!I6*TR!$B$8+TR!I9*TR!$B$11+TR!I12*TR!$B$14+TR!I15*TR!$B$17</f>
        <v>16.657343660355707</v>
      </c>
      <c r="K179" s="155">
        <f>TR!J3*TR!$B$5+TR!J6*TR!$B$8+TR!J9*TR!$B$11+TR!J12*TR!$B$14+TR!J15*TR!$B$17</f>
        <v>33.47626219162364</v>
      </c>
      <c r="L179" s="155">
        <f>TR!K3*TR!$B$5+TR!K6*TR!$B$8+TR!K9*TR!$B$11+TR!K12*TR!$B$14+TR!K15*TR!$B$17</f>
        <v>19.066247131382674</v>
      </c>
      <c r="M179" s="155">
        <f>TR!L3*TR!$B$5+TR!L6*TR!$B$8+TR!L9*TR!$B$11+TR!L12*TR!$B$14+TR!L15*TR!$B$17</f>
        <v>31.617444779116468</v>
      </c>
      <c r="N179" s="155">
        <f>TR!M3*TR!$B$5+TR!M6*TR!$B$8+TR!M9*TR!$B$11+TR!M12*TR!$B$14+TR!M15*TR!$B$17</f>
        <v>30.904424842226049</v>
      </c>
      <c r="O179" s="155">
        <f>TR!N3*TR!$B$5+TR!N6*TR!$B$8+TR!N9*TR!$B$11+TR!N12*TR!$B$14+TR!N15*TR!$B$17</f>
        <v>31.065322002294891</v>
      </c>
      <c r="P179" s="155">
        <f>TR!O3*TR!$B$5+TR!O6*TR!$B$8+TR!O9*TR!$B$11+TR!O12*TR!$B$14+TR!O15*TR!$B$17</f>
        <v>39.75985728628801</v>
      </c>
      <c r="Q179" s="155">
        <f>TR!P3*TR!$B$5+TR!P6*TR!$B$8+TR!P9*TR!$B$11+TR!P12*TR!$B$14+TR!P15*TR!$B$17</f>
        <v>38.717448364888128</v>
      </c>
      <c r="R179" s="155">
        <f>TR!Q3*TR!$B$5+TR!Q6*TR!$B$8+TR!Q9*TR!$B$11+TR!Q12*TR!$B$14+TR!Q15*TR!$B$17</f>
        <v>28.76470166379805</v>
      </c>
      <c r="S179" s="155">
        <f>TR!R3*TR!$B$5+TR!R6*TR!$B$8+TR!R9*TR!$B$11+TR!R12*TR!$B$14+TR!R15*TR!$B$17</f>
        <v>30.707128514056222</v>
      </c>
      <c r="T179" s="155">
        <f>TR!S3*TR!$B$5+TR!S6*TR!$B$8+TR!S9*TR!$B$11+TR!S12*TR!$B$14+TR!S15*TR!$B$17</f>
        <v>27.050121916236375</v>
      </c>
      <c r="U179" s="155">
        <f>TR!T3*TR!$B$5+TR!T6*TR!$B$8+TR!T9*TR!$B$11+TR!T12*TR!$B$14+TR!T15*TR!$B$17</f>
        <v>33.091519650028687</v>
      </c>
      <c r="V179" s="155">
        <f>TR!U3*TR!$B$5+TR!U6*TR!$B$8+TR!U9*TR!$B$11+TR!U12*TR!$B$14+TR!U15*TR!$B$17</f>
        <v>31.902804073436602</v>
      </c>
      <c r="W179" s="155">
        <f>TR!V3*TR!$B$5+TR!V6*TR!$B$8+TR!V9*TR!$B$11+TR!V12*TR!$B$14+TR!V15*TR!$B$17</f>
        <v>28.433304647160067</v>
      </c>
      <c r="X179" s="156">
        <f>TR!W3*TR!$B$5+TR!W6*TR!$B$8+TR!W9*TR!$B$11+TR!W12*TR!$B$14+TR!W15*TR!$B$17</f>
        <v>42.830579460699944</v>
      </c>
    </row>
    <row r="180" spans="2:24" ht="15.75" customHeight="1" x14ac:dyDescent="0.2">
      <c r="B180" s="232"/>
      <c r="C180" s="218"/>
      <c r="D180" s="145" t="s">
        <v>213</v>
      </c>
      <c r="E180" s="146">
        <f>F180/(F179+F180+F181)</f>
        <v>0.19493263374409595</v>
      </c>
      <c r="F180" s="147">
        <f t="shared" si="79"/>
        <v>129.28590433161219</v>
      </c>
      <c r="G180" s="147">
        <f>TR!F4*TR!$B$5+TR!F7*TR!$B$8+TR!F10*TR!$B$11+TR!F13*TR!$B$14+TR!F16*TR!$B$17</f>
        <v>1.4384896729776249</v>
      </c>
      <c r="H180" s="147">
        <f>TR!G4*TR!$B$5+TR!G7*TR!$B$8+TR!G10*TR!$B$11+TR!G13*TR!$B$14+TR!G16*TR!$B$17</f>
        <v>0.48344807802639128</v>
      </c>
      <c r="I180" s="147">
        <f>TR!H4*TR!$B$5+TR!H7*TR!$B$8+TR!H10*TR!$B$11+TR!H13*TR!$B$14+TR!H16*TR!$B$17</f>
        <v>2.4484294320137692</v>
      </c>
      <c r="J180" s="147">
        <f>TR!I4*TR!$B$5+TR!I7*TR!$B$8+TR!I10*TR!$B$11+TR!I13*TR!$B$14+TR!I16*TR!$B$17</f>
        <v>3.8321966437177277</v>
      </c>
      <c r="K180" s="147">
        <f>TR!J4*TR!$B$5+TR!J7*TR!$B$8+TR!J10*TR!$B$11+TR!J13*TR!$B$14+TR!J16*TR!$B$17</f>
        <v>3.8998565691336777</v>
      </c>
      <c r="L180" s="147">
        <f>TR!K4*TR!$B$5+TR!K7*TR!$B$8+TR!K10*TR!$B$11+TR!K13*TR!$B$14+TR!K16*TR!$B$17</f>
        <v>8.4510147733792316</v>
      </c>
      <c r="M180" s="147">
        <f>TR!L4*TR!$B$5+TR!L7*TR!$B$8+TR!L10*TR!$B$11+TR!L13*TR!$B$14+TR!L16*TR!$B$17</f>
        <v>6.9690010040160644</v>
      </c>
      <c r="N180" s="147">
        <f>TR!M4*TR!$B$5+TR!M7*TR!$B$8+TR!M10*TR!$B$11+TR!M13*TR!$B$14+TR!M16*TR!$B$17</f>
        <v>5.4411718301778542</v>
      </c>
      <c r="O180" s="147">
        <f>TR!N4*TR!$B$5+TR!N7*TR!$B$8+TR!N10*TR!$B$11+TR!N13*TR!$B$14+TR!N16*TR!$B$17</f>
        <v>9.1704568273092377</v>
      </c>
      <c r="P180" s="147">
        <f>TR!O4*TR!$B$5+TR!O7*TR!$B$8+TR!O10*TR!$B$11+TR!O13*TR!$B$14+TR!O16*TR!$B$17</f>
        <v>8.0207759609868035</v>
      </c>
      <c r="Q180" s="147">
        <f>TR!P4*TR!$B$5+TR!P7*TR!$B$8+TR!P10*TR!$B$11+TR!P13*TR!$B$14+TR!P16*TR!$B$17</f>
        <v>6.9824619908204246</v>
      </c>
      <c r="R180" s="147">
        <f>TR!Q4*TR!$B$5+TR!Q7*TR!$B$8+TR!Q10*TR!$B$11+TR!Q13*TR!$B$14+TR!Q16*TR!$B$17</f>
        <v>10.326990103270223</v>
      </c>
      <c r="S180" s="147">
        <f>TR!R4*TR!$B$5+TR!R7*TR!$B$8+TR!R10*TR!$B$11+TR!R13*TR!$B$14+TR!R16*TR!$B$17</f>
        <v>9.9308412220309812</v>
      </c>
      <c r="T180" s="147">
        <f>TR!S4*TR!$B$5+TR!S7*TR!$B$8+TR!S10*TR!$B$11+TR!S13*TR!$B$14+TR!S16*TR!$B$17</f>
        <v>6.1627617613310388</v>
      </c>
      <c r="U180" s="147">
        <f>TR!T4*TR!$B$5+TR!T7*TR!$B$8+TR!T10*TR!$B$11+TR!T13*TR!$B$14+TR!T16*TR!$B$17</f>
        <v>11.48932874354561</v>
      </c>
      <c r="V180" s="147">
        <f>TR!U4*TR!$B$5+TR!U7*TR!$B$8+TR!U10*TR!$B$11+TR!U13*TR!$B$14+TR!U16*TR!$B$17</f>
        <v>12.771518215720022</v>
      </c>
      <c r="W180" s="147">
        <f>TR!V4*TR!$B$5+TR!V7*TR!$B$8+TR!V10*TR!$B$11+TR!V13*TR!$B$14+TR!V16*TR!$B$17</f>
        <v>11.200545037292025</v>
      </c>
      <c r="X180" s="148">
        <f>TR!W4*TR!$B$5+TR!W7*TR!$B$8+TR!W10*TR!$B$11+TR!W13*TR!$B$14+TR!W16*TR!$B$17</f>
        <v>10.266616465863454</v>
      </c>
    </row>
    <row r="181" spans="2:24" ht="15.75" customHeight="1" thickBot="1" x14ac:dyDescent="0.25">
      <c r="B181" s="232"/>
      <c r="C181" s="219"/>
      <c r="D181" s="149" t="s">
        <v>0</v>
      </c>
      <c r="E181" s="150">
        <f>F181/(F179+F180+F181)</f>
        <v>2.7466834490114733E-2</v>
      </c>
      <c r="F181" s="151">
        <f t="shared" si="79"/>
        <v>18.216932013769362</v>
      </c>
      <c r="G181" s="151">
        <f>TR!F5*TR!$B$5+TR!F8*TR!$B$8+TR!F11*TR!$B$11+TR!F14*TR!$B$14+TR!F17*TR!$B$17</f>
        <v>0.12086201950659782</v>
      </c>
      <c r="H181" s="151">
        <f>TR!G5*TR!$B$5+TR!G8*TR!$B$8+TR!G11*TR!$B$11+TR!G14*TR!$B$14+TR!G17*TR!$B$17</f>
        <v>0.5986517498565691</v>
      </c>
      <c r="I181" s="151">
        <f>TR!H5*TR!$B$5+TR!H8*TR!$B$8+TR!H11*TR!$B$11+TR!H14*TR!$B$14+TR!H17*TR!$B$17</f>
        <v>0.71385542168674698</v>
      </c>
      <c r="J181" s="151">
        <f>TR!I5*TR!$B$5+TR!I8*TR!$B$8+TR!I11*TR!$B$11+TR!I14*TR!$B$14+TR!I17*TR!$B$17</f>
        <v>0.24172403901319564</v>
      </c>
      <c r="K181" s="151">
        <f>TR!J5*TR!$B$5+TR!J8*TR!$B$8+TR!J11*TR!$B$11+TR!J14*TR!$B$14+TR!J17*TR!$B$17</f>
        <v>0.53253370625358576</v>
      </c>
      <c r="L181" s="151">
        <f>TR!K5*TR!$B$5+TR!K8*TR!$B$8+TR!K11*TR!$B$11+TR!K14*TR!$B$14+TR!K17*TR!$B$17</f>
        <v>0</v>
      </c>
      <c r="M181" s="151">
        <f>TR!L5*TR!$B$5+TR!L8*TR!$B$8+TR!L11*TR!$B$11+TR!L14*TR!$B$14+TR!L17*TR!$B$17</f>
        <v>0.8672870051635112</v>
      </c>
      <c r="N181" s="151">
        <f>TR!M5*TR!$B$5+TR!M8*TR!$B$8+TR!M11*TR!$B$11+TR!M14*TR!$B$14+TR!M17*TR!$B$17</f>
        <v>0.88120338496844519</v>
      </c>
      <c r="O181" s="151">
        <f>TR!N5*TR!$B$5+TR!N8*TR!$B$8+TR!N11*TR!$B$11+TR!N14*TR!$B$14+TR!N17*TR!$B$17</f>
        <v>1.2138195639701663</v>
      </c>
      <c r="P181" s="151">
        <f>TR!O5*TR!$B$5+TR!O8*TR!$B$8+TR!O11*TR!$B$11+TR!O14*TR!$B$14+TR!O17*TR!$B$17</f>
        <v>1.5686818703384968</v>
      </c>
      <c r="Q181" s="151">
        <f>TR!P5*TR!$B$5+TR!P8*TR!$B$8+TR!P11*TR!$B$11+TR!P14*TR!$B$14+TR!P17*TR!$B$17</f>
        <v>0.61516781411359722</v>
      </c>
      <c r="R181" s="151">
        <f>TR!Q5*TR!$B$5+TR!Q8*TR!$B$8+TR!Q11*TR!$B$11+TR!Q14*TR!$B$14+TR!Q17*TR!$B$17</f>
        <v>1.4881131669535286</v>
      </c>
      <c r="S181" s="151">
        <f>TR!R5*TR!$B$5+TR!R8*TR!$B$8+TR!R11*TR!$B$11+TR!R14*TR!$B$14+TR!R17*TR!$B$17</f>
        <v>2.2065512048192772</v>
      </c>
      <c r="T181" s="151">
        <f>TR!S5*TR!$B$5+TR!S8*TR!$B$8+TR!S11*TR!$B$11+TR!S14*TR!$B$14+TR!S17*TR!$B$17</f>
        <v>1.0010864888123923</v>
      </c>
      <c r="U181" s="151">
        <f>TR!T5*TR!$B$5+TR!T8*TR!$B$8+TR!T11*TR!$B$11+TR!T14*TR!$B$14+TR!T17*TR!$B$17</f>
        <v>1.7902969018932875</v>
      </c>
      <c r="V181" s="151">
        <f>TR!U5*TR!$B$5+TR!U8*TR!$B$8+TR!U11*TR!$B$11+TR!U14*TR!$B$14+TR!U17*TR!$B$17</f>
        <v>1.1172690763052209</v>
      </c>
      <c r="W181" s="151">
        <f>TR!V5*TR!$B$5+TR!V8*TR!$B$8+TR!V11*TR!$B$11+TR!V14*TR!$B$14+TR!V17*TR!$B$17</f>
        <v>2.3832903040734368</v>
      </c>
      <c r="X181" s="152">
        <f>TR!W5*TR!$B$5+TR!W8*TR!$B$8+TR!W11*TR!$B$11+TR!W14*TR!$B$14+TR!W17*TR!$B$17</f>
        <v>0.87653829604130806</v>
      </c>
    </row>
    <row r="182" spans="2:24" ht="15.75" customHeight="1" x14ac:dyDescent="0.2">
      <c r="B182" s="232"/>
      <c r="C182" s="220" t="s">
        <v>111</v>
      </c>
      <c r="D182" s="153" t="s">
        <v>212</v>
      </c>
      <c r="E182" s="154">
        <f>F182/(F182+F183+F184)</f>
        <v>0.76803723816912339</v>
      </c>
      <c r="F182" s="157">
        <f t="shared" si="79"/>
        <v>1980</v>
      </c>
      <c r="G182" s="157">
        <f>SUMIF(TR!$C$3:$C$17,"PSUV",TR!F$3:F$17)</f>
        <v>74</v>
      </c>
      <c r="H182" s="157">
        <f>SUMIF(TR!$C$3:$C$17,"PSUV",TR!G$3:G$17)</f>
        <v>79</v>
      </c>
      <c r="I182" s="157">
        <f>SUMIF(TR!$C$3:$C$17,"PSUV",TR!H$3:H$17)</f>
        <v>36</v>
      </c>
      <c r="J182" s="157">
        <f>SUMIF(TR!$C$3:$C$17,"PSUV",TR!I$3:I$17)</f>
        <v>71</v>
      </c>
      <c r="K182" s="157">
        <f>SUMIF(TR!$C$3:$C$17,"PSUV",TR!J$3:J$17)</f>
        <v>132</v>
      </c>
      <c r="L182" s="157">
        <f>SUMIF(TR!$C$3:$C$17,"PSUV",TR!K$3:K$17)</f>
        <v>84</v>
      </c>
      <c r="M182" s="157">
        <f>SUMIF(TR!$C$3:$C$17,"PSUV",TR!L$3:L$17)</f>
        <v>102</v>
      </c>
      <c r="N182" s="157">
        <f>SUMIF(TR!$C$3:$C$17,"PSUV",TR!M$3:M$17)</f>
        <v>116</v>
      </c>
      <c r="O182" s="157">
        <f>SUMIF(TR!$C$3:$C$17,"PSUV",TR!N$3:N$17)</f>
        <v>113</v>
      </c>
      <c r="P182" s="157">
        <f>SUMIF(TR!$C$3:$C$17,"PSUV",TR!O$3:O$17)</f>
        <v>151</v>
      </c>
      <c r="Q182" s="157">
        <f>SUMIF(TR!$C$3:$C$17,"PSUV",TR!P$3:P$17)</f>
        <v>147</v>
      </c>
      <c r="R182" s="157">
        <f>SUMIF(TR!$C$3:$C$17,"PSUV",TR!Q$3:Q$17)</f>
        <v>118</v>
      </c>
      <c r="S182" s="157">
        <f>SUMIF(TR!$C$3:$C$17,"PSUV",TR!R$3:R$17)</f>
        <v>111</v>
      </c>
      <c r="T182" s="157">
        <f>SUMIF(TR!$C$3:$C$17,"PSUV",TR!S$3:S$17)</f>
        <v>104</v>
      </c>
      <c r="U182" s="157">
        <f>SUMIF(TR!$C$3:$C$17,"PSUV",TR!T$3:T$17)</f>
        <v>124</v>
      </c>
      <c r="V182" s="157">
        <f>SUMIF(TR!$C$3:$C$17,"PSUV",TR!U$3:U$17)</f>
        <v>132</v>
      </c>
      <c r="W182" s="157">
        <f>SUMIF(TR!$C$3:$C$17,"PSUV",TR!V$3:V$17)</f>
        <v>119</v>
      </c>
      <c r="X182" s="158">
        <f>SUMIF(TR!$C$3:$C$17,"PSUV",TR!W$3:W$17)</f>
        <v>167</v>
      </c>
    </row>
    <row r="183" spans="2:24" ht="15.75" customHeight="1" x14ac:dyDescent="0.2">
      <c r="B183" s="232"/>
      <c r="C183" s="218"/>
      <c r="D183" s="145" t="s">
        <v>213</v>
      </c>
      <c r="E183" s="146">
        <f>F183/(F182+F183+F184)</f>
        <v>0.19860356865787432</v>
      </c>
      <c r="F183" s="159">
        <f t="shared" si="79"/>
        <v>512</v>
      </c>
      <c r="G183" s="159">
        <f>SUMIF(TR!$C$3:$C$17,"MUD",TR!F$3:F$17)</f>
        <v>7</v>
      </c>
      <c r="H183" s="159">
        <f>SUMIF(TR!$C$3:$C$17,"MUD",TR!G$3:G$17)</f>
        <v>4</v>
      </c>
      <c r="I183" s="159">
        <f>SUMIF(TR!$C$3:$C$17,"MUD",TR!H$3:H$17)</f>
        <v>8</v>
      </c>
      <c r="J183" s="159">
        <f>SUMIF(TR!$C$3:$C$17,"MUD",TR!I$3:I$17)</f>
        <v>15</v>
      </c>
      <c r="K183" s="159">
        <f>SUMIF(TR!$C$3:$C$17,"MUD",TR!J$3:J$17)</f>
        <v>18</v>
      </c>
      <c r="L183" s="159">
        <f>SUMIF(TR!$C$3:$C$17,"MUD",TR!K$3:K$17)</f>
        <v>32</v>
      </c>
      <c r="M183" s="159">
        <f>SUMIF(TR!$C$3:$C$17,"MUD",TR!L$3:L$17)</f>
        <v>24</v>
      </c>
      <c r="N183" s="159">
        <f>SUMIF(TR!$C$3:$C$17,"MUD",TR!M$3:M$17)</f>
        <v>24</v>
      </c>
      <c r="O183" s="159">
        <f>SUMIF(TR!$C$3:$C$17,"MUD",TR!N$3:N$17)</f>
        <v>39</v>
      </c>
      <c r="P183" s="159">
        <f>SUMIF(TR!$C$3:$C$17,"MUD",TR!O$3:O$17)</f>
        <v>32</v>
      </c>
      <c r="Q183" s="159">
        <f>SUMIF(TR!$C$3:$C$17,"MUD",TR!P$3:P$17)</f>
        <v>24</v>
      </c>
      <c r="R183" s="159">
        <f>SUMIF(TR!$C$3:$C$17,"MUD",TR!Q$3:Q$17)</f>
        <v>38</v>
      </c>
      <c r="S183" s="159">
        <f>SUMIF(TR!$C$3:$C$17,"MUD",TR!R$3:R$17)</f>
        <v>32</v>
      </c>
      <c r="T183" s="159">
        <f>SUMIF(TR!$C$3:$C$17,"MUD",TR!S$3:S$17)</f>
        <v>29</v>
      </c>
      <c r="U183" s="159">
        <f>SUMIF(TR!$C$3:$C$17,"MUD",TR!T$3:T$17)</f>
        <v>50</v>
      </c>
      <c r="V183" s="159">
        <f>SUMIF(TR!$C$3:$C$17,"MUD",TR!U$3:U$17)</f>
        <v>53</v>
      </c>
      <c r="W183" s="159">
        <f>SUMIF(TR!$C$3:$C$17,"MUD",TR!V$3:V$17)</f>
        <v>41</v>
      </c>
      <c r="X183" s="160">
        <f>SUMIF(TR!$C$3:$C$17,"MUD",TR!W$3:W$17)</f>
        <v>42</v>
      </c>
    </row>
    <row r="184" spans="2:24" ht="15.75" customHeight="1" thickBot="1" x14ac:dyDescent="0.25">
      <c r="B184" s="233"/>
      <c r="C184" s="221"/>
      <c r="D184" s="161" t="s">
        <v>0</v>
      </c>
      <c r="E184" s="162">
        <f>F184/(F182+F183+F184)</f>
        <v>3.335919317300233E-2</v>
      </c>
      <c r="F184" s="163">
        <f t="shared" si="79"/>
        <v>86</v>
      </c>
      <c r="G184" s="163">
        <f>SUMIF(TR!$C$3:$C$17,"Otro",TR!F$3:F$17)</f>
        <v>1</v>
      </c>
      <c r="H184" s="163">
        <f>SUMIF(TR!$C$3:$C$17,"Otro",TR!G$3:G$17)</f>
        <v>3</v>
      </c>
      <c r="I184" s="163">
        <f>SUMIF(TR!$C$3:$C$17,"Otro",TR!H$3:H$17)</f>
        <v>2</v>
      </c>
      <c r="J184" s="163">
        <f>SUMIF(TR!$C$3:$C$17,"Otro",TR!I$3:I$17)</f>
        <v>2</v>
      </c>
      <c r="K184" s="163">
        <f>SUMIF(TR!$C$3:$C$17,"Otro",TR!J$3:J$17)</f>
        <v>4</v>
      </c>
      <c r="L184" s="163">
        <f>SUMIF(TR!$C$3:$C$17,"Otro",TR!K$3:K$17)</f>
        <v>0</v>
      </c>
      <c r="M184" s="163">
        <f>SUMIF(TR!$C$3:$C$17,"Otro",TR!L$3:L$17)</f>
        <v>3</v>
      </c>
      <c r="N184" s="163">
        <f>SUMIF(TR!$C$3:$C$17,"Otro",TR!M$3:M$17)</f>
        <v>5</v>
      </c>
      <c r="O184" s="163">
        <f>SUMIF(TR!$C$3:$C$17,"Otro",TR!N$3:N$17)</f>
        <v>6</v>
      </c>
      <c r="P184" s="163">
        <f>SUMIF(TR!$C$3:$C$17,"Otro",TR!O$3:O$17)</f>
        <v>6</v>
      </c>
      <c r="Q184" s="163">
        <f>SUMIF(TR!$C$3:$C$17,"Otro",TR!P$3:P$17)</f>
        <v>3</v>
      </c>
      <c r="R184" s="163">
        <f>SUMIF(TR!$C$3:$C$17,"Otro",TR!Q$3:Q$17)</f>
        <v>8</v>
      </c>
      <c r="S184" s="163">
        <f>SUMIF(TR!$C$3:$C$17,"Otro",TR!R$3:R$17)</f>
        <v>10</v>
      </c>
      <c r="T184" s="163">
        <f>SUMIF(TR!$C$3:$C$17,"Otro",TR!S$3:S$17)</f>
        <v>7</v>
      </c>
      <c r="U184" s="163">
        <f>SUMIF(TR!$C$3:$C$17,"Otro",TR!T$3:T$17)</f>
        <v>7</v>
      </c>
      <c r="V184" s="163">
        <f>SUMIF(TR!$C$3:$C$17,"Otro",TR!U$3:U$17)</f>
        <v>5</v>
      </c>
      <c r="W184" s="163">
        <f>SUMIF(TR!$C$3:$C$17,"Otro",TR!V$3:V$17)</f>
        <v>8</v>
      </c>
      <c r="X184" s="164">
        <f>SUMIF(TR!$C$3:$C$17,"Otro",TR!W$3:W$17)</f>
        <v>6</v>
      </c>
    </row>
    <row r="185" spans="2:24" ht="15.75" customHeight="1" x14ac:dyDescent="0.2">
      <c r="B185" s="231" t="s">
        <v>91</v>
      </c>
      <c r="C185" s="225" t="s">
        <v>231</v>
      </c>
      <c r="D185" s="165" t="s">
        <v>219</v>
      </c>
      <c r="E185" s="166"/>
      <c r="F185" s="167"/>
      <c r="G185" s="167">
        <f>IF(SUM(G188:G190)=0,1,G188)</f>
        <v>1</v>
      </c>
      <c r="H185" s="167">
        <f t="shared" ref="H185:X185" si="80">IF(SUM(H188:H190)=0,0,G185+H188)</f>
        <v>32</v>
      </c>
      <c r="I185" s="167">
        <f t="shared" si="80"/>
        <v>75</v>
      </c>
      <c r="J185" s="167">
        <f t="shared" si="80"/>
        <v>119</v>
      </c>
      <c r="K185" s="167">
        <f t="shared" si="80"/>
        <v>176</v>
      </c>
      <c r="L185" s="167">
        <f t="shared" si="80"/>
        <v>226</v>
      </c>
      <c r="M185" s="167">
        <f t="shared" si="80"/>
        <v>272</v>
      </c>
      <c r="N185" s="167">
        <f t="shared" si="80"/>
        <v>319</v>
      </c>
      <c r="O185" s="167">
        <f t="shared" si="80"/>
        <v>380</v>
      </c>
      <c r="P185" s="167">
        <f t="shared" si="80"/>
        <v>454</v>
      </c>
      <c r="Q185" s="167">
        <f t="shared" si="80"/>
        <v>493</v>
      </c>
      <c r="R185" s="167">
        <f t="shared" si="80"/>
        <v>559</v>
      </c>
      <c r="S185" s="167">
        <f t="shared" si="80"/>
        <v>619</v>
      </c>
      <c r="T185" s="167">
        <f t="shared" si="80"/>
        <v>676</v>
      </c>
      <c r="U185" s="167">
        <f t="shared" si="80"/>
        <v>735</v>
      </c>
      <c r="V185" s="167">
        <f t="shared" si="80"/>
        <v>789</v>
      </c>
      <c r="W185" s="167">
        <f t="shared" si="80"/>
        <v>828</v>
      </c>
      <c r="X185" s="168">
        <f t="shared" si="80"/>
        <v>881</v>
      </c>
    </row>
    <row r="186" spans="2:24" ht="15.75" customHeight="1" x14ac:dyDescent="0.2">
      <c r="B186" s="232"/>
      <c r="C186" s="226"/>
      <c r="D186" s="117" t="s">
        <v>220</v>
      </c>
      <c r="E186" s="118"/>
      <c r="F186" s="119"/>
      <c r="G186" s="119">
        <f>IF(SUM(G188:G190)=0,1,G189)</f>
        <v>1</v>
      </c>
      <c r="H186" s="119">
        <f t="shared" ref="H186:X186" si="81">IF(SUM(H188:H190)=0,0,G186+H189)</f>
        <v>4</v>
      </c>
      <c r="I186" s="119">
        <f t="shared" si="81"/>
        <v>11</v>
      </c>
      <c r="J186" s="119">
        <f t="shared" si="81"/>
        <v>21</v>
      </c>
      <c r="K186" s="119">
        <f t="shared" si="81"/>
        <v>35</v>
      </c>
      <c r="L186" s="119">
        <f t="shared" si="81"/>
        <v>38</v>
      </c>
      <c r="M186" s="119">
        <f t="shared" si="81"/>
        <v>60</v>
      </c>
      <c r="N186" s="119">
        <f t="shared" si="81"/>
        <v>82</v>
      </c>
      <c r="O186" s="119">
        <f t="shared" si="81"/>
        <v>117</v>
      </c>
      <c r="P186" s="119">
        <f t="shared" si="81"/>
        <v>146</v>
      </c>
      <c r="Q186" s="119">
        <f t="shared" si="81"/>
        <v>173</v>
      </c>
      <c r="R186" s="119">
        <f t="shared" si="81"/>
        <v>191</v>
      </c>
      <c r="S186" s="119">
        <f t="shared" si="81"/>
        <v>213</v>
      </c>
      <c r="T186" s="119">
        <f t="shared" si="81"/>
        <v>239</v>
      </c>
      <c r="U186" s="119">
        <f t="shared" si="81"/>
        <v>256</v>
      </c>
      <c r="V186" s="119">
        <f t="shared" si="81"/>
        <v>281</v>
      </c>
      <c r="W186" s="119">
        <f t="shared" si="81"/>
        <v>293</v>
      </c>
      <c r="X186" s="132">
        <f t="shared" si="81"/>
        <v>309</v>
      </c>
    </row>
    <row r="187" spans="2:24" ht="15.75" customHeight="1" thickBot="1" x14ac:dyDescent="0.25">
      <c r="B187" s="232"/>
      <c r="C187" s="227"/>
      <c r="D187" s="120" t="s">
        <v>0</v>
      </c>
      <c r="E187" s="121"/>
      <c r="F187" s="122"/>
      <c r="G187" s="122">
        <f>IF(SUM(G188:G190)=0,1,G190)</f>
        <v>1</v>
      </c>
      <c r="H187" s="122">
        <f t="shared" ref="H187:X187" si="82">IF(SUM(H188:H190)=0,0,G187+H190)</f>
        <v>1</v>
      </c>
      <c r="I187" s="122">
        <f t="shared" si="82"/>
        <v>1</v>
      </c>
      <c r="J187" s="122">
        <f t="shared" si="82"/>
        <v>2</v>
      </c>
      <c r="K187" s="122">
        <f t="shared" si="82"/>
        <v>2</v>
      </c>
      <c r="L187" s="122">
        <f t="shared" si="82"/>
        <v>2</v>
      </c>
      <c r="M187" s="122">
        <f t="shared" si="82"/>
        <v>3</v>
      </c>
      <c r="N187" s="122">
        <f t="shared" si="82"/>
        <v>3</v>
      </c>
      <c r="O187" s="122">
        <f t="shared" si="82"/>
        <v>5</v>
      </c>
      <c r="P187" s="122">
        <f t="shared" si="82"/>
        <v>7</v>
      </c>
      <c r="Q187" s="122">
        <f t="shared" si="82"/>
        <v>7</v>
      </c>
      <c r="R187" s="122">
        <f t="shared" si="82"/>
        <v>8</v>
      </c>
      <c r="S187" s="122">
        <f t="shared" si="82"/>
        <v>9</v>
      </c>
      <c r="T187" s="122">
        <f t="shared" si="82"/>
        <v>10</v>
      </c>
      <c r="U187" s="122">
        <f t="shared" si="82"/>
        <v>12</v>
      </c>
      <c r="V187" s="122">
        <f t="shared" si="82"/>
        <v>13</v>
      </c>
      <c r="W187" s="122">
        <f t="shared" si="82"/>
        <v>13</v>
      </c>
      <c r="X187" s="133">
        <f t="shared" si="82"/>
        <v>16</v>
      </c>
    </row>
    <row r="188" spans="2:24" ht="15.75" customHeight="1" x14ac:dyDescent="0.2">
      <c r="B188" s="232"/>
      <c r="C188" s="225" t="s">
        <v>232</v>
      </c>
      <c r="D188" s="165" t="s">
        <v>219</v>
      </c>
      <c r="E188" s="166">
        <f>F188/(F188+F189+F190)</f>
        <v>0.73150457190357443</v>
      </c>
      <c r="F188" s="167">
        <f t="shared" ref="F188:F193" si="83">IF(SUM(G188:X188)=0,1,SUM(G188:X188))</f>
        <v>880</v>
      </c>
      <c r="G188" s="167">
        <f>VA!F3*VA!$B$5</f>
        <v>0</v>
      </c>
      <c r="H188" s="167">
        <f>VA!G3*VA!$B$5</f>
        <v>31</v>
      </c>
      <c r="I188" s="167">
        <f>VA!H3*VA!$B$5</f>
        <v>43</v>
      </c>
      <c r="J188" s="167">
        <f>VA!I3*VA!$B$5</f>
        <v>44</v>
      </c>
      <c r="K188" s="167">
        <f>VA!J3*VA!$B$5</f>
        <v>57</v>
      </c>
      <c r="L188" s="167">
        <f>VA!K3*VA!$B$5</f>
        <v>50</v>
      </c>
      <c r="M188" s="167">
        <f>VA!L3*VA!$B$5</f>
        <v>46</v>
      </c>
      <c r="N188" s="167">
        <f>VA!M3*VA!$B$5</f>
        <v>47</v>
      </c>
      <c r="O188" s="167">
        <f>VA!N3*VA!$B$5</f>
        <v>61</v>
      </c>
      <c r="P188" s="167">
        <f>VA!O3*VA!$B$5</f>
        <v>74</v>
      </c>
      <c r="Q188" s="167">
        <f>VA!P3*VA!$B$5</f>
        <v>39</v>
      </c>
      <c r="R188" s="167">
        <f>VA!Q3*VA!$B$5</f>
        <v>66</v>
      </c>
      <c r="S188" s="167">
        <f>VA!R3*VA!$B$5</f>
        <v>60</v>
      </c>
      <c r="T188" s="167">
        <f>VA!S3*VA!$B$5</f>
        <v>57</v>
      </c>
      <c r="U188" s="167">
        <f>VA!T3*VA!$B$5</f>
        <v>59</v>
      </c>
      <c r="V188" s="167">
        <f>VA!U3*VA!$B$5</f>
        <v>54</v>
      </c>
      <c r="W188" s="167">
        <f>VA!V3*VA!$B$5</f>
        <v>39</v>
      </c>
      <c r="X188" s="168">
        <f>VA!W3*VA!$B$5</f>
        <v>53</v>
      </c>
    </row>
    <row r="189" spans="2:24" ht="15.75" customHeight="1" x14ac:dyDescent="0.2">
      <c r="B189" s="232"/>
      <c r="C189" s="226"/>
      <c r="D189" s="117" t="s">
        <v>220</v>
      </c>
      <c r="E189" s="118">
        <f>F189/(F188+F189+F190)</f>
        <v>0.25602660016625106</v>
      </c>
      <c r="F189" s="119">
        <f t="shared" si="83"/>
        <v>308</v>
      </c>
      <c r="G189" s="119">
        <f>VA!F4*VA!$B$5</f>
        <v>0</v>
      </c>
      <c r="H189" s="119">
        <f>VA!G4*VA!$B$5</f>
        <v>3</v>
      </c>
      <c r="I189" s="119">
        <f>VA!H4*VA!$B$5</f>
        <v>7</v>
      </c>
      <c r="J189" s="119">
        <f>VA!I4*VA!$B$5</f>
        <v>10</v>
      </c>
      <c r="K189" s="119">
        <f>VA!J4*VA!$B$5</f>
        <v>14</v>
      </c>
      <c r="L189" s="119">
        <f>VA!K4*VA!$B$5</f>
        <v>3</v>
      </c>
      <c r="M189" s="119">
        <f>VA!L4*VA!$B$5</f>
        <v>22</v>
      </c>
      <c r="N189" s="119">
        <f>VA!M4*VA!$B$5</f>
        <v>22</v>
      </c>
      <c r="O189" s="119">
        <f>VA!N4*VA!$B$5</f>
        <v>35</v>
      </c>
      <c r="P189" s="119">
        <f>VA!O4*VA!$B$5</f>
        <v>29</v>
      </c>
      <c r="Q189" s="119">
        <f>VA!P4*VA!$B$5</f>
        <v>27</v>
      </c>
      <c r="R189" s="119">
        <f>VA!Q4*VA!$B$5</f>
        <v>18</v>
      </c>
      <c r="S189" s="119">
        <f>VA!R4*VA!$B$5</f>
        <v>22</v>
      </c>
      <c r="T189" s="119">
        <f>VA!S4*VA!$B$5</f>
        <v>26</v>
      </c>
      <c r="U189" s="119">
        <f>VA!T4*VA!$B$5</f>
        <v>17</v>
      </c>
      <c r="V189" s="119">
        <f>VA!U4*VA!$B$5</f>
        <v>25</v>
      </c>
      <c r="W189" s="119">
        <f>VA!V4*VA!$B$5</f>
        <v>12</v>
      </c>
      <c r="X189" s="132">
        <f>VA!W4*VA!$B$5</f>
        <v>16</v>
      </c>
    </row>
    <row r="190" spans="2:24" ht="15.75" customHeight="1" thickBot="1" x14ac:dyDescent="0.25">
      <c r="B190" s="232"/>
      <c r="C190" s="227"/>
      <c r="D190" s="120" t="s">
        <v>0</v>
      </c>
      <c r="E190" s="121">
        <f>F190/(F188+F189+F190)</f>
        <v>1.2468827930174564E-2</v>
      </c>
      <c r="F190" s="122">
        <f t="shared" si="83"/>
        <v>15</v>
      </c>
      <c r="G190" s="122">
        <f>VA!F5*VA!$B$5</f>
        <v>0</v>
      </c>
      <c r="H190" s="122">
        <f>VA!G5*VA!$B$5</f>
        <v>0</v>
      </c>
      <c r="I190" s="122">
        <f>VA!H5*VA!$B$5</f>
        <v>0</v>
      </c>
      <c r="J190" s="122">
        <f>VA!I5*VA!$B$5</f>
        <v>1</v>
      </c>
      <c r="K190" s="122">
        <f>VA!J5*VA!$B$5</f>
        <v>0</v>
      </c>
      <c r="L190" s="122">
        <f>VA!K5*VA!$B$5</f>
        <v>0</v>
      </c>
      <c r="M190" s="122">
        <f>VA!L5*VA!$B$5</f>
        <v>1</v>
      </c>
      <c r="N190" s="122">
        <f>VA!M5*VA!$B$5</f>
        <v>0</v>
      </c>
      <c r="O190" s="122">
        <f>VA!N5*VA!$B$5</f>
        <v>2</v>
      </c>
      <c r="P190" s="122">
        <f>VA!O5*VA!$B$5</f>
        <v>2</v>
      </c>
      <c r="Q190" s="122">
        <f>VA!P5*VA!$B$5</f>
        <v>0</v>
      </c>
      <c r="R190" s="122">
        <f>VA!Q5*VA!$B$5</f>
        <v>1</v>
      </c>
      <c r="S190" s="122">
        <f>VA!R5*VA!$B$5</f>
        <v>1</v>
      </c>
      <c r="T190" s="122">
        <f>VA!S5*VA!$B$5</f>
        <v>1</v>
      </c>
      <c r="U190" s="122">
        <f>VA!T5*VA!$B$5</f>
        <v>2</v>
      </c>
      <c r="V190" s="122">
        <f>VA!U5*VA!$B$5</f>
        <v>1</v>
      </c>
      <c r="W190" s="122">
        <f>VA!V5*VA!$B$5</f>
        <v>0</v>
      </c>
      <c r="X190" s="133">
        <f>VA!W5*VA!$B$5</f>
        <v>3</v>
      </c>
    </row>
    <row r="191" spans="2:24" ht="15.75" customHeight="1" x14ac:dyDescent="0.2">
      <c r="B191" s="232"/>
      <c r="C191" s="225" t="s">
        <v>111</v>
      </c>
      <c r="D191" s="165" t="s">
        <v>219</v>
      </c>
      <c r="E191" s="166">
        <f>F191/(F191+F192+F193)</f>
        <v>0.73150457190357443</v>
      </c>
      <c r="F191" s="167">
        <f t="shared" si="83"/>
        <v>880</v>
      </c>
      <c r="G191" s="167">
        <f>SUMIF(VA!$C$3:$C$5,"PSUV",VA!F$3:F$5)</f>
        <v>0</v>
      </c>
      <c r="H191" s="167">
        <f>SUMIF(VA!$C$3:$C$5,"PSUV",VA!G$3:G$5)</f>
        <v>31</v>
      </c>
      <c r="I191" s="167">
        <f>SUMIF(VA!$C$3:$C$5,"PSUV",VA!H$3:H$5)</f>
        <v>43</v>
      </c>
      <c r="J191" s="167">
        <f>SUMIF(VA!$C$3:$C$5,"PSUV",VA!I$3:I$5)</f>
        <v>44</v>
      </c>
      <c r="K191" s="167">
        <f>SUMIF(VA!$C$3:$C$5,"PSUV",VA!J$3:J$5)</f>
        <v>57</v>
      </c>
      <c r="L191" s="167">
        <f>SUMIF(VA!$C$3:$C$5,"PSUV",VA!K$3:K$5)</f>
        <v>50</v>
      </c>
      <c r="M191" s="167">
        <f>SUMIF(VA!$C$3:$C$5,"PSUV",VA!L$3:L$5)</f>
        <v>46</v>
      </c>
      <c r="N191" s="167">
        <f>SUMIF(VA!$C$3:$C$5,"PSUV",VA!M$3:M$5)</f>
        <v>47</v>
      </c>
      <c r="O191" s="167">
        <f>SUMIF(VA!$C$3:$C$5,"PSUV",VA!N$3:N$5)</f>
        <v>61</v>
      </c>
      <c r="P191" s="167">
        <f>SUMIF(VA!$C$3:$C$5,"PSUV",VA!O$3:O$5)</f>
        <v>74</v>
      </c>
      <c r="Q191" s="167">
        <f>SUMIF(VA!$C$3:$C$5,"PSUV",VA!P$3:P$5)</f>
        <v>39</v>
      </c>
      <c r="R191" s="167">
        <f>SUMIF(VA!$C$3:$C$5,"PSUV",VA!Q$3:Q$5)</f>
        <v>66</v>
      </c>
      <c r="S191" s="167">
        <f>SUMIF(VA!$C$3:$C$5,"PSUV",VA!R$3:R$5)</f>
        <v>60</v>
      </c>
      <c r="T191" s="167">
        <f>SUMIF(VA!$C$3:$C$5,"PSUV",VA!S$3:S$5)</f>
        <v>57</v>
      </c>
      <c r="U191" s="167">
        <f>SUMIF(VA!$C$3:$C$5,"PSUV",VA!T$3:T$5)</f>
        <v>59</v>
      </c>
      <c r="V191" s="167">
        <f>SUMIF(VA!$C$3:$C$5,"PSUV",VA!U$3:U$5)</f>
        <v>54</v>
      </c>
      <c r="W191" s="167">
        <f>SUMIF(VA!$C$3:$C$5,"PSUV",VA!V$3:V$5)</f>
        <v>39</v>
      </c>
      <c r="X191" s="168">
        <f>SUMIF(VA!$C$3:$C$5,"PSUV",VA!W$3:W$5)</f>
        <v>53</v>
      </c>
    </row>
    <row r="192" spans="2:24" ht="15.75" customHeight="1" x14ac:dyDescent="0.2">
      <c r="B192" s="232"/>
      <c r="C192" s="226"/>
      <c r="D192" s="117" t="s">
        <v>220</v>
      </c>
      <c r="E192" s="118">
        <f>F192/(F191+F192+F193)</f>
        <v>0.25602660016625106</v>
      </c>
      <c r="F192" s="119">
        <f t="shared" si="83"/>
        <v>308</v>
      </c>
      <c r="G192" s="119">
        <f>SUMIF(VA!$C$3:$C$5,"MUD",VA!F$3:F$5)</f>
        <v>0</v>
      </c>
      <c r="H192" s="119">
        <f>SUMIF(VA!$C$3:$C$5,"MUD",VA!G$3:G$5)</f>
        <v>3</v>
      </c>
      <c r="I192" s="119">
        <f>SUMIF(VA!$C$3:$C$5,"MUD",VA!H$3:H$5)</f>
        <v>7</v>
      </c>
      <c r="J192" s="119">
        <f>SUMIF(VA!$C$3:$C$5,"MUD",VA!I$3:I$5)</f>
        <v>10</v>
      </c>
      <c r="K192" s="119">
        <f>SUMIF(VA!$C$3:$C$5,"MUD",VA!J$3:J$5)</f>
        <v>14</v>
      </c>
      <c r="L192" s="119">
        <f>SUMIF(VA!$C$3:$C$5,"MUD",VA!K$3:K$5)</f>
        <v>3</v>
      </c>
      <c r="M192" s="119">
        <f>SUMIF(VA!$C$3:$C$5,"MUD",VA!L$3:L$5)</f>
        <v>22</v>
      </c>
      <c r="N192" s="119">
        <f>SUMIF(VA!$C$3:$C$5,"MUD",VA!M$3:M$5)</f>
        <v>22</v>
      </c>
      <c r="O192" s="119">
        <f>SUMIF(VA!$C$3:$C$5,"MUD",VA!N$3:N$5)</f>
        <v>35</v>
      </c>
      <c r="P192" s="119">
        <f>SUMIF(VA!$C$3:$C$5,"MUD",VA!O$3:O$5)</f>
        <v>29</v>
      </c>
      <c r="Q192" s="119">
        <f>SUMIF(VA!$C$3:$C$5,"MUD",VA!P$3:P$5)</f>
        <v>27</v>
      </c>
      <c r="R192" s="119">
        <f>SUMIF(VA!$C$3:$C$5,"MUD",VA!Q$3:Q$5)</f>
        <v>18</v>
      </c>
      <c r="S192" s="119">
        <f>SUMIF(VA!$C$3:$C$5,"MUD",VA!R$3:R$5)</f>
        <v>22</v>
      </c>
      <c r="T192" s="119">
        <f>SUMIF(VA!$C$3:$C$5,"MUD",VA!S$3:S$5)</f>
        <v>26</v>
      </c>
      <c r="U192" s="119">
        <f>SUMIF(VA!$C$3:$C$5,"MUD",VA!T$3:T$5)</f>
        <v>17</v>
      </c>
      <c r="V192" s="119">
        <f>SUMIF(VA!$C$3:$C$5,"MUD",VA!U$3:U$5)</f>
        <v>25</v>
      </c>
      <c r="W192" s="119">
        <f>SUMIF(VA!$C$3:$C$5,"MUD",VA!V$3:V$5)</f>
        <v>12</v>
      </c>
      <c r="X192" s="132">
        <f>SUMIF(VA!$C$3:$C$5,"MUD",VA!W$3:W$5)</f>
        <v>16</v>
      </c>
    </row>
    <row r="193" spans="2:24" ht="15.75" customHeight="1" thickBot="1" x14ac:dyDescent="0.25">
      <c r="B193" s="233"/>
      <c r="C193" s="227"/>
      <c r="D193" s="120" t="s">
        <v>0</v>
      </c>
      <c r="E193" s="121">
        <f>F193/(F191+F192+F193)</f>
        <v>1.2468827930174564E-2</v>
      </c>
      <c r="F193" s="122">
        <f t="shared" si="83"/>
        <v>15</v>
      </c>
      <c r="G193" s="122">
        <f>SUMIF(VA!$C$3:$C$5,"Otro",VA!F$3:F$5)</f>
        <v>0</v>
      </c>
      <c r="H193" s="122">
        <f>SUMIF(VA!$C$3:$C$5,"Otro",VA!G$3:G$5)</f>
        <v>0</v>
      </c>
      <c r="I193" s="122">
        <f>SUMIF(VA!$C$3:$C$5,"Otro",VA!H$3:H$5)</f>
        <v>0</v>
      </c>
      <c r="J193" s="122">
        <f>SUMIF(VA!$C$3:$C$5,"Otro",VA!I$3:I$5)</f>
        <v>1</v>
      </c>
      <c r="K193" s="122">
        <f>SUMIF(VA!$C$3:$C$5,"Otro",VA!J$3:J$5)</f>
        <v>0</v>
      </c>
      <c r="L193" s="122">
        <f>SUMIF(VA!$C$3:$C$5,"Otro",VA!K$3:K$5)</f>
        <v>0</v>
      </c>
      <c r="M193" s="122">
        <f>SUMIF(VA!$C$3:$C$5,"Otro",VA!L$3:L$5)</f>
        <v>1</v>
      </c>
      <c r="N193" s="122">
        <f>SUMIF(VA!$C$3:$C$5,"Otro",VA!M$3:M$5)</f>
        <v>0</v>
      </c>
      <c r="O193" s="122">
        <f>SUMIF(VA!$C$3:$C$5,"Otro",VA!N$3:N$5)</f>
        <v>2</v>
      </c>
      <c r="P193" s="122">
        <f>SUMIF(VA!$C$3:$C$5,"Otro",VA!O$3:O$5)</f>
        <v>2</v>
      </c>
      <c r="Q193" s="122">
        <f>SUMIF(VA!$C$3:$C$5,"Otro",VA!P$3:P$5)</f>
        <v>0</v>
      </c>
      <c r="R193" s="122">
        <f>SUMIF(VA!$C$3:$C$5,"Otro",VA!Q$3:Q$5)</f>
        <v>1</v>
      </c>
      <c r="S193" s="122">
        <f>SUMIF(VA!$C$3:$C$5,"Otro",VA!R$3:R$5)</f>
        <v>1</v>
      </c>
      <c r="T193" s="122">
        <f>SUMIF(VA!$C$3:$C$5,"Otro",VA!S$3:S$5)</f>
        <v>1</v>
      </c>
      <c r="U193" s="122">
        <f>SUMIF(VA!$C$3:$C$5,"Otro",VA!T$3:T$5)</f>
        <v>2</v>
      </c>
      <c r="V193" s="122">
        <f>SUMIF(VA!$C$3:$C$5,"Otro",VA!U$3:U$5)</f>
        <v>1</v>
      </c>
      <c r="W193" s="122">
        <f>SUMIF(VA!$C$3:$C$5,"Otro",VA!V$3:V$5)</f>
        <v>0</v>
      </c>
      <c r="X193" s="133">
        <f>SUMIF(VA!$C$3:$C$5,"Otro",VA!W$3:W$5)</f>
        <v>3</v>
      </c>
    </row>
    <row r="194" spans="2:24" ht="15.75" customHeight="1" x14ac:dyDescent="0.2">
      <c r="B194" s="231" t="s">
        <v>92</v>
      </c>
      <c r="C194" s="217" t="s">
        <v>231</v>
      </c>
      <c r="D194" s="141" t="s">
        <v>223</v>
      </c>
      <c r="E194" s="142"/>
      <c r="F194" s="143"/>
      <c r="G194" s="143">
        <f>IF(SUM(G197:G199)=0,1,G197)</f>
        <v>1</v>
      </c>
      <c r="H194" s="143">
        <f t="shared" ref="H194:X194" si="84">IF(SUM(H197:H199)=0,0,G194+H197)</f>
        <v>5.9998638329964074</v>
      </c>
      <c r="I194" s="143">
        <f t="shared" si="84"/>
        <v>11.985877037704295</v>
      </c>
      <c r="J194" s="143">
        <f t="shared" si="84"/>
        <v>16.986526449567585</v>
      </c>
      <c r="K194" s="143">
        <f t="shared" si="84"/>
        <v>22.351866011668466</v>
      </c>
      <c r="L194" s="143">
        <f t="shared" si="84"/>
        <v>27.544549304675417</v>
      </c>
      <c r="M194" s="143">
        <f t="shared" si="84"/>
        <v>35.975727358744194</v>
      </c>
      <c r="N194" s="143">
        <f t="shared" si="84"/>
        <v>42.657253686110622</v>
      </c>
      <c r="O194" s="143">
        <f t="shared" si="84"/>
        <v>51.606191059763354</v>
      </c>
      <c r="P194" s="143">
        <f t="shared" si="84"/>
        <v>62.589508856092436</v>
      </c>
      <c r="Q194" s="143">
        <f t="shared" si="84"/>
        <v>72.896994898974569</v>
      </c>
      <c r="R194" s="143">
        <f t="shared" si="84"/>
        <v>84.163763516320842</v>
      </c>
      <c r="S194" s="143">
        <f t="shared" si="84"/>
        <v>96.577323655001692</v>
      </c>
      <c r="T194" s="143">
        <f t="shared" si="84"/>
        <v>110.82415602643735</v>
      </c>
      <c r="U194" s="143">
        <f t="shared" si="84"/>
        <v>117.65786469189597</v>
      </c>
      <c r="V194" s="143">
        <f t="shared" si="84"/>
        <v>129.51776979396885</v>
      </c>
      <c r="W194" s="143">
        <f t="shared" si="84"/>
        <v>135.45400523020953</v>
      </c>
      <c r="X194" s="144">
        <f t="shared" si="84"/>
        <v>142.54230778630858</v>
      </c>
    </row>
    <row r="195" spans="2:24" ht="15.75" customHeight="1" x14ac:dyDescent="0.2">
      <c r="B195" s="232"/>
      <c r="C195" s="218"/>
      <c r="D195" s="145" t="s">
        <v>224</v>
      </c>
      <c r="E195" s="146"/>
      <c r="F195" s="147"/>
      <c r="G195" s="147">
        <f>IF(SUM(G197:G199)=0,1,G198)</f>
        <v>1</v>
      </c>
      <c r="H195" s="147">
        <f t="shared" ref="H195:X195" si="85">IF(SUM(H197:H199)=0,0,G195+H198)</f>
        <v>7.6678328148512804</v>
      </c>
      <c r="I195" s="147">
        <f t="shared" si="85"/>
        <v>14.733102198573388</v>
      </c>
      <c r="J195" s="147">
        <f t="shared" si="85"/>
        <v>17.938291907141085</v>
      </c>
      <c r="K195" s="147">
        <f t="shared" si="85"/>
        <v>26.420085680468411</v>
      </c>
      <c r="L195" s="147">
        <f t="shared" si="85"/>
        <v>31.677954562118337</v>
      </c>
      <c r="M195" s="147">
        <f t="shared" si="85"/>
        <v>39.17535167747274</v>
      </c>
      <c r="N195" s="147">
        <f t="shared" si="85"/>
        <v>48.611396829054549</v>
      </c>
      <c r="O195" s="147">
        <f t="shared" si="85"/>
        <v>58.059009193018476</v>
      </c>
      <c r="P195" s="147">
        <f t="shared" si="85"/>
        <v>66.463163334066536</v>
      </c>
      <c r="Q195" s="147">
        <f t="shared" si="85"/>
        <v>76.001958709974758</v>
      </c>
      <c r="R195" s="147">
        <f t="shared" si="85"/>
        <v>87.970249255445808</v>
      </c>
      <c r="S195" s="147">
        <f t="shared" si="85"/>
        <v>100.65043486154609</v>
      </c>
      <c r="T195" s="147">
        <f t="shared" si="85"/>
        <v>111.93919270424178</v>
      </c>
      <c r="U195" s="147">
        <f t="shared" si="85"/>
        <v>125.00424910880442</v>
      </c>
      <c r="V195" s="147">
        <f t="shared" si="85"/>
        <v>138.78978956960754</v>
      </c>
      <c r="W195" s="147">
        <f t="shared" si="85"/>
        <v>145.92195884963323</v>
      </c>
      <c r="X195" s="148">
        <f t="shared" si="85"/>
        <v>152.82990995520456</v>
      </c>
    </row>
    <row r="196" spans="2:24" ht="15.75" customHeight="1" thickBot="1" x14ac:dyDescent="0.25">
      <c r="B196" s="232"/>
      <c r="C196" s="219"/>
      <c r="D196" s="149" t="s">
        <v>0</v>
      </c>
      <c r="E196" s="150"/>
      <c r="F196" s="151"/>
      <c r="G196" s="151">
        <f>IF(SUM(G197:G199)=0,1,G199)</f>
        <v>1</v>
      </c>
      <c r="H196" s="151">
        <f t="shared" ref="H196:X196" si="86">IF(SUM(H197:H199)=0,0,G196+H199)</f>
        <v>1.1453251074497317</v>
      </c>
      <c r="I196" s="151">
        <f t="shared" si="86"/>
        <v>1.1453251074497317</v>
      </c>
      <c r="J196" s="151">
        <f t="shared" si="86"/>
        <v>2.3251423643479869</v>
      </c>
      <c r="K196" s="151">
        <f t="shared" si="86"/>
        <v>2.3251423643479869</v>
      </c>
      <c r="L196" s="151">
        <f t="shared" si="86"/>
        <v>2.3251423643479869</v>
      </c>
      <c r="M196" s="151">
        <f t="shared" si="86"/>
        <v>2.6157925792474503</v>
      </c>
      <c r="N196" s="151">
        <f t="shared" si="86"/>
        <v>2.6157925792474503</v>
      </c>
      <c r="O196" s="151">
        <f t="shared" si="86"/>
        <v>2.9408755887477174</v>
      </c>
      <c r="P196" s="151">
        <f t="shared" si="86"/>
        <v>3.1286114806241336</v>
      </c>
      <c r="Q196" s="151">
        <f t="shared" si="86"/>
        <v>3.9855872463889557</v>
      </c>
      <c r="R196" s="151">
        <f t="shared" si="86"/>
        <v>4.0794551923271634</v>
      </c>
      <c r="S196" s="151">
        <f t="shared" si="86"/>
        <v>5.8105882065409036</v>
      </c>
      <c r="T196" s="151">
        <f t="shared" si="86"/>
        <v>6.4798280804293098</v>
      </c>
      <c r="U196" s="151">
        <f t="shared" si="86"/>
        <v>6.8049110899295773</v>
      </c>
      <c r="V196" s="151">
        <f t="shared" si="86"/>
        <v>7.9617754780683843</v>
      </c>
      <c r="W196" s="151">
        <f t="shared" si="86"/>
        <v>8.8096699521320616</v>
      </c>
      <c r="X196" s="152">
        <f t="shared" si="86"/>
        <v>9.0488630055200012</v>
      </c>
    </row>
    <row r="197" spans="2:24" ht="15.75" customHeight="1" x14ac:dyDescent="0.2">
      <c r="B197" s="232"/>
      <c r="C197" s="220" t="s">
        <v>232</v>
      </c>
      <c r="D197" s="153" t="s">
        <v>223</v>
      </c>
      <c r="E197" s="154">
        <f>F197/(F197+F198+F199)</f>
        <v>0.46958330663374398</v>
      </c>
      <c r="F197" s="155">
        <f t="shared" ref="F197:F202" si="87">IF(SUM(G197:X197)=0,1,SUM(G197:X197))</f>
        <v>141.54230778630858</v>
      </c>
      <c r="G197" s="155">
        <f>YA!F3*YA!$B$5+YA!F6*YA!$B$8+YA!F9*YA!$B$11+YA!F12*YA!$B$14+YA!F15*YA!$B$17+YA!F18*YA!$B$20</f>
        <v>0</v>
      </c>
      <c r="H197" s="155">
        <f>YA!G3*YA!$B$5+YA!G6*YA!$B$8+YA!G9*YA!$B$11+YA!G12*YA!$B$14+YA!G15*YA!$B$17+YA!G18*YA!$B$20</f>
        <v>4.9998638329964074</v>
      </c>
      <c r="I197" s="155">
        <f>YA!H3*YA!$B$5+YA!H6*YA!$B$8+YA!H9*YA!$B$11+YA!H12*YA!$B$14+YA!H15*YA!$B$17+YA!H18*YA!$B$20</f>
        <v>5.9860132047078869</v>
      </c>
      <c r="J197" s="155">
        <f>YA!I3*YA!$B$5+YA!I6*YA!$B$8+YA!I9*YA!$B$11+YA!I12*YA!$B$14+YA!I15*YA!$B$17+YA!I18*YA!$B$20</f>
        <v>5.0006494118632885</v>
      </c>
      <c r="K197" s="155">
        <f>YA!J3*YA!$B$5+YA!J6*YA!$B$8+YA!J9*YA!$B$11+YA!J12*YA!$B$14+YA!J15*YA!$B$17+YA!J18*YA!$B$20</f>
        <v>5.3653395621008819</v>
      </c>
      <c r="L197" s="155">
        <f>YA!K3*YA!$B$5+YA!K6*YA!$B$8+YA!K9*YA!$B$11+YA!K12*YA!$B$14+YA!K15*YA!$B$17+YA!K18*YA!$B$20</f>
        <v>5.1926832930069509</v>
      </c>
      <c r="M197" s="155">
        <f>YA!L3*YA!$B$5+YA!L6*YA!$B$8+YA!L9*YA!$B$11+YA!L12*YA!$B$14+YA!L15*YA!$B$17+YA!L18*YA!$B$20</f>
        <v>8.4311780540687753</v>
      </c>
      <c r="N197" s="155">
        <f>YA!M3*YA!$B$5+YA!M6*YA!$B$8+YA!M9*YA!$B$11+YA!M12*YA!$B$14+YA!M15*YA!$B$17+YA!M18*YA!$B$20</f>
        <v>6.6815263273664254</v>
      </c>
      <c r="O197" s="155">
        <f>YA!N3*YA!$B$5+YA!N6*YA!$B$8+YA!N9*YA!$B$11+YA!N12*YA!$B$14+YA!N15*YA!$B$17+YA!N18*YA!$B$20</f>
        <v>8.9489373736527327</v>
      </c>
      <c r="P197" s="155">
        <f>YA!O3*YA!$B$5+YA!O6*YA!$B$8+YA!O9*YA!$B$11+YA!O12*YA!$B$14+YA!O15*YA!$B$17+YA!O18*YA!$B$20</f>
        <v>10.983317796329079</v>
      </c>
      <c r="Q197" s="155">
        <f>YA!P3*YA!$B$5+YA!P6*YA!$B$8+YA!P9*YA!$B$11+YA!P12*YA!$B$14+YA!P15*YA!$B$17+YA!P18*YA!$B$20</f>
        <v>10.307486042882131</v>
      </c>
      <c r="R197" s="155">
        <f>YA!Q3*YA!$B$5+YA!Q6*YA!$B$8+YA!Q9*YA!$B$11+YA!Q12*YA!$B$14+YA!Q15*YA!$B$17+YA!Q18*YA!$B$20</f>
        <v>11.26676861734628</v>
      </c>
      <c r="S197" s="155">
        <f>YA!R3*YA!$B$5+YA!R6*YA!$B$8+YA!R9*YA!$B$11+YA!R12*YA!$B$14+YA!R15*YA!$B$17+YA!R18*YA!$B$20</f>
        <v>12.413560138680856</v>
      </c>
      <c r="T197" s="155">
        <f>YA!S3*YA!$B$5+YA!S6*YA!$B$8+YA!S9*YA!$B$11+YA!S12*YA!$B$14+YA!S15*YA!$B$17+YA!S18*YA!$B$20</f>
        <v>14.246832371435655</v>
      </c>
      <c r="U197" s="155">
        <f>YA!T3*YA!$B$5+YA!T6*YA!$B$8+YA!T9*YA!$B$11+YA!T12*YA!$B$14+YA!T15*YA!$B$17+YA!T18*YA!$B$20</f>
        <v>6.8337086654586203</v>
      </c>
      <c r="V197" s="155">
        <f>YA!U3*YA!$B$5+YA!U6*YA!$B$8+YA!U9*YA!$B$11+YA!U12*YA!$B$14+YA!U15*YA!$B$17+YA!U18*YA!$B$20</f>
        <v>11.859905102072881</v>
      </c>
      <c r="W197" s="155">
        <f>YA!V3*YA!$B$5+YA!V6*YA!$B$8+YA!V9*YA!$B$11+YA!V12*YA!$B$14+YA!V15*YA!$B$17+YA!V18*YA!$B$20</f>
        <v>5.9362354362406737</v>
      </c>
      <c r="X197" s="156">
        <f>YA!W3*YA!$B$5+YA!W6*YA!$B$8+YA!W9*YA!$B$11+YA!W12*YA!$B$14+YA!W15*YA!$B$17+YA!W18*YA!$B$20</f>
        <v>7.0883025560990598</v>
      </c>
    </row>
    <row r="198" spans="2:24" ht="15.75" customHeight="1" x14ac:dyDescent="0.2">
      <c r="B198" s="232"/>
      <c r="C198" s="218"/>
      <c r="D198" s="145" t="s">
        <v>224</v>
      </c>
      <c r="E198" s="146">
        <f>F198/(F197+F198+F199)</f>
        <v>0.50371364066147517</v>
      </c>
      <c r="F198" s="147">
        <f t="shared" si="87"/>
        <v>151.82990995520456</v>
      </c>
      <c r="G198" s="147">
        <f>YA!F4*YA!$B$5+YA!F7*YA!$B$8+YA!F10*YA!$B$11+YA!F13*YA!$B$14+YA!F16*YA!$B$17+YA!F19*YA!$B$20</f>
        <v>0</v>
      </c>
      <c r="H198" s="147">
        <f>YA!G4*YA!$B$5+YA!G7*YA!$B$8+YA!G10*YA!$B$11+YA!G13*YA!$B$14+YA!G16*YA!$B$17+YA!G19*YA!$B$20</f>
        <v>6.6678328148512804</v>
      </c>
      <c r="I198" s="147">
        <f>YA!H4*YA!$B$5+YA!H7*YA!$B$8+YA!H10*YA!$B$11+YA!H13*YA!$B$14+YA!H16*YA!$B$17+YA!H19*YA!$B$20</f>
        <v>7.0652693837221072</v>
      </c>
      <c r="J198" s="147">
        <f>YA!I4*YA!$B$5+YA!I7*YA!$B$8+YA!I10*YA!$B$11+YA!I13*YA!$B$14+YA!I16*YA!$B$17+YA!I19*YA!$B$20</f>
        <v>3.2051897085676977</v>
      </c>
      <c r="K198" s="147">
        <f>YA!J4*YA!$B$5+YA!J7*YA!$B$8+YA!J10*YA!$B$11+YA!J13*YA!$B$14+YA!J16*YA!$B$17+YA!J19*YA!$B$20</f>
        <v>8.4817937733273272</v>
      </c>
      <c r="L198" s="147">
        <f>YA!K4*YA!$B$5+YA!K7*YA!$B$8+YA!K10*YA!$B$11+YA!K13*YA!$B$14+YA!K16*YA!$B$17+YA!K19*YA!$B$20</f>
        <v>5.2578688816499248</v>
      </c>
      <c r="M198" s="147">
        <f>YA!L4*YA!$B$5+YA!L7*YA!$B$8+YA!L10*YA!$B$11+YA!L13*YA!$B$14+YA!L16*YA!$B$17+YA!L19*YA!$B$20</f>
        <v>7.497397115354401</v>
      </c>
      <c r="N198" s="147">
        <f>YA!M4*YA!$B$5+YA!M7*YA!$B$8+YA!M10*YA!$B$11+YA!M13*YA!$B$14+YA!M16*YA!$B$17+YA!M19*YA!$B$20</f>
        <v>9.4360451515818067</v>
      </c>
      <c r="O198" s="147">
        <f>YA!N4*YA!$B$5+YA!N7*YA!$B$8+YA!N10*YA!$B$11+YA!N13*YA!$B$14+YA!N16*YA!$B$17+YA!N19*YA!$B$20</f>
        <v>9.4476123639639251</v>
      </c>
      <c r="P198" s="147">
        <f>YA!O4*YA!$B$5+YA!O7*YA!$B$8+YA!O10*YA!$B$11+YA!O13*YA!$B$14+YA!O16*YA!$B$17+YA!O19*YA!$B$20</f>
        <v>8.4041541410480676</v>
      </c>
      <c r="Q198" s="147">
        <f>YA!P4*YA!$B$5+YA!P7*YA!$B$8+YA!P10*YA!$B$11+YA!P13*YA!$B$14+YA!P16*YA!$B$17+YA!P19*YA!$B$20</f>
        <v>9.5387953759082151</v>
      </c>
      <c r="R198" s="147">
        <f>YA!Q4*YA!$B$5+YA!Q7*YA!$B$8+YA!Q10*YA!$B$11+YA!Q13*YA!$B$14+YA!Q16*YA!$B$17+YA!Q19*YA!$B$20</f>
        <v>11.968290545471049</v>
      </c>
      <c r="S198" s="147">
        <f>YA!R4*YA!$B$5+YA!R7*YA!$B$8+YA!R10*YA!$B$11+YA!R13*YA!$B$14+YA!R16*YA!$B$17+YA!R19*YA!$B$20</f>
        <v>12.680185606100281</v>
      </c>
      <c r="T198" s="147">
        <f>YA!S4*YA!$B$5+YA!S7*YA!$B$8+YA!S10*YA!$B$11+YA!S13*YA!$B$14+YA!S16*YA!$B$17+YA!S19*YA!$B$20</f>
        <v>11.288757842695688</v>
      </c>
      <c r="U198" s="147">
        <f>YA!T4*YA!$B$5+YA!T7*YA!$B$8+YA!T10*YA!$B$11+YA!T13*YA!$B$14+YA!T16*YA!$B$17+YA!T19*YA!$B$20</f>
        <v>13.065056404562641</v>
      </c>
      <c r="V198" s="147">
        <f>YA!U4*YA!$B$5+YA!U7*YA!$B$8+YA!U10*YA!$B$11+YA!U13*YA!$B$14+YA!U16*YA!$B$17+YA!U19*YA!$B$20</f>
        <v>13.785540460803105</v>
      </c>
      <c r="W198" s="147">
        <f>YA!V4*YA!$B$5+YA!V7*YA!$B$8+YA!V10*YA!$B$11+YA!V13*YA!$B$14+YA!V16*YA!$B$17+YA!V19*YA!$B$20</f>
        <v>7.1321692800256979</v>
      </c>
      <c r="X198" s="148">
        <f>YA!W4*YA!$B$5+YA!W7*YA!$B$8+YA!W10*YA!$B$11+YA!W13*YA!$B$14+YA!W16*YA!$B$17+YA!W19*YA!$B$20</f>
        <v>6.9079511055713256</v>
      </c>
    </row>
    <row r="199" spans="2:24" ht="15.75" customHeight="1" thickBot="1" x14ac:dyDescent="0.25">
      <c r="B199" s="232"/>
      <c r="C199" s="219"/>
      <c r="D199" s="149" t="s">
        <v>0</v>
      </c>
      <c r="E199" s="150">
        <f>F199/(F197+F198+F199)</f>
        <v>2.6703052704780753E-2</v>
      </c>
      <c r="F199" s="151">
        <f t="shared" si="87"/>
        <v>8.0488630055200012</v>
      </c>
      <c r="G199" s="151">
        <f>YA!F5*YA!$B$5+YA!F8*YA!$B$8+YA!F11*YA!$B$11+YA!F14*YA!$B$14+YA!F17*YA!$B$17+YA!F20*YA!$B$20</f>
        <v>0</v>
      </c>
      <c r="H199" s="151">
        <f>YA!G5*YA!$B$5+YA!G8*YA!$B$8+YA!G11*YA!$B$11+YA!G14*YA!$B$14+YA!G17*YA!$B$17+YA!G20*YA!$B$20</f>
        <v>0.14532510744973168</v>
      </c>
      <c r="I199" s="151">
        <f>YA!H5*YA!$B$5+YA!H8*YA!$B$8+YA!H11*YA!$B$11+YA!H14*YA!$B$14+YA!H17*YA!$B$17+YA!H20*YA!$B$20</f>
        <v>0</v>
      </c>
      <c r="J199" s="151">
        <f>YA!I5*YA!$B$5+YA!I8*YA!$B$8+YA!I11*YA!$B$11+YA!I14*YA!$B$14+YA!I17*YA!$B$17+YA!I20*YA!$B$20</f>
        <v>1.1798172568982552</v>
      </c>
      <c r="K199" s="151">
        <f>YA!J5*YA!$B$5+YA!J8*YA!$B$8+YA!J11*YA!$B$11+YA!J14*YA!$B$14+YA!J17*YA!$B$17+YA!J20*YA!$B$20</f>
        <v>0</v>
      </c>
      <c r="L199" s="151">
        <f>YA!K5*YA!$B$5+YA!K8*YA!$B$8+YA!K11*YA!$B$11+YA!K14*YA!$B$14+YA!K17*YA!$B$17+YA!K20*YA!$B$20</f>
        <v>0</v>
      </c>
      <c r="M199" s="151">
        <f>YA!L5*YA!$B$5+YA!L8*YA!$B$8+YA!L11*YA!$B$11+YA!L14*YA!$B$14+YA!L17*YA!$B$17+YA!L20*YA!$B$20</f>
        <v>0.29065021489946335</v>
      </c>
      <c r="N199" s="151">
        <f>YA!M5*YA!$B$5+YA!M8*YA!$B$8+YA!M11*YA!$B$11+YA!M14*YA!$B$14+YA!M17*YA!$B$17+YA!M20*YA!$B$20</f>
        <v>0</v>
      </c>
      <c r="O199" s="151">
        <f>YA!N5*YA!$B$5+YA!N8*YA!$B$8+YA!N11*YA!$B$11+YA!N14*YA!$B$14+YA!N17*YA!$B$17+YA!N20*YA!$B$20</f>
        <v>0.32508300950026708</v>
      </c>
      <c r="P199" s="151">
        <f>YA!O5*YA!$B$5+YA!O8*YA!$B$8+YA!O11*YA!$B$11+YA!O14*YA!$B$14+YA!O17*YA!$B$17+YA!O20*YA!$B$20</f>
        <v>0.18773589187641623</v>
      </c>
      <c r="Q199" s="151">
        <f>YA!P5*YA!$B$5+YA!P8*YA!$B$8+YA!P11*YA!$B$11+YA!P14*YA!$B$14+YA!P17*YA!$B$17+YA!P20*YA!$B$20</f>
        <v>0.85697576576482215</v>
      </c>
      <c r="R199" s="151">
        <f>YA!Q5*YA!$B$5+YA!Q8*YA!$B$8+YA!Q11*YA!$B$11+YA!Q14*YA!$B$14+YA!Q17*YA!$B$17+YA!Q20*YA!$B$20</f>
        <v>9.3867945938208117E-2</v>
      </c>
      <c r="S199" s="151">
        <f>YA!R5*YA!$B$5+YA!R8*YA!$B$8+YA!R11*YA!$B$11+YA!R14*YA!$B$14+YA!R17*YA!$B$17+YA!R20*YA!$B$20</f>
        <v>1.7311330142137402</v>
      </c>
      <c r="T199" s="151">
        <f>YA!S5*YA!$B$5+YA!S8*YA!$B$8+YA!S11*YA!$B$11+YA!S14*YA!$B$14+YA!S17*YA!$B$17+YA!S20*YA!$B$20</f>
        <v>0.66923987388840589</v>
      </c>
      <c r="U199" s="151">
        <f>YA!T5*YA!$B$5+YA!T8*YA!$B$8+YA!T11*YA!$B$11+YA!T14*YA!$B$14+YA!T17*YA!$B$17+YA!T20*YA!$B$20</f>
        <v>0.32508300950026708</v>
      </c>
      <c r="V199" s="151">
        <f>YA!U5*YA!$B$5+YA!U8*YA!$B$8+YA!U11*YA!$B$11+YA!U14*YA!$B$14+YA!U17*YA!$B$17+YA!U20*YA!$B$20</f>
        <v>1.1568643881388065</v>
      </c>
      <c r="W199" s="151">
        <f>YA!V5*YA!$B$5+YA!V8*YA!$B$8+YA!V11*YA!$B$11+YA!V14*YA!$B$14+YA!V17*YA!$B$17+YA!V20*YA!$B$20</f>
        <v>0.84789447406367735</v>
      </c>
      <c r="X199" s="152">
        <f>YA!W5*YA!$B$5+YA!W8*YA!$B$8+YA!W11*YA!$B$11+YA!W14*YA!$B$14+YA!W17*YA!$B$17+YA!W20*YA!$B$20</f>
        <v>0.23919305338793978</v>
      </c>
    </row>
    <row r="200" spans="2:24" ht="15.75" customHeight="1" x14ac:dyDescent="0.2">
      <c r="B200" s="232"/>
      <c r="C200" s="220" t="s">
        <v>111</v>
      </c>
      <c r="D200" s="153" t="s">
        <v>223</v>
      </c>
      <c r="E200" s="154">
        <f>F200/(F200+F201+F202)</f>
        <v>0.46063651591289784</v>
      </c>
      <c r="F200" s="157">
        <f t="shared" si="87"/>
        <v>825</v>
      </c>
      <c r="G200" s="157">
        <f>SUMIF(YA!$C$3:$C$20,"PSUV",YA!F$3:F$20)</f>
        <v>0</v>
      </c>
      <c r="H200" s="157">
        <f>SUMIF(YA!$C$3:$C$20,"PSUV",YA!G$3:G$20)</f>
        <v>35</v>
      </c>
      <c r="I200" s="157">
        <f>SUMIF(YA!$C$3:$C$20,"PSUV",YA!H$3:H$20)</f>
        <v>33</v>
      </c>
      <c r="J200" s="157">
        <f>SUMIF(YA!$C$3:$C$20,"PSUV",YA!I$3:I$20)</f>
        <v>30</v>
      </c>
      <c r="K200" s="157">
        <f>SUMIF(YA!$C$3:$C$20,"PSUV",YA!J$3:J$20)</f>
        <v>30</v>
      </c>
      <c r="L200" s="157">
        <f>SUMIF(YA!$C$3:$C$20,"PSUV",YA!K$3:K$20)</f>
        <v>32</v>
      </c>
      <c r="M200" s="157">
        <f>SUMIF(YA!$C$3:$C$20,"PSUV",YA!L$3:L$20)</f>
        <v>53</v>
      </c>
      <c r="N200" s="157">
        <f>SUMIF(YA!$C$3:$C$20,"PSUV",YA!M$3:M$20)</f>
        <v>43</v>
      </c>
      <c r="O200" s="157">
        <f>SUMIF(YA!$C$3:$C$20,"PSUV",YA!N$3:N$20)</f>
        <v>56</v>
      </c>
      <c r="P200" s="157">
        <f>SUMIF(YA!$C$3:$C$20,"PSUV",YA!O$3:O$20)</f>
        <v>61</v>
      </c>
      <c r="Q200" s="157">
        <f>SUMIF(YA!$C$3:$C$20,"PSUV",YA!P$3:P$20)</f>
        <v>54</v>
      </c>
      <c r="R200" s="157">
        <f>SUMIF(YA!$C$3:$C$20,"PSUV",YA!Q$3:Q$20)</f>
        <v>67</v>
      </c>
      <c r="S200" s="157">
        <f>SUMIF(YA!$C$3:$C$20,"PSUV",YA!R$3:R$20)</f>
        <v>67</v>
      </c>
      <c r="T200" s="157">
        <f>SUMIF(YA!$C$3:$C$20,"PSUV",YA!S$3:S$20)</f>
        <v>75</v>
      </c>
      <c r="U200" s="157">
        <f>SUMIF(YA!$C$3:$C$20,"PSUV",YA!T$3:T$20)</f>
        <v>44</v>
      </c>
      <c r="V200" s="157">
        <f>SUMIF(YA!$C$3:$C$20,"PSUV",YA!U$3:U$20)</f>
        <v>68</v>
      </c>
      <c r="W200" s="157">
        <f>SUMIF(YA!$C$3:$C$20,"PSUV",YA!V$3:V$20)</f>
        <v>35</v>
      </c>
      <c r="X200" s="158">
        <f>SUMIF(YA!$C$3:$C$20,"PSUV",YA!W$3:W$20)</f>
        <v>42</v>
      </c>
    </row>
    <row r="201" spans="2:24" ht="15.75" customHeight="1" x14ac:dyDescent="0.2">
      <c r="B201" s="232"/>
      <c r="C201" s="218"/>
      <c r="D201" s="145" t="s">
        <v>224</v>
      </c>
      <c r="E201" s="146">
        <f>F201/(F200+F201+F202)</f>
        <v>0.51256281407035176</v>
      </c>
      <c r="F201" s="159">
        <f t="shared" si="87"/>
        <v>918</v>
      </c>
      <c r="G201" s="159">
        <f>SUMIF(YA!$C$3:$C$20,"MUD",YA!F$3:F$20)</f>
        <v>0</v>
      </c>
      <c r="H201" s="159">
        <f>SUMIF(YA!$C$3:$C$20,"MUD",YA!G$3:G$20)</f>
        <v>38</v>
      </c>
      <c r="I201" s="159">
        <f>SUMIF(YA!$C$3:$C$20,"MUD",YA!H$3:H$20)</f>
        <v>41</v>
      </c>
      <c r="J201" s="159">
        <f>SUMIF(YA!$C$3:$C$20,"MUD",YA!I$3:I$20)</f>
        <v>21</v>
      </c>
      <c r="K201" s="159">
        <f>SUMIF(YA!$C$3:$C$20,"MUD",YA!J$3:J$20)</f>
        <v>49</v>
      </c>
      <c r="L201" s="159">
        <f>SUMIF(YA!$C$3:$C$20,"MUD",YA!K$3:K$20)</f>
        <v>31</v>
      </c>
      <c r="M201" s="159">
        <f>SUMIF(YA!$C$3:$C$20,"MUD",YA!L$3:L$20)</f>
        <v>47</v>
      </c>
      <c r="N201" s="159">
        <f>SUMIF(YA!$C$3:$C$20,"MUD",YA!M$3:M$20)</f>
        <v>57</v>
      </c>
      <c r="O201" s="159">
        <f>SUMIF(YA!$C$3:$C$20,"MUD",YA!N$3:N$20)</f>
        <v>56</v>
      </c>
      <c r="P201" s="159">
        <f>SUMIF(YA!$C$3:$C$20,"MUD",YA!O$3:O$20)</f>
        <v>48</v>
      </c>
      <c r="Q201" s="159">
        <f>SUMIF(YA!$C$3:$C$20,"MUD",YA!P$3:P$20)</f>
        <v>52</v>
      </c>
      <c r="R201" s="159">
        <f>SUMIF(YA!$C$3:$C$20,"MUD",YA!Q$3:Q$20)</f>
        <v>70</v>
      </c>
      <c r="S201" s="159">
        <f>SUMIF(YA!$C$3:$C$20,"MUD",YA!R$3:R$20)</f>
        <v>70</v>
      </c>
      <c r="T201" s="159">
        <f>SUMIF(YA!$C$3:$C$20,"MUD",YA!S$3:S$20)</f>
        <v>65</v>
      </c>
      <c r="U201" s="159">
        <f>SUMIF(YA!$C$3:$C$20,"MUD",YA!T$3:T$20)</f>
        <v>104</v>
      </c>
      <c r="V201" s="159">
        <f>SUMIF(YA!$C$3:$C$20,"MUD",YA!U$3:U$20)</f>
        <v>80</v>
      </c>
      <c r="W201" s="159">
        <f>SUMIF(YA!$C$3:$C$20,"MUD",YA!V$3:V$20)</f>
        <v>43</v>
      </c>
      <c r="X201" s="160">
        <f>SUMIF(YA!$C$3:$C$20,"MUD",YA!W$3:W$20)</f>
        <v>46</v>
      </c>
    </row>
    <row r="202" spans="2:24" ht="15.75" customHeight="1" thickBot="1" x14ac:dyDescent="0.25">
      <c r="B202" s="233"/>
      <c r="C202" s="221"/>
      <c r="D202" s="161" t="s">
        <v>0</v>
      </c>
      <c r="E202" s="162">
        <f>F202/(F200+F201+F202)</f>
        <v>2.6800670016750419E-2</v>
      </c>
      <c r="F202" s="163">
        <f t="shared" si="87"/>
        <v>48</v>
      </c>
      <c r="G202" s="163">
        <f>SUMIF(YA!$C$3:$C$20,"Otro",YA!F$3:F$20)</f>
        <v>0</v>
      </c>
      <c r="H202" s="163">
        <f>SUMIF(YA!$C$3:$C$20,"Otro",YA!G$3:G$20)</f>
        <v>1</v>
      </c>
      <c r="I202" s="163">
        <f>SUMIF(YA!$C$3:$C$20,"Otro",YA!H$3:H$20)</f>
        <v>0</v>
      </c>
      <c r="J202" s="163">
        <f>SUMIF(YA!$C$3:$C$20,"Otro",YA!I$3:I$20)</f>
        <v>8</v>
      </c>
      <c r="K202" s="163">
        <f>SUMIF(YA!$C$3:$C$20,"Otro",YA!J$3:J$20)</f>
        <v>0</v>
      </c>
      <c r="L202" s="163">
        <f>SUMIF(YA!$C$3:$C$20,"Otro",YA!K$3:K$20)</f>
        <v>0</v>
      </c>
      <c r="M202" s="163">
        <f>SUMIF(YA!$C$3:$C$20,"Otro",YA!L$3:L$20)</f>
        <v>2</v>
      </c>
      <c r="N202" s="163">
        <f>SUMIF(YA!$C$3:$C$20,"Otro",YA!M$3:M$20)</f>
        <v>0</v>
      </c>
      <c r="O202" s="163">
        <f>SUMIF(YA!$C$3:$C$20,"Otro",YA!N$3:N$20)</f>
        <v>2</v>
      </c>
      <c r="P202" s="163">
        <f>SUMIF(YA!$C$3:$C$20,"Otro",YA!O$3:O$20)</f>
        <v>2</v>
      </c>
      <c r="Q202" s="163">
        <f>SUMIF(YA!$C$3:$C$20,"Otro",YA!P$3:P$20)</f>
        <v>5</v>
      </c>
      <c r="R202" s="163">
        <f>SUMIF(YA!$C$3:$C$20,"Otro",YA!Q$3:Q$20)</f>
        <v>1</v>
      </c>
      <c r="S202" s="163">
        <f>SUMIF(YA!$C$3:$C$20,"Otro",YA!R$3:R$20)</f>
        <v>9</v>
      </c>
      <c r="T202" s="163">
        <f>SUMIF(YA!$C$3:$C$20,"Otro",YA!S$3:S$20)</f>
        <v>3</v>
      </c>
      <c r="U202" s="163">
        <f>SUMIF(YA!$C$3:$C$20,"Otro",YA!T$3:T$20)</f>
        <v>2</v>
      </c>
      <c r="V202" s="163">
        <f>SUMIF(YA!$C$3:$C$20,"Otro",YA!U$3:U$20)</f>
        <v>6</v>
      </c>
      <c r="W202" s="163">
        <f>SUMIF(YA!$C$3:$C$20,"Otro",YA!V$3:V$20)</f>
        <v>5</v>
      </c>
      <c r="X202" s="164">
        <f>SUMIF(YA!$C$3:$C$20,"Otro",YA!W$3:W$20)</f>
        <v>2</v>
      </c>
    </row>
    <row r="203" spans="2:24" ht="15.75" customHeight="1" x14ac:dyDescent="0.2">
      <c r="B203" s="231" t="s">
        <v>124</v>
      </c>
      <c r="C203" s="225" t="s">
        <v>231</v>
      </c>
      <c r="D203" s="165" t="s">
        <v>122</v>
      </c>
      <c r="E203" s="166"/>
      <c r="F203" s="167"/>
      <c r="G203" s="167">
        <f>IF(SUM(G206:G208)=0,1,G206)</f>
        <v>39.634912481795489</v>
      </c>
      <c r="H203" s="167">
        <f t="shared" ref="H203:X203" si="88">IF(SUM(H206:H208)=0,0,G203+H206)</f>
        <v>91.544858200861484</v>
      </c>
      <c r="I203" s="167">
        <f t="shared" si="88"/>
        <v>162.341336415802</v>
      </c>
      <c r="J203" s="167">
        <f t="shared" si="88"/>
        <v>229.79902486385714</v>
      </c>
      <c r="K203" s="167">
        <f t="shared" si="88"/>
        <v>297.93050569108414</v>
      </c>
      <c r="L203" s="167">
        <f t="shared" si="88"/>
        <v>375.45718493314223</v>
      </c>
      <c r="M203" s="167">
        <f t="shared" si="88"/>
        <v>446.62713244953181</v>
      </c>
      <c r="N203" s="167">
        <f t="shared" si="88"/>
        <v>514.4154993608048</v>
      </c>
      <c r="O203" s="167">
        <f t="shared" si="88"/>
        <v>574.574091140164</v>
      </c>
      <c r="P203" s="167">
        <f t="shared" si="88"/>
        <v>649.17232897012491</v>
      </c>
      <c r="Q203" s="167">
        <f t="shared" si="88"/>
        <v>710.06826437572533</v>
      </c>
      <c r="R203" s="167">
        <f t="shared" si="88"/>
        <v>763.5234660856496</v>
      </c>
      <c r="S203" s="167">
        <f t="shared" si="88"/>
        <v>820.52903250248244</v>
      </c>
      <c r="T203" s="167">
        <f t="shared" si="88"/>
        <v>892.9506084028402</v>
      </c>
      <c r="U203" s="167">
        <f t="shared" si="88"/>
        <v>970.10500202198909</v>
      </c>
      <c r="V203" s="167">
        <f t="shared" si="88"/>
        <v>1028.8643588973243</v>
      </c>
      <c r="W203" s="167">
        <f t="shared" si="88"/>
        <v>1096.1900449418997</v>
      </c>
      <c r="X203" s="168">
        <f t="shared" si="88"/>
        <v>1166.1500196912657</v>
      </c>
    </row>
    <row r="204" spans="2:24" ht="15.75" customHeight="1" x14ac:dyDescent="0.2">
      <c r="B204" s="232"/>
      <c r="C204" s="226"/>
      <c r="D204" s="117" t="s">
        <v>123</v>
      </c>
      <c r="E204" s="118"/>
      <c r="F204" s="119"/>
      <c r="G204" s="119">
        <f>IF(SUM(G206:G208)=0,1,G207)</f>
        <v>44.139920318654902</v>
      </c>
      <c r="H204" s="119">
        <f t="shared" ref="H204:X204" si="89">IF(SUM(H206:H208)=0,0,G204+H207)</f>
        <v>120.40964308149366</v>
      </c>
      <c r="I204" s="119">
        <f t="shared" si="89"/>
        <v>207.26199471199209</v>
      </c>
      <c r="J204" s="119">
        <f t="shared" si="89"/>
        <v>282.39932521072291</v>
      </c>
      <c r="K204" s="119">
        <f t="shared" si="89"/>
        <v>356.00281933109602</v>
      </c>
      <c r="L204" s="119">
        <f t="shared" si="89"/>
        <v>441.5861384943538</v>
      </c>
      <c r="M204" s="119">
        <f t="shared" si="89"/>
        <v>539.95023528199033</v>
      </c>
      <c r="N204" s="119">
        <f t="shared" si="89"/>
        <v>656.84438569859049</v>
      </c>
      <c r="O204" s="119">
        <f t="shared" si="89"/>
        <v>751.65514118240969</v>
      </c>
      <c r="P204" s="119">
        <f t="shared" si="89"/>
        <v>856.71386212237462</v>
      </c>
      <c r="Q204" s="119">
        <f t="shared" si="89"/>
        <v>947.00544615474053</v>
      </c>
      <c r="R204" s="119">
        <f t="shared" si="89"/>
        <v>1042.5649089312001</v>
      </c>
      <c r="S204" s="119">
        <f t="shared" si="89"/>
        <v>1133.381177969394</v>
      </c>
      <c r="T204" s="119">
        <f t="shared" si="89"/>
        <v>1231.4218538687826</v>
      </c>
      <c r="U204" s="119">
        <f t="shared" si="89"/>
        <v>1321.3275608997537</v>
      </c>
      <c r="V204" s="119">
        <f t="shared" si="89"/>
        <v>1394.0921604093662</v>
      </c>
      <c r="W204" s="119">
        <f t="shared" si="89"/>
        <v>1451.1799389614812</v>
      </c>
      <c r="X204" s="132">
        <f t="shared" si="89"/>
        <v>1549.9227053948775</v>
      </c>
    </row>
    <row r="205" spans="2:24" ht="15.75" customHeight="1" thickBot="1" x14ac:dyDescent="0.25">
      <c r="B205" s="232"/>
      <c r="C205" s="227"/>
      <c r="D205" s="120" t="s">
        <v>0</v>
      </c>
      <c r="E205" s="121"/>
      <c r="F205" s="122"/>
      <c r="G205" s="122">
        <f>IF(SUM(G206:G208)=0,1,G208)</f>
        <v>0.82459663741904332</v>
      </c>
      <c r="H205" s="122">
        <f t="shared" ref="H205:X205" si="90">IF(SUM(H206:H208)=0,0,G205+H208)</f>
        <v>1.7035865415705964</v>
      </c>
      <c r="I205" s="122">
        <f t="shared" si="90"/>
        <v>4.5306725602433788</v>
      </c>
      <c r="J205" s="122">
        <f t="shared" si="90"/>
        <v>5.7834537863176099</v>
      </c>
      <c r="K205" s="122">
        <f t="shared" si="90"/>
        <v>7.5363513097995547</v>
      </c>
      <c r="L205" s="122">
        <f t="shared" si="90"/>
        <v>9.2379898697909564</v>
      </c>
      <c r="M205" s="122">
        <f t="shared" si="90"/>
        <v>9.9503533414800263</v>
      </c>
      <c r="N205" s="122">
        <f t="shared" si="90"/>
        <v>16.950263034780853</v>
      </c>
      <c r="O205" s="122">
        <f t="shared" si="90"/>
        <v>17.509049612297922</v>
      </c>
      <c r="P205" s="122">
        <f t="shared" si="90"/>
        <v>19.466824402367884</v>
      </c>
      <c r="Q205" s="122">
        <f t="shared" si="90"/>
        <v>21.897100582279975</v>
      </c>
      <c r="R205" s="122">
        <f t="shared" si="90"/>
        <v>25.133177712130436</v>
      </c>
      <c r="S205" s="122">
        <f t="shared" si="90"/>
        <v>25.908936927158177</v>
      </c>
      <c r="T205" s="122">
        <f t="shared" si="90"/>
        <v>29.334909662464394</v>
      </c>
      <c r="U205" s="122">
        <f t="shared" si="90"/>
        <v>30.016975897362251</v>
      </c>
      <c r="V205" s="122">
        <f t="shared" si="90"/>
        <v>30.533254450798708</v>
      </c>
      <c r="W205" s="122">
        <f t="shared" si="90"/>
        <v>30.99914759286392</v>
      </c>
      <c r="X205" s="133">
        <f t="shared" si="90"/>
        <v>32.271870740717574</v>
      </c>
    </row>
    <row r="206" spans="2:24" ht="15.75" customHeight="1" x14ac:dyDescent="0.2">
      <c r="B206" s="232"/>
      <c r="C206" s="225" t="s">
        <v>232</v>
      </c>
      <c r="D206" s="165" t="s">
        <v>122</v>
      </c>
      <c r="E206" s="166">
        <f>F206/(F206+F207+F208)</f>
        <v>0.42430997243284935</v>
      </c>
      <c r="F206" s="167">
        <f t="shared" ref="F206:F211" si="91">IF(SUM(G206:X206)=0,1,SUM(G206:X206))</f>
        <v>1166.1500196912657</v>
      </c>
      <c r="G206" s="167">
        <f>ZU!F3*ZU!$B$5+ZU!F6*ZU!$B$8+ZU!F9*ZU!$B$11+ZU!F12*ZU!$B$14+ZU!F15*ZU!$B$17+ZU!F18*ZU!$B$20+ZU!F21*ZU!$B$23+ZU!F24*ZU!$B$26+ZU!F27*ZU!$B$29+ZU!F30*ZU!$B$32+ZU!F33*ZU!$B$35+ZU!F36*ZU!$B$38+ZU!F39*ZU!$B$41+ZU!F42*ZU!$B$44+ZU!F45*ZU!$B$47+ZU!F48*ZU!$B$50+ZU!F51*ZU!$B$53</f>
        <v>39.634912481795489</v>
      </c>
      <c r="H206" s="167">
        <f>ZU!G3*ZU!$B$5+ZU!G6*ZU!$B$8+ZU!G9*ZU!$B$11+ZU!G12*ZU!$B$14+ZU!G15*ZU!$B$17+ZU!G18*ZU!$B$20+ZU!G21*ZU!$B$23+ZU!G24*ZU!$B$26+ZU!G27*ZU!$B$29+ZU!G30*ZU!$B$32+ZU!G33*ZU!$B$35+ZU!G36*ZU!$B$38+ZU!G39*ZU!$B$41+ZU!G42*ZU!$B$44+ZU!G45*ZU!$B$47+ZU!G48*ZU!$B$50+ZU!G51*ZU!$B$53</f>
        <v>51.909945719065988</v>
      </c>
      <c r="I206" s="167">
        <f>ZU!H3*ZU!$B$5+ZU!H6*ZU!$B$8+ZU!H9*ZU!$B$11+ZU!H12*ZU!$B$14+ZU!H15*ZU!$B$17+ZU!H18*ZU!$B$20+ZU!H21*ZU!$B$23+ZU!H24*ZU!$B$26+ZU!H27*ZU!$B$29+ZU!H30*ZU!$B$32+ZU!H33*ZU!$B$35+ZU!H36*ZU!$B$38+ZU!H39*ZU!$B$41+ZU!H42*ZU!$B$44+ZU!H45*ZU!$B$47+ZU!H48*ZU!$B$50+ZU!H51*ZU!$B$53</f>
        <v>70.796478214940507</v>
      </c>
      <c r="J206" s="167">
        <f>ZU!I3*ZU!$B$5+ZU!I6*ZU!$B$8+ZU!I9*ZU!$B$11+ZU!I12*ZU!$B$14+ZU!I15*ZU!$B$17+ZU!I18*ZU!$B$20+ZU!I21*ZU!$B$23+ZU!I24*ZU!$B$26+ZU!I27*ZU!$B$29+ZU!I30*ZU!$B$32+ZU!I33*ZU!$B$35+ZU!I36*ZU!$B$38+ZU!I39*ZU!$B$41+ZU!I42*ZU!$B$44+ZU!I45*ZU!$B$47+ZU!I48*ZU!$B$50+ZU!I51*ZU!$B$53</f>
        <v>67.457688448055137</v>
      </c>
      <c r="K206" s="167">
        <f>ZU!J3*ZU!$B$5+ZU!J6*ZU!$B$8+ZU!J9*ZU!$B$11+ZU!J12*ZU!$B$14+ZU!J15*ZU!$B$17+ZU!J18*ZU!$B$20+ZU!J21*ZU!$B$23+ZU!J24*ZU!$B$26+ZU!J27*ZU!$B$29+ZU!J30*ZU!$B$32+ZU!J33*ZU!$B$35+ZU!J36*ZU!$B$38+ZU!J39*ZU!$B$41+ZU!J42*ZU!$B$44+ZU!J45*ZU!$B$47+ZU!J48*ZU!$B$50+ZU!J51*ZU!$B$53</f>
        <v>68.131480827226966</v>
      </c>
      <c r="L206" s="167">
        <f>ZU!K3*ZU!$B$5+ZU!K6*ZU!$B$8+ZU!K9*ZU!$B$11+ZU!K12*ZU!$B$14+ZU!K15*ZU!$B$17+ZU!K18*ZU!$B$20+ZU!K21*ZU!$B$23+ZU!K24*ZU!$B$26+ZU!K27*ZU!$B$29+ZU!K30*ZU!$B$32+ZU!K33*ZU!$B$35+ZU!K36*ZU!$B$38+ZU!K39*ZU!$B$41+ZU!K42*ZU!$B$44+ZU!K45*ZU!$B$47+ZU!K48*ZU!$B$50+ZU!K51*ZU!$B$53</f>
        <v>77.526679242058066</v>
      </c>
      <c r="M206" s="167">
        <f>ZU!L3*ZU!$B$5+ZU!L6*ZU!$B$8+ZU!L9*ZU!$B$11+ZU!L12*ZU!$B$14+ZU!L15*ZU!$B$17+ZU!L18*ZU!$B$20+ZU!L21*ZU!$B$23+ZU!L24*ZU!$B$26+ZU!L27*ZU!$B$29+ZU!L30*ZU!$B$32+ZU!L33*ZU!$B$35+ZU!L36*ZU!$B$38+ZU!L39*ZU!$B$41+ZU!L42*ZU!$B$44+ZU!L45*ZU!$B$47+ZU!L48*ZU!$B$50+ZU!L51*ZU!$B$53</f>
        <v>71.169947516389556</v>
      </c>
      <c r="N206" s="167">
        <f>ZU!M3*ZU!$B$5+ZU!M6*ZU!$B$8+ZU!M9*ZU!$B$11+ZU!M12*ZU!$B$14+ZU!M15*ZU!$B$17+ZU!M18*ZU!$B$20+ZU!M21*ZU!$B$23+ZU!M24*ZU!$B$26+ZU!M27*ZU!$B$29+ZU!M30*ZU!$B$32+ZU!M33*ZU!$B$35+ZU!M36*ZU!$B$38+ZU!M39*ZU!$B$41+ZU!M42*ZU!$B$44+ZU!M45*ZU!$B$47+ZU!M48*ZU!$B$50+ZU!M51*ZU!$B$53</f>
        <v>67.788366911273002</v>
      </c>
      <c r="O206" s="167">
        <f>ZU!N3*ZU!$B$5+ZU!N6*ZU!$B$8+ZU!N9*ZU!$B$11+ZU!N12*ZU!$B$14+ZU!N15*ZU!$B$17+ZU!N18*ZU!$B$20+ZU!N21*ZU!$B$23+ZU!N24*ZU!$B$26+ZU!N27*ZU!$B$29+ZU!N30*ZU!$B$32+ZU!N33*ZU!$B$35+ZU!N36*ZU!$B$38+ZU!N39*ZU!$B$41+ZU!N42*ZU!$B$44+ZU!N45*ZU!$B$47+ZU!N48*ZU!$B$50+ZU!N51*ZU!$B$53</f>
        <v>60.158591779359142</v>
      </c>
      <c r="P206" s="167">
        <f>ZU!O3*ZU!$B$5+ZU!O6*ZU!$B$8+ZU!O9*ZU!$B$11+ZU!O12*ZU!$B$14+ZU!O15*ZU!$B$17+ZU!O18*ZU!$B$20+ZU!O21*ZU!$B$23+ZU!O24*ZU!$B$26+ZU!O27*ZU!$B$29+ZU!O30*ZU!$B$32+ZU!O33*ZU!$B$35+ZU!O36*ZU!$B$38+ZU!O39*ZU!$B$41+ZU!O42*ZU!$B$44+ZU!O45*ZU!$B$47+ZU!O48*ZU!$B$50+ZU!O51*ZU!$B$53</f>
        <v>74.598237829960851</v>
      </c>
      <c r="Q206" s="167">
        <f>ZU!P3*ZU!$B$5+ZU!P6*ZU!$B$8+ZU!P9*ZU!$B$11+ZU!P12*ZU!$B$14+ZU!P15*ZU!$B$17+ZU!P18*ZU!$B$20+ZU!P21*ZU!$B$23+ZU!P24*ZU!$B$26+ZU!P27*ZU!$B$29+ZU!P30*ZU!$B$32+ZU!P33*ZU!$B$35+ZU!P36*ZU!$B$38+ZU!P39*ZU!$B$41+ZU!P42*ZU!$B$44+ZU!P45*ZU!$B$47+ZU!P48*ZU!$B$50+ZU!P51*ZU!$B$53</f>
        <v>60.895935405600419</v>
      </c>
      <c r="R206" s="167">
        <f>ZU!Q3*ZU!$B$5+ZU!Q6*ZU!$B$8+ZU!Q9*ZU!$B$11+ZU!Q12*ZU!$B$14+ZU!Q15*ZU!$B$17+ZU!Q18*ZU!$B$20+ZU!Q21*ZU!$B$23+ZU!Q24*ZU!$B$26+ZU!Q27*ZU!$B$29+ZU!Q30*ZU!$B$32+ZU!Q33*ZU!$B$35+ZU!Q36*ZU!$B$38+ZU!Q39*ZU!$B$41+ZU!Q42*ZU!$B$44+ZU!Q45*ZU!$B$47+ZU!Q48*ZU!$B$50+ZU!Q51*ZU!$B$53</f>
        <v>53.455201709924303</v>
      </c>
      <c r="S206" s="167">
        <f>ZU!R3*ZU!$B$5+ZU!R6*ZU!$B$8+ZU!R9*ZU!$B$11+ZU!R12*ZU!$B$14+ZU!R15*ZU!$B$17+ZU!R18*ZU!$B$20+ZU!R21*ZU!$B$23+ZU!R24*ZU!$B$26+ZU!R27*ZU!$B$29+ZU!R30*ZU!$B$32+ZU!R33*ZU!$B$35+ZU!R36*ZU!$B$38+ZU!R39*ZU!$B$41+ZU!R42*ZU!$B$44+ZU!R45*ZU!$B$47+ZU!R48*ZU!$B$50+ZU!R51*ZU!$B$53</f>
        <v>57.005566416832806</v>
      </c>
      <c r="T206" s="167">
        <f>ZU!S3*ZU!$B$5+ZU!S6*ZU!$B$8+ZU!S9*ZU!$B$11+ZU!S12*ZU!$B$14+ZU!S15*ZU!$B$17+ZU!S18*ZU!$B$20+ZU!S21*ZU!$B$23+ZU!S24*ZU!$B$26+ZU!S27*ZU!$B$29+ZU!S30*ZU!$B$32+ZU!S33*ZU!$B$35+ZU!S36*ZU!$B$38+ZU!S39*ZU!$B$41+ZU!S42*ZU!$B$44+ZU!S45*ZU!$B$47+ZU!S48*ZU!$B$50+ZU!S51*ZU!$B$53</f>
        <v>72.421575900357794</v>
      </c>
      <c r="U206" s="167">
        <f>ZU!T3*ZU!$B$5+ZU!T6*ZU!$B$8+ZU!T9*ZU!$B$11+ZU!T12*ZU!$B$14+ZU!T15*ZU!$B$17+ZU!T18*ZU!$B$20+ZU!T21*ZU!$B$23+ZU!T24*ZU!$B$26+ZU!T27*ZU!$B$29+ZU!T30*ZU!$B$32+ZU!T33*ZU!$B$35+ZU!T36*ZU!$B$38+ZU!T39*ZU!$B$41+ZU!T42*ZU!$B$44+ZU!T45*ZU!$B$47+ZU!T48*ZU!$B$50+ZU!T51*ZU!$B$53</f>
        <v>77.154393619148905</v>
      </c>
      <c r="V206" s="167">
        <f>ZU!U3*ZU!$B$5+ZU!U6*ZU!$B$8+ZU!U9*ZU!$B$11+ZU!U12*ZU!$B$14+ZU!U15*ZU!$B$17+ZU!U18*ZU!$B$20+ZU!U21*ZU!$B$23+ZU!U24*ZU!$B$26+ZU!U27*ZU!$B$29+ZU!U30*ZU!$B$32+ZU!U33*ZU!$B$35+ZU!U36*ZU!$B$38+ZU!U39*ZU!$B$41+ZU!U42*ZU!$B$44+ZU!U45*ZU!$B$47+ZU!U48*ZU!$B$50+ZU!U51*ZU!$B$53</f>
        <v>58.759356875335335</v>
      </c>
      <c r="W206" s="167">
        <f>ZU!V3*ZU!$B$5+ZU!V6*ZU!$B$8+ZU!V9*ZU!$B$11+ZU!V12*ZU!$B$14+ZU!V15*ZU!$B$17+ZU!V18*ZU!$B$20+ZU!V21*ZU!$B$23+ZU!V24*ZU!$B$26+ZU!V27*ZU!$B$29+ZU!V30*ZU!$B$32+ZU!V33*ZU!$B$35+ZU!V36*ZU!$B$38+ZU!V39*ZU!$B$41+ZU!V42*ZU!$B$44+ZU!V45*ZU!$B$47+ZU!V48*ZU!$B$50+ZU!V51*ZU!$B$53</f>
        <v>67.325686044575392</v>
      </c>
      <c r="X206" s="168">
        <f>ZU!W3*ZU!$B$5+ZU!W6*ZU!$B$8+ZU!W9*ZU!$B$11+ZU!W12*ZU!$B$14+ZU!W15*ZU!$B$17+ZU!W18*ZU!$B$20+ZU!W21*ZU!$B$23+ZU!W24*ZU!$B$26+ZU!W27*ZU!$B$29+ZU!W30*ZU!$B$32+ZU!W33*ZU!$B$35+ZU!W36*ZU!$B$38+ZU!W39*ZU!$B$41+ZU!W42*ZU!$B$44+ZU!W45*ZU!$B$47+ZU!W48*ZU!$B$50+ZU!W51*ZU!$B$53</f>
        <v>69.95997474936587</v>
      </c>
    </row>
    <row r="207" spans="2:24" ht="15.75" customHeight="1" x14ac:dyDescent="0.2">
      <c r="B207" s="232"/>
      <c r="C207" s="226"/>
      <c r="D207" s="117" t="s">
        <v>123</v>
      </c>
      <c r="E207" s="118">
        <f>F207/(F206+F207+F208)</f>
        <v>0.56394773339133308</v>
      </c>
      <c r="F207" s="119">
        <f t="shared" si="91"/>
        <v>1549.9227053948775</v>
      </c>
      <c r="G207" s="119">
        <f>ZU!F4*ZU!$B$5+ZU!F7*ZU!$B$8+ZU!F10*ZU!$B$11+ZU!F13*ZU!$B$14+ZU!F16*ZU!$B$17+ZU!F19*ZU!$B$20+ZU!F22*ZU!$B$23+ZU!F25*ZU!$B$26+ZU!F28*ZU!$B$29+ZU!F31*ZU!$B$32+ZU!F34*ZU!$B$35+ZU!F37*ZU!$B$38+ZU!F40*ZU!$B$41+ZU!F43*ZU!$B$44+ZU!F46*ZU!$B$47+ZU!F49*ZU!$B$50+ZU!F52*ZU!$B$53</f>
        <v>44.139920318654902</v>
      </c>
      <c r="H207" s="119">
        <f>ZU!G4*ZU!$B$5+ZU!G7*ZU!$B$8+ZU!G10*ZU!$B$11+ZU!G13*ZU!$B$14+ZU!G16*ZU!$B$17+ZU!G19*ZU!$B$20+ZU!G22*ZU!$B$23+ZU!G25*ZU!$B$26+ZU!G28*ZU!$B$29+ZU!G31*ZU!$B$32+ZU!G34*ZU!$B$35+ZU!G37*ZU!$B$38+ZU!G40*ZU!$B$41+ZU!G43*ZU!$B$44+ZU!G46*ZU!$B$47+ZU!G49*ZU!$B$50+ZU!G52*ZU!$B$53</f>
        <v>76.269722762838754</v>
      </c>
      <c r="I207" s="119">
        <f>ZU!H4*ZU!$B$5+ZU!H7*ZU!$B$8+ZU!H10*ZU!$B$11+ZU!H13*ZU!$B$14+ZU!H16*ZU!$B$17+ZU!H19*ZU!$B$20+ZU!H22*ZU!$B$23+ZU!H25*ZU!$B$26+ZU!H28*ZU!$B$29+ZU!H31*ZU!$B$32+ZU!H34*ZU!$B$35+ZU!H37*ZU!$B$38+ZU!H40*ZU!$B$41+ZU!H43*ZU!$B$44+ZU!H46*ZU!$B$47+ZU!H49*ZU!$B$50+ZU!H52*ZU!$B$53</f>
        <v>86.852351630498447</v>
      </c>
      <c r="J207" s="119">
        <f>ZU!I4*ZU!$B$5+ZU!I7*ZU!$B$8+ZU!I10*ZU!$B$11+ZU!I13*ZU!$B$14+ZU!I16*ZU!$B$17+ZU!I19*ZU!$B$20+ZU!I22*ZU!$B$23+ZU!I25*ZU!$B$26+ZU!I28*ZU!$B$29+ZU!I31*ZU!$B$32+ZU!I34*ZU!$B$35+ZU!I37*ZU!$B$38+ZU!I40*ZU!$B$41+ZU!I43*ZU!$B$44+ZU!I46*ZU!$B$47+ZU!I49*ZU!$B$50+ZU!I52*ZU!$B$53</f>
        <v>75.137330498730833</v>
      </c>
      <c r="K207" s="119">
        <f>ZU!J4*ZU!$B$5+ZU!J7*ZU!$B$8+ZU!J10*ZU!$B$11+ZU!J13*ZU!$B$14+ZU!J16*ZU!$B$17+ZU!J19*ZU!$B$20+ZU!J22*ZU!$B$23+ZU!J25*ZU!$B$26+ZU!J28*ZU!$B$29+ZU!J31*ZU!$B$32+ZU!J34*ZU!$B$35+ZU!J37*ZU!$B$38+ZU!J40*ZU!$B$41+ZU!J43*ZU!$B$44+ZU!J46*ZU!$B$47+ZU!J49*ZU!$B$50+ZU!J52*ZU!$B$53</f>
        <v>73.603494120373099</v>
      </c>
      <c r="L207" s="119">
        <f>ZU!K4*ZU!$B$5+ZU!K7*ZU!$B$8+ZU!K10*ZU!$B$11+ZU!K13*ZU!$B$14+ZU!K16*ZU!$B$17+ZU!K19*ZU!$B$20+ZU!K22*ZU!$B$23+ZU!K25*ZU!$B$26+ZU!K28*ZU!$B$29+ZU!K31*ZU!$B$32+ZU!K34*ZU!$B$35+ZU!K37*ZU!$B$38+ZU!K40*ZU!$B$41+ZU!K43*ZU!$B$44+ZU!K46*ZU!$B$47+ZU!K49*ZU!$B$50+ZU!K52*ZU!$B$53</f>
        <v>85.583319163257769</v>
      </c>
      <c r="M207" s="119">
        <f>ZU!L4*ZU!$B$5+ZU!L7*ZU!$B$8+ZU!L10*ZU!$B$11+ZU!L13*ZU!$B$14+ZU!L16*ZU!$B$17+ZU!L19*ZU!$B$20+ZU!L22*ZU!$B$23+ZU!L25*ZU!$B$26+ZU!L28*ZU!$B$29+ZU!L31*ZU!$B$32+ZU!L34*ZU!$B$35+ZU!L37*ZU!$B$38+ZU!L40*ZU!$B$41+ZU!L43*ZU!$B$44+ZU!L46*ZU!$B$47+ZU!L49*ZU!$B$50+ZU!L52*ZU!$B$53</f>
        <v>98.364096787636527</v>
      </c>
      <c r="N207" s="119">
        <f>ZU!M4*ZU!$B$5+ZU!M7*ZU!$B$8+ZU!M10*ZU!$B$11+ZU!M13*ZU!$B$14+ZU!M16*ZU!$B$17+ZU!M19*ZU!$B$20+ZU!M22*ZU!$B$23+ZU!M25*ZU!$B$26+ZU!M28*ZU!$B$29+ZU!M31*ZU!$B$32+ZU!M34*ZU!$B$35+ZU!M37*ZU!$B$38+ZU!M40*ZU!$B$41+ZU!M43*ZU!$B$44+ZU!M46*ZU!$B$47+ZU!M49*ZU!$B$50+ZU!M52*ZU!$B$53</f>
        <v>116.8941504166002</v>
      </c>
      <c r="O207" s="119">
        <f>ZU!N4*ZU!$B$5+ZU!N7*ZU!$B$8+ZU!N10*ZU!$B$11+ZU!N13*ZU!$B$14+ZU!N16*ZU!$B$17+ZU!N19*ZU!$B$20+ZU!N22*ZU!$B$23+ZU!N25*ZU!$B$26+ZU!N28*ZU!$B$29+ZU!N31*ZU!$B$32+ZU!N34*ZU!$B$35+ZU!N37*ZU!$B$38+ZU!N40*ZU!$B$41+ZU!N43*ZU!$B$44+ZU!N46*ZU!$B$47+ZU!N49*ZU!$B$50+ZU!N52*ZU!$B$53</f>
        <v>94.81075548381925</v>
      </c>
      <c r="P207" s="119">
        <f>ZU!O4*ZU!$B$5+ZU!O7*ZU!$B$8+ZU!O10*ZU!$B$11+ZU!O13*ZU!$B$14+ZU!O16*ZU!$B$17+ZU!O19*ZU!$B$20+ZU!O22*ZU!$B$23+ZU!O25*ZU!$B$26+ZU!O28*ZU!$B$29+ZU!O31*ZU!$B$32+ZU!O34*ZU!$B$35+ZU!O37*ZU!$B$38+ZU!O40*ZU!$B$41+ZU!O43*ZU!$B$44+ZU!O46*ZU!$B$47+ZU!O49*ZU!$B$50+ZU!O52*ZU!$B$53</f>
        <v>105.05872093996496</v>
      </c>
      <c r="Q207" s="119">
        <f>ZU!P4*ZU!$B$5+ZU!P7*ZU!$B$8+ZU!P10*ZU!$B$11+ZU!P13*ZU!$B$14+ZU!P16*ZU!$B$17+ZU!P19*ZU!$B$20+ZU!P22*ZU!$B$23+ZU!P25*ZU!$B$26+ZU!P28*ZU!$B$29+ZU!P31*ZU!$B$32+ZU!P34*ZU!$B$35+ZU!P37*ZU!$B$38+ZU!P40*ZU!$B$41+ZU!P43*ZU!$B$44+ZU!P46*ZU!$B$47+ZU!P49*ZU!$B$50+ZU!P52*ZU!$B$53</f>
        <v>90.291584032365918</v>
      </c>
      <c r="R207" s="119">
        <f>ZU!Q4*ZU!$B$5+ZU!Q7*ZU!$B$8+ZU!Q10*ZU!$B$11+ZU!Q13*ZU!$B$14+ZU!Q16*ZU!$B$17+ZU!Q19*ZU!$B$20+ZU!Q22*ZU!$B$23+ZU!Q25*ZU!$B$26+ZU!Q28*ZU!$B$29+ZU!Q31*ZU!$B$32+ZU!Q34*ZU!$B$35+ZU!Q37*ZU!$B$38+ZU!Q40*ZU!$B$41+ZU!Q43*ZU!$B$44+ZU!Q46*ZU!$B$47+ZU!Q49*ZU!$B$50+ZU!Q52*ZU!$B$53</f>
        <v>95.55946277645964</v>
      </c>
      <c r="S207" s="119">
        <f>ZU!R4*ZU!$B$5+ZU!R7*ZU!$B$8+ZU!R10*ZU!$B$11+ZU!R13*ZU!$B$14+ZU!R16*ZU!$B$17+ZU!R19*ZU!$B$20+ZU!R22*ZU!$B$23+ZU!R25*ZU!$B$26+ZU!R28*ZU!$B$29+ZU!R31*ZU!$B$32+ZU!R34*ZU!$B$35+ZU!R37*ZU!$B$38+ZU!R40*ZU!$B$41+ZU!R43*ZU!$B$44+ZU!R46*ZU!$B$47+ZU!R49*ZU!$B$50+ZU!R52*ZU!$B$53</f>
        <v>90.816269038193994</v>
      </c>
      <c r="T207" s="119">
        <f>ZU!S4*ZU!$B$5+ZU!S7*ZU!$B$8+ZU!S10*ZU!$B$11+ZU!S13*ZU!$B$14+ZU!S16*ZU!$B$17+ZU!S19*ZU!$B$20+ZU!S22*ZU!$B$23+ZU!S25*ZU!$B$26+ZU!S28*ZU!$B$29+ZU!S31*ZU!$B$32+ZU!S34*ZU!$B$35+ZU!S37*ZU!$B$38+ZU!S40*ZU!$B$41+ZU!S43*ZU!$B$44+ZU!S46*ZU!$B$47+ZU!S49*ZU!$B$50+ZU!S52*ZU!$B$53</f>
        <v>98.040675899388646</v>
      </c>
      <c r="U207" s="119">
        <f>ZU!T4*ZU!$B$5+ZU!T7*ZU!$B$8+ZU!T10*ZU!$B$11+ZU!T13*ZU!$B$14+ZU!T16*ZU!$B$17+ZU!T19*ZU!$B$20+ZU!T22*ZU!$B$23+ZU!T25*ZU!$B$26+ZU!T28*ZU!$B$29+ZU!T31*ZU!$B$32+ZU!T34*ZU!$B$35+ZU!T37*ZU!$B$38+ZU!T40*ZU!$B$41+ZU!T43*ZU!$B$44+ZU!T46*ZU!$B$47+ZU!T49*ZU!$B$50+ZU!T52*ZU!$B$53</f>
        <v>89.905707030971229</v>
      </c>
      <c r="V207" s="119">
        <f>ZU!U4*ZU!$B$5+ZU!U7*ZU!$B$8+ZU!U10*ZU!$B$11+ZU!U13*ZU!$B$14+ZU!U16*ZU!$B$17+ZU!U19*ZU!$B$20+ZU!U22*ZU!$B$23+ZU!U25*ZU!$B$26+ZU!U28*ZU!$B$29+ZU!U31*ZU!$B$32+ZU!U34*ZU!$B$35+ZU!U37*ZU!$B$38+ZU!U40*ZU!$B$41+ZU!U43*ZU!$B$44+ZU!U46*ZU!$B$47+ZU!U49*ZU!$B$50+ZU!U52*ZU!$B$53</f>
        <v>72.76459950961258</v>
      </c>
      <c r="W207" s="119">
        <f>ZU!V4*ZU!$B$5+ZU!V7*ZU!$B$8+ZU!V10*ZU!$B$11+ZU!V13*ZU!$B$14+ZU!V16*ZU!$B$17+ZU!V19*ZU!$B$20+ZU!V22*ZU!$B$23+ZU!V25*ZU!$B$26+ZU!V28*ZU!$B$29+ZU!V31*ZU!$B$32+ZU!V34*ZU!$B$35+ZU!V37*ZU!$B$38+ZU!V40*ZU!$B$41+ZU!V43*ZU!$B$44+ZU!V46*ZU!$B$47+ZU!V49*ZU!$B$50+ZU!V52*ZU!$B$53</f>
        <v>57.087778552114898</v>
      </c>
      <c r="X207" s="132">
        <f>ZU!W4*ZU!$B$5+ZU!W7*ZU!$B$8+ZU!W10*ZU!$B$11+ZU!W13*ZU!$B$14+ZU!W16*ZU!$B$17+ZU!W19*ZU!$B$20+ZU!W22*ZU!$B$23+ZU!W25*ZU!$B$26+ZU!W28*ZU!$B$29+ZU!W31*ZU!$B$32+ZU!W34*ZU!$B$35+ZU!W37*ZU!$B$38+ZU!W40*ZU!$B$41+ZU!W43*ZU!$B$44+ZU!W46*ZU!$B$47+ZU!W49*ZU!$B$50+ZU!W52*ZU!$B$53</f>
        <v>98.742766433396355</v>
      </c>
    </row>
    <row r="208" spans="2:24" ht="15.75" customHeight="1" thickBot="1" x14ac:dyDescent="0.25">
      <c r="B208" s="232"/>
      <c r="C208" s="227"/>
      <c r="D208" s="120" t="s">
        <v>0</v>
      </c>
      <c r="E208" s="121">
        <f>F208/(F206+F207+F208)</f>
        <v>1.1742294175817618E-2</v>
      </c>
      <c r="F208" s="122">
        <f t="shared" si="91"/>
        <v>32.271870740717574</v>
      </c>
      <c r="G208" s="122">
        <f>ZU!F5*ZU!$B$5+ZU!F8*ZU!$B$8+ZU!F11*ZU!$B$11+ZU!F14*ZU!$B$14+ZU!F17*ZU!$B$17+ZU!F20*ZU!$B$20+ZU!F23*ZU!$B$23+ZU!F26*ZU!$B$26+ZU!F29*ZU!$B$29+ZU!F32*ZU!$B$32+ZU!F35*ZU!$B$35+ZU!F38*ZU!$B$38+ZU!F41*ZU!$B$41+ZU!F44*ZU!$B$44+ZU!F47*ZU!$B$47+ZU!F50*ZU!$B$50+ZU!F53*ZU!$B$53</f>
        <v>0.82459663741904332</v>
      </c>
      <c r="H208" s="122">
        <f>ZU!G5*ZU!$B$5+ZU!G8*ZU!$B$8+ZU!G11*ZU!$B$11+ZU!G14*ZU!$B$14+ZU!G17*ZU!$B$17+ZU!G20*ZU!$B$20+ZU!G23*ZU!$B$23+ZU!G26*ZU!$B$26+ZU!G29*ZU!$B$29+ZU!G32*ZU!$B$32+ZU!G35*ZU!$B$35+ZU!G38*ZU!$B$38+ZU!G41*ZU!$B$41+ZU!G44*ZU!$B$44+ZU!G47*ZU!$B$47+ZU!G50*ZU!$B$50+ZU!G53*ZU!$B$53</f>
        <v>0.87898990415155309</v>
      </c>
      <c r="I208" s="122">
        <f>ZU!H5*ZU!$B$5+ZU!H8*ZU!$B$8+ZU!H11*ZU!$B$11+ZU!H14*ZU!$B$14+ZU!H17*ZU!$B$17+ZU!H20*ZU!$B$20+ZU!H23*ZU!$B$23+ZU!H26*ZU!$B$26+ZU!H29*ZU!$B$29+ZU!H32*ZU!$B$32+ZU!H35*ZU!$B$35+ZU!H38*ZU!$B$38+ZU!H41*ZU!$B$41+ZU!H44*ZU!$B$44+ZU!H47*ZU!$B$47+ZU!H50*ZU!$B$50+ZU!H53*ZU!$B$53</f>
        <v>2.8270860186727824</v>
      </c>
      <c r="J208" s="122">
        <f>ZU!I5*ZU!$B$5+ZU!I8*ZU!$B$8+ZU!I11*ZU!$B$11+ZU!I14*ZU!$B$14+ZU!I17*ZU!$B$17+ZU!I20*ZU!$B$20+ZU!I23*ZU!$B$23+ZU!I26*ZU!$B$26+ZU!I29*ZU!$B$29+ZU!I32*ZU!$B$32+ZU!I35*ZU!$B$35+ZU!I38*ZU!$B$38+ZU!I41*ZU!$B$41+ZU!I44*ZU!$B$44+ZU!I47*ZU!$B$47+ZU!I50*ZU!$B$50+ZU!I53*ZU!$B$53</f>
        <v>1.2527812260742313</v>
      </c>
      <c r="K208" s="122">
        <f>ZU!J5*ZU!$B$5+ZU!J8*ZU!$B$8+ZU!J11*ZU!$B$11+ZU!J14*ZU!$B$14+ZU!J17*ZU!$B$17+ZU!J20*ZU!$B$20+ZU!J23*ZU!$B$23+ZU!J26*ZU!$B$26+ZU!J29*ZU!$B$29+ZU!J32*ZU!$B$32+ZU!J35*ZU!$B$35+ZU!J38*ZU!$B$38+ZU!J41*ZU!$B$41+ZU!J44*ZU!$B$44+ZU!J47*ZU!$B$47+ZU!J50*ZU!$B$50+ZU!J53*ZU!$B$53</f>
        <v>1.7528975234819444</v>
      </c>
      <c r="L208" s="122">
        <f>ZU!K5*ZU!$B$5+ZU!K8*ZU!$B$8+ZU!K11*ZU!$B$11+ZU!K14*ZU!$B$14+ZU!K17*ZU!$B$17+ZU!K20*ZU!$B$20+ZU!K23*ZU!$B$23+ZU!K26*ZU!$B$26+ZU!K29*ZU!$B$29+ZU!K32*ZU!$B$32+ZU!K35*ZU!$B$35+ZU!K38*ZU!$B$38+ZU!K41*ZU!$B$41+ZU!K44*ZU!$B$44+ZU!K47*ZU!$B$47+ZU!K50*ZU!$B$50+ZU!K53*ZU!$B$53</f>
        <v>1.701638559991401</v>
      </c>
      <c r="M208" s="122">
        <f>ZU!L5*ZU!$B$5+ZU!L8*ZU!$B$8+ZU!L11*ZU!$B$11+ZU!L14*ZU!$B$14+ZU!L17*ZU!$B$17+ZU!L20*ZU!$B$20+ZU!L23*ZU!$B$23+ZU!L26*ZU!$B$26+ZU!L29*ZU!$B$29+ZU!L32*ZU!$B$32+ZU!L35*ZU!$B$35+ZU!L38*ZU!$B$38+ZU!L41*ZU!$B$41+ZU!L44*ZU!$B$44+ZU!L47*ZU!$B$47+ZU!L50*ZU!$B$50+ZU!L53*ZU!$B$53</f>
        <v>0.7123634716890701</v>
      </c>
      <c r="N208" s="122">
        <f>ZU!M5*ZU!$B$5+ZU!M8*ZU!$B$8+ZU!M11*ZU!$B$11+ZU!M14*ZU!$B$14+ZU!M17*ZU!$B$17+ZU!M20*ZU!$B$20+ZU!M23*ZU!$B$23+ZU!M26*ZU!$B$26+ZU!M29*ZU!$B$29+ZU!M32*ZU!$B$32+ZU!M35*ZU!$B$35+ZU!M38*ZU!$B$38+ZU!M41*ZU!$B$41+ZU!M44*ZU!$B$44+ZU!M47*ZU!$B$47+ZU!M50*ZU!$B$50+ZU!M53*ZU!$B$53</f>
        <v>6.999909693300828</v>
      </c>
      <c r="O208" s="122">
        <f>ZU!N5*ZU!$B$5+ZU!N8*ZU!$B$8+ZU!N11*ZU!$B$11+ZU!N14*ZU!$B$14+ZU!N17*ZU!$B$17+ZU!N20*ZU!$B$20+ZU!N23*ZU!$B$23+ZU!N26*ZU!$B$26+ZU!N29*ZU!$B$29+ZU!N32*ZU!$B$32+ZU!N35*ZU!$B$35+ZU!N38*ZU!$B$38+ZU!N41*ZU!$B$41+ZU!N44*ZU!$B$44+ZU!N47*ZU!$B$47+ZU!N50*ZU!$B$50+ZU!N53*ZU!$B$53</f>
        <v>0.55878657751706795</v>
      </c>
      <c r="P208" s="122">
        <f>ZU!O5*ZU!$B$5+ZU!O8*ZU!$B$8+ZU!O11*ZU!$B$11+ZU!O14*ZU!$B$14+ZU!O17*ZU!$B$17+ZU!O20*ZU!$B$20+ZU!O23*ZU!$B$23+ZU!O26*ZU!$B$26+ZU!O29*ZU!$B$29+ZU!O32*ZU!$B$32+ZU!O35*ZU!$B$35+ZU!O38*ZU!$B$38+ZU!O41*ZU!$B$41+ZU!O44*ZU!$B$44+ZU!O47*ZU!$B$47+ZU!O50*ZU!$B$50+ZU!O53*ZU!$B$53</f>
        <v>1.9577747900699634</v>
      </c>
      <c r="Q208" s="122">
        <f>ZU!P5*ZU!$B$5+ZU!P8*ZU!$B$8+ZU!P11*ZU!$B$11+ZU!P14*ZU!$B$14+ZU!P17*ZU!$B$17+ZU!P20*ZU!$B$20+ZU!P23*ZU!$B$23+ZU!P26*ZU!$B$26+ZU!P29*ZU!$B$29+ZU!P32*ZU!$B$32+ZU!P35*ZU!$B$35+ZU!P38*ZU!$B$38+ZU!P41*ZU!$B$41+ZU!P44*ZU!$B$44+ZU!P47*ZU!$B$47+ZU!P50*ZU!$B$50+ZU!P53*ZU!$B$53</f>
        <v>2.4302761799120898</v>
      </c>
      <c r="R208" s="122">
        <f>ZU!Q5*ZU!$B$5+ZU!Q8*ZU!$B$8+ZU!Q11*ZU!$B$11+ZU!Q14*ZU!$B$14+ZU!Q17*ZU!$B$17+ZU!Q20*ZU!$B$20+ZU!Q23*ZU!$B$23+ZU!Q26*ZU!$B$26+ZU!Q29*ZU!$B$29+ZU!Q32*ZU!$B$32+ZU!Q35*ZU!$B$35+ZU!Q38*ZU!$B$38+ZU!Q41*ZU!$B$41+ZU!Q44*ZU!$B$44+ZU!Q47*ZU!$B$47+ZU!Q50*ZU!$B$50+ZU!Q53*ZU!$B$53</f>
        <v>3.2360771298504605</v>
      </c>
      <c r="S208" s="122">
        <f>ZU!R5*ZU!$B$5+ZU!R8*ZU!$B$8+ZU!R11*ZU!$B$11+ZU!R14*ZU!$B$14+ZU!R17*ZU!$B$17+ZU!R20*ZU!$B$20+ZU!R23*ZU!$B$23+ZU!R26*ZU!$B$26+ZU!R29*ZU!$B$29+ZU!R32*ZU!$B$32+ZU!R35*ZU!$B$35+ZU!R38*ZU!$B$38+ZU!R41*ZU!$B$41+ZU!R44*ZU!$B$44+ZU!R47*ZU!$B$47+ZU!R50*ZU!$B$50+ZU!R53*ZU!$B$53</f>
        <v>0.77575921502773959</v>
      </c>
      <c r="T208" s="122">
        <f>ZU!S5*ZU!$B$5+ZU!S8*ZU!$B$8+ZU!S11*ZU!$B$11+ZU!S14*ZU!$B$14+ZU!S17*ZU!$B$17+ZU!S20*ZU!$B$20+ZU!S23*ZU!$B$23+ZU!S26*ZU!$B$26+ZU!S29*ZU!$B$29+ZU!S32*ZU!$B$32+ZU!S35*ZU!$B$35+ZU!S38*ZU!$B$38+ZU!S41*ZU!$B$41+ZU!S44*ZU!$B$44+ZU!S47*ZU!$B$47+ZU!S50*ZU!$B$50+ZU!S53*ZU!$B$53</f>
        <v>3.4259727353062188</v>
      </c>
      <c r="U208" s="122">
        <f>ZU!T5*ZU!$B$5+ZU!T8*ZU!$B$8+ZU!T11*ZU!$B$11+ZU!T14*ZU!$B$14+ZU!T17*ZU!$B$17+ZU!T20*ZU!$B$20+ZU!T23*ZU!$B$23+ZU!T26*ZU!$B$26+ZU!T29*ZU!$B$29+ZU!T32*ZU!$B$32+ZU!T35*ZU!$B$35+ZU!T38*ZU!$B$38+ZU!T41*ZU!$B$41+ZU!T44*ZU!$B$44+ZU!T47*ZU!$B$47+ZU!T50*ZU!$B$50+ZU!T53*ZU!$B$53</f>
        <v>0.68206623489785645</v>
      </c>
      <c r="V208" s="122">
        <f>ZU!U5*ZU!$B$5+ZU!U8*ZU!$B$8+ZU!U11*ZU!$B$11+ZU!U14*ZU!$B$14+ZU!U17*ZU!$B$17+ZU!U20*ZU!$B$20+ZU!U23*ZU!$B$23+ZU!U26*ZU!$B$26+ZU!U29*ZU!$B$29+ZU!U32*ZU!$B$32+ZU!U35*ZU!$B$35+ZU!U38*ZU!$B$38+ZU!U41*ZU!$B$41+ZU!U44*ZU!$B$44+ZU!U47*ZU!$B$47+ZU!U50*ZU!$B$50+ZU!U53*ZU!$B$53</f>
        <v>0.51627855343645623</v>
      </c>
      <c r="W208" s="122">
        <f>ZU!V5*ZU!$B$5+ZU!V8*ZU!$B$8+ZU!V11*ZU!$B$11+ZU!V14*ZU!$B$14+ZU!V17*ZU!$B$17+ZU!V20*ZU!$B$20+ZU!V23*ZU!$B$23+ZU!V26*ZU!$B$26+ZU!V29*ZU!$B$29+ZU!V32*ZU!$B$32+ZU!V35*ZU!$B$35+ZU!V38*ZU!$B$38+ZU!V41*ZU!$B$41+ZU!V44*ZU!$B$44+ZU!V47*ZU!$B$47+ZU!V50*ZU!$B$50+ZU!V53*ZU!$B$53</f>
        <v>0.46589314206521287</v>
      </c>
      <c r="X208" s="133">
        <f>ZU!W5*ZU!$B$5+ZU!W8*ZU!$B$8+ZU!W11*ZU!$B$11+ZU!W14*ZU!$B$14+ZU!W17*ZU!$B$17+ZU!W20*ZU!$B$20+ZU!W23*ZU!$B$23+ZU!W26*ZU!$B$26+ZU!W29*ZU!$B$29+ZU!W32*ZU!$B$32+ZU!W35*ZU!$B$35+ZU!W38*ZU!$B$38+ZU!W41*ZU!$B$41+ZU!W44*ZU!$B$44+ZU!W47*ZU!$B$47+ZU!W50*ZU!$B$50+ZU!W53*ZU!$B$53</f>
        <v>1.272723147853652</v>
      </c>
    </row>
    <row r="209" spans="2:24" ht="15.75" customHeight="1" x14ac:dyDescent="0.2">
      <c r="B209" s="232"/>
      <c r="C209" s="225" t="s">
        <v>111</v>
      </c>
      <c r="D209" s="165" t="s">
        <v>122</v>
      </c>
      <c r="E209" s="166">
        <f>F209/(F209+F210+F211)</f>
        <v>0.46285924834193071</v>
      </c>
      <c r="F209" s="167">
        <f t="shared" si="91"/>
        <v>6281</v>
      </c>
      <c r="G209" s="199">
        <f>SUMIF(ZU!$C$3:$C$53,"PSUV",ZU!F$3:F$53)</f>
        <v>224</v>
      </c>
      <c r="H209" s="199">
        <f>SUMIF(ZU!$C$3:$C$53,"PSUV",ZU!G$3:G$53)</f>
        <v>301</v>
      </c>
      <c r="I209" s="199">
        <f>SUMIF(ZU!$C$3:$C$53,"PSUV",ZU!H$3:H$53)</f>
        <v>350</v>
      </c>
      <c r="J209" s="199">
        <f>SUMIF(ZU!$C$3:$C$53,"PSUV",ZU!I$3:I$53)</f>
        <v>335</v>
      </c>
      <c r="K209" s="199">
        <f>SUMIF(ZU!$C$3:$C$53,"PSUV",ZU!J$3:J$53)</f>
        <v>374</v>
      </c>
      <c r="L209" s="199">
        <f>SUMIF(ZU!$C$3:$C$53,"PSUV",ZU!K$3:K$53)</f>
        <v>377</v>
      </c>
      <c r="M209" s="199">
        <f>SUMIF(ZU!$C$3:$C$53,"PSUV",ZU!L$3:L$53)</f>
        <v>400</v>
      </c>
      <c r="N209" s="199">
        <f>SUMIF(ZU!$C$3:$C$53,"PSUV",ZU!M$3:M$53)</f>
        <v>386</v>
      </c>
      <c r="O209" s="199">
        <f>SUMIF(ZU!$C$3:$C$53,"PSUV",ZU!N$3:N$53)</f>
        <v>388</v>
      </c>
      <c r="P209" s="199">
        <f>SUMIF(ZU!$C$3:$C$53,"PSUV",ZU!O$3:O$53)</f>
        <v>405</v>
      </c>
      <c r="Q209" s="199">
        <f>SUMIF(ZU!$C$3:$C$53,"PSUV",ZU!P$3:P$53)</f>
        <v>349</v>
      </c>
      <c r="R209" s="199">
        <f>SUMIF(ZU!$C$3:$C$53,"PSUV",ZU!Q$3:Q$53)</f>
        <v>315</v>
      </c>
      <c r="S209" s="199">
        <f>SUMIF(ZU!$C$3:$C$53,"PSUV",ZU!R$3:R$53)</f>
        <v>327</v>
      </c>
      <c r="T209" s="199">
        <f>SUMIF(ZU!$C$3:$C$53,"PSUV",ZU!S$3:S$53)</f>
        <v>358</v>
      </c>
      <c r="U209" s="199">
        <f>SUMIF(ZU!$C$3:$C$53,"PSUV",ZU!T$3:T$53)</f>
        <v>349</v>
      </c>
      <c r="V209" s="199">
        <f>SUMIF(ZU!$C$3:$C$53,"PSUV",ZU!U$3:U$53)</f>
        <v>319</v>
      </c>
      <c r="W209" s="199">
        <f>SUMIF(ZU!$C$3:$C$53,"PSUV",ZU!V$3:V$53)</f>
        <v>364</v>
      </c>
      <c r="X209" s="199">
        <f>SUMIF(ZU!$C$3:$C$53,"PSUV",ZU!W$3:W$53)</f>
        <v>360</v>
      </c>
    </row>
    <row r="210" spans="2:24" ht="15.75" customHeight="1" x14ac:dyDescent="0.2">
      <c r="B210" s="232"/>
      <c r="C210" s="226"/>
      <c r="D210" s="117" t="s">
        <v>123</v>
      </c>
      <c r="E210" s="118">
        <f>F210/(F209+F210+F211)</f>
        <v>0.52601326455416364</v>
      </c>
      <c r="F210" s="119">
        <f t="shared" si="91"/>
        <v>7138</v>
      </c>
      <c r="G210" s="127">
        <f>SUMIF(ZU!$C$3:$C$53,"MUD",ZU!F$3:F$53)</f>
        <v>217</v>
      </c>
      <c r="H210" s="127">
        <f>SUMIF(ZU!$C$3:$C$53,"MUD",ZU!G$3:G$53)</f>
        <v>385</v>
      </c>
      <c r="I210" s="127">
        <f>SUMIF(ZU!$C$3:$C$53,"MUD",ZU!H$3:H$53)</f>
        <v>391</v>
      </c>
      <c r="J210" s="127">
        <f>SUMIF(ZU!$C$3:$C$53,"MUD",ZU!I$3:I$53)</f>
        <v>400</v>
      </c>
      <c r="K210" s="127">
        <f>SUMIF(ZU!$C$3:$C$53,"MUD",ZU!J$3:J$53)</f>
        <v>375</v>
      </c>
      <c r="L210" s="127">
        <f>SUMIF(ZU!$C$3:$C$53,"MUD",ZU!K$3:K$53)</f>
        <v>396</v>
      </c>
      <c r="M210" s="127">
        <f>SUMIF(ZU!$C$3:$C$53,"MUD",ZU!L$3:L$53)</f>
        <v>445</v>
      </c>
      <c r="N210" s="127">
        <f>SUMIF(ZU!$C$3:$C$53,"MUD",ZU!M$3:M$53)</f>
        <v>513</v>
      </c>
      <c r="O210" s="127">
        <f>SUMIF(ZU!$C$3:$C$53,"MUD",ZU!N$3:N$53)</f>
        <v>428</v>
      </c>
      <c r="P210" s="127">
        <f>SUMIF(ZU!$C$3:$C$53,"MUD",ZU!O$3:O$53)</f>
        <v>466</v>
      </c>
      <c r="Q210" s="127">
        <f>SUMIF(ZU!$C$3:$C$53,"MUD",ZU!P$3:P$53)</f>
        <v>431</v>
      </c>
      <c r="R210" s="127">
        <f>SUMIF(ZU!$C$3:$C$53,"MUD",ZU!Q$3:Q$53)</f>
        <v>423</v>
      </c>
      <c r="S210" s="127">
        <f>SUMIF(ZU!$C$3:$C$53,"MUD",ZU!R$3:R$53)</f>
        <v>409</v>
      </c>
      <c r="T210" s="127">
        <f>SUMIF(ZU!$C$3:$C$53,"MUD",ZU!S$3:S$53)</f>
        <v>391</v>
      </c>
      <c r="U210" s="127">
        <f>SUMIF(ZU!$C$3:$C$53,"MUD",ZU!T$3:T$53)</f>
        <v>387</v>
      </c>
      <c r="V210" s="127">
        <f>SUMIF(ZU!$C$3:$C$53,"MUD",ZU!U$3:U$53)</f>
        <v>357</v>
      </c>
      <c r="W210" s="127">
        <f>SUMIF(ZU!$C$3:$C$53,"MUD",ZU!V$3:V$53)</f>
        <v>309</v>
      </c>
      <c r="X210" s="136">
        <f>SUMIF(ZU!$C$3:$C$53,"MUD",ZU!W$3:W$53)</f>
        <v>415</v>
      </c>
    </row>
    <row r="211" spans="2:24" ht="15.75" customHeight="1" thickBot="1" x14ac:dyDescent="0.25">
      <c r="B211" s="233"/>
      <c r="C211" s="227"/>
      <c r="D211" s="120" t="s">
        <v>0</v>
      </c>
      <c r="E211" s="121">
        <f>F211/(F209+F210+F211)</f>
        <v>1.1127487103905674E-2</v>
      </c>
      <c r="F211" s="122">
        <f t="shared" si="91"/>
        <v>151</v>
      </c>
      <c r="G211" s="239">
        <f>SUMIF(ZU!$C$3:$C$53,"OTRO",ZU!F$3:F$53)</f>
        <v>6</v>
      </c>
      <c r="H211" s="239">
        <f>SUMIF(ZU!$C$3:$C$53,"OTRO",ZU!G$3:G$53)</f>
        <v>14</v>
      </c>
      <c r="I211" s="239">
        <f>SUMIF(ZU!$C$3:$C$53,"OTRO",ZU!H$3:H$53)</f>
        <v>10</v>
      </c>
      <c r="J211" s="239">
        <f>SUMIF(ZU!$C$3:$C$53,"OTRO",ZU!I$3:I$53)</f>
        <v>4</v>
      </c>
      <c r="K211" s="239">
        <f>SUMIF(ZU!$C$3:$C$53,"OTRO",ZU!J$3:J$53)</f>
        <v>5</v>
      </c>
      <c r="L211" s="239">
        <f>SUMIF(ZU!$C$3:$C$53,"OTRO",ZU!K$3:K$53)</f>
        <v>14</v>
      </c>
      <c r="M211" s="239">
        <f>SUMIF(ZU!$C$3:$C$53,"OTRO",ZU!L$3:L$53)</f>
        <v>5</v>
      </c>
      <c r="N211" s="239">
        <f>SUMIF(ZU!$C$3:$C$53,"OTRO",ZU!M$3:M$53)</f>
        <v>19</v>
      </c>
      <c r="O211" s="239">
        <f>SUMIF(ZU!$C$3:$C$53,"OTRO",ZU!N$3:N$53)</f>
        <v>3</v>
      </c>
      <c r="P211" s="239">
        <f>SUMIF(ZU!$C$3:$C$53,"OTRO",ZU!O$3:O$53)</f>
        <v>11</v>
      </c>
      <c r="Q211" s="239">
        <f>SUMIF(ZU!$C$3:$C$53,"OTRO",ZU!P$3:P$53)</f>
        <v>12</v>
      </c>
      <c r="R211" s="239">
        <f>SUMIF(ZU!$C$3:$C$53,"OTRO",ZU!Q$3:Q$53)</f>
        <v>12</v>
      </c>
      <c r="S211" s="239">
        <f>SUMIF(ZU!$C$3:$C$53,"OTRO",ZU!R$3:R$53)</f>
        <v>11</v>
      </c>
      <c r="T211" s="239">
        <f>SUMIF(ZU!$C$3:$C$53,"OTRO",ZU!S$3:S$53)</f>
        <v>10</v>
      </c>
      <c r="U211" s="239">
        <f>SUMIF(ZU!$C$3:$C$53,"OTRO",ZU!T$3:T$53)</f>
        <v>4</v>
      </c>
      <c r="V211" s="239">
        <f>SUMIF(ZU!$C$3:$C$53,"OTRO",ZU!U$3:U$53)</f>
        <v>3</v>
      </c>
      <c r="W211" s="239">
        <f>SUMIF(ZU!$C$3:$C$53,"OTRO",ZU!V$3:V$53)</f>
        <v>3</v>
      </c>
      <c r="X211" s="241">
        <f>SUMIF(ZU!$C$3:$C$53,"OTRO",ZU!W$3:W$53)</f>
        <v>5</v>
      </c>
    </row>
    <row r="212" spans="2:24" ht="15.75" customHeight="1" x14ac:dyDescent="0.2">
      <c r="F212" s="240"/>
    </row>
  </sheetData>
  <mergeCells count="92">
    <mergeCell ref="B203:B211"/>
    <mergeCell ref="C203:C205"/>
    <mergeCell ref="C206:C208"/>
    <mergeCell ref="C209:C211"/>
    <mergeCell ref="B185:B193"/>
    <mergeCell ref="C185:C187"/>
    <mergeCell ref="C188:C190"/>
    <mergeCell ref="C191:C193"/>
    <mergeCell ref="B194:B202"/>
    <mergeCell ref="C194:C196"/>
    <mergeCell ref="C197:C199"/>
    <mergeCell ref="C200:C202"/>
    <mergeCell ref="B167:B175"/>
    <mergeCell ref="C167:C169"/>
    <mergeCell ref="C170:C172"/>
    <mergeCell ref="C173:C175"/>
    <mergeCell ref="B176:B184"/>
    <mergeCell ref="C176:C178"/>
    <mergeCell ref="C179:C181"/>
    <mergeCell ref="C182:C184"/>
    <mergeCell ref="B149:B157"/>
    <mergeCell ref="C149:C151"/>
    <mergeCell ref="C152:C154"/>
    <mergeCell ref="C155:C157"/>
    <mergeCell ref="B158:B166"/>
    <mergeCell ref="C158:C160"/>
    <mergeCell ref="C161:C163"/>
    <mergeCell ref="C164:C166"/>
    <mergeCell ref="B128:B139"/>
    <mergeCell ref="C128:C131"/>
    <mergeCell ref="C132:C135"/>
    <mergeCell ref="C136:C139"/>
    <mergeCell ref="B140:B148"/>
    <mergeCell ref="C140:C142"/>
    <mergeCell ref="C143:C145"/>
    <mergeCell ref="C146:C148"/>
    <mergeCell ref="B110:B118"/>
    <mergeCell ref="C110:C112"/>
    <mergeCell ref="C113:C115"/>
    <mergeCell ref="C116:C118"/>
    <mergeCell ref="B119:B127"/>
    <mergeCell ref="C119:C121"/>
    <mergeCell ref="C122:C124"/>
    <mergeCell ref="C125:C127"/>
    <mergeCell ref="B92:B100"/>
    <mergeCell ref="C92:C94"/>
    <mergeCell ref="C95:C97"/>
    <mergeCell ref="C98:C100"/>
    <mergeCell ref="B101:B109"/>
    <mergeCell ref="C101:C103"/>
    <mergeCell ref="C104:C106"/>
    <mergeCell ref="C107:C109"/>
    <mergeCell ref="B74:B82"/>
    <mergeCell ref="C74:C76"/>
    <mergeCell ref="C77:C79"/>
    <mergeCell ref="C80:C82"/>
    <mergeCell ref="B83:B91"/>
    <mergeCell ref="C83:C85"/>
    <mergeCell ref="C86:C88"/>
    <mergeCell ref="C89:C91"/>
    <mergeCell ref="B56:B64"/>
    <mergeCell ref="C56:C58"/>
    <mergeCell ref="C59:C61"/>
    <mergeCell ref="C62:C64"/>
    <mergeCell ref="B65:B73"/>
    <mergeCell ref="C65:C67"/>
    <mergeCell ref="C68:C70"/>
    <mergeCell ref="C71:C73"/>
    <mergeCell ref="B38:B46"/>
    <mergeCell ref="C38:C40"/>
    <mergeCell ref="C41:C43"/>
    <mergeCell ref="C44:C46"/>
    <mergeCell ref="B47:B55"/>
    <mergeCell ref="C47:C49"/>
    <mergeCell ref="C50:C52"/>
    <mergeCell ref="C53:C55"/>
    <mergeCell ref="C2:C4"/>
    <mergeCell ref="C5:C7"/>
    <mergeCell ref="C8:C10"/>
    <mergeCell ref="B2:B10"/>
    <mergeCell ref="C11:C13"/>
    <mergeCell ref="B29:B37"/>
    <mergeCell ref="C29:C31"/>
    <mergeCell ref="C32:C34"/>
    <mergeCell ref="C35:C37"/>
    <mergeCell ref="C17:C19"/>
    <mergeCell ref="B11:B19"/>
    <mergeCell ref="B20:B28"/>
    <mergeCell ref="C20:C22"/>
    <mergeCell ref="C23:C25"/>
    <mergeCell ref="C26:C28"/>
    <mergeCell ref="C14:C16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1:W318"/>
  <sheetViews>
    <sheetView workbookViewId="0">
      <selection activeCell="H5" sqref="H5"/>
    </sheetView>
  </sheetViews>
  <sheetFormatPr baseColWidth="10" defaultRowHeight="15.75" customHeight="1" x14ac:dyDescent="0.25"/>
  <cols>
    <col min="1" max="1" width="5" customWidth="1"/>
    <col min="2" max="2" width="14.28515625" style="2" customWidth="1"/>
    <col min="3" max="3" width="17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ht="15.75" customHeight="1" x14ac:dyDescent="0.25">
      <c r="B3" s="19">
        <v>1</v>
      </c>
      <c r="C3" s="30" t="s">
        <v>106</v>
      </c>
      <c r="D3" s="36">
        <f>IF((E3+E4+E5)=0,0,E3/(E3+E4+E5))</f>
        <v>0.49724770642201838</v>
      </c>
      <c r="E3" s="9">
        <f t="shared" ref="E3:E5" si="0">SUM(F3:W3)</f>
        <v>271</v>
      </c>
      <c r="F3" s="9">
        <f>SUMIFS([0]!psuv,[0]!municipio,$B3,[0]!turno,F$2)</f>
        <v>4</v>
      </c>
      <c r="G3" s="9">
        <f>SUMIFS([0]!psuv,[0]!municipio,$B3,[0]!turno,G$2)</f>
        <v>26</v>
      </c>
      <c r="H3" s="9">
        <f>SUMIFS([0]!psuv,[0]!municipio,$B3,[0]!turno,H$2)</f>
        <v>28</v>
      </c>
      <c r="I3" s="9">
        <f>SUMIFS([0]!psuv,[0]!municipio,$B3,[0]!turno,I$2)</f>
        <v>16</v>
      </c>
      <c r="J3" s="9">
        <f>SUMIFS([0]!psuv,[0]!municipio,$B3,[0]!turno,J$2)</f>
        <v>14</v>
      </c>
      <c r="K3" s="9">
        <f>SUMIFS([0]!psuv,[0]!municipio,$B3,[0]!turno,K$2)</f>
        <v>17</v>
      </c>
      <c r="L3" s="9">
        <f>SUMIFS([0]!psuv,[0]!municipio,$B3,[0]!turno,L$2)</f>
        <v>21</v>
      </c>
      <c r="M3" s="9">
        <f>SUMIFS([0]!psuv,[0]!municipio,$B3,[0]!turno,M$2)</f>
        <v>19</v>
      </c>
      <c r="N3" s="9">
        <f>SUMIFS([0]!psuv,[0]!municipio,$B3,[0]!turno,N$2)</f>
        <v>13</v>
      </c>
      <c r="O3" s="9">
        <f>SUMIFS([0]!psuv,[0]!municipio,$B3,[0]!turno,O$2)</f>
        <v>15</v>
      </c>
      <c r="P3" s="9">
        <f>SUMIFS([0]!psuv,[0]!municipio,$B3,[0]!turno,P$2)</f>
        <v>7</v>
      </c>
      <c r="Q3" s="9">
        <f>SUMIFS([0]!psuv,[0]!municipio,$B3,[0]!turno,Q$2)</f>
        <v>11</v>
      </c>
      <c r="R3" s="9">
        <f>SUMIFS([0]!psuv,[0]!municipio,$B3,[0]!turno,R$2)</f>
        <v>7</v>
      </c>
      <c r="S3" s="9">
        <f>SUMIFS([0]!psuv,[0]!municipio,$B3,[0]!turno,S$2)</f>
        <v>16</v>
      </c>
      <c r="T3" s="9">
        <f>SUMIFS([0]!psuv,[0]!municipio,$B3,[0]!turno,T$2)</f>
        <v>13</v>
      </c>
      <c r="U3" s="9">
        <f>SUMIFS([0]!psuv,[0]!municipio,$B3,[0]!turno,U$2)</f>
        <v>16</v>
      </c>
      <c r="V3" s="9">
        <f>SUMIFS([0]!psuv,[0]!municipio,$B3,[0]!turno,V$2)</f>
        <v>14</v>
      </c>
      <c r="W3" s="25">
        <f>SUMIFS([0]!psuv,[0]!municipio,$B3,[0]!turno,W$2)</f>
        <v>14</v>
      </c>
    </row>
    <row r="4" spans="2:23" ht="15.75" customHeight="1" x14ac:dyDescent="0.25">
      <c r="B4" s="20" t="s">
        <v>117</v>
      </c>
      <c r="C4" s="31" t="s">
        <v>107</v>
      </c>
      <c r="D4" s="37">
        <f>IF((E3+E4+E5)=0,0,E4/(E3+E4+E5))</f>
        <v>0.43669724770642204</v>
      </c>
      <c r="E4" s="5">
        <f t="shared" si="0"/>
        <v>238</v>
      </c>
      <c r="F4" s="5">
        <f>SUMIFS([0]!mud,[0]!municipio,$B3,[0]!turno,F$2)</f>
        <v>7</v>
      </c>
      <c r="G4" s="5">
        <f>SUMIFS([0]!mud,[0]!municipio,$B3,[0]!turno,G$2)</f>
        <v>30</v>
      </c>
      <c r="H4" s="5">
        <f>SUMIFS([0]!mud,[0]!municipio,$B3,[0]!turno,H$2)</f>
        <v>26</v>
      </c>
      <c r="I4" s="5">
        <f>SUMIFS([0]!mud,[0]!municipio,$B3,[0]!turno,I$2)</f>
        <v>24</v>
      </c>
      <c r="J4" s="5">
        <f>SUMIFS([0]!mud,[0]!municipio,$B3,[0]!turno,J$2)</f>
        <v>14</v>
      </c>
      <c r="K4" s="5">
        <f>SUMIFS([0]!mud,[0]!municipio,$B3,[0]!turno,K$2)</f>
        <v>7</v>
      </c>
      <c r="L4" s="5">
        <f>SUMIFS([0]!mud,[0]!municipio,$B3,[0]!turno,L$2)</f>
        <v>9</v>
      </c>
      <c r="M4" s="5">
        <f>SUMIFS([0]!mud,[0]!municipio,$B3,[0]!turno,M$2)</f>
        <v>23</v>
      </c>
      <c r="N4" s="5">
        <f>SUMIFS([0]!mud,[0]!municipio,$B3,[0]!turno,N$2)</f>
        <v>9</v>
      </c>
      <c r="O4" s="5">
        <f>SUMIFS([0]!mud,[0]!municipio,$B3,[0]!turno,O$2)</f>
        <v>9</v>
      </c>
      <c r="P4" s="5">
        <f>SUMIFS([0]!mud,[0]!municipio,$B3,[0]!turno,P$2)</f>
        <v>12</v>
      </c>
      <c r="Q4" s="5">
        <f>SUMIFS([0]!mud,[0]!municipio,$B3,[0]!turno,Q$2)</f>
        <v>9</v>
      </c>
      <c r="R4" s="5">
        <f>SUMIFS([0]!mud,[0]!municipio,$B3,[0]!turno,R$2)</f>
        <v>13</v>
      </c>
      <c r="S4" s="5">
        <f>SUMIFS([0]!mud,[0]!municipio,$B3,[0]!turno,S$2)</f>
        <v>10</v>
      </c>
      <c r="T4" s="5">
        <f>SUMIFS([0]!mud,[0]!municipio,$B3,[0]!turno,T$2)</f>
        <v>8</v>
      </c>
      <c r="U4" s="5">
        <f>SUMIFS([0]!mud,[0]!municipio,$B3,[0]!turno,U$2)</f>
        <v>9</v>
      </c>
      <c r="V4" s="5">
        <f>SUMIFS([0]!mud,[0]!municipio,$B3,[0]!turno,V$2)</f>
        <v>7</v>
      </c>
      <c r="W4" s="26">
        <f>SUMIFS([0]!mud,[0]!municipio,$B3,[0]!turno,W$2)</f>
        <v>12</v>
      </c>
    </row>
    <row r="5" spans="2:23" ht="15.75" customHeight="1" thickBot="1" x14ac:dyDescent="0.3">
      <c r="B5" s="21">
        <v>1</v>
      </c>
      <c r="C5" s="32" t="s">
        <v>0</v>
      </c>
      <c r="D5" s="38">
        <f>IF((E3+E4+E5)=0,0,E5/(E3+E4+E5))</f>
        <v>6.6055045871559637E-2</v>
      </c>
      <c r="E5" s="11">
        <f t="shared" si="0"/>
        <v>36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2</v>
      </c>
      <c r="I5" s="11">
        <f>SUMIFS([0]!otro,[0]!municipio,$B3,[0]!turno,I$2)</f>
        <v>1</v>
      </c>
      <c r="J5" s="11">
        <f>SUMIFS([0]!otro,[0]!municipio,$B3,[0]!turno,J$2)</f>
        <v>2</v>
      </c>
      <c r="K5" s="11">
        <f>SUMIFS([0]!otro,[0]!municipio,$B3,[0]!turno,K$2)</f>
        <v>1</v>
      </c>
      <c r="L5" s="11">
        <f>SUMIFS([0]!otro,[0]!municipio,$B3,[0]!turno,L$2)</f>
        <v>3</v>
      </c>
      <c r="M5" s="11">
        <f>SUMIFS([0]!otro,[0]!municipio,$B3,[0]!turno,M$2)</f>
        <v>5</v>
      </c>
      <c r="N5" s="11">
        <f>SUMIFS([0]!otro,[0]!municipio,$B3,[0]!turno,N$2)</f>
        <v>1</v>
      </c>
      <c r="O5" s="11">
        <f>SUMIFS([0]!otro,[0]!municipio,$B3,[0]!turno,O$2)</f>
        <v>9</v>
      </c>
      <c r="P5" s="11">
        <f>SUMIFS([0]!otro,[0]!municipio,$B3,[0]!turno,P$2)</f>
        <v>0</v>
      </c>
      <c r="Q5" s="11">
        <f>SUMIFS([0]!otro,[0]!municipio,$B3,[0]!turno,Q$2)</f>
        <v>2</v>
      </c>
      <c r="R5" s="11">
        <f>SUMIFS([0]!otro,[0]!municipio,$B3,[0]!turno,R$2)</f>
        <v>1</v>
      </c>
      <c r="S5" s="11">
        <f>SUMIFS([0]!otro,[0]!municipio,$B3,[0]!turno,S$2)</f>
        <v>2</v>
      </c>
      <c r="T5" s="11">
        <f>SUMIFS([0]!otro,[0]!municipio,$B3,[0]!turno,T$2)</f>
        <v>4</v>
      </c>
      <c r="U5" s="11">
        <f>SUMIFS([0]!otro,[0]!municipio,$B3,[0]!turno,U$2)</f>
        <v>2</v>
      </c>
      <c r="V5" s="11">
        <f>SUMIFS([0]!otro,[0]!municipio,$B3,[0]!turno,V$2)</f>
        <v>1</v>
      </c>
      <c r="W5" s="27">
        <f>SUMIFS([0]!otro,[0]!municipio,$B3,[0]!turno,W$2)</f>
        <v>0</v>
      </c>
    </row>
    <row r="6" spans="2:23" ht="15.75" customHeight="1" x14ac:dyDescent="0.25">
      <c r="B6"/>
      <c r="C6"/>
      <c r="E6" s="34"/>
    </row>
    <row r="7" spans="2:23" ht="15.75" customHeight="1" x14ac:dyDescent="0.25">
      <c r="B7"/>
      <c r="C7"/>
    </row>
    <row r="8" spans="2:23" ht="15.75" customHeight="1" x14ac:dyDescent="0.25">
      <c r="B8"/>
      <c r="C8"/>
      <c r="E8" s="35"/>
    </row>
    <row r="9" spans="2:23" ht="15.75" customHeight="1" x14ac:dyDescent="0.25">
      <c r="B9"/>
      <c r="C9"/>
      <c r="E9" s="35"/>
    </row>
    <row r="10" spans="2:23" ht="15.75" customHeight="1" x14ac:dyDescent="0.25">
      <c r="B10"/>
      <c r="C10"/>
      <c r="E10" s="35"/>
    </row>
    <row r="11" spans="2:23" ht="15.75" customHeight="1" x14ac:dyDescent="0.25">
      <c r="B11"/>
      <c r="C11"/>
    </row>
    <row r="12" spans="2:23" ht="15.75" customHeight="1" x14ac:dyDescent="0.25">
      <c r="B12"/>
      <c r="C12"/>
    </row>
    <row r="13" spans="2:23" ht="15.75" customHeight="1" x14ac:dyDescent="0.25">
      <c r="B13"/>
      <c r="C13"/>
    </row>
    <row r="14" spans="2:23" ht="15.75" customHeight="1" x14ac:dyDescent="0.25">
      <c r="B14"/>
      <c r="C14"/>
    </row>
    <row r="15" spans="2:23" ht="15.75" customHeight="1" x14ac:dyDescent="0.25">
      <c r="B15"/>
      <c r="C15"/>
    </row>
    <row r="16" spans="2:23" ht="15.75" customHeight="1" x14ac:dyDescent="0.25">
      <c r="B16"/>
      <c r="C16"/>
    </row>
    <row r="17" spans="2:3" ht="15.75" customHeight="1" x14ac:dyDescent="0.25">
      <c r="B17"/>
      <c r="C17"/>
    </row>
    <row r="18" spans="2:3" ht="15.75" customHeight="1" x14ac:dyDescent="0.25">
      <c r="B18"/>
      <c r="C18"/>
    </row>
    <row r="19" spans="2:3" ht="15.75" customHeight="1" x14ac:dyDescent="0.25">
      <c r="B19"/>
      <c r="C19"/>
    </row>
    <row r="20" spans="2:3" ht="15.75" customHeight="1" x14ac:dyDescent="0.25">
      <c r="B20"/>
      <c r="C20"/>
    </row>
    <row r="21" spans="2:3" ht="15.75" customHeight="1" x14ac:dyDescent="0.25">
      <c r="B21"/>
      <c r="C21"/>
    </row>
    <row r="22" spans="2:3" ht="15.75" customHeight="1" x14ac:dyDescent="0.25">
      <c r="B22"/>
      <c r="C22"/>
    </row>
    <row r="23" spans="2:3" ht="15.75" customHeight="1" x14ac:dyDescent="0.25">
      <c r="B23"/>
      <c r="C23"/>
    </row>
    <row r="24" spans="2:3" ht="15.75" customHeight="1" x14ac:dyDescent="0.25">
      <c r="B24"/>
      <c r="C24"/>
    </row>
    <row r="25" spans="2:3" ht="15.75" customHeight="1" x14ac:dyDescent="0.25">
      <c r="B25"/>
      <c r="C25"/>
    </row>
    <row r="26" spans="2:3" ht="15.75" customHeight="1" x14ac:dyDescent="0.25">
      <c r="B26"/>
      <c r="C26"/>
    </row>
    <row r="27" spans="2:3" ht="15.75" customHeight="1" x14ac:dyDescent="0.25">
      <c r="B27"/>
      <c r="C27"/>
    </row>
    <row r="28" spans="2:3" ht="15.75" customHeight="1" x14ac:dyDescent="0.25">
      <c r="B28"/>
      <c r="C28"/>
    </row>
    <row r="29" spans="2:3" ht="15.75" customHeight="1" x14ac:dyDescent="0.25">
      <c r="B29"/>
      <c r="C29"/>
    </row>
    <row r="30" spans="2:3" ht="15.75" customHeight="1" x14ac:dyDescent="0.25">
      <c r="B30"/>
      <c r="C30"/>
    </row>
    <row r="31" spans="2:3" ht="15.75" customHeight="1" x14ac:dyDescent="0.25">
      <c r="B31"/>
      <c r="C31"/>
    </row>
    <row r="32" spans="2:3" ht="15.75" customHeight="1" x14ac:dyDescent="0.25">
      <c r="B32"/>
      <c r="C32"/>
    </row>
    <row r="33" spans="2:3" ht="15.75" customHeight="1" x14ac:dyDescent="0.25">
      <c r="B33"/>
      <c r="C33"/>
    </row>
    <row r="34" spans="2:3" ht="15.75" customHeight="1" x14ac:dyDescent="0.25">
      <c r="B34"/>
      <c r="C34"/>
    </row>
    <row r="35" spans="2:3" ht="15.75" customHeight="1" x14ac:dyDescent="0.25">
      <c r="B35"/>
      <c r="C35"/>
    </row>
    <row r="36" spans="2:3" ht="15.75" customHeight="1" x14ac:dyDescent="0.25">
      <c r="B36"/>
      <c r="C36"/>
    </row>
    <row r="37" spans="2:3" ht="15.75" customHeight="1" x14ac:dyDescent="0.25">
      <c r="B37"/>
      <c r="C37"/>
    </row>
    <row r="38" spans="2:3" ht="15.75" customHeight="1" x14ac:dyDescent="0.25">
      <c r="B38"/>
      <c r="C38"/>
    </row>
    <row r="39" spans="2:3" ht="15.75" customHeight="1" x14ac:dyDescent="0.25">
      <c r="B39"/>
      <c r="C39"/>
    </row>
    <row r="40" spans="2:3" ht="15.75" customHeight="1" x14ac:dyDescent="0.25">
      <c r="B40"/>
      <c r="C40"/>
    </row>
    <row r="41" spans="2:3" ht="15.75" customHeight="1" x14ac:dyDescent="0.25">
      <c r="B41"/>
      <c r="C41"/>
    </row>
    <row r="42" spans="2:3" ht="15.75" customHeight="1" x14ac:dyDescent="0.25">
      <c r="B42"/>
      <c r="C42"/>
    </row>
    <row r="43" spans="2:3" ht="15.75" customHeight="1" x14ac:dyDescent="0.25">
      <c r="B43"/>
      <c r="C43"/>
    </row>
    <row r="44" spans="2:3" ht="15.75" customHeight="1" x14ac:dyDescent="0.25">
      <c r="B44"/>
      <c r="C44"/>
    </row>
    <row r="45" spans="2:3" ht="15.75" customHeight="1" x14ac:dyDescent="0.25">
      <c r="B45"/>
      <c r="C45"/>
    </row>
    <row r="46" spans="2:3" ht="15.75" customHeight="1" x14ac:dyDescent="0.25">
      <c r="B46"/>
      <c r="C46"/>
    </row>
    <row r="47" spans="2:3" ht="15.75" customHeight="1" x14ac:dyDescent="0.25">
      <c r="B47"/>
      <c r="C47"/>
    </row>
    <row r="48" spans="2:3" ht="15.75" customHeight="1" x14ac:dyDescent="0.25">
      <c r="B48"/>
      <c r="C48"/>
    </row>
    <row r="49" spans="2:3" ht="15.75" customHeight="1" x14ac:dyDescent="0.25">
      <c r="B49"/>
      <c r="C49"/>
    </row>
    <row r="50" spans="2:3" ht="15.75" customHeight="1" x14ac:dyDescent="0.25">
      <c r="B50"/>
      <c r="C50"/>
    </row>
    <row r="51" spans="2:3" ht="15.75" customHeight="1" x14ac:dyDescent="0.25">
      <c r="B51"/>
      <c r="C51"/>
    </row>
    <row r="52" spans="2:3" ht="15.75" customHeight="1" x14ac:dyDescent="0.25">
      <c r="B52"/>
      <c r="C52"/>
    </row>
    <row r="53" spans="2:3" ht="15.75" customHeight="1" x14ac:dyDescent="0.25">
      <c r="B53"/>
      <c r="C53"/>
    </row>
    <row r="54" spans="2:3" ht="15.75" customHeight="1" x14ac:dyDescent="0.25">
      <c r="B54"/>
      <c r="C54"/>
    </row>
    <row r="55" spans="2:3" ht="15.75" customHeight="1" x14ac:dyDescent="0.25">
      <c r="B55"/>
      <c r="C55"/>
    </row>
    <row r="56" spans="2:3" ht="15.75" customHeight="1" x14ac:dyDescent="0.25">
      <c r="B56"/>
      <c r="C56"/>
    </row>
    <row r="57" spans="2:3" ht="15.75" customHeight="1" x14ac:dyDescent="0.25">
      <c r="B57"/>
      <c r="C57"/>
    </row>
    <row r="58" spans="2:3" ht="15.75" customHeight="1" x14ac:dyDescent="0.25">
      <c r="B58"/>
      <c r="C58"/>
    </row>
    <row r="59" spans="2:3" ht="15.75" customHeight="1" x14ac:dyDescent="0.25">
      <c r="B59"/>
      <c r="C59"/>
    </row>
    <row r="60" spans="2:3" ht="15.75" customHeight="1" x14ac:dyDescent="0.25">
      <c r="B60"/>
      <c r="C60"/>
    </row>
    <row r="61" spans="2:3" ht="15.75" customHeight="1" x14ac:dyDescent="0.25">
      <c r="B61"/>
      <c r="C61"/>
    </row>
    <row r="62" spans="2:3" ht="15.75" customHeight="1" x14ac:dyDescent="0.25">
      <c r="B62"/>
      <c r="C62"/>
    </row>
    <row r="63" spans="2:3" ht="15.75" customHeight="1" x14ac:dyDescent="0.25">
      <c r="B63"/>
      <c r="C63"/>
    </row>
    <row r="64" spans="2:3" ht="15.75" customHeight="1" x14ac:dyDescent="0.25">
      <c r="B64"/>
      <c r="C64"/>
    </row>
    <row r="65" spans="2:3" ht="15.75" customHeight="1" x14ac:dyDescent="0.25">
      <c r="B65"/>
      <c r="C65"/>
    </row>
    <row r="66" spans="2:3" ht="15.75" customHeight="1" x14ac:dyDescent="0.25">
      <c r="B66"/>
      <c r="C66"/>
    </row>
    <row r="67" spans="2:3" ht="15.75" customHeight="1" x14ac:dyDescent="0.25">
      <c r="B67"/>
      <c r="C67"/>
    </row>
    <row r="68" spans="2:3" ht="15.75" customHeight="1" x14ac:dyDescent="0.25">
      <c r="B68"/>
      <c r="C68"/>
    </row>
    <row r="69" spans="2:3" ht="15.75" customHeight="1" x14ac:dyDescent="0.25">
      <c r="B69"/>
      <c r="C69"/>
    </row>
    <row r="70" spans="2:3" ht="15.75" customHeight="1" x14ac:dyDescent="0.25">
      <c r="B70"/>
      <c r="C70"/>
    </row>
    <row r="71" spans="2:3" ht="15.75" customHeight="1" x14ac:dyDescent="0.25">
      <c r="B71"/>
      <c r="C71"/>
    </row>
    <row r="72" spans="2:3" ht="15.75" customHeight="1" x14ac:dyDescent="0.25">
      <c r="B72"/>
      <c r="C72"/>
    </row>
    <row r="73" spans="2:3" ht="15.75" customHeight="1" x14ac:dyDescent="0.25">
      <c r="B73"/>
      <c r="C73"/>
    </row>
    <row r="74" spans="2:3" ht="15.75" customHeight="1" x14ac:dyDescent="0.25">
      <c r="B74"/>
      <c r="C74"/>
    </row>
    <row r="75" spans="2:3" ht="15.75" customHeight="1" x14ac:dyDescent="0.25">
      <c r="B75"/>
      <c r="C75"/>
    </row>
    <row r="76" spans="2:3" ht="15.75" customHeight="1" x14ac:dyDescent="0.25">
      <c r="B76"/>
      <c r="C76"/>
    </row>
    <row r="77" spans="2:3" ht="15.75" customHeight="1" x14ac:dyDescent="0.25">
      <c r="B77"/>
      <c r="C77"/>
    </row>
    <row r="78" spans="2:3" ht="15.75" customHeight="1" x14ac:dyDescent="0.25">
      <c r="B78"/>
      <c r="C78"/>
    </row>
    <row r="79" spans="2:3" ht="15.75" customHeight="1" x14ac:dyDescent="0.25">
      <c r="B79"/>
      <c r="C79"/>
    </row>
    <row r="80" spans="2:3" ht="15.75" customHeight="1" x14ac:dyDescent="0.25">
      <c r="B80"/>
      <c r="C80"/>
    </row>
    <row r="81" spans="2:3" ht="15.75" customHeight="1" x14ac:dyDescent="0.25">
      <c r="B81"/>
      <c r="C81"/>
    </row>
    <row r="82" spans="2:3" ht="15.75" customHeight="1" x14ac:dyDescent="0.25">
      <c r="B82"/>
      <c r="C82"/>
    </row>
    <row r="83" spans="2:3" ht="15.75" customHeight="1" x14ac:dyDescent="0.25">
      <c r="B83"/>
      <c r="C83"/>
    </row>
    <row r="84" spans="2:3" ht="15.75" customHeight="1" x14ac:dyDescent="0.25">
      <c r="B84"/>
      <c r="C84"/>
    </row>
    <row r="85" spans="2:3" ht="15.75" customHeight="1" x14ac:dyDescent="0.25">
      <c r="B85"/>
      <c r="C85"/>
    </row>
    <row r="86" spans="2:3" ht="15.75" customHeight="1" x14ac:dyDescent="0.25">
      <c r="B86"/>
      <c r="C86"/>
    </row>
    <row r="87" spans="2:3" ht="15.75" customHeight="1" x14ac:dyDescent="0.25">
      <c r="B87"/>
      <c r="C87"/>
    </row>
    <row r="88" spans="2:3" ht="15.75" customHeight="1" x14ac:dyDescent="0.25">
      <c r="B88"/>
      <c r="C88"/>
    </row>
    <row r="89" spans="2:3" ht="15.75" customHeight="1" x14ac:dyDescent="0.25">
      <c r="B89"/>
      <c r="C89"/>
    </row>
    <row r="90" spans="2:3" ht="15.75" customHeight="1" x14ac:dyDescent="0.25">
      <c r="B90"/>
      <c r="C90"/>
    </row>
    <row r="91" spans="2:3" ht="15.75" customHeight="1" x14ac:dyDescent="0.25">
      <c r="B91"/>
      <c r="C91"/>
    </row>
    <row r="92" spans="2:3" ht="15.75" customHeight="1" x14ac:dyDescent="0.25">
      <c r="B92"/>
      <c r="C92"/>
    </row>
    <row r="93" spans="2:3" ht="15.75" customHeight="1" x14ac:dyDescent="0.25">
      <c r="B93"/>
      <c r="C93"/>
    </row>
    <row r="94" spans="2:3" ht="15.75" customHeight="1" x14ac:dyDescent="0.25">
      <c r="B94"/>
      <c r="C94"/>
    </row>
    <row r="95" spans="2:3" ht="15.75" customHeight="1" x14ac:dyDescent="0.25">
      <c r="B95"/>
      <c r="C95"/>
    </row>
    <row r="96" spans="2:3" ht="15.75" customHeight="1" x14ac:dyDescent="0.25">
      <c r="B96"/>
      <c r="C96"/>
    </row>
    <row r="97" spans="2:3" ht="15.75" customHeight="1" x14ac:dyDescent="0.25">
      <c r="B97"/>
      <c r="C97"/>
    </row>
    <row r="98" spans="2:3" ht="15.75" customHeight="1" x14ac:dyDescent="0.25">
      <c r="B98"/>
      <c r="C98"/>
    </row>
    <row r="99" spans="2:3" ht="15.75" customHeight="1" x14ac:dyDescent="0.25">
      <c r="B99"/>
      <c r="C99"/>
    </row>
    <row r="100" spans="2:3" ht="15.75" customHeight="1" x14ac:dyDescent="0.25">
      <c r="B100"/>
      <c r="C100"/>
    </row>
    <row r="101" spans="2:3" ht="15.75" customHeight="1" x14ac:dyDescent="0.25">
      <c r="B101"/>
      <c r="C101"/>
    </row>
    <row r="102" spans="2:3" ht="15.75" customHeight="1" x14ac:dyDescent="0.25">
      <c r="B102"/>
      <c r="C102"/>
    </row>
    <row r="103" spans="2:3" ht="15.75" customHeight="1" x14ac:dyDescent="0.25">
      <c r="B103"/>
      <c r="C103"/>
    </row>
    <row r="104" spans="2:3" ht="15.75" customHeight="1" x14ac:dyDescent="0.25">
      <c r="B104"/>
      <c r="C104"/>
    </row>
    <row r="105" spans="2:3" ht="15.75" customHeight="1" x14ac:dyDescent="0.25">
      <c r="B105"/>
      <c r="C105"/>
    </row>
    <row r="106" spans="2:3" ht="15.75" customHeight="1" x14ac:dyDescent="0.25">
      <c r="B106"/>
      <c r="C106"/>
    </row>
    <row r="107" spans="2:3" ht="15.75" customHeight="1" x14ac:dyDescent="0.25">
      <c r="B107"/>
      <c r="C107"/>
    </row>
    <row r="108" spans="2:3" ht="15.75" customHeight="1" x14ac:dyDescent="0.25">
      <c r="B108"/>
      <c r="C108"/>
    </row>
    <row r="109" spans="2:3" ht="15.75" customHeight="1" x14ac:dyDescent="0.25">
      <c r="B109"/>
      <c r="C109"/>
    </row>
    <row r="110" spans="2:3" ht="15.75" customHeight="1" x14ac:dyDescent="0.25">
      <c r="B110"/>
      <c r="C110"/>
    </row>
    <row r="111" spans="2:3" ht="15.75" customHeight="1" x14ac:dyDescent="0.25">
      <c r="B111"/>
      <c r="C111"/>
    </row>
    <row r="112" spans="2:3" ht="15.75" customHeight="1" x14ac:dyDescent="0.25">
      <c r="B112"/>
      <c r="C112"/>
    </row>
    <row r="113" spans="2:3" ht="15.75" customHeight="1" x14ac:dyDescent="0.25">
      <c r="B113"/>
      <c r="C113"/>
    </row>
    <row r="114" spans="2:3" ht="15.75" customHeight="1" x14ac:dyDescent="0.25">
      <c r="B114"/>
      <c r="C114"/>
    </row>
    <row r="115" spans="2:3" ht="15.75" customHeight="1" x14ac:dyDescent="0.25">
      <c r="B115"/>
      <c r="C115"/>
    </row>
    <row r="116" spans="2:3" ht="15.75" customHeight="1" x14ac:dyDescent="0.25">
      <c r="B116"/>
      <c r="C116"/>
    </row>
    <row r="117" spans="2:3" ht="15.75" customHeight="1" x14ac:dyDescent="0.25">
      <c r="B117"/>
      <c r="C117"/>
    </row>
    <row r="118" spans="2:3" ht="15.75" customHeight="1" x14ac:dyDescent="0.25">
      <c r="B118"/>
      <c r="C118"/>
    </row>
    <row r="119" spans="2:3" ht="15.75" customHeight="1" x14ac:dyDescent="0.25">
      <c r="B119"/>
      <c r="C119"/>
    </row>
    <row r="120" spans="2:3" ht="15.75" customHeight="1" x14ac:dyDescent="0.25">
      <c r="B120"/>
      <c r="C120"/>
    </row>
    <row r="121" spans="2:3" ht="15.75" customHeight="1" x14ac:dyDescent="0.25">
      <c r="B121"/>
      <c r="C121"/>
    </row>
    <row r="122" spans="2:3" ht="15.75" customHeight="1" x14ac:dyDescent="0.25">
      <c r="B122"/>
      <c r="C122"/>
    </row>
    <row r="123" spans="2:3" ht="15.75" customHeight="1" x14ac:dyDescent="0.25">
      <c r="B123"/>
      <c r="C123"/>
    </row>
    <row r="124" spans="2:3" ht="15.75" customHeight="1" x14ac:dyDescent="0.25">
      <c r="B124"/>
      <c r="C124"/>
    </row>
    <row r="125" spans="2:3" ht="15.75" customHeight="1" x14ac:dyDescent="0.25">
      <c r="B125"/>
      <c r="C125"/>
    </row>
    <row r="126" spans="2:3" ht="15.75" customHeight="1" x14ac:dyDescent="0.25">
      <c r="B126"/>
      <c r="C126"/>
    </row>
    <row r="127" spans="2:3" ht="15.75" customHeight="1" x14ac:dyDescent="0.25">
      <c r="B127"/>
      <c r="C127"/>
    </row>
    <row r="128" spans="2:3" ht="15.75" customHeight="1" x14ac:dyDescent="0.25">
      <c r="B128"/>
      <c r="C128"/>
    </row>
    <row r="129" spans="2:3" ht="15.75" customHeight="1" x14ac:dyDescent="0.25">
      <c r="B129"/>
      <c r="C129"/>
    </row>
    <row r="130" spans="2:3" ht="15.75" customHeight="1" x14ac:dyDescent="0.25">
      <c r="B130"/>
      <c r="C130"/>
    </row>
    <row r="131" spans="2:3" ht="15.75" customHeight="1" x14ac:dyDescent="0.25">
      <c r="B131"/>
      <c r="C131"/>
    </row>
    <row r="132" spans="2:3" ht="15.75" customHeight="1" x14ac:dyDescent="0.25">
      <c r="B132"/>
      <c r="C132"/>
    </row>
    <row r="133" spans="2:3" ht="15.75" customHeight="1" x14ac:dyDescent="0.25">
      <c r="B133"/>
      <c r="C133"/>
    </row>
    <row r="134" spans="2:3" ht="15.75" customHeight="1" x14ac:dyDescent="0.25">
      <c r="B134"/>
      <c r="C134"/>
    </row>
    <row r="135" spans="2:3" ht="15.75" customHeight="1" x14ac:dyDescent="0.25">
      <c r="B135"/>
      <c r="C135"/>
    </row>
    <row r="136" spans="2:3" ht="15.75" customHeight="1" x14ac:dyDescent="0.25">
      <c r="B136"/>
      <c r="C136"/>
    </row>
    <row r="137" spans="2:3" ht="15.75" customHeight="1" x14ac:dyDescent="0.25">
      <c r="B137"/>
      <c r="C137"/>
    </row>
    <row r="138" spans="2:3" ht="15.75" customHeight="1" x14ac:dyDescent="0.25">
      <c r="B138"/>
      <c r="C138"/>
    </row>
    <row r="139" spans="2:3" ht="15.75" customHeight="1" x14ac:dyDescent="0.25">
      <c r="B139"/>
      <c r="C139"/>
    </row>
    <row r="140" spans="2:3" ht="15.75" customHeight="1" x14ac:dyDescent="0.25">
      <c r="B140"/>
      <c r="C140"/>
    </row>
    <row r="141" spans="2:3" ht="15.75" customHeight="1" x14ac:dyDescent="0.25">
      <c r="B141"/>
      <c r="C141"/>
    </row>
    <row r="142" spans="2:3" ht="15.75" customHeight="1" x14ac:dyDescent="0.25">
      <c r="B142"/>
      <c r="C142"/>
    </row>
    <row r="143" spans="2:3" ht="15.75" customHeight="1" x14ac:dyDescent="0.25">
      <c r="B143"/>
      <c r="C143"/>
    </row>
    <row r="144" spans="2:3" ht="15.75" customHeight="1" x14ac:dyDescent="0.25">
      <c r="B144"/>
      <c r="C144"/>
    </row>
    <row r="145" spans="2:3" ht="15.75" customHeight="1" x14ac:dyDescent="0.25">
      <c r="B145"/>
      <c r="C145"/>
    </row>
    <row r="146" spans="2:3" ht="15.75" customHeight="1" x14ac:dyDescent="0.25">
      <c r="B146"/>
      <c r="C146"/>
    </row>
    <row r="147" spans="2:3" ht="15.75" customHeight="1" x14ac:dyDescent="0.25">
      <c r="B147"/>
      <c r="C147"/>
    </row>
    <row r="148" spans="2:3" ht="15.75" customHeight="1" x14ac:dyDescent="0.25">
      <c r="B148"/>
      <c r="C148"/>
    </row>
    <row r="149" spans="2:3" ht="15.75" customHeight="1" x14ac:dyDescent="0.25">
      <c r="B149"/>
      <c r="C149"/>
    </row>
    <row r="150" spans="2:3" ht="15.75" customHeight="1" x14ac:dyDescent="0.25">
      <c r="B150"/>
      <c r="C150"/>
    </row>
    <row r="151" spans="2:3" ht="15.75" customHeight="1" x14ac:dyDescent="0.25">
      <c r="B151"/>
      <c r="C151"/>
    </row>
    <row r="152" spans="2:3" ht="15.75" customHeight="1" x14ac:dyDescent="0.25">
      <c r="B152"/>
      <c r="C152"/>
    </row>
    <row r="153" spans="2:3" ht="15.75" customHeight="1" x14ac:dyDescent="0.25">
      <c r="B153"/>
      <c r="C153"/>
    </row>
    <row r="154" spans="2:3" ht="15.75" customHeight="1" x14ac:dyDescent="0.25">
      <c r="B154"/>
      <c r="C154"/>
    </row>
    <row r="155" spans="2:3" ht="15.75" customHeight="1" x14ac:dyDescent="0.25">
      <c r="B155"/>
      <c r="C155"/>
    </row>
    <row r="156" spans="2:3" ht="15.75" customHeight="1" x14ac:dyDescent="0.25">
      <c r="B156"/>
      <c r="C156"/>
    </row>
    <row r="157" spans="2:3" ht="15.75" customHeight="1" x14ac:dyDescent="0.25">
      <c r="B157"/>
      <c r="C157"/>
    </row>
    <row r="158" spans="2:3" ht="15.75" customHeight="1" x14ac:dyDescent="0.25">
      <c r="B158"/>
      <c r="C158"/>
    </row>
    <row r="159" spans="2:3" ht="15.75" customHeight="1" x14ac:dyDescent="0.25">
      <c r="B159"/>
      <c r="C159"/>
    </row>
    <row r="160" spans="2:3" ht="15.75" customHeight="1" x14ac:dyDescent="0.25">
      <c r="B160"/>
      <c r="C160"/>
    </row>
    <row r="161" spans="2:3" ht="15.75" customHeight="1" x14ac:dyDescent="0.25">
      <c r="B161"/>
      <c r="C161"/>
    </row>
    <row r="162" spans="2:3" ht="15.75" customHeight="1" x14ac:dyDescent="0.25">
      <c r="B162"/>
      <c r="C162"/>
    </row>
    <row r="163" spans="2:3" ht="15.75" customHeight="1" x14ac:dyDescent="0.25">
      <c r="B163"/>
      <c r="C163"/>
    </row>
    <row r="164" spans="2:3" ht="15.75" customHeight="1" x14ac:dyDescent="0.25">
      <c r="B164"/>
      <c r="C164"/>
    </row>
    <row r="165" spans="2:3" ht="15.75" customHeight="1" x14ac:dyDescent="0.25">
      <c r="B165"/>
      <c r="C165"/>
    </row>
    <row r="166" spans="2:3" ht="15.75" customHeight="1" x14ac:dyDescent="0.25">
      <c r="B166"/>
      <c r="C166"/>
    </row>
    <row r="167" spans="2:3" ht="15.75" customHeight="1" x14ac:dyDescent="0.25">
      <c r="B167"/>
      <c r="C167"/>
    </row>
    <row r="168" spans="2:3" ht="15.75" customHeight="1" x14ac:dyDescent="0.25">
      <c r="B168"/>
      <c r="C168"/>
    </row>
    <row r="169" spans="2:3" ht="15.75" customHeight="1" x14ac:dyDescent="0.25">
      <c r="B169"/>
      <c r="C169"/>
    </row>
    <row r="170" spans="2:3" ht="15.75" customHeight="1" x14ac:dyDescent="0.25">
      <c r="B170"/>
      <c r="C170"/>
    </row>
    <row r="171" spans="2:3" ht="15.75" customHeight="1" x14ac:dyDescent="0.25">
      <c r="B171"/>
      <c r="C171"/>
    </row>
    <row r="172" spans="2:3" ht="15.75" customHeight="1" x14ac:dyDescent="0.25">
      <c r="B172"/>
      <c r="C172"/>
    </row>
    <row r="173" spans="2:3" ht="15.75" customHeight="1" x14ac:dyDescent="0.25">
      <c r="B173"/>
      <c r="C173"/>
    </row>
    <row r="174" spans="2:3" ht="15.75" customHeight="1" x14ac:dyDescent="0.25">
      <c r="B174"/>
      <c r="C174"/>
    </row>
    <row r="175" spans="2:3" ht="15.75" customHeight="1" x14ac:dyDescent="0.25">
      <c r="B175"/>
      <c r="C175"/>
    </row>
    <row r="176" spans="2:3" ht="15.75" customHeight="1" x14ac:dyDescent="0.25">
      <c r="B176"/>
      <c r="C176"/>
    </row>
    <row r="177" spans="2:3" ht="15.75" customHeight="1" x14ac:dyDescent="0.25">
      <c r="B177"/>
      <c r="C177"/>
    </row>
    <row r="178" spans="2:3" ht="15.75" customHeight="1" x14ac:dyDescent="0.25">
      <c r="B178"/>
      <c r="C178"/>
    </row>
    <row r="179" spans="2:3" ht="15.75" customHeight="1" x14ac:dyDescent="0.25">
      <c r="B179"/>
      <c r="C179"/>
    </row>
    <row r="180" spans="2:3" ht="15.75" customHeight="1" x14ac:dyDescent="0.25">
      <c r="B180"/>
      <c r="C180"/>
    </row>
    <row r="181" spans="2:3" ht="15.75" customHeight="1" x14ac:dyDescent="0.25">
      <c r="B181"/>
      <c r="C181"/>
    </row>
    <row r="182" spans="2:3" ht="15.75" customHeight="1" x14ac:dyDescent="0.25">
      <c r="B182"/>
      <c r="C182"/>
    </row>
    <row r="183" spans="2:3" ht="15.75" customHeight="1" x14ac:dyDescent="0.25">
      <c r="B183"/>
      <c r="C183"/>
    </row>
    <row r="184" spans="2:3" ht="15.75" customHeight="1" x14ac:dyDescent="0.25">
      <c r="B184"/>
      <c r="C184"/>
    </row>
    <row r="185" spans="2:3" ht="15.75" customHeight="1" x14ac:dyDescent="0.25">
      <c r="B185"/>
      <c r="C185"/>
    </row>
    <row r="186" spans="2:3" ht="15.75" customHeight="1" x14ac:dyDescent="0.25">
      <c r="B186"/>
      <c r="C186"/>
    </row>
    <row r="187" spans="2:3" ht="15.75" customHeight="1" x14ac:dyDescent="0.25">
      <c r="B187"/>
      <c r="C187"/>
    </row>
    <row r="188" spans="2:3" ht="15.75" customHeight="1" x14ac:dyDescent="0.25">
      <c r="B188"/>
      <c r="C188"/>
    </row>
    <row r="189" spans="2:3" ht="15.75" customHeight="1" x14ac:dyDescent="0.25">
      <c r="B189"/>
      <c r="C189"/>
    </row>
    <row r="190" spans="2:3" ht="15.75" customHeight="1" x14ac:dyDescent="0.25">
      <c r="B190"/>
      <c r="C190"/>
    </row>
    <row r="191" spans="2:3" ht="15.75" customHeight="1" x14ac:dyDescent="0.25">
      <c r="B191"/>
      <c r="C191"/>
    </row>
    <row r="192" spans="2:3" ht="15.75" customHeight="1" x14ac:dyDescent="0.25">
      <c r="B192"/>
      <c r="C192"/>
    </row>
    <row r="193" spans="2:3" ht="15.75" customHeight="1" x14ac:dyDescent="0.25">
      <c r="B193"/>
      <c r="C193"/>
    </row>
    <row r="194" spans="2:3" ht="15.75" customHeight="1" x14ac:dyDescent="0.25">
      <c r="B194"/>
      <c r="C194"/>
    </row>
    <row r="195" spans="2:3" ht="15.75" customHeight="1" x14ac:dyDescent="0.25">
      <c r="B195"/>
      <c r="C195"/>
    </row>
    <row r="196" spans="2:3" ht="15.75" customHeight="1" x14ac:dyDescent="0.25">
      <c r="B196"/>
      <c r="C196"/>
    </row>
    <row r="197" spans="2:3" ht="15.75" customHeight="1" x14ac:dyDescent="0.25">
      <c r="B197"/>
      <c r="C197"/>
    </row>
    <row r="198" spans="2:3" ht="15.75" customHeight="1" x14ac:dyDescent="0.25">
      <c r="B198"/>
      <c r="C198"/>
    </row>
    <row r="199" spans="2:3" ht="15.75" customHeight="1" x14ac:dyDescent="0.25">
      <c r="B199"/>
      <c r="C199"/>
    </row>
    <row r="200" spans="2:3" ht="15.75" customHeight="1" x14ac:dyDescent="0.25">
      <c r="B200"/>
      <c r="C200"/>
    </row>
    <row r="201" spans="2:3" ht="15.75" customHeight="1" x14ac:dyDescent="0.25">
      <c r="B201"/>
      <c r="C201"/>
    </row>
    <row r="202" spans="2:3" ht="15.75" customHeight="1" x14ac:dyDescent="0.25">
      <c r="B202"/>
      <c r="C202"/>
    </row>
    <row r="203" spans="2:3" ht="15.75" customHeight="1" x14ac:dyDescent="0.25">
      <c r="B203"/>
      <c r="C203"/>
    </row>
    <row r="204" spans="2:3" ht="15.75" customHeight="1" x14ac:dyDescent="0.25">
      <c r="B204"/>
      <c r="C204"/>
    </row>
    <row r="205" spans="2:3" ht="15.75" customHeight="1" x14ac:dyDescent="0.25">
      <c r="B205"/>
      <c r="C205"/>
    </row>
    <row r="206" spans="2:3" ht="15.75" customHeight="1" x14ac:dyDescent="0.25">
      <c r="B206"/>
      <c r="C206"/>
    </row>
    <row r="207" spans="2:3" ht="15.75" customHeight="1" x14ac:dyDescent="0.25">
      <c r="B207"/>
      <c r="C207"/>
    </row>
    <row r="208" spans="2:3" ht="15.75" customHeight="1" x14ac:dyDescent="0.25">
      <c r="B208"/>
      <c r="C208"/>
    </row>
    <row r="209" spans="2:3" ht="15.75" customHeight="1" x14ac:dyDescent="0.25">
      <c r="B209"/>
      <c r="C209"/>
    </row>
    <row r="210" spans="2:3" ht="15.75" customHeight="1" x14ac:dyDescent="0.25">
      <c r="B210"/>
      <c r="C210"/>
    </row>
    <row r="211" spans="2:3" ht="15.75" customHeight="1" x14ac:dyDescent="0.25">
      <c r="B211"/>
      <c r="C211"/>
    </row>
    <row r="212" spans="2:3" ht="15.75" customHeight="1" x14ac:dyDescent="0.25">
      <c r="B212"/>
      <c r="C212"/>
    </row>
    <row r="213" spans="2:3" ht="15.75" customHeight="1" x14ac:dyDescent="0.25">
      <c r="B213"/>
      <c r="C213"/>
    </row>
    <row r="214" spans="2:3" ht="15.75" customHeight="1" x14ac:dyDescent="0.25">
      <c r="B214"/>
      <c r="C214"/>
    </row>
    <row r="215" spans="2:3" ht="15.75" customHeight="1" x14ac:dyDescent="0.25">
      <c r="B215"/>
      <c r="C215"/>
    </row>
    <row r="216" spans="2:3" ht="15.75" customHeight="1" x14ac:dyDescent="0.25">
      <c r="B216"/>
      <c r="C216"/>
    </row>
    <row r="217" spans="2:3" ht="15.75" customHeight="1" x14ac:dyDescent="0.25">
      <c r="B217"/>
      <c r="C217"/>
    </row>
    <row r="218" spans="2:3" ht="15.75" customHeight="1" x14ac:dyDescent="0.25">
      <c r="B218"/>
      <c r="C218"/>
    </row>
    <row r="219" spans="2:3" ht="15.75" customHeight="1" x14ac:dyDescent="0.25">
      <c r="B219"/>
      <c r="C219"/>
    </row>
    <row r="220" spans="2:3" ht="15.75" customHeight="1" x14ac:dyDescent="0.25">
      <c r="B220"/>
      <c r="C220"/>
    </row>
    <row r="221" spans="2:3" ht="15.75" customHeight="1" x14ac:dyDescent="0.25">
      <c r="B221"/>
      <c r="C221"/>
    </row>
    <row r="222" spans="2:3" ht="15.75" customHeight="1" x14ac:dyDescent="0.25">
      <c r="B222"/>
      <c r="C222"/>
    </row>
    <row r="223" spans="2:3" ht="15.75" customHeight="1" x14ac:dyDescent="0.25">
      <c r="B223"/>
      <c r="C223"/>
    </row>
    <row r="224" spans="2:3" ht="15.75" customHeight="1" x14ac:dyDescent="0.25">
      <c r="B224"/>
      <c r="C224"/>
    </row>
    <row r="225" spans="2:3" ht="15.75" customHeight="1" x14ac:dyDescent="0.25">
      <c r="B225"/>
      <c r="C225"/>
    </row>
    <row r="226" spans="2:3" ht="15.75" customHeight="1" x14ac:dyDescent="0.25">
      <c r="B226"/>
      <c r="C226"/>
    </row>
    <row r="227" spans="2:3" ht="15.75" customHeight="1" x14ac:dyDescent="0.25">
      <c r="B227"/>
      <c r="C227"/>
    </row>
    <row r="228" spans="2:3" ht="15.75" customHeight="1" x14ac:dyDescent="0.25">
      <c r="B228"/>
      <c r="C228"/>
    </row>
    <row r="229" spans="2:3" ht="15.75" customHeight="1" x14ac:dyDescent="0.25">
      <c r="B229"/>
      <c r="C229"/>
    </row>
    <row r="230" spans="2:3" ht="15.75" customHeight="1" x14ac:dyDescent="0.25">
      <c r="B230"/>
      <c r="C230"/>
    </row>
    <row r="231" spans="2:3" ht="15.75" customHeight="1" x14ac:dyDescent="0.25">
      <c r="B231"/>
      <c r="C231"/>
    </row>
    <row r="232" spans="2:3" ht="15.75" customHeight="1" x14ac:dyDescent="0.25">
      <c r="B232"/>
      <c r="C232"/>
    </row>
    <row r="233" spans="2:3" ht="15.75" customHeight="1" x14ac:dyDescent="0.25">
      <c r="B233"/>
      <c r="C233"/>
    </row>
    <row r="234" spans="2:3" ht="15.75" customHeight="1" x14ac:dyDescent="0.25">
      <c r="B234"/>
      <c r="C234"/>
    </row>
    <row r="235" spans="2:3" ht="15.75" customHeight="1" x14ac:dyDescent="0.25">
      <c r="B235"/>
      <c r="C235"/>
    </row>
    <row r="236" spans="2:3" ht="15.75" customHeight="1" x14ac:dyDescent="0.25">
      <c r="B236"/>
      <c r="C236"/>
    </row>
    <row r="237" spans="2:3" ht="15.75" customHeight="1" x14ac:dyDescent="0.25">
      <c r="B237"/>
      <c r="C237"/>
    </row>
    <row r="238" spans="2:3" ht="15.75" customHeight="1" x14ac:dyDescent="0.25">
      <c r="B238"/>
      <c r="C238"/>
    </row>
    <row r="239" spans="2:3" ht="15.75" customHeight="1" x14ac:dyDescent="0.25">
      <c r="B239"/>
      <c r="C239"/>
    </row>
    <row r="240" spans="2:3" ht="15.75" customHeight="1" x14ac:dyDescent="0.25">
      <c r="B240"/>
      <c r="C240"/>
    </row>
    <row r="241" spans="2:3" ht="15.75" customHeight="1" x14ac:dyDescent="0.25">
      <c r="B241"/>
      <c r="C241"/>
    </row>
    <row r="242" spans="2:3" ht="15.75" customHeight="1" x14ac:dyDescent="0.25">
      <c r="B242"/>
      <c r="C242"/>
    </row>
    <row r="243" spans="2:3" ht="15.75" customHeight="1" x14ac:dyDescent="0.25">
      <c r="B243"/>
      <c r="C243"/>
    </row>
    <row r="244" spans="2:3" ht="15.75" customHeight="1" x14ac:dyDescent="0.25">
      <c r="B244"/>
      <c r="C244"/>
    </row>
    <row r="245" spans="2:3" ht="15.75" customHeight="1" x14ac:dyDescent="0.25">
      <c r="B245"/>
      <c r="C245"/>
    </row>
    <row r="246" spans="2:3" ht="15.75" customHeight="1" x14ac:dyDescent="0.25">
      <c r="B246"/>
      <c r="C246"/>
    </row>
    <row r="247" spans="2:3" ht="15.75" customHeight="1" x14ac:dyDescent="0.25">
      <c r="B247"/>
      <c r="C247"/>
    </row>
    <row r="248" spans="2:3" ht="15.75" customHeight="1" x14ac:dyDescent="0.25">
      <c r="B248"/>
      <c r="C248"/>
    </row>
    <row r="249" spans="2:3" ht="15.75" customHeight="1" x14ac:dyDescent="0.25">
      <c r="B249"/>
      <c r="C249"/>
    </row>
    <row r="250" spans="2:3" ht="15.75" customHeight="1" x14ac:dyDescent="0.25">
      <c r="B250"/>
      <c r="C250"/>
    </row>
    <row r="251" spans="2:3" ht="15.75" customHeight="1" x14ac:dyDescent="0.25">
      <c r="B251"/>
      <c r="C251"/>
    </row>
    <row r="252" spans="2:3" ht="15.75" customHeight="1" x14ac:dyDescent="0.25">
      <c r="B252"/>
      <c r="C252"/>
    </row>
    <row r="253" spans="2:3" ht="15.75" customHeight="1" x14ac:dyDescent="0.25">
      <c r="B253"/>
      <c r="C253"/>
    </row>
    <row r="254" spans="2:3" ht="15.75" customHeight="1" x14ac:dyDescent="0.25">
      <c r="B254"/>
      <c r="C254"/>
    </row>
    <row r="255" spans="2:3" ht="15.75" customHeight="1" x14ac:dyDescent="0.25">
      <c r="B255"/>
      <c r="C255"/>
    </row>
    <row r="256" spans="2:3" ht="15.75" customHeight="1" x14ac:dyDescent="0.25">
      <c r="B256"/>
      <c r="C256"/>
    </row>
    <row r="257" spans="2:3" ht="15.75" customHeight="1" x14ac:dyDescent="0.25">
      <c r="B257"/>
      <c r="C257"/>
    </row>
    <row r="258" spans="2:3" ht="15.75" customHeight="1" x14ac:dyDescent="0.25">
      <c r="B258"/>
      <c r="C258"/>
    </row>
    <row r="259" spans="2:3" ht="15.75" customHeight="1" x14ac:dyDescent="0.25">
      <c r="B259"/>
      <c r="C259"/>
    </row>
    <row r="260" spans="2:3" ht="15.75" customHeight="1" x14ac:dyDescent="0.25">
      <c r="B260"/>
      <c r="C260"/>
    </row>
    <row r="261" spans="2:3" ht="15.75" customHeight="1" x14ac:dyDescent="0.25">
      <c r="B261"/>
      <c r="C261"/>
    </row>
    <row r="262" spans="2:3" ht="15.75" customHeight="1" x14ac:dyDescent="0.25">
      <c r="B262"/>
      <c r="C262"/>
    </row>
    <row r="263" spans="2:3" ht="15.75" customHeight="1" x14ac:dyDescent="0.25">
      <c r="B263"/>
      <c r="C263"/>
    </row>
    <row r="264" spans="2:3" ht="15.75" customHeight="1" x14ac:dyDescent="0.25">
      <c r="B264"/>
      <c r="C264"/>
    </row>
    <row r="265" spans="2:3" ht="15.75" customHeight="1" x14ac:dyDescent="0.25">
      <c r="B265"/>
      <c r="C265"/>
    </row>
    <row r="266" spans="2:3" ht="15.75" customHeight="1" x14ac:dyDescent="0.25">
      <c r="B266"/>
      <c r="C266"/>
    </row>
    <row r="267" spans="2:3" ht="15.75" customHeight="1" x14ac:dyDescent="0.25">
      <c r="B267"/>
      <c r="C267"/>
    </row>
    <row r="268" spans="2:3" ht="15.75" customHeight="1" x14ac:dyDescent="0.25">
      <c r="B268"/>
      <c r="C268"/>
    </row>
    <row r="269" spans="2:3" ht="15.75" customHeight="1" x14ac:dyDescent="0.25">
      <c r="B269"/>
      <c r="C269"/>
    </row>
    <row r="270" spans="2:3" ht="15.75" customHeight="1" x14ac:dyDescent="0.25">
      <c r="B270"/>
      <c r="C270"/>
    </row>
    <row r="271" spans="2:3" ht="15.75" customHeight="1" x14ac:dyDescent="0.25">
      <c r="B271"/>
      <c r="C271"/>
    </row>
    <row r="272" spans="2:3" ht="15.75" customHeight="1" x14ac:dyDescent="0.25">
      <c r="B272"/>
      <c r="C272"/>
    </row>
    <row r="273" spans="2:3" ht="15.75" customHeight="1" x14ac:dyDescent="0.25">
      <c r="B273"/>
      <c r="C273"/>
    </row>
    <row r="274" spans="2:3" ht="15.75" customHeight="1" x14ac:dyDescent="0.25">
      <c r="B274"/>
      <c r="C274"/>
    </row>
    <row r="275" spans="2:3" ht="15.75" customHeight="1" x14ac:dyDescent="0.25">
      <c r="B275"/>
      <c r="C275"/>
    </row>
    <row r="276" spans="2:3" ht="15.75" customHeight="1" x14ac:dyDescent="0.25">
      <c r="B276"/>
      <c r="C276"/>
    </row>
    <row r="277" spans="2:3" ht="15.75" customHeight="1" x14ac:dyDescent="0.25">
      <c r="B277"/>
      <c r="C277"/>
    </row>
    <row r="278" spans="2:3" ht="15.75" customHeight="1" x14ac:dyDescent="0.25">
      <c r="B278"/>
      <c r="C278"/>
    </row>
    <row r="279" spans="2:3" ht="15.75" customHeight="1" x14ac:dyDescent="0.25">
      <c r="B279"/>
      <c r="C279"/>
    </row>
    <row r="280" spans="2:3" ht="15.75" customHeight="1" x14ac:dyDescent="0.25">
      <c r="B280"/>
      <c r="C280"/>
    </row>
    <row r="281" spans="2:3" ht="15.75" customHeight="1" x14ac:dyDescent="0.25">
      <c r="B281"/>
      <c r="C281"/>
    </row>
    <row r="282" spans="2:3" ht="15.75" customHeight="1" x14ac:dyDescent="0.25">
      <c r="B282"/>
      <c r="C282"/>
    </row>
    <row r="283" spans="2:3" ht="15.75" customHeight="1" x14ac:dyDescent="0.25">
      <c r="B283"/>
      <c r="C283"/>
    </row>
    <row r="284" spans="2:3" ht="15.75" customHeight="1" x14ac:dyDescent="0.25">
      <c r="B284"/>
      <c r="C284"/>
    </row>
    <row r="285" spans="2:3" ht="15.75" customHeight="1" x14ac:dyDescent="0.25">
      <c r="B285"/>
      <c r="C285"/>
    </row>
    <row r="286" spans="2:3" ht="15.75" customHeight="1" x14ac:dyDescent="0.25">
      <c r="B286"/>
      <c r="C286"/>
    </row>
    <row r="287" spans="2:3" ht="15.75" customHeight="1" x14ac:dyDescent="0.25">
      <c r="B287"/>
      <c r="C287"/>
    </row>
    <row r="288" spans="2:3" ht="15.75" customHeight="1" x14ac:dyDescent="0.25">
      <c r="B288"/>
      <c r="C288"/>
    </row>
    <row r="289" spans="2:3" ht="15.75" customHeight="1" x14ac:dyDescent="0.25">
      <c r="B289"/>
      <c r="C289"/>
    </row>
    <row r="290" spans="2:3" ht="15.75" customHeight="1" x14ac:dyDescent="0.25">
      <c r="B290"/>
      <c r="C290"/>
    </row>
    <row r="291" spans="2:3" ht="15.75" customHeight="1" x14ac:dyDescent="0.25">
      <c r="B291"/>
      <c r="C291"/>
    </row>
    <row r="292" spans="2:3" ht="15.75" customHeight="1" x14ac:dyDescent="0.25">
      <c r="B292"/>
      <c r="C292"/>
    </row>
    <row r="293" spans="2:3" ht="15.75" customHeight="1" x14ac:dyDescent="0.25">
      <c r="B293"/>
      <c r="C293"/>
    </row>
    <row r="294" spans="2:3" ht="15.75" customHeight="1" x14ac:dyDescent="0.25">
      <c r="B294"/>
      <c r="C294"/>
    </row>
    <row r="295" spans="2:3" ht="15.75" customHeight="1" x14ac:dyDescent="0.25">
      <c r="B295"/>
      <c r="C295"/>
    </row>
    <row r="296" spans="2:3" ht="15.75" customHeight="1" x14ac:dyDescent="0.25">
      <c r="B296"/>
      <c r="C296"/>
    </row>
    <row r="297" spans="2:3" ht="15.75" customHeight="1" x14ac:dyDescent="0.25">
      <c r="B297"/>
      <c r="C297"/>
    </row>
    <row r="298" spans="2:3" ht="15.75" customHeight="1" x14ac:dyDescent="0.25">
      <c r="B298"/>
      <c r="C298"/>
    </row>
    <row r="299" spans="2:3" ht="15.75" customHeight="1" x14ac:dyDescent="0.25">
      <c r="B299"/>
      <c r="C299"/>
    </row>
    <row r="300" spans="2:3" ht="15.75" customHeight="1" x14ac:dyDescent="0.25">
      <c r="B300"/>
      <c r="C300"/>
    </row>
    <row r="301" spans="2:3" ht="15.75" customHeight="1" x14ac:dyDescent="0.25">
      <c r="B301"/>
      <c r="C301"/>
    </row>
    <row r="302" spans="2:3" ht="15.75" customHeight="1" x14ac:dyDescent="0.25">
      <c r="B302"/>
      <c r="C302"/>
    </row>
    <row r="303" spans="2:3" ht="15.75" customHeight="1" x14ac:dyDescent="0.25">
      <c r="B303"/>
      <c r="C303"/>
    </row>
    <row r="304" spans="2:3" ht="15.75" customHeight="1" x14ac:dyDescent="0.25">
      <c r="B304"/>
      <c r="C304"/>
    </row>
    <row r="305" spans="2:3" ht="15.75" customHeight="1" x14ac:dyDescent="0.25">
      <c r="B305"/>
      <c r="C305"/>
    </row>
    <row r="306" spans="2:3" ht="15.75" customHeight="1" x14ac:dyDescent="0.25">
      <c r="B306"/>
      <c r="C306"/>
    </row>
    <row r="307" spans="2:3" ht="15.75" customHeight="1" x14ac:dyDescent="0.25">
      <c r="B307"/>
      <c r="C307"/>
    </row>
    <row r="308" spans="2:3" ht="15.75" customHeight="1" x14ac:dyDescent="0.25">
      <c r="B308"/>
      <c r="C308"/>
    </row>
    <row r="309" spans="2:3" ht="15.75" customHeight="1" x14ac:dyDescent="0.25">
      <c r="B309"/>
      <c r="C309"/>
    </row>
    <row r="310" spans="2:3" ht="15.75" customHeight="1" x14ac:dyDescent="0.25">
      <c r="B310"/>
      <c r="C310"/>
    </row>
    <row r="311" spans="2:3" ht="15.75" customHeight="1" x14ac:dyDescent="0.25">
      <c r="B311"/>
      <c r="C311"/>
    </row>
    <row r="312" spans="2:3" ht="15.75" customHeight="1" x14ac:dyDescent="0.25">
      <c r="B312"/>
      <c r="C312"/>
    </row>
    <row r="313" spans="2:3" ht="15.75" customHeight="1" x14ac:dyDescent="0.25">
      <c r="B313"/>
      <c r="C313"/>
    </row>
    <row r="314" spans="2:3" ht="15.75" customHeight="1" x14ac:dyDescent="0.25">
      <c r="B314"/>
      <c r="C314"/>
    </row>
    <row r="315" spans="2:3" ht="15.75" customHeight="1" x14ac:dyDescent="0.25">
      <c r="B315"/>
      <c r="C315"/>
    </row>
    <row r="316" spans="2:3" ht="15.75" customHeight="1" x14ac:dyDescent="0.25">
      <c r="B316"/>
      <c r="C316"/>
    </row>
    <row r="317" spans="2:3" ht="15.75" customHeight="1" x14ac:dyDescent="0.25">
      <c r="B317"/>
      <c r="C317"/>
    </row>
    <row r="318" spans="2:3" ht="15.75" customHeight="1" x14ac:dyDescent="0.25">
      <c r="B318"/>
      <c r="C318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B1:W469"/>
  <sheetViews>
    <sheetView topLeftCell="A19" workbookViewId="0">
      <selection activeCell="D29" sqref="D29"/>
    </sheetView>
  </sheetViews>
  <sheetFormatPr baseColWidth="10" defaultRowHeight="15.7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ht="15.75" customHeight="1" x14ac:dyDescent="0.25">
      <c r="B3" s="19">
        <v>2</v>
      </c>
      <c r="C3" s="8" t="s">
        <v>106</v>
      </c>
      <c r="D3" s="36">
        <f>IF((E3+E4+E5)=0,0,E3/(E3+E4+E5))</f>
        <v>0.54518518518518522</v>
      </c>
      <c r="E3" s="9">
        <f t="shared" ref="E3:E29" si="0">SUM(F3:W3)</f>
        <v>368</v>
      </c>
      <c r="F3" s="9">
        <f>SUMIFS([0]!psuv,[0]!municipio,$B3,[0]!turno,F$2)</f>
        <v>0</v>
      </c>
      <c r="G3" s="9">
        <f>SUMIFS([0]!psuv,[0]!municipio,$B3,[0]!turno,G$2)</f>
        <v>25</v>
      </c>
      <c r="H3" s="9">
        <f>SUMIFS([0]!psuv,[0]!municipio,$B3,[0]!turno,H$2)</f>
        <v>16</v>
      </c>
      <c r="I3" s="9">
        <f>SUMIFS([0]!psuv,[0]!municipio,$B3,[0]!turno,I$2)</f>
        <v>38</v>
      </c>
      <c r="J3" s="9">
        <f>SUMIFS([0]!psuv,[0]!municipio,$B3,[0]!turno,J$2)</f>
        <v>31</v>
      </c>
      <c r="K3" s="9">
        <f>SUMIFS([0]!psuv,[0]!municipio,$B3,[0]!turno,K$2)</f>
        <v>15</v>
      </c>
      <c r="L3" s="9">
        <f>SUMIFS([0]!psuv,[0]!municipio,$B3,[0]!turno,L$2)</f>
        <v>23</v>
      </c>
      <c r="M3" s="9">
        <f>SUMIFS([0]!psuv,[0]!municipio,$B3,[0]!turno,M$2)</f>
        <v>17</v>
      </c>
      <c r="N3" s="9">
        <f>SUMIFS([0]!psuv,[0]!municipio,$B3,[0]!turno,N$2)</f>
        <v>19</v>
      </c>
      <c r="O3" s="9">
        <f>SUMIFS([0]!psuv,[0]!municipio,$B3,[0]!turno,O$2)</f>
        <v>9</v>
      </c>
      <c r="P3" s="9">
        <f>SUMIFS([0]!psuv,[0]!municipio,$B3,[0]!turno,P$2)</f>
        <v>14</v>
      </c>
      <c r="Q3" s="9">
        <f>SUMIFS([0]!psuv,[0]!municipio,$B3,[0]!turno,Q$2)</f>
        <v>21</v>
      </c>
      <c r="R3" s="9">
        <f>SUMIFS([0]!psuv,[0]!municipio,$B3,[0]!turno,R$2)</f>
        <v>30</v>
      </c>
      <c r="S3" s="9">
        <f>SUMIFS([0]!psuv,[0]!municipio,$B3,[0]!turno,S$2)</f>
        <v>23</v>
      </c>
      <c r="T3" s="9">
        <f>SUMIFS([0]!psuv,[0]!municipio,$B3,[0]!turno,T$2)</f>
        <v>24</v>
      </c>
      <c r="U3" s="9">
        <f>SUMIFS([0]!psuv,[0]!municipio,$B3,[0]!turno,U$2)</f>
        <v>19</v>
      </c>
      <c r="V3" s="9">
        <f>SUMIFS([0]!psuv,[0]!municipio,$B3,[0]!turno,V$2)</f>
        <v>26</v>
      </c>
      <c r="W3" s="25">
        <f>SUMIFS([0]!psuv,[0]!municipio,$B3,[0]!turno,W$2)</f>
        <v>18</v>
      </c>
    </row>
    <row r="4" spans="2:23" ht="15.75" customHeight="1" x14ac:dyDescent="0.25">
      <c r="B4" s="20" t="s">
        <v>4</v>
      </c>
      <c r="C4" s="4" t="s">
        <v>107</v>
      </c>
      <c r="D4" s="37">
        <f>IF((E3+E4+E5)=0,0,E4/(E3+E4+E5))</f>
        <v>0.43259259259259258</v>
      </c>
      <c r="E4" s="5">
        <f t="shared" si="0"/>
        <v>292</v>
      </c>
      <c r="F4" s="5">
        <f>SUMIFS([0]!mud,[0]!municipio,$B3,[0]!turno,F$2)</f>
        <v>0</v>
      </c>
      <c r="G4" s="5">
        <f>SUMIFS([0]!mud,[0]!municipio,$B3,[0]!turno,G$2)</f>
        <v>18</v>
      </c>
      <c r="H4" s="5">
        <f>SUMIFS([0]!mud,[0]!municipio,$B3,[0]!turno,H$2)</f>
        <v>2</v>
      </c>
      <c r="I4" s="5">
        <f>SUMIFS([0]!mud,[0]!municipio,$B3,[0]!turno,I$2)</f>
        <v>14</v>
      </c>
      <c r="J4" s="5">
        <f>SUMIFS([0]!mud,[0]!municipio,$B3,[0]!turno,J$2)</f>
        <v>31</v>
      </c>
      <c r="K4" s="5">
        <f>SUMIFS([0]!mud,[0]!municipio,$B3,[0]!turno,K$2)</f>
        <v>18</v>
      </c>
      <c r="L4" s="5">
        <f>SUMIFS([0]!mud,[0]!municipio,$B3,[0]!turno,L$2)</f>
        <v>11</v>
      </c>
      <c r="M4" s="5">
        <f>SUMIFS([0]!mud,[0]!municipio,$B3,[0]!turno,M$2)</f>
        <v>26</v>
      </c>
      <c r="N4" s="5">
        <f>SUMIFS([0]!mud,[0]!municipio,$B3,[0]!turno,N$2)</f>
        <v>20</v>
      </c>
      <c r="O4" s="5">
        <f>SUMIFS([0]!mud,[0]!municipio,$B3,[0]!turno,O$2)</f>
        <v>3</v>
      </c>
      <c r="P4" s="5">
        <f>SUMIFS([0]!mud,[0]!municipio,$B3,[0]!turno,P$2)</f>
        <v>20</v>
      </c>
      <c r="Q4" s="5">
        <f>SUMIFS([0]!mud,[0]!municipio,$B3,[0]!turno,Q$2)</f>
        <v>21</v>
      </c>
      <c r="R4" s="5">
        <f>SUMIFS([0]!mud,[0]!municipio,$B3,[0]!turno,R$2)</f>
        <v>15</v>
      </c>
      <c r="S4" s="5">
        <f>SUMIFS([0]!mud,[0]!municipio,$B3,[0]!turno,S$2)</f>
        <v>23</v>
      </c>
      <c r="T4" s="5">
        <f>SUMIFS([0]!mud,[0]!municipio,$B3,[0]!turno,T$2)</f>
        <v>22</v>
      </c>
      <c r="U4" s="5">
        <f>SUMIFS([0]!mud,[0]!municipio,$B3,[0]!turno,U$2)</f>
        <v>20</v>
      </c>
      <c r="V4" s="5">
        <f>SUMIFS([0]!mud,[0]!municipio,$B3,[0]!turno,V$2)</f>
        <v>14</v>
      </c>
      <c r="W4" s="26">
        <f>SUMIFS([0]!mud,[0]!municipio,$B3,[0]!turno,W$2)</f>
        <v>14</v>
      </c>
    </row>
    <row r="5" spans="2:23" ht="15.75" customHeight="1" thickBot="1" x14ac:dyDescent="0.3">
      <c r="B5" s="21">
        <v>0.10702029005545323</v>
      </c>
      <c r="C5" s="10" t="s">
        <v>0</v>
      </c>
      <c r="D5" s="38">
        <f>IF((E3+E4+E5)=0,0,E5/(E3+E4+E5))</f>
        <v>2.2222222222222223E-2</v>
      </c>
      <c r="E5" s="11">
        <f t="shared" si="0"/>
        <v>15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11</v>
      </c>
      <c r="L5" s="11">
        <f>SUMIFS([0]!otro,[0]!municipio,$B3,[0]!turno,L$2)</f>
        <v>3</v>
      </c>
      <c r="M5" s="11">
        <f>SUMIFS([0]!otro,[0]!municipio,$B3,[0]!turno,M$2)</f>
        <v>1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ht="15.75" customHeight="1" x14ac:dyDescent="0.25">
      <c r="B6" s="22">
        <v>3</v>
      </c>
      <c r="C6" s="6" t="s">
        <v>106</v>
      </c>
      <c r="D6" s="36">
        <f>IF((E6+E7+E8)=0,0,E6/(E6+E7+E8))</f>
        <v>0.61023890784982937</v>
      </c>
      <c r="E6" s="7">
        <f t="shared" si="0"/>
        <v>894</v>
      </c>
      <c r="F6" s="7">
        <f>SUMIFS([0]!psuv,[0]!municipio,$B6,[0]!turno,F$2)</f>
        <v>26</v>
      </c>
      <c r="G6" s="7">
        <f>SUMIFS([0]!psuv,[0]!municipio,$B6,[0]!turno,G$2)</f>
        <v>43</v>
      </c>
      <c r="H6" s="7">
        <f>SUMIFS([0]!psuv,[0]!municipio,$B6,[0]!turno,H$2)</f>
        <v>28</v>
      </c>
      <c r="I6" s="7">
        <f>SUMIFS([0]!psuv,[0]!municipio,$B6,[0]!turno,I$2)</f>
        <v>69</v>
      </c>
      <c r="J6" s="7">
        <f>SUMIFS([0]!psuv,[0]!municipio,$B6,[0]!turno,J$2)</f>
        <v>64</v>
      </c>
      <c r="K6" s="7">
        <f>SUMIFS([0]!psuv,[0]!municipio,$B6,[0]!turno,K$2)</f>
        <v>52</v>
      </c>
      <c r="L6" s="7">
        <f>SUMIFS([0]!psuv,[0]!municipio,$B6,[0]!turno,L$2)</f>
        <v>73</v>
      </c>
      <c r="M6" s="7">
        <f>SUMIFS([0]!psuv,[0]!municipio,$B6,[0]!turno,M$2)</f>
        <v>52</v>
      </c>
      <c r="N6" s="7">
        <f>SUMIFS([0]!psuv,[0]!municipio,$B6,[0]!turno,N$2)</f>
        <v>50</v>
      </c>
      <c r="O6" s="7">
        <f>SUMIFS([0]!psuv,[0]!municipio,$B6,[0]!turno,O$2)</f>
        <v>42</v>
      </c>
      <c r="P6" s="7">
        <f>SUMIFS([0]!psuv,[0]!municipio,$B6,[0]!turno,P$2)</f>
        <v>64</v>
      </c>
      <c r="Q6" s="7">
        <f>SUMIFS([0]!psuv,[0]!municipio,$B6,[0]!turno,Q$2)</f>
        <v>48</v>
      </c>
      <c r="R6" s="7">
        <f>SUMIFS([0]!psuv,[0]!municipio,$B6,[0]!turno,R$2)</f>
        <v>57</v>
      </c>
      <c r="S6" s="7">
        <f>SUMIFS([0]!psuv,[0]!municipio,$B6,[0]!turno,S$2)</f>
        <v>42</v>
      </c>
      <c r="T6" s="7">
        <f>SUMIFS([0]!psuv,[0]!municipio,$B6,[0]!turno,T$2)</f>
        <v>53</v>
      </c>
      <c r="U6" s="7">
        <f>SUMIFS([0]!psuv,[0]!municipio,$B6,[0]!turno,U$2)</f>
        <v>37</v>
      </c>
      <c r="V6" s="7">
        <f>SUMIFS([0]!psuv,[0]!municipio,$B6,[0]!turno,V$2)</f>
        <v>57</v>
      </c>
      <c r="W6" s="28">
        <f>SUMIFS([0]!psuv,[0]!municipio,$B6,[0]!turno,W$2)</f>
        <v>37</v>
      </c>
    </row>
    <row r="7" spans="2:23" ht="15.75" customHeight="1" x14ac:dyDescent="0.25">
      <c r="B7" s="23" t="s">
        <v>5</v>
      </c>
      <c r="C7" s="4" t="s">
        <v>107</v>
      </c>
      <c r="D7" s="37">
        <f>IF((E6+E7+E8)=0,0,E7/(E6+E7+E8))</f>
        <v>0.37337883959044371</v>
      </c>
      <c r="E7" s="5">
        <f t="shared" si="0"/>
        <v>547</v>
      </c>
      <c r="F7" s="5">
        <f>SUMIFS([0]!mud,[0]!municipio,$B6,[0]!turno,F$2)</f>
        <v>12</v>
      </c>
      <c r="G7" s="5">
        <f>SUMIFS([0]!mud,[0]!municipio,$B6,[0]!turno,G$2)</f>
        <v>19</v>
      </c>
      <c r="H7" s="5">
        <f>SUMIFS([0]!mud,[0]!municipio,$B6,[0]!turno,H$2)</f>
        <v>12</v>
      </c>
      <c r="I7" s="5">
        <f>SUMIFS([0]!mud,[0]!municipio,$B6,[0]!turno,I$2)</f>
        <v>45</v>
      </c>
      <c r="J7" s="5">
        <f>SUMIFS([0]!mud,[0]!municipio,$B6,[0]!turno,J$2)</f>
        <v>44</v>
      </c>
      <c r="K7" s="5">
        <f>SUMIFS([0]!mud,[0]!municipio,$B6,[0]!turno,K$2)</f>
        <v>40</v>
      </c>
      <c r="L7" s="5">
        <f>SUMIFS([0]!mud,[0]!municipio,$B6,[0]!turno,L$2)</f>
        <v>32</v>
      </c>
      <c r="M7" s="5">
        <f>SUMIFS([0]!mud,[0]!municipio,$B6,[0]!turno,M$2)</f>
        <v>45</v>
      </c>
      <c r="N7" s="5">
        <f>SUMIFS([0]!mud,[0]!municipio,$B6,[0]!turno,N$2)</f>
        <v>46</v>
      </c>
      <c r="O7" s="5">
        <f>SUMIFS([0]!mud,[0]!municipio,$B6,[0]!turno,O$2)</f>
        <v>47</v>
      </c>
      <c r="P7" s="5">
        <f>SUMIFS([0]!mud,[0]!municipio,$B6,[0]!turno,P$2)</f>
        <v>30</v>
      </c>
      <c r="Q7" s="5">
        <f>SUMIFS([0]!mud,[0]!municipio,$B6,[0]!turno,Q$2)</f>
        <v>34</v>
      </c>
      <c r="R7" s="5">
        <f>SUMIFS([0]!mud,[0]!municipio,$B6,[0]!turno,R$2)</f>
        <v>25</v>
      </c>
      <c r="S7" s="5">
        <f>SUMIFS([0]!mud,[0]!municipio,$B6,[0]!turno,S$2)</f>
        <v>18</v>
      </c>
      <c r="T7" s="5">
        <f>SUMIFS([0]!mud,[0]!municipio,$B6,[0]!turno,T$2)</f>
        <v>26</v>
      </c>
      <c r="U7" s="5">
        <f>SUMIFS([0]!mud,[0]!municipio,$B6,[0]!turno,U$2)</f>
        <v>31</v>
      </c>
      <c r="V7" s="5">
        <f>SUMIFS([0]!mud,[0]!municipio,$B6,[0]!turno,V$2)</f>
        <v>20</v>
      </c>
      <c r="W7" s="26">
        <f>SUMIFS([0]!mud,[0]!municipio,$B6,[0]!turno,W$2)</f>
        <v>21</v>
      </c>
    </row>
    <row r="8" spans="2:23" ht="15.75" customHeight="1" thickBot="1" x14ac:dyDescent="0.3">
      <c r="B8" s="24">
        <v>0.32873198263815162</v>
      </c>
      <c r="C8" s="12" t="s">
        <v>0</v>
      </c>
      <c r="D8" s="38">
        <f>IF((E6+E7+E8)=0,0,E8/(E6+E7+E8))</f>
        <v>1.6382252559726963E-2</v>
      </c>
      <c r="E8" s="13">
        <f t="shared" si="0"/>
        <v>24</v>
      </c>
      <c r="F8" s="13">
        <f>SUMIFS([0]!otro,[0]!municipio,$B6,[0]!turno,F$2)</f>
        <v>1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2</v>
      </c>
      <c r="J8" s="13">
        <f>SUMIFS([0]!otro,[0]!municipio,$B6,[0]!turno,J$2)</f>
        <v>4</v>
      </c>
      <c r="K8" s="13">
        <f>SUMIFS([0]!otro,[0]!municipio,$B6,[0]!turno,K$2)</f>
        <v>5</v>
      </c>
      <c r="L8" s="13">
        <f>SUMIFS([0]!otro,[0]!municipio,$B6,[0]!turno,L$2)</f>
        <v>4</v>
      </c>
      <c r="M8" s="13">
        <f>SUMIFS([0]!otro,[0]!municipio,$B6,[0]!turno,M$2)</f>
        <v>3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1</v>
      </c>
      <c r="Q8" s="13">
        <f>SUMIFS([0]!otro,[0]!municipio,$B6,[0]!turno,Q$2)</f>
        <v>0</v>
      </c>
      <c r="R8" s="13">
        <f>SUMIFS([0]!otro,[0]!municipio,$B6,[0]!turno,R$2)</f>
        <v>2</v>
      </c>
      <c r="S8" s="13">
        <f>SUMIFS([0]!otro,[0]!municipio,$B6,[0]!turno,S$2)</f>
        <v>1</v>
      </c>
      <c r="T8" s="13">
        <f>SUMIFS([0]!otro,[0]!municipio,$B6,[0]!turno,T$2)</f>
        <v>0</v>
      </c>
      <c r="U8" s="13">
        <f>SUMIFS([0]!otro,[0]!municipio,$B6,[0]!turno,U$2)</f>
        <v>1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ht="15.75" customHeight="1" x14ac:dyDescent="0.25">
      <c r="B9" s="19">
        <v>4</v>
      </c>
      <c r="C9" s="8" t="s">
        <v>106</v>
      </c>
      <c r="D9" s="36">
        <f>IF((E9+E10+E11)=0,0,E9/(E9+E10+E11))</f>
        <v>0.1111111111111111</v>
      </c>
      <c r="E9" s="9">
        <f t="shared" si="0"/>
        <v>42</v>
      </c>
      <c r="F9" s="9">
        <f>SUMIFS([0]!psuv,[0]!municipio,$B9,[0]!turno,F$2)</f>
        <v>2</v>
      </c>
      <c r="G9" s="9">
        <f>SUMIFS([0]!psuv,[0]!municipio,$B9,[0]!turno,G$2)</f>
        <v>4</v>
      </c>
      <c r="H9" s="9">
        <f>SUMIFS([0]!psuv,[0]!municipio,$B9,[0]!turno,H$2)</f>
        <v>4</v>
      </c>
      <c r="I9" s="9">
        <f>SUMIFS([0]!psuv,[0]!municipio,$B9,[0]!turno,I$2)</f>
        <v>4</v>
      </c>
      <c r="J9" s="9">
        <f>SUMIFS([0]!psuv,[0]!municipio,$B9,[0]!turno,J$2)</f>
        <v>4</v>
      </c>
      <c r="K9" s="9">
        <f>SUMIFS([0]!psuv,[0]!municipio,$B9,[0]!turno,K$2)</f>
        <v>3</v>
      </c>
      <c r="L9" s="9">
        <f>SUMIFS([0]!psuv,[0]!municipio,$B9,[0]!turno,L$2)</f>
        <v>4</v>
      </c>
      <c r="M9" s="9">
        <f>SUMIFS([0]!psuv,[0]!municipio,$B9,[0]!turno,M$2)</f>
        <v>2</v>
      </c>
      <c r="N9" s="9">
        <f>SUMIFS([0]!psuv,[0]!municipio,$B9,[0]!turno,N$2)</f>
        <v>0</v>
      </c>
      <c r="O9" s="9">
        <f>SUMIFS([0]!psuv,[0]!municipio,$B9,[0]!turno,O$2)</f>
        <v>4</v>
      </c>
      <c r="P9" s="9">
        <f>SUMIFS([0]!psuv,[0]!municipio,$B9,[0]!turno,P$2)</f>
        <v>2</v>
      </c>
      <c r="Q9" s="9">
        <f>SUMIFS([0]!psuv,[0]!municipio,$B9,[0]!turno,Q$2)</f>
        <v>1</v>
      </c>
      <c r="R9" s="9">
        <f>SUMIFS([0]!psuv,[0]!municipio,$B9,[0]!turno,R$2)</f>
        <v>0</v>
      </c>
      <c r="S9" s="9">
        <f>SUMIFS([0]!psuv,[0]!municipio,$B9,[0]!turno,S$2)</f>
        <v>2</v>
      </c>
      <c r="T9" s="9">
        <f>SUMIFS([0]!psuv,[0]!municipio,$B9,[0]!turno,T$2)</f>
        <v>2</v>
      </c>
      <c r="U9" s="9">
        <f>SUMIFS([0]!psuv,[0]!municipio,$B9,[0]!turno,U$2)</f>
        <v>1</v>
      </c>
      <c r="V9" s="9">
        <f>SUMIFS([0]!psuv,[0]!municipio,$B9,[0]!turno,V$2)</f>
        <v>3</v>
      </c>
      <c r="W9" s="25">
        <f>SUMIFS([0]!psuv,[0]!municipio,$B9,[0]!turno,W$2)</f>
        <v>0</v>
      </c>
    </row>
    <row r="10" spans="2:23" ht="15.75" customHeight="1" x14ac:dyDescent="0.25">
      <c r="B10" s="20" t="s">
        <v>6</v>
      </c>
      <c r="C10" s="4" t="s">
        <v>107</v>
      </c>
      <c r="D10" s="37">
        <f>IF((E9+E10+E11)=0,0,E10/(E9+E10+E11))</f>
        <v>0.85978835978835977</v>
      </c>
      <c r="E10" s="5">
        <f t="shared" si="0"/>
        <v>325</v>
      </c>
      <c r="F10" s="5">
        <f>SUMIFS([0]!mud,[0]!municipio,$B9,[0]!turno,F$2)</f>
        <v>15</v>
      </c>
      <c r="G10" s="5">
        <f>SUMIFS([0]!mud,[0]!municipio,$B9,[0]!turno,G$2)</f>
        <v>20</v>
      </c>
      <c r="H10" s="5">
        <f>SUMIFS([0]!mud,[0]!municipio,$B9,[0]!turno,H$2)</f>
        <v>18</v>
      </c>
      <c r="I10" s="5">
        <f>SUMIFS([0]!mud,[0]!municipio,$B9,[0]!turno,I$2)</f>
        <v>17</v>
      </c>
      <c r="J10" s="5">
        <f>SUMIFS([0]!mud,[0]!municipio,$B9,[0]!turno,J$2)</f>
        <v>24</v>
      </c>
      <c r="K10" s="5">
        <f>SUMIFS([0]!mud,[0]!municipio,$B9,[0]!turno,K$2)</f>
        <v>20</v>
      </c>
      <c r="L10" s="5">
        <f>SUMIFS([0]!mud,[0]!municipio,$B9,[0]!turno,L$2)</f>
        <v>25</v>
      </c>
      <c r="M10" s="5">
        <f>SUMIFS([0]!mud,[0]!municipio,$B9,[0]!turno,M$2)</f>
        <v>21</v>
      </c>
      <c r="N10" s="5">
        <f>SUMIFS([0]!mud,[0]!municipio,$B9,[0]!turno,N$2)</f>
        <v>0</v>
      </c>
      <c r="O10" s="5">
        <f>SUMIFS([0]!mud,[0]!municipio,$B9,[0]!turno,O$2)</f>
        <v>24</v>
      </c>
      <c r="P10" s="5">
        <f>SUMIFS([0]!mud,[0]!municipio,$B9,[0]!turno,P$2)</f>
        <v>20</v>
      </c>
      <c r="Q10" s="5">
        <f>SUMIFS([0]!mud,[0]!municipio,$B9,[0]!turno,Q$2)</f>
        <v>21</v>
      </c>
      <c r="R10" s="5">
        <f>SUMIFS([0]!mud,[0]!municipio,$B9,[0]!turno,R$2)</f>
        <v>18</v>
      </c>
      <c r="S10" s="5">
        <f>SUMIFS([0]!mud,[0]!municipio,$B9,[0]!turno,S$2)</f>
        <v>23</v>
      </c>
      <c r="T10" s="5">
        <f>SUMIFS([0]!mud,[0]!municipio,$B9,[0]!turno,T$2)</f>
        <v>22</v>
      </c>
      <c r="U10" s="5">
        <f>SUMIFS([0]!mud,[0]!municipio,$B9,[0]!turno,U$2)</f>
        <v>19</v>
      </c>
      <c r="V10" s="5">
        <f>SUMIFS([0]!mud,[0]!municipio,$B9,[0]!turno,V$2)</f>
        <v>18</v>
      </c>
      <c r="W10" s="26">
        <f>SUMIFS([0]!mud,[0]!municipio,$B9,[0]!turno,W$2)</f>
        <v>0</v>
      </c>
    </row>
    <row r="11" spans="2:23" ht="15.75" customHeight="1" thickBot="1" x14ac:dyDescent="0.3">
      <c r="B11" s="21">
        <v>6.5388394819098028E-2</v>
      </c>
      <c r="C11" s="10" t="s">
        <v>0</v>
      </c>
      <c r="D11" s="38">
        <f>IF((E9+E10+E11)=0,0,E11/(E9+E10+E11))</f>
        <v>2.9100529100529099E-2</v>
      </c>
      <c r="E11" s="11">
        <f t="shared" si="0"/>
        <v>11</v>
      </c>
      <c r="F11" s="11">
        <f>SUMIFS([0]!otro,[0]!municipio,$B9,[0]!turno,F$2)</f>
        <v>5</v>
      </c>
      <c r="G11" s="11">
        <f>SUMIFS([0]!otro,[0]!municipio,$B9,[0]!turno,G$2)</f>
        <v>3</v>
      </c>
      <c r="H11" s="11">
        <f>SUMIFS([0]!otro,[0]!municipio,$B9,[0]!turno,H$2)</f>
        <v>1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1</v>
      </c>
      <c r="V11" s="11">
        <f>SUMIFS([0]!otro,[0]!municipio,$B9,[0]!turno,V$2)</f>
        <v>1</v>
      </c>
      <c r="W11" s="27">
        <f>SUMIFS([0]!otro,[0]!municipio,$B9,[0]!turno,W$2)</f>
        <v>0</v>
      </c>
    </row>
    <row r="12" spans="2:23" ht="15.75" customHeight="1" x14ac:dyDescent="0.25">
      <c r="B12" s="22">
        <v>5</v>
      </c>
      <c r="C12" s="6" t="s">
        <v>106</v>
      </c>
      <c r="D12" s="36">
        <f>IF((E12+E13+E14)=0,0,E12/(E12+E13+E14))</f>
        <v>0.5444444444444444</v>
      </c>
      <c r="E12" s="7">
        <f t="shared" si="0"/>
        <v>49</v>
      </c>
      <c r="F12" s="7">
        <f>SUMIFS([0]!psuv,[0]!municipio,$B12,[0]!turno,F$2)</f>
        <v>0</v>
      </c>
      <c r="G12" s="7">
        <f>SUMIFS([0]!psuv,[0]!municipio,$B12,[0]!turno,G$2)</f>
        <v>10</v>
      </c>
      <c r="H12" s="7">
        <f>SUMIFS([0]!psuv,[0]!municipio,$B12,[0]!turno,H$2)</f>
        <v>3</v>
      </c>
      <c r="I12" s="7">
        <f>SUMIFS([0]!psuv,[0]!municipio,$B12,[0]!turno,I$2)</f>
        <v>0</v>
      </c>
      <c r="J12" s="7">
        <f>SUMIFS([0]!psuv,[0]!municipio,$B12,[0]!turno,J$2)</f>
        <v>0</v>
      </c>
      <c r="K12" s="7">
        <f>SUMIFS([0]!psuv,[0]!municipio,$B12,[0]!turno,K$2)</f>
        <v>0</v>
      </c>
      <c r="L12" s="7">
        <f>SUMIFS([0]!psuv,[0]!municipio,$B12,[0]!turno,L$2)</f>
        <v>0</v>
      </c>
      <c r="M12" s="7">
        <f>SUMIFS([0]!psuv,[0]!municipio,$B12,[0]!turno,M$2)</f>
        <v>0</v>
      </c>
      <c r="N12" s="7">
        <f>SUMIFS([0]!psuv,[0]!municipio,$B12,[0]!turno,N$2)</f>
        <v>0</v>
      </c>
      <c r="O12" s="7">
        <f>SUMIFS([0]!psuv,[0]!municipio,$B12,[0]!turno,O$2)</f>
        <v>8</v>
      </c>
      <c r="P12" s="7">
        <f>SUMIFS([0]!psuv,[0]!municipio,$B12,[0]!turno,P$2)</f>
        <v>6</v>
      </c>
      <c r="Q12" s="7">
        <f>SUMIFS([0]!psuv,[0]!municipio,$B12,[0]!turno,Q$2)</f>
        <v>2</v>
      </c>
      <c r="R12" s="7">
        <f>SUMIFS([0]!psuv,[0]!municipio,$B12,[0]!turno,R$2)</f>
        <v>0</v>
      </c>
      <c r="S12" s="7">
        <f>SUMIFS([0]!psuv,[0]!municipio,$B12,[0]!turno,S$2)</f>
        <v>12</v>
      </c>
      <c r="T12" s="7">
        <f>SUMIFS([0]!psuv,[0]!municipio,$B12,[0]!turno,T$2)</f>
        <v>0</v>
      </c>
      <c r="U12" s="7">
        <f>SUMIFS([0]!psuv,[0]!municipio,$B12,[0]!turno,U$2)</f>
        <v>5</v>
      </c>
      <c r="V12" s="7">
        <f>SUMIFS([0]!psuv,[0]!municipio,$B12,[0]!turno,V$2)</f>
        <v>0</v>
      </c>
      <c r="W12" s="28">
        <f>SUMIFS([0]!psuv,[0]!municipio,$B12,[0]!turno,W$2)</f>
        <v>3</v>
      </c>
    </row>
    <row r="13" spans="2:23" ht="15.75" customHeight="1" x14ac:dyDescent="0.25">
      <c r="B13" s="23" t="s">
        <v>7</v>
      </c>
      <c r="C13" s="4" t="s">
        <v>107</v>
      </c>
      <c r="D13" s="37">
        <f>IF((E12+E13+E14)=0,0,E13/(E12+E13+E14))</f>
        <v>0.42222222222222222</v>
      </c>
      <c r="E13" s="5">
        <f t="shared" si="0"/>
        <v>38</v>
      </c>
      <c r="F13" s="5">
        <f>SUMIFS([0]!mud,[0]!municipio,$B12,[0]!turno,F$2)</f>
        <v>0</v>
      </c>
      <c r="G13" s="5">
        <f>SUMIFS([0]!mud,[0]!municipio,$B12,[0]!turno,G$2)</f>
        <v>2</v>
      </c>
      <c r="H13" s="5">
        <f>SUMIFS([0]!mud,[0]!municipio,$B12,[0]!turno,H$2)</f>
        <v>5</v>
      </c>
      <c r="I13" s="5">
        <f>SUMIFS([0]!mud,[0]!municipio,$B12,[0]!turno,I$2)</f>
        <v>0</v>
      </c>
      <c r="J13" s="5">
        <f>SUMIFS([0]!mud,[0]!municipio,$B12,[0]!turno,J$2)</f>
        <v>0</v>
      </c>
      <c r="K13" s="5">
        <f>SUMIFS([0]!mud,[0]!municipio,$B12,[0]!turno,K$2)</f>
        <v>0</v>
      </c>
      <c r="L13" s="5">
        <f>SUMIFS([0]!mud,[0]!municipio,$B12,[0]!turno,L$2)</f>
        <v>0</v>
      </c>
      <c r="M13" s="5">
        <f>SUMIFS([0]!mud,[0]!municipio,$B12,[0]!turno,M$2)</f>
        <v>0</v>
      </c>
      <c r="N13" s="5">
        <f>SUMIFS([0]!mud,[0]!municipio,$B12,[0]!turno,N$2)</f>
        <v>0</v>
      </c>
      <c r="O13" s="5">
        <f>SUMIFS([0]!mud,[0]!municipio,$B12,[0]!turno,O$2)</f>
        <v>5</v>
      </c>
      <c r="P13" s="5">
        <f>SUMIFS([0]!mud,[0]!municipio,$B12,[0]!turno,P$2)</f>
        <v>3</v>
      </c>
      <c r="Q13" s="5">
        <f>SUMIFS([0]!mud,[0]!municipio,$B12,[0]!turno,Q$2)</f>
        <v>1</v>
      </c>
      <c r="R13" s="5">
        <f>SUMIFS([0]!mud,[0]!municipio,$B12,[0]!turno,R$2)</f>
        <v>0</v>
      </c>
      <c r="S13" s="5">
        <f>SUMIFS([0]!mud,[0]!municipio,$B12,[0]!turno,S$2)</f>
        <v>0</v>
      </c>
      <c r="T13" s="5">
        <f>SUMIFS([0]!mud,[0]!municipio,$B12,[0]!turno,T$2)</f>
        <v>8</v>
      </c>
      <c r="U13" s="5">
        <f>SUMIFS([0]!mud,[0]!municipio,$B12,[0]!turno,U$2)</f>
        <v>8</v>
      </c>
      <c r="V13" s="5">
        <f>SUMIFS([0]!mud,[0]!municipio,$B12,[0]!turno,V$2)</f>
        <v>4</v>
      </c>
      <c r="W13" s="26">
        <f>SUMIFS([0]!mud,[0]!municipio,$B12,[0]!turno,W$2)</f>
        <v>2</v>
      </c>
    </row>
    <row r="14" spans="2:23" ht="15.75" customHeight="1" thickBot="1" x14ac:dyDescent="0.3">
      <c r="B14" s="24">
        <v>6.3790966505853947E-2</v>
      </c>
      <c r="C14" s="12" t="s">
        <v>0</v>
      </c>
      <c r="D14" s="38">
        <f>IF((E12+E13+E14)=0,0,E14/(E12+E13+E14))</f>
        <v>3.3333333333333333E-2</v>
      </c>
      <c r="E14" s="13">
        <f t="shared" si="0"/>
        <v>3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1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2</v>
      </c>
      <c r="W14" s="29">
        <f>SUMIFS([0]!otro,[0]!municipio,$B12,[0]!turno,W$2)</f>
        <v>0</v>
      </c>
    </row>
    <row r="15" spans="2:23" ht="15.75" customHeight="1" x14ac:dyDescent="0.25">
      <c r="B15" s="19">
        <v>6</v>
      </c>
      <c r="C15" s="8" t="s">
        <v>106</v>
      </c>
      <c r="D15" s="36">
        <f>IF((E15+E16+E17)=0,0,E15/(E15+E16+E17))</f>
        <v>0.51428571428571423</v>
      </c>
      <c r="E15" s="9">
        <f t="shared" si="0"/>
        <v>54</v>
      </c>
      <c r="F15" s="9">
        <f>SUMIFS([0]!psuv,[0]!municipio,$B15,[0]!turno,F$2)</f>
        <v>0</v>
      </c>
      <c r="G15" s="9">
        <f>SUMIFS([0]!psuv,[0]!municipio,$B15,[0]!turno,G$2)</f>
        <v>0</v>
      </c>
      <c r="H15" s="9">
        <f>SUMIFS([0]!psuv,[0]!municipio,$B15,[0]!turno,H$2)</f>
        <v>2</v>
      </c>
      <c r="I15" s="9">
        <f>SUMIFS([0]!psuv,[0]!municipio,$B15,[0]!turno,I$2)</f>
        <v>12</v>
      </c>
      <c r="J15" s="9">
        <f>SUMIFS([0]!psuv,[0]!municipio,$B15,[0]!turno,J$2)</f>
        <v>1</v>
      </c>
      <c r="K15" s="9">
        <f>SUMIFS([0]!psuv,[0]!municipio,$B15,[0]!turno,K$2)</f>
        <v>2</v>
      </c>
      <c r="L15" s="9">
        <f>SUMIFS([0]!psuv,[0]!municipio,$B15,[0]!turno,L$2)</f>
        <v>8</v>
      </c>
      <c r="M15" s="9">
        <f>SUMIFS([0]!psuv,[0]!municipio,$B15,[0]!turno,M$2)</f>
        <v>3</v>
      </c>
      <c r="N15" s="9">
        <f>SUMIFS([0]!psuv,[0]!municipio,$B15,[0]!turno,N$2)</f>
        <v>7</v>
      </c>
      <c r="O15" s="9">
        <f>SUMIFS([0]!psuv,[0]!municipio,$B15,[0]!turno,O$2)</f>
        <v>6</v>
      </c>
      <c r="P15" s="9">
        <f>SUMIFS([0]!psuv,[0]!municipio,$B15,[0]!turno,P$2)</f>
        <v>4</v>
      </c>
      <c r="Q15" s="9">
        <f>SUMIFS([0]!psuv,[0]!municipio,$B15,[0]!turno,Q$2)</f>
        <v>3</v>
      </c>
      <c r="R15" s="9">
        <f>SUMIFS([0]!psuv,[0]!municipio,$B15,[0]!turno,R$2)</f>
        <v>2</v>
      </c>
      <c r="S15" s="9">
        <f>SUMIFS([0]!psuv,[0]!municipio,$B15,[0]!turno,S$2)</f>
        <v>0</v>
      </c>
      <c r="T15" s="9">
        <f>SUMIFS([0]!psuv,[0]!municipio,$B15,[0]!turno,T$2)</f>
        <v>1</v>
      </c>
      <c r="U15" s="9">
        <f>SUMIFS([0]!psuv,[0]!municipio,$B15,[0]!turno,U$2)</f>
        <v>1</v>
      </c>
      <c r="V15" s="9">
        <f>SUMIFS([0]!psuv,[0]!municipio,$B15,[0]!turno,V$2)</f>
        <v>2</v>
      </c>
      <c r="W15" s="25">
        <f>SUMIFS([0]!psuv,[0]!municipio,$B15,[0]!turno,W$2)</f>
        <v>0</v>
      </c>
    </row>
    <row r="16" spans="2:23" ht="15.75" customHeight="1" x14ac:dyDescent="0.25">
      <c r="B16" s="20" t="s">
        <v>109</v>
      </c>
      <c r="C16" s="4" t="s">
        <v>107</v>
      </c>
      <c r="D16" s="37">
        <f>IF((E15+E16+E17)=0,0,E16/(E15+E16+E17))</f>
        <v>0.40952380952380951</v>
      </c>
      <c r="E16" s="5">
        <f t="shared" si="0"/>
        <v>43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1</v>
      </c>
      <c r="I16" s="5">
        <f>SUMIFS([0]!mud,[0]!municipio,$B15,[0]!turno,I$2)</f>
        <v>4</v>
      </c>
      <c r="J16" s="5">
        <f>SUMIFS([0]!mud,[0]!municipio,$B15,[0]!turno,J$2)</f>
        <v>4</v>
      </c>
      <c r="K16" s="5">
        <f>SUMIFS([0]!mud,[0]!municipio,$B15,[0]!turno,K$2)</f>
        <v>2</v>
      </c>
      <c r="L16" s="5">
        <f>SUMIFS([0]!mud,[0]!municipio,$B15,[0]!turno,L$2)</f>
        <v>5</v>
      </c>
      <c r="M16" s="5">
        <f>SUMIFS([0]!mud,[0]!municipio,$B15,[0]!turno,M$2)</f>
        <v>8</v>
      </c>
      <c r="N16" s="5">
        <f>SUMIFS([0]!mud,[0]!municipio,$B15,[0]!turno,N$2)</f>
        <v>5</v>
      </c>
      <c r="O16" s="5">
        <f>SUMIFS([0]!mud,[0]!municipio,$B15,[0]!turno,O$2)</f>
        <v>3</v>
      </c>
      <c r="P16" s="5">
        <f>SUMIFS([0]!mud,[0]!municipio,$B15,[0]!turno,P$2)</f>
        <v>4</v>
      </c>
      <c r="Q16" s="5">
        <f>SUMIFS([0]!mud,[0]!municipio,$B15,[0]!turno,Q$2)</f>
        <v>1</v>
      </c>
      <c r="R16" s="5">
        <f>SUMIFS([0]!mud,[0]!municipio,$B15,[0]!turno,R$2)</f>
        <v>0</v>
      </c>
      <c r="S16" s="5">
        <f>SUMIFS([0]!mud,[0]!municipio,$B15,[0]!turno,S$2)</f>
        <v>0</v>
      </c>
      <c r="T16" s="5">
        <f>SUMIFS([0]!mud,[0]!municipio,$B15,[0]!turno,T$2)</f>
        <v>1</v>
      </c>
      <c r="U16" s="5">
        <f>SUMIFS([0]!mud,[0]!municipio,$B15,[0]!turno,U$2)</f>
        <v>2</v>
      </c>
      <c r="V16" s="5">
        <f>SUMIFS([0]!mud,[0]!municipio,$B15,[0]!turno,V$2)</f>
        <v>3</v>
      </c>
      <c r="W16" s="26">
        <f>SUMIFS([0]!mud,[0]!municipio,$B15,[0]!turno,W$2)</f>
        <v>0</v>
      </c>
    </row>
    <row r="17" spans="2:23" ht="15.75" customHeight="1" thickBot="1" x14ac:dyDescent="0.3">
      <c r="B17" s="21">
        <v>3.0068440050762174E-2</v>
      </c>
      <c r="C17" s="10" t="s">
        <v>0</v>
      </c>
      <c r="D17" s="38">
        <f>IF((E15+E16+E17)=0,0,E17/(E15+E16+E17))</f>
        <v>7.6190476190476197E-2</v>
      </c>
      <c r="E17" s="11">
        <f t="shared" si="0"/>
        <v>8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1</v>
      </c>
      <c r="M17" s="11">
        <f>SUMIFS([0]!otro,[0]!municipio,$B15,[0]!turno,M$2)</f>
        <v>2</v>
      </c>
      <c r="N17" s="11">
        <f>SUMIFS([0]!otro,[0]!municipio,$B15,[0]!turno,N$2)</f>
        <v>0</v>
      </c>
      <c r="O17" s="11">
        <f>SUMIFS([0]!otro,[0]!municipio,$B15,[0]!turno,O$2)</f>
        <v>1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1</v>
      </c>
      <c r="S17" s="11">
        <f>SUMIFS([0]!otro,[0]!municipio,$B15,[0]!turno,S$2)</f>
        <v>1</v>
      </c>
      <c r="T17" s="11">
        <f>SUMIFS([0]!otro,[0]!municipio,$B15,[0]!turno,T$2)</f>
        <v>0</v>
      </c>
      <c r="U17" s="11">
        <f>SUMIFS([0]!otro,[0]!municipio,$B15,[0]!turno,U$2)</f>
        <v>1</v>
      </c>
      <c r="V17" s="11">
        <f>SUMIFS([0]!otro,[0]!municipio,$B15,[0]!turno,V$2)</f>
        <v>0</v>
      </c>
      <c r="W17" s="27">
        <f>SUMIFS([0]!otro,[0]!municipio,$B15,[0]!turno,W$2)</f>
        <v>1</v>
      </c>
    </row>
    <row r="18" spans="2:23" ht="15.75" customHeight="1" x14ac:dyDescent="0.25">
      <c r="B18" s="22">
        <v>7</v>
      </c>
      <c r="C18" s="6" t="s">
        <v>106</v>
      </c>
      <c r="D18" s="36">
        <f>IF((E18+E19+E20)=0,0,E18/(E18+E19+E20))</f>
        <v>0.47826086956521741</v>
      </c>
      <c r="E18" s="7">
        <f t="shared" si="0"/>
        <v>88</v>
      </c>
      <c r="F18" s="7">
        <f>SUMIFS([0]!psuv,[0]!municipio,$B18,[0]!turno,F$2)</f>
        <v>0</v>
      </c>
      <c r="G18" s="7">
        <f>SUMIFS([0]!psuv,[0]!municipio,$B18,[0]!turno,G$2)</f>
        <v>0</v>
      </c>
      <c r="H18" s="7">
        <f>SUMIFS([0]!psuv,[0]!municipio,$B18,[0]!turno,H$2)</f>
        <v>0</v>
      </c>
      <c r="I18" s="7">
        <f>SUMIFS([0]!psuv,[0]!municipio,$B18,[0]!turno,I$2)</f>
        <v>13</v>
      </c>
      <c r="J18" s="7">
        <f>SUMIFS([0]!psuv,[0]!municipio,$B18,[0]!turno,J$2)</f>
        <v>6</v>
      </c>
      <c r="K18" s="7">
        <f>SUMIFS([0]!psuv,[0]!municipio,$B18,[0]!turno,K$2)</f>
        <v>7</v>
      </c>
      <c r="L18" s="7">
        <f>SUMIFS([0]!psuv,[0]!municipio,$B18,[0]!turno,L$2)</f>
        <v>6</v>
      </c>
      <c r="M18" s="7">
        <f>SUMIFS([0]!psuv,[0]!municipio,$B18,[0]!turno,M$2)</f>
        <v>5</v>
      </c>
      <c r="N18" s="7">
        <f>SUMIFS([0]!psuv,[0]!municipio,$B18,[0]!turno,N$2)</f>
        <v>8</v>
      </c>
      <c r="O18" s="7">
        <f>SUMIFS([0]!psuv,[0]!municipio,$B18,[0]!turno,O$2)</f>
        <v>5</v>
      </c>
      <c r="P18" s="7">
        <f>SUMIFS([0]!psuv,[0]!municipio,$B18,[0]!turno,P$2)</f>
        <v>0</v>
      </c>
      <c r="Q18" s="7">
        <f>SUMIFS([0]!psuv,[0]!municipio,$B18,[0]!turno,Q$2)</f>
        <v>10</v>
      </c>
      <c r="R18" s="7">
        <f>SUMIFS([0]!psuv,[0]!municipio,$B18,[0]!turno,R$2)</f>
        <v>3</v>
      </c>
      <c r="S18" s="7">
        <f>SUMIFS([0]!psuv,[0]!municipio,$B18,[0]!turno,S$2)</f>
        <v>9</v>
      </c>
      <c r="T18" s="7">
        <f>SUMIFS([0]!psuv,[0]!municipio,$B18,[0]!turno,T$2)</f>
        <v>5</v>
      </c>
      <c r="U18" s="7">
        <f>SUMIFS([0]!psuv,[0]!municipio,$B18,[0]!turno,U$2)</f>
        <v>6</v>
      </c>
      <c r="V18" s="7">
        <f>SUMIFS([0]!psuv,[0]!municipio,$B18,[0]!turno,V$2)</f>
        <v>2</v>
      </c>
      <c r="W18" s="28">
        <f>SUMIFS([0]!psuv,[0]!municipio,$B18,[0]!turno,W$2)</f>
        <v>3</v>
      </c>
    </row>
    <row r="19" spans="2:23" ht="15.75" customHeight="1" x14ac:dyDescent="0.25">
      <c r="B19" s="23" t="s">
        <v>110</v>
      </c>
      <c r="C19" s="4" t="s">
        <v>107</v>
      </c>
      <c r="D19" s="37">
        <f>IF((E18+E19+E20)=0,0,E19/(E18+E19+E20))</f>
        <v>0.46739130434782611</v>
      </c>
      <c r="E19" s="5">
        <f t="shared" si="0"/>
        <v>86</v>
      </c>
      <c r="F19" s="5">
        <f>SUMIFS([0]!mud,[0]!municipio,$B18,[0]!turno,F$2)</f>
        <v>7</v>
      </c>
      <c r="G19" s="5">
        <f>SUMIFS([0]!mud,[0]!municipio,$B18,[0]!turno,G$2)</f>
        <v>7</v>
      </c>
      <c r="H19" s="5">
        <f>SUMIFS([0]!mud,[0]!municipio,$B18,[0]!turno,H$2)</f>
        <v>3</v>
      </c>
      <c r="I19" s="5">
        <f>SUMIFS([0]!mud,[0]!municipio,$B18,[0]!turno,I$2)</f>
        <v>6</v>
      </c>
      <c r="J19" s="5">
        <f>SUMIFS([0]!mud,[0]!municipio,$B18,[0]!turno,J$2)</f>
        <v>4</v>
      </c>
      <c r="K19" s="5">
        <f>SUMIFS([0]!mud,[0]!municipio,$B18,[0]!turno,K$2)</f>
        <v>2</v>
      </c>
      <c r="L19" s="5">
        <f>SUMIFS([0]!mud,[0]!municipio,$B18,[0]!turno,L$2)</f>
        <v>11</v>
      </c>
      <c r="M19" s="5">
        <f>SUMIFS([0]!mud,[0]!municipio,$B18,[0]!turno,M$2)</f>
        <v>5</v>
      </c>
      <c r="N19" s="5">
        <f>SUMIFS([0]!mud,[0]!municipio,$B18,[0]!turno,N$2)</f>
        <v>7</v>
      </c>
      <c r="O19" s="5">
        <f>SUMIFS([0]!mud,[0]!municipio,$B18,[0]!turno,O$2)</f>
        <v>2</v>
      </c>
      <c r="P19" s="5">
        <f>SUMIFS([0]!mud,[0]!municipio,$B18,[0]!turno,P$2)</f>
        <v>0</v>
      </c>
      <c r="Q19" s="5">
        <f>SUMIFS([0]!mud,[0]!municipio,$B18,[0]!turno,Q$2)</f>
        <v>5</v>
      </c>
      <c r="R19" s="5">
        <f>SUMIFS([0]!mud,[0]!municipio,$B18,[0]!turno,R$2)</f>
        <v>0</v>
      </c>
      <c r="S19" s="5">
        <f>SUMIFS([0]!mud,[0]!municipio,$B18,[0]!turno,S$2)</f>
        <v>6</v>
      </c>
      <c r="T19" s="5">
        <f>SUMIFS([0]!mud,[0]!municipio,$B18,[0]!turno,T$2)</f>
        <v>3</v>
      </c>
      <c r="U19" s="5">
        <f>SUMIFS([0]!mud,[0]!municipio,$B18,[0]!turno,U$2)</f>
        <v>8</v>
      </c>
      <c r="V19" s="5">
        <f>SUMIFS([0]!mud,[0]!municipio,$B18,[0]!turno,V$2)</f>
        <v>3</v>
      </c>
      <c r="W19" s="26">
        <f>SUMIFS([0]!mud,[0]!municipio,$B18,[0]!turno,W$2)</f>
        <v>7</v>
      </c>
    </row>
    <row r="20" spans="2:23" ht="15.75" customHeight="1" thickBot="1" x14ac:dyDescent="0.3">
      <c r="B20" s="24">
        <v>1.5897744836133976E-2</v>
      </c>
      <c r="C20" s="12" t="s">
        <v>0</v>
      </c>
      <c r="D20" s="38">
        <f>IF((E18+E19+E20)=0,0,E20/(E18+E19+E20))</f>
        <v>5.434782608695652E-2</v>
      </c>
      <c r="E20" s="13">
        <f t="shared" si="0"/>
        <v>10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0</v>
      </c>
      <c r="I20" s="13">
        <f>SUMIFS([0]!otro,[0]!municipio,$B18,[0]!turno,I$2)</f>
        <v>2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2</v>
      </c>
      <c r="R20" s="13">
        <f>SUMIFS([0]!otro,[0]!municipio,$B18,[0]!turno,R$2)</f>
        <v>0</v>
      </c>
      <c r="S20" s="13">
        <f>SUMIFS([0]!otro,[0]!municipio,$B18,[0]!turno,S$2)</f>
        <v>2</v>
      </c>
      <c r="T20" s="13">
        <f>SUMIFS([0]!otro,[0]!municipio,$B18,[0]!turno,T$2)</f>
        <v>4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0</v>
      </c>
    </row>
    <row r="21" spans="2:23" ht="15.75" customHeight="1" x14ac:dyDescent="0.25">
      <c r="B21" s="19">
        <v>8</v>
      </c>
      <c r="C21" s="8" t="s">
        <v>106</v>
      </c>
      <c r="D21" s="36">
        <f>IF((E21+E22+E23)=0,0,E21/(E21+E22+E23))</f>
        <v>0</v>
      </c>
      <c r="E21" s="9">
        <f t="shared" si="0"/>
        <v>0</v>
      </c>
      <c r="F21" s="9">
        <f>SUMIFS([0]!psuv,[0]!municipio,$B21,[0]!turno,F$2)</f>
        <v>0</v>
      </c>
      <c r="G21" s="9">
        <f>SUMIFS([0]!psuv,[0]!municipio,$B21,[0]!turno,G$2)</f>
        <v>0</v>
      </c>
      <c r="H21" s="9">
        <f>SUMIFS([0]!psuv,[0]!municipio,$B21,[0]!turno,H$2)</f>
        <v>0</v>
      </c>
      <c r="I21" s="9">
        <f>SUMIFS([0]!psuv,[0]!municipio,$B21,[0]!turno,I$2)</f>
        <v>0</v>
      </c>
      <c r="J21" s="9">
        <f>SUMIFS([0]!psuv,[0]!municipio,$B21,[0]!turno,J$2)</f>
        <v>0</v>
      </c>
      <c r="K21" s="9">
        <f>SUMIFS([0]!psuv,[0]!municipio,$B21,[0]!turno,K$2)</f>
        <v>0</v>
      </c>
      <c r="L21" s="9">
        <f>SUMIFS([0]!psuv,[0]!municipio,$B21,[0]!turno,L$2)</f>
        <v>0</v>
      </c>
      <c r="M21" s="9">
        <f>SUMIFS([0]!psuv,[0]!municipio,$B21,[0]!turno,M$2)</f>
        <v>0</v>
      </c>
      <c r="N21" s="9">
        <f>SUMIFS([0]!psuv,[0]!municipio,$B21,[0]!turno,N$2)</f>
        <v>0</v>
      </c>
      <c r="O21" s="9">
        <f>SUMIFS([0]!psuv,[0]!municipio,$B21,[0]!turno,O$2)</f>
        <v>0</v>
      </c>
      <c r="P21" s="9">
        <f>SUMIFS([0]!psuv,[0]!municipio,$B21,[0]!turno,P$2)</f>
        <v>0</v>
      </c>
      <c r="Q21" s="9">
        <f>SUMIFS([0]!psuv,[0]!municipio,$B21,[0]!turno,Q$2)</f>
        <v>0</v>
      </c>
      <c r="R21" s="9">
        <f>SUMIFS([0]!psuv,[0]!municipio,$B21,[0]!turno,R$2)</f>
        <v>0</v>
      </c>
      <c r="S21" s="9">
        <f>SUMIFS([0]!psuv,[0]!municipio,$B21,[0]!turno,S$2)</f>
        <v>0</v>
      </c>
      <c r="T21" s="9">
        <f>SUMIFS([0]!psuv,[0]!municipio,$B21,[0]!turno,T$2)</f>
        <v>0</v>
      </c>
      <c r="U21" s="9">
        <f>SUMIFS([0]!psuv,[0]!municipio,$B21,[0]!turno,U$2)</f>
        <v>0</v>
      </c>
      <c r="V21" s="9">
        <f>SUMIFS([0]!psuv,[0]!municipio,$B21,[0]!turno,V$2)</f>
        <v>0</v>
      </c>
      <c r="W21" s="25">
        <f>SUMIFS([0]!psuv,[0]!municipio,$B21,[0]!turno,W$2)</f>
        <v>0</v>
      </c>
    </row>
    <row r="22" spans="2:23" ht="15.75" customHeight="1" x14ac:dyDescent="0.25">
      <c r="B22" s="20" t="s">
        <v>8</v>
      </c>
      <c r="C22" s="4" t="s">
        <v>107</v>
      </c>
      <c r="D22" s="37">
        <f>IF((E21+E22+E23)=0,0,E22/(E21+E22+E23))</f>
        <v>0</v>
      </c>
      <c r="E22" s="5">
        <f t="shared" si="0"/>
        <v>0</v>
      </c>
      <c r="F22" s="5">
        <f>SUMIFS([0]!mud,[0]!municipio,$B21,[0]!turno,F$2)</f>
        <v>0</v>
      </c>
      <c r="G22" s="5">
        <f>SUMIFS([0]!mud,[0]!municipio,$B21,[0]!turno,G$2)</f>
        <v>0</v>
      </c>
      <c r="H22" s="5">
        <f>SUMIFS([0]!mud,[0]!municipio,$B21,[0]!turno,H$2)</f>
        <v>0</v>
      </c>
      <c r="I22" s="5">
        <f>SUMIFS([0]!mud,[0]!municipio,$B21,[0]!turno,I$2)</f>
        <v>0</v>
      </c>
      <c r="J22" s="5">
        <f>SUMIFS([0]!mud,[0]!municipio,$B21,[0]!turno,J$2)</f>
        <v>0</v>
      </c>
      <c r="K22" s="5">
        <f>SUMIFS([0]!mud,[0]!municipio,$B21,[0]!turno,K$2)</f>
        <v>0</v>
      </c>
      <c r="L22" s="5">
        <f>SUMIFS([0]!mud,[0]!municipio,$B21,[0]!turno,L$2)</f>
        <v>0</v>
      </c>
      <c r="M22" s="5">
        <f>SUMIFS([0]!mud,[0]!municipio,$B21,[0]!turno,M$2)</f>
        <v>0</v>
      </c>
      <c r="N22" s="5">
        <f>SUMIFS([0]!mud,[0]!municipio,$B21,[0]!turno,N$2)</f>
        <v>0</v>
      </c>
      <c r="O22" s="5">
        <f>SUMIFS([0]!mud,[0]!municipio,$B21,[0]!turno,O$2)</f>
        <v>0</v>
      </c>
      <c r="P22" s="5">
        <f>SUMIFS([0]!mud,[0]!municipio,$B21,[0]!turno,P$2)</f>
        <v>0</v>
      </c>
      <c r="Q22" s="5">
        <f>SUMIFS([0]!mud,[0]!municipio,$B21,[0]!turno,Q$2)</f>
        <v>0</v>
      </c>
      <c r="R22" s="5">
        <f>SUMIFS([0]!mud,[0]!municipio,$B21,[0]!turno,R$2)</f>
        <v>0</v>
      </c>
      <c r="S22" s="5">
        <f>SUMIFS([0]!mud,[0]!municipio,$B21,[0]!turno,S$2)</f>
        <v>0</v>
      </c>
      <c r="T22" s="5">
        <f>SUMIFS([0]!mud,[0]!municipio,$B21,[0]!turno,T$2)</f>
        <v>0</v>
      </c>
      <c r="U22" s="5">
        <f>SUMIFS([0]!mud,[0]!municipio,$B21,[0]!turno,U$2)</f>
        <v>0</v>
      </c>
      <c r="V22" s="5">
        <f>SUMIFS([0]!mud,[0]!municipio,$B21,[0]!turno,V$2)</f>
        <v>0</v>
      </c>
      <c r="W22" s="26">
        <f>SUMIFS([0]!mud,[0]!municipio,$B21,[0]!turno,W$2)</f>
        <v>0</v>
      </c>
    </row>
    <row r="23" spans="2:23" ht="15.75" customHeight="1" thickBot="1" x14ac:dyDescent="0.3">
      <c r="B23" s="21">
        <v>3.9583878565820463E-2</v>
      </c>
      <c r="C23" s="10" t="s">
        <v>0</v>
      </c>
      <c r="D23" s="38">
        <f>IF((E21+E22+E23)=0,0,E23/(E21+E22+E23))</f>
        <v>0</v>
      </c>
      <c r="E23" s="11">
        <f t="shared" si="0"/>
        <v>0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0</v>
      </c>
      <c r="K23" s="11">
        <f>SUMIFS([0]!otro,[0]!municipio,$B21,[0]!turno,K$2)</f>
        <v>0</v>
      </c>
      <c r="L23" s="11">
        <f>SUMIFS([0]!otro,[0]!municipio,$B21,[0]!turno,L$2)</f>
        <v>0</v>
      </c>
      <c r="M23" s="11">
        <f>SUMIFS([0]!otro,[0]!municipio,$B21,[0]!turno,M$2)</f>
        <v>0</v>
      </c>
      <c r="N23" s="11">
        <f>SUMIFS([0]!otro,[0]!municipio,$B21,[0]!turno,N$2)</f>
        <v>0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ht="15.75" customHeight="1" x14ac:dyDescent="0.25">
      <c r="B24" s="22">
        <v>9</v>
      </c>
      <c r="C24" s="6" t="s">
        <v>106</v>
      </c>
      <c r="D24" s="36">
        <f>IF((E24+E25+E26)=0,0,E24/(E24+E25+E26))</f>
        <v>0.66088117489986653</v>
      </c>
      <c r="E24" s="7">
        <f t="shared" si="0"/>
        <v>495</v>
      </c>
      <c r="F24" s="7">
        <f>SUMIFS([0]!psuv,[0]!municipio,$B24,[0]!turno,F$2)</f>
        <v>45</v>
      </c>
      <c r="G24" s="7">
        <f>SUMIFS([0]!psuv,[0]!municipio,$B24,[0]!turno,G$2)</f>
        <v>30</v>
      </c>
      <c r="H24" s="7">
        <f>SUMIFS([0]!psuv,[0]!municipio,$B24,[0]!turno,H$2)</f>
        <v>30</v>
      </c>
      <c r="I24" s="7">
        <f>SUMIFS([0]!psuv,[0]!municipio,$B24,[0]!turno,I$2)</f>
        <v>24</v>
      </c>
      <c r="J24" s="7">
        <f>SUMIFS([0]!psuv,[0]!municipio,$B24,[0]!turno,J$2)</f>
        <v>25</v>
      </c>
      <c r="K24" s="7">
        <f>SUMIFS([0]!psuv,[0]!municipio,$B24,[0]!turno,K$2)</f>
        <v>24</v>
      </c>
      <c r="L24" s="7">
        <f>SUMIFS([0]!psuv,[0]!municipio,$B24,[0]!turno,L$2)</f>
        <v>21</v>
      </c>
      <c r="M24" s="7">
        <f>SUMIFS([0]!psuv,[0]!municipio,$B24,[0]!turno,M$2)</f>
        <v>8</v>
      </c>
      <c r="N24" s="7">
        <f>SUMIFS([0]!psuv,[0]!municipio,$B24,[0]!turno,N$2)</f>
        <v>35</v>
      </c>
      <c r="O24" s="7">
        <f>SUMIFS([0]!psuv,[0]!municipio,$B24,[0]!turno,O$2)</f>
        <v>27</v>
      </c>
      <c r="P24" s="7">
        <f>SUMIFS([0]!psuv,[0]!municipio,$B24,[0]!turno,P$2)</f>
        <v>27</v>
      </c>
      <c r="Q24" s="7">
        <f>SUMIFS([0]!psuv,[0]!municipio,$B24,[0]!turno,Q$2)</f>
        <v>26</v>
      </c>
      <c r="R24" s="7">
        <f>SUMIFS([0]!psuv,[0]!municipio,$B24,[0]!turno,R$2)</f>
        <v>23</v>
      </c>
      <c r="S24" s="7">
        <f>SUMIFS([0]!psuv,[0]!municipio,$B24,[0]!turno,S$2)</f>
        <v>34</v>
      </c>
      <c r="T24" s="7">
        <f>SUMIFS([0]!psuv,[0]!municipio,$B24,[0]!turno,T$2)</f>
        <v>31</v>
      </c>
      <c r="U24" s="7">
        <f>SUMIFS([0]!psuv,[0]!municipio,$B24,[0]!turno,U$2)</f>
        <v>36</v>
      </c>
      <c r="V24" s="7">
        <f>SUMIFS([0]!psuv,[0]!municipio,$B24,[0]!turno,V$2)</f>
        <v>24</v>
      </c>
      <c r="W24" s="28">
        <f>SUMIFS([0]!psuv,[0]!municipio,$B24,[0]!turno,W$2)</f>
        <v>25</v>
      </c>
    </row>
    <row r="25" spans="2:23" ht="15.75" customHeight="1" x14ac:dyDescent="0.25">
      <c r="B25" s="23" t="s">
        <v>9</v>
      </c>
      <c r="C25" s="4" t="s">
        <v>107</v>
      </c>
      <c r="D25" s="37">
        <f>IF((E24+E25+E26)=0,0,E25/(E24+E25+E26))</f>
        <v>0.33377837116154874</v>
      </c>
      <c r="E25" s="5">
        <f t="shared" si="0"/>
        <v>250</v>
      </c>
      <c r="F25" s="5">
        <f>SUMIFS([0]!mud,[0]!municipio,$B24,[0]!turno,F$2)</f>
        <v>11</v>
      </c>
      <c r="G25" s="5">
        <f>SUMIFS([0]!mud,[0]!municipio,$B24,[0]!turno,G$2)</f>
        <v>12</v>
      </c>
      <c r="H25" s="5">
        <f>SUMIFS([0]!mud,[0]!municipio,$B24,[0]!turno,H$2)</f>
        <v>15</v>
      </c>
      <c r="I25" s="5">
        <f>SUMIFS([0]!mud,[0]!municipio,$B24,[0]!turno,I$2)</f>
        <v>9</v>
      </c>
      <c r="J25" s="5">
        <f>SUMIFS([0]!mud,[0]!municipio,$B24,[0]!turno,J$2)</f>
        <v>15</v>
      </c>
      <c r="K25" s="5">
        <f>SUMIFS([0]!mud,[0]!municipio,$B24,[0]!turno,K$2)</f>
        <v>20</v>
      </c>
      <c r="L25" s="5">
        <f>SUMIFS([0]!mud,[0]!municipio,$B24,[0]!turno,L$2)</f>
        <v>23</v>
      </c>
      <c r="M25" s="5">
        <f>SUMIFS([0]!mud,[0]!municipio,$B24,[0]!turno,M$2)</f>
        <v>30</v>
      </c>
      <c r="N25" s="5">
        <f>SUMIFS([0]!mud,[0]!municipio,$B24,[0]!turno,N$2)</f>
        <v>6</v>
      </c>
      <c r="O25" s="5">
        <f>SUMIFS([0]!mud,[0]!municipio,$B24,[0]!turno,O$2)</f>
        <v>12</v>
      </c>
      <c r="P25" s="5">
        <f>SUMIFS([0]!mud,[0]!municipio,$B24,[0]!turno,P$2)</f>
        <v>15</v>
      </c>
      <c r="Q25" s="5">
        <f>SUMIFS([0]!mud,[0]!municipio,$B24,[0]!turno,Q$2)</f>
        <v>11</v>
      </c>
      <c r="R25" s="5">
        <f>SUMIFS([0]!mud,[0]!municipio,$B24,[0]!turno,R$2)</f>
        <v>12</v>
      </c>
      <c r="S25" s="5">
        <f>SUMIFS([0]!mud,[0]!municipio,$B24,[0]!turno,S$2)</f>
        <v>12</v>
      </c>
      <c r="T25" s="5">
        <f>SUMIFS([0]!mud,[0]!municipio,$B24,[0]!turno,T$2)</f>
        <v>11</v>
      </c>
      <c r="U25" s="5">
        <f>SUMIFS([0]!mud,[0]!municipio,$B24,[0]!turno,U$2)</f>
        <v>4</v>
      </c>
      <c r="V25" s="5">
        <f>SUMIFS([0]!mud,[0]!municipio,$B24,[0]!turno,V$2)</f>
        <v>16</v>
      </c>
      <c r="W25" s="26">
        <f>SUMIFS([0]!mud,[0]!municipio,$B24,[0]!turno,W$2)</f>
        <v>16</v>
      </c>
    </row>
    <row r="26" spans="2:23" ht="15.75" customHeight="1" thickBot="1" x14ac:dyDescent="0.3">
      <c r="B26" s="24">
        <v>0.140698374919141</v>
      </c>
      <c r="C26" s="12" t="s">
        <v>0</v>
      </c>
      <c r="D26" s="38">
        <f>IF((E24+E25+E26)=0,0,E26/(E24+E25+E26))</f>
        <v>5.3404539385847796E-3</v>
      </c>
      <c r="E26" s="13">
        <f t="shared" si="0"/>
        <v>4</v>
      </c>
      <c r="F26" s="13">
        <f>SUMIFS([0]!otro,[0]!municipio,$B24,[0]!turno,F$2)</f>
        <v>1</v>
      </c>
      <c r="G26" s="13">
        <f>SUMIFS([0]!otro,[0]!municipio,$B24,[0]!turno,G$2)</f>
        <v>0</v>
      </c>
      <c r="H26" s="13">
        <f>SUMIFS([0]!otro,[0]!municipio,$B24,[0]!turno,H$2)</f>
        <v>0</v>
      </c>
      <c r="I26" s="13">
        <f>SUMIFS([0]!otro,[0]!municipio,$B24,[0]!turno,I$2)</f>
        <v>0</v>
      </c>
      <c r="J26" s="13">
        <f>SUMIFS([0]!otro,[0]!municipio,$B24,[0]!turno,J$2)</f>
        <v>1</v>
      </c>
      <c r="K26" s="13">
        <f>SUMIFS([0]!otro,[0]!municipio,$B24,[0]!turno,K$2)</f>
        <v>0</v>
      </c>
      <c r="L26" s="13">
        <f>SUMIFS([0]!otro,[0]!municipio,$B24,[0]!turno,L$2)</f>
        <v>0</v>
      </c>
      <c r="M26" s="13">
        <f>SUMIFS([0]!otro,[0]!municipio,$B24,[0]!turno,M$2)</f>
        <v>0</v>
      </c>
      <c r="N26" s="13">
        <f>SUMIFS([0]!otro,[0]!municipio,$B24,[0]!turno,N$2)</f>
        <v>0</v>
      </c>
      <c r="O26" s="13">
        <f>SUMIFS([0]!otro,[0]!municipio,$B24,[0]!turno,O$2)</f>
        <v>0</v>
      </c>
      <c r="P26" s="13">
        <f>SUMIFS([0]!otro,[0]!municipio,$B24,[0]!turno,P$2)</f>
        <v>0</v>
      </c>
      <c r="Q26" s="13">
        <f>SUMIFS([0]!otro,[0]!municipio,$B24,[0]!turno,Q$2)</f>
        <v>0</v>
      </c>
      <c r="R26" s="13">
        <f>SUMIFS([0]!otro,[0]!municipio,$B24,[0]!turno,R$2)</f>
        <v>0</v>
      </c>
      <c r="S26" s="13">
        <f>SUMIFS([0]!otro,[0]!municipio,$B24,[0]!turno,S$2)</f>
        <v>1</v>
      </c>
      <c r="T26" s="13">
        <f>SUMIFS([0]!otro,[0]!municipio,$B24,[0]!turno,T$2)</f>
        <v>0</v>
      </c>
      <c r="U26" s="13">
        <f>SUMIFS([0]!otro,[0]!municipio,$B24,[0]!turno,U$2)</f>
        <v>1</v>
      </c>
      <c r="V26" s="13">
        <f>SUMIFS([0]!otro,[0]!municipio,$B24,[0]!turno,V$2)</f>
        <v>0</v>
      </c>
      <c r="W26" s="29">
        <f>SUMIFS([0]!otro,[0]!municipio,$B24,[0]!turno,W$2)</f>
        <v>0</v>
      </c>
    </row>
    <row r="27" spans="2:23" ht="15.75" customHeight="1" x14ac:dyDescent="0.25">
      <c r="B27" s="19">
        <v>10</v>
      </c>
      <c r="C27" s="8" t="s">
        <v>106</v>
      </c>
      <c r="D27" s="36">
        <f>IF((E27+E28+E29)=0,0,E27/(E27+E28+E29))</f>
        <v>0.53133903133903138</v>
      </c>
      <c r="E27" s="9">
        <f t="shared" si="0"/>
        <v>373</v>
      </c>
      <c r="F27" s="9">
        <f>SUMIFS([0]!psuv,[0]!municipio,$B27,[0]!turno,F$2)</f>
        <v>0</v>
      </c>
      <c r="G27" s="9">
        <f>SUMIFS([0]!psuv,[0]!municipio,$B27,[0]!turno,G$2)</f>
        <v>18</v>
      </c>
      <c r="H27" s="9">
        <f>SUMIFS([0]!psuv,[0]!municipio,$B27,[0]!turno,H$2)</f>
        <v>22</v>
      </c>
      <c r="I27" s="9">
        <f>SUMIFS([0]!psuv,[0]!municipio,$B27,[0]!turno,I$2)</f>
        <v>28</v>
      </c>
      <c r="J27" s="9">
        <f>SUMIFS([0]!psuv,[0]!municipio,$B27,[0]!turno,J$2)</f>
        <v>24</v>
      </c>
      <c r="K27" s="9">
        <f>SUMIFS([0]!psuv,[0]!municipio,$B27,[0]!turno,K$2)</f>
        <v>27</v>
      </c>
      <c r="L27" s="9">
        <f>SUMIFS([0]!psuv,[0]!municipio,$B27,[0]!turno,L$2)</f>
        <v>24</v>
      </c>
      <c r="M27" s="9">
        <f>SUMIFS([0]!psuv,[0]!municipio,$B27,[0]!turno,M$2)</f>
        <v>31</v>
      </c>
      <c r="N27" s="9">
        <f>SUMIFS([0]!psuv,[0]!municipio,$B27,[0]!turno,N$2)</f>
        <v>27</v>
      </c>
      <c r="O27" s="9">
        <f>SUMIFS([0]!psuv,[0]!municipio,$B27,[0]!turno,O$2)</f>
        <v>0</v>
      </c>
      <c r="P27" s="9">
        <f>SUMIFS([0]!psuv,[0]!municipio,$B27,[0]!turno,P$2)</f>
        <v>28</v>
      </c>
      <c r="Q27" s="9">
        <f>SUMIFS([0]!psuv,[0]!municipio,$B27,[0]!turno,Q$2)</f>
        <v>19</v>
      </c>
      <c r="R27" s="9">
        <f>SUMIFS([0]!psuv,[0]!municipio,$B27,[0]!turno,R$2)</f>
        <v>24</v>
      </c>
      <c r="S27" s="9">
        <f>SUMIFS([0]!psuv,[0]!municipio,$B27,[0]!turno,S$2)</f>
        <v>23</v>
      </c>
      <c r="T27" s="9">
        <f>SUMIFS([0]!psuv,[0]!municipio,$B27,[0]!turno,T$2)</f>
        <v>25</v>
      </c>
      <c r="U27" s="9">
        <f>SUMIFS([0]!psuv,[0]!municipio,$B27,[0]!turno,U$2)</f>
        <v>24</v>
      </c>
      <c r="V27" s="9">
        <f>SUMIFS([0]!psuv,[0]!municipio,$B27,[0]!turno,V$2)</f>
        <v>13</v>
      </c>
      <c r="W27" s="25">
        <f>SUMIFS([0]!psuv,[0]!municipio,$B27,[0]!turno,W$2)</f>
        <v>16</v>
      </c>
    </row>
    <row r="28" spans="2:23" ht="15.75" customHeight="1" x14ac:dyDescent="0.25">
      <c r="B28" s="20" t="s">
        <v>10</v>
      </c>
      <c r="C28" s="4" t="s">
        <v>107</v>
      </c>
      <c r="D28" s="37">
        <f>IF((E27+E28+E29)=0,0,E28/(E27+E28+E29))</f>
        <v>0.44017094017094016</v>
      </c>
      <c r="E28" s="5">
        <f t="shared" si="0"/>
        <v>309</v>
      </c>
      <c r="F28" s="5">
        <f>SUMIFS([0]!mud,[0]!municipio,$B27,[0]!turno,F$2)</f>
        <v>0</v>
      </c>
      <c r="G28" s="5">
        <f>SUMIFS([0]!mud,[0]!municipio,$B27,[0]!turno,G$2)</f>
        <v>15</v>
      </c>
      <c r="H28" s="5">
        <f>SUMIFS([0]!mud,[0]!municipio,$B27,[0]!turno,H$2)</f>
        <v>21</v>
      </c>
      <c r="I28" s="5">
        <f>SUMIFS([0]!mud,[0]!municipio,$B27,[0]!turno,I$2)</f>
        <v>15</v>
      </c>
      <c r="J28" s="5">
        <f>SUMIFS([0]!mud,[0]!municipio,$B27,[0]!turno,J$2)</f>
        <v>19</v>
      </c>
      <c r="K28" s="5">
        <f>SUMIFS([0]!mud,[0]!municipio,$B27,[0]!turno,K$2)</f>
        <v>18</v>
      </c>
      <c r="L28" s="5">
        <f>SUMIFS([0]!mud,[0]!municipio,$B27,[0]!turno,L$2)</f>
        <v>20</v>
      </c>
      <c r="M28" s="5">
        <f>SUMIFS([0]!mud,[0]!municipio,$B27,[0]!turno,M$2)</f>
        <v>23</v>
      </c>
      <c r="N28" s="5">
        <f>SUMIFS([0]!mud,[0]!municipio,$B27,[0]!turno,N$2)</f>
        <v>21</v>
      </c>
      <c r="O28" s="5">
        <f>SUMIFS([0]!mud,[0]!municipio,$B27,[0]!turno,O$2)</f>
        <v>0</v>
      </c>
      <c r="P28" s="5">
        <f>SUMIFS([0]!mud,[0]!municipio,$B27,[0]!turno,P$2)</f>
        <v>19</v>
      </c>
      <c r="Q28" s="5">
        <f>SUMIFS([0]!mud,[0]!municipio,$B27,[0]!turno,Q$2)</f>
        <v>22</v>
      </c>
      <c r="R28" s="5">
        <f>SUMIFS([0]!mud,[0]!municipio,$B27,[0]!turno,R$2)</f>
        <v>23</v>
      </c>
      <c r="S28" s="5">
        <f>SUMIFS([0]!mud,[0]!municipio,$B27,[0]!turno,S$2)</f>
        <v>24</v>
      </c>
      <c r="T28" s="5">
        <f>SUMIFS([0]!mud,[0]!municipio,$B27,[0]!turno,T$2)</f>
        <v>23</v>
      </c>
      <c r="U28" s="5">
        <f>SUMIFS([0]!mud,[0]!municipio,$B27,[0]!turno,U$2)</f>
        <v>25</v>
      </c>
      <c r="V28" s="5">
        <f>SUMIFS([0]!mud,[0]!municipio,$B27,[0]!turno,V$2)</f>
        <v>11</v>
      </c>
      <c r="W28" s="26">
        <f>SUMIFS([0]!mud,[0]!municipio,$B27,[0]!turno,W$2)</f>
        <v>10</v>
      </c>
    </row>
    <row r="29" spans="2:23" ht="15.75" customHeight="1" thickBot="1" x14ac:dyDescent="0.3">
      <c r="B29" s="21">
        <v>0.20881992760958556</v>
      </c>
      <c r="C29" s="10" t="s">
        <v>0</v>
      </c>
      <c r="D29" s="38">
        <f>IF((E27+E28+E29)=0,0,E29/(E27+E28+E29))</f>
        <v>2.8490028490028491E-2</v>
      </c>
      <c r="E29" s="11">
        <f t="shared" si="0"/>
        <v>20</v>
      </c>
      <c r="F29" s="11">
        <f>SUMIFS([0]!otro,[0]!municipio,$B27,[0]!turno,F$2)</f>
        <v>0</v>
      </c>
      <c r="G29" s="11">
        <f>SUMIFS([0]!otro,[0]!municipio,$B27,[0]!turno,G$2)</f>
        <v>0</v>
      </c>
      <c r="H29" s="11">
        <f>SUMIFS([0]!otro,[0]!municipio,$B27,[0]!turno,H$2)</f>
        <v>0</v>
      </c>
      <c r="I29" s="11">
        <f>SUMIFS([0]!otro,[0]!municipio,$B27,[0]!turno,I$2)</f>
        <v>0</v>
      </c>
      <c r="J29" s="11">
        <f>SUMIFS([0]!otro,[0]!municipio,$B27,[0]!turno,J$2)</f>
        <v>4</v>
      </c>
      <c r="K29" s="11">
        <f>SUMIFS([0]!otro,[0]!municipio,$B27,[0]!turno,K$2)</f>
        <v>0</v>
      </c>
      <c r="L29" s="11">
        <f>SUMIFS([0]!otro,[0]!municipio,$B27,[0]!turno,L$2)</f>
        <v>0</v>
      </c>
      <c r="M29" s="11">
        <f>SUMIFS([0]!otro,[0]!municipio,$B27,[0]!turno,M$2)</f>
        <v>2</v>
      </c>
      <c r="N29" s="11">
        <f>SUMIFS([0]!otro,[0]!municipio,$B27,[0]!turno,N$2)</f>
        <v>0</v>
      </c>
      <c r="O29" s="11">
        <f>SUMIFS([0]!otro,[0]!municipio,$B27,[0]!turno,O$2)</f>
        <v>0</v>
      </c>
      <c r="P29" s="11">
        <f>SUMIFS([0]!otro,[0]!municipio,$B27,[0]!turno,P$2)</f>
        <v>5</v>
      </c>
      <c r="Q29" s="11">
        <f>SUMIFS([0]!otro,[0]!municipio,$B27,[0]!turno,Q$2)</f>
        <v>0</v>
      </c>
      <c r="R29" s="11">
        <f>SUMIFS([0]!otro,[0]!municipio,$B27,[0]!turno,R$2)</f>
        <v>0</v>
      </c>
      <c r="S29" s="11">
        <f>SUMIFS([0]!otro,[0]!municipio,$B27,[0]!turno,S$2)</f>
        <v>3</v>
      </c>
      <c r="T29" s="11">
        <f>SUMIFS([0]!otro,[0]!municipio,$B27,[0]!turno,T$2)</f>
        <v>2</v>
      </c>
      <c r="U29" s="11">
        <f>SUMIFS([0]!otro,[0]!municipio,$B27,[0]!turno,U$2)</f>
        <v>3</v>
      </c>
      <c r="V29" s="11">
        <f>SUMIFS([0]!otro,[0]!municipio,$B27,[0]!turno,V$2)</f>
        <v>1</v>
      </c>
      <c r="W29" s="27">
        <f>SUMIFS([0]!otro,[0]!municipio,$B27,[0]!turno,W$2)</f>
        <v>0</v>
      </c>
    </row>
    <row r="32" spans="2:23" ht="15.75" customHeight="1" x14ac:dyDescent="0.25">
      <c r="B32" s="39"/>
    </row>
    <row r="40" spans="2:3" ht="15.75" customHeight="1" x14ac:dyDescent="0.25">
      <c r="B40"/>
      <c r="C40"/>
    </row>
    <row r="41" spans="2:3" ht="15.75" customHeight="1" x14ac:dyDescent="0.25">
      <c r="B41"/>
      <c r="C41"/>
    </row>
    <row r="42" spans="2:3" ht="15.75" customHeight="1" x14ac:dyDescent="0.25">
      <c r="B42"/>
      <c r="C42"/>
    </row>
    <row r="43" spans="2:3" ht="15.75" customHeight="1" x14ac:dyDescent="0.25">
      <c r="B43"/>
      <c r="C43"/>
    </row>
    <row r="44" spans="2:3" ht="15.75" customHeight="1" x14ac:dyDescent="0.25">
      <c r="B44"/>
      <c r="C44"/>
    </row>
    <row r="45" spans="2:3" ht="15.75" customHeight="1" x14ac:dyDescent="0.25">
      <c r="B45"/>
      <c r="C45"/>
    </row>
    <row r="46" spans="2:3" ht="15.75" customHeight="1" x14ac:dyDescent="0.25">
      <c r="B46"/>
      <c r="C46"/>
    </row>
    <row r="47" spans="2:3" ht="15.75" customHeight="1" x14ac:dyDescent="0.25">
      <c r="B47"/>
      <c r="C47"/>
    </row>
    <row r="48" spans="2:3" ht="15.75" customHeight="1" x14ac:dyDescent="0.25">
      <c r="B48"/>
      <c r="C48"/>
    </row>
    <row r="49" spans="2:3" ht="15.75" customHeight="1" x14ac:dyDescent="0.25">
      <c r="B49"/>
      <c r="C49"/>
    </row>
    <row r="50" spans="2:3" ht="15.75" customHeight="1" x14ac:dyDescent="0.25">
      <c r="B50"/>
      <c r="C50"/>
    </row>
    <row r="51" spans="2:3" ht="15.75" customHeight="1" x14ac:dyDescent="0.25">
      <c r="B51"/>
      <c r="C51"/>
    </row>
    <row r="52" spans="2:3" ht="15.75" customHeight="1" x14ac:dyDescent="0.25">
      <c r="B52"/>
      <c r="C52"/>
    </row>
    <row r="53" spans="2:3" ht="15.75" customHeight="1" x14ac:dyDescent="0.25">
      <c r="B53"/>
      <c r="C53"/>
    </row>
    <row r="54" spans="2:3" ht="15.75" customHeight="1" x14ac:dyDescent="0.25">
      <c r="B54"/>
      <c r="C54"/>
    </row>
    <row r="55" spans="2:3" ht="15.75" customHeight="1" x14ac:dyDescent="0.25">
      <c r="B55"/>
      <c r="C55"/>
    </row>
    <row r="56" spans="2:3" ht="15.75" customHeight="1" x14ac:dyDescent="0.25">
      <c r="B56"/>
      <c r="C56"/>
    </row>
    <row r="57" spans="2:3" ht="15.75" customHeight="1" x14ac:dyDescent="0.25">
      <c r="B57"/>
      <c r="C57"/>
    </row>
    <row r="58" spans="2:3" ht="15.75" customHeight="1" x14ac:dyDescent="0.25">
      <c r="B58"/>
      <c r="C58"/>
    </row>
    <row r="59" spans="2:3" ht="15.75" customHeight="1" x14ac:dyDescent="0.25">
      <c r="B59"/>
      <c r="C59"/>
    </row>
    <row r="60" spans="2:3" ht="15.75" customHeight="1" x14ac:dyDescent="0.25">
      <c r="B60"/>
      <c r="C60"/>
    </row>
    <row r="61" spans="2:3" ht="15.75" customHeight="1" x14ac:dyDescent="0.25">
      <c r="B61"/>
      <c r="C61"/>
    </row>
    <row r="62" spans="2:3" ht="15.75" customHeight="1" x14ac:dyDescent="0.25">
      <c r="B62"/>
      <c r="C62"/>
    </row>
    <row r="63" spans="2:3" ht="15.75" customHeight="1" x14ac:dyDescent="0.25">
      <c r="B63"/>
      <c r="C63"/>
    </row>
    <row r="64" spans="2:3" ht="15.75" customHeight="1" x14ac:dyDescent="0.25">
      <c r="B64"/>
      <c r="C64"/>
    </row>
    <row r="65" spans="2:3" ht="15.75" customHeight="1" x14ac:dyDescent="0.25">
      <c r="B65"/>
      <c r="C65"/>
    </row>
    <row r="66" spans="2:3" ht="15.75" customHeight="1" x14ac:dyDescent="0.25">
      <c r="B66"/>
      <c r="C66"/>
    </row>
    <row r="67" spans="2:3" ht="15.75" customHeight="1" x14ac:dyDescent="0.25">
      <c r="B67"/>
      <c r="C67"/>
    </row>
    <row r="68" spans="2:3" ht="15.75" customHeight="1" x14ac:dyDescent="0.25">
      <c r="B68"/>
      <c r="C68"/>
    </row>
    <row r="69" spans="2:3" ht="15.75" customHeight="1" x14ac:dyDescent="0.25">
      <c r="B69"/>
      <c r="C69"/>
    </row>
    <row r="70" spans="2:3" ht="15.75" customHeight="1" x14ac:dyDescent="0.25">
      <c r="B70"/>
      <c r="C70"/>
    </row>
    <row r="71" spans="2:3" ht="15.75" customHeight="1" x14ac:dyDescent="0.25">
      <c r="B71"/>
      <c r="C71"/>
    </row>
    <row r="72" spans="2:3" ht="15.75" customHeight="1" x14ac:dyDescent="0.25">
      <c r="B72"/>
      <c r="C72"/>
    </row>
    <row r="73" spans="2:3" ht="15.75" customHeight="1" x14ac:dyDescent="0.25">
      <c r="B73"/>
      <c r="C73"/>
    </row>
    <row r="74" spans="2:3" ht="15.75" customHeight="1" x14ac:dyDescent="0.25">
      <c r="B74"/>
      <c r="C74"/>
    </row>
    <row r="75" spans="2:3" ht="15.75" customHeight="1" x14ac:dyDescent="0.25">
      <c r="B75"/>
      <c r="C75"/>
    </row>
    <row r="76" spans="2:3" ht="15.75" customHeight="1" x14ac:dyDescent="0.25">
      <c r="B76"/>
      <c r="C76"/>
    </row>
    <row r="77" spans="2:3" ht="15.75" customHeight="1" x14ac:dyDescent="0.25">
      <c r="B77"/>
      <c r="C77"/>
    </row>
    <row r="78" spans="2:3" ht="15.75" customHeight="1" x14ac:dyDescent="0.25">
      <c r="B78"/>
      <c r="C78"/>
    </row>
    <row r="79" spans="2:3" ht="15.75" customHeight="1" x14ac:dyDescent="0.25">
      <c r="B79"/>
      <c r="C79"/>
    </row>
    <row r="80" spans="2:3" ht="15.75" customHeight="1" x14ac:dyDescent="0.25">
      <c r="B80"/>
      <c r="C80"/>
    </row>
    <row r="81" spans="2:3" ht="15.75" customHeight="1" x14ac:dyDescent="0.25">
      <c r="B81"/>
      <c r="C81"/>
    </row>
    <row r="82" spans="2:3" ht="15.75" customHeight="1" x14ac:dyDescent="0.25">
      <c r="B82"/>
      <c r="C82"/>
    </row>
    <row r="83" spans="2:3" ht="15.75" customHeight="1" x14ac:dyDescent="0.25">
      <c r="B83"/>
      <c r="C83"/>
    </row>
    <row r="84" spans="2:3" ht="15.75" customHeight="1" x14ac:dyDescent="0.25">
      <c r="B84"/>
      <c r="C84"/>
    </row>
    <row r="85" spans="2:3" ht="15.75" customHeight="1" x14ac:dyDescent="0.25">
      <c r="B85"/>
      <c r="C85"/>
    </row>
    <row r="86" spans="2:3" ht="15.75" customHeight="1" x14ac:dyDescent="0.25">
      <c r="B86"/>
      <c r="C86"/>
    </row>
    <row r="87" spans="2:3" ht="15.75" customHeight="1" x14ac:dyDescent="0.25">
      <c r="B87"/>
      <c r="C87"/>
    </row>
    <row r="88" spans="2:3" ht="15.75" customHeight="1" x14ac:dyDescent="0.25">
      <c r="B88"/>
      <c r="C88"/>
    </row>
    <row r="89" spans="2:3" ht="15.75" customHeight="1" x14ac:dyDescent="0.25">
      <c r="B89"/>
      <c r="C89"/>
    </row>
    <row r="90" spans="2:3" ht="15.75" customHeight="1" x14ac:dyDescent="0.25">
      <c r="B90"/>
      <c r="C90"/>
    </row>
    <row r="91" spans="2:3" ht="15.75" customHeight="1" x14ac:dyDescent="0.25">
      <c r="B91"/>
      <c r="C91"/>
    </row>
    <row r="92" spans="2:3" ht="15.75" customHeight="1" x14ac:dyDescent="0.25">
      <c r="B92"/>
      <c r="C92"/>
    </row>
    <row r="93" spans="2:3" ht="15.75" customHeight="1" x14ac:dyDescent="0.25">
      <c r="B93"/>
      <c r="C93"/>
    </row>
    <row r="94" spans="2:3" ht="15.75" customHeight="1" x14ac:dyDescent="0.25">
      <c r="B94"/>
      <c r="C94"/>
    </row>
    <row r="95" spans="2:3" ht="15.75" customHeight="1" x14ac:dyDescent="0.25">
      <c r="B95"/>
      <c r="C95"/>
    </row>
    <row r="96" spans="2:3" ht="15.75" customHeight="1" x14ac:dyDescent="0.25">
      <c r="B96"/>
      <c r="C96"/>
    </row>
    <row r="97" spans="2:3" ht="15.75" customHeight="1" x14ac:dyDescent="0.25">
      <c r="B97"/>
      <c r="C97"/>
    </row>
    <row r="98" spans="2:3" ht="15.75" customHeight="1" x14ac:dyDescent="0.25">
      <c r="B98"/>
      <c r="C98"/>
    </row>
    <row r="99" spans="2:3" ht="15.75" customHeight="1" x14ac:dyDescent="0.25">
      <c r="B99"/>
      <c r="C99"/>
    </row>
    <row r="100" spans="2:3" ht="15.75" customHeight="1" x14ac:dyDescent="0.25">
      <c r="B100"/>
      <c r="C100"/>
    </row>
    <row r="101" spans="2:3" ht="15.75" customHeight="1" x14ac:dyDescent="0.25">
      <c r="B101"/>
      <c r="C101"/>
    </row>
    <row r="102" spans="2:3" ht="15.75" customHeight="1" x14ac:dyDescent="0.25">
      <c r="B102"/>
      <c r="C102"/>
    </row>
    <row r="103" spans="2:3" ht="15.75" customHeight="1" x14ac:dyDescent="0.25">
      <c r="B103"/>
      <c r="C103"/>
    </row>
    <row r="104" spans="2:3" ht="15.75" customHeight="1" x14ac:dyDescent="0.25">
      <c r="B104"/>
      <c r="C104"/>
    </row>
    <row r="105" spans="2:3" ht="15.75" customHeight="1" x14ac:dyDescent="0.25">
      <c r="B105"/>
      <c r="C105"/>
    </row>
    <row r="106" spans="2:3" ht="15.75" customHeight="1" x14ac:dyDescent="0.25">
      <c r="B106"/>
      <c r="C106"/>
    </row>
    <row r="107" spans="2:3" ht="15.75" customHeight="1" x14ac:dyDescent="0.25">
      <c r="B107"/>
      <c r="C107"/>
    </row>
    <row r="108" spans="2:3" ht="15.75" customHeight="1" x14ac:dyDescent="0.25">
      <c r="B108"/>
      <c r="C108"/>
    </row>
    <row r="109" spans="2:3" ht="15.75" customHeight="1" x14ac:dyDescent="0.25">
      <c r="B109"/>
      <c r="C109"/>
    </row>
    <row r="110" spans="2:3" ht="15.75" customHeight="1" x14ac:dyDescent="0.25">
      <c r="B110"/>
      <c r="C110"/>
    </row>
    <row r="111" spans="2:3" ht="15.75" customHeight="1" x14ac:dyDescent="0.25">
      <c r="B111"/>
      <c r="C111"/>
    </row>
    <row r="112" spans="2:3" ht="15.75" customHeight="1" x14ac:dyDescent="0.25">
      <c r="B112"/>
      <c r="C112"/>
    </row>
    <row r="113" spans="2:3" ht="15.75" customHeight="1" x14ac:dyDescent="0.25">
      <c r="B113"/>
      <c r="C113"/>
    </row>
    <row r="114" spans="2:3" ht="15.75" customHeight="1" x14ac:dyDescent="0.25">
      <c r="B114"/>
      <c r="C114"/>
    </row>
    <row r="115" spans="2:3" ht="15.75" customHeight="1" x14ac:dyDescent="0.25">
      <c r="B115"/>
      <c r="C115"/>
    </row>
    <row r="116" spans="2:3" ht="15.75" customHeight="1" x14ac:dyDescent="0.25">
      <c r="B116"/>
      <c r="C116"/>
    </row>
    <row r="117" spans="2:3" ht="15.75" customHeight="1" x14ac:dyDescent="0.25">
      <c r="B117"/>
      <c r="C117"/>
    </row>
    <row r="118" spans="2:3" ht="15.75" customHeight="1" x14ac:dyDescent="0.25">
      <c r="B118"/>
      <c r="C118"/>
    </row>
    <row r="119" spans="2:3" ht="15.75" customHeight="1" x14ac:dyDescent="0.25">
      <c r="B119"/>
      <c r="C119"/>
    </row>
    <row r="120" spans="2:3" ht="15.75" customHeight="1" x14ac:dyDescent="0.25">
      <c r="B120"/>
      <c r="C120"/>
    </row>
    <row r="121" spans="2:3" ht="15.75" customHeight="1" x14ac:dyDescent="0.25">
      <c r="B121"/>
      <c r="C121"/>
    </row>
    <row r="122" spans="2:3" ht="15.75" customHeight="1" x14ac:dyDescent="0.25">
      <c r="B122"/>
      <c r="C122"/>
    </row>
    <row r="123" spans="2:3" ht="15.75" customHeight="1" x14ac:dyDescent="0.25">
      <c r="B123"/>
      <c r="C123"/>
    </row>
    <row r="124" spans="2:3" ht="15.75" customHeight="1" x14ac:dyDescent="0.25">
      <c r="B124"/>
      <c r="C124"/>
    </row>
    <row r="125" spans="2:3" ht="15.75" customHeight="1" x14ac:dyDescent="0.25">
      <c r="B125"/>
      <c r="C125"/>
    </row>
    <row r="126" spans="2:3" ht="15.75" customHeight="1" x14ac:dyDescent="0.25">
      <c r="B126"/>
      <c r="C126"/>
    </row>
    <row r="127" spans="2:3" ht="15.75" customHeight="1" x14ac:dyDescent="0.25">
      <c r="B127"/>
      <c r="C127"/>
    </row>
    <row r="128" spans="2:3" ht="15.75" customHeight="1" x14ac:dyDescent="0.25">
      <c r="B128"/>
      <c r="C128"/>
    </row>
    <row r="129" spans="2:3" ht="15.75" customHeight="1" x14ac:dyDescent="0.25">
      <c r="B129"/>
      <c r="C129"/>
    </row>
    <row r="130" spans="2:3" ht="15.75" customHeight="1" x14ac:dyDescent="0.25">
      <c r="B130"/>
      <c r="C130"/>
    </row>
    <row r="131" spans="2:3" ht="15.75" customHeight="1" x14ac:dyDescent="0.25">
      <c r="B131"/>
      <c r="C131"/>
    </row>
    <row r="132" spans="2:3" ht="15.75" customHeight="1" x14ac:dyDescent="0.25">
      <c r="B132"/>
      <c r="C132"/>
    </row>
    <row r="133" spans="2:3" ht="15.75" customHeight="1" x14ac:dyDescent="0.25">
      <c r="B133"/>
      <c r="C133"/>
    </row>
    <row r="134" spans="2:3" ht="15.75" customHeight="1" x14ac:dyDescent="0.25">
      <c r="B134"/>
      <c r="C134"/>
    </row>
    <row r="135" spans="2:3" ht="15.75" customHeight="1" x14ac:dyDescent="0.25">
      <c r="B135"/>
      <c r="C135"/>
    </row>
    <row r="136" spans="2:3" ht="15.75" customHeight="1" x14ac:dyDescent="0.25">
      <c r="B136"/>
      <c r="C136"/>
    </row>
    <row r="137" spans="2:3" ht="15.75" customHeight="1" x14ac:dyDescent="0.25">
      <c r="B137"/>
      <c r="C137"/>
    </row>
    <row r="138" spans="2:3" ht="15.75" customHeight="1" x14ac:dyDescent="0.25">
      <c r="B138"/>
      <c r="C138"/>
    </row>
    <row r="139" spans="2:3" ht="15.75" customHeight="1" x14ac:dyDescent="0.25">
      <c r="B139"/>
      <c r="C139"/>
    </row>
    <row r="140" spans="2:3" ht="15.75" customHeight="1" x14ac:dyDescent="0.25">
      <c r="B140"/>
      <c r="C140"/>
    </row>
    <row r="141" spans="2:3" ht="15.75" customHeight="1" x14ac:dyDescent="0.25">
      <c r="B141"/>
      <c r="C141"/>
    </row>
    <row r="142" spans="2:3" ht="15.75" customHeight="1" x14ac:dyDescent="0.25">
      <c r="B142"/>
      <c r="C142"/>
    </row>
    <row r="143" spans="2:3" ht="15.75" customHeight="1" x14ac:dyDescent="0.25">
      <c r="B143"/>
      <c r="C143"/>
    </row>
    <row r="144" spans="2:3" ht="15.75" customHeight="1" x14ac:dyDescent="0.25">
      <c r="B144"/>
      <c r="C144"/>
    </row>
    <row r="145" spans="2:3" ht="15.75" customHeight="1" x14ac:dyDescent="0.25">
      <c r="B145"/>
      <c r="C145"/>
    </row>
    <row r="146" spans="2:3" ht="15.75" customHeight="1" x14ac:dyDescent="0.25">
      <c r="B146"/>
      <c r="C146"/>
    </row>
    <row r="147" spans="2:3" ht="15.75" customHeight="1" x14ac:dyDescent="0.25">
      <c r="B147"/>
      <c r="C147"/>
    </row>
    <row r="148" spans="2:3" ht="15.75" customHeight="1" x14ac:dyDescent="0.25">
      <c r="B148"/>
      <c r="C148"/>
    </row>
    <row r="149" spans="2:3" ht="15.75" customHeight="1" x14ac:dyDescent="0.25">
      <c r="B149"/>
      <c r="C149"/>
    </row>
    <row r="150" spans="2:3" ht="15.75" customHeight="1" x14ac:dyDescent="0.25">
      <c r="B150"/>
      <c r="C150"/>
    </row>
    <row r="151" spans="2:3" ht="15.75" customHeight="1" x14ac:dyDescent="0.25">
      <c r="B151"/>
      <c r="C151"/>
    </row>
    <row r="152" spans="2:3" ht="15.75" customHeight="1" x14ac:dyDescent="0.25">
      <c r="B152"/>
      <c r="C152"/>
    </row>
    <row r="153" spans="2:3" ht="15.75" customHeight="1" x14ac:dyDescent="0.25">
      <c r="B153"/>
      <c r="C153"/>
    </row>
    <row r="154" spans="2:3" ht="15.75" customHeight="1" x14ac:dyDescent="0.25">
      <c r="B154"/>
      <c r="C154"/>
    </row>
    <row r="155" spans="2:3" ht="15.75" customHeight="1" x14ac:dyDescent="0.25">
      <c r="B155"/>
      <c r="C155"/>
    </row>
    <row r="156" spans="2:3" ht="15.75" customHeight="1" x14ac:dyDescent="0.25">
      <c r="B156"/>
      <c r="C156"/>
    </row>
    <row r="157" spans="2:3" ht="15.75" customHeight="1" x14ac:dyDescent="0.25">
      <c r="B157"/>
      <c r="C157"/>
    </row>
    <row r="158" spans="2:3" ht="15.75" customHeight="1" x14ac:dyDescent="0.25">
      <c r="B158"/>
      <c r="C158"/>
    </row>
    <row r="159" spans="2:3" ht="15.75" customHeight="1" x14ac:dyDescent="0.25">
      <c r="B159"/>
      <c r="C159"/>
    </row>
    <row r="160" spans="2:3" ht="15.75" customHeight="1" x14ac:dyDescent="0.25">
      <c r="B160"/>
      <c r="C160"/>
    </row>
    <row r="161" spans="2:3" ht="15.75" customHeight="1" x14ac:dyDescent="0.25">
      <c r="B161"/>
      <c r="C161"/>
    </row>
    <row r="162" spans="2:3" ht="15.75" customHeight="1" x14ac:dyDescent="0.25">
      <c r="B162"/>
      <c r="C162"/>
    </row>
    <row r="163" spans="2:3" ht="15.75" customHeight="1" x14ac:dyDescent="0.25">
      <c r="B163"/>
      <c r="C163"/>
    </row>
    <row r="164" spans="2:3" ht="15.75" customHeight="1" x14ac:dyDescent="0.25">
      <c r="B164"/>
      <c r="C164"/>
    </row>
    <row r="165" spans="2:3" ht="15.75" customHeight="1" x14ac:dyDescent="0.25">
      <c r="B165"/>
      <c r="C165"/>
    </row>
    <row r="166" spans="2:3" ht="15.75" customHeight="1" x14ac:dyDescent="0.25">
      <c r="B166"/>
      <c r="C166"/>
    </row>
    <row r="167" spans="2:3" ht="15.75" customHeight="1" x14ac:dyDescent="0.25">
      <c r="B167"/>
      <c r="C167"/>
    </row>
    <row r="168" spans="2:3" ht="15.75" customHeight="1" x14ac:dyDescent="0.25">
      <c r="B168"/>
      <c r="C168"/>
    </row>
    <row r="169" spans="2:3" ht="15.75" customHeight="1" x14ac:dyDescent="0.25">
      <c r="B169"/>
      <c r="C169"/>
    </row>
    <row r="170" spans="2:3" ht="15.75" customHeight="1" x14ac:dyDescent="0.25">
      <c r="B170"/>
      <c r="C170"/>
    </row>
    <row r="171" spans="2:3" ht="15.75" customHeight="1" x14ac:dyDescent="0.25">
      <c r="B171"/>
      <c r="C171"/>
    </row>
    <row r="172" spans="2:3" ht="15.75" customHeight="1" x14ac:dyDescent="0.25">
      <c r="B172"/>
      <c r="C172"/>
    </row>
    <row r="173" spans="2:3" ht="15.75" customHeight="1" x14ac:dyDescent="0.25">
      <c r="B173"/>
      <c r="C173"/>
    </row>
    <row r="174" spans="2:3" ht="15.75" customHeight="1" x14ac:dyDescent="0.25">
      <c r="B174"/>
      <c r="C174"/>
    </row>
    <row r="175" spans="2:3" ht="15.75" customHeight="1" x14ac:dyDescent="0.25">
      <c r="B175"/>
      <c r="C175"/>
    </row>
    <row r="176" spans="2:3" ht="15.75" customHeight="1" x14ac:dyDescent="0.25">
      <c r="B176"/>
      <c r="C176"/>
    </row>
    <row r="177" spans="2:3" ht="15.75" customHeight="1" x14ac:dyDescent="0.25">
      <c r="B177"/>
      <c r="C177"/>
    </row>
    <row r="178" spans="2:3" ht="15.75" customHeight="1" x14ac:dyDescent="0.25">
      <c r="B178"/>
      <c r="C178"/>
    </row>
    <row r="179" spans="2:3" ht="15.75" customHeight="1" x14ac:dyDescent="0.25">
      <c r="B179"/>
      <c r="C179"/>
    </row>
    <row r="180" spans="2:3" ht="15.75" customHeight="1" x14ac:dyDescent="0.25">
      <c r="B180"/>
      <c r="C180"/>
    </row>
    <row r="181" spans="2:3" ht="15.75" customHeight="1" x14ac:dyDescent="0.25">
      <c r="B181"/>
      <c r="C181"/>
    </row>
    <row r="182" spans="2:3" ht="15.75" customHeight="1" x14ac:dyDescent="0.25">
      <c r="B182"/>
      <c r="C182"/>
    </row>
    <row r="183" spans="2:3" ht="15.75" customHeight="1" x14ac:dyDescent="0.25">
      <c r="B183"/>
      <c r="C183"/>
    </row>
    <row r="184" spans="2:3" ht="15.75" customHeight="1" x14ac:dyDescent="0.25">
      <c r="B184"/>
      <c r="C184"/>
    </row>
    <row r="185" spans="2:3" ht="15.75" customHeight="1" x14ac:dyDescent="0.25">
      <c r="B185"/>
      <c r="C185"/>
    </row>
    <row r="186" spans="2:3" ht="15.75" customHeight="1" x14ac:dyDescent="0.25">
      <c r="B186"/>
      <c r="C186"/>
    </row>
    <row r="187" spans="2:3" ht="15.75" customHeight="1" x14ac:dyDescent="0.25">
      <c r="B187"/>
      <c r="C187"/>
    </row>
    <row r="188" spans="2:3" ht="15.75" customHeight="1" x14ac:dyDescent="0.25">
      <c r="B188"/>
      <c r="C188"/>
    </row>
    <row r="189" spans="2:3" ht="15.75" customHeight="1" x14ac:dyDescent="0.25">
      <c r="B189"/>
      <c r="C189"/>
    </row>
    <row r="190" spans="2:3" ht="15.75" customHeight="1" x14ac:dyDescent="0.25">
      <c r="B190"/>
      <c r="C190"/>
    </row>
    <row r="191" spans="2:3" ht="15.75" customHeight="1" x14ac:dyDescent="0.25">
      <c r="B191"/>
      <c r="C191"/>
    </row>
    <row r="192" spans="2:3" ht="15.75" customHeight="1" x14ac:dyDescent="0.25">
      <c r="B192"/>
      <c r="C192"/>
    </row>
    <row r="193" spans="2:3" ht="15.75" customHeight="1" x14ac:dyDescent="0.25">
      <c r="B193"/>
      <c r="C193"/>
    </row>
    <row r="194" spans="2:3" ht="15.75" customHeight="1" x14ac:dyDescent="0.25">
      <c r="B194"/>
      <c r="C194"/>
    </row>
    <row r="195" spans="2:3" ht="15.75" customHeight="1" x14ac:dyDescent="0.25">
      <c r="B195"/>
      <c r="C195"/>
    </row>
    <row r="196" spans="2:3" ht="15.75" customHeight="1" x14ac:dyDescent="0.25">
      <c r="B196"/>
      <c r="C196"/>
    </row>
    <row r="197" spans="2:3" ht="15.75" customHeight="1" x14ac:dyDescent="0.25">
      <c r="B197"/>
      <c r="C197"/>
    </row>
    <row r="198" spans="2:3" ht="15.75" customHeight="1" x14ac:dyDescent="0.25">
      <c r="B198"/>
      <c r="C198"/>
    </row>
    <row r="199" spans="2:3" ht="15.75" customHeight="1" x14ac:dyDescent="0.25">
      <c r="B199"/>
      <c r="C199"/>
    </row>
    <row r="200" spans="2:3" ht="15.75" customHeight="1" x14ac:dyDescent="0.25">
      <c r="B200"/>
      <c r="C200"/>
    </row>
    <row r="201" spans="2:3" ht="15.75" customHeight="1" x14ac:dyDescent="0.25">
      <c r="B201"/>
      <c r="C201"/>
    </row>
    <row r="202" spans="2:3" ht="15.75" customHeight="1" x14ac:dyDescent="0.25">
      <c r="B202"/>
      <c r="C202"/>
    </row>
    <row r="203" spans="2:3" ht="15.75" customHeight="1" x14ac:dyDescent="0.25">
      <c r="B203"/>
      <c r="C203"/>
    </row>
    <row r="204" spans="2:3" ht="15.75" customHeight="1" x14ac:dyDescent="0.25">
      <c r="B204"/>
      <c r="C204"/>
    </row>
    <row r="205" spans="2:3" ht="15.75" customHeight="1" x14ac:dyDescent="0.25">
      <c r="B205"/>
      <c r="C205"/>
    </row>
    <row r="206" spans="2:3" ht="15.75" customHeight="1" x14ac:dyDescent="0.25">
      <c r="B206"/>
      <c r="C206"/>
    </row>
    <row r="207" spans="2:3" ht="15.75" customHeight="1" x14ac:dyDescent="0.25">
      <c r="B207"/>
      <c r="C207"/>
    </row>
    <row r="208" spans="2:3" ht="15.75" customHeight="1" x14ac:dyDescent="0.25">
      <c r="B208"/>
      <c r="C208"/>
    </row>
    <row r="209" spans="2:3" ht="15.75" customHeight="1" x14ac:dyDescent="0.25">
      <c r="B209"/>
      <c r="C209"/>
    </row>
    <row r="210" spans="2:3" ht="15.75" customHeight="1" x14ac:dyDescent="0.25">
      <c r="B210"/>
      <c r="C210"/>
    </row>
    <row r="211" spans="2:3" ht="15.75" customHeight="1" x14ac:dyDescent="0.25">
      <c r="B211"/>
      <c r="C211"/>
    </row>
    <row r="212" spans="2:3" ht="15.75" customHeight="1" x14ac:dyDescent="0.25">
      <c r="B212"/>
      <c r="C212"/>
    </row>
    <row r="213" spans="2:3" ht="15.75" customHeight="1" x14ac:dyDescent="0.25">
      <c r="B213"/>
      <c r="C213"/>
    </row>
    <row r="214" spans="2:3" ht="15.75" customHeight="1" x14ac:dyDescent="0.25">
      <c r="B214"/>
      <c r="C214"/>
    </row>
    <row r="215" spans="2:3" ht="15.75" customHeight="1" x14ac:dyDescent="0.25">
      <c r="B215"/>
      <c r="C215"/>
    </row>
    <row r="216" spans="2:3" ht="15.75" customHeight="1" x14ac:dyDescent="0.25">
      <c r="B216"/>
      <c r="C216"/>
    </row>
    <row r="217" spans="2:3" ht="15.75" customHeight="1" x14ac:dyDescent="0.25">
      <c r="B217"/>
      <c r="C217"/>
    </row>
    <row r="218" spans="2:3" ht="15.75" customHeight="1" x14ac:dyDescent="0.25">
      <c r="B218"/>
      <c r="C218"/>
    </row>
    <row r="219" spans="2:3" ht="15.75" customHeight="1" x14ac:dyDescent="0.25">
      <c r="B219"/>
      <c r="C219"/>
    </row>
    <row r="220" spans="2:3" ht="15.75" customHeight="1" x14ac:dyDescent="0.25">
      <c r="B220"/>
      <c r="C220"/>
    </row>
    <row r="221" spans="2:3" ht="15.75" customHeight="1" x14ac:dyDescent="0.25">
      <c r="B221"/>
      <c r="C221"/>
    </row>
    <row r="222" spans="2:3" ht="15.75" customHeight="1" x14ac:dyDescent="0.25">
      <c r="B222"/>
      <c r="C222"/>
    </row>
    <row r="223" spans="2:3" ht="15.75" customHeight="1" x14ac:dyDescent="0.25">
      <c r="B223"/>
      <c r="C223"/>
    </row>
    <row r="224" spans="2:3" ht="15.75" customHeight="1" x14ac:dyDescent="0.25">
      <c r="B224"/>
      <c r="C224"/>
    </row>
    <row r="225" spans="2:3" ht="15.75" customHeight="1" x14ac:dyDescent="0.25">
      <c r="B225"/>
      <c r="C225"/>
    </row>
    <row r="226" spans="2:3" ht="15.75" customHeight="1" x14ac:dyDescent="0.25">
      <c r="B226"/>
      <c r="C226"/>
    </row>
    <row r="227" spans="2:3" ht="15.75" customHeight="1" x14ac:dyDescent="0.25">
      <c r="B227"/>
      <c r="C227"/>
    </row>
    <row r="228" spans="2:3" ht="15.75" customHeight="1" x14ac:dyDescent="0.25">
      <c r="B228"/>
      <c r="C228"/>
    </row>
    <row r="229" spans="2:3" ht="15.75" customHeight="1" x14ac:dyDescent="0.25">
      <c r="B229"/>
      <c r="C229"/>
    </row>
    <row r="230" spans="2:3" ht="15.75" customHeight="1" x14ac:dyDescent="0.25">
      <c r="B230"/>
      <c r="C230"/>
    </row>
    <row r="231" spans="2:3" ht="15.75" customHeight="1" x14ac:dyDescent="0.25">
      <c r="B231"/>
      <c r="C231"/>
    </row>
    <row r="232" spans="2:3" ht="15.75" customHeight="1" x14ac:dyDescent="0.25">
      <c r="B232"/>
      <c r="C232"/>
    </row>
    <row r="233" spans="2:3" ht="15.75" customHeight="1" x14ac:dyDescent="0.25">
      <c r="B233"/>
      <c r="C233"/>
    </row>
    <row r="234" spans="2:3" ht="15.75" customHeight="1" x14ac:dyDescent="0.25">
      <c r="B234"/>
      <c r="C234"/>
    </row>
    <row r="235" spans="2:3" ht="15.75" customHeight="1" x14ac:dyDescent="0.25">
      <c r="B235"/>
      <c r="C235"/>
    </row>
    <row r="236" spans="2:3" ht="15.75" customHeight="1" x14ac:dyDescent="0.25">
      <c r="B236"/>
      <c r="C236"/>
    </row>
    <row r="237" spans="2:3" ht="15.75" customHeight="1" x14ac:dyDescent="0.25">
      <c r="B237"/>
      <c r="C237"/>
    </row>
    <row r="238" spans="2:3" ht="15.75" customHeight="1" x14ac:dyDescent="0.25">
      <c r="B238"/>
      <c r="C238"/>
    </row>
    <row r="239" spans="2:3" ht="15.75" customHeight="1" x14ac:dyDescent="0.25">
      <c r="B239"/>
      <c r="C239"/>
    </row>
    <row r="240" spans="2:3" ht="15.75" customHeight="1" x14ac:dyDescent="0.25">
      <c r="B240"/>
      <c r="C240"/>
    </row>
    <row r="241" spans="2:3" ht="15.75" customHeight="1" x14ac:dyDescent="0.25">
      <c r="B241"/>
      <c r="C241"/>
    </row>
    <row r="242" spans="2:3" ht="15.75" customHeight="1" x14ac:dyDescent="0.25">
      <c r="B242"/>
      <c r="C242"/>
    </row>
    <row r="243" spans="2:3" ht="15.75" customHeight="1" x14ac:dyDescent="0.25">
      <c r="B243"/>
      <c r="C243"/>
    </row>
    <row r="244" spans="2:3" ht="15.75" customHeight="1" x14ac:dyDescent="0.25">
      <c r="B244"/>
      <c r="C244"/>
    </row>
    <row r="245" spans="2:3" ht="15.75" customHeight="1" x14ac:dyDescent="0.25">
      <c r="B245"/>
      <c r="C245"/>
    </row>
    <row r="246" spans="2:3" ht="15.75" customHeight="1" x14ac:dyDescent="0.25">
      <c r="B246"/>
      <c r="C246"/>
    </row>
    <row r="247" spans="2:3" ht="15.75" customHeight="1" x14ac:dyDescent="0.25">
      <c r="B247"/>
      <c r="C247"/>
    </row>
    <row r="248" spans="2:3" ht="15.75" customHeight="1" x14ac:dyDescent="0.25">
      <c r="B248"/>
      <c r="C248"/>
    </row>
    <row r="249" spans="2:3" ht="15.75" customHeight="1" x14ac:dyDescent="0.25">
      <c r="B249"/>
      <c r="C249"/>
    </row>
    <row r="250" spans="2:3" ht="15.75" customHeight="1" x14ac:dyDescent="0.25">
      <c r="B250"/>
      <c r="C250"/>
    </row>
    <row r="251" spans="2:3" ht="15.75" customHeight="1" x14ac:dyDescent="0.25">
      <c r="B251"/>
      <c r="C251"/>
    </row>
    <row r="252" spans="2:3" ht="15.75" customHeight="1" x14ac:dyDescent="0.25">
      <c r="B252"/>
      <c r="C252"/>
    </row>
    <row r="253" spans="2:3" ht="15.75" customHeight="1" x14ac:dyDescent="0.25">
      <c r="B253"/>
      <c r="C253"/>
    </row>
    <row r="254" spans="2:3" ht="15.75" customHeight="1" x14ac:dyDescent="0.25">
      <c r="B254"/>
      <c r="C254"/>
    </row>
    <row r="255" spans="2:3" ht="15.75" customHeight="1" x14ac:dyDescent="0.25">
      <c r="B255"/>
      <c r="C255"/>
    </row>
    <row r="256" spans="2:3" ht="15.75" customHeight="1" x14ac:dyDescent="0.25">
      <c r="B256"/>
      <c r="C256"/>
    </row>
    <row r="257" spans="2:3" ht="15.75" customHeight="1" x14ac:dyDescent="0.25">
      <c r="B257"/>
      <c r="C257"/>
    </row>
    <row r="258" spans="2:3" ht="15.75" customHeight="1" x14ac:dyDescent="0.25">
      <c r="B258"/>
      <c r="C258"/>
    </row>
    <row r="259" spans="2:3" ht="15.75" customHeight="1" x14ac:dyDescent="0.25">
      <c r="B259"/>
      <c r="C259"/>
    </row>
    <row r="260" spans="2:3" ht="15.75" customHeight="1" x14ac:dyDescent="0.25">
      <c r="B260"/>
      <c r="C260"/>
    </row>
    <row r="261" spans="2:3" ht="15.75" customHeight="1" x14ac:dyDescent="0.25">
      <c r="B261"/>
      <c r="C261"/>
    </row>
    <row r="262" spans="2:3" ht="15.75" customHeight="1" x14ac:dyDescent="0.25">
      <c r="B262"/>
      <c r="C262"/>
    </row>
    <row r="263" spans="2:3" ht="15.75" customHeight="1" x14ac:dyDescent="0.25">
      <c r="B263"/>
      <c r="C263"/>
    </row>
    <row r="264" spans="2:3" ht="15.75" customHeight="1" x14ac:dyDescent="0.25">
      <c r="B264"/>
      <c r="C264"/>
    </row>
    <row r="265" spans="2:3" ht="15.75" customHeight="1" x14ac:dyDescent="0.25">
      <c r="B265"/>
      <c r="C265"/>
    </row>
    <row r="266" spans="2:3" ht="15.75" customHeight="1" x14ac:dyDescent="0.25">
      <c r="B266"/>
      <c r="C266"/>
    </row>
    <row r="267" spans="2:3" ht="15.75" customHeight="1" x14ac:dyDescent="0.25">
      <c r="B267"/>
      <c r="C267"/>
    </row>
    <row r="268" spans="2:3" ht="15.75" customHeight="1" x14ac:dyDescent="0.25">
      <c r="B268"/>
      <c r="C268"/>
    </row>
    <row r="269" spans="2:3" ht="15.75" customHeight="1" x14ac:dyDescent="0.25">
      <c r="B269"/>
      <c r="C269"/>
    </row>
    <row r="270" spans="2:3" ht="15.75" customHeight="1" x14ac:dyDescent="0.25">
      <c r="B270"/>
      <c r="C270"/>
    </row>
    <row r="271" spans="2:3" ht="15.75" customHeight="1" x14ac:dyDescent="0.25">
      <c r="B271"/>
      <c r="C271"/>
    </row>
    <row r="272" spans="2:3" ht="15.75" customHeight="1" x14ac:dyDescent="0.25">
      <c r="B272"/>
      <c r="C272"/>
    </row>
    <row r="273" spans="2:3" ht="15.75" customHeight="1" x14ac:dyDescent="0.25">
      <c r="B273"/>
      <c r="C273"/>
    </row>
    <row r="274" spans="2:3" ht="15.75" customHeight="1" x14ac:dyDescent="0.25">
      <c r="B274"/>
      <c r="C274"/>
    </row>
    <row r="275" spans="2:3" ht="15.75" customHeight="1" x14ac:dyDescent="0.25">
      <c r="B275"/>
      <c r="C275"/>
    </row>
    <row r="276" spans="2:3" ht="15.75" customHeight="1" x14ac:dyDescent="0.25">
      <c r="B276"/>
      <c r="C276"/>
    </row>
    <row r="277" spans="2:3" ht="15.75" customHeight="1" x14ac:dyDescent="0.25">
      <c r="B277"/>
      <c r="C277"/>
    </row>
    <row r="278" spans="2:3" ht="15.75" customHeight="1" x14ac:dyDescent="0.25">
      <c r="B278"/>
      <c r="C278"/>
    </row>
    <row r="279" spans="2:3" ht="15.75" customHeight="1" x14ac:dyDescent="0.25">
      <c r="B279"/>
      <c r="C279"/>
    </row>
    <row r="280" spans="2:3" ht="15.75" customHeight="1" x14ac:dyDescent="0.25">
      <c r="B280"/>
      <c r="C280"/>
    </row>
    <row r="281" spans="2:3" ht="15.75" customHeight="1" x14ac:dyDescent="0.25">
      <c r="B281"/>
      <c r="C281"/>
    </row>
    <row r="282" spans="2:3" ht="15.75" customHeight="1" x14ac:dyDescent="0.25">
      <c r="B282"/>
      <c r="C282"/>
    </row>
    <row r="283" spans="2:3" ht="15.75" customHeight="1" x14ac:dyDescent="0.25">
      <c r="B283"/>
      <c r="C283"/>
    </row>
    <row r="284" spans="2:3" ht="15.75" customHeight="1" x14ac:dyDescent="0.25">
      <c r="B284"/>
      <c r="C284"/>
    </row>
    <row r="285" spans="2:3" ht="15.75" customHeight="1" x14ac:dyDescent="0.25">
      <c r="B285"/>
      <c r="C285"/>
    </row>
    <row r="286" spans="2:3" ht="15.75" customHeight="1" x14ac:dyDescent="0.25">
      <c r="B286"/>
      <c r="C286"/>
    </row>
    <row r="287" spans="2:3" ht="15.75" customHeight="1" x14ac:dyDescent="0.25">
      <c r="B287"/>
      <c r="C287"/>
    </row>
    <row r="288" spans="2:3" ht="15.75" customHeight="1" x14ac:dyDescent="0.25">
      <c r="B288"/>
      <c r="C288"/>
    </row>
    <row r="289" spans="2:3" ht="15.75" customHeight="1" x14ac:dyDescent="0.25">
      <c r="B289"/>
      <c r="C289"/>
    </row>
    <row r="290" spans="2:3" ht="15.75" customHeight="1" x14ac:dyDescent="0.25">
      <c r="B290"/>
      <c r="C290"/>
    </row>
    <row r="291" spans="2:3" ht="15.75" customHeight="1" x14ac:dyDescent="0.25">
      <c r="B291"/>
      <c r="C291"/>
    </row>
    <row r="292" spans="2:3" ht="15.75" customHeight="1" x14ac:dyDescent="0.25">
      <c r="B292"/>
      <c r="C292"/>
    </row>
    <row r="293" spans="2:3" ht="15.75" customHeight="1" x14ac:dyDescent="0.25">
      <c r="B293"/>
      <c r="C293"/>
    </row>
    <row r="294" spans="2:3" ht="15.75" customHeight="1" x14ac:dyDescent="0.25">
      <c r="B294"/>
      <c r="C294"/>
    </row>
    <row r="295" spans="2:3" ht="15.75" customHeight="1" x14ac:dyDescent="0.25">
      <c r="B295"/>
      <c r="C295"/>
    </row>
    <row r="296" spans="2:3" ht="15.75" customHeight="1" x14ac:dyDescent="0.25">
      <c r="B296"/>
      <c r="C296"/>
    </row>
    <row r="297" spans="2:3" ht="15.75" customHeight="1" x14ac:dyDescent="0.25">
      <c r="B297"/>
      <c r="C297"/>
    </row>
    <row r="298" spans="2:3" ht="15.75" customHeight="1" x14ac:dyDescent="0.25">
      <c r="B298"/>
      <c r="C298"/>
    </row>
    <row r="299" spans="2:3" ht="15.75" customHeight="1" x14ac:dyDescent="0.25">
      <c r="B299"/>
      <c r="C299"/>
    </row>
    <row r="300" spans="2:3" ht="15.75" customHeight="1" x14ac:dyDescent="0.25">
      <c r="B300"/>
      <c r="C300"/>
    </row>
    <row r="301" spans="2:3" ht="15.75" customHeight="1" x14ac:dyDescent="0.25">
      <c r="B301"/>
      <c r="C301"/>
    </row>
    <row r="302" spans="2:3" ht="15.75" customHeight="1" x14ac:dyDescent="0.25">
      <c r="B302"/>
      <c r="C302"/>
    </row>
    <row r="303" spans="2:3" ht="15.75" customHeight="1" x14ac:dyDescent="0.25">
      <c r="B303"/>
      <c r="C303"/>
    </row>
    <row r="304" spans="2:3" ht="15.75" customHeight="1" x14ac:dyDescent="0.25">
      <c r="B304"/>
      <c r="C304"/>
    </row>
    <row r="305" spans="2:3" ht="15.75" customHeight="1" x14ac:dyDescent="0.25">
      <c r="B305"/>
      <c r="C305"/>
    </row>
    <row r="306" spans="2:3" ht="15.75" customHeight="1" x14ac:dyDescent="0.25">
      <c r="B306"/>
      <c r="C306"/>
    </row>
    <row r="307" spans="2:3" ht="15.75" customHeight="1" x14ac:dyDescent="0.25">
      <c r="B307"/>
      <c r="C307"/>
    </row>
    <row r="308" spans="2:3" ht="15.75" customHeight="1" x14ac:dyDescent="0.25">
      <c r="B308"/>
      <c r="C308"/>
    </row>
    <row r="309" spans="2:3" ht="15.75" customHeight="1" x14ac:dyDescent="0.25">
      <c r="B309"/>
      <c r="C309"/>
    </row>
    <row r="310" spans="2:3" ht="15.75" customHeight="1" x14ac:dyDescent="0.25">
      <c r="B310"/>
      <c r="C310"/>
    </row>
    <row r="311" spans="2:3" ht="15.75" customHeight="1" x14ac:dyDescent="0.25">
      <c r="B311"/>
      <c r="C311"/>
    </row>
    <row r="312" spans="2:3" ht="15.75" customHeight="1" x14ac:dyDescent="0.25">
      <c r="B312"/>
      <c r="C312"/>
    </row>
    <row r="313" spans="2:3" ht="15.75" customHeight="1" x14ac:dyDescent="0.25">
      <c r="B313"/>
      <c r="C313"/>
    </row>
    <row r="314" spans="2:3" ht="15.75" customHeight="1" x14ac:dyDescent="0.25">
      <c r="B314"/>
      <c r="C314"/>
    </row>
    <row r="315" spans="2:3" ht="15.75" customHeight="1" x14ac:dyDescent="0.25">
      <c r="B315"/>
      <c r="C315"/>
    </row>
    <row r="316" spans="2:3" ht="15.75" customHeight="1" x14ac:dyDescent="0.25">
      <c r="B316"/>
      <c r="C316"/>
    </row>
    <row r="317" spans="2:3" ht="15.75" customHeight="1" x14ac:dyDescent="0.25">
      <c r="B317"/>
      <c r="C317"/>
    </row>
    <row r="318" spans="2:3" ht="15.75" customHeight="1" x14ac:dyDescent="0.25">
      <c r="B318"/>
      <c r="C318"/>
    </row>
    <row r="319" spans="2:3" ht="15.75" customHeight="1" x14ac:dyDescent="0.25">
      <c r="B319"/>
      <c r="C319"/>
    </row>
    <row r="320" spans="2:3" ht="15.75" customHeight="1" x14ac:dyDescent="0.25">
      <c r="B320"/>
      <c r="C320"/>
    </row>
    <row r="321" spans="2:3" ht="15.75" customHeight="1" x14ac:dyDescent="0.25">
      <c r="B321"/>
      <c r="C321"/>
    </row>
    <row r="322" spans="2:3" ht="15.75" customHeight="1" x14ac:dyDescent="0.25">
      <c r="B322"/>
      <c r="C322"/>
    </row>
    <row r="323" spans="2:3" ht="15.75" customHeight="1" x14ac:dyDescent="0.25">
      <c r="B323"/>
      <c r="C323"/>
    </row>
    <row r="324" spans="2:3" ht="15.75" customHeight="1" x14ac:dyDescent="0.25">
      <c r="B324"/>
      <c r="C324"/>
    </row>
    <row r="325" spans="2:3" ht="15.75" customHeight="1" x14ac:dyDescent="0.25">
      <c r="B325"/>
      <c r="C325"/>
    </row>
    <row r="326" spans="2:3" ht="15.75" customHeight="1" x14ac:dyDescent="0.25">
      <c r="B326"/>
      <c r="C326"/>
    </row>
    <row r="327" spans="2:3" ht="15.75" customHeight="1" x14ac:dyDescent="0.25">
      <c r="B327"/>
      <c r="C327"/>
    </row>
    <row r="328" spans="2:3" ht="15.75" customHeight="1" x14ac:dyDescent="0.25">
      <c r="B328"/>
      <c r="C328"/>
    </row>
    <row r="329" spans="2:3" ht="15.75" customHeight="1" x14ac:dyDescent="0.25">
      <c r="B329"/>
      <c r="C329"/>
    </row>
    <row r="330" spans="2:3" ht="15.75" customHeight="1" x14ac:dyDescent="0.25">
      <c r="B330"/>
      <c r="C330"/>
    </row>
    <row r="331" spans="2:3" ht="15.75" customHeight="1" x14ac:dyDescent="0.25">
      <c r="B331"/>
      <c r="C331"/>
    </row>
    <row r="332" spans="2:3" ht="15.75" customHeight="1" x14ac:dyDescent="0.25">
      <c r="B332"/>
      <c r="C332"/>
    </row>
    <row r="333" spans="2:3" ht="15.75" customHeight="1" x14ac:dyDescent="0.25">
      <c r="B333"/>
      <c r="C333"/>
    </row>
    <row r="334" spans="2:3" ht="15.75" customHeight="1" x14ac:dyDescent="0.25">
      <c r="B334"/>
      <c r="C334"/>
    </row>
    <row r="335" spans="2:3" ht="15.75" customHeight="1" x14ac:dyDescent="0.25">
      <c r="B335"/>
      <c r="C335"/>
    </row>
    <row r="336" spans="2:3" ht="15.75" customHeight="1" x14ac:dyDescent="0.25">
      <c r="B336"/>
      <c r="C336"/>
    </row>
    <row r="337" spans="2:3" ht="15.75" customHeight="1" x14ac:dyDescent="0.25">
      <c r="B337"/>
      <c r="C337"/>
    </row>
    <row r="338" spans="2:3" ht="15.75" customHeight="1" x14ac:dyDescent="0.25">
      <c r="B338"/>
      <c r="C338"/>
    </row>
    <row r="339" spans="2:3" ht="15.75" customHeight="1" x14ac:dyDescent="0.25">
      <c r="B339"/>
      <c r="C339"/>
    </row>
    <row r="340" spans="2:3" ht="15.75" customHeight="1" x14ac:dyDescent="0.25">
      <c r="B340"/>
      <c r="C340"/>
    </row>
    <row r="341" spans="2:3" ht="15.75" customHeight="1" x14ac:dyDescent="0.25">
      <c r="B341"/>
      <c r="C341"/>
    </row>
    <row r="342" spans="2:3" ht="15.75" customHeight="1" x14ac:dyDescent="0.25">
      <c r="B342"/>
      <c r="C342"/>
    </row>
    <row r="343" spans="2:3" ht="15.75" customHeight="1" x14ac:dyDescent="0.25">
      <c r="B343"/>
      <c r="C343"/>
    </row>
    <row r="344" spans="2:3" ht="15.75" customHeight="1" x14ac:dyDescent="0.25">
      <c r="B344"/>
      <c r="C344"/>
    </row>
    <row r="345" spans="2:3" ht="15.75" customHeight="1" x14ac:dyDescent="0.25">
      <c r="B345"/>
      <c r="C345"/>
    </row>
    <row r="346" spans="2:3" ht="15.75" customHeight="1" x14ac:dyDescent="0.25">
      <c r="B346"/>
      <c r="C346"/>
    </row>
    <row r="347" spans="2:3" ht="15.75" customHeight="1" x14ac:dyDescent="0.25">
      <c r="B347"/>
      <c r="C347"/>
    </row>
    <row r="348" spans="2:3" ht="15.75" customHeight="1" x14ac:dyDescent="0.25">
      <c r="B348"/>
      <c r="C348"/>
    </row>
    <row r="349" spans="2:3" ht="15.75" customHeight="1" x14ac:dyDescent="0.25">
      <c r="B349"/>
      <c r="C349"/>
    </row>
    <row r="350" spans="2:3" ht="15.75" customHeight="1" x14ac:dyDescent="0.25">
      <c r="B350"/>
      <c r="C350"/>
    </row>
    <row r="351" spans="2:3" ht="15.75" customHeight="1" x14ac:dyDescent="0.25">
      <c r="B351"/>
      <c r="C351"/>
    </row>
    <row r="352" spans="2:3" ht="15.75" customHeight="1" x14ac:dyDescent="0.25">
      <c r="B352"/>
      <c r="C352"/>
    </row>
    <row r="353" spans="2:3" ht="15.75" customHeight="1" x14ac:dyDescent="0.25">
      <c r="B353"/>
      <c r="C353"/>
    </row>
    <row r="354" spans="2:3" ht="15.75" customHeight="1" x14ac:dyDescent="0.25">
      <c r="B354"/>
      <c r="C354"/>
    </row>
    <row r="355" spans="2:3" ht="15.75" customHeight="1" x14ac:dyDescent="0.25">
      <c r="B355"/>
      <c r="C355"/>
    </row>
    <row r="356" spans="2:3" ht="15.75" customHeight="1" x14ac:dyDescent="0.25">
      <c r="B356"/>
      <c r="C356"/>
    </row>
    <row r="357" spans="2:3" ht="15.75" customHeight="1" x14ac:dyDescent="0.25">
      <c r="B357"/>
      <c r="C357"/>
    </row>
    <row r="358" spans="2:3" ht="15.75" customHeight="1" x14ac:dyDescent="0.25">
      <c r="B358"/>
      <c r="C358"/>
    </row>
    <row r="359" spans="2:3" ht="15.75" customHeight="1" x14ac:dyDescent="0.25">
      <c r="B359"/>
      <c r="C359"/>
    </row>
    <row r="360" spans="2:3" ht="15.75" customHeight="1" x14ac:dyDescent="0.25">
      <c r="B360"/>
      <c r="C360"/>
    </row>
    <row r="361" spans="2:3" ht="15.75" customHeight="1" x14ac:dyDescent="0.25">
      <c r="B361"/>
      <c r="C361"/>
    </row>
    <row r="362" spans="2:3" ht="15.75" customHeight="1" x14ac:dyDescent="0.25">
      <c r="B362"/>
      <c r="C362"/>
    </row>
    <row r="363" spans="2:3" ht="15.75" customHeight="1" x14ac:dyDescent="0.25">
      <c r="B363"/>
      <c r="C363"/>
    </row>
    <row r="364" spans="2:3" ht="15.75" customHeight="1" x14ac:dyDescent="0.25">
      <c r="B364"/>
      <c r="C364"/>
    </row>
    <row r="365" spans="2:3" ht="15.75" customHeight="1" x14ac:dyDescent="0.25">
      <c r="B365"/>
      <c r="C365"/>
    </row>
    <row r="366" spans="2:3" ht="15.75" customHeight="1" x14ac:dyDescent="0.25">
      <c r="B366"/>
      <c r="C366"/>
    </row>
    <row r="367" spans="2:3" ht="15.75" customHeight="1" x14ac:dyDescent="0.25">
      <c r="B367"/>
      <c r="C367"/>
    </row>
    <row r="368" spans="2:3" ht="15.75" customHeight="1" x14ac:dyDescent="0.25">
      <c r="B368"/>
      <c r="C368"/>
    </row>
    <row r="369" spans="2:3" ht="15.75" customHeight="1" x14ac:dyDescent="0.25">
      <c r="B369"/>
      <c r="C369"/>
    </row>
    <row r="370" spans="2:3" ht="15.75" customHeight="1" x14ac:dyDescent="0.25">
      <c r="B370"/>
      <c r="C370"/>
    </row>
    <row r="371" spans="2:3" ht="15.75" customHeight="1" x14ac:dyDescent="0.25">
      <c r="B371"/>
      <c r="C371"/>
    </row>
    <row r="372" spans="2:3" ht="15.75" customHeight="1" x14ac:dyDescent="0.25">
      <c r="B372"/>
      <c r="C372"/>
    </row>
    <row r="373" spans="2:3" ht="15.75" customHeight="1" x14ac:dyDescent="0.25">
      <c r="B373"/>
      <c r="C373"/>
    </row>
    <row r="374" spans="2:3" ht="15.75" customHeight="1" x14ac:dyDescent="0.25">
      <c r="B374"/>
      <c r="C374"/>
    </row>
    <row r="375" spans="2:3" ht="15.75" customHeight="1" x14ac:dyDescent="0.25">
      <c r="B375"/>
      <c r="C375"/>
    </row>
    <row r="376" spans="2:3" ht="15.75" customHeight="1" x14ac:dyDescent="0.25">
      <c r="B376"/>
      <c r="C376"/>
    </row>
    <row r="377" spans="2:3" ht="15.75" customHeight="1" x14ac:dyDescent="0.25">
      <c r="B377"/>
      <c r="C377"/>
    </row>
    <row r="378" spans="2:3" ht="15.75" customHeight="1" x14ac:dyDescent="0.25">
      <c r="B378"/>
      <c r="C378"/>
    </row>
    <row r="379" spans="2:3" ht="15.75" customHeight="1" x14ac:dyDescent="0.25">
      <c r="B379"/>
      <c r="C379"/>
    </row>
    <row r="380" spans="2:3" ht="15.75" customHeight="1" x14ac:dyDescent="0.25">
      <c r="B380"/>
      <c r="C380"/>
    </row>
    <row r="381" spans="2:3" ht="15.75" customHeight="1" x14ac:dyDescent="0.25">
      <c r="B381"/>
      <c r="C381"/>
    </row>
    <row r="382" spans="2:3" ht="15.75" customHeight="1" x14ac:dyDescent="0.25">
      <c r="B382"/>
      <c r="C382"/>
    </row>
    <row r="383" spans="2:3" ht="15.75" customHeight="1" x14ac:dyDescent="0.25">
      <c r="B383"/>
      <c r="C383"/>
    </row>
    <row r="384" spans="2:3" ht="15.75" customHeight="1" x14ac:dyDescent="0.25">
      <c r="B384"/>
      <c r="C384"/>
    </row>
    <row r="385" spans="2:3" ht="15.75" customHeight="1" x14ac:dyDescent="0.25">
      <c r="B385"/>
      <c r="C385"/>
    </row>
    <row r="386" spans="2:3" ht="15.75" customHeight="1" x14ac:dyDescent="0.25">
      <c r="B386"/>
      <c r="C386"/>
    </row>
    <row r="387" spans="2:3" ht="15.75" customHeight="1" x14ac:dyDescent="0.25">
      <c r="B387"/>
      <c r="C387"/>
    </row>
    <row r="388" spans="2:3" ht="15.75" customHeight="1" x14ac:dyDescent="0.25">
      <c r="B388"/>
      <c r="C388"/>
    </row>
    <row r="389" spans="2:3" ht="15.75" customHeight="1" x14ac:dyDescent="0.25">
      <c r="B389"/>
      <c r="C389"/>
    </row>
    <row r="390" spans="2:3" ht="15.75" customHeight="1" x14ac:dyDescent="0.25">
      <c r="B390"/>
      <c r="C390"/>
    </row>
    <row r="391" spans="2:3" ht="15.75" customHeight="1" x14ac:dyDescent="0.25">
      <c r="B391"/>
      <c r="C391"/>
    </row>
    <row r="392" spans="2:3" ht="15.75" customHeight="1" x14ac:dyDescent="0.25">
      <c r="B392"/>
      <c r="C392"/>
    </row>
    <row r="393" spans="2:3" ht="15.75" customHeight="1" x14ac:dyDescent="0.25">
      <c r="B393"/>
      <c r="C393"/>
    </row>
    <row r="394" spans="2:3" ht="15.75" customHeight="1" x14ac:dyDescent="0.25">
      <c r="B394"/>
      <c r="C394"/>
    </row>
    <row r="395" spans="2:3" ht="15.75" customHeight="1" x14ac:dyDescent="0.25">
      <c r="B395"/>
      <c r="C395"/>
    </row>
    <row r="396" spans="2:3" ht="15.75" customHeight="1" x14ac:dyDescent="0.25">
      <c r="B396"/>
      <c r="C396"/>
    </row>
    <row r="397" spans="2:3" ht="15.75" customHeight="1" x14ac:dyDescent="0.25">
      <c r="B397"/>
      <c r="C397"/>
    </row>
    <row r="398" spans="2:3" ht="15.75" customHeight="1" x14ac:dyDescent="0.25">
      <c r="B398"/>
      <c r="C398"/>
    </row>
    <row r="399" spans="2:3" ht="15.75" customHeight="1" x14ac:dyDescent="0.25">
      <c r="B399"/>
      <c r="C399"/>
    </row>
    <row r="400" spans="2:3" ht="15.75" customHeight="1" x14ac:dyDescent="0.25">
      <c r="B400"/>
      <c r="C400"/>
    </row>
    <row r="401" spans="2:3" ht="15.75" customHeight="1" x14ac:dyDescent="0.25">
      <c r="B401"/>
      <c r="C401"/>
    </row>
    <row r="402" spans="2:3" ht="15.75" customHeight="1" x14ac:dyDescent="0.25">
      <c r="B402"/>
      <c r="C402"/>
    </row>
    <row r="403" spans="2:3" ht="15.75" customHeight="1" x14ac:dyDescent="0.25">
      <c r="B403"/>
      <c r="C403"/>
    </row>
    <row r="404" spans="2:3" ht="15.75" customHeight="1" x14ac:dyDescent="0.25">
      <c r="B404"/>
      <c r="C404"/>
    </row>
    <row r="405" spans="2:3" ht="15.75" customHeight="1" x14ac:dyDescent="0.25">
      <c r="B405"/>
      <c r="C405"/>
    </row>
    <row r="406" spans="2:3" ht="15.75" customHeight="1" x14ac:dyDescent="0.25">
      <c r="B406"/>
      <c r="C406"/>
    </row>
    <row r="407" spans="2:3" ht="15.75" customHeight="1" x14ac:dyDescent="0.25">
      <c r="B407"/>
      <c r="C407"/>
    </row>
    <row r="408" spans="2:3" ht="15.75" customHeight="1" x14ac:dyDescent="0.25">
      <c r="B408"/>
      <c r="C408"/>
    </row>
    <row r="409" spans="2:3" ht="15.75" customHeight="1" x14ac:dyDescent="0.25">
      <c r="B409"/>
      <c r="C409"/>
    </row>
    <row r="410" spans="2:3" ht="15.75" customHeight="1" x14ac:dyDescent="0.25">
      <c r="B410"/>
      <c r="C410"/>
    </row>
    <row r="411" spans="2:3" ht="15.75" customHeight="1" x14ac:dyDescent="0.25">
      <c r="B411"/>
      <c r="C411"/>
    </row>
    <row r="412" spans="2:3" ht="15.75" customHeight="1" x14ac:dyDescent="0.25">
      <c r="B412"/>
      <c r="C412"/>
    </row>
    <row r="413" spans="2:3" ht="15.75" customHeight="1" x14ac:dyDescent="0.25">
      <c r="B413"/>
      <c r="C413"/>
    </row>
    <row r="414" spans="2:3" ht="15.75" customHeight="1" x14ac:dyDescent="0.25">
      <c r="B414"/>
      <c r="C414"/>
    </row>
    <row r="415" spans="2:3" ht="15.75" customHeight="1" x14ac:dyDescent="0.25">
      <c r="B415"/>
      <c r="C415"/>
    </row>
    <row r="416" spans="2:3" ht="15.75" customHeight="1" x14ac:dyDescent="0.25">
      <c r="B416"/>
      <c r="C416"/>
    </row>
    <row r="417" spans="2:3" ht="15.75" customHeight="1" x14ac:dyDescent="0.25">
      <c r="B417"/>
      <c r="C417"/>
    </row>
    <row r="418" spans="2:3" ht="15.75" customHeight="1" x14ac:dyDescent="0.25">
      <c r="B418"/>
      <c r="C418"/>
    </row>
    <row r="419" spans="2:3" ht="15.75" customHeight="1" x14ac:dyDescent="0.25">
      <c r="B419"/>
      <c r="C419"/>
    </row>
    <row r="420" spans="2:3" ht="15.75" customHeight="1" x14ac:dyDescent="0.25">
      <c r="B420"/>
      <c r="C420"/>
    </row>
    <row r="421" spans="2:3" ht="15.75" customHeight="1" x14ac:dyDescent="0.25">
      <c r="B421"/>
      <c r="C421"/>
    </row>
    <row r="422" spans="2:3" ht="15.75" customHeight="1" x14ac:dyDescent="0.25">
      <c r="B422"/>
      <c r="C422"/>
    </row>
    <row r="423" spans="2:3" ht="15.75" customHeight="1" x14ac:dyDescent="0.25">
      <c r="B423"/>
      <c r="C423"/>
    </row>
    <row r="424" spans="2:3" ht="15.75" customHeight="1" x14ac:dyDescent="0.25">
      <c r="B424"/>
      <c r="C424"/>
    </row>
    <row r="425" spans="2:3" ht="15.75" customHeight="1" x14ac:dyDescent="0.25">
      <c r="B425"/>
      <c r="C425"/>
    </row>
    <row r="426" spans="2:3" ht="15.75" customHeight="1" x14ac:dyDescent="0.25">
      <c r="B426"/>
      <c r="C426"/>
    </row>
    <row r="427" spans="2:3" ht="15.75" customHeight="1" x14ac:dyDescent="0.25">
      <c r="B427"/>
      <c r="C427"/>
    </row>
    <row r="428" spans="2:3" ht="15.75" customHeight="1" x14ac:dyDescent="0.25">
      <c r="B428"/>
      <c r="C428"/>
    </row>
    <row r="429" spans="2:3" ht="15.75" customHeight="1" x14ac:dyDescent="0.25">
      <c r="B429"/>
      <c r="C429"/>
    </row>
    <row r="430" spans="2:3" ht="15.75" customHeight="1" x14ac:dyDescent="0.25">
      <c r="B430"/>
      <c r="C430"/>
    </row>
    <row r="431" spans="2:3" ht="15.75" customHeight="1" x14ac:dyDescent="0.25">
      <c r="B431"/>
      <c r="C431"/>
    </row>
    <row r="432" spans="2:3" ht="15.75" customHeight="1" x14ac:dyDescent="0.25">
      <c r="B432"/>
      <c r="C432"/>
    </row>
    <row r="433" spans="2:3" ht="15.75" customHeight="1" x14ac:dyDescent="0.25">
      <c r="B433"/>
      <c r="C433"/>
    </row>
    <row r="434" spans="2:3" ht="15.75" customHeight="1" x14ac:dyDescent="0.25">
      <c r="B434"/>
      <c r="C434"/>
    </row>
    <row r="435" spans="2:3" ht="15.75" customHeight="1" x14ac:dyDescent="0.25">
      <c r="B435"/>
      <c r="C435"/>
    </row>
    <row r="436" spans="2:3" ht="15.75" customHeight="1" x14ac:dyDescent="0.25">
      <c r="B436"/>
      <c r="C436"/>
    </row>
    <row r="437" spans="2:3" ht="15.75" customHeight="1" x14ac:dyDescent="0.25">
      <c r="B437"/>
      <c r="C437"/>
    </row>
    <row r="438" spans="2:3" ht="15.75" customHeight="1" x14ac:dyDescent="0.25">
      <c r="B438"/>
      <c r="C438"/>
    </row>
    <row r="439" spans="2:3" ht="15.75" customHeight="1" x14ac:dyDescent="0.25">
      <c r="B439"/>
      <c r="C439"/>
    </row>
    <row r="440" spans="2:3" ht="15.75" customHeight="1" x14ac:dyDescent="0.25">
      <c r="B440"/>
      <c r="C440"/>
    </row>
    <row r="441" spans="2:3" ht="15.75" customHeight="1" x14ac:dyDescent="0.25">
      <c r="B441"/>
      <c r="C441"/>
    </row>
    <row r="442" spans="2:3" ht="15.75" customHeight="1" x14ac:dyDescent="0.25">
      <c r="B442"/>
      <c r="C442"/>
    </row>
    <row r="443" spans="2:3" ht="15.75" customHeight="1" x14ac:dyDescent="0.25">
      <c r="B443"/>
      <c r="C443"/>
    </row>
    <row r="444" spans="2:3" ht="15.75" customHeight="1" x14ac:dyDescent="0.25">
      <c r="B444"/>
      <c r="C444"/>
    </row>
    <row r="445" spans="2:3" ht="15.75" customHeight="1" x14ac:dyDescent="0.25">
      <c r="B445"/>
      <c r="C445"/>
    </row>
    <row r="446" spans="2:3" ht="15.75" customHeight="1" x14ac:dyDescent="0.25">
      <c r="B446"/>
      <c r="C446"/>
    </row>
    <row r="447" spans="2:3" ht="15.75" customHeight="1" x14ac:dyDescent="0.25">
      <c r="B447"/>
      <c r="C447"/>
    </row>
    <row r="448" spans="2:3" ht="15.75" customHeight="1" x14ac:dyDescent="0.25">
      <c r="B448"/>
      <c r="C448"/>
    </row>
    <row r="449" spans="2:3" ht="15.75" customHeight="1" x14ac:dyDescent="0.25">
      <c r="B449"/>
      <c r="C449"/>
    </row>
    <row r="450" spans="2:3" ht="15.75" customHeight="1" x14ac:dyDescent="0.25">
      <c r="B450"/>
      <c r="C450"/>
    </row>
    <row r="451" spans="2:3" ht="15.75" customHeight="1" x14ac:dyDescent="0.25">
      <c r="B451"/>
      <c r="C451"/>
    </row>
    <row r="452" spans="2:3" ht="15.75" customHeight="1" x14ac:dyDescent="0.25">
      <c r="B452"/>
      <c r="C452"/>
    </row>
    <row r="453" spans="2:3" ht="15.75" customHeight="1" x14ac:dyDescent="0.25">
      <c r="B453"/>
      <c r="C453"/>
    </row>
    <row r="454" spans="2:3" ht="15.75" customHeight="1" x14ac:dyDescent="0.25">
      <c r="B454"/>
      <c r="C454"/>
    </row>
    <row r="455" spans="2:3" ht="15.75" customHeight="1" x14ac:dyDescent="0.25">
      <c r="B455"/>
      <c r="C455"/>
    </row>
    <row r="456" spans="2:3" ht="15.75" customHeight="1" x14ac:dyDescent="0.25">
      <c r="B456"/>
      <c r="C456"/>
    </row>
    <row r="457" spans="2:3" ht="15.75" customHeight="1" x14ac:dyDescent="0.25">
      <c r="B457"/>
      <c r="C457"/>
    </row>
    <row r="458" spans="2:3" ht="15.75" customHeight="1" x14ac:dyDescent="0.25">
      <c r="B458"/>
      <c r="C458"/>
    </row>
    <row r="459" spans="2:3" ht="15.75" customHeight="1" x14ac:dyDescent="0.25">
      <c r="B459"/>
      <c r="C459"/>
    </row>
    <row r="460" spans="2:3" ht="15.75" customHeight="1" x14ac:dyDescent="0.25">
      <c r="B460"/>
      <c r="C460"/>
    </row>
    <row r="461" spans="2:3" ht="15.75" customHeight="1" x14ac:dyDescent="0.25">
      <c r="B461"/>
      <c r="C461"/>
    </row>
    <row r="462" spans="2:3" ht="15.75" customHeight="1" x14ac:dyDescent="0.25">
      <c r="B462"/>
      <c r="C462"/>
    </row>
    <row r="463" spans="2:3" ht="15.75" customHeight="1" x14ac:dyDescent="0.25">
      <c r="B463"/>
      <c r="C463"/>
    </row>
    <row r="464" spans="2:3" ht="15.75" customHeight="1" x14ac:dyDescent="0.25">
      <c r="B464"/>
      <c r="C464"/>
    </row>
    <row r="465" spans="2:3" ht="15.75" customHeight="1" x14ac:dyDescent="0.25">
      <c r="B465"/>
      <c r="C465"/>
    </row>
    <row r="466" spans="2:3" ht="15.75" customHeight="1" x14ac:dyDescent="0.25">
      <c r="B466"/>
      <c r="C466"/>
    </row>
    <row r="467" spans="2:3" ht="15.75" customHeight="1" x14ac:dyDescent="0.25">
      <c r="B467"/>
      <c r="C467"/>
    </row>
    <row r="468" spans="2:3" ht="15.75" customHeight="1" x14ac:dyDescent="0.25">
      <c r="B468"/>
      <c r="C468"/>
    </row>
    <row r="469" spans="2:3" ht="15.75" customHeight="1" x14ac:dyDescent="0.25">
      <c r="B469"/>
      <c r="C46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B1:W311"/>
  <sheetViews>
    <sheetView workbookViewId="0">
      <selection activeCell="C21" sqref="C21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11</v>
      </c>
      <c r="C3" s="8" t="s">
        <v>106</v>
      </c>
      <c r="D3" s="36">
        <f>IF((E3+E4+E5)=0,0,E3/(E3+E4+E5))</f>
        <v>0.53266331658291455</v>
      </c>
      <c r="E3" s="9">
        <f t="shared" ref="E3:E14" si="0">SUM(F3:W3)</f>
        <v>106</v>
      </c>
      <c r="F3" s="9">
        <f>SUMIFS([0]!psuv,[0]!municipio,$B3,[0]!turno,F$2)</f>
        <v>15</v>
      </c>
      <c r="G3" s="9">
        <f>SUMIFS([0]!psuv,[0]!municipio,$B3,[0]!turno,G$2)</f>
        <v>0</v>
      </c>
      <c r="H3" s="9">
        <f>SUMIFS([0]!psuv,[0]!municipio,$B3,[0]!turno,H$2)</f>
        <v>7</v>
      </c>
      <c r="I3" s="9">
        <f>SUMIFS([0]!psuv,[0]!municipio,$B3,[0]!turno,I$2)</f>
        <v>5</v>
      </c>
      <c r="J3" s="9">
        <f>SUMIFS([0]!psuv,[0]!municipio,$B3,[0]!turno,J$2)</f>
        <v>5</v>
      </c>
      <c r="K3" s="9">
        <f>SUMIFS([0]!psuv,[0]!municipio,$B3,[0]!turno,K$2)</f>
        <v>8</v>
      </c>
      <c r="L3" s="9">
        <f>SUMIFS([0]!psuv,[0]!municipio,$B3,[0]!turno,L$2)</f>
        <v>5</v>
      </c>
      <c r="M3" s="9">
        <f>SUMIFS([0]!psuv,[0]!municipio,$B3,[0]!turno,M$2)</f>
        <v>3</v>
      </c>
      <c r="N3" s="9">
        <f>SUMIFS([0]!psuv,[0]!municipio,$B3,[0]!turno,N$2)</f>
        <v>5</v>
      </c>
      <c r="O3" s="9">
        <f>SUMIFS([0]!psuv,[0]!municipio,$B3,[0]!turno,O$2)</f>
        <v>2</v>
      </c>
      <c r="P3" s="9">
        <f>SUMIFS([0]!psuv,[0]!municipio,$B3,[0]!turno,P$2)</f>
        <v>2</v>
      </c>
      <c r="Q3" s="9">
        <f>SUMIFS([0]!psuv,[0]!municipio,$B3,[0]!turno,Q$2)</f>
        <v>13</v>
      </c>
      <c r="R3" s="9">
        <f>SUMIFS([0]!psuv,[0]!municipio,$B3,[0]!turno,R$2)</f>
        <v>13</v>
      </c>
      <c r="S3" s="9">
        <f>SUMIFS([0]!psuv,[0]!municipio,$B3,[0]!turno,S$2)</f>
        <v>7</v>
      </c>
      <c r="T3" s="9">
        <f>SUMIFS([0]!psuv,[0]!municipio,$B3,[0]!turno,T$2)</f>
        <v>4</v>
      </c>
      <c r="U3" s="9">
        <f>SUMIFS([0]!psuv,[0]!municipio,$B3,[0]!turno,U$2)</f>
        <v>3</v>
      </c>
      <c r="V3" s="9">
        <f>SUMIFS([0]!psuv,[0]!municipio,$B3,[0]!turno,V$2)</f>
        <v>6</v>
      </c>
      <c r="W3" s="25">
        <f>SUMIFS([0]!psuv,[0]!municipio,$B3,[0]!turno,W$2)</f>
        <v>3</v>
      </c>
    </row>
    <row r="4" spans="2:23" x14ac:dyDescent="0.25">
      <c r="B4" s="20" t="s">
        <v>11</v>
      </c>
      <c r="C4" s="4" t="s">
        <v>107</v>
      </c>
      <c r="D4" s="37">
        <f>IF((E3+E4+E5)=0,0,E4/(E3+E4+E5))</f>
        <v>0.29145728643216079</v>
      </c>
      <c r="E4" s="5">
        <f t="shared" si="0"/>
        <v>58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8</v>
      </c>
      <c r="I4" s="5">
        <f>SUMIFS([0]!mud,[0]!municipio,$B3,[0]!turno,I$2)</f>
        <v>6</v>
      </c>
      <c r="J4" s="5">
        <f>SUMIFS([0]!mud,[0]!municipio,$B3,[0]!turno,J$2)</f>
        <v>3</v>
      </c>
      <c r="K4" s="5">
        <f>SUMIFS([0]!mud,[0]!municipio,$B3,[0]!turno,K$2)</f>
        <v>10</v>
      </c>
      <c r="L4" s="5">
        <f>SUMIFS([0]!mud,[0]!municipio,$B3,[0]!turno,L$2)</f>
        <v>2</v>
      </c>
      <c r="M4" s="5">
        <f>SUMIFS([0]!mud,[0]!municipio,$B3,[0]!turno,M$2)</f>
        <v>1</v>
      </c>
      <c r="N4" s="5">
        <f>SUMIFS([0]!mud,[0]!municipio,$B3,[0]!turno,N$2)</f>
        <v>2</v>
      </c>
      <c r="O4" s="5">
        <f>SUMIFS([0]!mud,[0]!municipio,$B3,[0]!turno,O$2)</f>
        <v>0</v>
      </c>
      <c r="P4" s="5">
        <f>SUMIFS([0]!mud,[0]!municipio,$B3,[0]!turno,P$2)</f>
        <v>5</v>
      </c>
      <c r="Q4" s="5">
        <f>SUMIFS([0]!mud,[0]!municipio,$B3,[0]!turno,Q$2)</f>
        <v>3</v>
      </c>
      <c r="R4" s="5">
        <f>SUMIFS([0]!mud,[0]!municipio,$B3,[0]!turno,R$2)</f>
        <v>5</v>
      </c>
      <c r="S4" s="5">
        <f>SUMIFS([0]!mud,[0]!municipio,$B3,[0]!turno,S$2)</f>
        <v>8</v>
      </c>
      <c r="T4" s="5">
        <f>SUMIFS([0]!mud,[0]!municipio,$B3,[0]!turno,T$2)</f>
        <v>1</v>
      </c>
      <c r="U4" s="5">
        <f>SUMIFS([0]!mud,[0]!municipio,$B3,[0]!turno,U$2)</f>
        <v>2</v>
      </c>
      <c r="V4" s="5">
        <f>SUMIFS([0]!mud,[0]!municipio,$B3,[0]!turno,V$2)</f>
        <v>2</v>
      </c>
      <c r="W4" s="26">
        <f>SUMIFS([0]!mud,[0]!municipio,$B3,[0]!turno,W$2)</f>
        <v>0</v>
      </c>
    </row>
    <row r="5" spans="2:23" ht="15.75" thickBot="1" x14ac:dyDescent="0.3">
      <c r="B5" s="21">
        <v>0.15822443244280454</v>
      </c>
      <c r="C5" s="10" t="s">
        <v>0</v>
      </c>
      <c r="D5" s="38">
        <f>IF((E3+E4+E5)=0,0,E5/(E3+E4+E5))</f>
        <v>0.17587939698492464</v>
      </c>
      <c r="E5" s="11">
        <f t="shared" si="0"/>
        <v>35</v>
      </c>
      <c r="F5" s="11">
        <f>SUMIFS([0]!otro,[0]!municipio,$B3,[0]!turno,F$2)</f>
        <v>9</v>
      </c>
      <c r="G5" s="11">
        <f>SUMIFS([0]!otro,[0]!municipio,$B3,[0]!turno,G$2)</f>
        <v>0</v>
      </c>
      <c r="H5" s="11">
        <f>SUMIFS([0]!otro,[0]!municipio,$B3,[0]!turno,H$2)</f>
        <v>6</v>
      </c>
      <c r="I5" s="11">
        <f>SUMIFS([0]!otro,[0]!municipio,$B3,[0]!turno,I$2)</f>
        <v>2</v>
      </c>
      <c r="J5" s="11">
        <f>SUMIFS([0]!otro,[0]!municipio,$B3,[0]!turno,J$2)</f>
        <v>2</v>
      </c>
      <c r="K5" s="11">
        <f>SUMIFS([0]!otro,[0]!municipio,$B3,[0]!turno,K$2)</f>
        <v>5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7</v>
      </c>
      <c r="S5" s="11">
        <f>SUMIFS([0]!otro,[0]!municipio,$B3,[0]!turno,S$2)</f>
        <v>2</v>
      </c>
      <c r="T5" s="11">
        <f>SUMIFS([0]!otro,[0]!municipio,$B3,[0]!turno,T$2)</f>
        <v>0</v>
      </c>
      <c r="U5" s="11">
        <f>SUMIFS([0]!otro,[0]!municipio,$B3,[0]!turno,U$2)</f>
        <v>1</v>
      </c>
      <c r="V5" s="11">
        <f>SUMIFS([0]!otro,[0]!municipio,$B3,[0]!turno,V$2)</f>
        <v>0</v>
      </c>
      <c r="W5" s="27">
        <f>SUMIFS([0]!otro,[0]!municipio,$B3,[0]!turno,W$2)</f>
        <v>1</v>
      </c>
    </row>
    <row r="6" spans="2:23" x14ac:dyDescent="0.25">
      <c r="B6" s="22">
        <v>12</v>
      </c>
      <c r="C6" s="6" t="s">
        <v>106</v>
      </c>
      <c r="D6" s="36">
        <f>IF((E6+E7+E8)=0,0,E6/(E6+E7+E8))</f>
        <v>0.53007518796992481</v>
      </c>
      <c r="E6" s="7">
        <f t="shared" si="0"/>
        <v>141</v>
      </c>
      <c r="F6" s="7">
        <f>SUMIFS([0]!psuv,[0]!municipio,$B6,[0]!turno,F$2)</f>
        <v>0</v>
      </c>
      <c r="G6" s="7">
        <f>SUMIFS([0]!psuv,[0]!municipio,$B6,[0]!turno,G$2)</f>
        <v>20</v>
      </c>
      <c r="H6" s="7">
        <f>SUMIFS([0]!psuv,[0]!municipio,$B6,[0]!turno,H$2)</f>
        <v>18</v>
      </c>
      <c r="I6" s="7">
        <f>SUMIFS([0]!psuv,[0]!municipio,$B6,[0]!turno,I$2)</f>
        <v>22</v>
      </c>
      <c r="J6" s="7">
        <f>SUMIFS([0]!psuv,[0]!municipio,$B6,[0]!turno,J$2)</f>
        <v>5</v>
      </c>
      <c r="K6" s="7">
        <f>SUMIFS([0]!psuv,[0]!municipio,$B6,[0]!turno,K$2)</f>
        <v>2</v>
      </c>
      <c r="L6" s="7">
        <f>SUMIFS([0]!psuv,[0]!municipio,$B6,[0]!turno,L$2)</f>
        <v>7</v>
      </c>
      <c r="M6" s="7">
        <f>SUMIFS([0]!psuv,[0]!municipio,$B6,[0]!turno,M$2)</f>
        <v>10</v>
      </c>
      <c r="N6" s="7">
        <f>SUMIFS([0]!psuv,[0]!municipio,$B6,[0]!turno,N$2)</f>
        <v>4</v>
      </c>
      <c r="O6" s="7">
        <f>SUMIFS([0]!psuv,[0]!municipio,$B6,[0]!turno,O$2)</f>
        <v>0</v>
      </c>
      <c r="P6" s="7">
        <f>SUMIFS([0]!psuv,[0]!municipio,$B6,[0]!turno,P$2)</f>
        <v>3</v>
      </c>
      <c r="Q6" s="7">
        <f>SUMIFS([0]!psuv,[0]!municipio,$B6,[0]!turno,Q$2)</f>
        <v>8</v>
      </c>
      <c r="R6" s="7">
        <f>SUMIFS([0]!psuv,[0]!municipio,$B6,[0]!turno,R$2)</f>
        <v>12</v>
      </c>
      <c r="S6" s="7">
        <f>SUMIFS([0]!psuv,[0]!municipio,$B6,[0]!turno,S$2)</f>
        <v>14</v>
      </c>
      <c r="T6" s="7">
        <f>SUMIFS([0]!psuv,[0]!municipio,$B6,[0]!turno,T$2)</f>
        <v>10</v>
      </c>
      <c r="U6" s="7">
        <f>SUMIFS([0]!psuv,[0]!municipio,$B6,[0]!turno,U$2)</f>
        <v>1</v>
      </c>
      <c r="V6" s="7">
        <f>SUMIFS([0]!psuv,[0]!municipio,$B6,[0]!turno,V$2)</f>
        <v>3</v>
      </c>
      <c r="W6" s="28">
        <f>SUMIFS([0]!psuv,[0]!municipio,$B6,[0]!turno,W$2)</f>
        <v>2</v>
      </c>
    </row>
    <row r="7" spans="2:23" x14ac:dyDescent="0.25">
      <c r="B7" s="23" t="s">
        <v>12</v>
      </c>
      <c r="C7" s="4" t="s">
        <v>107</v>
      </c>
      <c r="D7" s="37">
        <f>IF((E6+E7+E8)=0,0,E7/(E6+E7+E8))</f>
        <v>0.32330827067669171</v>
      </c>
      <c r="E7" s="5">
        <f t="shared" si="0"/>
        <v>86</v>
      </c>
      <c r="F7" s="5">
        <f>SUMIFS([0]!mud,[0]!municipio,$B6,[0]!turno,F$2)</f>
        <v>0</v>
      </c>
      <c r="G7" s="5">
        <f>SUMIFS([0]!mud,[0]!municipio,$B6,[0]!turno,G$2)</f>
        <v>4</v>
      </c>
      <c r="H7" s="5">
        <f>SUMIFS([0]!mud,[0]!municipio,$B6,[0]!turno,H$2)</f>
        <v>12</v>
      </c>
      <c r="I7" s="5">
        <f>SUMIFS([0]!mud,[0]!municipio,$B6,[0]!turno,I$2)</f>
        <v>8</v>
      </c>
      <c r="J7" s="5">
        <f>SUMIFS([0]!mud,[0]!municipio,$B6,[0]!turno,J$2)</f>
        <v>7</v>
      </c>
      <c r="K7" s="5">
        <f>SUMIFS([0]!mud,[0]!municipio,$B6,[0]!turno,K$2)</f>
        <v>2</v>
      </c>
      <c r="L7" s="5">
        <f>SUMIFS([0]!mud,[0]!municipio,$B6,[0]!turno,L$2)</f>
        <v>3</v>
      </c>
      <c r="M7" s="5">
        <f>SUMIFS([0]!mud,[0]!municipio,$B6,[0]!turno,M$2)</f>
        <v>9</v>
      </c>
      <c r="N7" s="5">
        <f>SUMIFS([0]!mud,[0]!municipio,$B6,[0]!turno,N$2)</f>
        <v>4</v>
      </c>
      <c r="O7" s="5">
        <f>SUMIFS([0]!mud,[0]!municipio,$B6,[0]!turno,O$2)</f>
        <v>0</v>
      </c>
      <c r="P7" s="5">
        <f>SUMIFS([0]!mud,[0]!municipio,$B6,[0]!turno,P$2)</f>
        <v>6</v>
      </c>
      <c r="Q7" s="5">
        <f>SUMIFS([0]!mud,[0]!municipio,$B6,[0]!turno,Q$2)</f>
        <v>2</v>
      </c>
      <c r="R7" s="5">
        <f>SUMIFS([0]!mud,[0]!municipio,$B6,[0]!turno,R$2)</f>
        <v>8</v>
      </c>
      <c r="S7" s="5">
        <f>SUMIFS([0]!mud,[0]!municipio,$B6,[0]!turno,S$2)</f>
        <v>8</v>
      </c>
      <c r="T7" s="5">
        <f>SUMIFS([0]!mud,[0]!municipio,$B6,[0]!turno,T$2)</f>
        <v>11</v>
      </c>
      <c r="U7" s="5">
        <f>SUMIFS([0]!mud,[0]!municipio,$B6,[0]!turno,U$2)</f>
        <v>2</v>
      </c>
      <c r="V7" s="5">
        <f>SUMIFS([0]!mud,[0]!municipio,$B6,[0]!turno,V$2)</f>
        <v>0</v>
      </c>
      <c r="W7" s="26">
        <f>SUMIFS([0]!mud,[0]!municipio,$B6,[0]!turno,W$2)</f>
        <v>0</v>
      </c>
    </row>
    <row r="8" spans="2:23" ht="15.75" thickBot="1" x14ac:dyDescent="0.3">
      <c r="B8" s="24">
        <v>0.14344935658862049</v>
      </c>
      <c r="C8" s="12" t="s">
        <v>0</v>
      </c>
      <c r="D8" s="38">
        <f>IF((E6+E7+E8)=0,0,E8/(E6+E7+E8))</f>
        <v>0.14661654135338345</v>
      </c>
      <c r="E8" s="13">
        <f t="shared" si="0"/>
        <v>39</v>
      </c>
      <c r="F8" s="13">
        <f>SUMIFS([0]!otro,[0]!municipio,$B6,[0]!turno,F$2)</f>
        <v>0</v>
      </c>
      <c r="G8" s="13">
        <f>SUMIFS([0]!otro,[0]!municipio,$B6,[0]!turno,G$2)</f>
        <v>1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10</v>
      </c>
      <c r="K8" s="13">
        <f>SUMIFS([0]!otro,[0]!municipio,$B6,[0]!turno,K$2)</f>
        <v>2</v>
      </c>
      <c r="L8" s="13">
        <f>SUMIFS([0]!otro,[0]!municipio,$B6,[0]!turno,L$2)</f>
        <v>9</v>
      </c>
      <c r="M8" s="13">
        <f>SUMIFS([0]!otro,[0]!municipio,$B6,[0]!turno,M$2)</f>
        <v>2</v>
      </c>
      <c r="N8" s="13">
        <f>SUMIFS([0]!otro,[0]!municipio,$B6,[0]!turno,N$2)</f>
        <v>3</v>
      </c>
      <c r="O8" s="13">
        <f>SUMIFS([0]!otro,[0]!municipio,$B6,[0]!turno,O$2)</f>
        <v>0</v>
      </c>
      <c r="P8" s="13">
        <f>SUMIFS([0]!otro,[0]!municipio,$B6,[0]!turno,P$2)</f>
        <v>2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7</v>
      </c>
      <c r="U8" s="13">
        <f>SUMIFS([0]!otro,[0]!municipio,$B6,[0]!turno,U$2)</f>
        <v>0</v>
      </c>
      <c r="V8" s="13">
        <f>SUMIFS([0]!otro,[0]!municipio,$B6,[0]!turno,V$2)</f>
        <v>1</v>
      </c>
      <c r="W8" s="29">
        <f>SUMIFS([0]!otro,[0]!municipio,$B6,[0]!turno,W$2)</f>
        <v>2</v>
      </c>
    </row>
    <row r="9" spans="2:23" x14ac:dyDescent="0.25">
      <c r="B9" s="19">
        <v>13</v>
      </c>
      <c r="C9" s="8" t="s">
        <v>106</v>
      </c>
      <c r="D9" s="36">
        <f>IF((E9+E10+E11)=0,0,E9/(E9+E10+E11))</f>
        <v>0.54716981132075471</v>
      </c>
      <c r="E9" s="9">
        <f t="shared" si="0"/>
        <v>29</v>
      </c>
      <c r="F9" s="9">
        <f>SUMIFS([0]!psuv,[0]!municipio,$B9,[0]!turno,F$2)</f>
        <v>1</v>
      </c>
      <c r="G9" s="9">
        <f>SUMIFS([0]!psuv,[0]!municipio,$B9,[0]!turno,G$2)</f>
        <v>0</v>
      </c>
      <c r="H9" s="9">
        <f>SUMIFS([0]!psuv,[0]!municipio,$B9,[0]!turno,H$2)</f>
        <v>3</v>
      </c>
      <c r="I9" s="9">
        <f>SUMIFS([0]!psuv,[0]!municipio,$B9,[0]!turno,I$2)</f>
        <v>3</v>
      </c>
      <c r="J9" s="9">
        <f>SUMIFS([0]!psuv,[0]!municipio,$B9,[0]!turno,J$2)</f>
        <v>0</v>
      </c>
      <c r="K9" s="9">
        <f>SUMIFS([0]!psuv,[0]!municipio,$B9,[0]!turno,K$2)</f>
        <v>1</v>
      </c>
      <c r="L9" s="9">
        <f>SUMIFS([0]!psuv,[0]!municipio,$B9,[0]!turno,L$2)</f>
        <v>2</v>
      </c>
      <c r="M9" s="9">
        <f>SUMIFS([0]!psuv,[0]!municipio,$B9,[0]!turno,M$2)</f>
        <v>3</v>
      </c>
      <c r="N9" s="9">
        <f>SUMIFS([0]!psuv,[0]!municipio,$B9,[0]!turno,N$2)</f>
        <v>2</v>
      </c>
      <c r="O9" s="9">
        <f>SUMIFS([0]!psuv,[0]!municipio,$B9,[0]!turno,O$2)</f>
        <v>2</v>
      </c>
      <c r="P9" s="9">
        <f>SUMIFS([0]!psuv,[0]!municipio,$B9,[0]!turno,P$2)</f>
        <v>2</v>
      </c>
      <c r="Q9" s="9">
        <f>SUMIFS([0]!psuv,[0]!municipio,$B9,[0]!turno,Q$2)</f>
        <v>3</v>
      </c>
      <c r="R9" s="9">
        <f>SUMIFS([0]!psuv,[0]!municipio,$B9,[0]!turno,R$2)</f>
        <v>0</v>
      </c>
      <c r="S9" s="9">
        <f>SUMIFS([0]!psuv,[0]!municipio,$B9,[0]!turno,S$2)</f>
        <v>2</v>
      </c>
      <c r="T9" s="9">
        <f>SUMIFS([0]!psuv,[0]!municipio,$B9,[0]!turno,T$2)</f>
        <v>2</v>
      </c>
      <c r="U9" s="9">
        <f>SUMIFS([0]!psuv,[0]!municipio,$B9,[0]!turno,U$2)</f>
        <v>1</v>
      </c>
      <c r="V9" s="9">
        <f>SUMIFS([0]!psuv,[0]!municipio,$B9,[0]!turno,V$2)</f>
        <v>1</v>
      </c>
      <c r="W9" s="25">
        <f>SUMIFS([0]!psuv,[0]!municipio,$B9,[0]!turno,W$2)</f>
        <v>1</v>
      </c>
    </row>
    <row r="10" spans="2:23" x14ac:dyDescent="0.25">
      <c r="B10" s="20" t="s">
        <v>13</v>
      </c>
      <c r="C10" s="4" t="s">
        <v>107</v>
      </c>
      <c r="D10" s="37">
        <f>IF((E9+E10+E11)=0,0,E10/(E9+E10+E11))</f>
        <v>0.32075471698113206</v>
      </c>
      <c r="E10" s="5">
        <f t="shared" si="0"/>
        <v>17</v>
      </c>
      <c r="F10" s="5">
        <f>SUMIFS([0]!mud,[0]!municipio,$B9,[0]!turno,F$2)</f>
        <v>2</v>
      </c>
      <c r="G10" s="5">
        <f>SUMIFS([0]!mud,[0]!municipio,$B9,[0]!turno,G$2)</f>
        <v>0</v>
      </c>
      <c r="H10" s="5">
        <f>SUMIFS([0]!mud,[0]!municipio,$B9,[0]!turno,H$2)</f>
        <v>0</v>
      </c>
      <c r="I10" s="5">
        <f>SUMIFS([0]!mud,[0]!municipio,$B9,[0]!turno,I$2)</f>
        <v>0</v>
      </c>
      <c r="J10" s="5">
        <f>SUMIFS([0]!mud,[0]!municipio,$B9,[0]!turno,J$2)</f>
        <v>2</v>
      </c>
      <c r="K10" s="5">
        <f>SUMIFS([0]!mud,[0]!municipio,$B9,[0]!turno,K$2)</f>
        <v>2</v>
      </c>
      <c r="L10" s="5">
        <f>SUMIFS([0]!mud,[0]!municipio,$B9,[0]!turno,L$2)</f>
        <v>3</v>
      </c>
      <c r="M10" s="5">
        <f>SUMIFS([0]!mud,[0]!municipio,$B9,[0]!turno,M$2)</f>
        <v>2</v>
      </c>
      <c r="N10" s="5">
        <f>SUMIFS([0]!mud,[0]!municipio,$B9,[0]!turno,N$2)</f>
        <v>1</v>
      </c>
      <c r="O10" s="5">
        <f>SUMIFS([0]!mud,[0]!municipio,$B9,[0]!turno,O$2)</f>
        <v>1</v>
      </c>
      <c r="P10" s="5">
        <f>SUMIFS([0]!mud,[0]!municipio,$B9,[0]!turno,P$2)</f>
        <v>1</v>
      </c>
      <c r="Q10" s="5">
        <f>SUMIFS([0]!mud,[0]!municipio,$B9,[0]!turno,Q$2)</f>
        <v>1</v>
      </c>
      <c r="R10" s="5">
        <f>SUMIFS([0]!mud,[0]!municipio,$B9,[0]!turno,R$2)</f>
        <v>2</v>
      </c>
      <c r="S10" s="5">
        <f>SUMIFS([0]!mud,[0]!municipio,$B9,[0]!turno,S$2)</f>
        <v>0</v>
      </c>
      <c r="T10" s="5">
        <f>SUMIFS([0]!mud,[0]!municipio,$B9,[0]!turno,T$2)</f>
        <v>0</v>
      </c>
      <c r="U10" s="5">
        <f>SUMIFS([0]!mud,[0]!municipio,$B9,[0]!turno,U$2)</f>
        <v>0</v>
      </c>
      <c r="V10" s="5">
        <f>SUMIFS([0]!mud,[0]!municipio,$B9,[0]!turno,V$2)</f>
        <v>0</v>
      </c>
      <c r="W10" s="26">
        <f>SUMIFS([0]!mud,[0]!municipio,$B9,[0]!turno,W$2)</f>
        <v>0</v>
      </c>
    </row>
    <row r="11" spans="2:23" ht="15.75" thickBot="1" x14ac:dyDescent="0.3">
      <c r="B11" s="21">
        <v>0.26418443260270796</v>
      </c>
      <c r="C11" s="10" t="s">
        <v>0</v>
      </c>
      <c r="D11" s="38">
        <f>IF((E9+E10+E11)=0,0,E11/(E9+E10+E11))</f>
        <v>0.13207547169811321</v>
      </c>
      <c r="E11" s="11">
        <f t="shared" si="0"/>
        <v>7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1</v>
      </c>
      <c r="K11" s="11">
        <f>SUMIFS([0]!otro,[0]!municipio,$B9,[0]!turno,K$2)</f>
        <v>0</v>
      </c>
      <c r="L11" s="11">
        <f>SUMIFS([0]!otro,[0]!municipio,$B9,[0]!turno,L$2)</f>
        <v>1</v>
      </c>
      <c r="M11" s="11">
        <f>SUMIFS([0]!otro,[0]!municipio,$B9,[0]!turno,M$2)</f>
        <v>1</v>
      </c>
      <c r="N11" s="11">
        <f>SUMIFS([0]!otro,[0]!municipio,$B9,[0]!turno,N$2)</f>
        <v>1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1</v>
      </c>
      <c r="T11" s="11">
        <f>SUMIFS([0]!otro,[0]!municipio,$B9,[0]!turno,T$2)</f>
        <v>1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1</v>
      </c>
    </row>
    <row r="12" spans="2:23" x14ac:dyDescent="0.25">
      <c r="B12" s="22">
        <v>14</v>
      </c>
      <c r="C12" s="6" t="s">
        <v>106</v>
      </c>
      <c r="D12" s="36">
        <f>IF((E12+E13+E14)=0,0,E12/(E12+E13+E14))</f>
        <v>0.48181818181818181</v>
      </c>
      <c r="E12" s="7">
        <f t="shared" si="0"/>
        <v>318</v>
      </c>
      <c r="F12" s="7">
        <f>SUMIFS([0]!psuv,[0]!municipio,$B12,[0]!turno,F$2)</f>
        <v>8</v>
      </c>
      <c r="G12" s="7">
        <f>SUMIFS([0]!psuv,[0]!municipio,$B12,[0]!turno,G$2)</f>
        <v>11</v>
      </c>
      <c r="H12" s="7">
        <f>SUMIFS([0]!psuv,[0]!municipio,$B12,[0]!turno,H$2)</f>
        <v>15</v>
      </c>
      <c r="I12" s="7">
        <f>SUMIFS([0]!psuv,[0]!municipio,$B12,[0]!turno,I$2)</f>
        <v>19</v>
      </c>
      <c r="J12" s="7">
        <f>SUMIFS([0]!psuv,[0]!municipio,$B12,[0]!turno,J$2)</f>
        <v>18</v>
      </c>
      <c r="K12" s="7">
        <f>SUMIFS([0]!psuv,[0]!municipio,$B12,[0]!turno,K$2)</f>
        <v>22</v>
      </c>
      <c r="L12" s="7">
        <f>SUMIFS([0]!psuv,[0]!municipio,$B12,[0]!turno,L$2)</f>
        <v>30</v>
      </c>
      <c r="M12" s="7">
        <f>SUMIFS([0]!psuv,[0]!municipio,$B12,[0]!turno,M$2)</f>
        <v>17</v>
      </c>
      <c r="N12" s="7">
        <f>SUMIFS([0]!psuv,[0]!municipio,$B12,[0]!turno,N$2)</f>
        <v>18</v>
      </c>
      <c r="O12" s="7">
        <f>SUMIFS([0]!psuv,[0]!municipio,$B12,[0]!turno,O$2)</f>
        <v>7</v>
      </c>
      <c r="P12" s="7">
        <f>SUMIFS([0]!psuv,[0]!municipio,$B12,[0]!turno,P$2)</f>
        <v>19</v>
      </c>
      <c r="Q12" s="7">
        <f>SUMIFS([0]!psuv,[0]!municipio,$B12,[0]!turno,Q$2)</f>
        <v>26</v>
      </c>
      <c r="R12" s="7">
        <f>SUMIFS([0]!psuv,[0]!municipio,$B12,[0]!turno,R$2)</f>
        <v>18</v>
      </c>
      <c r="S12" s="7">
        <f>SUMIFS([0]!psuv,[0]!municipio,$B12,[0]!turno,S$2)</f>
        <v>17</v>
      </c>
      <c r="T12" s="7">
        <f>SUMIFS([0]!psuv,[0]!municipio,$B12,[0]!turno,T$2)</f>
        <v>14</v>
      </c>
      <c r="U12" s="7">
        <f>SUMIFS([0]!psuv,[0]!municipio,$B12,[0]!turno,U$2)</f>
        <v>16</v>
      </c>
      <c r="V12" s="7">
        <f>SUMIFS([0]!psuv,[0]!municipio,$B12,[0]!turno,V$2)</f>
        <v>17</v>
      </c>
      <c r="W12" s="28">
        <f>SUMIFS([0]!psuv,[0]!municipio,$B12,[0]!turno,W$2)</f>
        <v>26</v>
      </c>
    </row>
    <row r="13" spans="2:23" x14ac:dyDescent="0.25">
      <c r="B13" s="23" t="s">
        <v>14</v>
      </c>
      <c r="C13" s="4" t="s">
        <v>107</v>
      </c>
      <c r="D13" s="37">
        <f>IF((E12+E13+E14)=0,0,E13/(E12+E13+E14))</f>
        <v>0.29242424242424242</v>
      </c>
      <c r="E13" s="5">
        <f t="shared" si="0"/>
        <v>193</v>
      </c>
      <c r="F13" s="5">
        <f>SUMIFS([0]!mud,[0]!municipio,$B12,[0]!turno,F$2)</f>
        <v>6</v>
      </c>
      <c r="G13" s="5">
        <f>SUMIFS([0]!mud,[0]!municipio,$B12,[0]!turno,G$2)</f>
        <v>8</v>
      </c>
      <c r="H13" s="5">
        <f>SUMIFS([0]!mud,[0]!municipio,$B12,[0]!turno,H$2)</f>
        <v>9</v>
      </c>
      <c r="I13" s="5">
        <f>SUMIFS([0]!mud,[0]!municipio,$B12,[0]!turno,I$2)</f>
        <v>8</v>
      </c>
      <c r="J13" s="5">
        <f>SUMIFS([0]!mud,[0]!municipio,$B12,[0]!turno,J$2)</f>
        <v>11</v>
      </c>
      <c r="K13" s="5">
        <f>SUMIFS([0]!mud,[0]!municipio,$B12,[0]!turno,K$2)</f>
        <v>25</v>
      </c>
      <c r="L13" s="5">
        <f>SUMIFS([0]!mud,[0]!municipio,$B12,[0]!turno,L$2)</f>
        <v>15</v>
      </c>
      <c r="M13" s="5">
        <f>SUMIFS([0]!mud,[0]!municipio,$B12,[0]!turno,M$2)</f>
        <v>7</v>
      </c>
      <c r="N13" s="5">
        <f>SUMIFS([0]!mud,[0]!municipio,$B12,[0]!turno,N$2)</f>
        <v>10</v>
      </c>
      <c r="O13" s="5">
        <f>SUMIFS([0]!mud,[0]!municipio,$B12,[0]!turno,O$2)</f>
        <v>4</v>
      </c>
      <c r="P13" s="5">
        <f>SUMIFS([0]!mud,[0]!municipio,$B12,[0]!turno,P$2)</f>
        <v>8</v>
      </c>
      <c r="Q13" s="5">
        <f>SUMIFS([0]!mud,[0]!municipio,$B12,[0]!turno,Q$2)</f>
        <v>20</v>
      </c>
      <c r="R13" s="5">
        <f>SUMIFS([0]!mud,[0]!municipio,$B12,[0]!turno,R$2)</f>
        <v>12</v>
      </c>
      <c r="S13" s="5">
        <f>SUMIFS([0]!mud,[0]!municipio,$B12,[0]!turno,S$2)</f>
        <v>10</v>
      </c>
      <c r="T13" s="5">
        <f>SUMIFS([0]!mud,[0]!municipio,$B12,[0]!turno,T$2)</f>
        <v>6</v>
      </c>
      <c r="U13" s="5">
        <f>SUMIFS([0]!mud,[0]!municipio,$B12,[0]!turno,U$2)</f>
        <v>11</v>
      </c>
      <c r="V13" s="5">
        <f>SUMIFS([0]!mud,[0]!municipio,$B12,[0]!turno,V$2)</f>
        <v>12</v>
      </c>
      <c r="W13" s="26">
        <f>SUMIFS([0]!mud,[0]!municipio,$B12,[0]!turno,W$2)</f>
        <v>11</v>
      </c>
    </row>
    <row r="14" spans="2:23" ht="15.75" thickBot="1" x14ac:dyDescent="0.3">
      <c r="B14" s="21">
        <v>0.43414177836586704</v>
      </c>
      <c r="C14" s="10" t="s">
        <v>0</v>
      </c>
      <c r="D14" s="38">
        <f>IF((E12+E13+E14)=0,0,E14/(E12+E13+E14))</f>
        <v>0.22575757575757577</v>
      </c>
      <c r="E14" s="11">
        <f t="shared" si="0"/>
        <v>149</v>
      </c>
      <c r="F14" s="11">
        <f>SUMIFS([0]!otro,[0]!municipio,$B12,[0]!turno,F$2)</f>
        <v>5</v>
      </c>
      <c r="G14" s="11">
        <f>SUMIFS([0]!otro,[0]!municipio,$B12,[0]!turno,G$2)</f>
        <v>4</v>
      </c>
      <c r="H14" s="11">
        <f>SUMIFS([0]!otro,[0]!municipio,$B12,[0]!turno,H$2)</f>
        <v>10</v>
      </c>
      <c r="I14" s="11">
        <f>SUMIFS([0]!otro,[0]!municipio,$B12,[0]!turno,I$2)</f>
        <v>11</v>
      </c>
      <c r="J14" s="11">
        <f>SUMIFS([0]!otro,[0]!municipio,$B12,[0]!turno,J$2)</f>
        <v>6</v>
      </c>
      <c r="K14" s="11">
        <f>SUMIFS([0]!otro,[0]!municipio,$B12,[0]!turno,K$2)</f>
        <v>6</v>
      </c>
      <c r="L14" s="11">
        <f>SUMIFS([0]!otro,[0]!municipio,$B12,[0]!turno,L$2)</f>
        <v>5</v>
      </c>
      <c r="M14" s="11">
        <f>SUMIFS([0]!otro,[0]!municipio,$B12,[0]!turno,M$2)</f>
        <v>6</v>
      </c>
      <c r="N14" s="11">
        <f>SUMIFS([0]!otro,[0]!municipio,$B12,[0]!turno,N$2)</f>
        <v>6</v>
      </c>
      <c r="O14" s="11">
        <f>SUMIFS([0]!otro,[0]!municipio,$B12,[0]!turno,O$2)</f>
        <v>5</v>
      </c>
      <c r="P14" s="11">
        <f>SUMIFS([0]!otro,[0]!municipio,$B12,[0]!turno,P$2)</f>
        <v>7</v>
      </c>
      <c r="Q14" s="11">
        <f>SUMIFS([0]!otro,[0]!municipio,$B12,[0]!turno,Q$2)</f>
        <v>12</v>
      </c>
      <c r="R14" s="11">
        <f>SUMIFS([0]!otro,[0]!municipio,$B12,[0]!turno,R$2)</f>
        <v>14</v>
      </c>
      <c r="S14" s="11">
        <f>SUMIFS([0]!otro,[0]!municipio,$B12,[0]!turno,S$2)</f>
        <v>7</v>
      </c>
      <c r="T14" s="11">
        <f>SUMIFS([0]!otro,[0]!municipio,$B12,[0]!turno,T$2)</f>
        <v>12</v>
      </c>
      <c r="U14" s="11">
        <f>SUMIFS([0]!otro,[0]!municipio,$B12,[0]!turno,U$2)</f>
        <v>10</v>
      </c>
      <c r="V14" s="11">
        <f>SUMIFS([0]!otro,[0]!municipio,$B12,[0]!turno,V$2)</f>
        <v>12</v>
      </c>
      <c r="W14" s="27">
        <f>SUMIFS([0]!otro,[0]!municipio,$B12,[0]!turno,W$2)</f>
        <v>11</v>
      </c>
    </row>
    <row r="15" spans="2:23" ht="15.75" customHeight="1" x14ac:dyDescent="0.25">
      <c r="B15"/>
      <c r="C15"/>
    </row>
    <row r="16" spans="2:23" ht="15.75" customHeight="1" x14ac:dyDescent="0.25">
      <c r="B16"/>
      <c r="C16"/>
    </row>
    <row r="17" spans="2:3" ht="15.75" customHeight="1" x14ac:dyDescent="0.25">
      <c r="B17"/>
      <c r="C17"/>
    </row>
    <row r="18" spans="2:3" ht="15.75" customHeight="1" x14ac:dyDescent="0.25">
      <c r="B18"/>
      <c r="C18"/>
    </row>
    <row r="19" spans="2:3" ht="15.75" customHeight="1" x14ac:dyDescent="0.25">
      <c r="B19"/>
      <c r="C19"/>
    </row>
    <row r="20" spans="2:3" ht="15.75" customHeight="1" x14ac:dyDescent="0.25">
      <c r="B20"/>
      <c r="C20"/>
    </row>
    <row r="21" spans="2:3" ht="15.75" customHeight="1" x14ac:dyDescent="0.25">
      <c r="B21"/>
      <c r="C21"/>
    </row>
    <row r="22" spans="2:3" ht="15.75" customHeight="1" x14ac:dyDescent="0.25">
      <c r="B22"/>
      <c r="C22"/>
    </row>
    <row r="23" spans="2:3" ht="15.75" customHeight="1" x14ac:dyDescent="0.25">
      <c r="B23"/>
      <c r="C23"/>
    </row>
    <row r="24" spans="2:3" ht="15.75" customHeight="1" x14ac:dyDescent="0.25">
      <c r="B24"/>
      <c r="C24"/>
    </row>
    <row r="25" spans="2:3" ht="15.75" customHeight="1" x14ac:dyDescent="0.25">
      <c r="B25"/>
      <c r="C25"/>
    </row>
    <row r="26" spans="2:3" ht="15.75" customHeight="1" x14ac:dyDescent="0.25">
      <c r="B26"/>
      <c r="C26"/>
    </row>
    <row r="27" spans="2:3" ht="15.75" customHeight="1" x14ac:dyDescent="0.25">
      <c r="B27"/>
      <c r="C27"/>
    </row>
    <row r="28" spans="2:3" ht="15.75" customHeight="1" x14ac:dyDescent="0.25">
      <c r="B28"/>
      <c r="C28"/>
    </row>
    <row r="29" spans="2:3" ht="15.75" customHeight="1" x14ac:dyDescent="0.25">
      <c r="B29"/>
      <c r="C29"/>
    </row>
    <row r="30" spans="2:3" ht="15.75" customHeight="1" x14ac:dyDescent="0.25">
      <c r="B30"/>
      <c r="C30"/>
    </row>
    <row r="31" spans="2:3" ht="15.75" customHeight="1" x14ac:dyDescent="0.25">
      <c r="B31"/>
      <c r="C31"/>
    </row>
    <row r="32" spans="2:3" ht="15.75" customHeight="1" x14ac:dyDescent="0.25">
      <c r="B32"/>
      <c r="C32"/>
    </row>
    <row r="33" spans="2:3" ht="15.75" customHeight="1" x14ac:dyDescent="0.25">
      <c r="B33"/>
      <c r="C33"/>
    </row>
    <row r="34" spans="2:3" ht="15.75" customHeight="1" x14ac:dyDescent="0.25">
      <c r="B34"/>
      <c r="C34"/>
    </row>
    <row r="35" spans="2:3" ht="15.75" customHeight="1" x14ac:dyDescent="0.25">
      <c r="B35"/>
      <c r="C35"/>
    </row>
    <row r="36" spans="2:3" ht="15.75" customHeight="1" x14ac:dyDescent="0.25">
      <c r="B36"/>
      <c r="C36"/>
    </row>
    <row r="37" spans="2:3" ht="15.75" customHeight="1" x14ac:dyDescent="0.25">
      <c r="B37"/>
      <c r="C37"/>
    </row>
    <row r="38" spans="2:3" ht="15.75" customHeight="1" x14ac:dyDescent="0.25">
      <c r="B38"/>
      <c r="C38"/>
    </row>
    <row r="39" spans="2:3" ht="15.75" customHeight="1" x14ac:dyDescent="0.25">
      <c r="B39"/>
      <c r="C39"/>
    </row>
    <row r="40" spans="2:3" ht="15.75" customHeight="1" x14ac:dyDescent="0.25">
      <c r="B40"/>
      <c r="C40"/>
    </row>
    <row r="41" spans="2:3" ht="15.75" customHeight="1" x14ac:dyDescent="0.25">
      <c r="B41"/>
      <c r="C41"/>
    </row>
    <row r="42" spans="2:3" ht="15.75" customHeight="1" x14ac:dyDescent="0.25">
      <c r="B42"/>
      <c r="C42"/>
    </row>
    <row r="43" spans="2:3" ht="15.75" customHeight="1" x14ac:dyDescent="0.25">
      <c r="B43"/>
      <c r="C43"/>
    </row>
    <row r="44" spans="2:3" ht="15.75" customHeight="1" x14ac:dyDescent="0.25">
      <c r="B44"/>
      <c r="C44"/>
    </row>
    <row r="45" spans="2:3" ht="15.75" customHeight="1" x14ac:dyDescent="0.25">
      <c r="B45"/>
      <c r="C45"/>
    </row>
    <row r="46" spans="2:3" ht="15.75" customHeight="1" x14ac:dyDescent="0.25">
      <c r="B46"/>
      <c r="C46"/>
    </row>
    <row r="47" spans="2:3" ht="15.75" customHeight="1" x14ac:dyDescent="0.25">
      <c r="B47"/>
      <c r="C47"/>
    </row>
    <row r="48" spans="2:3" ht="15.75" customHeight="1" x14ac:dyDescent="0.25">
      <c r="B48"/>
      <c r="C48"/>
    </row>
    <row r="49" spans="2:3" ht="15.75" customHeight="1" x14ac:dyDescent="0.25">
      <c r="B49"/>
      <c r="C49"/>
    </row>
    <row r="50" spans="2:3" ht="15.75" customHeight="1" x14ac:dyDescent="0.25">
      <c r="B50"/>
      <c r="C50"/>
    </row>
    <row r="51" spans="2:3" ht="15.75" customHeight="1" x14ac:dyDescent="0.25">
      <c r="B51"/>
      <c r="C51"/>
    </row>
    <row r="52" spans="2:3" ht="15.75" customHeight="1" x14ac:dyDescent="0.25">
      <c r="B52"/>
      <c r="C52"/>
    </row>
    <row r="53" spans="2:3" ht="15.75" customHeight="1" x14ac:dyDescent="0.25">
      <c r="B53"/>
      <c r="C53"/>
    </row>
    <row r="54" spans="2:3" ht="15.75" customHeight="1" x14ac:dyDescent="0.25">
      <c r="B54"/>
      <c r="C54"/>
    </row>
    <row r="55" spans="2:3" ht="15.75" customHeight="1" x14ac:dyDescent="0.25">
      <c r="B55"/>
      <c r="C55"/>
    </row>
    <row r="56" spans="2:3" ht="15.75" customHeight="1" x14ac:dyDescent="0.25">
      <c r="B56"/>
      <c r="C56"/>
    </row>
    <row r="57" spans="2:3" ht="15.75" customHeight="1" x14ac:dyDescent="0.25">
      <c r="B57"/>
      <c r="C57"/>
    </row>
    <row r="58" spans="2:3" ht="15.75" customHeight="1" x14ac:dyDescent="0.25">
      <c r="B58"/>
      <c r="C58"/>
    </row>
    <row r="59" spans="2:3" ht="15.75" customHeight="1" x14ac:dyDescent="0.25">
      <c r="B59"/>
      <c r="C59"/>
    </row>
    <row r="60" spans="2:3" ht="15.75" customHeight="1" x14ac:dyDescent="0.25">
      <c r="B60"/>
      <c r="C60"/>
    </row>
    <row r="61" spans="2:3" ht="15.75" customHeight="1" x14ac:dyDescent="0.25">
      <c r="B61"/>
      <c r="C61"/>
    </row>
    <row r="62" spans="2:3" ht="15.75" customHeight="1" x14ac:dyDescent="0.25">
      <c r="B62"/>
      <c r="C62"/>
    </row>
    <row r="63" spans="2:3" ht="15.75" customHeight="1" x14ac:dyDescent="0.25">
      <c r="B63"/>
      <c r="C63"/>
    </row>
    <row r="64" spans="2:3" ht="15.75" customHeight="1" x14ac:dyDescent="0.25">
      <c r="B64"/>
      <c r="C64"/>
    </row>
    <row r="65" spans="2:3" ht="15.75" customHeight="1" x14ac:dyDescent="0.25">
      <c r="B65"/>
      <c r="C65"/>
    </row>
    <row r="66" spans="2:3" ht="15.75" customHeight="1" x14ac:dyDescent="0.25">
      <c r="B66"/>
      <c r="C66"/>
    </row>
    <row r="67" spans="2:3" ht="15.75" customHeight="1" x14ac:dyDescent="0.25">
      <c r="B67"/>
      <c r="C67"/>
    </row>
    <row r="68" spans="2:3" ht="15.75" customHeight="1" x14ac:dyDescent="0.25">
      <c r="B68"/>
      <c r="C68"/>
    </row>
    <row r="69" spans="2:3" ht="15.75" customHeight="1" x14ac:dyDescent="0.25">
      <c r="B69"/>
      <c r="C69"/>
    </row>
    <row r="70" spans="2:3" ht="15.75" customHeight="1" x14ac:dyDescent="0.25">
      <c r="B70"/>
      <c r="C70"/>
    </row>
    <row r="71" spans="2:3" ht="15.75" customHeight="1" x14ac:dyDescent="0.25">
      <c r="B71"/>
      <c r="C71"/>
    </row>
    <row r="72" spans="2:3" ht="15.75" customHeight="1" x14ac:dyDescent="0.25">
      <c r="B72"/>
      <c r="C72"/>
    </row>
    <row r="73" spans="2:3" ht="15.75" customHeight="1" x14ac:dyDescent="0.25">
      <c r="B73"/>
      <c r="C73"/>
    </row>
    <row r="74" spans="2:3" ht="15.75" customHeight="1" x14ac:dyDescent="0.25">
      <c r="B74"/>
      <c r="C74"/>
    </row>
    <row r="75" spans="2:3" ht="15.75" customHeight="1" x14ac:dyDescent="0.25">
      <c r="B75"/>
      <c r="C75"/>
    </row>
    <row r="76" spans="2:3" ht="15.75" customHeight="1" x14ac:dyDescent="0.25">
      <c r="B76"/>
      <c r="C76"/>
    </row>
    <row r="77" spans="2:3" ht="15.75" customHeight="1" x14ac:dyDescent="0.25">
      <c r="B77"/>
      <c r="C77"/>
    </row>
    <row r="78" spans="2:3" ht="15.75" customHeight="1" x14ac:dyDescent="0.25">
      <c r="B78"/>
      <c r="C78"/>
    </row>
    <row r="79" spans="2:3" ht="15.75" customHeight="1" x14ac:dyDescent="0.25">
      <c r="B79"/>
      <c r="C79"/>
    </row>
    <row r="80" spans="2:3" ht="15.75" customHeight="1" x14ac:dyDescent="0.25">
      <c r="B80"/>
      <c r="C80"/>
    </row>
    <row r="81" spans="2:3" ht="15.75" customHeight="1" x14ac:dyDescent="0.25">
      <c r="B81"/>
      <c r="C81"/>
    </row>
    <row r="82" spans="2:3" ht="15.75" customHeight="1" x14ac:dyDescent="0.25">
      <c r="B82"/>
      <c r="C82"/>
    </row>
    <row r="83" spans="2:3" ht="15.75" customHeight="1" x14ac:dyDescent="0.25">
      <c r="B83"/>
      <c r="C83"/>
    </row>
    <row r="84" spans="2:3" ht="15.75" customHeight="1" x14ac:dyDescent="0.25">
      <c r="B84"/>
      <c r="C84"/>
    </row>
    <row r="85" spans="2:3" ht="15.75" customHeight="1" x14ac:dyDescent="0.25">
      <c r="B85"/>
      <c r="C85"/>
    </row>
    <row r="86" spans="2:3" ht="15.75" customHeight="1" x14ac:dyDescent="0.25">
      <c r="B86"/>
      <c r="C86"/>
    </row>
    <row r="87" spans="2:3" ht="15.75" customHeight="1" x14ac:dyDescent="0.25">
      <c r="B87"/>
      <c r="C87"/>
    </row>
    <row r="88" spans="2:3" ht="15.75" customHeight="1" x14ac:dyDescent="0.25">
      <c r="B88"/>
      <c r="C88"/>
    </row>
    <row r="89" spans="2:3" ht="15.75" customHeight="1" x14ac:dyDescent="0.25">
      <c r="B89"/>
      <c r="C89"/>
    </row>
    <row r="90" spans="2:3" ht="15.75" customHeight="1" x14ac:dyDescent="0.25">
      <c r="B90"/>
      <c r="C90"/>
    </row>
    <row r="91" spans="2:3" ht="15.75" customHeight="1" x14ac:dyDescent="0.25">
      <c r="B91"/>
      <c r="C91"/>
    </row>
    <row r="92" spans="2:3" ht="15.75" customHeight="1" x14ac:dyDescent="0.25">
      <c r="B92"/>
      <c r="C92"/>
    </row>
    <row r="93" spans="2:3" ht="15.75" customHeight="1" x14ac:dyDescent="0.25">
      <c r="B93"/>
      <c r="C93"/>
    </row>
    <row r="94" spans="2:3" ht="15.75" customHeight="1" x14ac:dyDescent="0.25">
      <c r="B94"/>
      <c r="C94"/>
    </row>
    <row r="95" spans="2:3" ht="15.75" customHeight="1" x14ac:dyDescent="0.25">
      <c r="B95"/>
      <c r="C95"/>
    </row>
    <row r="96" spans="2:3" ht="15.75" customHeight="1" x14ac:dyDescent="0.25">
      <c r="B96"/>
      <c r="C96"/>
    </row>
    <row r="97" spans="2:3" ht="15.75" customHeight="1" x14ac:dyDescent="0.25">
      <c r="B97"/>
      <c r="C97"/>
    </row>
    <row r="98" spans="2:3" ht="15.75" customHeight="1" x14ac:dyDescent="0.25">
      <c r="B98"/>
      <c r="C98"/>
    </row>
    <row r="99" spans="2:3" ht="15.75" customHeight="1" x14ac:dyDescent="0.25">
      <c r="B99"/>
      <c r="C99"/>
    </row>
    <row r="100" spans="2:3" ht="15.75" customHeight="1" x14ac:dyDescent="0.25">
      <c r="B100"/>
      <c r="C100"/>
    </row>
    <row r="101" spans="2:3" ht="15.75" customHeight="1" x14ac:dyDescent="0.25">
      <c r="B101"/>
      <c r="C101"/>
    </row>
    <row r="102" spans="2:3" ht="15.75" customHeight="1" x14ac:dyDescent="0.25">
      <c r="B102"/>
      <c r="C102"/>
    </row>
    <row r="103" spans="2:3" ht="15.75" customHeight="1" x14ac:dyDescent="0.25">
      <c r="B103"/>
      <c r="C103"/>
    </row>
    <row r="104" spans="2:3" ht="15.75" customHeight="1" x14ac:dyDescent="0.25">
      <c r="B104"/>
      <c r="C104"/>
    </row>
    <row r="105" spans="2:3" ht="15.75" customHeight="1" x14ac:dyDescent="0.25">
      <c r="B105"/>
      <c r="C105"/>
    </row>
    <row r="106" spans="2:3" ht="15.75" customHeight="1" x14ac:dyDescent="0.25">
      <c r="B106"/>
      <c r="C106"/>
    </row>
    <row r="107" spans="2:3" ht="15.75" customHeight="1" x14ac:dyDescent="0.25">
      <c r="B107"/>
      <c r="C107"/>
    </row>
    <row r="108" spans="2:3" ht="15.75" customHeight="1" x14ac:dyDescent="0.25">
      <c r="B108"/>
      <c r="C108"/>
    </row>
    <row r="109" spans="2:3" ht="15.75" customHeight="1" x14ac:dyDescent="0.25">
      <c r="B109"/>
      <c r="C109"/>
    </row>
    <row r="110" spans="2:3" ht="15.75" customHeight="1" x14ac:dyDescent="0.25">
      <c r="B110"/>
      <c r="C110"/>
    </row>
    <row r="111" spans="2:3" ht="15.75" customHeight="1" x14ac:dyDescent="0.25">
      <c r="B111"/>
      <c r="C111"/>
    </row>
    <row r="112" spans="2:3" ht="15.75" customHeight="1" x14ac:dyDescent="0.25">
      <c r="B112"/>
      <c r="C112"/>
    </row>
    <row r="113" spans="2:3" ht="15.75" customHeight="1" x14ac:dyDescent="0.25">
      <c r="B113"/>
      <c r="C113"/>
    </row>
    <row r="114" spans="2:3" ht="15.75" customHeight="1" x14ac:dyDescent="0.25">
      <c r="B114"/>
      <c r="C114"/>
    </row>
    <row r="115" spans="2:3" ht="15.75" customHeight="1" x14ac:dyDescent="0.25">
      <c r="B115"/>
      <c r="C115"/>
    </row>
    <row r="116" spans="2:3" ht="15.75" customHeight="1" x14ac:dyDescent="0.25">
      <c r="B116"/>
      <c r="C116"/>
    </row>
    <row r="117" spans="2:3" ht="15.75" customHeight="1" x14ac:dyDescent="0.25">
      <c r="B117"/>
      <c r="C117"/>
    </row>
    <row r="118" spans="2:3" ht="15.75" customHeight="1" x14ac:dyDescent="0.25">
      <c r="B118"/>
      <c r="C118"/>
    </row>
    <row r="119" spans="2:3" ht="15.75" customHeight="1" x14ac:dyDescent="0.25">
      <c r="B119"/>
      <c r="C119"/>
    </row>
    <row r="120" spans="2:3" ht="15.75" customHeight="1" x14ac:dyDescent="0.25">
      <c r="B120"/>
      <c r="C120"/>
    </row>
    <row r="121" spans="2:3" ht="15.75" customHeight="1" x14ac:dyDescent="0.25">
      <c r="B121"/>
      <c r="C121"/>
    </row>
    <row r="122" spans="2:3" ht="15.75" customHeight="1" x14ac:dyDescent="0.25">
      <c r="B122"/>
      <c r="C122"/>
    </row>
    <row r="123" spans="2:3" ht="15.75" customHeight="1" x14ac:dyDescent="0.25">
      <c r="B123"/>
      <c r="C123"/>
    </row>
    <row r="124" spans="2:3" ht="15.75" customHeight="1" x14ac:dyDescent="0.25">
      <c r="B124"/>
      <c r="C124"/>
    </row>
    <row r="125" spans="2:3" ht="15.75" customHeight="1" x14ac:dyDescent="0.25">
      <c r="B125"/>
      <c r="C125"/>
    </row>
    <row r="126" spans="2:3" ht="15.75" customHeight="1" x14ac:dyDescent="0.25">
      <c r="B126"/>
      <c r="C126"/>
    </row>
    <row r="127" spans="2:3" ht="15.75" customHeight="1" x14ac:dyDescent="0.25">
      <c r="B127"/>
      <c r="C127"/>
    </row>
    <row r="128" spans="2:3" ht="15.75" customHeight="1" x14ac:dyDescent="0.25">
      <c r="B128"/>
      <c r="C128"/>
    </row>
    <row r="129" spans="2:3" ht="15.75" customHeight="1" x14ac:dyDescent="0.25">
      <c r="B129"/>
      <c r="C129"/>
    </row>
    <row r="130" spans="2:3" ht="15.75" customHeight="1" x14ac:dyDescent="0.25">
      <c r="B130"/>
      <c r="C130"/>
    </row>
    <row r="131" spans="2:3" ht="15.75" customHeight="1" x14ac:dyDescent="0.25">
      <c r="B131"/>
      <c r="C131"/>
    </row>
    <row r="132" spans="2:3" ht="15.75" customHeight="1" x14ac:dyDescent="0.25">
      <c r="B132"/>
      <c r="C132"/>
    </row>
    <row r="133" spans="2:3" ht="15.75" customHeight="1" x14ac:dyDescent="0.25">
      <c r="B133"/>
      <c r="C133"/>
    </row>
    <row r="134" spans="2:3" ht="15.75" customHeight="1" x14ac:dyDescent="0.25">
      <c r="B134"/>
      <c r="C134"/>
    </row>
    <row r="135" spans="2:3" ht="15.75" customHeight="1" x14ac:dyDescent="0.25">
      <c r="B135"/>
      <c r="C135"/>
    </row>
    <row r="136" spans="2:3" ht="15.75" customHeight="1" x14ac:dyDescent="0.25">
      <c r="B136"/>
      <c r="C136"/>
    </row>
    <row r="137" spans="2:3" ht="15.75" customHeight="1" x14ac:dyDescent="0.25">
      <c r="B137"/>
      <c r="C137"/>
    </row>
    <row r="138" spans="2:3" ht="15.75" customHeight="1" x14ac:dyDescent="0.25">
      <c r="B138"/>
      <c r="C138"/>
    </row>
    <row r="139" spans="2:3" ht="15.75" customHeight="1" x14ac:dyDescent="0.25">
      <c r="B139"/>
      <c r="C139"/>
    </row>
    <row r="140" spans="2:3" ht="15.75" customHeight="1" x14ac:dyDescent="0.25">
      <c r="B140"/>
      <c r="C140"/>
    </row>
    <row r="141" spans="2:3" ht="15.75" customHeight="1" x14ac:dyDescent="0.25">
      <c r="B141"/>
      <c r="C141"/>
    </row>
    <row r="142" spans="2:3" ht="15.75" customHeight="1" x14ac:dyDescent="0.25">
      <c r="B142"/>
      <c r="C142"/>
    </row>
    <row r="143" spans="2:3" ht="15.75" customHeight="1" x14ac:dyDescent="0.25">
      <c r="B143"/>
      <c r="C143"/>
    </row>
    <row r="144" spans="2:3" ht="15.75" customHeight="1" x14ac:dyDescent="0.25">
      <c r="B144"/>
      <c r="C144"/>
    </row>
    <row r="145" spans="2:3" ht="15.75" customHeight="1" x14ac:dyDescent="0.25">
      <c r="B145"/>
      <c r="C145"/>
    </row>
    <row r="146" spans="2:3" ht="15.75" customHeight="1" x14ac:dyDescent="0.25">
      <c r="B146"/>
      <c r="C146"/>
    </row>
    <row r="147" spans="2:3" ht="15.75" customHeight="1" x14ac:dyDescent="0.25">
      <c r="B147"/>
      <c r="C147"/>
    </row>
    <row r="148" spans="2:3" ht="15.75" customHeight="1" x14ac:dyDescent="0.25">
      <c r="B148"/>
      <c r="C148"/>
    </row>
    <row r="149" spans="2:3" ht="15.75" customHeight="1" x14ac:dyDescent="0.25">
      <c r="B149"/>
      <c r="C149"/>
    </row>
    <row r="150" spans="2:3" ht="15.75" customHeight="1" x14ac:dyDescent="0.25">
      <c r="B150"/>
      <c r="C150"/>
    </row>
    <row r="151" spans="2:3" ht="15.75" customHeight="1" x14ac:dyDescent="0.25">
      <c r="B151"/>
      <c r="C151"/>
    </row>
    <row r="152" spans="2:3" ht="15.75" customHeight="1" x14ac:dyDescent="0.25">
      <c r="B152"/>
      <c r="C152"/>
    </row>
    <row r="153" spans="2:3" ht="15.75" customHeight="1" x14ac:dyDescent="0.25">
      <c r="B153"/>
      <c r="C153"/>
    </row>
    <row r="154" spans="2:3" ht="15.75" customHeight="1" x14ac:dyDescent="0.25">
      <c r="B154"/>
      <c r="C154"/>
    </row>
    <row r="155" spans="2:3" ht="15.75" customHeight="1" x14ac:dyDescent="0.25">
      <c r="B155"/>
      <c r="C155"/>
    </row>
    <row r="156" spans="2:3" ht="15.75" customHeight="1" x14ac:dyDescent="0.25">
      <c r="B156"/>
      <c r="C156"/>
    </row>
    <row r="157" spans="2:3" ht="15.75" customHeight="1" x14ac:dyDescent="0.25">
      <c r="B157"/>
      <c r="C157"/>
    </row>
    <row r="158" spans="2:3" ht="15.75" customHeight="1" x14ac:dyDescent="0.25">
      <c r="B158"/>
      <c r="C158"/>
    </row>
    <row r="159" spans="2:3" ht="15.75" customHeight="1" x14ac:dyDescent="0.25">
      <c r="B159"/>
      <c r="C159"/>
    </row>
    <row r="160" spans="2:3" ht="15.75" customHeight="1" x14ac:dyDescent="0.25">
      <c r="B160"/>
      <c r="C160"/>
    </row>
    <row r="161" spans="2:3" ht="15.75" customHeight="1" x14ac:dyDescent="0.25">
      <c r="B161"/>
      <c r="C161"/>
    </row>
    <row r="162" spans="2:3" ht="15.75" customHeight="1" x14ac:dyDescent="0.25">
      <c r="B162"/>
      <c r="C162"/>
    </row>
    <row r="163" spans="2:3" ht="15.75" customHeight="1" x14ac:dyDescent="0.25">
      <c r="B163"/>
      <c r="C163"/>
    </row>
    <row r="164" spans="2:3" ht="15.75" customHeight="1" x14ac:dyDescent="0.25">
      <c r="B164"/>
      <c r="C164"/>
    </row>
    <row r="165" spans="2:3" ht="15.75" customHeight="1" x14ac:dyDescent="0.25">
      <c r="B165"/>
      <c r="C165"/>
    </row>
    <row r="166" spans="2:3" ht="15.75" customHeight="1" x14ac:dyDescent="0.25">
      <c r="B166"/>
      <c r="C166"/>
    </row>
    <row r="167" spans="2:3" ht="15.75" customHeight="1" x14ac:dyDescent="0.25">
      <c r="B167"/>
      <c r="C167"/>
    </row>
    <row r="168" spans="2:3" ht="15.75" customHeight="1" x14ac:dyDescent="0.25">
      <c r="B168"/>
      <c r="C168"/>
    </row>
    <row r="169" spans="2:3" ht="15.75" customHeight="1" x14ac:dyDescent="0.25">
      <c r="B169"/>
      <c r="C169"/>
    </row>
    <row r="170" spans="2:3" ht="15.75" customHeight="1" x14ac:dyDescent="0.25">
      <c r="B170"/>
      <c r="C170"/>
    </row>
    <row r="171" spans="2:3" ht="15.75" customHeight="1" x14ac:dyDescent="0.25">
      <c r="B171"/>
      <c r="C171"/>
    </row>
    <row r="172" spans="2:3" ht="15.75" customHeight="1" x14ac:dyDescent="0.25">
      <c r="B172"/>
      <c r="C172"/>
    </row>
    <row r="173" spans="2:3" ht="15.75" customHeight="1" x14ac:dyDescent="0.25">
      <c r="B173"/>
      <c r="C173"/>
    </row>
    <row r="174" spans="2:3" ht="15.75" customHeight="1" x14ac:dyDescent="0.25">
      <c r="B174"/>
      <c r="C174"/>
    </row>
    <row r="175" spans="2:3" ht="15.75" customHeight="1" x14ac:dyDescent="0.25">
      <c r="B175"/>
      <c r="C175"/>
    </row>
    <row r="176" spans="2:3" ht="15.75" customHeight="1" x14ac:dyDescent="0.25">
      <c r="B176"/>
      <c r="C176"/>
    </row>
    <row r="177" spans="2:3" ht="15.75" customHeight="1" x14ac:dyDescent="0.25">
      <c r="B177"/>
      <c r="C177"/>
    </row>
    <row r="178" spans="2:3" ht="15.75" customHeight="1" x14ac:dyDescent="0.25">
      <c r="B178"/>
      <c r="C178"/>
    </row>
    <row r="179" spans="2:3" ht="15.75" customHeight="1" x14ac:dyDescent="0.25">
      <c r="B179"/>
      <c r="C179"/>
    </row>
    <row r="180" spans="2:3" ht="15.75" customHeight="1" x14ac:dyDescent="0.25">
      <c r="B180"/>
      <c r="C180"/>
    </row>
    <row r="181" spans="2:3" ht="15.75" customHeight="1" x14ac:dyDescent="0.25">
      <c r="B181"/>
      <c r="C181"/>
    </row>
    <row r="182" spans="2:3" ht="15.75" customHeight="1" x14ac:dyDescent="0.25">
      <c r="B182"/>
      <c r="C182"/>
    </row>
    <row r="183" spans="2:3" ht="15.75" customHeight="1" x14ac:dyDescent="0.25">
      <c r="B183"/>
      <c r="C183"/>
    </row>
    <row r="184" spans="2:3" ht="15.75" customHeight="1" x14ac:dyDescent="0.25">
      <c r="B184"/>
      <c r="C184"/>
    </row>
    <row r="185" spans="2:3" ht="15.75" customHeight="1" x14ac:dyDescent="0.25">
      <c r="B185"/>
      <c r="C185"/>
    </row>
    <row r="186" spans="2:3" ht="15.75" customHeight="1" x14ac:dyDescent="0.25">
      <c r="B186"/>
      <c r="C186"/>
    </row>
    <row r="187" spans="2:3" ht="15.75" customHeight="1" x14ac:dyDescent="0.25">
      <c r="B187"/>
      <c r="C187"/>
    </row>
    <row r="188" spans="2:3" ht="15.75" customHeight="1" x14ac:dyDescent="0.25">
      <c r="B188"/>
      <c r="C188"/>
    </row>
    <row r="189" spans="2:3" ht="15.75" customHeight="1" x14ac:dyDescent="0.25">
      <c r="B189"/>
      <c r="C189"/>
    </row>
    <row r="190" spans="2:3" ht="15.75" customHeight="1" x14ac:dyDescent="0.25">
      <c r="B190"/>
      <c r="C190"/>
    </row>
    <row r="191" spans="2:3" ht="15.75" customHeight="1" x14ac:dyDescent="0.25">
      <c r="B191"/>
      <c r="C191"/>
    </row>
    <row r="192" spans="2:3" ht="15.75" customHeight="1" x14ac:dyDescent="0.25">
      <c r="B192"/>
      <c r="C192"/>
    </row>
    <row r="193" spans="2:3" ht="15.75" customHeight="1" x14ac:dyDescent="0.25">
      <c r="B193"/>
      <c r="C193"/>
    </row>
    <row r="194" spans="2:3" ht="15.75" customHeight="1" x14ac:dyDescent="0.25">
      <c r="B194"/>
      <c r="C194"/>
    </row>
    <row r="195" spans="2:3" ht="15.75" customHeight="1" x14ac:dyDescent="0.25">
      <c r="B195"/>
      <c r="C195"/>
    </row>
    <row r="196" spans="2:3" ht="15.75" customHeight="1" x14ac:dyDescent="0.25">
      <c r="B196"/>
      <c r="C196"/>
    </row>
    <row r="197" spans="2:3" ht="15.75" customHeight="1" x14ac:dyDescent="0.25">
      <c r="B197"/>
      <c r="C197"/>
    </row>
    <row r="198" spans="2:3" ht="15.75" customHeight="1" x14ac:dyDescent="0.25">
      <c r="B198"/>
      <c r="C198"/>
    </row>
    <row r="199" spans="2:3" ht="15.75" customHeight="1" x14ac:dyDescent="0.25">
      <c r="B199"/>
      <c r="C199"/>
    </row>
    <row r="200" spans="2:3" ht="15.75" customHeight="1" x14ac:dyDescent="0.25">
      <c r="B200"/>
      <c r="C200"/>
    </row>
    <row r="201" spans="2:3" ht="15.75" customHeight="1" x14ac:dyDescent="0.25">
      <c r="B201"/>
      <c r="C201"/>
    </row>
    <row r="202" spans="2:3" ht="15.75" customHeight="1" x14ac:dyDescent="0.25">
      <c r="B202"/>
      <c r="C202"/>
    </row>
    <row r="203" spans="2:3" ht="15.75" customHeight="1" x14ac:dyDescent="0.25">
      <c r="B203"/>
      <c r="C203"/>
    </row>
    <row r="204" spans="2:3" ht="15.75" customHeight="1" x14ac:dyDescent="0.25">
      <c r="B204"/>
      <c r="C204"/>
    </row>
    <row r="205" spans="2:3" ht="15.75" customHeight="1" x14ac:dyDescent="0.25">
      <c r="B205"/>
      <c r="C205"/>
    </row>
    <row r="206" spans="2:3" ht="15.75" customHeight="1" x14ac:dyDescent="0.25">
      <c r="B206"/>
      <c r="C206"/>
    </row>
    <row r="207" spans="2:3" ht="15.75" customHeight="1" x14ac:dyDescent="0.25">
      <c r="B207"/>
      <c r="C207"/>
    </row>
    <row r="208" spans="2:3" ht="15.75" customHeight="1" x14ac:dyDescent="0.25">
      <c r="B208"/>
      <c r="C208"/>
    </row>
    <row r="209" spans="2:3" ht="15.75" customHeight="1" x14ac:dyDescent="0.25">
      <c r="B209"/>
      <c r="C209"/>
    </row>
    <row r="210" spans="2:3" ht="15.75" customHeight="1" x14ac:dyDescent="0.25">
      <c r="B210"/>
      <c r="C210"/>
    </row>
    <row r="211" spans="2:3" ht="15.75" customHeight="1" x14ac:dyDescent="0.25">
      <c r="B211"/>
      <c r="C211"/>
    </row>
    <row r="212" spans="2:3" ht="15.75" customHeight="1" x14ac:dyDescent="0.25">
      <c r="B212"/>
      <c r="C212"/>
    </row>
    <row r="213" spans="2:3" ht="15.75" customHeight="1" x14ac:dyDescent="0.25">
      <c r="B213"/>
      <c r="C213"/>
    </row>
    <row r="214" spans="2:3" ht="15.75" customHeight="1" x14ac:dyDescent="0.25">
      <c r="B214"/>
      <c r="C214"/>
    </row>
    <row r="215" spans="2:3" ht="15.75" customHeight="1" x14ac:dyDescent="0.25">
      <c r="B215"/>
      <c r="C215"/>
    </row>
    <row r="216" spans="2:3" ht="15.75" customHeight="1" x14ac:dyDescent="0.25">
      <c r="B216"/>
      <c r="C216"/>
    </row>
    <row r="217" spans="2:3" ht="15.75" customHeight="1" x14ac:dyDescent="0.25">
      <c r="B217"/>
      <c r="C217"/>
    </row>
    <row r="218" spans="2:3" ht="15.75" customHeight="1" x14ac:dyDescent="0.25">
      <c r="B218"/>
      <c r="C218"/>
    </row>
    <row r="219" spans="2:3" ht="15.75" customHeight="1" x14ac:dyDescent="0.25">
      <c r="B219"/>
      <c r="C219"/>
    </row>
    <row r="220" spans="2:3" ht="15.75" customHeight="1" x14ac:dyDescent="0.25">
      <c r="B220"/>
      <c r="C220"/>
    </row>
    <row r="221" spans="2:3" ht="15.75" customHeight="1" x14ac:dyDescent="0.25">
      <c r="B221"/>
      <c r="C221"/>
    </row>
    <row r="222" spans="2:3" ht="15.75" customHeight="1" x14ac:dyDescent="0.25">
      <c r="B222"/>
      <c r="C222"/>
    </row>
    <row r="223" spans="2:3" ht="15.75" customHeight="1" x14ac:dyDescent="0.25">
      <c r="B223"/>
      <c r="C223"/>
    </row>
    <row r="224" spans="2:3" ht="15.75" customHeight="1" x14ac:dyDescent="0.25">
      <c r="B224"/>
      <c r="C224"/>
    </row>
    <row r="225" spans="2:3" ht="15.75" customHeight="1" x14ac:dyDescent="0.25">
      <c r="B225"/>
      <c r="C225"/>
    </row>
    <row r="226" spans="2:3" ht="15.75" customHeight="1" x14ac:dyDescent="0.25">
      <c r="B226"/>
      <c r="C226"/>
    </row>
    <row r="227" spans="2:3" ht="15.75" customHeight="1" x14ac:dyDescent="0.25">
      <c r="B227"/>
      <c r="C227"/>
    </row>
    <row r="228" spans="2:3" ht="15.75" customHeight="1" x14ac:dyDescent="0.25">
      <c r="B228"/>
      <c r="C228"/>
    </row>
    <row r="229" spans="2:3" ht="15.75" customHeight="1" x14ac:dyDescent="0.25">
      <c r="B229"/>
      <c r="C229"/>
    </row>
    <row r="230" spans="2:3" ht="15.75" customHeight="1" x14ac:dyDescent="0.25">
      <c r="B230"/>
      <c r="C230"/>
    </row>
    <row r="231" spans="2:3" ht="15.75" customHeight="1" x14ac:dyDescent="0.25">
      <c r="B231"/>
      <c r="C231"/>
    </row>
    <row r="232" spans="2:3" ht="15.75" customHeight="1" x14ac:dyDescent="0.25">
      <c r="B232"/>
      <c r="C232"/>
    </row>
    <row r="233" spans="2:3" ht="15.75" customHeight="1" x14ac:dyDescent="0.25">
      <c r="B233"/>
      <c r="C233"/>
    </row>
    <row r="234" spans="2:3" ht="15.75" customHeight="1" x14ac:dyDescent="0.25">
      <c r="B234"/>
      <c r="C234"/>
    </row>
    <row r="235" spans="2:3" ht="15.75" customHeight="1" x14ac:dyDescent="0.25">
      <c r="B235"/>
      <c r="C235"/>
    </row>
    <row r="236" spans="2:3" ht="15.75" customHeight="1" x14ac:dyDescent="0.25">
      <c r="B236"/>
      <c r="C236"/>
    </row>
    <row r="237" spans="2:3" ht="15.75" customHeight="1" x14ac:dyDescent="0.25">
      <c r="B237"/>
      <c r="C237"/>
    </row>
    <row r="238" spans="2:3" ht="15.75" customHeight="1" x14ac:dyDescent="0.25">
      <c r="B238"/>
      <c r="C238"/>
    </row>
    <row r="239" spans="2:3" ht="15.75" customHeight="1" x14ac:dyDescent="0.25">
      <c r="B239"/>
      <c r="C239"/>
    </row>
    <row r="240" spans="2:3" ht="15.75" customHeight="1" x14ac:dyDescent="0.25">
      <c r="B240"/>
      <c r="C240"/>
    </row>
    <row r="241" spans="2:3" ht="15.75" customHeight="1" x14ac:dyDescent="0.25">
      <c r="B241"/>
      <c r="C241"/>
    </row>
    <row r="242" spans="2:3" ht="15.75" customHeight="1" x14ac:dyDescent="0.25">
      <c r="B242"/>
      <c r="C242"/>
    </row>
    <row r="243" spans="2:3" ht="15.75" customHeight="1" x14ac:dyDescent="0.25">
      <c r="B243"/>
      <c r="C243"/>
    </row>
    <row r="244" spans="2:3" ht="15.75" customHeight="1" x14ac:dyDescent="0.25">
      <c r="B244"/>
      <c r="C244"/>
    </row>
    <row r="245" spans="2:3" ht="15.75" customHeight="1" x14ac:dyDescent="0.25">
      <c r="B245"/>
      <c r="C245"/>
    </row>
    <row r="246" spans="2:3" ht="15.75" customHeight="1" x14ac:dyDescent="0.25">
      <c r="B246"/>
      <c r="C246"/>
    </row>
    <row r="247" spans="2:3" ht="15.75" customHeight="1" x14ac:dyDescent="0.25">
      <c r="B247"/>
      <c r="C247"/>
    </row>
    <row r="248" spans="2:3" ht="15.75" customHeight="1" x14ac:dyDescent="0.25">
      <c r="B248"/>
      <c r="C248"/>
    </row>
    <row r="249" spans="2:3" ht="15.75" customHeight="1" x14ac:dyDescent="0.25">
      <c r="B249"/>
      <c r="C249"/>
    </row>
    <row r="250" spans="2:3" ht="15.75" customHeight="1" x14ac:dyDescent="0.25">
      <c r="B250"/>
      <c r="C250"/>
    </row>
    <row r="251" spans="2:3" ht="15.75" customHeight="1" x14ac:dyDescent="0.25">
      <c r="B251"/>
      <c r="C251"/>
    </row>
    <row r="252" spans="2:3" ht="15.75" customHeight="1" x14ac:dyDescent="0.25">
      <c r="B252"/>
      <c r="C252"/>
    </row>
    <row r="253" spans="2:3" ht="15.75" customHeight="1" x14ac:dyDescent="0.25">
      <c r="B253"/>
      <c r="C253"/>
    </row>
    <row r="254" spans="2:3" ht="15.75" customHeight="1" x14ac:dyDescent="0.25">
      <c r="B254"/>
      <c r="C254"/>
    </row>
    <row r="255" spans="2:3" ht="15.75" customHeight="1" x14ac:dyDescent="0.25">
      <c r="B255"/>
      <c r="C255"/>
    </row>
    <row r="256" spans="2:3" ht="15.75" customHeight="1" x14ac:dyDescent="0.25">
      <c r="B256"/>
      <c r="C256"/>
    </row>
    <row r="257" spans="2:3" ht="15.75" customHeight="1" x14ac:dyDescent="0.25">
      <c r="B257"/>
      <c r="C257"/>
    </row>
    <row r="258" spans="2:3" ht="15.75" customHeight="1" x14ac:dyDescent="0.25">
      <c r="B258"/>
      <c r="C258"/>
    </row>
    <row r="259" spans="2:3" ht="15.75" customHeight="1" x14ac:dyDescent="0.25">
      <c r="B259"/>
      <c r="C259"/>
    </row>
    <row r="260" spans="2:3" ht="15.75" customHeight="1" x14ac:dyDescent="0.25">
      <c r="B260"/>
      <c r="C260"/>
    </row>
    <row r="261" spans="2:3" ht="15.75" customHeight="1" x14ac:dyDescent="0.25">
      <c r="B261"/>
      <c r="C261"/>
    </row>
    <row r="262" spans="2:3" ht="15.75" customHeight="1" x14ac:dyDescent="0.25">
      <c r="B262"/>
      <c r="C262"/>
    </row>
    <row r="263" spans="2:3" ht="15.75" customHeight="1" x14ac:dyDescent="0.25">
      <c r="B263"/>
      <c r="C263"/>
    </row>
    <row r="264" spans="2:3" ht="15.75" customHeight="1" x14ac:dyDescent="0.25">
      <c r="B264"/>
      <c r="C264"/>
    </row>
    <row r="265" spans="2:3" ht="15.75" customHeight="1" x14ac:dyDescent="0.25">
      <c r="B265"/>
      <c r="C265"/>
    </row>
    <row r="266" spans="2:3" ht="15.75" customHeight="1" x14ac:dyDescent="0.25">
      <c r="B266"/>
      <c r="C266"/>
    </row>
    <row r="267" spans="2:3" ht="15.75" customHeight="1" x14ac:dyDescent="0.25">
      <c r="B267"/>
      <c r="C267"/>
    </row>
    <row r="268" spans="2:3" ht="15.75" customHeight="1" x14ac:dyDescent="0.25">
      <c r="B268"/>
      <c r="C268"/>
    </row>
    <row r="269" spans="2:3" ht="15.75" customHeight="1" x14ac:dyDescent="0.25">
      <c r="B269"/>
      <c r="C269"/>
    </row>
    <row r="270" spans="2:3" ht="15.75" customHeight="1" x14ac:dyDescent="0.25">
      <c r="B270"/>
      <c r="C270"/>
    </row>
    <row r="271" spans="2:3" ht="15.75" customHeight="1" x14ac:dyDescent="0.25">
      <c r="B271"/>
      <c r="C271"/>
    </row>
    <row r="272" spans="2:3" ht="15.75" customHeight="1" x14ac:dyDescent="0.25">
      <c r="B272"/>
      <c r="C272"/>
    </row>
    <row r="273" spans="2:3" ht="15.75" customHeight="1" x14ac:dyDescent="0.25">
      <c r="B273"/>
      <c r="C273"/>
    </row>
    <row r="274" spans="2:3" ht="15.75" customHeight="1" x14ac:dyDescent="0.25">
      <c r="B274"/>
      <c r="C274"/>
    </row>
    <row r="275" spans="2:3" ht="15.75" customHeight="1" x14ac:dyDescent="0.25">
      <c r="B275"/>
      <c r="C275"/>
    </row>
    <row r="276" spans="2:3" ht="15.75" customHeight="1" x14ac:dyDescent="0.25">
      <c r="B276"/>
      <c r="C276"/>
    </row>
    <row r="277" spans="2:3" ht="15.75" customHeight="1" x14ac:dyDescent="0.25">
      <c r="B277"/>
      <c r="C277"/>
    </row>
    <row r="278" spans="2:3" ht="15.75" customHeight="1" x14ac:dyDescent="0.25">
      <c r="B278"/>
      <c r="C278"/>
    </row>
    <row r="279" spans="2:3" ht="15.75" customHeight="1" x14ac:dyDescent="0.25">
      <c r="B279"/>
      <c r="C279"/>
    </row>
    <row r="280" spans="2:3" ht="15.75" customHeight="1" x14ac:dyDescent="0.25">
      <c r="B280"/>
      <c r="C280"/>
    </row>
    <row r="281" spans="2:3" ht="15.75" customHeight="1" x14ac:dyDescent="0.25">
      <c r="B281"/>
      <c r="C281"/>
    </row>
    <row r="282" spans="2:3" ht="15.75" customHeight="1" x14ac:dyDescent="0.25">
      <c r="B282"/>
      <c r="C282"/>
    </row>
    <row r="283" spans="2:3" ht="15.75" customHeight="1" x14ac:dyDescent="0.25">
      <c r="B283"/>
      <c r="C283"/>
    </row>
    <row r="284" spans="2:3" ht="15.75" customHeight="1" x14ac:dyDescent="0.25">
      <c r="B284"/>
      <c r="C284"/>
    </row>
    <row r="285" spans="2:3" ht="15.75" customHeight="1" x14ac:dyDescent="0.25">
      <c r="B285"/>
      <c r="C285"/>
    </row>
    <row r="286" spans="2:3" ht="15.75" customHeight="1" x14ac:dyDescent="0.25">
      <c r="B286"/>
      <c r="C286"/>
    </row>
    <row r="287" spans="2:3" ht="15.75" customHeight="1" x14ac:dyDescent="0.25">
      <c r="B287"/>
      <c r="C287"/>
    </row>
    <row r="288" spans="2:3" ht="15.75" customHeight="1" x14ac:dyDescent="0.25">
      <c r="B288"/>
      <c r="C288"/>
    </row>
    <row r="289" spans="2:3" ht="15.75" customHeight="1" x14ac:dyDescent="0.25">
      <c r="B289"/>
      <c r="C289"/>
    </row>
    <row r="290" spans="2:3" ht="15.75" customHeight="1" x14ac:dyDescent="0.25">
      <c r="B290"/>
      <c r="C290"/>
    </row>
    <row r="291" spans="2:3" ht="15.75" customHeight="1" x14ac:dyDescent="0.25">
      <c r="B291"/>
      <c r="C291"/>
    </row>
    <row r="292" spans="2:3" ht="15.75" customHeight="1" x14ac:dyDescent="0.25">
      <c r="B292"/>
      <c r="C292"/>
    </row>
    <row r="293" spans="2:3" ht="15.75" customHeight="1" x14ac:dyDescent="0.25">
      <c r="B293"/>
      <c r="C293"/>
    </row>
    <row r="294" spans="2:3" ht="15.75" customHeight="1" x14ac:dyDescent="0.25">
      <c r="B294"/>
      <c r="C294"/>
    </row>
    <row r="295" spans="2:3" ht="15.75" customHeight="1" x14ac:dyDescent="0.25">
      <c r="B295"/>
      <c r="C295"/>
    </row>
    <row r="296" spans="2:3" ht="15.75" customHeight="1" x14ac:dyDescent="0.25">
      <c r="B296"/>
      <c r="C296"/>
    </row>
    <row r="297" spans="2:3" ht="15.75" customHeight="1" x14ac:dyDescent="0.25">
      <c r="B297"/>
      <c r="C297"/>
    </row>
    <row r="298" spans="2:3" ht="15.75" customHeight="1" x14ac:dyDescent="0.25">
      <c r="B298"/>
      <c r="C298"/>
    </row>
    <row r="299" spans="2:3" ht="15.75" customHeight="1" x14ac:dyDescent="0.25">
      <c r="B299"/>
      <c r="C299"/>
    </row>
    <row r="300" spans="2:3" ht="15.75" customHeight="1" x14ac:dyDescent="0.25">
      <c r="B300"/>
      <c r="C300"/>
    </row>
    <row r="301" spans="2:3" ht="15.75" customHeight="1" x14ac:dyDescent="0.25">
      <c r="B301"/>
      <c r="C301"/>
    </row>
    <row r="302" spans="2:3" ht="15.75" customHeight="1" x14ac:dyDescent="0.25">
      <c r="B302"/>
      <c r="C302"/>
    </row>
    <row r="303" spans="2:3" ht="15.75" customHeight="1" x14ac:dyDescent="0.25">
      <c r="B303"/>
      <c r="C303"/>
    </row>
    <row r="304" spans="2:3" ht="15.75" customHeight="1" x14ac:dyDescent="0.25">
      <c r="B304"/>
      <c r="C304"/>
    </row>
    <row r="305" spans="2:3" ht="15.75" customHeight="1" x14ac:dyDescent="0.25">
      <c r="B305"/>
      <c r="C305"/>
    </row>
    <row r="306" spans="2:3" ht="15.75" customHeight="1" x14ac:dyDescent="0.25">
      <c r="B306"/>
      <c r="C306"/>
    </row>
    <row r="307" spans="2:3" ht="15.75" customHeight="1" x14ac:dyDescent="0.25">
      <c r="B307"/>
      <c r="C307"/>
    </row>
    <row r="308" spans="2:3" ht="15.75" customHeight="1" x14ac:dyDescent="0.25">
      <c r="B308"/>
      <c r="C308"/>
    </row>
    <row r="309" spans="2:3" ht="15.7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W456"/>
  <sheetViews>
    <sheetView showGridLines="0" topLeftCell="A4" workbookViewId="0">
      <selection activeCell="D9" sqref="D9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09" t="s">
        <v>3</v>
      </c>
      <c r="C2" s="169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75">
        <v>15</v>
      </c>
      <c r="C3" s="170" t="s">
        <v>106</v>
      </c>
      <c r="D3" s="36">
        <f>IF((E3+E4+E5)=0,0,E3/(E3+E4+E5))</f>
        <v>0.38554216867469882</v>
      </c>
      <c r="E3" s="9">
        <f t="shared" ref="E3:E29" si="0">SUM(F3:W3)</f>
        <v>64</v>
      </c>
      <c r="F3" s="9">
        <f>SUMIFS([0]!psuv,[0]!municipio,$B3,[0]!turno,F$2)</f>
        <v>12</v>
      </c>
      <c r="G3" s="9">
        <f>SUMIFS([0]!psuv,[0]!municipio,$B3,[0]!turno,G$2)</f>
        <v>9</v>
      </c>
      <c r="H3" s="9">
        <f>SUMIFS([0]!psuv,[0]!municipio,$B3,[0]!turno,H$2)</f>
        <v>9</v>
      </c>
      <c r="I3" s="9">
        <f>SUMIFS([0]!psuv,[0]!municipio,$B3,[0]!turno,I$2)</f>
        <v>0</v>
      </c>
      <c r="J3" s="9">
        <f>SUMIFS([0]!psuv,[0]!municipio,$B3,[0]!turno,J$2)</f>
        <v>7</v>
      </c>
      <c r="K3" s="9">
        <f>SUMIFS([0]!psuv,[0]!municipio,$B3,[0]!turno,K$2)</f>
        <v>12</v>
      </c>
      <c r="L3" s="9">
        <f>SUMIFS([0]!psuv,[0]!municipio,$B3,[0]!turno,L$2)</f>
        <v>4</v>
      </c>
      <c r="M3" s="9">
        <f>SUMIFS([0]!psuv,[0]!municipio,$B3,[0]!turno,M$2)</f>
        <v>6</v>
      </c>
      <c r="N3" s="9">
        <f>SUMIFS([0]!psuv,[0]!municipio,$B3,[0]!turno,N$2)</f>
        <v>1</v>
      </c>
      <c r="O3" s="9">
        <f>SUMIFS([0]!psuv,[0]!municipio,$B3,[0]!turno,O$2)</f>
        <v>1</v>
      </c>
      <c r="P3" s="9">
        <f>SUMIFS([0]!psuv,[0]!municipio,$B3,[0]!turno,P$2)</f>
        <v>0</v>
      </c>
      <c r="Q3" s="9">
        <f>SUMIFS([0]!psuv,[0]!municipio,$B3,[0]!turno,Q$2)</f>
        <v>0</v>
      </c>
      <c r="R3" s="9">
        <f>SUMIFS([0]!psuv,[0]!municipio,$B3,[0]!turno,R$2)</f>
        <v>0</v>
      </c>
      <c r="S3" s="9">
        <f>SUMIFS([0]!psuv,[0]!municipio,$B3,[0]!turno,S$2)</f>
        <v>0</v>
      </c>
      <c r="T3" s="9">
        <f>SUMIFS([0]!psuv,[0]!municipio,$B3,[0]!turno,T$2)</f>
        <v>3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176" t="s">
        <v>5</v>
      </c>
      <c r="C4" s="171" t="s">
        <v>107</v>
      </c>
      <c r="D4" s="37">
        <f>IF((E3+E4+E5)=0,0,E4/(E3+E4+E5))</f>
        <v>0.58433734939759041</v>
      </c>
      <c r="E4" s="5">
        <f t="shared" si="0"/>
        <v>97</v>
      </c>
      <c r="F4" s="5">
        <f>SUMIFS([0]!mud,[0]!municipio,$B3,[0]!turno,F$2)</f>
        <v>18</v>
      </c>
      <c r="G4" s="5">
        <f>SUMIFS([0]!mud,[0]!municipio,$B3,[0]!turno,G$2)</f>
        <v>5</v>
      </c>
      <c r="H4" s="5">
        <f>SUMIFS([0]!mud,[0]!municipio,$B3,[0]!turno,H$2)</f>
        <v>12</v>
      </c>
      <c r="I4" s="5">
        <f>SUMIFS([0]!mud,[0]!municipio,$B3,[0]!turno,I$2)</f>
        <v>12</v>
      </c>
      <c r="J4" s="5">
        <f>SUMIFS([0]!mud,[0]!municipio,$B3,[0]!turno,J$2)</f>
        <v>7</v>
      </c>
      <c r="K4" s="5">
        <f>SUMIFS([0]!mud,[0]!municipio,$B3,[0]!turno,K$2)</f>
        <v>13</v>
      </c>
      <c r="L4" s="5">
        <f>SUMIFS([0]!mud,[0]!municipio,$B3,[0]!turno,L$2)</f>
        <v>26</v>
      </c>
      <c r="M4" s="5">
        <f>SUMIFS([0]!mud,[0]!municipio,$B3,[0]!turno,M$2)</f>
        <v>1</v>
      </c>
      <c r="N4" s="5">
        <f>SUMIFS([0]!mud,[0]!municipio,$B3,[0]!turno,N$2)</f>
        <v>0</v>
      </c>
      <c r="O4" s="5">
        <f>SUMIFS([0]!mud,[0]!municipio,$B3,[0]!turno,O$2)</f>
        <v>1</v>
      </c>
      <c r="P4" s="5">
        <f>SUMIFS([0]!mud,[0]!municipio,$B3,[0]!turno,P$2)</f>
        <v>0</v>
      </c>
      <c r="Q4" s="5">
        <f>SUMIFS([0]!mud,[0]!municipio,$B3,[0]!turno,Q$2)</f>
        <v>0</v>
      </c>
      <c r="R4" s="5">
        <f>SUMIFS([0]!mud,[0]!municipio,$B3,[0]!turno,R$2)</f>
        <v>0</v>
      </c>
      <c r="S4" s="5">
        <f>SUMIFS([0]!mud,[0]!municipio,$B3,[0]!turno,S$2)</f>
        <v>0</v>
      </c>
      <c r="T4" s="5">
        <f>SUMIFS([0]!mud,[0]!municipio,$B3,[0]!turno,T$2)</f>
        <v>2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ht="15.75" thickBot="1" x14ac:dyDescent="0.3">
      <c r="B5" s="177">
        <v>2.7274635430488376E-2</v>
      </c>
      <c r="C5" s="172" t="s">
        <v>0</v>
      </c>
      <c r="D5" s="38">
        <f>IF((E3+E4+E5)=0,0,E5/(E3+E4+E5))</f>
        <v>3.0120481927710843E-2</v>
      </c>
      <c r="E5" s="11">
        <f t="shared" si="0"/>
        <v>5</v>
      </c>
      <c r="F5" s="11">
        <f>SUMIFS([0]!otro,[0]!municipio,$B3,[0]!turno,F$2)</f>
        <v>0</v>
      </c>
      <c r="G5" s="11">
        <f>SUMIFS([0]!otro,[0]!municipio,$B3,[0]!turno,G$2)</f>
        <v>5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178">
        <v>16</v>
      </c>
      <c r="C6" s="173" t="s">
        <v>106</v>
      </c>
      <c r="D6" s="36">
        <f>IF((E6+E7+E8)=0,0,E6/(E6+E7+E8))</f>
        <v>0.51752021563342321</v>
      </c>
      <c r="E6" s="7">
        <f t="shared" si="0"/>
        <v>192</v>
      </c>
      <c r="F6" s="7">
        <f>SUMIFS([0]!psuv,[0]!municipio,$B6,[0]!turno,F$2)</f>
        <v>24</v>
      </c>
      <c r="G6" s="7">
        <f>SUMIFS([0]!psuv,[0]!municipio,$B6,[0]!turno,G$2)</f>
        <v>18</v>
      </c>
      <c r="H6" s="7">
        <f>SUMIFS([0]!psuv,[0]!municipio,$B6,[0]!turno,H$2)</f>
        <v>8</v>
      </c>
      <c r="I6" s="7">
        <f>SUMIFS([0]!psuv,[0]!municipio,$B6,[0]!turno,I$2)</f>
        <v>0</v>
      </c>
      <c r="J6" s="7">
        <f>SUMIFS([0]!psuv,[0]!municipio,$B6,[0]!turno,J$2)</f>
        <v>16</v>
      </c>
      <c r="K6" s="7">
        <f>SUMIFS([0]!psuv,[0]!municipio,$B6,[0]!turno,K$2)</f>
        <v>13</v>
      </c>
      <c r="L6" s="7">
        <f>SUMIFS([0]!psuv,[0]!municipio,$B6,[0]!turno,L$2)</f>
        <v>7</v>
      </c>
      <c r="M6" s="7">
        <f>SUMIFS([0]!psuv,[0]!municipio,$B6,[0]!turno,M$2)</f>
        <v>14</v>
      </c>
      <c r="N6" s="7">
        <f>SUMIFS([0]!psuv,[0]!municipio,$B6,[0]!turno,N$2)</f>
        <v>10</v>
      </c>
      <c r="O6" s="7">
        <f>SUMIFS([0]!psuv,[0]!municipio,$B6,[0]!turno,O$2)</f>
        <v>10</v>
      </c>
      <c r="P6" s="7">
        <f>SUMIFS([0]!psuv,[0]!municipio,$B6,[0]!turno,P$2)</f>
        <v>15</v>
      </c>
      <c r="Q6" s="7">
        <f>SUMIFS([0]!psuv,[0]!municipio,$B6,[0]!turno,Q$2)</f>
        <v>9</v>
      </c>
      <c r="R6" s="7">
        <f>SUMIFS([0]!psuv,[0]!municipio,$B6,[0]!turno,R$2)</f>
        <v>17</v>
      </c>
      <c r="S6" s="7">
        <f>SUMIFS([0]!psuv,[0]!municipio,$B6,[0]!turno,S$2)</f>
        <v>5</v>
      </c>
      <c r="T6" s="7">
        <f>SUMIFS([0]!psuv,[0]!municipio,$B6,[0]!turno,T$2)</f>
        <v>6</v>
      </c>
      <c r="U6" s="7">
        <f>SUMIFS([0]!psuv,[0]!municipio,$B6,[0]!turno,U$2)</f>
        <v>13</v>
      </c>
      <c r="V6" s="7">
        <f>SUMIFS([0]!psuv,[0]!municipio,$B6,[0]!turno,V$2)</f>
        <v>0</v>
      </c>
      <c r="W6" s="28">
        <f>SUMIFS([0]!psuv,[0]!municipio,$B6,[0]!turno,W$2)</f>
        <v>7</v>
      </c>
    </row>
    <row r="7" spans="2:23" x14ac:dyDescent="0.25">
      <c r="B7" s="179" t="s">
        <v>97</v>
      </c>
      <c r="C7" s="171" t="s">
        <v>107</v>
      </c>
      <c r="D7" s="37">
        <f>IF((E6+E7+E8)=0,0,E7/(E6+E7+E8))</f>
        <v>0.46630727762803237</v>
      </c>
      <c r="E7" s="5">
        <f t="shared" si="0"/>
        <v>173</v>
      </c>
      <c r="F7" s="5">
        <f>SUMIFS([0]!mud,[0]!municipio,$B6,[0]!turno,F$2)</f>
        <v>12</v>
      </c>
      <c r="G7" s="5">
        <f>SUMIFS([0]!mud,[0]!municipio,$B6,[0]!turno,G$2)</f>
        <v>10</v>
      </c>
      <c r="H7" s="5">
        <f>SUMIFS([0]!mud,[0]!municipio,$B6,[0]!turno,H$2)</f>
        <v>21</v>
      </c>
      <c r="I7" s="5">
        <f>SUMIFS([0]!mud,[0]!municipio,$B6,[0]!turno,I$2)</f>
        <v>0</v>
      </c>
      <c r="J7" s="5">
        <f>SUMIFS([0]!mud,[0]!municipio,$B6,[0]!turno,J$2)</f>
        <v>9</v>
      </c>
      <c r="K7" s="5">
        <f>SUMIFS([0]!mud,[0]!municipio,$B6,[0]!turno,K$2)</f>
        <v>5</v>
      </c>
      <c r="L7" s="5">
        <f>SUMIFS([0]!mud,[0]!municipio,$B6,[0]!turno,L$2)</f>
        <v>10</v>
      </c>
      <c r="M7" s="5">
        <f>SUMIFS([0]!mud,[0]!municipio,$B6,[0]!turno,M$2)</f>
        <v>16</v>
      </c>
      <c r="N7" s="5">
        <f>SUMIFS([0]!mud,[0]!municipio,$B6,[0]!turno,N$2)</f>
        <v>8</v>
      </c>
      <c r="O7" s="5">
        <f>SUMIFS([0]!mud,[0]!municipio,$B6,[0]!turno,O$2)</f>
        <v>15</v>
      </c>
      <c r="P7" s="5">
        <f>SUMIFS([0]!mud,[0]!municipio,$B6,[0]!turno,P$2)</f>
        <v>12</v>
      </c>
      <c r="Q7" s="5">
        <f>SUMIFS([0]!mud,[0]!municipio,$B6,[0]!turno,Q$2)</f>
        <v>10</v>
      </c>
      <c r="R7" s="5">
        <f>SUMIFS([0]!mud,[0]!municipio,$B6,[0]!turno,R$2)</f>
        <v>12</v>
      </c>
      <c r="S7" s="5">
        <f>SUMIFS([0]!mud,[0]!municipio,$B6,[0]!turno,S$2)</f>
        <v>8</v>
      </c>
      <c r="T7" s="5">
        <f>SUMIFS([0]!mud,[0]!municipio,$B6,[0]!turno,T$2)</f>
        <v>12</v>
      </c>
      <c r="U7" s="5">
        <f>SUMIFS([0]!mud,[0]!municipio,$B6,[0]!turno,U$2)</f>
        <v>9</v>
      </c>
      <c r="V7" s="5">
        <f>SUMIFS([0]!mud,[0]!municipio,$B6,[0]!turno,V$2)</f>
        <v>0</v>
      </c>
      <c r="W7" s="26">
        <f>SUMIFS([0]!mud,[0]!municipio,$B6,[0]!turno,W$2)</f>
        <v>4</v>
      </c>
    </row>
    <row r="8" spans="2:23" ht="15.75" thickBot="1" x14ac:dyDescent="0.3">
      <c r="B8" s="180">
        <v>7.7136815163650591E-2</v>
      </c>
      <c r="C8" s="174" t="s">
        <v>0</v>
      </c>
      <c r="D8" s="38">
        <f>IF((E6+E7+E8)=0,0,E8/(E6+E7+E8))</f>
        <v>1.6172506738544475E-2</v>
      </c>
      <c r="E8" s="13">
        <f t="shared" si="0"/>
        <v>6</v>
      </c>
      <c r="F8" s="13">
        <f>SUMIFS([0]!otro,[0]!municipio,$B6,[0]!turno,F$2)</f>
        <v>0</v>
      </c>
      <c r="G8" s="13">
        <f>SUMIFS([0]!otro,[0]!municipio,$B6,[0]!turno,G$2)</f>
        <v>2</v>
      </c>
      <c r="H8" s="13">
        <f>SUMIFS([0]!otro,[0]!municipio,$B6,[0]!turno,H$2)</f>
        <v>1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1</v>
      </c>
      <c r="T8" s="13">
        <f>SUMIFS([0]!otro,[0]!municipio,$B6,[0]!turno,T$2)</f>
        <v>0</v>
      </c>
      <c r="U8" s="13">
        <f>SUMIFS([0]!otro,[0]!municipio,$B6,[0]!turno,U$2)</f>
        <v>0</v>
      </c>
      <c r="V8" s="13">
        <f>SUMIFS([0]!otro,[0]!municipio,$B6,[0]!turno,V$2)</f>
        <v>0</v>
      </c>
      <c r="W8" s="29">
        <f>SUMIFS([0]!otro,[0]!municipio,$B6,[0]!turno,W$2)</f>
        <v>2</v>
      </c>
    </row>
    <row r="9" spans="2:23" x14ac:dyDescent="0.25">
      <c r="B9" s="175">
        <v>17</v>
      </c>
      <c r="C9" s="170" t="s">
        <v>106</v>
      </c>
      <c r="D9" s="36">
        <f>IF((E9+E10+E11)=0,0,E9/(E9+E10+E11))</f>
        <v>0.42668863261943984</v>
      </c>
      <c r="E9" s="9">
        <f t="shared" si="0"/>
        <v>259</v>
      </c>
      <c r="F9" s="9">
        <f>SUMIFS([0]!psuv,[0]!municipio,$B9,[0]!turno,F$2)</f>
        <v>3</v>
      </c>
      <c r="G9" s="9">
        <f>SUMIFS([0]!psuv,[0]!municipio,$B9,[0]!turno,G$2)</f>
        <v>0</v>
      </c>
      <c r="H9" s="9">
        <f>SUMIFS([0]!psuv,[0]!municipio,$B9,[0]!turno,H$2)</f>
        <v>17</v>
      </c>
      <c r="I9" s="9">
        <f>SUMIFS([0]!psuv,[0]!municipio,$B9,[0]!turno,I$2)</f>
        <v>9</v>
      </c>
      <c r="J9" s="9">
        <f>SUMIFS([0]!psuv,[0]!municipio,$B9,[0]!turno,J$2)</f>
        <v>12</v>
      </c>
      <c r="K9" s="9">
        <f>SUMIFS([0]!psuv,[0]!municipio,$B9,[0]!turno,K$2)</f>
        <v>8</v>
      </c>
      <c r="L9" s="9">
        <f>SUMIFS([0]!psuv,[0]!municipio,$B9,[0]!turno,L$2)</f>
        <v>14</v>
      </c>
      <c r="M9" s="9">
        <f>SUMIFS([0]!psuv,[0]!municipio,$B9,[0]!turno,M$2)</f>
        <v>12</v>
      </c>
      <c r="N9" s="9">
        <f>SUMIFS([0]!psuv,[0]!municipio,$B9,[0]!turno,N$2)</f>
        <v>25</v>
      </c>
      <c r="O9" s="9">
        <f>SUMIFS([0]!psuv,[0]!municipio,$B9,[0]!turno,O$2)</f>
        <v>0</v>
      </c>
      <c r="P9" s="9">
        <f>SUMIFS([0]!psuv,[0]!municipio,$B9,[0]!turno,P$2)</f>
        <v>13</v>
      </c>
      <c r="Q9" s="9">
        <f>SUMIFS([0]!psuv,[0]!municipio,$B9,[0]!turno,Q$2)</f>
        <v>10</v>
      </c>
      <c r="R9" s="9">
        <f>SUMIFS([0]!psuv,[0]!municipio,$B9,[0]!turno,R$2)</f>
        <v>26</v>
      </c>
      <c r="S9" s="9">
        <f>SUMIFS([0]!psuv,[0]!municipio,$B9,[0]!turno,S$2)</f>
        <v>23</v>
      </c>
      <c r="T9" s="9">
        <f>SUMIFS([0]!psuv,[0]!municipio,$B9,[0]!turno,T$2)</f>
        <v>26</v>
      </c>
      <c r="U9" s="9">
        <f>SUMIFS([0]!psuv,[0]!municipio,$B9,[0]!turno,U$2)</f>
        <v>11</v>
      </c>
      <c r="V9" s="9">
        <f>SUMIFS([0]!psuv,[0]!municipio,$B9,[0]!turno,V$2)</f>
        <v>30</v>
      </c>
      <c r="W9" s="25">
        <f>SUMIFS([0]!psuv,[0]!municipio,$B9,[0]!turno,W$2)</f>
        <v>20</v>
      </c>
    </row>
    <row r="10" spans="2:23" x14ac:dyDescent="0.25">
      <c r="B10" s="176" t="s">
        <v>15</v>
      </c>
      <c r="C10" s="171" t="s">
        <v>107</v>
      </c>
      <c r="D10" s="37">
        <f>IF((E9+E10+E11)=0,0,E10/(E9+E10+E11))</f>
        <v>0.56177924217462938</v>
      </c>
      <c r="E10" s="5">
        <f t="shared" si="0"/>
        <v>341</v>
      </c>
      <c r="F10" s="5">
        <f>SUMIFS([0]!mud,[0]!municipio,$B9,[0]!turno,F$2)</f>
        <v>0</v>
      </c>
      <c r="G10" s="5">
        <f>SUMIFS([0]!mud,[0]!municipio,$B9,[0]!turno,G$2)</f>
        <v>0</v>
      </c>
      <c r="H10" s="5">
        <f>SUMIFS([0]!mud,[0]!municipio,$B9,[0]!turno,H$2)</f>
        <v>24</v>
      </c>
      <c r="I10" s="5">
        <f>SUMIFS([0]!mud,[0]!municipio,$B9,[0]!turno,I$2)</f>
        <v>24</v>
      </c>
      <c r="J10" s="5">
        <f>SUMIFS([0]!mud,[0]!municipio,$B9,[0]!turno,J$2)</f>
        <v>31</v>
      </c>
      <c r="K10" s="5">
        <f>SUMIFS([0]!mud,[0]!municipio,$B9,[0]!turno,K$2)</f>
        <v>2</v>
      </c>
      <c r="L10" s="5">
        <f>SUMIFS([0]!mud,[0]!municipio,$B9,[0]!turno,L$2)</f>
        <v>25</v>
      </c>
      <c r="M10" s="5">
        <f>SUMIFS([0]!mud,[0]!municipio,$B9,[0]!turno,M$2)</f>
        <v>6</v>
      </c>
      <c r="N10" s="5">
        <f>SUMIFS([0]!mud,[0]!municipio,$B9,[0]!turno,N$2)</f>
        <v>28</v>
      </c>
      <c r="O10" s="5">
        <f>SUMIFS([0]!mud,[0]!municipio,$B9,[0]!turno,O$2)</f>
        <v>0</v>
      </c>
      <c r="P10" s="5">
        <f>SUMIFS([0]!mud,[0]!municipio,$B9,[0]!turno,P$2)</f>
        <v>18</v>
      </c>
      <c r="Q10" s="5">
        <f>SUMIFS([0]!mud,[0]!municipio,$B9,[0]!turno,Q$2)</f>
        <v>23</v>
      </c>
      <c r="R10" s="5">
        <f>SUMIFS([0]!mud,[0]!municipio,$B9,[0]!turno,R$2)</f>
        <v>29</v>
      </c>
      <c r="S10" s="5">
        <f>SUMIFS([0]!mud,[0]!municipio,$B9,[0]!turno,S$2)</f>
        <v>27</v>
      </c>
      <c r="T10" s="5">
        <f>SUMIFS([0]!mud,[0]!municipio,$B9,[0]!turno,T$2)</f>
        <v>28</v>
      </c>
      <c r="U10" s="5">
        <f>SUMIFS([0]!mud,[0]!municipio,$B9,[0]!turno,U$2)</f>
        <v>20</v>
      </c>
      <c r="V10" s="5">
        <f>SUMIFS([0]!mud,[0]!municipio,$B9,[0]!turno,V$2)</f>
        <v>26</v>
      </c>
      <c r="W10" s="26">
        <f>SUMIFS([0]!mud,[0]!municipio,$B9,[0]!turno,W$2)</f>
        <v>30</v>
      </c>
    </row>
    <row r="11" spans="2:23" ht="15.75" thickBot="1" x14ac:dyDescent="0.3">
      <c r="B11" s="177">
        <v>0.31561257201929577</v>
      </c>
      <c r="C11" s="172" t="s">
        <v>0</v>
      </c>
      <c r="D11" s="38">
        <f>IF((E9+E10+E11)=0,0,E11/(E9+E10+E11))</f>
        <v>1.1532125205930808E-2</v>
      </c>
      <c r="E11" s="11">
        <f t="shared" si="0"/>
        <v>7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1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1</v>
      </c>
      <c r="N11" s="11">
        <f>SUMIFS([0]!otro,[0]!municipio,$B9,[0]!turno,N$2)</f>
        <v>1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1</v>
      </c>
      <c r="S11" s="11">
        <f>SUMIFS([0]!otro,[0]!municipio,$B9,[0]!turno,S$2)</f>
        <v>2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1</v>
      </c>
      <c r="W11" s="27">
        <f>SUMIFS([0]!otro,[0]!municipio,$B9,[0]!turno,W$2)</f>
        <v>0</v>
      </c>
    </row>
    <row r="12" spans="2:23" x14ac:dyDescent="0.25">
      <c r="B12" s="178">
        <v>18</v>
      </c>
      <c r="C12" s="173" t="s">
        <v>106</v>
      </c>
      <c r="D12" s="36">
        <f>IF((E12+E13+E14)=0,0,E12/(E12+E13+E14))</f>
        <v>0</v>
      </c>
      <c r="E12" s="7">
        <f t="shared" si="0"/>
        <v>0</v>
      </c>
      <c r="F12" s="7">
        <f>SUMIFS([0]!psuv,[0]!municipio,$B12,[0]!turno,F$2)</f>
        <v>0</v>
      </c>
      <c r="G12" s="7">
        <f>SUMIFS([0]!psuv,[0]!municipio,$B12,[0]!turno,G$2)</f>
        <v>0</v>
      </c>
      <c r="H12" s="7">
        <f>SUMIFS([0]!psuv,[0]!municipio,$B12,[0]!turno,H$2)</f>
        <v>0</v>
      </c>
      <c r="I12" s="7">
        <f>SUMIFS([0]!psuv,[0]!municipio,$B12,[0]!turno,I$2)</f>
        <v>0</v>
      </c>
      <c r="J12" s="7">
        <f>SUMIFS([0]!psuv,[0]!municipio,$B12,[0]!turno,J$2)</f>
        <v>0</v>
      </c>
      <c r="K12" s="7">
        <f>SUMIFS([0]!psuv,[0]!municipio,$B12,[0]!turno,K$2)</f>
        <v>0</v>
      </c>
      <c r="L12" s="7">
        <f>SUMIFS([0]!psuv,[0]!municipio,$B12,[0]!turno,L$2)</f>
        <v>0</v>
      </c>
      <c r="M12" s="7">
        <f>SUMIFS([0]!psuv,[0]!municipio,$B12,[0]!turno,M$2)</f>
        <v>0</v>
      </c>
      <c r="N12" s="7">
        <f>SUMIFS([0]!psuv,[0]!municipio,$B12,[0]!turno,N$2)</f>
        <v>0</v>
      </c>
      <c r="O12" s="7">
        <f>SUMIFS([0]!psuv,[0]!municipio,$B12,[0]!turno,O$2)</f>
        <v>0</v>
      </c>
      <c r="P12" s="7">
        <f>SUMIFS([0]!psuv,[0]!municipio,$B12,[0]!turno,P$2)</f>
        <v>0</v>
      </c>
      <c r="Q12" s="7">
        <f>SUMIFS([0]!psuv,[0]!municipio,$B12,[0]!turno,Q$2)</f>
        <v>0</v>
      </c>
      <c r="R12" s="7">
        <f>SUMIFS([0]!psuv,[0]!municipio,$B12,[0]!turno,R$2)</f>
        <v>0</v>
      </c>
      <c r="S12" s="7">
        <f>SUMIFS([0]!psuv,[0]!municipio,$B12,[0]!turno,S$2)</f>
        <v>0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179" t="s">
        <v>113</v>
      </c>
      <c r="C13" s="171" t="s">
        <v>107</v>
      </c>
      <c r="D13" s="37">
        <f>IF((E12+E13+E14)=0,0,E13/(E12+E13+E14))</f>
        <v>0</v>
      </c>
      <c r="E13" s="5">
        <f t="shared" si="0"/>
        <v>0</v>
      </c>
      <c r="F13" s="5">
        <f>SUMIFS([0]!mud,[0]!municipio,$B12,[0]!turno,F$2)</f>
        <v>0</v>
      </c>
      <c r="G13" s="5">
        <f>SUMIFS([0]!mud,[0]!municipio,$B12,[0]!turno,G$2)</f>
        <v>0</v>
      </c>
      <c r="H13" s="5">
        <f>SUMIFS([0]!mud,[0]!municipio,$B12,[0]!turno,H$2)</f>
        <v>0</v>
      </c>
      <c r="I13" s="5">
        <f>SUMIFS([0]!mud,[0]!municipio,$B12,[0]!turno,I$2)</f>
        <v>0</v>
      </c>
      <c r="J13" s="5">
        <f>SUMIFS([0]!mud,[0]!municipio,$B12,[0]!turno,J$2)</f>
        <v>0</v>
      </c>
      <c r="K13" s="5">
        <f>SUMIFS([0]!mud,[0]!municipio,$B12,[0]!turno,K$2)</f>
        <v>0</v>
      </c>
      <c r="L13" s="5">
        <f>SUMIFS([0]!mud,[0]!municipio,$B12,[0]!turno,L$2)</f>
        <v>0</v>
      </c>
      <c r="M13" s="5">
        <f>SUMIFS([0]!mud,[0]!municipio,$B12,[0]!turno,M$2)</f>
        <v>0</v>
      </c>
      <c r="N13" s="5">
        <f>SUMIFS([0]!mud,[0]!municipio,$B12,[0]!turno,N$2)</f>
        <v>0</v>
      </c>
      <c r="O13" s="5">
        <f>SUMIFS([0]!mud,[0]!municipio,$B12,[0]!turno,O$2)</f>
        <v>0</v>
      </c>
      <c r="P13" s="5">
        <f>SUMIFS([0]!mud,[0]!municipio,$B12,[0]!turno,P$2)</f>
        <v>0</v>
      </c>
      <c r="Q13" s="5">
        <f>SUMIFS([0]!mud,[0]!municipio,$B12,[0]!turno,Q$2)</f>
        <v>0</v>
      </c>
      <c r="R13" s="5">
        <f>SUMIFS([0]!mud,[0]!municipio,$B12,[0]!turno,R$2)</f>
        <v>0</v>
      </c>
      <c r="S13" s="5">
        <f>SUMIFS([0]!mud,[0]!municipio,$B12,[0]!turno,S$2)</f>
        <v>0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180">
        <v>2.1009153189006556E-2</v>
      </c>
      <c r="C14" s="174" t="s">
        <v>0</v>
      </c>
      <c r="D14" s="38">
        <f>IF((E12+E13+E14)=0,0,E14/(E12+E13+E14))</f>
        <v>0</v>
      </c>
      <c r="E14" s="13">
        <f t="shared" si="0"/>
        <v>0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75">
        <v>19</v>
      </c>
      <c r="C15" s="170" t="s">
        <v>106</v>
      </c>
      <c r="D15" s="36">
        <f>IF((E15+E16+E17)=0,0,E15/(E15+E16+E17))</f>
        <v>0.84248210023866343</v>
      </c>
      <c r="E15" s="9">
        <f t="shared" si="0"/>
        <v>353</v>
      </c>
      <c r="F15" s="9">
        <f>SUMIFS([0]!psuv,[0]!municipio,$B15,[0]!turno,F$2)</f>
        <v>13</v>
      </c>
      <c r="G15" s="9">
        <f>SUMIFS([0]!psuv,[0]!municipio,$B15,[0]!turno,G$2)</f>
        <v>17</v>
      </c>
      <c r="H15" s="9">
        <f>SUMIFS([0]!psuv,[0]!municipio,$B15,[0]!turno,H$2)</f>
        <v>20</v>
      </c>
      <c r="I15" s="9">
        <f>SUMIFS([0]!psuv,[0]!municipio,$B15,[0]!turno,I$2)</f>
        <v>22</v>
      </c>
      <c r="J15" s="9">
        <f>SUMIFS([0]!psuv,[0]!municipio,$B15,[0]!turno,J$2)</f>
        <v>27</v>
      </c>
      <c r="K15" s="9">
        <f>SUMIFS([0]!psuv,[0]!municipio,$B15,[0]!turno,K$2)</f>
        <v>30</v>
      </c>
      <c r="L15" s="9">
        <f>SUMIFS([0]!psuv,[0]!municipio,$B15,[0]!turno,L$2)</f>
        <v>11</v>
      </c>
      <c r="M15" s="9">
        <f>SUMIFS([0]!psuv,[0]!municipio,$B15,[0]!turno,M$2)</f>
        <v>30</v>
      </c>
      <c r="N15" s="9">
        <f>SUMIFS([0]!psuv,[0]!municipio,$B15,[0]!turno,N$2)</f>
        <v>4</v>
      </c>
      <c r="O15" s="9">
        <f>SUMIFS([0]!psuv,[0]!municipio,$B15,[0]!turno,O$2)</f>
        <v>0</v>
      </c>
      <c r="P15" s="9">
        <f>SUMIFS([0]!psuv,[0]!municipio,$B15,[0]!turno,P$2)</f>
        <v>34</v>
      </c>
      <c r="Q15" s="9">
        <f>SUMIFS([0]!psuv,[0]!municipio,$B15,[0]!turno,Q$2)</f>
        <v>35</v>
      </c>
      <c r="R15" s="9">
        <f>SUMIFS([0]!psuv,[0]!municipio,$B15,[0]!turno,R$2)</f>
        <v>28</v>
      </c>
      <c r="S15" s="9">
        <f>SUMIFS([0]!psuv,[0]!municipio,$B15,[0]!turno,S$2)</f>
        <v>25</v>
      </c>
      <c r="T15" s="9">
        <f>SUMIFS([0]!psuv,[0]!municipio,$B15,[0]!turno,T$2)</f>
        <v>12</v>
      </c>
      <c r="U15" s="9">
        <f>SUMIFS([0]!psuv,[0]!municipio,$B15,[0]!turno,U$2)</f>
        <v>23</v>
      </c>
      <c r="V15" s="9">
        <f>SUMIFS([0]!psuv,[0]!municipio,$B15,[0]!turno,V$2)</f>
        <v>20</v>
      </c>
      <c r="W15" s="25">
        <f>SUMIFS([0]!psuv,[0]!municipio,$B15,[0]!turno,W$2)</f>
        <v>2</v>
      </c>
    </row>
    <row r="16" spans="2:23" x14ac:dyDescent="0.25">
      <c r="B16" s="176" t="s">
        <v>16</v>
      </c>
      <c r="C16" s="171" t="s">
        <v>107</v>
      </c>
      <c r="D16" s="37">
        <f>IF((E15+E16+E17)=0,0,E16/(E15+E16+E17))</f>
        <v>0.15274463007159905</v>
      </c>
      <c r="E16" s="5">
        <f t="shared" si="0"/>
        <v>64</v>
      </c>
      <c r="F16" s="5">
        <f>SUMIFS([0]!mud,[0]!municipio,$B15,[0]!turno,F$2)</f>
        <v>1</v>
      </c>
      <c r="G16" s="5">
        <f>SUMIFS([0]!mud,[0]!municipio,$B15,[0]!turno,G$2)</f>
        <v>5</v>
      </c>
      <c r="H16" s="5">
        <f>SUMIFS([0]!mud,[0]!municipio,$B15,[0]!turno,H$2)</f>
        <v>1</v>
      </c>
      <c r="I16" s="5">
        <f>SUMIFS([0]!mud,[0]!municipio,$B15,[0]!turno,I$2)</f>
        <v>2</v>
      </c>
      <c r="J16" s="5">
        <f>SUMIFS([0]!mud,[0]!municipio,$B15,[0]!turno,J$2)</f>
        <v>0</v>
      </c>
      <c r="K16" s="5">
        <f>SUMIFS([0]!mud,[0]!municipio,$B15,[0]!turno,K$2)</f>
        <v>1</v>
      </c>
      <c r="L16" s="5">
        <f>SUMIFS([0]!mud,[0]!municipio,$B15,[0]!turno,L$2)</f>
        <v>5</v>
      </c>
      <c r="M16" s="5">
        <f>SUMIFS([0]!mud,[0]!municipio,$B15,[0]!turno,M$2)</f>
        <v>5</v>
      </c>
      <c r="N16" s="5">
        <f>SUMIFS([0]!mud,[0]!municipio,$B15,[0]!turno,N$2)</f>
        <v>3</v>
      </c>
      <c r="O16" s="5">
        <f>SUMIFS([0]!mud,[0]!municipio,$B15,[0]!turno,O$2)</f>
        <v>0</v>
      </c>
      <c r="P16" s="5">
        <f>SUMIFS([0]!mud,[0]!municipio,$B15,[0]!turno,P$2)</f>
        <v>7</v>
      </c>
      <c r="Q16" s="5">
        <f>SUMIFS([0]!mud,[0]!municipio,$B15,[0]!turno,Q$2)</f>
        <v>2</v>
      </c>
      <c r="R16" s="5">
        <f>SUMIFS([0]!mud,[0]!municipio,$B15,[0]!turno,R$2)</f>
        <v>4</v>
      </c>
      <c r="S16" s="5">
        <f>SUMIFS([0]!mud,[0]!municipio,$B15,[0]!turno,S$2)</f>
        <v>8</v>
      </c>
      <c r="T16" s="5">
        <f>SUMIFS([0]!mud,[0]!municipio,$B15,[0]!turno,T$2)</f>
        <v>6</v>
      </c>
      <c r="U16" s="5">
        <f>SUMIFS([0]!mud,[0]!municipio,$B15,[0]!turno,U$2)</f>
        <v>3</v>
      </c>
      <c r="V16" s="5">
        <f>SUMIFS([0]!mud,[0]!municipio,$B15,[0]!turno,V$2)</f>
        <v>0</v>
      </c>
      <c r="W16" s="26">
        <f>SUMIFS([0]!mud,[0]!municipio,$B15,[0]!turno,W$2)</f>
        <v>11</v>
      </c>
    </row>
    <row r="17" spans="2:23" ht="15.75" thickBot="1" x14ac:dyDescent="0.3">
      <c r="B17" s="177">
        <v>9.5814905671019648E-2</v>
      </c>
      <c r="C17" s="172" t="s">
        <v>0</v>
      </c>
      <c r="D17" s="38">
        <f>IF((E15+E16+E17)=0,0,E17/(E15+E16+E17))</f>
        <v>4.7732696897374704E-3</v>
      </c>
      <c r="E17" s="11">
        <f t="shared" si="0"/>
        <v>2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2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178">
        <v>20</v>
      </c>
      <c r="C18" s="173" t="s">
        <v>106</v>
      </c>
      <c r="D18" s="36">
        <f>IF((E18+E19+E20)=0,0,E18/(E18+E19+E20))</f>
        <v>0.67808219178082196</v>
      </c>
      <c r="E18" s="7">
        <f t="shared" si="0"/>
        <v>99</v>
      </c>
      <c r="F18" s="7">
        <f>SUMIFS([0]!psuv,[0]!municipio,$B18,[0]!turno,F$2)</f>
        <v>0</v>
      </c>
      <c r="G18" s="7">
        <f>SUMIFS([0]!psuv,[0]!municipio,$B18,[0]!turno,G$2)</f>
        <v>5</v>
      </c>
      <c r="H18" s="7">
        <f>SUMIFS([0]!psuv,[0]!municipio,$B18,[0]!turno,H$2)</f>
        <v>4</v>
      </c>
      <c r="I18" s="7">
        <f>SUMIFS([0]!psuv,[0]!municipio,$B18,[0]!turno,I$2)</f>
        <v>7</v>
      </c>
      <c r="J18" s="7">
        <f>SUMIFS([0]!psuv,[0]!municipio,$B18,[0]!turno,J$2)</f>
        <v>14</v>
      </c>
      <c r="K18" s="7">
        <f>SUMIFS([0]!psuv,[0]!municipio,$B18,[0]!turno,K$2)</f>
        <v>0</v>
      </c>
      <c r="L18" s="7">
        <f>SUMIFS([0]!psuv,[0]!municipio,$B18,[0]!turno,L$2)</f>
        <v>8</v>
      </c>
      <c r="M18" s="7">
        <f>SUMIFS([0]!psuv,[0]!municipio,$B18,[0]!turno,M$2)</f>
        <v>6</v>
      </c>
      <c r="N18" s="7">
        <f>SUMIFS([0]!psuv,[0]!municipio,$B18,[0]!turno,N$2)</f>
        <v>6</v>
      </c>
      <c r="O18" s="7">
        <f>SUMIFS([0]!psuv,[0]!municipio,$B18,[0]!turno,O$2)</f>
        <v>0</v>
      </c>
      <c r="P18" s="7">
        <f>SUMIFS([0]!psuv,[0]!municipio,$B18,[0]!turno,P$2)</f>
        <v>5</v>
      </c>
      <c r="Q18" s="7">
        <f>SUMIFS([0]!psuv,[0]!municipio,$B18,[0]!turno,Q$2)</f>
        <v>10</v>
      </c>
      <c r="R18" s="7">
        <f>SUMIFS([0]!psuv,[0]!municipio,$B18,[0]!turno,R$2)</f>
        <v>5</v>
      </c>
      <c r="S18" s="7">
        <f>SUMIFS([0]!psuv,[0]!municipio,$B18,[0]!turno,S$2)</f>
        <v>8</v>
      </c>
      <c r="T18" s="7">
        <f>SUMIFS([0]!psuv,[0]!municipio,$B18,[0]!turno,T$2)</f>
        <v>4</v>
      </c>
      <c r="U18" s="7">
        <f>SUMIFS([0]!psuv,[0]!municipio,$B18,[0]!turno,U$2)</f>
        <v>8</v>
      </c>
      <c r="V18" s="7">
        <f>SUMIFS([0]!psuv,[0]!municipio,$B18,[0]!turno,V$2)</f>
        <v>5</v>
      </c>
      <c r="W18" s="28">
        <f>SUMIFS([0]!psuv,[0]!municipio,$B18,[0]!turno,W$2)</f>
        <v>4</v>
      </c>
    </row>
    <row r="19" spans="2:23" x14ac:dyDescent="0.25">
      <c r="B19" s="179" t="s">
        <v>98</v>
      </c>
      <c r="C19" s="171" t="s">
        <v>107</v>
      </c>
      <c r="D19" s="37">
        <f>IF((E18+E19+E20)=0,0,E19/(E18+E19+E20))</f>
        <v>0.27397260273972601</v>
      </c>
      <c r="E19" s="5">
        <f t="shared" si="0"/>
        <v>40</v>
      </c>
      <c r="F19" s="5">
        <f>SUMIFS([0]!mud,[0]!municipio,$B18,[0]!turno,F$2)</f>
        <v>0</v>
      </c>
      <c r="G19" s="5">
        <f>SUMIFS([0]!mud,[0]!municipio,$B18,[0]!turno,G$2)</f>
        <v>3</v>
      </c>
      <c r="H19" s="5">
        <f>SUMIFS([0]!mud,[0]!municipio,$B18,[0]!turno,H$2)</f>
        <v>1</v>
      </c>
      <c r="I19" s="5">
        <f>SUMIFS([0]!mud,[0]!municipio,$B18,[0]!turno,I$2)</f>
        <v>2</v>
      </c>
      <c r="J19" s="5">
        <f>SUMIFS([0]!mud,[0]!municipio,$B18,[0]!turno,J$2)</f>
        <v>4</v>
      </c>
      <c r="K19" s="5">
        <f>SUMIFS([0]!mud,[0]!municipio,$B18,[0]!turno,K$2)</f>
        <v>0</v>
      </c>
      <c r="L19" s="5">
        <f>SUMIFS([0]!mud,[0]!municipio,$B18,[0]!turno,L$2)</f>
        <v>1</v>
      </c>
      <c r="M19" s="5">
        <f>SUMIFS([0]!mud,[0]!municipio,$B18,[0]!turno,M$2)</f>
        <v>3</v>
      </c>
      <c r="N19" s="5">
        <f>SUMIFS([0]!mud,[0]!municipio,$B18,[0]!turno,N$2)</f>
        <v>2</v>
      </c>
      <c r="O19" s="5">
        <f>SUMIFS([0]!mud,[0]!municipio,$B18,[0]!turno,O$2)</f>
        <v>0</v>
      </c>
      <c r="P19" s="5">
        <f>SUMIFS([0]!mud,[0]!municipio,$B18,[0]!turno,P$2)</f>
        <v>4</v>
      </c>
      <c r="Q19" s="5">
        <f>SUMIFS([0]!mud,[0]!municipio,$B18,[0]!turno,Q$2)</f>
        <v>4</v>
      </c>
      <c r="R19" s="5">
        <f>SUMIFS([0]!mud,[0]!municipio,$B18,[0]!turno,R$2)</f>
        <v>3</v>
      </c>
      <c r="S19" s="5">
        <f>SUMIFS([0]!mud,[0]!municipio,$B18,[0]!turno,S$2)</f>
        <v>3</v>
      </c>
      <c r="T19" s="5">
        <f>SUMIFS([0]!mud,[0]!municipio,$B18,[0]!turno,T$2)</f>
        <v>2</v>
      </c>
      <c r="U19" s="5">
        <f>SUMIFS([0]!mud,[0]!municipio,$B18,[0]!turno,U$2)</f>
        <v>3</v>
      </c>
      <c r="V19" s="5">
        <f>SUMIFS([0]!mud,[0]!municipio,$B18,[0]!turno,V$2)</f>
        <v>3</v>
      </c>
      <c r="W19" s="26">
        <f>SUMIFS([0]!mud,[0]!municipio,$B18,[0]!turno,W$2)</f>
        <v>2</v>
      </c>
    </row>
    <row r="20" spans="2:23" ht="15.75" thickBot="1" x14ac:dyDescent="0.3">
      <c r="B20" s="180">
        <v>2.8623711373570133E-2</v>
      </c>
      <c r="C20" s="174" t="s">
        <v>0</v>
      </c>
      <c r="D20" s="38">
        <f>IF((E18+E19+E20)=0,0,E20/(E18+E19+E20))</f>
        <v>4.7945205479452052E-2</v>
      </c>
      <c r="E20" s="13">
        <f t="shared" si="0"/>
        <v>7</v>
      </c>
      <c r="F20" s="13">
        <f>SUMIFS([0]!otro,[0]!municipio,$B18,[0]!turno,F$2)</f>
        <v>0</v>
      </c>
      <c r="G20" s="13">
        <f>SUMIFS([0]!otro,[0]!municipio,$B18,[0]!turno,G$2)</f>
        <v>7</v>
      </c>
      <c r="H20" s="13">
        <f>SUMIFS([0]!otro,[0]!municipio,$B18,[0]!turno,H$2)</f>
        <v>0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0</v>
      </c>
      <c r="T20" s="13">
        <f>SUMIFS([0]!otro,[0]!municipio,$B18,[0]!turno,T$2)</f>
        <v>0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0</v>
      </c>
    </row>
    <row r="21" spans="2:23" x14ac:dyDescent="0.25">
      <c r="B21" s="175">
        <v>21</v>
      </c>
      <c r="C21" s="170" t="s">
        <v>106</v>
      </c>
      <c r="D21" s="36">
        <f>IF((E21+E22+E23)=0,0,E21/(E21+E22+E23))</f>
        <v>0.5967078189300411</v>
      </c>
      <c r="E21" s="9">
        <f t="shared" si="0"/>
        <v>145</v>
      </c>
      <c r="F21" s="9">
        <f>SUMIFS([0]!psuv,[0]!municipio,$B21,[0]!turno,F$2)</f>
        <v>0</v>
      </c>
      <c r="G21" s="9">
        <f>SUMIFS([0]!psuv,[0]!municipio,$B21,[0]!turno,G$2)</f>
        <v>18</v>
      </c>
      <c r="H21" s="9">
        <f>SUMIFS([0]!psuv,[0]!municipio,$B21,[0]!turno,H$2)</f>
        <v>22</v>
      </c>
      <c r="I21" s="9">
        <f>SUMIFS([0]!psuv,[0]!municipio,$B21,[0]!turno,I$2)</f>
        <v>11</v>
      </c>
      <c r="J21" s="9">
        <f>SUMIFS([0]!psuv,[0]!municipio,$B21,[0]!turno,J$2)</f>
        <v>14</v>
      </c>
      <c r="K21" s="9">
        <f>SUMIFS([0]!psuv,[0]!municipio,$B21,[0]!turno,K$2)</f>
        <v>6</v>
      </c>
      <c r="L21" s="9">
        <f>SUMIFS([0]!psuv,[0]!municipio,$B21,[0]!turno,L$2)</f>
        <v>4</v>
      </c>
      <c r="M21" s="9">
        <f>SUMIFS([0]!psuv,[0]!municipio,$B21,[0]!turno,M$2)</f>
        <v>10</v>
      </c>
      <c r="N21" s="9">
        <f>SUMIFS([0]!psuv,[0]!municipio,$B21,[0]!turno,N$2)</f>
        <v>0</v>
      </c>
      <c r="O21" s="9">
        <f>SUMIFS([0]!psuv,[0]!municipio,$B21,[0]!turno,O$2)</f>
        <v>0</v>
      </c>
      <c r="P21" s="9">
        <f>SUMIFS([0]!psuv,[0]!municipio,$B21,[0]!turno,P$2)</f>
        <v>8</v>
      </c>
      <c r="Q21" s="9">
        <f>SUMIFS([0]!psuv,[0]!municipio,$B21,[0]!turno,Q$2)</f>
        <v>12</v>
      </c>
      <c r="R21" s="9">
        <f>SUMIFS([0]!psuv,[0]!municipio,$B21,[0]!turno,R$2)</f>
        <v>10</v>
      </c>
      <c r="S21" s="9">
        <f>SUMIFS([0]!psuv,[0]!municipio,$B21,[0]!turno,S$2)</f>
        <v>0</v>
      </c>
      <c r="T21" s="9">
        <f>SUMIFS([0]!psuv,[0]!municipio,$B21,[0]!turno,T$2)</f>
        <v>6</v>
      </c>
      <c r="U21" s="9">
        <f>SUMIFS([0]!psuv,[0]!municipio,$B21,[0]!turno,U$2)</f>
        <v>13</v>
      </c>
      <c r="V21" s="9">
        <f>SUMIFS([0]!psuv,[0]!municipio,$B21,[0]!turno,V$2)</f>
        <v>0</v>
      </c>
      <c r="W21" s="25">
        <f>SUMIFS([0]!psuv,[0]!municipio,$B21,[0]!turno,W$2)</f>
        <v>11</v>
      </c>
    </row>
    <row r="22" spans="2:23" x14ac:dyDescent="0.25">
      <c r="B22" s="176" t="s">
        <v>17</v>
      </c>
      <c r="C22" s="171" t="s">
        <v>107</v>
      </c>
      <c r="D22" s="37">
        <f>IF((E21+E22+E23)=0,0,E22/(E21+E22+E23))</f>
        <v>0.37037037037037035</v>
      </c>
      <c r="E22" s="5">
        <f t="shared" si="0"/>
        <v>90</v>
      </c>
      <c r="F22" s="5">
        <f>SUMIFS([0]!mud,[0]!municipio,$B21,[0]!turno,F$2)</f>
        <v>0</v>
      </c>
      <c r="G22" s="5">
        <f>SUMIFS([0]!mud,[0]!municipio,$B21,[0]!turno,G$2)</f>
        <v>12</v>
      </c>
      <c r="H22" s="5">
        <f>SUMIFS([0]!mud,[0]!municipio,$B21,[0]!turno,H$2)</f>
        <v>6</v>
      </c>
      <c r="I22" s="5">
        <f>SUMIFS([0]!mud,[0]!municipio,$B21,[0]!turno,I$2)</f>
        <v>4</v>
      </c>
      <c r="J22" s="5">
        <f>SUMIFS([0]!mud,[0]!municipio,$B21,[0]!turno,J$2)</f>
        <v>7</v>
      </c>
      <c r="K22" s="5">
        <f>SUMIFS([0]!mud,[0]!municipio,$B21,[0]!turno,K$2)</f>
        <v>3</v>
      </c>
      <c r="L22" s="5">
        <f>SUMIFS([0]!mud,[0]!municipio,$B21,[0]!turno,L$2)</f>
        <v>5</v>
      </c>
      <c r="M22" s="5">
        <f>SUMIFS([0]!mud,[0]!municipio,$B21,[0]!turno,M$2)</f>
        <v>4</v>
      </c>
      <c r="N22" s="5">
        <f>SUMIFS([0]!mud,[0]!municipio,$B21,[0]!turno,N$2)</f>
        <v>0</v>
      </c>
      <c r="O22" s="5">
        <f>SUMIFS([0]!mud,[0]!municipio,$B21,[0]!turno,O$2)</f>
        <v>0</v>
      </c>
      <c r="P22" s="5">
        <f>SUMIFS([0]!mud,[0]!municipio,$B21,[0]!turno,P$2)</f>
        <v>3</v>
      </c>
      <c r="Q22" s="5">
        <f>SUMIFS([0]!mud,[0]!municipio,$B21,[0]!turno,Q$2)</f>
        <v>8</v>
      </c>
      <c r="R22" s="5">
        <f>SUMIFS([0]!mud,[0]!municipio,$B21,[0]!turno,R$2)</f>
        <v>7</v>
      </c>
      <c r="S22" s="5">
        <f>SUMIFS([0]!mud,[0]!municipio,$B21,[0]!turno,S$2)</f>
        <v>0</v>
      </c>
      <c r="T22" s="5">
        <f>SUMIFS([0]!mud,[0]!municipio,$B21,[0]!turno,T$2)</f>
        <v>4</v>
      </c>
      <c r="U22" s="5">
        <f>SUMIFS([0]!mud,[0]!municipio,$B21,[0]!turno,U$2)</f>
        <v>17</v>
      </c>
      <c r="V22" s="5">
        <f>SUMIFS([0]!mud,[0]!municipio,$B21,[0]!turno,V$2)</f>
        <v>0</v>
      </c>
      <c r="W22" s="26">
        <f>SUMIFS([0]!mud,[0]!municipio,$B21,[0]!turno,W$2)</f>
        <v>10</v>
      </c>
    </row>
    <row r="23" spans="2:23" ht="15.75" thickBot="1" x14ac:dyDescent="0.3">
      <c r="B23" s="177">
        <v>5.5609853524934791E-2</v>
      </c>
      <c r="C23" s="172" t="s">
        <v>0</v>
      </c>
      <c r="D23" s="38">
        <f>IF((E21+E22+E23)=0,0,E23/(E21+E22+E23))</f>
        <v>3.292181069958848E-2</v>
      </c>
      <c r="E23" s="11">
        <f t="shared" si="0"/>
        <v>8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2</v>
      </c>
      <c r="I23" s="11">
        <f>SUMIFS([0]!otro,[0]!municipio,$B21,[0]!turno,I$2)</f>
        <v>1</v>
      </c>
      <c r="J23" s="11">
        <f>SUMIFS([0]!otro,[0]!municipio,$B21,[0]!turno,J$2)</f>
        <v>0</v>
      </c>
      <c r="K23" s="11">
        <f>SUMIFS([0]!otro,[0]!municipio,$B21,[0]!turno,K$2)</f>
        <v>1</v>
      </c>
      <c r="L23" s="11">
        <f>SUMIFS([0]!otro,[0]!municipio,$B21,[0]!turno,L$2)</f>
        <v>0</v>
      </c>
      <c r="M23" s="11">
        <f>SUMIFS([0]!otro,[0]!municipio,$B21,[0]!turno,M$2)</f>
        <v>1</v>
      </c>
      <c r="N23" s="11">
        <f>SUMIFS([0]!otro,[0]!municipio,$B21,[0]!turno,N$2)</f>
        <v>0</v>
      </c>
      <c r="O23" s="11">
        <f>SUMIFS([0]!otro,[0]!municipio,$B21,[0]!turno,O$2)</f>
        <v>0</v>
      </c>
      <c r="P23" s="11">
        <f>SUMIFS([0]!otro,[0]!municipio,$B21,[0]!turno,P$2)</f>
        <v>1</v>
      </c>
      <c r="Q23" s="11">
        <f>SUMIFS([0]!otro,[0]!municipio,$B21,[0]!turno,Q$2)</f>
        <v>2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x14ac:dyDescent="0.25">
      <c r="B24" s="178">
        <v>22</v>
      </c>
      <c r="C24" s="173" t="s">
        <v>106</v>
      </c>
      <c r="D24" s="36">
        <f>IF((E24+E25+E26)=0,0,E24/(E24+E25+E26))</f>
        <v>0.48772504091653029</v>
      </c>
      <c r="E24" s="7">
        <f t="shared" si="0"/>
        <v>298</v>
      </c>
      <c r="F24" s="7">
        <f>SUMIFS([0]!psuv,[0]!municipio,$B24,[0]!turno,F$2)</f>
        <v>13</v>
      </c>
      <c r="G24" s="7">
        <f>SUMIFS([0]!psuv,[0]!municipio,$B24,[0]!turno,G$2)</f>
        <v>16</v>
      </c>
      <c r="H24" s="7">
        <f>SUMIFS([0]!psuv,[0]!municipio,$B24,[0]!turno,H$2)</f>
        <v>22</v>
      </c>
      <c r="I24" s="7">
        <f>SUMIFS([0]!psuv,[0]!municipio,$B24,[0]!turno,I$2)</f>
        <v>15</v>
      </c>
      <c r="J24" s="7">
        <f>SUMIFS([0]!psuv,[0]!municipio,$B24,[0]!turno,J$2)</f>
        <v>16</v>
      </c>
      <c r="K24" s="7">
        <f>SUMIFS([0]!psuv,[0]!municipio,$B24,[0]!turno,K$2)</f>
        <v>23</v>
      </c>
      <c r="L24" s="7">
        <f>SUMIFS([0]!psuv,[0]!municipio,$B24,[0]!turno,L$2)</f>
        <v>20</v>
      </c>
      <c r="M24" s="7">
        <f>SUMIFS([0]!psuv,[0]!municipio,$B24,[0]!turno,M$2)</f>
        <v>15</v>
      </c>
      <c r="N24" s="7">
        <f>SUMIFS([0]!psuv,[0]!municipio,$B24,[0]!turno,N$2)</f>
        <v>34</v>
      </c>
      <c r="O24" s="7">
        <f>SUMIFS([0]!psuv,[0]!municipio,$B24,[0]!turno,O$2)</f>
        <v>0</v>
      </c>
      <c r="P24" s="7">
        <f>SUMIFS([0]!psuv,[0]!municipio,$B24,[0]!turno,P$2)</f>
        <v>18</v>
      </c>
      <c r="Q24" s="7">
        <f>SUMIFS([0]!psuv,[0]!municipio,$B24,[0]!turno,Q$2)</f>
        <v>22</v>
      </c>
      <c r="R24" s="7">
        <f>SUMIFS([0]!psuv,[0]!municipio,$B24,[0]!turno,R$2)</f>
        <v>25</v>
      </c>
      <c r="S24" s="7">
        <f>SUMIFS([0]!psuv,[0]!municipio,$B24,[0]!turno,S$2)</f>
        <v>19</v>
      </c>
      <c r="T24" s="7">
        <f>SUMIFS([0]!psuv,[0]!municipio,$B24,[0]!turno,T$2)</f>
        <v>11</v>
      </c>
      <c r="U24" s="7">
        <f>SUMIFS([0]!psuv,[0]!municipio,$B24,[0]!turno,U$2)</f>
        <v>0</v>
      </c>
      <c r="V24" s="7">
        <f>SUMIFS([0]!psuv,[0]!municipio,$B24,[0]!turno,V$2)</f>
        <v>14</v>
      </c>
      <c r="W24" s="28">
        <f>SUMIFS([0]!psuv,[0]!municipio,$B24,[0]!turno,W$2)</f>
        <v>15</v>
      </c>
    </row>
    <row r="25" spans="2:23" x14ac:dyDescent="0.25">
      <c r="B25" s="179" t="s">
        <v>99</v>
      </c>
      <c r="C25" s="171" t="s">
        <v>107</v>
      </c>
      <c r="D25" s="37">
        <f>IF((E24+E25+E26)=0,0,E25/(E24+E25+E26))</f>
        <v>0.49918166939443537</v>
      </c>
      <c r="E25" s="5">
        <f t="shared" si="0"/>
        <v>305</v>
      </c>
      <c r="F25" s="5">
        <f>SUMIFS([0]!mud,[0]!municipio,$B24,[0]!turno,F$2)</f>
        <v>17</v>
      </c>
      <c r="G25" s="5">
        <f>SUMIFS([0]!mud,[0]!municipio,$B24,[0]!turno,G$2)</f>
        <v>19</v>
      </c>
      <c r="H25" s="5">
        <f>SUMIFS([0]!mud,[0]!municipio,$B24,[0]!turno,H$2)</f>
        <v>22</v>
      </c>
      <c r="I25" s="5">
        <f>SUMIFS([0]!mud,[0]!municipio,$B24,[0]!turno,I$2)</f>
        <v>27</v>
      </c>
      <c r="J25" s="5">
        <f>SUMIFS([0]!mud,[0]!municipio,$B24,[0]!turno,J$2)</f>
        <v>22</v>
      </c>
      <c r="K25" s="5">
        <f>SUMIFS([0]!mud,[0]!municipio,$B24,[0]!turno,K$2)</f>
        <v>20</v>
      </c>
      <c r="L25" s="5">
        <f>SUMIFS([0]!mud,[0]!municipio,$B24,[0]!turno,L$2)</f>
        <v>26</v>
      </c>
      <c r="M25" s="5">
        <f>SUMIFS([0]!mud,[0]!municipio,$B24,[0]!turno,M$2)</f>
        <v>15</v>
      </c>
      <c r="N25" s="5">
        <f>SUMIFS([0]!mud,[0]!municipio,$B24,[0]!turno,N$2)</f>
        <v>21</v>
      </c>
      <c r="O25" s="5">
        <f>SUMIFS([0]!mud,[0]!municipio,$B24,[0]!turno,O$2)</f>
        <v>0</v>
      </c>
      <c r="P25" s="5">
        <f>SUMIFS([0]!mud,[0]!municipio,$B24,[0]!turno,P$2)</f>
        <v>30</v>
      </c>
      <c r="Q25" s="5">
        <f>SUMIFS([0]!mud,[0]!municipio,$B24,[0]!turno,Q$2)</f>
        <v>17</v>
      </c>
      <c r="R25" s="5">
        <f>SUMIFS([0]!mud,[0]!municipio,$B24,[0]!turno,R$2)</f>
        <v>18</v>
      </c>
      <c r="S25" s="5">
        <f>SUMIFS([0]!mud,[0]!municipio,$B24,[0]!turno,S$2)</f>
        <v>17</v>
      </c>
      <c r="T25" s="5">
        <f>SUMIFS([0]!mud,[0]!municipio,$B24,[0]!turno,T$2)</f>
        <v>19</v>
      </c>
      <c r="U25" s="5">
        <f>SUMIFS([0]!mud,[0]!municipio,$B24,[0]!turno,U$2)</f>
        <v>0</v>
      </c>
      <c r="V25" s="5">
        <f>SUMIFS([0]!mud,[0]!municipio,$B24,[0]!turno,V$2)</f>
        <v>10</v>
      </c>
      <c r="W25" s="26">
        <f>SUMIFS([0]!mud,[0]!municipio,$B24,[0]!turno,W$2)</f>
        <v>5</v>
      </c>
    </row>
    <row r="26" spans="2:23" ht="15.75" thickBot="1" x14ac:dyDescent="0.3">
      <c r="B26" s="180">
        <v>7.2106675937903666E-2</v>
      </c>
      <c r="C26" s="174" t="s">
        <v>0</v>
      </c>
      <c r="D26" s="38">
        <f>IF((E24+E25+E26)=0,0,E26/(E24+E25+E26))</f>
        <v>1.3093289689034371E-2</v>
      </c>
      <c r="E26" s="13">
        <f t="shared" si="0"/>
        <v>8</v>
      </c>
      <c r="F26" s="13">
        <f>SUMIFS([0]!otro,[0]!municipio,$B24,[0]!turno,F$2)</f>
        <v>0</v>
      </c>
      <c r="G26" s="13">
        <f>SUMIFS([0]!otro,[0]!municipio,$B24,[0]!turno,G$2)</f>
        <v>0</v>
      </c>
      <c r="H26" s="13">
        <f>SUMIFS([0]!otro,[0]!municipio,$B24,[0]!turno,H$2)</f>
        <v>0</v>
      </c>
      <c r="I26" s="13">
        <f>SUMIFS([0]!otro,[0]!municipio,$B24,[0]!turno,I$2)</f>
        <v>0</v>
      </c>
      <c r="J26" s="13">
        <f>SUMIFS([0]!otro,[0]!municipio,$B24,[0]!turno,J$2)</f>
        <v>0</v>
      </c>
      <c r="K26" s="13">
        <f>SUMIFS([0]!otro,[0]!municipio,$B24,[0]!turno,K$2)</f>
        <v>0</v>
      </c>
      <c r="L26" s="13">
        <f>SUMIFS([0]!otro,[0]!municipio,$B24,[0]!turno,L$2)</f>
        <v>3</v>
      </c>
      <c r="M26" s="13">
        <f>SUMIFS([0]!otro,[0]!municipio,$B24,[0]!turno,M$2)</f>
        <v>0</v>
      </c>
      <c r="N26" s="13">
        <f>SUMIFS([0]!otro,[0]!municipio,$B24,[0]!turno,N$2)</f>
        <v>2</v>
      </c>
      <c r="O26" s="13">
        <f>SUMIFS([0]!otro,[0]!municipio,$B24,[0]!turno,O$2)</f>
        <v>0</v>
      </c>
      <c r="P26" s="13">
        <f>SUMIFS([0]!otro,[0]!municipio,$B24,[0]!turno,P$2)</f>
        <v>2</v>
      </c>
      <c r="Q26" s="13">
        <f>SUMIFS([0]!otro,[0]!municipio,$B24,[0]!turno,Q$2)</f>
        <v>1</v>
      </c>
      <c r="R26" s="13">
        <f>SUMIFS([0]!otro,[0]!municipio,$B24,[0]!turno,R$2)</f>
        <v>0</v>
      </c>
      <c r="S26" s="13">
        <f>SUMIFS([0]!otro,[0]!municipio,$B24,[0]!turno,S$2)</f>
        <v>0</v>
      </c>
      <c r="T26" s="13">
        <f>SUMIFS([0]!otro,[0]!municipio,$B24,[0]!turno,T$2)</f>
        <v>0</v>
      </c>
      <c r="U26" s="13">
        <f>SUMIFS([0]!otro,[0]!municipio,$B24,[0]!turno,U$2)</f>
        <v>0</v>
      </c>
      <c r="V26" s="13">
        <f>SUMIFS([0]!otro,[0]!municipio,$B24,[0]!turno,V$2)</f>
        <v>0</v>
      </c>
      <c r="W26" s="29">
        <f>SUMIFS([0]!otro,[0]!municipio,$B24,[0]!turno,W$2)</f>
        <v>0</v>
      </c>
    </row>
    <row r="27" spans="2:23" x14ac:dyDescent="0.25">
      <c r="B27" s="175">
        <v>23</v>
      </c>
      <c r="C27" s="170" t="s">
        <v>106</v>
      </c>
      <c r="D27" s="36">
        <f>IF((E27+E28+E29)=0,0,E27/(E27+E28+E29))</f>
        <v>0.61570247933884292</v>
      </c>
      <c r="E27" s="9">
        <f t="shared" si="0"/>
        <v>596</v>
      </c>
      <c r="F27" s="9">
        <f>SUMIFS([0]!psuv,[0]!municipio,$B27,[0]!turno,F$2)</f>
        <v>3</v>
      </c>
      <c r="G27" s="9">
        <f>SUMIFS([0]!psuv,[0]!municipio,$B27,[0]!turno,G$2)</f>
        <v>5</v>
      </c>
      <c r="H27" s="9">
        <f>SUMIFS([0]!psuv,[0]!municipio,$B27,[0]!turno,H$2)</f>
        <v>46</v>
      </c>
      <c r="I27" s="9">
        <f>SUMIFS([0]!psuv,[0]!municipio,$B27,[0]!turno,I$2)</f>
        <v>57</v>
      </c>
      <c r="J27" s="9">
        <f>SUMIFS([0]!psuv,[0]!municipio,$B27,[0]!turno,J$2)</f>
        <v>47</v>
      </c>
      <c r="K27" s="9">
        <f>SUMIFS([0]!psuv,[0]!municipio,$B27,[0]!turno,K$2)</f>
        <v>56</v>
      </c>
      <c r="L27" s="9">
        <f>SUMIFS([0]!psuv,[0]!municipio,$B27,[0]!turno,L$2)</f>
        <v>31</v>
      </c>
      <c r="M27" s="9">
        <f>SUMIFS([0]!psuv,[0]!municipio,$B27,[0]!turno,M$2)</f>
        <v>25</v>
      </c>
      <c r="N27" s="9">
        <f>SUMIFS([0]!psuv,[0]!municipio,$B27,[0]!turno,N$2)</f>
        <v>18</v>
      </c>
      <c r="O27" s="9">
        <f>SUMIFS([0]!psuv,[0]!municipio,$B27,[0]!turno,O$2)</f>
        <v>0</v>
      </c>
      <c r="P27" s="9">
        <f>SUMIFS([0]!psuv,[0]!municipio,$B27,[0]!turno,P$2)</f>
        <v>28</v>
      </c>
      <c r="Q27" s="9">
        <f>SUMIFS([0]!psuv,[0]!municipio,$B27,[0]!turno,Q$2)</f>
        <v>36</v>
      </c>
      <c r="R27" s="9">
        <f>SUMIFS([0]!psuv,[0]!municipio,$B27,[0]!turno,R$2)</f>
        <v>50</v>
      </c>
      <c r="S27" s="9">
        <f>SUMIFS([0]!psuv,[0]!municipio,$B27,[0]!turno,S$2)</f>
        <v>42</v>
      </c>
      <c r="T27" s="9">
        <f>SUMIFS([0]!psuv,[0]!municipio,$B27,[0]!turno,T$2)</f>
        <v>41</v>
      </c>
      <c r="U27" s="9">
        <f>SUMIFS([0]!psuv,[0]!municipio,$B27,[0]!turno,U$2)</f>
        <v>44</v>
      </c>
      <c r="V27" s="9">
        <f>SUMIFS([0]!psuv,[0]!municipio,$B27,[0]!turno,V$2)</f>
        <v>41</v>
      </c>
      <c r="W27" s="25">
        <f>SUMIFS([0]!psuv,[0]!municipio,$B27,[0]!turno,W$2)</f>
        <v>26</v>
      </c>
    </row>
    <row r="28" spans="2:23" x14ac:dyDescent="0.25">
      <c r="B28" s="176" t="s">
        <v>18</v>
      </c>
      <c r="C28" s="171" t="s">
        <v>107</v>
      </c>
      <c r="D28" s="37">
        <f>IF((E27+E28+E29)=0,0,E28/(E27+E28+E29))</f>
        <v>0.36157024793388431</v>
      </c>
      <c r="E28" s="5">
        <f t="shared" si="0"/>
        <v>350</v>
      </c>
      <c r="F28" s="5">
        <f>SUMIFS([0]!mud,[0]!municipio,$B27,[0]!turno,F$2)</f>
        <v>4</v>
      </c>
      <c r="G28" s="5">
        <f>SUMIFS([0]!mud,[0]!municipio,$B27,[0]!turno,G$2)</f>
        <v>10</v>
      </c>
      <c r="H28" s="5">
        <f>SUMIFS([0]!mud,[0]!municipio,$B27,[0]!turno,H$2)</f>
        <v>32</v>
      </c>
      <c r="I28" s="5">
        <f>SUMIFS([0]!mud,[0]!municipio,$B27,[0]!turno,I$2)</f>
        <v>27</v>
      </c>
      <c r="J28" s="5">
        <f>SUMIFS([0]!mud,[0]!municipio,$B27,[0]!turno,J$2)</f>
        <v>23</v>
      </c>
      <c r="K28" s="5">
        <f>SUMIFS([0]!mud,[0]!municipio,$B27,[0]!turno,K$2)</f>
        <v>36</v>
      </c>
      <c r="L28" s="5">
        <f>SUMIFS([0]!mud,[0]!municipio,$B27,[0]!turno,L$2)</f>
        <v>19</v>
      </c>
      <c r="M28" s="5">
        <f>SUMIFS([0]!mud,[0]!municipio,$B27,[0]!turno,M$2)</f>
        <v>15</v>
      </c>
      <c r="N28" s="5">
        <f>SUMIFS([0]!mud,[0]!municipio,$B27,[0]!turno,N$2)</f>
        <v>22</v>
      </c>
      <c r="O28" s="5">
        <f>SUMIFS([0]!mud,[0]!municipio,$B27,[0]!turno,O$2)</f>
        <v>0</v>
      </c>
      <c r="P28" s="5">
        <f>SUMIFS([0]!mud,[0]!municipio,$B27,[0]!turno,P$2)</f>
        <v>16</v>
      </c>
      <c r="Q28" s="5">
        <f>SUMIFS([0]!mud,[0]!municipio,$B27,[0]!turno,Q$2)</f>
        <v>21</v>
      </c>
      <c r="R28" s="5">
        <f>SUMIFS([0]!mud,[0]!municipio,$B27,[0]!turno,R$2)</f>
        <v>20</v>
      </c>
      <c r="S28" s="5">
        <f>SUMIFS([0]!mud,[0]!municipio,$B27,[0]!turno,S$2)</f>
        <v>21</v>
      </c>
      <c r="T28" s="5">
        <f>SUMIFS([0]!mud,[0]!municipio,$B27,[0]!turno,T$2)</f>
        <v>32</v>
      </c>
      <c r="U28" s="5">
        <f>SUMIFS([0]!mud,[0]!municipio,$B27,[0]!turno,U$2)</f>
        <v>21</v>
      </c>
      <c r="V28" s="5">
        <f>SUMIFS([0]!mud,[0]!municipio,$B27,[0]!turno,V$2)</f>
        <v>16</v>
      </c>
      <c r="W28" s="26">
        <f>SUMIFS([0]!mud,[0]!municipio,$B27,[0]!turno,W$2)</f>
        <v>15</v>
      </c>
    </row>
    <row r="29" spans="2:23" ht="15.75" thickBot="1" x14ac:dyDescent="0.3">
      <c r="B29" s="177">
        <v>0.1216248829151876</v>
      </c>
      <c r="C29" s="172" t="s">
        <v>0</v>
      </c>
      <c r="D29" s="38">
        <f>IF((E27+E28+E29)=0,0,E29/(E27+E28+E29))</f>
        <v>2.2727272727272728E-2</v>
      </c>
      <c r="E29" s="11">
        <f t="shared" si="0"/>
        <v>22</v>
      </c>
      <c r="F29" s="11">
        <f>SUMIFS([0]!otro,[0]!municipio,$B27,[0]!turno,F$2)</f>
        <v>1</v>
      </c>
      <c r="G29" s="11">
        <f>SUMIFS([0]!otro,[0]!municipio,$B27,[0]!turno,G$2)</f>
        <v>2</v>
      </c>
      <c r="H29" s="11">
        <f>SUMIFS([0]!otro,[0]!municipio,$B27,[0]!turno,H$2)</f>
        <v>1</v>
      </c>
      <c r="I29" s="11">
        <f>SUMIFS([0]!otro,[0]!municipio,$B27,[0]!turno,I$2)</f>
        <v>2</v>
      </c>
      <c r="J29" s="11">
        <f>SUMIFS([0]!otro,[0]!municipio,$B27,[0]!turno,J$2)</f>
        <v>1</v>
      </c>
      <c r="K29" s="11">
        <f>SUMIFS([0]!otro,[0]!municipio,$B27,[0]!turno,K$2)</f>
        <v>0</v>
      </c>
      <c r="L29" s="11">
        <f>SUMIFS([0]!otro,[0]!municipio,$B27,[0]!turno,L$2)</f>
        <v>3</v>
      </c>
      <c r="M29" s="11">
        <f>SUMIFS([0]!otro,[0]!municipio,$B27,[0]!turno,M$2)</f>
        <v>0</v>
      </c>
      <c r="N29" s="11">
        <f>SUMIFS([0]!otro,[0]!municipio,$B27,[0]!turno,N$2)</f>
        <v>1</v>
      </c>
      <c r="O29" s="11">
        <f>SUMIFS([0]!otro,[0]!municipio,$B27,[0]!turno,O$2)</f>
        <v>0</v>
      </c>
      <c r="P29" s="11">
        <f>SUMIFS([0]!otro,[0]!municipio,$B27,[0]!turno,P$2)</f>
        <v>0</v>
      </c>
      <c r="Q29" s="11">
        <f>SUMIFS([0]!otro,[0]!municipio,$B27,[0]!turno,Q$2)</f>
        <v>0</v>
      </c>
      <c r="R29" s="11">
        <f>SUMIFS([0]!otro,[0]!municipio,$B27,[0]!turno,R$2)</f>
        <v>2</v>
      </c>
      <c r="S29" s="11">
        <f>SUMIFS([0]!otro,[0]!municipio,$B27,[0]!turno,S$2)</f>
        <v>1</v>
      </c>
      <c r="T29" s="11">
        <f>SUMIFS([0]!otro,[0]!municipio,$B27,[0]!turno,T$2)</f>
        <v>1</v>
      </c>
      <c r="U29" s="11">
        <f>SUMIFS([0]!otro,[0]!municipio,$B27,[0]!turno,U$2)</f>
        <v>0</v>
      </c>
      <c r="V29" s="11">
        <f>SUMIFS([0]!otro,[0]!municipio,$B27,[0]!turno,V$2)</f>
        <v>3</v>
      </c>
      <c r="W29" s="27">
        <f>SUMIFS([0]!otro,[0]!municipio,$B27,[0]!turno,W$2)</f>
        <v>4</v>
      </c>
    </row>
    <row r="30" spans="2:23" x14ac:dyDescent="0.25">
      <c r="B30" s="178">
        <v>24</v>
      </c>
      <c r="C30" s="173" t="s">
        <v>106</v>
      </c>
      <c r="D30" s="36">
        <f>IF((E30+E31+E32)=0,0,E30/(E30+E31+E32))</f>
        <v>0.41293532338308458</v>
      </c>
      <c r="E30" s="7">
        <f t="shared" ref="E30:E38" si="1">SUM(F30:W30)</f>
        <v>83</v>
      </c>
      <c r="F30" s="7">
        <f>SUMIFS([0]!psuv,[0]!municipio,$B30,[0]!turno,F$2)</f>
        <v>10</v>
      </c>
      <c r="G30" s="7">
        <f>SUMIFS([0]!psuv,[0]!municipio,$B30,[0]!turno,G$2)</f>
        <v>4</v>
      </c>
      <c r="H30" s="7">
        <f>SUMIFS([0]!psuv,[0]!municipio,$B30,[0]!turno,H$2)</f>
        <v>6</v>
      </c>
      <c r="I30" s="7">
        <f>SUMIFS([0]!psuv,[0]!municipio,$B30,[0]!turno,I$2)</f>
        <v>10</v>
      </c>
      <c r="J30" s="7">
        <f>SUMIFS([0]!psuv,[0]!municipio,$B30,[0]!turno,J$2)</f>
        <v>4</v>
      </c>
      <c r="K30" s="7">
        <f>SUMIFS([0]!psuv,[0]!municipio,$B30,[0]!turno,K$2)</f>
        <v>8</v>
      </c>
      <c r="L30" s="7">
        <f>SUMIFS([0]!psuv,[0]!municipio,$B30,[0]!turno,L$2)</f>
        <v>9</v>
      </c>
      <c r="M30" s="7">
        <f>SUMIFS([0]!psuv,[0]!municipio,$B30,[0]!turno,M$2)</f>
        <v>3</v>
      </c>
      <c r="N30" s="7">
        <f>SUMIFS([0]!psuv,[0]!municipio,$B30,[0]!turno,N$2)</f>
        <v>4</v>
      </c>
      <c r="O30" s="7">
        <f>SUMIFS([0]!psuv,[0]!municipio,$B30,[0]!turno,O$2)</f>
        <v>0</v>
      </c>
      <c r="P30" s="7">
        <f>SUMIFS([0]!psuv,[0]!municipio,$B30,[0]!turno,P$2)</f>
        <v>6</v>
      </c>
      <c r="Q30" s="7">
        <f>SUMIFS([0]!psuv,[0]!municipio,$B30,[0]!turno,Q$2)</f>
        <v>8</v>
      </c>
      <c r="R30" s="7">
        <f>SUMIFS([0]!psuv,[0]!municipio,$B30,[0]!turno,R$2)</f>
        <v>6</v>
      </c>
      <c r="S30" s="7">
        <f>SUMIFS([0]!psuv,[0]!municipio,$B30,[0]!turno,S$2)</f>
        <v>0</v>
      </c>
      <c r="T30" s="7">
        <f>SUMIFS([0]!psuv,[0]!municipio,$B30,[0]!turno,T$2)</f>
        <v>2</v>
      </c>
      <c r="U30" s="7">
        <f>SUMIFS([0]!psuv,[0]!municipio,$B30,[0]!turno,U$2)</f>
        <v>0</v>
      </c>
      <c r="V30" s="7">
        <f>SUMIFS([0]!psuv,[0]!municipio,$B30,[0]!turno,V$2)</f>
        <v>3</v>
      </c>
      <c r="W30" s="28">
        <f>SUMIFS([0]!psuv,[0]!municipio,$B30,[0]!turno,W$2)</f>
        <v>0</v>
      </c>
    </row>
    <row r="31" spans="2:23" x14ac:dyDescent="0.25">
      <c r="B31" s="179" t="s">
        <v>114</v>
      </c>
      <c r="C31" s="171" t="s">
        <v>107</v>
      </c>
      <c r="D31" s="37">
        <f>IF((E30+E31+E32)=0,0,E31/(E30+E31+E32))</f>
        <v>0.57711442786069655</v>
      </c>
      <c r="E31" s="5">
        <f t="shared" si="1"/>
        <v>116</v>
      </c>
      <c r="F31" s="5">
        <f>SUMIFS([0]!mud,[0]!municipio,$B30,[0]!turno,F$2)</f>
        <v>10</v>
      </c>
      <c r="G31" s="5">
        <f>SUMIFS([0]!mud,[0]!municipio,$B30,[0]!turno,G$2)</f>
        <v>16</v>
      </c>
      <c r="H31" s="5">
        <f>SUMIFS([0]!mud,[0]!municipio,$B30,[0]!turno,H$2)</f>
        <v>10</v>
      </c>
      <c r="I31" s="5">
        <f>SUMIFS([0]!mud,[0]!municipio,$B30,[0]!turno,I$2)</f>
        <v>10</v>
      </c>
      <c r="J31" s="5">
        <f>SUMIFS([0]!mud,[0]!municipio,$B30,[0]!turno,J$2)</f>
        <v>16</v>
      </c>
      <c r="K31" s="5">
        <f>SUMIFS([0]!mud,[0]!municipio,$B30,[0]!turno,K$2)</f>
        <v>12</v>
      </c>
      <c r="L31" s="5">
        <f>SUMIFS([0]!mud,[0]!municipio,$B30,[0]!turno,L$2)</f>
        <v>11</v>
      </c>
      <c r="M31" s="5">
        <f>SUMIFS([0]!mud,[0]!municipio,$B30,[0]!turno,M$2)</f>
        <v>5</v>
      </c>
      <c r="N31" s="5">
        <f>SUMIFS([0]!mud,[0]!municipio,$B30,[0]!turno,N$2)</f>
        <v>3</v>
      </c>
      <c r="O31" s="5">
        <f>SUMIFS([0]!mud,[0]!municipio,$B30,[0]!turno,O$2)</f>
        <v>0</v>
      </c>
      <c r="P31" s="5">
        <f>SUMIFS([0]!mud,[0]!municipio,$B30,[0]!turno,P$2)</f>
        <v>3</v>
      </c>
      <c r="Q31" s="5">
        <f>SUMIFS([0]!mud,[0]!municipio,$B30,[0]!turno,Q$2)</f>
        <v>3</v>
      </c>
      <c r="R31" s="5">
        <f>SUMIFS([0]!mud,[0]!municipio,$B30,[0]!turno,R$2)</f>
        <v>4</v>
      </c>
      <c r="S31" s="5">
        <f>SUMIFS([0]!mud,[0]!municipio,$B30,[0]!turno,S$2)</f>
        <v>0</v>
      </c>
      <c r="T31" s="5">
        <f>SUMIFS([0]!mud,[0]!municipio,$B30,[0]!turno,T$2)</f>
        <v>7</v>
      </c>
      <c r="U31" s="5">
        <f>SUMIFS([0]!mud,[0]!municipio,$B30,[0]!turno,U$2)</f>
        <v>0</v>
      </c>
      <c r="V31" s="5">
        <f>SUMIFS([0]!mud,[0]!municipio,$B30,[0]!turno,V$2)</f>
        <v>4</v>
      </c>
      <c r="W31" s="26">
        <f>SUMIFS([0]!mud,[0]!municipio,$B30,[0]!turno,W$2)</f>
        <v>2</v>
      </c>
    </row>
    <row r="32" spans="2:23" ht="15.75" thickBot="1" x14ac:dyDescent="0.3">
      <c r="B32" s="180">
        <v>2.2452544242571065E-2</v>
      </c>
      <c r="C32" s="174" t="s">
        <v>0</v>
      </c>
      <c r="D32" s="38">
        <f>IF((E30+E31+E32)=0,0,E32/(E30+E31+E32))</f>
        <v>9.9502487562189053E-3</v>
      </c>
      <c r="E32" s="13">
        <f t="shared" si="1"/>
        <v>2</v>
      </c>
      <c r="F32" s="13">
        <f>SUMIFS([0]!otro,[0]!municipio,$B30,[0]!turno,F$2)</f>
        <v>0</v>
      </c>
      <c r="G32" s="13">
        <f>SUMIFS([0]!otro,[0]!municipio,$B30,[0]!turno,G$2)</f>
        <v>0</v>
      </c>
      <c r="H32" s="13">
        <f>SUMIFS([0]!otro,[0]!municipio,$B30,[0]!turno,H$2)</f>
        <v>0</v>
      </c>
      <c r="I32" s="13">
        <f>SUMIFS([0]!otro,[0]!municipio,$B30,[0]!turno,I$2)</f>
        <v>0</v>
      </c>
      <c r="J32" s="13">
        <f>SUMIFS([0]!otro,[0]!municipio,$B30,[0]!turno,J$2)</f>
        <v>0</v>
      </c>
      <c r="K32" s="13">
        <f>SUMIFS([0]!otro,[0]!municipio,$B30,[0]!turno,K$2)</f>
        <v>0</v>
      </c>
      <c r="L32" s="13">
        <f>SUMIFS([0]!otro,[0]!municipio,$B30,[0]!turno,L$2)</f>
        <v>0</v>
      </c>
      <c r="M32" s="13">
        <f>SUMIFS([0]!otro,[0]!municipio,$B30,[0]!turno,M$2)</f>
        <v>0</v>
      </c>
      <c r="N32" s="13">
        <f>SUMIFS([0]!otro,[0]!municipio,$B30,[0]!turno,N$2)</f>
        <v>0</v>
      </c>
      <c r="O32" s="13">
        <f>SUMIFS([0]!otro,[0]!municipio,$B30,[0]!turno,O$2)</f>
        <v>0</v>
      </c>
      <c r="P32" s="13">
        <f>SUMIFS([0]!otro,[0]!municipio,$B30,[0]!turno,P$2)</f>
        <v>0</v>
      </c>
      <c r="Q32" s="13">
        <f>SUMIFS([0]!otro,[0]!municipio,$B30,[0]!turno,Q$2)</f>
        <v>0</v>
      </c>
      <c r="R32" s="13">
        <f>SUMIFS([0]!otro,[0]!municipio,$B30,[0]!turno,R$2)</f>
        <v>0</v>
      </c>
      <c r="S32" s="13">
        <f>SUMIFS([0]!otro,[0]!municipio,$B30,[0]!turno,S$2)</f>
        <v>0</v>
      </c>
      <c r="T32" s="13">
        <f>SUMIFS([0]!otro,[0]!municipio,$B30,[0]!turno,T$2)</f>
        <v>0</v>
      </c>
      <c r="U32" s="13">
        <f>SUMIFS([0]!otro,[0]!municipio,$B30,[0]!turno,U$2)</f>
        <v>0</v>
      </c>
      <c r="V32" s="13">
        <f>SUMIFS([0]!otro,[0]!municipio,$B30,[0]!turno,V$2)</f>
        <v>2</v>
      </c>
      <c r="W32" s="29">
        <f>SUMIFS([0]!otro,[0]!municipio,$B30,[0]!turno,W$2)</f>
        <v>0</v>
      </c>
    </row>
    <row r="33" spans="2:23" x14ac:dyDescent="0.25">
      <c r="B33" s="175">
        <v>25</v>
      </c>
      <c r="C33" s="170" t="s">
        <v>106</v>
      </c>
      <c r="D33" s="36">
        <f>IF((E33+E34+E35)=0,0,E33/(E33+E34+E35))</f>
        <v>0.25</v>
      </c>
      <c r="E33" s="9">
        <f t="shared" si="1"/>
        <v>10</v>
      </c>
      <c r="F33" s="9">
        <f>SUMIFS([0]!psuv,[0]!municipio,$B33,[0]!turno,F$2)</f>
        <v>0</v>
      </c>
      <c r="G33" s="9">
        <f>SUMIFS([0]!psuv,[0]!municipio,$B33,[0]!turno,G$2)</f>
        <v>0</v>
      </c>
      <c r="H33" s="9">
        <f>SUMIFS([0]!psuv,[0]!municipio,$B33,[0]!turno,H$2)</f>
        <v>0</v>
      </c>
      <c r="I33" s="9">
        <f>SUMIFS([0]!psuv,[0]!municipio,$B33,[0]!turno,I$2)</f>
        <v>0</v>
      </c>
      <c r="J33" s="9">
        <f>SUMIFS([0]!psuv,[0]!municipio,$B33,[0]!turno,J$2)</f>
        <v>0</v>
      </c>
      <c r="K33" s="9">
        <f>SUMIFS([0]!psuv,[0]!municipio,$B33,[0]!turno,K$2)</f>
        <v>0</v>
      </c>
      <c r="L33" s="9">
        <f>SUMIFS([0]!psuv,[0]!municipio,$B33,[0]!turno,L$2)</f>
        <v>0</v>
      </c>
      <c r="M33" s="9">
        <f>SUMIFS([0]!psuv,[0]!municipio,$B33,[0]!turno,M$2)</f>
        <v>2</v>
      </c>
      <c r="N33" s="9">
        <f>SUMIFS([0]!psuv,[0]!municipio,$B33,[0]!turno,N$2)</f>
        <v>5</v>
      </c>
      <c r="O33" s="9">
        <f>SUMIFS([0]!psuv,[0]!municipio,$B33,[0]!turno,O$2)</f>
        <v>0</v>
      </c>
      <c r="P33" s="9">
        <f>SUMIFS([0]!psuv,[0]!municipio,$B33,[0]!turno,P$2)</f>
        <v>0</v>
      </c>
      <c r="Q33" s="9">
        <f>SUMIFS([0]!psuv,[0]!municipio,$B33,[0]!turno,Q$2)</f>
        <v>1</v>
      </c>
      <c r="R33" s="9">
        <f>SUMIFS([0]!psuv,[0]!municipio,$B33,[0]!turno,R$2)</f>
        <v>0</v>
      </c>
      <c r="S33" s="9">
        <f>SUMIFS([0]!psuv,[0]!municipio,$B33,[0]!turno,S$2)</f>
        <v>0</v>
      </c>
      <c r="T33" s="9">
        <f>SUMIFS([0]!psuv,[0]!municipio,$B33,[0]!turno,T$2)</f>
        <v>2</v>
      </c>
      <c r="U33" s="9">
        <f>SUMIFS([0]!psuv,[0]!municipio,$B33,[0]!turno,U$2)</f>
        <v>0</v>
      </c>
      <c r="V33" s="9">
        <f>SUMIFS([0]!psuv,[0]!municipio,$B33,[0]!turno,V$2)</f>
        <v>0</v>
      </c>
      <c r="W33" s="25">
        <f>SUMIFS([0]!psuv,[0]!municipio,$B33,[0]!turno,W$2)</f>
        <v>0</v>
      </c>
    </row>
    <row r="34" spans="2:23" x14ac:dyDescent="0.25">
      <c r="B34" s="176" t="s">
        <v>19</v>
      </c>
      <c r="C34" s="171" t="s">
        <v>107</v>
      </c>
      <c r="D34" s="37">
        <f>IF((E33+E34+E35)=0,0,E34/(E33+E34+E35))</f>
        <v>0.7</v>
      </c>
      <c r="E34" s="5">
        <f t="shared" si="1"/>
        <v>28</v>
      </c>
      <c r="F34" s="5">
        <f>SUMIFS([0]!mud,[0]!municipio,$B33,[0]!turno,F$2)</f>
        <v>0</v>
      </c>
      <c r="G34" s="5">
        <f>SUMIFS([0]!mud,[0]!municipio,$B33,[0]!turno,G$2)</f>
        <v>0</v>
      </c>
      <c r="H34" s="5">
        <f>SUMIFS([0]!mud,[0]!municipio,$B33,[0]!turno,H$2)</f>
        <v>0</v>
      </c>
      <c r="I34" s="5">
        <f>SUMIFS([0]!mud,[0]!municipio,$B33,[0]!turno,I$2)</f>
        <v>0</v>
      </c>
      <c r="J34" s="5">
        <f>SUMIFS([0]!mud,[0]!municipio,$B33,[0]!turno,J$2)</f>
        <v>0</v>
      </c>
      <c r="K34" s="5">
        <f>SUMIFS([0]!mud,[0]!municipio,$B33,[0]!turno,K$2)</f>
        <v>0</v>
      </c>
      <c r="L34" s="5">
        <f>SUMIFS([0]!mud,[0]!municipio,$B33,[0]!turno,L$2)</f>
        <v>0</v>
      </c>
      <c r="M34" s="5">
        <f>SUMIFS([0]!mud,[0]!municipio,$B33,[0]!turno,M$2)</f>
        <v>5</v>
      </c>
      <c r="N34" s="5">
        <f>SUMIFS([0]!mud,[0]!municipio,$B33,[0]!turno,N$2)</f>
        <v>8</v>
      </c>
      <c r="O34" s="5">
        <f>SUMIFS([0]!mud,[0]!municipio,$B33,[0]!turno,O$2)</f>
        <v>0</v>
      </c>
      <c r="P34" s="5">
        <f>SUMIFS([0]!mud,[0]!municipio,$B33,[0]!turno,P$2)</f>
        <v>4</v>
      </c>
      <c r="Q34" s="5">
        <f>SUMIFS([0]!mud,[0]!municipio,$B33,[0]!turno,Q$2)</f>
        <v>3</v>
      </c>
      <c r="R34" s="5">
        <f>SUMIFS([0]!mud,[0]!municipio,$B33,[0]!turno,R$2)</f>
        <v>0</v>
      </c>
      <c r="S34" s="5">
        <f>SUMIFS([0]!mud,[0]!municipio,$B33,[0]!turno,S$2)</f>
        <v>1</v>
      </c>
      <c r="T34" s="5">
        <f>SUMIFS([0]!mud,[0]!municipio,$B33,[0]!turno,T$2)</f>
        <v>4</v>
      </c>
      <c r="U34" s="5">
        <f>SUMIFS([0]!mud,[0]!municipio,$B33,[0]!turno,U$2)</f>
        <v>3</v>
      </c>
      <c r="V34" s="5">
        <f>SUMIFS([0]!mud,[0]!municipio,$B33,[0]!turno,V$2)</f>
        <v>0</v>
      </c>
      <c r="W34" s="26">
        <f>SUMIFS([0]!mud,[0]!municipio,$B33,[0]!turno,W$2)</f>
        <v>0</v>
      </c>
    </row>
    <row r="35" spans="2:23" ht="15.75" thickBot="1" x14ac:dyDescent="0.3">
      <c r="B35" s="177">
        <v>7.6513595708107673E-2</v>
      </c>
      <c r="C35" s="172" t="s">
        <v>0</v>
      </c>
      <c r="D35" s="38">
        <f>IF((E33+E34+E35)=0,0,E35/(E33+E34+E35))</f>
        <v>0.05</v>
      </c>
      <c r="E35" s="11">
        <f t="shared" si="1"/>
        <v>2</v>
      </c>
      <c r="F35" s="11">
        <f>SUMIFS([0]!otro,[0]!municipio,$B33,[0]!turno,F$2)</f>
        <v>0</v>
      </c>
      <c r="G35" s="11">
        <f>SUMIFS([0]!otro,[0]!municipio,$B33,[0]!turno,G$2)</f>
        <v>0</v>
      </c>
      <c r="H35" s="11">
        <f>SUMIFS([0]!otro,[0]!municipio,$B33,[0]!turno,H$2)</f>
        <v>0</v>
      </c>
      <c r="I35" s="11">
        <f>SUMIFS([0]!otro,[0]!municipio,$B33,[0]!turno,I$2)</f>
        <v>0</v>
      </c>
      <c r="J35" s="11">
        <f>SUMIFS([0]!otro,[0]!municipio,$B33,[0]!turno,J$2)</f>
        <v>0</v>
      </c>
      <c r="K35" s="11">
        <f>SUMIFS([0]!otro,[0]!municipio,$B33,[0]!turno,K$2)</f>
        <v>0</v>
      </c>
      <c r="L35" s="11">
        <f>SUMIFS([0]!otro,[0]!municipio,$B33,[0]!turno,L$2)</f>
        <v>0</v>
      </c>
      <c r="M35" s="11">
        <f>SUMIFS([0]!otro,[0]!municipio,$B33,[0]!turno,M$2)</f>
        <v>0</v>
      </c>
      <c r="N35" s="11">
        <f>SUMIFS([0]!otro,[0]!municipio,$B33,[0]!turno,N$2)</f>
        <v>0</v>
      </c>
      <c r="O35" s="11">
        <f>SUMIFS([0]!otro,[0]!municipio,$B33,[0]!turno,O$2)</f>
        <v>0</v>
      </c>
      <c r="P35" s="11">
        <f>SUMIFS([0]!otro,[0]!municipio,$B33,[0]!turno,P$2)</f>
        <v>0</v>
      </c>
      <c r="Q35" s="11">
        <f>SUMIFS([0]!otro,[0]!municipio,$B33,[0]!turno,Q$2)</f>
        <v>0</v>
      </c>
      <c r="R35" s="11">
        <f>SUMIFS([0]!otro,[0]!municipio,$B33,[0]!turno,R$2)</f>
        <v>2</v>
      </c>
      <c r="S35" s="11">
        <f>SUMIFS([0]!otro,[0]!municipio,$B33,[0]!turno,S$2)</f>
        <v>0</v>
      </c>
      <c r="T35" s="11">
        <f>SUMIFS([0]!otro,[0]!municipio,$B33,[0]!turno,T$2)</f>
        <v>0</v>
      </c>
      <c r="U35" s="11">
        <f>SUMIFS([0]!otro,[0]!municipio,$B33,[0]!turno,U$2)</f>
        <v>0</v>
      </c>
      <c r="V35" s="11">
        <f>SUMIFS([0]!otro,[0]!municipio,$B33,[0]!turno,V$2)</f>
        <v>0</v>
      </c>
      <c r="W35" s="27">
        <f>SUMIFS([0]!otro,[0]!municipio,$B33,[0]!turno,W$2)</f>
        <v>0</v>
      </c>
    </row>
    <row r="36" spans="2:23" x14ac:dyDescent="0.25">
      <c r="B36" s="178">
        <v>26</v>
      </c>
      <c r="C36" s="173" t="s">
        <v>106</v>
      </c>
      <c r="D36" s="36">
        <f>IF((E36+E37+E38)=0,0,E36/(E36+E37+E38))</f>
        <v>0.54059829059829057</v>
      </c>
      <c r="E36" s="7">
        <f t="shared" si="1"/>
        <v>253</v>
      </c>
      <c r="F36" s="7">
        <f>SUMIFS([0]!psuv,[0]!municipio,$B36,[0]!turno,F$2)</f>
        <v>5</v>
      </c>
      <c r="G36" s="7">
        <f>SUMIFS([0]!psuv,[0]!municipio,$B36,[0]!turno,G$2)</f>
        <v>0</v>
      </c>
      <c r="H36" s="7">
        <f>SUMIFS([0]!psuv,[0]!municipio,$B36,[0]!turno,H$2)</f>
        <v>10</v>
      </c>
      <c r="I36" s="7">
        <f>SUMIFS([0]!psuv,[0]!municipio,$B36,[0]!turno,I$2)</f>
        <v>20</v>
      </c>
      <c r="J36" s="7">
        <f>SUMIFS([0]!psuv,[0]!municipio,$B36,[0]!turno,J$2)</f>
        <v>6</v>
      </c>
      <c r="K36" s="7">
        <f>SUMIFS([0]!psuv,[0]!municipio,$B36,[0]!turno,K$2)</f>
        <v>33</v>
      </c>
      <c r="L36" s="7">
        <f>SUMIFS([0]!psuv,[0]!municipio,$B36,[0]!turno,L$2)</f>
        <v>15</v>
      </c>
      <c r="M36" s="7">
        <f>SUMIFS([0]!psuv,[0]!municipio,$B36,[0]!turno,M$2)</f>
        <v>12</v>
      </c>
      <c r="N36" s="7">
        <f>SUMIFS([0]!psuv,[0]!municipio,$B36,[0]!turno,N$2)</f>
        <v>18</v>
      </c>
      <c r="O36" s="7">
        <f>SUMIFS([0]!psuv,[0]!municipio,$B36,[0]!turno,O$2)</f>
        <v>0</v>
      </c>
      <c r="P36" s="7">
        <f>SUMIFS([0]!psuv,[0]!municipio,$B36,[0]!turno,P$2)</f>
        <v>20</v>
      </c>
      <c r="Q36" s="7">
        <f>SUMIFS([0]!psuv,[0]!municipio,$B36,[0]!turno,Q$2)</f>
        <v>19</v>
      </c>
      <c r="R36" s="7">
        <f>SUMIFS([0]!psuv,[0]!municipio,$B36,[0]!turno,R$2)</f>
        <v>21</v>
      </c>
      <c r="S36" s="7">
        <f>SUMIFS([0]!psuv,[0]!municipio,$B36,[0]!turno,S$2)</f>
        <v>16</v>
      </c>
      <c r="T36" s="7">
        <f>SUMIFS([0]!psuv,[0]!municipio,$B36,[0]!turno,T$2)</f>
        <v>16</v>
      </c>
      <c r="U36" s="7">
        <f>SUMIFS([0]!psuv,[0]!municipio,$B36,[0]!turno,U$2)</f>
        <v>17</v>
      </c>
      <c r="V36" s="7">
        <f>SUMIFS([0]!psuv,[0]!municipio,$B36,[0]!turno,V$2)</f>
        <v>12</v>
      </c>
      <c r="W36" s="28">
        <f>SUMIFS([0]!psuv,[0]!municipio,$B36,[0]!turno,W$2)</f>
        <v>13</v>
      </c>
    </row>
    <row r="37" spans="2:23" x14ac:dyDescent="0.25">
      <c r="B37" s="179" t="s">
        <v>20</v>
      </c>
      <c r="C37" s="171" t="s">
        <v>107</v>
      </c>
      <c r="D37" s="37">
        <f>IF((E36+E37+E38)=0,0,E37/(E36+E37+E38))</f>
        <v>0.45299145299145299</v>
      </c>
      <c r="E37" s="5">
        <f t="shared" si="1"/>
        <v>212</v>
      </c>
      <c r="F37" s="5">
        <f>SUMIFS([0]!mud,[0]!municipio,$B36,[0]!turno,F$2)</f>
        <v>3</v>
      </c>
      <c r="G37" s="5">
        <f>SUMIFS([0]!mud,[0]!municipio,$B36,[0]!turno,G$2)</f>
        <v>0</v>
      </c>
      <c r="H37" s="5">
        <f>SUMIFS([0]!mud,[0]!municipio,$B36,[0]!turno,H$2)</f>
        <v>15</v>
      </c>
      <c r="I37" s="5">
        <f>SUMIFS([0]!mud,[0]!municipio,$B36,[0]!turno,I$2)</f>
        <v>10</v>
      </c>
      <c r="J37" s="5">
        <f>SUMIFS([0]!mud,[0]!municipio,$B36,[0]!turno,J$2)</f>
        <v>11</v>
      </c>
      <c r="K37" s="5">
        <f>SUMIFS([0]!mud,[0]!municipio,$B36,[0]!turno,K$2)</f>
        <v>11</v>
      </c>
      <c r="L37" s="5">
        <f>SUMIFS([0]!mud,[0]!municipio,$B36,[0]!turno,L$2)</f>
        <v>13</v>
      </c>
      <c r="M37" s="5">
        <f>SUMIFS([0]!mud,[0]!municipio,$B36,[0]!turno,M$2)</f>
        <v>15</v>
      </c>
      <c r="N37" s="5">
        <f>SUMIFS([0]!mud,[0]!municipio,$B36,[0]!turno,N$2)</f>
        <v>15</v>
      </c>
      <c r="O37" s="5">
        <f>SUMIFS([0]!mud,[0]!municipio,$B36,[0]!turno,O$2)</f>
        <v>0</v>
      </c>
      <c r="P37" s="5">
        <f>SUMIFS([0]!mud,[0]!municipio,$B36,[0]!turno,P$2)</f>
        <v>15</v>
      </c>
      <c r="Q37" s="5">
        <f>SUMIFS([0]!mud,[0]!municipio,$B36,[0]!turno,Q$2)</f>
        <v>15</v>
      </c>
      <c r="R37" s="5">
        <f>SUMIFS([0]!mud,[0]!municipio,$B36,[0]!turno,R$2)</f>
        <v>17</v>
      </c>
      <c r="S37" s="5">
        <f>SUMIFS([0]!mud,[0]!municipio,$B36,[0]!turno,S$2)</f>
        <v>16</v>
      </c>
      <c r="T37" s="5">
        <f>SUMIFS([0]!mud,[0]!municipio,$B36,[0]!turno,T$2)</f>
        <v>17</v>
      </c>
      <c r="U37" s="5">
        <f>SUMIFS([0]!mud,[0]!municipio,$B36,[0]!turno,U$2)</f>
        <v>12</v>
      </c>
      <c r="V37" s="5">
        <f>SUMIFS([0]!mud,[0]!municipio,$B36,[0]!turno,V$2)</f>
        <v>13</v>
      </c>
      <c r="W37" s="26">
        <f>SUMIFS([0]!mud,[0]!municipio,$B36,[0]!turno,W$2)</f>
        <v>14</v>
      </c>
    </row>
    <row r="38" spans="2:23" ht="15.75" thickBot="1" x14ac:dyDescent="0.3">
      <c r="B38" s="177">
        <v>8.6220654824264137E-2</v>
      </c>
      <c r="C38" s="172" t="s">
        <v>0</v>
      </c>
      <c r="D38" s="38">
        <f>IF((E36+E37+E38)=0,0,E38/(E36+E37+E38))</f>
        <v>6.41025641025641E-3</v>
      </c>
      <c r="E38" s="11">
        <f t="shared" si="1"/>
        <v>3</v>
      </c>
      <c r="F38" s="11">
        <f>SUMIFS([0]!otro,[0]!municipio,$B36,[0]!turno,F$2)</f>
        <v>0</v>
      </c>
      <c r="G38" s="11">
        <f>SUMIFS([0]!otro,[0]!municipio,$B36,[0]!turno,G$2)</f>
        <v>0</v>
      </c>
      <c r="H38" s="11">
        <f>SUMIFS([0]!otro,[0]!municipio,$B36,[0]!turno,H$2)</f>
        <v>1</v>
      </c>
      <c r="I38" s="11">
        <f>SUMIFS([0]!otro,[0]!municipio,$B36,[0]!turno,I$2)</f>
        <v>1</v>
      </c>
      <c r="J38" s="11">
        <f>SUMIFS([0]!otro,[0]!municipio,$B36,[0]!turno,J$2)</f>
        <v>0</v>
      </c>
      <c r="K38" s="11">
        <f>SUMIFS([0]!otro,[0]!municipio,$B36,[0]!turno,K$2)</f>
        <v>1</v>
      </c>
      <c r="L38" s="11">
        <f>SUMIFS([0]!otro,[0]!municipio,$B36,[0]!turno,L$2)</f>
        <v>0</v>
      </c>
      <c r="M38" s="11">
        <f>SUMIFS([0]!otro,[0]!municipio,$B36,[0]!turno,M$2)</f>
        <v>0</v>
      </c>
      <c r="N38" s="11">
        <f>SUMIFS([0]!otro,[0]!municipio,$B36,[0]!turno,N$2)</f>
        <v>0</v>
      </c>
      <c r="O38" s="11">
        <f>SUMIFS([0]!otro,[0]!municipio,$B36,[0]!turno,O$2)</f>
        <v>0</v>
      </c>
      <c r="P38" s="11">
        <f>SUMIFS([0]!otro,[0]!municipio,$B36,[0]!turno,P$2)</f>
        <v>0</v>
      </c>
      <c r="Q38" s="11">
        <f>SUMIFS([0]!otro,[0]!municipio,$B36,[0]!turno,Q$2)</f>
        <v>0</v>
      </c>
      <c r="R38" s="11">
        <f>SUMIFS([0]!otro,[0]!municipio,$B36,[0]!turno,R$2)</f>
        <v>0</v>
      </c>
      <c r="S38" s="11">
        <f>SUMIFS([0]!otro,[0]!municipio,$B36,[0]!turno,S$2)</f>
        <v>0</v>
      </c>
      <c r="T38" s="11">
        <f>SUMIFS([0]!otro,[0]!municipio,$B36,[0]!turno,T$2)</f>
        <v>0</v>
      </c>
      <c r="U38" s="11">
        <f>SUMIFS([0]!otro,[0]!municipio,$B36,[0]!turno,U$2)</f>
        <v>0</v>
      </c>
      <c r="V38" s="11">
        <f>SUMIFS([0]!otro,[0]!municipio,$B36,[0]!turno,V$2)</f>
        <v>0</v>
      </c>
      <c r="W38" s="27">
        <f>SUMIFS([0]!otro,[0]!municipio,$B36,[0]!turno,W$2)</f>
        <v>0</v>
      </c>
    </row>
    <row r="39" spans="2:23" x14ac:dyDescent="0.25">
      <c r="B39"/>
      <c r="C39"/>
    </row>
    <row r="40" spans="2:23" x14ac:dyDescent="0.25">
      <c r="B40"/>
      <c r="C40"/>
    </row>
    <row r="41" spans="2:23" x14ac:dyDescent="0.25">
      <c r="B41"/>
      <c r="C41"/>
    </row>
    <row r="42" spans="2:23" x14ac:dyDescent="0.25">
      <c r="B42"/>
      <c r="C42"/>
    </row>
    <row r="43" spans="2:23" x14ac:dyDescent="0.25">
      <c r="B43"/>
      <c r="C43"/>
    </row>
    <row r="44" spans="2:23" x14ac:dyDescent="0.25">
      <c r="B44"/>
      <c r="C44"/>
    </row>
    <row r="45" spans="2:23" x14ac:dyDescent="0.25">
      <c r="B45"/>
      <c r="C45"/>
    </row>
    <row r="46" spans="2:23" x14ac:dyDescent="0.25">
      <c r="B46"/>
      <c r="C46"/>
    </row>
    <row r="47" spans="2:23" x14ac:dyDescent="0.25">
      <c r="B47"/>
      <c r="C47"/>
    </row>
    <row r="48" spans="2:2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ht="15.75" customHeight="1" x14ac:dyDescent="0.25">
      <c r="B146"/>
      <c r="C146"/>
    </row>
    <row r="147" spans="2:3" ht="15.75" customHeight="1" x14ac:dyDescent="0.25">
      <c r="B147"/>
      <c r="C147"/>
    </row>
    <row r="148" spans="2:3" ht="15.75" customHeight="1" x14ac:dyDescent="0.25">
      <c r="B148"/>
      <c r="C148"/>
    </row>
    <row r="149" spans="2:3" ht="15.75" customHeight="1" x14ac:dyDescent="0.25">
      <c r="B149"/>
      <c r="C149"/>
    </row>
    <row r="150" spans="2:3" ht="15.75" customHeight="1" x14ac:dyDescent="0.25">
      <c r="B150"/>
      <c r="C150"/>
    </row>
    <row r="151" spans="2:3" ht="15.75" customHeight="1" x14ac:dyDescent="0.25">
      <c r="B151"/>
      <c r="C151"/>
    </row>
    <row r="152" spans="2:3" ht="15.75" customHeight="1" x14ac:dyDescent="0.25">
      <c r="B152"/>
      <c r="C152"/>
    </row>
    <row r="153" spans="2:3" ht="15.75" customHeight="1" x14ac:dyDescent="0.25">
      <c r="B153"/>
      <c r="C153"/>
    </row>
    <row r="154" spans="2:3" ht="15.75" customHeight="1" x14ac:dyDescent="0.25">
      <c r="B154"/>
      <c r="C154"/>
    </row>
    <row r="155" spans="2:3" ht="15.75" customHeight="1" x14ac:dyDescent="0.25">
      <c r="B155"/>
      <c r="C155"/>
    </row>
    <row r="156" spans="2:3" ht="15.75" customHeight="1" x14ac:dyDescent="0.25">
      <c r="B156"/>
      <c r="C156"/>
    </row>
    <row r="157" spans="2:3" ht="15.75" customHeight="1" x14ac:dyDescent="0.25">
      <c r="B157"/>
      <c r="C157"/>
    </row>
    <row r="158" spans="2:3" ht="15.75" customHeight="1" x14ac:dyDescent="0.25">
      <c r="B158"/>
      <c r="C158"/>
    </row>
    <row r="159" spans="2:3" ht="15.75" customHeight="1" x14ac:dyDescent="0.25">
      <c r="B159"/>
      <c r="C159"/>
    </row>
    <row r="160" spans="2:3" ht="15.75" customHeight="1" x14ac:dyDescent="0.25">
      <c r="B160"/>
      <c r="C160"/>
    </row>
    <row r="161" spans="2:3" ht="15.75" customHeight="1" x14ac:dyDescent="0.25">
      <c r="B161"/>
      <c r="C161"/>
    </row>
    <row r="162" spans="2:3" ht="15.75" customHeight="1" x14ac:dyDescent="0.25">
      <c r="B162"/>
      <c r="C162"/>
    </row>
    <row r="163" spans="2:3" ht="15.75" customHeight="1" x14ac:dyDescent="0.25">
      <c r="B163"/>
      <c r="C163"/>
    </row>
    <row r="164" spans="2:3" ht="15.75" customHeight="1" x14ac:dyDescent="0.25">
      <c r="B164"/>
      <c r="C164"/>
    </row>
    <row r="165" spans="2:3" ht="15.75" customHeight="1" x14ac:dyDescent="0.25">
      <c r="B165"/>
      <c r="C165"/>
    </row>
    <row r="166" spans="2:3" ht="15.75" customHeight="1" x14ac:dyDescent="0.25">
      <c r="B166"/>
      <c r="C166"/>
    </row>
    <row r="167" spans="2:3" ht="15.75" customHeight="1" x14ac:dyDescent="0.25">
      <c r="B167"/>
      <c r="C167"/>
    </row>
    <row r="168" spans="2:3" ht="15.75" customHeight="1" x14ac:dyDescent="0.25">
      <c r="B168"/>
      <c r="C168"/>
    </row>
    <row r="169" spans="2:3" ht="15.75" customHeight="1" x14ac:dyDescent="0.25">
      <c r="B169"/>
      <c r="C169"/>
    </row>
    <row r="170" spans="2:3" ht="15.75" customHeight="1" x14ac:dyDescent="0.25">
      <c r="B170"/>
      <c r="C170"/>
    </row>
    <row r="171" spans="2:3" ht="15.75" customHeight="1" x14ac:dyDescent="0.25">
      <c r="B171"/>
      <c r="C171"/>
    </row>
    <row r="172" spans="2:3" ht="15.75" customHeight="1" x14ac:dyDescent="0.25">
      <c r="B172"/>
      <c r="C172"/>
    </row>
    <row r="173" spans="2:3" ht="15.75" customHeight="1" x14ac:dyDescent="0.25">
      <c r="B173"/>
      <c r="C173"/>
    </row>
    <row r="174" spans="2:3" ht="15.75" customHeight="1" x14ac:dyDescent="0.25">
      <c r="B174"/>
      <c r="C174"/>
    </row>
    <row r="175" spans="2:3" ht="15.75" customHeight="1" x14ac:dyDescent="0.25">
      <c r="B175"/>
      <c r="C175"/>
    </row>
    <row r="176" spans="2:3" ht="15.75" customHeight="1" x14ac:dyDescent="0.25">
      <c r="B176"/>
      <c r="C176"/>
    </row>
    <row r="177" spans="2:3" ht="15.75" customHeight="1" x14ac:dyDescent="0.25">
      <c r="B177"/>
      <c r="C177"/>
    </row>
    <row r="178" spans="2:3" ht="15.75" customHeight="1" x14ac:dyDescent="0.25">
      <c r="B178"/>
      <c r="C178"/>
    </row>
    <row r="179" spans="2:3" ht="15.75" customHeight="1" x14ac:dyDescent="0.25">
      <c r="B179"/>
      <c r="C179"/>
    </row>
    <row r="180" spans="2:3" ht="15.75" customHeight="1" x14ac:dyDescent="0.25">
      <c r="B180"/>
      <c r="C180"/>
    </row>
    <row r="181" spans="2:3" ht="15.75" customHeight="1" x14ac:dyDescent="0.25">
      <c r="B181"/>
      <c r="C181"/>
    </row>
    <row r="182" spans="2:3" ht="15.75" customHeight="1" x14ac:dyDescent="0.25">
      <c r="B182"/>
      <c r="C182"/>
    </row>
    <row r="183" spans="2:3" ht="15.75" customHeight="1" x14ac:dyDescent="0.25">
      <c r="B183"/>
      <c r="C183"/>
    </row>
    <row r="184" spans="2:3" ht="15.75" customHeight="1" x14ac:dyDescent="0.25">
      <c r="B184"/>
      <c r="C184"/>
    </row>
    <row r="185" spans="2:3" ht="15.75" customHeight="1" x14ac:dyDescent="0.25">
      <c r="B185"/>
      <c r="C185"/>
    </row>
    <row r="186" spans="2:3" ht="15.75" customHeight="1" x14ac:dyDescent="0.25">
      <c r="B186"/>
      <c r="C186"/>
    </row>
    <row r="187" spans="2:3" ht="15.75" customHeight="1" x14ac:dyDescent="0.25">
      <c r="B187"/>
      <c r="C187"/>
    </row>
    <row r="188" spans="2:3" ht="15.75" customHeight="1" x14ac:dyDescent="0.25">
      <c r="B188"/>
      <c r="C188"/>
    </row>
    <row r="189" spans="2:3" ht="15.75" customHeight="1" x14ac:dyDescent="0.25">
      <c r="B189"/>
      <c r="C189"/>
    </row>
    <row r="190" spans="2:3" ht="15.75" customHeight="1" x14ac:dyDescent="0.25">
      <c r="B190"/>
      <c r="C190"/>
    </row>
    <row r="191" spans="2:3" ht="15.75" customHeight="1" x14ac:dyDescent="0.25">
      <c r="B191"/>
      <c r="C191"/>
    </row>
    <row r="192" spans="2:3" ht="15.75" customHeight="1" x14ac:dyDescent="0.25">
      <c r="B192"/>
      <c r="C192"/>
    </row>
    <row r="193" spans="2:3" ht="15.75" customHeight="1" x14ac:dyDescent="0.25">
      <c r="B193"/>
      <c r="C193"/>
    </row>
    <row r="194" spans="2:3" ht="15.75" customHeight="1" x14ac:dyDescent="0.25">
      <c r="B194"/>
      <c r="C194"/>
    </row>
    <row r="195" spans="2:3" ht="15.75" customHeight="1" x14ac:dyDescent="0.25">
      <c r="B195"/>
      <c r="C195"/>
    </row>
    <row r="196" spans="2:3" ht="15.75" customHeight="1" x14ac:dyDescent="0.25">
      <c r="B196"/>
      <c r="C196"/>
    </row>
    <row r="197" spans="2:3" ht="15.75" customHeight="1" x14ac:dyDescent="0.25">
      <c r="B197"/>
      <c r="C197"/>
    </row>
    <row r="198" spans="2:3" ht="15.75" customHeight="1" x14ac:dyDescent="0.25">
      <c r="B198"/>
      <c r="C198"/>
    </row>
    <row r="199" spans="2:3" ht="15.75" customHeight="1" x14ac:dyDescent="0.25">
      <c r="B199"/>
      <c r="C199"/>
    </row>
    <row r="200" spans="2:3" ht="15.75" customHeight="1" x14ac:dyDescent="0.25">
      <c r="B200"/>
      <c r="C200"/>
    </row>
    <row r="201" spans="2:3" ht="15.75" customHeight="1" x14ac:dyDescent="0.25">
      <c r="B201"/>
      <c r="C201"/>
    </row>
    <row r="202" spans="2:3" ht="15.75" customHeight="1" x14ac:dyDescent="0.25">
      <c r="B202"/>
      <c r="C202"/>
    </row>
    <row r="203" spans="2:3" ht="15.75" customHeight="1" x14ac:dyDescent="0.25">
      <c r="B203"/>
      <c r="C203"/>
    </row>
    <row r="204" spans="2:3" ht="15.75" customHeight="1" x14ac:dyDescent="0.25">
      <c r="B204"/>
      <c r="C204"/>
    </row>
    <row r="205" spans="2:3" ht="15.75" customHeight="1" x14ac:dyDescent="0.25">
      <c r="B205"/>
      <c r="C205"/>
    </row>
    <row r="206" spans="2:3" ht="15.75" customHeight="1" x14ac:dyDescent="0.25">
      <c r="B206"/>
      <c r="C206"/>
    </row>
    <row r="207" spans="2:3" ht="15.75" customHeight="1" x14ac:dyDescent="0.25">
      <c r="B207"/>
      <c r="C207"/>
    </row>
    <row r="208" spans="2:3" ht="15.75" customHeight="1" x14ac:dyDescent="0.25">
      <c r="B208"/>
      <c r="C208"/>
    </row>
    <row r="209" spans="2:3" ht="15.75" customHeight="1" x14ac:dyDescent="0.25">
      <c r="B209"/>
      <c r="C209"/>
    </row>
    <row r="210" spans="2:3" ht="15.75" customHeight="1" x14ac:dyDescent="0.25">
      <c r="B210"/>
      <c r="C210"/>
    </row>
    <row r="211" spans="2:3" ht="15.75" customHeight="1" x14ac:dyDescent="0.25">
      <c r="B211"/>
      <c r="C211"/>
    </row>
    <row r="212" spans="2:3" ht="15.75" customHeight="1" x14ac:dyDescent="0.25">
      <c r="B212"/>
      <c r="C212"/>
    </row>
    <row r="213" spans="2:3" ht="15.75" customHeight="1" x14ac:dyDescent="0.25">
      <c r="B213"/>
      <c r="C213"/>
    </row>
    <row r="214" spans="2:3" ht="15.75" customHeight="1" x14ac:dyDescent="0.25">
      <c r="B214"/>
      <c r="C214"/>
    </row>
    <row r="215" spans="2:3" ht="15.75" customHeight="1" x14ac:dyDescent="0.25">
      <c r="B215"/>
      <c r="C215"/>
    </row>
    <row r="216" spans="2:3" ht="15.75" customHeight="1" x14ac:dyDescent="0.25">
      <c r="B216"/>
      <c r="C216"/>
    </row>
    <row r="217" spans="2:3" ht="15.75" customHeight="1" x14ac:dyDescent="0.25">
      <c r="B217"/>
      <c r="C217"/>
    </row>
    <row r="218" spans="2:3" ht="15.75" customHeight="1" x14ac:dyDescent="0.25">
      <c r="B218"/>
      <c r="C218"/>
    </row>
    <row r="219" spans="2:3" ht="15.75" customHeight="1" x14ac:dyDescent="0.25">
      <c r="B219"/>
      <c r="C219"/>
    </row>
    <row r="220" spans="2:3" ht="15.75" customHeight="1" x14ac:dyDescent="0.25">
      <c r="B220"/>
      <c r="C220"/>
    </row>
    <row r="221" spans="2:3" ht="15.75" customHeight="1" x14ac:dyDescent="0.25">
      <c r="B221"/>
      <c r="C221"/>
    </row>
    <row r="222" spans="2:3" ht="15.75" customHeight="1" x14ac:dyDescent="0.25">
      <c r="B222"/>
      <c r="C222"/>
    </row>
    <row r="223" spans="2:3" ht="15.75" customHeight="1" x14ac:dyDescent="0.25">
      <c r="B223"/>
      <c r="C223"/>
    </row>
    <row r="224" spans="2:3" ht="15.75" customHeight="1" x14ac:dyDescent="0.25">
      <c r="B224"/>
      <c r="C224"/>
    </row>
    <row r="225" spans="2:3" ht="15.75" customHeight="1" x14ac:dyDescent="0.25">
      <c r="B225"/>
      <c r="C225"/>
    </row>
    <row r="226" spans="2:3" ht="15.75" customHeight="1" x14ac:dyDescent="0.25">
      <c r="B226"/>
      <c r="C226"/>
    </row>
    <row r="227" spans="2:3" ht="15.75" customHeight="1" x14ac:dyDescent="0.25">
      <c r="B227"/>
      <c r="C227"/>
    </row>
    <row r="228" spans="2:3" ht="15.75" customHeight="1" x14ac:dyDescent="0.25">
      <c r="B228"/>
      <c r="C228"/>
    </row>
    <row r="229" spans="2:3" ht="15.75" customHeight="1" x14ac:dyDescent="0.25">
      <c r="B229"/>
      <c r="C229"/>
    </row>
    <row r="230" spans="2:3" ht="15.75" customHeight="1" x14ac:dyDescent="0.25">
      <c r="B230"/>
      <c r="C230"/>
    </row>
    <row r="231" spans="2:3" ht="15.75" customHeight="1" x14ac:dyDescent="0.25">
      <c r="B231"/>
      <c r="C231"/>
    </row>
    <row r="232" spans="2:3" ht="15.75" customHeight="1" x14ac:dyDescent="0.25">
      <c r="B232"/>
      <c r="C232"/>
    </row>
    <row r="233" spans="2:3" ht="15.75" customHeight="1" x14ac:dyDescent="0.25">
      <c r="B233"/>
      <c r="C233"/>
    </row>
    <row r="234" spans="2:3" ht="15.75" customHeight="1" x14ac:dyDescent="0.25">
      <c r="B234"/>
      <c r="C234"/>
    </row>
    <row r="235" spans="2:3" ht="15.75" customHeight="1" x14ac:dyDescent="0.25">
      <c r="B235"/>
      <c r="C235"/>
    </row>
    <row r="236" spans="2:3" ht="15.75" customHeight="1" x14ac:dyDescent="0.25">
      <c r="B236"/>
      <c r="C236"/>
    </row>
    <row r="237" spans="2:3" ht="15.75" customHeight="1" x14ac:dyDescent="0.25">
      <c r="B237"/>
      <c r="C237"/>
    </row>
    <row r="238" spans="2:3" ht="15.75" customHeight="1" x14ac:dyDescent="0.25">
      <c r="B238"/>
      <c r="C238"/>
    </row>
    <row r="239" spans="2:3" ht="15.75" customHeight="1" x14ac:dyDescent="0.25">
      <c r="B239"/>
      <c r="C239"/>
    </row>
    <row r="240" spans="2:3" ht="15.75" customHeight="1" x14ac:dyDescent="0.25">
      <c r="B240"/>
      <c r="C240"/>
    </row>
    <row r="241" spans="2:3" ht="15.75" customHeight="1" x14ac:dyDescent="0.25">
      <c r="B241"/>
      <c r="C241"/>
    </row>
    <row r="242" spans="2:3" ht="15.75" customHeight="1" x14ac:dyDescent="0.25">
      <c r="B242"/>
      <c r="C242"/>
    </row>
    <row r="243" spans="2:3" ht="15.75" customHeight="1" x14ac:dyDescent="0.25">
      <c r="B243"/>
      <c r="C243"/>
    </row>
    <row r="244" spans="2:3" ht="15.75" customHeight="1" x14ac:dyDescent="0.25">
      <c r="B244"/>
      <c r="C244"/>
    </row>
    <row r="245" spans="2:3" ht="15.75" customHeight="1" x14ac:dyDescent="0.25">
      <c r="B245"/>
      <c r="C245"/>
    </row>
    <row r="246" spans="2:3" ht="15.75" customHeight="1" x14ac:dyDescent="0.25">
      <c r="B246"/>
      <c r="C246"/>
    </row>
    <row r="247" spans="2:3" ht="15.75" customHeight="1" x14ac:dyDescent="0.25">
      <c r="B247"/>
      <c r="C247"/>
    </row>
    <row r="248" spans="2:3" ht="15.75" customHeight="1" x14ac:dyDescent="0.25">
      <c r="B248"/>
      <c r="C248"/>
    </row>
    <row r="249" spans="2:3" ht="15.75" customHeight="1" x14ac:dyDescent="0.25">
      <c r="B249"/>
      <c r="C249"/>
    </row>
    <row r="250" spans="2:3" ht="15.75" customHeight="1" x14ac:dyDescent="0.25">
      <c r="B250"/>
      <c r="C250"/>
    </row>
    <row r="251" spans="2:3" ht="15.75" customHeight="1" x14ac:dyDescent="0.25">
      <c r="B251"/>
      <c r="C251"/>
    </row>
    <row r="252" spans="2:3" ht="15.75" customHeight="1" x14ac:dyDescent="0.25">
      <c r="B252"/>
      <c r="C252"/>
    </row>
    <row r="253" spans="2:3" ht="15.75" customHeight="1" x14ac:dyDescent="0.25">
      <c r="B253"/>
      <c r="C253"/>
    </row>
    <row r="254" spans="2:3" ht="15.75" customHeight="1" x14ac:dyDescent="0.25">
      <c r="B254"/>
      <c r="C254"/>
    </row>
    <row r="255" spans="2:3" ht="15.75" customHeight="1" x14ac:dyDescent="0.25">
      <c r="B255"/>
      <c r="C255"/>
    </row>
    <row r="256" spans="2:3" ht="15.75" customHeight="1" x14ac:dyDescent="0.25">
      <c r="B256"/>
      <c r="C256"/>
    </row>
    <row r="257" spans="2:3" ht="15.75" customHeight="1" x14ac:dyDescent="0.25">
      <c r="B257"/>
      <c r="C257"/>
    </row>
    <row r="258" spans="2:3" ht="15.75" customHeight="1" x14ac:dyDescent="0.25">
      <c r="B258"/>
      <c r="C258"/>
    </row>
    <row r="259" spans="2:3" ht="15.75" customHeight="1" x14ac:dyDescent="0.25">
      <c r="B259"/>
      <c r="C259"/>
    </row>
    <row r="260" spans="2:3" ht="15.75" customHeight="1" x14ac:dyDescent="0.25">
      <c r="B260"/>
      <c r="C260"/>
    </row>
    <row r="261" spans="2:3" ht="15.75" customHeight="1" x14ac:dyDescent="0.25">
      <c r="B261"/>
      <c r="C261"/>
    </row>
    <row r="262" spans="2:3" ht="15.75" customHeight="1" x14ac:dyDescent="0.25">
      <c r="B262"/>
      <c r="C262"/>
    </row>
    <row r="263" spans="2:3" ht="15.75" customHeight="1" x14ac:dyDescent="0.25">
      <c r="B263"/>
      <c r="C263"/>
    </row>
    <row r="264" spans="2:3" ht="15.75" customHeight="1" x14ac:dyDescent="0.25">
      <c r="B264"/>
      <c r="C264"/>
    </row>
    <row r="265" spans="2:3" ht="15.75" customHeight="1" x14ac:dyDescent="0.25">
      <c r="B265"/>
      <c r="C265"/>
    </row>
    <row r="266" spans="2:3" ht="15.75" customHeight="1" x14ac:dyDescent="0.25">
      <c r="B266"/>
      <c r="C266"/>
    </row>
    <row r="267" spans="2:3" ht="15.75" customHeight="1" x14ac:dyDescent="0.25">
      <c r="B267"/>
      <c r="C267"/>
    </row>
    <row r="268" spans="2:3" ht="15.75" customHeight="1" x14ac:dyDescent="0.25">
      <c r="B268"/>
      <c r="C268"/>
    </row>
    <row r="269" spans="2:3" ht="15.75" customHeight="1" x14ac:dyDescent="0.25">
      <c r="B269"/>
      <c r="C269"/>
    </row>
    <row r="270" spans="2:3" ht="15.75" customHeight="1" x14ac:dyDescent="0.25">
      <c r="B270"/>
      <c r="C270"/>
    </row>
    <row r="271" spans="2:3" ht="15.75" customHeight="1" x14ac:dyDescent="0.25">
      <c r="B271"/>
      <c r="C271"/>
    </row>
    <row r="272" spans="2:3" ht="15.75" customHeight="1" x14ac:dyDescent="0.25">
      <c r="B272"/>
      <c r="C272"/>
    </row>
    <row r="273" spans="2:3" ht="15.75" customHeight="1" x14ac:dyDescent="0.25">
      <c r="B273"/>
      <c r="C273"/>
    </row>
    <row r="274" spans="2:3" ht="15.75" customHeight="1" x14ac:dyDescent="0.25">
      <c r="B274"/>
      <c r="C274"/>
    </row>
    <row r="275" spans="2:3" ht="15.75" customHeight="1" x14ac:dyDescent="0.25">
      <c r="B275"/>
      <c r="C275"/>
    </row>
    <row r="276" spans="2:3" ht="15.75" customHeight="1" x14ac:dyDescent="0.25">
      <c r="B276"/>
      <c r="C276"/>
    </row>
    <row r="277" spans="2:3" ht="15.75" customHeight="1" x14ac:dyDescent="0.25">
      <c r="B277"/>
      <c r="C277"/>
    </row>
    <row r="278" spans="2:3" ht="15.75" customHeight="1" x14ac:dyDescent="0.25">
      <c r="B278"/>
      <c r="C278"/>
    </row>
    <row r="279" spans="2:3" ht="15.75" customHeight="1" x14ac:dyDescent="0.25">
      <c r="B279"/>
      <c r="C279"/>
    </row>
    <row r="280" spans="2:3" ht="15.75" customHeight="1" x14ac:dyDescent="0.25">
      <c r="B280"/>
      <c r="C280"/>
    </row>
    <row r="281" spans="2:3" ht="15.75" customHeight="1" x14ac:dyDescent="0.25">
      <c r="B281"/>
      <c r="C281"/>
    </row>
    <row r="282" spans="2:3" ht="15.75" customHeight="1" x14ac:dyDescent="0.25">
      <c r="B282"/>
      <c r="C282"/>
    </row>
    <row r="283" spans="2:3" ht="15.75" customHeight="1" x14ac:dyDescent="0.25">
      <c r="B283"/>
      <c r="C283"/>
    </row>
    <row r="284" spans="2:3" ht="15.75" customHeight="1" x14ac:dyDescent="0.25">
      <c r="B284"/>
      <c r="C284"/>
    </row>
    <row r="285" spans="2:3" ht="15.75" customHeight="1" x14ac:dyDescent="0.25">
      <c r="B285"/>
      <c r="C285"/>
    </row>
    <row r="286" spans="2:3" ht="15.75" customHeight="1" x14ac:dyDescent="0.25">
      <c r="B286"/>
      <c r="C286"/>
    </row>
    <row r="287" spans="2:3" ht="15.75" customHeight="1" x14ac:dyDescent="0.25">
      <c r="B287"/>
      <c r="C287"/>
    </row>
    <row r="288" spans="2:3" ht="15.75" customHeight="1" x14ac:dyDescent="0.25">
      <c r="B288"/>
      <c r="C288"/>
    </row>
    <row r="289" spans="2:3" ht="15.75" customHeight="1" x14ac:dyDescent="0.25">
      <c r="B289"/>
      <c r="C289"/>
    </row>
    <row r="290" spans="2:3" ht="15.75" customHeight="1" x14ac:dyDescent="0.25">
      <c r="B290"/>
      <c r="C290"/>
    </row>
    <row r="291" spans="2:3" ht="15.75" customHeight="1" x14ac:dyDescent="0.25">
      <c r="B291"/>
      <c r="C291"/>
    </row>
    <row r="292" spans="2:3" ht="15.75" customHeight="1" x14ac:dyDescent="0.25">
      <c r="B292"/>
      <c r="C292"/>
    </row>
    <row r="293" spans="2:3" ht="15.75" customHeight="1" x14ac:dyDescent="0.25">
      <c r="B293"/>
      <c r="C293"/>
    </row>
    <row r="294" spans="2:3" ht="15.75" customHeight="1" x14ac:dyDescent="0.25">
      <c r="B294"/>
      <c r="C294"/>
    </row>
    <row r="295" spans="2:3" ht="15.75" customHeight="1" x14ac:dyDescent="0.25">
      <c r="B295"/>
      <c r="C295"/>
    </row>
    <row r="296" spans="2:3" ht="15.75" customHeight="1" x14ac:dyDescent="0.25">
      <c r="B296"/>
      <c r="C296"/>
    </row>
    <row r="297" spans="2:3" ht="15.75" customHeight="1" x14ac:dyDescent="0.25">
      <c r="B297"/>
      <c r="C297"/>
    </row>
    <row r="298" spans="2:3" ht="15.75" customHeight="1" x14ac:dyDescent="0.25">
      <c r="B298"/>
      <c r="C298"/>
    </row>
    <row r="299" spans="2:3" ht="15.75" customHeight="1" x14ac:dyDescent="0.25">
      <c r="B299"/>
      <c r="C299"/>
    </row>
    <row r="300" spans="2:3" ht="15.75" customHeight="1" x14ac:dyDescent="0.25">
      <c r="B300"/>
      <c r="C300"/>
    </row>
    <row r="301" spans="2:3" ht="15.75" customHeight="1" x14ac:dyDescent="0.25">
      <c r="B301"/>
      <c r="C301"/>
    </row>
    <row r="302" spans="2:3" ht="15.75" customHeight="1" x14ac:dyDescent="0.25">
      <c r="B302"/>
      <c r="C302"/>
    </row>
    <row r="303" spans="2:3" ht="15.75" customHeight="1" x14ac:dyDescent="0.25">
      <c r="B303"/>
      <c r="C303"/>
    </row>
    <row r="304" spans="2:3" ht="15.75" customHeight="1" x14ac:dyDescent="0.25">
      <c r="B304"/>
      <c r="C304"/>
    </row>
    <row r="305" spans="2:3" ht="15.75" customHeight="1" x14ac:dyDescent="0.25">
      <c r="B305"/>
      <c r="C305"/>
    </row>
    <row r="306" spans="2:3" ht="15.75" customHeight="1" x14ac:dyDescent="0.25">
      <c r="B306"/>
      <c r="C306"/>
    </row>
    <row r="307" spans="2:3" ht="15.75" customHeight="1" x14ac:dyDescent="0.25">
      <c r="B307"/>
      <c r="C307"/>
    </row>
    <row r="308" spans="2:3" ht="15.75" customHeight="1" x14ac:dyDescent="0.25">
      <c r="B308"/>
      <c r="C308"/>
    </row>
    <row r="309" spans="2:3" ht="15.75" customHeight="1" x14ac:dyDescent="0.25">
      <c r="B309"/>
      <c r="C309"/>
    </row>
    <row r="310" spans="2:3" ht="15.75" customHeight="1" x14ac:dyDescent="0.25">
      <c r="B310"/>
      <c r="C310"/>
    </row>
    <row r="311" spans="2:3" ht="15.75" customHeight="1" x14ac:dyDescent="0.25">
      <c r="B311"/>
      <c r="C311"/>
    </row>
    <row r="312" spans="2:3" ht="15.75" customHeight="1" x14ac:dyDescent="0.25">
      <c r="B312"/>
      <c r="C312"/>
    </row>
    <row r="313" spans="2:3" ht="15.75" customHeight="1" x14ac:dyDescent="0.25">
      <c r="B313"/>
      <c r="C313"/>
    </row>
    <row r="314" spans="2:3" ht="15.75" customHeight="1" x14ac:dyDescent="0.25">
      <c r="B314"/>
      <c r="C314"/>
    </row>
    <row r="315" spans="2:3" ht="15.75" customHeight="1" x14ac:dyDescent="0.25">
      <c r="B315"/>
      <c r="C315"/>
    </row>
    <row r="316" spans="2:3" ht="15.75" customHeight="1" x14ac:dyDescent="0.25">
      <c r="B316"/>
      <c r="C316"/>
    </row>
    <row r="317" spans="2:3" ht="15.75" customHeight="1" x14ac:dyDescent="0.25">
      <c r="B317"/>
      <c r="C317"/>
    </row>
    <row r="318" spans="2:3" ht="15.75" customHeight="1" x14ac:dyDescent="0.25">
      <c r="B318"/>
      <c r="C318"/>
    </row>
    <row r="319" spans="2:3" ht="15.75" customHeight="1" x14ac:dyDescent="0.25">
      <c r="B319"/>
      <c r="C319"/>
    </row>
    <row r="320" spans="2:3" ht="15.75" customHeight="1" x14ac:dyDescent="0.25">
      <c r="B320"/>
      <c r="C320"/>
    </row>
    <row r="321" spans="2:3" ht="15.75" customHeight="1" x14ac:dyDescent="0.25">
      <c r="B321"/>
      <c r="C321"/>
    </row>
    <row r="322" spans="2:3" ht="15.75" customHeight="1" x14ac:dyDescent="0.25">
      <c r="B322"/>
      <c r="C322"/>
    </row>
    <row r="323" spans="2:3" ht="15.75" customHeight="1" x14ac:dyDescent="0.25">
      <c r="B323"/>
      <c r="C323"/>
    </row>
    <row r="324" spans="2:3" ht="15.75" customHeight="1" x14ac:dyDescent="0.25">
      <c r="B324"/>
      <c r="C324"/>
    </row>
    <row r="325" spans="2:3" ht="15.75" customHeight="1" x14ac:dyDescent="0.25">
      <c r="B325"/>
      <c r="C325"/>
    </row>
    <row r="326" spans="2:3" ht="15.75" customHeight="1" x14ac:dyDescent="0.25">
      <c r="B326"/>
      <c r="C326"/>
    </row>
    <row r="327" spans="2:3" ht="15.75" customHeight="1" x14ac:dyDescent="0.25">
      <c r="B327"/>
      <c r="C327"/>
    </row>
    <row r="328" spans="2:3" ht="15.75" customHeight="1" x14ac:dyDescent="0.25">
      <c r="B328"/>
      <c r="C328"/>
    </row>
    <row r="329" spans="2:3" ht="15.75" customHeight="1" x14ac:dyDescent="0.25">
      <c r="B329"/>
      <c r="C329"/>
    </row>
    <row r="330" spans="2:3" ht="15.75" customHeight="1" x14ac:dyDescent="0.25">
      <c r="B330"/>
      <c r="C330"/>
    </row>
    <row r="331" spans="2:3" ht="15.75" customHeight="1" x14ac:dyDescent="0.25">
      <c r="B331"/>
      <c r="C331"/>
    </row>
    <row r="332" spans="2:3" ht="15.75" customHeight="1" x14ac:dyDescent="0.25">
      <c r="B332"/>
      <c r="C332"/>
    </row>
    <row r="333" spans="2:3" ht="15.75" customHeight="1" x14ac:dyDescent="0.25">
      <c r="B333"/>
      <c r="C333"/>
    </row>
    <row r="334" spans="2:3" ht="15.75" customHeight="1" x14ac:dyDescent="0.25">
      <c r="B334"/>
      <c r="C334"/>
    </row>
    <row r="335" spans="2:3" ht="15.75" customHeight="1" x14ac:dyDescent="0.25">
      <c r="B335"/>
      <c r="C335"/>
    </row>
    <row r="336" spans="2:3" ht="15.75" customHeight="1" x14ac:dyDescent="0.25">
      <c r="B336"/>
      <c r="C336"/>
    </row>
    <row r="337" spans="2:3" ht="15.75" customHeight="1" x14ac:dyDescent="0.25">
      <c r="B337"/>
      <c r="C337"/>
    </row>
    <row r="338" spans="2:3" ht="15.75" customHeight="1" x14ac:dyDescent="0.25">
      <c r="B338"/>
      <c r="C338"/>
    </row>
    <row r="339" spans="2:3" ht="15.75" customHeight="1" x14ac:dyDescent="0.25">
      <c r="B339"/>
      <c r="C339"/>
    </row>
    <row r="340" spans="2:3" ht="15.75" customHeight="1" x14ac:dyDescent="0.25">
      <c r="B340"/>
      <c r="C340"/>
    </row>
    <row r="341" spans="2:3" ht="15.75" customHeight="1" x14ac:dyDescent="0.25">
      <c r="B341"/>
      <c r="C341"/>
    </row>
    <row r="342" spans="2:3" ht="15.75" customHeight="1" x14ac:dyDescent="0.25">
      <c r="B342"/>
      <c r="C342"/>
    </row>
    <row r="343" spans="2:3" ht="15.75" customHeight="1" x14ac:dyDescent="0.25">
      <c r="B343"/>
      <c r="C343"/>
    </row>
    <row r="344" spans="2:3" ht="15.75" customHeight="1" x14ac:dyDescent="0.25">
      <c r="B344"/>
      <c r="C344"/>
    </row>
    <row r="345" spans="2:3" ht="15.75" customHeight="1" x14ac:dyDescent="0.25">
      <c r="B345"/>
      <c r="C345"/>
    </row>
    <row r="346" spans="2:3" ht="15.75" customHeight="1" x14ac:dyDescent="0.25">
      <c r="B346"/>
      <c r="C346"/>
    </row>
    <row r="347" spans="2:3" ht="15.75" customHeight="1" x14ac:dyDescent="0.25">
      <c r="B347"/>
      <c r="C347"/>
    </row>
    <row r="348" spans="2:3" ht="15.75" customHeight="1" x14ac:dyDescent="0.25">
      <c r="B348"/>
      <c r="C348"/>
    </row>
    <row r="349" spans="2:3" ht="15.75" customHeight="1" x14ac:dyDescent="0.25">
      <c r="B349"/>
      <c r="C349"/>
    </row>
    <row r="350" spans="2:3" ht="15.75" customHeight="1" x14ac:dyDescent="0.25">
      <c r="B350"/>
      <c r="C350"/>
    </row>
    <row r="351" spans="2:3" ht="15.75" customHeight="1" x14ac:dyDescent="0.25">
      <c r="B351"/>
      <c r="C351"/>
    </row>
    <row r="352" spans="2:3" ht="15.75" customHeight="1" x14ac:dyDescent="0.25">
      <c r="B352"/>
      <c r="C352"/>
    </row>
    <row r="353" spans="2:3" ht="15.75" customHeight="1" x14ac:dyDescent="0.25">
      <c r="B353"/>
      <c r="C353"/>
    </row>
    <row r="354" spans="2:3" ht="15.75" customHeight="1" x14ac:dyDescent="0.25">
      <c r="B354"/>
      <c r="C354"/>
    </row>
    <row r="355" spans="2:3" ht="15.75" customHeight="1" x14ac:dyDescent="0.25">
      <c r="B355"/>
      <c r="C355"/>
    </row>
    <row r="356" spans="2:3" ht="15.75" customHeight="1" x14ac:dyDescent="0.25">
      <c r="B356"/>
      <c r="C356"/>
    </row>
    <row r="357" spans="2:3" ht="15.75" customHeight="1" x14ac:dyDescent="0.25">
      <c r="B357"/>
      <c r="C357"/>
    </row>
    <row r="358" spans="2:3" ht="15.75" customHeight="1" x14ac:dyDescent="0.25">
      <c r="B358"/>
      <c r="C358"/>
    </row>
    <row r="359" spans="2:3" ht="15.75" customHeight="1" x14ac:dyDescent="0.25">
      <c r="B359"/>
      <c r="C359"/>
    </row>
    <row r="360" spans="2:3" ht="15.75" customHeight="1" x14ac:dyDescent="0.25">
      <c r="B360"/>
      <c r="C360"/>
    </row>
    <row r="361" spans="2:3" ht="15.75" customHeight="1" x14ac:dyDescent="0.25">
      <c r="B361"/>
      <c r="C361"/>
    </row>
    <row r="362" spans="2:3" ht="15.75" customHeight="1" x14ac:dyDescent="0.25">
      <c r="B362"/>
      <c r="C362"/>
    </row>
    <row r="363" spans="2:3" ht="15.75" customHeight="1" x14ac:dyDescent="0.25">
      <c r="B363"/>
      <c r="C363"/>
    </row>
    <row r="364" spans="2:3" ht="15.75" customHeight="1" x14ac:dyDescent="0.25">
      <c r="B364"/>
      <c r="C364"/>
    </row>
    <row r="365" spans="2:3" ht="15.75" customHeight="1" x14ac:dyDescent="0.25">
      <c r="B365"/>
      <c r="C365"/>
    </row>
    <row r="366" spans="2:3" ht="15.75" customHeight="1" x14ac:dyDescent="0.25">
      <c r="B366"/>
      <c r="C366"/>
    </row>
    <row r="367" spans="2:3" ht="15.75" customHeight="1" x14ac:dyDescent="0.25">
      <c r="B367"/>
      <c r="C367"/>
    </row>
    <row r="368" spans="2:3" ht="15.75" customHeight="1" x14ac:dyDescent="0.25">
      <c r="B368"/>
      <c r="C368"/>
    </row>
    <row r="369" spans="2:3" ht="15.75" customHeight="1" x14ac:dyDescent="0.25">
      <c r="B369"/>
      <c r="C369"/>
    </row>
    <row r="370" spans="2:3" ht="15.75" customHeight="1" x14ac:dyDescent="0.25">
      <c r="B370"/>
      <c r="C370"/>
    </row>
    <row r="371" spans="2:3" ht="15.75" customHeight="1" x14ac:dyDescent="0.25">
      <c r="B371"/>
      <c r="C371"/>
    </row>
    <row r="372" spans="2:3" ht="15.75" customHeight="1" x14ac:dyDescent="0.25">
      <c r="B372"/>
      <c r="C372"/>
    </row>
    <row r="373" spans="2:3" ht="15.75" customHeight="1" x14ac:dyDescent="0.25">
      <c r="B373"/>
      <c r="C373"/>
    </row>
    <row r="374" spans="2:3" ht="15.75" customHeight="1" x14ac:dyDescent="0.25">
      <c r="B374"/>
      <c r="C374"/>
    </row>
    <row r="375" spans="2:3" ht="15.75" customHeight="1" x14ac:dyDescent="0.25">
      <c r="B375"/>
      <c r="C375"/>
    </row>
    <row r="376" spans="2:3" ht="15.75" customHeight="1" x14ac:dyDescent="0.25">
      <c r="B376"/>
      <c r="C376"/>
    </row>
    <row r="377" spans="2:3" ht="15.75" customHeight="1" x14ac:dyDescent="0.25">
      <c r="B377"/>
      <c r="C377"/>
    </row>
    <row r="378" spans="2:3" ht="15.75" customHeight="1" x14ac:dyDescent="0.25">
      <c r="B378"/>
      <c r="C378"/>
    </row>
    <row r="379" spans="2:3" ht="15.75" customHeight="1" x14ac:dyDescent="0.25">
      <c r="B379"/>
      <c r="C379"/>
    </row>
    <row r="380" spans="2:3" ht="15.75" customHeight="1" x14ac:dyDescent="0.25">
      <c r="B380"/>
      <c r="C380"/>
    </row>
    <row r="381" spans="2:3" ht="15.75" customHeight="1" x14ac:dyDescent="0.25">
      <c r="B381"/>
      <c r="C381"/>
    </row>
    <row r="382" spans="2:3" ht="15.75" customHeight="1" x14ac:dyDescent="0.25">
      <c r="B382"/>
      <c r="C382"/>
    </row>
    <row r="383" spans="2:3" ht="15.75" customHeight="1" x14ac:dyDescent="0.25">
      <c r="B383"/>
      <c r="C383"/>
    </row>
    <row r="384" spans="2:3" ht="15.75" customHeight="1" x14ac:dyDescent="0.25">
      <c r="B384"/>
      <c r="C384"/>
    </row>
    <row r="385" spans="2:3" ht="15.75" customHeight="1" x14ac:dyDescent="0.25">
      <c r="B385"/>
      <c r="C385"/>
    </row>
    <row r="386" spans="2:3" ht="15.75" customHeight="1" x14ac:dyDescent="0.25">
      <c r="B386"/>
      <c r="C386"/>
    </row>
    <row r="387" spans="2:3" ht="15.75" customHeight="1" x14ac:dyDescent="0.25">
      <c r="B387"/>
      <c r="C387"/>
    </row>
    <row r="388" spans="2:3" ht="15.75" customHeight="1" x14ac:dyDescent="0.25">
      <c r="B388"/>
      <c r="C388"/>
    </row>
    <row r="389" spans="2:3" ht="15.75" customHeight="1" x14ac:dyDescent="0.25">
      <c r="B389"/>
      <c r="C389"/>
    </row>
    <row r="390" spans="2:3" ht="15.75" customHeight="1" x14ac:dyDescent="0.25">
      <c r="B390"/>
      <c r="C390"/>
    </row>
    <row r="391" spans="2:3" ht="15.75" customHeight="1" x14ac:dyDescent="0.25">
      <c r="B391"/>
      <c r="C391"/>
    </row>
    <row r="392" spans="2:3" ht="15.75" customHeight="1" x14ac:dyDescent="0.25">
      <c r="B392"/>
      <c r="C392"/>
    </row>
    <row r="393" spans="2:3" ht="15.75" customHeight="1" x14ac:dyDescent="0.25">
      <c r="B393"/>
      <c r="C393"/>
    </row>
    <row r="394" spans="2:3" ht="15.75" customHeight="1" x14ac:dyDescent="0.25">
      <c r="B394"/>
      <c r="C394"/>
    </row>
    <row r="395" spans="2:3" ht="15.75" customHeight="1" x14ac:dyDescent="0.25">
      <c r="B395"/>
      <c r="C395"/>
    </row>
    <row r="396" spans="2:3" ht="15.75" customHeight="1" x14ac:dyDescent="0.25">
      <c r="B396"/>
      <c r="C396"/>
    </row>
    <row r="397" spans="2:3" ht="15.75" customHeight="1" x14ac:dyDescent="0.25">
      <c r="B397"/>
      <c r="C397"/>
    </row>
    <row r="398" spans="2:3" ht="15.75" customHeight="1" x14ac:dyDescent="0.25">
      <c r="B398"/>
      <c r="C398"/>
    </row>
    <row r="399" spans="2:3" ht="15.75" customHeight="1" x14ac:dyDescent="0.25">
      <c r="B399"/>
      <c r="C399"/>
    </row>
    <row r="400" spans="2:3" ht="15.75" customHeight="1" x14ac:dyDescent="0.25">
      <c r="B400"/>
      <c r="C400"/>
    </row>
    <row r="401" spans="2:3" ht="15.75" customHeight="1" x14ac:dyDescent="0.25">
      <c r="B401"/>
      <c r="C401"/>
    </row>
    <row r="402" spans="2:3" ht="15.75" customHeight="1" x14ac:dyDescent="0.25">
      <c r="B402"/>
      <c r="C402"/>
    </row>
    <row r="403" spans="2:3" ht="15.75" customHeight="1" x14ac:dyDescent="0.25">
      <c r="B403"/>
      <c r="C403"/>
    </row>
    <row r="404" spans="2:3" ht="15.75" customHeight="1" x14ac:dyDescent="0.25">
      <c r="B404"/>
      <c r="C404"/>
    </row>
    <row r="405" spans="2:3" ht="15.75" customHeight="1" x14ac:dyDescent="0.25">
      <c r="B405"/>
      <c r="C405"/>
    </row>
    <row r="406" spans="2:3" ht="15.75" customHeight="1" x14ac:dyDescent="0.25">
      <c r="B406"/>
      <c r="C406"/>
    </row>
    <row r="407" spans="2:3" ht="15.75" customHeight="1" x14ac:dyDescent="0.25">
      <c r="B407"/>
      <c r="C407"/>
    </row>
    <row r="408" spans="2:3" ht="15.75" customHeight="1" x14ac:dyDescent="0.25">
      <c r="B408"/>
      <c r="C408"/>
    </row>
    <row r="409" spans="2:3" ht="15.75" customHeight="1" x14ac:dyDescent="0.25">
      <c r="B409"/>
      <c r="C409"/>
    </row>
    <row r="410" spans="2:3" ht="15.75" customHeight="1" x14ac:dyDescent="0.25">
      <c r="B410"/>
      <c r="C410"/>
    </row>
    <row r="411" spans="2:3" ht="15.75" customHeight="1" x14ac:dyDescent="0.25">
      <c r="B411"/>
      <c r="C411"/>
    </row>
    <row r="412" spans="2:3" ht="15.75" customHeight="1" x14ac:dyDescent="0.25">
      <c r="B412"/>
      <c r="C412"/>
    </row>
    <row r="413" spans="2:3" ht="15.75" customHeight="1" x14ac:dyDescent="0.25">
      <c r="B413"/>
      <c r="C413"/>
    </row>
    <row r="414" spans="2:3" ht="15.75" customHeight="1" x14ac:dyDescent="0.25">
      <c r="B414"/>
      <c r="C414"/>
    </row>
    <row r="415" spans="2:3" ht="15.75" customHeight="1" x14ac:dyDescent="0.25">
      <c r="B415"/>
      <c r="C415"/>
    </row>
    <row r="416" spans="2:3" ht="15.75" customHeight="1" x14ac:dyDescent="0.25">
      <c r="B416"/>
      <c r="C416"/>
    </row>
    <row r="417" spans="2:3" ht="15.75" customHeight="1" x14ac:dyDescent="0.25">
      <c r="B417"/>
      <c r="C417"/>
    </row>
    <row r="418" spans="2:3" ht="15.75" customHeight="1" x14ac:dyDescent="0.25">
      <c r="B418"/>
      <c r="C418"/>
    </row>
    <row r="419" spans="2:3" ht="15.75" customHeight="1" x14ac:dyDescent="0.25">
      <c r="B419"/>
      <c r="C419"/>
    </row>
    <row r="420" spans="2:3" ht="15.75" customHeight="1" x14ac:dyDescent="0.25">
      <c r="B420"/>
      <c r="C420"/>
    </row>
    <row r="421" spans="2:3" ht="15.75" customHeight="1" x14ac:dyDescent="0.25">
      <c r="B421"/>
      <c r="C421"/>
    </row>
    <row r="422" spans="2:3" ht="15.75" customHeight="1" x14ac:dyDescent="0.25">
      <c r="B422"/>
      <c r="C422"/>
    </row>
    <row r="423" spans="2:3" ht="15.75" customHeight="1" x14ac:dyDescent="0.25">
      <c r="B423"/>
      <c r="C423"/>
    </row>
    <row r="424" spans="2:3" ht="15.75" customHeight="1" x14ac:dyDescent="0.25">
      <c r="B424"/>
      <c r="C424"/>
    </row>
    <row r="425" spans="2:3" ht="15.75" customHeight="1" x14ac:dyDescent="0.25">
      <c r="B425"/>
      <c r="C425"/>
    </row>
    <row r="426" spans="2:3" ht="15.75" customHeight="1" x14ac:dyDescent="0.25">
      <c r="B426"/>
      <c r="C426"/>
    </row>
    <row r="427" spans="2:3" ht="15.75" customHeight="1" x14ac:dyDescent="0.25">
      <c r="B427"/>
      <c r="C427"/>
    </row>
    <row r="428" spans="2:3" ht="15.75" customHeight="1" x14ac:dyDescent="0.25">
      <c r="B428"/>
      <c r="C428"/>
    </row>
    <row r="429" spans="2:3" ht="15.75" customHeight="1" x14ac:dyDescent="0.25">
      <c r="B429"/>
      <c r="C429"/>
    </row>
    <row r="430" spans="2:3" ht="15.75" customHeight="1" x14ac:dyDescent="0.25">
      <c r="B430"/>
      <c r="C430"/>
    </row>
    <row r="431" spans="2:3" ht="15.75" customHeight="1" x14ac:dyDescent="0.25">
      <c r="B431"/>
      <c r="C431"/>
    </row>
    <row r="432" spans="2:3" ht="15.75" customHeight="1" x14ac:dyDescent="0.25">
      <c r="B432"/>
      <c r="C432"/>
    </row>
    <row r="433" spans="2:3" ht="15.75" customHeight="1" x14ac:dyDescent="0.25">
      <c r="B433"/>
      <c r="C433"/>
    </row>
    <row r="434" spans="2:3" ht="15.75" customHeight="1" x14ac:dyDescent="0.25">
      <c r="B434"/>
      <c r="C434"/>
    </row>
    <row r="435" spans="2:3" ht="15.75" customHeight="1" x14ac:dyDescent="0.25">
      <c r="B435"/>
      <c r="C435"/>
    </row>
    <row r="436" spans="2:3" ht="15.75" customHeight="1" x14ac:dyDescent="0.25">
      <c r="B436"/>
      <c r="C436"/>
    </row>
    <row r="437" spans="2:3" ht="15.75" customHeight="1" x14ac:dyDescent="0.25">
      <c r="B437"/>
      <c r="C437"/>
    </row>
    <row r="438" spans="2:3" ht="15.75" customHeight="1" x14ac:dyDescent="0.25">
      <c r="B438"/>
      <c r="C438"/>
    </row>
    <row r="439" spans="2:3" ht="15.75" customHeight="1" x14ac:dyDescent="0.25">
      <c r="B439"/>
      <c r="C439"/>
    </row>
    <row r="440" spans="2:3" ht="15.75" customHeight="1" x14ac:dyDescent="0.25">
      <c r="B440"/>
      <c r="C440"/>
    </row>
    <row r="441" spans="2:3" ht="15.75" customHeight="1" x14ac:dyDescent="0.25">
      <c r="B441"/>
      <c r="C441"/>
    </row>
    <row r="442" spans="2:3" ht="15.75" customHeight="1" x14ac:dyDescent="0.25">
      <c r="B442"/>
      <c r="C442"/>
    </row>
    <row r="443" spans="2:3" ht="15.75" customHeight="1" x14ac:dyDescent="0.25">
      <c r="B443"/>
      <c r="C443"/>
    </row>
    <row r="444" spans="2:3" ht="15.75" customHeight="1" x14ac:dyDescent="0.25">
      <c r="B444"/>
      <c r="C444"/>
    </row>
    <row r="445" spans="2:3" ht="15.75" customHeight="1" x14ac:dyDescent="0.25">
      <c r="B445"/>
      <c r="C445"/>
    </row>
    <row r="446" spans="2:3" ht="15.75" customHeight="1" x14ac:dyDescent="0.25">
      <c r="B446"/>
      <c r="C446"/>
    </row>
    <row r="447" spans="2:3" ht="15.75" customHeight="1" x14ac:dyDescent="0.25">
      <c r="B447"/>
      <c r="C447"/>
    </row>
    <row r="448" spans="2:3" ht="15.75" customHeight="1" x14ac:dyDescent="0.25">
      <c r="B448"/>
      <c r="C448"/>
    </row>
    <row r="449" spans="2:3" ht="15.75" customHeight="1" x14ac:dyDescent="0.25">
      <c r="B449"/>
      <c r="C449"/>
    </row>
    <row r="450" spans="2:3" ht="15.75" customHeight="1" x14ac:dyDescent="0.25">
      <c r="B450"/>
      <c r="C450"/>
    </row>
    <row r="451" spans="2:3" ht="15.75" customHeight="1" x14ac:dyDescent="0.25">
      <c r="B451"/>
      <c r="C451"/>
    </row>
    <row r="452" spans="2:3" ht="15.75" customHeight="1" x14ac:dyDescent="0.25"/>
    <row r="453" spans="2:3" ht="15.75" customHeight="1" x14ac:dyDescent="0.25"/>
    <row r="454" spans="2:3" ht="15.75" customHeight="1" x14ac:dyDescent="0.25"/>
    <row r="455" spans="2:3" ht="15.75" customHeight="1" x14ac:dyDescent="0.25"/>
    <row r="456" spans="2:3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B1:W23"/>
  <sheetViews>
    <sheetView workbookViewId="0">
      <selection activeCell="H33" sqref="H33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27</v>
      </c>
      <c r="C3" s="8" t="s">
        <v>106</v>
      </c>
      <c r="D3" s="36">
        <f>IF((E3+E4+E5)=0,0,E3/(E3+E4+E5))</f>
        <v>0.46825396825396826</v>
      </c>
      <c r="E3" s="9">
        <f t="shared" ref="E3:E23" si="0">SUM(F3:W3)</f>
        <v>118</v>
      </c>
      <c r="F3" s="9">
        <f>SUMIFS([0]!psuv,[0]!municipio,$B3,[0]!turno,F$2)</f>
        <v>4</v>
      </c>
      <c r="G3" s="9">
        <f>SUMIFS([0]!psuv,[0]!municipio,$B3,[0]!turno,G$2)</f>
        <v>7</v>
      </c>
      <c r="H3" s="9">
        <f>SUMIFS([0]!psuv,[0]!municipio,$B3,[0]!turno,H$2)</f>
        <v>10</v>
      </c>
      <c r="I3" s="9">
        <f>SUMIFS([0]!psuv,[0]!municipio,$B3,[0]!turno,I$2)</f>
        <v>3</v>
      </c>
      <c r="J3" s="9">
        <f>SUMIFS([0]!psuv,[0]!municipio,$B3,[0]!turno,J$2)</f>
        <v>5</v>
      </c>
      <c r="K3" s="9">
        <f>SUMIFS([0]!psuv,[0]!municipio,$B3,[0]!turno,K$2)</f>
        <v>9</v>
      </c>
      <c r="L3" s="9">
        <f>SUMIFS([0]!psuv,[0]!municipio,$B3,[0]!turno,L$2)</f>
        <v>8</v>
      </c>
      <c r="M3" s="9">
        <f>SUMIFS([0]!psuv,[0]!municipio,$B3,[0]!turno,M$2)</f>
        <v>9</v>
      </c>
      <c r="N3" s="9">
        <f>SUMIFS([0]!psuv,[0]!municipio,$B3,[0]!turno,N$2)</f>
        <v>11</v>
      </c>
      <c r="O3" s="9">
        <f>SUMIFS([0]!psuv,[0]!municipio,$B3,[0]!turno,O$2)</f>
        <v>0</v>
      </c>
      <c r="P3" s="9">
        <f>SUMIFS([0]!psuv,[0]!municipio,$B3,[0]!turno,P$2)</f>
        <v>8</v>
      </c>
      <c r="Q3" s="9">
        <f>SUMIFS([0]!psuv,[0]!municipio,$B3,[0]!turno,Q$2)</f>
        <v>9</v>
      </c>
      <c r="R3" s="9">
        <f>SUMIFS([0]!psuv,[0]!municipio,$B3,[0]!turno,R$2)</f>
        <v>6</v>
      </c>
      <c r="S3" s="9">
        <f>SUMIFS([0]!psuv,[0]!municipio,$B3,[0]!turno,S$2)</f>
        <v>4</v>
      </c>
      <c r="T3" s="9">
        <f>SUMIFS([0]!psuv,[0]!municipio,$B3,[0]!turno,T$2)</f>
        <v>9</v>
      </c>
      <c r="U3" s="9">
        <f>SUMIFS([0]!psuv,[0]!municipio,$B3,[0]!turno,U$2)</f>
        <v>5</v>
      </c>
      <c r="V3" s="9">
        <f>SUMIFS([0]!psuv,[0]!municipio,$B3,[0]!turno,V$2)</f>
        <v>6</v>
      </c>
      <c r="W3" s="25">
        <f>SUMIFS([0]!psuv,[0]!municipio,$B3,[0]!turno,W$2)</f>
        <v>5</v>
      </c>
    </row>
    <row r="4" spans="2:23" x14ac:dyDescent="0.25">
      <c r="B4" s="20" t="s">
        <v>100</v>
      </c>
      <c r="C4" s="4" t="s">
        <v>107</v>
      </c>
      <c r="D4" s="37">
        <f>IF((E3+E4+E5)=0,0,E4/(E3+E4+E5))</f>
        <v>0.53174603174603174</v>
      </c>
      <c r="E4" s="5">
        <f t="shared" si="0"/>
        <v>134</v>
      </c>
      <c r="F4" s="5">
        <f>SUMIFS([0]!mud,[0]!municipio,$B3,[0]!turno,F$2)</f>
        <v>5</v>
      </c>
      <c r="G4" s="5">
        <f>SUMIFS([0]!mud,[0]!municipio,$B3,[0]!turno,G$2)</f>
        <v>4</v>
      </c>
      <c r="H4" s="5">
        <f>SUMIFS([0]!mud,[0]!municipio,$B3,[0]!turno,H$2)</f>
        <v>5</v>
      </c>
      <c r="I4" s="5">
        <f>SUMIFS([0]!mud,[0]!municipio,$B3,[0]!turno,I$2)</f>
        <v>9</v>
      </c>
      <c r="J4" s="5">
        <f>SUMIFS([0]!mud,[0]!municipio,$B3,[0]!turno,J$2)</f>
        <v>12</v>
      </c>
      <c r="K4" s="5">
        <f>SUMIFS([0]!mud,[0]!municipio,$B3,[0]!turno,K$2)</f>
        <v>7</v>
      </c>
      <c r="L4" s="5">
        <f>SUMIFS([0]!mud,[0]!municipio,$B3,[0]!turno,L$2)</f>
        <v>5</v>
      </c>
      <c r="M4" s="5">
        <f>SUMIFS([0]!mud,[0]!municipio,$B3,[0]!turno,M$2)</f>
        <v>13</v>
      </c>
      <c r="N4" s="5">
        <f>SUMIFS([0]!mud,[0]!municipio,$B3,[0]!turno,N$2)</f>
        <v>9</v>
      </c>
      <c r="O4" s="5">
        <f>SUMIFS([0]!mud,[0]!municipio,$B3,[0]!turno,O$2)</f>
        <v>0</v>
      </c>
      <c r="P4" s="5">
        <f>SUMIFS([0]!mud,[0]!municipio,$B3,[0]!turno,P$2)</f>
        <v>6</v>
      </c>
      <c r="Q4" s="5">
        <f>SUMIFS([0]!mud,[0]!municipio,$B3,[0]!turno,Q$2)</f>
        <v>7</v>
      </c>
      <c r="R4" s="5">
        <f>SUMIFS([0]!mud,[0]!municipio,$B3,[0]!turno,R$2)</f>
        <v>12</v>
      </c>
      <c r="S4" s="5">
        <f>SUMIFS([0]!mud,[0]!municipio,$B3,[0]!turno,S$2)</f>
        <v>6</v>
      </c>
      <c r="T4" s="5">
        <f>SUMIFS([0]!mud,[0]!municipio,$B3,[0]!turno,T$2)</f>
        <v>6</v>
      </c>
      <c r="U4" s="5">
        <f>SUMIFS([0]!mud,[0]!municipio,$B3,[0]!turno,U$2)</f>
        <v>11</v>
      </c>
      <c r="V4" s="5">
        <f>SUMIFS([0]!mud,[0]!municipio,$B3,[0]!turno,V$2)</f>
        <v>7</v>
      </c>
      <c r="W4" s="26">
        <f>SUMIFS([0]!mud,[0]!municipio,$B3,[0]!turno,W$2)</f>
        <v>10</v>
      </c>
    </row>
    <row r="5" spans="2:23" ht="15.75" thickBot="1" x14ac:dyDescent="0.3">
      <c r="B5" s="21">
        <v>0.1076663063591228</v>
      </c>
      <c r="C5" s="10" t="s">
        <v>0</v>
      </c>
      <c r="D5" s="38">
        <f>IF((E3+E4+E5)=0,0,E5/(E3+E4+E5))</f>
        <v>0</v>
      </c>
      <c r="E5" s="11">
        <f t="shared" si="0"/>
        <v>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22">
        <v>28</v>
      </c>
      <c r="C6" s="6" t="s">
        <v>106</v>
      </c>
      <c r="D6" s="36">
        <f>IF((E6+E7+E8)=0,0,E6/(E6+E7+E8))</f>
        <v>0.56653992395437258</v>
      </c>
      <c r="E6" s="7">
        <f t="shared" si="0"/>
        <v>149</v>
      </c>
      <c r="F6" s="7">
        <f>SUMIFS([0]!psuv,[0]!municipio,$B6,[0]!turno,F$2)</f>
        <v>10</v>
      </c>
      <c r="G6" s="7">
        <f>SUMIFS([0]!psuv,[0]!municipio,$B6,[0]!turno,G$2)</f>
        <v>9</v>
      </c>
      <c r="H6" s="7">
        <f>SUMIFS([0]!psuv,[0]!municipio,$B6,[0]!turno,H$2)</f>
        <v>13</v>
      </c>
      <c r="I6" s="7">
        <f>SUMIFS([0]!psuv,[0]!municipio,$B6,[0]!turno,I$2)</f>
        <v>9</v>
      </c>
      <c r="J6" s="7">
        <f>SUMIFS([0]!psuv,[0]!municipio,$B6,[0]!turno,J$2)</f>
        <v>15</v>
      </c>
      <c r="K6" s="7">
        <f>SUMIFS([0]!psuv,[0]!municipio,$B6,[0]!turno,K$2)</f>
        <v>11</v>
      </c>
      <c r="L6" s="7">
        <f>SUMIFS([0]!psuv,[0]!municipio,$B6,[0]!turno,L$2)</f>
        <v>20</v>
      </c>
      <c r="M6" s="7">
        <f>SUMIFS([0]!psuv,[0]!municipio,$B6,[0]!turno,M$2)</f>
        <v>13</v>
      </c>
      <c r="N6" s="7">
        <f>SUMIFS([0]!psuv,[0]!municipio,$B6,[0]!turno,N$2)</f>
        <v>6</v>
      </c>
      <c r="O6" s="7">
        <f>SUMIFS([0]!psuv,[0]!municipio,$B6,[0]!turno,O$2)</f>
        <v>0</v>
      </c>
      <c r="P6" s="7">
        <f>SUMIFS([0]!psuv,[0]!municipio,$B6,[0]!turno,P$2)</f>
        <v>0</v>
      </c>
      <c r="Q6" s="7">
        <f>SUMIFS([0]!psuv,[0]!municipio,$B6,[0]!turno,Q$2)</f>
        <v>11</v>
      </c>
      <c r="R6" s="7">
        <f>SUMIFS([0]!psuv,[0]!municipio,$B6,[0]!turno,R$2)</f>
        <v>6</v>
      </c>
      <c r="S6" s="7">
        <f>SUMIFS([0]!psuv,[0]!municipio,$B6,[0]!turno,S$2)</f>
        <v>7</v>
      </c>
      <c r="T6" s="7">
        <f>SUMIFS([0]!psuv,[0]!municipio,$B6,[0]!turno,T$2)</f>
        <v>7</v>
      </c>
      <c r="U6" s="7">
        <f>SUMIFS([0]!psuv,[0]!municipio,$B6,[0]!turno,U$2)</f>
        <v>3</v>
      </c>
      <c r="V6" s="7">
        <f>SUMIFS([0]!psuv,[0]!municipio,$B6,[0]!turno,V$2)</f>
        <v>6</v>
      </c>
      <c r="W6" s="28">
        <f>SUMIFS([0]!psuv,[0]!municipio,$B6,[0]!turno,W$2)</f>
        <v>3</v>
      </c>
    </row>
    <row r="7" spans="2:23" x14ac:dyDescent="0.25">
      <c r="B7" s="23" t="s">
        <v>158</v>
      </c>
      <c r="C7" s="4" t="s">
        <v>107</v>
      </c>
      <c r="D7" s="37">
        <f>IF((E6+E7+E8)=0,0,E7/(E6+E7+E8))</f>
        <v>0.37262357414448671</v>
      </c>
      <c r="E7" s="5">
        <f t="shared" si="0"/>
        <v>98</v>
      </c>
      <c r="F7" s="5">
        <f>SUMIFS([0]!mud,[0]!municipio,$B6,[0]!turno,F$2)</f>
        <v>1</v>
      </c>
      <c r="G7" s="5">
        <f>SUMIFS([0]!mud,[0]!municipio,$B6,[0]!turno,G$2)</f>
        <v>1</v>
      </c>
      <c r="H7" s="5">
        <f>SUMIFS([0]!mud,[0]!municipio,$B6,[0]!turno,H$2)</f>
        <v>3</v>
      </c>
      <c r="I7" s="5">
        <f>SUMIFS([0]!mud,[0]!municipio,$B6,[0]!turno,I$2)</f>
        <v>8</v>
      </c>
      <c r="J7" s="5">
        <f>SUMIFS([0]!mud,[0]!municipio,$B6,[0]!turno,J$2)</f>
        <v>13</v>
      </c>
      <c r="K7" s="5">
        <f>SUMIFS([0]!mud,[0]!municipio,$B6,[0]!turno,K$2)</f>
        <v>7</v>
      </c>
      <c r="L7" s="5">
        <f>SUMIFS([0]!mud,[0]!municipio,$B6,[0]!turno,L$2)</f>
        <v>5</v>
      </c>
      <c r="M7" s="5">
        <f>SUMIFS([0]!mud,[0]!municipio,$B6,[0]!turno,M$2)</f>
        <v>11</v>
      </c>
      <c r="N7" s="5">
        <f>SUMIFS([0]!mud,[0]!municipio,$B6,[0]!turno,N$2)</f>
        <v>5</v>
      </c>
      <c r="O7" s="5">
        <f>SUMIFS([0]!mud,[0]!municipio,$B6,[0]!turno,O$2)</f>
        <v>0</v>
      </c>
      <c r="P7" s="5">
        <f>SUMIFS([0]!mud,[0]!municipio,$B6,[0]!turno,P$2)</f>
        <v>0</v>
      </c>
      <c r="Q7" s="5">
        <f>SUMIFS([0]!mud,[0]!municipio,$B6,[0]!turno,Q$2)</f>
        <v>8</v>
      </c>
      <c r="R7" s="5">
        <f>SUMIFS([0]!mud,[0]!municipio,$B6,[0]!turno,R$2)</f>
        <v>6</v>
      </c>
      <c r="S7" s="5">
        <f>SUMIFS([0]!mud,[0]!municipio,$B6,[0]!turno,S$2)</f>
        <v>0</v>
      </c>
      <c r="T7" s="5">
        <f>SUMIFS([0]!mud,[0]!municipio,$B6,[0]!turno,T$2)</f>
        <v>6</v>
      </c>
      <c r="U7" s="5">
        <f>SUMIFS([0]!mud,[0]!municipio,$B6,[0]!turno,U$2)</f>
        <v>5</v>
      </c>
      <c r="V7" s="5">
        <f>SUMIFS([0]!mud,[0]!municipio,$B6,[0]!turno,V$2)</f>
        <v>12</v>
      </c>
      <c r="W7" s="26">
        <f>SUMIFS([0]!mud,[0]!municipio,$B6,[0]!turno,W$2)</f>
        <v>7</v>
      </c>
    </row>
    <row r="8" spans="2:23" ht="15.75" thickBot="1" x14ac:dyDescent="0.3">
      <c r="B8" s="24">
        <v>6.333244783174248E-2</v>
      </c>
      <c r="C8" s="12" t="s">
        <v>0</v>
      </c>
      <c r="D8" s="38">
        <f>IF((E6+E7+E8)=0,0,E8/(E6+E7+E8))</f>
        <v>6.0836501901140684E-2</v>
      </c>
      <c r="E8" s="13">
        <f t="shared" si="0"/>
        <v>16</v>
      </c>
      <c r="F8" s="13">
        <f>SUMIFS([0]!otro,[0]!municipio,$B6,[0]!turno,F$2)</f>
        <v>0</v>
      </c>
      <c r="G8" s="13">
        <f>SUMIFS([0]!otro,[0]!municipio,$B6,[0]!turno,G$2)</f>
        <v>1</v>
      </c>
      <c r="H8" s="13">
        <f>SUMIFS([0]!otro,[0]!municipio,$B6,[0]!turno,H$2)</f>
        <v>5</v>
      </c>
      <c r="I8" s="13">
        <f>SUMIFS([0]!otro,[0]!municipio,$B6,[0]!turno,I$2)</f>
        <v>3</v>
      </c>
      <c r="J8" s="13">
        <f>SUMIFS([0]!otro,[0]!municipio,$B6,[0]!turno,J$2)</f>
        <v>2</v>
      </c>
      <c r="K8" s="13">
        <f>SUMIFS([0]!otro,[0]!municipio,$B6,[0]!turno,K$2)</f>
        <v>0</v>
      </c>
      <c r="L8" s="13">
        <f>SUMIFS([0]!otro,[0]!municipio,$B6,[0]!turno,L$2)</f>
        <v>1</v>
      </c>
      <c r="M8" s="13">
        <f>SUMIFS([0]!otro,[0]!municipio,$B6,[0]!turno,M$2)</f>
        <v>0</v>
      </c>
      <c r="N8" s="13">
        <f>SUMIFS([0]!otro,[0]!municipio,$B6,[0]!turno,N$2)</f>
        <v>1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3</v>
      </c>
      <c r="S8" s="13">
        <f>SUMIFS([0]!otro,[0]!municipio,$B6,[0]!turno,S$2)</f>
        <v>0</v>
      </c>
      <c r="T8" s="13">
        <f>SUMIFS([0]!otro,[0]!municipio,$B6,[0]!turno,T$2)</f>
        <v>0</v>
      </c>
      <c r="U8" s="13">
        <f>SUMIFS([0]!otro,[0]!municipio,$B6,[0]!turno,U$2)</f>
        <v>0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x14ac:dyDescent="0.25">
      <c r="B9" s="19">
        <v>29</v>
      </c>
      <c r="C9" s="8" t="s">
        <v>106</v>
      </c>
      <c r="D9" s="36">
        <f>IF((E9+E10+E11)=0,0,E9/(E9+E10+E11))</f>
        <v>0.36332767402376909</v>
      </c>
      <c r="E9" s="9">
        <f t="shared" si="0"/>
        <v>428</v>
      </c>
      <c r="F9" s="9">
        <f>SUMIFS([0]!psuv,[0]!municipio,$B9,[0]!turno,F$2)</f>
        <v>12</v>
      </c>
      <c r="G9" s="9">
        <f>SUMIFS([0]!psuv,[0]!municipio,$B9,[0]!turno,G$2)</f>
        <v>28</v>
      </c>
      <c r="H9" s="9">
        <f>SUMIFS([0]!psuv,[0]!municipio,$B9,[0]!turno,H$2)</f>
        <v>25</v>
      </c>
      <c r="I9" s="9">
        <f>SUMIFS([0]!psuv,[0]!municipio,$B9,[0]!turno,I$2)</f>
        <v>40</v>
      </c>
      <c r="J9" s="9">
        <f>SUMIFS([0]!psuv,[0]!municipio,$B9,[0]!turno,J$2)</f>
        <v>48</v>
      </c>
      <c r="K9" s="9">
        <f>SUMIFS([0]!psuv,[0]!municipio,$B9,[0]!turno,K$2)</f>
        <v>37</v>
      </c>
      <c r="L9" s="9">
        <f>SUMIFS([0]!psuv,[0]!municipio,$B9,[0]!turno,L$2)</f>
        <v>39</v>
      </c>
      <c r="M9" s="9">
        <f>SUMIFS([0]!psuv,[0]!municipio,$B9,[0]!turno,M$2)</f>
        <v>23</v>
      </c>
      <c r="N9" s="9">
        <f>SUMIFS([0]!psuv,[0]!municipio,$B9,[0]!turno,N$2)</f>
        <v>19</v>
      </c>
      <c r="O9" s="9">
        <f>SUMIFS([0]!psuv,[0]!municipio,$B9,[0]!turno,O$2)</f>
        <v>0</v>
      </c>
      <c r="P9" s="9">
        <f>SUMIFS([0]!psuv,[0]!municipio,$B9,[0]!turno,P$2)</f>
        <v>32</v>
      </c>
      <c r="Q9" s="9">
        <f>SUMIFS([0]!psuv,[0]!municipio,$B9,[0]!turno,Q$2)</f>
        <v>19</v>
      </c>
      <c r="R9" s="9">
        <f>SUMIFS([0]!psuv,[0]!municipio,$B9,[0]!turno,R$2)</f>
        <v>25</v>
      </c>
      <c r="S9" s="9">
        <f>SUMIFS([0]!psuv,[0]!municipio,$B9,[0]!turno,S$2)</f>
        <v>18</v>
      </c>
      <c r="T9" s="9">
        <f>SUMIFS([0]!psuv,[0]!municipio,$B9,[0]!turno,T$2)</f>
        <v>17</v>
      </c>
      <c r="U9" s="9">
        <f>SUMIFS([0]!psuv,[0]!municipio,$B9,[0]!turno,U$2)</f>
        <v>11</v>
      </c>
      <c r="V9" s="9">
        <f>SUMIFS([0]!psuv,[0]!municipio,$B9,[0]!turno,V$2)</f>
        <v>24</v>
      </c>
      <c r="W9" s="25">
        <f>SUMIFS([0]!psuv,[0]!municipio,$B9,[0]!turno,W$2)</f>
        <v>11</v>
      </c>
    </row>
    <row r="10" spans="2:23" x14ac:dyDescent="0.25">
      <c r="B10" s="20" t="s">
        <v>21</v>
      </c>
      <c r="C10" s="4" t="s">
        <v>107</v>
      </c>
      <c r="D10" s="37">
        <f>IF((E9+E10+E11)=0,0,E10/(E9+E10+E11))</f>
        <v>0.61375212224108655</v>
      </c>
      <c r="E10" s="5">
        <f t="shared" si="0"/>
        <v>723</v>
      </c>
      <c r="F10" s="5">
        <f>SUMIFS([0]!mud,[0]!municipio,$B9,[0]!turno,F$2)</f>
        <v>30</v>
      </c>
      <c r="G10" s="5">
        <f>SUMIFS([0]!mud,[0]!municipio,$B9,[0]!turno,G$2)</f>
        <v>29</v>
      </c>
      <c r="H10" s="5">
        <f>SUMIFS([0]!mud,[0]!municipio,$B9,[0]!turno,H$2)</f>
        <v>51</v>
      </c>
      <c r="I10" s="5">
        <f>SUMIFS([0]!mud,[0]!municipio,$B9,[0]!turno,I$2)</f>
        <v>39</v>
      </c>
      <c r="J10" s="5">
        <f>SUMIFS([0]!mud,[0]!municipio,$B9,[0]!turno,J$2)</f>
        <v>49</v>
      </c>
      <c r="K10" s="5">
        <f>SUMIFS([0]!mud,[0]!municipio,$B9,[0]!turno,K$2)</f>
        <v>50</v>
      </c>
      <c r="L10" s="5">
        <f>SUMIFS([0]!mud,[0]!municipio,$B9,[0]!turno,L$2)</f>
        <v>55</v>
      </c>
      <c r="M10" s="5">
        <f>SUMIFS([0]!mud,[0]!municipio,$B9,[0]!turno,M$2)</f>
        <v>61</v>
      </c>
      <c r="N10" s="5">
        <f>SUMIFS([0]!mud,[0]!municipio,$B9,[0]!turno,N$2)</f>
        <v>62</v>
      </c>
      <c r="O10" s="5">
        <f>SUMIFS([0]!mud,[0]!municipio,$B9,[0]!turno,O$2)</f>
        <v>0</v>
      </c>
      <c r="P10" s="5">
        <f>SUMIFS([0]!mud,[0]!municipio,$B9,[0]!turno,P$2)</f>
        <v>42</v>
      </c>
      <c r="Q10" s="5">
        <f>SUMIFS([0]!mud,[0]!municipio,$B9,[0]!turno,Q$2)</f>
        <v>51</v>
      </c>
      <c r="R10" s="5">
        <f>SUMIFS([0]!mud,[0]!municipio,$B9,[0]!turno,R$2)</f>
        <v>55</v>
      </c>
      <c r="S10" s="5">
        <f>SUMIFS([0]!mud,[0]!municipio,$B9,[0]!turno,S$2)</f>
        <v>39</v>
      </c>
      <c r="T10" s="5">
        <f>SUMIFS([0]!mud,[0]!municipio,$B9,[0]!turno,T$2)</f>
        <v>32</v>
      </c>
      <c r="U10" s="5">
        <f>SUMIFS([0]!mud,[0]!municipio,$B9,[0]!turno,U$2)</f>
        <v>15</v>
      </c>
      <c r="V10" s="5">
        <f>SUMIFS([0]!mud,[0]!municipio,$B9,[0]!turno,V$2)</f>
        <v>40</v>
      </c>
      <c r="W10" s="26">
        <f>SUMIFS([0]!mud,[0]!municipio,$B9,[0]!turno,W$2)</f>
        <v>23</v>
      </c>
    </row>
    <row r="11" spans="2:23" ht="15.75" thickBot="1" x14ac:dyDescent="0.3">
      <c r="B11" s="21">
        <v>0.50518934466775367</v>
      </c>
      <c r="C11" s="10" t="s">
        <v>0</v>
      </c>
      <c r="D11" s="38">
        <f>IF((E9+E10+E11)=0,0,E11/(E9+E10+E11))</f>
        <v>2.2920203735144314E-2</v>
      </c>
      <c r="E11" s="11">
        <f t="shared" si="0"/>
        <v>27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6</v>
      </c>
      <c r="I11" s="11">
        <f>SUMIFS([0]!otro,[0]!municipio,$B9,[0]!turno,I$2)</f>
        <v>3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8</v>
      </c>
      <c r="N11" s="11">
        <f>SUMIFS([0]!otro,[0]!municipio,$B9,[0]!turno,N$2)</f>
        <v>1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2</v>
      </c>
      <c r="R11" s="11">
        <f>SUMIFS([0]!otro,[0]!municipio,$B9,[0]!turno,R$2)</f>
        <v>2</v>
      </c>
      <c r="S11" s="11">
        <f>SUMIFS([0]!otro,[0]!municipio,$B9,[0]!turno,S$2)</f>
        <v>0</v>
      </c>
      <c r="T11" s="11">
        <f>SUMIFS([0]!otro,[0]!municipio,$B9,[0]!turno,T$2)</f>
        <v>1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4</v>
      </c>
    </row>
    <row r="12" spans="2:23" x14ac:dyDescent="0.25">
      <c r="B12" s="22">
        <v>30</v>
      </c>
      <c r="C12" s="6" t="s">
        <v>106</v>
      </c>
      <c r="D12" s="36">
        <f>IF((E12+E13+E14)=0,0,E12/(E12+E13+E14))</f>
        <v>0.68018018018018023</v>
      </c>
      <c r="E12" s="7">
        <f t="shared" si="0"/>
        <v>151</v>
      </c>
      <c r="F12" s="7">
        <f>SUMIFS([0]!psuv,[0]!municipio,$B12,[0]!turno,F$2)</f>
        <v>18</v>
      </c>
      <c r="G12" s="7">
        <f>SUMIFS([0]!psuv,[0]!municipio,$B12,[0]!turno,G$2)</f>
        <v>15</v>
      </c>
      <c r="H12" s="7">
        <f>SUMIFS([0]!psuv,[0]!municipio,$B12,[0]!turno,H$2)</f>
        <v>0</v>
      </c>
      <c r="I12" s="7">
        <f>SUMIFS([0]!psuv,[0]!municipio,$B12,[0]!turno,I$2)</f>
        <v>8</v>
      </c>
      <c r="J12" s="7">
        <f>SUMIFS([0]!psuv,[0]!municipio,$B12,[0]!turno,J$2)</f>
        <v>16</v>
      </c>
      <c r="K12" s="7">
        <f>SUMIFS([0]!psuv,[0]!municipio,$B12,[0]!turno,K$2)</f>
        <v>8</v>
      </c>
      <c r="L12" s="7">
        <f>SUMIFS([0]!psuv,[0]!municipio,$B12,[0]!turno,L$2)</f>
        <v>10</v>
      </c>
      <c r="M12" s="7">
        <f>SUMIFS([0]!psuv,[0]!municipio,$B12,[0]!turno,M$2)</f>
        <v>6</v>
      </c>
      <c r="N12" s="7">
        <f>SUMIFS([0]!psuv,[0]!municipio,$B12,[0]!turno,N$2)</f>
        <v>0</v>
      </c>
      <c r="O12" s="7">
        <f>SUMIFS([0]!psuv,[0]!municipio,$B12,[0]!turno,O$2)</f>
        <v>0</v>
      </c>
      <c r="P12" s="7">
        <f>SUMIFS([0]!psuv,[0]!municipio,$B12,[0]!turno,P$2)</f>
        <v>11</v>
      </c>
      <c r="Q12" s="7">
        <f>SUMIFS([0]!psuv,[0]!municipio,$B12,[0]!turno,Q$2)</f>
        <v>7</v>
      </c>
      <c r="R12" s="7">
        <f>SUMIFS([0]!psuv,[0]!municipio,$B12,[0]!turno,R$2)</f>
        <v>7</v>
      </c>
      <c r="S12" s="7">
        <f>SUMIFS([0]!psuv,[0]!municipio,$B12,[0]!turno,S$2)</f>
        <v>8</v>
      </c>
      <c r="T12" s="7">
        <f>SUMIFS([0]!psuv,[0]!municipio,$B12,[0]!turno,T$2)</f>
        <v>0</v>
      </c>
      <c r="U12" s="7">
        <f>SUMIFS([0]!psuv,[0]!municipio,$B12,[0]!turno,U$2)</f>
        <v>4</v>
      </c>
      <c r="V12" s="7">
        <f>SUMIFS([0]!psuv,[0]!municipio,$B12,[0]!turno,V$2)</f>
        <v>13</v>
      </c>
      <c r="W12" s="28">
        <f>SUMIFS([0]!psuv,[0]!municipio,$B12,[0]!turno,W$2)</f>
        <v>20</v>
      </c>
    </row>
    <row r="13" spans="2:23" x14ac:dyDescent="0.25">
      <c r="B13" s="23" t="s">
        <v>5</v>
      </c>
      <c r="C13" s="4" t="s">
        <v>107</v>
      </c>
      <c r="D13" s="37">
        <f>IF((E12+E13+E14)=0,0,E13/(E12+E13+E14))</f>
        <v>0.3108108108108108</v>
      </c>
      <c r="E13" s="5">
        <f t="shared" si="0"/>
        <v>69</v>
      </c>
      <c r="F13" s="5">
        <f>SUMIFS([0]!mud,[0]!municipio,$B12,[0]!turno,F$2)</f>
        <v>11</v>
      </c>
      <c r="G13" s="5">
        <f>SUMIFS([0]!mud,[0]!municipio,$B12,[0]!turno,G$2)</f>
        <v>15</v>
      </c>
      <c r="H13" s="5">
        <f>SUMIFS([0]!mud,[0]!municipio,$B12,[0]!turno,H$2)</f>
        <v>0</v>
      </c>
      <c r="I13" s="5">
        <f>SUMIFS([0]!mud,[0]!municipio,$B12,[0]!turno,I$2)</f>
        <v>1</v>
      </c>
      <c r="J13" s="5">
        <f>SUMIFS([0]!mud,[0]!municipio,$B12,[0]!turno,J$2)</f>
        <v>6</v>
      </c>
      <c r="K13" s="5">
        <f>SUMIFS([0]!mud,[0]!municipio,$B12,[0]!turno,K$2)</f>
        <v>3</v>
      </c>
      <c r="L13" s="5">
        <f>SUMIFS([0]!mud,[0]!municipio,$B12,[0]!turno,L$2)</f>
        <v>4</v>
      </c>
      <c r="M13" s="5">
        <f>SUMIFS([0]!mud,[0]!municipio,$B12,[0]!turno,M$2)</f>
        <v>0</v>
      </c>
      <c r="N13" s="5">
        <f>SUMIFS([0]!mud,[0]!municipio,$B12,[0]!turno,N$2)</f>
        <v>0</v>
      </c>
      <c r="O13" s="5">
        <f>SUMIFS([0]!mud,[0]!municipio,$B12,[0]!turno,O$2)</f>
        <v>0</v>
      </c>
      <c r="P13" s="5">
        <f>SUMIFS([0]!mud,[0]!municipio,$B12,[0]!turno,P$2)</f>
        <v>2</v>
      </c>
      <c r="Q13" s="5">
        <f>SUMIFS([0]!mud,[0]!municipio,$B12,[0]!turno,Q$2)</f>
        <v>3</v>
      </c>
      <c r="R13" s="5">
        <f>SUMIFS([0]!mud,[0]!municipio,$B12,[0]!turno,R$2)</f>
        <v>7</v>
      </c>
      <c r="S13" s="5">
        <f>SUMIFS([0]!mud,[0]!municipio,$B12,[0]!turno,S$2)</f>
        <v>2</v>
      </c>
      <c r="T13" s="5">
        <f>SUMIFS([0]!mud,[0]!municipio,$B12,[0]!turno,T$2)</f>
        <v>0</v>
      </c>
      <c r="U13" s="5">
        <f>SUMIFS([0]!mud,[0]!municipio,$B12,[0]!turno,U$2)</f>
        <v>5</v>
      </c>
      <c r="V13" s="5">
        <f>SUMIFS([0]!mud,[0]!municipio,$B12,[0]!turno,V$2)</f>
        <v>2</v>
      </c>
      <c r="W13" s="26">
        <f>SUMIFS([0]!mud,[0]!municipio,$B12,[0]!turno,W$2)</f>
        <v>8</v>
      </c>
    </row>
    <row r="14" spans="2:23" ht="15.75" thickBot="1" x14ac:dyDescent="0.3">
      <c r="B14" s="24">
        <v>8.2060806478207501E-2</v>
      </c>
      <c r="C14" s="12" t="s">
        <v>0</v>
      </c>
      <c r="D14" s="38">
        <f>IF((E12+E13+E14)=0,0,E14/(E12+E13+E14))</f>
        <v>9.0090090090090089E-3</v>
      </c>
      <c r="E14" s="13">
        <f t="shared" si="0"/>
        <v>2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1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1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31</v>
      </c>
      <c r="C15" s="8" t="s">
        <v>106</v>
      </c>
      <c r="D15" s="36">
        <f>IF((E15+E16+E17)=0,0,E15/(E15+E16+E17))</f>
        <v>0.62864077669902918</v>
      </c>
      <c r="E15" s="9">
        <f t="shared" si="0"/>
        <v>259</v>
      </c>
      <c r="F15" s="9">
        <f>SUMIFS([0]!psuv,[0]!municipio,$B15,[0]!turno,F$2)</f>
        <v>15</v>
      </c>
      <c r="G15" s="9">
        <f>SUMIFS([0]!psuv,[0]!municipio,$B15,[0]!turno,G$2)</f>
        <v>0</v>
      </c>
      <c r="H15" s="9">
        <f>SUMIFS([0]!psuv,[0]!municipio,$B15,[0]!turno,H$2)</f>
        <v>14</v>
      </c>
      <c r="I15" s="9">
        <f>SUMIFS([0]!psuv,[0]!municipio,$B15,[0]!turno,I$2)</f>
        <v>15</v>
      </c>
      <c r="J15" s="9">
        <f>SUMIFS([0]!psuv,[0]!municipio,$B15,[0]!turno,J$2)</f>
        <v>20</v>
      </c>
      <c r="K15" s="9">
        <f>SUMIFS([0]!psuv,[0]!municipio,$B15,[0]!turno,K$2)</f>
        <v>30</v>
      </c>
      <c r="L15" s="9">
        <f>SUMIFS([0]!psuv,[0]!municipio,$B15,[0]!turno,L$2)</f>
        <v>10</v>
      </c>
      <c r="M15" s="9">
        <f>SUMIFS([0]!psuv,[0]!municipio,$B15,[0]!turno,M$2)</f>
        <v>19</v>
      </c>
      <c r="N15" s="9">
        <f>SUMIFS([0]!psuv,[0]!municipio,$B15,[0]!turno,N$2)</f>
        <v>5</v>
      </c>
      <c r="O15" s="9">
        <f>SUMIFS([0]!psuv,[0]!municipio,$B15,[0]!turno,O$2)</f>
        <v>0</v>
      </c>
      <c r="P15" s="9">
        <f>SUMIFS([0]!psuv,[0]!municipio,$B15,[0]!turno,P$2)</f>
        <v>18</v>
      </c>
      <c r="Q15" s="9">
        <f>SUMIFS([0]!psuv,[0]!municipio,$B15,[0]!turno,Q$2)</f>
        <v>28</v>
      </c>
      <c r="R15" s="9">
        <f>SUMIFS([0]!psuv,[0]!municipio,$B15,[0]!turno,R$2)</f>
        <v>10</v>
      </c>
      <c r="S15" s="9">
        <f>SUMIFS([0]!psuv,[0]!municipio,$B15,[0]!turno,S$2)</f>
        <v>17</v>
      </c>
      <c r="T15" s="9">
        <f>SUMIFS([0]!psuv,[0]!municipio,$B15,[0]!turno,T$2)</f>
        <v>27</v>
      </c>
      <c r="U15" s="9">
        <f>SUMIFS([0]!psuv,[0]!municipio,$B15,[0]!turno,U$2)</f>
        <v>15</v>
      </c>
      <c r="V15" s="9">
        <f>SUMIFS([0]!psuv,[0]!municipio,$B15,[0]!turno,V$2)</f>
        <v>3</v>
      </c>
      <c r="W15" s="25">
        <f>SUMIFS([0]!psuv,[0]!municipio,$B15,[0]!turno,W$2)</f>
        <v>13</v>
      </c>
    </row>
    <row r="16" spans="2:23" x14ac:dyDescent="0.25">
      <c r="B16" s="20" t="s">
        <v>22</v>
      </c>
      <c r="C16" s="4" t="s">
        <v>107</v>
      </c>
      <c r="D16" s="37">
        <f>IF((E15+E16+E17)=0,0,E16/(E15+E16+E17))</f>
        <v>0.3300970873786408</v>
      </c>
      <c r="E16" s="5">
        <f t="shared" si="0"/>
        <v>136</v>
      </c>
      <c r="F16" s="5">
        <f>SUMIFS([0]!mud,[0]!municipio,$B15,[0]!turno,F$2)</f>
        <v>5</v>
      </c>
      <c r="G16" s="5">
        <f>SUMIFS([0]!mud,[0]!municipio,$B15,[0]!turno,G$2)</f>
        <v>29</v>
      </c>
      <c r="H16" s="5">
        <f>SUMIFS([0]!mud,[0]!municipio,$B15,[0]!turno,H$2)</f>
        <v>2</v>
      </c>
      <c r="I16" s="5">
        <f>SUMIFS([0]!mud,[0]!municipio,$B15,[0]!turno,I$2)</f>
        <v>7</v>
      </c>
      <c r="J16" s="5">
        <f>SUMIFS([0]!mud,[0]!municipio,$B15,[0]!turno,J$2)</f>
        <v>10</v>
      </c>
      <c r="K16" s="5">
        <f>SUMIFS([0]!mud,[0]!municipio,$B15,[0]!turno,K$2)</f>
        <v>0</v>
      </c>
      <c r="L16" s="5">
        <f>SUMIFS([0]!mud,[0]!municipio,$B15,[0]!turno,L$2)</f>
        <v>5</v>
      </c>
      <c r="M16" s="5">
        <f>SUMIFS([0]!mud,[0]!municipio,$B15,[0]!turno,M$2)</f>
        <v>10</v>
      </c>
      <c r="N16" s="5">
        <f>SUMIFS([0]!mud,[0]!municipio,$B15,[0]!turno,N$2)</f>
        <v>4</v>
      </c>
      <c r="O16" s="5">
        <f>SUMIFS([0]!mud,[0]!municipio,$B15,[0]!turno,O$2)</f>
        <v>0</v>
      </c>
      <c r="P16" s="5">
        <f>SUMIFS([0]!mud,[0]!municipio,$B15,[0]!turno,P$2)</f>
        <v>10</v>
      </c>
      <c r="Q16" s="5">
        <f>SUMIFS([0]!mud,[0]!municipio,$B15,[0]!turno,Q$2)</f>
        <v>2</v>
      </c>
      <c r="R16" s="5">
        <f>SUMIFS([0]!mud,[0]!municipio,$B15,[0]!turno,R$2)</f>
        <v>18</v>
      </c>
      <c r="S16" s="5">
        <f>SUMIFS([0]!mud,[0]!municipio,$B15,[0]!turno,S$2)</f>
        <v>3</v>
      </c>
      <c r="T16" s="5">
        <f>SUMIFS([0]!mud,[0]!municipio,$B15,[0]!turno,T$2)</f>
        <v>2</v>
      </c>
      <c r="U16" s="5">
        <f>SUMIFS([0]!mud,[0]!municipio,$B15,[0]!turno,U$2)</f>
        <v>8</v>
      </c>
      <c r="V16" s="5">
        <f>SUMIFS([0]!mud,[0]!municipio,$B15,[0]!turno,V$2)</f>
        <v>11</v>
      </c>
      <c r="W16" s="26">
        <f>SUMIFS([0]!mud,[0]!municipio,$B15,[0]!turno,W$2)</f>
        <v>10</v>
      </c>
    </row>
    <row r="17" spans="2:23" ht="15.75" thickBot="1" x14ac:dyDescent="0.3">
      <c r="B17" s="21">
        <v>8.3121118296905633E-2</v>
      </c>
      <c r="C17" s="10" t="s">
        <v>0</v>
      </c>
      <c r="D17" s="38">
        <f>IF((E15+E16+E17)=0,0,E17/(E15+E16+E17))</f>
        <v>4.12621359223301E-2</v>
      </c>
      <c r="E17" s="11">
        <f t="shared" si="0"/>
        <v>17</v>
      </c>
      <c r="F17" s="11">
        <f>SUMIFS([0]!otro,[0]!municipio,$B15,[0]!turno,F$2)</f>
        <v>0</v>
      </c>
      <c r="G17" s="11">
        <f>SUMIFS([0]!otro,[0]!municipio,$B15,[0]!turno,G$2)</f>
        <v>1</v>
      </c>
      <c r="H17" s="11">
        <f>SUMIFS([0]!otro,[0]!municipio,$B15,[0]!turno,H$2)</f>
        <v>3</v>
      </c>
      <c r="I17" s="11">
        <f>SUMIFS([0]!otro,[0]!municipio,$B15,[0]!turno,I$2)</f>
        <v>1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5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2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5</v>
      </c>
    </row>
    <row r="18" spans="2:23" x14ac:dyDescent="0.25">
      <c r="B18" s="22">
        <v>32</v>
      </c>
      <c r="C18" s="6" t="s">
        <v>106</v>
      </c>
      <c r="D18" s="36">
        <f>IF((E18+E19+E20)=0,0,E18/(E18+E19+E20))</f>
        <v>0.45921450151057402</v>
      </c>
      <c r="E18" s="7">
        <f t="shared" si="0"/>
        <v>152</v>
      </c>
      <c r="F18" s="7">
        <f>SUMIFS([0]!psuv,[0]!municipio,$B18,[0]!turno,F$2)</f>
        <v>7</v>
      </c>
      <c r="G18" s="7">
        <f>SUMIFS([0]!psuv,[0]!municipio,$B18,[0]!turno,G$2)</f>
        <v>12</v>
      </c>
      <c r="H18" s="7">
        <f>SUMIFS([0]!psuv,[0]!municipio,$B18,[0]!turno,H$2)</f>
        <v>15</v>
      </c>
      <c r="I18" s="7">
        <f>SUMIFS([0]!psuv,[0]!municipio,$B18,[0]!turno,I$2)</f>
        <v>9</v>
      </c>
      <c r="J18" s="7">
        <f>SUMIFS([0]!psuv,[0]!municipio,$B18,[0]!turno,J$2)</f>
        <v>4</v>
      </c>
      <c r="K18" s="7">
        <f>SUMIFS([0]!psuv,[0]!municipio,$B18,[0]!turno,K$2)</f>
        <v>10</v>
      </c>
      <c r="L18" s="7">
        <f>SUMIFS([0]!psuv,[0]!municipio,$B18,[0]!turno,L$2)</f>
        <v>16</v>
      </c>
      <c r="M18" s="7">
        <f>SUMIFS([0]!psuv,[0]!municipio,$B18,[0]!turno,M$2)</f>
        <v>6</v>
      </c>
      <c r="N18" s="7">
        <f>SUMIFS([0]!psuv,[0]!municipio,$B18,[0]!turno,N$2)</f>
        <v>12</v>
      </c>
      <c r="O18" s="7">
        <f>SUMIFS([0]!psuv,[0]!municipio,$B18,[0]!turno,O$2)</f>
        <v>0</v>
      </c>
      <c r="P18" s="7">
        <f>SUMIFS([0]!psuv,[0]!municipio,$B18,[0]!turno,P$2)</f>
        <v>8</v>
      </c>
      <c r="Q18" s="7">
        <f>SUMIFS([0]!psuv,[0]!municipio,$B18,[0]!turno,Q$2)</f>
        <v>0</v>
      </c>
      <c r="R18" s="7">
        <f>SUMIFS([0]!psuv,[0]!municipio,$B18,[0]!turno,R$2)</f>
        <v>8</v>
      </c>
      <c r="S18" s="7">
        <f>SUMIFS([0]!psuv,[0]!municipio,$B18,[0]!turno,S$2)</f>
        <v>5</v>
      </c>
      <c r="T18" s="7">
        <f>SUMIFS([0]!psuv,[0]!municipio,$B18,[0]!turno,T$2)</f>
        <v>10</v>
      </c>
      <c r="U18" s="7">
        <f>SUMIFS([0]!psuv,[0]!municipio,$B18,[0]!turno,U$2)</f>
        <v>13</v>
      </c>
      <c r="V18" s="7">
        <f>SUMIFS([0]!psuv,[0]!municipio,$B18,[0]!turno,V$2)</f>
        <v>11</v>
      </c>
      <c r="W18" s="28">
        <f>SUMIFS([0]!psuv,[0]!municipio,$B18,[0]!turno,W$2)</f>
        <v>6</v>
      </c>
    </row>
    <row r="19" spans="2:23" x14ac:dyDescent="0.25">
      <c r="B19" s="23" t="s">
        <v>23</v>
      </c>
      <c r="C19" s="4" t="s">
        <v>107</v>
      </c>
      <c r="D19" s="37">
        <f>IF((E18+E19+E20)=0,0,E19/(E18+E19+E20))</f>
        <v>0.43504531722054379</v>
      </c>
      <c r="E19" s="5">
        <f t="shared" si="0"/>
        <v>144</v>
      </c>
      <c r="F19" s="5">
        <f>SUMIFS([0]!mud,[0]!municipio,$B18,[0]!turno,F$2)</f>
        <v>13</v>
      </c>
      <c r="G19" s="5">
        <f>SUMIFS([0]!mud,[0]!municipio,$B18,[0]!turno,G$2)</f>
        <v>10</v>
      </c>
      <c r="H19" s="5">
        <f>SUMIFS([0]!mud,[0]!municipio,$B18,[0]!turno,H$2)</f>
        <v>9</v>
      </c>
      <c r="I19" s="5">
        <f>SUMIFS([0]!mud,[0]!municipio,$B18,[0]!turno,I$2)</f>
        <v>6</v>
      </c>
      <c r="J19" s="5">
        <f>SUMIFS([0]!mud,[0]!municipio,$B18,[0]!turno,J$2)</f>
        <v>9</v>
      </c>
      <c r="K19" s="5">
        <f>SUMIFS([0]!mud,[0]!municipio,$B18,[0]!turno,K$2)</f>
        <v>15</v>
      </c>
      <c r="L19" s="5">
        <f>SUMIFS([0]!mud,[0]!municipio,$B18,[0]!turno,L$2)</f>
        <v>8</v>
      </c>
      <c r="M19" s="5">
        <f>SUMIFS([0]!mud,[0]!municipio,$B18,[0]!turno,M$2)</f>
        <v>9</v>
      </c>
      <c r="N19" s="5">
        <f>SUMIFS([0]!mud,[0]!municipio,$B18,[0]!turno,N$2)</f>
        <v>7</v>
      </c>
      <c r="O19" s="5">
        <f>SUMIFS([0]!mud,[0]!municipio,$B18,[0]!turno,O$2)</f>
        <v>0</v>
      </c>
      <c r="P19" s="5">
        <f>SUMIFS([0]!mud,[0]!municipio,$B18,[0]!turno,P$2)</f>
        <v>6</v>
      </c>
      <c r="Q19" s="5">
        <f>SUMIFS([0]!mud,[0]!municipio,$B18,[0]!turno,Q$2)</f>
        <v>0</v>
      </c>
      <c r="R19" s="5">
        <f>SUMIFS([0]!mud,[0]!municipio,$B18,[0]!turno,R$2)</f>
        <v>11</v>
      </c>
      <c r="S19" s="5">
        <f>SUMIFS([0]!mud,[0]!municipio,$B18,[0]!turno,S$2)</f>
        <v>7</v>
      </c>
      <c r="T19" s="5">
        <f>SUMIFS([0]!mud,[0]!municipio,$B18,[0]!turno,T$2)</f>
        <v>8</v>
      </c>
      <c r="U19" s="5">
        <f>SUMIFS([0]!mud,[0]!municipio,$B18,[0]!turno,U$2)</f>
        <v>6</v>
      </c>
      <c r="V19" s="5">
        <f>SUMIFS([0]!mud,[0]!municipio,$B18,[0]!turno,V$2)</f>
        <v>8</v>
      </c>
      <c r="W19" s="26">
        <f>SUMIFS([0]!mud,[0]!municipio,$B18,[0]!turno,W$2)</f>
        <v>12</v>
      </c>
    </row>
    <row r="20" spans="2:23" ht="15.75" thickBot="1" x14ac:dyDescent="0.3">
      <c r="B20" s="24">
        <v>9.7841818881336681E-2</v>
      </c>
      <c r="C20" s="12" t="s">
        <v>0</v>
      </c>
      <c r="D20" s="38">
        <f>IF((E18+E19+E20)=0,0,E20/(E18+E19+E20))</f>
        <v>0.10574018126888217</v>
      </c>
      <c r="E20" s="13">
        <f t="shared" si="0"/>
        <v>35</v>
      </c>
      <c r="F20" s="13">
        <f>SUMIFS([0]!otro,[0]!municipio,$B18,[0]!turno,F$2)</f>
        <v>0</v>
      </c>
      <c r="G20" s="13">
        <f>SUMIFS([0]!otro,[0]!municipio,$B18,[0]!turno,G$2)</f>
        <v>1</v>
      </c>
      <c r="H20" s="13">
        <f>SUMIFS([0]!otro,[0]!municipio,$B18,[0]!turno,H$2)</f>
        <v>2</v>
      </c>
      <c r="I20" s="13">
        <f>SUMIFS([0]!otro,[0]!municipio,$B18,[0]!turno,I$2)</f>
        <v>0</v>
      </c>
      <c r="J20" s="13">
        <f>SUMIFS([0]!otro,[0]!municipio,$B18,[0]!turno,J$2)</f>
        <v>2</v>
      </c>
      <c r="K20" s="13">
        <f>SUMIFS([0]!otro,[0]!municipio,$B18,[0]!turno,K$2)</f>
        <v>5</v>
      </c>
      <c r="L20" s="13">
        <f>SUMIFS([0]!otro,[0]!municipio,$B18,[0]!turno,L$2)</f>
        <v>3</v>
      </c>
      <c r="M20" s="13">
        <f>SUMIFS([0]!otro,[0]!municipio,$B18,[0]!turno,M$2)</f>
        <v>4</v>
      </c>
      <c r="N20" s="13">
        <f>SUMIFS([0]!otro,[0]!municipio,$B18,[0]!turno,N$2)</f>
        <v>1</v>
      </c>
      <c r="O20" s="13">
        <f>SUMIFS([0]!otro,[0]!municipio,$B18,[0]!turno,O$2)</f>
        <v>0</v>
      </c>
      <c r="P20" s="13">
        <f>SUMIFS([0]!otro,[0]!municipio,$B18,[0]!turno,P$2)</f>
        <v>1</v>
      </c>
      <c r="Q20" s="13">
        <f>SUMIFS([0]!otro,[0]!municipio,$B18,[0]!turno,Q$2)</f>
        <v>0</v>
      </c>
      <c r="R20" s="13">
        <f>SUMIFS([0]!otro,[0]!municipio,$B18,[0]!turno,R$2)</f>
        <v>6</v>
      </c>
      <c r="S20" s="13">
        <f>SUMIFS([0]!otro,[0]!municipio,$B18,[0]!turno,S$2)</f>
        <v>4</v>
      </c>
      <c r="T20" s="13">
        <f>SUMIFS([0]!otro,[0]!municipio,$B18,[0]!turno,T$2)</f>
        <v>1</v>
      </c>
      <c r="U20" s="13">
        <f>SUMIFS([0]!otro,[0]!municipio,$B18,[0]!turno,U$2)</f>
        <v>3</v>
      </c>
      <c r="V20" s="13">
        <f>SUMIFS([0]!otro,[0]!municipio,$B18,[0]!turno,V$2)</f>
        <v>2</v>
      </c>
      <c r="W20" s="29">
        <f>SUMIFS([0]!otro,[0]!municipio,$B18,[0]!turno,W$2)</f>
        <v>0</v>
      </c>
    </row>
    <row r="21" spans="2:23" x14ac:dyDescent="0.25">
      <c r="B21" s="19">
        <v>33</v>
      </c>
      <c r="C21" s="8" t="s">
        <v>106</v>
      </c>
      <c r="D21" s="36">
        <f>IF((E21+E22+E23)=0,0,E21/(E21+E22+E23))</f>
        <v>0.5</v>
      </c>
      <c r="E21" s="9">
        <f t="shared" si="0"/>
        <v>231</v>
      </c>
      <c r="F21" s="9">
        <f>SUMIFS([0]!psuv,[0]!municipio,$B21,[0]!turno,F$2)</f>
        <v>14</v>
      </c>
      <c r="G21" s="9">
        <f>SUMIFS([0]!psuv,[0]!municipio,$B21,[0]!turno,G$2)</f>
        <v>13</v>
      </c>
      <c r="H21" s="9">
        <f>SUMIFS([0]!psuv,[0]!municipio,$B21,[0]!turno,H$2)</f>
        <v>12</v>
      </c>
      <c r="I21" s="9">
        <f>SUMIFS([0]!psuv,[0]!municipio,$B21,[0]!turno,I$2)</f>
        <v>14</v>
      </c>
      <c r="J21" s="9">
        <f>SUMIFS([0]!psuv,[0]!municipio,$B21,[0]!turno,J$2)</f>
        <v>17</v>
      </c>
      <c r="K21" s="9">
        <f>SUMIFS([0]!psuv,[0]!municipio,$B21,[0]!turno,K$2)</f>
        <v>23</v>
      </c>
      <c r="L21" s="9">
        <f>SUMIFS([0]!psuv,[0]!municipio,$B21,[0]!turno,L$2)</f>
        <v>16</v>
      </c>
      <c r="M21" s="9">
        <f>SUMIFS([0]!psuv,[0]!municipio,$B21,[0]!turno,M$2)</f>
        <v>14</v>
      </c>
      <c r="N21" s="9">
        <f>SUMIFS([0]!psuv,[0]!municipio,$B21,[0]!turno,N$2)</f>
        <v>17</v>
      </c>
      <c r="O21" s="9">
        <f>SUMIFS([0]!psuv,[0]!municipio,$B21,[0]!turno,O$2)</f>
        <v>0</v>
      </c>
      <c r="P21" s="9">
        <f>SUMIFS([0]!psuv,[0]!municipio,$B21,[0]!turno,P$2)</f>
        <v>17</v>
      </c>
      <c r="Q21" s="9">
        <f>SUMIFS([0]!psuv,[0]!municipio,$B21,[0]!turno,Q$2)</f>
        <v>0</v>
      </c>
      <c r="R21" s="9">
        <f>SUMIFS([0]!psuv,[0]!municipio,$B21,[0]!turno,R$2)</f>
        <v>13</v>
      </c>
      <c r="S21" s="9">
        <f>SUMIFS([0]!psuv,[0]!municipio,$B21,[0]!turno,S$2)</f>
        <v>0</v>
      </c>
      <c r="T21" s="9">
        <f>SUMIFS([0]!psuv,[0]!municipio,$B21,[0]!turno,T$2)</f>
        <v>17</v>
      </c>
      <c r="U21" s="9">
        <f>SUMIFS([0]!psuv,[0]!municipio,$B21,[0]!turno,U$2)</f>
        <v>16</v>
      </c>
      <c r="V21" s="9">
        <f>SUMIFS([0]!psuv,[0]!municipio,$B21,[0]!turno,V$2)</f>
        <v>15</v>
      </c>
      <c r="W21" s="25">
        <f>SUMIFS([0]!psuv,[0]!municipio,$B21,[0]!turno,W$2)</f>
        <v>13</v>
      </c>
    </row>
    <row r="22" spans="2:23" x14ac:dyDescent="0.25">
      <c r="B22" s="20" t="s">
        <v>115</v>
      </c>
      <c r="C22" s="4" t="s">
        <v>107</v>
      </c>
      <c r="D22" s="37">
        <f>IF((E21+E22+E23)=0,0,E22/(E21+E22+E23))</f>
        <v>0.4935064935064935</v>
      </c>
      <c r="E22" s="5">
        <f t="shared" si="0"/>
        <v>228</v>
      </c>
      <c r="F22" s="5">
        <f>SUMIFS([0]!mud,[0]!municipio,$B21,[0]!turno,F$2)</f>
        <v>16</v>
      </c>
      <c r="G22" s="5">
        <f>SUMIFS([0]!mud,[0]!municipio,$B21,[0]!turno,G$2)</f>
        <v>17</v>
      </c>
      <c r="H22" s="5">
        <f>SUMIFS([0]!mud,[0]!municipio,$B21,[0]!turno,H$2)</f>
        <v>18</v>
      </c>
      <c r="I22" s="5">
        <f>SUMIFS([0]!mud,[0]!municipio,$B21,[0]!turno,I$2)</f>
        <v>16</v>
      </c>
      <c r="J22" s="5">
        <f>SUMIFS([0]!mud,[0]!municipio,$B21,[0]!turno,J$2)</f>
        <v>13</v>
      </c>
      <c r="K22" s="5">
        <f>SUMIFS([0]!mud,[0]!municipio,$B21,[0]!turno,K$2)</f>
        <v>7</v>
      </c>
      <c r="L22" s="5">
        <f>SUMIFS([0]!mud,[0]!municipio,$B21,[0]!turno,L$2)</f>
        <v>14</v>
      </c>
      <c r="M22" s="5">
        <f>SUMIFS([0]!mud,[0]!municipio,$B21,[0]!turno,M$2)</f>
        <v>16</v>
      </c>
      <c r="N22" s="5">
        <f>SUMIFS([0]!mud,[0]!municipio,$B21,[0]!turno,N$2)</f>
        <v>13</v>
      </c>
      <c r="O22" s="5">
        <f>SUMIFS([0]!mud,[0]!municipio,$B21,[0]!turno,O$2)</f>
        <v>0</v>
      </c>
      <c r="P22" s="5">
        <f>SUMIFS([0]!mud,[0]!municipio,$B21,[0]!turno,P$2)</f>
        <v>13</v>
      </c>
      <c r="Q22" s="5">
        <f>SUMIFS([0]!mud,[0]!municipio,$B21,[0]!turno,Q$2)</f>
        <v>0</v>
      </c>
      <c r="R22" s="5">
        <f>SUMIFS([0]!mud,[0]!municipio,$B21,[0]!turno,R$2)</f>
        <v>14</v>
      </c>
      <c r="S22" s="5">
        <f>SUMIFS([0]!mud,[0]!municipio,$B21,[0]!turno,S$2)</f>
        <v>15</v>
      </c>
      <c r="T22" s="5">
        <f>SUMIFS([0]!mud,[0]!municipio,$B21,[0]!turno,T$2)</f>
        <v>13</v>
      </c>
      <c r="U22" s="5">
        <f>SUMIFS([0]!mud,[0]!municipio,$B21,[0]!turno,U$2)</f>
        <v>14</v>
      </c>
      <c r="V22" s="5">
        <f>SUMIFS([0]!mud,[0]!municipio,$B21,[0]!turno,V$2)</f>
        <v>15</v>
      </c>
      <c r="W22" s="26">
        <f>SUMIFS([0]!mud,[0]!municipio,$B21,[0]!turno,W$2)</f>
        <v>14</v>
      </c>
    </row>
    <row r="23" spans="2:23" ht="15.75" thickBot="1" x14ac:dyDescent="0.3">
      <c r="B23" s="21">
        <v>6.0788157484931209E-2</v>
      </c>
      <c r="C23" s="10" t="s">
        <v>0</v>
      </c>
      <c r="D23" s="38">
        <f>IF((E21+E22+E23)=0,0,E23/(E21+E22+E23))</f>
        <v>6.4935064935064939E-3</v>
      </c>
      <c r="E23" s="11">
        <f t="shared" si="0"/>
        <v>3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0</v>
      </c>
      <c r="K23" s="11">
        <f>SUMIFS([0]!otro,[0]!municipio,$B21,[0]!turno,K$2)</f>
        <v>0</v>
      </c>
      <c r="L23" s="11">
        <f>SUMIFS([0]!otro,[0]!municipio,$B21,[0]!turno,L$2)</f>
        <v>0</v>
      </c>
      <c r="M23" s="11">
        <f>SUMIFS([0]!otro,[0]!municipio,$B21,[0]!turno,M$2)</f>
        <v>0</v>
      </c>
      <c r="N23" s="11">
        <f>SUMIFS([0]!otro,[0]!municipio,$B21,[0]!turno,N$2)</f>
        <v>0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W314"/>
  <sheetViews>
    <sheetView workbookViewId="0">
      <selection activeCell="E30" sqref="E30:E31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1:23" ht="15.75" customHeight="1" thickBot="1" x14ac:dyDescent="0.3"/>
    <row r="2" spans="1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1:23" ht="15" customHeight="1" x14ac:dyDescent="0.25">
      <c r="A3" s="50"/>
      <c r="B3" s="19">
        <v>34</v>
      </c>
      <c r="C3" s="8" t="s">
        <v>106</v>
      </c>
      <c r="D3" s="36">
        <f>IF((E3+E4+E5)=0,0,E3/(E3+E4+E5))</f>
        <v>0.40883977900552487</v>
      </c>
      <c r="E3" s="9">
        <f t="shared" ref="E3:E20" si="0">SUM(F3:W3)</f>
        <v>74</v>
      </c>
      <c r="F3" s="9">
        <f>SUMIFS([0]!psuv,[0]!municipio,$B3,[0]!turno,F$2)</f>
        <v>0</v>
      </c>
      <c r="G3" s="9">
        <f>SUMIFS([0]!psuv,[0]!municipio,$B3,[0]!turno,G$2)</f>
        <v>12</v>
      </c>
      <c r="H3" s="9">
        <f>SUMIFS([0]!psuv,[0]!municipio,$B3,[0]!turno,H$2)</f>
        <v>5</v>
      </c>
      <c r="I3" s="9">
        <f>SUMIFS([0]!psuv,[0]!municipio,$B3,[0]!turno,I$2)</f>
        <v>5</v>
      </c>
      <c r="J3" s="9">
        <f>SUMIFS([0]!psuv,[0]!municipio,$B3,[0]!turno,J$2)</f>
        <v>4</v>
      </c>
      <c r="K3" s="9">
        <f>SUMIFS([0]!psuv,[0]!municipio,$B3,[0]!turno,K$2)</f>
        <v>3</v>
      </c>
      <c r="L3" s="9">
        <f>SUMIFS([0]!psuv,[0]!municipio,$B3,[0]!turno,L$2)</f>
        <v>7</v>
      </c>
      <c r="M3" s="9">
        <f>SUMIFS([0]!psuv,[0]!municipio,$B3,[0]!turno,M$2)</f>
        <v>3</v>
      </c>
      <c r="N3" s="9">
        <f>SUMIFS([0]!psuv,[0]!municipio,$B3,[0]!turno,N$2)</f>
        <v>4</v>
      </c>
      <c r="O3" s="9">
        <f>SUMIFS([0]!psuv,[0]!municipio,$B3,[0]!turno,O$2)</f>
        <v>0</v>
      </c>
      <c r="P3" s="9">
        <f>SUMIFS([0]!psuv,[0]!municipio,$B3,[0]!turno,P$2)</f>
        <v>2</v>
      </c>
      <c r="Q3" s="9">
        <f>SUMIFS([0]!psuv,[0]!municipio,$B3,[0]!turno,Q$2)</f>
        <v>6</v>
      </c>
      <c r="R3" s="9">
        <f>SUMIFS([0]!psuv,[0]!municipio,$B3,[0]!turno,R$2)</f>
        <v>4</v>
      </c>
      <c r="S3" s="9">
        <f>SUMIFS([0]!psuv,[0]!municipio,$B3,[0]!turno,S$2)</f>
        <v>1</v>
      </c>
      <c r="T3" s="9">
        <f>SUMIFS([0]!psuv,[0]!municipio,$B3,[0]!turno,T$2)</f>
        <v>2</v>
      </c>
      <c r="U3" s="9">
        <f>SUMIFS([0]!psuv,[0]!municipio,$B3,[0]!turno,U$2)</f>
        <v>4</v>
      </c>
      <c r="V3" s="9">
        <f>SUMIFS([0]!psuv,[0]!municipio,$B3,[0]!turno,V$2)</f>
        <v>4</v>
      </c>
      <c r="W3" s="25">
        <f>SUMIFS([0]!psuv,[0]!municipio,$B3,[0]!turno,W$2)</f>
        <v>8</v>
      </c>
    </row>
    <row r="4" spans="1:23" x14ac:dyDescent="0.25">
      <c r="A4" s="50"/>
      <c r="B4" s="20" t="s">
        <v>160</v>
      </c>
      <c r="C4" s="4" t="s">
        <v>107</v>
      </c>
      <c r="D4" s="37">
        <f>IF((E3+E4+E5)=0,0,E4/(E3+E4+E5))</f>
        <v>0.49723756906077349</v>
      </c>
      <c r="E4" s="5">
        <f t="shared" si="0"/>
        <v>90</v>
      </c>
      <c r="F4" s="5">
        <f>SUMIFS([0]!mud,[0]!municipio,$B3,[0]!turno,F$2)</f>
        <v>0</v>
      </c>
      <c r="G4" s="5">
        <f>SUMIFS([0]!mud,[0]!municipio,$B3,[0]!turno,G$2)</f>
        <v>1</v>
      </c>
      <c r="H4" s="5">
        <f>SUMIFS([0]!mud,[0]!municipio,$B3,[0]!turno,H$2)</f>
        <v>3</v>
      </c>
      <c r="I4" s="5">
        <f>SUMIFS([0]!mud,[0]!municipio,$B3,[0]!turno,I$2)</f>
        <v>4</v>
      </c>
      <c r="J4" s="5">
        <f>SUMIFS([0]!mud,[0]!municipio,$B3,[0]!turno,J$2)</f>
        <v>3</v>
      </c>
      <c r="K4" s="5">
        <f>SUMIFS([0]!mud,[0]!municipio,$B3,[0]!turno,K$2)</f>
        <v>6</v>
      </c>
      <c r="L4" s="5">
        <f>SUMIFS([0]!mud,[0]!municipio,$B3,[0]!turno,L$2)</f>
        <v>6</v>
      </c>
      <c r="M4" s="5">
        <f>SUMIFS([0]!mud,[0]!municipio,$B3,[0]!turno,M$2)</f>
        <v>5</v>
      </c>
      <c r="N4" s="5">
        <f>SUMIFS([0]!mud,[0]!municipio,$B3,[0]!turno,N$2)</f>
        <v>3</v>
      </c>
      <c r="O4" s="5">
        <f>SUMIFS([0]!mud,[0]!municipio,$B3,[0]!turno,O$2)</f>
        <v>0</v>
      </c>
      <c r="P4" s="5">
        <f>SUMIFS([0]!mud,[0]!municipio,$B3,[0]!turno,P$2)</f>
        <v>9</v>
      </c>
      <c r="Q4" s="5">
        <f>SUMIFS([0]!mud,[0]!municipio,$B3,[0]!turno,Q$2)</f>
        <v>6</v>
      </c>
      <c r="R4" s="5">
        <f>SUMIFS([0]!mud,[0]!municipio,$B3,[0]!turno,R$2)</f>
        <v>7</v>
      </c>
      <c r="S4" s="5">
        <f>SUMIFS([0]!mud,[0]!municipio,$B3,[0]!turno,S$2)</f>
        <v>9</v>
      </c>
      <c r="T4" s="5">
        <f>SUMIFS([0]!mud,[0]!municipio,$B3,[0]!turno,T$2)</f>
        <v>10</v>
      </c>
      <c r="U4" s="5">
        <f>SUMIFS([0]!mud,[0]!municipio,$B3,[0]!turno,U$2)</f>
        <v>7</v>
      </c>
      <c r="V4" s="5">
        <f>SUMIFS([0]!mud,[0]!municipio,$B3,[0]!turno,V$2)</f>
        <v>6</v>
      </c>
      <c r="W4" s="26">
        <f>SUMIFS([0]!mud,[0]!municipio,$B3,[0]!turno,W$2)</f>
        <v>5</v>
      </c>
    </row>
    <row r="5" spans="1:23" ht="15.75" thickBot="1" x14ac:dyDescent="0.3">
      <c r="A5" s="50"/>
      <c r="B5" s="21">
        <v>3.283158851958673E-2</v>
      </c>
      <c r="C5" s="10" t="s">
        <v>0</v>
      </c>
      <c r="D5" s="38">
        <f>IF((E3+E4+E5)=0,0,E5/(E3+E4+E5))</f>
        <v>9.3922651933701654E-2</v>
      </c>
      <c r="E5" s="11">
        <f t="shared" si="0"/>
        <v>17</v>
      </c>
      <c r="F5" s="11">
        <f>SUMIFS([0]!otro,[0]!municipio,$B3,[0]!turno,F$2)</f>
        <v>0</v>
      </c>
      <c r="G5" s="11">
        <f>SUMIFS([0]!otro,[0]!municipio,$B3,[0]!turno,G$2)</f>
        <v>1</v>
      </c>
      <c r="H5" s="11">
        <f>SUMIFS([0]!otro,[0]!municipio,$B3,[0]!turno,H$2)</f>
        <v>0</v>
      </c>
      <c r="I5" s="11">
        <f>SUMIFS([0]!otro,[0]!municipio,$B3,[0]!turno,I$2)</f>
        <v>1</v>
      </c>
      <c r="J5" s="11">
        <f>SUMIFS([0]!otro,[0]!municipio,$B3,[0]!turno,J$2)</f>
        <v>0</v>
      </c>
      <c r="K5" s="11">
        <f>SUMIFS([0]!otro,[0]!municipio,$B3,[0]!turno,K$2)</f>
        <v>1</v>
      </c>
      <c r="L5" s="11">
        <f>SUMIFS([0]!otro,[0]!municipio,$B3,[0]!turno,L$2)</f>
        <v>2</v>
      </c>
      <c r="M5" s="11">
        <f>SUMIFS([0]!otro,[0]!municipio,$B3,[0]!turno,M$2)</f>
        <v>0</v>
      </c>
      <c r="N5" s="11">
        <f>SUMIFS([0]!otro,[0]!municipio,$B3,[0]!turno,N$2)</f>
        <v>1</v>
      </c>
      <c r="O5" s="11">
        <f>SUMIFS([0]!otro,[0]!municipio,$B3,[0]!turno,O$2)</f>
        <v>0</v>
      </c>
      <c r="P5" s="11">
        <f>SUMIFS([0]!otro,[0]!municipio,$B3,[0]!turno,P$2)</f>
        <v>6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1</v>
      </c>
      <c r="T5" s="11">
        <f>SUMIFS([0]!otro,[0]!municipio,$B3,[0]!turno,T$2)</f>
        <v>2</v>
      </c>
      <c r="U5" s="11">
        <f>SUMIFS([0]!otro,[0]!municipio,$B3,[0]!turno,U$2)</f>
        <v>0</v>
      </c>
      <c r="V5" s="11">
        <f>SUMIFS([0]!otro,[0]!municipio,$B3,[0]!turno,V$2)</f>
        <v>1</v>
      </c>
      <c r="W5" s="27">
        <f>SUMIFS([0]!otro,[0]!municipio,$B3,[0]!turno,W$2)</f>
        <v>1</v>
      </c>
    </row>
    <row r="6" spans="1:23" x14ac:dyDescent="0.25">
      <c r="A6" s="50"/>
      <c r="B6" s="22">
        <v>35</v>
      </c>
      <c r="C6" s="6" t="s">
        <v>106</v>
      </c>
      <c r="D6" s="36">
        <f>IF((E6+E7+E8)=0,0,E6/(E6+E7+E8))</f>
        <v>0.38694305456278294</v>
      </c>
      <c r="E6" s="7">
        <f t="shared" si="0"/>
        <v>1624</v>
      </c>
      <c r="F6" s="7">
        <f>SUMIFS([0]!psuv,[0]!municipio,$B6,[0]!turno,F$2)</f>
        <v>37</v>
      </c>
      <c r="G6" s="7">
        <f>SUMIFS([0]!psuv,[0]!municipio,$B6,[0]!turno,G$2)</f>
        <v>111</v>
      </c>
      <c r="H6" s="7">
        <f>SUMIFS([0]!psuv,[0]!municipio,$B6,[0]!turno,H$2)</f>
        <v>118</v>
      </c>
      <c r="I6" s="7">
        <f>SUMIFS([0]!psuv,[0]!municipio,$B6,[0]!turno,I$2)</f>
        <v>118</v>
      </c>
      <c r="J6" s="7">
        <f>SUMIFS([0]!psuv,[0]!municipio,$B6,[0]!turno,J$2)</f>
        <v>95</v>
      </c>
      <c r="K6" s="7">
        <f>SUMIFS([0]!psuv,[0]!municipio,$B6,[0]!turno,K$2)</f>
        <v>84</v>
      </c>
      <c r="L6" s="7">
        <f>SUMIFS([0]!psuv,[0]!municipio,$B6,[0]!turno,L$2)</f>
        <v>102</v>
      </c>
      <c r="M6" s="7">
        <f>SUMIFS([0]!psuv,[0]!municipio,$B6,[0]!turno,M$2)</f>
        <v>95</v>
      </c>
      <c r="N6" s="7">
        <f>SUMIFS([0]!psuv,[0]!municipio,$B6,[0]!turno,N$2)</f>
        <v>78</v>
      </c>
      <c r="O6" s="7">
        <f>SUMIFS([0]!psuv,[0]!municipio,$B6,[0]!turno,O$2)</f>
        <v>93</v>
      </c>
      <c r="P6" s="7">
        <f>SUMIFS([0]!psuv,[0]!municipio,$B6,[0]!turno,P$2)</f>
        <v>75</v>
      </c>
      <c r="Q6" s="7">
        <f>SUMIFS([0]!psuv,[0]!municipio,$B6,[0]!turno,Q$2)</f>
        <v>104</v>
      </c>
      <c r="R6" s="7">
        <f>SUMIFS([0]!psuv,[0]!municipio,$B6,[0]!turno,R$2)</f>
        <v>77</v>
      </c>
      <c r="S6" s="7">
        <f>SUMIFS([0]!psuv,[0]!municipio,$B6,[0]!turno,S$2)</f>
        <v>97</v>
      </c>
      <c r="T6" s="7">
        <f>SUMIFS([0]!psuv,[0]!municipio,$B6,[0]!turno,T$2)</f>
        <v>92</v>
      </c>
      <c r="U6" s="7">
        <f>SUMIFS([0]!psuv,[0]!municipio,$B6,[0]!turno,U$2)</f>
        <v>102</v>
      </c>
      <c r="V6" s="7">
        <f>SUMIFS([0]!psuv,[0]!municipio,$B6,[0]!turno,V$2)</f>
        <v>82</v>
      </c>
      <c r="W6" s="28">
        <f>SUMIFS([0]!psuv,[0]!municipio,$B6,[0]!turno,W$2)</f>
        <v>64</v>
      </c>
    </row>
    <row r="7" spans="1:23" x14ac:dyDescent="0.25">
      <c r="A7" s="50"/>
      <c r="B7" s="23" t="s">
        <v>24</v>
      </c>
      <c r="C7" s="4" t="s">
        <v>107</v>
      </c>
      <c r="D7" s="37">
        <f>IF((E6+E7+E8)=0,0,E7/(E6+E7+E8))</f>
        <v>0.41291398618060521</v>
      </c>
      <c r="E7" s="5">
        <f t="shared" si="0"/>
        <v>1733</v>
      </c>
      <c r="F7" s="5">
        <f>SUMIFS([0]!mud,[0]!municipio,$B6,[0]!turno,F$2)</f>
        <v>54</v>
      </c>
      <c r="G7" s="5">
        <f>SUMIFS([0]!mud,[0]!municipio,$B6,[0]!turno,G$2)</f>
        <v>118</v>
      </c>
      <c r="H7" s="5">
        <f>SUMIFS([0]!mud,[0]!municipio,$B6,[0]!turno,H$2)</f>
        <v>123</v>
      </c>
      <c r="I7" s="5">
        <f>SUMIFS([0]!mud,[0]!municipio,$B6,[0]!turno,I$2)</f>
        <v>97</v>
      </c>
      <c r="J7" s="5">
        <f>SUMIFS([0]!mud,[0]!municipio,$B6,[0]!turno,J$2)</f>
        <v>100</v>
      </c>
      <c r="K7" s="5">
        <f>SUMIFS([0]!mud,[0]!municipio,$B6,[0]!turno,K$2)</f>
        <v>118</v>
      </c>
      <c r="L7" s="5">
        <f>SUMIFS([0]!mud,[0]!municipio,$B6,[0]!turno,L$2)</f>
        <v>103</v>
      </c>
      <c r="M7" s="5">
        <f>SUMIFS([0]!mud,[0]!municipio,$B6,[0]!turno,M$2)</f>
        <v>104</v>
      </c>
      <c r="N7" s="5">
        <f>SUMIFS([0]!mud,[0]!municipio,$B6,[0]!turno,N$2)</f>
        <v>100</v>
      </c>
      <c r="O7" s="5">
        <f>SUMIFS([0]!mud,[0]!municipio,$B6,[0]!turno,O$2)</f>
        <v>86</v>
      </c>
      <c r="P7" s="5">
        <f>SUMIFS([0]!mud,[0]!municipio,$B6,[0]!turno,P$2)</f>
        <v>85</v>
      </c>
      <c r="Q7" s="5">
        <f>SUMIFS([0]!mud,[0]!municipio,$B6,[0]!turno,Q$2)</f>
        <v>112</v>
      </c>
      <c r="R7" s="5">
        <f>SUMIFS([0]!mud,[0]!municipio,$B6,[0]!turno,R$2)</f>
        <v>98</v>
      </c>
      <c r="S7" s="5">
        <f>SUMIFS([0]!mud,[0]!municipio,$B6,[0]!turno,S$2)</f>
        <v>88</v>
      </c>
      <c r="T7" s="5">
        <f>SUMIFS([0]!mud,[0]!municipio,$B6,[0]!turno,T$2)</f>
        <v>112</v>
      </c>
      <c r="U7" s="5">
        <f>SUMIFS([0]!mud,[0]!municipio,$B6,[0]!turno,U$2)</f>
        <v>91</v>
      </c>
      <c r="V7" s="5">
        <f>SUMIFS([0]!mud,[0]!municipio,$B6,[0]!turno,V$2)</f>
        <v>64</v>
      </c>
      <c r="W7" s="26">
        <f>SUMIFS([0]!mud,[0]!municipio,$B6,[0]!turno,W$2)</f>
        <v>80</v>
      </c>
    </row>
    <row r="8" spans="1:23" ht="15.75" thickBot="1" x14ac:dyDescent="0.3">
      <c r="A8" s="50"/>
      <c r="B8" s="48">
        <v>0.5453397331516977</v>
      </c>
      <c r="C8" s="12" t="s">
        <v>0</v>
      </c>
      <c r="D8" s="38">
        <f>IF((E6+E7+E8)=0,0,E8/(E6+E7+E8))</f>
        <v>0.20014295925661185</v>
      </c>
      <c r="E8" s="13">
        <f t="shared" si="0"/>
        <v>840</v>
      </c>
      <c r="F8" s="13">
        <f>SUMIFS([0]!otro,[0]!municipio,$B6,[0]!turno,F$2)</f>
        <v>14</v>
      </c>
      <c r="G8" s="13">
        <f>SUMIFS([0]!otro,[0]!municipio,$B6,[0]!turno,G$2)</f>
        <v>45</v>
      </c>
      <c r="H8" s="13">
        <f>SUMIFS([0]!otro,[0]!municipio,$B6,[0]!turno,H$2)</f>
        <v>38</v>
      </c>
      <c r="I8" s="13">
        <f>SUMIFS([0]!otro,[0]!municipio,$B6,[0]!turno,I$2)</f>
        <v>37</v>
      </c>
      <c r="J8" s="13">
        <f>SUMIFS([0]!otro,[0]!municipio,$B6,[0]!turno,J$2)</f>
        <v>37</v>
      </c>
      <c r="K8" s="13">
        <f>SUMIFS([0]!otro,[0]!municipio,$B6,[0]!turno,K$2)</f>
        <v>46</v>
      </c>
      <c r="L8" s="13">
        <f>SUMIFS([0]!otro,[0]!municipio,$B6,[0]!turno,L$2)</f>
        <v>45</v>
      </c>
      <c r="M8" s="13">
        <f>SUMIFS([0]!otro,[0]!municipio,$B6,[0]!turno,M$2)</f>
        <v>50</v>
      </c>
      <c r="N8" s="13">
        <f>SUMIFS([0]!otro,[0]!municipio,$B6,[0]!turno,N$2)</f>
        <v>39</v>
      </c>
      <c r="O8" s="13">
        <f>SUMIFS([0]!otro,[0]!municipio,$B6,[0]!turno,O$2)</f>
        <v>58</v>
      </c>
      <c r="P8" s="13">
        <f>SUMIFS([0]!otro,[0]!municipio,$B6,[0]!turno,P$2)</f>
        <v>37</v>
      </c>
      <c r="Q8" s="13">
        <f>SUMIFS([0]!otro,[0]!municipio,$B6,[0]!turno,Q$2)</f>
        <v>47</v>
      </c>
      <c r="R8" s="13">
        <f>SUMIFS([0]!otro,[0]!municipio,$B6,[0]!turno,R$2)</f>
        <v>43</v>
      </c>
      <c r="S8" s="13">
        <f>SUMIFS([0]!otro,[0]!municipio,$B6,[0]!turno,S$2)</f>
        <v>75</v>
      </c>
      <c r="T8" s="13">
        <f>SUMIFS([0]!otro,[0]!municipio,$B6,[0]!turno,T$2)</f>
        <v>56</v>
      </c>
      <c r="U8" s="13">
        <f>SUMIFS([0]!otro,[0]!municipio,$B6,[0]!turno,U$2)</f>
        <v>53</v>
      </c>
      <c r="V8" s="13">
        <f>SUMIFS([0]!otro,[0]!municipio,$B6,[0]!turno,V$2)</f>
        <v>62</v>
      </c>
      <c r="W8" s="29">
        <f>SUMIFS([0]!otro,[0]!municipio,$B6,[0]!turno,W$2)</f>
        <v>58</v>
      </c>
    </row>
    <row r="9" spans="1:23" x14ac:dyDescent="0.25">
      <c r="A9" s="50"/>
      <c r="B9" s="19">
        <v>36</v>
      </c>
      <c r="C9" s="8" t="s">
        <v>106</v>
      </c>
      <c r="D9" s="36">
        <f>IF((E9+E10+E11)=0,0,E9/(E9+E10+E11))</f>
        <v>0.35815602836879434</v>
      </c>
      <c r="E9" s="9">
        <f t="shared" si="0"/>
        <v>101</v>
      </c>
      <c r="F9" s="9">
        <f>SUMIFS([0]!psuv,[0]!municipio,$B9,[0]!turno,F$2)</f>
        <v>0</v>
      </c>
      <c r="G9" s="9">
        <f>SUMIFS([0]!psuv,[0]!municipio,$B9,[0]!turno,G$2)</f>
        <v>16</v>
      </c>
      <c r="H9" s="9">
        <f>SUMIFS([0]!psuv,[0]!municipio,$B9,[0]!turno,H$2)</f>
        <v>12</v>
      </c>
      <c r="I9" s="9">
        <f>SUMIFS([0]!psuv,[0]!municipio,$B9,[0]!turno,I$2)</f>
        <v>9</v>
      </c>
      <c r="J9" s="9">
        <f>SUMIFS([0]!psuv,[0]!municipio,$B9,[0]!turno,J$2)</f>
        <v>2</v>
      </c>
      <c r="K9" s="9">
        <f>SUMIFS([0]!psuv,[0]!municipio,$B9,[0]!turno,K$2)</f>
        <v>7</v>
      </c>
      <c r="L9" s="9">
        <f>SUMIFS([0]!psuv,[0]!municipio,$B9,[0]!turno,L$2)</f>
        <v>6</v>
      </c>
      <c r="M9" s="9">
        <f>SUMIFS([0]!psuv,[0]!municipio,$B9,[0]!turno,M$2)</f>
        <v>8</v>
      </c>
      <c r="N9" s="9">
        <f>SUMIFS([0]!psuv,[0]!municipio,$B9,[0]!turno,N$2)</f>
        <v>4</v>
      </c>
      <c r="O9" s="9">
        <f>SUMIFS([0]!psuv,[0]!municipio,$B9,[0]!turno,O$2)</f>
        <v>6</v>
      </c>
      <c r="P9" s="9">
        <f>SUMIFS([0]!psuv,[0]!municipio,$B9,[0]!turno,P$2)</f>
        <v>4</v>
      </c>
      <c r="Q9" s="9">
        <f>SUMIFS([0]!psuv,[0]!municipio,$B9,[0]!turno,Q$2)</f>
        <v>0</v>
      </c>
      <c r="R9" s="9">
        <f>SUMIFS([0]!psuv,[0]!municipio,$B9,[0]!turno,R$2)</f>
        <v>6</v>
      </c>
      <c r="S9" s="9">
        <f>SUMIFS([0]!psuv,[0]!municipio,$B9,[0]!turno,S$2)</f>
        <v>6</v>
      </c>
      <c r="T9" s="9">
        <f>SUMIFS([0]!psuv,[0]!municipio,$B9,[0]!turno,T$2)</f>
        <v>5</v>
      </c>
      <c r="U9" s="9">
        <f>SUMIFS([0]!psuv,[0]!municipio,$B9,[0]!turno,U$2)</f>
        <v>7</v>
      </c>
      <c r="V9" s="9">
        <f>SUMIFS([0]!psuv,[0]!municipio,$B9,[0]!turno,V$2)</f>
        <v>0</v>
      </c>
      <c r="W9" s="25">
        <f>SUMIFS([0]!psuv,[0]!municipio,$B9,[0]!turno,W$2)</f>
        <v>3</v>
      </c>
    </row>
    <row r="10" spans="1:23" x14ac:dyDescent="0.25">
      <c r="A10" s="50"/>
      <c r="B10" s="20" t="s">
        <v>25</v>
      </c>
      <c r="C10" s="4" t="s">
        <v>107</v>
      </c>
      <c r="D10" s="37">
        <f>IF((E9+E10+E11)=0,0,E10/(E9+E10+E11))</f>
        <v>0.59219858156028371</v>
      </c>
      <c r="E10" s="5">
        <f t="shared" si="0"/>
        <v>167</v>
      </c>
      <c r="F10" s="5">
        <f>SUMIFS([0]!mud,[0]!municipio,$B9,[0]!turno,F$2)</f>
        <v>0</v>
      </c>
      <c r="G10" s="5">
        <f>SUMIFS([0]!mud,[0]!municipio,$B9,[0]!turno,G$2)</f>
        <v>10</v>
      </c>
      <c r="H10" s="5">
        <f>SUMIFS([0]!mud,[0]!municipio,$B9,[0]!turno,H$2)</f>
        <v>15</v>
      </c>
      <c r="I10" s="5">
        <f>SUMIFS([0]!mud,[0]!municipio,$B9,[0]!turno,I$2)</f>
        <v>18</v>
      </c>
      <c r="J10" s="5">
        <f>SUMIFS([0]!mud,[0]!municipio,$B9,[0]!turno,J$2)</f>
        <v>9</v>
      </c>
      <c r="K10" s="5">
        <f>SUMIFS([0]!mud,[0]!municipio,$B9,[0]!turno,K$2)</f>
        <v>9</v>
      </c>
      <c r="L10" s="5">
        <f>SUMIFS([0]!mud,[0]!municipio,$B9,[0]!turno,L$2)</f>
        <v>7</v>
      </c>
      <c r="M10" s="5">
        <f>SUMIFS([0]!mud,[0]!municipio,$B9,[0]!turno,M$2)</f>
        <v>11</v>
      </c>
      <c r="N10" s="5">
        <f>SUMIFS([0]!mud,[0]!municipio,$B9,[0]!turno,N$2)</f>
        <v>8</v>
      </c>
      <c r="O10" s="5">
        <f>SUMIFS([0]!mud,[0]!municipio,$B9,[0]!turno,O$2)</f>
        <v>14</v>
      </c>
      <c r="P10" s="5">
        <f>SUMIFS([0]!mud,[0]!municipio,$B9,[0]!turno,P$2)</f>
        <v>6</v>
      </c>
      <c r="Q10" s="5">
        <f>SUMIFS([0]!mud,[0]!municipio,$B9,[0]!turno,Q$2)</f>
        <v>18</v>
      </c>
      <c r="R10" s="5">
        <f>SUMIFS([0]!mud,[0]!municipio,$B9,[0]!turno,R$2)</f>
        <v>11</v>
      </c>
      <c r="S10" s="5">
        <f>SUMIFS([0]!mud,[0]!municipio,$B9,[0]!turno,S$2)</f>
        <v>4</v>
      </c>
      <c r="T10" s="5">
        <f>SUMIFS([0]!mud,[0]!municipio,$B9,[0]!turno,T$2)</f>
        <v>10</v>
      </c>
      <c r="U10" s="5">
        <f>SUMIFS([0]!mud,[0]!municipio,$B9,[0]!turno,U$2)</f>
        <v>7</v>
      </c>
      <c r="V10" s="5">
        <f>SUMIFS([0]!mud,[0]!municipio,$B9,[0]!turno,V$2)</f>
        <v>0</v>
      </c>
      <c r="W10" s="26">
        <f>SUMIFS([0]!mud,[0]!municipio,$B9,[0]!turno,W$2)</f>
        <v>10</v>
      </c>
    </row>
    <row r="11" spans="1:23" ht="15.75" thickBot="1" x14ac:dyDescent="0.3">
      <c r="A11" s="50"/>
      <c r="B11" s="21">
        <v>5.279022383991467E-2</v>
      </c>
      <c r="C11" s="10" t="s">
        <v>0</v>
      </c>
      <c r="D11" s="38">
        <f>IF((E9+E10+E11)=0,0,E11/(E9+E10+E11))</f>
        <v>4.9645390070921988E-2</v>
      </c>
      <c r="E11" s="11">
        <f t="shared" si="0"/>
        <v>14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2</v>
      </c>
      <c r="I11" s="11">
        <f>SUMIFS([0]!otro,[0]!municipio,$B9,[0]!turno,I$2)</f>
        <v>0</v>
      </c>
      <c r="J11" s="11">
        <f>SUMIFS([0]!otro,[0]!municipio,$B9,[0]!turno,J$2)</f>
        <v>1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3</v>
      </c>
      <c r="O11" s="11">
        <f>SUMIFS([0]!otro,[0]!municipio,$B9,[0]!turno,O$2)</f>
        <v>2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2</v>
      </c>
      <c r="T11" s="11">
        <f>SUMIFS([0]!otro,[0]!municipio,$B9,[0]!turno,T$2)</f>
        <v>2</v>
      </c>
      <c r="U11" s="11">
        <f>SUMIFS([0]!otro,[0]!municipio,$B9,[0]!turno,U$2)</f>
        <v>2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1:23" x14ac:dyDescent="0.25">
      <c r="A12" s="50"/>
      <c r="B12" s="22">
        <v>37</v>
      </c>
      <c r="C12" s="6" t="s">
        <v>106</v>
      </c>
      <c r="D12" s="36">
        <f>IF((E12+E13+E14)=0,0,E12/(E12+E13+E14))</f>
        <v>0.35609756097560974</v>
      </c>
      <c r="E12" s="7">
        <f t="shared" si="0"/>
        <v>73</v>
      </c>
      <c r="F12" s="7">
        <f>SUMIFS([0]!psuv,[0]!municipio,$B12,[0]!turno,F$2)</f>
        <v>0</v>
      </c>
      <c r="G12" s="7">
        <f>SUMIFS([0]!psuv,[0]!municipio,$B12,[0]!turno,G$2)</f>
        <v>3</v>
      </c>
      <c r="H12" s="7">
        <f>SUMIFS([0]!psuv,[0]!municipio,$B12,[0]!turno,H$2)</f>
        <v>6</v>
      </c>
      <c r="I12" s="7">
        <f>SUMIFS([0]!psuv,[0]!municipio,$B12,[0]!turno,I$2)</f>
        <v>5</v>
      </c>
      <c r="J12" s="7">
        <f>SUMIFS([0]!psuv,[0]!municipio,$B12,[0]!turno,J$2)</f>
        <v>4</v>
      </c>
      <c r="K12" s="7">
        <f>SUMIFS([0]!psuv,[0]!municipio,$B12,[0]!turno,K$2)</f>
        <v>7</v>
      </c>
      <c r="L12" s="7">
        <f>SUMIFS([0]!psuv,[0]!municipio,$B12,[0]!turno,L$2)</f>
        <v>0</v>
      </c>
      <c r="M12" s="7">
        <f>SUMIFS([0]!psuv,[0]!municipio,$B12,[0]!turno,M$2)</f>
        <v>6</v>
      </c>
      <c r="N12" s="7">
        <f>SUMIFS([0]!psuv,[0]!municipio,$B12,[0]!turno,N$2)</f>
        <v>3</v>
      </c>
      <c r="O12" s="7">
        <f>SUMIFS([0]!psuv,[0]!municipio,$B12,[0]!turno,O$2)</f>
        <v>1</v>
      </c>
      <c r="P12" s="7">
        <f>SUMIFS([0]!psuv,[0]!municipio,$B12,[0]!turno,P$2)</f>
        <v>4</v>
      </c>
      <c r="Q12" s="7">
        <f>SUMIFS([0]!psuv,[0]!municipio,$B12,[0]!turno,Q$2)</f>
        <v>3</v>
      </c>
      <c r="R12" s="7">
        <f>SUMIFS([0]!psuv,[0]!municipio,$B12,[0]!turno,R$2)</f>
        <v>8</v>
      </c>
      <c r="S12" s="7">
        <f>SUMIFS([0]!psuv,[0]!municipio,$B12,[0]!turno,S$2)</f>
        <v>1</v>
      </c>
      <c r="T12" s="7">
        <f>SUMIFS([0]!psuv,[0]!municipio,$B12,[0]!turno,T$2)</f>
        <v>4</v>
      </c>
      <c r="U12" s="7">
        <f>SUMIFS([0]!psuv,[0]!municipio,$B12,[0]!turno,U$2)</f>
        <v>5</v>
      </c>
      <c r="V12" s="7">
        <f>SUMIFS([0]!psuv,[0]!municipio,$B12,[0]!turno,V$2)</f>
        <v>4</v>
      </c>
      <c r="W12" s="28">
        <f>SUMIFS([0]!psuv,[0]!municipio,$B12,[0]!turno,W$2)</f>
        <v>9</v>
      </c>
    </row>
    <row r="13" spans="1:23" x14ac:dyDescent="0.25">
      <c r="A13" s="50"/>
      <c r="B13" s="23" t="s">
        <v>26</v>
      </c>
      <c r="C13" s="4" t="s">
        <v>107</v>
      </c>
      <c r="D13" s="37">
        <f>IF((E12+E13+E14)=0,0,E13/(E12+E13+E14))</f>
        <v>0.44390243902439025</v>
      </c>
      <c r="E13" s="5">
        <f t="shared" si="0"/>
        <v>91</v>
      </c>
      <c r="F13" s="5">
        <f>SUMIFS([0]!mud,[0]!municipio,$B12,[0]!turno,F$2)</f>
        <v>0</v>
      </c>
      <c r="G13" s="5">
        <f>SUMIFS([0]!mud,[0]!municipio,$B12,[0]!turno,G$2)</f>
        <v>3</v>
      </c>
      <c r="H13" s="5">
        <f>SUMIFS([0]!mud,[0]!municipio,$B12,[0]!turno,H$2)</f>
        <v>11</v>
      </c>
      <c r="I13" s="5">
        <f>SUMIFS([0]!mud,[0]!municipio,$B12,[0]!turno,I$2)</f>
        <v>6</v>
      </c>
      <c r="J13" s="5">
        <f>SUMIFS([0]!mud,[0]!municipio,$B12,[0]!turno,J$2)</f>
        <v>8</v>
      </c>
      <c r="K13" s="5">
        <f>SUMIFS([0]!mud,[0]!municipio,$B12,[0]!turno,K$2)</f>
        <v>5</v>
      </c>
      <c r="L13" s="5">
        <f>SUMIFS([0]!mud,[0]!municipio,$B12,[0]!turno,L$2)</f>
        <v>4</v>
      </c>
      <c r="M13" s="5">
        <f>SUMIFS([0]!mud,[0]!municipio,$B12,[0]!turno,M$2)</f>
        <v>5</v>
      </c>
      <c r="N13" s="5">
        <f>SUMIFS([0]!mud,[0]!municipio,$B12,[0]!turno,N$2)</f>
        <v>6</v>
      </c>
      <c r="O13" s="5">
        <f>SUMIFS([0]!mud,[0]!municipio,$B12,[0]!turno,O$2)</f>
        <v>2</v>
      </c>
      <c r="P13" s="5">
        <f>SUMIFS([0]!mud,[0]!municipio,$B12,[0]!turno,P$2)</f>
        <v>6</v>
      </c>
      <c r="Q13" s="5">
        <f>SUMIFS([0]!mud,[0]!municipio,$B12,[0]!turno,Q$2)</f>
        <v>7</v>
      </c>
      <c r="R13" s="5">
        <f>SUMIFS([0]!mud,[0]!municipio,$B12,[0]!turno,R$2)</f>
        <v>4</v>
      </c>
      <c r="S13" s="5">
        <f>SUMIFS([0]!mud,[0]!municipio,$B12,[0]!turno,S$2)</f>
        <v>4</v>
      </c>
      <c r="T13" s="5">
        <f>SUMIFS([0]!mud,[0]!municipio,$B12,[0]!turno,T$2)</f>
        <v>3</v>
      </c>
      <c r="U13" s="5">
        <f>SUMIFS([0]!mud,[0]!municipio,$B12,[0]!turno,U$2)</f>
        <v>1</v>
      </c>
      <c r="V13" s="5">
        <f>SUMIFS([0]!mud,[0]!municipio,$B12,[0]!turno,V$2)</f>
        <v>9</v>
      </c>
      <c r="W13" s="26">
        <f>SUMIFS([0]!mud,[0]!municipio,$B12,[0]!turno,W$2)</f>
        <v>7</v>
      </c>
    </row>
    <row r="14" spans="1:23" ht="15.75" thickBot="1" x14ac:dyDescent="0.3">
      <c r="A14" s="50"/>
      <c r="B14" s="48">
        <v>0.26420654432276275</v>
      </c>
      <c r="C14" s="12" t="s">
        <v>0</v>
      </c>
      <c r="D14" s="38">
        <f>IF((E12+E13+E14)=0,0,E14/(E12+E13+E14))</f>
        <v>0.2</v>
      </c>
      <c r="E14" s="13">
        <f t="shared" si="0"/>
        <v>41</v>
      </c>
      <c r="F14" s="13">
        <f>SUMIFS([0]!otro,[0]!municipio,$B12,[0]!turno,F$2)</f>
        <v>0</v>
      </c>
      <c r="G14" s="13">
        <f>SUMIFS([0]!otro,[0]!municipio,$B12,[0]!turno,G$2)</f>
        <v>3</v>
      </c>
      <c r="H14" s="13">
        <f>SUMIFS([0]!otro,[0]!municipio,$B12,[0]!turno,H$2)</f>
        <v>3</v>
      </c>
      <c r="I14" s="13">
        <f>SUMIFS([0]!otro,[0]!municipio,$B12,[0]!turno,I$2)</f>
        <v>3</v>
      </c>
      <c r="J14" s="13">
        <f>SUMIFS([0]!otro,[0]!municipio,$B12,[0]!turno,J$2)</f>
        <v>2</v>
      </c>
      <c r="K14" s="13">
        <f>SUMIFS([0]!otro,[0]!municipio,$B12,[0]!turno,K$2)</f>
        <v>6</v>
      </c>
      <c r="L14" s="13">
        <f>SUMIFS([0]!otro,[0]!municipio,$B12,[0]!turno,L$2)</f>
        <v>2</v>
      </c>
      <c r="M14" s="13">
        <f>SUMIFS([0]!otro,[0]!municipio,$B12,[0]!turno,M$2)</f>
        <v>1</v>
      </c>
      <c r="N14" s="13">
        <f>SUMIFS([0]!otro,[0]!municipio,$B12,[0]!turno,N$2)</f>
        <v>1</v>
      </c>
      <c r="O14" s="13">
        <f>SUMIFS([0]!otro,[0]!municipio,$B12,[0]!turno,O$2)</f>
        <v>4</v>
      </c>
      <c r="P14" s="13">
        <f>SUMIFS([0]!otro,[0]!municipio,$B12,[0]!turno,P$2)</f>
        <v>0</v>
      </c>
      <c r="Q14" s="13">
        <f>SUMIFS([0]!otro,[0]!municipio,$B12,[0]!turno,Q$2)</f>
        <v>3</v>
      </c>
      <c r="R14" s="13">
        <f>SUMIFS([0]!otro,[0]!municipio,$B12,[0]!turno,R$2)</f>
        <v>3</v>
      </c>
      <c r="S14" s="13">
        <f>SUMIFS([0]!otro,[0]!municipio,$B12,[0]!turno,S$2)</f>
        <v>0</v>
      </c>
      <c r="T14" s="13">
        <f>SUMIFS([0]!otro,[0]!municipio,$B12,[0]!turno,T$2)</f>
        <v>3</v>
      </c>
      <c r="U14" s="13">
        <f>SUMIFS([0]!otro,[0]!municipio,$B12,[0]!turno,U$2)</f>
        <v>5</v>
      </c>
      <c r="V14" s="13">
        <f>SUMIFS([0]!otro,[0]!municipio,$B12,[0]!turno,V$2)</f>
        <v>0</v>
      </c>
      <c r="W14" s="29">
        <f>SUMIFS([0]!otro,[0]!municipio,$B12,[0]!turno,W$2)</f>
        <v>2</v>
      </c>
    </row>
    <row r="15" spans="1:23" x14ac:dyDescent="0.25">
      <c r="A15" s="50"/>
      <c r="B15" s="19">
        <v>38</v>
      </c>
      <c r="C15" s="8" t="s">
        <v>106</v>
      </c>
      <c r="D15" s="36">
        <f>IF((E15+E16+E17)=0,0,E15/(E15+E16+E17))</f>
        <v>0.53367346938775506</v>
      </c>
      <c r="E15" s="9">
        <f t="shared" si="0"/>
        <v>523</v>
      </c>
      <c r="F15" s="9">
        <f>SUMIFS([0]!psuv,[0]!municipio,$B15,[0]!turno,F$2)</f>
        <v>53</v>
      </c>
      <c r="G15" s="9">
        <f>SUMIFS([0]!psuv,[0]!municipio,$B15,[0]!turno,G$2)</f>
        <v>48</v>
      </c>
      <c r="H15" s="9">
        <f>SUMIFS([0]!psuv,[0]!municipio,$B15,[0]!turno,H$2)</f>
        <v>58</v>
      </c>
      <c r="I15" s="9">
        <f>SUMIFS([0]!psuv,[0]!municipio,$B15,[0]!turno,I$2)</f>
        <v>35</v>
      </c>
      <c r="J15" s="9">
        <f>SUMIFS([0]!psuv,[0]!municipio,$B15,[0]!turno,J$2)</f>
        <v>51</v>
      </c>
      <c r="K15" s="9">
        <f>SUMIFS([0]!psuv,[0]!municipio,$B15,[0]!turno,K$2)</f>
        <v>46</v>
      </c>
      <c r="L15" s="9">
        <f>SUMIFS([0]!psuv,[0]!municipio,$B15,[0]!turno,L$2)</f>
        <v>40</v>
      </c>
      <c r="M15" s="9">
        <f>SUMIFS([0]!psuv,[0]!municipio,$B15,[0]!turno,M$2)</f>
        <v>35</v>
      </c>
      <c r="N15" s="9">
        <f>SUMIFS([0]!psuv,[0]!municipio,$B15,[0]!turno,N$2)</f>
        <v>46</v>
      </c>
      <c r="O15" s="9">
        <f>SUMIFS([0]!psuv,[0]!municipio,$B15,[0]!turno,O$2)</f>
        <v>24</v>
      </c>
      <c r="P15" s="9">
        <f>SUMIFS([0]!psuv,[0]!municipio,$B15,[0]!turno,P$2)</f>
        <v>13</v>
      </c>
      <c r="Q15" s="9">
        <f>SUMIFS([0]!psuv,[0]!municipio,$B15,[0]!turno,Q$2)</f>
        <v>18</v>
      </c>
      <c r="R15" s="9">
        <f>SUMIFS([0]!psuv,[0]!municipio,$B15,[0]!turno,R$2)</f>
        <v>5</v>
      </c>
      <c r="S15" s="9">
        <f>SUMIFS([0]!psuv,[0]!municipio,$B15,[0]!turno,S$2)</f>
        <v>9</v>
      </c>
      <c r="T15" s="9">
        <f>SUMIFS([0]!psuv,[0]!municipio,$B15,[0]!turno,T$2)</f>
        <v>15</v>
      </c>
      <c r="U15" s="9">
        <f>SUMIFS([0]!psuv,[0]!municipio,$B15,[0]!turno,U$2)</f>
        <v>11</v>
      </c>
      <c r="V15" s="9">
        <f>SUMIFS([0]!psuv,[0]!municipio,$B15,[0]!turno,V$2)</f>
        <v>9</v>
      </c>
      <c r="W15" s="25">
        <f>SUMIFS([0]!psuv,[0]!municipio,$B15,[0]!turno,W$2)</f>
        <v>7</v>
      </c>
    </row>
    <row r="16" spans="1:23" x14ac:dyDescent="0.25">
      <c r="A16" s="50"/>
      <c r="B16" s="20" t="s">
        <v>27</v>
      </c>
      <c r="C16" s="4" t="s">
        <v>107</v>
      </c>
      <c r="D16" s="37">
        <f>IF((E15+E16+E17)=0,0,E16/(E15+E16+E17))</f>
        <v>0.4377551020408163</v>
      </c>
      <c r="E16" s="5">
        <f t="shared" si="0"/>
        <v>429</v>
      </c>
      <c r="F16" s="5">
        <f>SUMIFS([0]!mud,[0]!municipio,$B15,[0]!turno,F$2)</f>
        <v>36</v>
      </c>
      <c r="G16" s="5">
        <f>SUMIFS([0]!mud,[0]!municipio,$B15,[0]!turno,G$2)</f>
        <v>35</v>
      </c>
      <c r="H16" s="5">
        <f>SUMIFS([0]!mud,[0]!municipio,$B15,[0]!turno,H$2)</f>
        <v>24</v>
      </c>
      <c r="I16" s="5">
        <f>SUMIFS([0]!mud,[0]!municipio,$B15,[0]!turno,I$2)</f>
        <v>42</v>
      </c>
      <c r="J16" s="5">
        <f>SUMIFS([0]!mud,[0]!municipio,$B15,[0]!turno,J$2)</f>
        <v>21</v>
      </c>
      <c r="K16" s="5">
        <f>SUMIFS([0]!mud,[0]!municipio,$B15,[0]!turno,K$2)</f>
        <v>26</v>
      </c>
      <c r="L16" s="5">
        <f>SUMIFS([0]!mud,[0]!municipio,$B15,[0]!turno,L$2)</f>
        <v>36</v>
      </c>
      <c r="M16" s="5">
        <f>SUMIFS([0]!mud,[0]!municipio,$B15,[0]!turno,M$2)</f>
        <v>25</v>
      </c>
      <c r="N16" s="5">
        <f>SUMIFS([0]!mud,[0]!municipio,$B15,[0]!turno,N$2)</f>
        <v>40</v>
      </c>
      <c r="O16" s="5">
        <f>SUMIFS([0]!mud,[0]!municipio,$B15,[0]!turno,O$2)</f>
        <v>6</v>
      </c>
      <c r="P16" s="5">
        <f>SUMIFS([0]!mud,[0]!municipio,$B15,[0]!turno,P$2)</f>
        <v>34</v>
      </c>
      <c r="Q16" s="5">
        <f>SUMIFS([0]!mud,[0]!municipio,$B15,[0]!turno,Q$2)</f>
        <v>8</v>
      </c>
      <c r="R16" s="5">
        <f>SUMIFS([0]!mud,[0]!municipio,$B15,[0]!turno,R$2)</f>
        <v>31</v>
      </c>
      <c r="S16" s="5">
        <f>SUMIFS([0]!mud,[0]!municipio,$B15,[0]!turno,S$2)</f>
        <v>18</v>
      </c>
      <c r="T16" s="5">
        <f>SUMIFS([0]!mud,[0]!municipio,$B15,[0]!turno,T$2)</f>
        <v>14</v>
      </c>
      <c r="U16" s="5">
        <f>SUMIFS([0]!mud,[0]!municipio,$B15,[0]!turno,U$2)</f>
        <v>17</v>
      </c>
      <c r="V16" s="5">
        <f>SUMIFS([0]!mud,[0]!municipio,$B15,[0]!turno,V$2)</f>
        <v>4</v>
      </c>
      <c r="W16" s="26">
        <f>SUMIFS([0]!mud,[0]!municipio,$B15,[0]!turno,W$2)</f>
        <v>12</v>
      </c>
    </row>
    <row r="17" spans="1:23" ht="15.75" thickBot="1" x14ac:dyDescent="0.3">
      <c r="A17" s="50"/>
      <c r="B17" s="21">
        <v>8.4778672948232658E-2</v>
      </c>
      <c r="C17" s="10" t="s">
        <v>0</v>
      </c>
      <c r="D17" s="38">
        <f>IF((E15+E16+E17)=0,0,E17/(E15+E16+E17))</f>
        <v>2.8571428571428571E-2</v>
      </c>
      <c r="E17" s="11">
        <f t="shared" si="0"/>
        <v>28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1</v>
      </c>
      <c r="I17" s="11">
        <f>SUMIFS([0]!otro,[0]!municipio,$B15,[0]!turno,I$2)</f>
        <v>5</v>
      </c>
      <c r="J17" s="11">
        <f>SUMIFS([0]!otro,[0]!municipio,$B15,[0]!turno,J$2)</f>
        <v>2</v>
      </c>
      <c r="K17" s="11">
        <f>SUMIFS([0]!otro,[0]!municipio,$B15,[0]!turno,K$2)</f>
        <v>0</v>
      </c>
      <c r="L17" s="11">
        <f>SUMIFS([0]!otro,[0]!municipio,$B15,[0]!turno,L$2)</f>
        <v>4</v>
      </c>
      <c r="M17" s="11">
        <f>SUMIFS([0]!otro,[0]!municipio,$B15,[0]!turno,M$2)</f>
        <v>4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2</v>
      </c>
      <c r="R17" s="11">
        <f>SUMIFS([0]!otro,[0]!municipio,$B15,[0]!turno,R$2)</f>
        <v>7</v>
      </c>
      <c r="S17" s="11">
        <f>SUMIFS([0]!otro,[0]!municipio,$B15,[0]!turno,S$2)</f>
        <v>0</v>
      </c>
      <c r="T17" s="11">
        <f>SUMIFS([0]!otro,[0]!municipio,$B15,[0]!turno,T$2)</f>
        <v>1</v>
      </c>
      <c r="U17" s="11">
        <f>SUMIFS([0]!otro,[0]!municipio,$B15,[0]!turno,U$2)</f>
        <v>0</v>
      </c>
      <c r="V17" s="11">
        <f>SUMIFS([0]!otro,[0]!municipio,$B15,[0]!turno,V$2)</f>
        <v>2</v>
      </c>
      <c r="W17" s="27">
        <f>SUMIFS([0]!otro,[0]!municipio,$B15,[0]!turno,W$2)</f>
        <v>0</v>
      </c>
    </row>
    <row r="18" spans="1:23" x14ac:dyDescent="0.25">
      <c r="A18" s="50"/>
      <c r="B18" s="22">
        <v>39</v>
      </c>
      <c r="C18" s="6" t="s">
        <v>106</v>
      </c>
      <c r="D18" s="36">
        <f>IF((E18+E19+E20)=0,0,E18/(E18+E19+E20))</f>
        <v>0.47249190938511326</v>
      </c>
      <c r="E18" s="7">
        <f t="shared" si="0"/>
        <v>146</v>
      </c>
      <c r="F18" s="7">
        <f>SUMIFS([0]!psuv,[0]!municipio,$B18,[0]!turno,F$2)</f>
        <v>8</v>
      </c>
      <c r="G18" s="7">
        <f>SUMIFS([0]!psuv,[0]!municipio,$B18,[0]!turno,G$2)</f>
        <v>11</v>
      </c>
      <c r="H18" s="7">
        <f>SUMIFS([0]!psuv,[0]!municipio,$B18,[0]!turno,H$2)</f>
        <v>10</v>
      </c>
      <c r="I18" s="7">
        <f>SUMIFS([0]!psuv,[0]!municipio,$B18,[0]!turno,I$2)</f>
        <v>9</v>
      </c>
      <c r="J18" s="7">
        <f>SUMIFS([0]!psuv,[0]!municipio,$B18,[0]!turno,J$2)</f>
        <v>9</v>
      </c>
      <c r="K18" s="7">
        <f>SUMIFS([0]!psuv,[0]!municipio,$B18,[0]!turno,K$2)</f>
        <v>8</v>
      </c>
      <c r="L18" s="7">
        <f>SUMIFS([0]!psuv,[0]!municipio,$B18,[0]!turno,L$2)</f>
        <v>7</v>
      </c>
      <c r="M18" s="7">
        <f>SUMIFS([0]!psuv,[0]!municipio,$B18,[0]!turno,M$2)</f>
        <v>5</v>
      </c>
      <c r="N18" s="7">
        <f>SUMIFS([0]!psuv,[0]!municipio,$B18,[0]!turno,N$2)</f>
        <v>6</v>
      </c>
      <c r="O18" s="7">
        <f>SUMIFS([0]!psuv,[0]!municipio,$B18,[0]!turno,O$2)</f>
        <v>0</v>
      </c>
      <c r="P18" s="7">
        <f>SUMIFS([0]!psuv,[0]!municipio,$B18,[0]!turno,P$2)</f>
        <v>12</v>
      </c>
      <c r="Q18" s="7">
        <f>SUMIFS([0]!psuv,[0]!municipio,$B18,[0]!turno,Q$2)</f>
        <v>6</v>
      </c>
      <c r="R18" s="7">
        <f>SUMIFS([0]!psuv,[0]!municipio,$B18,[0]!turno,R$2)</f>
        <v>6</v>
      </c>
      <c r="S18" s="7">
        <f>SUMIFS([0]!psuv,[0]!municipio,$B18,[0]!turno,S$2)</f>
        <v>10</v>
      </c>
      <c r="T18" s="7">
        <f>SUMIFS([0]!psuv,[0]!municipio,$B18,[0]!turno,T$2)</f>
        <v>12</v>
      </c>
      <c r="U18" s="7">
        <f>SUMIFS([0]!psuv,[0]!municipio,$B18,[0]!turno,U$2)</f>
        <v>10</v>
      </c>
      <c r="V18" s="7">
        <f>SUMIFS([0]!psuv,[0]!municipio,$B18,[0]!turno,V$2)</f>
        <v>12</v>
      </c>
      <c r="W18" s="28">
        <f>SUMIFS([0]!psuv,[0]!municipio,$B18,[0]!turno,W$2)</f>
        <v>5</v>
      </c>
    </row>
    <row r="19" spans="1:23" x14ac:dyDescent="0.25">
      <c r="A19" s="50"/>
      <c r="B19" s="23" t="s">
        <v>103</v>
      </c>
      <c r="C19" s="4" t="s">
        <v>107</v>
      </c>
      <c r="D19" s="37">
        <f>IF((E18+E19+E20)=0,0,E19/(E18+E19+E20))</f>
        <v>0.36569579288025889</v>
      </c>
      <c r="E19" s="5">
        <f t="shared" si="0"/>
        <v>113</v>
      </c>
      <c r="F19" s="5">
        <f>SUMIFS([0]!mud,[0]!municipio,$B18,[0]!turno,F$2)</f>
        <v>6</v>
      </c>
      <c r="G19" s="5">
        <f>SUMIFS([0]!mud,[0]!municipio,$B18,[0]!turno,G$2)</f>
        <v>10</v>
      </c>
      <c r="H19" s="5">
        <f>SUMIFS([0]!mud,[0]!municipio,$B18,[0]!turno,H$2)</f>
        <v>8</v>
      </c>
      <c r="I19" s="5">
        <f>SUMIFS([0]!mud,[0]!municipio,$B18,[0]!turno,I$2)</f>
        <v>6</v>
      </c>
      <c r="J19" s="5">
        <f>SUMIFS([0]!mud,[0]!municipio,$B18,[0]!turno,J$2)</f>
        <v>6</v>
      </c>
      <c r="K19" s="5">
        <f>SUMIFS([0]!mud,[0]!municipio,$B18,[0]!turno,K$2)</f>
        <v>6</v>
      </c>
      <c r="L19" s="5">
        <f>SUMIFS([0]!mud,[0]!municipio,$B18,[0]!turno,L$2)</f>
        <v>7</v>
      </c>
      <c r="M19" s="5">
        <f>SUMIFS([0]!mud,[0]!municipio,$B18,[0]!turno,M$2)</f>
        <v>7</v>
      </c>
      <c r="N19" s="5">
        <f>SUMIFS([0]!mud,[0]!municipio,$B18,[0]!turno,N$2)</f>
        <v>1</v>
      </c>
      <c r="O19" s="5">
        <f>SUMIFS([0]!mud,[0]!municipio,$B18,[0]!turno,O$2)</f>
        <v>0</v>
      </c>
      <c r="P19" s="5">
        <f>SUMIFS([0]!mud,[0]!municipio,$B18,[0]!turno,P$2)</f>
        <v>9</v>
      </c>
      <c r="Q19" s="5">
        <f>SUMIFS([0]!mud,[0]!municipio,$B18,[0]!turno,Q$2)</f>
        <v>5</v>
      </c>
      <c r="R19" s="5">
        <f>SUMIFS([0]!mud,[0]!municipio,$B18,[0]!turno,R$2)</f>
        <v>4</v>
      </c>
      <c r="S19" s="5">
        <f>SUMIFS([0]!mud,[0]!municipio,$B18,[0]!turno,S$2)</f>
        <v>7</v>
      </c>
      <c r="T19" s="5">
        <f>SUMIFS([0]!mud,[0]!municipio,$B18,[0]!turno,T$2)</f>
        <v>10</v>
      </c>
      <c r="U19" s="5">
        <f>SUMIFS([0]!mud,[0]!municipio,$B18,[0]!turno,U$2)</f>
        <v>8</v>
      </c>
      <c r="V19" s="5">
        <f>SUMIFS([0]!mud,[0]!municipio,$B18,[0]!turno,V$2)</f>
        <v>9</v>
      </c>
      <c r="W19" s="26">
        <f>SUMIFS([0]!mud,[0]!municipio,$B18,[0]!turno,W$2)</f>
        <v>4</v>
      </c>
    </row>
    <row r="20" spans="1:23" ht="15.75" thickBot="1" x14ac:dyDescent="0.3">
      <c r="A20" s="50"/>
      <c r="B20" s="21">
        <v>2.0053237217805497E-2</v>
      </c>
      <c r="C20" s="10" t="s">
        <v>0</v>
      </c>
      <c r="D20" s="38">
        <f>IF((E18+E19+E20)=0,0,E20/(E18+E19+E20))</f>
        <v>0.16181229773462782</v>
      </c>
      <c r="E20" s="11">
        <f t="shared" si="0"/>
        <v>50</v>
      </c>
      <c r="F20" s="11">
        <f>SUMIFS([0]!otro,[0]!municipio,$B18,[0]!turno,F$2)</f>
        <v>3</v>
      </c>
      <c r="G20" s="11">
        <f>SUMIFS([0]!otro,[0]!municipio,$B18,[0]!turno,G$2)</f>
        <v>5</v>
      </c>
      <c r="H20" s="11">
        <f>SUMIFS([0]!otro,[0]!municipio,$B18,[0]!turno,H$2)</f>
        <v>6</v>
      </c>
      <c r="I20" s="11">
        <f>SUMIFS([0]!otro,[0]!municipio,$B18,[0]!turno,I$2)</f>
        <v>5</v>
      </c>
      <c r="J20" s="11">
        <f>SUMIFS([0]!otro,[0]!municipio,$B18,[0]!turno,J$2)</f>
        <v>5</v>
      </c>
      <c r="K20" s="11">
        <f>SUMIFS([0]!otro,[0]!municipio,$B18,[0]!turno,K$2)</f>
        <v>3</v>
      </c>
      <c r="L20" s="11">
        <f>SUMIFS([0]!otro,[0]!municipio,$B18,[0]!turno,L$2)</f>
        <v>3</v>
      </c>
      <c r="M20" s="11">
        <f>SUMIFS([0]!otro,[0]!municipio,$B18,[0]!turno,M$2)</f>
        <v>3</v>
      </c>
      <c r="N20" s="11">
        <f>SUMIFS([0]!otro,[0]!municipio,$B18,[0]!turno,N$2)</f>
        <v>1</v>
      </c>
      <c r="O20" s="11">
        <f>SUMIFS([0]!otro,[0]!municipio,$B18,[0]!turno,O$2)</f>
        <v>0</v>
      </c>
      <c r="P20" s="11">
        <f>SUMIFS([0]!otro,[0]!municipio,$B18,[0]!turno,P$2)</f>
        <v>3</v>
      </c>
      <c r="Q20" s="11">
        <f>SUMIFS([0]!otro,[0]!municipio,$B18,[0]!turno,Q$2)</f>
        <v>2</v>
      </c>
      <c r="R20" s="11">
        <f>SUMIFS([0]!otro,[0]!municipio,$B18,[0]!turno,R$2)</f>
        <v>1</v>
      </c>
      <c r="S20" s="11">
        <f>SUMIFS([0]!otro,[0]!municipio,$B18,[0]!turno,S$2)</f>
        <v>4</v>
      </c>
      <c r="T20" s="11">
        <f>SUMIFS([0]!otro,[0]!municipio,$B18,[0]!turno,T$2)</f>
        <v>3</v>
      </c>
      <c r="U20" s="11">
        <f>SUMIFS([0]!otro,[0]!municipio,$B18,[0]!turno,U$2)</f>
        <v>2</v>
      </c>
      <c r="V20" s="11">
        <f>SUMIFS([0]!otro,[0]!municipio,$B18,[0]!turno,V$2)</f>
        <v>1</v>
      </c>
      <c r="W20" s="27">
        <f>SUMIFS([0]!otro,[0]!municipio,$B18,[0]!turno,W$2)</f>
        <v>0</v>
      </c>
    </row>
    <row r="21" spans="1:23" ht="15" customHeight="1" x14ac:dyDescent="0.25">
      <c r="B21"/>
      <c r="C21"/>
    </row>
    <row r="22" spans="1:23" ht="15" customHeight="1" x14ac:dyDescent="0.25">
      <c r="B22"/>
      <c r="C22"/>
    </row>
    <row r="23" spans="1:23" ht="15" customHeight="1" x14ac:dyDescent="0.25">
      <c r="B23"/>
      <c r="C23"/>
    </row>
    <row r="24" spans="1:23" ht="15" customHeight="1" x14ac:dyDescent="0.25">
      <c r="B24"/>
      <c r="C24"/>
    </row>
    <row r="25" spans="1:23" ht="15" customHeight="1" x14ac:dyDescent="0.25">
      <c r="B25"/>
      <c r="C25"/>
    </row>
    <row r="26" spans="1:23" ht="15" customHeight="1" x14ac:dyDescent="0.25">
      <c r="B26"/>
      <c r="C26"/>
    </row>
    <row r="27" spans="1:23" ht="15" customHeight="1" x14ac:dyDescent="0.25">
      <c r="B27"/>
      <c r="C27"/>
    </row>
    <row r="28" spans="1:23" ht="15" customHeight="1" x14ac:dyDescent="0.25">
      <c r="B28"/>
      <c r="C28"/>
    </row>
    <row r="29" spans="1:23" ht="15" customHeight="1" x14ac:dyDescent="0.25">
      <c r="B29"/>
      <c r="C29"/>
    </row>
    <row r="30" spans="1:23" ht="15" customHeight="1" x14ac:dyDescent="0.25">
      <c r="B30"/>
      <c r="C30"/>
    </row>
    <row r="31" spans="1:23" ht="15" customHeight="1" x14ac:dyDescent="0.25">
      <c r="B31"/>
      <c r="C31"/>
    </row>
    <row r="32" spans="1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W444"/>
  <sheetViews>
    <sheetView workbookViewId="0">
      <selection activeCell="F32" sqref="F32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1:23" ht="15.75" customHeight="1" thickBot="1" x14ac:dyDescent="0.3"/>
    <row r="2" spans="1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1:23" ht="15" customHeight="1" x14ac:dyDescent="0.25">
      <c r="A3" s="49"/>
      <c r="B3" s="19">
        <v>40</v>
      </c>
      <c r="C3" s="8" t="s">
        <v>106</v>
      </c>
      <c r="D3" s="36">
        <f>IF((E3+E4+E5)=0,0,E3/(E3+E4+E5))</f>
        <v>0.52317880794701987</v>
      </c>
      <c r="E3" s="9">
        <f t="shared" ref="E3:E38" si="0">SUM(F3:W3)</f>
        <v>316</v>
      </c>
      <c r="F3" s="9">
        <f>SUMIFS([0]!psuv,[0]!municipio,$B3,[0]!turno,F$2)</f>
        <v>9</v>
      </c>
      <c r="G3" s="9">
        <f>SUMIFS([0]!psuv,[0]!municipio,$B3,[0]!turno,G$2)</f>
        <v>17</v>
      </c>
      <c r="H3" s="9">
        <f>SUMIFS([0]!psuv,[0]!municipio,$B3,[0]!turno,H$2)</f>
        <v>17</v>
      </c>
      <c r="I3" s="9">
        <f>SUMIFS([0]!psuv,[0]!municipio,$B3,[0]!turno,I$2)</f>
        <v>23</v>
      </c>
      <c r="J3" s="9">
        <f>SUMIFS([0]!psuv,[0]!municipio,$B3,[0]!turno,J$2)</f>
        <v>15</v>
      </c>
      <c r="K3" s="9">
        <f>SUMIFS([0]!psuv,[0]!municipio,$B3,[0]!turno,K$2)</f>
        <v>13</v>
      </c>
      <c r="L3" s="9">
        <f>SUMIFS([0]!psuv,[0]!municipio,$B3,[0]!turno,L$2)</f>
        <v>19</v>
      </c>
      <c r="M3" s="9">
        <f>SUMIFS([0]!psuv,[0]!municipio,$B3,[0]!turno,M$2)</f>
        <v>12</v>
      </c>
      <c r="N3" s="9">
        <f>SUMIFS([0]!psuv,[0]!municipio,$B3,[0]!turno,N$2)</f>
        <v>8</v>
      </c>
      <c r="O3" s="9">
        <f>SUMIFS([0]!psuv,[0]!municipio,$B3,[0]!turno,O$2)</f>
        <v>0</v>
      </c>
      <c r="P3" s="9">
        <f>SUMIFS([0]!psuv,[0]!municipio,$B3,[0]!turno,P$2)</f>
        <v>19</v>
      </c>
      <c r="Q3" s="9">
        <f>SUMIFS([0]!psuv,[0]!municipio,$B3,[0]!turno,Q$2)</f>
        <v>29</v>
      </c>
      <c r="R3" s="9">
        <f>SUMIFS([0]!psuv,[0]!municipio,$B3,[0]!turno,R$2)</f>
        <v>26</v>
      </c>
      <c r="S3" s="9">
        <f>SUMIFS([0]!psuv,[0]!municipio,$B3,[0]!turno,S$2)</f>
        <v>29</v>
      </c>
      <c r="T3" s="9">
        <f>SUMIFS([0]!psuv,[0]!municipio,$B3,[0]!turno,T$2)</f>
        <v>15</v>
      </c>
      <c r="U3" s="9">
        <f>SUMIFS([0]!psuv,[0]!municipio,$B3,[0]!turno,U$2)</f>
        <v>25</v>
      </c>
      <c r="V3" s="9">
        <f>SUMIFS([0]!psuv,[0]!municipio,$B3,[0]!turno,V$2)</f>
        <v>21</v>
      </c>
      <c r="W3" s="25">
        <f>SUMIFS([0]!psuv,[0]!municipio,$B3,[0]!turno,W$2)</f>
        <v>19</v>
      </c>
    </row>
    <row r="4" spans="1:23" x14ac:dyDescent="0.25">
      <c r="A4" s="49"/>
      <c r="B4" s="20" t="s">
        <v>29</v>
      </c>
      <c r="C4" s="4" t="s">
        <v>107</v>
      </c>
      <c r="D4" s="37">
        <f>IF((E3+E4+E5)=0,0,E4/(E3+E4+E5))</f>
        <v>0.44205298013245031</v>
      </c>
      <c r="E4" s="5">
        <f t="shared" si="0"/>
        <v>267</v>
      </c>
      <c r="F4" s="5">
        <f>SUMIFS([0]!mud,[0]!municipio,$B3,[0]!turno,F$2)</f>
        <v>19</v>
      </c>
      <c r="G4" s="5">
        <f>SUMIFS([0]!mud,[0]!municipio,$B3,[0]!turno,G$2)</f>
        <v>17</v>
      </c>
      <c r="H4" s="5">
        <f>SUMIFS([0]!mud,[0]!municipio,$B3,[0]!turno,H$2)</f>
        <v>14</v>
      </c>
      <c r="I4" s="5">
        <f>SUMIFS([0]!mud,[0]!municipio,$B3,[0]!turno,I$2)</f>
        <v>9</v>
      </c>
      <c r="J4" s="5">
        <f>SUMIFS([0]!mud,[0]!municipio,$B3,[0]!turno,J$2)</f>
        <v>15</v>
      </c>
      <c r="K4" s="5">
        <f>SUMIFS([0]!mud,[0]!municipio,$B3,[0]!turno,K$2)</f>
        <v>23</v>
      </c>
      <c r="L4" s="5">
        <f>SUMIFS([0]!mud,[0]!municipio,$B3,[0]!turno,L$2)</f>
        <v>18</v>
      </c>
      <c r="M4" s="5">
        <f>SUMIFS([0]!mud,[0]!municipio,$B3,[0]!turno,M$2)</f>
        <v>29</v>
      </c>
      <c r="N4" s="5">
        <f>SUMIFS([0]!mud,[0]!municipio,$B3,[0]!turno,N$2)</f>
        <v>36</v>
      </c>
      <c r="O4" s="5">
        <f>SUMIFS([0]!mud,[0]!municipio,$B3,[0]!turno,O$2)</f>
        <v>0</v>
      </c>
      <c r="P4" s="5">
        <f>SUMIFS([0]!mud,[0]!municipio,$B3,[0]!turno,P$2)</f>
        <v>14</v>
      </c>
      <c r="Q4" s="5">
        <f>SUMIFS([0]!mud,[0]!municipio,$B3,[0]!turno,Q$2)</f>
        <v>13</v>
      </c>
      <c r="R4" s="5">
        <f>SUMIFS([0]!mud,[0]!municipio,$B3,[0]!turno,R$2)</f>
        <v>8</v>
      </c>
      <c r="S4" s="5">
        <f>SUMIFS([0]!mud,[0]!municipio,$B3,[0]!turno,S$2)</f>
        <v>10</v>
      </c>
      <c r="T4" s="5">
        <f>SUMIFS([0]!mud,[0]!municipio,$B3,[0]!turno,T$2)</f>
        <v>17</v>
      </c>
      <c r="U4" s="5">
        <f>SUMIFS([0]!mud,[0]!municipio,$B3,[0]!turno,U$2)</f>
        <v>9</v>
      </c>
      <c r="V4" s="5">
        <f>SUMIFS([0]!mud,[0]!municipio,$B3,[0]!turno,V$2)</f>
        <v>8</v>
      </c>
      <c r="W4" s="26">
        <f>SUMIFS([0]!mud,[0]!municipio,$B3,[0]!turno,W$2)</f>
        <v>8</v>
      </c>
    </row>
    <row r="5" spans="1:23" ht="15.75" thickBot="1" x14ac:dyDescent="0.3">
      <c r="A5" s="49"/>
      <c r="B5" s="21">
        <v>2.2175041442678053E-2</v>
      </c>
      <c r="C5" s="10" t="s">
        <v>0</v>
      </c>
      <c r="D5" s="38">
        <f>IF((E3+E4+E5)=0,0,E5/(E3+E4+E5))</f>
        <v>3.4768211920529798E-2</v>
      </c>
      <c r="E5" s="11">
        <f t="shared" si="0"/>
        <v>21</v>
      </c>
      <c r="F5" s="11">
        <f>SUMIFS([0]!otro,[0]!municipio,$B3,[0]!turno,F$2)</f>
        <v>0</v>
      </c>
      <c r="G5" s="11">
        <f>SUMIFS([0]!otro,[0]!municipio,$B3,[0]!turno,G$2)</f>
        <v>1</v>
      </c>
      <c r="H5" s="11">
        <f>SUMIFS([0]!otro,[0]!municipio,$B3,[0]!turno,H$2)</f>
        <v>4</v>
      </c>
      <c r="I5" s="11">
        <f>SUMIFS([0]!otro,[0]!municipio,$B3,[0]!turno,I$2)</f>
        <v>1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2</v>
      </c>
      <c r="M5" s="11">
        <f>SUMIFS([0]!otro,[0]!municipio,$B3,[0]!turno,M$2)</f>
        <v>0</v>
      </c>
      <c r="N5" s="11">
        <f>SUMIFS([0]!otro,[0]!municipio,$B3,[0]!turno,N$2)</f>
        <v>3</v>
      </c>
      <c r="O5" s="11">
        <f>SUMIFS([0]!otro,[0]!municipio,$B3,[0]!turno,O$2)</f>
        <v>0</v>
      </c>
      <c r="P5" s="11">
        <f>SUMIFS([0]!otro,[0]!municipio,$B3,[0]!turno,P$2)</f>
        <v>2</v>
      </c>
      <c r="Q5" s="11">
        <f>SUMIFS([0]!otro,[0]!municipio,$B3,[0]!turno,Q$2)</f>
        <v>0</v>
      </c>
      <c r="R5" s="11">
        <f>SUMIFS([0]!otro,[0]!municipio,$B3,[0]!turno,R$2)</f>
        <v>2</v>
      </c>
      <c r="S5" s="11">
        <f>SUMIFS([0]!otro,[0]!municipio,$B3,[0]!turno,S$2)</f>
        <v>3</v>
      </c>
      <c r="T5" s="11">
        <f>SUMIFS([0]!otro,[0]!municipio,$B3,[0]!turno,T$2)</f>
        <v>3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1:23" x14ac:dyDescent="0.25">
      <c r="A6" s="49"/>
      <c r="B6" s="22">
        <v>41</v>
      </c>
      <c r="C6" s="6" t="s">
        <v>106</v>
      </c>
      <c r="D6" s="36">
        <f>IF((E6+E7+E8)=0,0,E6/(E6+E7+E8))</f>
        <v>0.57543859649122808</v>
      </c>
      <c r="E6" s="7">
        <f t="shared" si="0"/>
        <v>328</v>
      </c>
      <c r="F6" s="7">
        <f>SUMIFS([0]!psuv,[0]!municipio,$B6,[0]!turno,F$2)</f>
        <v>42</v>
      </c>
      <c r="G6" s="7">
        <f>SUMIFS([0]!psuv,[0]!municipio,$B6,[0]!turno,G$2)</f>
        <v>29</v>
      </c>
      <c r="H6" s="7">
        <f>SUMIFS([0]!psuv,[0]!municipio,$B6,[0]!turno,H$2)</f>
        <v>12</v>
      </c>
      <c r="I6" s="7">
        <f>SUMIFS([0]!psuv,[0]!municipio,$B6,[0]!turno,I$2)</f>
        <v>10</v>
      </c>
      <c r="J6" s="7">
        <f>SUMIFS([0]!psuv,[0]!municipio,$B6,[0]!turno,J$2)</f>
        <v>18</v>
      </c>
      <c r="K6" s="7">
        <f>SUMIFS([0]!psuv,[0]!municipio,$B6,[0]!turno,K$2)</f>
        <v>22</v>
      </c>
      <c r="L6" s="7">
        <f>SUMIFS([0]!psuv,[0]!municipio,$B6,[0]!turno,L$2)</f>
        <v>21</v>
      </c>
      <c r="M6" s="7">
        <f>SUMIFS([0]!psuv,[0]!municipio,$B6,[0]!turno,M$2)</f>
        <v>16</v>
      </c>
      <c r="N6" s="7">
        <f>SUMIFS([0]!psuv,[0]!municipio,$B6,[0]!turno,N$2)</f>
        <v>11</v>
      </c>
      <c r="O6" s="7">
        <f>SUMIFS([0]!psuv,[0]!municipio,$B6,[0]!turno,O$2)</f>
        <v>0</v>
      </c>
      <c r="P6" s="7">
        <f>SUMIFS([0]!psuv,[0]!municipio,$B6,[0]!turno,P$2)</f>
        <v>11</v>
      </c>
      <c r="Q6" s="7">
        <f>SUMIFS([0]!psuv,[0]!municipio,$B6,[0]!turno,Q$2)</f>
        <v>16</v>
      </c>
      <c r="R6" s="7">
        <f>SUMIFS([0]!psuv,[0]!municipio,$B6,[0]!turno,R$2)</f>
        <v>12</v>
      </c>
      <c r="S6" s="7">
        <f>SUMIFS([0]!psuv,[0]!municipio,$B6,[0]!turno,S$2)</f>
        <v>12</v>
      </c>
      <c r="T6" s="7">
        <f>SUMIFS([0]!psuv,[0]!municipio,$B6,[0]!turno,T$2)</f>
        <v>30</v>
      </c>
      <c r="U6" s="7">
        <f>SUMIFS([0]!psuv,[0]!municipio,$B6,[0]!turno,U$2)</f>
        <v>17</v>
      </c>
      <c r="V6" s="7">
        <f>SUMIFS([0]!psuv,[0]!municipio,$B6,[0]!turno,V$2)</f>
        <v>24</v>
      </c>
      <c r="W6" s="28">
        <f>SUMIFS([0]!psuv,[0]!municipio,$B6,[0]!turno,W$2)</f>
        <v>25</v>
      </c>
    </row>
    <row r="7" spans="1:23" x14ac:dyDescent="0.25">
      <c r="A7" s="49"/>
      <c r="B7" s="23" t="s">
        <v>30</v>
      </c>
      <c r="C7" s="4" t="s">
        <v>107</v>
      </c>
      <c r="D7" s="37">
        <f>IF((E6+E7+E8)=0,0,E7/(E6+E7+E8))</f>
        <v>0.35087719298245612</v>
      </c>
      <c r="E7" s="5">
        <f t="shared" si="0"/>
        <v>200</v>
      </c>
      <c r="F7" s="5">
        <f>SUMIFS([0]!mud,[0]!municipio,$B6,[0]!turno,F$2)</f>
        <v>16</v>
      </c>
      <c r="G7" s="5">
        <f>SUMIFS([0]!mud,[0]!municipio,$B6,[0]!turno,G$2)</f>
        <v>21</v>
      </c>
      <c r="H7" s="5">
        <f>SUMIFS([0]!mud,[0]!municipio,$B6,[0]!turno,H$2)</f>
        <v>8</v>
      </c>
      <c r="I7" s="5">
        <f>SUMIFS([0]!mud,[0]!municipio,$B6,[0]!turno,I$2)</f>
        <v>14</v>
      </c>
      <c r="J7" s="5">
        <f>SUMIFS([0]!mud,[0]!municipio,$B6,[0]!turno,J$2)</f>
        <v>17</v>
      </c>
      <c r="K7" s="5">
        <f>SUMIFS([0]!mud,[0]!municipio,$B6,[0]!turno,K$2)</f>
        <v>5</v>
      </c>
      <c r="L7" s="5">
        <f>SUMIFS([0]!mud,[0]!municipio,$B6,[0]!turno,L$2)</f>
        <v>12</v>
      </c>
      <c r="M7" s="5">
        <f>SUMIFS([0]!mud,[0]!municipio,$B6,[0]!turno,M$2)</f>
        <v>11</v>
      </c>
      <c r="N7" s="5">
        <f>SUMIFS([0]!mud,[0]!municipio,$B6,[0]!turno,N$2)</f>
        <v>9</v>
      </c>
      <c r="O7" s="5">
        <f>SUMIFS([0]!mud,[0]!municipio,$B6,[0]!turno,O$2)</f>
        <v>0</v>
      </c>
      <c r="P7" s="5">
        <f>SUMIFS([0]!mud,[0]!municipio,$B6,[0]!turno,P$2)</f>
        <v>12</v>
      </c>
      <c r="Q7" s="5">
        <f>SUMIFS([0]!mud,[0]!municipio,$B6,[0]!turno,Q$2)</f>
        <v>5</v>
      </c>
      <c r="R7" s="5">
        <f>SUMIFS([0]!mud,[0]!municipio,$B6,[0]!turno,R$2)</f>
        <v>2</v>
      </c>
      <c r="S7" s="5">
        <f>SUMIFS([0]!mud,[0]!municipio,$B6,[0]!turno,S$2)</f>
        <v>5</v>
      </c>
      <c r="T7" s="5">
        <f>SUMIFS([0]!mud,[0]!municipio,$B6,[0]!turno,T$2)</f>
        <v>12</v>
      </c>
      <c r="U7" s="5">
        <f>SUMIFS([0]!mud,[0]!municipio,$B6,[0]!turno,U$2)</f>
        <v>12</v>
      </c>
      <c r="V7" s="5">
        <f>SUMIFS([0]!mud,[0]!municipio,$B6,[0]!turno,V$2)</f>
        <v>17</v>
      </c>
      <c r="W7" s="26">
        <f>SUMIFS([0]!mud,[0]!municipio,$B6,[0]!turno,W$2)</f>
        <v>22</v>
      </c>
    </row>
    <row r="8" spans="1:23" ht="15.75" thickBot="1" x14ac:dyDescent="0.3">
      <c r="A8" s="49"/>
      <c r="B8" s="24">
        <v>6.6819647679817989E-2</v>
      </c>
      <c r="C8" s="12" t="s">
        <v>0</v>
      </c>
      <c r="D8" s="38">
        <f>IF((E6+E7+E8)=0,0,E8/(E6+E7+E8))</f>
        <v>7.3684210526315783E-2</v>
      </c>
      <c r="E8" s="13">
        <f t="shared" si="0"/>
        <v>42</v>
      </c>
      <c r="F8" s="13">
        <f>SUMIFS([0]!otro,[0]!municipio,$B6,[0]!turno,F$2)</f>
        <v>0</v>
      </c>
      <c r="G8" s="13">
        <f>SUMIFS([0]!otro,[0]!municipio,$B6,[0]!turno,G$2)</f>
        <v>2</v>
      </c>
      <c r="H8" s="13">
        <f>SUMIFS([0]!otro,[0]!municipio,$B6,[0]!turno,H$2)</f>
        <v>0</v>
      </c>
      <c r="I8" s="13">
        <f>SUMIFS([0]!otro,[0]!municipio,$B6,[0]!turno,I$2)</f>
        <v>1</v>
      </c>
      <c r="J8" s="13">
        <f>SUMIFS([0]!otro,[0]!municipio,$B6,[0]!turno,J$2)</f>
        <v>2</v>
      </c>
      <c r="K8" s="13">
        <f>SUMIFS([0]!otro,[0]!municipio,$B6,[0]!turno,K$2)</f>
        <v>0</v>
      </c>
      <c r="L8" s="13">
        <f>SUMIFS([0]!otro,[0]!municipio,$B6,[0]!turno,L$2)</f>
        <v>1</v>
      </c>
      <c r="M8" s="13">
        <f>SUMIFS([0]!otro,[0]!municipio,$B6,[0]!turno,M$2)</f>
        <v>2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2</v>
      </c>
      <c r="R8" s="13">
        <f>SUMIFS([0]!otro,[0]!municipio,$B6,[0]!turno,R$2)</f>
        <v>7</v>
      </c>
      <c r="S8" s="13">
        <f>SUMIFS([0]!otro,[0]!municipio,$B6,[0]!turno,S$2)</f>
        <v>5</v>
      </c>
      <c r="T8" s="13">
        <f>SUMIFS([0]!otro,[0]!municipio,$B6,[0]!turno,T$2)</f>
        <v>2</v>
      </c>
      <c r="U8" s="13">
        <f>SUMIFS([0]!otro,[0]!municipio,$B6,[0]!turno,U$2)</f>
        <v>4</v>
      </c>
      <c r="V8" s="13">
        <f>SUMIFS([0]!otro,[0]!municipio,$B6,[0]!turno,V$2)</f>
        <v>7</v>
      </c>
      <c r="W8" s="29">
        <f>SUMIFS([0]!otro,[0]!municipio,$B6,[0]!turno,W$2)</f>
        <v>7</v>
      </c>
    </row>
    <row r="9" spans="1:23" x14ac:dyDescent="0.25">
      <c r="A9" s="49"/>
      <c r="B9" s="19">
        <v>42</v>
      </c>
      <c r="C9" s="8" t="s">
        <v>106</v>
      </c>
      <c r="D9" s="36">
        <f>IF((E9+E10+E11)=0,0,E9/(E9+E10+E11))</f>
        <v>0.52674897119341568</v>
      </c>
      <c r="E9" s="9">
        <f t="shared" si="0"/>
        <v>128</v>
      </c>
      <c r="F9" s="9">
        <f>SUMIFS([0]!psuv,[0]!municipio,$B9,[0]!turno,F$2)</f>
        <v>0</v>
      </c>
      <c r="G9" s="9">
        <f>SUMIFS([0]!psuv,[0]!municipio,$B9,[0]!turno,G$2)</f>
        <v>0</v>
      </c>
      <c r="H9" s="9">
        <f>SUMIFS([0]!psuv,[0]!municipio,$B9,[0]!turno,H$2)</f>
        <v>7</v>
      </c>
      <c r="I9" s="9">
        <f>SUMIFS([0]!psuv,[0]!municipio,$B9,[0]!turno,I$2)</f>
        <v>6</v>
      </c>
      <c r="J9" s="9">
        <f>SUMIFS([0]!psuv,[0]!municipio,$B9,[0]!turno,J$2)</f>
        <v>13</v>
      </c>
      <c r="K9" s="9">
        <f>SUMIFS([0]!psuv,[0]!municipio,$B9,[0]!turno,K$2)</f>
        <v>9</v>
      </c>
      <c r="L9" s="9">
        <f>SUMIFS([0]!psuv,[0]!municipio,$B9,[0]!turno,L$2)</f>
        <v>7</v>
      </c>
      <c r="M9" s="9">
        <f>SUMIFS([0]!psuv,[0]!municipio,$B9,[0]!turno,M$2)</f>
        <v>7</v>
      </c>
      <c r="N9" s="9">
        <f>SUMIFS([0]!psuv,[0]!municipio,$B9,[0]!turno,N$2)</f>
        <v>16</v>
      </c>
      <c r="O9" s="9">
        <f>SUMIFS([0]!psuv,[0]!municipio,$B9,[0]!turno,O$2)</f>
        <v>0</v>
      </c>
      <c r="P9" s="9">
        <f>SUMIFS([0]!psuv,[0]!municipio,$B9,[0]!turno,P$2)</f>
        <v>10</v>
      </c>
      <c r="Q9" s="9">
        <f>SUMIFS([0]!psuv,[0]!municipio,$B9,[0]!turno,Q$2)</f>
        <v>17</v>
      </c>
      <c r="R9" s="9">
        <f>SUMIFS([0]!psuv,[0]!municipio,$B9,[0]!turno,R$2)</f>
        <v>14</v>
      </c>
      <c r="S9" s="9">
        <f>SUMIFS([0]!psuv,[0]!municipio,$B9,[0]!turno,S$2)</f>
        <v>8</v>
      </c>
      <c r="T9" s="9">
        <f>SUMIFS([0]!psuv,[0]!municipio,$B9,[0]!turno,T$2)</f>
        <v>14</v>
      </c>
      <c r="U9" s="9">
        <f>SUMIFS([0]!psuv,[0]!municipio,$B9,[0]!turno,U$2)</f>
        <v>0</v>
      </c>
      <c r="V9" s="9">
        <f>SUMIFS([0]!psuv,[0]!municipio,$B9,[0]!turno,V$2)</f>
        <v>0</v>
      </c>
      <c r="W9" s="25">
        <f>SUMIFS([0]!psuv,[0]!municipio,$B9,[0]!turno,W$2)</f>
        <v>0</v>
      </c>
    </row>
    <row r="10" spans="1:23" x14ac:dyDescent="0.25">
      <c r="A10" s="49"/>
      <c r="B10" s="20" t="s">
        <v>31</v>
      </c>
      <c r="C10" s="4" t="s">
        <v>107</v>
      </c>
      <c r="D10" s="37">
        <f>IF((E9+E10+E11)=0,0,E10/(E9+E10+E11))</f>
        <v>0.47325102880658437</v>
      </c>
      <c r="E10" s="5">
        <f t="shared" si="0"/>
        <v>115</v>
      </c>
      <c r="F10" s="5">
        <f>SUMIFS([0]!mud,[0]!municipio,$B9,[0]!turno,F$2)</f>
        <v>0</v>
      </c>
      <c r="G10" s="5">
        <f>SUMIFS([0]!mud,[0]!municipio,$B9,[0]!turno,G$2)</f>
        <v>0</v>
      </c>
      <c r="H10" s="5">
        <f>SUMIFS([0]!mud,[0]!municipio,$B9,[0]!turno,H$2)</f>
        <v>21</v>
      </c>
      <c r="I10" s="5">
        <f>SUMIFS([0]!mud,[0]!municipio,$B9,[0]!turno,I$2)</f>
        <v>20</v>
      </c>
      <c r="J10" s="5">
        <f>SUMIFS([0]!mud,[0]!municipio,$B9,[0]!turno,J$2)</f>
        <v>17</v>
      </c>
      <c r="K10" s="5">
        <f>SUMIFS([0]!mud,[0]!municipio,$B9,[0]!turno,K$2)</f>
        <v>20</v>
      </c>
      <c r="L10" s="5">
        <f>SUMIFS([0]!mud,[0]!municipio,$B9,[0]!turno,L$2)</f>
        <v>3</v>
      </c>
      <c r="M10" s="5">
        <f>SUMIFS([0]!mud,[0]!municipio,$B9,[0]!turno,M$2)</f>
        <v>2</v>
      </c>
      <c r="N10" s="5">
        <f>SUMIFS([0]!mud,[0]!municipio,$B9,[0]!turno,N$2)</f>
        <v>5</v>
      </c>
      <c r="O10" s="5">
        <f>SUMIFS([0]!mud,[0]!municipio,$B9,[0]!turno,O$2)</f>
        <v>0</v>
      </c>
      <c r="P10" s="5">
        <f>SUMIFS([0]!mud,[0]!municipio,$B9,[0]!turno,P$2)</f>
        <v>1</v>
      </c>
      <c r="Q10" s="5">
        <f>SUMIFS([0]!mud,[0]!municipio,$B9,[0]!turno,Q$2)</f>
        <v>4</v>
      </c>
      <c r="R10" s="5">
        <f>SUMIFS([0]!mud,[0]!municipio,$B9,[0]!turno,R$2)</f>
        <v>9</v>
      </c>
      <c r="S10" s="5">
        <f>SUMIFS([0]!mud,[0]!municipio,$B9,[0]!turno,S$2)</f>
        <v>6</v>
      </c>
      <c r="T10" s="5">
        <f>SUMIFS([0]!mud,[0]!municipio,$B9,[0]!turno,T$2)</f>
        <v>7</v>
      </c>
      <c r="U10" s="5">
        <f>SUMIFS([0]!mud,[0]!municipio,$B9,[0]!turno,U$2)</f>
        <v>0</v>
      </c>
      <c r="V10" s="5">
        <f>SUMIFS([0]!mud,[0]!municipio,$B9,[0]!turno,V$2)</f>
        <v>0</v>
      </c>
      <c r="W10" s="26">
        <f>SUMIFS([0]!mud,[0]!municipio,$B9,[0]!turno,W$2)</f>
        <v>0</v>
      </c>
    </row>
    <row r="11" spans="1:23" ht="15.75" thickBot="1" x14ac:dyDescent="0.3">
      <c r="A11" s="49"/>
      <c r="B11" s="21">
        <v>4.5035052331935922E-2</v>
      </c>
      <c r="C11" s="10" t="s">
        <v>0</v>
      </c>
      <c r="D11" s="38">
        <f>IF((E9+E10+E11)=0,0,E11/(E9+E10+E11))</f>
        <v>0</v>
      </c>
      <c r="E11" s="11">
        <f t="shared" si="0"/>
        <v>0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1:23" x14ac:dyDescent="0.25">
      <c r="A12" s="49"/>
      <c r="B12" s="22">
        <v>43</v>
      </c>
      <c r="C12" s="6" t="s">
        <v>106</v>
      </c>
      <c r="D12" s="36">
        <f>IF((E12+E13+E14)=0,0,E12/(E12+E13+E14))</f>
        <v>0.48966408268733852</v>
      </c>
      <c r="E12" s="7">
        <f t="shared" si="0"/>
        <v>379</v>
      </c>
      <c r="F12" s="7">
        <f>SUMIFS([0]!psuv,[0]!municipio,$B12,[0]!turno,F$2)</f>
        <v>26</v>
      </c>
      <c r="G12" s="7">
        <f>SUMIFS([0]!psuv,[0]!municipio,$B12,[0]!turno,G$2)</f>
        <v>13</v>
      </c>
      <c r="H12" s="7">
        <f>SUMIFS([0]!psuv,[0]!municipio,$B12,[0]!turno,H$2)</f>
        <v>3</v>
      </c>
      <c r="I12" s="7">
        <f>SUMIFS([0]!psuv,[0]!municipio,$B12,[0]!turno,I$2)</f>
        <v>81</v>
      </c>
      <c r="J12" s="7">
        <f>SUMIFS([0]!psuv,[0]!municipio,$B12,[0]!turno,J$2)</f>
        <v>0</v>
      </c>
      <c r="K12" s="7">
        <f>SUMIFS([0]!psuv,[0]!municipio,$B12,[0]!turno,K$2)</f>
        <v>15</v>
      </c>
      <c r="L12" s="7">
        <f>SUMIFS([0]!psuv,[0]!municipio,$B12,[0]!turno,L$2)</f>
        <v>20</v>
      </c>
      <c r="M12" s="7">
        <f>SUMIFS([0]!psuv,[0]!municipio,$B12,[0]!turno,M$2)</f>
        <v>26</v>
      </c>
      <c r="N12" s="7">
        <f>SUMIFS([0]!psuv,[0]!municipio,$B12,[0]!turno,N$2)</f>
        <v>31</v>
      </c>
      <c r="O12" s="7">
        <f>SUMIFS([0]!psuv,[0]!municipio,$B12,[0]!turno,O$2)</f>
        <v>0</v>
      </c>
      <c r="P12" s="7">
        <f>SUMIFS([0]!psuv,[0]!municipio,$B12,[0]!turno,P$2)</f>
        <v>12</v>
      </c>
      <c r="Q12" s="7">
        <f>SUMIFS([0]!psuv,[0]!municipio,$B12,[0]!turno,Q$2)</f>
        <v>19</v>
      </c>
      <c r="R12" s="7">
        <f>SUMIFS([0]!psuv,[0]!municipio,$B12,[0]!turno,R$2)</f>
        <v>25</v>
      </c>
      <c r="S12" s="7">
        <f>SUMIFS([0]!psuv,[0]!municipio,$B12,[0]!turno,S$2)</f>
        <v>20</v>
      </c>
      <c r="T12" s="7">
        <f>SUMIFS([0]!psuv,[0]!municipio,$B12,[0]!turno,T$2)</f>
        <v>23</v>
      </c>
      <c r="U12" s="7">
        <f>SUMIFS([0]!psuv,[0]!municipio,$B12,[0]!turno,U$2)</f>
        <v>21</v>
      </c>
      <c r="V12" s="7">
        <f>SUMIFS([0]!psuv,[0]!municipio,$B12,[0]!turno,V$2)</f>
        <v>20</v>
      </c>
      <c r="W12" s="28">
        <f>SUMIFS([0]!psuv,[0]!municipio,$B12,[0]!turno,W$2)</f>
        <v>24</v>
      </c>
    </row>
    <row r="13" spans="1:23" x14ac:dyDescent="0.25">
      <c r="A13" s="49"/>
      <c r="B13" s="23" t="s">
        <v>32</v>
      </c>
      <c r="C13" s="4" t="s">
        <v>107</v>
      </c>
      <c r="D13" s="37">
        <f>IF((E12+E13+E14)=0,0,E13/(E12+E13+E14))</f>
        <v>0.36046511627906974</v>
      </c>
      <c r="E13" s="5">
        <f t="shared" si="0"/>
        <v>279</v>
      </c>
      <c r="F13" s="5">
        <f>SUMIFS([0]!mud,[0]!municipio,$B12,[0]!turno,F$2)</f>
        <v>3</v>
      </c>
      <c r="G13" s="5">
        <f>SUMIFS([0]!mud,[0]!municipio,$B12,[0]!turno,G$2)</f>
        <v>5</v>
      </c>
      <c r="H13" s="5">
        <f>SUMIFS([0]!mud,[0]!municipio,$B12,[0]!turno,H$2)</f>
        <v>4</v>
      </c>
      <c r="I13" s="5">
        <f>SUMIFS([0]!mud,[0]!municipio,$B12,[0]!turno,I$2)</f>
        <v>9</v>
      </c>
      <c r="J13" s="5">
        <f>SUMIFS([0]!mud,[0]!municipio,$B12,[0]!turno,J$2)</f>
        <v>0</v>
      </c>
      <c r="K13" s="5">
        <f>SUMIFS([0]!mud,[0]!municipio,$B12,[0]!turno,K$2)</f>
        <v>10</v>
      </c>
      <c r="L13" s="5">
        <f>SUMIFS([0]!mud,[0]!municipio,$B12,[0]!turno,L$2)</f>
        <v>25</v>
      </c>
      <c r="M13" s="5">
        <f>SUMIFS([0]!mud,[0]!municipio,$B12,[0]!turno,M$2)</f>
        <v>25</v>
      </c>
      <c r="N13" s="5">
        <f>SUMIFS([0]!mud,[0]!municipio,$B12,[0]!turno,N$2)</f>
        <v>24</v>
      </c>
      <c r="O13" s="5">
        <f>SUMIFS([0]!mud,[0]!municipio,$B12,[0]!turno,O$2)</f>
        <v>0</v>
      </c>
      <c r="P13" s="5">
        <f>SUMIFS([0]!mud,[0]!municipio,$B12,[0]!turno,P$2)</f>
        <v>26</v>
      </c>
      <c r="Q13" s="5">
        <f>SUMIFS([0]!mud,[0]!municipio,$B12,[0]!turno,Q$2)</f>
        <v>28</v>
      </c>
      <c r="R13" s="5">
        <f>SUMIFS([0]!mud,[0]!municipio,$B12,[0]!turno,R$2)</f>
        <v>20</v>
      </c>
      <c r="S13" s="5">
        <f>SUMIFS([0]!mud,[0]!municipio,$B12,[0]!turno,S$2)</f>
        <v>14</v>
      </c>
      <c r="T13" s="5">
        <f>SUMIFS([0]!mud,[0]!municipio,$B12,[0]!turno,T$2)</f>
        <v>14</v>
      </c>
      <c r="U13" s="5">
        <f>SUMIFS([0]!mud,[0]!municipio,$B12,[0]!turno,U$2)</f>
        <v>25</v>
      </c>
      <c r="V13" s="5">
        <f>SUMIFS([0]!mud,[0]!municipio,$B12,[0]!turno,V$2)</f>
        <v>20</v>
      </c>
      <c r="W13" s="26">
        <f>SUMIFS([0]!mud,[0]!municipio,$B12,[0]!turno,W$2)</f>
        <v>27</v>
      </c>
    </row>
    <row r="14" spans="1:23" ht="15.75" thickBot="1" x14ac:dyDescent="0.3">
      <c r="A14" s="49"/>
      <c r="B14" s="24">
        <v>7.7790642533765483E-2</v>
      </c>
      <c r="C14" s="12" t="s">
        <v>0</v>
      </c>
      <c r="D14" s="38">
        <f>IF((E12+E13+E14)=0,0,E14/(E12+E13+E14))</f>
        <v>0.14987080103359174</v>
      </c>
      <c r="E14" s="13">
        <f t="shared" si="0"/>
        <v>116</v>
      </c>
      <c r="F14" s="13">
        <f>SUMIFS([0]!otro,[0]!municipio,$B12,[0]!turno,F$2)</f>
        <v>1</v>
      </c>
      <c r="G14" s="13">
        <f>SUMIFS([0]!otro,[0]!municipio,$B12,[0]!turno,G$2)</f>
        <v>1</v>
      </c>
      <c r="H14" s="13">
        <f>SUMIFS([0]!otro,[0]!municipio,$B12,[0]!turno,H$2)</f>
        <v>0</v>
      </c>
      <c r="I14" s="13">
        <f>SUMIFS([0]!otro,[0]!municipio,$B12,[0]!turno,I$2)</f>
        <v>87</v>
      </c>
      <c r="J14" s="13">
        <f>SUMIFS([0]!otro,[0]!municipio,$B12,[0]!turno,J$2)</f>
        <v>0</v>
      </c>
      <c r="K14" s="13">
        <f>SUMIFS([0]!otro,[0]!municipio,$B12,[0]!turno,K$2)</f>
        <v>2</v>
      </c>
      <c r="L14" s="13">
        <f>SUMIFS([0]!otro,[0]!municipio,$B12,[0]!turno,L$2)</f>
        <v>1</v>
      </c>
      <c r="M14" s="13">
        <f>SUMIFS([0]!otro,[0]!municipio,$B12,[0]!turno,M$2)</f>
        <v>1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8</v>
      </c>
      <c r="Q14" s="13">
        <f>SUMIFS([0]!otro,[0]!municipio,$B12,[0]!turno,Q$2)</f>
        <v>2</v>
      </c>
      <c r="R14" s="13">
        <f>SUMIFS([0]!otro,[0]!municipio,$B12,[0]!turno,R$2)</f>
        <v>2</v>
      </c>
      <c r="S14" s="13">
        <f>SUMIFS([0]!otro,[0]!municipio,$B12,[0]!turno,S$2)</f>
        <v>5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6</v>
      </c>
      <c r="W14" s="29">
        <f>SUMIFS([0]!otro,[0]!municipio,$B12,[0]!turno,W$2)</f>
        <v>0</v>
      </c>
    </row>
    <row r="15" spans="1:23" x14ac:dyDescent="0.25">
      <c r="A15" s="49"/>
      <c r="B15" s="19">
        <v>44</v>
      </c>
      <c r="C15" s="8" t="s">
        <v>106</v>
      </c>
      <c r="D15" s="36">
        <f>IF((E15+E16+E17)=0,0,E15/(E15+E16+E17))</f>
        <v>0.42757009345794394</v>
      </c>
      <c r="E15" s="9">
        <f t="shared" si="0"/>
        <v>183</v>
      </c>
      <c r="F15" s="9">
        <f>SUMIFS([0]!psuv,[0]!municipio,$B15,[0]!turno,F$2)</f>
        <v>2</v>
      </c>
      <c r="G15" s="9">
        <f>SUMIFS([0]!psuv,[0]!municipio,$B15,[0]!turno,G$2)</f>
        <v>23</v>
      </c>
      <c r="H15" s="9">
        <f>SUMIFS([0]!psuv,[0]!municipio,$B15,[0]!turno,H$2)</f>
        <v>14</v>
      </c>
      <c r="I15" s="9">
        <f>SUMIFS([0]!psuv,[0]!municipio,$B15,[0]!turno,I$2)</f>
        <v>1</v>
      </c>
      <c r="J15" s="9">
        <f>SUMIFS([0]!psuv,[0]!municipio,$B15,[0]!turno,J$2)</f>
        <v>3</v>
      </c>
      <c r="K15" s="9">
        <f>SUMIFS([0]!psuv,[0]!municipio,$B15,[0]!turno,K$2)</f>
        <v>9</v>
      </c>
      <c r="L15" s="9">
        <f>SUMIFS([0]!psuv,[0]!municipio,$B15,[0]!turno,L$2)</f>
        <v>9</v>
      </c>
      <c r="M15" s="9">
        <f>SUMIFS([0]!psuv,[0]!municipio,$B15,[0]!turno,M$2)</f>
        <v>5</v>
      </c>
      <c r="N15" s="9">
        <f>SUMIFS([0]!psuv,[0]!municipio,$B15,[0]!turno,N$2)</f>
        <v>8</v>
      </c>
      <c r="O15" s="9">
        <f>SUMIFS([0]!psuv,[0]!municipio,$B15,[0]!turno,O$2)</f>
        <v>0</v>
      </c>
      <c r="P15" s="9">
        <f>SUMIFS([0]!psuv,[0]!municipio,$B15,[0]!turno,P$2)</f>
        <v>13</v>
      </c>
      <c r="Q15" s="9">
        <f>SUMIFS([0]!psuv,[0]!municipio,$B15,[0]!turno,Q$2)</f>
        <v>15</v>
      </c>
      <c r="R15" s="9">
        <f>SUMIFS([0]!psuv,[0]!municipio,$B15,[0]!turno,R$2)</f>
        <v>16</v>
      </c>
      <c r="S15" s="9">
        <f>SUMIFS([0]!psuv,[0]!municipio,$B15,[0]!turno,S$2)</f>
        <v>8</v>
      </c>
      <c r="T15" s="9">
        <f>SUMIFS([0]!psuv,[0]!municipio,$B15,[0]!turno,T$2)</f>
        <v>16</v>
      </c>
      <c r="U15" s="9">
        <f>SUMIFS([0]!psuv,[0]!municipio,$B15,[0]!turno,U$2)</f>
        <v>15</v>
      </c>
      <c r="V15" s="9">
        <f>SUMIFS([0]!psuv,[0]!municipio,$B15,[0]!turno,V$2)</f>
        <v>14</v>
      </c>
      <c r="W15" s="25">
        <f>SUMIFS([0]!psuv,[0]!municipio,$B15,[0]!turno,W$2)</f>
        <v>12</v>
      </c>
    </row>
    <row r="16" spans="1:23" x14ac:dyDescent="0.25">
      <c r="A16" s="49"/>
      <c r="B16" s="20" t="s">
        <v>33</v>
      </c>
      <c r="C16" s="4" t="s">
        <v>107</v>
      </c>
      <c r="D16" s="37">
        <f>IF((E15+E16+E17)=0,0,E16/(E15+E16+E17))</f>
        <v>0.36214953271028039</v>
      </c>
      <c r="E16" s="5">
        <f t="shared" si="0"/>
        <v>155</v>
      </c>
      <c r="F16" s="5">
        <f>SUMIFS([0]!mud,[0]!municipio,$B15,[0]!turno,F$2)</f>
        <v>4</v>
      </c>
      <c r="G16" s="5">
        <f>SUMIFS([0]!mud,[0]!municipio,$B15,[0]!turno,G$2)</f>
        <v>0</v>
      </c>
      <c r="H16" s="5">
        <f>SUMIFS([0]!mud,[0]!municipio,$B15,[0]!turno,H$2)</f>
        <v>9</v>
      </c>
      <c r="I16" s="5">
        <f>SUMIFS([0]!mud,[0]!municipio,$B15,[0]!turno,I$2)</f>
        <v>15</v>
      </c>
      <c r="J16" s="5">
        <f>SUMIFS([0]!mud,[0]!municipio,$B15,[0]!turno,J$2)</f>
        <v>17</v>
      </c>
      <c r="K16" s="5">
        <f>SUMIFS([0]!mud,[0]!municipio,$B15,[0]!turno,K$2)</f>
        <v>10</v>
      </c>
      <c r="L16" s="5">
        <f>SUMIFS([0]!mud,[0]!municipio,$B15,[0]!turno,L$2)</f>
        <v>9</v>
      </c>
      <c r="M16" s="5">
        <f>SUMIFS([0]!mud,[0]!municipio,$B15,[0]!turno,M$2)</f>
        <v>10</v>
      </c>
      <c r="N16" s="5">
        <f>SUMIFS([0]!mud,[0]!municipio,$B15,[0]!turno,N$2)</f>
        <v>7</v>
      </c>
      <c r="O16" s="5">
        <f>SUMIFS([0]!mud,[0]!municipio,$B15,[0]!turno,O$2)</f>
        <v>0</v>
      </c>
      <c r="P16" s="5">
        <f>SUMIFS([0]!mud,[0]!municipio,$B15,[0]!turno,P$2)</f>
        <v>9</v>
      </c>
      <c r="Q16" s="5">
        <f>SUMIFS([0]!mud,[0]!municipio,$B15,[0]!turno,Q$2)</f>
        <v>10</v>
      </c>
      <c r="R16" s="5">
        <f>SUMIFS([0]!mud,[0]!municipio,$B15,[0]!turno,R$2)</f>
        <v>5</v>
      </c>
      <c r="S16" s="5">
        <f>SUMIFS([0]!mud,[0]!municipio,$B15,[0]!turno,S$2)</f>
        <v>11</v>
      </c>
      <c r="T16" s="5">
        <f>SUMIFS([0]!mud,[0]!municipio,$B15,[0]!turno,T$2)</f>
        <v>9</v>
      </c>
      <c r="U16" s="5">
        <f>SUMIFS([0]!mud,[0]!municipio,$B15,[0]!turno,U$2)</f>
        <v>8</v>
      </c>
      <c r="V16" s="5">
        <f>SUMIFS([0]!mud,[0]!municipio,$B15,[0]!turno,V$2)</f>
        <v>12</v>
      </c>
      <c r="W16" s="26">
        <f>SUMIFS([0]!mud,[0]!municipio,$B15,[0]!turno,W$2)</f>
        <v>10</v>
      </c>
    </row>
    <row r="17" spans="1:23" ht="15.75" thickBot="1" x14ac:dyDescent="0.3">
      <c r="A17" s="49"/>
      <c r="B17" s="21">
        <v>3.2979860277041091E-2</v>
      </c>
      <c r="C17" s="10" t="s">
        <v>0</v>
      </c>
      <c r="D17" s="38">
        <f>IF((E15+E16+E17)=0,0,E17/(E15+E16+E17))</f>
        <v>0.2102803738317757</v>
      </c>
      <c r="E17" s="11">
        <f t="shared" si="0"/>
        <v>90</v>
      </c>
      <c r="F17" s="11">
        <f>SUMIFS([0]!otro,[0]!municipio,$B15,[0]!turno,F$2)</f>
        <v>6</v>
      </c>
      <c r="G17" s="11">
        <f>SUMIFS([0]!otro,[0]!municipio,$B15,[0]!turno,G$2)</f>
        <v>3</v>
      </c>
      <c r="H17" s="11">
        <f>SUMIFS([0]!otro,[0]!municipio,$B15,[0]!turno,H$2)</f>
        <v>7</v>
      </c>
      <c r="I17" s="11">
        <f>SUMIFS([0]!otro,[0]!municipio,$B15,[0]!turno,I$2)</f>
        <v>14</v>
      </c>
      <c r="J17" s="11">
        <f>SUMIFS([0]!otro,[0]!municipio,$B15,[0]!turno,J$2)</f>
        <v>10</v>
      </c>
      <c r="K17" s="11">
        <f>SUMIFS([0]!otro,[0]!municipio,$B15,[0]!turno,K$2)</f>
        <v>11</v>
      </c>
      <c r="L17" s="11">
        <f>SUMIFS([0]!otro,[0]!municipio,$B15,[0]!turno,L$2)</f>
        <v>11</v>
      </c>
      <c r="M17" s="11">
        <f>SUMIFS([0]!otro,[0]!municipio,$B15,[0]!turno,M$2)</f>
        <v>10</v>
      </c>
      <c r="N17" s="11">
        <f>SUMIFS([0]!otro,[0]!municipio,$B15,[0]!turno,N$2)</f>
        <v>6</v>
      </c>
      <c r="O17" s="11">
        <f>SUMIFS([0]!otro,[0]!municipio,$B15,[0]!turno,O$2)</f>
        <v>0</v>
      </c>
      <c r="P17" s="11">
        <f>SUMIFS([0]!otro,[0]!municipio,$B15,[0]!turno,P$2)</f>
        <v>3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9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1:23" x14ac:dyDescent="0.25">
      <c r="A18" s="49"/>
      <c r="B18" s="22">
        <v>45</v>
      </c>
      <c r="C18" s="6" t="s">
        <v>106</v>
      </c>
      <c r="D18" s="36">
        <f>IF((E18+E19+E20)=0,0,E18/(E18+E19+E20))</f>
        <v>0.71017871017871015</v>
      </c>
      <c r="E18" s="7">
        <f t="shared" si="0"/>
        <v>914</v>
      </c>
      <c r="F18" s="7">
        <f>SUMIFS([0]!psuv,[0]!municipio,$B18,[0]!turno,F$2)</f>
        <v>65</v>
      </c>
      <c r="G18" s="7">
        <f>SUMIFS([0]!psuv,[0]!municipio,$B18,[0]!turno,G$2)</f>
        <v>55</v>
      </c>
      <c r="H18" s="7">
        <f>SUMIFS([0]!psuv,[0]!municipio,$B18,[0]!turno,H$2)</f>
        <v>55</v>
      </c>
      <c r="I18" s="7">
        <f>SUMIFS([0]!psuv,[0]!municipio,$B18,[0]!turno,I$2)</f>
        <v>74</v>
      </c>
      <c r="J18" s="7">
        <f>SUMIFS([0]!psuv,[0]!municipio,$B18,[0]!turno,J$2)</f>
        <v>75</v>
      </c>
      <c r="K18" s="7">
        <f>SUMIFS([0]!psuv,[0]!municipio,$B18,[0]!turno,K$2)</f>
        <v>70</v>
      </c>
      <c r="L18" s="7">
        <f>SUMIFS([0]!psuv,[0]!municipio,$B18,[0]!turno,L$2)</f>
        <v>70</v>
      </c>
      <c r="M18" s="7">
        <f>SUMIFS([0]!psuv,[0]!municipio,$B18,[0]!turno,M$2)</f>
        <v>79</v>
      </c>
      <c r="N18" s="7">
        <f>SUMIFS([0]!psuv,[0]!municipio,$B18,[0]!turno,N$2)</f>
        <v>70</v>
      </c>
      <c r="O18" s="7">
        <f>SUMIFS([0]!psuv,[0]!municipio,$B18,[0]!turno,O$2)</f>
        <v>79</v>
      </c>
      <c r="P18" s="7">
        <f>SUMIFS([0]!psuv,[0]!municipio,$B18,[0]!turno,P$2)</f>
        <v>31</v>
      </c>
      <c r="Q18" s="7">
        <f>SUMIFS([0]!psuv,[0]!municipio,$B18,[0]!turno,Q$2)</f>
        <v>31</v>
      </c>
      <c r="R18" s="7">
        <f>SUMIFS([0]!psuv,[0]!municipio,$B18,[0]!turno,R$2)</f>
        <v>36</v>
      </c>
      <c r="S18" s="7">
        <f>SUMIFS([0]!psuv,[0]!municipio,$B18,[0]!turno,S$2)</f>
        <v>36</v>
      </c>
      <c r="T18" s="7">
        <f>SUMIFS([0]!psuv,[0]!municipio,$B18,[0]!turno,T$2)</f>
        <v>15</v>
      </c>
      <c r="U18" s="7">
        <f>SUMIFS([0]!psuv,[0]!municipio,$B18,[0]!turno,U$2)</f>
        <v>30</v>
      </c>
      <c r="V18" s="7">
        <f>SUMIFS([0]!psuv,[0]!municipio,$B18,[0]!turno,V$2)</f>
        <v>29</v>
      </c>
      <c r="W18" s="28">
        <f>SUMIFS([0]!psuv,[0]!municipio,$B18,[0]!turno,W$2)</f>
        <v>14</v>
      </c>
    </row>
    <row r="19" spans="1:23" x14ac:dyDescent="0.25">
      <c r="A19" s="49"/>
      <c r="B19" s="23" t="s">
        <v>17</v>
      </c>
      <c r="C19" s="4" t="s">
        <v>107</v>
      </c>
      <c r="D19" s="37">
        <f>IF((E18+E19+E20)=0,0,E19/(E18+E19+E20))</f>
        <v>0.28749028749028749</v>
      </c>
      <c r="E19" s="5">
        <f t="shared" si="0"/>
        <v>370</v>
      </c>
      <c r="F19" s="5">
        <f>SUMIFS([0]!mud,[0]!municipio,$B18,[0]!turno,F$2)</f>
        <v>17</v>
      </c>
      <c r="G19" s="5">
        <f>SUMIFS([0]!mud,[0]!municipio,$B18,[0]!turno,G$2)</f>
        <v>15</v>
      </c>
      <c r="H19" s="5">
        <f>SUMIFS([0]!mud,[0]!municipio,$B18,[0]!turno,H$2)</f>
        <v>15</v>
      </c>
      <c r="I19" s="5">
        <f>SUMIFS([0]!mud,[0]!municipio,$B18,[0]!turno,I$2)</f>
        <v>20</v>
      </c>
      <c r="J19" s="5">
        <f>SUMIFS([0]!mud,[0]!municipio,$B18,[0]!turno,J$2)</f>
        <v>25</v>
      </c>
      <c r="K19" s="5">
        <f>SUMIFS([0]!mud,[0]!municipio,$B18,[0]!turno,K$2)</f>
        <v>20</v>
      </c>
      <c r="L19" s="5">
        <f>SUMIFS([0]!mud,[0]!municipio,$B18,[0]!turno,L$2)</f>
        <v>20</v>
      </c>
      <c r="M19" s="5">
        <f>SUMIFS([0]!mud,[0]!municipio,$B18,[0]!turno,M$2)</f>
        <v>29</v>
      </c>
      <c r="N19" s="5">
        <f>SUMIFS([0]!mud,[0]!municipio,$B18,[0]!turno,N$2)</f>
        <v>39</v>
      </c>
      <c r="O19" s="5">
        <f>SUMIFS([0]!mud,[0]!municipio,$B18,[0]!turno,O$2)</f>
        <v>35</v>
      </c>
      <c r="P19" s="5">
        <f>SUMIFS([0]!mud,[0]!municipio,$B18,[0]!turno,P$2)</f>
        <v>23</v>
      </c>
      <c r="Q19" s="5">
        <f>SUMIFS([0]!mud,[0]!municipio,$B18,[0]!turno,Q$2)</f>
        <v>23</v>
      </c>
      <c r="R19" s="5">
        <f>SUMIFS([0]!mud,[0]!municipio,$B18,[0]!turno,R$2)</f>
        <v>11</v>
      </c>
      <c r="S19" s="5">
        <f>SUMIFS([0]!mud,[0]!municipio,$B18,[0]!turno,S$2)</f>
        <v>12</v>
      </c>
      <c r="T19" s="5">
        <f>SUMIFS([0]!mud,[0]!municipio,$B18,[0]!turno,T$2)</f>
        <v>19</v>
      </c>
      <c r="U19" s="5">
        <f>SUMIFS([0]!mud,[0]!municipio,$B18,[0]!turno,U$2)</f>
        <v>22</v>
      </c>
      <c r="V19" s="5">
        <f>SUMIFS([0]!mud,[0]!municipio,$B18,[0]!turno,V$2)</f>
        <v>12</v>
      </c>
      <c r="W19" s="26">
        <f>SUMIFS([0]!mud,[0]!municipio,$B18,[0]!turno,W$2)</f>
        <v>13</v>
      </c>
    </row>
    <row r="20" spans="1:23" ht="15.75" thickBot="1" x14ac:dyDescent="0.3">
      <c r="A20" s="49"/>
      <c r="B20" s="24">
        <v>7.3634891019604715E-2</v>
      </c>
      <c r="C20" s="12" t="s">
        <v>0</v>
      </c>
      <c r="D20" s="38">
        <f>IF((E18+E19+E20)=0,0,E20/(E18+E19+E20))</f>
        <v>2.331002331002331E-3</v>
      </c>
      <c r="E20" s="13">
        <f t="shared" si="0"/>
        <v>3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0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3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0</v>
      </c>
      <c r="T20" s="13">
        <f>SUMIFS([0]!otro,[0]!municipio,$B18,[0]!turno,T$2)</f>
        <v>0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0</v>
      </c>
    </row>
    <row r="21" spans="1:23" x14ac:dyDescent="0.25">
      <c r="A21" s="49"/>
      <c r="B21" s="19">
        <v>46</v>
      </c>
      <c r="C21" s="8" t="s">
        <v>106</v>
      </c>
      <c r="D21" s="36">
        <f>IF((E21+E22+E23)=0,0,E21/(E21+E22+E23))</f>
        <v>0.69092721834496507</v>
      </c>
      <c r="E21" s="9">
        <f t="shared" si="0"/>
        <v>693</v>
      </c>
      <c r="F21" s="9">
        <f>SUMIFS([0]!psuv,[0]!municipio,$B21,[0]!turno,F$2)</f>
        <v>41</v>
      </c>
      <c r="G21" s="9">
        <f>SUMIFS([0]!psuv,[0]!municipio,$B21,[0]!turno,G$2)</f>
        <v>49</v>
      </c>
      <c r="H21" s="9">
        <f>SUMIFS([0]!psuv,[0]!municipio,$B21,[0]!turno,H$2)</f>
        <v>59</v>
      </c>
      <c r="I21" s="9">
        <f>SUMIFS([0]!psuv,[0]!municipio,$B21,[0]!turno,I$2)</f>
        <v>52</v>
      </c>
      <c r="J21" s="9">
        <f>SUMIFS([0]!psuv,[0]!municipio,$B21,[0]!turno,J$2)</f>
        <v>60</v>
      </c>
      <c r="K21" s="9">
        <f>SUMIFS([0]!psuv,[0]!municipio,$B21,[0]!turno,K$2)</f>
        <v>39</v>
      </c>
      <c r="L21" s="9">
        <f>SUMIFS([0]!psuv,[0]!municipio,$B21,[0]!turno,L$2)</f>
        <v>35</v>
      </c>
      <c r="M21" s="9">
        <f>SUMIFS([0]!psuv,[0]!municipio,$B21,[0]!turno,M$2)</f>
        <v>43</v>
      </c>
      <c r="N21" s="9">
        <f>SUMIFS([0]!psuv,[0]!municipio,$B21,[0]!turno,N$2)</f>
        <v>41</v>
      </c>
      <c r="O21" s="9">
        <f>SUMIFS([0]!psuv,[0]!municipio,$B21,[0]!turno,O$2)</f>
        <v>33</v>
      </c>
      <c r="P21" s="9">
        <f>SUMIFS([0]!psuv,[0]!municipio,$B21,[0]!turno,P$2)</f>
        <v>29</v>
      </c>
      <c r="Q21" s="9">
        <f>SUMIFS([0]!psuv,[0]!municipio,$B21,[0]!turno,Q$2)</f>
        <v>33</v>
      </c>
      <c r="R21" s="9">
        <f>SUMIFS([0]!psuv,[0]!municipio,$B21,[0]!turno,R$2)</f>
        <v>26</v>
      </c>
      <c r="S21" s="9">
        <f>SUMIFS([0]!psuv,[0]!municipio,$B21,[0]!turno,S$2)</f>
        <v>34</v>
      </c>
      <c r="T21" s="9">
        <f>SUMIFS([0]!psuv,[0]!municipio,$B21,[0]!turno,T$2)</f>
        <v>37</v>
      </c>
      <c r="U21" s="9">
        <f>SUMIFS([0]!psuv,[0]!municipio,$B21,[0]!turno,U$2)</f>
        <v>43</v>
      </c>
      <c r="V21" s="9">
        <f>SUMIFS([0]!psuv,[0]!municipio,$B21,[0]!turno,V$2)</f>
        <v>23</v>
      </c>
      <c r="W21" s="25">
        <f>SUMIFS([0]!psuv,[0]!municipio,$B21,[0]!turno,W$2)</f>
        <v>16</v>
      </c>
    </row>
    <row r="22" spans="1:23" x14ac:dyDescent="0.25">
      <c r="A22" s="49"/>
      <c r="B22" s="20" t="s">
        <v>34</v>
      </c>
      <c r="C22" s="4" t="s">
        <v>107</v>
      </c>
      <c r="D22" s="37">
        <f>IF((E21+E22+E23)=0,0,E22/(E21+E22+E23))</f>
        <v>0.30109670987038883</v>
      </c>
      <c r="E22" s="5">
        <f t="shared" si="0"/>
        <v>302</v>
      </c>
      <c r="F22" s="5">
        <f>SUMIFS([0]!mud,[0]!municipio,$B21,[0]!turno,F$2)</f>
        <v>15</v>
      </c>
      <c r="G22" s="5">
        <f>SUMIFS([0]!mud,[0]!municipio,$B21,[0]!turno,G$2)</f>
        <v>16</v>
      </c>
      <c r="H22" s="5">
        <f>SUMIFS([0]!mud,[0]!municipio,$B21,[0]!turno,H$2)</f>
        <v>20</v>
      </c>
      <c r="I22" s="5">
        <f>SUMIFS([0]!mud,[0]!municipio,$B21,[0]!turno,I$2)</f>
        <v>31</v>
      </c>
      <c r="J22" s="5">
        <f>SUMIFS([0]!mud,[0]!municipio,$B21,[0]!turno,J$2)</f>
        <v>11</v>
      </c>
      <c r="K22" s="5">
        <f>SUMIFS([0]!mud,[0]!municipio,$B21,[0]!turno,K$2)</f>
        <v>16</v>
      </c>
      <c r="L22" s="5">
        <f>SUMIFS([0]!mud,[0]!municipio,$B21,[0]!turno,L$2)</f>
        <v>17</v>
      </c>
      <c r="M22" s="5">
        <f>SUMIFS([0]!mud,[0]!municipio,$B21,[0]!turno,M$2)</f>
        <v>15</v>
      </c>
      <c r="N22" s="5">
        <f>SUMIFS([0]!mud,[0]!municipio,$B21,[0]!turno,N$2)</f>
        <v>16</v>
      </c>
      <c r="O22" s="5">
        <f>SUMIFS([0]!mud,[0]!municipio,$B21,[0]!turno,O$2)</f>
        <v>9</v>
      </c>
      <c r="P22" s="5">
        <f>SUMIFS([0]!mud,[0]!municipio,$B21,[0]!turno,P$2)</f>
        <v>9</v>
      </c>
      <c r="Q22" s="5">
        <f>SUMIFS([0]!mud,[0]!municipio,$B21,[0]!turno,Q$2)</f>
        <v>18</v>
      </c>
      <c r="R22" s="5">
        <f>SUMIFS([0]!mud,[0]!municipio,$B21,[0]!turno,R$2)</f>
        <v>15</v>
      </c>
      <c r="S22" s="5">
        <f>SUMIFS([0]!mud,[0]!municipio,$B21,[0]!turno,S$2)</f>
        <v>21</v>
      </c>
      <c r="T22" s="5">
        <f>SUMIFS([0]!mud,[0]!municipio,$B21,[0]!turno,T$2)</f>
        <v>21</v>
      </c>
      <c r="U22" s="5">
        <f>SUMIFS([0]!mud,[0]!municipio,$B21,[0]!turno,U$2)</f>
        <v>15</v>
      </c>
      <c r="V22" s="5">
        <f>SUMIFS([0]!mud,[0]!municipio,$B21,[0]!turno,V$2)</f>
        <v>27</v>
      </c>
      <c r="W22" s="26">
        <f>SUMIFS([0]!mud,[0]!municipio,$B21,[0]!turno,W$2)</f>
        <v>10</v>
      </c>
    </row>
    <row r="23" spans="1:23" ht="15.75" thickBot="1" x14ac:dyDescent="0.3">
      <c r="A23" s="49"/>
      <c r="B23" s="21">
        <v>6.5288936865271777E-2</v>
      </c>
      <c r="C23" s="10" t="s">
        <v>0</v>
      </c>
      <c r="D23" s="38">
        <f>IF((E21+E22+E23)=0,0,E23/(E21+E22+E23))</f>
        <v>7.9760717846460612E-3</v>
      </c>
      <c r="E23" s="11">
        <f t="shared" si="0"/>
        <v>8</v>
      </c>
      <c r="F23" s="11">
        <f>SUMIFS([0]!otro,[0]!municipio,$B21,[0]!turno,F$2)</f>
        <v>1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2</v>
      </c>
      <c r="J23" s="11">
        <f>SUMIFS([0]!otro,[0]!municipio,$B21,[0]!turno,J$2)</f>
        <v>2</v>
      </c>
      <c r="K23" s="11">
        <f>SUMIFS([0]!otro,[0]!municipio,$B21,[0]!turno,K$2)</f>
        <v>0</v>
      </c>
      <c r="L23" s="11">
        <f>SUMIFS([0]!otro,[0]!municipio,$B21,[0]!turno,L$2)</f>
        <v>2</v>
      </c>
      <c r="M23" s="11">
        <f>SUMIFS([0]!otro,[0]!municipio,$B21,[0]!turno,M$2)</f>
        <v>0</v>
      </c>
      <c r="N23" s="11">
        <f>SUMIFS([0]!otro,[0]!municipio,$B21,[0]!turno,N$2)</f>
        <v>1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1:23" x14ac:dyDescent="0.25">
      <c r="A24" s="49"/>
      <c r="B24" s="22">
        <v>47</v>
      </c>
      <c r="C24" s="6" t="s">
        <v>106</v>
      </c>
      <c r="D24" s="36">
        <f>IF((E24+E25+E26)=0,0,E24/(E24+E25+E26))</f>
        <v>0.35478260869565215</v>
      </c>
      <c r="E24" s="7">
        <f t="shared" si="0"/>
        <v>204</v>
      </c>
      <c r="F24" s="7">
        <f>SUMIFS([0]!psuv,[0]!municipio,$B24,[0]!turno,F$2)</f>
        <v>14</v>
      </c>
      <c r="G24" s="7">
        <f>SUMIFS([0]!psuv,[0]!municipio,$B24,[0]!turno,G$2)</f>
        <v>6</v>
      </c>
      <c r="H24" s="7">
        <f>SUMIFS([0]!psuv,[0]!municipio,$B24,[0]!turno,H$2)</f>
        <v>15</v>
      </c>
      <c r="I24" s="7">
        <f>SUMIFS([0]!psuv,[0]!municipio,$B24,[0]!turno,I$2)</f>
        <v>23</v>
      </c>
      <c r="J24" s="7">
        <f>SUMIFS([0]!psuv,[0]!municipio,$B24,[0]!turno,J$2)</f>
        <v>18</v>
      </c>
      <c r="K24" s="7">
        <f>SUMIFS([0]!psuv,[0]!municipio,$B24,[0]!turno,K$2)</f>
        <v>8</v>
      </c>
      <c r="L24" s="7">
        <f>SUMIFS([0]!psuv,[0]!municipio,$B24,[0]!turno,L$2)</f>
        <v>16</v>
      </c>
      <c r="M24" s="7">
        <f>SUMIFS([0]!psuv,[0]!municipio,$B24,[0]!turno,M$2)</f>
        <v>14</v>
      </c>
      <c r="N24" s="7">
        <f>SUMIFS([0]!psuv,[0]!municipio,$B24,[0]!turno,N$2)</f>
        <v>8</v>
      </c>
      <c r="O24" s="7">
        <f>SUMIFS([0]!psuv,[0]!municipio,$B24,[0]!turno,O$2)</f>
        <v>13</v>
      </c>
      <c r="P24" s="7">
        <f>SUMIFS([0]!psuv,[0]!municipio,$B24,[0]!turno,P$2)</f>
        <v>14</v>
      </c>
      <c r="Q24" s="7">
        <f>SUMIFS([0]!psuv,[0]!municipio,$B24,[0]!turno,Q$2)</f>
        <v>12</v>
      </c>
      <c r="R24" s="7">
        <f>SUMIFS([0]!psuv,[0]!municipio,$B24,[0]!turno,R$2)</f>
        <v>11</v>
      </c>
      <c r="S24" s="7">
        <f>SUMIFS([0]!psuv,[0]!municipio,$B24,[0]!turno,S$2)</f>
        <v>0</v>
      </c>
      <c r="T24" s="7">
        <f>SUMIFS([0]!psuv,[0]!municipio,$B24,[0]!turno,T$2)</f>
        <v>2</v>
      </c>
      <c r="U24" s="7">
        <f>SUMIFS([0]!psuv,[0]!municipio,$B24,[0]!turno,U$2)</f>
        <v>10</v>
      </c>
      <c r="V24" s="7">
        <f>SUMIFS([0]!psuv,[0]!municipio,$B24,[0]!turno,V$2)</f>
        <v>8</v>
      </c>
      <c r="W24" s="28">
        <f>SUMIFS([0]!psuv,[0]!municipio,$B24,[0]!turno,W$2)</f>
        <v>12</v>
      </c>
    </row>
    <row r="25" spans="1:23" x14ac:dyDescent="0.25">
      <c r="A25" s="49"/>
      <c r="B25" s="23" t="s">
        <v>35</v>
      </c>
      <c r="C25" s="4" t="s">
        <v>107</v>
      </c>
      <c r="D25" s="37">
        <f>IF((E24+E25+E26)=0,0,E25/(E24+E25+E26))</f>
        <v>0.6</v>
      </c>
      <c r="E25" s="5">
        <f t="shared" si="0"/>
        <v>345</v>
      </c>
      <c r="F25" s="5">
        <f>SUMIFS([0]!mud,[0]!municipio,$B24,[0]!turno,F$2)</f>
        <v>12</v>
      </c>
      <c r="G25" s="5">
        <f>SUMIFS([0]!mud,[0]!municipio,$B24,[0]!turno,G$2)</f>
        <v>10</v>
      </c>
      <c r="H25" s="5">
        <f>SUMIFS([0]!mud,[0]!municipio,$B24,[0]!turno,H$2)</f>
        <v>22</v>
      </c>
      <c r="I25" s="5">
        <f>SUMIFS([0]!mud,[0]!municipio,$B24,[0]!turno,I$2)</f>
        <v>24</v>
      </c>
      <c r="J25" s="5">
        <f>SUMIFS([0]!mud,[0]!municipio,$B24,[0]!turno,J$2)</f>
        <v>17</v>
      </c>
      <c r="K25" s="5">
        <f>SUMIFS([0]!mud,[0]!municipio,$B24,[0]!turno,K$2)</f>
        <v>28</v>
      </c>
      <c r="L25" s="5">
        <f>SUMIFS([0]!mud,[0]!municipio,$B24,[0]!turno,L$2)</f>
        <v>24</v>
      </c>
      <c r="M25" s="5">
        <f>SUMIFS([0]!mud,[0]!municipio,$B24,[0]!turno,M$2)</f>
        <v>26</v>
      </c>
      <c r="N25" s="5">
        <f>SUMIFS([0]!mud,[0]!municipio,$B24,[0]!turno,N$2)</f>
        <v>29</v>
      </c>
      <c r="O25" s="5">
        <f>SUMIFS([0]!mud,[0]!municipio,$B24,[0]!turno,O$2)</f>
        <v>21</v>
      </c>
      <c r="P25" s="5">
        <f>SUMIFS([0]!mud,[0]!municipio,$B24,[0]!turno,P$2)</f>
        <v>25</v>
      </c>
      <c r="Q25" s="5">
        <f>SUMIFS([0]!mud,[0]!municipio,$B24,[0]!turno,Q$2)</f>
        <v>23</v>
      </c>
      <c r="R25" s="5">
        <f>SUMIFS([0]!mud,[0]!municipio,$B24,[0]!turno,R$2)</f>
        <v>20</v>
      </c>
      <c r="S25" s="5">
        <f>SUMIFS([0]!mud,[0]!municipio,$B24,[0]!turno,S$2)</f>
        <v>0</v>
      </c>
      <c r="T25" s="5">
        <f>SUMIFS([0]!mud,[0]!municipio,$B24,[0]!turno,T$2)</f>
        <v>8</v>
      </c>
      <c r="U25" s="5">
        <f>SUMIFS([0]!mud,[0]!municipio,$B24,[0]!turno,U$2)</f>
        <v>21</v>
      </c>
      <c r="V25" s="5">
        <f>SUMIFS([0]!mud,[0]!municipio,$B24,[0]!turno,V$2)</f>
        <v>18</v>
      </c>
      <c r="W25" s="26">
        <f>SUMIFS([0]!mud,[0]!municipio,$B24,[0]!turno,W$2)</f>
        <v>17</v>
      </c>
    </row>
    <row r="26" spans="1:23" ht="15.75" thickBot="1" x14ac:dyDescent="0.3">
      <c r="A26" s="49"/>
      <c r="B26" s="24">
        <v>6.7149973182162689E-2</v>
      </c>
      <c r="C26" s="12" t="s">
        <v>0</v>
      </c>
      <c r="D26" s="38">
        <f>IF((E24+E25+E26)=0,0,E26/(E24+E25+E26))</f>
        <v>4.5217391304347827E-2</v>
      </c>
      <c r="E26" s="13">
        <f t="shared" si="0"/>
        <v>26</v>
      </c>
      <c r="F26" s="13">
        <f>SUMIFS([0]!otro,[0]!municipio,$B24,[0]!turno,F$2)</f>
        <v>7</v>
      </c>
      <c r="G26" s="13">
        <f>SUMIFS([0]!otro,[0]!municipio,$B24,[0]!turno,G$2)</f>
        <v>1</v>
      </c>
      <c r="H26" s="13">
        <f>SUMIFS([0]!otro,[0]!municipio,$B24,[0]!turno,H$2)</f>
        <v>6</v>
      </c>
      <c r="I26" s="13">
        <f>SUMIFS([0]!otro,[0]!municipio,$B24,[0]!turno,I$2)</f>
        <v>0</v>
      </c>
      <c r="J26" s="13">
        <f>SUMIFS([0]!otro,[0]!municipio,$B24,[0]!turno,J$2)</f>
        <v>0</v>
      </c>
      <c r="K26" s="13">
        <f>SUMIFS([0]!otro,[0]!municipio,$B24,[0]!turno,K$2)</f>
        <v>2</v>
      </c>
      <c r="L26" s="13">
        <f>SUMIFS([0]!otro,[0]!municipio,$B24,[0]!turno,L$2)</f>
        <v>0</v>
      </c>
      <c r="M26" s="13">
        <f>SUMIFS([0]!otro,[0]!municipio,$B24,[0]!turno,M$2)</f>
        <v>2</v>
      </c>
      <c r="N26" s="13">
        <f>SUMIFS([0]!otro,[0]!municipio,$B24,[0]!turno,N$2)</f>
        <v>1</v>
      </c>
      <c r="O26" s="13">
        <f>SUMIFS([0]!otro,[0]!municipio,$B24,[0]!turno,O$2)</f>
        <v>5</v>
      </c>
      <c r="P26" s="13">
        <f>SUMIFS([0]!otro,[0]!municipio,$B24,[0]!turno,P$2)</f>
        <v>0</v>
      </c>
      <c r="Q26" s="13">
        <f>SUMIFS([0]!otro,[0]!municipio,$B24,[0]!turno,Q$2)</f>
        <v>0</v>
      </c>
      <c r="R26" s="13">
        <f>SUMIFS([0]!otro,[0]!municipio,$B24,[0]!turno,R$2)</f>
        <v>1</v>
      </c>
      <c r="S26" s="13">
        <f>SUMIFS([0]!otro,[0]!municipio,$B24,[0]!turno,S$2)</f>
        <v>0</v>
      </c>
      <c r="T26" s="13">
        <f>SUMIFS([0]!otro,[0]!municipio,$B24,[0]!turno,T$2)</f>
        <v>1</v>
      </c>
      <c r="U26" s="13">
        <f>SUMIFS([0]!otro,[0]!municipio,$B24,[0]!turno,U$2)</f>
        <v>0</v>
      </c>
      <c r="V26" s="13">
        <f>SUMIFS([0]!otro,[0]!municipio,$B24,[0]!turno,V$2)</f>
        <v>0</v>
      </c>
      <c r="W26" s="29">
        <f>SUMIFS([0]!otro,[0]!municipio,$B24,[0]!turno,W$2)</f>
        <v>0</v>
      </c>
    </row>
    <row r="27" spans="1:23" x14ac:dyDescent="0.25">
      <c r="A27" s="49"/>
      <c r="B27" s="19">
        <v>48</v>
      </c>
      <c r="C27" s="8" t="s">
        <v>106</v>
      </c>
      <c r="D27" s="36">
        <f>IF((E27+E28+E29)=0,0,E27/(E27+E28+E29))</f>
        <v>0.51832460732984298</v>
      </c>
      <c r="E27" s="9">
        <f t="shared" si="0"/>
        <v>594</v>
      </c>
      <c r="F27" s="9">
        <f>SUMIFS([0]!psuv,[0]!municipio,$B27,[0]!turno,F$2)</f>
        <v>36</v>
      </c>
      <c r="G27" s="9">
        <f>SUMIFS([0]!psuv,[0]!municipio,$B27,[0]!turno,G$2)</f>
        <v>20</v>
      </c>
      <c r="H27" s="9">
        <f>SUMIFS([0]!psuv,[0]!municipio,$B27,[0]!turno,H$2)</f>
        <v>18</v>
      </c>
      <c r="I27" s="9">
        <f>SUMIFS([0]!psuv,[0]!municipio,$B27,[0]!turno,I$2)</f>
        <v>36</v>
      </c>
      <c r="J27" s="9">
        <f>SUMIFS([0]!psuv,[0]!municipio,$B27,[0]!turno,J$2)</f>
        <v>30</v>
      </c>
      <c r="K27" s="9">
        <f>SUMIFS([0]!psuv,[0]!municipio,$B27,[0]!turno,K$2)</f>
        <v>34</v>
      </c>
      <c r="L27" s="9">
        <f>SUMIFS([0]!psuv,[0]!municipio,$B27,[0]!turno,L$2)</f>
        <v>34</v>
      </c>
      <c r="M27" s="9">
        <f>SUMIFS([0]!psuv,[0]!municipio,$B27,[0]!turno,M$2)</f>
        <v>22</v>
      </c>
      <c r="N27" s="9">
        <f>SUMIFS([0]!psuv,[0]!municipio,$B27,[0]!turno,N$2)</f>
        <v>38</v>
      </c>
      <c r="O27" s="9">
        <f>SUMIFS([0]!psuv,[0]!municipio,$B27,[0]!turno,O$2)</f>
        <v>41</v>
      </c>
      <c r="P27" s="9">
        <f>SUMIFS([0]!psuv,[0]!municipio,$B27,[0]!turno,P$2)</f>
        <v>32</v>
      </c>
      <c r="Q27" s="9">
        <f>SUMIFS([0]!psuv,[0]!municipio,$B27,[0]!turno,Q$2)</f>
        <v>42</v>
      </c>
      <c r="R27" s="9">
        <f>SUMIFS([0]!psuv,[0]!municipio,$B27,[0]!turno,R$2)</f>
        <v>46</v>
      </c>
      <c r="S27" s="9">
        <f>SUMIFS([0]!psuv,[0]!municipio,$B27,[0]!turno,S$2)</f>
        <v>33</v>
      </c>
      <c r="T27" s="9">
        <f>SUMIFS([0]!psuv,[0]!municipio,$B27,[0]!turno,T$2)</f>
        <v>40</v>
      </c>
      <c r="U27" s="9">
        <f>SUMIFS([0]!psuv,[0]!municipio,$B27,[0]!turno,U$2)</f>
        <v>31</v>
      </c>
      <c r="V27" s="9">
        <f>SUMIFS([0]!psuv,[0]!municipio,$B27,[0]!turno,V$2)</f>
        <v>40</v>
      </c>
      <c r="W27" s="25">
        <f>SUMIFS([0]!psuv,[0]!municipio,$B27,[0]!turno,W$2)</f>
        <v>21</v>
      </c>
    </row>
    <row r="28" spans="1:23" x14ac:dyDescent="0.25">
      <c r="A28" s="49"/>
      <c r="B28" s="20" t="s">
        <v>36</v>
      </c>
      <c r="C28" s="4" t="s">
        <v>107</v>
      </c>
      <c r="D28" s="37">
        <f>IF((E27+E28+E29)=0,0,E28/(E27+E28+E29))</f>
        <v>0.45200698080279234</v>
      </c>
      <c r="E28" s="5">
        <f t="shared" si="0"/>
        <v>518</v>
      </c>
      <c r="F28" s="5">
        <f>SUMIFS([0]!mud,[0]!municipio,$B27,[0]!turno,F$2)</f>
        <v>34</v>
      </c>
      <c r="G28" s="5">
        <f>SUMIFS([0]!mud,[0]!municipio,$B27,[0]!turno,G$2)</f>
        <v>13</v>
      </c>
      <c r="H28" s="5">
        <f>SUMIFS([0]!mud,[0]!municipio,$B27,[0]!turno,H$2)</f>
        <v>18</v>
      </c>
      <c r="I28" s="5">
        <f>SUMIFS([0]!mud,[0]!municipio,$B27,[0]!turno,I$2)</f>
        <v>26</v>
      </c>
      <c r="J28" s="5">
        <f>SUMIFS([0]!mud,[0]!municipio,$B27,[0]!turno,J$2)</f>
        <v>27</v>
      </c>
      <c r="K28" s="5">
        <f>SUMIFS([0]!mud,[0]!municipio,$B27,[0]!turno,K$2)</f>
        <v>32</v>
      </c>
      <c r="L28" s="5">
        <f>SUMIFS([0]!mud,[0]!municipio,$B27,[0]!turno,L$2)</f>
        <v>33</v>
      </c>
      <c r="M28" s="5">
        <f>SUMIFS([0]!mud,[0]!municipio,$B27,[0]!turno,M$2)</f>
        <v>24</v>
      </c>
      <c r="N28" s="5">
        <f>SUMIFS([0]!mud,[0]!municipio,$B27,[0]!turno,N$2)</f>
        <v>29</v>
      </c>
      <c r="O28" s="5">
        <f>SUMIFS([0]!mud,[0]!municipio,$B27,[0]!turno,O$2)</f>
        <v>34</v>
      </c>
      <c r="P28" s="5">
        <f>SUMIFS([0]!mud,[0]!municipio,$B27,[0]!turno,P$2)</f>
        <v>41</v>
      </c>
      <c r="Q28" s="5">
        <f>SUMIFS([0]!mud,[0]!municipio,$B27,[0]!turno,Q$2)</f>
        <v>39</v>
      </c>
      <c r="R28" s="5">
        <f>SUMIFS([0]!mud,[0]!municipio,$B27,[0]!turno,R$2)</f>
        <v>37</v>
      </c>
      <c r="S28" s="5">
        <f>SUMIFS([0]!mud,[0]!municipio,$B27,[0]!turno,S$2)</f>
        <v>31</v>
      </c>
      <c r="T28" s="5">
        <f>SUMIFS([0]!mud,[0]!municipio,$B27,[0]!turno,T$2)</f>
        <v>37</v>
      </c>
      <c r="U28" s="5">
        <f>SUMIFS([0]!mud,[0]!municipio,$B27,[0]!turno,U$2)</f>
        <v>29</v>
      </c>
      <c r="V28" s="5">
        <f>SUMIFS([0]!mud,[0]!municipio,$B27,[0]!turno,V$2)</f>
        <v>19</v>
      </c>
      <c r="W28" s="26">
        <f>SUMIFS([0]!mud,[0]!municipio,$B27,[0]!turno,W$2)</f>
        <v>15</v>
      </c>
    </row>
    <row r="29" spans="1:23" ht="15.75" thickBot="1" x14ac:dyDescent="0.3">
      <c r="A29" s="49"/>
      <c r="B29" s="21">
        <v>9.5133744675274495E-2</v>
      </c>
      <c r="C29" s="10" t="s">
        <v>0</v>
      </c>
      <c r="D29" s="38">
        <f>IF((E27+E28+E29)=0,0,E29/(E27+E28+E29))</f>
        <v>2.9668411867364748E-2</v>
      </c>
      <c r="E29" s="11">
        <f t="shared" si="0"/>
        <v>34</v>
      </c>
      <c r="F29" s="11">
        <f>SUMIFS([0]!otro,[0]!municipio,$B27,[0]!turno,F$2)</f>
        <v>14</v>
      </c>
      <c r="G29" s="11">
        <f>SUMIFS([0]!otro,[0]!municipio,$B27,[0]!turno,G$2)</f>
        <v>0</v>
      </c>
      <c r="H29" s="11">
        <f>SUMIFS([0]!otro,[0]!municipio,$B27,[0]!turno,H$2)</f>
        <v>0</v>
      </c>
      <c r="I29" s="11">
        <f>SUMIFS([0]!otro,[0]!municipio,$B27,[0]!turno,I$2)</f>
        <v>0</v>
      </c>
      <c r="J29" s="11">
        <f>SUMIFS([0]!otro,[0]!municipio,$B27,[0]!turno,J$2)</f>
        <v>1</v>
      </c>
      <c r="K29" s="11">
        <f>SUMIFS([0]!otro,[0]!municipio,$B27,[0]!turno,K$2)</f>
        <v>5</v>
      </c>
      <c r="L29" s="11">
        <f>SUMIFS([0]!otro,[0]!municipio,$B27,[0]!turno,L$2)</f>
        <v>3</v>
      </c>
      <c r="M29" s="11">
        <f>SUMIFS([0]!otro,[0]!municipio,$B27,[0]!turno,M$2)</f>
        <v>2</v>
      </c>
      <c r="N29" s="11">
        <f>SUMIFS([0]!otro,[0]!municipio,$B27,[0]!turno,N$2)</f>
        <v>3</v>
      </c>
      <c r="O29" s="11">
        <f>SUMIFS([0]!otro,[0]!municipio,$B27,[0]!turno,O$2)</f>
        <v>2</v>
      </c>
      <c r="P29" s="11">
        <f>SUMIFS([0]!otro,[0]!municipio,$B27,[0]!turno,P$2)</f>
        <v>1</v>
      </c>
      <c r="Q29" s="11">
        <f>SUMIFS([0]!otro,[0]!municipio,$B27,[0]!turno,Q$2)</f>
        <v>0</v>
      </c>
      <c r="R29" s="11">
        <f>SUMIFS([0]!otro,[0]!municipio,$B27,[0]!turno,R$2)</f>
        <v>2</v>
      </c>
      <c r="S29" s="11">
        <f>SUMIFS([0]!otro,[0]!municipio,$B27,[0]!turno,S$2)</f>
        <v>1</v>
      </c>
      <c r="T29" s="11">
        <f>SUMIFS([0]!otro,[0]!municipio,$B27,[0]!turno,T$2)</f>
        <v>0</v>
      </c>
      <c r="U29" s="11">
        <f>SUMIFS([0]!otro,[0]!municipio,$B27,[0]!turno,U$2)</f>
        <v>0</v>
      </c>
      <c r="V29" s="11">
        <f>SUMIFS([0]!otro,[0]!municipio,$B27,[0]!turno,V$2)</f>
        <v>0</v>
      </c>
      <c r="W29" s="27">
        <f>SUMIFS([0]!otro,[0]!municipio,$B27,[0]!turno,W$2)</f>
        <v>0</v>
      </c>
    </row>
    <row r="30" spans="1:23" x14ac:dyDescent="0.25">
      <c r="A30" s="49"/>
      <c r="B30" s="22">
        <v>49</v>
      </c>
      <c r="C30" s="6" t="s">
        <v>106</v>
      </c>
      <c r="D30" s="36">
        <f>IF((E30+E31+E32)=0,0,E30/(E30+E31+E32))</f>
        <v>0.32558139534883723</v>
      </c>
      <c r="E30" s="7">
        <f t="shared" si="0"/>
        <v>98</v>
      </c>
      <c r="F30" s="7">
        <f>SUMIFS([0]!psuv,[0]!municipio,$B30,[0]!turno,F$2)</f>
        <v>0</v>
      </c>
      <c r="G30" s="7">
        <f>SUMIFS([0]!psuv,[0]!municipio,$B30,[0]!turno,G$2)</f>
        <v>6</v>
      </c>
      <c r="H30" s="7">
        <f>SUMIFS([0]!psuv,[0]!municipio,$B30,[0]!turno,H$2)</f>
        <v>16</v>
      </c>
      <c r="I30" s="7">
        <f>SUMIFS([0]!psuv,[0]!municipio,$B30,[0]!turno,I$2)</f>
        <v>0</v>
      </c>
      <c r="J30" s="7">
        <f>SUMIFS([0]!psuv,[0]!municipio,$B30,[0]!turno,J$2)</f>
        <v>8</v>
      </c>
      <c r="K30" s="7">
        <f>SUMIFS([0]!psuv,[0]!municipio,$B30,[0]!turno,K$2)</f>
        <v>5</v>
      </c>
      <c r="L30" s="7">
        <f>SUMIFS([0]!psuv,[0]!municipio,$B30,[0]!turno,L$2)</f>
        <v>6</v>
      </c>
      <c r="M30" s="7">
        <f>SUMIFS([0]!psuv,[0]!municipio,$B30,[0]!turno,M$2)</f>
        <v>2</v>
      </c>
      <c r="N30" s="7">
        <f>SUMIFS([0]!psuv,[0]!municipio,$B30,[0]!turno,N$2)</f>
        <v>3</v>
      </c>
      <c r="O30" s="7">
        <f>SUMIFS([0]!psuv,[0]!municipio,$B30,[0]!turno,O$2)</f>
        <v>4</v>
      </c>
      <c r="P30" s="7">
        <f>SUMIFS([0]!psuv,[0]!municipio,$B30,[0]!turno,P$2)</f>
        <v>6</v>
      </c>
      <c r="Q30" s="7">
        <f>SUMIFS([0]!psuv,[0]!municipio,$B30,[0]!turno,Q$2)</f>
        <v>7</v>
      </c>
      <c r="R30" s="7">
        <f>SUMIFS([0]!psuv,[0]!municipio,$B30,[0]!turno,R$2)</f>
        <v>8</v>
      </c>
      <c r="S30" s="7">
        <f>SUMIFS([0]!psuv,[0]!municipio,$B30,[0]!turno,S$2)</f>
        <v>6</v>
      </c>
      <c r="T30" s="7">
        <f>SUMIFS([0]!psuv,[0]!municipio,$B30,[0]!turno,T$2)</f>
        <v>5</v>
      </c>
      <c r="U30" s="7">
        <f>SUMIFS([0]!psuv,[0]!municipio,$B30,[0]!turno,U$2)</f>
        <v>5</v>
      </c>
      <c r="V30" s="7">
        <f>SUMIFS([0]!psuv,[0]!municipio,$B30,[0]!turno,V$2)</f>
        <v>8</v>
      </c>
      <c r="W30" s="28">
        <f>SUMIFS([0]!psuv,[0]!municipio,$B30,[0]!turno,W$2)</f>
        <v>3</v>
      </c>
    </row>
    <row r="31" spans="1:23" x14ac:dyDescent="0.25">
      <c r="A31" s="49"/>
      <c r="B31" s="23" t="s">
        <v>37</v>
      </c>
      <c r="C31" s="4" t="s">
        <v>107</v>
      </c>
      <c r="D31" s="37">
        <f>IF((E30+E31+E32)=0,0,E31/(E30+E31+E32))</f>
        <v>0.67109634551495012</v>
      </c>
      <c r="E31" s="5">
        <f t="shared" si="0"/>
        <v>202</v>
      </c>
      <c r="F31" s="5">
        <f>SUMIFS([0]!mud,[0]!municipio,$B30,[0]!turno,F$2)</f>
        <v>0</v>
      </c>
      <c r="G31" s="5">
        <f>SUMIFS([0]!mud,[0]!municipio,$B30,[0]!turno,G$2)</f>
        <v>12</v>
      </c>
      <c r="H31" s="5">
        <f>SUMIFS([0]!mud,[0]!municipio,$B30,[0]!turno,H$2)</f>
        <v>11</v>
      </c>
      <c r="I31" s="5">
        <f>SUMIFS([0]!mud,[0]!municipio,$B30,[0]!turno,I$2)</f>
        <v>0</v>
      </c>
      <c r="J31" s="5">
        <f>SUMIFS([0]!mud,[0]!municipio,$B30,[0]!turno,J$2)</f>
        <v>10</v>
      </c>
      <c r="K31" s="5">
        <f>SUMIFS([0]!mud,[0]!municipio,$B30,[0]!turno,K$2)</f>
        <v>13</v>
      </c>
      <c r="L31" s="5">
        <f>SUMIFS([0]!mud,[0]!municipio,$B30,[0]!turno,L$2)</f>
        <v>15</v>
      </c>
      <c r="M31" s="5">
        <f>SUMIFS([0]!mud,[0]!municipio,$B30,[0]!turno,M$2)</f>
        <v>10</v>
      </c>
      <c r="N31" s="5">
        <f>SUMIFS([0]!mud,[0]!municipio,$B30,[0]!turno,N$2)</f>
        <v>13</v>
      </c>
      <c r="O31" s="5">
        <f>SUMIFS([0]!mud,[0]!municipio,$B30,[0]!turno,O$2)</f>
        <v>17</v>
      </c>
      <c r="P31" s="5">
        <f>SUMIFS([0]!mud,[0]!municipio,$B30,[0]!turno,P$2)</f>
        <v>14</v>
      </c>
      <c r="Q31" s="5">
        <f>SUMIFS([0]!mud,[0]!municipio,$B30,[0]!turno,Q$2)</f>
        <v>15</v>
      </c>
      <c r="R31" s="5">
        <f>SUMIFS([0]!mud,[0]!municipio,$B30,[0]!turno,R$2)</f>
        <v>12</v>
      </c>
      <c r="S31" s="5">
        <f>SUMIFS([0]!mud,[0]!municipio,$B30,[0]!turno,S$2)</f>
        <v>10</v>
      </c>
      <c r="T31" s="5">
        <f>SUMIFS([0]!mud,[0]!municipio,$B30,[0]!turno,T$2)</f>
        <v>11</v>
      </c>
      <c r="U31" s="5">
        <f>SUMIFS([0]!mud,[0]!municipio,$B30,[0]!turno,U$2)</f>
        <v>13</v>
      </c>
      <c r="V31" s="5">
        <f>SUMIFS([0]!mud,[0]!municipio,$B30,[0]!turno,V$2)</f>
        <v>14</v>
      </c>
      <c r="W31" s="26">
        <f>SUMIFS([0]!mud,[0]!municipio,$B30,[0]!turno,W$2)</f>
        <v>12</v>
      </c>
    </row>
    <row r="32" spans="1:23" ht="15.75" thickBot="1" x14ac:dyDescent="0.3">
      <c r="A32" s="49"/>
      <c r="B32" s="24">
        <v>4.0048420719852901E-2</v>
      </c>
      <c r="C32" s="12" t="s">
        <v>0</v>
      </c>
      <c r="D32" s="38">
        <f>IF((E30+E31+E32)=0,0,E32/(E30+E31+E32))</f>
        <v>3.3222591362126247E-3</v>
      </c>
      <c r="E32" s="13">
        <f t="shared" si="0"/>
        <v>1</v>
      </c>
      <c r="F32" s="13">
        <f>SUMIFS([0]!otro,[0]!municipio,$B30,[0]!turno,F$2)</f>
        <v>0</v>
      </c>
      <c r="G32" s="13">
        <f>SUMIFS([0]!otro,[0]!municipio,$B30,[0]!turno,G$2)</f>
        <v>1</v>
      </c>
      <c r="H32" s="13">
        <f>SUMIFS([0]!otro,[0]!municipio,$B30,[0]!turno,H$2)</f>
        <v>0</v>
      </c>
      <c r="I32" s="13">
        <f>SUMIFS([0]!otro,[0]!municipio,$B30,[0]!turno,I$2)</f>
        <v>0</v>
      </c>
      <c r="J32" s="13">
        <f>SUMIFS([0]!otro,[0]!municipio,$B30,[0]!turno,J$2)</f>
        <v>0</v>
      </c>
      <c r="K32" s="13">
        <f>SUMIFS([0]!otro,[0]!municipio,$B30,[0]!turno,K$2)</f>
        <v>0</v>
      </c>
      <c r="L32" s="13">
        <f>SUMIFS([0]!otro,[0]!municipio,$B30,[0]!turno,L$2)</f>
        <v>0</v>
      </c>
      <c r="M32" s="13">
        <f>SUMIFS([0]!otro,[0]!municipio,$B30,[0]!turno,M$2)</f>
        <v>0</v>
      </c>
      <c r="N32" s="13">
        <f>SUMIFS([0]!otro,[0]!municipio,$B30,[0]!turno,N$2)</f>
        <v>0</v>
      </c>
      <c r="O32" s="13">
        <f>SUMIFS([0]!otro,[0]!municipio,$B30,[0]!turno,O$2)</f>
        <v>0</v>
      </c>
      <c r="P32" s="13">
        <f>SUMIFS([0]!otro,[0]!municipio,$B30,[0]!turno,P$2)</f>
        <v>0</v>
      </c>
      <c r="Q32" s="13">
        <f>SUMIFS([0]!otro,[0]!municipio,$B30,[0]!turno,Q$2)</f>
        <v>0</v>
      </c>
      <c r="R32" s="13">
        <f>SUMIFS([0]!otro,[0]!municipio,$B30,[0]!turno,R$2)</f>
        <v>0</v>
      </c>
      <c r="S32" s="13">
        <f>SUMIFS([0]!otro,[0]!municipio,$B30,[0]!turno,S$2)</f>
        <v>0</v>
      </c>
      <c r="T32" s="13">
        <f>SUMIFS([0]!otro,[0]!municipio,$B30,[0]!turno,T$2)</f>
        <v>0</v>
      </c>
      <c r="U32" s="13">
        <f>SUMIFS([0]!otro,[0]!municipio,$B30,[0]!turno,U$2)</f>
        <v>0</v>
      </c>
      <c r="V32" s="13">
        <f>SUMIFS([0]!otro,[0]!municipio,$B30,[0]!turno,V$2)</f>
        <v>0</v>
      </c>
      <c r="W32" s="29">
        <f>SUMIFS([0]!otro,[0]!municipio,$B30,[0]!turno,W$2)</f>
        <v>0</v>
      </c>
    </row>
    <row r="33" spans="1:23" x14ac:dyDescent="0.25">
      <c r="A33" s="49"/>
      <c r="B33" s="19">
        <v>50</v>
      </c>
      <c r="C33" s="8" t="s">
        <v>106</v>
      </c>
      <c r="D33" s="36">
        <f>IF((E33+E34+E35)=0,0,E33/(E33+E34+E35))</f>
        <v>0.41330166270783847</v>
      </c>
      <c r="E33" s="9">
        <f t="shared" si="0"/>
        <v>174</v>
      </c>
      <c r="F33" s="9">
        <f>SUMIFS([0]!psuv,[0]!municipio,$B33,[0]!turno,F$2)</f>
        <v>12</v>
      </c>
      <c r="G33" s="9">
        <f>SUMIFS([0]!psuv,[0]!municipio,$B33,[0]!turno,G$2)</f>
        <v>17</v>
      </c>
      <c r="H33" s="9">
        <f>SUMIFS([0]!psuv,[0]!municipio,$B33,[0]!turno,H$2)</f>
        <v>2</v>
      </c>
      <c r="I33" s="9">
        <f>SUMIFS([0]!psuv,[0]!municipio,$B33,[0]!turno,I$2)</f>
        <v>4</v>
      </c>
      <c r="J33" s="9">
        <f>SUMIFS([0]!psuv,[0]!municipio,$B33,[0]!turno,J$2)</f>
        <v>18</v>
      </c>
      <c r="K33" s="9">
        <f>SUMIFS([0]!psuv,[0]!municipio,$B33,[0]!turno,K$2)</f>
        <v>17</v>
      </c>
      <c r="L33" s="9">
        <f>SUMIFS([0]!psuv,[0]!municipio,$B33,[0]!turno,L$2)</f>
        <v>21</v>
      </c>
      <c r="M33" s="9">
        <f>SUMIFS([0]!psuv,[0]!municipio,$B33,[0]!turno,M$2)</f>
        <v>7</v>
      </c>
      <c r="N33" s="9">
        <f>SUMIFS([0]!psuv,[0]!municipio,$B33,[0]!turno,N$2)</f>
        <v>10</v>
      </c>
      <c r="O33" s="9">
        <f>SUMIFS([0]!psuv,[0]!municipio,$B33,[0]!turno,O$2)</f>
        <v>3</v>
      </c>
      <c r="P33" s="9">
        <f>SUMIFS([0]!psuv,[0]!municipio,$B33,[0]!turno,P$2)</f>
        <v>4</v>
      </c>
      <c r="Q33" s="9">
        <f>SUMIFS([0]!psuv,[0]!municipio,$B33,[0]!turno,Q$2)</f>
        <v>6</v>
      </c>
      <c r="R33" s="9">
        <f>SUMIFS([0]!psuv,[0]!municipio,$B33,[0]!turno,R$2)</f>
        <v>7</v>
      </c>
      <c r="S33" s="9">
        <f>SUMIFS([0]!psuv,[0]!municipio,$B33,[0]!turno,S$2)</f>
        <v>5</v>
      </c>
      <c r="T33" s="9">
        <f>SUMIFS([0]!psuv,[0]!municipio,$B33,[0]!turno,T$2)</f>
        <v>12</v>
      </c>
      <c r="U33" s="9">
        <f>SUMIFS([0]!psuv,[0]!municipio,$B33,[0]!turno,U$2)</f>
        <v>10</v>
      </c>
      <c r="V33" s="9">
        <f>SUMIFS([0]!psuv,[0]!municipio,$B33,[0]!turno,V$2)</f>
        <v>11</v>
      </c>
      <c r="W33" s="25">
        <f>SUMIFS([0]!psuv,[0]!municipio,$B33,[0]!turno,W$2)</f>
        <v>8</v>
      </c>
    </row>
    <row r="34" spans="1:23" x14ac:dyDescent="0.25">
      <c r="A34" s="49"/>
      <c r="B34" s="20" t="s">
        <v>38</v>
      </c>
      <c r="C34" s="4" t="s">
        <v>107</v>
      </c>
      <c r="D34" s="37">
        <f>IF((E33+E34+E35)=0,0,E34/(E33+E34+E35))</f>
        <v>0.57007125890736343</v>
      </c>
      <c r="E34" s="5">
        <f t="shared" si="0"/>
        <v>240</v>
      </c>
      <c r="F34" s="5">
        <f>SUMIFS([0]!mud,[0]!municipio,$B33,[0]!turno,F$2)</f>
        <v>5</v>
      </c>
      <c r="G34" s="5">
        <f>SUMIFS([0]!mud,[0]!municipio,$B33,[0]!turno,G$2)</f>
        <v>15</v>
      </c>
      <c r="H34" s="5">
        <f>SUMIFS([0]!mud,[0]!municipio,$B33,[0]!turno,H$2)</f>
        <v>13</v>
      </c>
      <c r="I34" s="5">
        <f>SUMIFS([0]!mud,[0]!municipio,$B33,[0]!turno,I$2)</f>
        <v>16</v>
      </c>
      <c r="J34" s="5">
        <f>SUMIFS([0]!mud,[0]!municipio,$B33,[0]!turno,J$2)</f>
        <v>5</v>
      </c>
      <c r="K34" s="5">
        <f>SUMIFS([0]!mud,[0]!municipio,$B33,[0]!turno,K$2)</f>
        <v>4</v>
      </c>
      <c r="L34" s="5">
        <f>SUMIFS([0]!mud,[0]!municipio,$B33,[0]!turno,L$2)</f>
        <v>10</v>
      </c>
      <c r="M34" s="5">
        <f>SUMIFS([0]!mud,[0]!municipio,$B33,[0]!turno,M$2)</f>
        <v>20</v>
      </c>
      <c r="N34" s="5">
        <f>SUMIFS([0]!mud,[0]!municipio,$B33,[0]!turno,N$2)</f>
        <v>15</v>
      </c>
      <c r="O34" s="5">
        <f>SUMIFS([0]!mud,[0]!municipio,$B33,[0]!turno,O$2)</f>
        <v>12</v>
      </c>
      <c r="P34" s="5">
        <f>SUMIFS([0]!mud,[0]!municipio,$B33,[0]!turno,P$2)</f>
        <v>17</v>
      </c>
      <c r="Q34" s="5">
        <f>SUMIFS([0]!mud,[0]!municipio,$B33,[0]!turno,Q$2)</f>
        <v>19</v>
      </c>
      <c r="R34" s="5">
        <f>SUMIFS([0]!mud,[0]!municipio,$B33,[0]!turno,R$2)</f>
        <v>21</v>
      </c>
      <c r="S34" s="5">
        <f>SUMIFS([0]!mud,[0]!municipio,$B33,[0]!turno,S$2)</f>
        <v>18</v>
      </c>
      <c r="T34" s="5">
        <f>SUMIFS([0]!mud,[0]!municipio,$B33,[0]!turno,T$2)</f>
        <v>12</v>
      </c>
      <c r="U34" s="5">
        <f>SUMIFS([0]!mud,[0]!municipio,$B33,[0]!turno,U$2)</f>
        <v>14</v>
      </c>
      <c r="V34" s="5">
        <f>SUMIFS([0]!mud,[0]!municipio,$B33,[0]!turno,V$2)</f>
        <v>19</v>
      </c>
      <c r="W34" s="26">
        <f>SUMIFS([0]!mud,[0]!municipio,$B33,[0]!turno,W$2)</f>
        <v>5</v>
      </c>
    </row>
    <row r="35" spans="1:23" ht="15.75" thickBot="1" x14ac:dyDescent="0.3">
      <c r="A35" s="49"/>
      <c r="B35" s="21">
        <v>2.6206498698287846E-2</v>
      </c>
      <c r="C35" s="10" t="s">
        <v>0</v>
      </c>
      <c r="D35" s="38">
        <f>IF((E33+E34+E35)=0,0,E35/(E33+E34+E35))</f>
        <v>1.66270783847981E-2</v>
      </c>
      <c r="E35" s="11">
        <f t="shared" si="0"/>
        <v>7</v>
      </c>
      <c r="F35" s="11">
        <f>SUMIFS([0]!otro,[0]!municipio,$B33,[0]!turno,F$2)</f>
        <v>0</v>
      </c>
      <c r="G35" s="11">
        <f>SUMIFS([0]!otro,[0]!municipio,$B33,[0]!turno,G$2)</f>
        <v>0</v>
      </c>
      <c r="H35" s="11">
        <f>SUMIFS([0]!otro,[0]!municipio,$B33,[0]!turno,H$2)</f>
        <v>0</v>
      </c>
      <c r="I35" s="11">
        <f>SUMIFS([0]!otro,[0]!municipio,$B33,[0]!turno,I$2)</f>
        <v>0</v>
      </c>
      <c r="J35" s="11">
        <f>SUMIFS([0]!otro,[0]!municipio,$B33,[0]!turno,J$2)</f>
        <v>0</v>
      </c>
      <c r="K35" s="11">
        <f>SUMIFS([0]!otro,[0]!municipio,$B33,[0]!turno,K$2)</f>
        <v>0</v>
      </c>
      <c r="L35" s="11">
        <f>SUMIFS([0]!otro,[0]!municipio,$B33,[0]!turno,L$2)</f>
        <v>0</v>
      </c>
      <c r="M35" s="11">
        <f>SUMIFS([0]!otro,[0]!municipio,$B33,[0]!turno,M$2)</f>
        <v>0</v>
      </c>
      <c r="N35" s="11">
        <f>SUMIFS([0]!otro,[0]!municipio,$B33,[0]!turno,N$2)</f>
        <v>0</v>
      </c>
      <c r="O35" s="11">
        <f>SUMIFS([0]!otro,[0]!municipio,$B33,[0]!turno,O$2)</f>
        <v>0</v>
      </c>
      <c r="P35" s="11">
        <f>SUMIFS([0]!otro,[0]!municipio,$B33,[0]!turno,P$2)</f>
        <v>0</v>
      </c>
      <c r="Q35" s="11">
        <f>SUMIFS([0]!otro,[0]!municipio,$B33,[0]!turno,Q$2)</f>
        <v>0</v>
      </c>
      <c r="R35" s="11">
        <f>SUMIFS([0]!otro,[0]!municipio,$B33,[0]!turno,R$2)</f>
        <v>0</v>
      </c>
      <c r="S35" s="11">
        <f>SUMIFS([0]!otro,[0]!municipio,$B33,[0]!turno,S$2)</f>
        <v>0</v>
      </c>
      <c r="T35" s="11">
        <f>SUMIFS([0]!otro,[0]!municipio,$B33,[0]!turno,T$2)</f>
        <v>0</v>
      </c>
      <c r="U35" s="11">
        <f>SUMIFS([0]!otro,[0]!municipio,$B33,[0]!turno,U$2)</f>
        <v>7</v>
      </c>
      <c r="V35" s="11">
        <f>SUMIFS([0]!otro,[0]!municipio,$B33,[0]!turno,V$2)</f>
        <v>0</v>
      </c>
      <c r="W35" s="27">
        <f>SUMIFS([0]!otro,[0]!municipio,$B33,[0]!turno,W$2)</f>
        <v>0</v>
      </c>
    </row>
    <row r="36" spans="1:23" x14ac:dyDescent="0.25">
      <c r="A36" s="49"/>
      <c r="B36" s="22">
        <v>51</v>
      </c>
      <c r="C36" s="6" t="s">
        <v>106</v>
      </c>
      <c r="D36" s="36">
        <f>IF((E36+E37+E38)=0,0,E36/(E36+E37+E38))</f>
        <v>0.52660908331011425</v>
      </c>
      <c r="E36" s="7">
        <f t="shared" si="0"/>
        <v>1890</v>
      </c>
      <c r="F36" s="7">
        <f>SUMIFS([0]!psuv,[0]!municipio,$B36,[0]!turno,F$2)</f>
        <v>71</v>
      </c>
      <c r="G36" s="7">
        <f>SUMIFS([0]!psuv,[0]!municipio,$B36,[0]!turno,G$2)</f>
        <v>49</v>
      </c>
      <c r="H36" s="7">
        <f>SUMIFS([0]!psuv,[0]!municipio,$B36,[0]!turno,H$2)</f>
        <v>118</v>
      </c>
      <c r="I36" s="7">
        <f>SUMIFS([0]!psuv,[0]!municipio,$B36,[0]!turno,I$2)</f>
        <v>118</v>
      </c>
      <c r="J36" s="7">
        <f>SUMIFS([0]!psuv,[0]!municipio,$B36,[0]!turno,J$2)</f>
        <v>130</v>
      </c>
      <c r="K36" s="7">
        <f>SUMIFS([0]!psuv,[0]!municipio,$B36,[0]!turno,K$2)</f>
        <v>161</v>
      </c>
      <c r="L36" s="7">
        <f>SUMIFS([0]!psuv,[0]!municipio,$B36,[0]!turno,L$2)</f>
        <v>128</v>
      </c>
      <c r="M36" s="7">
        <f>SUMIFS([0]!psuv,[0]!municipio,$B36,[0]!turno,M$2)</f>
        <v>105</v>
      </c>
      <c r="N36" s="7">
        <f>SUMIFS([0]!psuv,[0]!municipio,$B36,[0]!turno,N$2)</f>
        <v>115</v>
      </c>
      <c r="O36" s="7">
        <f>SUMIFS([0]!psuv,[0]!municipio,$B36,[0]!turno,O$2)</f>
        <v>108</v>
      </c>
      <c r="P36" s="7">
        <f>SUMIFS([0]!psuv,[0]!municipio,$B36,[0]!turno,P$2)</f>
        <v>128</v>
      </c>
      <c r="Q36" s="7">
        <f>SUMIFS([0]!psuv,[0]!municipio,$B36,[0]!turno,Q$2)</f>
        <v>121</v>
      </c>
      <c r="R36" s="7">
        <f>SUMIFS([0]!psuv,[0]!municipio,$B36,[0]!turno,R$2)</f>
        <v>94</v>
      </c>
      <c r="S36" s="7">
        <f>SUMIFS([0]!psuv,[0]!municipio,$B36,[0]!turno,S$2)</f>
        <v>83</v>
      </c>
      <c r="T36" s="7">
        <f>SUMIFS([0]!psuv,[0]!municipio,$B36,[0]!turno,T$2)</f>
        <v>100</v>
      </c>
      <c r="U36" s="7">
        <f>SUMIFS([0]!psuv,[0]!municipio,$B36,[0]!turno,U$2)</f>
        <v>92</v>
      </c>
      <c r="V36" s="7">
        <f>SUMIFS([0]!psuv,[0]!municipio,$B36,[0]!turno,V$2)</f>
        <v>99</v>
      </c>
      <c r="W36" s="28">
        <f>SUMIFS([0]!psuv,[0]!municipio,$B36,[0]!turno,W$2)</f>
        <v>70</v>
      </c>
    </row>
    <row r="37" spans="1:23" x14ac:dyDescent="0.25">
      <c r="A37" s="49"/>
      <c r="B37" s="23" t="s">
        <v>39</v>
      </c>
      <c r="C37" s="4" t="s">
        <v>107</v>
      </c>
      <c r="D37" s="37">
        <f>IF((E36+E37+E38)=0,0,E37/(E36+E37+E38))</f>
        <v>0.43103928670938979</v>
      </c>
      <c r="E37" s="5">
        <f t="shared" si="0"/>
        <v>1547</v>
      </c>
      <c r="F37" s="5">
        <f>SUMIFS([0]!mud,[0]!municipio,$B36,[0]!turno,F$2)</f>
        <v>53</v>
      </c>
      <c r="G37" s="5">
        <f>SUMIFS([0]!mud,[0]!municipio,$B36,[0]!turno,G$2)</f>
        <v>63</v>
      </c>
      <c r="H37" s="5">
        <f>SUMIFS([0]!mud,[0]!municipio,$B36,[0]!turno,H$2)</f>
        <v>88</v>
      </c>
      <c r="I37" s="5">
        <f>SUMIFS([0]!mud,[0]!municipio,$B36,[0]!turno,I$2)</f>
        <v>98</v>
      </c>
      <c r="J37" s="5">
        <f>SUMIFS([0]!mud,[0]!municipio,$B36,[0]!turno,J$2)</f>
        <v>78</v>
      </c>
      <c r="K37" s="5">
        <f>SUMIFS([0]!mud,[0]!municipio,$B36,[0]!turno,K$2)</f>
        <v>94</v>
      </c>
      <c r="L37" s="5">
        <f>SUMIFS([0]!mud,[0]!municipio,$B36,[0]!turno,L$2)</f>
        <v>111</v>
      </c>
      <c r="M37" s="5">
        <f>SUMIFS([0]!mud,[0]!municipio,$B36,[0]!turno,M$2)</f>
        <v>109</v>
      </c>
      <c r="N37" s="5">
        <f>SUMIFS([0]!mud,[0]!municipio,$B36,[0]!turno,N$2)</f>
        <v>86</v>
      </c>
      <c r="O37" s="5">
        <f>SUMIFS([0]!mud,[0]!municipio,$B36,[0]!turno,O$2)</f>
        <v>101</v>
      </c>
      <c r="P37" s="5">
        <f>SUMIFS([0]!mud,[0]!municipio,$B36,[0]!turno,P$2)</f>
        <v>107</v>
      </c>
      <c r="Q37" s="5">
        <f>SUMIFS([0]!mud,[0]!municipio,$B36,[0]!turno,Q$2)</f>
        <v>94</v>
      </c>
      <c r="R37" s="5">
        <f>SUMIFS([0]!mud,[0]!municipio,$B36,[0]!turno,R$2)</f>
        <v>99</v>
      </c>
      <c r="S37" s="5">
        <f>SUMIFS([0]!mud,[0]!municipio,$B36,[0]!turno,S$2)</f>
        <v>77</v>
      </c>
      <c r="T37" s="5">
        <f>SUMIFS([0]!mud,[0]!municipio,$B36,[0]!turno,T$2)</f>
        <v>79</v>
      </c>
      <c r="U37" s="5">
        <f>SUMIFS([0]!mud,[0]!municipio,$B36,[0]!turno,U$2)</f>
        <v>68</v>
      </c>
      <c r="V37" s="5">
        <f>SUMIFS([0]!mud,[0]!municipio,$B36,[0]!turno,V$2)</f>
        <v>77</v>
      </c>
      <c r="W37" s="26">
        <f>SUMIFS([0]!mud,[0]!municipio,$B36,[0]!turno,W$2)</f>
        <v>65</v>
      </c>
    </row>
    <row r="38" spans="1:23" ht="15.75" thickBot="1" x14ac:dyDescent="0.3">
      <c r="A38" s="49"/>
      <c r="B38" s="21">
        <v>0.387737290574307</v>
      </c>
      <c r="C38" s="10" t="s">
        <v>0</v>
      </c>
      <c r="D38" s="38">
        <f>IF((E36+E37+E38)=0,0,E38/(E36+E37+E38))</f>
        <v>4.2351629980495957E-2</v>
      </c>
      <c r="E38" s="11">
        <f t="shared" si="0"/>
        <v>152</v>
      </c>
      <c r="F38" s="11">
        <f>SUMIFS([0]!otro,[0]!municipio,$B36,[0]!turno,F$2)</f>
        <v>5</v>
      </c>
      <c r="G38" s="11">
        <f>SUMIFS([0]!otro,[0]!municipio,$B36,[0]!turno,G$2)</f>
        <v>8</v>
      </c>
      <c r="H38" s="11">
        <f>SUMIFS([0]!otro,[0]!municipio,$B36,[0]!turno,H$2)</f>
        <v>15</v>
      </c>
      <c r="I38" s="11">
        <f>SUMIFS([0]!otro,[0]!municipio,$B36,[0]!turno,I$2)</f>
        <v>8</v>
      </c>
      <c r="J38" s="11">
        <f>SUMIFS([0]!otro,[0]!municipio,$B36,[0]!turno,J$2)</f>
        <v>4</v>
      </c>
      <c r="K38" s="11">
        <f>SUMIFS([0]!otro,[0]!municipio,$B36,[0]!turno,K$2)</f>
        <v>12</v>
      </c>
      <c r="L38" s="11">
        <f>SUMIFS([0]!otro,[0]!municipio,$B36,[0]!turno,L$2)</f>
        <v>8</v>
      </c>
      <c r="M38" s="11">
        <f>SUMIFS([0]!otro,[0]!municipio,$B36,[0]!turno,M$2)</f>
        <v>7</v>
      </c>
      <c r="N38" s="11">
        <f>SUMIFS([0]!otro,[0]!municipio,$B36,[0]!turno,N$2)</f>
        <v>8</v>
      </c>
      <c r="O38" s="11">
        <f>SUMIFS([0]!otro,[0]!municipio,$B36,[0]!turno,O$2)</f>
        <v>8</v>
      </c>
      <c r="P38" s="11">
        <f>SUMIFS([0]!otro,[0]!municipio,$B36,[0]!turno,P$2)</f>
        <v>13</v>
      </c>
      <c r="Q38" s="11">
        <f>SUMIFS([0]!otro,[0]!municipio,$B36,[0]!turno,Q$2)</f>
        <v>5</v>
      </c>
      <c r="R38" s="11">
        <f>SUMIFS([0]!otro,[0]!municipio,$B36,[0]!turno,R$2)</f>
        <v>7</v>
      </c>
      <c r="S38" s="11">
        <f>SUMIFS([0]!otro,[0]!municipio,$B36,[0]!turno,S$2)</f>
        <v>12</v>
      </c>
      <c r="T38" s="11">
        <f>SUMIFS([0]!otro,[0]!municipio,$B36,[0]!turno,T$2)</f>
        <v>9</v>
      </c>
      <c r="U38" s="11">
        <f>SUMIFS([0]!otro,[0]!municipio,$B36,[0]!turno,U$2)</f>
        <v>12</v>
      </c>
      <c r="V38" s="11">
        <f>SUMIFS([0]!otro,[0]!municipio,$B36,[0]!turno,V$2)</f>
        <v>7</v>
      </c>
      <c r="W38" s="27">
        <f>SUMIFS([0]!otro,[0]!municipio,$B36,[0]!turno,W$2)</f>
        <v>4</v>
      </c>
    </row>
    <row r="39" spans="1:23" x14ac:dyDescent="0.25">
      <c r="B39"/>
      <c r="C39"/>
    </row>
    <row r="40" spans="1:23" x14ac:dyDescent="0.25">
      <c r="B40"/>
      <c r="C40"/>
    </row>
    <row r="41" spans="1:23" x14ac:dyDescent="0.25">
      <c r="B41"/>
      <c r="C41"/>
    </row>
    <row r="42" spans="1:23" x14ac:dyDescent="0.25">
      <c r="B42"/>
      <c r="C42"/>
    </row>
    <row r="43" spans="1:23" x14ac:dyDescent="0.25">
      <c r="B43"/>
      <c r="C43"/>
    </row>
    <row r="44" spans="1:23" x14ac:dyDescent="0.25">
      <c r="B44"/>
      <c r="C44"/>
    </row>
    <row r="45" spans="1:23" x14ac:dyDescent="0.25">
      <c r="B45"/>
      <c r="C45"/>
    </row>
    <row r="46" spans="1:23" x14ac:dyDescent="0.25">
      <c r="B46"/>
      <c r="C46"/>
      <c r="S46" t="s">
        <v>144</v>
      </c>
    </row>
    <row r="47" spans="1:23" x14ac:dyDescent="0.25">
      <c r="B47"/>
      <c r="C47"/>
    </row>
    <row r="48" spans="1:2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  <row r="427" spans="2:3" ht="15" customHeight="1" x14ac:dyDescent="0.25">
      <c r="B427"/>
      <c r="C427"/>
    </row>
    <row r="428" spans="2:3" ht="15" customHeight="1" x14ac:dyDescent="0.25">
      <c r="B428"/>
      <c r="C428"/>
    </row>
    <row r="429" spans="2:3" ht="15" customHeight="1" x14ac:dyDescent="0.25">
      <c r="B429"/>
      <c r="C429"/>
    </row>
    <row r="430" spans="2:3" ht="15" customHeight="1" x14ac:dyDescent="0.25">
      <c r="B430"/>
      <c r="C430"/>
    </row>
    <row r="431" spans="2:3" ht="15" customHeight="1" x14ac:dyDescent="0.25">
      <c r="B431"/>
      <c r="C431"/>
    </row>
    <row r="432" spans="2:3" ht="15" customHeight="1" x14ac:dyDescent="0.25">
      <c r="B432"/>
      <c r="C432"/>
    </row>
    <row r="433" spans="2:3" ht="15" customHeight="1" x14ac:dyDescent="0.25">
      <c r="B433"/>
      <c r="C433"/>
    </row>
    <row r="434" spans="2:3" ht="15" customHeight="1" x14ac:dyDescent="0.25">
      <c r="B434"/>
      <c r="C434"/>
    </row>
    <row r="435" spans="2:3" ht="15" customHeight="1" x14ac:dyDescent="0.25">
      <c r="B435"/>
      <c r="C435"/>
    </row>
    <row r="436" spans="2:3" ht="15" customHeight="1" x14ac:dyDescent="0.25">
      <c r="B436"/>
      <c r="C436"/>
    </row>
    <row r="437" spans="2:3" ht="15" customHeight="1" x14ac:dyDescent="0.25">
      <c r="B437"/>
      <c r="C437"/>
    </row>
    <row r="438" spans="2:3" ht="15" customHeight="1" x14ac:dyDescent="0.25">
      <c r="B438"/>
      <c r="C438"/>
    </row>
    <row r="439" spans="2:3" ht="15" customHeight="1" x14ac:dyDescent="0.25">
      <c r="B439"/>
      <c r="C439"/>
    </row>
    <row r="440" spans="2:3" ht="15" customHeight="1" x14ac:dyDescent="0.25">
      <c r="B440"/>
      <c r="C440"/>
    </row>
    <row r="441" spans="2:3" ht="15" customHeight="1" x14ac:dyDescent="0.25">
      <c r="B441"/>
      <c r="C441"/>
    </row>
    <row r="442" spans="2:3" ht="15" customHeight="1" x14ac:dyDescent="0.25">
      <c r="B442"/>
      <c r="C442"/>
    </row>
    <row r="443" spans="2:3" ht="15" customHeight="1" x14ac:dyDescent="0.25">
      <c r="B443"/>
      <c r="C443"/>
    </row>
    <row r="444" spans="2:3" ht="15" customHeight="1" x14ac:dyDescent="0.25">
      <c r="B444"/>
      <c r="C444"/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B1:W412"/>
  <sheetViews>
    <sheetView workbookViewId="0">
      <selection activeCell="G33" sqref="G33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52</v>
      </c>
      <c r="C3" s="8" t="s">
        <v>106</v>
      </c>
      <c r="D3" s="36">
        <f>IF((E3+E4+E5)=0,0,E3/(E3+E4+E5))</f>
        <v>0.43798449612403101</v>
      </c>
      <c r="E3" s="9">
        <f t="shared" ref="E3:E11" si="0">SUM(F3:W3)</f>
        <v>452</v>
      </c>
      <c r="F3" s="9">
        <f>SUMIFS([0]!psuv,[0]!municipio,$B3,[0]!turno,F$2)</f>
        <v>24</v>
      </c>
      <c r="G3" s="9">
        <f>SUMIFS([0]!psuv,[0]!municipio,$B3,[0]!turno,G$2)</f>
        <v>5</v>
      </c>
      <c r="H3" s="9">
        <f>SUMIFS([0]!psuv,[0]!municipio,$B3,[0]!turno,H$2)</f>
        <v>26</v>
      </c>
      <c r="I3" s="9">
        <f>SUMIFS([0]!psuv,[0]!municipio,$B3,[0]!turno,I$2)</f>
        <v>26</v>
      </c>
      <c r="J3" s="9">
        <f>SUMIFS([0]!psuv,[0]!municipio,$B3,[0]!turno,J$2)</f>
        <v>28</v>
      </c>
      <c r="K3" s="9">
        <f>SUMIFS([0]!psuv,[0]!municipio,$B3,[0]!turno,K$2)</f>
        <v>21</v>
      </c>
      <c r="L3" s="9">
        <f>SUMIFS([0]!psuv,[0]!municipio,$B3,[0]!turno,L$2)</f>
        <v>34</v>
      </c>
      <c r="M3" s="9">
        <f>SUMIFS([0]!psuv,[0]!municipio,$B3,[0]!turno,M$2)</f>
        <v>27</v>
      </c>
      <c r="N3" s="9">
        <f>SUMIFS([0]!psuv,[0]!municipio,$B3,[0]!turno,N$2)</f>
        <v>25</v>
      </c>
      <c r="O3" s="9">
        <f>SUMIFS([0]!psuv,[0]!municipio,$B3,[0]!turno,O$2)</f>
        <v>21</v>
      </c>
      <c r="P3" s="9">
        <f>SUMIFS([0]!psuv,[0]!municipio,$B3,[0]!turno,P$2)</f>
        <v>30</v>
      </c>
      <c r="Q3" s="9">
        <f>SUMIFS([0]!psuv,[0]!municipio,$B3,[0]!turno,Q$2)</f>
        <v>36</v>
      </c>
      <c r="R3" s="9">
        <f>SUMIFS([0]!psuv,[0]!municipio,$B3,[0]!turno,R$2)</f>
        <v>25</v>
      </c>
      <c r="S3" s="9">
        <f>SUMIFS([0]!psuv,[0]!municipio,$B3,[0]!turno,S$2)</f>
        <v>33</v>
      </c>
      <c r="T3" s="9">
        <f>SUMIFS([0]!psuv,[0]!municipio,$B3,[0]!turno,T$2)</f>
        <v>25</v>
      </c>
      <c r="U3" s="9">
        <f>SUMIFS([0]!psuv,[0]!municipio,$B3,[0]!turno,U$2)</f>
        <v>28</v>
      </c>
      <c r="V3" s="9">
        <f>SUMIFS([0]!psuv,[0]!municipio,$B3,[0]!turno,V$2)</f>
        <v>14</v>
      </c>
      <c r="W3" s="25">
        <f>SUMIFS([0]!psuv,[0]!municipio,$B3,[0]!turno,W$2)</f>
        <v>24</v>
      </c>
    </row>
    <row r="4" spans="2:23" x14ac:dyDescent="0.25">
      <c r="B4" s="20" t="s">
        <v>22</v>
      </c>
      <c r="C4" s="4" t="s">
        <v>107</v>
      </c>
      <c r="D4" s="37">
        <f>IF((E3+E4+E5)=0,0,E4/(E3+E4+E5))</f>
        <v>0.42732558139534882</v>
      </c>
      <c r="E4" s="5">
        <f t="shared" si="0"/>
        <v>441</v>
      </c>
      <c r="F4" s="5">
        <f>SUMIFS([0]!mud,[0]!municipio,$B3,[0]!turno,F$2)</f>
        <v>25</v>
      </c>
      <c r="G4" s="5">
        <f>SUMIFS([0]!mud,[0]!municipio,$B3,[0]!turno,G$2)</f>
        <v>6</v>
      </c>
      <c r="H4" s="5">
        <f>SUMIFS([0]!mud,[0]!municipio,$B3,[0]!turno,H$2)</f>
        <v>18</v>
      </c>
      <c r="I4" s="5">
        <f>SUMIFS([0]!mud,[0]!municipio,$B3,[0]!turno,I$2)</f>
        <v>20</v>
      </c>
      <c r="J4" s="5">
        <f>SUMIFS([0]!mud,[0]!municipio,$B3,[0]!turno,J$2)</f>
        <v>29</v>
      </c>
      <c r="K4" s="5">
        <f>SUMIFS([0]!mud,[0]!municipio,$B3,[0]!turno,K$2)</f>
        <v>30</v>
      </c>
      <c r="L4" s="5">
        <f>SUMIFS([0]!mud,[0]!municipio,$B3,[0]!turno,L$2)</f>
        <v>22</v>
      </c>
      <c r="M4" s="5">
        <f>SUMIFS([0]!mud,[0]!municipio,$B3,[0]!turno,M$2)</f>
        <v>29</v>
      </c>
      <c r="N4" s="5">
        <f>SUMIFS([0]!mud,[0]!municipio,$B3,[0]!turno,N$2)</f>
        <v>25</v>
      </c>
      <c r="O4" s="5">
        <f>SUMIFS([0]!mud,[0]!municipio,$B3,[0]!turno,O$2)</f>
        <v>32</v>
      </c>
      <c r="P4" s="5">
        <f>SUMIFS([0]!mud,[0]!municipio,$B3,[0]!turno,P$2)</f>
        <v>25</v>
      </c>
      <c r="Q4" s="5">
        <f>SUMIFS([0]!mud,[0]!municipio,$B3,[0]!turno,Q$2)</f>
        <v>17</v>
      </c>
      <c r="R4" s="5">
        <f>SUMIFS([0]!mud,[0]!municipio,$B3,[0]!turno,R$2)</f>
        <v>27</v>
      </c>
      <c r="S4" s="5">
        <f>SUMIFS([0]!mud,[0]!municipio,$B3,[0]!turno,S$2)</f>
        <v>24</v>
      </c>
      <c r="T4" s="5">
        <f>SUMIFS([0]!mud,[0]!municipio,$B3,[0]!turno,T$2)</f>
        <v>27</v>
      </c>
      <c r="U4" s="5">
        <f>SUMIFS([0]!mud,[0]!municipio,$B3,[0]!turno,U$2)</f>
        <v>26</v>
      </c>
      <c r="V4" s="5">
        <f>SUMIFS([0]!mud,[0]!municipio,$B3,[0]!turno,V$2)</f>
        <v>37</v>
      </c>
      <c r="W4" s="26">
        <f>SUMIFS([0]!mud,[0]!municipio,$B3,[0]!turno,W$2)</f>
        <v>22</v>
      </c>
    </row>
    <row r="5" spans="2:23" ht="15.75" thickBot="1" x14ac:dyDescent="0.3">
      <c r="B5" s="21">
        <v>0.44998627136718028</v>
      </c>
      <c r="C5" s="10" t="s">
        <v>0</v>
      </c>
      <c r="D5" s="38">
        <f>IF((E3+E4+E5)=0,0,E5/(E3+E4+E5))</f>
        <v>0.13468992248062014</v>
      </c>
      <c r="E5" s="11">
        <f t="shared" si="0"/>
        <v>139</v>
      </c>
      <c r="F5" s="11">
        <f>SUMIFS([0]!otro,[0]!municipio,$B3,[0]!turno,F$2)</f>
        <v>11</v>
      </c>
      <c r="G5" s="11">
        <f>SUMIFS([0]!otro,[0]!municipio,$B3,[0]!turno,G$2)</f>
        <v>19</v>
      </c>
      <c r="H5" s="11">
        <f>SUMIFS([0]!otro,[0]!municipio,$B3,[0]!turno,H$2)</f>
        <v>16</v>
      </c>
      <c r="I5" s="11">
        <f>SUMIFS([0]!otro,[0]!municipio,$B3,[0]!turno,I$2)</f>
        <v>14</v>
      </c>
      <c r="J5" s="11">
        <f>SUMIFS([0]!otro,[0]!municipio,$B3,[0]!turno,J$2)</f>
        <v>0</v>
      </c>
      <c r="K5" s="11">
        <f>SUMIFS([0]!otro,[0]!municipio,$B3,[0]!turno,K$2)</f>
        <v>8</v>
      </c>
      <c r="L5" s="11">
        <f>SUMIFS([0]!otro,[0]!municipio,$B3,[0]!turno,L$2)</f>
        <v>2</v>
      </c>
      <c r="M5" s="11">
        <f>SUMIFS([0]!otro,[0]!municipio,$B3,[0]!turno,M$2)</f>
        <v>3</v>
      </c>
      <c r="N5" s="11">
        <f>SUMIFS([0]!otro,[0]!municipio,$B3,[0]!turno,N$2)</f>
        <v>9</v>
      </c>
      <c r="O5" s="11">
        <f>SUMIFS([0]!otro,[0]!municipio,$B3,[0]!turno,O$2)</f>
        <v>6</v>
      </c>
      <c r="P5" s="11">
        <f>SUMIFS([0]!otro,[0]!municipio,$B3,[0]!turno,P$2)</f>
        <v>5</v>
      </c>
      <c r="Q5" s="11">
        <f>SUMIFS([0]!otro,[0]!municipio,$B3,[0]!turno,Q$2)</f>
        <v>6</v>
      </c>
      <c r="R5" s="11">
        <f>SUMIFS([0]!otro,[0]!municipio,$B3,[0]!turno,R$2)</f>
        <v>8</v>
      </c>
      <c r="S5" s="11">
        <f>SUMIFS([0]!otro,[0]!municipio,$B3,[0]!turno,S$2)</f>
        <v>1</v>
      </c>
      <c r="T5" s="11">
        <f>SUMIFS([0]!otro,[0]!municipio,$B3,[0]!turno,T$2)</f>
        <v>7</v>
      </c>
      <c r="U5" s="11">
        <f>SUMIFS([0]!otro,[0]!municipio,$B3,[0]!turno,U$2)</f>
        <v>3</v>
      </c>
      <c r="V5" s="11">
        <f>SUMIFS([0]!otro,[0]!municipio,$B3,[0]!turno,V$2)</f>
        <v>8</v>
      </c>
      <c r="W5" s="27">
        <f>SUMIFS([0]!otro,[0]!municipio,$B3,[0]!turno,W$2)</f>
        <v>13</v>
      </c>
    </row>
    <row r="6" spans="2:23" x14ac:dyDescent="0.25">
      <c r="B6" s="22">
        <v>53</v>
      </c>
      <c r="C6" s="6" t="s">
        <v>106</v>
      </c>
      <c r="D6" s="36">
        <f>IF((E6+E7+E8)=0,0,E6/(E6+E7+E8))</f>
        <v>0.48299319727891155</v>
      </c>
      <c r="E6" s="7">
        <f t="shared" si="0"/>
        <v>213</v>
      </c>
      <c r="F6" s="7">
        <f>SUMIFS([0]!psuv,[0]!municipio,$B6,[0]!turno,F$2)</f>
        <v>0</v>
      </c>
      <c r="G6" s="7">
        <f>SUMIFS([0]!psuv,[0]!municipio,$B6,[0]!turno,G$2)</f>
        <v>0</v>
      </c>
      <c r="H6" s="7">
        <f>SUMIFS([0]!psuv,[0]!municipio,$B6,[0]!turno,H$2)</f>
        <v>10</v>
      </c>
      <c r="I6" s="7">
        <f>SUMIFS([0]!psuv,[0]!municipio,$B6,[0]!turno,I$2)</f>
        <v>10</v>
      </c>
      <c r="J6" s="7">
        <f>SUMIFS([0]!psuv,[0]!municipio,$B6,[0]!turno,J$2)</f>
        <v>16</v>
      </c>
      <c r="K6" s="7">
        <f>SUMIFS([0]!psuv,[0]!municipio,$B6,[0]!turno,K$2)</f>
        <v>17</v>
      </c>
      <c r="L6" s="7">
        <f>SUMIFS([0]!psuv,[0]!municipio,$B6,[0]!turno,L$2)</f>
        <v>23</v>
      </c>
      <c r="M6" s="7">
        <f>SUMIFS([0]!psuv,[0]!municipio,$B6,[0]!turno,M$2)</f>
        <v>21</v>
      </c>
      <c r="N6" s="7">
        <f>SUMIFS([0]!psuv,[0]!municipio,$B6,[0]!turno,N$2)</f>
        <v>20</v>
      </c>
      <c r="O6" s="7">
        <f>SUMIFS([0]!psuv,[0]!municipio,$B6,[0]!turno,O$2)</f>
        <v>14</v>
      </c>
      <c r="P6" s="7">
        <f>SUMIFS([0]!psuv,[0]!municipio,$B6,[0]!turno,P$2)</f>
        <v>10</v>
      </c>
      <c r="Q6" s="7">
        <f>SUMIFS([0]!psuv,[0]!municipio,$B6,[0]!turno,Q$2)</f>
        <v>14</v>
      </c>
      <c r="R6" s="7">
        <f>SUMIFS([0]!psuv,[0]!municipio,$B6,[0]!turno,R$2)</f>
        <v>12</v>
      </c>
      <c r="S6" s="7">
        <f>SUMIFS([0]!psuv,[0]!municipio,$B6,[0]!turno,S$2)</f>
        <v>14</v>
      </c>
      <c r="T6" s="7">
        <f>SUMIFS([0]!psuv,[0]!municipio,$B6,[0]!turno,T$2)</f>
        <v>7</v>
      </c>
      <c r="U6" s="7">
        <f>SUMIFS([0]!psuv,[0]!municipio,$B6,[0]!turno,U$2)</f>
        <v>6</v>
      </c>
      <c r="V6" s="7">
        <f>SUMIFS([0]!psuv,[0]!municipio,$B6,[0]!turno,V$2)</f>
        <v>10</v>
      </c>
      <c r="W6" s="28">
        <f>SUMIFS([0]!psuv,[0]!municipio,$B6,[0]!turno,W$2)</f>
        <v>9</v>
      </c>
    </row>
    <row r="7" spans="2:23" x14ac:dyDescent="0.25">
      <c r="B7" s="23" t="s">
        <v>166</v>
      </c>
      <c r="C7" s="4" t="s">
        <v>107</v>
      </c>
      <c r="D7" s="37">
        <f>IF((E6+E7+E8)=0,0,E7/(E6+E7+E8))</f>
        <v>0.49886621315192742</v>
      </c>
      <c r="E7" s="5">
        <f t="shared" si="0"/>
        <v>220</v>
      </c>
      <c r="F7" s="5">
        <f>SUMIFS([0]!mud,[0]!municipio,$B6,[0]!turno,F$2)</f>
        <v>0</v>
      </c>
      <c r="G7" s="5">
        <f>SUMIFS([0]!mud,[0]!municipio,$B6,[0]!turno,G$2)</f>
        <v>0</v>
      </c>
      <c r="H7" s="5">
        <f>SUMIFS([0]!mud,[0]!municipio,$B6,[0]!turno,H$2)</f>
        <v>20</v>
      </c>
      <c r="I7" s="5">
        <f>SUMIFS([0]!mud,[0]!municipio,$B6,[0]!turno,I$2)</f>
        <v>18</v>
      </c>
      <c r="J7" s="5">
        <f>SUMIFS([0]!mud,[0]!municipio,$B6,[0]!turno,J$2)</f>
        <v>14</v>
      </c>
      <c r="K7" s="5">
        <f>SUMIFS([0]!mud,[0]!municipio,$B6,[0]!turno,K$2)</f>
        <v>8</v>
      </c>
      <c r="L7" s="5">
        <f>SUMIFS([0]!mud,[0]!municipio,$B6,[0]!turno,L$2)</f>
        <v>4</v>
      </c>
      <c r="M7" s="5">
        <f>SUMIFS([0]!mud,[0]!municipio,$B6,[0]!turno,M$2)</f>
        <v>7</v>
      </c>
      <c r="N7" s="5">
        <f>SUMIFS([0]!mud,[0]!municipio,$B6,[0]!turno,N$2)</f>
        <v>5</v>
      </c>
      <c r="O7" s="5">
        <f>SUMIFS([0]!mud,[0]!municipio,$B6,[0]!turno,O$2)</f>
        <v>12</v>
      </c>
      <c r="P7" s="5">
        <f>SUMIFS([0]!mud,[0]!municipio,$B6,[0]!turno,P$2)</f>
        <v>15</v>
      </c>
      <c r="Q7" s="5">
        <f>SUMIFS([0]!mud,[0]!municipio,$B6,[0]!turno,Q$2)</f>
        <v>11</v>
      </c>
      <c r="R7" s="5">
        <f>SUMIFS([0]!mud,[0]!municipio,$B6,[0]!turno,R$2)</f>
        <v>14</v>
      </c>
      <c r="S7" s="5">
        <f>SUMIFS([0]!mud,[0]!municipio,$B6,[0]!turno,S$2)</f>
        <v>16</v>
      </c>
      <c r="T7" s="5">
        <f>SUMIFS([0]!mud,[0]!municipio,$B6,[0]!turno,T$2)</f>
        <v>20</v>
      </c>
      <c r="U7" s="5">
        <f>SUMIFS([0]!mud,[0]!municipio,$B6,[0]!turno,U$2)</f>
        <v>22</v>
      </c>
      <c r="V7" s="5">
        <f>SUMIFS([0]!mud,[0]!municipio,$B6,[0]!turno,V$2)</f>
        <v>16</v>
      </c>
      <c r="W7" s="26">
        <f>SUMIFS([0]!mud,[0]!municipio,$B6,[0]!turno,W$2)</f>
        <v>18</v>
      </c>
    </row>
    <row r="8" spans="2:23" ht="15.75" thickBot="1" x14ac:dyDescent="0.3">
      <c r="B8" s="24">
        <v>0.14756045387498642</v>
      </c>
      <c r="C8" s="12" t="s">
        <v>0</v>
      </c>
      <c r="D8" s="38">
        <f>IF((E6+E7+E8)=0,0,E8/(E6+E7+E8))</f>
        <v>1.8140589569160998E-2</v>
      </c>
      <c r="E8" s="13">
        <f t="shared" si="0"/>
        <v>8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1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1</v>
      </c>
      <c r="P8" s="13">
        <f>SUMIFS([0]!otro,[0]!municipio,$B6,[0]!turno,P$2)</f>
        <v>1</v>
      </c>
      <c r="Q8" s="13">
        <f>SUMIFS([0]!otro,[0]!municipio,$B6,[0]!turno,Q$2)</f>
        <v>1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1</v>
      </c>
      <c r="U8" s="13">
        <f>SUMIFS([0]!otro,[0]!municipio,$B6,[0]!turno,U$2)</f>
        <v>2</v>
      </c>
      <c r="V8" s="13">
        <f>SUMIFS([0]!otro,[0]!municipio,$B6,[0]!turno,V$2)</f>
        <v>1</v>
      </c>
      <c r="W8" s="29">
        <f>SUMIFS([0]!otro,[0]!municipio,$B6,[0]!turno,W$2)</f>
        <v>0</v>
      </c>
    </row>
    <row r="9" spans="2:23" x14ac:dyDescent="0.25">
      <c r="B9" s="19">
        <v>54</v>
      </c>
      <c r="C9" s="8" t="s">
        <v>106</v>
      </c>
      <c r="D9" s="36">
        <f>IF((E9+E10+E11)=0,0,E9/(E9+E10+E11))</f>
        <v>0.36454849498327757</v>
      </c>
      <c r="E9" s="9">
        <f t="shared" si="0"/>
        <v>109</v>
      </c>
      <c r="F9" s="9">
        <f>SUMIFS([0]!psuv,[0]!municipio,$B9,[0]!turno,F$2)</f>
        <v>0</v>
      </c>
      <c r="G9" s="9">
        <f>SUMIFS([0]!psuv,[0]!municipio,$B9,[0]!turno,G$2)</f>
        <v>0</v>
      </c>
      <c r="H9" s="9">
        <f>SUMIFS([0]!psuv,[0]!municipio,$B9,[0]!turno,H$2)</f>
        <v>4</v>
      </c>
      <c r="I9" s="9">
        <f>SUMIFS([0]!psuv,[0]!municipio,$B9,[0]!turno,I$2)</f>
        <v>8</v>
      </c>
      <c r="J9" s="9">
        <f>SUMIFS([0]!psuv,[0]!municipio,$B9,[0]!turno,J$2)</f>
        <v>9</v>
      </c>
      <c r="K9" s="9">
        <f>SUMIFS([0]!psuv,[0]!municipio,$B9,[0]!turno,K$2)</f>
        <v>9</v>
      </c>
      <c r="L9" s="9">
        <f>SUMIFS([0]!psuv,[0]!municipio,$B9,[0]!turno,L$2)</f>
        <v>8</v>
      </c>
      <c r="M9" s="9">
        <f>SUMIFS([0]!psuv,[0]!municipio,$B9,[0]!turno,M$2)</f>
        <v>11</v>
      </c>
      <c r="N9" s="9">
        <f>SUMIFS([0]!psuv,[0]!municipio,$B9,[0]!turno,N$2)</f>
        <v>18</v>
      </c>
      <c r="O9" s="9">
        <f>SUMIFS([0]!psuv,[0]!municipio,$B9,[0]!turno,O$2)</f>
        <v>6</v>
      </c>
      <c r="P9" s="9">
        <f>SUMIFS([0]!psuv,[0]!municipio,$B9,[0]!turno,P$2)</f>
        <v>13</v>
      </c>
      <c r="Q9" s="9">
        <f>SUMIFS([0]!psuv,[0]!municipio,$B9,[0]!turno,Q$2)</f>
        <v>3</v>
      </c>
      <c r="R9" s="9">
        <f>SUMIFS([0]!psuv,[0]!municipio,$B9,[0]!turno,R$2)</f>
        <v>5</v>
      </c>
      <c r="S9" s="9">
        <f>SUMIFS([0]!psuv,[0]!municipio,$B9,[0]!turno,S$2)</f>
        <v>3</v>
      </c>
      <c r="T9" s="9">
        <f>SUMIFS([0]!psuv,[0]!municipio,$B9,[0]!turno,T$2)</f>
        <v>5</v>
      </c>
      <c r="U9" s="9">
        <f>SUMIFS([0]!psuv,[0]!municipio,$B9,[0]!turno,U$2)</f>
        <v>0</v>
      </c>
      <c r="V9" s="9">
        <f>SUMIFS([0]!psuv,[0]!municipio,$B9,[0]!turno,V$2)</f>
        <v>4</v>
      </c>
      <c r="W9" s="25">
        <f>SUMIFS([0]!psuv,[0]!municipio,$B9,[0]!turno,W$2)</f>
        <v>3</v>
      </c>
    </row>
    <row r="10" spans="2:23" x14ac:dyDescent="0.25">
      <c r="B10" s="20" t="s">
        <v>101</v>
      </c>
      <c r="C10" s="4" t="s">
        <v>107</v>
      </c>
      <c r="D10" s="37">
        <f>IF((E9+E10+E11)=0,0,E10/(E9+E10+E11))</f>
        <v>0.47826086956521741</v>
      </c>
      <c r="E10" s="5">
        <f t="shared" si="0"/>
        <v>143</v>
      </c>
      <c r="F10" s="5">
        <f>SUMIFS([0]!mud,[0]!municipio,$B9,[0]!turno,F$2)</f>
        <v>0</v>
      </c>
      <c r="G10" s="5">
        <f>SUMIFS([0]!mud,[0]!municipio,$B9,[0]!turno,G$2)</f>
        <v>0</v>
      </c>
      <c r="H10" s="5">
        <f>SUMIFS([0]!mud,[0]!municipio,$B9,[0]!turno,H$2)</f>
        <v>4</v>
      </c>
      <c r="I10" s="5">
        <f>SUMIFS([0]!mud,[0]!municipio,$B9,[0]!turno,I$2)</f>
        <v>1</v>
      </c>
      <c r="J10" s="5">
        <f>SUMIFS([0]!mud,[0]!municipio,$B9,[0]!turno,J$2)</f>
        <v>17</v>
      </c>
      <c r="K10" s="5">
        <f>SUMIFS([0]!mud,[0]!municipio,$B9,[0]!turno,K$2)</f>
        <v>14</v>
      </c>
      <c r="L10" s="5">
        <f>SUMIFS([0]!mud,[0]!municipio,$B9,[0]!turno,L$2)</f>
        <v>9</v>
      </c>
      <c r="M10" s="5">
        <f>SUMIFS([0]!mud,[0]!municipio,$B9,[0]!turno,M$2)</f>
        <v>16</v>
      </c>
      <c r="N10" s="5">
        <f>SUMIFS([0]!mud,[0]!municipio,$B9,[0]!turno,N$2)</f>
        <v>6</v>
      </c>
      <c r="O10" s="5">
        <f>SUMIFS([0]!mud,[0]!municipio,$B9,[0]!turno,O$2)</f>
        <v>14</v>
      </c>
      <c r="P10" s="5">
        <f>SUMIFS([0]!mud,[0]!municipio,$B9,[0]!turno,P$2)</f>
        <v>9</v>
      </c>
      <c r="Q10" s="5">
        <f>SUMIFS([0]!mud,[0]!municipio,$B9,[0]!turno,Q$2)</f>
        <v>8</v>
      </c>
      <c r="R10" s="5">
        <f>SUMIFS([0]!mud,[0]!municipio,$B9,[0]!turno,R$2)</f>
        <v>12</v>
      </c>
      <c r="S10" s="5">
        <f>SUMIFS([0]!mud,[0]!municipio,$B9,[0]!turno,S$2)</f>
        <v>5</v>
      </c>
      <c r="T10" s="5">
        <f>SUMIFS([0]!mud,[0]!municipio,$B9,[0]!turno,T$2)</f>
        <v>10</v>
      </c>
      <c r="U10" s="5">
        <f>SUMIFS([0]!mud,[0]!municipio,$B9,[0]!turno,U$2)</f>
        <v>0</v>
      </c>
      <c r="V10" s="5">
        <f>SUMIFS([0]!mud,[0]!municipio,$B9,[0]!turno,V$2)</f>
        <v>10</v>
      </c>
      <c r="W10" s="26">
        <f>SUMIFS([0]!mud,[0]!municipio,$B9,[0]!turno,W$2)</f>
        <v>8</v>
      </c>
    </row>
    <row r="11" spans="2:23" ht="15.75" thickBot="1" x14ac:dyDescent="0.3">
      <c r="B11" s="21">
        <v>0.40245327475783332</v>
      </c>
      <c r="C11" s="10" t="s">
        <v>0</v>
      </c>
      <c r="D11" s="38">
        <f>IF((E9+E10+E11)=0,0,E11/(E9+E10+E11))</f>
        <v>0.15719063545150502</v>
      </c>
      <c r="E11" s="11">
        <f t="shared" si="0"/>
        <v>47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1</v>
      </c>
      <c r="I11" s="11">
        <f>SUMIFS([0]!otro,[0]!municipio,$B9,[0]!turno,I$2)</f>
        <v>2</v>
      </c>
      <c r="J11" s="11">
        <f>SUMIFS([0]!otro,[0]!municipio,$B9,[0]!turno,J$2)</f>
        <v>1</v>
      </c>
      <c r="K11" s="11">
        <f>SUMIFS([0]!otro,[0]!municipio,$B9,[0]!turno,K$2)</f>
        <v>0</v>
      </c>
      <c r="L11" s="11">
        <f>SUMIFS([0]!otro,[0]!municipio,$B9,[0]!turno,L$2)</f>
        <v>1</v>
      </c>
      <c r="M11" s="11">
        <f>SUMIFS([0]!otro,[0]!municipio,$B9,[0]!turno,M$2)</f>
        <v>4</v>
      </c>
      <c r="N11" s="11">
        <f>SUMIFS([0]!otro,[0]!municipio,$B9,[0]!turno,N$2)</f>
        <v>0</v>
      </c>
      <c r="O11" s="11">
        <f>SUMIFS([0]!otro,[0]!municipio,$B9,[0]!turno,O$2)</f>
        <v>1</v>
      </c>
      <c r="P11" s="11">
        <f>SUMIFS([0]!otro,[0]!municipio,$B9,[0]!turno,P$2)</f>
        <v>7</v>
      </c>
      <c r="Q11" s="11">
        <f>SUMIFS([0]!otro,[0]!municipio,$B9,[0]!turno,Q$2)</f>
        <v>5</v>
      </c>
      <c r="R11" s="11">
        <f>SUMIFS([0]!otro,[0]!municipio,$B9,[0]!turno,R$2)</f>
        <v>14</v>
      </c>
      <c r="S11" s="11">
        <f>SUMIFS([0]!otro,[0]!municipio,$B9,[0]!turno,S$2)</f>
        <v>3</v>
      </c>
      <c r="T11" s="11">
        <f>SUMIFS([0]!otro,[0]!municipio,$B9,[0]!turno,T$2)</f>
        <v>3</v>
      </c>
      <c r="U11" s="11">
        <f>SUMIFS([0]!otro,[0]!municipio,$B9,[0]!turno,U$2)</f>
        <v>0</v>
      </c>
      <c r="V11" s="11">
        <f>SUMIFS([0]!otro,[0]!municipio,$B9,[0]!turno,V$2)</f>
        <v>3</v>
      </c>
      <c r="W11" s="27">
        <f>SUMIFS([0]!otro,[0]!municipio,$B9,[0]!turno,W$2)</f>
        <v>2</v>
      </c>
    </row>
    <row r="12" spans="2:23" ht="15" customHeight="1" x14ac:dyDescent="0.25">
      <c r="B12"/>
      <c r="C12"/>
    </row>
    <row r="13" spans="2:23" ht="15" customHeight="1" x14ac:dyDescent="0.25">
      <c r="B13"/>
      <c r="C13"/>
    </row>
    <row r="14" spans="2:23" ht="15" customHeight="1" x14ac:dyDescent="0.25">
      <c r="B14"/>
      <c r="C14"/>
    </row>
    <row r="15" spans="2:23" ht="15" customHeight="1" x14ac:dyDescent="0.25">
      <c r="B15"/>
      <c r="C15"/>
    </row>
    <row r="16" spans="2:23" ht="15" customHeight="1" x14ac:dyDescent="0.25">
      <c r="B16"/>
      <c r="C16"/>
    </row>
    <row r="17" spans="2:3" ht="15" customHeight="1" x14ac:dyDescent="0.25">
      <c r="B17"/>
      <c r="C17"/>
    </row>
    <row r="18" spans="2:3" ht="15" customHeight="1" x14ac:dyDescent="0.25">
      <c r="B18"/>
      <c r="C18"/>
    </row>
    <row r="19" spans="2:3" ht="15" customHeight="1" x14ac:dyDescent="0.25">
      <c r="B19"/>
      <c r="C19"/>
    </row>
    <row r="20" spans="2:3" ht="15" customHeight="1" x14ac:dyDescent="0.25">
      <c r="B20"/>
      <c r="C20"/>
    </row>
    <row r="21" spans="2:3" ht="15" customHeight="1" x14ac:dyDescent="0.25">
      <c r="B21"/>
      <c r="C21"/>
    </row>
    <row r="22" spans="2:3" ht="15" customHeight="1" x14ac:dyDescent="0.25">
      <c r="B22"/>
      <c r="C22"/>
    </row>
    <row r="23" spans="2:3" ht="15" customHeight="1" x14ac:dyDescent="0.25">
      <c r="B23"/>
      <c r="C23"/>
    </row>
    <row r="24" spans="2:3" ht="15" customHeight="1" x14ac:dyDescent="0.25">
      <c r="B24"/>
      <c r="C24"/>
    </row>
    <row r="25" spans="2:3" ht="15" customHeight="1" x14ac:dyDescent="0.25">
      <c r="B25"/>
      <c r="C25"/>
    </row>
    <row r="26" spans="2:3" ht="15" customHeight="1" x14ac:dyDescent="0.25">
      <c r="B26"/>
      <c r="C26"/>
    </row>
    <row r="27" spans="2:3" ht="15" customHeight="1" x14ac:dyDescent="0.25">
      <c r="B27"/>
      <c r="C27"/>
    </row>
    <row r="28" spans="2:3" ht="15" customHeight="1" x14ac:dyDescent="0.25">
      <c r="B28"/>
      <c r="C28"/>
    </row>
    <row r="29" spans="2:3" ht="15" customHeight="1" x14ac:dyDescent="0.25">
      <c r="B29"/>
      <c r="C29"/>
    </row>
    <row r="30" spans="2:3" ht="15" customHeight="1" x14ac:dyDescent="0.25">
      <c r="B30"/>
      <c r="C30"/>
    </row>
    <row r="31" spans="2:3" ht="15" customHeight="1" x14ac:dyDescent="0.25">
      <c r="B31"/>
      <c r="C31"/>
    </row>
    <row r="32" spans="2: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B1:W318"/>
  <sheetViews>
    <sheetView workbookViewId="0">
      <selection activeCell="C25" sqref="C25"/>
    </sheetView>
  </sheetViews>
  <sheetFormatPr baseColWidth="10" defaultRowHeight="15" customHeight="1" x14ac:dyDescent="0.25"/>
  <cols>
    <col min="1" max="1" width="5" customWidth="1"/>
    <col min="2" max="2" width="14.28515625" style="2" customWidth="1"/>
    <col min="3" max="3" width="17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16">
        <v>18</v>
      </c>
    </row>
    <row r="3" spans="2:23" ht="15" customHeight="1" x14ac:dyDescent="0.25">
      <c r="B3" s="19">
        <v>55</v>
      </c>
      <c r="C3" s="30" t="s">
        <v>106</v>
      </c>
      <c r="D3" s="36">
        <f>IF((E3+E4+E5)=0,0,E3/(E3+E4+E5))</f>
        <v>0.78367003367003363</v>
      </c>
      <c r="E3" s="9">
        <f>SUM(F3:W3)</f>
        <v>931</v>
      </c>
      <c r="F3" s="9">
        <f>SUMIFS([0]!psuv,[0]!municipio,$B3,[0]!turno,F$2)</f>
        <v>20</v>
      </c>
      <c r="G3" s="9">
        <f>SUMIFS([0]!psuv,[0]!municipio,$B3,[0]!turno,G$2)</f>
        <v>21</v>
      </c>
      <c r="H3" s="9">
        <f>SUMIFS([0]!psuv,[0]!municipio,$B3,[0]!turno,H$2)</f>
        <v>56</v>
      </c>
      <c r="I3" s="9">
        <f>SUMIFS([0]!psuv,[0]!municipio,$B3,[0]!turno,I$2)</f>
        <v>45</v>
      </c>
      <c r="J3" s="9">
        <f>SUMIFS([0]!psuv,[0]!municipio,$B3,[0]!turno,J$2)</f>
        <v>44</v>
      </c>
      <c r="K3" s="9">
        <f>SUMIFS([0]!psuv,[0]!municipio,$B3,[0]!turno,K$2)</f>
        <v>58</v>
      </c>
      <c r="L3" s="9">
        <f>SUMIFS([0]!psuv,[0]!municipio,$B3,[0]!turno,L$2)</f>
        <v>54</v>
      </c>
      <c r="M3" s="9">
        <f>SUMIFS([0]!psuv,[0]!municipio,$B3,[0]!turno,M$2)</f>
        <v>62</v>
      </c>
      <c r="N3" s="9">
        <f>SUMIFS([0]!psuv,[0]!municipio,$B3,[0]!turno,N$2)</f>
        <v>71</v>
      </c>
      <c r="O3" s="9">
        <f>SUMIFS([0]!psuv,[0]!municipio,$B3,[0]!turno,O$2)</f>
        <v>51</v>
      </c>
      <c r="P3" s="9">
        <f>SUMIFS([0]!psuv,[0]!municipio,$B3,[0]!turno,P$2)</f>
        <v>31</v>
      </c>
      <c r="Q3" s="9">
        <f>SUMIFS([0]!psuv,[0]!municipio,$B3,[0]!turno,Q$2)</f>
        <v>30</v>
      </c>
      <c r="R3" s="9">
        <f>SUMIFS([0]!psuv,[0]!municipio,$B3,[0]!turno,R$2)</f>
        <v>48</v>
      </c>
      <c r="S3" s="9">
        <f>SUMIFS([0]!psuv,[0]!municipio,$B3,[0]!turno,S$2)</f>
        <v>54</v>
      </c>
      <c r="T3" s="9">
        <f>SUMIFS([0]!psuv,[0]!municipio,$B3,[0]!turno,T$2)</f>
        <v>73</v>
      </c>
      <c r="U3" s="9">
        <f>SUMIFS([0]!psuv,[0]!municipio,$B3,[0]!turno,U$2)</f>
        <v>70</v>
      </c>
      <c r="V3" s="9">
        <f>SUMIFS([0]!psuv,[0]!municipio,$B3,[0]!turno,V$2)</f>
        <v>54</v>
      </c>
      <c r="W3" s="9">
        <f>SUMIFS([0]!psuv,[0]!municipio,$B3,[0]!turno,W$2)</f>
        <v>89</v>
      </c>
    </row>
    <row r="4" spans="2:23" ht="15" customHeight="1" x14ac:dyDescent="0.25">
      <c r="B4" s="20" t="s">
        <v>168</v>
      </c>
      <c r="C4" s="31" t="s">
        <v>107</v>
      </c>
      <c r="D4" s="37">
        <f>IF((E3+E4+E5)=0,0,E4/(E3+E4+E5))</f>
        <v>0.19191919191919191</v>
      </c>
      <c r="E4" s="5">
        <f>SUM(F4:W4)</f>
        <v>228</v>
      </c>
      <c r="F4" s="5">
        <f>SUMIFS([0]!mud,[0]!municipio,$B3,[0]!turno,F$2)</f>
        <v>6</v>
      </c>
      <c r="G4" s="5">
        <f>SUMIFS([0]!mud,[0]!municipio,$B3,[0]!turno,G$2)</f>
        <v>9</v>
      </c>
      <c r="H4" s="5">
        <f>SUMIFS([0]!mud,[0]!municipio,$B3,[0]!turno,H$2)</f>
        <v>15</v>
      </c>
      <c r="I4" s="5">
        <f>SUMIFS([0]!mud,[0]!municipio,$B3,[0]!turno,I$2)</f>
        <v>19</v>
      </c>
      <c r="J4" s="5">
        <f>SUMIFS([0]!mud,[0]!municipio,$B3,[0]!turno,J$2)</f>
        <v>8</v>
      </c>
      <c r="K4" s="5">
        <f>SUMIFS([0]!mud,[0]!municipio,$B3,[0]!turno,K$2)</f>
        <v>13</v>
      </c>
      <c r="L4" s="5">
        <f>SUMIFS([0]!mud,[0]!municipio,$B3,[0]!turno,L$2)</f>
        <v>10</v>
      </c>
      <c r="M4" s="5">
        <f>SUMIFS([0]!mud,[0]!municipio,$B3,[0]!turno,M$2)</f>
        <v>15</v>
      </c>
      <c r="N4" s="5">
        <f>SUMIFS([0]!mud,[0]!municipio,$B3,[0]!turno,N$2)</f>
        <v>17</v>
      </c>
      <c r="O4" s="5">
        <f>SUMIFS([0]!mud,[0]!municipio,$B3,[0]!turno,O$2)</f>
        <v>12</v>
      </c>
      <c r="P4" s="5">
        <f>SUMIFS([0]!mud,[0]!municipio,$B3,[0]!turno,P$2)</f>
        <v>10</v>
      </c>
      <c r="Q4" s="5">
        <f>SUMIFS([0]!mud,[0]!municipio,$B3,[0]!turno,Q$2)</f>
        <v>9</v>
      </c>
      <c r="R4" s="5">
        <f>SUMIFS([0]!mud,[0]!municipio,$B3,[0]!turno,R$2)</f>
        <v>12</v>
      </c>
      <c r="S4" s="5">
        <f>SUMIFS([0]!mud,[0]!municipio,$B3,[0]!turno,S$2)</f>
        <v>10</v>
      </c>
      <c r="T4" s="5">
        <f>SUMIFS([0]!mud,[0]!municipio,$B3,[0]!turno,T$2)</f>
        <v>15</v>
      </c>
      <c r="U4" s="5">
        <f>SUMIFS([0]!mud,[0]!municipio,$B3,[0]!turno,U$2)</f>
        <v>16</v>
      </c>
      <c r="V4" s="5">
        <f>SUMIFS([0]!mud,[0]!municipio,$B3,[0]!turno,V$2)</f>
        <v>14</v>
      </c>
      <c r="W4" s="5">
        <f>SUMIFS([0]!mud,[0]!municipio,$B3,[0]!turno,W$2)</f>
        <v>18</v>
      </c>
    </row>
    <row r="5" spans="2:23" ht="15" customHeight="1" thickBot="1" x14ac:dyDescent="0.3">
      <c r="B5" s="21">
        <v>1</v>
      </c>
      <c r="C5" s="32" t="s">
        <v>0</v>
      </c>
      <c r="D5" s="38">
        <f>IF((E3+E4+E5)=0,0,E5/(E3+E4+E5))</f>
        <v>2.4410774410774411E-2</v>
      </c>
      <c r="E5" s="11">
        <f>SUM(F5:W5)</f>
        <v>29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3</v>
      </c>
      <c r="I5" s="11">
        <f>SUMIFS([0]!otro,[0]!municipio,$B3,[0]!turno,I$2)</f>
        <v>2</v>
      </c>
      <c r="J5" s="11">
        <f>SUMIFS([0]!otro,[0]!municipio,$B3,[0]!turno,J$2)</f>
        <v>1</v>
      </c>
      <c r="K5" s="11">
        <f>SUMIFS([0]!otro,[0]!municipio,$B3,[0]!turno,K$2)</f>
        <v>1</v>
      </c>
      <c r="L5" s="11">
        <f>SUMIFS([0]!otro,[0]!municipio,$B3,[0]!turno,L$2)</f>
        <v>0</v>
      </c>
      <c r="M5" s="11">
        <f>SUMIFS([0]!otro,[0]!municipio,$B3,[0]!turno,M$2)</f>
        <v>1</v>
      </c>
      <c r="N5" s="11">
        <f>SUMIFS([0]!otro,[0]!municipio,$B3,[0]!turno,N$2)</f>
        <v>1</v>
      </c>
      <c r="O5" s="11">
        <f>SUMIFS([0]!otro,[0]!municipio,$B3,[0]!turno,O$2)</f>
        <v>1</v>
      </c>
      <c r="P5" s="11">
        <f>SUMIFS([0]!otro,[0]!municipio,$B3,[0]!turno,P$2)</f>
        <v>2</v>
      </c>
      <c r="Q5" s="11">
        <f>SUMIFS([0]!otro,[0]!municipio,$B3,[0]!turno,Q$2)</f>
        <v>1</v>
      </c>
      <c r="R5" s="11">
        <f>SUMIFS([0]!otro,[0]!municipio,$B3,[0]!turno,R$2)</f>
        <v>4</v>
      </c>
      <c r="S5" s="11">
        <f>SUMIFS([0]!otro,[0]!municipio,$B3,[0]!turno,S$2)</f>
        <v>3</v>
      </c>
      <c r="T5" s="11">
        <f>SUMIFS([0]!otro,[0]!municipio,$B3,[0]!turno,T$2)</f>
        <v>2</v>
      </c>
      <c r="U5" s="11">
        <f>SUMIFS([0]!otro,[0]!municipio,$B3,[0]!turno,U$2)</f>
        <v>3</v>
      </c>
      <c r="V5" s="11">
        <f>SUMIFS([0]!otro,[0]!municipio,$B3,[0]!turno,V$2)</f>
        <v>3</v>
      </c>
      <c r="W5" s="11">
        <f>SUMIFS([0]!otro,[0]!municipio,$B3,[0]!turno,W$2)</f>
        <v>1</v>
      </c>
    </row>
    <row r="6" spans="2:23" ht="15" customHeight="1" x14ac:dyDescent="0.25">
      <c r="B6"/>
      <c r="C6"/>
      <c r="E6" s="34"/>
    </row>
    <row r="7" spans="2:23" ht="15" customHeight="1" x14ac:dyDescent="0.25">
      <c r="B7"/>
      <c r="C7"/>
    </row>
    <row r="8" spans="2:23" ht="15" customHeight="1" x14ac:dyDescent="0.25">
      <c r="B8"/>
      <c r="C8"/>
      <c r="E8" s="35"/>
    </row>
    <row r="9" spans="2:23" ht="15" customHeight="1" x14ac:dyDescent="0.25">
      <c r="B9"/>
      <c r="C9"/>
      <c r="E9" s="35"/>
    </row>
    <row r="10" spans="2:23" ht="15" customHeight="1" x14ac:dyDescent="0.25">
      <c r="B10"/>
      <c r="C10"/>
      <c r="E10" s="35"/>
    </row>
    <row r="11" spans="2:23" ht="15" customHeight="1" x14ac:dyDescent="0.25">
      <c r="B11"/>
      <c r="C11"/>
    </row>
    <row r="12" spans="2:23" ht="15" customHeight="1" x14ac:dyDescent="0.25">
      <c r="B12"/>
      <c r="C12"/>
    </row>
    <row r="13" spans="2:23" ht="15" customHeight="1" x14ac:dyDescent="0.25">
      <c r="B13"/>
      <c r="C13"/>
    </row>
    <row r="14" spans="2:23" ht="15" customHeight="1" x14ac:dyDescent="0.25">
      <c r="B14"/>
      <c r="C14"/>
    </row>
    <row r="15" spans="2:23" ht="15" customHeight="1" x14ac:dyDescent="0.25">
      <c r="B15"/>
      <c r="C15"/>
    </row>
    <row r="16" spans="2:23" ht="15" customHeight="1" x14ac:dyDescent="0.25">
      <c r="B16"/>
      <c r="C16"/>
    </row>
    <row r="17" spans="2:3" ht="15" customHeight="1" x14ac:dyDescent="0.25">
      <c r="B17"/>
      <c r="C17"/>
    </row>
    <row r="18" spans="2:3" ht="15" customHeight="1" x14ac:dyDescent="0.25">
      <c r="B18"/>
      <c r="C18"/>
    </row>
    <row r="19" spans="2:3" ht="15" customHeight="1" x14ac:dyDescent="0.25">
      <c r="B19"/>
      <c r="C19"/>
    </row>
    <row r="20" spans="2:3" ht="15" customHeight="1" x14ac:dyDescent="0.25">
      <c r="B20"/>
      <c r="C20"/>
    </row>
    <row r="21" spans="2:3" ht="15" customHeight="1" x14ac:dyDescent="0.25">
      <c r="B21"/>
      <c r="C21"/>
    </row>
    <row r="22" spans="2:3" ht="15" customHeight="1" x14ac:dyDescent="0.25">
      <c r="B22"/>
      <c r="C22"/>
    </row>
    <row r="23" spans="2:3" ht="15" customHeight="1" x14ac:dyDescent="0.25">
      <c r="B23"/>
      <c r="C23"/>
    </row>
    <row r="24" spans="2:3" ht="15" customHeight="1" x14ac:dyDescent="0.25">
      <c r="B24"/>
      <c r="C24"/>
    </row>
    <row r="25" spans="2:3" ht="15" customHeight="1" x14ac:dyDescent="0.25">
      <c r="B25"/>
      <c r="C25"/>
    </row>
    <row r="26" spans="2:3" ht="15" customHeight="1" x14ac:dyDescent="0.25">
      <c r="B26"/>
      <c r="C26"/>
    </row>
    <row r="27" spans="2:3" ht="15" customHeight="1" x14ac:dyDescent="0.25">
      <c r="B27"/>
      <c r="C27"/>
    </row>
    <row r="28" spans="2:3" ht="15" customHeight="1" x14ac:dyDescent="0.25">
      <c r="B28"/>
      <c r="C28"/>
    </row>
    <row r="29" spans="2:3" ht="15" customHeight="1" x14ac:dyDescent="0.25">
      <c r="B29"/>
      <c r="C29"/>
    </row>
    <row r="30" spans="2:3" ht="15" customHeight="1" x14ac:dyDescent="0.25">
      <c r="B30"/>
      <c r="C30"/>
    </row>
    <row r="31" spans="2:3" ht="15" customHeight="1" x14ac:dyDescent="0.25">
      <c r="B31"/>
      <c r="C31"/>
    </row>
    <row r="32" spans="2: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B1:W426"/>
  <sheetViews>
    <sheetView workbookViewId="0">
      <selection activeCell="F33" sqref="F33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56</v>
      </c>
      <c r="C3" s="8" t="s">
        <v>106</v>
      </c>
      <c r="D3" s="36">
        <f>IF((E3+E4+E5)=0,0,E3/(E3+E4+E5))</f>
        <v>0.66057934508816119</v>
      </c>
      <c r="E3" s="9">
        <f t="shared" ref="E3:E17" si="0">SUM(F3:W3)</f>
        <v>1049</v>
      </c>
      <c r="F3" s="9">
        <f>SUMIFS([0]!psuv,[0]!municipio,$B3,[0]!turno,F$2)</f>
        <v>49</v>
      </c>
      <c r="G3" s="9">
        <f>SUMIFS([0]!psuv,[0]!municipio,$B3,[0]!turno,G$2)</f>
        <v>56</v>
      </c>
      <c r="H3" s="9">
        <f>SUMIFS([0]!psuv,[0]!municipio,$B3,[0]!turno,H$2)</f>
        <v>47</v>
      </c>
      <c r="I3" s="9">
        <f>SUMIFS([0]!psuv,[0]!municipio,$B3,[0]!turno,I$2)</f>
        <v>57</v>
      </c>
      <c r="J3" s="9">
        <f>SUMIFS([0]!psuv,[0]!municipio,$B3,[0]!turno,J$2)</f>
        <v>64</v>
      </c>
      <c r="K3" s="9">
        <f>SUMIFS([0]!psuv,[0]!municipio,$B3,[0]!turno,K$2)</f>
        <v>78</v>
      </c>
      <c r="L3" s="9">
        <f>SUMIFS([0]!psuv,[0]!municipio,$B3,[0]!turno,L$2)</f>
        <v>68</v>
      </c>
      <c r="M3" s="9">
        <f>SUMIFS([0]!psuv,[0]!municipio,$B3,[0]!turno,M$2)</f>
        <v>61</v>
      </c>
      <c r="N3" s="9">
        <f>SUMIFS([0]!psuv,[0]!municipio,$B3,[0]!turno,N$2)</f>
        <v>53</v>
      </c>
      <c r="O3" s="9">
        <f>SUMIFS([0]!psuv,[0]!municipio,$B3,[0]!turno,O$2)</f>
        <v>62</v>
      </c>
      <c r="P3" s="9">
        <f>SUMIFS([0]!psuv,[0]!municipio,$B3,[0]!turno,P$2)</f>
        <v>60</v>
      </c>
      <c r="Q3" s="9">
        <f>SUMIFS([0]!psuv,[0]!municipio,$B3,[0]!turno,Q$2)</f>
        <v>65</v>
      </c>
      <c r="R3" s="9">
        <f>SUMIFS([0]!psuv,[0]!municipio,$B3,[0]!turno,R$2)</f>
        <v>66</v>
      </c>
      <c r="S3" s="9">
        <f>SUMIFS([0]!psuv,[0]!municipio,$B3,[0]!turno,S$2)</f>
        <v>39</v>
      </c>
      <c r="T3" s="9">
        <f>SUMIFS([0]!psuv,[0]!municipio,$B3,[0]!turno,T$2)</f>
        <v>68</v>
      </c>
      <c r="U3" s="9">
        <f>SUMIFS([0]!psuv,[0]!municipio,$B3,[0]!turno,U$2)</f>
        <v>54</v>
      </c>
      <c r="V3" s="9">
        <f>SUMIFS([0]!psuv,[0]!municipio,$B3,[0]!turno,V$2)</f>
        <v>53</v>
      </c>
      <c r="W3" s="25">
        <f>SUMIFS([0]!psuv,[0]!municipio,$B3,[0]!turno,W$2)</f>
        <v>49</v>
      </c>
    </row>
    <row r="4" spans="2:23" x14ac:dyDescent="0.25">
      <c r="B4" s="20" t="s">
        <v>43</v>
      </c>
      <c r="C4" s="4" t="s">
        <v>107</v>
      </c>
      <c r="D4" s="37">
        <f>IF((E3+E4+E5)=0,0,E4/(E3+E4+E5))</f>
        <v>0.23929471032745592</v>
      </c>
      <c r="E4" s="5">
        <f t="shared" si="0"/>
        <v>380</v>
      </c>
      <c r="F4" s="5">
        <f>SUMIFS([0]!mud,[0]!municipio,$B3,[0]!turno,F$2)</f>
        <v>20</v>
      </c>
      <c r="G4" s="5">
        <f>SUMIFS([0]!mud,[0]!municipio,$B3,[0]!turno,G$2)</f>
        <v>16</v>
      </c>
      <c r="H4" s="5">
        <f>SUMIFS([0]!mud,[0]!municipio,$B3,[0]!turno,H$2)</f>
        <v>23</v>
      </c>
      <c r="I4" s="5">
        <f>SUMIFS([0]!mud,[0]!municipio,$B3,[0]!turno,I$2)</f>
        <v>15</v>
      </c>
      <c r="J4" s="5">
        <f>SUMIFS([0]!mud,[0]!municipio,$B3,[0]!turno,J$2)</f>
        <v>21</v>
      </c>
      <c r="K4" s="5">
        <f>SUMIFS([0]!mud,[0]!municipio,$B3,[0]!turno,K$2)</f>
        <v>15</v>
      </c>
      <c r="L4" s="5">
        <f>SUMIFS([0]!mud,[0]!municipio,$B3,[0]!turno,L$2)</f>
        <v>20</v>
      </c>
      <c r="M4" s="5">
        <f>SUMIFS([0]!mud,[0]!municipio,$B3,[0]!turno,M$2)</f>
        <v>19</v>
      </c>
      <c r="N4" s="5">
        <f>SUMIFS([0]!mud,[0]!municipio,$B3,[0]!turno,N$2)</f>
        <v>22</v>
      </c>
      <c r="O4" s="5">
        <f>SUMIFS([0]!mud,[0]!municipio,$B3,[0]!turno,O$2)</f>
        <v>22</v>
      </c>
      <c r="P4" s="5">
        <f>SUMIFS([0]!mud,[0]!municipio,$B3,[0]!turno,P$2)</f>
        <v>21</v>
      </c>
      <c r="Q4" s="5">
        <f>SUMIFS([0]!mud,[0]!municipio,$B3,[0]!turno,Q$2)</f>
        <v>18</v>
      </c>
      <c r="R4" s="5">
        <f>SUMIFS([0]!mud,[0]!municipio,$B3,[0]!turno,R$2)</f>
        <v>20</v>
      </c>
      <c r="S4" s="5">
        <f>SUMIFS([0]!mud,[0]!municipio,$B3,[0]!turno,S$2)</f>
        <v>42</v>
      </c>
      <c r="T4" s="5">
        <f>SUMIFS([0]!mud,[0]!municipio,$B3,[0]!turno,T$2)</f>
        <v>18</v>
      </c>
      <c r="U4" s="5">
        <f>SUMIFS([0]!mud,[0]!municipio,$B3,[0]!turno,U$2)</f>
        <v>15</v>
      </c>
      <c r="V4" s="5">
        <f>SUMIFS([0]!mud,[0]!municipio,$B3,[0]!turno,V$2)</f>
        <v>30</v>
      </c>
      <c r="W4" s="26">
        <f>SUMIFS([0]!mud,[0]!municipio,$B3,[0]!turno,W$2)</f>
        <v>23</v>
      </c>
    </row>
    <row r="5" spans="2:23" ht="15.75" thickBot="1" x14ac:dyDescent="0.3">
      <c r="B5" s="21">
        <v>0.40597698821563738</v>
      </c>
      <c r="C5" s="10" t="s">
        <v>0</v>
      </c>
      <c r="D5" s="38">
        <f>IF((E3+E4+E5)=0,0,E5/(E3+E4+E5))</f>
        <v>0.10012594458438287</v>
      </c>
      <c r="E5" s="11">
        <f t="shared" si="0"/>
        <v>159</v>
      </c>
      <c r="F5" s="11">
        <f>SUMIFS([0]!otro,[0]!municipio,$B3,[0]!turno,F$2)</f>
        <v>6</v>
      </c>
      <c r="G5" s="11">
        <f>SUMIFS([0]!otro,[0]!municipio,$B3,[0]!turno,G$2)</f>
        <v>5</v>
      </c>
      <c r="H5" s="11">
        <f>SUMIFS([0]!otro,[0]!municipio,$B3,[0]!turno,H$2)</f>
        <v>3</v>
      </c>
      <c r="I5" s="11">
        <f>SUMIFS([0]!otro,[0]!municipio,$B3,[0]!turno,I$2)</f>
        <v>3</v>
      </c>
      <c r="J5" s="11">
        <f>SUMIFS([0]!otro,[0]!municipio,$B3,[0]!turno,J$2)</f>
        <v>6</v>
      </c>
      <c r="K5" s="11">
        <f>SUMIFS([0]!otro,[0]!municipio,$B3,[0]!turno,K$2)</f>
        <v>5</v>
      </c>
      <c r="L5" s="11">
        <f>SUMIFS([0]!otro,[0]!municipio,$B3,[0]!turno,L$2)</f>
        <v>10</v>
      </c>
      <c r="M5" s="11">
        <f>SUMIFS([0]!otro,[0]!municipio,$B3,[0]!turno,M$2)</f>
        <v>13</v>
      </c>
      <c r="N5" s="11">
        <f>SUMIFS([0]!otro,[0]!municipio,$B3,[0]!turno,N$2)</f>
        <v>14</v>
      </c>
      <c r="O5" s="11">
        <f>SUMIFS([0]!otro,[0]!municipio,$B3,[0]!turno,O$2)</f>
        <v>6</v>
      </c>
      <c r="P5" s="11">
        <f>SUMIFS([0]!otro,[0]!municipio,$B3,[0]!turno,P$2)</f>
        <v>6</v>
      </c>
      <c r="Q5" s="11">
        <f>SUMIFS([0]!otro,[0]!municipio,$B3,[0]!turno,Q$2)</f>
        <v>6</v>
      </c>
      <c r="R5" s="11">
        <f>SUMIFS([0]!otro,[0]!municipio,$B3,[0]!turno,R$2)</f>
        <v>9</v>
      </c>
      <c r="S5" s="11">
        <f>SUMIFS([0]!otro,[0]!municipio,$B3,[0]!turno,S$2)</f>
        <v>12</v>
      </c>
      <c r="T5" s="11">
        <f>SUMIFS([0]!otro,[0]!municipio,$B3,[0]!turno,T$2)</f>
        <v>12</v>
      </c>
      <c r="U5" s="11">
        <f>SUMIFS([0]!otro,[0]!municipio,$B3,[0]!turno,U$2)</f>
        <v>18</v>
      </c>
      <c r="V5" s="11">
        <f>SUMIFS([0]!otro,[0]!municipio,$B3,[0]!turno,V$2)</f>
        <v>9</v>
      </c>
      <c r="W5" s="27">
        <f>SUMIFS([0]!otro,[0]!municipio,$B3,[0]!turno,W$2)</f>
        <v>16</v>
      </c>
    </row>
    <row r="6" spans="2:23" x14ac:dyDescent="0.25">
      <c r="B6" s="22">
        <v>57</v>
      </c>
      <c r="C6" s="6" t="s">
        <v>106</v>
      </c>
      <c r="D6" s="36">
        <f>IF((E6+E7+E8)=0,0,E6/(E6+E7+E8))</f>
        <v>0.53454545454545455</v>
      </c>
      <c r="E6" s="7">
        <f t="shared" si="0"/>
        <v>147</v>
      </c>
      <c r="F6" s="7">
        <f>SUMIFS([0]!psuv,[0]!municipio,$B6,[0]!turno,F$2)</f>
        <v>14</v>
      </c>
      <c r="G6" s="7">
        <f>SUMIFS([0]!psuv,[0]!municipio,$B6,[0]!turno,G$2)</f>
        <v>3</v>
      </c>
      <c r="H6" s="7">
        <f>SUMIFS([0]!psuv,[0]!municipio,$B6,[0]!turno,H$2)</f>
        <v>8</v>
      </c>
      <c r="I6" s="7">
        <f>SUMIFS([0]!psuv,[0]!municipio,$B6,[0]!turno,I$2)</f>
        <v>6</v>
      </c>
      <c r="J6" s="7">
        <f>SUMIFS([0]!psuv,[0]!municipio,$B6,[0]!turno,J$2)</f>
        <v>9</v>
      </c>
      <c r="K6" s="7">
        <f>SUMIFS([0]!psuv,[0]!municipio,$B6,[0]!turno,K$2)</f>
        <v>9</v>
      </c>
      <c r="L6" s="7">
        <f>SUMIFS([0]!psuv,[0]!municipio,$B6,[0]!turno,L$2)</f>
        <v>0</v>
      </c>
      <c r="M6" s="7">
        <f>SUMIFS([0]!psuv,[0]!municipio,$B6,[0]!turno,M$2)</f>
        <v>2</v>
      </c>
      <c r="N6" s="7">
        <f>SUMIFS([0]!psuv,[0]!municipio,$B6,[0]!turno,N$2)</f>
        <v>8</v>
      </c>
      <c r="O6" s="7">
        <f>SUMIFS([0]!psuv,[0]!municipio,$B6,[0]!turno,O$2)</f>
        <v>14</v>
      </c>
      <c r="P6" s="7">
        <f>SUMIFS([0]!psuv,[0]!municipio,$B6,[0]!turno,P$2)</f>
        <v>8</v>
      </c>
      <c r="Q6" s="7">
        <f>SUMIFS([0]!psuv,[0]!municipio,$B6,[0]!turno,Q$2)</f>
        <v>10</v>
      </c>
      <c r="R6" s="7">
        <f>SUMIFS([0]!psuv,[0]!municipio,$B6,[0]!turno,R$2)</f>
        <v>9</v>
      </c>
      <c r="S6" s="7">
        <f>SUMIFS([0]!psuv,[0]!municipio,$B6,[0]!turno,S$2)</f>
        <v>10</v>
      </c>
      <c r="T6" s="7">
        <f>SUMIFS([0]!psuv,[0]!municipio,$B6,[0]!turno,T$2)</f>
        <v>0</v>
      </c>
      <c r="U6" s="7">
        <f>SUMIFS([0]!psuv,[0]!municipio,$B6,[0]!turno,U$2)</f>
        <v>11</v>
      </c>
      <c r="V6" s="7">
        <f>SUMIFS([0]!psuv,[0]!municipio,$B6,[0]!turno,V$2)</f>
        <v>12</v>
      </c>
      <c r="W6" s="28">
        <f>SUMIFS([0]!psuv,[0]!municipio,$B6,[0]!turno,W$2)</f>
        <v>14</v>
      </c>
    </row>
    <row r="7" spans="2:23" x14ac:dyDescent="0.25">
      <c r="B7" s="23" t="s">
        <v>174</v>
      </c>
      <c r="C7" s="4" t="s">
        <v>107</v>
      </c>
      <c r="D7" s="37">
        <f>IF((E6+E7+E8)=0,0,E7/(E6+E7+E8))</f>
        <v>0.42545454545454547</v>
      </c>
      <c r="E7" s="5">
        <f t="shared" si="0"/>
        <v>117</v>
      </c>
      <c r="F7" s="5">
        <f>SUMIFS([0]!mud,[0]!municipio,$B6,[0]!turno,F$2)</f>
        <v>0</v>
      </c>
      <c r="G7" s="5">
        <f>SUMIFS([0]!mud,[0]!municipio,$B6,[0]!turno,G$2)</f>
        <v>16</v>
      </c>
      <c r="H7" s="5">
        <f>SUMIFS([0]!mud,[0]!municipio,$B6,[0]!turno,H$2)</f>
        <v>13</v>
      </c>
      <c r="I7" s="5">
        <f>SUMIFS([0]!mud,[0]!municipio,$B6,[0]!turno,I$2)</f>
        <v>8</v>
      </c>
      <c r="J7" s="5">
        <f>SUMIFS([0]!mud,[0]!municipio,$B6,[0]!turno,J$2)</f>
        <v>2</v>
      </c>
      <c r="K7" s="5">
        <f>SUMIFS([0]!mud,[0]!municipio,$B6,[0]!turno,K$2)</f>
        <v>2</v>
      </c>
      <c r="L7" s="5">
        <f>SUMIFS([0]!mud,[0]!municipio,$B6,[0]!turno,L$2)</f>
        <v>0</v>
      </c>
      <c r="M7" s="5">
        <f>SUMIFS([0]!mud,[0]!municipio,$B6,[0]!turno,M$2)</f>
        <v>10</v>
      </c>
      <c r="N7" s="5">
        <f>SUMIFS([0]!mud,[0]!municipio,$B6,[0]!turno,N$2)</f>
        <v>5</v>
      </c>
      <c r="O7" s="5">
        <f>SUMIFS([0]!mud,[0]!municipio,$B6,[0]!turno,O$2)</f>
        <v>9</v>
      </c>
      <c r="P7" s="5">
        <f>SUMIFS([0]!mud,[0]!municipio,$B6,[0]!turno,P$2)</f>
        <v>9</v>
      </c>
      <c r="Q7" s="5">
        <f>SUMIFS([0]!mud,[0]!municipio,$B6,[0]!turno,Q$2)</f>
        <v>10</v>
      </c>
      <c r="R7" s="5">
        <f>SUMIFS([0]!mud,[0]!municipio,$B6,[0]!turno,R$2)</f>
        <v>6</v>
      </c>
      <c r="S7" s="5">
        <f>SUMIFS([0]!mud,[0]!municipio,$B6,[0]!turno,S$2)</f>
        <v>10</v>
      </c>
      <c r="T7" s="5">
        <f>SUMIFS([0]!mud,[0]!municipio,$B6,[0]!turno,T$2)</f>
        <v>0</v>
      </c>
      <c r="U7" s="5">
        <f>SUMIFS([0]!mud,[0]!municipio,$B6,[0]!turno,U$2)</f>
        <v>0</v>
      </c>
      <c r="V7" s="5">
        <f>SUMIFS([0]!mud,[0]!municipio,$B6,[0]!turno,V$2)</f>
        <v>14</v>
      </c>
      <c r="W7" s="26">
        <f>SUMIFS([0]!mud,[0]!municipio,$B6,[0]!turno,W$2)</f>
        <v>3</v>
      </c>
    </row>
    <row r="8" spans="2:23" ht="15.75" thickBot="1" x14ac:dyDescent="0.3">
      <c r="B8" s="24">
        <v>6.7156943407212386E-2</v>
      </c>
      <c r="C8" s="12" t="s">
        <v>0</v>
      </c>
      <c r="D8" s="38">
        <f>IF((E6+E7+E8)=0,0,E8/(E6+E7+E8))</f>
        <v>0.04</v>
      </c>
      <c r="E8" s="13">
        <f t="shared" si="0"/>
        <v>11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1</v>
      </c>
      <c r="I8" s="13">
        <f>SUMIFS([0]!otro,[0]!municipio,$B6,[0]!turno,I$2)</f>
        <v>0</v>
      </c>
      <c r="J8" s="13">
        <f>SUMIFS([0]!otro,[0]!municipio,$B6,[0]!turno,J$2)</f>
        <v>3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2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1</v>
      </c>
      <c r="T8" s="13">
        <f>SUMIFS([0]!otro,[0]!municipio,$B6,[0]!turno,T$2)</f>
        <v>0</v>
      </c>
      <c r="U8" s="13">
        <f>SUMIFS([0]!otro,[0]!municipio,$B6,[0]!turno,U$2)</f>
        <v>1</v>
      </c>
      <c r="V8" s="13">
        <f>SUMIFS([0]!otro,[0]!municipio,$B6,[0]!turno,V$2)</f>
        <v>0</v>
      </c>
      <c r="W8" s="29">
        <f>SUMIFS([0]!otro,[0]!municipio,$B6,[0]!turno,W$2)</f>
        <v>3</v>
      </c>
    </row>
    <row r="9" spans="2:23" x14ac:dyDescent="0.25">
      <c r="B9" s="19">
        <v>58</v>
      </c>
      <c r="C9" s="8" t="s">
        <v>106</v>
      </c>
      <c r="D9" s="36">
        <f>IF((E9+E10+E11)=0,0,E9/(E9+E10+E11))</f>
        <v>0.49068322981366458</v>
      </c>
      <c r="E9" s="9">
        <f t="shared" si="0"/>
        <v>158</v>
      </c>
      <c r="F9" s="9">
        <f>SUMIFS([0]!psuv,[0]!municipio,$B9,[0]!turno,F$2)</f>
        <v>12</v>
      </c>
      <c r="G9" s="9">
        <f>SUMIFS([0]!psuv,[0]!municipio,$B9,[0]!turno,G$2)</f>
        <v>0</v>
      </c>
      <c r="H9" s="9">
        <f>SUMIFS([0]!psuv,[0]!municipio,$B9,[0]!turno,H$2)</f>
        <v>9</v>
      </c>
      <c r="I9" s="9">
        <f>SUMIFS([0]!psuv,[0]!municipio,$B9,[0]!turno,I$2)</f>
        <v>11</v>
      </c>
      <c r="J9" s="9">
        <f>SUMIFS([0]!psuv,[0]!municipio,$B9,[0]!turno,J$2)</f>
        <v>7</v>
      </c>
      <c r="K9" s="9">
        <f>SUMIFS([0]!psuv,[0]!municipio,$B9,[0]!turno,K$2)</f>
        <v>10</v>
      </c>
      <c r="L9" s="9">
        <f>SUMIFS([0]!psuv,[0]!municipio,$B9,[0]!turno,L$2)</f>
        <v>9</v>
      </c>
      <c r="M9" s="9">
        <f>SUMIFS([0]!psuv,[0]!municipio,$B9,[0]!turno,M$2)</f>
        <v>10</v>
      </c>
      <c r="N9" s="9">
        <f>SUMIFS([0]!psuv,[0]!municipio,$B9,[0]!turno,N$2)</f>
        <v>11</v>
      </c>
      <c r="O9" s="9">
        <f>SUMIFS([0]!psuv,[0]!municipio,$B9,[0]!turno,O$2)</f>
        <v>0</v>
      </c>
      <c r="P9" s="9">
        <f>SUMIFS([0]!psuv,[0]!municipio,$B9,[0]!turno,P$2)</f>
        <v>0</v>
      </c>
      <c r="Q9" s="9">
        <f>SUMIFS([0]!psuv,[0]!municipio,$B9,[0]!turno,Q$2)</f>
        <v>10</v>
      </c>
      <c r="R9" s="9">
        <f>SUMIFS([0]!psuv,[0]!municipio,$B9,[0]!turno,R$2)</f>
        <v>9</v>
      </c>
      <c r="S9" s="9">
        <f>SUMIFS([0]!psuv,[0]!municipio,$B9,[0]!turno,S$2)</f>
        <v>12</v>
      </c>
      <c r="T9" s="9">
        <f>SUMIFS([0]!psuv,[0]!municipio,$B9,[0]!turno,T$2)</f>
        <v>11</v>
      </c>
      <c r="U9" s="9">
        <f>SUMIFS([0]!psuv,[0]!municipio,$B9,[0]!turno,U$2)</f>
        <v>16</v>
      </c>
      <c r="V9" s="9">
        <f>SUMIFS([0]!psuv,[0]!municipio,$B9,[0]!turno,V$2)</f>
        <v>13</v>
      </c>
      <c r="W9" s="25">
        <f>SUMIFS([0]!psuv,[0]!municipio,$B9,[0]!turno,W$2)</f>
        <v>8</v>
      </c>
    </row>
    <row r="10" spans="2:23" x14ac:dyDescent="0.25">
      <c r="B10" s="20" t="s">
        <v>41</v>
      </c>
      <c r="C10" s="4" t="s">
        <v>107</v>
      </c>
      <c r="D10" s="37">
        <f>IF((E9+E10+E11)=0,0,E10/(E9+E10+E11))</f>
        <v>0.49378881987577639</v>
      </c>
      <c r="E10" s="5">
        <f t="shared" si="0"/>
        <v>159</v>
      </c>
      <c r="F10" s="5">
        <f>SUMIFS([0]!mud,[0]!municipio,$B9,[0]!turno,F$2)</f>
        <v>15</v>
      </c>
      <c r="G10" s="5">
        <f>SUMIFS([0]!mud,[0]!municipio,$B9,[0]!turno,G$2)</f>
        <v>0</v>
      </c>
      <c r="H10" s="5">
        <f>SUMIFS([0]!mud,[0]!municipio,$B9,[0]!turno,H$2)</f>
        <v>5</v>
      </c>
      <c r="I10" s="5">
        <f>SUMIFS([0]!mud,[0]!municipio,$B9,[0]!turno,I$2)</f>
        <v>9</v>
      </c>
      <c r="J10" s="5">
        <f>SUMIFS([0]!mud,[0]!municipio,$B9,[0]!turno,J$2)</f>
        <v>6</v>
      </c>
      <c r="K10" s="5">
        <f>SUMIFS([0]!mud,[0]!municipio,$B9,[0]!turno,K$2)</f>
        <v>8</v>
      </c>
      <c r="L10" s="5">
        <f>SUMIFS([0]!mud,[0]!municipio,$B9,[0]!turno,L$2)</f>
        <v>14</v>
      </c>
      <c r="M10" s="5">
        <f>SUMIFS([0]!mud,[0]!municipio,$B9,[0]!turno,M$2)</f>
        <v>11</v>
      </c>
      <c r="N10" s="5">
        <f>SUMIFS([0]!mud,[0]!municipio,$B9,[0]!turno,N$2)</f>
        <v>11</v>
      </c>
      <c r="O10" s="5">
        <f>SUMIFS([0]!mud,[0]!municipio,$B9,[0]!turno,O$2)</f>
        <v>0</v>
      </c>
      <c r="P10" s="5">
        <f>SUMIFS([0]!mud,[0]!municipio,$B9,[0]!turno,P$2)</f>
        <v>0</v>
      </c>
      <c r="Q10" s="5">
        <f>SUMIFS([0]!mud,[0]!municipio,$B9,[0]!turno,Q$2)</f>
        <v>12</v>
      </c>
      <c r="R10" s="5">
        <f>SUMIFS([0]!mud,[0]!municipio,$B9,[0]!turno,R$2)</f>
        <v>7</v>
      </c>
      <c r="S10" s="5">
        <f>SUMIFS([0]!mud,[0]!municipio,$B9,[0]!turno,S$2)</f>
        <v>14</v>
      </c>
      <c r="T10" s="5">
        <f>SUMIFS([0]!mud,[0]!municipio,$B9,[0]!turno,T$2)</f>
        <v>16</v>
      </c>
      <c r="U10" s="5">
        <f>SUMIFS([0]!mud,[0]!municipio,$B9,[0]!turno,U$2)</f>
        <v>10</v>
      </c>
      <c r="V10" s="5">
        <f>SUMIFS([0]!mud,[0]!municipio,$B9,[0]!turno,V$2)</f>
        <v>12</v>
      </c>
      <c r="W10" s="26">
        <f>SUMIFS([0]!mud,[0]!municipio,$B9,[0]!turno,W$2)</f>
        <v>9</v>
      </c>
    </row>
    <row r="11" spans="2:23" ht="15.75" thickBot="1" x14ac:dyDescent="0.3">
      <c r="B11" s="21">
        <v>9.4302747996911504E-2</v>
      </c>
      <c r="C11" s="10" t="s">
        <v>0</v>
      </c>
      <c r="D11" s="38">
        <f>IF((E9+E10+E11)=0,0,E11/(E9+E10+E11))</f>
        <v>1.5527950310559006E-2</v>
      </c>
      <c r="E11" s="11">
        <f t="shared" si="0"/>
        <v>5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3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2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59</v>
      </c>
      <c r="C12" s="6" t="s">
        <v>106</v>
      </c>
      <c r="D12" s="36">
        <f>IF((E12+E13+E14)=0,0,E12/(E12+E13+E14))</f>
        <v>0.61722488038277512</v>
      </c>
      <c r="E12" s="7">
        <f t="shared" si="0"/>
        <v>258</v>
      </c>
      <c r="F12" s="7">
        <f>SUMIFS([0]!psuv,[0]!municipio,$B12,[0]!turno,F$2)</f>
        <v>13</v>
      </c>
      <c r="G12" s="7">
        <f>SUMIFS([0]!psuv,[0]!municipio,$B12,[0]!turno,G$2)</f>
        <v>11</v>
      </c>
      <c r="H12" s="7">
        <f>SUMIFS([0]!psuv,[0]!municipio,$B12,[0]!turno,H$2)</f>
        <v>9</v>
      </c>
      <c r="I12" s="7">
        <f>SUMIFS([0]!psuv,[0]!municipio,$B12,[0]!turno,I$2)</f>
        <v>18</v>
      </c>
      <c r="J12" s="7">
        <f>SUMIFS([0]!psuv,[0]!municipio,$B12,[0]!turno,J$2)</f>
        <v>8</v>
      </c>
      <c r="K12" s="7">
        <f>SUMIFS([0]!psuv,[0]!municipio,$B12,[0]!turno,K$2)</f>
        <v>11</v>
      </c>
      <c r="L12" s="7">
        <f>SUMIFS([0]!psuv,[0]!municipio,$B12,[0]!turno,L$2)</f>
        <v>11</v>
      </c>
      <c r="M12" s="7">
        <f>SUMIFS([0]!psuv,[0]!municipio,$B12,[0]!turno,M$2)</f>
        <v>17</v>
      </c>
      <c r="N12" s="7">
        <f>SUMIFS([0]!psuv,[0]!municipio,$B12,[0]!turno,N$2)</f>
        <v>10</v>
      </c>
      <c r="O12" s="7">
        <f>SUMIFS([0]!psuv,[0]!municipio,$B12,[0]!turno,O$2)</f>
        <v>10</v>
      </c>
      <c r="P12" s="7">
        <f>SUMIFS([0]!psuv,[0]!municipio,$B12,[0]!turno,P$2)</f>
        <v>20</v>
      </c>
      <c r="Q12" s="7">
        <f>SUMIFS([0]!psuv,[0]!municipio,$B12,[0]!turno,Q$2)</f>
        <v>7</v>
      </c>
      <c r="R12" s="7">
        <f>SUMIFS([0]!psuv,[0]!municipio,$B12,[0]!turno,R$2)</f>
        <v>17</v>
      </c>
      <c r="S12" s="7">
        <f>SUMIFS([0]!psuv,[0]!municipio,$B12,[0]!turno,S$2)</f>
        <v>25</v>
      </c>
      <c r="T12" s="7">
        <f>SUMIFS([0]!psuv,[0]!municipio,$B12,[0]!turno,T$2)</f>
        <v>17</v>
      </c>
      <c r="U12" s="7">
        <f>SUMIFS([0]!psuv,[0]!municipio,$B12,[0]!turno,U$2)</f>
        <v>13</v>
      </c>
      <c r="V12" s="7">
        <f>SUMIFS([0]!psuv,[0]!municipio,$B12,[0]!turno,V$2)</f>
        <v>19</v>
      </c>
      <c r="W12" s="28">
        <f>SUMIFS([0]!psuv,[0]!municipio,$B12,[0]!turno,W$2)</f>
        <v>22</v>
      </c>
    </row>
    <row r="13" spans="2:23" x14ac:dyDescent="0.25">
      <c r="B13" s="23" t="s">
        <v>44</v>
      </c>
      <c r="C13" s="4" t="s">
        <v>107</v>
      </c>
      <c r="D13" s="37">
        <f>IF((E12+E13+E14)=0,0,E13/(E12+E13+E14))</f>
        <v>0.33014354066985646</v>
      </c>
      <c r="E13" s="5">
        <f t="shared" si="0"/>
        <v>138</v>
      </c>
      <c r="F13" s="5">
        <f>SUMIFS([0]!mud,[0]!municipio,$B12,[0]!turno,F$2)</f>
        <v>12</v>
      </c>
      <c r="G13" s="5">
        <f>SUMIFS([0]!mud,[0]!municipio,$B12,[0]!turno,G$2)</f>
        <v>10</v>
      </c>
      <c r="H13" s="5">
        <f>SUMIFS([0]!mud,[0]!municipio,$B12,[0]!turno,H$2)</f>
        <v>11</v>
      </c>
      <c r="I13" s="5">
        <f>SUMIFS([0]!mud,[0]!municipio,$B12,[0]!turno,I$2)</f>
        <v>10</v>
      </c>
      <c r="J13" s="5">
        <f>SUMIFS([0]!mud,[0]!municipio,$B12,[0]!turno,J$2)</f>
        <v>9</v>
      </c>
      <c r="K13" s="5">
        <f>SUMIFS([0]!mud,[0]!municipio,$B12,[0]!turno,K$2)</f>
        <v>13</v>
      </c>
      <c r="L13" s="5">
        <f>SUMIFS([0]!mud,[0]!municipio,$B12,[0]!turno,L$2)</f>
        <v>5</v>
      </c>
      <c r="M13" s="5">
        <f>SUMIFS([0]!mud,[0]!municipio,$B12,[0]!turno,M$2)</f>
        <v>6</v>
      </c>
      <c r="N13" s="5">
        <f>SUMIFS([0]!mud,[0]!municipio,$B12,[0]!turno,N$2)</f>
        <v>8</v>
      </c>
      <c r="O13" s="5">
        <f>SUMIFS([0]!mud,[0]!municipio,$B12,[0]!turno,O$2)</f>
        <v>7</v>
      </c>
      <c r="P13" s="5">
        <f>SUMIFS([0]!mud,[0]!municipio,$B12,[0]!turno,P$2)</f>
        <v>6</v>
      </c>
      <c r="Q13" s="5">
        <f>SUMIFS([0]!mud,[0]!municipio,$B12,[0]!turno,Q$2)</f>
        <v>7</v>
      </c>
      <c r="R13" s="5">
        <f>SUMIFS([0]!mud,[0]!municipio,$B12,[0]!turno,R$2)</f>
        <v>6</v>
      </c>
      <c r="S13" s="5">
        <f>SUMIFS([0]!mud,[0]!municipio,$B12,[0]!turno,S$2)</f>
        <v>7</v>
      </c>
      <c r="T13" s="5">
        <f>SUMIFS([0]!mud,[0]!municipio,$B12,[0]!turno,T$2)</f>
        <v>4</v>
      </c>
      <c r="U13" s="5">
        <f>SUMIFS([0]!mud,[0]!municipio,$B12,[0]!turno,U$2)</f>
        <v>5</v>
      </c>
      <c r="V13" s="5">
        <f>SUMIFS([0]!mud,[0]!municipio,$B12,[0]!turno,V$2)</f>
        <v>7</v>
      </c>
      <c r="W13" s="26">
        <f>SUMIFS([0]!mud,[0]!municipio,$B12,[0]!turno,W$2)</f>
        <v>5</v>
      </c>
    </row>
    <row r="14" spans="2:23" ht="15.75" thickBot="1" x14ac:dyDescent="0.3">
      <c r="B14" s="24">
        <v>8.2829765958254753E-2</v>
      </c>
      <c r="C14" s="12" t="s">
        <v>0</v>
      </c>
      <c r="D14" s="38">
        <f>IF((E12+E13+E14)=0,0,E14/(E12+E13+E14))</f>
        <v>5.2631578947368418E-2</v>
      </c>
      <c r="E14" s="13">
        <f t="shared" si="0"/>
        <v>22</v>
      </c>
      <c r="F14" s="13">
        <f>SUMIFS([0]!otro,[0]!municipio,$B12,[0]!turno,F$2)</f>
        <v>5</v>
      </c>
      <c r="G14" s="13">
        <f>SUMIFS([0]!otro,[0]!municipio,$B12,[0]!turno,G$2)</f>
        <v>6</v>
      </c>
      <c r="H14" s="13">
        <f>SUMIFS([0]!otro,[0]!municipio,$B12,[0]!turno,H$2)</f>
        <v>2</v>
      </c>
      <c r="I14" s="13">
        <f>SUMIFS([0]!otro,[0]!municipio,$B12,[0]!turno,I$2)</f>
        <v>1</v>
      </c>
      <c r="J14" s="13">
        <f>SUMIFS([0]!otro,[0]!municipio,$B12,[0]!turno,J$2)</f>
        <v>1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1</v>
      </c>
      <c r="N14" s="13">
        <f>SUMIFS([0]!otro,[0]!municipio,$B12,[0]!turno,N$2)</f>
        <v>0</v>
      </c>
      <c r="O14" s="13">
        <f>SUMIFS([0]!otro,[0]!municipio,$B12,[0]!turno,O$2)</f>
        <v>1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1</v>
      </c>
      <c r="T14" s="13">
        <f>SUMIFS([0]!otro,[0]!municipio,$B12,[0]!turno,T$2)</f>
        <v>1</v>
      </c>
      <c r="U14" s="13">
        <f>SUMIFS([0]!otro,[0]!municipio,$B12,[0]!turno,U$2)</f>
        <v>2</v>
      </c>
      <c r="V14" s="13">
        <f>SUMIFS([0]!otro,[0]!municipio,$B12,[0]!turno,V$2)</f>
        <v>0</v>
      </c>
      <c r="W14" s="29">
        <f>SUMIFS([0]!otro,[0]!municipio,$B12,[0]!turno,W$2)</f>
        <v>1</v>
      </c>
    </row>
    <row r="15" spans="2:23" x14ac:dyDescent="0.25">
      <c r="B15" s="19">
        <v>60</v>
      </c>
      <c r="C15" s="8" t="s">
        <v>106</v>
      </c>
      <c r="D15" s="36">
        <f>IF((E15+E16+E17)=0,0,E15/(E15+E16+E17))</f>
        <v>0.35728813559322031</v>
      </c>
      <c r="E15" s="9">
        <f t="shared" si="0"/>
        <v>527</v>
      </c>
      <c r="F15" s="9">
        <f>SUMIFS([0]!psuv,[0]!municipio,$B15,[0]!turno,F$2)</f>
        <v>33</v>
      </c>
      <c r="G15" s="9">
        <f>SUMIFS([0]!psuv,[0]!municipio,$B15,[0]!turno,G$2)</f>
        <v>32</v>
      </c>
      <c r="H15" s="9">
        <f>SUMIFS([0]!psuv,[0]!municipio,$B15,[0]!turno,H$2)</f>
        <v>35</v>
      </c>
      <c r="I15" s="9">
        <f>SUMIFS([0]!psuv,[0]!municipio,$B15,[0]!turno,I$2)</f>
        <v>37</v>
      </c>
      <c r="J15" s="9">
        <f>SUMIFS([0]!psuv,[0]!municipio,$B15,[0]!turno,J$2)</f>
        <v>31</v>
      </c>
      <c r="K15" s="9">
        <f>SUMIFS([0]!psuv,[0]!municipio,$B15,[0]!turno,K$2)</f>
        <v>24</v>
      </c>
      <c r="L15" s="9">
        <f>SUMIFS([0]!psuv,[0]!municipio,$B15,[0]!turno,L$2)</f>
        <v>26</v>
      </c>
      <c r="M15" s="9">
        <f>SUMIFS([0]!psuv,[0]!municipio,$B15,[0]!turno,M$2)</f>
        <v>40</v>
      </c>
      <c r="N15" s="9">
        <f>SUMIFS([0]!psuv,[0]!municipio,$B15,[0]!turno,N$2)</f>
        <v>28</v>
      </c>
      <c r="O15" s="9">
        <f>SUMIFS([0]!psuv,[0]!municipio,$B15,[0]!turno,O$2)</f>
        <v>31</v>
      </c>
      <c r="P15" s="9">
        <f>SUMIFS([0]!psuv,[0]!municipio,$B15,[0]!turno,P$2)</f>
        <v>29</v>
      </c>
      <c r="Q15" s="9">
        <f>SUMIFS([0]!psuv,[0]!municipio,$B15,[0]!turno,Q$2)</f>
        <v>19</v>
      </c>
      <c r="R15" s="9">
        <f>SUMIFS([0]!psuv,[0]!municipio,$B15,[0]!turno,R$2)</f>
        <v>28</v>
      </c>
      <c r="S15" s="9">
        <f>SUMIFS([0]!psuv,[0]!municipio,$B15,[0]!turno,S$2)</f>
        <v>18</v>
      </c>
      <c r="T15" s="9">
        <f>SUMIFS([0]!psuv,[0]!municipio,$B15,[0]!turno,T$2)</f>
        <v>35</v>
      </c>
      <c r="U15" s="9">
        <f>SUMIFS([0]!psuv,[0]!municipio,$B15,[0]!turno,U$2)</f>
        <v>30</v>
      </c>
      <c r="V15" s="9">
        <f>SUMIFS([0]!psuv,[0]!municipio,$B15,[0]!turno,V$2)</f>
        <v>25</v>
      </c>
      <c r="W15" s="25">
        <f>SUMIFS([0]!psuv,[0]!municipio,$B15,[0]!turno,W$2)</f>
        <v>26</v>
      </c>
    </row>
    <row r="16" spans="2:23" x14ac:dyDescent="0.25">
      <c r="B16" s="20" t="s">
        <v>8</v>
      </c>
      <c r="C16" s="4" t="s">
        <v>107</v>
      </c>
      <c r="D16" s="37">
        <f>IF((E15+E16+E17)=0,0,E16/(E15+E16+E17))</f>
        <v>0.34033898305084748</v>
      </c>
      <c r="E16" s="5">
        <f t="shared" si="0"/>
        <v>502</v>
      </c>
      <c r="F16" s="5">
        <f>SUMIFS([0]!mud,[0]!municipio,$B15,[0]!turno,F$2)</f>
        <v>27</v>
      </c>
      <c r="G16" s="5">
        <f>SUMIFS([0]!mud,[0]!municipio,$B15,[0]!turno,G$2)</f>
        <v>35</v>
      </c>
      <c r="H16" s="5">
        <f>SUMIFS([0]!mud,[0]!municipio,$B15,[0]!turno,H$2)</f>
        <v>31</v>
      </c>
      <c r="I16" s="5">
        <f>SUMIFS([0]!mud,[0]!municipio,$B15,[0]!turno,I$2)</f>
        <v>27</v>
      </c>
      <c r="J16" s="5">
        <f>SUMIFS([0]!mud,[0]!municipio,$B15,[0]!turno,J$2)</f>
        <v>32</v>
      </c>
      <c r="K16" s="5">
        <f>SUMIFS([0]!mud,[0]!municipio,$B15,[0]!turno,K$2)</f>
        <v>24</v>
      </c>
      <c r="L16" s="5">
        <f>SUMIFS([0]!mud,[0]!municipio,$B15,[0]!turno,L$2)</f>
        <v>36</v>
      </c>
      <c r="M16" s="5">
        <f>SUMIFS([0]!mud,[0]!municipio,$B15,[0]!turno,M$2)</f>
        <v>22</v>
      </c>
      <c r="N16" s="5">
        <f>SUMIFS([0]!mud,[0]!municipio,$B15,[0]!turno,N$2)</f>
        <v>20</v>
      </c>
      <c r="O16" s="5">
        <f>SUMIFS([0]!mud,[0]!municipio,$B15,[0]!turno,O$2)</f>
        <v>31</v>
      </c>
      <c r="P16" s="5">
        <f>SUMIFS([0]!mud,[0]!municipio,$B15,[0]!turno,P$2)</f>
        <v>21</v>
      </c>
      <c r="Q16" s="5">
        <f>SUMIFS([0]!mud,[0]!municipio,$B15,[0]!turno,Q$2)</f>
        <v>22</v>
      </c>
      <c r="R16" s="5">
        <f>SUMIFS([0]!mud,[0]!municipio,$B15,[0]!turno,R$2)</f>
        <v>28</v>
      </c>
      <c r="S16" s="5">
        <f>SUMIFS([0]!mud,[0]!municipio,$B15,[0]!turno,S$2)</f>
        <v>16</v>
      </c>
      <c r="T16" s="5">
        <f>SUMIFS([0]!mud,[0]!municipio,$B15,[0]!turno,T$2)</f>
        <v>27</v>
      </c>
      <c r="U16" s="5">
        <f>SUMIFS([0]!mud,[0]!municipio,$B15,[0]!turno,U$2)</f>
        <v>33</v>
      </c>
      <c r="V16" s="5">
        <f>SUMIFS([0]!mud,[0]!municipio,$B15,[0]!turno,V$2)</f>
        <v>30</v>
      </c>
      <c r="W16" s="26">
        <f>SUMIFS([0]!mud,[0]!municipio,$B15,[0]!turno,W$2)</f>
        <v>40</v>
      </c>
    </row>
    <row r="17" spans="2:23" ht="15.75" thickBot="1" x14ac:dyDescent="0.3">
      <c r="B17" s="21">
        <v>0.34973355442198395</v>
      </c>
      <c r="C17" s="10" t="s">
        <v>0</v>
      </c>
      <c r="D17" s="38">
        <f>IF((E15+E16+E17)=0,0,E17/(E15+E16+E17))</f>
        <v>0.30237288135593221</v>
      </c>
      <c r="E17" s="11">
        <f t="shared" si="0"/>
        <v>446</v>
      </c>
      <c r="F17" s="11">
        <f>SUMIFS([0]!otro,[0]!municipio,$B15,[0]!turno,F$2)</f>
        <v>11</v>
      </c>
      <c r="G17" s="11">
        <f>SUMIFS([0]!otro,[0]!municipio,$B15,[0]!turno,G$2)</f>
        <v>10</v>
      </c>
      <c r="H17" s="11">
        <f>SUMIFS([0]!otro,[0]!municipio,$B15,[0]!turno,H$2)</f>
        <v>32</v>
      </c>
      <c r="I17" s="11">
        <f>SUMIFS([0]!otro,[0]!municipio,$B15,[0]!turno,I$2)</f>
        <v>30</v>
      </c>
      <c r="J17" s="11">
        <f>SUMIFS([0]!otro,[0]!municipio,$B15,[0]!turno,J$2)</f>
        <v>25</v>
      </c>
      <c r="K17" s="11">
        <f>SUMIFS([0]!otro,[0]!municipio,$B15,[0]!turno,K$2)</f>
        <v>34</v>
      </c>
      <c r="L17" s="11">
        <f>SUMIFS([0]!otro,[0]!municipio,$B15,[0]!turno,L$2)</f>
        <v>34</v>
      </c>
      <c r="M17" s="11">
        <f>SUMIFS([0]!otro,[0]!municipio,$B15,[0]!turno,M$2)</f>
        <v>22</v>
      </c>
      <c r="N17" s="11">
        <f>SUMIFS([0]!otro,[0]!municipio,$B15,[0]!turno,N$2)</f>
        <v>17</v>
      </c>
      <c r="O17" s="11">
        <f>SUMIFS([0]!otro,[0]!municipio,$B15,[0]!turno,O$2)</f>
        <v>14</v>
      </c>
      <c r="P17" s="11">
        <f>SUMIFS([0]!otro,[0]!municipio,$B15,[0]!turno,P$2)</f>
        <v>33</v>
      </c>
      <c r="Q17" s="11">
        <f>SUMIFS([0]!otro,[0]!municipio,$B15,[0]!turno,Q$2)</f>
        <v>15</v>
      </c>
      <c r="R17" s="11">
        <f>SUMIFS([0]!otro,[0]!municipio,$B15,[0]!turno,R$2)</f>
        <v>26</v>
      </c>
      <c r="S17" s="11">
        <f>SUMIFS([0]!otro,[0]!municipio,$B15,[0]!turno,S$2)</f>
        <v>34</v>
      </c>
      <c r="T17" s="11">
        <f>SUMIFS([0]!otro,[0]!municipio,$B15,[0]!turno,T$2)</f>
        <v>29</v>
      </c>
      <c r="U17" s="11">
        <f>SUMIFS([0]!otro,[0]!municipio,$B15,[0]!turno,U$2)</f>
        <v>21</v>
      </c>
      <c r="V17" s="11">
        <f>SUMIFS([0]!otro,[0]!municipio,$B15,[0]!turno,V$2)</f>
        <v>28</v>
      </c>
      <c r="W17" s="27">
        <f>SUMIFS([0]!otro,[0]!municipio,$B15,[0]!turno,W$2)</f>
        <v>31</v>
      </c>
    </row>
    <row r="18" spans="2:23" ht="15" customHeight="1" x14ac:dyDescent="0.25">
      <c r="B18"/>
      <c r="C18"/>
    </row>
    <row r="19" spans="2:23" ht="15" customHeight="1" x14ac:dyDescent="0.25">
      <c r="B19"/>
      <c r="C19"/>
    </row>
    <row r="20" spans="2:23" ht="15" customHeight="1" x14ac:dyDescent="0.25">
      <c r="B20"/>
      <c r="C20"/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B1:W432"/>
  <sheetViews>
    <sheetView workbookViewId="0"/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61</v>
      </c>
      <c r="C3" s="8" t="s">
        <v>106</v>
      </c>
      <c r="D3" s="36">
        <f>IF((E3+E4+E5)=0,0,E3/(E3+E4+E5))</f>
        <v>0.55014326647564471</v>
      </c>
      <c r="E3" s="9">
        <f t="shared" ref="E3:E20" si="0">SUM(F3:W3)</f>
        <v>384</v>
      </c>
      <c r="F3" s="9">
        <f>SUMIFS([0]!psuv,[0]!municipio,$B3,[0]!turno,F$2)</f>
        <v>14</v>
      </c>
      <c r="G3" s="9">
        <f>SUMIFS([0]!psuv,[0]!municipio,$B3,[0]!turno,G$2)</f>
        <v>18</v>
      </c>
      <c r="H3" s="9">
        <f>SUMIFS([0]!psuv,[0]!municipio,$B3,[0]!turno,H$2)</f>
        <v>41</v>
      </c>
      <c r="I3" s="9">
        <f>SUMIFS([0]!psuv,[0]!municipio,$B3,[0]!turno,I$2)</f>
        <v>29</v>
      </c>
      <c r="J3" s="9">
        <f>SUMIFS([0]!psuv,[0]!municipio,$B3,[0]!turno,J$2)</f>
        <v>26</v>
      </c>
      <c r="K3" s="9">
        <f>SUMIFS([0]!psuv,[0]!municipio,$B3,[0]!turno,K$2)</f>
        <v>27</v>
      </c>
      <c r="L3" s="9">
        <f>SUMIFS([0]!psuv,[0]!municipio,$B3,[0]!turno,L$2)</f>
        <v>28</v>
      </c>
      <c r="M3" s="9">
        <f>SUMIFS([0]!psuv,[0]!municipio,$B3,[0]!turno,M$2)</f>
        <v>21</v>
      </c>
      <c r="N3" s="9">
        <f>SUMIFS([0]!psuv,[0]!municipio,$B3,[0]!turno,N$2)</f>
        <v>1</v>
      </c>
      <c r="O3" s="9">
        <f>SUMIFS([0]!psuv,[0]!municipio,$B3,[0]!turno,O$2)</f>
        <v>23</v>
      </c>
      <c r="P3" s="9">
        <f>SUMIFS([0]!psuv,[0]!municipio,$B3,[0]!turno,P$2)</f>
        <v>19</v>
      </c>
      <c r="Q3" s="9">
        <f>SUMIFS([0]!psuv,[0]!municipio,$B3,[0]!turno,Q$2)</f>
        <v>18</v>
      </c>
      <c r="R3" s="9">
        <f>SUMIFS([0]!psuv,[0]!municipio,$B3,[0]!turno,R$2)</f>
        <v>12</v>
      </c>
      <c r="S3" s="9">
        <f>SUMIFS([0]!psuv,[0]!municipio,$B3,[0]!turno,S$2)</f>
        <v>23</v>
      </c>
      <c r="T3" s="9">
        <f>SUMIFS([0]!psuv,[0]!municipio,$B3,[0]!turno,T$2)</f>
        <v>4</v>
      </c>
      <c r="U3" s="9">
        <f>SUMIFS([0]!psuv,[0]!municipio,$B3,[0]!turno,U$2)</f>
        <v>20</v>
      </c>
      <c r="V3" s="9">
        <f>SUMIFS([0]!psuv,[0]!municipio,$B3,[0]!turno,V$2)</f>
        <v>27</v>
      </c>
      <c r="W3" s="25">
        <f>SUMIFS([0]!psuv,[0]!municipio,$B3,[0]!turno,W$2)</f>
        <v>33</v>
      </c>
    </row>
    <row r="4" spans="2:23" x14ac:dyDescent="0.25">
      <c r="B4" s="20" t="s">
        <v>102</v>
      </c>
      <c r="C4" s="4" t="s">
        <v>107</v>
      </c>
      <c r="D4" s="37">
        <f>IF((E3+E4+E5)=0,0,E4/(E3+E4+E5))</f>
        <v>0.39828080229226359</v>
      </c>
      <c r="E4" s="5">
        <f t="shared" si="0"/>
        <v>278</v>
      </c>
      <c r="F4" s="5">
        <f>SUMIFS([0]!mud,[0]!municipio,$B3,[0]!turno,F$2)</f>
        <v>1</v>
      </c>
      <c r="G4" s="5">
        <f>SUMIFS([0]!mud,[0]!municipio,$B3,[0]!turno,G$2)</f>
        <v>8</v>
      </c>
      <c r="H4" s="5">
        <f>SUMIFS([0]!mud,[0]!municipio,$B3,[0]!turno,H$2)</f>
        <v>39</v>
      </c>
      <c r="I4" s="5">
        <f>SUMIFS([0]!mud,[0]!municipio,$B3,[0]!turno,I$2)</f>
        <v>21</v>
      </c>
      <c r="J4" s="5">
        <f>SUMIFS([0]!mud,[0]!municipio,$B3,[0]!turno,J$2)</f>
        <v>16</v>
      </c>
      <c r="K4" s="5">
        <f>SUMIFS([0]!mud,[0]!municipio,$B3,[0]!turno,K$2)</f>
        <v>9</v>
      </c>
      <c r="L4" s="5">
        <f>SUMIFS([0]!mud,[0]!municipio,$B3,[0]!turno,L$2)</f>
        <v>12</v>
      </c>
      <c r="M4" s="5">
        <f>SUMIFS([0]!mud,[0]!municipio,$B3,[0]!turno,M$2)</f>
        <v>14</v>
      </c>
      <c r="N4" s="5">
        <f>SUMIFS([0]!mud,[0]!municipio,$B3,[0]!turno,N$2)</f>
        <v>2</v>
      </c>
      <c r="O4" s="5">
        <f>SUMIFS([0]!mud,[0]!municipio,$B3,[0]!turno,O$2)</f>
        <v>16</v>
      </c>
      <c r="P4" s="5">
        <f>SUMIFS([0]!mud,[0]!municipio,$B3,[0]!turno,P$2)</f>
        <v>13</v>
      </c>
      <c r="Q4" s="5">
        <f>SUMIFS([0]!mud,[0]!municipio,$B3,[0]!turno,Q$2)</f>
        <v>24</v>
      </c>
      <c r="R4" s="5">
        <f>SUMIFS([0]!mud,[0]!municipio,$B3,[0]!turno,R$2)</f>
        <v>24</v>
      </c>
      <c r="S4" s="5">
        <f>SUMIFS([0]!mud,[0]!municipio,$B3,[0]!turno,S$2)</f>
        <v>18</v>
      </c>
      <c r="T4" s="5">
        <f>SUMIFS([0]!mud,[0]!municipio,$B3,[0]!turno,T$2)</f>
        <v>12</v>
      </c>
      <c r="U4" s="5">
        <f>SUMIFS([0]!mud,[0]!municipio,$B3,[0]!turno,U$2)</f>
        <v>16</v>
      </c>
      <c r="V4" s="5">
        <f>SUMIFS([0]!mud,[0]!municipio,$B3,[0]!turno,V$2)</f>
        <v>14</v>
      </c>
      <c r="W4" s="26">
        <f>SUMIFS([0]!mud,[0]!municipio,$B3,[0]!turno,W$2)</f>
        <v>19</v>
      </c>
    </row>
    <row r="5" spans="2:23" ht="15.75" thickBot="1" x14ac:dyDescent="0.3">
      <c r="B5" s="21">
        <v>0.21313681889578368</v>
      </c>
      <c r="C5" s="10" t="s">
        <v>0</v>
      </c>
      <c r="D5" s="38">
        <f>IF((E3+E4+E5)=0,0,E5/(E3+E4+E5))</f>
        <v>5.1575931232091692E-2</v>
      </c>
      <c r="E5" s="11">
        <f t="shared" si="0"/>
        <v>36</v>
      </c>
      <c r="F5" s="11">
        <f>SUMIFS([0]!otro,[0]!municipio,$B3,[0]!turno,F$2)</f>
        <v>0</v>
      </c>
      <c r="G5" s="11">
        <f>SUMIFS([0]!otro,[0]!municipio,$B3,[0]!turno,G$2)</f>
        <v>4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2</v>
      </c>
      <c r="K5" s="11">
        <f>SUMIFS([0]!otro,[0]!municipio,$B3,[0]!turno,K$2)</f>
        <v>5</v>
      </c>
      <c r="L5" s="11">
        <f>SUMIFS([0]!otro,[0]!municipio,$B3,[0]!turno,L$2)</f>
        <v>2</v>
      </c>
      <c r="M5" s="11">
        <f>SUMIFS([0]!otro,[0]!municipio,$B3,[0]!turno,M$2)</f>
        <v>7</v>
      </c>
      <c r="N5" s="11">
        <f>SUMIFS([0]!otro,[0]!municipio,$B3,[0]!turno,N$2)</f>
        <v>3</v>
      </c>
      <c r="O5" s="11">
        <f>SUMIFS([0]!otro,[0]!municipio,$B3,[0]!turno,O$2)</f>
        <v>2</v>
      </c>
      <c r="P5" s="11">
        <f>SUMIFS([0]!otro,[0]!municipio,$B3,[0]!turno,P$2)</f>
        <v>3</v>
      </c>
      <c r="Q5" s="11">
        <f>SUMIFS([0]!otro,[0]!municipio,$B3,[0]!turno,Q$2)</f>
        <v>4</v>
      </c>
      <c r="R5" s="11">
        <f>SUMIFS([0]!otro,[0]!municipio,$B3,[0]!turno,R$2)</f>
        <v>1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3</v>
      </c>
    </row>
    <row r="6" spans="2:23" x14ac:dyDescent="0.25">
      <c r="B6" s="22">
        <v>62</v>
      </c>
      <c r="C6" s="6" t="s">
        <v>106</v>
      </c>
      <c r="D6" s="36">
        <f>IF((E6+E7+E8)=0,0,E6/(E6+E7+E8))</f>
        <v>0.70366972477064216</v>
      </c>
      <c r="E6" s="7">
        <f t="shared" si="0"/>
        <v>767</v>
      </c>
      <c r="F6" s="7">
        <f>SUMIFS([0]!psuv,[0]!municipio,$B6,[0]!turno,F$2)</f>
        <v>28</v>
      </c>
      <c r="G6" s="7">
        <f>SUMIFS([0]!psuv,[0]!municipio,$B6,[0]!turno,G$2)</f>
        <v>67</v>
      </c>
      <c r="H6" s="7">
        <f>SUMIFS([0]!psuv,[0]!municipio,$B6,[0]!turno,H$2)</f>
        <v>31</v>
      </c>
      <c r="I6" s="7">
        <f>SUMIFS([0]!psuv,[0]!municipio,$B6,[0]!turno,I$2)</f>
        <v>53</v>
      </c>
      <c r="J6" s="7">
        <f>SUMIFS([0]!psuv,[0]!municipio,$B6,[0]!turno,J$2)</f>
        <v>59</v>
      </c>
      <c r="K6" s="7">
        <f>SUMIFS([0]!psuv,[0]!municipio,$B6,[0]!turno,K$2)</f>
        <v>52</v>
      </c>
      <c r="L6" s="7">
        <f>SUMIFS([0]!psuv,[0]!municipio,$B6,[0]!turno,L$2)</f>
        <v>49</v>
      </c>
      <c r="M6" s="7">
        <f>SUMIFS([0]!psuv,[0]!municipio,$B6,[0]!turno,M$2)</f>
        <v>47</v>
      </c>
      <c r="N6" s="7">
        <f>SUMIFS([0]!psuv,[0]!municipio,$B6,[0]!turno,N$2)</f>
        <v>47</v>
      </c>
      <c r="O6" s="7">
        <f>SUMIFS([0]!psuv,[0]!municipio,$B6,[0]!turno,O$2)</f>
        <v>49</v>
      </c>
      <c r="P6" s="7">
        <f>SUMIFS([0]!psuv,[0]!municipio,$B6,[0]!turno,P$2)</f>
        <v>39</v>
      </c>
      <c r="Q6" s="7">
        <f>SUMIFS([0]!psuv,[0]!municipio,$B6,[0]!turno,Q$2)</f>
        <v>38</v>
      </c>
      <c r="R6" s="7">
        <f>SUMIFS([0]!psuv,[0]!municipio,$B6,[0]!turno,R$2)</f>
        <v>35</v>
      </c>
      <c r="S6" s="7">
        <f>SUMIFS([0]!psuv,[0]!municipio,$B6,[0]!turno,S$2)</f>
        <v>24</v>
      </c>
      <c r="T6" s="7">
        <f>SUMIFS([0]!psuv,[0]!municipio,$B6,[0]!turno,T$2)</f>
        <v>45</v>
      </c>
      <c r="U6" s="7">
        <f>SUMIFS([0]!psuv,[0]!municipio,$B6,[0]!turno,U$2)</f>
        <v>37</v>
      </c>
      <c r="V6" s="7">
        <f>SUMIFS([0]!psuv,[0]!municipio,$B6,[0]!turno,V$2)</f>
        <v>33</v>
      </c>
      <c r="W6" s="28">
        <f>SUMIFS([0]!psuv,[0]!municipio,$B6,[0]!turno,W$2)</f>
        <v>34</v>
      </c>
    </row>
    <row r="7" spans="2:23" x14ac:dyDescent="0.25">
      <c r="B7" s="23" t="s">
        <v>8</v>
      </c>
      <c r="C7" s="4" t="s">
        <v>107</v>
      </c>
      <c r="D7" s="37">
        <f>IF((E6+E7+E8)=0,0,E7/(E6+E7+E8))</f>
        <v>0.24495412844036699</v>
      </c>
      <c r="E7" s="5">
        <f t="shared" si="0"/>
        <v>267</v>
      </c>
      <c r="F7" s="5">
        <f>SUMIFS([0]!mud,[0]!municipio,$B6,[0]!turno,F$2)</f>
        <v>4</v>
      </c>
      <c r="G7" s="5">
        <f>SUMIFS([0]!mud,[0]!municipio,$B6,[0]!turno,G$2)</f>
        <v>7</v>
      </c>
      <c r="H7" s="5">
        <f>SUMIFS([0]!mud,[0]!municipio,$B6,[0]!turno,H$2)</f>
        <v>11</v>
      </c>
      <c r="I7" s="5">
        <f>SUMIFS([0]!mud,[0]!municipio,$B6,[0]!turno,I$2)</f>
        <v>14</v>
      </c>
      <c r="J7" s="5">
        <f>SUMIFS([0]!mud,[0]!municipio,$B6,[0]!turno,J$2)</f>
        <v>21</v>
      </c>
      <c r="K7" s="5">
        <f>SUMIFS([0]!mud,[0]!municipio,$B6,[0]!turno,K$2)</f>
        <v>18</v>
      </c>
      <c r="L7" s="5">
        <f>SUMIFS([0]!mud,[0]!municipio,$B6,[0]!turno,L$2)</f>
        <v>20</v>
      </c>
      <c r="M7" s="5">
        <f>SUMIFS([0]!mud,[0]!municipio,$B6,[0]!turno,M$2)</f>
        <v>22</v>
      </c>
      <c r="N7" s="5">
        <f>SUMIFS([0]!mud,[0]!municipio,$B6,[0]!turno,N$2)</f>
        <v>21</v>
      </c>
      <c r="O7" s="5">
        <f>SUMIFS([0]!mud,[0]!municipio,$B6,[0]!turno,O$2)</f>
        <v>27</v>
      </c>
      <c r="P7" s="5">
        <f>SUMIFS([0]!mud,[0]!municipio,$B6,[0]!turno,P$2)</f>
        <v>21</v>
      </c>
      <c r="Q7" s="5">
        <f>SUMIFS([0]!mud,[0]!municipio,$B6,[0]!turno,Q$2)</f>
        <v>11</v>
      </c>
      <c r="R7" s="5">
        <f>SUMIFS([0]!mud,[0]!municipio,$B6,[0]!turno,R$2)</f>
        <v>9</v>
      </c>
      <c r="S7" s="5">
        <f>SUMIFS([0]!mud,[0]!municipio,$B6,[0]!turno,S$2)</f>
        <v>12</v>
      </c>
      <c r="T7" s="5">
        <f>SUMIFS([0]!mud,[0]!municipio,$B6,[0]!turno,T$2)</f>
        <v>12</v>
      </c>
      <c r="U7" s="5">
        <f>SUMIFS([0]!mud,[0]!municipio,$B6,[0]!turno,U$2)</f>
        <v>15</v>
      </c>
      <c r="V7" s="5">
        <f>SUMIFS([0]!mud,[0]!municipio,$B6,[0]!turno,V$2)</f>
        <v>9</v>
      </c>
      <c r="W7" s="26">
        <f>SUMIFS([0]!mud,[0]!municipio,$B6,[0]!turno,W$2)</f>
        <v>13</v>
      </c>
    </row>
    <row r="8" spans="2:23" ht="15.75" thickBot="1" x14ac:dyDescent="0.3">
      <c r="B8" s="24">
        <v>0.23892398712380891</v>
      </c>
      <c r="C8" s="12" t="s">
        <v>0</v>
      </c>
      <c r="D8" s="38">
        <f>IF((E6+E7+E8)=0,0,E8/(E6+E7+E8))</f>
        <v>5.1376146788990829E-2</v>
      </c>
      <c r="E8" s="13">
        <f t="shared" si="0"/>
        <v>56</v>
      </c>
      <c r="F8" s="13">
        <f>SUMIFS([0]!otro,[0]!municipio,$B6,[0]!turno,F$2)</f>
        <v>2</v>
      </c>
      <c r="G8" s="13">
        <f>SUMIFS([0]!otro,[0]!municipio,$B6,[0]!turno,G$2)</f>
        <v>3</v>
      </c>
      <c r="H8" s="13">
        <f>SUMIFS([0]!otro,[0]!municipio,$B6,[0]!turno,H$2)</f>
        <v>2</v>
      </c>
      <c r="I8" s="13">
        <f>SUMIFS([0]!otro,[0]!municipio,$B6,[0]!turno,I$2)</f>
        <v>0</v>
      </c>
      <c r="J8" s="13">
        <f>SUMIFS([0]!otro,[0]!municipio,$B6,[0]!turno,J$2)</f>
        <v>2</v>
      </c>
      <c r="K8" s="13">
        <f>SUMIFS([0]!otro,[0]!municipio,$B6,[0]!turno,K$2)</f>
        <v>1</v>
      </c>
      <c r="L8" s="13">
        <f>SUMIFS([0]!otro,[0]!municipio,$B6,[0]!turno,L$2)</f>
        <v>3</v>
      </c>
      <c r="M8" s="13">
        <f>SUMIFS([0]!otro,[0]!municipio,$B6,[0]!turno,M$2)</f>
        <v>3</v>
      </c>
      <c r="N8" s="13">
        <f>SUMIFS([0]!otro,[0]!municipio,$B6,[0]!turno,N$2)</f>
        <v>3</v>
      </c>
      <c r="O8" s="13">
        <f>SUMIFS([0]!otro,[0]!municipio,$B6,[0]!turno,O$2)</f>
        <v>0</v>
      </c>
      <c r="P8" s="13">
        <f>SUMIFS([0]!otro,[0]!municipio,$B6,[0]!turno,P$2)</f>
        <v>7</v>
      </c>
      <c r="Q8" s="13">
        <f>SUMIFS([0]!otro,[0]!municipio,$B6,[0]!turno,Q$2)</f>
        <v>4</v>
      </c>
      <c r="R8" s="13">
        <f>SUMIFS([0]!otro,[0]!municipio,$B6,[0]!turno,R$2)</f>
        <v>3</v>
      </c>
      <c r="S8" s="13">
        <f>SUMIFS([0]!otro,[0]!municipio,$B6,[0]!turno,S$2)</f>
        <v>1</v>
      </c>
      <c r="T8" s="13">
        <f>SUMIFS([0]!otro,[0]!municipio,$B6,[0]!turno,T$2)</f>
        <v>11</v>
      </c>
      <c r="U8" s="13">
        <f>SUMIFS([0]!otro,[0]!municipio,$B6,[0]!turno,U$2)</f>
        <v>7</v>
      </c>
      <c r="V8" s="13">
        <f>SUMIFS([0]!otro,[0]!municipio,$B6,[0]!turno,V$2)</f>
        <v>1</v>
      </c>
      <c r="W8" s="29">
        <f>SUMIFS([0]!otro,[0]!municipio,$B6,[0]!turno,W$2)</f>
        <v>3</v>
      </c>
    </row>
    <row r="9" spans="2:23" x14ac:dyDescent="0.25">
      <c r="B9" s="19">
        <v>63</v>
      </c>
      <c r="C9" s="8" t="s">
        <v>106</v>
      </c>
      <c r="D9" s="36">
        <f>IF((E9+E10+E11)=0,0,E9/(E9+E10+E11))</f>
        <v>0.70588235294117652</v>
      </c>
      <c r="E9" s="9">
        <f t="shared" si="0"/>
        <v>120</v>
      </c>
      <c r="F9" s="9">
        <f>SUMIFS([0]!psuv,[0]!municipio,$B9,[0]!turno,F$2)</f>
        <v>10</v>
      </c>
      <c r="G9" s="9">
        <f>SUMIFS([0]!psuv,[0]!municipio,$B9,[0]!turno,G$2)</f>
        <v>8</v>
      </c>
      <c r="H9" s="9">
        <f>SUMIFS([0]!psuv,[0]!municipio,$B9,[0]!turno,H$2)</f>
        <v>13</v>
      </c>
      <c r="I9" s="9">
        <f>SUMIFS([0]!psuv,[0]!municipio,$B9,[0]!turno,I$2)</f>
        <v>1</v>
      </c>
      <c r="J9" s="9">
        <f>SUMIFS([0]!psuv,[0]!municipio,$B9,[0]!turno,J$2)</f>
        <v>5</v>
      </c>
      <c r="K9" s="9">
        <f>SUMIFS([0]!psuv,[0]!municipio,$B9,[0]!turno,K$2)</f>
        <v>7</v>
      </c>
      <c r="L9" s="9">
        <f>SUMIFS([0]!psuv,[0]!municipio,$B9,[0]!turno,L$2)</f>
        <v>5</v>
      </c>
      <c r="M9" s="9">
        <f>SUMIFS([0]!psuv,[0]!municipio,$B9,[0]!turno,M$2)</f>
        <v>6</v>
      </c>
      <c r="N9" s="9">
        <f>SUMIFS([0]!psuv,[0]!municipio,$B9,[0]!turno,N$2)</f>
        <v>5</v>
      </c>
      <c r="O9" s="9">
        <f>SUMIFS([0]!psuv,[0]!municipio,$B9,[0]!turno,O$2)</f>
        <v>4</v>
      </c>
      <c r="P9" s="9">
        <f>SUMIFS([0]!psuv,[0]!municipio,$B9,[0]!turno,P$2)</f>
        <v>5</v>
      </c>
      <c r="Q9" s="9">
        <f>SUMIFS([0]!psuv,[0]!municipio,$B9,[0]!turno,Q$2)</f>
        <v>7</v>
      </c>
      <c r="R9" s="9">
        <f>SUMIFS([0]!psuv,[0]!municipio,$B9,[0]!turno,R$2)</f>
        <v>7</v>
      </c>
      <c r="S9" s="9">
        <f>SUMIFS([0]!psuv,[0]!municipio,$B9,[0]!turno,S$2)</f>
        <v>8</v>
      </c>
      <c r="T9" s="9">
        <f>SUMIFS([0]!psuv,[0]!municipio,$B9,[0]!turno,T$2)</f>
        <v>10</v>
      </c>
      <c r="U9" s="9">
        <f>SUMIFS([0]!psuv,[0]!municipio,$B9,[0]!turno,U$2)</f>
        <v>5</v>
      </c>
      <c r="V9" s="9">
        <f>SUMIFS([0]!psuv,[0]!municipio,$B9,[0]!turno,V$2)</f>
        <v>5</v>
      </c>
      <c r="W9" s="25">
        <f>SUMIFS([0]!psuv,[0]!municipio,$B9,[0]!turno,W$2)</f>
        <v>9</v>
      </c>
    </row>
    <row r="10" spans="2:23" x14ac:dyDescent="0.25">
      <c r="B10" s="20" t="s">
        <v>69</v>
      </c>
      <c r="C10" s="4" t="s">
        <v>107</v>
      </c>
      <c r="D10" s="37">
        <f>IF((E9+E10+E11)=0,0,E10/(E9+E10+E11))</f>
        <v>0.28823529411764703</v>
      </c>
      <c r="E10" s="5">
        <f t="shared" si="0"/>
        <v>49</v>
      </c>
      <c r="F10" s="5">
        <f>SUMIFS([0]!mud,[0]!municipio,$B9,[0]!turno,F$2)</f>
        <v>0</v>
      </c>
      <c r="G10" s="5">
        <f>SUMIFS([0]!mud,[0]!municipio,$B9,[0]!turno,G$2)</f>
        <v>2</v>
      </c>
      <c r="H10" s="5">
        <f>SUMIFS([0]!mud,[0]!municipio,$B9,[0]!turno,H$2)</f>
        <v>0</v>
      </c>
      <c r="I10" s="5">
        <f>SUMIFS([0]!mud,[0]!municipio,$B9,[0]!turno,I$2)</f>
        <v>5</v>
      </c>
      <c r="J10" s="5">
        <f>SUMIFS([0]!mud,[0]!municipio,$B9,[0]!turno,J$2)</f>
        <v>1</v>
      </c>
      <c r="K10" s="5">
        <f>SUMIFS([0]!mud,[0]!municipio,$B9,[0]!turno,K$2)</f>
        <v>0</v>
      </c>
      <c r="L10" s="5">
        <f>SUMIFS([0]!mud,[0]!municipio,$B9,[0]!turno,L$2)</f>
        <v>1</v>
      </c>
      <c r="M10" s="5">
        <f>SUMIFS([0]!mud,[0]!municipio,$B9,[0]!turno,M$2)</f>
        <v>2</v>
      </c>
      <c r="N10" s="5">
        <f>SUMIFS([0]!mud,[0]!municipio,$B9,[0]!turno,N$2)</f>
        <v>2</v>
      </c>
      <c r="O10" s="5">
        <f>SUMIFS([0]!mud,[0]!municipio,$B9,[0]!turno,O$2)</f>
        <v>3</v>
      </c>
      <c r="P10" s="5">
        <f>SUMIFS([0]!mud,[0]!municipio,$B9,[0]!turno,P$2)</f>
        <v>1</v>
      </c>
      <c r="Q10" s="5">
        <f>SUMIFS([0]!mud,[0]!municipio,$B9,[0]!turno,Q$2)</f>
        <v>3</v>
      </c>
      <c r="R10" s="5">
        <f>SUMIFS([0]!mud,[0]!municipio,$B9,[0]!turno,R$2)</f>
        <v>1</v>
      </c>
      <c r="S10" s="5">
        <f>SUMIFS([0]!mud,[0]!municipio,$B9,[0]!turno,S$2)</f>
        <v>6</v>
      </c>
      <c r="T10" s="5">
        <f>SUMIFS([0]!mud,[0]!municipio,$B9,[0]!turno,T$2)</f>
        <v>1</v>
      </c>
      <c r="U10" s="5">
        <f>SUMIFS([0]!mud,[0]!municipio,$B9,[0]!turno,U$2)</f>
        <v>7</v>
      </c>
      <c r="V10" s="5">
        <f>SUMIFS([0]!mud,[0]!municipio,$B9,[0]!turno,V$2)</f>
        <v>6</v>
      </c>
      <c r="W10" s="26">
        <f>SUMIFS([0]!mud,[0]!municipio,$B9,[0]!turno,W$2)</f>
        <v>8</v>
      </c>
    </row>
    <row r="11" spans="2:23" ht="15.75" thickBot="1" x14ac:dyDescent="0.3">
      <c r="B11" s="21">
        <v>0.13664496552167038</v>
      </c>
      <c r="C11" s="10" t="s">
        <v>0</v>
      </c>
      <c r="D11" s="38">
        <f>IF((E9+E10+E11)=0,0,E11/(E9+E10+E11))</f>
        <v>5.8823529411764705E-3</v>
      </c>
      <c r="E11" s="11">
        <f t="shared" si="0"/>
        <v>1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1</v>
      </c>
    </row>
    <row r="12" spans="2:23" x14ac:dyDescent="0.25">
      <c r="B12" s="22">
        <v>64</v>
      </c>
      <c r="C12" s="6" t="s">
        <v>106</v>
      </c>
      <c r="D12" s="36">
        <f>IF((E12+E13+E14)=0,0,E12/(E12+E13+E14))</f>
        <v>0</v>
      </c>
      <c r="E12" s="7">
        <f t="shared" si="0"/>
        <v>0</v>
      </c>
      <c r="F12" s="7">
        <f>SUMIFS([0]!psuv,[0]!municipio,$B12,[0]!turno,F$2)</f>
        <v>0</v>
      </c>
      <c r="G12" s="7">
        <f>SUMIFS([0]!psuv,[0]!municipio,$B12,[0]!turno,G$2)</f>
        <v>0</v>
      </c>
      <c r="H12" s="7">
        <f>SUMIFS([0]!psuv,[0]!municipio,$B12,[0]!turno,H$2)</f>
        <v>0</v>
      </c>
      <c r="I12" s="7">
        <f>SUMIFS([0]!psuv,[0]!municipio,$B12,[0]!turno,I$2)</f>
        <v>0</v>
      </c>
      <c r="J12" s="7">
        <f>SUMIFS([0]!psuv,[0]!municipio,$B12,[0]!turno,J$2)</f>
        <v>0</v>
      </c>
      <c r="K12" s="7">
        <f>SUMIFS([0]!psuv,[0]!municipio,$B12,[0]!turno,K$2)</f>
        <v>0</v>
      </c>
      <c r="L12" s="7">
        <f>SUMIFS([0]!psuv,[0]!municipio,$B12,[0]!turno,L$2)</f>
        <v>0</v>
      </c>
      <c r="M12" s="7">
        <f>SUMIFS([0]!psuv,[0]!municipio,$B12,[0]!turno,M$2)</f>
        <v>0</v>
      </c>
      <c r="N12" s="7">
        <f>SUMIFS([0]!psuv,[0]!municipio,$B12,[0]!turno,N$2)</f>
        <v>0</v>
      </c>
      <c r="O12" s="7">
        <f>SUMIFS([0]!psuv,[0]!municipio,$B12,[0]!turno,O$2)</f>
        <v>0</v>
      </c>
      <c r="P12" s="7">
        <f>SUMIFS([0]!psuv,[0]!municipio,$B12,[0]!turno,P$2)</f>
        <v>0</v>
      </c>
      <c r="Q12" s="7">
        <f>SUMIFS([0]!psuv,[0]!municipio,$B12,[0]!turno,Q$2)</f>
        <v>0</v>
      </c>
      <c r="R12" s="7">
        <f>SUMIFS([0]!psuv,[0]!municipio,$B12,[0]!turno,R$2)</f>
        <v>0</v>
      </c>
      <c r="S12" s="7">
        <f>SUMIFS([0]!psuv,[0]!municipio,$B12,[0]!turno,S$2)</f>
        <v>0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23" t="s">
        <v>180</v>
      </c>
      <c r="C13" s="4" t="s">
        <v>107</v>
      </c>
      <c r="D13" s="37">
        <f>IF((E12+E13+E14)=0,0,E13/(E12+E13+E14))</f>
        <v>0</v>
      </c>
      <c r="E13" s="5">
        <f t="shared" si="0"/>
        <v>0</v>
      </c>
      <c r="F13" s="5">
        <f>SUMIFS([0]!mud,[0]!municipio,$B12,[0]!turno,F$2)</f>
        <v>0</v>
      </c>
      <c r="G13" s="5">
        <f>SUMIFS([0]!mud,[0]!municipio,$B12,[0]!turno,G$2)</f>
        <v>0</v>
      </c>
      <c r="H13" s="5">
        <f>SUMIFS([0]!mud,[0]!municipio,$B12,[0]!turno,H$2)</f>
        <v>0</v>
      </c>
      <c r="I13" s="5">
        <f>SUMIFS([0]!mud,[0]!municipio,$B12,[0]!turno,I$2)</f>
        <v>0</v>
      </c>
      <c r="J13" s="5">
        <f>SUMIFS([0]!mud,[0]!municipio,$B12,[0]!turno,J$2)</f>
        <v>0</v>
      </c>
      <c r="K13" s="5">
        <f>SUMIFS([0]!mud,[0]!municipio,$B12,[0]!turno,K$2)</f>
        <v>0</v>
      </c>
      <c r="L13" s="5">
        <f>SUMIFS([0]!mud,[0]!municipio,$B12,[0]!turno,L$2)</f>
        <v>0</v>
      </c>
      <c r="M13" s="5">
        <f>SUMIFS([0]!mud,[0]!municipio,$B12,[0]!turno,M$2)</f>
        <v>0</v>
      </c>
      <c r="N13" s="5">
        <f>SUMIFS([0]!mud,[0]!municipio,$B12,[0]!turno,N$2)</f>
        <v>0</v>
      </c>
      <c r="O13" s="5">
        <f>SUMIFS([0]!mud,[0]!municipio,$B12,[0]!turno,O$2)</f>
        <v>0</v>
      </c>
      <c r="P13" s="5">
        <f>SUMIFS([0]!mud,[0]!municipio,$B12,[0]!turno,P$2)</f>
        <v>0</v>
      </c>
      <c r="Q13" s="5">
        <f>SUMIFS([0]!mud,[0]!municipio,$B12,[0]!turno,Q$2)</f>
        <v>0</v>
      </c>
      <c r="R13" s="5">
        <f>SUMIFS([0]!mud,[0]!municipio,$B12,[0]!turno,R$2)</f>
        <v>0</v>
      </c>
      <c r="S13" s="5">
        <f>SUMIFS([0]!mud,[0]!municipio,$B12,[0]!turno,S$2)</f>
        <v>0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24">
        <v>7.3449411714336943E-2</v>
      </c>
      <c r="C14" s="12" t="s">
        <v>0</v>
      </c>
      <c r="D14" s="38">
        <f>IF((E12+E13+E14)=0,0,E14/(E12+E13+E14))</f>
        <v>0</v>
      </c>
      <c r="E14" s="13">
        <f t="shared" si="0"/>
        <v>0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65</v>
      </c>
      <c r="C15" s="8" t="s">
        <v>106</v>
      </c>
      <c r="D15" s="36">
        <f>IF((E15+E16+E17)=0,0,E15/(E15+E16+E17))</f>
        <v>0.72099853157121885</v>
      </c>
      <c r="E15" s="9">
        <f t="shared" si="0"/>
        <v>491</v>
      </c>
      <c r="F15" s="9">
        <f>SUMIFS([0]!psuv,[0]!municipio,$B15,[0]!turno,F$2)</f>
        <v>8</v>
      </c>
      <c r="G15" s="9">
        <f>SUMIFS([0]!psuv,[0]!municipio,$B15,[0]!turno,G$2)</f>
        <v>39</v>
      </c>
      <c r="H15" s="9">
        <f>SUMIFS([0]!psuv,[0]!municipio,$B15,[0]!turno,H$2)</f>
        <v>23</v>
      </c>
      <c r="I15" s="9">
        <f>SUMIFS([0]!psuv,[0]!municipio,$B15,[0]!turno,I$2)</f>
        <v>22</v>
      </c>
      <c r="J15" s="9">
        <f>SUMIFS([0]!psuv,[0]!municipio,$B15,[0]!turno,J$2)</f>
        <v>34</v>
      </c>
      <c r="K15" s="9">
        <f>SUMIFS([0]!psuv,[0]!municipio,$B15,[0]!turno,K$2)</f>
        <v>40</v>
      </c>
      <c r="L15" s="9">
        <f>SUMIFS([0]!psuv,[0]!municipio,$B15,[0]!turno,L$2)</f>
        <v>34</v>
      </c>
      <c r="M15" s="9">
        <f>SUMIFS([0]!psuv,[0]!municipio,$B15,[0]!turno,M$2)</f>
        <v>46</v>
      </c>
      <c r="N15" s="9">
        <f>SUMIFS([0]!psuv,[0]!municipio,$B15,[0]!turno,N$2)</f>
        <v>29</v>
      </c>
      <c r="O15" s="9">
        <f>SUMIFS([0]!psuv,[0]!municipio,$B15,[0]!turno,O$2)</f>
        <v>33</v>
      </c>
      <c r="P15" s="9">
        <f>SUMIFS([0]!psuv,[0]!municipio,$B15,[0]!turno,P$2)</f>
        <v>35</v>
      </c>
      <c r="Q15" s="9">
        <f>SUMIFS([0]!psuv,[0]!municipio,$B15,[0]!turno,Q$2)</f>
        <v>23</v>
      </c>
      <c r="R15" s="9">
        <f>SUMIFS([0]!psuv,[0]!municipio,$B15,[0]!turno,R$2)</f>
        <v>15</v>
      </c>
      <c r="S15" s="9">
        <f>SUMIFS([0]!psuv,[0]!municipio,$B15,[0]!turno,S$2)</f>
        <v>24</v>
      </c>
      <c r="T15" s="9">
        <f>SUMIFS([0]!psuv,[0]!municipio,$B15,[0]!turno,T$2)</f>
        <v>24</v>
      </c>
      <c r="U15" s="9">
        <f>SUMIFS([0]!psuv,[0]!municipio,$B15,[0]!turno,U$2)</f>
        <v>21</v>
      </c>
      <c r="V15" s="9">
        <f>SUMIFS([0]!psuv,[0]!municipio,$B15,[0]!turno,V$2)</f>
        <v>18</v>
      </c>
      <c r="W15" s="25">
        <f>SUMIFS([0]!psuv,[0]!municipio,$B15,[0]!turno,W$2)</f>
        <v>23</v>
      </c>
    </row>
    <row r="16" spans="2:23" x14ac:dyDescent="0.25">
      <c r="B16" s="20" t="s">
        <v>103</v>
      </c>
      <c r="C16" s="4" t="s">
        <v>107</v>
      </c>
      <c r="D16" s="37">
        <f>IF((E15+E16+E17)=0,0,E16/(E15+E16+E17))</f>
        <v>0.27165932452276065</v>
      </c>
      <c r="E16" s="5">
        <f t="shared" si="0"/>
        <v>185</v>
      </c>
      <c r="F16" s="5">
        <f>SUMIFS([0]!mud,[0]!municipio,$B15,[0]!turno,F$2)</f>
        <v>4</v>
      </c>
      <c r="G16" s="5">
        <f>SUMIFS([0]!mud,[0]!municipio,$B15,[0]!turno,G$2)</f>
        <v>27</v>
      </c>
      <c r="H16" s="5">
        <f>SUMIFS([0]!mud,[0]!municipio,$B15,[0]!turno,H$2)</f>
        <v>15</v>
      </c>
      <c r="I16" s="5">
        <f>SUMIFS([0]!mud,[0]!municipio,$B15,[0]!turno,I$2)</f>
        <v>7</v>
      </c>
      <c r="J16" s="5">
        <f>SUMIFS([0]!mud,[0]!municipio,$B15,[0]!turno,J$2)</f>
        <v>10</v>
      </c>
      <c r="K16" s="5">
        <f>SUMIFS([0]!mud,[0]!municipio,$B15,[0]!turno,K$2)</f>
        <v>11</v>
      </c>
      <c r="L16" s="5">
        <f>SUMIFS([0]!mud,[0]!municipio,$B15,[0]!turno,L$2)</f>
        <v>19</v>
      </c>
      <c r="M16" s="5">
        <f>SUMIFS([0]!mud,[0]!municipio,$B15,[0]!turno,M$2)</f>
        <v>13</v>
      </c>
      <c r="N16" s="5">
        <f>SUMIFS([0]!mud,[0]!municipio,$B15,[0]!turno,N$2)</f>
        <v>17</v>
      </c>
      <c r="O16" s="5">
        <f>SUMIFS([0]!mud,[0]!municipio,$B15,[0]!turno,O$2)</f>
        <v>15</v>
      </c>
      <c r="P16" s="5">
        <f>SUMIFS([0]!mud,[0]!municipio,$B15,[0]!turno,P$2)</f>
        <v>3</v>
      </c>
      <c r="Q16" s="5">
        <f>SUMIFS([0]!mud,[0]!municipio,$B15,[0]!turno,Q$2)</f>
        <v>7</v>
      </c>
      <c r="R16" s="5">
        <f>SUMIFS([0]!mud,[0]!municipio,$B15,[0]!turno,R$2)</f>
        <v>4</v>
      </c>
      <c r="S16" s="5">
        <f>SUMIFS([0]!mud,[0]!municipio,$B15,[0]!turno,S$2)</f>
        <v>8</v>
      </c>
      <c r="T16" s="5">
        <f>SUMIFS([0]!mud,[0]!municipio,$B15,[0]!turno,T$2)</f>
        <v>2</v>
      </c>
      <c r="U16" s="5">
        <f>SUMIFS([0]!mud,[0]!municipio,$B15,[0]!turno,U$2)</f>
        <v>4</v>
      </c>
      <c r="V16" s="5">
        <f>SUMIFS([0]!mud,[0]!municipio,$B15,[0]!turno,V$2)</f>
        <v>10</v>
      </c>
      <c r="W16" s="26">
        <f>SUMIFS([0]!mud,[0]!municipio,$B15,[0]!turno,W$2)</f>
        <v>9</v>
      </c>
    </row>
    <row r="17" spans="2:23" ht="15.75" thickBot="1" x14ac:dyDescent="0.3">
      <c r="B17" s="21">
        <v>0.22837043399614143</v>
      </c>
      <c r="C17" s="10" t="s">
        <v>0</v>
      </c>
      <c r="D17" s="38">
        <f>IF((E15+E16+E17)=0,0,E17/(E15+E16+E17))</f>
        <v>7.3421439060205578E-3</v>
      </c>
      <c r="E17" s="11">
        <f t="shared" si="0"/>
        <v>5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3</v>
      </c>
      <c r="N17" s="11">
        <f>SUMIFS([0]!otro,[0]!municipio,$B15,[0]!turno,N$2)</f>
        <v>1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1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66</v>
      </c>
      <c r="C18" s="6" t="s">
        <v>106</v>
      </c>
      <c r="D18" s="36">
        <f>IF((E18+E19+E20)=0,0,E18/(E18+E19+E20))</f>
        <v>0.77777777777777779</v>
      </c>
      <c r="E18" s="7">
        <f t="shared" si="0"/>
        <v>350</v>
      </c>
      <c r="F18" s="7">
        <f>SUMIFS([0]!psuv,[0]!municipio,$B18,[0]!turno,F$2)</f>
        <v>36</v>
      </c>
      <c r="G18" s="7">
        <f>SUMIFS([0]!psuv,[0]!municipio,$B18,[0]!turno,G$2)</f>
        <v>18</v>
      </c>
      <c r="H18" s="7">
        <f>SUMIFS([0]!psuv,[0]!municipio,$B18,[0]!turno,H$2)</f>
        <v>21</v>
      </c>
      <c r="I18" s="7">
        <f>SUMIFS([0]!psuv,[0]!municipio,$B18,[0]!turno,I$2)</f>
        <v>14</v>
      </c>
      <c r="J18" s="7">
        <f>SUMIFS([0]!psuv,[0]!municipio,$B18,[0]!turno,J$2)</f>
        <v>27</v>
      </c>
      <c r="K18" s="7">
        <f>SUMIFS([0]!psuv,[0]!municipio,$B18,[0]!turno,K$2)</f>
        <v>17</v>
      </c>
      <c r="L18" s="7">
        <f>SUMIFS([0]!psuv,[0]!municipio,$B18,[0]!turno,L$2)</f>
        <v>22</v>
      </c>
      <c r="M18" s="7">
        <f>SUMIFS([0]!psuv,[0]!municipio,$B18,[0]!turno,M$2)</f>
        <v>23</v>
      </c>
      <c r="N18" s="7">
        <f>SUMIFS([0]!psuv,[0]!municipio,$B18,[0]!turno,N$2)</f>
        <v>18</v>
      </c>
      <c r="O18" s="7">
        <f>SUMIFS([0]!psuv,[0]!municipio,$B18,[0]!turno,O$2)</f>
        <v>16</v>
      </c>
      <c r="P18" s="7">
        <f>SUMIFS([0]!psuv,[0]!municipio,$B18,[0]!turno,P$2)</f>
        <v>0</v>
      </c>
      <c r="Q18" s="7">
        <f>SUMIFS([0]!psuv,[0]!municipio,$B18,[0]!turno,Q$2)</f>
        <v>16</v>
      </c>
      <c r="R18" s="7">
        <f>SUMIFS([0]!psuv,[0]!municipio,$B18,[0]!turno,R$2)</f>
        <v>19</v>
      </c>
      <c r="S18" s="7">
        <f>SUMIFS([0]!psuv,[0]!municipio,$B18,[0]!turno,S$2)</f>
        <v>24</v>
      </c>
      <c r="T18" s="7">
        <f>SUMIFS([0]!psuv,[0]!municipio,$B18,[0]!turno,T$2)</f>
        <v>17</v>
      </c>
      <c r="U18" s="7">
        <f>SUMIFS([0]!psuv,[0]!municipio,$B18,[0]!turno,U$2)</f>
        <v>15</v>
      </c>
      <c r="V18" s="7">
        <f>SUMIFS([0]!psuv,[0]!municipio,$B18,[0]!turno,V$2)</f>
        <v>26</v>
      </c>
      <c r="W18" s="28">
        <f>SUMIFS([0]!psuv,[0]!municipio,$B18,[0]!turno,W$2)</f>
        <v>21</v>
      </c>
    </row>
    <row r="19" spans="2:23" x14ac:dyDescent="0.25">
      <c r="B19" s="23" t="s">
        <v>104</v>
      </c>
      <c r="C19" s="4" t="s">
        <v>107</v>
      </c>
      <c r="D19" s="37">
        <f>IF((E18+E19+E20)=0,0,E19/(E18+E19+E20))</f>
        <v>0.22222222222222221</v>
      </c>
      <c r="E19" s="5">
        <f t="shared" si="0"/>
        <v>100</v>
      </c>
      <c r="F19" s="5">
        <f>SUMIFS([0]!mud,[0]!municipio,$B18,[0]!turno,F$2)</f>
        <v>1</v>
      </c>
      <c r="G19" s="5">
        <f>SUMIFS([0]!mud,[0]!municipio,$B18,[0]!turno,G$2)</f>
        <v>4</v>
      </c>
      <c r="H19" s="5">
        <f>SUMIFS([0]!mud,[0]!municipio,$B18,[0]!turno,H$2)</f>
        <v>5</v>
      </c>
      <c r="I19" s="5">
        <f>SUMIFS([0]!mud,[0]!municipio,$B18,[0]!turno,I$2)</f>
        <v>0</v>
      </c>
      <c r="J19" s="5">
        <f>SUMIFS([0]!mud,[0]!municipio,$B18,[0]!turno,J$2)</f>
        <v>2</v>
      </c>
      <c r="K19" s="5">
        <f>SUMIFS([0]!mud,[0]!municipio,$B18,[0]!turno,K$2)</f>
        <v>5</v>
      </c>
      <c r="L19" s="5">
        <f>SUMIFS([0]!mud,[0]!municipio,$B18,[0]!turno,L$2)</f>
        <v>7</v>
      </c>
      <c r="M19" s="5">
        <f>SUMIFS([0]!mud,[0]!municipio,$B18,[0]!turno,M$2)</f>
        <v>7</v>
      </c>
      <c r="N19" s="5">
        <f>SUMIFS([0]!mud,[0]!municipio,$B18,[0]!turno,N$2)</f>
        <v>10</v>
      </c>
      <c r="O19" s="5">
        <f>SUMIFS([0]!mud,[0]!municipio,$B18,[0]!turno,O$2)</f>
        <v>8</v>
      </c>
      <c r="P19" s="5">
        <f>SUMIFS([0]!mud,[0]!municipio,$B18,[0]!turno,P$2)</f>
        <v>0</v>
      </c>
      <c r="Q19" s="5">
        <f>SUMIFS([0]!mud,[0]!municipio,$B18,[0]!turno,Q$2)</f>
        <v>4</v>
      </c>
      <c r="R19" s="5">
        <f>SUMIFS([0]!mud,[0]!municipio,$B18,[0]!turno,R$2)</f>
        <v>9</v>
      </c>
      <c r="S19" s="5">
        <f>SUMIFS([0]!mud,[0]!municipio,$B18,[0]!turno,S$2)</f>
        <v>7</v>
      </c>
      <c r="T19" s="5">
        <f>SUMIFS([0]!mud,[0]!municipio,$B18,[0]!turno,T$2)</f>
        <v>8</v>
      </c>
      <c r="U19" s="5">
        <f>SUMIFS([0]!mud,[0]!municipio,$B18,[0]!turno,U$2)</f>
        <v>11</v>
      </c>
      <c r="V19" s="5">
        <f>SUMIFS([0]!mud,[0]!municipio,$B18,[0]!turno,V$2)</f>
        <v>3</v>
      </c>
      <c r="W19" s="26">
        <f>SUMIFS([0]!mud,[0]!municipio,$B18,[0]!turno,W$2)</f>
        <v>9</v>
      </c>
    </row>
    <row r="20" spans="2:23" ht="15.75" thickBot="1" x14ac:dyDescent="0.3">
      <c r="B20" s="21">
        <v>0.10947438274825869</v>
      </c>
      <c r="C20" s="10" t="s">
        <v>0</v>
      </c>
      <c r="D20" s="38">
        <f>IF((E18+E19+E20)=0,0,E20/(E18+E19+E20))</f>
        <v>0</v>
      </c>
      <c r="E20" s="11">
        <f t="shared" si="0"/>
        <v>0</v>
      </c>
      <c r="F20" s="11">
        <f>SUMIFS([0]!otro,[0]!municipio,$B18,[0]!turno,F$2)</f>
        <v>0</v>
      </c>
      <c r="G20" s="11">
        <f>SUMIFS([0]!otro,[0]!municipio,$B18,[0]!turno,G$2)</f>
        <v>0</v>
      </c>
      <c r="H20" s="11">
        <f>SUMIFS([0]!otro,[0]!municipio,$B18,[0]!turno,H$2)</f>
        <v>0</v>
      </c>
      <c r="I20" s="11">
        <f>SUMIFS([0]!otro,[0]!municipio,$B18,[0]!turno,I$2)</f>
        <v>0</v>
      </c>
      <c r="J20" s="11">
        <f>SUMIFS([0]!otro,[0]!municipio,$B18,[0]!turno,J$2)</f>
        <v>0</v>
      </c>
      <c r="K20" s="11">
        <f>SUMIFS([0]!otro,[0]!municipio,$B18,[0]!turno,K$2)</f>
        <v>0</v>
      </c>
      <c r="L20" s="11">
        <f>SUMIFS([0]!otro,[0]!municipio,$B18,[0]!turno,L$2)</f>
        <v>0</v>
      </c>
      <c r="M20" s="11">
        <f>SUMIFS([0]!otro,[0]!municipio,$B18,[0]!turno,M$2)</f>
        <v>0</v>
      </c>
      <c r="N20" s="11">
        <f>SUMIFS([0]!otro,[0]!municipio,$B18,[0]!turno,N$2)</f>
        <v>0</v>
      </c>
      <c r="O20" s="11">
        <f>SUMIFS([0]!otro,[0]!municipio,$B18,[0]!turno,O$2)</f>
        <v>0</v>
      </c>
      <c r="P20" s="11">
        <f>SUMIFS([0]!otro,[0]!municipio,$B18,[0]!turno,P$2)</f>
        <v>0</v>
      </c>
      <c r="Q20" s="11">
        <f>SUMIFS([0]!otro,[0]!municipio,$B18,[0]!turno,Q$2)</f>
        <v>0</v>
      </c>
      <c r="R20" s="11">
        <f>SUMIFS([0]!otro,[0]!municipio,$B18,[0]!turno,R$2)</f>
        <v>0</v>
      </c>
      <c r="S20" s="11">
        <f>SUMIFS([0]!otro,[0]!municipio,$B18,[0]!turno,S$2)</f>
        <v>0</v>
      </c>
      <c r="T20" s="11">
        <f>SUMIFS([0]!otro,[0]!municipio,$B18,[0]!turno,T$2)</f>
        <v>0</v>
      </c>
      <c r="U20" s="11">
        <f>SUMIFS([0]!otro,[0]!municipio,$B18,[0]!turno,U$2)</f>
        <v>0</v>
      </c>
      <c r="V20" s="11">
        <f>SUMIFS([0]!otro,[0]!municipio,$B18,[0]!turno,V$2)</f>
        <v>0</v>
      </c>
      <c r="W20" s="27">
        <f>SUMIFS([0]!otro,[0]!municipio,$B18,[0]!turno,W$2)</f>
        <v>0</v>
      </c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  <row r="427" spans="2:3" ht="15" customHeight="1" x14ac:dyDescent="0.25">
      <c r="B427"/>
      <c r="C427"/>
    </row>
    <row r="428" spans="2:3" ht="15" customHeight="1" x14ac:dyDescent="0.25">
      <c r="B428"/>
      <c r="C428"/>
    </row>
    <row r="429" spans="2:3" ht="15" customHeight="1" x14ac:dyDescent="0.25">
      <c r="B429"/>
      <c r="C429"/>
    </row>
    <row r="430" spans="2:3" ht="15" customHeight="1" x14ac:dyDescent="0.25">
      <c r="B430"/>
      <c r="C430"/>
    </row>
    <row r="431" spans="2:3" ht="15" customHeight="1" x14ac:dyDescent="0.25">
      <c r="B431"/>
      <c r="C431"/>
    </row>
    <row r="432" spans="2:3" ht="15" customHeight="1" x14ac:dyDescent="0.25">
      <c r="B432"/>
      <c r="C43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B1:W367"/>
  <sheetViews>
    <sheetView zoomScaleNormal="100" workbookViewId="0">
      <selection activeCell="D29" sqref="D29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67</v>
      </c>
      <c r="C3" s="8" t="s">
        <v>106</v>
      </c>
      <c r="D3" s="36">
        <f>IF((E3+E4+E5)=0,0,E3/(E3+E4+E5))</f>
        <v>0</v>
      </c>
      <c r="E3" s="9">
        <f t="shared" ref="E3:E26" si="0">SUM(F3:W3)</f>
        <v>0</v>
      </c>
      <c r="F3" s="9">
        <f>SUMIFS([0]!psuv,[0]!municipio,$B3,[0]!turno,F$2)</f>
        <v>0</v>
      </c>
      <c r="G3" s="9">
        <f>SUMIFS([0]!psuv,[0]!municipio,$B3,[0]!turno,G$2)</f>
        <v>0</v>
      </c>
      <c r="H3" s="9">
        <f>SUMIFS([0]!psuv,[0]!municipio,$B3,[0]!turno,H$2)</f>
        <v>0</v>
      </c>
      <c r="I3" s="9">
        <f>SUMIFS([0]!psuv,[0]!municipio,$B3,[0]!turno,I$2)</f>
        <v>0</v>
      </c>
      <c r="J3" s="9">
        <f>SUMIFS([0]!psuv,[0]!municipio,$B3,[0]!turno,J$2)</f>
        <v>0</v>
      </c>
      <c r="K3" s="9">
        <f>SUMIFS([0]!psuv,[0]!municipio,$B3,[0]!turno,K$2)</f>
        <v>0</v>
      </c>
      <c r="L3" s="9">
        <f>SUMIFS([0]!psuv,[0]!municipio,$B3,[0]!turno,L$2)</f>
        <v>0</v>
      </c>
      <c r="M3" s="9">
        <f>SUMIFS([0]!psuv,[0]!municipio,$B3,[0]!turno,M$2)</f>
        <v>0</v>
      </c>
      <c r="N3" s="9">
        <f>SUMIFS([0]!psuv,[0]!municipio,$B3,[0]!turno,N$2)</f>
        <v>0</v>
      </c>
      <c r="O3" s="9">
        <f>SUMIFS([0]!psuv,[0]!municipio,$B3,[0]!turno,O$2)</f>
        <v>0</v>
      </c>
      <c r="P3" s="9">
        <f>SUMIFS([0]!psuv,[0]!municipio,$B3,[0]!turno,P$2)</f>
        <v>0</v>
      </c>
      <c r="Q3" s="9">
        <f>SUMIFS([0]!psuv,[0]!municipio,$B3,[0]!turno,Q$2)</f>
        <v>0</v>
      </c>
      <c r="R3" s="9">
        <f>SUMIFS([0]!psuv,[0]!municipio,$B3,[0]!turno,R$2)</f>
        <v>0</v>
      </c>
      <c r="S3" s="9">
        <f>SUMIFS([0]!psuv,[0]!municipio,$B3,[0]!turno,S$2)</f>
        <v>0</v>
      </c>
      <c r="T3" s="9">
        <f>SUMIFS([0]!psuv,[0]!municipio,$B3,[0]!turno,T$2)</f>
        <v>0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20" t="s">
        <v>182</v>
      </c>
      <c r="C4" s="4" t="s">
        <v>107</v>
      </c>
      <c r="D4" s="37">
        <f>IF((E3+E4+E5)=0,0,E4/(E3+E4+E5))</f>
        <v>0</v>
      </c>
      <c r="E4" s="5">
        <f t="shared" si="0"/>
        <v>0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0</v>
      </c>
      <c r="I4" s="5">
        <f>SUMIFS([0]!mud,[0]!municipio,$B3,[0]!turno,I$2)</f>
        <v>0</v>
      </c>
      <c r="J4" s="5">
        <f>SUMIFS([0]!mud,[0]!municipio,$B3,[0]!turno,J$2)</f>
        <v>0</v>
      </c>
      <c r="K4" s="5">
        <f>SUMIFS([0]!mud,[0]!municipio,$B3,[0]!turno,K$2)</f>
        <v>0</v>
      </c>
      <c r="L4" s="5">
        <f>SUMIFS([0]!mud,[0]!municipio,$B3,[0]!turno,L$2)</f>
        <v>0</v>
      </c>
      <c r="M4" s="5">
        <f>SUMIFS([0]!mud,[0]!municipio,$B3,[0]!turno,M$2)</f>
        <v>0</v>
      </c>
      <c r="N4" s="5">
        <f>SUMIFS([0]!mud,[0]!municipio,$B3,[0]!turno,N$2)</f>
        <v>0</v>
      </c>
      <c r="O4" s="5">
        <f>SUMIFS([0]!mud,[0]!municipio,$B3,[0]!turno,O$2)</f>
        <v>0</v>
      </c>
      <c r="P4" s="5">
        <f>SUMIFS([0]!mud,[0]!municipio,$B3,[0]!turno,P$2)</f>
        <v>0</v>
      </c>
      <c r="Q4" s="5">
        <f>SUMIFS([0]!mud,[0]!municipio,$B3,[0]!turno,Q$2)</f>
        <v>0</v>
      </c>
      <c r="R4" s="5">
        <f>SUMIFS([0]!mud,[0]!municipio,$B3,[0]!turno,R$2)</f>
        <v>0</v>
      </c>
      <c r="S4" s="5">
        <f>SUMIFS([0]!mud,[0]!municipio,$B3,[0]!turno,S$2)</f>
        <v>0</v>
      </c>
      <c r="T4" s="5">
        <f>SUMIFS([0]!mud,[0]!municipio,$B3,[0]!turno,T$2)</f>
        <v>0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ht="15.75" thickBot="1" x14ac:dyDescent="0.3">
      <c r="B5" s="21">
        <v>2.6331630356192789E-2</v>
      </c>
      <c r="C5" s="10" t="s">
        <v>0</v>
      </c>
      <c r="D5" s="38">
        <f>IF((E3+E4+E5)=0,0,E5/(E3+E4+E5))</f>
        <v>0</v>
      </c>
      <c r="E5" s="11">
        <f t="shared" si="0"/>
        <v>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22">
        <v>68</v>
      </c>
      <c r="C6" s="6" t="s">
        <v>106</v>
      </c>
      <c r="D6" s="36">
        <f>IF((E6+E7+E8)=0,0,E6/(E6+E7+E8))</f>
        <v>0</v>
      </c>
      <c r="E6" s="7">
        <f t="shared" si="0"/>
        <v>0</v>
      </c>
      <c r="F6" s="7">
        <f>SUMIFS([0]!psuv,[0]!municipio,$B6,[0]!turno,F$2)</f>
        <v>0</v>
      </c>
      <c r="G6" s="7">
        <f>SUMIFS([0]!psuv,[0]!municipio,$B6,[0]!turno,G$2)</f>
        <v>0</v>
      </c>
      <c r="H6" s="7">
        <f>SUMIFS([0]!psuv,[0]!municipio,$B6,[0]!turno,H$2)</f>
        <v>0</v>
      </c>
      <c r="I6" s="7">
        <f>SUMIFS([0]!psuv,[0]!municipio,$B6,[0]!turno,I$2)</f>
        <v>0</v>
      </c>
      <c r="J6" s="7">
        <f>SUMIFS([0]!psuv,[0]!municipio,$B6,[0]!turno,J$2)</f>
        <v>0</v>
      </c>
      <c r="K6" s="7">
        <f>SUMIFS([0]!psuv,[0]!municipio,$B6,[0]!turno,K$2)</f>
        <v>0</v>
      </c>
      <c r="L6" s="7">
        <f>SUMIFS([0]!psuv,[0]!municipio,$B6,[0]!turno,L$2)</f>
        <v>0</v>
      </c>
      <c r="M6" s="7">
        <f>SUMIFS([0]!psuv,[0]!municipio,$B6,[0]!turno,M$2)</f>
        <v>0</v>
      </c>
      <c r="N6" s="7">
        <f>SUMIFS([0]!psuv,[0]!municipio,$B6,[0]!turno,N$2)</f>
        <v>0</v>
      </c>
      <c r="O6" s="7">
        <f>SUMIFS([0]!psuv,[0]!municipio,$B6,[0]!turno,O$2)</f>
        <v>0</v>
      </c>
      <c r="P6" s="7">
        <f>SUMIFS([0]!psuv,[0]!municipio,$B6,[0]!turno,P$2)</f>
        <v>0</v>
      </c>
      <c r="Q6" s="7">
        <f>SUMIFS([0]!psuv,[0]!municipio,$B6,[0]!turno,Q$2)</f>
        <v>0</v>
      </c>
      <c r="R6" s="7">
        <f>SUMIFS([0]!psuv,[0]!municipio,$B6,[0]!turno,R$2)</f>
        <v>0</v>
      </c>
      <c r="S6" s="7">
        <f>SUMIFS([0]!psuv,[0]!municipio,$B6,[0]!turno,S$2)</f>
        <v>0</v>
      </c>
      <c r="T6" s="7">
        <f>SUMIFS([0]!psuv,[0]!municipio,$B6,[0]!turno,T$2)</f>
        <v>0</v>
      </c>
      <c r="U6" s="7">
        <f>SUMIFS([0]!psuv,[0]!municipio,$B6,[0]!turno,U$2)</f>
        <v>0</v>
      </c>
      <c r="V6" s="7">
        <f>SUMIFS([0]!psuv,[0]!municipio,$B6,[0]!turno,V$2)</f>
        <v>0</v>
      </c>
      <c r="W6" s="28">
        <f>SUMIFS([0]!psuv,[0]!municipio,$B6,[0]!turno,W$2)</f>
        <v>0</v>
      </c>
    </row>
    <row r="7" spans="2:23" x14ac:dyDescent="0.25">
      <c r="B7" s="23" t="s">
        <v>47</v>
      </c>
      <c r="C7" s="4" t="s">
        <v>107</v>
      </c>
      <c r="D7" s="37">
        <f>IF((E6+E7+E8)=0,0,E7/(E6+E7+E8))</f>
        <v>0</v>
      </c>
      <c r="E7" s="5">
        <f t="shared" si="0"/>
        <v>0</v>
      </c>
      <c r="F7" s="5">
        <f>SUMIFS([0]!mud,[0]!municipio,$B6,[0]!turno,F$2)</f>
        <v>0</v>
      </c>
      <c r="G7" s="5">
        <f>SUMIFS([0]!mud,[0]!municipio,$B6,[0]!turno,G$2)</f>
        <v>0</v>
      </c>
      <c r="H7" s="5">
        <f>SUMIFS([0]!mud,[0]!municipio,$B6,[0]!turno,H$2)</f>
        <v>0</v>
      </c>
      <c r="I7" s="5">
        <f>SUMIFS([0]!mud,[0]!municipio,$B6,[0]!turno,I$2)</f>
        <v>0</v>
      </c>
      <c r="J7" s="5">
        <f>SUMIFS([0]!mud,[0]!municipio,$B6,[0]!turno,J$2)</f>
        <v>0</v>
      </c>
      <c r="K7" s="5">
        <f>SUMIFS([0]!mud,[0]!municipio,$B6,[0]!turno,K$2)</f>
        <v>0</v>
      </c>
      <c r="L7" s="5">
        <f>SUMIFS([0]!mud,[0]!municipio,$B6,[0]!turno,L$2)</f>
        <v>0</v>
      </c>
      <c r="M7" s="5">
        <f>SUMIFS([0]!mud,[0]!municipio,$B6,[0]!turno,M$2)</f>
        <v>0</v>
      </c>
      <c r="N7" s="5">
        <f>SUMIFS([0]!mud,[0]!municipio,$B6,[0]!turno,N$2)</f>
        <v>0</v>
      </c>
      <c r="O7" s="5">
        <f>SUMIFS([0]!mud,[0]!municipio,$B6,[0]!turno,O$2)</f>
        <v>0</v>
      </c>
      <c r="P7" s="5">
        <f>SUMIFS([0]!mud,[0]!municipio,$B6,[0]!turno,P$2)</f>
        <v>0</v>
      </c>
      <c r="Q7" s="5">
        <f>SUMIFS([0]!mud,[0]!municipio,$B6,[0]!turno,Q$2)</f>
        <v>0</v>
      </c>
      <c r="R7" s="5">
        <f>SUMIFS([0]!mud,[0]!municipio,$B6,[0]!turno,R$2)</f>
        <v>0</v>
      </c>
      <c r="S7" s="5">
        <f>SUMIFS([0]!mud,[0]!municipio,$B6,[0]!turno,S$2)</f>
        <v>0</v>
      </c>
      <c r="T7" s="5">
        <f>SUMIFS([0]!mud,[0]!municipio,$B6,[0]!turno,T$2)</f>
        <v>0</v>
      </c>
      <c r="U7" s="5">
        <f>SUMIFS([0]!mud,[0]!municipio,$B6,[0]!turno,U$2)</f>
        <v>0</v>
      </c>
      <c r="V7" s="5">
        <f>SUMIFS([0]!mud,[0]!municipio,$B6,[0]!turno,V$2)</f>
        <v>0</v>
      </c>
      <c r="W7" s="26">
        <f>SUMIFS([0]!mud,[0]!municipio,$B6,[0]!turno,W$2)</f>
        <v>0</v>
      </c>
    </row>
    <row r="8" spans="2:23" ht="15.75" thickBot="1" x14ac:dyDescent="0.3">
      <c r="B8" s="24">
        <v>2.8757349630983725E-2</v>
      </c>
      <c r="C8" s="12" t="s">
        <v>0</v>
      </c>
      <c r="D8" s="38">
        <f>IF((E6+E7+E8)=0,0,E8/(E6+E7+E8))</f>
        <v>0</v>
      </c>
      <c r="E8" s="13">
        <f t="shared" si="0"/>
        <v>0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0</v>
      </c>
      <c r="U8" s="13">
        <f>SUMIFS([0]!otro,[0]!municipio,$B6,[0]!turno,U$2)</f>
        <v>0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x14ac:dyDescent="0.25">
      <c r="B9" s="19">
        <v>69</v>
      </c>
      <c r="C9" s="8" t="s">
        <v>106</v>
      </c>
      <c r="D9" s="36">
        <f>IF((E9+E10+E11)=0,0,E9/(E9+E10+E11))</f>
        <v>0.34417344173441733</v>
      </c>
      <c r="E9" s="9">
        <f t="shared" si="0"/>
        <v>1143</v>
      </c>
      <c r="F9" s="9">
        <f>SUMIFS([0]!psuv,[0]!municipio,$B9,[0]!turno,F$2)</f>
        <v>6</v>
      </c>
      <c r="G9" s="9">
        <f>SUMIFS([0]!psuv,[0]!municipio,$B9,[0]!turno,G$2)</f>
        <v>37</v>
      </c>
      <c r="H9" s="9">
        <f>SUMIFS([0]!psuv,[0]!municipio,$B9,[0]!turno,H$2)</f>
        <v>50</v>
      </c>
      <c r="I9" s="9">
        <f>SUMIFS([0]!psuv,[0]!municipio,$B9,[0]!turno,I$2)</f>
        <v>59</v>
      </c>
      <c r="J9" s="9">
        <f>SUMIFS([0]!psuv,[0]!municipio,$B9,[0]!turno,J$2)</f>
        <v>74</v>
      </c>
      <c r="K9" s="9">
        <f>SUMIFS([0]!psuv,[0]!municipio,$B9,[0]!turno,K$2)</f>
        <v>56</v>
      </c>
      <c r="L9" s="9">
        <f>SUMIFS([0]!psuv,[0]!municipio,$B9,[0]!turno,L$2)</f>
        <v>59</v>
      </c>
      <c r="M9" s="9">
        <f>SUMIFS([0]!psuv,[0]!municipio,$B9,[0]!turno,M$2)</f>
        <v>93</v>
      </c>
      <c r="N9" s="9">
        <f>SUMIFS([0]!psuv,[0]!municipio,$B9,[0]!turno,N$2)</f>
        <v>91</v>
      </c>
      <c r="O9" s="9">
        <f>SUMIFS([0]!psuv,[0]!municipio,$B9,[0]!turno,O$2)</f>
        <v>84</v>
      </c>
      <c r="P9" s="9">
        <f>SUMIFS([0]!psuv,[0]!municipio,$B9,[0]!turno,P$2)</f>
        <v>91</v>
      </c>
      <c r="Q9" s="9">
        <f>SUMIFS([0]!psuv,[0]!municipio,$B9,[0]!turno,Q$2)</f>
        <v>82</v>
      </c>
      <c r="R9" s="9">
        <f>SUMIFS([0]!psuv,[0]!municipio,$B9,[0]!turno,R$2)</f>
        <v>63</v>
      </c>
      <c r="S9" s="9">
        <f>SUMIFS([0]!psuv,[0]!municipio,$B9,[0]!turno,S$2)</f>
        <v>62</v>
      </c>
      <c r="T9" s="9">
        <f>SUMIFS([0]!psuv,[0]!municipio,$B9,[0]!turno,T$2)</f>
        <v>69</v>
      </c>
      <c r="U9" s="9">
        <f>SUMIFS([0]!psuv,[0]!municipio,$B9,[0]!turno,U$2)</f>
        <v>77</v>
      </c>
      <c r="V9" s="9">
        <f>SUMIFS([0]!psuv,[0]!municipio,$B9,[0]!turno,V$2)</f>
        <v>47</v>
      </c>
      <c r="W9" s="25">
        <f>SUMIFS([0]!psuv,[0]!municipio,$B9,[0]!turno,W$2)</f>
        <v>43</v>
      </c>
    </row>
    <row r="10" spans="2:23" x14ac:dyDescent="0.25">
      <c r="B10" s="20" t="s">
        <v>48</v>
      </c>
      <c r="C10" s="4" t="s">
        <v>107</v>
      </c>
      <c r="D10" s="37">
        <f>IF((E9+E10+E11)=0,0,E10/(E9+E10+E11))</f>
        <v>0.56338452273411621</v>
      </c>
      <c r="E10" s="5">
        <f t="shared" si="0"/>
        <v>1871</v>
      </c>
      <c r="F10" s="5">
        <f>SUMIFS([0]!mud,[0]!municipio,$B9,[0]!turno,F$2)</f>
        <v>16</v>
      </c>
      <c r="G10" s="5">
        <f>SUMIFS([0]!mud,[0]!municipio,$B9,[0]!turno,G$2)</f>
        <v>63</v>
      </c>
      <c r="H10" s="5">
        <f>SUMIFS([0]!mud,[0]!municipio,$B9,[0]!turno,H$2)</f>
        <v>93</v>
      </c>
      <c r="I10" s="5">
        <f>SUMIFS([0]!mud,[0]!municipio,$B9,[0]!turno,I$2)</f>
        <v>93</v>
      </c>
      <c r="J10" s="5">
        <f>SUMIFS([0]!mud,[0]!municipio,$B9,[0]!turno,J$2)</f>
        <v>151</v>
      </c>
      <c r="K10" s="5">
        <f>SUMIFS([0]!mud,[0]!municipio,$B9,[0]!turno,K$2)</f>
        <v>161</v>
      </c>
      <c r="L10" s="5">
        <f>SUMIFS([0]!mud,[0]!municipio,$B9,[0]!turno,L$2)</f>
        <v>131</v>
      </c>
      <c r="M10" s="5">
        <f>SUMIFS([0]!mud,[0]!municipio,$B9,[0]!turno,M$2)</f>
        <v>97</v>
      </c>
      <c r="N10" s="5">
        <f>SUMIFS([0]!mud,[0]!municipio,$B9,[0]!turno,N$2)</f>
        <v>146</v>
      </c>
      <c r="O10" s="5">
        <f>SUMIFS([0]!mud,[0]!municipio,$B9,[0]!turno,O$2)</f>
        <v>144</v>
      </c>
      <c r="P10" s="5">
        <f>SUMIFS([0]!mud,[0]!municipio,$B9,[0]!turno,P$2)</f>
        <v>141</v>
      </c>
      <c r="Q10" s="5">
        <f>SUMIFS([0]!mud,[0]!municipio,$B9,[0]!turno,Q$2)</f>
        <v>127</v>
      </c>
      <c r="R10" s="5">
        <f>SUMIFS([0]!mud,[0]!municipio,$B9,[0]!turno,R$2)</f>
        <v>107</v>
      </c>
      <c r="S10" s="5">
        <f>SUMIFS([0]!mud,[0]!municipio,$B9,[0]!turno,S$2)</f>
        <v>86</v>
      </c>
      <c r="T10" s="5">
        <f>SUMIFS([0]!mud,[0]!municipio,$B9,[0]!turno,T$2)</f>
        <v>95</v>
      </c>
      <c r="U10" s="5">
        <f>SUMIFS([0]!mud,[0]!municipio,$B9,[0]!turno,U$2)</f>
        <v>88</v>
      </c>
      <c r="V10" s="5">
        <f>SUMIFS([0]!mud,[0]!municipio,$B9,[0]!turno,V$2)</f>
        <v>83</v>
      </c>
      <c r="W10" s="26">
        <f>SUMIFS([0]!mud,[0]!municipio,$B9,[0]!turno,W$2)</f>
        <v>49</v>
      </c>
    </row>
    <row r="11" spans="2:23" ht="15.75" thickBot="1" x14ac:dyDescent="0.3">
      <c r="B11" s="21">
        <v>0.58012632497987804</v>
      </c>
      <c r="C11" s="10" t="s">
        <v>0</v>
      </c>
      <c r="D11" s="38">
        <f>IF((E9+E10+E11)=0,0,E11/(E9+E10+E11))</f>
        <v>9.2442035531466432E-2</v>
      </c>
      <c r="E11" s="11">
        <f t="shared" si="0"/>
        <v>307</v>
      </c>
      <c r="F11" s="11">
        <f>SUMIFS([0]!otro,[0]!municipio,$B9,[0]!turno,F$2)</f>
        <v>3</v>
      </c>
      <c r="G11" s="11">
        <f>SUMIFS([0]!otro,[0]!municipio,$B9,[0]!turno,G$2)</f>
        <v>2</v>
      </c>
      <c r="H11" s="11">
        <f>SUMIFS([0]!otro,[0]!municipio,$B9,[0]!turno,H$2)</f>
        <v>3</v>
      </c>
      <c r="I11" s="11">
        <f>SUMIFS([0]!otro,[0]!municipio,$B9,[0]!turno,I$2)</f>
        <v>4</v>
      </c>
      <c r="J11" s="11">
        <f>SUMIFS([0]!otro,[0]!municipio,$B9,[0]!turno,J$2)</f>
        <v>9</v>
      </c>
      <c r="K11" s="11">
        <f>SUMIFS([0]!otro,[0]!municipio,$B9,[0]!turno,K$2)</f>
        <v>7</v>
      </c>
      <c r="L11" s="11">
        <f>SUMIFS([0]!otro,[0]!municipio,$B9,[0]!turno,L$2)</f>
        <v>3</v>
      </c>
      <c r="M11" s="11">
        <f>SUMIFS([0]!otro,[0]!municipio,$B9,[0]!turno,M$2)</f>
        <v>4</v>
      </c>
      <c r="N11" s="11">
        <f>SUMIFS([0]!otro,[0]!municipio,$B9,[0]!turno,N$2)</f>
        <v>3</v>
      </c>
      <c r="O11" s="11">
        <f>SUMIFS([0]!otro,[0]!municipio,$B9,[0]!turno,O$2)</f>
        <v>1</v>
      </c>
      <c r="P11" s="11">
        <f>SUMIFS([0]!otro,[0]!municipio,$B9,[0]!turno,P$2)</f>
        <v>2</v>
      </c>
      <c r="Q11" s="11">
        <f>SUMIFS([0]!otro,[0]!municipio,$B9,[0]!turno,Q$2)</f>
        <v>5</v>
      </c>
      <c r="R11" s="11">
        <f>SUMIFS([0]!otro,[0]!municipio,$B9,[0]!turno,R$2)</f>
        <v>7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254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70</v>
      </c>
      <c r="C12" s="6" t="s">
        <v>106</v>
      </c>
      <c r="D12" s="36">
        <f>IF((E12+E13+E14)=0,0,E12/(E12+E13+E14))</f>
        <v>0.61971830985915488</v>
      </c>
      <c r="E12" s="7">
        <f t="shared" si="0"/>
        <v>44</v>
      </c>
      <c r="F12" s="7">
        <f>SUMIFS([0]!psuv,[0]!municipio,$B12,[0]!turno,F$2)</f>
        <v>0</v>
      </c>
      <c r="G12" s="7">
        <f>SUMIFS([0]!psuv,[0]!municipio,$B12,[0]!turno,G$2)</f>
        <v>11</v>
      </c>
      <c r="H12" s="7">
        <f>SUMIFS([0]!psuv,[0]!municipio,$B12,[0]!turno,H$2)</f>
        <v>5</v>
      </c>
      <c r="I12" s="7">
        <f>SUMIFS([0]!psuv,[0]!municipio,$B12,[0]!turno,I$2)</f>
        <v>1</v>
      </c>
      <c r="J12" s="7">
        <f>SUMIFS([0]!psuv,[0]!municipio,$B12,[0]!turno,J$2)</f>
        <v>2</v>
      </c>
      <c r="K12" s="7">
        <f>SUMIFS([0]!psuv,[0]!municipio,$B12,[0]!turno,K$2)</f>
        <v>2</v>
      </c>
      <c r="L12" s="7">
        <f>SUMIFS([0]!psuv,[0]!municipio,$B12,[0]!turno,L$2)</f>
        <v>0</v>
      </c>
      <c r="M12" s="7">
        <f>SUMIFS([0]!psuv,[0]!municipio,$B12,[0]!turno,M$2)</f>
        <v>4</v>
      </c>
      <c r="N12" s="7">
        <f>SUMIFS([0]!psuv,[0]!municipio,$B12,[0]!turno,N$2)</f>
        <v>3</v>
      </c>
      <c r="O12" s="7">
        <f>SUMIFS([0]!psuv,[0]!municipio,$B12,[0]!turno,O$2)</f>
        <v>4</v>
      </c>
      <c r="P12" s="7">
        <f>SUMIFS([0]!psuv,[0]!municipio,$B12,[0]!turno,P$2)</f>
        <v>5</v>
      </c>
      <c r="Q12" s="7">
        <f>SUMIFS([0]!psuv,[0]!municipio,$B12,[0]!turno,Q$2)</f>
        <v>3</v>
      </c>
      <c r="R12" s="7">
        <f>SUMIFS([0]!psuv,[0]!municipio,$B12,[0]!turno,R$2)</f>
        <v>1</v>
      </c>
      <c r="S12" s="7">
        <f>SUMIFS([0]!psuv,[0]!municipio,$B12,[0]!turno,S$2)</f>
        <v>3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23" t="s">
        <v>49</v>
      </c>
      <c r="C13" s="4" t="s">
        <v>107</v>
      </c>
      <c r="D13" s="37">
        <f>IF((E12+E13+E14)=0,0,E13/(E12+E13+E14))</f>
        <v>0.38028169014084506</v>
      </c>
      <c r="E13" s="5">
        <f t="shared" si="0"/>
        <v>27</v>
      </c>
      <c r="F13" s="5">
        <f>SUMIFS([0]!mud,[0]!municipio,$B12,[0]!turno,F$2)</f>
        <v>0</v>
      </c>
      <c r="G13" s="5">
        <f>SUMIFS([0]!mud,[0]!municipio,$B12,[0]!turno,G$2)</f>
        <v>5</v>
      </c>
      <c r="H13" s="5">
        <f>SUMIFS([0]!mud,[0]!municipio,$B12,[0]!turno,H$2)</f>
        <v>5</v>
      </c>
      <c r="I13" s="5">
        <f>SUMIFS([0]!mud,[0]!municipio,$B12,[0]!turno,I$2)</f>
        <v>0</v>
      </c>
      <c r="J13" s="5">
        <f>SUMIFS([0]!mud,[0]!municipio,$B12,[0]!turno,J$2)</f>
        <v>0</v>
      </c>
      <c r="K13" s="5">
        <f>SUMIFS([0]!mud,[0]!municipio,$B12,[0]!turno,K$2)</f>
        <v>0</v>
      </c>
      <c r="L13" s="5">
        <f>SUMIFS([0]!mud,[0]!municipio,$B12,[0]!turno,L$2)</f>
        <v>0</v>
      </c>
      <c r="M13" s="5">
        <f>SUMIFS([0]!mud,[0]!municipio,$B12,[0]!turno,M$2)</f>
        <v>0</v>
      </c>
      <c r="N13" s="5">
        <f>SUMIFS([0]!mud,[0]!municipio,$B12,[0]!turno,N$2)</f>
        <v>4</v>
      </c>
      <c r="O13" s="5">
        <f>SUMIFS([0]!mud,[0]!municipio,$B12,[0]!turno,O$2)</f>
        <v>1</v>
      </c>
      <c r="P13" s="5">
        <f>SUMIFS([0]!mud,[0]!municipio,$B12,[0]!turno,P$2)</f>
        <v>5</v>
      </c>
      <c r="Q13" s="5">
        <f>SUMIFS([0]!mud,[0]!municipio,$B12,[0]!turno,Q$2)</f>
        <v>5</v>
      </c>
      <c r="R13" s="5">
        <f>SUMIFS([0]!mud,[0]!municipio,$B12,[0]!turno,R$2)</f>
        <v>0</v>
      </c>
      <c r="S13" s="5">
        <f>SUMIFS([0]!mud,[0]!municipio,$B12,[0]!turno,S$2)</f>
        <v>2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24">
        <v>5.4886055140990139E-2</v>
      </c>
      <c r="C14" s="12" t="s">
        <v>0</v>
      </c>
      <c r="D14" s="38">
        <f>IF((E12+E13+E14)=0,0,E14/(E12+E13+E14))</f>
        <v>0</v>
      </c>
      <c r="E14" s="13">
        <f t="shared" si="0"/>
        <v>0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71</v>
      </c>
      <c r="C15" s="8" t="s">
        <v>106</v>
      </c>
      <c r="D15" s="36">
        <f>IF((E15+E16+E17)=0,0,E15/(E15+E16+E17))</f>
        <v>0.4403470715835141</v>
      </c>
      <c r="E15" s="9">
        <f t="shared" si="0"/>
        <v>203</v>
      </c>
      <c r="F15" s="9">
        <f>SUMIFS([0]!psuv,[0]!municipio,$B15,[0]!turno,F$2)</f>
        <v>8</v>
      </c>
      <c r="G15" s="9">
        <f>SUMIFS([0]!psuv,[0]!municipio,$B15,[0]!turno,G$2)</f>
        <v>19</v>
      </c>
      <c r="H15" s="9">
        <f>SUMIFS([0]!psuv,[0]!municipio,$B15,[0]!turno,H$2)</f>
        <v>5</v>
      </c>
      <c r="I15" s="9">
        <f>SUMIFS([0]!psuv,[0]!municipio,$B15,[0]!turno,I$2)</f>
        <v>10</v>
      </c>
      <c r="J15" s="9">
        <f>SUMIFS([0]!psuv,[0]!municipio,$B15,[0]!turno,J$2)</f>
        <v>20</v>
      </c>
      <c r="K15" s="9">
        <f>SUMIFS([0]!psuv,[0]!municipio,$B15,[0]!turno,K$2)</f>
        <v>19</v>
      </c>
      <c r="L15" s="9">
        <f>SUMIFS([0]!psuv,[0]!municipio,$B15,[0]!turno,L$2)</f>
        <v>12</v>
      </c>
      <c r="M15" s="9">
        <f>SUMIFS([0]!psuv,[0]!municipio,$B15,[0]!turno,M$2)</f>
        <v>9</v>
      </c>
      <c r="N15" s="9">
        <f>SUMIFS([0]!psuv,[0]!municipio,$B15,[0]!turno,N$2)</f>
        <v>11</v>
      </c>
      <c r="O15" s="9">
        <f>SUMIFS([0]!psuv,[0]!municipio,$B15,[0]!turno,O$2)</f>
        <v>15</v>
      </c>
      <c r="P15" s="9">
        <f>SUMIFS([0]!psuv,[0]!municipio,$B15,[0]!turno,P$2)</f>
        <v>15</v>
      </c>
      <c r="Q15" s="9">
        <f>SUMIFS([0]!psuv,[0]!municipio,$B15,[0]!turno,Q$2)</f>
        <v>14</v>
      </c>
      <c r="R15" s="9">
        <f>SUMIFS([0]!psuv,[0]!municipio,$B15,[0]!turno,R$2)</f>
        <v>9</v>
      </c>
      <c r="S15" s="9">
        <f>SUMIFS([0]!psuv,[0]!municipio,$B15,[0]!turno,S$2)</f>
        <v>20</v>
      </c>
      <c r="T15" s="9">
        <f>SUMIFS([0]!psuv,[0]!municipio,$B15,[0]!turno,T$2)</f>
        <v>12</v>
      </c>
      <c r="U15" s="9">
        <f>SUMIFS([0]!psuv,[0]!municipio,$B15,[0]!turno,U$2)</f>
        <v>5</v>
      </c>
      <c r="V15" s="9">
        <f>SUMIFS([0]!psuv,[0]!municipio,$B15,[0]!turno,V$2)</f>
        <v>0</v>
      </c>
      <c r="W15" s="25">
        <f>SUMIFS([0]!psuv,[0]!municipio,$B15,[0]!turno,W$2)</f>
        <v>0</v>
      </c>
    </row>
    <row r="16" spans="2:23" x14ac:dyDescent="0.25">
      <c r="B16" s="20" t="s">
        <v>50</v>
      </c>
      <c r="C16" s="4" t="s">
        <v>107</v>
      </c>
      <c r="D16" s="37">
        <f>IF((E15+E16+E17)=0,0,E16/(E15+E16+E17))</f>
        <v>0.55965292841648595</v>
      </c>
      <c r="E16" s="5">
        <f t="shared" si="0"/>
        <v>258</v>
      </c>
      <c r="F16" s="5">
        <f>SUMIFS([0]!mud,[0]!municipio,$B15,[0]!turno,F$2)</f>
        <v>7</v>
      </c>
      <c r="G16" s="5">
        <f>SUMIFS([0]!mud,[0]!municipio,$B15,[0]!turno,G$2)</f>
        <v>22</v>
      </c>
      <c r="H16" s="5">
        <f>SUMIFS([0]!mud,[0]!municipio,$B15,[0]!turno,H$2)</f>
        <v>25</v>
      </c>
      <c r="I16" s="5">
        <f>SUMIFS([0]!mud,[0]!municipio,$B15,[0]!turno,I$2)</f>
        <v>23</v>
      </c>
      <c r="J16" s="5">
        <f>SUMIFS([0]!mud,[0]!municipio,$B15,[0]!turno,J$2)</f>
        <v>17</v>
      </c>
      <c r="K16" s="5">
        <f>SUMIFS([0]!mud,[0]!municipio,$B15,[0]!turno,K$2)</f>
        <v>12</v>
      </c>
      <c r="L16" s="5">
        <f>SUMIFS([0]!mud,[0]!municipio,$B15,[0]!turno,L$2)</f>
        <v>12</v>
      </c>
      <c r="M16" s="5">
        <f>SUMIFS([0]!mud,[0]!municipio,$B15,[0]!turno,M$2)</f>
        <v>15</v>
      </c>
      <c r="N16" s="5">
        <f>SUMIFS([0]!mud,[0]!municipio,$B15,[0]!turno,N$2)</f>
        <v>26</v>
      </c>
      <c r="O16" s="5">
        <f>SUMIFS([0]!mud,[0]!municipio,$B15,[0]!turno,O$2)</f>
        <v>14</v>
      </c>
      <c r="P16" s="5">
        <f>SUMIFS([0]!mud,[0]!municipio,$B15,[0]!turno,P$2)</f>
        <v>14</v>
      </c>
      <c r="Q16" s="5">
        <f>SUMIFS([0]!mud,[0]!municipio,$B15,[0]!turno,Q$2)</f>
        <v>16</v>
      </c>
      <c r="R16" s="5">
        <f>SUMIFS([0]!mud,[0]!municipio,$B15,[0]!turno,R$2)</f>
        <v>20</v>
      </c>
      <c r="S16" s="5">
        <f>SUMIFS([0]!mud,[0]!municipio,$B15,[0]!turno,S$2)</f>
        <v>13</v>
      </c>
      <c r="T16" s="5">
        <f>SUMIFS([0]!mud,[0]!municipio,$B15,[0]!turno,T$2)</f>
        <v>13</v>
      </c>
      <c r="U16" s="5">
        <f>SUMIFS([0]!mud,[0]!municipio,$B15,[0]!turno,U$2)</f>
        <v>9</v>
      </c>
      <c r="V16" s="5">
        <f>SUMIFS([0]!mud,[0]!municipio,$B15,[0]!turno,V$2)</f>
        <v>0</v>
      </c>
      <c r="W16" s="26">
        <f>SUMIFS([0]!mud,[0]!municipio,$B15,[0]!turno,W$2)</f>
        <v>0</v>
      </c>
    </row>
    <row r="17" spans="2:23" ht="15.75" thickBot="1" x14ac:dyDescent="0.3">
      <c r="B17" s="21">
        <v>7.4250030694514552E-2</v>
      </c>
      <c r="C17" s="10" t="s">
        <v>0</v>
      </c>
      <c r="D17" s="38">
        <f>IF((E15+E16+E17)=0,0,E17/(E15+E16+E17))</f>
        <v>0</v>
      </c>
      <c r="E17" s="11">
        <f t="shared" si="0"/>
        <v>0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72</v>
      </c>
      <c r="C18" s="6" t="s">
        <v>106</v>
      </c>
      <c r="D18" s="36">
        <f>IF((E18+E19+E20)=0,0,E18/(E18+E19+E20))</f>
        <v>0.35087719298245612</v>
      </c>
      <c r="E18" s="7">
        <f t="shared" si="0"/>
        <v>160</v>
      </c>
      <c r="F18" s="7">
        <f>SUMIFS([0]!psuv,[0]!municipio,$B18,[0]!turno,F$2)</f>
        <v>0</v>
      </c>
      <c r="G18" s="7">
        <f>SUMIFS([0]!psuv,[0]!municipio,$B18,[0]!turno,G$2)</f>
        <v>8</v>
      </c>
      <c r="H18" s="7">
        <f>SUMIFS([0]!psuv,[0]!municipio,$B18,[0]!turno,H$2)</f>
        <v>6</v>
      </c>
      <c r="I18" s="7">
        <f>SUMIFS([0]!psuv,[0]!municipio,$B18,[0]!turno,I$2)</f>
        <v>2</v>
      </c>
      <c r="J18" s="7">
        <f>SUMIFS([0]!psuv,[0]!municipio,$B18,[0]!turno,J$2)</f>
        <v>3</v>
      </c>
      <c r="K18" s="7">
        <f>SUMIFS([0]!psuv,[0]!municipio,$B18,[0]!turno,K$2)</f>
        <v>19</v>
      </c>
      <c r="L18" s="7">
        <f>SUMIFS([0]!psuv,[0]!municipio,$B18,[0]!turno,L$2)</f>
        <v>19</v>
      </c>
      <c r="M18" s="7">
        <f>SUMIFS([0]!psuv,[0]!municipio,$B18,[0]!turno,M$2)</f>
        <v>16</v>
      </c>
      <c r="N18" s="7">
        <f>SUMIFS([0]!psuv,[0]!municipio,$B18,[0]!turno,N$2)</f>
        <v>15</v>
      </c>
      <c r="O18" s="7">
        <f>SUMIFS([0]!psuv,[0]!municipio,$B18,[0]!turno,O$2)</f>
        <v>4</v>
      </c>
      <c r="P18" s="7">
        <f>SUMIFS([0]!psuv,[0]!municipio,$B18,[0]!turno,P$2)</f>
        <v>12</v>
      </c>
      <c r="Q18" s="7">
        <f>SUMIFS([0]!psuv,[0]!municipio,$B18,[0]!turno,Q$2)</f>
        <v>8</v>
      </c>
      <c r="R18" s="7">
        <f>SUMIFS([0]!psuv,[0]!municipio,$B18,[0]!turno,R$2)</f>
        <v>10</v>
      </c>
      <c r="S18" s="7">
        <f>SUMIFS([0]!psuv,[0]!municipio,$B18,[0]!turno,S$2)</f>
        <v>19</v>
      </c>
      <c r="T18" s="7">
        <f>SUMIFS([0]!psuv,[0]!municipio,$B18,[0]!turno,T$2)</f>
        <v>7</v>
      </c>
      <c r="U18" s="7">
        <f>SUMIFS([0]!psuv,[0]!municipio,$B18,[0]!turno,U$2)</f>
        <v>0</v>
      </c>
      <c r="V18" s="7">
        <f>SUMIFS([0]!psuv,[0]!municipio,$B18,[0]!turno,V$2)</f>
        <v>8</v>
      </c>
      <c r="W18" s="28">
        <f>SUMIFS([0]!psuv,[0]!municipio,$B18,[0]!turno,W$2)</f>
        <v>4</v>
      </c>
    </row>
    <row r="19" spans="2:23" x14ac:dyDescent="0.25">
      <c r="B19" s="23" t="s">
        <v>51</v>
      </c>
      <c r="C19" s="4" t="s">
        <v>107</v>
      </c>
      <c r="D19" s="37">
        <f>IF((E18+E19+E20)=0,0,E19/(E18+E19+E20))</f>
        <v>0.63596491228070173</v>
      </c>
      <c r="E19" s="5">
        <f t="shared" si="0"/>
        <v>290</v>
      </c>
      <c r="F19" s="5">
        <f>SUMIFS([0]!mud,[0]!municipio,$B18,[0]!turno,F$2)</f>
        <v>0</v>
      </c>
      <c r="G19" s="5">
        <f>SUMIFS([0]!mud,[0]!municipio,$B18,[0]!turno,G$2)</f>
        <v>10</v>
      </c>
      <c r="H19" s="5">
        <f>SUMIFS([0]!mud,[0]!municipio,$B18,[0]!turno,H$2)</f>
        <v>22</v>
      </c>
      <c r="I19" s="5">
        <f>SUMIFS([0]!mud,[0]!municipio,$B18,[0]!turno,I$2)</f>
        <v>12</v>
      </c>
      <c r="J19" s="5">
        <f>SUMIFS([0]!mud,[0]!municipio,$B18,[0]!turno,J$2)</f>
        <v>5</v>
      </c>
      <c r="K19" s="5">
        <f>SUMIFS([0]!mud,[0]!municipio,$B18,[0]!turno,K$2)</f>
        <v>25</v>
      </c>
      <c r="L19" s="5">
        <f>SUMIFS([0]!mud,[0]!municipio,$B18,[0]!turno,L$2)</f>
        <v>43</v>
      </c>
      <c r="M19" s="5">
        <f>SUMIFS([0]!mud,[0]!municipio,$B18,[0]!turno,M$2)</f>
        <v>34</v>
      </c>
      <c r="N19" s="5">
        <f>SUMIFS([0]!mud,[0]!municipio,$B18,[0]!turno,N$2)</f>
        <v>37</v>
      </c>
      <c r="O19" s="5">
        <f>SUMIFS([0]!mud,[0]!municipio,$B18,[0]!turno,O$2)</f>
        <v>10</v>
      </c>
      <c r="P19" s="5">
        <f>SUMIFS([0]!mud,[0]!municipio,$B18,[0]!turno,P$2)</f>
        <v>14</v>
      </c>
      <c r="Q19" s="5">
        <f>SUMIFS([0]!mud,[0]!municipio,$B18,[0]!turno,Q$2)</f>
        <v>14</v>
      </c>
      <c r="R19" s="5">
        <f>SUMIFS([0]!mud,[0]!municipio,$B18,[0]!turno,R$2)</f>
        <v>21</v>
      </c>
      <c r="S19" s="5">
        <f>SUMIFS([0]!mud,[0]!municipio,$B18,[0]!turno,S$2)</f>
        <v>18</v>
      </c>
      <c r="T19" s="5">
        <f>SUMIFS([0]!mud,[0]!municipio,$B18,[0]!turno,T$2)</f>
        <v>12</v>
      </c>
      <c r="U19" s="5">
        <f>SUMIFS([0]!mud,[0]!municipio,$B18,[0]!turno,U$2)</f>
        <v>0</v>
      </c>
      <c r="V19" s="5">
        <f>SUMIFS([0]!mud,[0]!municipio,$B18,[0]!turno,V$2)</f>
        <v>5</v>
      </c>
      <c r="W19" s="26">
        <f>SUMIFS([0]!mud,[0]!municipio,$B18,[0]!turno,W$2)</f>
        <v>8</v>
      </c>
    </row>
    <row r="20" spans="2:23" ht="15.75" thickBot="1" x14ac:dyDescent="0.3">
      <c r="B20" s="24">
        <v>8.7221873593168089E-2</v>
      </c>
      <c r="C20" s="12" t="s">
        <v>0</v>
      </c>
      <c r="D20" s="38">
        <f>IF((E18+E19+E20)=0,0,E20/(E18+E19+E20))</f>
        <v>1.3157894736842105E-2</v>
      </c>
      <c r="E20" s="13">
        <f t="shared" si="0"/>
        <v>6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4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2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0</v>
      </c>
      <c r="T20" s="13">
        <f>SUMIFS([0]!otro,[0]!municipio,$B18,[0]!turno,T$2)</f>
        <v>0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0</v>
      </c>
    </row>
    <row r="21" spans="2:23" x14ac:dyDescent="0.25">
      <c r="B21" s="19">
        <v>73</v>
      </c>
      <c r="C21" s="8" t="s">
        <v>106</v>
      </c>
      <c r="D21" s="36">
        <f>IF((E21+E22+E23)=0,0,E21/(E21+E22+E23))</f>
        <v>0.67898832684824906</v>
      </c>
      <c r="E21" s="9">
        <f t="shared" si="0"/>
        <v>349</v>
      </c>
      <c r="F21" s="9">
        <f>SUMIFS([0]!psuv,[0]!municipio,$B21,[0]!turno,F$2)</f>
        <v>2</v>
      </c>
      <c r="G21" s="9">
        <f>SUMIFS([0]!psuv,[0]!municipio,$B21,[0]!turno,G$2)</f>
        <v>6</v>
      </c>
      <c r="H21" s="9">
        <f>SUMIFS([0]!psuv,[0]!municipio,$B21,[0]!turno,H$2)</f>
        <v>19</v>
      </c>
      <c r="I21" s="9">
        <f>SUMIFS([0]!psuv,[0]!municipio,$B21,[0]!turno,I$2)</f>
        <v>9</v>
      </c>
      <c r="J21" s="9">
        <f>SUMIFS([0]!psuv,[0]!municipio,$B21,[0]!turno,J$2)</f>
        <v>21</v>
      </c>
      <c r="K21" s="9">
        <f>SUMIFS([0]!psuv,[0]!municipio,$B21,[0]!turno,K$2)</f>
        <v>21</v>
      </c>
      <c r="L21" s="9">
        <f>SUMIFS([0]!psuv,[0]!municipio,$B21,[0]!turno,L$2)</f>
        <v>21</v>
      </c>
      <c r="M21" s="9">
        <f>SUMIFS([0]!psuv,[0]!municipio,$B21,[0]!turno,M$2)</f>
        <v>17</v>
      </c>
      <c r="N21" s="9">
        <f>SUMIFS([0]!psuv,[0]!municipio,$B21,[0]!turno,N$2)</f>
        <v>14</v>
      </c>
      <c r="O21" s="9">
        <f>SUMIFS([0]!psuv,[0]!municipio,$B21,[0]!turno,O$2)</f>
        <v>29</v>
      </c>
      <c r="P21" s="9">
        <f>SUMIFS([0]!psuv,[0]!municipio,$B21,[0]!turno,P$2)</f>
        <v>22</v>
      </c>
      <c r="Q21" s="9">
        <f>SUMIFS([0]!psuv,[0]!municipio,$B21,[0]!turno,Q$2)</f>
        <v>24</v>
      </c>
      <c r="R21" s="9">
        <f>SUMIFS([0]!psuv,[0]!municipio,$B21,[0]!turno,R$2)</f>
        <v>23</v>
      </c>
      <c r="S21" s="9">
        <f>SUMIFS([0]!psuv,[0]!municipio,$B21,[0]!turno,S$2)</f>
        <v>29</v>
      </c>
      <c r="T21" s="9">
        <f>SUMIFS([0]!psuv,[0]!municipio,$B21,[0]!turno,T$2)</f>
        <v>18</v>
      </c>
      <c r="U21" s="9">
        <f>SUMIFS([0]!psuv,[0]!municipio,$B21,[0]!turno,U$2)</f>
        <v>24</v>
      </c>
      <c r="V21" s="9">
        <f>SUMIFS([0]!psuv,[0]!municipio,$B21,[0]!turno,V$2)</f>
        <v>25</v>
      </c>
      <c r="W21" s="25">
        <f>SUMIFS([0]!psuv,[0]!municipio,$B21,[0]!turno,W$2)</f>
        <v>25</v>
      </c>
    </row>
    <row r="22" spans="2:23" x14ac:dyDescent="0.25">
      <c r="B22" s="20" t="s">
        <v>52</v>
      </c>
      <c r="C22" s="4" t="s">
        <v>107</v>
      </c>
      <c r="D22" s="37">
        <f>IF((E21+E22+E23)=0,0,E22/(E21+E22+E23))</f>
        <v>0.321011673151751</v>
      </c>
      <c r="E22" s="5">
        <f t="shared" si="0"/>
        <v>165</v>
      </c>
      <c r="F22" s="5">
        <f>SUMIFS([0]!mud,[0]!municipio,$B21,[0]!turno,F$2)</f>
        <v>6</v>
      </c>
      <c r="G22" s="5">
        <f>SUMIFS([0]!mud,[0]!municipio,$B21,[0]!turno,G$2)</f>
        <v>4</v>
      </c>
      <c r="H22" s="5">
        <f>SUMIFS([0]!mud,[0]!municipio,$B21,[0]!turno,H$2)</f>
        <v>15</v>
      </c>
      <c r="I22" s="5">
        <f>SUMIFS([0]!mud,[0]!municipio,$B21,[0]!turno,I$2)</f>
        <v>13</v>
      </c>
      <c r="J22" s="5">
        <f>SUMIFS([0]!mud,[0]!municipio,$B21,[0]!turno,J$2)</f>
        <v>12</v>
      </c>
      <c r="K22" s="5">
        <f>SUMIFS([0]!mud,[0]!municipio,$B21,[0]!turno,K$2)</f>
        <v>11</v>
      </c>
      <c r="L22" s="5">
        <f>SUMIFS([0]!mud,[0]!municipio,$B21,[0]!turno,L$2)</f>
        <v>12</v>
      </c>
      <c r="M22" s="5">
        <f>SUMIFS([0]!mud,[0]!municipio,$B21,[0]!turno,M$2)</f>
        <v>8</v>
      </c>
      <c r="N22" s="5">
        <f>SUMIFS([0]!mud,[0]!municipio,$B21,[0]!turno,N$2)</f>
        <v>8</v>
      </c>
      <c r="O22" s="5">
        <f>SUMIFS([0]!mud,[0]!municipio,$B21,[0]!turno,O$2)</f>
        <v>19</v>
      </c>
      <c r="P22" s="5">
        <f>SUMIFS([0]!mud,[0]!municipio,$B21,[0]!turno,P$2)</f>
        <v>8</v>
      </c>
      <c r="Q22" s="5">
        <f>SUMIFS([0]!mud,[0]!municipio,$B21,[0]!turno,Q$2)</f>
        <v>6</v>
      </c>
      <c r="R22" s="5">
        <f>SUMIFS([0]!mud,[0]!municipio,$B21,[0]!turno,R$2)</f>
        <v>4</v>
      </c>
      <c r="S22" s="5">
        <f>SUMIFS([0]!mud,[0]!municipio,$B21,[0]!turno,S$2)</f>
        <v>5</v>
      </c>
      <c r="T22" s="5">
        <f>SUMIFS([0]!mud,[0]!municipio,$B21,[0]!turno,T$2)</f>
        <v>8</v>
      </c>
      <c r="U22" s="5">
        <f>SUMIFS([0]!mud,[0]!municipio,$B21,[0]!turno,U$2)</f>
        <v>4</v>
      </c>
      <c r="V22" s="5">
        <f>SUMIFS([0]!mud,[0]!municipio,$B21,[0]!turno,V$2)</f>
        <v>10</v>
      </c>
      <c r="W22" s="26">
        <f>SUMIFS([0]!mud,[0]!municipio,$B21,[0]!turno,W$2)</f>
        <v>12</v>
      </c>
    </row>
    <row r="23" spans="2:23" ht="15.75" thickBot="1" x14ac:dyDescent="0.3">
      <c r="B23" s="21">
        <v>0.11149270834754375</v>
      </c>
      <c r="C23" s="10" t="s">
        <v>0</v>
      </c>
      <c r="D23" s="38">
        <f>IF((E21+E22+E23)=0,0,E23/(E21+E22+E23))</f>
        <v>0</v>
      </c>
      <c r="E23" s="11">
        <f t="shared" si="0"/>
        <v>0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0</v>
      </c>
      <c r="K23" s="11">
        <f>SUMIFS([0]!otro,[0]!municipio,$B21,[0]!turno,K$2)</f>
        <v>0</v>
      </c>
      <c r="L23" s="11">
        <f>SUMIFS([0]!otro,[0]!municipio,$B21,[0]!turno,L$2)</f>
        <v>0</v>
      </c>
      <c r="M23" s="11">
        <f>SUMIFS([0]!otro,[0]!municipio,$B21,[0]!turno,M$2)</f>
        <v>0</v>
      </c>
      <c r="N23" s="11">
        <f>SUMIFS([0]!otro,[0]!municipio,$B21,[0]!turno,N$2)</f>
        <v>0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x14ac:dyDescent="0.25">
      <c r="B24" s="22">
        <v>74</v>
      </c>
      <c r="C24" s="6" t="s">
        <v>106</v>
      </c>
      <c r="D24" s="36">
        <f>IF((E24+E25+E26)=0,0,E24/(E24+E25+E26))</f>
        <v>0.60606060606060608</v>
      </c>
      <c r="E24" s="7">
        <f t="shared" si="0"/>
        <v>120</v>
      </c>
      <c r="F24" s="7">
        <f>SUMIFS([0]!psuv,[0]!municipio,$B24,[0]!turno,F$2)</f>
        <v>0</v>
      </c>
      <c r="G24" s="7">
        <f>SUMIFS([0]!psuv,[0]!municipio,$B24,[0]!turno,G$2)</f>
        <v>0</v>
      </c>
      <c r="H24" s="7">
        <f>SUMIFS([0]!psuv,[0]!municipio,$B24,[0]!turno,H$2)</f>
        <v>0</v>
      </c>
      <c r="I24" s="7">
        <f>SUMIFS([0]!psuv,[0]!municipio,$B24,[0]!turno,I$2)</f>
        <v>0</v>
      </c>
      <c r="J24" s="7">
        <f>SUMIFS([0]!psuv,[0]!municipio,$B24,[0]!turno,J$2)</f>
        <v>18</v>
      </c>
      <c r="K24" s="7">
        <f>SUMIFS([0]!psuv,[0]!municipio,$B24,[0]!turno,K$2)</f>
        <v>16</v>
      </c>
      <c r="L24" s="7">
        <f>SUMIFS([0]!psuv,[0]!municipio,$B24,[0]!turno,L$2)</f>
        <v>9</v>
      </c>
      <c r="M24" s="7">
        <f>SUMIFS([0]!psuv,[0]!municipio,$B24,[0]!turno,M$2)</f>
        <v>11</v>
      </c>
      <c r="N24" s="7">
        <f>SUMIFS([0]!psuv,[0]!municipio,$B24,[0]!turno,N$2)</f>
        <v>18</v>
      </c>
      <c r="O24" s="7">
        <f>SUMIFS([0]!psuv,[0]!municipio,$B24,[0]!turno,O$2)</f>
        <v>10</v>
      </c>
      <c r="P24" s="7">
        <f>SUMIFS([0]!psuv,[0]!municipio,$B24,[0]!turno,P$2)</f>
        <v>7</v>
      </c>
      <c r="Q24" s="7">
        <f>SUMIFS([0]!psuv,[0]!municipio,$B24,[0]!turno,Q$2)</f>
        <v>9</v>
      </c>
      <c r="R24" s="7">
        <f>SUMIFS([0]!psuv,[0]!municipio,$B24,[0]!turno,R$2)</f>
        <v>7</v>
      </c>
      <c r="S24" s="7">
        <f>SUMIFS([0]!psuv,[0]!municipio,$B24,[0]!turno,S$2)</f>
        <v>10</v>
      </c>
      <c r="T24" s="7">
        <f>SUMIFS([0]!psuv,[0]!municipio,$B24,[0]!turno,T$2)</f>
        <v>5</v>
      </c>
      <c r="U24" s="7">
        <f>SUMIFS([0]!psuv,[0]!municipio,$B24,[0]!turno,U$2)</f>
        <v>0</v>
      </c>
      <c r="V24" s="7">
        <f>SUMIFS([0]!psuv,[0]!municipio,$B24,[0]!turno,V$2)</f>
        <v>0</v>
      </c>
      <c r="W24" s="28">
        <f>SUMIFS([0]!psuv,[0]!municipio,$B24,[0]!turno,W$2)</f>
        <v>0</v>
      </c>
    </row>
    <row r="25" spans="2:23" x14ac:dyDescent="0.25">
      <c r="B25" s="23" t="s">
        <v>53</v>
      </c>
      <c r="C25" s="4" t="s">
        <v>107</v>
      </c>
      <c r="D25" s="37">
        <f>IF((E24+E25+E26)=0,0,E25/(E24+E25+E26))</f>
        <v>0.37878787878787878</v>
      </c>
      <c r="E25" s="5">
        <f t="shared" si="0"/>
        <v>75</v>
      </c>
      <c r="F25" s="5">
        <f>SUMIFS([0]!mud,[0]!municipio,$B24,[0]!turno,F$2)</f>
        <v>0</v>
      </c>
      <c r="G25" s="5">
        <f>SUMIFS([0]!mud,[0]!municipio,$B24,[0]!turno,G$2)</f>
        <v>0</v>
      </c>
      <c r="H25" s="5">
        <f>SUMIFS([0]!mud,[0]!municipio,$B24,[0]!turno,H$2)</f>
        <v>0</v>
      </c>
      <c r="I25" s="5">
        <f>SUMIFS([0]!mud,[0]!municipio,$B24,[0]!turno,I$2)</f>
        <v>0</v>
      </c>
      <c r="J25" s="5">
        <f>SUMIFS([0]!mud,[0]!municipio,$B24,[0]!turno,J$2)</f>
        <v>6</v>
      </c>
      <c r="K25" s="5">
        <f>SUMIFS([0]!mud,[0]!municipio,$B24,[0]!turno,K$2)</f>
        <v>12</v>
      </c>
      <c r="L25" s="5">
        <f>SUMIFS([0]!mud,[0]!municipio,$B24,[0]!turno,L$2)</f>
        <v>5</v>
      </c>
      <c r="M25" s="5">
        <f>SUMIFS([0]!mud,[0]!municipio,$B24,[0]!turno,M$2)</f>
        <v>8</v>
      </c>
      <c r="N25" s="5">
        <f>SUMIFS([0]!mud,[0]!municipio,$B24,[0]!turno,N$2)</f>
        <v>10</v>
      </c>
      <c r="O25" s="5">
        <f>SUMIFS([0]!mud,[0]!municipio,$B24,[0]!turno,O$2)</f>
        <v>5</v>
      </c>
      <c r="P25" s="5">
        <f>SUMIFS([0]!mud,[0]!municipio,$B24,[0]!turno,P$2)</f>
        <v>4</v>
      </c>
      <c r="Q25" s="5">
        <f>SUMIFS([0]!mud,[0]!municipio,$B24,[0]!turno,Q$2)</f>
        <v>7</v>
      </c>
      <c r="R25" s="5">
        <f>SUMIFS([0]!mud,[0]!municipio,$B24,[0]!turno,R$2)</f>
        <v>8</v>
      </c>
      <c r="S25" s="5">
        <f>SUMIFS([0]!mud,[0]!municipio,$B24,[0]!turno,S$2)</f>
        <v>7</v>
      </c>
      <c r="T25" s="5">
        <f>SUMIFS([0]!mud,[0]!municipio,$B24,[0]!turno,T$2)</f>
        <v>3</v>
      </c>
      <c r="U25" s="5">
        <f>SUMIFS([0]!mud,[0]!municipio,$B24,[0]!turno,U$2)</f>
        <v>0</v>
      </c>
      <c r="V25" s="5">
        <f>SUMIFS([0]!mud,[0]!municipio,$B24,[0]!turno,V$2)</f>
        <v>0</v>
      </c>
      <c r="W25" s="26">
        <f>SUMIFS([0]!mud,[0]!municipio,$B24,[0]!turno,W$2)</f>
        <v>0</v>
      </c>
    </row>
    <row r="26" spans="2:23" ht="15.75" thickBot="1" x14ac:dyDescent="0.3">
      <c r="B26" s="21">
        <v>3.6934027256728917E-2</v>
      </c>
      <c r="C26" s="10" t="s">
        <v>0</v>
      </c>
      <c r="D26" s="38">
        <f>IF((E24+E25+E26)=0,0,E26/(E24+E25+E26))</f>
        <v>1.5151515151515152E-2</v>
      </c>
      <c r="E26" s="11">
        <f t="shared" si="0"/>
        <v>3</v>
      </c>
      <c r="F26" s="11">
        <f>SUMIFS([0]!otro,[0]!municipio,$B24,[0]!turno,F$2)</f>
        <v>0</v>
      </c>
      <c r="G26" s="11">
        <f>SUMIFS([0]!otro,[0]!municipio,$B24,[0]!turno,G$2)</f>
        <v>0</v>
      </c>
      <c r="H26" s="11">
        <f>SUMIFS([0]!otro,[0]!municipio,$B24,[0]!turno,H$2)</f>
        <v>0</v>
      </c>
      <c r="I26" s="11">
        <f>SUMIFS([0]!otro,[0]!municipio,$B24,[0]!turno,I$2)</f>
        <v>0</v>
      </c>
      <c r="J26" s="11">
        <f>SUMIFS([0]!otro,[0]!municipio,$B24,[0]!turno,J$2)</f>
        <v>0</v>
      </c>
      <c r="K26" s="11">
        <f>SUMIFS([0]!otro,[0]!municipio,$B24,[0]!turno,K$2)</f>
        <v>0</v>
      </c>
      <c r="L26" s="11">
        <f>SUMIFS([0]!otro,[0]!municipio,$B24,[0]!turno,L$2)</f>
        <v>1</v>
      </c>
      <c r="M26" s="11">
        <f>SUMIFS([0]!otro,[0]!municipio,$B24,[0]!turno,M$2)</f>
        <v>0</v>
      </c>
      <c r="N26" s="11">
        <f>SUMIFS([0]!otro,[0]!municipio,$B24,[0]!turno,N$2)</f>
        <v>0</v>
      </c>
      <c r="O26" s="11">
        <f>SUMIFS([0]!otro,[0]!municipio,$B24,[0]!turno,O$2)</f>
        <v>2</v>
      </c>
      <c r="P26" s="11">
        <f>SUMIFS([0]!otro,[0]!municipio,$B24,[0]!turno,P$2)</f>
        <v>0</v>
      </c>
      <c r="Q26" s="11">
        <f>SUMIFS([0]!otro,[0]!municipio,$B24,[0]!turno,Q$2)</f>
        <v>0</v>
      </c>
      <c r="R26" s="11">
        <f>SUMIFS([0]!otro,[0]!municipio,$B24,[0]!turno,R$2)</f>
        <v>0</v>
      </c>
      <c r="S26" s="11">
        <f>SUMIFS([0]!otro,[0]!municipio,$B24,[0]!turno,S$2)</f>
        <v>0</v>
      </c>
      <c r="T26" s="11">
        <f>SUMIFS([0]!otro,[0]!municipio,$B24,[0]!turno,T$2)</f>
        <v>0</v>
      </c>
      <c r="U26" s="11">
        <f>SUMIFS([0]!otro,[0]!municipio,$B24,[0]!turno,U$2)</f>
        <v>0</v>
      </c>
      <c r="V26" s="11">
        <f>SUMIFS([0]!otro,[0]!municipio,$B24,[0]!turno,V$2)</f>
        <v>0</v>
      </c>
      <c r="W26" s="27">
        <f>SUMIFS([0]!otro,[0]!municipio,$B24,[0]!turno,W$2)</f>
        <v>0</v>
      </c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B1:W316"/>
  <sheetViews>
    <sheetView workbookViewId="0">
      <selection activeCell="F3" sqref="F3:W17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75</v>
      </c>
      <c r="C3" s="8" t="s">
        <v>106</v>
      </c>
      <c r="D3" s="36">
        <f>IF((E3+E4+E5)=0,0,E3/(E3+E4+E5))</f>
        <v>0.60756501182033096</v>
      </c>
      <c r="E3" s="9">
        <f t="shared" ref="E3:E17" si="0">SUM(F3:W3)</f>
        <v>257</v>
      </c>
      <c r="F3" s="9">
        <f>SUMIFS([0]!psuv,[0]!municipio,$B3,[0]!turno,F$2)</f>
        <v>0</v>
      </c>
      <c r="G3" s="9">
        <f>SUMIFS([0]!psuv,[0]!municipio,$B3,[0]!turno,G$2)</f>
        <v>23</v>
      </c>
      <c r="H3" s="9">
        <f>SUMIFS([0]!psuv,[0]!municipio,$B3,[0]!turno,H$2)</f>
        <v>16</v>
      </c>
      <c r="I3" s="9">
        <f>SUMIFS([0]!psuv,[0]!municipio,$B3,[0]!turno,I$2)</f>
        <v>16</v>
      </c>
      <c r="J3" s="9">
        <f>SUMIFS([0]!psuv,[0]!municipio,$B3,[0]!turno,J$2)</f>
        <v>20</v>
      </c>
      <c r="K3" s="9">
        <f>SUMIFS([0]!psuv,[0]!municipio,$B3,[0]!turno,K$2)</f>
        <v>14</v>
      </c>
      <c r="L3" s="9">
        <f>SUMIFS([0]!psuv,[0]!municipio,$B3,[0]!turno,L$2)</f>
        <v>12</v>
      </c>
      <c r="M3" s="9">
        <f>SUMIFS([0]!psuv,[0]!municipio,$B3,[0]!turno,M$2)</f>
        <v>15</v>
      </c>
      <c r="N3" s="9">
        <f>SUMIFS([0]!psuv,[0]!municipio,$B3,[0]!turno,N$2)</f>
        <v>14</v>
      </c>
      <c r="O3" s="9">
        <f>SUMIFS([0]!psuv,[0]!municipio,$B3,[0]!turno,O$2)</f>
        <v>17</v>
      </c>
      <c r="P3" s="9">
        <f>SUMIFS([0]!psuv,[0]!municipio,$B3,[0]!turno,P$2)</f>
        <v>7</v>
      </c>
      <c r="Q3" s="9">
        <f>SUMIFS([0]!psuv,[0]!municipio,$B3,[0]!turno,Q$2)</f>
        <v>13</v>
      </c>
      <c r="R3" s="9">
        <f>SUMIFS([0]!psuv,[0]!municipio,$B3,[0]!turno,R$2)</f>
        <v>10</v>
      </c>
      <c r="S3" s="9">
        <f>SUMIFS([0]!psuv,[0]!municipio,$B3,[0]!turno,S$2)</f>
        <v>9</v>
      </c>
      <c r="T3" s="9">
        <f>SUMIFS([0]!psuv,[0]!municipio,$B3,[0]!turno,T$2)</f>
        <v>22</v>
      </c>
      <c r="U3" s="9">
        <f>SUMIFS([0]!psuv,[0]!municipio,$B3,[0]!turno,U$2)</f>
        <v>15</v>
      </c>
      <c r="V3" s="9">
        <f>SUMIFS([0]!psuv,[0]!municipio,$B3,[0]!turno,V$2)</f>
        <v>14</v>
      </c>
      <c r="W3" s="25">
        <f>SUMIFS([0]!psuv,[0]!municipio,$B3,[0]!turno,W$2)</f>
        <v>20</v>
      </c>
    </row>
    <row r="4" spans="2:23" x14ac:dyDescent="0.25">
      <c r="B4" s="20" t="s">
        <v>55</v>
      </c>
      <c r="C4" s="4" t="s">
        <v>107</v>
      </c>
      <c r="D4" s="37">
        <f>IF((E3+E4+E5)=0,0,E4/(E3+E4+E5))</f>
        <v>0.32151300236406621</v>
      </c>
      <c r="E4" s="5">
        <f t="shared" si="0"/>
        <v>136</v>
      </c>
      <c r="F4" s="5">
        <f>SUMIFS([0]!mud,[0]!municipio,$B3,[0]!turno,F$2)</f>
        <v>0</v>
      </c>
      <c r="G4" s="5">
        <f>SUMIFS([0]!mud,[0]!municipio,$B3,[0]!turno,G$2)</f>
        <v>17</v>
      </c>
      <c r="H4" s="5">
        <f>SUMIFS([0]!mud,[0]!municipio,$B3,[0]!turno,H$2)</f>
        <v>8</v>
      </c>
      <c r="I4" s="5">
        <f>SUMIFS([0]!mud,[0]!municipio,$B3,[0]!turno,I$2)</f>
        <v>9</v>
      </c>
      <c r="J4" s="5">
        <f>SUMIFS([0]!mud,[0]!municipio,$B3,[0]!turno,J$2)</f>
        <v>7</v>
      </c>
      <c r="K4" s="5">
        <f>SUMIFS([0]!mud,[0]!municipio,$B3,[0]!turno,K$2)</f>
        <v>8</v>
      </c>
      <c r="L4" s="5">
        <f>SUMIFS([0]!mud,[0]!municipio,$B3,[0]!turno,L$2)</f>
        <v>6</v>
      </c>
      <c r="M4" s="5">
        <f>SUMIFS([0]!mud,[0]!municipio,$B3,[0]!turno,M$2)</f>
        <v>5</v>
      </c>
      <c r="N4" s="5">
        <f>SUMIFS([0]!mud,[0]!municipio,$B3,[0]!turno,N$2)</f>
        <v>4</v>
      </c>
      <c r="O4" s="5">
        <f>SUMIFS([0]!mud,[0]!municipio,$B3,[0]!turno,O$2)</f>
        <v>7</v>
      </c>
      <c r="P4" s="5">
        <f>SUMIFS([0]!mud,[0]!municipio,$B3,[0]!turno,P$2)</f>
        <v>7</v>
      </c>
      <c r="Q4" s="5">
        <f>SUMIFS([0]!mud,[0]!municipio,$B3,[0]!turno,Q$2)</f>
        <v>6</v>
      </c>
      <c r="R4" s="5">
        <f>SUMIFS([0]!mud,[0]!municipio,$B3,[0]!turno,R$2)</f>
        <v>4</v>
      </c>
      <c r="S4" s="5">
        <f>SUMIFS([0]!mud,[0]!municipio,$B3,[0]!turno,S$2)</f>
        <v>10</v>
      </c>
      <c r="T4" s="5">
        <f>SUMIFS([0]!mud,[0]!municipio,$B3,[0]!turno,T$2)</f>
        <v>10</v>
      </c>
      <c r="U4" s="5">
        <f>SUMIFS([0]!mud,[0]!municipio,$B3,[0]!turno,U$2)</f>
        <v>5</v>
      </c>
      <c r="V4" s="5">
        <f>SUMIFS([0]!mud,[0]!municipio,$B3,[0]!turno,V$2)</f>
        <v>11</v>
      </c>
      <c r="W4" s="26">
        <f>SUMIFS([0]!mud,[0]!municipio,$B3,[0]!turno,W$2)</f>
        <v>12</v>
      </c>
    </row>
    <row r="5" spans="2:23" ht="15.75" thickBot="1" x14ac:dyDescent="0.3">
      <c r="B5" s="21">
        <v>0.22460501471276487</v>
      </c>
      <c r="C5" s="10" t="s">
        <v>0</v>
      </c>
      <c r="D5" s="38">
        <f>IF((E3+E4+E5)=0,0,E5/(E3+E4+E5))</f>
        <v>7.0921985815602842E-2</v>
      </c>
      <c r="E5" s="11">
        <f t="shared" si="0"/>
        <v>30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4</v>
      </c>
      <c r="J5" s="11">
        <f>SUMIFS([0]!otro,[0]!municipio,$B3,[0]!turno,J$2)</f>
        <v>2</v>
      </c>
      <c r="K5" s="11">
        <f>SUMIFS([0]!otro,[0]!municipio,$B3,[0]!turno,K$2)</f>
        <v>2</v>
      </c>
      <c r="L5" s="11">
        <f>SUMIFS([0]!otro,[0]!municipio,$B3,[0]!turno,L$2)</f>
        <v>0</v>
      </c>
      <c r="M5" s="11">
        <f>SUMIFS([0]!otro,[0]!municipio,$B3,[0]!turno,M$2)</f>
        <v>3</v>
      </c>
      <c r="N5" s="11">
        <f>SUMIFS([0]!otro,[0]!municipio,$B3,[0]!turno,N$2)</f>
        <v>2</v>
      </c>
      <c r="O5" s="11">
        <f>SUMIFS([0]!otro,[0]!municipio,$B3,[0]!turno,O$2)</f>
        <v>1</v>
      </c>
      <c r="P5" s="11">
        <f>SUMIFS([0]!otro,[0]!municipio,$B3,[0]!turno,P$2)</f>
        <v>1</v>
      </c>
      <c r="Q5" s="11">
        <f>SUMIFS([0]!otro,[0]!municipio,$B3,[0]!turno,Q$2)</f>
        <v>2</v>
      </c>
      <c r="R5" s="11">
        <f>SUMIFS([0]!otro,[0]!municipio,$B3,[0]!turno,R$2)</f>
        <v>2</v>
      </c>
      <c r="S5" s="11">
        <f>SUMIFS([0]!otro,[0]!municipio,$B3,[0]!turno,S$2)</f>
        <v>4</v>
      </c>
      <c r="T5" s="11">
        <f>SUMIFS([0]!otro,[0]!municipio,$B3,[0]!turno,T$2)</f>
        <v>1</v>
      </c>
      <c r="U5" s="11">
        <f>SUMIFS([0]!otro,[0]!municipio,$B3,[0]!turno,U$2)</f>
        <v>4</v>
      </c>
      <c r="V5" s="11">
        <f>SUMIFS([0]!otro,[0]!municipio,$B3,[0]!turno,V$2)</f>
        <v>2</v>
      </c>
      <c r="W5" s="27">
        <f>SUMIFS([0]!otro,[0]!municipio,$B3,[0]!turno,W$2)</f>
        <v>0</v>
      </c>
    </row>
    <row r="6" spans="2:23" x14ac:dyDescent="0.25">
      <c r="B6" s="22">
        <v>76</v>
      </c>
      <c r="C6" s="6" t="s">
        <v>106</v>
      </c>
      <c r="D6" s="36">
        <f>IF((E6+E7+E8)=0,0,E6/(E6+E7+E8))</f>
        <v>0.35135135135135137</v>
      </c>
      <c r="E6" s="7">
        <f t="shared" si="0"/>
        <v>65</v>
      </c>
      <c r="F6" s="7">
        <f>SUMIFS([0]!psuv,[0]!municipio,$B6,[0]!turno,F$2)</f>
        <v>5</v>
      </c>
      <c r="G6" s="7">
        <f>SUMIFS([0]!psuv,[0]!municipio,$B6,[0]!turno,G$2)</f>
        <v>6</v>
      </c>
      <c r="H6" s="7">
        <f>SUMIFS([0]!psuv,[0]!municipio,$B6,[0]!turno,H$2)</f>
        <v>3</v>
      </c>
      <c r="I6" s="7">
        <f>SUMIFS([0]!psuv,[0]!municipio,$B6,[0]!turno,I$2)</f>
        <v>3</v>
      </c>
      <c r="J6" s="7">
        <f>SUMIFS([0]!psuv,[0]!municipio,$B6,[0]!turno,J$2)</f>
        <v>6</v>
      </c>
      <c r="K6" s="7">
        <f>SUMIFS([0]!psuv,[0]!municipio,$B6,[0]!turno,K$2)</f>
        <v>6</v>
      </c>
      <c r="L6" s="7">
        <f>SUMIFS([0]!psuv,[0]!municipio,$B6,[0]!turno,L$2)</f>
        <v>5</v>
      </c>
      <c r="M6" s="7">
        <f>SUMIFS([0]!psuv,[0]!municipio,$B6,[0]!turno,M$2)</f>
        <v>7</v>
      </c>
      <c r="N6" s="7">
        <f>SUMIFS([0]!psuv,[0]!municipio,$B6,[0]!turno,N$2)</f>
        <v>8</v>
      </c>
      <c r="O6" s="7">
        <f>SUMIFS([0]!psuv,[0]!municipio,$B6,[0]!turno,O$2)</f>
        <v>0</v>
      </c>
      <c r="P6" s="7">
        <f>SUMIFS([0]!psuv,[0]!municipio,$B6,[0]!turno,P$2)</f>
        <v>2</v>
      </c>
      <c r="Q6" s="7">
        <f>SUMIFS([0]!psuv,[0]!municipio,$B6,[0]!turno,Q$2)</f>
        <v>0</v>
      </c>
      <c r="R6" s="7">
        <f>SUMIFS([0]!psuv,[0]!municipio,$B6,[0]!turno,R$2)</f>
        <v>0</v>
      </c>
      <c r="S6" s="7">
        <f>SUMIFS([0]!psuv,[0]!municipio,$B6,[0]!turno,S$2)</f>
        <v>1</v>
      </c>
      <c r="T6" s="7">
        <f>SUMIFS([0]!psuv,[0]!municipio,$B6,[0]!turno,T$2)</f>
        <v>2</v>
      </c>
      <c r="U6" s="7">
        <f>SUMIFS([0]!psuv,[0]!municipio,$B6,[0]!turno,U$2)</f>
        <v>5</v>
      </c>
      <c r="V6" s="7">
        <f>SUMIFS([0]!psuv,[0]!municipio,$B6,[0]!turno,V$2)</f>
        <v>1</v>
      </c>
      <c r="W6" s="28">
        <f>SUMIFS([0]!psuv,[0]!municipio,$B6,[0]!turno,W$2)</f>
        <v>5</v>
      </c>
    </row>
    <row r="7" spans="2:23" x14ac:dyDescent="0.25">
      <c r="B7" s="23" t="s">
        <v>56</v>
      </c>
      <c r="C7" s="4" t="s">
        <v>107</v>
      </c>
      <c r="D7" s="37">
        <f>IF((E6+E7+E8)=0,0,E7/(E6+E7+E8))</f>
        <v>0.4756756756756757</v>
      </c>
      <c r="E7" s="5">
        <f t="shared" si="0"/>
        <v>88</v>
      </c>
      <c r="F7" s="5">
        <f>SUMIFS([0]!mud,[0]!municipio,$B6,[0]!turno,F$2)</f>
        <v>7</v>
      </c>
      <c r="G7" s="5">
        <f>SUMIFS([0]!mud,[0]!municipio,$B6,[0]!turno,G$2)</f>
        <v>8</v>
      </c>
      <c r="H7" s="5">
        <f>SUMIFS([0]!mud,[0]!municipio,$B6,[0]!turno,H$2)</f>
        <v>6</v>
      </c>
      <c r="I7" s="5">
        <f>SUMIFS([0]!mud,[0]!municipio,$B6,[0]!turno,I$2)</f>
        <v>6</v>
      </c>
      <c r="J7" s="5">
        <f>SUMIFS([0]!mud,[0]!municipio,$B6,[0]!turno,J$2)</f>
        <v>3</v>
      </c>
      <c r="K7" s="5">
        <f>SUMIFS([0]!mud,[0]!municipio,$B6,[0]!turno,K$2)</f>
        <v>5</v>
      </c>
      <c r="L7" s="5">
        <f>SUMIFS([0]!mud,[0]!municipio,$B6,[0]!turno,L$2)</f>
        <v>4</v>
      </c>
      <c r="M7" s="5">
        <f>SUMIFS([0]!mud,[0]!municipio,$B6,[0]!turno,M$2)</f>
        <v>8</v>
      </c>
      <c r="N7" s="5">
        <f>SUMIFS([0]!mud,[0]!municipio,$B6,[0]!turno,N$2)</f>
        <v>4</v>
      </c>
      <c r="O7" s="5">
        <f>SUMIFS([0]!mud,[0]!municipio,$B6,[0]!turno,O$2)</f>
        <v>5</v>
      </c>
      <c r="P7" s="5">
        <f>SUMIFS([0]!mud,[0]!municipio,$B6,[0]!turno,P$2)</f>
        <v>2</v>
      </c>
      <c r="Q7" s="5">
        <f>SUMIFS([0]!mud,[0]!municipio,$B6,[0]!turno,Q$2)</f>
        <v>1</v>
      </c>
      <c r="R7" s="5">
        <f>SUMIFS([0]!mud,[0]!municipio,$B6,[0]!turno,R$2)</f>
        <v>0</v>
      </c>
      <c r="S7" s="5">
        <f>SUMIFS([0]!mud,[0]!municipio,$B6,[0]!turno,S$2)</f>
        <v>7</v>
      </c>
      <c r="T7" s="5">
        <f>SUMIFS([0]!mud,[0]!municipio,$B6,[0]!turno,T$2)</f>
        <v>0</v>
      </c>
      <c r="U7" s="5">
        <f>SUMIFS([0]!mud,[0]!municipio,$B6,[0]!turno,U$2)</f>
        <v>5</v>
      </c>
      <c r="V7" s="5">
        <f>SUMIFS([0]!mud,[0]!municipio,$B6,[0]!turno,V$2)</f>
        <v>8</v>
      </c>
      <c r="W7" s="26">
        <f>SUMIFS([0]!mud,[0]!municipio,$B6,[0]!turno,W$2)</f>
        <v>9</v>
      </c>
    </row>
    <row r="8" spans="2:23" ht="15.75" thickBot="1" x14ac:dyDescent="0.3">
      <c r="B8" s="24">
        <v>0.17559294863173977</v>
      </c>
      <c r="C8" s="12" t="s">
        <v>0</v>
      </c>
      <c r="D8" s="38">
        <f>IF((E6+E7+E8)=0,0,E8/(E6+E7+E8))</f>
        <v>0.17297297297297298</v>
      </c>
      <c r="E8" s="13">
        <f t="shared" si="0"/>
        <v>32</v>
      </c>
      <c r="F8" s="13">
        <f>SUMIFS([0]!otro,[0]!municipio,$B6,[0]!turno,F$2)</f>
        <v>5</v>
      </c>
      <c r="G8" s="13">
        <f>SUMIFS([0]!otro,[0]!municipio,$B6,[0]!turno,G$2)</f>
        <v>1</v>
      </c>
      <c r="H8" s="13">
        <f>SUMIFS([0]!otro,[0]!municipio,$B6,[0]!turno,H$2)</f>
        <v>2</v>
      </c>
      <c r="I8" s="13">
        <f>SUMIFS([0]!otro,[0]!municipio,$B6,[0]!turno,I$2)</f>
        <v>3</v>
      </c>
      <c r="J8" s="13">
        <f>SUMIFS([0]!otro,[0]!municipio,$B6,[0]!turno,J$2)</f>
        <v>2</v>
      </c>
      <c r="K8" s="13">
        <f>SUMIFS([0]!otro,[0]!municipio,$B6,[0]!turno,K$2)</f>
        <v>0</v>
      </c>
      <c r="L8" s="13">
        <f>SUMIFS([0]!otro,[0]!municipio,$B6,[0]!turno,L$2)</f>
        <v>4</v>
      </c>
      <c r="M8" s="13">
        <f>SUMIFS([0]!otro,[0]!municipio,$B6,[0]!turno,M$2)</f>
        <v>5</v>
      </c>
      <c r="N8" s="13">
        <f>SUMIFS([0]!otro,[0]!municipio,$B6,[0]!turno,N$2)</f>
        <v>1</v>
      </c>
      <c r="O8" s="13">
        <f>SUMIFS([0]!otro,[0]!municipio,$B6,[0]!turno,O$2)</f>
        <v>0</v>
      </c>
      <c r="P8" s="13">
        <f>SUMIFS([0]!otro,[0]!municipio,$B6,[0]!turno,P$2)</f>
        <v>2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2</v>
      </c>
      <c r="T8" s="13">
        <f>SUMIFS([0]!otro,[0]!municipio,$B6,[0]!turno,T$2)</f>
        <v>0</v>
      </c>
      <c r="U8" s="13">
        <f>SUMIFS([0]!otro,[0]!municipio,$B6,[0]!turno,U$2)</f>
        <v>1</v>
      </c>
      <c r="V8" s="13">
        <f>SUMIFS([0]!otro,[0]!municipio,$B6,[0]!turno,V$2)</f>
        <v>3</v>
      </c>
      <c r="W8" s="29">
        <f>SUMIFS([0]!otro,[0]!municipio,$B6,[0]!turno,W$2)</f>
        <v>1</v>
      </c>
    </row>
    <row r="9" spans="2:23" x14ac:dyDescent="0.25">
      <c r="B9" s="19">
        <v>77</v>
      </c>
      <c r="C9" s="8" t="s">
        <v>106</v>
      </c>
      <c r="D9" s="36">
        <f>IF((E9+E10+E11)=0,0,E9/(E9+E10+E11))</f>
        <v>0.27027027027027029</v>
      </c>
      <c r="E9" s="9">
        <f t="shared" si="0"/>
        <v>30</v>
      </c>
      <c r="F9" s="9">
        <f>SUMIFS([0]!psuv,[0]!municipio,$B9,[0]!turno,F$2)</f>
        <v>1</v>
      </c>
      <c r="G9" s="9">
        <f>SUMIFS([0]!psuv,[0]!municipio,$B9,[0]!turno,G$2)</f>
        <v>0</v>
      </c>
      <c r="H9" s="9">
        <f>SUMIFS([0]!psuv,[0]!municipio,$B9,[0]!turno,H$2)</f>
        <v>1</v>
      </c>
      <c r="I9" s="9">
        <f>SUMIFS([0]!psuv,[0]!municipio,$B9,[0]!turno,I$2)</f>
        <v>4</v>
      </c>
      <c r="J9" s="9">
        <f>SUMIFS([0]!psuv,[0]!municipio,$B9,[0]!turno,J$2)</f>
        <v>3</v>
      </c>
      <c r="K9" s="9">
        <f>SUMIFS([0]!psuv,[0]!municipio,$B9,[0]!turno,K$2)</f>
        <v>3</v>
      </c>
      <c r="L9" s="9">
        <f>SUMIFS([0]!psuv,[0]!municipio,$B9,[0]!turno,L$2)</f>
        <v>2</v>
      </c>
      <c r="M9" s="9">
        <f>SUMIFS([0]!psuv,[0]!municipio,$B9,[0]!turno,M$2)</f>
        <v>1</v>
      </c>
      <c r="N9" s="9">
        <f>SUMIFS([0]!psuv,[0]!municipio,$B9,[0]!turno,N$2)</f>
        <v>2</v>
      </c>
      <c r="O9" s="9">
        <f>SUMIFS([0]!psuv,[0]!municipio,$B9,[0]!turno,O$2)</f>
        <v>2</v>
      </c>
      <c r="P9" s="9">
        <f>SUMIFS([0]!psuv,[0]!municipio,$B9,[0]!turno,P$2)</f>
        <v>1</v>
      </c>
      <c r="Q9" s="9">
        <f>SUMIFS([0]!psuv,[0]!municipio,$B9,[0]!turno,Q$2)</f>
        <v>1</v>
      </c>
      <c r="R9" s="9">
        <f>SUMIFS([0]!psuv,[0]!municipio,$B9,[0]!turno,R$2)</f>
        <v>2</v>
      </c>
      <c r="S9" s="9">
        <f>SUMIFS([0]!psuv,[0]!municipio,$B9,[0]!turno,S$2)</f>
        <v>1</v>
      </c>
      <c r="T9" s="9">
        <f>SUMIFS([0]!psuv,[0]!municipio,$B9,[0]!turno,T$2)</f>
        <v>1</v>
      </c>
      <c r="U9" s="9">
        <f>SUMIFS([0]!psuv,[0]!municipio,$B9,[0]!turno,U$2)</f>
        <v>5</v>
      </c>
      <c r="V9" s="9">
        <f>SUMIFS([0]!psuv,[0]!municipio,$B9,[0]!turno,V$2)</f>
        <v>0</v>
      </c>
      <c r="W9" s="25">
        <f>SUMIFS([0]!psuv,[0]!municipio,$B9,[0]!turno,W$2)</f>
        <v>0</v>
      </c>
    </row>
    <row r="10" spans="2:23" x14ac:dyDescent="0.25">
      <c r="B10" s="20" t="s">
        <v>17</v>
      </c>
      <c r="C10" s="4" t="s">
        <v>107</v>
      </c>
      <c r="D10" s="37">
        <f>IF((E9+E10+E11)=0,0,E10/(E9+E10+E11))</f>
        <v>0.51351351351351349</v>
      </c>
      <c r="E10" s="5">
        <f t="shared" si="0"/>
        <v>57</v>
      </c>
      <c r="F10" s="5">
        <f>SUMIFS([0]!mud,[0]!municipio,$B9,[0]!turno,F$2)</f>
        <v>2</v>
      </c>
      <c r="G10" s="5">
        <f>SUMIFS([0]!mud,[0]!municipio,$B9,[0]!turno,G$2)</f>
        <v>7</v>
      </c>
      <c r="H10" s="5">
        <f>SUMIFS([0]!mud,[0]!municipio,$B9,[0]!turno,H$2)</f>
        <v>1</v>
      </c>
      <c r="I10" s="5">
        <f>SUMIFS([0]!mud,[0]!municipio,$B9,[0]!turno,I$2)</f>
        <v>1</v>
      </c>
      <c r="J10" s="5">
        <f>SUMIFS([0]!mud,[0]!municipio,$B9,[0]!turno,J$2)</f>
        <v>4</v>
      </c>
      <c r="K10" s="5">
        <f>SUMIFS([0]!mud,[0]!municipio,$B9,[0]!turno,K$2)</f>
        <v>4</v>
      </c>
      <c r="L10" s="5">
        <f>SUMIFS([0]!mud,[0]!municipio,$B9,[0]!turno,L$2)</f>
        <v>4</v>
      </c>
      <c r="M10" s="5">
        <f>SUMIFS([0]!mud,[0]!municipio,$B9,[0]!turno,M$2)</f>
        <v>5</v>
      </c>
      <c r="N10" s="5">
        <f>SUMIFS([0]!mud,[0]!municipio,$B9,[0]!turno,N$2)</f>
        <v>4</v>
      </c>
      <c r="O10" s="5">
        <f>SUMIFS([0]!mud,[0]!municipio,$B9,[0]!turno,O$2)</f>
        <v>0</v>
      </c>
      <c r="P10" s="5">
        <f>SUMIFS([0]!mud,[0]!municipio,$B9,[0]!turno,P$2)</f>
        <v>3</v>
      </c>
      <c r="Q10" s="5">
        <f>SUMIFS([0]!mud,[0]!municipio,$B9,[0]!turno,Q$2)</f>
        <v>6</v>
      </c>
      <c r="R10" s="5">
        <f>SUMIFS([0]!mud,[0]!municipio,$B9,[0]!turno,R$2)</f>
        <v>2</v>
      </c>
      <c r="S10" s="5">
        <f>SUMIFS([0]!mud,[0]!municipio,$B9,[0]!turno,S$2)</f>
        <v>0</v>
      </c>
      <c r="T10" s="5">
        <f>SUMIFS([0]!mud,[0]!municipio,$B9,[0]!turno,T$2)</f>
        <v>6</v>
      </c>
      <c r="U10" s="5">
        <f>SUMIFS([0]!mud,[0]!municipio,$B9,[0]!turno,U$2)</f>
        <v>5</v>
      </c>
      <c r="V10" s="5">
        <f>SUMIFS([0]!mud,[0]!municipio,$B9,[0]!turno,V$2)</f>
        <v>0</v>
      </c>
      <c r="W10" s="26">
        <f>SUMIFS([0]!mud,[0]!municipio,$B9,[0]!turno,W$2)</f>
        <v>3</v>
      </c>
    </row>
    <row r="11" spans="2:23" ht="15.75" thickBot="1" x14ac:dyDescent="0.3">
      <c r="B11" s="21">
        <v>0.44820676410623317</v>
      </c>
      <c r="C11" s="10" t="s">
        <v>0</v>
      </c>
      <c r="D11" s="38">
        <f>IF((E9+E10+E11)=0,0,E11/(E9+E10+E11))</f>
        <v>0.21621621621621623</v>
      </c>
      <c r="E11" s="11">
        <f t="shared" si="0"/>
        <v>24</v>
      </c>
      <c r="F11" s="11">
        <f>SUMIFS([0]!otro,[0]!municipio,$B9,[0]!turno,F$2)</f>
        <v>2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2</v>
      </c>
      <c r="J11" s="11">
        <f>SUMIFS([0]!otro,[0]!municipio,$B9,[0]!turno,J$2)</f>
        <v>1</v>
      </c>
      <c r="K11" s="11">
        <f>SUMIFS([0]!otro,[0]!municipio,$B9,[0]!turno,K$2)</f>
        <v>0</v>
      </c>
      <c r="L11" s="11">
        <f>SUMIFS([0]!otro,[0]!municipio,$B9,[0]!turno,L$2)</f>
        <v>2</v>
      </c>
      <c r="M11" s="11">
        <f>SUMIFS([0]!otro,[0]!municipio,$B9,[0]!turno,M$2)</f>
        <v>1</v>
      </c>
      <c r="N11" s="11">
        <f>SUMIFS([0]!otro,[0]!municipio,$B9,[0]!turno,N$2)</f>
        <v>0</v>
      </c>
      <c r="O11" s="11">
        <f>SUMIFS([0]!otro,[0]!municipio,$B9,[0]!turno,O$2)</f>
        <v>1</v>
      </c>
      <c r="P11" s="11">
        <f>SUMIFS([0]!otro,[0]!municipio,$B9,[0]!turno,P$2)</f>
        <v>3</v>
      </c>
      <c r="Q11" s="11">
        <f>SUMIFS([0]!otro,[0]!municipio,$B9,[0]!turno,Q$2)</f>
        <v>1</v>
      </c>
      <c r="R11" s="11">
        <f>SUMIFS([0]!otro,[0]!municipio,$B9,[0]!turno,R$2)</f>
        <v>2</v>
      </c>
      <c r="S11" s="11">
        <f>SUMIFS([0]!otro,[0]!municipio,$B9,[0]!turno,S$2)</f>
        <v>3</v>
      </c>
      <c r="T11" s="11">
        <f>SUMIFS([0]!otro,[0]!municipio,$B9,[0]!turno,T$2)</f>
        <v>2</v>
      </c>
      <c r="U11" s="11">
        <f>SUMIFS([0]!otro,[0]!municipio,$B9,[0]!turno,U$2)</f>
        <v>1</v>
      </c>
      <c r="V11" s="11">
        <f>SUMIFS([0]!otro,[0]!municipio,$B9,[0]!turno,V$2)</f>
        <v>0</v>
      </c>
      <c r="W11" s="27">
        <f>SUMIFS([0]!otro,[0]!municipio,$B9,[0]!turno,W$2)</f>
        <v>3</v>
      </c>
    </row>
    <row r="12" spans="2:23" x14ac:dyDescent="0.25">
      <c r="B12" s="22">
        <v>78</v>
      </c>
      <c r="C12" s="6" t="s">
        <v>106</v>
      </c>
      <c r="D12" s="36">
        <f>IF((E12+E13+E14)=0,0,E12/(E12+E13+E14))</f>
        <v>0.65384615384615385</v>
      </c>
      <c r="E12" s="7">
        <f t="shared" si="0"/>
        <v>85</v>
      </c>
      <c r="F12" s="7">
        <f>SUMIFS([0]!psuv,[0]!municipio,$B12,[0]!turno,F$2)</f>
        <v>0</v>
      </c>
      <c r="G12" s="7">
        <f>SUMIFS([0]!psuv,[0]!municipio,$B12,[0]!turno,G$2)</f>
        <v>0</v>
      </c>
      <c r="H12" s="7">
        <f>SUMIFS([0]!psuv,[0]!municipio,$B12,[0]!turno,H$2)</f>
        <v>10</v>
      </c>
      <c r="I12" s="7">
        <f>SUMIFS([0]!psuv,[0]!municipio,$B12,[0]!turno,I$2)</f>
        <v>8</v>
      </c>
      <c r="J12" s="7">
        <f>SUMIFS([0]!psuv,[0]!municipio,$B12,[0]!turno,J$2)</f>
        <v>9</v>
      </c>
      <c r="K12" s="7">
        <f>SUMIFS([0]!psuv,[0]!municipio,$B12,[0]!turno,K$2)</f>
        <v>9</v>
      </c>
      <c r="L12" s="7">
        <f>SUMIFS([0]!psuv,[0]!municipio,$B12,[0]!turno,L$2)</f>
        <v>5</v>
      </c>
      <c r="M12" s="7">
        <f>SUMIFS([0]!psuv,[0]!municipio,$B12,[0]!turno,M$2)</f>
        <v>11</v>
      </c>
      <c r="N12" s="7">
        <f>SUMIFS([0]!psuv,[0]!municipio,$B12,[0]!turno,N$2)</f>
        <v>2</v>
      </c>
      <c r="O12" s="7">
        <f>SUMIFS([0]!psuv,[0]!municipio,$B12,[0]!turno,O$2)</f>
        <v>0</v>
      </c>
      <c r="P12" s="7">
        <f>SUMIFS([0]!psuv,[0]!municipio,$B12,[0]!turno,P$2)</f>
        <v>8</v>
      </c>
      <c r="Q12" s="7">
        <f>SUMIFS([0]!psuv,[0]!municipio,$B12,[0]!turno,Q$2)</f>
        <v>5</v>
      </c>
      <c r="R12" s="7">
        <f>SUMIFS([0]!psuv,[0]!municipio,$B12,[0]!turno,R$2)</f>
        <v>5</v>
      </c>
      <c r="S12" s="7">
        <f>SUMIFS([0]!psuv,[0]!municipio,$B12,[0]!turno,S$2)</f>
        <v>13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23" t="s">
        <v>19</v>
      </c>
      <c r="C13" s="4" t="s">
        <v>107</v>
      </c>
      <c r="D13" s="37">
        <f>IF((E12+E13+E14)=0,0,E13/(E12+E13+E14))</f>
        <v>0.3</v>
      </c>
      <c r="E13" s="5">
        <f t="shared" si="0"/>
        <v>39</v>
      </c>
      <c r="F13" s="5">
        <f>SUMIFS([0]!mud,[0]!municipio,$B12,[0]!turno,F$2)</f>
        <v>0</v>
      </c>
      <c r="G13" s="5">
        <f>SUMIFS([0]!mud,[0]!municipio,$B12,[0]!turno,G$2)</f>
        <v>0</v>
      </c>
      <c r="H13" s="5">
        <f>SUMIFS([0]!mud,[0]!municipio,$B12,[0]!turno,H$2)</f>
        <v>3</v>
      </c>
      <c r="I13" s="5">
        <f>SUMIFS([0]!mud,[0]!municipio,$B12,[0]!turno,I$2)</f>
        <v>9</v>
      </c>
      <c r="J13" s="5">
        <f>SUMIFS([0]!mud,[0]!municipio,$B12,[0]!turno,J$2)</f>
        <v>1</v>
      </c>
      <c r="K13" s="5">
        <f>SUMIFS([0]!mud,[0]!municipio,$B12,[0]!turno,K$2)</f>
        <v>1</v>
      </c>
      <c r="L13" s="5">
        <f>SUMIFS([0]!mud,[0]!municipio,$B12,[0]!turno,L$2)</f>
        <v>3</v>
      </c>
      <c r="M13" s="5">
        <f>SUMIFS([0]!mud,[0]!municipio,$B12,[0]!turno,M$2)</f>
        <v>4</v>
      </c>
      <c r="N13" s="5">
        <f>SUMIFS([0]!mud,[0]!municipio,$B12,[0]!turno,N$2)</f>
        <v>2</v>
      </c>
      <c r="O13" s="5">
        <f>SUMIFS([0]!mud,[0]!municipio,$B12,[0]!turno,O$2)</f>
        <v>0</v>
      </c>
      <c r="P13" s="5">
        <f>SUMIFS([0]!mud,[0]!municipio,$B12,[0]!turno,P$2)</f>
        <v>2</v>
      </c>
      <c r="Q13" s="5">
        <f>SUMIFS([0]!mud,[0]!municipio,$B12,[0]!turno,Q$2)</f>
        <v>3</v>
      </c>
      <c r="R13" s="5">
        <f>SUMIFS([0]!mud,[0]!municipio,$B12,[0]!turno,R$2)</f>
        <v>6</v>
      </c>
      <c r="S13" s="5">
        <f>SUMIFS([0]!mud,[0]!municipio,$B12,[0]!turno,S$2)</f>
        <v>5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24">
        <v>9.6017601523457036E-2</v>
      </c>
      <c r="C14" s="12" t="s">
        <v>0</v>
      </c>
      <c r="D14" s="38">
        <f>IF((E12+E13+E14)=0,0,E14/(E12+E13+E14))</f>
        <v>4.6153846153846156E-2</v>
      </c>
      <c r="E14" s="13">
        <f t="shared" si="0"/>
        <v>6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1</v>
      </c>
      <c r="J14" s="13">
        <f>SUMIFS([0]!otro,[0]!municipio,$B12,[0]!turno,J$2)</f>
        <v>0</v>
      </c>
      <c r="K14" s="13">
        <f>SUMIFS([0]!otro,[0]!municipio,$B12,[0]!turno,K$2)</f>
        <v>2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1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1</v>
      </c>
      <c r="S14" s="13">
        <f>SUMIFS([0]!otro,[0]!municipio,$B12,[0]!turno,S$2)</f>
        <v>1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79</v>
      </c>
      <c r="C15" s="8" t="s">
        <v>106</v>
      </c>
      <c r="D15" s="36">
        <f>IF((E15+E16+E17)=0,0,E15/(E15+E16+E17))</f>
        <v>0.65263157894736845</v>
      </c>
      <c r="E15" s="9">
        <f t="shared" si="0"/>
        <v>62</v>
      </c>
      <c r="F15" s="9">
        <f>SUMIFS([0]!psuv,[0]!municipio,$B15,[0]!turno,F$2)</f>
        <v>0</v>
      </c>
      <c r="G15" s="9">
        <f>SUMIFS([0]!psuv,[0]!municipio,$B15,[0]!turno,G$2)</f>
        <v>0</v>
      </c>
      <c r="H15" s="9">
        <f>SUMIFS([0]!psuv,[0]!municipio,$B15,[0]!turno,H$2)</f>
        <v>0</v>
      </c>
      <c r="I15" s="9">
        <f>SUMIFS([0]!psuv,[0]!municipio,$B15,[0]!turno,I$2)</f>
        <v>20</v>
      </c>
      <c r="J15" s="9">
        <f>SUMIFS([0]!psuv,[0]!municipio,$B15,[0]!turno,J$2)</f>
        <v>2</v>
      </c>
      <c r="K15" s="9">
        <f>SUMIFS([0]!psuv,[0]!municipio,$B15,[0]!turno,K$2)</f>
        <v>3</v>
      </c>
      <c r="L15" s="9">
        <f>SUMIFS([0]!psuv,[0]!municipio,$B15,[0]!turno,L$2)</f>
        <v>5</v>
      </c>
      <c r="M15" s="9">
        <f>SUMIFS([0]!psuv,[0]!municipio,$B15,[0]!turno,M$2)</f>
        <v>0</v>
      </c>
      <c r="N15" s="9">
        <f>SUMIFS([0]!psuv,[0]!municipio,$B15,[0]!turno,N$2)</f>
        <v>7</v>
      </c>
      <c r="O15" s="9">
        <f>SUMIFS([0]!psuv,[0]!municipio,$B15,[0]!turno,O$2)</f>
        <v>8</v>
      </c>
      <c r="P15" s="9">
        <f>SUMIFS([0]!psuv,[0]!municipio,$B15,[0]!turno,P$2)</f>
        <v>9</v>
      </c>
      <c r="Q15" s="9">
        <f>SUMIFS([0]!psuv,[0]!municipio,$B15,[0]!turno,Q$2)</f>
        <v>8</v>
      </c>
      <c r="R15" s="9">
        <f>SUMIFS([0]!psuv,[0]!municipio,$B15,[0]!turno,R$2)</f>
        <v>0</v>
      </c>
      <c r="S15" s="9">
        <f>SUMIFS([0]!psuv,[0]!municipio,$B15,[0]!turno,S$2)</f>
        <v>0</v>
      </c>
      <c r="T15" s="9">
        <f>SUMIFS([0]!psuv,[0]!municipio,$B15,[0]!turno,T$2)</f>
        <v>0</v>
      </c>
      <c r="U15" s="9">
        <f>SUMIFS([0]!psuv,[0]!municipio,$B15,[0]!turno,U$2)</f>
        <v>0</v>
      </c>
      <c r="V15" s="9">
        <f>SUMIFS([0]!psuv,[0]!municipio,$B15,[0]!turno,V$2)</f>
        <v>0</v>
      </c>
      <c r="W15" s="25">
        <f>SUMIFS([0]!psuv,[0]!municipio,$B15,[0]!turno,W$2)</f>
        <v>0</v>
      </c>
    </row>
    <row r="16" spans="2:23" x14ac:dyDescent="0.25">
      <c r="B16" s="20" t="s">
        <v>188</v>
      </c>
      <c r="C16" s="4" t="s">
        <v>107</v>
      </c>
      <c r="D16" s="37">
        <f>IF((E15+E16+E17)=0,0,E16/(E15+E16+E17))</f>
        <v>0.28421052631578947</v>
      </c>
      <c r="E16" s="5">
        <f t="shared" si="0"/>
        <v>27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0</v>
      </c>
      <c r="I16" s="5">
        <f>SUMIFS([0]!mud,[0]!municipio,$B15,[0]!turno,I$2)</f>
        <v>4</v>
      </c>
      <c r="J16" s="5">
        <f>SUMIFS([0]!mud,[0]!municipio,$B15,[0]!turno,J$2)</f>
        <v>0</v>
      </c>
      <c r="K16" s="5">
        <f>SUMIFS([0]!mud,[0]!municipio,$B15,[0]!turno,K$2)</f>
        <v>0</v>
      </c>
      <c r="L16" s="5">
        <f>SUMIFS([0]!mud,[0]!municipio,$B15,[0]!turno,L$2)</f>
        <v>3</v>
      </c>
      <c r="M16" s="5">
        <f>SUMIFS([0]!mud,[0]!municipio,$B15,[0]!turno,M$2)</f>
        <v>0</v>
      </c>
      <c r="N16" s="5">
        <f>SUMIFS([0]!mud,[0]!municipio,$B15,[0]!turno,N$2)</f>
        <v>4</v>
      </c>
      <c r="O16" s="5">
        <f>SUMIFS([0]!mud,[0]!municipio,$B15,[0]!turno,O$2)</f>
        <v>6</v>
      </c>
      <c r="P16" s="5">
        <f>SUMIFS([0]!mud,[0]!municipio,$B15,[0]!turno,P$2)</f>
        <v>8</v>
      </c>
      <c r="Q16" s="5">
        <f>SUMIFS([0]!mud,[0]!municipio,$B15,[0]!turno,Q$2)</f>
        <v>2</v>
      </c>
      <c r="R16" s="5">
        <f>SUMIFS([0]!mud,[0]!municipio,$B15,[0]!turno,R$2)</f>
        <v>0</v>
      </c>
      <c r="S16" s="5">
        <f>SUMIFS([0]!mud,[0]!municipio,$B15,[0]!turno,S$2)</f>
        <v>0</v>
      </c>
      <c r="T16" s="5">
        <f>SUMIFS([0]!mud,[0]!municipio,$B15,[0]!turno,T$2)</f>
        <v>0</v>
      </c>
      <c r="U16" s="5">
        <f>SUMIFS([0]!mud,[0]!municipio,$B15,[0]!turno,U$2)</f>
        <v>0</v>
      </c>
      <c r="V16" s="5">
        <f>SUMIFS([0]!mud,[0]!municipio,$B15,[0]!turno,V$2)</f>
        <v>0</v>
      </c>
      <c r="W16" s="26">
        <f>SUMIFS([0]!mud,[0]!municipio,$B15,[0]!turno,W$2)</f>
        <v>0</v>
      </c>
    </row>
    <row r="17" spans="2:23" ht="15.75" thickBot="1" x14ac:dyDescent="0.3">
      <c r="B17" s="21">
        <v>5.5577671025805166E-2</v>
      </c>
      <c r="C17" s="10" t="s">
        <v>0</v>
      </c>
      <c r="D17" s="38">
        <f>IF((E15+E16+E17)=0,0,E17/(E15+E16+E17))</f>
        <v>6.3157894736842107E-2</v>
      </c>
      <c r="E17" s="11">
        <f t="shared" si="0"/>
        <v>6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6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ht="15" customHeight="1" x14ac:dyDescent="0.25">
      <c r="B18"/>
      <c r="C18"/>
    </row>
    <row r="19" spans="2:23" ht="15" customHeight="1" x14ac:dyDescent="0.25">
      <c r="B19"/>
      <c r="C19"/>
    </row>
    <row r="20" spans="2:23" ht="15" customHeight="1" x14ac:dyDescent="0.25">
      <c r="B20"/>
      <c r="C20"/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B1:W469"/>
  <sheetViews>
    <sheetView workbookViewId="0">
      <selection activeCell="E53" sqref="E3:E53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80</v>
      </c>
      <c r="C3" s="8" t="s">
        <v>106</v>
      </c>
      <c r="D3" s="36">
        <f>IF((E3+E4+E5)=0,0,E3/(E3+E4+E5))</f>
        <v>0</v>
      </c>
      <c r="E3" s="9">
        <f t="shared" ref="E3:E34" si="0">SUM(F3:W3)</f>
        <v>0</v>
      </c>
      <c r="F3" s="9">
        <f>SUMIFS([0]!psuv,[0]!municipio,$B3,[0]!turno,F$2)</f>
        <v>0</v>
      </c>
      <c r="G3" s="9">
        <f>SUMIFS([0]!psuv,[0]!municipio,$B3,[0]!turno,G$2)</f>
        <v>0</v>
      </c>
      <c r="H3" s="9">
        <f>SUMIFS([0]!psuv,[0]!municipio,$B3,[0]!turno,H$2)</f>
        <v>0</v>
      </c>
      <c r="I3" s="9">
        <f>SUMIFS([0]!psuv,[0]!municipio,$B3,[0]!turno,I$2)</f>
        <v>0</v>
      </c>
      <c r="J3" s="9">
        <f>SUMIFS([0]!psuv,[0]!municipio,$B3,[0]!turno,J$2)</f>
        <v>0</v>
      </c>
      <c r="K3" s="9">
        <f>SUMIFS([0]!psuv,[0]!municipio,$B3,[0]!turno,K$2)</f>
        <v>0</v>
      </c>
      <c r="L3" s="9">
        <f>SUMIFS([0]!psuv,[0]!municipio,$B3,[0]!turno,L$2)</f>
        <v>0</v>
      </c>
      <c r="M3" s="9">
        <f>SUMIFS([0]!psuv,[0]!municipio,$B3,[0]!turno,M$2)</f>
        <v>0</v>
      </c>
      <c r="N3" s="9">
        <f>SUMIFS([0]!psuv,[0]!municipio,$B3,[0]!turno,N$2)</f>
        <v>0</v>
      </c>
      <c r="O3" s="9">
        <f>SUMIFS([0]!psuv,[0]!municipio,$B3,[0]!turno,O$2)</f>
        <v>0</v>
      </c>
      <c r="P3" s="9">
        <f>SUMIFS([0]!psuv,[0]!municipio,$B3,[0]!turno,P$2)</f>
        <v>0</v>
      </c>
      <c r="Q3" s="9">
        <f>SUMIFS([0]!psuv,[0]!municipio,$B3,[0]!turno,Q$2)</f>
        <v>0</v>
      </c>
      <c r="R3" s="9">
        <f>SUMIFS([0]!psuv,[0]!municipio,$B3,[0]!turno,R$2)</f>
        <v>0</v>
      </c>
      <c r="S3" s="9">
        <f>SUMIFS([0]!psuv,[0]!municipio,$B3,[0]!turno,S$2)</f>
        <v>0</v>
      </c>
      <c r="T3" s="9">
        <f>SUMIFS([0]!psuv,[0]!municipio,$B3,[0]!turno,T$2)</f>
        <v>0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20" t="s">
        <v>57</v>
      </c>
      <c r="C4" s="4" t="s">
        <v>107</v>
      </c>
      <c r="D4" s="37">
        <f>IF((E3+E4+E5)=0,0,E4/(E3+E4+E5))</f>
        <v>0</v>
      </c>
      <c r="E4" s="5">
        <f t="shared" si="0"/>
        <v>0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0</v>
      </c>
      <c r="I4" s="5">
        <f>SUMIFS([0]!mud,[0]!municipio,$B3,[0]!turno,I$2)</f>
        <v>0</v>
      </c>
      <c r="J4" s="5">
        <f>SUMIFS([0]!mud,[0]!municipio,$B3,[0]!turno,J$2)</f>
        <v>0</v>
      </c>
      <c r="K4" s="5">
        <f>SUMIFS([0]!mud,[0]!municipio,$B3,[0]!turno,K$2)</f>
        <v>0</v>
      </c>
      <c r="L4" s="5">
        <f>SUMIFS([0]!mud,[0]!municipio,$B3,[0]!turno,L$2)</f>
        <v>0</v>
      </c>
      <c r="M4" s="5">
        <f>SUMIFS([0]!mud,[0]!municipio,$B3,[0]!turno,M$2)</f>
        <v>0</v>
      </c>
      <c r="N4" s="5">
        <f>SUMIFS([0]!mud,[0]!municipio,$B3,[0]!turno,N$2)</f>
        <v>0</v>
      </c>
      <c r="O4" s="5">
        <f>SUMIFS([0]!mud,[0]!municipio,$B3,[0]!turno,O$2)</f>
        <v>0</v>
      </c>
      <c r="P4" s="5">
        <f>SUMIFS([0]!mud,[0]!municipio,$B3,[0]!turno,P$2)</f>
        <v>0</v>
      </c>
      <c r="Q4" s="5">
        <f>SUMIFS([0]!mud,[0]!municipio,$B3,[0]!turno,Q$2)</f>
        <v>0</v>
      </c>
      <c r="R4" s="5">
        <f>SUMIFS([0]!mud,[0]!municipio,$B3,[0]!turno,R$2)</f>
        <v>0</v>
      </c>
      <c r="S4" s="5">
        <f>SUMIFS([0]!mud,[0]!municipio,$B3,[0]!turno,S$2)</f>
        <v>0</v>
      </c>
      <c r="T4" s="5">
        <f>SUMIFS([0]!mud,[0]!municipio,$B3,[0]!turno,T$2)</f>
        <v>0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ht="15.75" thickBot="1" x14ac:dyDescent="0.3">
      <c r="B5" s="21">
        <v>2.9996847355618823E-2</v>
      </c>
      <c r="C5" s="10" t="s">
        <v>0</v>
      </c>
      <c r="D5" s="38">
        <f>IF((E3+E4+E5)=0,0,E5/(E3+E4+E5))</f>
        <v>0</v>
      </c>
      <c r="E5" s="11">
        <f t="shared" si="0"/>
        <v>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22">
        <v>81</v>
      </c>
      <c r="C6" s="6" t="s">
        <v>106</v>
      </c>
      <c r="D6" s="36">
        <f>IF((E6+E7+E8)=0,0,E6/(E6+E7+E8))</f>
        <v>9.9330357142857137E-2</v>
      </c>
      <c r="E6" s="7">
        <f t="shared" si="0"/>
        <v>89</v>
      </c>
      <c r="F6" s="7">
        <f>SUMIFS([0]!psuv,[0]!municipio,$B6,[0]!turno,F$2)</f>
        <v>0</v>
      </c>
      <c r="G6" s="7">
        <f>SUMIFS([0]!psuv,[0]!municipio,$B6,[0]!turno,G$2)</f>
        <v>0</v>
      </c>
      <c r="H6" s="7">
        <f>SUMIFS([0]!psuv,[0]!municipio,$B6,[0]!turno,H$2)</f>
        <v>3</v>
      </c>
      <c r="I6" s="7">
        <f>SUMIFS([0]!psuv,[0]!municipio,$B6,[0]!turno,I$2)</f>
        <v>5</v>
      </c>
      <c r="J6" s="7">
        <f>SUMIFS([0]!psuv,[0]!municipio,$B6,[0]!turno,J$2)</f>
        <v>3</v>
      </c>
      <c r="K6" s="7">
        <f>SUMIFS([0]!psuv,[0]!municipio,$B6,[0]!turno,K$2)</f>
        <v>21</v>
      </c>
      <c r="L6" s="7">
        <f>SUMIFS([0]!psuv,[0]!municipio,$B6,[0]!turno,L$2)</f>
        <v>9</v>
      </c>
      <c r="M6" s="7">
        <f>SUMIFS([0]!psuv,[0]!municipio,$B6,[0]!turno,M$2)</f>
        <v>11</v>
      </c>
      <c r="N6" s="7">
        <f>SUMIFS([0]!psuv,[0]!municipio,$B6,[0]!turno,N$2)</f>
        <v>10</v>
      </c>
      <c r="O6" s="7">
        <f>SUMIFS([0]!psuv,[0]!municipio,$B6,[0]!turno,O$2)</f>
        <v>10</v>
      </c>
      <c r="P6" s="7">
        <f>SUMIFS([0]!psuv,[0]!municipio,$B6,[0]!turno,P$2)</f>
        <v>7</v>
      </c>
      <c r="Q6" s="7">
        <f>SUMIFS([0]!psuv,[0]!municipio,$B6,[0]!turno,Q$2)</f>
        <v>10</v>
      </c>
      <c r="R6" s="7">
        <f>SUMIFS([0]!psuv,[0]!municipio,$B6,[0]!turno,R$2)</f>
        <v>0</v>
      </c>
      <c r="S6" s="7">
        <f>SUMIFS([0]!psuv,[0]!municipio,$B6,[0]!turno,S$2)</f>
        <v>0</v>
      </c>
      <c r="T6" s="7">
        <f>SUMIFS([0]!psuv,[0]!municipio,$B6,[0]!turno,T$2)</f>
        <v>0</v>
      </c>
      <c r="U6" s="7">
        <f>SUMIFS([0]!psuv,[0]!municipio,$B6,[0]!turno,U$2)</f>
        <v>0</v>
      </c>
      <c r="V6" s="7">
        <f>SUMIFS([0]!psuv,[0]!municipio,$B6,[0]!turno,V$2)</f>
        <v>0</v>
      </c>
      <c r="W6" s="28">
        <f>SUMIFS([0]!psuv,[0]!municipio,$B6,[0]!turno,W$2)</f>
        <v>0</v>
      </c>
    </row>
    <row r="7" spans="2:23" x14ac:dyDescent="0.25">
      <c r="B7" s="23" t="s">
        <v>58</v>
      </c>
      <c r="C7" s="4" t="s">
        <v>107</v>
      </c>
      <c r="D7" s="37">
        <f>IF((E6+E7+E8)=0,0,E7/(E6+E7+E8))</f>
        <v>0.8984375</v>
      </c>
      <c r="E7" s="5">
        <f t="shared" si="0"/>
        <v>805</v>
      </c>
      <c r="F7" s="5">
        <f>SUMIFS([0]!mud,[0]!municipio,$B6,[0]!turno,F$2)</f>
        <v>0</v>
      </c>
      <c r="G7" s="5">
        <f>SUMIFS([0]!mud,[0]!municipio,$B6,[0]!turno,G$2)</f>
        <v>35</v>
      </c>
      <c r="H7" s="5">
        <f>SUMIFS([0]!mud,[0]!municipio,$B6,[0]!turno,H$2)</f>
        <v>65</v>
      </c>
      <c r="I7" s="5">
        <f>SUMIFS([0]!mud,[0]!municipio,$B6,[0]!turno,I$2)</f>
        <v>55</v>
      </c>
      <c r="J7" s="5">
        <f>SUMIFS([0]!mud,[0]!municipio,$B6,[0]!turno,J$2)</f>
        <v>71</v>
      </c>
      <c r="K7" s="5">
        <f>SUMIFS([0]!mud,[0]!municipio,$B6,[0]!turno,K$2)</f>
        <v>69</v>
      </c>
      <c r="L7" s="5">
        <f>SUMIFS([0]!mud,[0]!municipio,$B6,[0]!turno,L$2)</f>
        <v>85</v>
      </c>
      <c r="M7" s="5">
        <f>SUMIFS([0]!mud,[0]!municipio,$B6,[0]!turno,M$2)</f>
        <v>90</v>
      </c>
      <c r="N7" s="5">
        <f>SUMIFS([0]!mud,[0]!municipio,$B6,[0]!turno,N$2)</f>
        <v>77</v>
      </c>
      <c r="O7" s="5">
        <f>SUMIFS([0]!mud,[0]!municipio,$B6,[0]!turno,O$2)</f>
        <v>62</v>
      </c>
      <c r="P7" s="5">
        <f>SUMIFS([0]!mud,[0]!municipio,$B6,[0]!turno,P$2)</f>
        <v>66</v>
      </c>
      <c r="Q7" s="5">
        <f>SUMIFS([0]!mud,[0]!municipio,$B6,[0]!turno,Q$2)</f>
        <v>56</v>
      </c>
      <c r="R7" s="5">
        <f>SUMIFS([0]!mud,[0]!municipio,$B6,[0]!turno,R$2)</f>
        <v>36</v>
      </c>
      <c r="S7" s="5">
        <f>SUMIFS([0]!mud,[0]!municipio,$B6,[0]!turno,S$2)</f>
        <v>38</v>
      </c>
      <c r="T7" s="5">
        <f>SUMIFS([0]!mud,[0]!municipio,$B6,[0]!turno,T$2)</f>
        <v>0</v>
      </c>
      <c r="U7" s="5">
        <f>SUMIFS([0]!mud,[0]!municipio,$B6,[0]!turno,U$2)</f>
        <v>0</v>
      </c>
      <c r="V7" s="5">
        <f>SUMIFS([0]!mud,[0]!municipio,$B6,[0]!turno,V$2)</f>
        <v>0</v>
      </c>
      <c r="W7" s="26">
        <f>SUMIFS([0]!mud,[0]!municipio,$B6,[0]!turno,W$2)</f>
        <v>0</v>
      </c>
    </row>
    <row r="8" spans="2:23" ht="15.75" thickBot="1" x14ac:dyDescent="0.3">
      <c r="B8" s="24">
        <v>0.12265129336295852</v>
      </c>
      <c r="C8" s="12" t="s">
        <v>0</v>
      </c>
      <c r="D8" s="38">
        <f>IF((E6+E7+E8)=0,0,E8/(E6+E7+E8))</f>
        <v>2.232142857142857E-3</v>
      </c>
      <c r="E8" s="13">
        <f t="shared" si="0"/>
        <v>2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2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0</v>
      </c>
      <c r="U8" s="13">
        <f>SUMIFS([0]!otro,[0]!municipio,$B6,[0]!turno,U$2)</f>
        <v>0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x14ac:dyDescent="0.25">
      <c r="B9" s="19">
        <v>82</v>
      </c>
      <c r="C9" s="8" t="s">
        <v>106</v>
      </c>
      <c r="D9" s="36">
        <f>IF((E9+E10+E11)=0,0,E9/(E9+E10+E11))</f>
        <v>0.35862068965517241</v>
      </c>
      <c r="E9" s="9">
        <f t="shared" si="0"/>
        <v>104</v>
      </c>
      <c r="F9" s="9">
        <f>SUMIFS([0]!psuv,[0]!municipio,$B9,[0]!turno,F$2)</f>
        <v>0</v>
      </c>
      <c r="G9" s="9">
        <f>SUMIFS([0]!psuv,[0]!municipio,$B9,[0]!turno,G$2)</f>
        <v>9</v>
      </c>
      <c r="H9" s="9">
        <f>SUMIFS([0]!psuv,[0]!municipio,$B9,[0]!turno,H$2)</f>
        <v>19</v>
      </c>
      <c r="I9" s="9">
        <f>SUMIFS([0]!psuv,[0]!municipio,$B9,[0]!turno,I$2)</f>
        <v>14</v>
      </c>
      <c r="J9" s="9">
        <f>SUMIFS([0]!psuv,[0]!municipio,$B9,[0]!turno,J$2)</f>
        <v>7</v>
      </c>
      <c r="K9" s="9">
        <f>SUMIFS([0]!psuv,[0]!municipio,$B9,[0]!turno,K$2)</f>
        <v>10</v>
      </c>
      <c r="L9" s="9">
        <f>SUMIFS([0]!psuv,[0]!municipio,$B9,[0]!turno,L$2)</f>
        <v>5</v>
      </c>
      <c r="M9" s="9">
        <f>SUMIFS([0]!psuv,[0]!municipio,$B9,[0]!turno,M$2)</f>
        <v>7</v>
      </c>
      <c r="N9" s="9">
        <f>SUMIFS([0]!psuv,[0]!municipio,$B9,[0]!turno,N$2)</f>
        <v>4</v>
      </c>
      <c r="O9" s="9">
        <f>SUMIFS([0]!psuv,[0]!municipio,$B9,[0]!turno,O$2)</f>
        <v>3</v>
      </c>
      <c r="P9" s="9">
        <f>SUMIFS([0]!psuv,[0]!municipio,$B9,[0]!turno,P$2)</f>
        <v>5</v>
      </c>
      <c r="Q9" s="9">
        <f>SUMIFS([0]!psuv,[0]!municipio,$B9,[0]!turno,Q$2)</f>
        <v>4</v>
      </c>
      <c r="R9" s="9">
        <f>SUMIFS([0]!psuv,[0]!municipio,$B9,[0]!turno,R$2)</f>
        <v>8</v>
      </c>
      <c r="S9" s="9">
        <f>SUMIFS([0]!psuv,[0]!municipio,$B9,[0]!turno,S$2)</f>
        <v>9</v>
      </c>
      <c r="T9" s="9">
        <f>SUMIFS([0]!psuv,[0]!municipio,$B9,[0]!turno,T$2)</f>
        <v>0</v>
      </c>
      <c r="U9" s="9">
        <f>SUMIFS([0]!psuv,[0]!municipio,$B9,[0]!turno,U$2)</f>
        <v>0</v>
      </c>
      <c r="V9" s="9">
        <f>SUMIFS([0]!psuv,[0]!municipio,$B9,[0]!turno,V$2)</f>
        <v>0</v>
      </c>
      <c r="W9" s="25">
        <f>SUMIFS([0]!psuv,[0]!municipio,$B9,[0]!turno,W$2)</f>
        <v>0</v>
      </c>
    </row>
    <row r="10" spans="2:23" x14ac:dyDescent="0.25">
      <c r="B10" s="20" t="s">
        <v>59</v>
      </c>
      <c r="C10" s="4" t="s">
        <v>107</v>
      </c>
      <c r="D10" s="37">
        <f>IF((E9+E10+E11)=0,0,E10/(E9+E10+E11))</f>
        <v>0.6103448275862069</v>
      </c>
      <c r="E10" s="5">
        <f t="shared" si="0"/>
        <v>177</v>
      </c>
      <c r="F10" s="5">
        <f>SUMIFS([0]!mud,[0]!municipio,$B9,[0]!turno,F$2)</f>
        <v>0</v>
      </c>
      <c r="G10" s="5">
        <f>SUMIFS([0]!mud,[0]!municipio,$B9,[0]!turno,G$2)</f>
        <v>18</v>
      </c>
      <c r="H10" s="5">
        <f>SUMIFS([0]!mud,[0]!municipio,$B9,[0]!turno,H$2)</f>
        <v>10</v>
      </c>
      <c r="I10" s="5">
        <f>SUMIFS([0]!mud,[0]!municipio,$B9,[0]!turno,I$2)</f>
        <v>7</v>
      </c>
      <c r="J10" s="5">
        <f>SUMIFS([0]!mud,[0]!municipio,$B9,[0]!turno,J$2)</f>
        <v>15</v>
      </c>
      <c r="K10" s="5">
        <f>SUMIFS([0]!mud,[0]!municipio,$B9,[0]!turno,K$2)</f>
        <v>18</v>
      </c>
      <c r="L10" s="5">
        <f>SUMIFS([0]!mud,[0]!municipio,$B9,[0]!turno,L$2)</f>
        <v>20</v>
      </c>
      <c r="M10" s="5">
        <f>SUMIFS([0]!mud,[0]!municipio,$B9,[0]!turno,M$2)</f>
        <v>12</v>
      </c>
      <c r="N10" s="5">
        <f>SUMIFS([0]!mud,[0]!municipio,$B9,[0]!turno,N$2)</f>
        <v>15</v>
      </c>
      <c r="O10" s="5">
        <f>SUMIFS([0]!mud,[0]!municipio,$B9,[0]!turno,O$2)</f>
        <v>13</v>
      </c>
      <c r="P10" s="5">
        <f>SUMIFS([0]!mud,[0]!municipio,$B9,[0]!turno,P$2)</f>
        <v>11</v>
      </c>
      <c r="Q10" s="5">
        <f>SUMIFS([0]!mud,[0]!municipio,$B9,[0]!turno,Q$2)</f>
        <v>16</v>
      </c>
      <c r="R10" s="5">
        <f>SUMIFS([0]!mud,[0]!municipio,$B9,[0]!turno,R$2)</f>
        <v>12</v>
      </c>
      <c r="S10" s="5">
        <f>SUMIFS([0]!mud,[0]!municipio,$B9,[0]!turno,S$2)</f>
        <v>10</v>
      </c>
      <c r="T10" s="5">
        <f>SUMIFS([0]!mud,[0]!municipio,$B9,[0]!turno,T$2)</f>
        <v>0</v>
      </c>
      <c r="U10" s="5">
        <f>SUMIFS([0]!mud,[0]!municipio,$B9,[0]!turno,U$2)</f>
        <v>0</v>
      </c>
      <c r="V10" s="5">
        <f>SUMIFS([0]!mud,[0]!municipio,$B9,[0]!turno,V$2)</f>
        <v>0</v>
      </c>
      <c r="W10" s="26">
        <f>SUMIFS([0]!mud,[0]!municipio,$B9,[0]!turno,W$2)</f>
        <v>0</v>
      </c>
    </row>
    <row r="11" spans="2:23" ht="15.75" thickBot="1" x14ac:dyDescent="0.3">
      <c r="B11" s="21">
        <v>1.9551228859961901E-2</v>
      </c>
      <c r="C11" s="10" t="s">
        <v>0</v>
      </c>
      <c r="D11" s="38">
        <f>IF((E9+E10+E11)=0,0,E11/(E9+E10+E11))</f>
        <v>3.1034482758620689E-2</v>
      </c>
      <c r="E11" s="11">
        <f t="shared" si="0"/>
        <v>9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4</v>
      </c>
      <c r="J11" s="11">
        <f>SUMIFS([0]!otro,[0]!municipio,$B9,[0]!turno,J$2)</f>
        <v>1</v>
      </c>
      <c r="K11" s="11">
        <f>SUMIFS([0]!otro,[0]!municipio,$B9,[0]!turno,K$2)</f>
        <v>2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2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83</v>
      </c>
      <c r="C12" s="6" t="s">
        <v>106</v>
      </c>
      <c r="D12" s="36">
        <f>IF((E12+E13+E14)=0,0,E12/(E12+E13+E14))</f>
        <v>3.7401574803149609E-2</v>
      </c>
      <c r="E12" s="7">
        <f t="shared" si="0"/>
        <v>19</v>
      </c>
      <c r="F12" s="7">
        <f>SUMIFS([0]!psuv,[0]!municipio,$B12,[0]!turno,F$2)</f>
        <v>0</v>
      </c>
      <c r="G12" s="7">
        <f>SUMIFS([0]!psuv,[0]!municipio,$B12,[0]!turno,G$2)</f>
        <v>1</v>
      </c>
      <c r="H12" s="7">
        <f>SUMIFS([0]!psuv,[0]!municipio,$B12,[0]!turno,H$2)</f>
        <v>2</v>
      </c>
      <c r="I12" s="7">
        <f>SUMIFS([0]!psuv,[0]!municipio,$B12,[0]!turno,I$2)</f>
        <v>2</v>
      </c>
      <c r="J12" s="7">
        <f>SUMIFS([0]!psuv,[0]!municipio,$B12,[0]!turno,J$2)</f>
        <v>0</v>
      </c>
      <c r="K12" s="7">
        <f>SUMIFS([0]!psuv,[0]!municipio,$B12,[0]!turno,K$2)</f>
        <v>0</v>
      </c>
      <c r="L12" s="7">
        <f>SUMIFS([0]!psuv,[0]!municipio,$B12,[0]!turno,L$2)</f>
        <v>0</v>
      </c>
      <c r="M12" s="7">
        <f>SUMIFS([0]!psuv,[0]!municipio,$B12,[0]!turno,M$2)</f>
        <v>5</v>
      </c>
      <c r="N12" s="7">
        <f>SUMIFS([0]!psuv,[0]!municipio,$B12,[0]!turno,N$2)</f>
        <v>2</v>
      </c>
      <c r="O12" s="7">
        <f>SUMIFS([0]!psuv,[0]!municipio,$B12,[0]!turno,O$2)</f>
        <v>0</v>
      </c>
      <c r="P12" s="7">
        <f>SUMIFS([0]!psuv,[0]!municipio,$B12,[0]!turno,P$2)</f>
        <v>2</v>
      </c>
      <c r="Q12" s="7">
        <f>SUMIFS([0]!psuv,[0]!municipio,$B12,[0]!turno,Q$2)</f>
        <v>1</v>
      </c>
      <c r="R12" s="7">
        <f>SUMIFS([0]!psuv,[0]!municipio,$B12,[0]!turno,R$2)</f>
        <v>3</v>
      </c>
      <c r="S12" s="7">
        <f>SUMIFS([0]!psuv,[0]!municipio,$B12,[0]!turno,S$2)</f>
        <v>1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23" t="s">
        <v>60</v>
      </c>
      <c r="C13" s="4" t="s">
        <v>107</v>
      </c>
      <c r="D13" s="37">
        <f>IF((E12+E13+E14)=0,0,E13/(E12+E13+E14))</f>
        <v>0.95866141732283461</v>
      </c>
      <c r="E13" s="5">
        <f t="shared" si="0"/>
        <v>487</v>
      </c>
      <c r="F13" s="5">
        <f>SUMIFS([0]!mud,[0]!municipio,$B12,[0]!turno,F$2)</f>
        <v>0</v>
      </c>
      <c r="G13" s="5">
        <f>SUMIFS([0]!mud,[0]!municipio,$B12,[0]!turno,G$2)</f>
        <v>5</v>
      </c>
      <c r="H13" s="5">
        <f>SUMIFS([0]!mud,[0]!municipio,$B12,[0]!turno,H$2)</f>
        <v>30</v>
      </c>
      <c r="I13" s="5">
        <f>SUMIFS([0]!mud,[0]!municipio,$B12,[0]!turno,I$2)</f>
        <v>49</v>
      </c>
      <c r="J13" s="5">
        <f>SUMIFS([0]!mud,[0]!municipio,$B12,[0]!turno,J$2)</f>
        <v>44</v>
      </c>
      <c r="K13" s="5">
        <f>SUMIFS([0]!mud,[0]!municipio,$B12,[0]!turno,K$2)</f>
        <v>38</v>
      </c>
      <c r="L13" s="5">
        <f>SUMIFS([0]!mud,[0]!municipio,$B12,[0]!turno,L$2)</f>
        <v>41</v>
      </c>
      <c r="M13" s="5">
        <f>SUMIFS([0]!mud,[0]!municipio,$B12,[0]!turno,M$2)</f>
        <v>36</v>
      </c>
      <c r="N13" s="5">
        <f>SUMIFS([0]!mud,[0]!municipio,$B12,[0]!turno,N$2)</f>
        <v>52</v>
      </c>
      <c r="O13" s="5">
        <f>SUMIFS([0]!mud,[0]!municipio,$B12,[0]!turno,O$2)</f>
        <v>43</v>
      </c>
      <c r="P13" s="5">
        <f>SUMIFS([0]!mud,[0]!municipio,$B12,[0]!turno,P$2)</f>
        <v>34</v>
      </c>
      <c r="Q13" s="5">
        <f>SUMIFS([0]!mud,[0]!municipio,$B12,[0]!turno,Q$2)</f>
        <v>52</v>
      </c>
      <c r="R13" s="5">
        <f>SUMIFS([0]!mud,[0]!municipio,$B12,[0]!turno,R$2)</f>
        <v>45</v>
      </c>
      <c r="S13" s="5">
        <f>SUMIFS([0]!mud,[0]!municipio,$B12,[0]!turno,S$2)</f>
        <v>18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24">
        <v>4.4099962995366636E-2</v>
      </c>
      <c r="C14" s="12" t="s">
        <v>0</v>
      </c>
      <c r="D14" s="38">
        <f>IF((E12+E13+E14)=0,0,E14/(E12+E13+E14))</f>
        <v>3.937007874015748E-3</v>
      </c>
      <c r="E14" s="13">
        <f t="shared" si="0"/>
        <v>2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1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1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84</v>
      </c>
      <c r="C15" s="8" t="s">
        <v>106</v>
      </c>
      <c r="D15" s="36">
        <f>IF((E15+E16+E17)=0,0,E15/(E15+E16+E17))</f>
        <v>0.69868173258003763</v>
      </c>
      <c r="E15" s="9">
        <f t="shared" si="0"/>
        <v>371</v>
      </c>
      <c r="F15" s="9">
        <f>SUMIFS([0]!psuv,[0]!municipio,$B15,[0]!turno,F$2)</f>
        <v>18</v>
      </c>
      <c r="G15" s="9">
        <f>SUMIFS([0]!psuv,[0]!municipio,$B15,[0]!turno,G$2)</f>
        <v>0</v>
      </c>
      <c r="H15" s="9">
        <f>SUMIFS([0]!psuv,[0]!municipio,$B15,[0]!turno,H$2)</f>
        <v>20</v>
      </c>
      <c r="I15" s="9">
        <f>SUMIFS([0]!psuv,[0]!municipio,$B15,[0]!turno,I$2)</f>
        <v>17</v>
      </c>
      <c r="J15" s="9">
        <f>SUMIFS([0]!psuv,[0]!municipio,$B15,[0]!turno,J$2)</f>
        <v>33</v>
      </c>
      <c r="K15" s="9">
        <f>SUMIFS([0]!psuv,[0]!municipio,$B15,[0]!turno,K$2)</f>
        <v>32</v>
      </c>
      <c r="L15" s="9">
        <f>SUMIFS([0]!psuv,[0]!municipio,$B15,[0]!turno,L$2)</f>
        <v>34</v>
      </c>
      <c r="M15" s="9">
        <f>SUMIFS([0]!psuv,[0]!municipio,$B15,[0]!turno,M$2)</f>
        <v>40</v>
      </c>
      <c r="N15" s="9">
        <f>SUMIFS([0]!psuv,[0]!municipio,$B15,[0]!turno,N$2)</f>
        <v>38</v>
      </c>
      <c r="O15" s="9">
        <f>SUMIFS([0]!psuv,[0]!municipio,$B15,[0]!turno,O$2)</f>
        <v>43</v>
      </c>
      <c r="P15" s="9">
        <f>SUMIFS([0]!psuv,[0]!municipio,$B15,[0]!turno,P$2)</f>
        <v>40</v>
      </c>
      <c r="Q15" s="9">
        <f>SUMIFS([0]!psuv,[0]!municipio,$B15,[0]!turno,Q$2)</f>
        <v>39</v>
      </c>
      <c r="R15" s="9">
        <f>SUMIFS([0]!psuv,[0]!municipio,$B15,[0]!turno,R$2)</f>
        <v>17</v>
      </c>
      <c r="S15" s="9">
        <f>SUMIFS([0]!psuv,[0]!municipio,$B15,[0]!turno,S$2)</f>
        <v>0</v>
      </c>
      <c r="T15" s="9">
        <f>SUMIFS([0]!psuv,[0]!municipio,$B15,[0]!turno,T$2)</f>
        <v>0</v>
      </c>
      <c r="U15" s="9">
        <f>SUMIFS([0]!psuv,[0]!municipio,$B15,[0]!turno,U$2)</f>
        <v>0</v>
      </c>
      <c r="V15" s="9">
        <f>SUMIFS([0]!psuv,[0]!municipio,$B15,[0]!turno,V$2)</f>
        <v>0</v>
      </c>
      <c r="W15" s="25">
        <f>SUMIFS([0]!psuv,[0]!municipio,$B15,[0]!turno,W$2)</f>
        <v>0</v>
      </c>
    </row>
    <row r="16" spans="2:23" x14ac:dyDescent="0.25">
      <c r="B16" s="20" t="s">
        <v>61</v>
      </c>
      <c r="C16" s="4" t="s">
        <v>107</v>
      </c>
      <c r="D16" s="37">
        <f>IF((E15+E16+E17)=0,0,E16/(E15+E16+E17))</f>
        <v>0.30131826741996232</v>
      </c>
      <c r="E16" s="5">
        <f t="shared" si="0"/>
        <v>160</v>
      </c>
      <c r="F16" s="5">
        <f>SUMIFS([0]!mud,[0]!municipio,$B15,[0]!turno,F$2)</f>
        <v>10</v>
      </c>
      <c r="G16" s="5">
        <f>SUMIFS([0]!mud,[0]!municipio,$B15,[0]!turno,G$2)</f>
        <v>0</v>
      </c>
      <c r="H16" s="5">
        <f>SUMIFS([0]!mud,[0]!municipio,$B15,[0]!turno,H$2)</f>
        <v>10</v>
      </c>
      <c r="I16" s="5">
        <f>SUMIFS([0]!mud,[0]!municipio,$B15,[0]!turno,I$2)</f>
        <v>10</v>
      </c>
      <c r="J16" s="5">
        <f>SUMIFS([0]!mud,[0]!municipio,$B15,[0]!turno,J$2)</f>
        <v>25</v>
      </c>
      <c r="K16" s="5">
        <f>SUMIFS([0]!mud,[0]!municipio,$B15,[0]!turno,K$2)</f>
        <v>27</v>
      </c>
      <c r="L16" s="5">
        <f>SUMIFS([0]!mud,[0]!municipio,$B15,[0]!turno,L$2)</f>
        <v>20</v>
      </c>
      <c r="M16" s="5">
        <f>SUMIFS([0]!mud,[0]!municipio,$B15,[0]!turno,M$2)</f>
        <v>2</v>
      </c>
      <c r="N16" s="5">
        <f>SUMIFS([0]!mud,[0]!municipio,$B15,[0]!turno,N$2)</f>
        <v>12</v>
      </c>
      <c r="O16" s="5">
        <f>SUMIFS([0]!mud,[0]!municipio,$B15,[0]!turno,O$2)</f>
        <v>12</v>
      </c>
      <c r="P16" s="5">
        <f>SUMIFS([0]!mud,[0]!municipio,$B15,[0]!turno,P$2)</f>
        <v>18</v>
      </c>
      <c r="Q16" s="5">
        <f>SUMIFS([0]!mud,[0]!municipio,$B15,[0]!turno,Q$2)</f>
        <v>12</v>
      </c>
      <c r="R16" s="5">
        <f>SUMIFS([0]!mud,[0]!municipio,$B15,[0]!turno,R$2)</f>
        <v>2</v>
      </c>
      <c r="S16" s="5">
        <f>SUMIFS([0]!mud,[0]!municipio,$B15,[0]!turno,S$2)</f>
        <v>0</v>
      </c>
      <c r="T16" s="5">
        <f>SUMIFS([0]!mud,[0]!municipio,$B15,[0]!turno,T$2)</f>
        <v>0</v>
      </c>
      <c r="U16" s="5">
        <f>SUMIFS([0]!mud,[0]!municipio,$B15,[0]!turno,U$2)</f>
        <v>0</v>
      </c>
      <c r="V16" s="5">
        <f>SUMIFS([0]!mud,[0]!municipio,$B15,[0]!turno,V$2)</f>
        <v>0</v>
      </c>
      <c r="W16" s="26">
        <f>SUMIFS([0]!mud,[0]!municipio,$B15,[0]!turno,W$2)</f>
        <v>0</v>
      </c>
    </row>
    <row r="17" spans="2:23" ht="15.75" thickBot="1" x14ac:dyDescent="0.3">
      <c r="B17" s="21">
        <v>4.2457580283673545E-2</v>
      </c>
      <c r="C17" s="10" t="s">
        <v>0</v>
      </c>
      <c r="D17" s="38">
        <f>IF((E15+E16+E17)=0,0,E17/(E15+E16+E17))</f>
        <v>0</v>
      </c>
      <c r="E17" s="11">
        <f t="shared" si="0"/>
        <v>0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85</v>
      </c>
      <c r="C18" s="6" t="s">
        <v>106</v>
      </c>
      <c r="D18" s="36">
        <f>IF((E18+E19+E20)=0,0,E18/(E18+E19+E20))</f>
        <v>4.0816326530612242E-2</v>
      </c>
      <c r="E18" s="7">
        <f t="shared" si="0"/>
        <v>4</v>
      </c>
      <c r="F18" s="7">
        <f>SUMIFS([0]!psuv,[0]!municipio,$B18,[0]!turno,F$2)</f>
        <v>2</v>
      </c>
      <c r="G18" s="7">
        <f>SUMIFS([0]!psuv,[0]!municipio,$B18,[0]!turno,G$2)</f>
        <v>0</v>
      </c>
      <c r="H18" s="7">
        <f>SUMIFS([0]!psuv,[0]!municipio,$B18,[0]!turno,H$2)</f>
        <v>0</v>
      </c>
      <c r="I18" s="7">
        <f>SUMIFS([0]!psuv,[0]!municipio,$B18,[0]!turno,I$2)</f>
        <v>0</v>
      </c>
      <c r="J18" s="7">
        <f>SUMIFS([0]!psuv,[0]!municipio,$B18,[0]!turno,J$2)</f>
        <v>1</v>
      </c>
      <c r="K18" s="7">
        <f>SUMIFS([0]!psuv,[0]!municipio,$B18,[0]!turno,K$2)</f>
        <v>0</v>
      </c>
      <c r="L18" s="7">
        <f>SUMIFS([0]!psuv,[0]!municipio,$B18,[0]!turno,L$2)</f>
        <v>0</v>
      </c>
      <c r="M18" s="7">
        <f>SUMIFS([0]!psuv,[0]!municipio,$B18,[0]!turno,M$2)</f>
        <v>0</v>
      </c>
      <c r="N18" s="7">
        <f>SUMIFS([0]!psuv,[0]!municipio,$B18,[0]!turno,N$2)</f>
        <v>0</v>
      </c>
      <c r="O18" s="7">
        <f>SUMIFS([0]!psuv,[0]!municipio,$B18,[0]!turno,O$2)</f>
        <v>0</v>
      </c>
      <c r="P18" s="7">
        <f>SUMIFS([0]!psuv,[0]!municipio,$B18,[0]!turno,P$2)</f>
        <v>0</v>
      </c>
      <c r="Q18" s="7">
        <f>SUMIFS([0]!psuv,[0]!municipio,$B18,[0]!turno,Q$2)</f>
        <v>1</v>
      </c>
      <c r="R18" s="7">
        <f>SUMIFS([0]!psuv,[0]!municipio,$B18,[0]!turno,R$2)</f>
        <v>0</v>
      </c>
      <c r="S18" s="7">
        <f>SUMIFS([0]!psuv,[0]!municipio,$B18,[0]!turno,S$2)</f>
        <v>0</v>
      </c>
      <c r="T18" s="7">
        <f>SUMIFS([0]!psuv,[0]!municipio,$B18,[0]!turno,T$2)</f>
        <v>0</v>
      </c>
      <c r="U18" s="7">
        <f>SUMIFS([0]!psuv,[0]!municipio,$B18,[0]!turno,U$2)</f>
        <v>0</v>
      </c>
      <c r="V18" s="7">
        <f>SUMIFS([0]!psuv,[0]!municipio,$B18,[0]!turno,V$2)</f>
        <v>0</v>
      </c>
      <c r="W18" s="28">
        <f>SUMIFS([0]!psuv,[0]!municipio,$B18,[0]!turno,W$2)</f>
        <v>0</v>
      </c>
    </row>
    <row r="19" spans="2:23" x14ac:dyDescent="0.25">
      <c r="B19" s="23" t="s">
        <v>62</v>
      </c>
      <c r="C19" s="4" t="s">
        <v>107</v>
      </c>
      <c r="D19" s="37">
        <f>IF((E18+E19+E20)=0,0,E19/(E18+E19+E20))</f>
        <v>0.95918367346938771</v>
      </c>
      <c r="E19" s="5">
        <f t="shared" si="0"/>
        <v>94</v>
      </c>
      <c r="F19" s="5">
        <f>SUMIFS([0]!mud,[0]!municipio,$B18,[0]!turno,F$2)</f>
        <v>25</v>
      </c>
      <c r="G19" s="5">
        <f>SUMIFS([0]!mud,[0]!municipio,$B18,[0]!turno,G$2)</f>
        <v>12</v>
      </c>
      <c r="H19" s="5">
        <f>SUMIFS([0]!mud,[0]!municipio,$B18,[0]!turno,H$2)</f>
        <v>13</v>
      </c>
      <c r="I19" s="5">
        <f>SUMIFS([0]!mud,[0]!municipio,$B18,[0]!turno,I$2)</f>
        <v>10</v>
      </c>
      <c r="J19" s="5">
        <f>SUMIFS([0]!mud,[0]!municipio,$B18,[0]!turno,J$2)</f>
        <v>4</v>
      </c>
      <c r="K19" s="5">
        <f>SUMIFS([0]!mud,[0]!municipio,$B18,[0]!turno,K$2)</f>
        <v>2</v>
      </c>
      <c r="L19" s="5">
        <f>SUMIFS([0]!mud,[0]!municipio,$B18,[0]!turno,L$2)</f>
        <v>5</v>
      </c>
      <c r="M19" s="5">
        <f>SUMIFS([0]!mud,[0]!municipio,$B18,[0]!turno,M$2)</f>
        <v>7</v>
      </c>
      <c r="N19" s="5">
        <f>SUMIFS([0]!mud,[0]!municipio,$B18,[0]!turno,N$2)</f>
        <v>1</v>
      </c>
      <c r="O19" s="5">
        <f>SUMIFS([0]!mud,[0]!municipio,$B18,[0]!turno,O$2)</f>
        <v>3</v>
      </c>
      <c r="P19" s="5">
        <f>SUMIFS([0]!mud,[0]!municipio,$B18,[0]!turno,P$2)</f>
        <v>5</v>
      </c>
      <c r="Q19" s="5">
        <f>SUMIFS([0]!mud,[0]!municipio,$B18,[0]!turno,Q$2)</f>
        <v>4</v>
      </c>
      <c r="R19" s="5">
        <f>SUMIFS([0]!mud,[0]!municipio,$B18,[0]!turno,R$2)</f>
        <v>3</v>
      </c>
      <c r="S19" s="5">
        <f>SUMIFS([0]!mud,[0]!municipio,$B18,[0]!turno,S$2)</f>
        <v>0</v>
      </c>
      <c r="T19" s="5">
        <f>SUMIFS([0]!mud,[0]!municipio,$B18,[0]!turno,T$2)</f>
        <v>0</v>
      </c>
      <c r="U19" s="5">
        <f>SUMIFS([0]!mud,[0]!municipio,$B18,[0]!turno,U$2)</f>
        <v>0</v>
      </c>
      <c r="V19" s="5">
        <f>SUMIFS([0]!mud,[0]!municipio,$B18,[0]!turno,V$2)</f>
        <v>0</v>
      </c>
      <c r="W19" s="26">
        <f>SUMIFS([0]!mud,[0]!municipio,$B18,[0]!turno,W$2)</f>
        <v>0</v>
      </c>
    </row>
    <row r="20" spans="2:23" ht="15.75" thickBot="1" x14ac:dyDescent="0.3">
      <c r="B20" s="24">
        <v>2.7507493572526128E-2</v>
      </c>
      <c r="C20" s="12" t="s">
        <v>0</v>
      </c>
      <c r="D20" s="38">
        <f>IF((E18+E19+E20)=0,0,E20/(E18+E19+E20))</f>
        <v>0</v>
      </c>
      <c r="E20" s="13">
        <f t="shared" si="0"/>
        <v>0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0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0</v>
      </c>
      <c r="T20" s="13">
        <f>SUMIFS([0]!otro,[0]!municipio,$B18,[0]!turno,T$2)</f>
        <v>0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0</v>
      </c>
    </row>
    <row r="21" spans="2:23" x14ac:dyDescent="0.25">
      <c r="B21" s="19">
        <v>86</v>
      </c>
      <c r="C21" s="8" t="s">
        <v>106</v>
      </c>
      <c r="D21" s="36">
        <f>IF((E21+E22+E23)=0,0,E21/(E21+E22+E23))</f>
        <v>0.47071352502662406</v>
      </c>
      <c r="E21" s="9">
        <f t="shared" si="0"/>
        <v>442</v>
      </c>
      <c r="F21" s="9">
        <f>SUMIFS([0]!psuv,[0]!municipio,$B21,[0]!turno,F$2)</f>
        <v>37</v>
      </c>
      <c r="G21" s="9">
        <f>SUMIFS([0]!psuv,[0]!municipio,$B21,[0]!turno,G$2)</f>
        <v>28</v>
      </c>
      <c r="H21" s="9">
        <f>SUMIFS([0]!psuv,[0]!municipio,$B21,[0]!turno,H$2)</f>
        <v>38</v>
      </c>
      <c r="I21" s="9">
        <f>SUMIFS([0]!psuv,[0]!municipio,$B21,[0]!turno,I$2)</f>
        <v>48</v>
      </c>
      <c r="J21" s="9">
        <f>SUMIFS([0]!psuv,[0]!municipio,$B21,[0]!turno,J$2)</f>
        <v>46</v>
      </c>
      <c r="K21" s="9">
        <f>SUMIFS([0]!psuv,[0]!municipio,$B21,[0]!turno,K$2)</f>
        <v>35</v>
      </c>
      <c r="L21" s="9">
        <f>SUMIFS([0]!psuv,[0]!municipio,$B21,[0]!turno,L$2)</f>
        <v>24</v>
      </c>
      <c r="M21" s="9">
        <f>SUMIFS([0]!psuv,[0]!municipio,$B21,[0]!turno,M$2)</f>
        <v>26</v>
      </c>
      <c r="N21" s="9">
        <f>SUMIFS([0]!psuv,[0]!municipio,$B21,[0]!turno,N$2)</f>
        <v>24</v>
      </c>
      <c r="O21" s="9">
        <f>SUMIFS([0]!psuv,[0]!municipio,$B21,[0]!turno,O$2)</f>
        <v>34</v>
      </c>
      <c r="P21" s="9">
        <f>SUMIFS([0]!psuv,[0]!municipio,$B21,[0]!turno,P$2)</f>
        <v>36</v>
      </c>
      <c r="Q21" s="9">
        <f>SUMIFS([0]!psuv,[0]!municipio,$B21,[0]!turno,Q$2)</f>
        <v>27</v>
      </c>
      <c r="R21" s="9">
        <f>SUMIFS([0]!psuv,[0]!municipio,$B21,[0]!turno,R$2)</f>
        <v>22</v>
      </c>
      <c r="S21" s="9">
        <f>SUMIFS([0]!psuv,[0]!municipio,$B21,[0]!turno,S$2)</f>
        <v>17</v>
      </c>
      <c r="T21" s="9">
        <f>SUMIFS([0]!psuv,[0]!municipio,$B21,[0]!turno,T$2)</f>
        <v>0</v>
      </c>
      <c r="U21" s="9">
        <f>SUMIFS([0]!psuv,[0]!municipio,$B21,[0]!turno,U$2)</f>
        <v>0</v>
      </c>
      <c r="V21" s="9">
        <f>SUMIFS([0]!psuv,[0]!municipio,$B21,[0]!turno,V$2)</f>
        <v>0</v>
      </c>
      <c r="W21" s="25">
        <f>SUMIFS([0]!psuv,[0]!municipio,$B21,[0]!turno,W$2)</f>
        <v>0</v>
      </c>
    </row>
    <row r="22" spans="2:23" x14ac:dyDescent="0.25">
      <c r="B22" s="20" t="s">
        <v>63</v>
      </c>
      <c r="C22" s="4" t="s">
        <v>107</v>
      </c>
      <c r="D22" s="37">
        <f>IF((E21+E22+E23)=0,0,E22/(E21+E22+E23))</f>
        <v>0.49520766773162939</v>
      </c>
      <c r="E22" s="5">
        <f t="shared" si="0"/>
        <v>465</v>
      </c>
      <c r="F22" s="5">
        <f>SUMIFS([0]!mud,[0]!municipio,$B21,[0]!turno,F$2)</f>
        <v>22</v>
      </c>
      <c r="G22" s="5">
        <f>SUMIFS([0]!mud,[0]!municipio,$B21,[0]!turno,G$2)</f>
        <v>20</v>
      </c>
      <c r="H22" s="5">
        <f>SUMIFS([0]!mud,[0]!municipio,$B21,[0]!turno,H$2)</f>
        <v>49</v>
      </c>
      <c r="I22" s="5">
        <f>SUMIFS([0]!mud,[0]!municipio,$B21,[0]!turno,I$2)</f>
        <v>31</v>
      </c>
      <c r="J22" s="5">
        <f>SUMIFS([0]!mud,[0]!municipio,$B21,[0]!turno,J$2)</f>
        <v>45</v>
      </c>
      <c r="K22" s="5">
        <f>SUMIFS([0]!mud,[0]!municipio,$B21,[0]!turno,K$2)</f>
        <v>28</v>
      </c>
      <c r="L22" s="5">
        <f>SUMIFS([0]!mud,[0]!municipio,$B21,[0]!turno,L$2)</f>
        <v>47</v>
      </c>
      <c r="M22" s="5">
        <f>SUMIFS([0]!mud,[0]!municipio,$B21,[0]!turno,M$2)</f>
        <v>35</v>
      </c>
      <c r="N22" s="5">
        <f>SUMIFS([0]!mud,[0]!municipio,$B21,[0]!turno,N$2)</f>
        <v>31</v>
      </c>
      <c r="O22" s="5">
        <f>SUMIFS([0]!mud,[0]!municipio,$B21,[0]!turno,O$2)</f>
        <v>30</v>
      </c>
      <c r="P22" s="5">
        <f>SUMIFS([0]!mud,[0]!municipio,$B21,[0]!turno,P$2)</f>
        <v>41</v>
      </c>
      <c r="Q22" s="5">
        <f>SUMIFS([0]!mud,[0]!municipio,$B21,[0]!turno,Q$2)</f>
        <v>31</v>
      </c>
      <c r="R22" s="5">
        <f>SUMIFS([0]!mud,[0]!municipio,$B21,[0]!turno,R$2)</f>
        <v>32</v>
      </c>
      <c r="S22" s="5">
        <f>SUMIFS([0]!mud,[0]!municipio,$B21,[0]!turno,S$2)</f>
        <v>23</v>
      </c>
      <c r="T22" s="5">
        <f>SUMIFS([0]!mud,[0]!municipio,$B21,[0]!turno,T$2)</f>
        <v>0</v>
      </c>
      <c r="U22" s="5">
        <f>SUMIFS([0]!mud,[0]!municipio,$B21,[0]!turno,U$2)</f>
        <v>0</v>
      </c>
      <c r="V22" s="5">
        <f>SUMIFS([0]!mud,[0]!municipio,$B21,[0]!turno,V$2)</f>
        <v>0</v>
      </c>
      <c r="W22" s="26">
        <f>SUMIFS([0]!mud,[0]!municipio,$B21,[0]!turno,W$2)</f>
        <v>0</v>
      </c>
    </row>
    <row r="23" spans="2:23" ht="15.75" thickBot="1" x14ac:dyDescent="0.3">
      <c r="B23" s="21">
        <v>0.10075249915544578</v>
      </c>
      <c r="C23" s="10" t="s">
        <v>0</v>
      </c>
      <c r="D23" s="38">
        <f>IF((E21+E22+E23)=0,0,E23/(E21+E22+E23))</f>
        <v>3.4078807241746542E-2</v>
      </c>
      <c r="E23" s="11">
        <f t="shared" si="0"/>
        <v>32</v>
      </c>
      <c r="F23" s="11">
        <f>SUMIFS([0]!otro,[0]!municipio,$B21,[0]!turno,F$2)</f>
        <v>2</v>
      </c>
      <c r="G23" s="11">
        <f>SUMIFS([0]!otro,[0]!municipio,$B21,[0]!turno,G$2)</f>
        <v>2</v>
      </c>
      <c r="H23" s="11">
        <f>SUMIFS([0]!otro,[0]!municipio,$B21,[0]!turno,H$2)</f>
        <v>4</v>
      </c>
      <c r="I23" s="11">
        <f>SUMIFS([0]!otro,[0]!municipio,$B21,[0]!turno,I$2)</f>
        <v>3</v>
      </c>
      <c r="J23" s="11">
        <f>SUMIFS([0]!otro,[0]!municipio,$B21,[0]!turno,J$2)</f>
        <v>0</v>
      </c>
      <c r="K23" s="11">
        <f>SUMIFS([0]!otro,[0]!municipio,$B21,[0]!turno,K$2)</f>
        <v>5</v>
      </c>
      <c r="L23" s="11">
        <f>SUMIFS([0]!otro,[0]!municipio,$B21,[0]!turno,L$2)</f>
        <v>6</v>
      </c>
      <c r="M23" s="11">
        <f>SUMIFS([0]!otro,[0]!municipio,$B21,[0]!turno,M$2)</f>
        <v>1</v>
      </c>
      <c r="N23" s="11">
        <f>SUMIFS([0]!otro,[0]!municipio,$B21,[0]!turno,N$2)</f>
        <v>2</v>
      </c>
      <c r="O23" s="11">
        <f>SUMIFS([0]!otro,[0]!municipio,$B21,[0]!turno,O$2)</f>
        <v>3</v>
      </c>
      <c r="P23" s="11">
        <f>SUMIFS([0]!otro,[0]!municipio,$B21,[0]!turno,P$2)</f>
        <v>0</v>
      </c>
      <c r="Q23" s="11">
        <f>SUMIFS([0]!otro,[0]!municipio,$B21,[0]!turno,Q$2)</f>
        <v>3</v>
      </c>
      <c r="R23" s="11">
        <f>SUMIFS([0]!otro,[0]!municipio,$B21,[0]!turno,R$2)</f>
        <v>1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x14ac:dyDescent="0.25">
      <c r="B24" s="22">
        <v>87</v>
      </c>
      <c r="C24" s="6" t="s">
        <v>106</v>
      </c>
      <c r="D24" s="36">
        <f>IF((E24+E25+E26)=0,0,E24/(E24+E25+E26))</f>
        <v>0.45161290322580644</v>
      </c>
      <c r="E24" s="7">
        <f t="shared" si="0"/>
        <v>56</v>
      </c>
      <c r="F24" s="7">
        <f>SUMIFS([0]!psuv,[0]!municipio,$B24,[0]!turno,F$2)</f>
        <v>0</v>
      </c>
      <c r="G24" s="7">
        <f>SUMIFS([0]!psuv,[0]!municipio,$B24,[0]!turno,G$2)</f>
        <v>0</v>
      </c>
      <c r="H24" s="7">
        <f>SUMIFS([0]!psuv,[0]!municipio,$B24,[0]!turno,H$2)</f>
        <v>5</v>
      </c>
      <c r="I24" s="7">
        <f>SUMIFS([0]!psuv,[0]!municipio,$B24,[0]!turno,I$2)</f>
        <v>1</v>
      </c>
      <c r="J24" s="7">
        <f>SUMIFS([0]!psuv,[0]!municipio,$B24,[0]!turno,J$2)</f>
        <v>5</v>
      </c>
      <c r="K24" s="7">
        <f>SUMIFS([0]!psuv,[0]!municipio,$B24,[0]!turno,K$2)</f>
        <v>10</v>
      </c>
      <c r="L24" s="7">
        <f>SUMIFS([0]!psuv,[0]!municipio,$B24,[0]!turno,L$2)</f>
        <v>6</v>
      </c>
      <c r="M24" s="7">
        <f>SUMIFS([0]!psuv,[0]!municipio,$B24,[0]!turno,M$2)</f>
        <v>4</v>
      </c>
      <c r="N24" s="7">
        <f>SUMIFS([0]!psuv,[0]!municipio,$B24,[0]!turno,N$2)</f>
        <v>4</v>
      </c>
      <c r="O24" s="7">
        <f>SUMIFS([0]!psuv,[0]!municipio,$B24,[0]!turno,O$2)</f>
        <v>5</v>
      </c>
      <c r="P24" s="7">
        <f>SUMIFS([0]!psuv,[0]!municipio,$B24,[0]!turno,P$2)</f>
        <v>4</v>
      </c>
      <c r="Q24" s="7">
        <f>SUMIFS([0]!psuv,[0]!municipio,$B24,[0]!turno,Q$2)</f>
        <v>4</v>
      </c>
      <c r="R24" s="7">
        <f>SUMIFS([0]!psuv,[0]!municipio,$B24,[0]!turno,R$2)</f>
        <v>6</v>
      </c>
      <c r="S24" s="7">
        <f>SUMIFS([0]!psuv,[0]!municipio,$B24,[0]!turno,S$2)</f>
        <v>2</v>
      </c>
      <c r="T24" s="7">
        <f>SUMIFS([0]!psuv,[0]!municipio,$B24,[0]!turno,T$2)</f>
        <v>0</v>
      </c>
      <c r="U24" s="7">
        <f>SUMIFS([0]!psuv,[0]!municipio,$B24,[0]!turno,U$2)</f>
        <v>0</v>
      </c>
      <c r="V24" s="7">
        <f>SUMIFS([0]!psuv,[0]!municipio,$B24,[0]!turno,V$2)</f>
        <v>0</v>
      </c>
      <c r="W24" s="28">
        <f>SUMIFS([0]!psuv,[0]!municipio,$B24,[0]!turno,W$2)</f>
        <v>0</v>
      </c>
    </row>
    <row r="25" spans="2:23" x14ac:dyDescent="0.25">
      <c r="B25" s="23" t="s">
        <v>64</v>
      </c>
      <c r="C25" s="4" t="s">
        <v>107</v>
      </c>
      <c r="D25" s="37">
        <f>IF((E24+E25+E26)=0,0,E25/(E24+E25+E26))</f>
        <v>0.5161290322580645</v>
      </c>
      <c r="E25" s="5">
        <f t="shared" si="0"/>
        <v>64</v>
      </c>
      <c r="F25" s="5">
        <f>SUMIFS([0]!mud,[0]!municipio,$B24,[0]!turno,F$2)</f>
        <v>0</v>
      </c>
      <c r="G25" s="5">
        <f>SUMIFS([0]!mud,[0]!municipio,$B24,[0]!turno,G$2)</f>
        <v>0</v>
      </c>
      <c r="H25" s="5">
        <f>SUMIFS([0]!mud,[0]!municipio,$B24,[0]!turno,H$2)</f>
        <v>2</v>
      </c>
      <c r="I25" s="5">
        <f>SUMIFS([0]!mud,[0]!municipio,$B24,[0]!turno,I$2)</f>
        <v>1</v>
      </c>
      <c r="J25" s="5">
        <f>SUMIFS([0]!mud,[0]!municipio,$B24,[0]!turno,J$2)</f>
        <v>7</v>
      </c>
      <c r="K25" s="5">
        <f>SUMIFS([0]!mud,[0]!municipio,$B24,[0]!turno,K$2)</f>
        <v>8</v>
      </c>
      <c r="L25" s="5">
        <f>SUMIFS([0]!mud,[0]!municipio,$B24,[0]!turno,L$2)</f>
        <v>14</v>
      </c>
      <c r="M25" s="5">
        <f>SUMIFS([0]!mud,[0]!municipio,$B24,[0]!turno,M$2)</f>
        <v>7</v>
      </c>
      <c r="N25" s="5">
        <f>SUMIFS([0]!mud,[0]!municipio,$B24,[0]!turno,N$2)</f>
        <v>4</v>
      </c>
      <c r="O25" s="5">
        <f>SUMIFS([0]!mud,[0]!municipio,$B24,[0]!turno,O$2)</f>
        <v>1</v>
      </c>
      <c r="P25" s="5">
        <f>SUMIFS([0]!mud,[0]!municipio,$B24,[0]!turno,P$2)</f>
        <v>8</v>
      </c>
      <c r="Q25" s="5">
        <f>SUMIFS([0]!mud,[0]!municipio,$B24,[0]!turno,Q$2)</f>
        <v>4</v>
      </c>
      <c r="R25" s="5">
        <f>SUMIFS([0]!mud,[0]!municipio,$B24,[0]!turno,R$2)</f>
        <v>6</v>
      </c>
      <c r="S25" s="5">
        <f>SUMIFS([0]!mud,[0]!municipio,$B24,[0]!turno,S$2)</f>
        <v>2</v>
      </c>
      <c r="T25" s="5">
        <f>SUMIFS([0]!mud,[0]!municipio,$B24,[0]!turno,T$2)</f>
        <v>0</v>
      </c>
      <c r="U25" s="5">
        <f>SUMIFS([0]!mud,[0]!municipio,$B24,[0]!turno,U$2)</f>
        <v>0</v>
      </c>
      <c r="V25" s="5">
        <f>SUMIFS([0]!mud,[0]!municipio,$B24,[0]!turno,V$2)</f>
        <v>0</v>
      </c>
      <c r="W25" s="26">
        <f>SUMIFS([0]!mud,[0]!municipio,$B24,[0]!turno,W$2)</f>
        <v>0</v>
      </c>
    </row>
    <row r="26" spans="2:23" ht="15.75" thickBot="1" x14ac:dyDescent="0.3">
      <c r="B26" s="24">
        <v>4.887941484342314E-2</v>
      </c>
      <c r="C26" s="12" t="s">
        <v>0</v>
      </c>
      <c r="D26" s="38">
        <f>IF((E24+E25+E26)=0,0,E26/(E24+E25+E26))</f>
        <v>3.2258064516129031E-2</v>
      </c>
      <c r="E26" s="13">
        <f t="shared" si="0"/>
        <v>4</v>
      </c>
      <c r="F26" s="13">
        <f>SUMIFS([0]!otro,[0]!municipio,$B24,[0]!turno,F$2)</f>
        <v>0</v>
      </c>
      <c r="G26" s="13">
        <f>SUMIFS([0]!otro,[0]!municipio,$B24,[0]!turno,G$2)</f>
        <v>0</v>
      </c>
      <c r="H26" s="13">
        <f>SUMIFS([0]!otro,[0]!municipio,$B24,[0]!turno,H$2)</f>
        <v>0</v>
      </c>
      <c r="I26" s="13">
        <f>SUMIFS([0]!otro,[0]!municipio,$B24,[0]!turno,I$2)</f>
        <v>0</v>
      </c>
      <c r="J26" s="13">
        <f>SUMIFS([0]!otro,[0]!municipio,$B24,[0]!turno,J$2)</f>
        <v>0</v>
      </c>
      <c r="K26" s="13">
        <f>SUMIFS([0]!otro,[0]!municipio,$B24,[0]!turno,K$2)</f>
        <v>0</v>
      </c>
      <c r="L26" s="13">
        <f>SUMIFS([0]!otro,[0]!municipio,$B24,[0]!turno,L$2)</f>
        <v>0</v>
      </c>
      <c r="M26" s="13">
        <f>SUMIFS([0]!otro,[0]!municipio,$B24,[0]!turno,M$2)</f>
        <v>1</v>
      </c>
      <c r="N26" s="13">
        <f>SUMIFS([0]!otro,[0]!municipio,$B24,[0]!turno,N$2)</f>
        <v>2</v>
      </c>
      <c r="O26" s="13">
        <f>SUMIFS([0]!otro,[0]!municipio,$B24,[0]!turno,O$2)</f>
        <v>1</v>
      </c>
      <c r="P26" s="13">
        <f>SUMIFS([0]!otro,[0]!municipio,$B24,[0]!turno,P$2)</f>
        <v>0</v>
      </c>
      <c r="Q26" s="13">
        <f>SUMIFS([0]!otro,[0]!municipio,$B24,[0]!turno,Q$2)</f>
        <v>0</v>
      </c>
      <c r="R26" s="13">
        <f>SUMIFS([0]!otro,[0]!municipio,$B24,[0]!turno,R$2)</f>
        <v>0</v>
      </c>
      <c r="S26" s="13">
        <f>SUMIFS([0]!otro,[0]!municipio,$B24,[0]!turno,S$2)</f>
        <v>0</v>
      </c>
      <c r="T26" s="13">
        <f>SUMIFS([0]!otro,[0]!municipio,$B24,[0]!turno,T$2)</f>
        <v>0</v>
      </c>
      <c r="U26" s="13">
        <f>SUMIFS([0]!otro,[0]!municipio,$B24,[0]!turno,U$2)</f>
        <v>0</v>
      </c>
      <c r="V26" s="13">
        <f>SUMIFS([0]!otro,[0]!municipio,$B24,[0]!turno,V$2)</f>
        <v>0</v>
      </c>
      <c r="W26" s="29">
        <f>SUMIFS([0]!otro,[0]!municipio,$B24,[0]!turno,W$2)</f>
        <v>0</v>
      </c>
    </row>
    <row r="27" spans="2:23" x14ac:dyDescent="0.25">
      <c r="B27" s="19">
        <v>88</v>
      </c>
      <c r="C27" s="8" t="s">
        <v>106</v>
      </c>
      <c r="D27" s="36">
        <f>IF((E27+E28+E29)=0,0,E27/(E27+E28+E29))</f>
        <v>0.59541984732824427</v>
      </c>
      <c r="E27" s="9">
        <f t="shared" si="0"/>
        <v>156</v>
      </c>
      <c r="F27" s="9">
        <f>SUMIFS([0]!psuv,[0]!municipio,$B27,[0]!turno,F$2)</f>
        <v>0</v>
      </c>
      <c r="G27" s="9">
        <f>SUMIFS([0]!psuv,[0]!municipio,$B27,[0]!turno,G$2)</f>
        <v>11</v>
      </c>
      <c r="H27" s="9">
        <f>SUMIFS([0]!psuv,[0]!municipio,$B27,[0]!turno,H$2)</f>
        <v>7</v>
      </c>
      <c r="I27" s="9">
        <f>SUMIFS([0]!psuv,[0]!municipio,$B27,[0]!turno,I$2)</f>
        <v>12</v>
      </c>
      <c r="J27" s="9">
        <f>SUMIFS([0]!psuv,[0]!municipio,$B27,[0]!turno,J$2)</f>
        <v>15</v>
      </c>
      <c r="K27" s="9">
        <f>SUMIFS([0]!psuv,[0]!municipio,$B27,[0]!turno,K$2)</f>
        <v>13</v>
      </c>
      <c r="L27" s="9">
        <f>SUMIFS([0]!psuv,[0]!municipio,$B27,[0]!turno,L$2)</f>
        <v>12</v>
      </c>
      <c r="M27" s="9">
        <f>SUMIFS([0]!psuv,[0]!municipio,$B27,[0]!turno,M$2)</f>
        <v>12</v>
      </c>
      <c r="N27" s="9">
        <f>SUMIFS([0]!psuv,[0]!municipio,$B27,[0]!turno,N$2)</f>
        <v>18</v>
      </c>
      <c r="O27" s="9">
        <f>SUMIFS([0]!psuv,[0]!municipio,$B27,[0]!turno,O$2)</f>
        <v>0</v>
      </c>
      <c r="P27" s="9">
        <f>SUMIFS([0]!psuv,[0]!municipio,$B27,[0]!turno,P$2)</f>
        <v>15</v>
      </c>
      <c r="Q27" s="9">
        <f>SUMIFS([0]!psuv,[0]!municipio,$B27,[0]!turno,Q$2)</f>
        <v>16</v>
      </c>
      <c r="R27" s="9">
        <f>SUMIFS([0]!psuv,[0]!municipio,$B27,[0]!turno,R$2)</f>
        <v>0</v>
      </c>
      <c r="S27" s="9">
        <f>SUMIFS([0]!psuv,[0]!municipio,$B27,[0]!turno,S$2)</f>
        <v>14</v>
      </c>
      <c r="T27" s="9">
        <f>SUMIFS([0]!psuv,[0]!municipio,$B27,[0]!turno,T$2)</f>
        <v>11</v>
      </c>
      <c r="U27" s="9">
        <f>SUMIFS([0]!psuv,[0]!municipio,$B27,[0]!turno,U$2)</f>
        <v>0</v>
      </c>
      <c r="V27" s="9">
        <f>SUMIFS([0]!psuv,[0]!municipio,$B27,[0]!turno,V$2)</f>
        <v>0</v>
      </c>
      <c r="W27" s="25">
        <f>SUMIFS([0]!psuv,[0]!municipio,$B27,[0]!turno,W$2)</f>
        <v>0</v>
      </c>
    </row>
    <row r="28" spans="2:23" x14ac:dyDescent="0.25">
      <c r="B28" s="20" t="s">
        <v>65</v>
      </c>
      <c r="C28" s="4" t="s">
        <v>107</v>
      </c>
      <c r="D28" s="37">
        <f>IF((E27+E28+E29)=0,0,E28/(E27+E28+E29))</f>
        <v>0.38931297709923662</v>
      </c>
      <c r="E28" s="5">
        <f t="shared" si="0"/>
        <v>102</v>
      </c>
      <c r="F28" s="5">
        <f>SUMIFS([0]!mud,[0]!municipio,$B27,[0]!turno,F$2)</f>
        <v>0</v>
      </c>
      <c r="G28" s="5">
        <f>SUMIFS([0]!mud,[0]!municipio,$B27,[0]!turno,G$2)</f>
        <v>4</v>
      </c>
      <c r="H28" s="5">
        <f>SUMIFS([0]!mud,[0]!municipio,$B27,[0]!turno,H$2)</f>
        <v>2</v>
      </c>
      <c r="I28" s="5">
        <f>SUMIFS([0]!mud,[0]!municipio,$B27,[0]!turno,I$2)</f>
        <v>3</v>
      </c>
      <c r="J28" s="5">
        <f>SUMIFS([0]!mud,[0]!municipio,$B27,[0]!turno,J$2)</f>
        <v>8</v>
      </c>
      <c r="K28" s="5">
        <f>SUMIFS([0]!mud,[0]!municipio,$B27,[0]!turno,K$2)</f>
        <v>9</v>
      </c>
      <c r="L28" s="5">
        <f>SUMIFS([0]!mud,[0]!municipio,$B27,[0]!turno,L$2)</f>
        <v>14</v>
      </c>
      <c r="M28" s="5">
        <f>SUMIFS([0]!mud,[0]!municipio,$B27,[0]!turno,M$2)</f>
        <v>11</v>
      </c>
      <c r="N28" s="5">
        <f>SUMIFS([0]!mud,[0]!municipio,$B27,[0]!turno,N$2)</f>
        <v>10</v>
      </c>
      <c r="O28" s="5">
        <f>SUMIFS([0]!mud,[0]!municipio,$B27,[0]!turno,O$2)</f>
        <v>0</v>
      </c>
      <c r="P28" s="5">
        <f>SUMIFS([0]!mud,[0]!municipio,$B27,[0]!turno,P$2)</f>
        <v>13</v>
      </c>
      <c r="Q28" s="5">
        <f>SUMIFS([0]!mud,[0]!municipio,$B27,[0]!turno,Q$2)</f>
        <v>9</v>
      </c>
      <c r="R28" s="5">
        <f>SUMIFS([0]!mud,[0]!municipio,$B27,[0]!turno,R$2)</f>
        <v>0</v>
      </c>
      <c r="S28" s="5">
        <f>SUMIFS([0]!mud,[0]!municipio,$B27,[0]!turno,S$2)</f>
        <v>12</v>
      </c>
      <c r="T28" s="5">
        <f>SUMIFS([0]!mud,[0]!municipio,$B27,[0]!turno,T$2)</f>
        <v>7</v>
      </c>
      <c r="U28" s="5">
        <f>SUMIFS([0]!mud,[0]!municipio,$B27,[0]!turno,U$2)</f>
        <v>0</v>
      </c>
      <c r="V28" s="5">
        <f>SUMIFS([0]!mud,[0]!municipio,$B27,[0]!turno,V$2)</f>
        <v>0</v>
      </c>
      <c r="W28" s="26">
        <f>SUMIFS([0]!mud,[0]!municipio,$B27,[0]!turno,W$2)</f>
        <v>0</v>
      </c>
    </row>
    <row r="29" spans="2:23" ht="15.75" thickBot="1" x14ac:dyDescent="0.3">
      <c r="B29" s="21">
        <v>4.7957790012401115E-2</v>
      </c>
      <c r="C29" s="10" t="s">
        <v>0</v>
      </c>
      <c r="D29" s="38">
        <f>IF((E27+E28+E29)=0,0,E29/(E27+E28+E29))</f>
        <v>1.5267175572519083E-2</v>
      </c>
      <c r="E29" s="11">
        <f t="shared" si="0"/>
        <v>4</v>
      </c>
      <c r="F29" s="11">
        <f>SUMIFS([0]!otro,[0]!municipio,$B27,[0]!turno,F$2)</f>
        <v>0</v>
      </c>
      <c r="G29" s="11">
        <f>SUMIFS([0]!otro,[0]!municipio,$B27,[0]!turno,G$2)</f>
        <v>1</v>
      </c>
      <c r="H29" s="11">
        <f>SUMIFS([0]!otro,[0]!municipio,$B27,[0]!turno,H$2)</f>
        <v>0</v>
      </c>
      <c r="I29" s="11">
        <f>SUMIFS([0]!otro,[0]!municipio,$B27,[0]!turno,I$2)</f>
        <v>0</v>
      </c>
      <c r="J29" s="11">
        <f>SUMIFS([0]!otro,[0]!municipio,$B27,[0]!turno,J$2)</f>
        <v>2</v>
      </c>
      <c r="K29" s="11">
        <f>SUMIFS([0]!otro,[0]!municipio,$B27,[0]!turno,K$2)</f>
        <v>0</v>
      </c>
      <c r="L29" s="11">
        <f>SUMIFS([0]!otro,[0]!municipio,$B27,[0]!turno,L$2)</f>
        <v>0</v>
      </c>
      <c r="M29" s="11">
        <f>SUMIFS([0]!otro,[0]!municipio,$B27,[0]!turno,M$2)</f>
        <v>0</v>
      </c>
      <c r="N29" s="11">
        <f>SUMIFS([0]!otro,[0]!municipio,$B27,[0]!turno,N$2)</f>
        <v>0</v>
      </c>
      <c r="O29" s="11">
        <f>SUMIFS([0]!otro,[0]!municipio,$B27,[0]!turno,O$2)</f>
        <v>0</v>
      </c>
      <c r="P29" s="11">
        <f>SUMIFS([0]!otro,[0]!municipio,$B27,[0]!turno,P$2)</f>
        <v>1</v>
      </c>
      <c r="Q29" s="11">
        <f>SUMIFS([0]!otro,[0]!municipio,$B27,[0]!turno,Q$2)</f>
        <v>0</v>
      </c>
      <c r="R29" s="11">
        <f>SUMIFS([0]!otro,[0]!municipio,$B27,[0]!turno,R$2)</f>
        <v>0</v>
      </c>
      <c r="S29" s="11">
        <f>SUMIFS([0]!otro,[0]!municipio,$B27,[0]!turno,S$2)</f>
        <v>0</v>
      </c>
      <c r="T29" s="11">
        <f>SUMIFS([0]!otro,[0]!municipio,$B27,[0]!turno,T$2)</f>
        <v>0</v>
      </c>
      <c r="U29" s="11">
        <f>SUMIFS([0]!otro,[0]!municipio,$B27,[0]!turno,U$2)</f>
        <v>0</v>
      </c>
      <c r="V29" s="11">
        <f>SUMIFS([0]!otro,[0]!municipio,$B27,[0]!turno,V$2)</f>
        <v>0</v>
      </c>
      <c r="W29" s="27">
        <f>SUMIFS([0]!otro,[0]!municipio,$B27,[0]!turno,W$2)</f>
        <v>0</v>
      </c>
    </row>
    <row r="30" spans="2:23" x14ac:dyDescent="0.25">
      <c r="B30" s="22">
        <v>89</v>
      </c>
      <c r="C30" s="6" t="s">
        <v>106</v>
      </c>
      <c r="D30" s="36">
        <f>IF((E30+E31+E32)=0,0,E30/(E30+E31+E32))</f>
        <v>0.38650306748466257</v>
      </c>
      <c r="E30" s="7">
        <f t="shared" si="0"/>
        <v>63</v>
      </c>
      <c r="F30" s="7">
        <f>SUMIFS([0]!psuv,[0]!municipio,$B30,[0]!turno,F$2)</f>
        <v>0</v>
      </c>
      <c r="G30" s="7">
        <f>SUMIFS([0]!psuv,[0]!municipio,$B30,[0]!turno,G$2)</f>
        <v>8</v>
      </c>
      <c r="H30" s="7">
        <f>SUMIFS([0]!psuv,[0]!municipio,$B30,[0]!turno,H$2)</f>
        <v>18</v>
      </c>
      <c r="I30" s="7">
        <f>SUMIFS([0]!psuv,[0]!municipio,$B30,[0]!turno,I$2)</f>
        <v>10</v>
      </c>
      <c r="J30" s="7">
        <f>SUMIFS([0]!psuv,[0]!municipio,$B30,[0]!turno,J$2)</f>
        <v>4</v>
      </c>
      <c r="K30" s="7">
        <f>SUMIFS([0]!psuv,[0]!municipio,$B30,[0]!turno,K$2)</f>
        <v>5</v>
      </c>
      <c r="L30" s="7">
        <f>SUMIFS([0]!psuv,[0]!municipio,$B30,[0]!turno,L$2)</f>
        <v>3</v>
      </c>
      <c r="M30" s="7">
        <f>SUMIFS([0]!psuv,[0]!municipio,$B30,[0]!turno,M$2)</f>
        <v>2</v>
      </c>
      <c r="N30" s="7">
        <f>SUMIFS([0]!psuv,[0]!municipio,$B30,[0]!turno,N$2)</f>
        <v>3</v>
      </c>
      <c r="O30" s="7">
        <f>SUMIFS([0]!psuv,[0]!municipio,$B30,[0]!turno,O$2)</f>
        <v>5</v>
      </c>
      <c r="P30" s="7">
        <f>SUMIFS([0]!psuv,[0]!municipio,$B30,[0]!turno,P$2)</f>
        <v>2</v>
      </c>
      <c r="Q30" s="7">
        <f>SUMIFS([0]!psuv,[0]!municipio,$B30,[0]!turno,Q$2)</f>
        <v>3</v>
      </c>
      <c r="R30" s="7">
        <f>SUMIFS([0]!psuv,[0]!municipio,$B30,[0]!turno,R$2)</f>
        <v>0</v>
      </c>
      <c r="S30" s="7">
        <f>SUMIFS([0]!psuv,[0]!municipio,$B30,[0]!turno,S$2)</f>
        <v>0</v>
      </c>
      <c r="T30" s="7">
        <f>SUMIFS([0]!psuv,[0]!municipio,$B30,[0]!turno,T$2)</f>
        <v>0</v>
      </c>
      <c r="U30" s="7">
        <f>SUMIFS([0]!psuv,[0]!municipio,$B30,[0]!turno,U$2)</f>
        <v>0</v>
      </c>
      <c r="V30" s="7">
        <f>SUMIFS([0]!psuv,[0]!municipio,$B30,[0]!turno,V$2)</f>
        <v>0</v>
      </c>
      <c r="W30" s="28">
        <f>SUMIFS([0]!psuv,[0]!municipio,$B30,[0]!turno,W$2)</f>
        <v>0</v>
      </c>
    </row>
    <row r="31" spans="2:23" x14ac:dyDescent="0.25">
      <c r="B31" s="23" t="s">
        <v>66</v>
      </c>
      <c r="C31" s="4" t="s">
        <v>107</v>
      </c>
      <c r="D31" s="37">
        <f>IF((E30+E31+E32)=0,0,E31/(E30+E31+E32))</f>
        <v>0.58895705521472397</v>
      </c>
      <c r="E31" s="5">
        <f t="shared" si="0"/>
        <v>96</v>
      </c>
      <c r="F31" s="5">
        <f>SUMIFS([0]!mud,[0]!municipio,$B30,[0]!turno,F$2)</f>
        <v>0</v>
      </c>
      <c r="G31" s="5">
        <f>SUMIFS([0]!mud,[0]!municipio,$B30,[0]!turno,G$2)</f>
        <v>13</v>
      </c>
      <c r="H31" s="5">
        <f>SUMIFS([0]!mud,[0]!municipio,$B30,[0]!turno,H$2)</f>
        <v>10</v>
      </c>
      <c r="I31" s="5">
        <f>SUMIFS([0]!mud,[0]!municipio,$B30,[0]!turno,I$2)</f>
        <v>16</v>
      </c>
      <c r="J31" s="5">
        <f>SUMIFS([0]!mud,[0]!municipio,$B30,[0]!turno,J$2)</f>
        <v>8</v>
      </c>
      <c r="K31" s="5">
        <f>SUMIFS([0]!mud,[0]!municipio,$B30,[0]!turno,K$2)</f>
        <v>3</v>
      </c>
      <c r="L31" s="5">
        <f>SUMIFS([0]!mud,[0]!municipio,$B30,[0]!turno,L$2)</f>
        <v>7</v>
      </c>
      <c r="M31" s="5">
        <f>SUMIFS([0]!mud,[0]!municipio,$B30,[0]!turno,M$2)</f>
        <v>7</v>
      </c>
      <c r="N31" s="5">
        <f>SUMIFS([0]!mud,[0]!municipio,$B30,[0]!turno,N$2)</f>
        <v>6</v>
      </c>
      <c r="O31" s="5">
        <f>SUMIFS([0]!mud,[0]!municipio,$B30,[0]!turno,O$2)</f>
        <v>8</v>
      </c>
      <c r="P31" s="5">
        <f>SUMIFS([0]!mud,[0]!municipio,$B30,[0]!turno,P$2)</f>
        <v>10</v>
      </c>
      <c r="Q31" s="5">
        <f>SUMIFS([0]!mud,[0]!municipio,$B30,[0]!turno,Q$2)</f>
        <v>8</v>
      </c>
      <c r="R31" s="5">
        <f>SUMIFS([0]!mud,[0]!municipio,$B30,[0]!turno,R$2)</f>
        <v>0</v>
      </c>
      <c r="S31" s="5">
        <f>SUMIFS([0]!mud,[0]!municipio,$B30,[0]!turno,S$2)</f>
        <v>0</v>
      </c>
      <c r="T31" s="5">
        <f>SUMIFS([0]!mud,[0]!municipio,$B30,[0]!turno,T$2)</f>
        <v>0</v>
      </c>
      <c r="U31" s="5">
        <f>SUMIFS([0]!mud,[0]!municipio,$B30,[0]!turno,U$2)</f>
        <v>0</v>
      </c>
      <c r="V31" s="5">
        <f>SUMIFS([0]!mud,[0]!municipio,$B30,[0]!turno,V$2)</f>
        <v>0</v>
      </c>
      <c r="W31" s="26">
        <f>SUMIFS([0]!mud,[0]!municipio,$B30,[0]!turno,W$2)</f>
        <v>0</v>
      </c>
    </row>
    <row r="32" spans="2:23" ht="15.75" thickBot="1" x14ac:dyDescent="0.3">
      <c r="B32" s="24">
        <v>2.9596187609731629E-2</v>
      </c>
      <c r="C32" s="12" t="s">
        <v>0</v>
      </c>
      <c r="D32" s="38">
        <f>IF((E30+E31+E32)=0,0,E32/(E30+E31+E32))</f>
        <v>2.4539877300613498E-2</v>
      </c>
      <c r="E32" s="13">
        <f t="shared" si="0"/>
        <v>4</v>
      </c>
      <c r="F32" s="13">
        <f>SUMIFS([0]!otro,[0]!municipio,$B30,[0]!turno,F$2)</f>
        <v>0</v>
      </c>
      <c r="G32" s="13">
        <f>SUMIFS([0]!otro,[0]!municipio,$B30,[0]!turno,G$2)</f>
        <v>2</v>
      </c>
      <c r="H32" s="13">
        <f>SUMIFS([0]!otro,[0]!municipio,$B30,[0]!turno,H$2)</f>
        <v>0</v>
      </c>
      <c r="I32" s="13">
        <f>SUMIFS([0]!otro,[0]!municipio,$B30,[0]!turno,I$2)</f>
        <v>1</v>
      </c>
      <c r="J32" s="13">
        <f>SUMIFS([0]!otro,[0]!municipio,$B30,[0]!turno,J$2)</f>
        <v>0</v>
      </c>
      <c r="K32" s="13">
        <f>SUMIFS([0]!otro,[0]!municipio,$B30,[0]!turno,K$2)</f>
        <v>0</v>
      </c>
      <c r="L32" s="13">
        <f>SUMIFS([0]!otro,[0]!municipio,$B30,[0]!turno,L$2)</f>
        <v>0</v>
      </c>
      <c r="M32" s="13">
        <f>SUMIFS([0]!otro,[0]!municipio,$B30,[0]!turno,M$2)</f>
        <v>0</v>
      </c>
      <c r="N32" s="13">
        <f>SUMIFS([0]!otro,[0]!municipio,$B30,[0]!turno,N$2)</f>
        <v>1</v>
      </c>
      <c r="O32" s="13">
        <f>SUMIFS([0]!otro,[0]!municipio,$B30,[0]!turno,O$2)</f>
        <v>0</v>
      </c>
      <c r="P32" s="13">
        <f>SUMIFS([0]!otro,[0]!municipio,$B30,[0]!turno,P$2)</f>
        <v>0</v>
      </c>
      <c r="Q32" s="13">
        <f>SUMIFS([0]!otro,[0]!municipio,$B30,[0]!turno,Q$2)</f>
        <v>0</v>
      </c>
      <c r="R32" s="13">
        <f>SUMIFS([0]!otro,[0]!municipio,$B30,[0]!turno,R$2)</f>
        <v>0</v>
      </c>
      <c r="S32" s="13">
        <f>SUMIFS([0]!otro,[0]!municipio,$B30,[0]!turno,S$2)</f>
        <v>0</v>
      </c>
      <c r="T32" s="13">
        <f>SUMIFS([0]!otro,[0]!municipio,$B30,[0]!turno,T$2)</f>
        <v>0</v>
      </c>
      <c r="U32" s="13">
        <f>SUMIFS([0]!otro,[0]!municipio,$B30,[0]!turno,U$2)</f>
        <v>0</v>
      </c>
      <c r="V32" s="13">
        <f>SUMIFS([0]!otro,[0]!municipio,$B30,[0]!turno,V$2)</f>
        <v>0</v>
      </c>
      <c r="W32" s="29">
        <f>SUMIFS([0]!otro,[0]!municipio,$B30,[0]!turno,W$2)</f>
        <v>0</v>
      </c>
    </row>
    <row r="33" spans="2:23" x14ac:dyDescent="0.25">
      <c r="B33" s="19">
        <v>90</v>
      </c>
      <c r="C33" s="8" t="s">
        <v>106</v>
      </c>
      <c r="D33" s="36">
        <f>IF((E33+E34+E35)=0,0,E33/(E33+E34+E35))</f>
        <v>0</v>
      </c>
      <c r="E33" s="9">
        <f t="shared" si="0"/>
        <v>0</v>
      </c>
      <c r="F33" s="9">
        <f>SUMIFS([0]!psuv,[0]!municipio,$B33,[0]!turno,F$2)</f>
        <v>0</v>
      </c>
      <c r="G33" s="9">
        <f>SUMIFS([0]!psuv,[0]!municipio,$B33,[0]!turno,G$2)</f>
        <v>0</v>
      </c>
      <c r="H33" s="9">
        <f>SUMIFS([0]!psuv,[0]!municipio,$B33,[0]!turno,H$2)</f>
        <v>0</v>
      </c>
      <c r="I33" s="9">
        <f>SUMIFS([0]!psuv,[0]!municipio,$B33,[0]!turno,I$2)</f>
        <v>0</v>
      </c>
      <c r="J33" s="9">
        <f>SUMIFS([0]!psuv,[0]!municipio,$B33,[0]!turno,J$2)</f>
        <v>0</v>
      </c>
      <c r="K33" s="9">
        <f>SUMIFS([0]!psuv,[0]!municipio,$B33,[0]!turno,K$2)</f>
        <v>0</v>
      </c>
      <c r="L33" s="9">
        <f>SUMIFS([0]!psuv,[0]!municipio,$B33,[0]!turno,L$2)</f>
        <v>0</v>
      </c>
      <c r="M33" s="9">
        <f>SUMIFS([0]!psuv,[0]!municipio,$B33,[0]!turno,M$2)</f>
        <v>0</v>
      </c>
      <c r="N33" s="9">
        <f>SUMIFS([0]!psuv,[0]!municipio,$B33,[0]!turno,N$2)</f>
        <v>0</v>
      </c>
      <c r="O33" s="9">
        <f>SUMIFS([0]!psuv,[0]!municipio,$B33,[0]!turno,O$2)</f>
        <v>0</v>
      </c>
      <c r="P33" s="9">
        <f>SUMIFS([0]!psuv,[0]!municipio,$B33,[0]!turno,P$2)</f>
        <v>0</v>
      </c>
      <c r="Q33" s="9">
        <f>SUMIFS([0]!psuv,[0]!municipio,$B33,[0]!turno,Q$2)</f>
        <v>0</v>
      </c>
      <c r="R33" s="9">
        <f>SUMIFS([0]!psuv,[0]!municipio,$B33,[0]!turno,R$2)</f>
        <v>0</v>
      </c>
      <c r="S33" s="9">
        <f>SUMIFS([0]!psuv,[0]!municipio,$B33,[0]!turno,S$2)</f>
        <v>0</v>
      </c>
      <c r="T33" s="9">
        <f>SUMIFS([0]!psuv,[0]!municipio,$B33,[0]!turno,T$2)</f>
        <v>0</v>
      </c>
      <c r="U33" s="9">
        <f>SUMIFS([0]!psuv,[0]!municipio,$B33,[0]!turno,U$2)</f>
        <v>0</v>
      </c>
      <c r="V33" s="9">
        <f>SUMIFS([0]!psuv,[0]!municipio,$B33,[0]!turno,V$2)</f>
        <v>0</v>
      </c>
      <c r="W33" s="25">
        <f>SUMIFS([0]!psuv,[0]!municipio,$B33,[0]!turno,W$2)</f>
        <v>0</v>
      </c>
    </row>
    <row r="34" spans="2:23" x14ac:dyDescent="0.25">
      <c r="B34" s="20" t="s">
        <v>13</v>
      </c>
      <c r="C34" s="4" t="s">
        <v>107</v>
      </c>
      <c r="D34" s="37">
        <f>IF((E33+E34+E35)=0,0,E34/(E33+E34+E35))</f>
        <v>0</v>
      </c>
      <c r="E34" s="5">
        <f t="shared" si="0"/>
        <v>0</v>
      </c>
      <c r="F34" s="5">
        <f>SUMIFS([0]!mud,[0]!municipio,$B33,[0]!turno,F$2)</f>
        <v>0</v>
      </c>
      <c r="G34" s="5">
        <f>SUMIFS([0]!mud,[0]!municipio,$B33,[0]!turno,G$2)</f>
        <v>0</v>
      </c>
      <c r="H34" s="5">
        <f>SUMIFS([0]!mud,[0]!municipio,$B33,[0]!turno,H$2)</f>
        <v>0</v>
      </c>
      <c r="I34" s="5">
        <f>SUMIFS([0]!mud,[0]!municipio,$B33,[0]!turno,I$2)</f>
        <v>0</v>
      </c>
      <c r="J34" s="5">
        <f>SUMIFS([0]!mud,[0]!municipio,$B33,[0]!turno,J$2)</f>
        <v>0</v>
      </c>
      <c r="K34" s="5">
        <f>SUMIFS([0]!mud,[0]!municipio,$B33,[0]!turno,K$2)</f>
        <v>0</v>
      </c>
      <c r="L34" s="5">
        <f>SUMIFS([0]!mud,[0]!municipio,$B33,[0]!turno,L$2)</f>
        <v>0</v>
      </c>
      <c r="M34" s="5">
        <f>SUMIFS([0]!mud,[0]!municipio,$B33,[0]!turno,M$2)</f>
        <v>0</v>
      </c>
      <c r="N34" s="5">
        <f>SUMIFS([0]!mud,[0]!municipio,$B33,[0]!turno,N$2)</f>
        <v>0</v>
      </c>
      <c r="O34" s="5">
        <f>SUMIFS([0]!mud,[0]!municipio,$B33,[0]!turno,O$2)</f>
        <v>0</v>
      </c>
      <c r="P34" s="5">
        <f>SUMIFS([0]!mud,[0]!municipio,$B33,[0]!turno,P$2)</f>
        <v>0</v>
      </c>
      <c r="Q34" s="5">
        <f>SUMIFS([0]!mud,[0]!municipio,$B33,[0]!turno,Q$2)</f>
        <v>0</v>
      </c>
      <c r="R34" s="5">
        <f>SUMIFS([0]!mud,[0]!municipio,$B33,[0]!turno,R$2)</f>
        <v>0</v>
      </c>
      <c r="S34" s="5">
        <f>SUMIFS([0]!mud,[0]!municipio,$B33,[0]!turno,S$2)</f>
        <v>0</v>
      </c>
      <c r="T34" s="5">
        <f>SUMIFS([0]!mud,[0]!municipio,$B33,[0]!turno,T$2)</f>
        <v>0</v>
      </c>
      <c r="U34" s="5">
        <f>SUMIFS([0]!mud,[0]!municipio,$B33,[0]!turno,U$2)</f>
        <v>0</v>
      </c>
      <c r="V34" s="5">
        <f>SUMIFS([0]!mud,[0]!municipio,$B33,[0]!turno,V$2)</f>
        <v>0</v>
      </c>
      <c r="W34" s="26">
        <f>SUMIFS([0]!mud,[0]!municipio,$B33,[0]!turno,W$2)</f>
        <v>0</v>
      </c>
    </row>
    <row r="35" spans="2:23" ht="15.75" thickBot="1" x14ac:dyDescent="0.3">
      <c r="B35" s="21">
        <v>1.393984410791174E-2</v>
      </c>
      <c r="C35" s="10" t="s">
        <v>0</v>
      </c>
      <c r="D35" s="38">
        <f>IF((E33+E34+E35)=0,0,E35/(E33+E34+E35))</f>
        <v>0</v>
      </c>
      <c r="E35" s="11">
        <f t="shared" ref="E35:E53" si="1">SUM(F35:W35)</f>
        <v>0</v>
      </c>
      <c r="F35" s="11">
        <f>SUMIFS([0]!otro,[0]!municipio,$B33,[0]!turno,F$2)</f>
        <v>0</v>
      </c>
      <c r="G35" s="11">
        <f>SUMIFS([0]!otro,[0]!municipio,$B33,[0]!turno,G$2)</f>
        <v>0</v>
      </c>
      <c r="H35" s="11">
        <f>SUMIFS([0]!otro,[0]!municipio,$B33,[0]!turno,H$2)</f>
        <v>0</v>
      </c>
      <c r="I35" s="11">
        <f>SUMIFS([0]!otro,[0]!municipio,$B33,[0]!turno,I$2)</f>
        <v>0</v>
      </c>
      <c r="J35" s="11">
        <f>SUMIFS([0]!otro,[0]!municipio,$B33,[0]!turno,J$2)</f>
        <v>0</v>
      </c>
      <c r="K35" s="11">
        <f>SUMIFS([0]!otro,[0]!municipio,$B33,[0]!turno,K$2)</f>
        <v>0</v>
      </c>
      <c r="L35" s="11">
        <f>SUMIFS([0]!otro,[0]!municipio,$B33,[0]!turno,L$2)</f>
        <v>0</v>
      </c>
      <c r="M35" s="11">
        <f>SUMIFS([0]!otro,[0]!municipio,$B33,[0]!turno,M$2)</f>
        <v>0</v>
      </c>
      <c r="N35" s="11">
        <f>SUMIFS([0]!otro,[0]!municipio,$B33,[0]!turno,N$2)</f>
        <v>0</v>
      </c>
      <c r="O35" s="11">
        <f>SUMIFS([0]!otro,[0]!municipio,$B33,[0]!turno,O$2)</f>
        <v>0</v>
      </c>
      <c r="P35" s="11">
        <f>SUMIFS([0]!otro,[0]!municipio,$B33,[0]!turno,P$2)</f>
        <v>0</v>
      </c>
      <c r="Q35" s="11">
        <f>SUMIFS([0]!otro,[0]!municipio,$B33,[0]!turno,Q$2)</f>
        <v>0</v>
      </c>
      <c r="R35" s="11">
        <f>SUMIFS([0]!otro,[0]!municipio,$B33,[0]!turno,R$2)</f>
        <v>0</v>
      </c>
      <c r="S35" s="11">
        <f>SUMIFS([0]!otro,[0]!municipio,$B33,[0]!turno,S$2)</f>
        <v>0</v>
      </c>
      <c r="T35" s="11">
        <f>SUMIFS([0]!otro,[0]!municipio,$B33,[0]!turno,T$2)</f>
        <v>0</v>
      </c>
      <c r="U35" s="11">
        <f>SUMIFS([0]!otro,[0]!municipio,$B33,[0]!turno,U$2)</f>
        <v>0</v>
      </c>
      <c r="V35" s="11">
        <f>SUMIFS([0]!otro,[0]!municipio,$B33,[0]!turno,V$2)</f>
        <v>0</v>
      </c>
      <c r="W35" s="27">
        <f>SUMIFS([0]!otro,[0]!municipio,$B33,[0]!turno,W$2)</f>
        <v>0</v>
      </c>
    </row>
    <row r="36" spans="2:23" x14ac:dyDescent="0.25">
      <c r="B36" s="22">
        <v>91</v>
      </c>
      <c r="C36" s="6" t="s">
        <v>106</v>
      </c>
      <c r="D36" s="36">
        <f>IF((E36+E37+E38)=0,0,E36/(E36+E37+E38))</f>
        <v>0</v>
      </c>
      <c r="E36" s="7">
        <f t="shared" si="1"/>
        <v>0</v>
      </c>
      <c r="F36" s="7">
        <f>SUMIFS([0]!psuv,[0]!municipio,$B36,[0]!turno,F$2)</f>
        <v>0</v>
      </c>
      <c r="G36" s="7">
        <f>SUMIFS([0]!psuv,[0]!municipio,$B36,[0]!turno,G$2)</f>
        <v>0</v>
      </c>
      <c r="H36" s="7">
        <f>SUMIFS([0]!psuv,[0]!municipio,$B36,[0]!turno,H$2)</f>
        <v>0</v>
      </c>
      <c r="I36" s="7">
        <f>SUMIFS([0]!psuv,[0]!municipio,$B36,[0]!turno,I$2)</f>
        <v>0</v>
      </c>
      <c r="J36" s="7">
        <f>SUMIFS([0]!psuv,[0]!municipio,$B36,[0]!turno,J$2)</f>
        <v>0</v>
      </c>
      <c r="K36" s="7">
        <f>SUMIFS([0]!psuv,[0]!municipio,$B36,[0]!turno,K$2)</f>
        <v>0</v>
      </c>
      <c r="L36" s="7">
        <f>SUMIFS([0]!psuv,[0]!municipio,$B36,[0]!turno,L$2)</f>
        <v>0</v>
      </c>
      <c r="M36" s="7">
        <f>SUMIFS([0]!psuv,[0]!municipio,$B36,[0]!turno,M$2)</f>
        <v>0</v>
      </c>
      <c r="N36" s="7">
        <f>SUMIFS([0]!psuv,[0]!municipio,$B36,[0]!turno,N$2)</f>
        <v>0</v>
      </c>
      <c r="O36" s="7">
        <f>SUMIFS([0]!psuv,[0]!municipio,$B36,[0]!turno,O$2)</f>
        <v>0</v>
      </c>
      <c r="P36" s="7">
        <f>SUMIFS([0]!psuv,[0]!municipio,$B36,[0]!turno,P$2)</f>
        <v>0</v>
      </c>
      <c r="Q36" s="7">
        <f>SUMIFS([0]!psuv,[0]!municipio,$B36,[0]!turno,Q$2)</f>
        <v>0</v>
      </c>
      <c r="R36" s="7">
        <f>SUMIFS([0]!psuv,[0]!municipio,$B36,[0]!turno,R$2)</f>
        <v>0</v>
      </c>
      <c r="S36" s="7">
        <f>SUMIFS([0]!psuv,[0]!municipio,$B36,[0]!turno,S$2)</f>
        <v>0</v>
      </c>
      <c r="T36" s="7">
        <f>SUMIFS([0]!psuv,[0]!municipio,$B36,[0]!turno,T$2)</f>
        <v>0</v>
      </c>
      <c r="U36" s="7">
        <f>SUMIFS([0]!psuv,[0]!municipio,$B36,[0]!turno,U$2)</f>
        <v>0</v>
      </c>
      <c r="V36" s="7">
        <f>SUMIFS([0]!psuv,[0]!municipio,$B36,[0]!turno,V$2)</f>
        <v>0</v>
      </c>
      <c r="W36" s="28">
        <f>SUMIFS([0]!psuv,[0]!municipio,$B36,[0]!turno,W$2)</f>
        <v>0</v>
      </c>
    </row>
    <row r="37" spans="2:23" x14ac:dyDescent="0.25">
      <c r="B37" s="23" t="s">
        <v>67</v>
      </c>
      <c r="C37" s="4" t="s">
        <v>107</v>
      </c>
      <c r="D37" s="37">
        <f>IF((E36+E37+E38)=0,0,E37/(E36+E37+E38))</f>
        <v>0</v>
      </c>
      <c r="E37" s="5">
        <f t="shared" si="1"/>
        <v>0</v>
      </c>
      <c r="F37" s="5">
        <f>SUMIFS([0]!mud,[0]!municipio,$B36,[0]!turno,F$2)</f>
        <v>0</v>
      </c>
      <c r="G37" s="5">
        <f>SUMIFS([0]!mud,[0]!municipio,$B36,[0]!turno,G$2)</f>
        <v>0</v>
      </c>
      <c r="H37" s="5">
        <f>SUMIFS([0]!mud,[0]!municipio,$B36,[0]!turno,H$2)</f>
        <v>0</v>
      </c>
      <c r="I37" s="5">
        <f>SUMIFS([0]!mud,[0]!municipio,$B36,[0]!turno,I$2)</f>
        <v>0</v>
      </c>
      <c r="J37" s="5">
        <f>SUMIFS([0]!mud,[0]!municipio,$B36,[0]!turno,J$2)</f>
        <v>0</v>
      </c>
      <c r="K37" s="5">
        <f>SUMIFS([0]!mud,[0]!municipio,$B36,[0]!turno,K$2)</f>
        <v>0</v>
      </c>
      <c r="L37" s="5">
        <f>SUMIFS([0]!mud,[0]!municipio,$B36,[0]!turno,L$2)</f>
        <v>0</v>
      </c>
      <c r="M37" s="5">
        <f>SUMIFS([0]!mud,[0]!municipio,$B36,[0]!turno,M$2)</f>
        <v>0</v>
      </c>
      <c r="N37" s="5">
        <f>SUMIFS([0]!mud,[0]!municipio,$B36,[0]!turno,N$2)</f>
        <v>0</v>
      </c>
      <c r="O37" s="5">
        <f>SUMIFS([0]!mud,[0]!municipio,$B36,[0]!turno,O$2)</f>
        <v>0</v>
      </c>
      <c r="P37" s="5">
        <f>SUMIFS([0]!mud,[0]!municipio,$B36,[0]!turno,P$2)</f>
        <v>0</v>
      </c>
      <c r="Q37" s="5">
        <f>SUMIFS([0]!mud,[0]!municipio,$B36,[0]!turno,Q$2)</f>
        <v>0</v>
      </c>
      <c r="R37" s="5">
        <f>SUMIFS([0]!mud,[0]!municipio,$B36,[0]!turno,R$2)</f>
        <v>0</v>
      </c>
      <c r="S37" s="5">
        <f>SUMIFS([0]!mud,[0]!municipio,$B36,[0]!turno,S$2)</f>
        <v>0</v>
      </c>
      <c r="T37" s="5">
        <f>SUMIFS([0]!mud,[0]!municipio,$B36,[0]!turno,T$2)</f>
        <v>0</v>
      </c>
      <c r="U37" s="5">
        <f>SUMIFS([0]!mud,[0]!municipio,$B36,[0]!turno,U$2)</f>
        <v>0</v>
      </c>
      <c r="V37" s="5">
        <f>SUMIFS([0]!mud,[0]!municipio,$B36,[0]!turno,V$2)</f>
        <v>0</v>
      </c>
      <c r="W37" s="26">
        <f>SUMIFS([0]!mud,[0]!municipio,$B36,[0]!turno,W$2)</f>
        <v>0</v>
      </c>
    </row>
    <row r="38" spans="2:23" ht="15.75" thickBot="1" x14ac:dyDescent="0.3">
      <c r="B38" s="24">
        <v>3.3889047326724056E-2</v>
      </c>
      <c r="C38" s="12" t="s">
        <v>0</v>
      </c>
      <c r="D38" s="38">
        <f>IF((E36+E37+E38)=0,0,E38/(E36+E37+E38))</f>
        <v>0</v>
      </c>
      <c r="E38" s="13">
        <f t="shared" si="1"/>
        <v>0</v>
      </c>
      <c r="F38" s="13">
        <f>SUMIFS([0]!otro,[0]!municipio,$B36,[0]!turno,F$2)</f>
        <v>0</v>
      </c>
      <c r="G38" s="13">
        <f>SUMIFS([0]!otro,[0]!municipio,$B36,[0]!turno,G$2)</f>
        <v>0</v>
      </c>
      <c r="H38" s="13">
        <f>SUMIFS([0]!otro,[0]!municipio,$B36,[0]!turno,H$2)</f>
        <v>0</v>
      </c>
      <c r="I38" s="13">
        <f>SUMIFS([0]!otro,[0]!municipio,$B36,[0]!turno,I$2)</f>
        <v>0</v>
      </c>
      <c r="J38" s="13">
        <f>SUMIFS([0]!otro,[0]!municipio,$B36,[0]!turno,J$2)</f>
        <v>0</v>
      </c>
      <c r="K38" s="13">
        <f>SUMIFS([0]!otro,[0]!municipio,$B36,[0]!turno,K$2)</f>
        <v>0</v>
      </c>
      <c r="L38" s="13">
        <f>SUMIFS([0]!otro,[0]!municipio,$B36,[0]!turno,L$2)</f>
        <v>0</v>
      </c>
      <c r="M38" s="13">
        <f>SUMIFS([0]!otro,[0]!municipio,$B36,[0]!turno,M$2)</f>
        <v>0</v>
      </c>
      <c r="N38" s="13">
        <f>SUMIFS([0]!otro,[0]!municipio,$B36,[0]!turno,N$2)</f>
        <v>0</v>
      </c>
      <c r="O38" s="13">
        <f>SUMIFS([0]!otro,[0]!municipio,$B36,[0]!turno,O$2)</f>
        <v>0</v>
      </c>
      <c r="P38" s="13">
        <f>SUMIFS([0]!otro,[0]!municipio,$B36,[0]!turno,P$2)</f>
        <v>0</v>
      </c>
      <c r="Q38" s="13">
        <f>SUMIFS([0]!otro,[0]!municipio,$B36,[0]!turno,Q$2)</f>
        <v>0</v>
      </c>
      <c r="R38" s="13">
        <f>SUMIFS([0]!otro,[0]!municipio,$B36,[0]!turno,R$2)</f>
        <v>0</v>
      </c>
      <c r="S38" s="13">
        <f>SUMIFS([0]!otro,[0]!municipio,$B36,[0]!turno,S$2)</f>
        <v>0</v>
      </c>
      <c r="T38" s="13">
        <f>SUMIFS([0]!otro,[0]!municipio,$B36,[0]!turno,T$2)</f>
        <v>0</v>
      </c>
      <c r="U38" s="13">
        <f>SUMIFS([0]!otro,[0]!municipio,$B36,[0]!turno,U$2)</f>
        <v>0</v>
      </c>
      <c r="V38" s="13">
        <f>SUMIFS([0]!otro,[0]!municipio,$B36,[0]!turno,V$2)</f>
        <v>0</v>
      </c>
      <c r="W38" s="29">
        <f>SUMIFS([0]!otro,[0]!municipio,$B36,[0]!turno,W$2)</f>
        <v>0</v>
      </c>
    </row>
    <row r="39" spans="2:23" x14ac:dyDescent="0.25">
      <c r="B39" s="19">
        <v>92</v>
      </c>
      <c r="C39" s="8" t="s">
        <v>106</v>
      </c>
      <c r="D39" s="36">
        <f>IF((E39+E40+E41)=0,0,E39/(E39+E40+E41))</f>
        <v>0.53703703703703709</v>
      </c>
      <c r="E39" s="9">
        <f t="shared" si="1"/>
        <v>174</v>
      </c>
      <c r="F39" s="9">
        <f>SUMIFS([0]!psuv,[0]!municipio,$B39,[0]!turno,F$2)</f>
        <v>0</v>
      </c>
      <c r="G39" s="9">
        <f>SUMIFS([0]!psuv,[0]!municipio,$B39,[0]!turno,G$2)</f>
        <v>2</v>
      </c>
      <c r="H39" s="9">
        <f>SUMIFS([0]!psuv,[0]!municipio,$B39,[0]!turno,H$2)</f>
        <v>3</v>
      </c>
      <c r="I39" s="9">
        <f>SUMIFS([0]!psuv,[0]!municipio,$B39,[0]!turno,I$2)</f>
        <v>17</v>
      </c>
      <c r="J39" s="9">
        <f>SUMIFS([0]!psuv,[0]!municipio,$B39,[0]!turno,J$2)</f>
        <v>21</v>
      </c>
      <c r="K39" s="9">
        <f>SUMIFS([0]!psuv,[0]!municipio,$B39,[0]!turno,K$2)</f>
        <v>19</v>
      </c>
      <c r="L39" s="9">
        <f>SUMIFS([0]!psuv,[0]!municipio,$B39,[0]!turno,L$2)</f>
        <v>21</v>
      </c>
      <c r="M39" s="9">
        <f>SUMIFS([0]!psuv,[0]!municipio,$B39,[0]!turno,M$2)</f>
        <v>22</v>
      </c>
      <c r="N39" s="9">
        <f>SUMIFS([0]!psuv,[0]!municipio,$B39,[0]!turno,N$2)</f>
        <v>20</v>
      </c>
      <c r="O39" s="9">
        <f>SUMIFS([0]!psuv,[0]!municipio,$B39,[0]!turno,O$2)</f>
        <v>18</v>
      </c>
      <c r="P39" s="9">
        <f>SUMIFS([0]!psuv,[0]!municipio,$B39,[0]!turno,P$2)</f>
        <v>17</v>
      </c>
      <c r="Q39" s="9">
        <f>SUMIFS([0]!psuv,[0]!municipio,$B39,[0]!turno,Q$2)</f>
        <v>14</v>
      </c>
      <c r="R39" s="9">
        <f>SUMIFS([0]!psuv,[0]!municipio,$B39,[0]!turno,R$2)</f>
        <v>0</v>
      </c>
      <c r="S39" s="9">
        <f>SUMIFS([0]!psuv,[0]!municipio,$B39,[0]!turno,S$2)</f>
        <v>0</v>
      </c>
      <c r="T39" s="9">
        <f>SUMIFS([0]!psuv,[0]!municipio,$B39,[0]!turno,T$2)</f>
        <v>0</v>
      </c>
      <c r="U39" s="9">
        <f>SUMIFS([0]!psuv,[0]!municipio,$B39,[0]!turno,U$2)</f>
        <v>0</v>
      </c>
      <c r="V39" s="9">
        <f>SUMIFS([0]!psuv,[0]!municipio,$B39,[0]!turno,V$2)</f>
        <v>0</v>
      </c>
      <c r="W39" s="25">
        <f>SUMIFS([0]!psuv,[0]!municipio,$B39,[0]!turno,W$2)</f>
        <v>0</v>
      </c>
    </row>
    <row r="40" spans="2:23" x14ac:dyDescent="0.25">
      <c r="B40" s="20" t="s">
        <v>68</v>
      </c>
      <c r="C40" s="4" t="s">
        <v>107</v>
      </c>
      <c r="D40" s="37">
        <f>IF((E39+E40+E41)=0,0,E40/(E39+E40+E41))</f>
        <v>0.41975308641975306</v>
      </c>
      <c r="E40" s="5">
        <f t="shared" si="1"/>
        <v>136</v>
      </c>
      <c r="F40" s="5">
        <f>SUMIFS([0]!mud,[0]!municipio,$B39,[0]!turno,F$2)</f>
        <v>0</v>
      </c>
      <c r="G40" s="5">
        <f>SUMIFS([0]!mud,[0]!municipio,$B39,[0]!turno,G$2)</f>
        <v>7</v>
      </c>
      <c r="H40" s="5">
        <f>SUMIFS([0]!mud,[0]!municipio,$B39,[0]!turno,H$2)</f>
        <v>17</v>
      </c>
      <c r="I40" s="5">
        <f>SUMIFS([0]!mud,[0]!municipio,$B39,[0]!turno,I$2)</f>
        <v>6</v>
      </c>
      <c r="J40" s="5">
        <f>SUMIFS([0]!mud,[0]!municipio,$B39,[0]!turno,J$2)</f>
        <v>9</v>
      </c>
      <c r="K40" s="5">
        <f>SUMIFS([0]!mud,[0]!municipio,$B39,[0]!turno,K$2)</f>
        <v>15</v>
      </c>
      <c r="L40" s="5">
        <f>SUMIFS([0]!mud,[0]!municipio,$B39,[0]!turno,L$2)</f>
        <v>11</v>
      </c>
      <c r="M40" s="5">
        <f>SUMIFS([0]!mud,[0]!municipio,$B39,[0]!turno,M$2)</f>
        <v>18</v>
      </c>
      <c r="N40" s="5">
        <f>SUMIFS([0]!mud,[0]!municipio,$B39,[0]!turno,N$2)</f>
        <v>8</v>
      </c>
      <c r="O40" s="5">
        <f>SUMIFS([0]!mud,[0]!municipio,$B39,[0]!turno,O$2)</f>
        <v>14</v>
      </c>
      <c r="P40" s="5">
        <f>SUMIFS([0]!mud,[0]!municipio,$B39,[0]!turno,P$2)</f>
        <v>18</v>
      </c>
      <c r="Q40" s="5">
        <f>SUMIFS([0]!mud,[0]!municipio,$B39,[0]!turno,Q$2)</f>
        <v>13</v>
      </c>
      <c r="R40" s="5">
        <f>SUMIFS([0]!mud,[0]!municipio,$B39,[0]!turno,R$2)</f>
        <v>0</v>
      </c>
      <c r="S40" s="5">
        <f>SUMIFS([0]!mud,[0]!municipio,$B39,[0]!turno,S$2)</f>
        <v>0</v>
      </c>
      <c r="T40" s="5">
        <f>SUMIFS([0]!mud,[0]!municipio,$B39,[0]!turno,T$2)</f>
        <v>0</v>
      </c>
      <c r="U40" s="5">
        <f>SUMIFS([0]!mud,[0]!municipio,$B39,[0]!turno,U$2)</f>
        <v>0</v>
      </c>
      <c r="V40" s="5">
        <f>SUMIFS([0]!mud,[0]!municipio,$B39,[0]!turno,V$2)</f>
        <v>0</v>
      </c>
      <c r="W40" s="26">
        <f>SUMIFS([0]!mud,[0]!municipio,$B39,[0]!turno,W$2)</f>
        <v>0</v>
      </c>
    </row>
    <row r="41" spans="2:23" ht="15.75" thickBot="1" x14ac:dyDescent="0.3">
      <c r="B41" s="21">
        <v>7.3409351269570433E-2</v>
      </c>
      <c r="C41" s="10" t="s">
        <v>0</v>
      </c>
      <c r="D41" s="38">
        <f>IF((E39+E40+E41)=0,0,E41/(E39+E40+E41))</f>
        <v>4.3209876543209874E-2</v>
      </c>
      <c r="E41" s="11">
        <f t="shared" si="1"/>
        <v>14</v>
      </c>
      <c r="F41" s="11">
        <f>SUMIFS([0]!otro,[0]!municipio,$B39,[0]!turno,F$2)</f>
        <v>0</v>
      </c>
      <c r="G41" s="11">
        <f>SUMIFS([0]!otro,[0]!municipio,$B39,[0]!turno,G$2)</f>
        <v>0</v>
      </c>
      <c r="H41" s="11">
        <f>SUMIFS([0]!otro,[0]!municipio,$B39,[0]!turno,H$2)</f>
        <v>0</v>
      </c>
      <c r="I41" s="11">
        <f>SUMIFS([0]!otro,[0]!municipio,$B39,[0]!turno,I$2)</f>
        <v>1</v>
      </c>
      <c r="J41" s="11">
        <f>SUMIFS([0]!otro,[0]!municipio,$B39,[0]!turno,J$2)</f>
        <v>1</v>
      </c>
      <c r="K41" s="11">
        <f>SUMIFS([0]!otro,[0]!municipio,$B39,[0]!turno,K$2)</f>
        <v>0</v>
      </c>
      <c r="L41" s="11">
        <f>SUMIFS([0]!otro,[0]!municipio,$B39,[0]!turno,L$2)</f>
        <v>1</v>
      </c>
      <c r="M41" s="11">
        <f>SUMIFS([0]!otro,[0]!municipio,$B39,[0]!turno,M$2)</f>
        <v>0</v>
      </c>
      <c r="N41" s="11">
        <f>SUMIFS([0]!otro,[0]!municipio,$B39,[0]!turno,N$2)</f>
        <v>2</v>
      </c>
      <c r="O41" s="11">
        <f>SUMIFS([0]!otro,[0]!municipio,$B39,[0]!turno,O$2)</f>
        <v>1</v>
      </c>
      <c r="P41" s="11">
        <f>SUMIFS([0]!otro,[0]!municipio,$B39,[0]!turno,P$2)</f>
        <v>4</v>
      </c>
      <c r="Q41" s="11">
        <f>SUMIFS([0]!otro,[0]!municipio,$B39,[0]!turno,Q$2)</f>
        <v>4</v>
      </c>
      <c r="R41" s="11">
        <f>SUMIFS([0]!otro,[0]!municipio,$B39,[0]!turno,R$2)</f>
        <v>0</v>
      </c>
      <c r="S41" s="11">
        <f>SUMIFS([0]!otro,[0]!municipio,$B39,[0]!turno,S$2)</f>
        <v>0</v>
      </c>
      <c r="T41" s="11">
        <f>SUMIFS([0]!otro,[0]!municipio,$B39,[0]!turno,T$2)</f>
        <v>0</v>
      </c>
      <c r="U41" s="11">
        <f>SUMIFS([0]!otro,[0]!municipio,$B39,[0]!turno,U$2)</f>
        <v>0</v>
      </c>
      <c r="V41" s="11">
        <f>SUMIFS([0]!otro,[0]!municipio,$B39,[0]!turno,V$2)</f>
        <v>0</v>
      </c>
      <c r="W41" s="27">
        <f>SUMIFS([0]!otro,[0]!municipio,$B39,[0]!turno,W$2)</f>
        <v>0</v>
      </c>
    </row>
    <row r="42" spans="2:23" x14ac:dyDescent="0.25">
      <c r="B42" s="22">
        <v>93</v>
      </c>
      <c r="C42" s="6" t="s">
        <v>106</v>
      </c>
      <c r="D42" s="36">
        <f>IF((E42+E43+E44)=0,0,E42/(E42+E43+E44))</f>
        <v>0</v>
      </c>
      <c r="E42" s="7">
        <f t="shared" si="1"/>
        <v>0</v>
      </c>
      <c r="F42" s="7">
        <f>SUMIFS([0]!psuv,[0]!municipio,$B42,[0]!turno,F$2)</f>
        <v>0</v>
      </c>
      <c r="G42" s="7">
        <f>SUMIFS([0]!psuv,[0]!municipio,$B42,[0]!turno,G$2)</f>
        <v>0</v>
      </c>
      <c r="H42" s="7">
        <f>SUMIFS([0]!psuv,[0]!municipio,$B42,[0]!turno,H$2)</f>
        <v>0</v>
      </c>
      <c r="I42" s="7">
        <f>SUMIFS([0]!psuv,[0]!municipio,$B42,[0]!turno,I$2)</f>
        <v>0</v>
      </c>
      <c r="J42" s="7">
        <f>SUMIFS([0]!psuv,[0]!municipio,$B42,[0]!turno,J$2)</f>
        <v>0</v>
      </c>
      <c r="K42" s="7">
        <f>SUMIFS([0]!psuv,[0]!municipio,$B42,[0]!turno,K$2)</f>
        <v>0</v>
      </c>
      <c r="L42" s="7">
        <f>SUMIFS([0]!psuv,[0]!municipio,$B42,[0]!turno,L$2)</f>
        <v>0</v>
      </c>
      <c r="M42" s="7">
        <f>SUMIFS([0]!psuv,[0]!municipio,$B42,[0]!turno,M$2)</f>
        <v>0</v>
      </c>
      <c r="N42" s="7">
        <f>SUMIFS([0]!psuv,[0]!municipio,$B42,[0]!turno,N$2)</f>
        <v>0</v>
      </c>
      <c r="O42" s="7">
        <f>SUMIFS([0]!psuv,[0]!municipio,$B42,[0]!turno,O$2)</f>
        <v>0</v>
      </c>
      <c r="P42" s="7">
        <f>SUMIFS([0]!psuv,[0]!municipio,$B42,[0]!turno,P$2)</f>
        <v>0</v>
      </c>
      <c r="Q42" s="7">
        <f>SUMIFS([0]!psuv,[0]!municipio,$B42,[0]!turno,Q$2)</f>
        <v>0</v>
      </c>
      <c r="R42" s="7">
        <f>SUMIFS([0]!psuv,[0]!municipio,$B42,[0]!turno,R$2)</f>
        <v>0</v>
      </c>
      <c r="S42" s="7">
        <f>SUMIFS([0]!psuv,[0]!municipio,$B42,[0]!turno,S$2)</f>
        <v>0</v>
      </c>
      <c r="T42" s="7">
        <f>SUMIFS([0]!psuv,[0]!municipio,$B42,[0]!turno,T$2)</f>
        <v>0</v>
      </c>
      <c r="U42" s="7">
        <f>SUMIFS([0]!psuv,[0]!municipio,$B42,[0]!turno,U$2)</f>
        <v>0</v>
      </c>
      <c r="V42" s="7">
        <f>SUMIFS([0]!psuv,[0]!municipio,$B42,[0]!turno,V$2)</f>
        <v>0</v>
      </c>
      <c r="W42" s="28">
        <f>SUMIFS([0]!psuv,[0]!municipio,$B42,[0]!turno,W$2)</f>
        <v>0</v>
      </c>
    </row>
    <row r="43" spans="2:23" x14ac:dyDescent="0.25">
      <c r="B43" s="23" t="s">
        <v>138</v>
      </c>
      <c r="C43" s="4" t="s">
        <v>107</v>
      </c>
      <c r="D43" s="37">
        <f>IF((E42+E43+E44)=0,0,E43/(E42+E43+E44))</f>
        <v>0</v>
      </c>
      <c r="E43" s="5">
        <f t="shared" si="1"/>
        <v>0</v>
      </c>
      <c r="F43" s="5">
        <f>SUMIFS([0]!mud,[0]!municipio,$B42,[0]!turno,F$2)</f>
        <v>0</v>
      </c>
      <c r="G43" s="5">
        <f>SUMIFS([0]!mud,[0]!municipio,$B42,[0]!turno,G$2)</f>
        <v>0</v>
      </c>
      <c r="H43" s="5">
        <f>SUMIFS([0]!mud,[0]!municipio,$B42,[0]!turno,H$2)</f>
        <v>0</v>
      </c>
      <c r="I43" s="5">
        <f>SUMIFS([0]!mud,[0]!municipio,$B42,[0]!turno,I$2)</f>
        <v>0</v>
      </c>
      <c r="J43" s="5">
        <f>SUMIFS([0]!mud,[0]!municipio,$B42,[0]!turno,J$2)</f>
        <v>0</v>
      </c>
      <c r="K43" s="5">
        <f>SUMIFS([0]!mud,[0]!municipio,$B42,[0]!turno,K$2)</f>
        <v>0</v>
      </c>
      <c r="L43" s="5">
        <f>SUMIFS([0]!mud,[0]!municipio,$B42,[0]!turno,L$2)</f>
        <v>0</v>
      </c>
      <c r="M43" s="5">
        <f>SUMIFS([0]!mud,[0]!municipio,$B42,[0]!turno,M$2)</f>
        <v>0</v>
      </c>
      <c r="N43" s="5">
        <f>SUMIFS([0]!mud,[0]!municipio,$B42,[0]!turno,N$2)</f>
        <v>0</v>
      </c>
      <c r="O43" s="5">
        <f>SUMIFS([0]!mud,[0]!municipio,$B42,[0]!turno,O$2)</f>
        <v>0</v>
      </c>
      <c r="P43" s="5">
        <f>SUMIFS([0]!mud,[0]!municipio,$B42,[0]!turno,P$2)</f>
        <v>0</v>
      </c>
      <c r="Q43" s="5">
        <f>SUMIFS([0]!mud,[0]!municipio,$B42,[0]!turno,Q$2)</f>
        <v>0</v>
      </c>
      <c r="R43" s="5">
        <f>SUMIFS([0]!mud,[0]!municipio,$B42,[0]!turno,R$2)</f>
        <v>0</v>
      </c>
      <c r="S43" s="5">
        <f>SUMIFS([0]!mud,[0]!municipio,$B42,[0]!turno,S$2)</f>
        <v>0</v>
      </c>
      <c r="T43" s="5">
        <f>SUMIFS([0]!mud,[0]!municipio,$B42,[0]!turno,T$2)</f>
        <v>0</v>
      </c>
      <c r="U43" s="5">
        <f>SUMIFS([0]!mud,[0]!municipio,$B42,[0]!turno,U$2)</f>
        <v>0</v>
      </c>
      <c r="V43" s="5">
        <f>SUMIFS([0]!mud,[0]!municipio,$B42,[0]!turno,V$2)</f>
        <v>0</v>
      </c>
      <c r="W43" s="26">
        <f>SUMIFS([0]!mud,[0]!municipio,$B42,[0]!turno,W$2)</f>
        <v>0</v>
      </c>
    </row>
    <row r="44" spans="2:23" ht="15.75" thickBot="1" x14ac:dyDescent="0.3">
      <c r="B44" s="24">
        <v>1.3832965703847998E-2</v>
      </c>
      <c r="C44" s="12" t="s">
        <v>0</v>
      </c>
      <c r="D44" s="38">
        <f>IF((E42+E43+E44)=0,0,E44/(E42+E43+E44))</f>
        <v>0</v>
      </c>
      <c r="E44" s="13">
        <f t="shared" si="1"/>
        <v>0</v>
      </c>
      <c r="F44" s="13">
        <f>SUMIFS([0]!otro,[0]!municipio,$B42,[0]!turno,F$2)</f>
        <v>0</v>
      </c>
      <c r="G44" s="13">
        <f>SUMIFS([0]!otro,[0]!municipio,$B42,[0]!turno,G$2)</f>
        <v>0</v>
      </c>
      <c r="H44" s="13">
        <f>SUMIFS([0]!otro,[0]!municipio,$B42,[0]!turno,H$2)</f>
        <v>0</v>
      </c>
      <c r="I44" s="13">
        <f>SUMIFS([0]!otro,[0]!municipio,$B42,[0]!turno,I$2)</f>
        <v>0</v>
      </c>
      <c r="J44" s="13">
        <f>SUMIFS([0]!otro,[0]!municipio,$B42,[0]!turno,J$2)</f>
        <v>0</v>
      </c>
      <c r="K44" s="13">
        <f>SUMIFS([0]!otro,[0]!municipio,$B42,[0]!turno,K$2)</f>
        <v>0</v>
      </c>
      <c r="L44" s="13">
        <f>SUMIFS([0]!otro,[0]!municipio,$B42,[0]!turno,L$2)</f>
        <v>0</v>
      </c>
      <c r="M44" s="13">
        <f>SUMIFS([0]!otro,[0]!municipio,$B42,[0]!turno,M$2)</f>
        <v>0</v>
      </c>
      <c r="N44" s="13">
        <f>SUMIFS([0]!otro,[0]!municipio,$B42,[0]!turno,N$2)</f>
        <v>0</v>
      </c>
      <c r="O44" s="13">
        <f>SUMIFS([0]!otro,[0]!municipio,$B42,[0]!turno,O$2)</f>
        <v>0</v>
      </c>
      <c r="P44" s="13">
        <f>SUMIFS([0]!otro,[0]!municipio,$B42,[0]!turno,P$2)</f>
        <v>0</v>
      </c>
      <c r="Q44" s="13">
        <f>SUMIFS([0]!otro,[0]!municipio,$B42,[0]!turno,Q$2)</f>
        <v>0</v>
      </c>
      <c r="R44" s="13">
        <f>SUMIFS([0]!otro,[0]!municipio,$B42,[0]!turno,R$2)</f>
        <v>0</v>
      </c>
      <c r="S44" s="13">
        <f>SUMIFS([0]!otro,[0]!municipio,$B42,[0]!turno,S$2)</f>
        <v>0</v>
      </c>
      <c r="T44" s="13">
        <f>SUMIFS([0]!otro,[0]!municipio,$B42,[0]!turno,T$2)</f>
        <v>0</v>
      </c>
      <c r="U44" s="13">
        <f>SUMIFS([0]!otro,[0]!municipio,$B42,[0]!turno,U$2)</f>
        <v>0</v>
      </c>
      <c r="V44" s="13">
        <f>SUMIFS([0]!otro,[0]!municipio,$B42,[0]!turno,V$2)</f>
        <v>0</v>
      </c>
      <c r="W44" s="29">
        <f>SUMIFS([0]!otro,[0]!municipio,$B42,[0]!turno,W$2)</f>
        <v>0</v>
      </c>
    </row>
    <row r="45" spans="2:23" x14ac:dyDescent="0.25">
      <c r="B45" s="19">
        <v>94</v>
      </c>
      <c r="C45" s="8" t="s">
        <v>106</v>
      </c>
      <c r="D45" s="36">
        <f>IF((E45+E46+E47)=0,0,E45/(E45+E46+E47))</f>
        <v>0.27939464493597205</v>
      </c>
      <c r="E45" s="9">
        <f t="shared" si="1"/>
        <v>480</v>
      </c>
      <c r="F45" s="9">
        <f>SUMIFS([0]!psuv,[0]!municipio,$B45,[0]!turno,F$2)</f>
        <v>2</v>
      </c>
      <c r="G45" s="9">
        <f>SUMIFS([0]!psuv,[0]!municipio,$B45,[0]!turno,G$2)</f>
        <v>42</v>
      </c>
      <c r="H45" s="9">
        <f>SUMIFS([0]!psuv,[0]!municipio,$B45,[0]!turno,H$2)</f>
        <v>27</v>
      </c>
      <c r="I45" s="9">
        <f>SUMIFS([0]!psuv,[0]!municipio,$B45,[0]!turno,I$2)</f>
        <v>41</v>
      </c>
      <c r="J45" s="9">
        <f>SUMIFS([0]!psuv,[0]!municipio,$B45,[0]!turno,J$2)</f>
        <v>55</v>
      </c>
      <c r="K45" s="9">
        <f>SUMIFS([0]!psuv,[0]!municipio,$B45,[0]!turno,K$2)</f>
        <v>45</v>
      </c>
      <c r="L45" s="9">
        <f>SUMIFS([0]!psuv,[0]!municipio,$B45,[0]!turno,L$2)</f>
        <v>47</v>
      </c>
      <c r="M45" s="9">
        <f>SUMIFS([0]!psuv,[0]!municipio,$B45,[0]!turno,M$2)</f>
        <v>30</v>
      </c>
      <c r="N45" s="9">
        <f>SUMIFS([0]!psuv,[0]!municipio,$B45,[0]!turno,N$2)</f>
        <v>36</v>
      </c>
      <c r="O45" s="9">
        <f>SUMIFS([0]!psuv,[0]!municipio,$B45,[0]!turno,O$2)</f>
        <v>36</v>
      </c>
      <c r="P45" s="9">
        <f>SUMIFS([0]!psuv,[0]!municipio,$B45,[0]!turno,P$2)</f>
        <v>32</v>
      </c>
      <c r="Q45" s="9">
        <f>SUMIFS([0]!psuv,[0]!municipio,$B45,[0]!turno,Q$2)</f>
        <v>27</v>
      </c>
      <c r="R45" s="9">
        <f>SUMIFS([0]!psuv,[0]!municipio,$B45,[0]!turno,R$2)</f>
        <v>26</v>
      </c>
      <c r="S45" s="9">
        <f>SUMIFS([0]!psuv,[0]!municipio,$B45,[0]!turno,S$2)</f>
        <v>33</v>
      </c>
      <c r="T45" s="9">
        <f>SUMIFS([0]!psuv,[0]!municipio,$B45,[0]!turno,T$2)</f>
        <v>1</v>
      </c>
      <c r="U45" s="9">
        <f>SUMIFS([0]!psuv,[0]!municipio,$B45,[0]!turno,U$2)</f>
        <v>0</v>
      </c>
      <c r="V45" s="9">
        <f>SUMIFS([0]!psuv,[0]!municipio,$B45,[0]!turno,V$2)</f>
        <v>0</v>
      </c>
      <c r="W45" s="25">
        <f>SUMIFS([0]!psuv,[0]!municipio,$B45,[0]!turno,W$2)</f>
        <v>0</v>
      </c>
    </row>
    <row r="46" spans="2:23" x14ac:dyDescent="0.25">
      <c r="B46" s="20" t="s">
        <v>19</v>
      </c>
      <c r="C46" s="4" t="s">
        <v>107</v>
      </c>
      <c r="D46" s="37">
        <f>IF((E45+E46+E47)=0,0,E46/(E45+E46+E47))</f>
        <v>0.71769499417927818</v>
      </c>
      <c r="E46" s="5">
        <f t="shared" si="1"/>
        <v>1233</v>
      </c>
      <c r="F46" s="5">
        <f>SUMIFS([0]!mud,[0]!municipio,$B45,[0]!turno,F$2)</f>
        <v>16</v>
      </c>
      <c r="G46" s="5">
        <f>SUMIFS([0]!mud,[0]!municipio,$B45,[0]!turno,G$2)</f>
        <v>85</v>
      </c>
      <c r="H46" s="5">
        <f>SUMIFS([0]!mud,[0]!municipio,$B45,[0]!turno,H$2)</f>
        <v>74</v>
      </c>
      <c r="I46" s="5">
        <f>SUMIFS([0]!mud,[0]!municipio,$B45,[0]!turno,I$2)</f>
        <v>105</v>
      </c>
      <c r="J46" s="5">
        <f>SUMIFS([0]!mud,[0]!municipio,$B45,[0]!turno,J$2)</f>
        <v>91</v>
      </c>
      <c r="K46" s="5">
        <f>SUMIFS([0]!mud,[0]!municipio,$B45,[0]!turno,K$2)</f>
        <v>115</v>
      </c>
      <c r="L46" s="5">
        <f>SUMIFS([0]!mud,[0]!municipio,$B45,[0]!turno,L$2)</f>
        <v>83</v>
      </c>
      <c r="M46" s="5">
        <f>SUMIFS([0]!mud,[0]!municipio,$B45,[0]!turno,M$2)</f>
        <v>94</v>
      </c>
      <c r="N46" s="5">
        <f>SUMIFS([0]!mud,[0]!municipio,$B45,[0]!turno,N$2)</f>
        <v>101</v>
      </c>
      <c r="O46" s="5">
        <f>SUMIFS([0]!mud,[0]!municipio,$B45,[0]!turno,O$2)</f>
        <v>94</v>
      </c>
      <c r="P46" s="5">
        <f>SUMIFS([0]!mud,[0]!municipio,$B45,[0]!turno,P$2)</f>
        <v>101</v>
      </c>
      <c r="Q46" s="5">
        <f>SUMIFS([0]!mud,[0]!municipio,$B45,[0]!turno,Q$2)</f>
        <v>94</v>
      </c>
      <c r="R46" s="5">
        <f>SUMIFS([0]!mud,[0]!municipio,$B45,[0]!turno,R$2)</f>
        <v>81</v>
      </c>
      <c r="S46" s="5">
        <f>SUMIFS([0]!mud,[0]!municipio,$B45,[0]!turno,S$2)</f>
        <v>79</v>
      </c>
      <c r="T46" s="5">
        <f>SUMIFS([0]!mud,[0]!municipio,$B45,[0]!turno,T$2)</f>
        <v>20</v>
      </c>
      <c r="U46" s="5">
        <f>SUMIFS([0]!mud,[0]!municipio,$B45,[0]!turno,U$2)</f>
        <v>0</v>
      </c>
      <c r="V46" s="5">
        <f>SUMIFS([0]!mud,[0]!municipio,$B45,[0]!turno,V$2)</f>
        <v>0</v>
      </c>
      <c r="W46" s="26">
        <f>SUMIFS([0]!mud,[0]!municipio,$B45,[0]!turno,W$2)</f>
        <v>0</v>
      </c>
    </row>
    <row r="47" spans="2:23" ht="15.75" thickBot="1" x14ac:dyDescent="0.3">
      <c r="B47" s="21">
        <v>0.24383260586198507</v>
      </c>
      <c r="C47" s="10" t="s">
        <v>0</v>
      </c>
      <c r="D47" s="38">
        <f>IF((E45+E46+E47)=0,0,E47/(E45+E46+E47))</f>
        <v>2.9103608847497091E-3</v>
      </c>
      <c r="E47" s="11">
        <f t="shared" si="1"/>
        <v>5</v>
      </c>
      <c r="F47" s="11">
        <f>SUMIFS([0]!otro,[0]!municipio,$B45,[0]!turno,F$2)</f>
        <v>0</v>
      </c>
      <c r="G47" s="11">
        <f>SUMIFS([0]!otro,[0]!municipio,$B45,[0]!turno,G$2)</f>
        <v>0</v>
      </c>
      <c r="H47" s="11">
        <f>SUMIFS([0]!otro,[0]!municipio,$B45,[0]!turno,H$2)</f>
        <v>0</v>
      </c>
      <c r="I47" s="11">
        <f>SUMIFS([0]!otro,[0]!municipio,$B45,[0]!turno,I$2)</f>
        <v>0</v>
      </c>
      <c r="J47" s="11">
        <f>SUMIFS([0]!otro,[0]!municipio,$B45,[0]!turno,J$2)</f>
        <v>1</v>
      </c>
      <c r="K47" s="11">
        <f>SUMIFS([0]!otro,[0]!municipio,$B45,[0]!turno,K$2)</f>
        <v>0</v>
      </c>
      <c r="L47" s="11">
        <f>SUMIFS([0]!otro,[0]!municipio,$B45,[0]!turno,L$2)</f>
        <v>0</v>
      </c>
      <c r="M47" s="11">
        <f>SUMIFS([0]!otro,[0]!municipio,$B45,[0]!turno,M$2)</f>
        <v>0</v>
      </c>
      <c r="N47" s="11">
        <f>SUMIFS([0]!otro,[0]!municipio,$B45,[0]!turno,N$2)</f>
        <v>3</v>
      </c>
      <c r="O47" s="11">
        <f>SUMIFS([0]!otro,[0]!municipio,$B45,[0]!turno,O$2)</f>
        <v>0</v>
      </c>
      <c r="P47" s="11">
        <f>SUMIFS([0]!otro,[0]!municipio,$B45,[0]!turno,P$2)</f>
        <v>0</v>
      </c>
      <c r="Q47" s="11">
        <f>SUMIFS([0]!otro,[0]!municipio,$B45,[0]!turno,Q$2)</f>
        <v>0</v>
      </c>
      <c r="R47" s="11">
        <f>SUMIFS([0]!otro,[0]!municipio,$B45,[0]!turno,R$2)</f>
        <v>0</v>
      </c>
      <c r="S47" s="11">
        <f>SUMIFS([0]!otro,[0]!municipio,$B45,[0]!turno,S$2)</f>
        <v>1</v>
      </c>
      <c r="T47" s="11">
        <f>SUMIFS([0]!otro,[0]!municipio,$B45,[0]!turno,T$2)</f>
        <v>0</v>
      </c>
      <c r="U47" s="11">
        <f>SUMIFS([0]!otro,[0]!municipio,$B45,[0]!turno,U$2)</f>
        <v>0</v>
      </c>
      <c r="V47" s="11">
        <f>SUMIFS([0]!otro,[0]!municipio,$B45,[0]!turno,V$2)</f>
        <v>0</v>
      </c>
      <c r="W47" s="27">
        <f>SUMIFS([0]!otro,[0]!municipio,$B45,[0]!turno,W$2)</f>
        <v>0</v>
      </c>
    </row>
    <row r="48" spans="2:23" x14ac:dyDescent="0.25">
      <c r="B48" s="22">
        <v>95</v>
      </c>
      <c r="C48" s="6" t="s">
        <v>106</v>
      </c>
      <c r="D48" s="36">
        <f>IF((E48+E49+E50)=0,0,E48/(E48+E49+E50))</f>
        <v>0.5</v>
      </c>
      <c r="E48" s="7">
        <f t="shared" si="1"/>
        <v>134</v>
      </c>
      <c r="F48" s="7">
        <f>SUMIFS([0]!psuv,[0]!municipio,$B48,[0]!turno,F$2)</f>
        <v>0</v>
      </c>
      <c r="G48" s="7">
        <f>SUMIFS([0]!psuv,[0]!municipio,$B48,[0]!turno,G$2)</f>
        <v>14</v>
      </c>
      <c r="H48" s="7">
        <f>SUMIFS([0]!psuv,[0]!municipio,$B48,[0]!turno,H$2)</f>
        <v>12</v>
      </c>
      <c r="I48" s="7">
        <f>SUMIFS([0]!psuv,[0]!municipio,$B48,[0]!turno,I$2)</f>
        <v>16</v>
      </c>
      <c r="J48" s="7">
        <f>SUMIFS([0]!psuv,[0]!municipio,$B48,[0]!turno,J$2)</f>
        <v>22</v>
      </c>
      <c r="K48" s="7">
        <f>SUMIFS([0]!psuv,[0]!municipio,$B48,[0]!turno,K$2)</f>
        <v>18</v>
      </c>
      <c r="L48" s="7">
        <f>SUMIFS([0]!psuv,[0]!municipio,$B48,[0]!turno,L$2)</f>
        <v>10</v>
      </c>
      <c r="M48" s="7">
        <f>SUMIFS([0]!psuv,[0]!municipio,$B48,[0]!turno,M$2)</f>
        <v>9</v>
      </c>
      <c r="N48" s="7">
        <f>SUMIFS([0]!psuv,[0]!municipio,$B48,[0]!turno,N$2)</f>
        <v>4</v>
      </c>
      <c r="O48" s="7">
        <f>SUMIFS([0]!psuv,[0]!municipio,$B48,[0]!turno,O$2)</f>
        <v>12</v>
      </c>
      <c r="P48" s="7">
        <f>SUMIFS([0]!psuv,[0]!municipio,$B48,[0]!turno,P$2)</f>
        <v>8</v>
      </c>
      <c r="Q48" s="7">
        <f>SUMIFS([0]!psuv,[0]!municipio,$B48,[0]!turno,Q$2)</f>
        <v>9</v>
      </c>
      <c r="R48" s="7">
        <f>SUMIFS([0]!psuv,[0]!municipio,$B48,[0]!turno,R$2)</f>
        <v>0</v>
      </c>
      <c r="S48" s="7">
        <f>SUMIFS([0]!psuv,[0]!municipio,$B48,[0]!turno,S$2)</f>
        <v>0</v>
      </c>
      <c r="T48" s="7">
        <f>SUMIFS([0]!psuv,[0]!municipio,$B48,[0]!turno,T$2)</f>
        <v>0</v>
      </c>
      <c r="U48" s="7">
        <f>SUMIFS([0]!psuv,[0]!municipio,$B48,[0]!turno,U$2)</f>
        <v>0</v>
      </c>
      <c r="V48" s="7">
        <f>SUMIFS([0]!psuv,[0]!municipio,$B48,[0]!turno,V$2)</f>
        <v>0</v>
      </c>
      <c r="W48" s="28">
        <f>SUMIFS([0]!psuv,[0]!municipio,$B48,[0]!turno,W$2)</f>
        <v>0</v>
      </c>
    </row>
    <row r="49" spans="2:23" x14ac:dyDescent="0.25">
      <c r="B49" s="23" t="s">
        <v>53</v>
      </c>
      <c r="C49" s="4" t="s">
        <v>107</v>
      </c>
      <c r="D49" s="37">
        <f>IF((E48+E49+E50)=0,0,E49/(E48+E49+E50))</f>
        <v>0.4962686567164179</v>
      </c>
      <c r="E49" s="5">
        <f t="shared" si="1"/>
        <v>133</v>
      </c>
      <c r="F49" s="5">
        <f>SUMIFS([0]!mud,[0]!municipio,$B48,[0]!turno,F$2)</f>
        <v>0</v>
      </c>
      <c r="G49" s="5">
        <f>SUMIFS([0]!mud,[0]!municipio,$B48,[0]!turno,G$2)</f>
        <v>7</v>
      </c>
      <c r="H49" s="5">
        <f>SUMIFS([0]!mud,[0]!municipio,$B48,[0]!turno,H$2)</f>
        <v>9</v>
      </c>
      <c r="I49" s="5">
        <f>SUMIFS([0]!mud,[0]!municipio,$B48,[0]!turno,I$2)</f>
        <v>10</v>
      </c>
      <c r="J49" s="5">
        <f>SUMIFS([0]!mud,[0]!municipio,$B48,[0]!turno,J$2)</f>
        <v>14</v>
      </c>
      <c r="K49" s="5">
        <f>SUMIFS([0]!mud,[0]!municipio,$B48,[0]!turno,K$2)</f>
        <v>11</v>
      </c>
      <c r="L49" s="5">
        <f>SUMIFS([0]!mud,[0]!municipio,$B48,[0]!turno,L$2)</f>
        <v>10</v>
      </c>
      <c r="M49" s="5">
        <f>SUMIFS([0]!mud,[0]!municipio,$B48,[0]!turno,M$2)</f>
        <v>12</v>
      </c>
      <c r="N49" s="5">
        <f>SUMIFS([0]!mud,[0]!municipio,$B48,[0]!turno,N$2)</f>
        <v>16</v>
      </c>
      <c r="O49" s="5">
        <f>SUMIFS([0]!mud,[0]!municipio,$B48,[0]!turno,O$2)</f>
        <v>16</v>
      </c>
      <c r="P49" s="5">
        <f>SUMIFS([0]!mud,[0]!municipio,$B48,[0]!turno,P$2)</f>
        <v>22</v>
      </c>
      <c r="Q49" s="5">
        <f>SUMIFS([0]!mud,[0]!municipio,$B48,[0]!turno,Q$2)</f>
        <v>6</v>
      </c>
      <c r="R49" s="5">
        <f>SUMIFS([0]!mud,[0]!municipio,$B48,[0]!turno,R$2)</f>
        <v>0</v>
      </c>
      <c r="S49" s="5">
        <f>SUMIFS([0]!mud,[0]!municipio,$B48,[0]!turno,S$2)</f>
        <v>0</v>
      </c>
      <c r="T49" s="5">
        <f>SUMIFS([0]!mud,[0]!municipio,$B48,[0]!turno,T$2)</f>
        <v>0</v>
      </c>
      <c r="U49" s="5">
        <f>SUMIFS([0]!mud,[0]!municipio,$B48,[0]!turno,U$2)</f>
        <v>0</v>
      </c>
      <c r="V49" s="5">
        <f>SUMIFS([0]!mud,[0]!municipio,$B48,[0]!turno,V$2)</f>
        <v>0</v>
      </c>
      <c r="W49" s="26">
        <f>SUMIFS([0]!mud,[0]!municipio,$B48,[0]!turno,W$2)</f>
        <v>0</v>
      </c>
    </row>
    <row r="50" spans="2:23" ht="15.75" thickBot="1" x14ac:dyDescent="0.3">
      <c r="B50" s="24">
        <v>4.3927024070198169E-2</v>
      </c>
      <c r="C50" s="12" t="s">
        <v>0</v>
      </c>
      <c r="D50" s="38">
        <f>IF((E48+E49+E50)=0,0,E50/(E48+E49+E50))</f>
        <v>3.7313432835820895E-3</v>
      </c>
      <c r="E50" s="13">
        <f t="shared" si="1"/>
        <v>1</v>
      </c>
      <c r="F50" s="13">
        <f>SUMIFS([0]!otro,[0]!municipio,$B48,[0]!turno,F$2)</f>
        <v>0</v>
      </c>
      <c r="G50" s="13">
        <f>SUMIFS([0]!otro,[0]!municipio,$B48,[0]!turno,G$2)</f>
        <v>0</v>
      </c>
      <c r="H50" s="13">
        <f>SUMIFS([0]!otro,[0]!municipio,$B48,[0]!turno,H$2)</f>
        <v>0</v>
      </c>
      <c r="I50" s="13">
        <f>SUMIFS([0]!otro,[0]!municipio,$B48,[0]!turno,I$2)</f>
        <v>0</v>
      </c>
      <c r="J50" s="13">
        <f>SUMIFS([0]!otro,[0]!municipio,$B48,[0]!turno,J$2)</f>
        <v>0</v>
      </c>
      <c r="K50" s="13">
        <f>SUMIFS([0]!otro,[0]!municipio,$B48,[0]!turno,K$2)</f>
        <v>0</v>
      </c>
      <c r="L50" s="13">
        <f>SUMIFS([0]!otro,[0]!municipio,$B48,[0]!turno,L$2)</f>
        <v>0</v>
      </c>
      <c r="M50" s="13">
        <f>SUMIFS([0]!otro,[0]!municipio,$B48,[0]!turno,M$2)</f>
        <v>0</v>
      </c>
      <c r="N50" s="13">
        <f>SUMIFS([0]!otro,[0]!municipio,$B48,[0]!turno,N$2)</f>
        <v>0</v>
      </c>
      <c r="O50" s="13">
        <f>SUMIFS([0]!otro,[0]!municipio,$B48,[0]!turno,O$2)</f>
        <v>1</v>
      </c>
      <c r="P50" s="13">
        <f>SUMIFS([0]!otro,[0]!municipio,$B48,[0]!turno,P$2)</f>
        <v>0</v>
      </c>
      <c r="Q50" s="13">
        <f>SUMIFS([0]!otro,[0]!municipio,$B48,[0]!turno,Q$2)</f>
        <v>0</v>
      </c>
      <c r="R50" s="13">
        <f>SUMIFS([0]!otro,[0]!municipio,$B48,[0]!turno,R$2)</f>
        <v>0</v>
      </c>
      <c r="S50" s="13">
        <f>SUMIFS([0]!otro,[0]!municipio,$B48,[0]!turno,S$2)</f>
        <v>0</v>
      </c>
      <c r="T50" s="13">
        <f>SUMIFS([0]!otro,[0]!municipio,$B48,[0]!turno,T$2)</f>
        <v>0</v>
      </c>
      <c r="U50" s="13">
        <f>SUMIFS([0]!otro,[0]!municipio,$B48,[0]!turno,U$2)</f>
        <v>0</v>
      </c>
      <c r="V50" s="13">
        <f>SUMIFS([0]!otro,[0]!municipio,$B48,[0]!turno,V$2)</f>
        <v>0</v>
      </c>
      <c r="W50" s="29">
        <f>SUMIFS([0]!otro,[0]!municipio,$B48,[0]!turno,W$2)</f>
        <v>0</v>
      </c>
    </row>
    <row r="51" spans="2:23" x14ac:dyDescent="0.25">
      <c r="B51" s="19">
        <v>96</v>
      </c>
      <c r="C51" s="8" t="s">
        <v>106</v>
      </c>
      <c r="D51" s="36">
        <f>IF((E51+E52+E53)=0,0,E51/(E51+E52+E53))</f>
        <v>0.61188811188811187</v>
      </c>
      <c r="E51" s="9">
        <f t="shared" si="1"/>
        <v>175</v>
      </c>
      <c r="F51" s="9">
        <f>SUMIFS([0]!psuv,[0]!municipio,$B51,[0]!turno,F$2)</f>
        <v>1</v>
      </c>
      <c r="G51" s="9">
        <f>SUMIFS([0]!psuv,[0]!municipio,$B51,[0]!turno,G$2)</f>
        <v>15</v>
      </c>
      <c r="H51" s="9">
        <f>SUMIFS([0]!psuv,[0]!municipio,$B51,[0]!turno,H$2)</f>
        <v>11</v>
      </c>
      <c r="I51" s="9">
        <f>SUMIFS([0]!psuv,[0]!municipio,$B51,[0]!turno,I$2)</f>
        <v>18</v>
      </c>
      <c r="J51" s="9">
        <f>SUMIFS([0]!psuv,[0]!municipio,$B51,[0]!turno,J$2)</f>
        <v>17</v>
      </c>
      <c r="K51" s="9">
        <f>SUMIFS([0]!psuv,[0]!municipio,$B51,[0]!turno,K$2)</f>
        <v>15</v>
      </c>
      <c r="L51" s="9">
        <f>SUMIFS([0]!psuv,[0]!municipio,$B51,[0]!turno,L$2)</f>
        <v>0</v>
      </c>
      <c r="M51" s="9">
        <f>SUMIFS([0]!psuv,[0]!municipio,$B51,[0]!turno,M$2)</f>
        <v>19</v>
      </c>
      <c r="N51" s="9">
        <f>SUMIFS([0]!psuv,[0]!municipio,$B51,[0]!turno,N$2)</f>
        <v>17</v>
      </c>
      <c r="O51" s="9">
        <f>SUMIFS([0]!psuv,[0]!municipio,$B51,[0]!turno,O$2)</f>
        <v>22</v>
      </c>
      <c r="P51" s="9">
        <f>SUMIFS([0]!psuv,[0]!municipio,$B51,[0]!turno,P$2)</f>
        <v>20</v>
      </c>
      <c r="Q51" s="9">
        <f>SUMIFS([0]!psuv,[0]!municipio,$B51,[0]!turno,Q$2)</f>
        <v>20</v>
      </c>
      <c r="R51" s="9">
        <f>SUMIFS([0]!psuv,[0]!municipio,$B51,[0]!turno,R$2)</f>
        <v>0</v>
      </c>
      <c r="S51" s="9">
        <f>SUMIFS([0]!psuv,[0]!municipio,$B51,[0]!turno,S$2)</f>
        <v>0</v>
      </c>
      <c r="T51" s="9">
        <f>SUMIFS([0]!psuv,[0]!municipio,$B51,[0]!turno,T$2)</f>
        <v>0</v>
      </c>
      <c r="U51" s="9">
        <f>SUMIFS([0]!psuv,[0]!municipio,$B51,[0]!turno,U$2)</f>
        <v>0</v>
      </c>
      <c r="V51" s="9">
        <f>SUMIFS([0]!psuv,[0]!municipio,$B51,[0]!turno,V$2)</f>
        <v>0</v>
      </c>
      <c r="W51" s="25">
        <f>SUMIFS([0]!psuv,[0]!municipio,$B51,[0]!turno,W$2)</f>
        <v>0</v>
      </c>
    </row>
    <row r="52" spans="2:23" x14ac:dyDescent="0.25">
      <c r="B52" s="20" t="s">
        <v>20</v>
      </c>
      <c r="C52" s="4" t="s">
        <v>107</v>
      </c>
      <c r="D52" s="37">
        <f>IF((E51+E52+E53)=0,0,E52/(E51+E52+E53))</f>
        <v>0.36013986013986016</v>
      </c>
      <c r="E52" s="5">
        <f t="shared" si="1"/>
        <v>103</v>
      </c>
      <c r="F52" s="5">
        <f>SUMIFS([0]!mud,[0]!municipio,$B51,[0]!turno,F$2)</f>
        <v>1</v>
      </c>
      <c r="G52" s="5">
        <f>SUMIFS([0]!mud,[0]!municipio,$B51,[0]!turno,G$2)</f>
        <v>10</v>
      </c>
      <c r="H52" s="5">
        <f>SUMIFS([0]!mud,[0]!municipio,$B51,[0]!turno,H$2)</f>
        <v>4</v>
      </c>
      <c r="I52" s="5">
        <f>SUMIFS([0]!mud,[0]!municipio,$B51,[0]!turno,I$2)</f>
        <v>11</v>
      </c>
      <c r="J52" s="5">
        <f>SUMIFS([0]!mud,[0]!municipio,$B51,[0]!turno,J$2)</f>
        <v>4</v>
      </c>
      <c r="K52" s="5">
        <f>SUMIFS([0]!mud,[0]!municipio,$B51,[0]!turno,K$2)</f>
        <v>6</v>
      </c>
      <c r="L52" s="5">
        <f>SUMIFS([0]!mud,[0]!municipio,$B51,[0]!turno,L$2)</f>
        <v>0</v>
      </c>
      <c r="M52" s="5">
        <f>SUMIFS([0]!mud,[0]!municipio,$B51,[0]!turno,M$2)</f>
        <v>11</v>
      </c>
      <c r="N52" s="5">
        <f>SUMIFS([0]!mud,[0]!municipio,$B51,[0]!turno,N$2)</f>
        <v>13</v>
      </c>
      <c r="O52" s="5">
        <f>SUMIFS([0]!mud,[0]!municipio,$B51,[0]!turno,O$2)</f>
        <v>7</v>
      </c>
      <c r="P52" s="5">
        <f>SUMIFS([0]!mud,[0]!municipio,$B51,[0]!turno,P$2)</f>
        <v>10</v>
      </c>
      <c r="Q52" s="5">
        <f>SUMIFS([0]!mud,[0]!municipio,$B51,[0]!turno,Q$2)</f>
        <v>10</v>
      </c>
      <c r="R52" s="5">
        <f>SUMIFS([0]!mud,[0]!municipio,$B51,[0]!turno,R$2)</f>
        <v>0</v>
      </c>
      <c r="S52" s="5">
        <f>SUMIFS([0]!mud,[0]!municipio,$B51,[0]!turno,S$2)</f>
        <v>16</v>
      </c>
      <c r="T52" s="5">
        <f>SUMIFS([0]!mud,[0]!municipio,$B51,[0]!turno,T$2)</f>
        <v>0</v>
      </c>
      <c r="U52" s="5">
        <f>SUMIFS([0]!mud,[0]!municipio,$B51,[0]!turno,U$2)</f>
        <v>0</v>
      </c>
      <c r="V52" s="5">
        <f>SUMIFS([0]!mud,[0]!municipio,$B51,[0]!turno,V$2)</f>
        <v>0</v>
      </c>
      <c r="W52" s="26">
        <f>SUMIFS([0]!mud,[0]!municipio,$B51,[0]!turno,W$2)</f>
        <v>0</v>
      </c>
    </row>
    <row r="53" spans="2:23" ht="15.75" thickBot="1" x14ac:dyDescent="0.3">
      <c r="B53" s="21">
        <v>6.3718863608655321E-2</v>
      </c>
      <c r="C53" s="10" t="s">
        <v>0</v>
      </c>
      <c r="D53" s="38">
        <f>IF((E51+E52+E53)=0,0,E53/(E51+E52+E53))</f>
        <v>2.7972027972027972E-2</v>
      </c>
      <c r="E53" s="11">
        <f t="shared" si="1"/>
        <v>8</v>
      </c>
      <c r="F53" s="11">
        <f>SUMIFS([0]!otro,[0]!municipio,$B51,[0]!turno,F$2)</f>
        <v>0</v>
      </c>
      <c r="G53" s="11">
        <f>SUMIFS([0]!otro,[0]!municipio,$B51,[0]!turno,G$2)</f>
        <v>8</v>
      </c>
      <c r="H53" s="11">
        <f>SUMIFS([0]!otro,[0]!municipio,$B51,[0]!turno,H$2)</f>
        <v>0</v>
      </c>
      <c r="I53" s="11">
        <f>SUMIFS([0]!otro,[0]!municipio,$B51,[0]!turno,I$2)</f>
        <v>0</v>
      </c>
      <c r="J53" s="11">
        <f>SUMIFS([0]!otro,[0]!municipio,$B51,[0]!turno,J$2)</f>
        <v>0</v>
      </c>
      <c r="K53" s="11">
        <f>SUMIFS([0]!otro,[0]!municipio,$B51,[0]!turno,K$2)</f>
        <v>0</v>
      </c>
      <c r="L53" s="11">
        <f>SUMIFS([0]!otro,[0]!municipio,$B51,[0]!turno,L$2)</f>
        <v>0</v>
      </c>
      <c r="M53" s="11">
        <f>SUMIFS([0]!otro,[0]!municipio,$B51,[0]!turno,M$2)</f>
        <v>0</v>
      </c>
      <c r="N53" s="11">
        <f>SUMIFS([0]!otro,[0]!municipio,$B51,[0]!turno,N$2)</f>
        <v>0</v>
      </c>
      <c r="O53" s="11">
        <f>SUMIFS([0]!otro,[0]!municipio,$B51,[0]!turno,O$2)</f>
        <v>0</v>
      </c>
      <c r="P53" s="11">
        <f>SUMIFS([0]!otro,[0]!municipio,$B51,[0]!turno,P$2)</f>
        <v>0</v>
      </c>
      <c r="Q53" s="11">
        <f>SUMIFS([0]!otro,[0]!municipio,$B51,[0]!turno,Q$2)</f>
        <v>0</v>
      </c>
      <c r="R53" s="11">
        <f>SUMIFS([0]!otro,[0]!municipio,$B51,[0]!turno,R$2)</f>
        <v>0</v>
      </c>
      <c r="S53" s="11">
        <f>SUMIFS([0]!otro,[0]!municipio,$B51,[0]!turno,S$2)</f>
        <v>0</v>
      </c>
      <c r="T53" s="11">
        <f>SUMIFS([0]!otro,[0]!municipio,$B51,[0]!turno,T$2)</f>
        <v>0</v>
      </c>
      <c r="U53" s="11">
        <f>SUMIFS([0]!otro,[0]!municipio,$B51,[0]!turno,U$2)</f>
        <v>0</v>
      </c>
      <c r="V53" s="11">
        <f>SUMIFS([0]!otro,[0]!municipio,$B51,[0]!turno,V$2)</f>
        <v>0</v>
      </c>
      <c r="W53" s="27">
        <f>SUMIFS([0]!otro,[0]!municipio,$B51,[0]!turno,W$2)</f>
        <v>0</v>
      </c>
    </row>
    <row r="54" spans="2:23" x14ac:dyDescent="0.25">
      <c r="B54"/>
      <c r="C54"/>
    </row>
    <row r="55" spans="2:23" x14ac:dyDescent="0.25">
      <c r="B55"/>
      <c r="C55"/>
    </row>
    <row r="56" spans="2:23" x14ac:dyDescent="0.25">
      <c r="B56"/>
      <c r="C56"/>
    </row>
    <row r="57" spans="2:23" x14ac:dyDescent="0.25">
      <c r="B57"/>
      <c r="C57"/>
    </row>
    <row r="58" spans="2:23" x14ac:dyDescent="0.25">
      <c r="B58"/>
      <c r="C58"/>
    </row>
    <row r="59" spans="2:23" x14ac:dyDescent="0.25">
      <c r="B59"/>
      <c r="C59"/>
    </row>
    <row r="60" spans="2:23" x14ac:dyDescent="0.25">
      <c r="B60"/>
      <c r="C60"/>
    </row>
    <row r="61" spans="2:23" x14ac:dyDescent="0.25">
      <c r="B61"/>
      <c r="C61"/>
    </row>
    <row r="62" spans="2:23" x14ac:dyDescent="0.25">
      <c r="B62"/>
      <c r="C62"/>
    </row>
    <row r="63" spans="2:23" x14ac:dyDescent="0.25">
      <c r="B63"/>
      <c r="C63"/>
    </row>
    <row r="64" spans="2:2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  <row r="427" spans="2:3" ht="15" customHeight="1" x14ac:dyDescent="0.25">
      <c r="B427"/>
      <c r="C427"/>
    </row>
    <row r="428" spans="2:3" ht="15" customHeight="1" x14ac:dyDescent="0.25">
      <c r="B428"/>
      <c r="C428"/>
    </row>
    <row r="429" spans="2:3" ht="15" customHeight="1" x14ac:dyDescent="0.25">
      <c r="B429"/>
      <c r="C429"/>
    </row>
    <row r="430" spans="2:3" ht="15" customHeight="1" x14ac:dyDescent="0.25">
      <c r="B430"/>
      <c r="C430"/>
    </row>
    <row r="431" spans="2:3" ht="15" customHeight="1" x14ac:dyDescent="0.25">
      <c r="B431"/>
      <c r="C431"/>
    </row>
    <row r="432" spans="2:3" ht="15" customHeight="1" x14ac:dyDescent="0.25">
      <c r="B432"/>
      <c r="C432"/>
    </row>
    <row r="433" spans="2:3" ht="15" customHeight="1" x14ac:dyDescent="0.25">
      <c r="B433"/>
      <c r="C433"/>
    </row>
    <row r="434" spans="2:3" ht="15" customHeight="1" x14ac:dyDescent="0.25">
      <c r="B434"/>
      <c r="C434"/>
    </row>
    <row r="435" spans="2:3" ht="15" customHeight="1" x14ac:dyDescent="0.25">
      <c r="B435"/>
      <c r="C435"/>
    </row>
    <row r="436" spans="2:3" ht="15" customHeight="1" x14ac:dyDescent="0.25">
      <c r="B436"/>
      <c r="C436"/>
    </row>
    <row r="437" spans="2:3" ht="15" customHeight="1" x14ac:dyDescent="0.25">
      <c r="B437"/>
      <c r="C437"/>
    </row>
    <row r="438" spans="2:3" ht="15" customHeight="1" x14ac:dyDescent="0.25">
      <c r="B438"/>
      <c r="C438"/>
    </row>
    <row r="439" spans="2:3" ht="15" customHeight="1" x14ac:dyDescent="0.25">
      <c r="B439"/>
      <c r="C439"/>
    </row>
    <row r="440" spans="2:3" ht="15" customHeight="1" x14ac:dyDescent="0.25">
      <c r="B440"/>
      <c r="C440"/>
    </row>
    <row r="441" spans="2:3" ht="15" customHeight="1" x14ac:dyDescent="0.25">
      <c r="B441"/>
      <c r="C441"/>
    </row>
    <row r="442" spans="2:3" ht="15" customHeight="1" x14ac:dyDescent="0.25">
      <c r="B442"/>
      <c r="C442"/>
    </row>
    <row r="443" spans="2:3" ht="15" customHeight="1" x14ac:dyDescent="0.25">
      <c r="B443"/>
      <c r="C443"/>
    </row>
    <row r="444" spans="2:3" ht="15" customHeight="1" x14ac:dyDescent="0.25">
      <c r="B444"/>
      <c r="C444"/>
    </row>
    <row r="445" spans="2:3" ht="15" customHeight="1" x14ac:dyDescent="0.25">
      <c r="B445"/>
      <c r="C445"/>
    </row>
    <row r="446" spans="2:3" ht="15" customHeight="1" x14ac:dyDescent="0.25">
      <c r="B446"/>
      <c r="C446"/>
    </row>
    <row r="447" spans="2:3" ht="15" customHeight="1" x14ac:dyDescent="0.25">
      <c r="B447"/>
      <c r="C447"/>
    </row>
    <row r="448" spans="2:3" ht="15" customHeight="1" x14ac:dyDescent="0.25">
      <c r="B448"/>
      <c r="C448"/>
    </row>
    <row r="449" spans="2:3" ht="15" customHeight="1" x14ac:dyDescent="0.25">
      <c r="B449"/>
      <c r="C449"/>
    </row>
    <row r="450" spans="2:3" ht="15" customHeight="1" x14ac:dyDescent="0.25">
      <c r="B450"/>
      <c r="C450"/>
    </row>
    <row r="451" spans="2:3" ht="15" customHeight="1" x14ac:dyDescent="0.25">
      <c r="B451"/>
      <c r="C451"/>
    </row>
    <row r="452" spans="2:3" ht="15" customHeight="1" x14ac:dyDescent="0.25">
      <c r="B452"/>
      <c r="C452"/>
    </row>
    <row r="453" spans="2:3" ht="15" customHeight="1" x14ac:dyDescent="0.25">
      <c r="B453"/>
      <c r="C453"/>
    </row>
    <row r="454" spans="2:3" ht="15" customHeight="1" x14ac:dyDescent="0.25">
      <c r="B454"/>
      <c r="C454"/>
    </row>
    <row r="455" spans="2:3" ht="15" customHeight="1" x14ac:dyDescent="0.25">
      <c r="B455"/>
      <c r="C455"/>
    </row>
    <row r="456" spans="2:3" ht="15" customHeight="1" x14ac:dyDescent="0.25">
      <c r="B456"/>
      <c r="C456"/>
    </row>
    <row r="457" spans="2:3" ht="15" customHeight="1" x14ac:dyDescent="0.25">
      <c r="B457"/>
      <c r="C457"/>
    </row>
    <row r="458" spans="2:3" ht="15" customHeight="1" x14ac:dyDescent="0.25">
      <c r="B458"/>
      <c r="C458"/>
    </row>
    <row r="459" spans="2:3" ht="15" customHeight="1" x14ac:dyDescent="0.25">
      <c r="B459"/>
      <c r="C459"/>
    </row>
    <row r="460" spans="2:3" ht="15" customHeight="1" x14ac:dyDescent="0.25">
      <c r="B460"/>
      <c r="C460"/>
    </row>
    <row r="461" spans="2:3" ht="15" customHeight="1" x14ac:dyDescent="0.25">
      <c r="B461"/>
      <c r="C461"/>
    </row>
    <row r="462" spans="2:3" ht="15" customHeight="1" x14ac:dyDescent="0.25">
      <c r="B462"/>
      <c r="C462"/>
    </row>
    <row r="463" spans="2:3" ht="15" customHeight="1" x14ac:dyDescent="0.25">
      <c r="B463"/>
      <c r="C463"/>
    </row>
    <row r="464" spans="2:3" ht="15" customHeight="1" x14ac:dyDescent="0.25">
      <c r="B464"/>
      <c r="C464"/>
    </row>
    <row r="465" spans="2:3" ht="15" customHeight="1" x14ac:dyDescent="0.25">
      <c r="B465"/>
      <c r="C465"/>
    </row>
    <row r="466" spans="2:3" ht="15" customHeight="1" x14ac:dyDescent="0.25">
      <c r="B466"/>
      <c r="C466"/>
    </row>
    <row r="467" spans="2:3" ht="15" customHeight="1" x14ac:dyDescent="0.25">
      <c r="B467"/>
      <c r="C467"/>
    </row>
    <row r="468" spans="2:3" ht="15" customHeight="1" x14ac:dyDescent="0.25">
      <c r="B468"/>
      <c r="C468"/>
    </row>
    <row r="469" spans="2:3" ht="15" customHeight="1" x14ac:dyDescent="0.25">
      <c r="B469"/>
      <c r="C469"/>
    </row>
  </sheetData>
  <pageMargins left="0.23622047244094491" right="0.23622047244094491" top="0" bottom="0" header="0.31496062992125984" footer="0.31496062992125984"/>
  <pageSetup scale="74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B1:W408"/>
  <sheetViews>
    <sheetView workbookViewId="0">
      <selection activeCell="B6" sqref="B6"/>
    </sheetView>
  </sheetViews>
  <sheetFormatPr baseColWidth="10" defaultRowHeight="15" customHeight="1" x14ac:dyDescent="0.25"/>
  <cols>
    <col min="1" max="1" width="5.5703125" customWidth="1"/>
    <col min="2" max="2" width="14.28515625" style="2" customWidth="1"/>
    <col min="3" max="3" width="17.425781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97</v>
      </c>
      <c r="C3" s="8" t="s">
        <v>106</v>
      </c>
      <c r="D3" s="44">
        <f>IF((E3+E4+E5+E6)=0,0,E3/(E3+E4+E5+E6))</f>
        <v>0</v>
      </c>
      <c r="E3" s="9">
        <f t="shared" ref="E3:E6" si="0">SUM(F3:W3)</f>
        <v>0</v>
      </c>
      <c r="F3" s="9">
        <f>SUMIFS([0]!psuv,[0]!municipio,$B3,[0]!turno,F$2)</f>
        <v>0</v>
      </c>
      <c r="G3" s="9">
        <f>SUMIFS([0]!psuv,[0]!municipio,$B3,[0]!turno,G$2)</f>
        <v>0</v>
      </c>
      <c r="H3" s="9">
        <f>SUMIFS([0]!psuv,[0]!municipio,$B3,[0]!turno,H$2)</f>
        <v>0</v>
      </c>
      <c r="I3" s="9">
        <f>SUMIFS([0]!psuv,[0]!municipio,$B3,[0]!turno,I$2)</f>
        <v>0</v>
      </c>
      <c r="J3" s="9">
        <f>SUMIFS([0]!psuv,[0]!municipio,$B3,[0]!turno,J$2)</f>
        <v>0</v>
      </c>
      <c r="K3" s="9">
        <f>SUMIFS([0]!psuv,[0]!municipio,$B3,[0]!turno,K$2)</f>
        <v>0</v>
      </c>
      <c r="L3" s="9">
        <f>SUMIFS([0]!psuv,[0]!municipio,$B3,[0]!turno,L$2)</f>
        <v>0</v>
      </c>
      <c r="M3" s="9">
        <f>SUMIFS([0]!psuv,[0]!municipio,$B3,[0]!turno,M$2)</f>
        <v>0</v>
      </c>
      <c r="N3" s="9">
        <f>SUMIFS([0]!psuv,[0]!municipio,$B3,[0]!turno,N$2)</f>
        <v>0</v>
      </c>
      <c r="O3" s="9">
        <f>SUMIFS([0]!psuv,[0]!municipio,$B3,[0]!turno,O$2)</f>
        <v>0</v>
      </c>
      <c r="P3" s="9">
        <f>SUMIFS([0]!psuv,[0]!municipio,$B3,[0]!turno,P$2)</f>
        <v>0</v>
      </c>
      <c r="Q3" s="9">
        <f>SUMIFS([0]!psuv,[0]!municipio,$B3,[0]!turno,Q$2)</f>
        <v>0</v>
      </c>
      <c r="R3" s="9">
        <f>SUMIFS([0]!psuv,[0]!municipio,$B3,[0]!turno,R$2)</f>
        <v>0</v>
      </c>
      <c r="S3" s="9">
        <f>SUMIFS([0]!psuv,[0]!municipio,$B3,[0]!turno,S$2)</f>
        <v>0</v>
      </c>
      <c r="T3" s="9">
        <f>SUMIFS([0]!psuv,[0]!municipio,$B3,[0]!turno,T$2)</f>
        <v>0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237" t="s">
        <v>5</v>
      </c>
      <c r="C4" s="40" t="s">
        <v>107</v>
      </c>
      <c r="D4" s="45">
        <f>IF((E3+E4+E5+E6)=0,0,E4/(E3+E4+E5+E6))</f>
        <v>0</v>
      </c>
      <c r="E4" s="42">
        <f t="shared" si="0"/>
        <v>0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0</v>
      </c>
      <c r="I4" s="5">
        <f>SUMIFS([0]!mud,[0]!municipio,$B3,[0]!turno,I$2)</f>
        <v>0</v>
      </c>
      <c r="J4" s="5">
        <f>SUMIFS([0]!mud,[0]!municipio,$B3,[0]!turno,J$2)</f>
        <v>0</v>
      </c>
      <c r="K4" s="5">
        <f>SUMIFS([0]!mud,[0]!municipio,$B3,[0]!turno,K$2)</f>
        <v>0</v>
      </c>
      <c r="L4" s="5">
        <f>SUMIFS([0]!mud,[0]!municipio,$B3,[0]!turno,L$2)</f>
        <v>0</v>
      </c>
      <c r="M4" s="5">
        <f>SUMIFS([0]!mud,[0]!municipio,$B3,[0]!turno,M$2)</f>
        <v>0</v>
      </c>
      <c r="N4" s="5">
        <f>SUMIFS([0]!mud,[0]!municipio,$B3,[0]!turno,N$2)</f>
        <v>0</v>
      </c>
      <c r="O4" s="5">
        <f>SUMIFS([0]!mud,[0]!municipio,$B3,[0]!turno,O$2)</f>
        <v>0</v>
      </c>
      <c r="P4" s="5">
        <f>SUMIFS([0]!mud,[0]!municipio,$B3,[0]!turno,P$2)</f>
        <v>0</v>
      </c>
      <c r="Q4" s="5">
        <f>SUMIFS([0]!mud,[0]!municipio,$B3,[0]!turno,Q$2)</f>
        <v>0</v>
      </c>
      <c r="R4" s="5">
        <f>SUMIFS([0]!mud,[0]!municipio,$B3,[0]!turno,R$2)</f>
        <v>0</v>
      </c>
      <c r="S4" s="5">
        <f>SUMIFS([0]!mud,[0]!municipio,$B3,[0]!turno,S$2)</f>
        <v>0</v>
      </c>
      <c r="T4" s="5">
        <f>SUMIFS([0]!mud,[0]!municipio,$B3,[0]!turno,T$2)</f>
        <v>0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x14ac:dyDescent="0.25">
      <c r="B5" s="238"/>
      <c r="C5" s="41" t="s">
        <v>108</v>
      </c>
      <c r="D5" s="46">
        <f>IF((E3+E4+E5+E6)=0,0,E5/(E3+E4+E5+E6))</f>
        <v>0</v>
      </c>
      <c r="E5" s="43">
        <f t="shared" si="0"/>
        <v>0</v>
      </c>
      <c r="F5" s="5">
        <f>SUMIFS([0]!ind,[0]!municipio,$B3,[0]!turno,F$2)</f>
        <v>0</v>
      </c>
      <c r="G5" s="13">
        <f>SUMIFS([0]!ind,[0]!municipio,$B3,[0]!turno,G$2)</f>
        <v>0</v>
      </c>
      <c r="H5" s="13">
        <f>SUMIFS([0]!ind,[0]!municipio,$B3,[0]!turno,H$2)</f>
        <v>0</v>
      </c>
      <c r="I5" s="13">
        <f>SUMIFS([0]!ind,[0]!municipio,$B3,[0]!turno,I$2)</f>
        <v>0</v>
      </c>
      <c r="J5" s="13">
        <f>SUMIFS([0]!ind,[0]!municipio,$B3,[0]!turno,J$2)</f>
        <v>0</v>
      </c>
      <c r="K5" s="13">
        <f>SUMIFS([0]!ind,[0]!municipio,$B3,[0]!turno,K$2)</f>
        <v>0</v>
      </c>
      <c r="L5" s="13">
        <f>SUMIFS([0]!ind,[0]!municipio,$B3,[0]!turno,L$2)</f>
        <v>0</v>
      </c>
      <c r="M5" s="13">
        <f>SUMIFS([0]!ind,[0]!municipio,$B3,[0]!turno,M$2)</f>
        <v>0</v>
      </c>
      <c r="N5" s="13">
        <f>SUMIFS([0]!ind,[0]!municipio,$B3,[0]!turno,N$2)</f>
        <v>0</v>
      </c>
      <c r="O5" s="13">
        <f>SUMIFS([0]!ind,[0]!municipio,$B3,[0]!turno,O$2)</f>
        <v>0</v>
      </c>
      <c r="P5" s="13">
        <f>SUMIFS([0]!ind,[0]!municipio,$B3,[0]!turno,P$2)</f>
        <v>0</v>
      </c>
      <c r="Q5" s="13">
        <f>SUMIFS([0]!ind,[0]!municipio,$B3,[0]!turno,Q$2)</f>
        <v>0</v>
      </c>
      <c r="R5" s="13">
        <f>SUMIFS([0]!ind,[0]!municipio,$B3,[0]!turno,R$2)</f>
        <v>0</v>
      </c>
      <c r="S5" s="13">
        <f>SUMIFS([0]!ind,[0]!municipio,$B3,[0]!turno,S$2)</f>
        <v>0</v>
      </c>
      <c r="T5" s="13">
        <f>SUMIFS([0]!ind,[0]!municipio,$B3,[0]!turno,T$2)</f>
        <v>0</v>
      </c>
      <c r="U5" s="13">
        <f>SUMIFS([0]!ind,[0]!municipio,$B3,[0]!turno,U$2)</f>
        <v>0</v>
      </c>
      <c r="V5" s="13">
        <f>SUMIFS([0]!ind,[0]!municipio,$B3,[0]!turno,V$2)</f>
        <v>0</v>
      </c>
      <c r="W5" s="29">
        <f>SUMIFS([0]!ind,[0]!municipio,$B3,[0]!turno,W$2)</f>
        <v>0</v>
      </c>
    </row>
    <row r="6" spans="2:23" ht="15.75" thickBot="1" x14ac:dyDescent="0.3">
      <c r="B6" s="21">
        <v>5.8221912969009262E-2</v>
      </c>
      <c r="C6" s="10" t="s">
        <v>0</v>
      </c>
      <c r="D6" s="47">
        <f>IF((E3+E4+E5+E6)=0,0,E6/(E3+E4+E5+E6))</f>
        <v>0</v>
      </c>
      <c r="E6" s="11">
        <f t="shared" si="0"/>
        <v>0</v>
      </c>
      <c r="F6" s="11">
        <f>SUMIFS([0]!otro,[0]!municipio,$B3,[0]!turno,F$2)</f>
        <v>0</v>
      </c>
      <c r="G6" s="11">
        <f>SUMIFS([0]!otro,[0]!municipio,$B3,[0]!turno,G$2)</f>
        <v>0</v>
      </c>
      <c r="H6" s="11">
        <f>SUMIFS([0]!otro,[0]!municipio,$B3,[0]!turno,H$2)</f>
        <v>0</v>
      </c>
      <c r="I6" s="11">
        <f>SUMIFS([0]!otro,[0]!municipio,$B3,[0]!turno,I$2)</f>
        <v>0</v>
      </c>
      <c r="J6" s="11">
        <f>SUMIFS([0]!otro,[0]!municipio,$B3,[0]!turno,J$2)</f>
        <v>0</v>
      </c>
      <c r="K6" s="11">
        <f>SUMIFS([0]!otro,[0]!municipio,$B3,[0]!turno,K$2)</f>
        <v>0</v>
      </c>
      <c r="L6" s="11">
        <f>SUMIFS([0]!otro,[0]!municipio,$B3,[0]!turno,L$2)</f>
        <v>0</v>
      </c>
      <c r="M6" s="11">
        <f>SUMIFS([0]!otro,[0]!municipio,$B3,[0]!turno,M$2)</f>
        <v>0</v>
      </c>
      <c r="N6" s="11">
        <f>SUMIFS([0]!otro,[0]!municipio,$B3,[0]!turno,N$2)</f>
        <v>0</v>
      </c>
      <c r="O6" s="11">
        <f>SUMIFS([0]!otro,[0]!municipio,$B3,[0]!turno,O$2)</f>
        <v>0</v>
      </c>
      <c r="P6" s="11">
        <f>SUMIFS([0]!otro,[0]!municipio,$B3,[0]!turno,P$2)</f>
        <v>0</v>
      </c>
      <c r="Q6" s="11">
        <f>SUMIFS([0]!otro,[0]!municipio,$B3,[0]!turno,Q$2)</f>
        <v>0</v>
      </c>
      <c r="R6" s="11">
        <f>SUMIFS([0]!otro,[0]!municipio,$B3,[0]!turno,R$2)</f>
        <v>0</v>
      </c>
      <c r="S6" s="11">
        <f>SUMIFS([0]!otro,[0]!municipio,$B3,[0]!turno,S$2)</f>
        <v>0</v>
      </c>
      <c r="T6" s="11">
        <f>SUMIFS([0]!otro,[0]!municipio,$B3,[0]!turno,T$2)</f>
        <v>0</v>
      </c>
      <c r="U6" s="11">
        <f>SUMIFS([0]!otro,[0]!municipio,$B3,[0]!turno,U$2)</f>
        <v>0</v>
      </c>
      <c r="V6" s="11">
        <f>SUMIFS([0]!otro,[0]!municipio,$B3,[0]!turno,V$2)</f>
        <v>0</v>
      </c>
      <c r="W6" s="27">
        <f>SUMIFS([0]!otro,[0]!municipio,$B3,[0]!turno,W$2)</f>
        <v>0</v>
      </c>
    </row>
    <row r="7" spans="2:23" x14ac:dyDescent="0.25">
      <c r="B7" s="19">
        <v>98</v>
      </c>
      <c r="C7" s="8" t="s">
        <v>106</v>
      </c>
      <c r="D7" s="44">
        <f>IF((E7+E8+E9+E10)=0,0,E7/(E7+E8+E9+E10))</f>
        <v>0</v>
      </c>
      <c r="E7" s="9">
        <f t="shared" ref="E7:E22" si="1">SUM(F7:W7)</f>
        <v>0</v>
      </c>
      <c r="F7" s="9">
        <f>SUMIFS([0]!psuv,[0]!municipio,$B7,[0]!turno,F$2)</f>
        <v>0</v>
      </c>
      <c r="G7" s="9">
        <f>SUMIFS([0]!psuv,[0]!municipio,$B7,[0]!turno,G$2)</f>
        <v>0</v>
      </c>
      <c r="H7" s="9">
        <f>SUMIFS([0]!psuv,[0]!municipio,$B7,[0]!turno,H$2)</f>
        <v>0</v>
      </c>
      <c r="I7" s="9">
        <f>SUMIFS([0]!psuv,[0]!municipio,$B7,[0]!turno,I$2)</f>
        <v>0</v>
      </c>
      <c r="J7" s="9">
        <f>SUMIFS([0]!psuv,[0]!municipio,$B7,[0]!turno,J$2)</f>
        <v>0</v>
      </c>
      <c r="K7" s="9">
        <f>SUMIFS([0]!psuv,[0]!municipio,$B7,[0]!turno,K$2)</f>
        <v>0</v>
      </c>
      <c r="L7" s="9">
        <f>SUMIFS([0]!psuv,[0]!municipio,$B7,[0]!turno,L$2)</f>
        <v>0</v>
      </c>
      <c r="M7" s="9">
        <f>SUMIFS([0]!psuv,[0]!municipio,$B7,[0]!turno,M$2)</f>
        <v>0</v>
      </c>
      <c r="N7" s="9">
        <f>SUMIFS([0]!psuv,[0]!municipio,$B7,[0]!turno,N$2)</f>
        <v>0</v>
      </c>
      <c r="O7" s="9">
        <f>SUMIFS([0]!psuv,[0]!municipio,$B7,[0]!turno,O$2)</f>
        <v>0</v>
      </c>
      <c r="P7" s="9">
        <f>SUMIFS([0]!psuv,[0]!municipio,$B7,[0]!turno,P$2)</f>
        <v>0</v>
      </c>
      <c r="Q7" s="9">
        <f>SUMIFS([0]!psuv,[0]!municipio,$B7,[0]!turno,Q$2)</f>
        <v>0</v>
      </c>
      <c r="R7" s="9">
        <f>SUMIFS([0]!psuv,[0]!municipio,$B7,[0]!turno,R$2)</f>
        <v>0</v>
      </c>
      <c r="S7" s="9">
        <f>SUMIFS([0]!psuv,[0]!municipio,$B7,[0]!turno,S$2)</f>
        <v>0</v>
      </c>
      <c r="T7" s="9">
        <f>SUMIFS([0]!psuv,[0]!municipio,$B7,[0]!turno,T$2)</f>
        <v>0</v>
      </c>
      <c r="U7" s="9">
        <f>SUMIFS([0]!psuv,[0]!municipio,$B7,[0]!turno,U$2)</f>
        <v>0</v>
      </c>
      <c r="V7" s="9">
        <f>SUMIFS([0]!psuv,[0]!municipio,$B7,[0]!turno,V$2)</f>
        <v>0</v>
      </c>
      <c r="W7" s="25">
        <f>SUMIFS([0]!psuv,[0]!municipio,$B7,[0]!turno,W$2)</f>
        <v>0</v>
      </c>
    </row>
    <row r="8" spans="2:23" x14ac:dyDescent="0.25">
      <c r="B8" s="237" t="s">
        <v>22</v>
      </c>
      <c r="C8" s="40" t="s">
        <v>107</v>
      </c>
      <c r="D8" s="45">
        <f>IF((E7+E8+E9+E10)=0,0,E8/(E7+E8+E9+E10))</f>
        <v>0</v>
      </c>
      <c r="E8" s="42">
        <f t="shared" si="1"/>
        <v>0</v>
      </c>
      <c r="F8" s="5">
        <f>SUMIFS([0]!mud,[0]!municipio,$B7,[0]!turno,F$2)</f>
        <v>0</v>
      </c>
      <c r="G8" s="5">
        <f>SUMIFS([0]!mud,[0]!municipio,$B7,[0]!turno,G$2)</f>
        <v>0</v>
      </c>
      <c r="H8" s="5">
        <f>SUMIFS([0]!mud,[0]!municipio,$B7,[0]!turno,H$2)</f>
        <v>0</v>
      </c>
      <c r="I8" s="5">
        <f>SUMIFS([0]!mud,[0]!municipio,$B7,[0]!turno,I$2)</f>
        <v>0</v>
      </c>
      <c r="J8" s="5">
        <f>SUMIFS([0]!mud,[0]!municipio,$B7,[0]!turno,J$2)</f>
        <v>0</v>
      </c>
      <c r="K8" s="5">
        <f>SUMIFS([0]!mud,[0]!municipio,$B7,[0]!turno,K$2)</f>
        <v>0</v>
      </c>
      <c r="L8" s="5">
        <f>SUMIFS([0]!mud,[0]!municipio,$B7,[0]!turno,L$2)</f>
        <v>0</v>
      </c>
      <c r="M8" s="5">
        <f>SUMIFS([0]!mud,[0]!municipio,$B7,[0]!turno,M$2)</f>
        <v>0</v>
      </c>
      <c r="N8" s="5">
        <f>SUMIFS([0]!mud,[0]!municipio,$B7,[0]!turno,N$2)</f>
        <v>0</v>
      </c>
      <c r="O8" s="5">
        <f>SUMIFS([0]!mud,[0]!municipio,$B7,[0]!turno,O$2)</f>
        <v>0</v>
      </c>
      <c r="P8" s="5">
        <f>SUMIFS([0]!mud,[0]!municipio,$B7,[0]!turno,P$2)</f>
        <v>0</v>
      </c>
      <c r="Q8" s="5">
        <f>SUMIFS([0]!mud,[0]!municipio,$B7,[0]!turno,Q$2)</f>
        <v>0</v>
      </c>
      <c r="R8" s="5">
        <f>SUMIFS([0]!mud,[0]!municipio,$B7,[0]!turno,R$2)</f>
        <v>0</v>
      </c>
      <c r="S8" s="5">
        <f>SUMIFS([0]!mud,[0]!municipio,$B7,[0]!turno,S$2)</f>
        <v>0</v>
      </c>
      <c r="T8" s="5">
        <f>SUMIFS([0]!mud,[0]!municipio,$B7,[0]!turno,T$2)</f>
        <v>0</v>
      </c>
      <c r="U8" s="5">
        <f>SUMIFS([0]!mud,[0]!municipio,$B7,[0]!turno,U$2)</f>
        <v>0</v>
      </c>
      <c r="V8" s="5">
        <f>SUMIFS([0]!mud,[0]!municipio,$B7,[0]!turno,V$2)</f>
        <v>0</v>
      </c>
      <c r="W8" s="26">
        <f>SUMIFS([0]!mud,[0]!municipio,$B7,[0]!turno,W$2)</f>
        <v>0</v>
      </c>
    </row>
    <row r="9" spans="2:23" x14ac:dyDescent="0.25">
      <c r="B9" s="238"/>
      <c r="C9" s="41" t="s">
        <v>108</v>
      </c>
      <c r="D9" s="46">
        <f>IF((E7+E8+E9+E10)=0,0,E9/(E7+E8+E9+E10))</f>
        <v>0</v>
      </c>
      <c r="E9" s="43">
        <f t="shared" si="1"/>
        <v>0</v>
      </c>
      <c r="F9" s="5">
        <f>SUMIFS([0]!ind,[0]!municipio,$B7,[0]!turno,F$2)</f>
        <v>0</v>
      </c>
      <c r="G9" s="13">
        <f>SUMIFS([0]!ind,[0]!municipio,$B7,[0]!turno,G$2)</f>
        <v>0</v>
      </c>
      <c r="H9" s="13">
        <f>SUMIFS([0]!ind,[0]!municipio,$B7,[0]!turno,H$2)</f>
        <v>0</v>
      </c>
      <c r="I9" s="13">
        <f>SUMIFS([0]!ind,[0]!municipio,$B7,[0]!turno,I$2)</f>
        <v>0</v>
      </c>
      <c r="J9" s="13">
        <f>SUMIFS([0]!ind,[0]!municipio,$B7,[0]!turno,J$2)</f>
        <v>0</v>
      </c>
      <c r="K9" s="13">
        <f>SUMIFS([0]!ind,[0]!municipio,$B7,[0]!turno,K$2)</f>
        <v>0</v>
      </c>
      <c r="L9" s="13">
        <f>SUMIFS([0]!ind,[0]!municipio,$B7,[0]!turno,L$2)</f>
        <v>0</v>
      </c>
      <c r="M9" s="13">
        <f>SUMIFS([0]!ind,[0]!municipio,$B7,[0]!turno,M$2)</f>
        <v>0</v>
      </c>
      <c r="N9" s="13">
        <f>SUMIFS([0]!ind,[0]!municipio,$B7,[0]!turno,N$2)</f>
        <v>0</v>
      </c>
      <c r="O9" s="13">
        <f>SUMIFS([0]!ind,[0]!municipio,$B7,[0]!turno,O$2)</f>
        <v>0</v>
      </c>
      <c r="P9" s="13">
        <f>SUMIFS([0]!ind,[0]!municipio,$B7,[0]!turno,P$2)</f>
        <v>0</v>
      </c>
      <c r="Q9" s="13">
        <f>SUMIFS([0]!ind,[0]!municipio,$B7,[0]!turno,Q$2)</f>
        <v>0</v>
      </c>
      <c r="R9" s="13">
        <f>SUMIFS([0]!ind,[0]!municipio,$B7,[0]!turno,R$2)</f>
        <v>0</v>
      </c>
      <c r="S9" s="13">
        <f>SUMIFS([0]!ind,[0]!municipio,$B7,[0]!turno,S$2)</f>
        <v>0</v>
      </c>
      <c r="T9" s="13">
        <f>SUMIFS([0]!ind,[0]!municipio,$B7,[0]!turno,T$2)</f>
        <v>0</v>
      </c>
      <c r="U9" s="13">
        <f>SUMIFS([0]!ind,[0]!municipio,$B7,[0]!turno,U$2)</f>
        <v>0</v>
      </c>
      <c r="V9" s="13">
        <f>SUMIFS([0]!ind,[0]!municipio,$B7,[0]!turno,V$2)</f>
        <v>0</v>
      </c>
      <c r="W9" s="29">
        <f>SUMIFS([0]!ind,[0]!municipio,$B7,[0]!turno,W$2)</f>
        <v>0</v>
      </c>
    </row>
    <row r="10" spans="2:23" ht="15.75" thickBot="1" x14ac:dyDescent="0.3">
      <c r="B10" s="21">
        <v>9.0021945083765986E-2</v>
      </c>
      <c r="C10" s="10" t="s">
        <v>0</v>
      </c>
      <c r="D10" s="47">
        <f>IF((E7+E8+E9+E10)=0,0,E10/(E7+E8+E9+E10))</f>
        <v>0</v>
      </c>
      <c r="E10" s="11">
        <f t="shared" si="1"/>
        <v>0</v>
      </c>
      <c r="F10" s="11">
        <f>SUMIFS([0]!otro,[0]!municipio,$B7,[0]!turno,F$2)</f>
        <v>0</v>
      </c>
      <c r="G10" s="11">
        <f>SUMIFS([0]!otro,[0]!municipio,$B7,[0]!turno,G$2)</f>
        <v>0</v>
      </c>
      <c r="H10" s="11">
        <f>SUMIFS([0]!otro,[0]!municipio,$B7,[0]!turno,H$2)</f>
        <v>0</v>
      </c>
      <c r="I10" s="11">
        <f>SUMIFS([0]!otro,[0]!municipio,$B7,[0]!turno,I$2)</f>
        <v>0</v>
      </c>
      <c r="J10" s="11">
        <f>SUMIFS([0]!otro,[0]!municipio,$B7,[0]!turno,J$2)</f>
        <v>0</v>
      </c>
      <c r="K10" s="11">
        <f>SUMIFS([0]!otro,[0]!municipio,$B7,[0]!turno,K$2)</f>
        <v>0</v>
      </c>
      <c r="L10" s="11">
        <f>SUMIFS([0]!otro,[0]!municipio,$B7,[0]!turno,L$2)</f>
        <v>0</v>
      </c>
      <c r="M10" s="11">
        <f>SUMIFS([0]!otro,[0]!municipio,$B7,[0]!turno,M$2)</f>
        <v>0</v>
      </c>
      <c r="N10" s="11">
        <f>SUMIFS([0]!otro,[0]!municipio,$B7,[0]!turno,N$2)</f>
        <v>0</v>
      </c>
      <c r="O10" s="11">
        <f>SUMIFS([0]!otro,[0]!municipio,$B7,[0]!turno,O$2)</f>
        <v>0</v>
      </c>
      <c r="P10" s="11">
        <f>SUMIFS([0]!otro,[0]!municipio,$B7,[0]!turno,P$2)</f>
        <v>0</v>
      </c>
      <c r="Q10" s="11">
        <f>SUMIFS([0]!otro,[0]!municipio,$B7,[0]!turno,Q$2)</f>
        <v>0</v>
      </c>
      <c r="R10" s="11">
        <f>SUMIFS([0]!otro,[0]!municipio,$B7,[0]!turno,R$2)</f>
        <v>0</v>
      </c>
      <c r="S10" s="11">
        <f>SUMIFS([0]!otro,[0]!municipio,$B7,[0]!turno,S$2)</f>
        <v>0</v>
      </c>
      <c r="T10" s="11">
        <f>SUMIFS([0]!otro,[0]!municipio,$B7,[0]!turno,T$2)</f>
        <v>0</v>
      </c>
      <c r="U10" s="11">
        <f>SUMIFS([0]!otro,[0]!municipio,$B7,[0]!turno,U$2)</f>
        <v>0</v>
      </c>
      <c r="V10" s="11">
        <f>SUMIFS([0]!otro,[0]!municipio,$B7,[0]!turno,V$2)</f>
        <v>0</v>
      </c>
      <c r="W10" s="27">
        <f>SUMIFS([0]!otro,[0]!municipio,$B7,[0]!turno,W$2)</f>
        <v>0</v>
      </c>
    </row>
    <row r="11" spans="2:23" ht="15" customHeight="1" x14ac:dyDescent="0.25">
      <c r="B11" s="19">
        <v>99</v>
      </c>
      <c r="C11" s="8" t="s">
        <v>106</v>
      </c>
      <c r="D11" s="44">
        <f>IF((E11+E12+E13+E14)=0,0,E11/(E11+E12+E13+E14))</f>
        <v>0</v>
      </c>
      <c r="E11" s="9">
        <f t="shared" si="1"/>
        <v>0</v>
      </c>
      <c r="F11" s="9">
        <f>SUMIFS([0]!psuv,[0]!municipio,$B11,[0]!turno,F$2)</f>
        <v>0</v>
      </c>
      <c r="G11" s="9">
        <f>SUMIFS([0]!psuv,[0]!municipio,$B11,[0]!turno,G$2)</f>
        <v>0</v>
      </c>
      <c r="H11" s="9">
        <f>SUMIFS([0]!psuv,[0]!municipio,$B11,[0]!turno,H$2)</f>
        <v>0</v>
      </c>
      <c r="I11" s="9">
        <f>SUMIFS([0]!psuv,[0]!municipio,$B11,[0]!turno,I$2)</f>
        <v>0</v>
      </c>
      <c r="J11" s="9">
        <f>SUMIFS([0]!psuv,[0]!municipio,$B11,[0]!turno,J$2)</f>
        <v>0</v>
      </c>
      <c r="K11" s="9">
        <f>SUMIFS([0]!psuv,[0]!municipio,$B11,[0]!turno,K$2)</f>
        <v>0</v>
      </c>
      <c r="L11" s="9">
        <f>SUMIFS([0]!psuv,[0]!municipio,$B11,[0]!turno,L$2)</f>
        <v>0</v>
      </c>
      <c r="M11" s="9">
        <f>SUMIFS([0]!psuv,[0]!municipio,$B11,[0]!turno,M$2)</f>
        <v>0</v>
      </c>
      <c r="N11" s="9">
        <f>SUMIFS([0]!psuv,[0]!municipio,$B11,[0]!turno,N$2)</f>
        <v>0</v>
      </c>
      <c r="O11" s="9">
        <f>SUMIFS([0]!psuv,[0]!municipio,$B11,[0]!turno,O$2)</f>
        <v>0</v>
      </c>
      <c r="P11" s="9">
        <f>SUMIFS([0]!psuv,[0]!municipio,$B11,[0]!turno,P$2)</f>
        <v>0</v>
      </c>
      <c r="Q11" s="9">
        <f>SUMIFS([0]!psuv,[0]!municipio,$B11,[0]!turno,Q$2)</f>
        <v>0</v>
      </c>
      <c r="R11" s="9">
        <f>SUMIFS([0]!psuv,[0]!municipio,$B11,[0]!turno,R$2)</f>
        <v>0</v>
      </c>
      <c r="S11" s="9">
        <f>SUMIFS([0]!psuv,[0]!municipio,$B11,[0]!turno,S$2)</f>
        <v>0</v>
      </c>
      <c r="T11" s="9">
        <f>SUMIFS([0]!psuv,[0]!municipio,$B11,[0]!turno,T$2)</f>
        <v>0</v>
      </c>
      <c r="U11" s="9">
        <f>SUMIFS([0]!psuv,[0]!municipio,$B11,[0]!turno,U$2)</f>
        <v>0</v>
      </c>
      <c r="V11" s="9">
        <f>SUMIFS([0]!psuv,[0]!municipio,$B11,[0]!turno,V$2)</f>
        <v>0</v>
      </c>
      <c r="W11" s="25">
        <f>SUMIFS([0]!psuv,[0]!municipio,$B11,[0]!turno,W$2)</f>
        <v>0</v>
      </c>
    </row>
    <row r="12" spans="2:23" ht="15" customHeight="1" x14ac:dyDescent="0.25">
      <c r="B12" s="237" t="s">
        <v>17</v>
      </c>
      <c r="C12" s="40" t="s">
        <v>107</v>
      </c>
      <c r="D12" s="45">
        <f>IF((E11+E12+E13+E14)=0,0,E12/(E11+E12+E13+E14))</f>
        <v>0</v>
      </c>
      <c r="E12" s="42">
        <f t="shared" si="1"/>
        <v>0</v>
      </c>
      <c r="F12" s="5">
        <f>SUMIFS([0]!mud,[0]!municipio,$B11,[0]!turno,F$2)</f>
        <v>0</v>
      </c>
      <c r="G12" s="5">
        <f>SUMIFS([0]!mud,[0]!municipio,$B11,[0]!turno,G$2)</f>
        <v>0</v>
      </c>
      <c r="H12" s="5">
        <f>SUMIFS([0]!mud,[0]!municipio,$B11,[0]!turno,H$2)</f>
        <v>0</v>
      </c>
      <c r="I12" s="5">
        <f>SUMIFS([0]!mud,[0]!municipio,$B11,[0]!turno,I$2)</f>
        <v>0</v>
      </c>
      <c r="J12" s="5">
        <f>SUMIFS([0]!mud,[0]!municipio,$B11,[0]!turno,J$2)</f>
        <v>0</v>
      </c>
      <c r="K12" s="5">
        <f>SUMIFS([0]!mud,[0]!municipio,$B11,[0]!turno,K$2)</f>
        <v>0</v>
      </c>
      <c r="L12" s="5">
        <f>SUMIFS([0]!mud,[0]!municipio,$B11,[0]!turno,L$2)</f>
        <v>0</v>
      </c>
      <c r="M12" s="5">
        <f>SUMIFS([0]!mud,[0]!municipio,$B11,[0]!turno,M$2)</f>
        <v>0</v>
      </c>
      <c r="N12" s="5">
        <f>SUMIFS([0]!mud,[0]!municipio,$B11,[0]!turno,N$2)</f>
        <v>0</v>
      </c>
      <c r="O12" s="5">
        <f>SUMIFS([0]!mud,[0]!municipio,$B11,[0]!turno,O$2)</f>
        <v>0</v>
      </c>
      <c r="P12" s="5">
        <f>SUMIFS([0]!mud,[0]!municipio,$B11,[0]!turno,P$2)</f>
        <v>0</v>
      </c>
      <c r="Q12" s="5">
        <f>SUMIFS([0]!mud,[0]!municipio,$B11,[0]!turno,Q$2)</f>
        <v>0</v>
      </c>
      <c r="R12" s="5">
        <f>SUMIFS([0]!mud,[0]!municipio,$B11,[0]!turno,R$2)</f>
        <v>0</v>
      </c>
      <c r="S12" s="5">
        <f>SUMIFS([0]!mud,[0]!municipio,$B11,[0]!turno,S$2)</f>
        <v>0</v>
      </c>
      <c r="T12" s="5">
        <f>SUMIFS([0]!mud,[0]!municipio,$B11,[0]!turno,T$2)</f>
        <v>0</v>
      </c>
      <c r="U12" s="5">
        <f>SUMIFS([0]!mud,[0]!municipio,$B11,[0]!turno,U$2)</f>
        <v>0</v>
      </c>
      <c r="V12" s="5">
        <f>SUMIFS([0]!mud,[0]!municipio,$B11,[0]!turno,V$2)</f>
        <v>0</v>
      </c>
      <c r="W12" s="26">
        <f>SUMIFS([0]!mud,[0]!municipio,$B11,[0]!turno,W$2)</f>
        <v>0</v>
      </c>
    </row>
    <row r="13" spans="2:23" ht="15" customHeight="1" x14ac:dyDescent="0.25">
      <c r="B13" s="238"/>
      <c r="C13" s="41" t="s">
        <v>108</v>
      </c>
      <c r="D13" s="46">
        <f>IF((E11+E12+E13+E14)=0,0,E13/(E11+E12+E13+E14))</f>
        <v>0</v>
      </c>
      <c r="E13" s="43">
        <f t="shared" si="1"/>
        <v>0</v>
      </c>
      <c r="F13" s="5">
        <f>SUMIFS([0]!ind,[0]!municipio,$B11,[0]!turno,F$2)</f>
        <v>0</v>
      </c>
      <c r="G13" s="13">
        <f>SUMIFS([0]!ind,[0]!municipio,$B11,[0]!turno,G$2)</f>
        <v>0</v>
      </c>
      <c r="H13" s="13">
        <f>SUMIFS([0]!ind,[0]!municipio,$B11,[0]!turno,H$2)</f>
        <v>0</v>
      </c>
      <c r="I13" s="13">
        <f>SUMIFS([0]!ind,[0]!municipio,$B11,[0]!turno,I$2)</f>
        <v>0</v>
      </c>
      <c r="J13" s="13">
        <f>SUMIFS([0]!ind,[0]!municipio,$B11,[0]!turno,J$2)</f>
        <v>0</v>
      </c>
      <c r="K13" s="13">
        <f>SUMIFS([0]!ind,[0]!municipio,$B11,[0]!turno,K$2)</f>
        <v>0</v>
      </c>
      <c r="L13" s="13">
        <f>SUMIFS([0]!ind,[0]!municipio,$B11,[0]!turno,L$2)</f>
        <v>0</v>
      </c>
      <c r="M13" s="13">
        <f>SUMIFS([0]!ind,[0]!municipio,$B11,[0]!turno,M$2)</f>
        <v>0</v>
      </c>
      <c r="N13" s="13">
        <f>SUMIFS([0]!ind,[0]!municipio,$B11,[0]!turno,N$2)</f>
        <v>0</v>
      </c>
      <c r="O13" s="13">
        <f>SUMIFS([0]!ind,[0]!municipio,$B11,[0]!turno,O$2)</f>
        <v>0</v>
      </c>
      <c r="P13" s="13">
        <f>SUMIFS([0]!ind,[0]!municipio,$B11,[0]!turno,P$2)</f>
        <v>0</v>
      </c>
      <c r="Q13" s="13">
        <f>SUMIFS([0]!ind,[0]!municipio,$B11,[0]!turno,Q$2)</f>
        <v>0</v>
      </c>
      <c r="R13" s="13">
        <f>SUMIFS([0]!ind,[0]!municipio,$B11,[0]!turno,R$2)</f>
        <v>0</v>
      </c>
      <c r="S13" s="13">
        <f>SUMIFS([0]!ind,[0]!municipio,$B11,[0]!turno,S$2)</f>
        <v>0</v>
      </c>
      <c r="T13" s="13">
        <f>SUMIFS([0]!ind,[0]!municipio,$B11,[0]!turno,T$2)</f>
        <v>0</v>
      </c>
      <c r="U13" s="13">
        <f>SUMIFS([0]!ind,[0]!municipio,$B11,[0]!turno,U$2)</f>
        <v>0</v>
      </c>
      <c r="V13" s="13">
        <f>SUMIFS([0]!ind,[0]!municipio,$B11,[0]!turno,V$2)</f>
        <v>0</v>
      </c>
      <c r="W13" s="29">
        <f>SUMIFS([0]!ind,[0]!municipio,$B11,[0]!turno,W$2)</f>
        <v>0</v>
      </c>
    </row>
    <row r="14" spans="2:23" ht="15" customHeight="1" thickBot="1" x14ac:dyDescent="0.3">
      <c r="B14" s="21">
        <v>6.1452657496119466E-2</v>
      </c>
      <c r="C14" s="10" t="s">
        <v>0</v>
      </c>
      <c r="D14" s="47">
        <f>IF((E11+E12+E13+E14)=0,0,E14/(E11+E12+E13+E14))</f>
        <v>0</v>
      </c>
      <c r="E14" s="11">
        <f t="shared" si="1"/>
        <v>0</v>
      </c>
      <c r="F14" s="11">
        <f>SUMIFS([0]!otro,[0]!municipio,$B11,[0]!turno,F$2)</f>
        <v>0</v>
      </c>
      <c r="G14" s="11">
        <f>SUMIFS([0]!otro,[0]!municipio,$B11,[0]!turno,G$2)</f>
        <v>0</v>
      </c>
      <c r="H14" s="11">
        <f>SUMIFS([0]!otro,[0]!municipio,$B11,[0]!turno,H$2)</f>
        <v>0</v>
      </c>
      <c r="I14" s="11">
        <f>SUMIFS([0]!otro,[0]!municipio,$B11,[0]!turno,I$2)</f>
        <v>0</v>
      </c>
      <c r="J14" s="11">
        <f>SUMIFS([0]!otro,[0]!municipio,$B11,[0]!turno,J$2)</f>
        <v>0</v>
      </c>
      <c r="K14" s="11">
        <f>SUMIFS([0]!otro,[0]!municipio,$B11,[0]!turno,K$2)</f>
        <v>0</v>
      </c>
      <c r="L14" s="11">
        <f>SUMIFS([0]!otro,[0]!municipio,$B11,[0]!turno,L$2)</f>
        <v>0</v>
      </c>
      <c r="M14" s="11">
        <f>SUMIFS([0]!otro,[0]!municipio,$B11,[0]!turno,M$2)</f>
        <v>0</v>
      </c>
      <c r="N14" s="11">
        <f>SUMIFS([0]!otro,[0]!municipio,$B11,[0]!turno,N$2)</f>
        <v>0</v>
      </c>
      <c r="O14" s="11">
        <f>SUMIFS([0]!otro,[0]!municipio,$B11,[0]!turno,O$2)</f>
        <v>0</v>
      </c>
      <c r="P14" s="11">
        <f>SUMIFS([0]!otro,[0]!municipio,$B11,[0]!turno,P$2)</f>
        <v>0</v>
      </c>
      <c r="Q14" s="11">
        <f>SUMIFS([0]!otro,[0]!municipio,$B11,[0]!turno,Q$2)</f>
        <v>0</v>
      </c>
      <c r="R14" s="11">
        <f>SUMIFS([0]!otro,[0]!municipio,$B11,[0]!turno,R$2)</f>
        <v>0</v>
      </c>
      <c r="S14" s="11">
        <f>SUMIFS([0]!otro,[0]!municipio,$B11,[0]!turno,S$2)</f>
        <v>0</v>
      </c>
      <c r="T14" s="11">
        <f>SUMIFS([0]!otro,[0]!municipio,$B11,[0]!turno,T$2)</f>
        <v>0</v>
      </c>
      <c r="U14" s="11">
        <f>SUMIFS([0]!otro,[0]!municipio,$B11,[0]!turno,U$2)</f>
        <v>0</v>
      </c>
      <c r="V14" s="11">
        <f>SUMIFS([0]!otro,[0]!municipio,$B11,[0]!turno,V$2)</f>
        <v>0</v>
      </c>
      <c r="W14" s="27">
        <f>SUMIFS([0]!otro,[0]!municipio,$B11,[0]!turno,W$2)</f>
        <v>0</v>
      </c>
    </row>
    <row r="15" spans="2:23" ht="15" customHeight="1" x14ac:dyDescent="0.25">
      <c r="B15" s="19">
        <v>100</v>
      </c>
      <c r="C15" s="8" t="s">
        <v>106</v>
      </c>
      <c r="D15" s="44">
        <f>IF((E15+E16+E17+E18)=0,0,E15/(E15+E16+E17+E18))</f>
        <v>0.76666666666666672</v>
      </c>
      <c r="E15" s="9">
        <f t="shared" si="1"/>
        <v>23</v>
      </c>
      <c r="F15" s="9">
        <f>SUMIFS([0]!psuv,[0]!municipio,$B15,[0]!turno,F$2)</f>
        <v>0</v>
      </c>
      <c r="G15" s="9">
        <f>SUMIFS([0]!psuv,[0]!municipio,$B15,[0]!turno,G$2)</f>
        <v>0</v>
      </c>
      <c r="H15" s="9">
        <f>SUMIFS([0]!psuv,[0]!municipio,$B15,[0]!turno,H$2)</f>
        <v>0</v>
      </c>
      <c r="I15" s="9">
        <f>SUMIFS([0]!psuv,[0]!municipio,$B15,[0]!turno,I$2)</f>
        <v>0</v>
      </c>
      <c r="J15" s="9">
        <f>SUMIFS([0]!psuv,[0]!municipio,$B15,[0]!turno,J$2)</f>
        <v>0</v>
      </c>
      <c r="K15" s="9">
        <f>SUMIFS([0]!psuv,[0]!municipio,$B15,[0]!turno,K$2)</f>
        <v>23</v>
      </c>
      <c r="L15" s="9">
        <f>SUMIFS([0]!psuv,[0]!municipio,$B15,[0]!turno,L$2)</f>
        <v>0</v>
      </c>
      <c r="M15" s="9">
        <f>SUMIFS([0]!psuv,[0]!municipio,$B15,[0]!turno,M$2)</f>
        <v>0</v>
      </c>
      <c r="N15" s="9">
        <f>SUMIFS([0]!psuv,[0]!municipio,$B15,[0]!turno,N$2)</f>
        <v>0</v>
      </c>
      <c r="O15" s="9">
        <f>SUMIFS([0]!psuv,[0]!municipio,$B15,[0]!turno,O$2)</f>
        <v>0</v>
      </c>
      <c r="P15" s="9">
        <f>SUMIFS([0]!psuv,[0]!municipio,$B15,[0]!turno,P$2)</f>
        <v>0</v>
      </c>
      <c r="Q15" s="9">
        <f>SUMIFS([0]!psuv,[0]!municipio,$B15,[0]!turno,Q$2)</f>
        <v>0</v>
      </c>
      <c r="R15" s="9">
        <f>SUMIFS([0]!psuv,[0]!municipio,$B15,[0]!turno,R$2)</f>
        <v>0</v>
      </c>
      <c r="S15" s="9">
        <f>SUMIFS([0]!psuv,[0]!municipio,$B15,[0]!turno,S$2)</f>
        <v>0</v>
      </c>
      <c r="T15" s="9">
        <f>SUMIFS([0]!psuv,[0]!municipio,$B15,[0]!turno,T$2)</f>
        <v>0</v>
      </c>
      <c r="U15" s="9">
        <f>SUMIFS([0]!psuv,[0]!municipio,$B15,[0]!turno,U$2)</f>
        <v>0</v>
      </c>
      <c r="V15" s="9">
        <f>SUMIFS([0]!psuv,[0]!municipio,$B15,[0]!turno,V$2)</f>
        <v>0</v>
      </c>
      <c r="W15" s="25">
        <f>SUMIFS([0]!psuv,[0]!municipio,$B15,[0]!turno,W$2)</f>
        <v>0</v>
      </c>
    </row>
    <row r="16" spans="2:23" ht="15" customHeight="1" x14ac:dyDescent="0.25">
      <c r="B16" s="237" t="s">
        <v>70</v>
      </c>
      <c r="C16" s="40" t="s">
        <v>107</v>
      </c>
      <c r="D16" s="45">
        <f>IF((E15+E16+E17+E18)=0,0,E16/(E15+E16+E17+E18))</f>
        <v>0.23333333333333334</v>
      </c>
      <c r="E16" s="42">
        <f t="shared" si="1"/>
        <v>7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0</v>
      </c>
      <c r="I16" s="5">
        <f>SUMIFS([0]!mud,[0]!municipio,$B15,[0]!turno,I$2)</f>
        <v>0</v>
      </c>
      <c r="J16" s="5">
        <f>SUMIFS([0]!mud,[0]!municipio,$B15,[0]!turno,J$2)</f>
        <v>0</v>
      </c>
      <c r="K16" s="5">
        <f>SUMIFS([0]!mud,[0]!municipio,$B15,[0]!turno,K$2)</f>
        <v>7</v>
      </c>
      <c r="L16" s="5">
        <f>SUMIFS([0]!mud,[0]!municipio,$B15,[0]!turno,L$2)</f>
        <v>0</v>
      </c>
      <c r="M16" s="5">
        <f>SUMIFS([0]!mud,[0]!municipio,$B15,[0]!turno,M$2)</f>
        <v>0</v>
      </c>
      <c r="N16" s="5">
        <f>SUMIFS([0]!mud,[0]!municipio,$B15,[0]!turno,N$2)</f>
        <v>0</v>
      </c>
      <c r="O16" s="5">
        <f>SUMIFS([0]!mud,[0]!municipio,$B15,[0]!turno,O$2)</f>
        <v>0</v>
      </c>
      <c r="P16" s="5">
        <f>SUMIFS([0]!mud,[0]!municipio,$B15,[0]!turno,P$2)</f>
        <v>0</v>
      </c>
      <c r="Q16" s="5">
        <f>SUMIFS([0]!mud,[0]!municipio,$B15,[0]!turno,Q$2)</f>
        <v>0</v>
      </c>
      <c r="R16" s="5">
        <f>SUMIFS([0]!mud,[0]!municipio,$B15,[0]!turno,R$2)</f>
        <v>0</v>
      </c>
      <c r="S16" s="5">
        <f>SUMIFS([0]!mud,[0]!municipio,$B15,[0]!turno,S$2)</f>
        <v>0</v>
      </c>
      <c r="T16" s="5">
        <f>SUMIFS([0]!mud,[0]!municipio,$B15,[0]!turno,T$2)</f>
        <v>0</v>
      </c>
      <c r="U16" s="5">
        <f>SUMIFS([0]!mud,[0]!municipio,$B15,[0]!turno,U$2)</f>
        <v>0</v>
      </c>
      <c r="V16" s="5">
        <f>SUMIFS([0]!mud,[0]!municipio,$B15,[0]!turno,V$2)</f>
        <v>0</v>
      </c>
      <c r="W16" s="26">
        <f>SUMIFS([0]!mud,[0]!municipio,$B15,[0]!turno,W$2)</f>
        <v>0</v>
      </c>
    </row>
    <row r="17" spans="2:23" ht="15" customHeight="1" x14ac:dyDescent="0.25">
      <c r="B17" s="238"/>
      <c r="C17" s="41" t="s">
        <v>108</v>
      </c>
      <c r="D17" s="46">
        <f>IF((E15+E16+E17+E18)=0,0,E17/(E15+E16+E17+E18))</f>
        <v>0</v>
      </c>
      <c r="E17" s="43">
        <f t="shared" si="1"/>
        <v>0</v>
      </c>
      <c r="F17" s="5">
        <f>SUMIFS([0]!ind,[0]!municipio,$B15,[0]!turno,F$2)</f>
        <v>0</v>
      </c>
      <c r="G17" s="13">
        <f>SUMIFS([0]!ind,[0]!municipio,$B15,[0]!turno,G$2)</f>
        <v>0</v>
      </c>
      <c r="H17" s="13">
        <f>SUMIFS([0]!ind,[0]!municipio,$B15,[0]!turno,H$2)</f>
        <v>0</v>
      </c>
      <c r="I17" s="13">
        <f>SUMIFS([0]!ind,[0]!municipio,$B15,[0]!turno,I$2)</f>
        <v>0</v>
      </c>
      <c r="J17" s="13">
        <f>SUMIFS([0]!ind,[0]!municipio,$B15,[0]!turno,J$2)</f>
        <v>0</v>
      </c>
      <c r="K17" s="13">
        <f>SUMIFS([0]!ind,[0]!municipio,$B15,[0]!turno,K$2)</f>
        <v>0</v>
      </c>
      <c r="L17" s="13">
        <f>SUMIFS([0]!ind,[0]!municipio,$B15,[0]!turno,L$2)</f>
        <v>0</v>
      </c>
      <c r="M17" s="13">
        <f>SUMIFS([0]!ind,[0]!municipio,$B15,[0]!turno,M$2)</f>
        <v>0</v>
      </c>
      <c r="N17" s="13">
        <f>SUMIFS([0]!ind,[0]!municipio,$B15,[0]!turno,N$2)</f>
        <v>0</v>
      </c>
      <c r="O17" s="13">
        <f>SUMIFS([0]!ind,[0]!municipio,$B15,[0]!turno,O$2)</f>
        <v>0</v>
      </c>
      <c r="P17" s="13">
        <f>SUMIFS([0]!ind,[0]!municipio,$B15,[0]!turno,P$2)</f>
        <v>0</v>
      </c>
      <c r="Q17" s="13">
        <f>SUMIFS([0]!ind,[0]!municipio,$B15,[0]!turno,Q$2)</f>
        <v>0</v>
      </c>
      <c r="R17" s="13">
        <f>SUMIFS([0]!ind,[0]!municipio,$B15,[0]!turno,R$2)</f>
        <v>0</v>
      </c>
      <c r="S17" s="13">
        <f>SUMIFS([0]!ind,[0]!municipio,$B15,[0]!turno,S$2)</f>
        <v>0</v>
      </c>
      <c r="T17" s="13">
        <f>SUMIFS([0]!ind,[0]!municipio,$B15,[0]!turno,T$2)</f>
        <v>0</v>
      </c>
      <c r="U17" s="13">
        <f>SUMIFS([0]!ind,[0]!municipio,$B15,[0]!turno,U$2)</f>
        <v>0</v>
      </c>
      <c r="V17" s="13">
        <f>SUMIFS([0]!ind,[0]!municipio,$B15,[0]!turno,V$2)</f>
        <v>0</v>
      </c>
      <c r="W17" s="29">
        <f>SUMIFS([0]!ind,[0]!municipio,$B15,[0]!turno,W$2)</f>
        <v>0</v>
      </c>
    </row>
    <row r="18" spans="2:23" ht="15" customHeight="1" thickBot="1" x14ac:dyDescent="0.3">
      <c r="B18" s="21">
        <v>0.72278756088422635</v>
      </c>
      <c r="C18" s="10" t="s">
        <v>0</v>
      </c>
      <c r="D18" s="47">
        <f>IF((E15+E16+E17+E18)=0,0,E18/(E15+E16+E17+E18))</f>
        <v>0</v>
      </c>
      <c r="E18" s="11">
        <f t="shared" si="1"/>
        <v>0</v>
      </c>
      <c r="F18" s="11">
        <f>SUMIFS([0]!otro,[0]!municipio,$B15,[0]!turno,F$2)</f>
        <v>0</v>
      </c>
      <c r="G18" s="11">
        <f>SUMIFS([0]!otro,[0]!municipio,$B15,[0]!turno,G$2)</f>
        <v>0</v>
      </c>
      <c r="H18" s="11">
        <f>SUMIFS([0]!otro,[0]!municipio,$B15,[0]!turno,H$2)</f>
        <v>0</v>
      </c>
      <c r="I18" s="11">
        <f>SUMIFS([0]!otro,[0]!municipio,$B15,[0]!turno,I$2)</f>
        <v>0</v>
      </c>
      <c r="J18" s="11">
        <f>SUMIFS([0]!otro,[0]!municipio,$B15,[0]!turno,J$2)</f>
        <v>0</v>
      </c>
      <c r="K18" s="11">
        <f>SUMIFS([0]!otro,[0]!municipio,$B15,[0]!turno,K$2)</f>
        <v>0</v>
      </c>
      <c r="L18" s="11">
        <f>SUMIFS([0]!otro,[0]!municipio,$B15,[0]!turno,L$2)</f>
        <v>0</v>
      </c>
      <c r="M18" s="11">
        <f>SUMIFS([0]!otro,[0]!municipio,$B15,[0]!turno,M$2)</f>
        <v>0</v>
      </c>
      <c r="N18" s="11">
        <f>SUMIFS([0]!otro,[0]!municipio,$B15,[0]!turno,N$2)</f>
        <v>0</v>
      </c>
      <c r="O18" s="11">
        <f>SUMIFS([0]!otro,[0]!municipio,$B15,[0]!turno,O$2)</f>
        <v>0</v>
      </c>
      <c r="P18" s="11">
        <f>SUMIFS([0]!otro,[0]!municipio,$B15,[0]!turno,P$2)</f>
        <v>0</v>
      </c>
      <c r="Q18" s="11">
        <f>SUMIFS([0]!otro,[0]!municipio,$B15,[0]!turno,Q$2)</f>
        <v>0</v>
      </c>
      <c r="R18" s="11">
        <f>SUMIFS([0]!otro,[0]!municipio,$B15,[0]!turno,R$2)</f>
        <v>0</v>
      </c>
      <c r="S18" s="11">
        <f>SUMIFS([0]!otro,[0]!municipio,$B15,[0]!turno,S$2)</f>
        <v>0</v>
      </c>
      <c r="T18" s="11">
        <f>SUMIFS([0]!otro,[0]!municipio,$B15,[0]!turno,T$2)</f>
        <v>0</v>
      </c>
      <c r="U18" s="11">
        <f>SUMIFS([0]!otro,[0]!municipio,$B15,[0]!turno,U$2)</f>
        <v>0</v>
      </c>
      <c r="V18" s="11">
        <f>SUMIFS([0]!otro,[0]!municipio,$B15,[0]!turno,V$2)</f>
        <v>0</v>
      </c>
      <c r="W18" s="27">
        <f>SUMIFS([0]!otro,[0]!municipio,$B15,[0]!turno,W$2)</f>
        <v>0</v>
      </c>
    </row>
    <row r="19" spans="2:23" ht="15" customHeight="1" x14ac:dyDescent="0.25">
      <c r="B19" s="19">
        <v>101</v>
      </c>
      <c r="C19" s="8" t="s">
        <v>106</v>
      </c>
      <c r="D19" s="44">
        <f>IF((E19+E20+E21+E22)=0,0,E19/(E19+E20+E21+E22))</f>
        <v>0</v>
      </c>
      <c r="E19" s="9">
        <f t="shared" si="1"/>
        <v>0</v>
      </c>
      <c r="F19" s="9">
        <f>SUMIFS([0]!psuv,[0]!municipio,$B19,[0]!turno,F$2)</f>
        <v>0</v>
      </c>
      <c r="G19" s="9">
        <f>SUMIFS([0]!psuv,[0]!municipio,$B19,[0]!turno,G$2)</f>
        <v>0</v>
      </c>
      <c r="H19" s="9">
        <f>SUMIFS([0]!psuv,[0]!municipio,$B19,[0]!turno,H$2)</f>
        <v>0</v>
      </c>
      <c r="I19" s="9">
        <f>SUMIFS([0]!psuv,[0]!municipio,$B19,[0]!turno,I$2)</f>
        <v>0</v>
      </c>
      <c r="J19" s="9">
        <f>SUMIFS([0]!psuv,[0]!municipio,$B19,[0]!turno,J$2)</f>
        <v>0</v>
      </c>
      <c r="K19" s="9">
        <f>SUMIFS([0]!psuv,[0]!municipio,$B19,[0]!turno,K$2)</f>
        <v>0</v>
      </c>
      <c r="L19" s="9">
        <f>SUMIFS([0]!psuv,[0]!municipio,$B19,[0]!turno,L$2)</f>
        <v>0</v>
      </c>
      <c r="M19" s="9">
        <f>SUMIFS([0]!psuv,[0]!municipio,$B19,[0]!turno,M$2)</f>
        <v>0</v>
      </c>
      <c r="N19" s="9">
        <f>SUMIFS([0]!psuv,[0]!municipio,$B19,[0]!turno,N$2)</f>
        <v>0</v>
      </c>
      <c r="O19" s="9">
        <f>SUMIFS([0]!psuv,[0]!municipio,$B19,[0]!turno,O$2)</f>
        <v>0</v>
      </c>
      <c r="P19" s="9">
        <f>SUMIFS([0]!psuv,[0]!municipio,$B19,[0]!turno,P$2)</f>
        <v>0</v>
      </c>
      <c r="Q19" s="9">
        <f>SUMIFS([0]!psuv,[0]!municipio,$B19,[0]!turno,Q$2)</f>
        <v>0</v>
      </c>
      <c r="R19" s="9">
        <f>SUMIFS([0]!psuv,[0]!municipio,$B19,[0]!turno,R$2)</f>
        <v>0</v>
      </c>
      <c r="S19" s="9">
        <f>SUMIFS([0]!psuv,[0]!municipio,$B19,[0]!turno,S$2)</f>
        <v>0</v>
      </c>
      <c r="T19" s="9">
        <f>SUMIFS([0]!psuv,[0]!municipio,$B19,[0]!turno,T$2)</f>
        <v>0</v>
      </c>
      <c r="U19" s="9">
        <f>SUMIFS([0]!psuv,[0]!municipio,$B19,[0]!turno,U$2)</f>
        <v>0</v>
      </c>
      <c r="V19" s="9">
        <f>SUMIFS([0]!psuv,[0]!municipio,$B19,[0]!turno,V$2)</f>
        <v>0</v>
      </c>
      <c r="W19" s="25">
        <f>SUMIFS([0]!psuv,[0]!municipio,$B19,[0]!turno,W$2)</f>
        <v>0</v>
      </c>
    </row>
    <row r="20" spans="2:23" ht="15" customHeight="1" x14ac:dyDescent="0.25">
      <c r="B20" s="237" t="s">
        <v>27</v>
      </c>
      <c r="C20" s="40" t="s">
        <v>107</v>
      </c>
      <c r="D20" s="45">
        <f>IF((E19+E20+E21+E22)=0,0,E20/(E19+E20+E21+E22))</f>
        <v>0</v>
      </c>
      <c r="E20" s="42">
        <f t="shared" si="1"/>
        <v>0</v>
      </c>
      <c r="F20" s="5">
        <f>SUMIFS([0]!mud,[0]!municipio,$B19,[0]!turno,F$2)</f>
        <v>0</v>
      </c>
      <c r="G20" s="5">
        <f>SUMIFS([0]!mud,[0]!municipio,$B19,[0]!turno,G$2)</f>
        <v>0</v>
      </c>
      <c r="H20" s="5">
        <f>SUMIFS([0]!mud,[0]!municipio,$B19,[0]!turno,H$2)</f>
        <v>0</v>
      </c>
      <c r="I20" s="5">
        <f>SUMIFS([0]!mud,[0]!municipio,$B19,[0]!turno,I$2)</f>
        <v>0</v>
      </c>
      <c r="J20" s="5">
        <f>SUMIFS([0]!mud,[0]!municipio,$B19,[0]!turno,J$2)</f>
        <v>0</v>
      </c>
      <c r="K20" s="5">
        <f>SUMIFS([0]!mud,[0]!municipio,$B19,[0]!turno,K$2)</f>
        <v>0</v>
      </c>
      <c r="L20" s="5">
        <f>SUMIFS([0]!mud,[0]!municipio,$B19,[0]!turno,L$2)</f>
        <v>0</v>
      </c>
      <c r="M20" s="5">
        <f>SUMIFS([0]!mud,[0]!municipio,$B19,[0]!turno,M$2)</f>
        <v>0</v>
      </c>
      <c r="N20" s="5">
        <f>SUMIFS([0]!mud,[0]!municipio,$B19,[0]!turno,N$2)</f>
        <v>0</v>
      </c>
      <c r="O20" s="5">
        <f>SUMIFS([0]!mud,[0]!municipio,$B19,[0]!turno,O$2)</f>
        <v>0</v>
      </c>
      <c r="P20" s="5">
        <f>SUMIFS([0]!mud,[0]!municipio,$B19,[0]!turno,P$2)</f>
        <v>0</v>
      </c>
      <c r="Q20" s="5">
        <f>SUMIFS([0]!mud,[0]!municipio,$B19,[0]!turno,Q$2)</f>
        <v>0</v>
      </c>
      <c r="R20" s="5">
        <f>SUMIFS([0]!mud,[0]!municipio,$B19,[0]!turno,R$2)</f>
        <v>0</v>
      </c>
      <c r="S20" s="5">
        <f>SUMIFS([0]!mud,[0]!municipio,$B19,[0]!turno,S$2)</f>
        <v>0</v>
      </c>
      <c r="T20" s="5">
        <f>SUMIFS([0]!mud,[0]!municipio,$B19,[0]!turno,T$2)</f>
        <v>0</v>
      </c>
      <c r="U20" s="5">
        <f>SUMIFS([0]!mud,[0]!municipio,$B19,[0]!turno,U$2)</f>
        <v>0</v>
      </c>
      <c r="V20" s="5">
        <f>SUMIFS([0]!mud,[0]!municipio,$B19,[0]!turno,V$2)</f>
        <v>0</v>
      </c>
      <c r="W20" s="26">
        <f>SUMIFS([0]!mud,[0]!municipio,$B19,[0]!turno,W$2)</f>
        <v>0</v>
      </c>
    </row>
    <row r="21" spans="2:23" ht="15" customHeight="1" x14ac:dyDescent="0.25">
      <c r="B21" s="238"/>
      <c r="C21" s="41" t="s">
        <v>108</v>
      </c>
      <c r="D21" s="46">
        <f>IF((E19+E20+E21+E22)=0,0,E21/(E19+E20+E21+E22))</f>
        <v>0</v>
      </c>
      <c r="E21" s="43">
        <f t="shared" si="1"/>
        <v>0</v>
      </c>
      <c r="F21" s="5">
        <f>SUMIFS([0]!ind,[0]!municipio,$B19,[0]!turno,F$2)</f>
        <v>0</v>
      </c>
      <c r="G21" s="13">
        <f>SUMIFS([0]!ind,[0]!municipio,$B19,[0]!turno,G$2)</f>
        <v>0</v>
      </c>
      <c r="H21" s="13">
        <f>SUMIFS([0]!ind,[0]!municipio,$B19,[0]!turno,H$2)</f>
        <v>0</v>
      </c>
      <c r="I21" s="13">
        <f>SUMIFS([0]!ind,[0]!municipio,$B19,[0]!turno,I$2)</f>
        <v>0</v>
      </c>
      <c r="J21" s="13">
        <f>SUMIFS([0]!ind,[0]!municipio,$B19,[0]!turno,J$2)</f>
        <v>0</v>
      </c>
      <c r="K21" s="13">
        <f>SUMIFS([0]!ind,[0]!municipio,$B19,[0]!turno,K$2)</f>
        <v>0</v>
      </c>
      <c r="L21" s="13">
        <f>SUMIFS([0]!ind,[0]!municipio,$B19,[0]!turno,L$2)</f>
        <v>0</v>
      </c>
      <c r="M21" s="13">
        <f>SUMIFS([0]!ind,[0]!municipio,$B19,[0]!turno,M$2)</f>
        <v>0</v>
      </c>
      <c r="N21" s="13">
        <f>SUMIFS([0]!ind,[0]!municipio,$B19,[0]!turno,N$2)</f>
        <v>0</v>
      </c>
      <c r="O21" s="13">
        <f>SUMIFS([0]!ind,[0]!municipio,$B19,[0]!turno,O$2)</f>
        <v>0</v>
      </c>
      <c r="P21" s="13">
        <f>SUMIFS([0]!ind,[0]!municipio,$B19,[0]!turno,P$2)</f>
        <v>0</v>
      </c>
      <c r="Q21" s="13">
        <f>SUMIFS([0]!ind,[0]!municipio,$B19,[0]!turno,Q$2)</f>
        <v>0</v>
      </c>
      <c r="R21" s="13">
        <f>SUMIFS([0]!ind,[0]!municipio,$B19,[0]!turno,R$2)</f>
        <v>0</v>
      </c>
      <c r="S21" s="13">
        <f>SUMIFS([0]!ind,[0]!municipio,$B19,[0]!turno,S$2)</f>
        <v>0</v>
      </c>
      <c r="T21" s="13">
        <f>SUMIFS([0]!ind,[0]!municipio,$B19,[0]!turno,T$2)</f>
        <v>0</v>
      </c>
      <c r="U21" s="13">
        <f>SUMIFS([0]!ind,[0]!municipio,$B19,[0]!turno,U$2)</f>
        <v>0</v>
      </c>
      <c r="V21" s="13">
        <f>SUMIFS([0]!ind,[0]!municipio,$B19,[0]!turno,V$2)</f>
        <v>0</v>
      </c>
      <c r="W21" s="29">
        <f>SUMIFS([0]!ind,[0]!municipio,$B19,[0]!turno,W$2)</f>
        <v>0</v>
      </c>
    </row>
    <row r="22" spans="2:23" ht="15" customHeight="1" thickBot="1" x14ac:dyDescent="0.3">
      <c r="B22" s="21">
        <v>6.751592356687898E-2</v>
      </c>
      <c r="C22" s="10" t="s">
        <v>0</v>
      </c>
      <c r="D22" s="47">
        <f>IF((E19+E20+E21+E22)=0,0,E22/(E19+E20+E21+E22))</f>
        <v>0</v>
      </c>
      <c r="E22" s="11">
        <f t="shared" si="1"/>
        <v>0</v>
      </c>
      <c r="F22" s="11">
        <f>SUMIFS([0]!otro,[0]!municipio,$B19,[0]!turno,F$2)</f>
        <v>0</v>
      </c>
      <c r="G22" s="11">
        <f>SUMIFS([0]!otro,[0]!municipio,$B19,[0]!turno,G$2)</f>
        <v>0</v>
      </c>
      <c r="H22" s="11">
        <f>SUMIFS([0]!otro,[0]!municipio,$B19,[0]!turno,H$2)</f>
        <v>0</v>
      </c>
      <c r="I22" s="11">
        <f>SUMIFS([0]!otro,[0]!municipio,$B19,[0]!turno,I$2)</f>
        <v>0</v>
      </c>
      <c r="J22" s="11">
        <f>SUMIFS([0]!otro,[0]!municipio,$B19,[0]!turno,J$2)</f>
        <v>0</v>
      </c>
      <c r="K22" s="11">
        <f>SUMIFS([0]!otro,[0]!municipio,$B19,[0]!turno,K$2)</f>
        <v>0</v>
      </c>
      <c r="L22" s="11">
        <f>SUMIFS([0]!otro,[0]!municipio,$B19,[0]!turno,L$2)</f>
        <v>0</v>
      </c>
      <c r="M22" s="11">
        <f>SUMIFS([0]!otro,[0]!municipio,$B19,[0]!turno,M$2)</f>
        <v>0</v>
      </c>
      <c r="N22" s="11">
        <f>SUMIFS([0]!otro,[0]!municipio,$B19,[0]!turno,N$2)</f>
        <v>0</v>
      </c>
      <c r="O22" s="11">
        <f>SUMIFS([0]!otro,[0]!municipio,$B19,[0]!turno,O$2)</f>
        <v>0</v>
      </c>
      <c r="P22" s="11">
        <f>SUMIFS([0]!otro,[0]!municipio,$B19,[0]!turno,P$2)</f>
        <v>0</v>
      </c>
      <c r="Q22" s="11">
        <f>SUMIFS([0]!otro,[0]!municipio,$B19,[0]!turno,Q$2)</f>
        <v>0</v>
      </c>
      <c r="R22" s="11">
        <f>SUMIFS([0]!otro,[0]!municipio,$B19,[0]!turno,R$2)</f>
        <v>0</v>
      </c>
      <c r="S22" s="11">
        <f>SUMIFS([0]!otro,[0]!municipio,$B19,[0]!turno,S$2)</f>
        <v>0</v>
      </c>
      <c r="T22" s="11">
        <f>SUMIFS([0]!otro,[0]!municipio,$B19,[0]!turno,T$2)</f>
        <v>0</v>
      </c>
      <c r="U22" s="11">
        <f>SUMIFS([0]!otro,[0]!municipio,$B19,[0]!turno,U$2)</f>
        <v>0</v>
      </c>
      <c r="V22" s="11">
        <f>SUMIFS([0]!otro,[0]!municipio,$B19,[0]!turno,V$2)</f>
        <v>0</v>
      </c>
      <c r="W22" s="27">
        <f>SUMIFS([0]!otro,[0]!municipio,$B19,[0]!turno,W$2)</f>
        <v>0</v>
      </c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</sheetData>
  <mergeCells count="5">
    <mergeCell ref="B8:B9"/>
    <mergeCell ref="B12:B13"/>
    <mergeCell ref="B16:B17"/>
    <mergeCell ref="B20:B21"/>
    <mergeCell ref="B4:B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B1:W424"/>
  <sheetViews>
    <sheetView workbookViewId="0">
      <selection activeCell="C28" sqref="C28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102</v>
      </c>
      <c r="C3" s="8" t="s">
        <v>106</v>
      </c>
      <c r="D3" s="36">
        <f>IF((E3+E4+E5)=0,0,E3/(E3+E4+E5))</f>
        <v>0.51270207852193994</v>
      </c>
      <c r="E3" s="9">
        <f t="shared" ref="E3:E20" si="0">SUM(F3:W3)</f>
        <v>222</v>
      </c>
      <c r="F3" s="9">
        <f>SUMIFS([0]!psuv,[0]!municipio,$B3,[0]!turno,F$2)</f>
        <v>0</v>
      </c>
      <c r="G3" s="9">
        <f>SUMIFS([0]!psuv,[0]!municipio,$B3,[0]!turno,G$2)</f>
        <v>18</v>
      </c>
      <c r="H3" s="9">
        <f>SUMIFS([0]!psuv,[0]!municipio,$B3,[0]!turno,H$2)</f>
        <v>16</v>
      </c>
      <c r="I3" s="9">
        <f>SUMIFS([0]!psuv,[0]!municipio,$B3,[0]!turno,I$2)</f>
        <v>21</v>
      </c>
      <c r="J3" s="9">
        <f>SUMIFS([0]!psuv,[0]!municipio,$B3,[0]!turno,J$2)</f>
        <v>22</v>
      </c>
      <c r="K3" s="9">
        <f>SUMIFS([0]!psuv,[0]!municipio,$B3,[0]!turno,K$2)</f>
        <v>28</v>
      </c>
      <c r="L3" s="9">
        <f>SUMIFS([0]!psuv,[0]!municipio,$B3,[0]!turno,L$2)</f>
        <v>28</v>
      </c>
      <c r="M3" s="9">
        <f>SUMIFS([0]!psuv,[0]!municipio,$B3,[0]!turno,M$2)</f>
        <v>13</v>
      </c>
      <c r="N3" s="9">
        <f>SUMIFS([0]!psuv,[0]!municipio,$B3,[0]!turno,N$2)</f>
        <v>19</v>
      </c>
      <c r="O3" s="9">
        <f>SUMIFS([0]!psuv,[0]!municipio,$B3,[0]!turno,O$2)</f>
        <v>21</v>
      </c>
      <c r="P3" s="9">
        <f>SUMIFS([0]!psuv,[0]!municipio,$B3,[0]!turno,P$2)</f>
        <v>26</v>
      </c>
      <c r="Q3" s="9">
        <f>SUMIFS([0]!psuv,[0]!municipio,$B3,[0]!turno,Q$2)</f>
        <v>10</v>
      </c>
      <c r="R3" s="9">
        <f>SUMIFS([0]!psuv,[0]!municipio,$B3,[0]!turno,R$2)</f>
        <v>0</v>
      </c>
      <c r="S3" s="9">
        <f>SUMIFS([0]!psuv,[0]!municipio,$B3,[0]!turno,S$2)</f>
        <v>0</v>
      </c>
      <c r="T3" s="9">
        <f>SUMIFS([0]!psuv,[0]!municipio,$B3,[0]!turno,T$2)</f>
        <v>0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20" t="s">
        <v>72</v>
      </c>
      <c r="C4" s="4" t="s">
        <v>107</v>
      </c>
      <c r="D4" s="37">
        <f>IF((E3+E4+E5)=0,0,E4/(E3+E4+E5))</f>
        <v>0.48036951501154734</v>
      </c>
      <c r="E4" s="5">
        <f t="shared" si="0"/>
        <v>208</v>
      </c>
      <c r="F4" s="5">
        <f>SUMIFS([0]!mud,[0]!municipio,$B3,[0]!turno,F$2)</f>
        <v>0</v>
      </c>
      <c r="G4" s="5">
        <f>SUMIFS([0]!mud,[0]!municipio,$B3,[0]!turno,G$2)</f>
        <v>15</v>
      </c>
      <c r="H4" s="5">
        <f>SUMIFS([0]!mud,[0]!municipio,$B3,[0]!turno,H$2)</f>
        <v>27</v>
      </c>
      <c r="I4" s="5">
        <f>SUMIFS([0]!mud,[0]!municipio,$B3,[0]!turno,I$2)</f>
        <v>18</v>
      </c>
      <c r="J4" s="5">
        <f>SUMIFS([0]!mud,[0]!municipio,$B3,[0]!turno,J$2)</f>
        <v>23</v>
      </c>
      <c r="K4" s="5">
        <f>SUMIFS([0]!mud,[0]!municipio,$B3,[0]!turno,K$2)</f>
        <v>26</v>
      </c>
      <c r="L4" s="5">
        <f>SUMIFS([0]!mud,[0]!municipio,$B3,[0]!turno,L$2)</f>
        <v>21</v>
      </c>
      <c r="M4" s="5">
        <f>SUMIFS([0]!mud,[0]!municipio,$B3,[0]!turno,M$2)</f>
        <v>9</v>
      </c>
      <c r="N4" s="5">
        <f>SUMIFS([0]!mud,[0]!municipio,$B3,[0]!turno,N$2)</f>
        <v>26</v>
      </c>
      <c r="O4" s="5">
        <f>SUMIFS([0]!mud,[0]!municipio,$B3,[0]!turno,O$2)</f>
        <v>15</v>
      </c>
      <c r="P4" s="5">
        <f>SUMIFS([0]!mud,[0]!municipio,$B3,[0]!turno,P$2)</f>
        <v>18</v>
      </c>
      <c r="Q4" s="5">
        <f>SUMIFS([0]!mud,[0]!municipio,$B3,[0]!turno,Q$2)</f>
        <v>10</v>
      </c>
      <c r="R4" s="5">
        <f>SUMIFS([0]!mud,[0]!municipio,$B3,[0]!turno,R$2)</f>
        <v>0</v>
      </c>
      <c r="S4" s="5">
        <f>SUMIFS([0]!mud,[0]!municipio,$B3,[0]!turno,S$2)</f>
        <v>0</v>
      </c>
      <c r="T4" s="5">
        <f>SUMIFS([0]!mud,[0]!municipio,$B3,[0]!turno,T$2)</f>
        <v>0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ht="15.75" thickBot="1" x14ac:dyDescent="0.3">
      <c r="B5" s="21">
        <v>0.1672959217616925</v>
      </c>
      <c r="C5" s="10" t="s">
        <v>0</v>
      </c>
      <c r="D5" s="38">
        <f>IF((E3+E4+E5)=0,0,E5/(E3+E4+E5))</f>
        <v>6.9284064665127024E-3</v>
      </c>
      <c r="E5" s="11">
        <f t="shared" si="0"/>
        <v>3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1</v>
      </c>
      <c r="L5" s="11">
        <f>SUMIFS([0]!otro,[0]!municipio,$B3,[0]!turno,L$2)</f>
        <v>1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1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22">
        <v>103</v>
      </c>
      <c r="C6" s="6" t="s">
        <v>106</v>
      </c>
      <c r="D6" s="36">
        <f>IF((E6+E7+E8)=0,0,E6/(E6+E7+E8))</f>
        <v>0.54303599374021905</v>
      </c>
      <c r="E6" s="7">
        <f t="shared" si="0"/>
        <v>347</v>
      </c>
      <c r="F6" s="7">
        <f>SUMIFS([0]!psuv,[0]!municipio,$B6,[0]!turno,F$2)</f>
        <v>21</v>
      </c>
      <c r="G6" s="7">
        <f>SUMIFS([0]!psuv,[0]!municipio,$B6,[0]!turno,G$2)</f>
        <v>32</v>
      </c>
      <c r="H6" s="7">
        <f>SUMIFS([0]!psuv,[0]!municipio,$B6,[0]!turno,H$2)</f>
        <v>31</v>
      </c>
      <c r="I6" s="7">
        <f>SUMIFS([0]!psuv,[0]!municipio,$B6,[0]!turno,I$2)</f>
        <v>30</v>
      </c>
      <c r="J6" s="7">
        <f>SUMIFS([0]!psuv,[0]!municipio,$B6,[0]!turno,J$2)</f>
        <v>27</v>
      </c>
      <c r="K6" s="7">
        <f>SUMIFS([0]!psuv,[0]!municipio,$B6,[0]!turno,K$2)</f>
        <v>14</v>
      </c>
      <c r="L6" s="7">
        <f>SUMIFS([0]!psuv,[0]!municipio,$B6,[0]!turno,L$2)</f>
        <v>7</v>
      </c>
      <c r="M6" s="7">
        <f>SUMIFS([0]!psuv,[0]!municipio,$B6,[0]!turno,M$2)</f>
        <v>29</v>
      </c>
      <c r="N6" s="7">
        <f>SUMIFS([0]!psuv,[0]!municipio,$B6,[0]!turno,N$2)</f>
        <v>19</v>
      </c>
      <c r="O6" s="7">
        <f>SUMIFS([0]!psuv,[0]!municipio,$B6,[0]!turno,O$2)</f>
        <v>32</v>
      </c>
      <c r="P6" s="7">
        <f>SUMIFS([0]!psuv,[0]!municipio,$B6,[0]!turno,P$2)</f>
        <v>16</v>
      </c>
      <c r="Q6" s="7">
        <f>SUMIFS([0]!psuv,[0]!municipio,$B6,[0]!turno,Q$2)</f>
        <v>30</v>
      </c>
      <c r="R6" s="7">
        <f>SUMIFS([0]!psuv,[0]!municipio,$B6,[0]!turno,R$2)</f>
        <v>12</v>
      </c>
      <c r="S6" s="7">
        <f>SUMIFS([0]!psuv,[0]!municipio,$B6,[0]!turno,S$2)</f>
        <v>12</v>
      </c>
      <c r="T6" s="7">
        <f>SUMIFS([0]!psuv,[0]!municipio,$B6,[0]!turno,T$2)</f>
        <v>5</v>
      </c>
      <c r="U6" s="7">
        <f>SUMIFS([0]!psuv,[0]!municipio,$B6,[0]!turno,U$2)</f>
        <v>9</v>
      </c>
      <c r="V6" s="7">
        <f>SUMIFS([0]!psuv,[0]!municipio,$B6,[0]!turno,V$2)</f>
        <v>8</v>
      </c>
      <c r="W6" s="28">
        <f>SUMIFS([0]!psuv,[0]!municipio,$B6,[0]!turno,W$2)</f>
        <v>13</v>
      </c>
    </row>
    <row r="7" spans="2:23" x14ac:dyDescent="0.25">
      <c r="B7" s="23" t="s">
        <v>73</v>
      </c>
      <c r="C7" s="4" t="s">
        <v>107</v>
      </c>
      <c r="D7" s="37">
        <f>IF((E6+E7+E8)=0,0,E7/(E6+E7+E8))</f>
        <v>0.44131455399061031</v>
      </c>
      <c r="E7" s="5">
        <f t="shared" si="0"/>
        <v>282</v>
      </c>
      <c r="F7" s="5">
        <f>SUMIFS([0]!mud,[0]!municipio,$B6,[0]!turno,F$2)</f>
        <v>23</v>
      </c>
      <c r="G7" s="5">
        <f>SUMIFS([0]!mud,[0]!municipio,$B6,[0]!turno,G$2)</f>
        <v>17</v>
      </c>
      <c r="H7" s="5">
        <f>SUMIFS([0]!mud,[0]!municipio,$B6,[0]!turno,H$2)</f>
        <v>22</v>
      </c>
      <c r="I7" s="5">
        <f>SUMIFS([0]!mud,[0]!municipio,$B6,[0]!turno,I$2)</f>
        <v>21</v>
      </c>
      <c r="J7" s="5">
        <f>SUMIFS([0]!mud,[0]!municipio,$B6,[0]!turno,J$2)</f>
        <v>17</v>
      </c>
      <c r="K7" s="5">
        <f>SUMIFS([0]!mud,[0]!municipio,$B6,[0]!turno,K$2)</f>
        <v>12</v>
      </c>
      <c r="L7" s="5">
        <f>SUMIFS([0]!mud,[0]!municipio,$B6,[0]!turno,L$2)</f>
        <v>21</v>
      </c>
      <c r="M7" s="5">
        <f>SUMIFS([0]!mud,[0]!municipio,$B6,[0]!turno,M$2)</f>
        <v>21</v>
      </c>
      <c r="N7" s="5">
        <f>SUMIFS([0]!mud,[0]!municipio,$B6,[0]!turno,N$2)</f>
        <v>26</v>
      </c>
      <c r="O7" s="5">
        <f>SUMIFS([0]!mud,[0]!municipio,$B6,[0]!turno,O$2)</f>
        <v>19</v>
      </c>
      <c r="P7" s="5">
        <f>SUMIFS([0]!mud,[0]!municipio,$B6,[0]!turno,P$2)</f>
        <v>14</v>
      </c>
      <c r="Q7" s="5">
        <f>SUMIFS([0]!mud,[0]!municipio,$B6,[0]!turno,Q$2)</f>
        <v>22</v>
      </c>
      <c r="R7" s="5">
        <f>SUMIFS([0]!mud,[0]!municipio,$B6,[0]!turno,R$2)</f>
        <v>10</v>
      </c>
      <c r="S7" s="5">
        <f>SUMIFS([0]!mud,[0]!municipio,$B6,[0]!turno,S$2)</f>
        <v>9</v>
      </c>
      <c r="T7" s="5">
        <f>SUMIFS([0]!mud,[0]!municipio,$B6,[0]!turno,T$2)</f>
        <v>8</v>
      </c>
      <c r="U7" s="5">
        <f>SUMIFS([0]!mud,[0]!municipio,$B6,[0]!turno,U$2)</f>
        <v>6</v>
      </c>
      <c r="V7" s="5">
        <f>SUMIFS([0]!mud,[0]!municipio,$B6,[0]!turno,V$2)</f>
        <v>5</v>
      </c>
      <c r="W7" s="26">
        <f>SUMIFS([0]!mud,[0]!municipio,$B6,[0]!turno,W$2)</f>
        <v>9</v>
      </c>
    </row>
    <row r="8" spans="2:23" ht="15.75" thickBot="1" x14ac:dyDescent="0.3">
      <c r="B8" s="24">
        <v>0.15811073780852905</v>
      </c>
      <c r="C8" s="12" t="s">
        <v>0</v>
      </c>
      <c r="D8" s="38">
        <f>IF((E6+E7+E8)=0,0,E8/(E6+E7+E8))</f>
        <v>1.5649452269170579E-2</v>
      </c>
      <c r="E8" s="13">
        <f t="shared" si="0"/>
        <v>10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6</v>
      </c>
      <c r="K8" s="13">
        <f>SUMIFS([0]!otro,[0]!municipio,$B6,[0]!turno,K$2)</f>
        <v>0</v>
      </c>
      <c r="L8" s="13">
        <f>SUMIFS([0]!otro,[0]!municipio,$B6,[0]!turno,L$2)</f>
        <v>1</v>
      </c>
      <c r="M8" s="13">
        <f>SUMIFS([0]!otro,[0]!municipio,$B6,[0]!turno,M$2)</f>
        <v>1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1</v>
      </c>
      <c r="T8" s="13">
        <f>SUMIFS([0]!otro,[0]!municipio,$B6,[0]!turno,T$2)</f>
        <v>0</v>
      </c>
      <c r="U8" s="13">
        <f>SUMIFS([0]!otro,[0]!municipio,$B6,[0]!turno,U$2)</f>
        <v>1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x14ac:dyDescent="0.25">
      <c r="B9" s="19">
        <v>104</v>
      </c>
      <c r="C9" s="8" t="s">
        <v>106</v>
      </c>
      <c r="D9" s="36">
        <f>IF((E9+E10+E11)=0,0,E9/(E9+E10+E11))</f>
        <v>0.58104738154613467</v>
      </c>
      <c r="E9" s="9">
        <f t="shared" si="0"/>
        <v>233</v>
      </c>
      <c r="F9" s="9">
        <f>SUMIFS([0]!psuv,[0]!municipio,$B9,[0]!turno,F$2)</f>
        <v>5</v>
      </c>
      <c r="G9" s="9">
        <f>SUMIFS([0]!psuv,[0]!municipio,$B9,[0]!turno,G$2)</f>
        <v>0</v>
      </c>
      <c r="H9" s="9">
        <f>SUMIFS([0]!psuv,[0]!municipio,$B9,[0]!turno,H$2)</f>
        <v>11</v>
      </c>
      <c r="I9" s="9">
        <f>SUMIFS([0]!psuv,[0]!municipio,$B9,[0]!turno,I$2)</f>
        <v>15</v>
      </c>
      <c r="J9" s="9">
        <f>SUMIFS([0]!psuv,[0]!municipio,$B9,[0]!turno,J$2)</f>
        <v>14</v>
      </c>
      <c r="K9" s="9">
        <f>SUMIFS([0]!psuv,[0]!municipio,$B9,[0]!turno,K$2)</f>
        <v>17</v>
      </c>
      <c r="L9" s="9">
        <f>SUMIFS([0]!psuv,[0]!municipio,$B9,[0]!turno,L$2)</f>
        <v>20</v>
      </c>
      <c r="M9" s="9">
        <f>SUMIFS([0]!psuv,[0]!municipio,$B9,[0]!turno,M$2)</f>
        <v>14</v>
      </c>
      <c r="N9" s="9">
        <f>SUMIFS([0]!psuv,[0]!municipio,$B9,[0]!turno,N$2)</f>
        <v>15</v>
      </c>
      <c r="O9" s="9">
        <f>SUMIFS([0]!psuv,[0]!municipio,$B9,[0]!turno,O$2)</f>
        <v>19</v>
      </c>
      <c r="P9" s="9">
        <f>SUMIFS([0]!psuv,[0]!municipio,$B9,[0]!turno,P$2)</f>
        <v>11</v>
      </c>
      <c r="Q9" s="9">
        <f>SUMIFS([0]!psuv,[0]!municipio,$B9,[0]!turno,Q$2)</f>
        <v>13</v>
      </c>
      <c r="R9" s="9">
        <f>SUMIFS([0]!psuv,[0]!municipio,$B9,[0]!turno,R$2)</f>
        <v>12</v>
      </c>
      <c r="S9" s="9">
        <f>SUMIFS([0]!psuv,[0]!municipio,$B9,[0]!turno,S$2)</f>
        <v>14</v>
      </c>
      <c r="T9" s="9">
        <f>SUMIFS([0]!psuv,[0]!municipio,$B9,[0]!turno,T$2)</f>
        <v>14</v>
      </c>
      <c r="U9" s="9">
        <f>SUMIFS([0]!psuv,[0]!municipio,$B9,[0]!turno,U$2)</f>
        <v>14</v>
      </c>
      <c r="V9" s="9">
        <f>SUMIFS([0]!psuv,[0]!municipio,$B9,[0]!turno,V$2)</f>
        <v>12</v>
      </c>
      <c r="W9" s="25">
        <f>SUMIFS([0]!psuv,[0]!municipio,$B9,[0]!turno,W$2)</f>
        <v>13</v>
      </c>
    </row>
    <row r="10" spans="2:23" x14ac:dyDescent="0.25">
      <c r="B10" s="20" t="s">
        <v>193</v>
      </c>
      <c r="C10" s="4" t="s">
        <v>107</v>
      </c>
      <c r="D10" s="37">
        <f>IF((E9+E10+E11)=0,0,E10/(E9+E10+E11))</f>
        <v>0.41895261845386533</v>
      </c>
      <c r="E10" s="5">
        <f t="shared" si="0"/>
        <v>168</v>
      </c>
      <c r="F10" s="5">
        <f>SUMIFS([0]!mud,[0]!municipio,$B9,[0]!turno,F$2)</f>
        <v>8</v>
      </c>
      <c r="G10" s="5">
        <f>SUMIFS([0]!mud,[0]!municipio,$B9,[0]!turno,G$2)</f>
        <v>0</v>
      </c>
      <c r="H10" s="5">
        <f>SUMIFS([0]!mud,[0]!municipio,$B9,[0]!turno,H$2)</f>
        <v>2</v>
      </c>
      <c r="I10" s="5">
        <f>SUMIFS([0]!mud,[0]!municipio,$B9,[0]!turno,I$2)</f>
        <v>15</v>
      </c>
      <c r="J10" s="5">
        <f>SUMIFS([0]!mud,[0]!municipio,$B9,[0]!turno,J$2)</f>
        <v>16</v>
      </c>
      <c r="K10" s="5">
        <f>SUMIFS([0]!mud,[0]!municipio,$B9,[0]!turno,K$2)</f>
        <v>13</v>
      </c>
      <c r="L10" s="5">
        <f>SUMIFS([0]!mud,[0]!municipio,$B9,[0]!turno,L$2)</f>
        <v>10</v>
      </c>
      <c r="M10" s="5">
        <f>SUMIFS([0]!mud,[0]!municipio,$B9,[0]!turno,M$2)</f>
        <v>16</v>
      </c>
      <c r="N10" s="5">
        <f>SUMIFS([0]!mud,[0]!municipio,$B9,[0]!turno,N$2)</f>
        <v>10</v>
      </c>
      <c r="O10" s="5">
        <f>SUMIFS([0]!mud,[0]!municipio,$B9,[0]!turno,O$2)</f>
        <v>11</v>
      </c>
      <c r="P10" s="5">
        <f>SUMIFS([0]!mud,[0]!municipio,$B9,[0]!turno,P$2)</f>
        <v>8</v>
      </c>
      <c r="Q10" s="5">
        <f>SUMIFS([0]!mud,[0]!municipio,$B9,[0]!turno,Q$2)</f>
        <v>11</v>
      </c>
      <c r="R10" s="5">
        <f>SUMIFS([0]!mud,[0]!municipio,$B9,[0]!turno,R$2)</f>
        <v>8</v>
      </c>
      <c r="S10" s="5">
        <f>SUMIFS([0]!mud,[0]!municipio,$B9,[0]!turno,S$2)</f>
        <v>9</v>
      </c>
      <c r="T10" s="5">
        <f>SUMIFS([0]!mud,[0]!municipio,$B9,[0]!turno,T$2)</f>
        <v>8</v>
      </c>
      <c r="U10" s="5">
        <f>SUMIFS([0]!mud,[0]!municipio,$B9,[0]!turno,U$2)</f>
        <v>8</v>
      </c>
      <c r="V10" s="5">
        <f>SUMIFS([0]!mud,[0]!municipio,$B9,[0]!turno,V$2)</f>
        <v>7</v>
      </c>
      <c r="W10" s="26">
        <f>SUMIFS([0]!mud,[0]!municipio,$B9,[0]!turno,W$2)</f>
        <v>8</v>
      </c>
    </row>
    <row r="11" spans="2:23" ht="15.75" thickBot="1" x14ac:dyDescent="0.3">
      <c r="B11" s="21">
        <v>0.11000598762557381</v>
      </c>
      <c r="C11" s="10" t="s">
        <v>0</v>
      </c>
      <c r="D11" s="38">
        <f>IF((E9+E10+E11)=0,0,E11/(E9+E10+E11))</f>
        <v>0</v>
      </c>
      <c r="E11" s="11">
        <f t="shared" si="0"/>
        <v>0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105</v>
      </c>
      <c r="C12" s="6" t="s">
        <v>106</v>
      </c>
      <c r="D12" s="36">
        <f>IF((E12+E13+E14)=0,0,E12/(E12+E13+E14))</f>
        <v>0.50775193798449614</v>
      </c>
      <c r="E12" s="7">
        <f t="shared" si="0"/>
        <v>131</v>
      </c>
      <c r="F12" s="7">
        <f>SUMIFS([0]!psuv,[0]!municipio,$B12,[0]!turno,F$2)</f>
        <v>0</v>
      </c>
      <c r="G12" s="7">
        <f>SUMIFS([0]!psuv,[0]!municipio,$B12,[0]!turno,G$2)</f>
        <v>10</v>
      </c>
      <c r="H12" s="7">
        <f>SUMIFS([0]!psuv,[0]!municipio,$B12,[0]!turno,H$2)</f>
        <v>15</v>
      </c>
      <c r="I12" s="7">
        <f>SUMIFS([0]!psuv,[0]!municipio,$B12,[0]!turno,I$2)</f>
        <v>10</v>
      </c>
      <c r="J12" s="7">
        <f>SUMIFS([0]!psuv,[0]!municipio,$B12,[0]!turno,J$2)</f>
        <v>15</v>
      </c>
      <c r="K12" s="7">
        <f>SUMIFS([0]!psuv,[0]!municipio,$B12,[0]!turno,K$2)</f>
        <v>7</v>
      </c>
      <c r="L12" s="7">
        <f>SUMIFS([0]!psuv,[0]!municipio,$B12,[0]!turno,L$2)</f>
        <v>10</v>
      </c>
      <c r="M12" s="7">
        <f>SUMIFS([0]!psuv,[0]!municipio,$B12,[0]!turno,M$2)</f>
        <v>7</v>
      </c>
      <c r="N12" s="7">
        <f>SUMIFS([0]!psuv,[0]!municipio,$B12,[0]!turno,N$2)</f>
        <v>2</v>
      </c>
      <c r="O12" s="7">
        <f>SUMIFS([0]!psuv,[0]!municipio,$B12,[0]!turno,O$2)</f>
        <v>15</v>
      </c>
      <c r="P12" s="7">
        <f>SUMIFS([0]!psuv,[0]!municipio,$B12,[0]!turno,P$2)</f>
        <v>6</v>
      </c>
      <c r="Q12" s="7">
        <f>SUMIFS([0]!psuv,[0]!municipio,$B12,[0]!turno,Q$2)</f>
        <v>8</v>
      </c>
      <c r="R12" s="7">
        <f>SUMIFS([0]!psuv,[0]!municipio,$B12,[0]!turno,R$2)</f>
        <v>4</v>
      </c>
      <c r="S12" s="7">
        <f>SUMIFS([0]!psuv,[0]!municipio,$B12,[0]!turno,S$2)</f>
        <v>0</v>
      </c>
      <c r="T12" s="7">
        <f>SUMIFS([0]!psuv,[0]!municipio,$B12,[0]!turno,T$2)</f>
        <v>7</v>
      </c>
      <c r="U12" s="7">
        <f>SUMIFS([0]!psuv,[0]!municipio,$B12,[0]!turno,U$2)</f>
        <v>9</v>
      </c>
      <c r="V12" s="7">
        <f>SUMIFS([0]!psuv,[0]!municipio,$B12,[0]!turno,V$2)</f>
        <v>1</v>
      </c>
      <c r="W12" s="28">
        <f>SUMIFS([0]!psuv,[0]!municipio,$B12,[0]!turno,W$2)</f>
        <v>5</v>
      </c>
    </row>
    <row r="13" spans="2:23" x14ac:dyDescent="0.25">
      <c r="B13" s="23" t="s">
        <v>74</v>
      </c>
      <c r="C13" s="4" t="s">
        <v>107</v>
      </c>
      <c r="D13" s="37">
        <f>IF((E12+E13+E14)=0,0,E13/(E12+E13+E14))</f>
        <v>0.44186046511627908</v>
      </c>
      <c r="E13" s="5">
        <f t="shared" si="0"/>
        <v>114</v>
      </c>
      <c r="F13" s="5">
        <f>SUMIFS([0]!mud,[0]!municipio,$B12,[0]!turno,F$2)</f>
        <v>0</v>
      </c>
      <c r="G13" s="5">
        <f>SUMIFS([0]!mud,[0]!municipio,$B12,[0]!turno,G$2)</f>
        <v>5</v>
      </c>
      <c r="H13" s="5">
        <f>SUMIFS([0]!mud,[0]!municipio,$B12,[0]!turno,H$2)</f>
        <v>22</v>
      </c>
      <c r="I13" s="5">
        <f>SUMIFS([0]!mud,[0]!municipio,$B12,[0]!turno,I$2)</f>
        <v>20</v>
      </c>
      <c r="J13" s="5">
        <f>SUMIFS([0]!mud,[0]!municipio,$B12,[0]!turno,J$2)</f>
        <v>5</v>
      </c>
      <c r="K13" s="5">
        <f>SUMIFS([0]!mud,[0]!municipio,$B12,[0]!turno,K$2)</f>
        <v>2</v>
      </c>
      <c r="L13" s="5">
        <f>SUMIFS([0]!mud,[0]!municipio,$B12,[0]!turno,L$2)</f>
        <v>3</v>
      </c>
      <c r="M13" s="5">
        <f>SUMIFS([0]!mud,[0]!municipio,$B12,[0]!turno,M$2)</f>
        <v>17</v>
      </c>
      <c r="N13" s="5">
        <f>SUMIFS([0]!mud,[0]!municipio,$B12,[0]!turno,N$2)</f>
        <v>1</v>
      </c>
      <c r="O13" s="5">
        <f>SUMIFS([0]!mud,[0]!municipio,$B12,[0]!turno,O$2)</f>
        <v>9</v>
      </c>
      <c r="P13" s="5">
        <f>SUMIFS([0]!mud,[0]!municipio,$B12,[0]!turno,P$2)</f>
        <v>5</v>
      </c>
      <c r="Q13" s="5">
        <f>SUMIFS([0]!mud,[0]!municipio,$B12,[0]!turno,Q$2)</f>
        <v>11</v>
      </c>
      <c r="R13" s="5">
        <f>SUMIFS([0]!mud,[0]!municipio,$B12,[0]!turno,R$2)</f>
        <v>3</v>
      </c>
      <c r="S13" s="5">
        <f>SUMIFS([0]!mud,[0]!municipio,$B12,[0]!turno,S$2)</f>
        <v>0</v>
      </c>
      <c r="T13" s="5">
        <f>SUMIFS([0]!mud,[0]!municipio,$B12,[0]!turno,T$2)</f>
        <v>2</v>
      </c>
      <c r="U13" s="5">
        <f>SUMIFS([0]!mud,[0]!municipio,$B12,[0]!turno,U$2)</f>
        <v>3</v>
      </c>
      <c r="V13" s="5">
        <f>SUMIFS([0]!mud,[0]!municipio,$B12,[0]!turno,V$2)</f>
        <v>2</v>
      </c>
      <c r="W13" s="26">
        <f>SUMIFS([0]!mud,[0]!municipio,$B12,[0]!turno,W$2)</f>
        <v>4</v>
      </c>
    </row>
    <row r="14" spans="2:23" ht="15.75" thickBot="1" x14ac:dyDescent="0.3">
      <c r="B14" s="24">
        <v>0.14339531634621783</v>
      </c>
      <c r="C14" s="12" t="s">
        <v>0</v>
      </c>
      <c r="D14" s="38">
        <f>IF((E12+E13+E14)=0,0,E14/(E12+E13+E14))</f>
        <v>5.0387596899224806E-2</v>
      </c>
      <c r="E14" s="13">
        <f t="shared" si="0"/>
        <v>13</v>
      </c>
      <c r="F14" s="13">
        <f>SUMIFS([0]!otro,[0]!municipio,$B12,[0]!turno,F$2)</f>
        <v>0</v>
      </c>
      <c r="G14" s="13">
        <f>SUMIFS([0]!otro,[0]!municipio,$B12,[0]!turno,G$2)</f>
        <v>2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2</v>
      </c>
      <c r="K14" s="13">
        <f>SUMIFS([0]!otro,[0]!municipio,$B12,[0]!turno,K$2)</f>
        <v>0</v>
      </c>
      <c r="L14" s="13">
        <f>SUMIFS([0]!otro,[0]!municipio,$B12,[0]!turno,L$2)</f>
        <v>2</v>
      </c>
      <c r="M14" s="13">
        <f>SUMIFS([0]!otro,[0]!municipio,$B12,[0]!turno,M$2)</f>
        <v>0</v>
      </c>
      <c r="N14" s="13">
        <f>SUMIFS([0]!otro,[0]!municipio,$B12,[0]!turno,N$2)</f>
        <v>1</v>
      </c>
      <c r="O14" s="13">
        <f>SUMIFS([0]!otro,[0]!municipio,$B12,[0]!turno,O$2)</f>
        <v>4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1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1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106</v>
      </c>
      <c r="C15" s="8" t="s">
        <v>106</v>
      </c>
      <c r="D15" s="36">
        <f>IF((E15+E16+E17)=0,0,E15/(E15+E16+E17))</f>
        <v>0.55532359081419624</v>
      </c>
      <c r="E15" s="9">
        <f t="shared" si="0"/>
        <v>266</v>
      </c>
      <c r="F15" s="9">
        <f>SUMIFS([0]!psuv,[0]!municipio,$B15,[0]!turno,F$2)</f>
        <v>0</v>
      </c>
      <c r="G15" s="9">
        <f>SUMIFS([0]!psuv,[0]!municipio,$B15,[0]!turno,G$2)</f>
        <v>18</v>
      </c>
      <c r="H15" s="9">
        <f>SUMIFS([0]!psuv,[0]!municipio,$B15,[0]!turno,H$2)</f>
        <v>14</v>
      </c>
      <c r="I15" s="9">
        <f>SUMIFS([0]!psuv,[0]!municipio,$B15,[0]!turno,I$2)</f>
        <v>19</v>
      </c>
      <c r="J15" s="9">
        <f>SUMIFS([0]!psuv,[0]!municipio,$B15,[0]!turno,J$2)</f>
        <v>9</v>
      </c>
      <c r="K15" s="9">
        <f>SUMIFS([0]!psuv,[0]!municipio,$B15,[0]!turno,K$2)</f>
        <v>17</v>
      </c>
      <c r="L15" s="9">
        <f>SUMIFS([0]!psuv,[0]!municipio,$B15,[0]!turno,L$2)</f>
        <v>19</v>
      </c>
      <c r="M15" s="9">
        <f>SUMIFS([0]!psuv,[0]!municipio,$B15,[0]!turno,M$2)</f>
        <v>20</v>
      </c>
      <c r="N15" s="9">
        <f>SUMIFS([0]!psuv,[0]!municipio,$B15,[0]!turno,N$2)</f>
        <v>13</v>
      </c>
      <c r="O15" s="9">
        <f>SUMIFS([0]!psuv,[0]!municipio,$B15,[0]!turno,O$2)</f>
        <v>18</v>
      </c>
      <c r="P15" s="9">
        <f>SUMIFS([0]!psuv,[0]!municipio,$B15,[0]!turno,P$2)</f>
        <v>22</v>
      </c>
      <c r="Q15" s="9">
        <f>SUMIFS([0]!psuv,[0]!municipio,$B15,[0]!turno,Q$2)</f>
        <v>16</v>
      </c>
      <c r="R15" s="9">
        <f>SUMIFS([0]!psuv,[0]!municipio,$B15,[0]!turno,R$2)</f>
        <v>13</v>
      </c>
      <c r="S15" s="9">
        <f>SUMIFS([0]!psuv,[0]!municipio,$B15,[0]!turno,S$2)</f>
        <v>14</v>
      </c>
      <c r="T15" s="9">
        <f>SUMIFS([0]!psuv,[0]!municipio,$B15,[0]!turno,T$2)</f>
        <v>14</v>
      </c>
      <c r="U15" s="9">
        <f>SUMIFS([0]!psuv,[0]!municipio,$B15,[0]!turno,U$2)</f>
        <v>14</v>
      </c>
      <c r="V15" s="9">
        <f>SUMIFS([0]!psuv,[0]!municipio,$B15,[0]!turno,V$2)</f>
        <v>13</v>
      </c>
      <c r="W15" s="25">
        <f>SUMIFS([0]!psuv,[0]!municipio,$B15,[0]!turno,W$2)</f>
        <v>13</v>
      </c>
    </row>
    <row r="16" spans="2:23" x14ac:dyDescent="0.25">
      <c r="B16" s="20" t="s">
        <v>194</v>
      </c>
      <c r="C16" s="4" t="s">
        <v>107</v>
      </c>
      <c r="D16" s="37">
        <f>IF((E15+E16+E17)=0,0,E16/(E15+E16+E17))</f>
        <v>0.44467640918580376</v>
      </c>
      <c r="E16" s="5">
        <f t="shared" si="0"/>
        <v>213</v>
      </c>
      <c r="F16" s="5">
        <f>SUMIFS([0]!mud,[0]!municipio,$B15,[0]!turno,F$2)</f>
        <v>0</v>
      </c>
      <c r="G16" s="5">
        <f>SUMIFS([0]!mud,[0]!municipio,$B15,[0]!turno,G$2)</f>
        <v>12</v>
      </c>
      <c r="H16" s="5">
        <f>SUMIFS([0]!mud,[0]!municipio,$B15,[0]!turno,H$2)</f>
        <v>16</v>
      </c>
      <c r="I16" s="5">
        <f>SUMIFS([0]!mud,[0]!municipio,$B15,[0]!turno,I$2)</f>
        <v>11</v>
      </c>
      <c r="J16" s="5">
        <f>SUMIFS([0]!mud,[0]!municipio,$B15,[0]!turno,J$2)</f>
        <v>21</v>
      </c>
      <c r="K16" s="5">
        <f>SUMIFS([0]!mud,[0]!municipio,$B15,[0]!turno,K$2)</f>
        <v>13</v>
      </c>
      <c r="L16" s="5">
        <f>SUMIFS([0]!mud,[0]!municipio,$B15,[0]!turno,L$2)</f>
        <v>11</v>
      </c>
      <c r="M16" s="5">
        <f>SUMIFS([0]!mud,[0]!municipio,$B15,[0]!turno,M$2)</f>
        <v>10</v>
      </c>
      <c r="N16" s="5">
        <f>SUMIFS([0]!mud,[0]!municipio,$B15,[0]!turno,N$2)</f>
        <v>17</v>
      </c>
      <c r="O16" s="5">
        <f>SUMIFS([0]!mud,[0]!municipio,$B15,[0]!turno,O$2)</f>
        <v>12</v>
      </c>
      <c r="P16" s="5">
        <f>SUMIFS([0]!mud,[0]!municipio,$B15,[0]!turno,P$2)</f>
        <v>8</v>
      </c>
      <c r="Q16" s="5">
        <f>SUMIFS([0]!mud,[0]!municipio,$B15,[0]!turno,Q$2)</f>
        <v>14</v>
      </c>
      <c r="R16" s="5">
        <f>SUMIFS([0]!mud,[0]!municipio,$B15,[0]!turno,R$2)</f>
        <v>17</v>
      </c>
      <c r="S16" s="5">
        <f>SUMIFS([0]!mud,[0]!municipio,$B15,[0]!turno,S$2)</f>
        <v>9</v>
      </c>
      <c r="T16" s="5">
        <f>SUMIFS([0]!mud,[0]!municipio,$B15,[0]!turno,T$2)</f>
        <v>8</v>
      </c>
      <c r="U16" s="5">
        <f>SUMIFS([0]!mud,[0]!municipio,$B15,[0]!turno,U$2)</f>
        <v>8</v>
      </c>
      <c r="V16" s="5">
        <f>SUMIFS([0]!mud,[0]!municipio,$B15,[0]!turno,V$2)</f>
        <v>14</v>
      </c>
      <c r="W16" s="26">
        <f>SUMIFS([0]!mud,[0]!municipio,$B15,[0]!turno,W$2)</f>
        <v>12</v>
      </c>
    </row>
    <row r="17" spans="2:23" ht="15.75" thickBot="1" x14ac:dyDescent="0.3">
      <c r="B17" s="21">
        <v>0.10520341294657708</v>
      </c>
      <c r="C17" s="10" t="s">
        <v>0</v>
      </c>
      <c r="D17" s="38">
        <f>IF((E15+E16+E17)=0,0,E17/(E15+E16+E17))</f>
        <v>0</v>
      </c>
      <c r="E17" s="11">
        <f t="shared" si="0"/>
        <v>0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107</v>
      </c>
      <c r="C18" s="6" t="s">
        <v>106</v>
      </c>
      <c r="D18" s="36">
        <f>IF((E18+E19+E20)=0,0,E18/(E18+E19+E20))</f>
        <v>0.53664921465968585</v>
      </c>
      <c r="E18" s="7">
        <f t="shared" si="0"/>
        <v>205</v>
      </c>
      <c r="F18" s="7">
        <f>SUMIFS([0]!psuv,[0]!municipio,$B18,[0]!turno,F$2)</f>
        <v>6</v>
      </c>
      <c r="G18" s="7">
        <f>SUMIFS([0]!psuv,[0]!municipio,$B18,[0]!turno,G$2)</f>
        <v>0</v>
      </c>
      <c r="H18" s="7">
        <f>SUMIFS([0]!psuv,[0]!municipio,$B18,[0]!turno,H$2)</f>
        <v>8</v>
      </c>
      <c r="I18" s="7">
        <f>SUMIFS([0]!psuv,[0]!municipio,$B18,[0]!turno,I$2)</f>
        <v>21</v>
      </c>
      <c r="J18" s="7">
        <f>SUMIFS([0]!psuv,[0]!municipio,$B18,[0]!turno,J$2)</f>
        <v>19</v>
      </c>
      <c r="K18" s="7">
        <f>SUMIFS([0]!psuv,[0]!municipio,$B18,[0]!turno,K$2)</f>
        <v>11</v>
      </c>
      <c r="L18" s="7">
        <f>SUMIFS([0]!psuv,[0]!municipio,$B18,[0]!turno,L$2)</f>
        <v>13</v>
      </c>
      <c r="M18" s="7">
        <f>SUMIFS([0]!psuv,[0]!municipio,$B18,[0]!turno,M$2)</f>
        <v>8</v>
      </c>
      <c r="N18" s="7">
        <f>SUMIFS([0]!psuv,[0]!municipio,$B18,[0]!turno,N$2)</f>
        <v>12</v>
      </c>
      <c r="O18" s="7">
        <f>SUMIFS([0]!psuv,[0]!municipio,$B18,[0]!turno,O$2)</f>
        <v>8</v>
      </c>
      <c r="P18" s="7">
        <f>SUMIFS([0]!psuv,[0]!municipio,$B18,[0]!turno,P$2)</f>
        <v>8</v>
      </c>
      <c r="Q18" s="7">
        <f>SUMIFS([0]!psuv,[0]!municipio,$B18,[0]!turno,Q$2)</f>
        <v>17</v>
      </c>
      <c r="R18" s="7">
        <f>SUMIFS([0]!psuv,[0]!municipio,$B18,[0]!turno,R$2)</f>
        <v>18</v>
      </c>
      <c r="S18" s="7">
        <f>SUMIFS([0]!psuv,[0]!municipio,$B18,[0]!turno,S$2)</f>
        <v>8</v>
      </c>
      <c r="T18" s="7">
        <f>SUMIFS([0]!psuv,[0]!municipio,$B18,[0]!turno,T$2)</f>
        <v>6</v>
      </c>
      <c r="U18" s="7">
        <f>SUMIFS([0]!psuv,[0]!municipio,$B18,[0]!turno,U$2)</f>
        <v>12</v>
      </c>
      <c r="V18" s="7">
        <f>SUMIFS([0]!psuv,[0]!municipio,$B18,[0]!turno,V$2)</f>
        <v>12</v>
      </c>
      <c r="W18" s="28">
        <f>SUMIFS([0]!psuv,[0]!municipio,$B18,[0]!turno,W$2)</f>
        <v>18</v>
      </c>
    </row>
    <row r="19" spans="2:23" x14ac:dyDescent="0.25">
      <c r="B19" s="23" t="s">
        <v>75</v>
      </c>
      <c r="C19" s="4" t="s">
        <v>107</v>
      </c>
      <c r="D19" s="37">
        <f>IF((E18+E19+E20)=0,0,E19/(E18+E19+E20))</f>
        <v>0.45026178010471202</v>
      </c>
      <c r="E19" s="5">
        <f t="shared" si="0"/>
        <v>172</v>
      </c>
      <c r="F19" s="5">
        <f>SUMIFS([0]!mud,[0]!municipio,$B18,[0]!turno,F$2)</f>
        <v>2</v>
      </c>
      <c r="G19" s="5">
        <f>SUMIFS([0]!mud,[0]!municipio,$B18,[0]!turno,G$2)</f>
        <v>0</v>
      </c>
      <c r="H19" s="5">
        <f>SUMIFS([0]!mud,[0]!municipio,$B18,[0]!turno,H$2)</f>
        <v>11</v>
      </c>
      <c r="I19" s="5">
        <f>SUMIFS([0]!mud,[0]!municipio,$B18,[0]!turno,I$2)</f>
        <v>13</v>
      </c>
      <c r="J19" s="5">
        <f>SUMIFS([0]!mud,[0]!municipio,$B18,[0]!turno,J$2)</f>
        <v>9</v>
      </c>
      <c r="K19" s="5">
        <f>SUMIFS([0]!mud,[0]!municipio,$B18,[0]!turno,K$2)</f>
        <v>12</v>
      </c>
      <c r="L19" s="5">
        <f>SUMIFS([0]!mud,[0]!municipio,$B18,[0]!turno,L$2)</f>
        <v>9</v>
      </c>
      <c r="M19" s="5">
        <f>SUMIFS([0]!mud,[0]!municipio,$B18,[0]!turno,M$2)</f>
        <v>7</v>
      </c>
      <c r="N19" s="5">
        <f>SUMIFS([0]!mud,[0]!municipio,$B18,[0]!turno,N$2)</f>
        <v>12</v>
      </c>
      <c r="O19" s="5">
        <f>SUMIFS([0]!mud,[0]!municipio,$B18,[0]!turno,O$2)</f>
        <v>7</v>
      </c>
      <c r="P19" s="5">
        <f>SUMIFS([0]!mud,[0]!municipio,$B18,[0]!turno,P$2)</f>
        <v>13</v>
      </c>
      <c r="Q19" s="5">
        <f>SUMIFS([0]!mud,[0]!municipio,$B18,[0]!turno,Q$2)</f>
        <v>12</v>
      </c>
      <c r="R19" s="5">
        <f>SUMIFS([0]!mud,[0]!municipio,$B18,[0]!turno,R$2)</f>
        <v>11</v>
      </c>
      <c r="S19" s="5">
        <f>SUMIFS([0]!mud,[0]!municipio,$B18,[0]!turno,S$2)</f>
        <v>10</v>
      </c>
      <c r="T19" s="5">
        <f>SUMIFS([0]!mud,[0]!municipio,$B18,[0]!turno,T$2)</f>
        <v>4</v>
      </c>
      <c r="U19" s="5">
        <f>SUMIFS([0]!mud,[0]!municipio,$B18,[0]!turno,U$2)</f>
        <v>9</v>
      </c>
      <c r="V19" s="5">
        <f>SUMIFS([0]!mud,[0]!municipio,$B18,[0]!turno,V$2)</f>
        <v>11</v>
      </c>
      <c r="W19" s="26">
        <f>SUMIFS([0]!mud,[0]!municipio,$B18,[0]!turno,W$2)</f>
        <v>20</v>
      </c>
    </row>
    <row r="20" spans="2:23" ht="15.75" thickBot="1" x14ac:dyDescent="0.3">
      <c r="B20" s="21">
        <v>0.31598862351140977</v>
      </c>
      <c r="C20" s="10" t="s">
        <v>0</v>
      </c>
      <c r="D20" s="38">
        <f>IF((E18+E19+E20)=0,0,E20/(E18+E19+E20))</f>
        <v>1.3089005235602094E-2</v>
      </c>
      <c r="E20" s="11">
        <f t="shared" si="0"/>
        <v>5</v>
      </c>
      <c r="F20" s="11">
        <f>SUMIFS([0]!otro,[0]!municipio,$B18,[0]!turno,F$2)</f>
        <v>0</v>
      </c>
      <c r="G20" s="11">
        <f>SUMIFS([0]!otro,[0]!municipio,$B18,[0]!turno,G$2)</f>
        <v>0</v>
      </c>
      <c r="H20" s="11">
        <f>SUMIFS([0]!otro,[0]!municipio,$B18,[0]!turno,H$2)</f>
        <v>0</v>
      </c>
      <c r="I20" s="11">
        <f>SUMIFS([0]!otro,[0]!municipio,$B18,[0]!turno,I$2)</f>
        <v>2</v>
      </c>
      <c r="J20" s="11">
        <f>SUMIFS([0]!otro,[0]!municipio,$B18,[0]!turno,J$2)</f>
        <v>0</v>
      </c>
      <c r="K20" s="11">
        <f>SUMIFS([0]!otro,[0]!municipio,$B18,[0]!turno,K$2)</f>
        <v>3</v>
      </c>
      <c r="L20" s="11">
        <f>SUMIFS([0]!otro,[0]!municipio,$B18,[0]!turno,L$2)</f>
        <v>0</v>
      </c>
      <c r="M20" s="11">
        <f>SUMIFS([0]!otro,[0]!municipio,$B18,[0]!turno,M$2)</f>
        <v>0</v>
      </c>
      <c r="N20" s="11">
        <f>SUMIFS([0]!otro,[0]!municipio,$B18,[0]!turno,N$2)</f>
        <v>0</v>
      </c>
      <c r="O20" s="11">
        <f>SUMIFS([0]!otro,[0]!municipio,$B18,[0]!turno,O$2)</f>
        <v>0</v>
      </c>
      <c r="P20" s="11">
        <f>SUMIFS([0]!otro,[0]!municipio,$B18,[0]!turno,P$2)</f>
        <v>0</v>
      </c>
      <c r="Q20" s="11">
        <f>SUMIFS([0]!otro,[0]!municipio,$B18,[0]!turno,Q$2)</f>
        <v>0</v>
      </c>
      <c r="R20" s="11">
        <f>SUMIFS([0]!otro,[0]!municipio,$B18,[0]!turno,R$2)</f>
        <v>0</v>
      </c>
      <c r="S20" s="11">
        <f>SUMIFS([0]!otro,[0]!municipio,$B18,[0]!turno,S$2)</f>
        <v>0</v>
      </c>
      <c r="T20" s="11">
        <f>SUMIFS([0]!otro,[0]!municipio,$B18,[0]!turno,T$2)</f>
        <v>0</v>
      </c>
      <c r="U20" s="11">
        <f>SUMIFS([0]!otro,[0]!municipio,$B18,[0]!turno,U$2)</f>
        <v>0</v>
      </c>
      <c r="V20" s="11">
        <f>SUMIFS([0]!otro,[0]!municipio,$B18,[0]!turno,V$2)</f>
        <v>0</v>
      </c>
      <c r="W20" s="27">
        <f>SUMIFS([0]!otro,[0]!municipio,$B18,[0]!turno,W$2)</f>
        <v>0</v>
      </c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B1:W355"/>
  <sheetViews>
    <sheetView workbookViewId="0"/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108</v>
      </c>
      <c r="C3" s="8" t="s">
        <v>106</v>
      </c>
      <c r="D3" s="36">
        <f>IF((E3+E4+E5)=0,0,E3/(E3+E4+E5))</f>
        <v>0.61233480176211452</v>
      </c>
      <c r="E3" s="9">
        <f t="shared" ref="E3:E23" si="0">SUM(F3:W3)</f>
        <v>139</v>
      </c>
      <c r="F3" s="9">
        <f>SUMIFS([0]!psuv,[0]!municipio,$B3,[0]!turno,F$2)</f>
        <v>0</v>
      </c>
      <c r="G3" s="9">
        <f>SUMIFS([0]!psuv,[0]!municipio,$B3,[0]!turno,G$2)</f>
        <v>0</v>
      </c>
      <c r="H3" s="9">
        <f>SUMIFS([0]!psuv,[0]!municipio,$B3,[0]!turno,H$2)</f>
        <v>3</v>
      </c>
      <c r="I3" s="9">
        <f>SUMIFS([0]!psuv,[0]!municipio,$B3,[0]!turno,I$2)</f>
        <v>2</v>
      </c>
      <c r="J3" s="9">
        <f>SUMIFS([0]!psuv,[0]!municipio,$B3,[0]!turno,J$2)</f>
        <v>16</v>
      </c>
      <c r="K3" s="9">
        <f>SUMIFS([0]!psuv,[0]!municipio,$B3,[0]!turno,K$2)</f>
        <v>16</v>
      </c>
      <c r="L3" s="9">
        <f>SUMIFS([0]!psuv,[0]!municipio,$B3,[0]!turno,L$2)</f>
        <v>12</v>
      </c>
      <c r="M3" s="9">
        <f>SUMIFS([0]!psuv,[0]!municipio,$B3,[0]!turno,M$2)</f>
        <v>9</v>
      </c>
      <c r="N3" s="9">
        <f>SUMIFS([0]!psuv,[0]!municipio,$B3,[0]!turno,N$2)</f>
        <v>10</v>
      </c>
      <c r="O3" s="9">
        <f>SUMIFS([0]!psuv,[0]!municipio,$B3,[0]!turno,O$2)</f>
        <v>8</v>
      </c>
      <c r="P3" s="9">
        <f>SUMIFS([0]!psuv,[0]!municipio,$B3,[0]!turno,P$2)</f>
        <v>8</v>
      </c>
      <c r="Q3" s="9">
        <f>SUMIFS([0]!psuv,[0]!municipio,$B3,[0]!turno,Q$2)</f>
        <v>2</v>
      </c>
      <c r="R3" s="9">
        <f>SUMIFS([0]!psuv,[0]!municipio,$B3,[0]!turno,R$2)</f>
        <v>9</v>
      </c>
      <c r="S3" s="9">
        <f>SUMIFS([0]!psuv,[0]!municipio,$B3,[0]!turno,S$2)</f>
        <v>7</v>
      </c>
      <c r="T3" s="9">
        <f>SUMIFS([0]!psuv,[0]!municipio,$B3,[0]!turno,T$2)</f>
        <v>8</v>
      </c>
      <c r="U3" s="9">
        <f>SUMIFS([0]!psuv,[0]!municipio,$B3,[0]!turno,U$2)</f>
        <v>8</v>
      </c>
      <c r="V3" s="9">
        <f>SUMIFS([0]!psuv,[0]!municipio,$B3,[0]!turno,V$2)</f>
        <v>11</v>
      </c>
      <c r="W3" s="25">
        <f>SUMIFS([0]!psuv,[0]!municipio,$B3,[0]!turno,W$2)</f>
        <v>10</v>
      </c>
    </row>
    <row r="4" spans="2:23" x14ac:dyDescent="0.25">
      <c r="B4" s="20" t="s">
        <v>77</v>
      </c>
      <c r="C4" s="4" t="s">
        <v>107</v>
      </c>
      <c r="D4" s="37">
        <f>IF((E3+E4+E5)=0,0,E4/(E3+E4+E5))</f>
        <v>0.17180616740088106</v>
      </c>
      <c r="E4" s="5">
        <f t="shared" si="0"/>
        <v>39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4</v>
      </c>
      <c r="I4" s="5">
        <f>SUMIFS([0]!mud,[0]!municipio,$B3,[0]!turno,I$2)</f>
        <v>0</v>
      </c>
      <c r="J4" s="5">
        <f>SUMIFS([0]!mud,[0]!municipio,$B3,[0]!turno,J$2)</f>
        <v>1</v>
      </c>
      <c r="K4" s="5">
        <f>SUMIFS([0]!mud,[0]!municipio,$B3,[0]!turno,K$2)</f>
        <v>3</v>
      </c>
      <c r="L4" s="5">
        <f>SUMIFS([0]!mud,[0]!municipio,$B3,[0]!turno,L$2)</f>
        <v>2</v>
      </c>
      <c r="M4" s="5">
        <f>SUMIFS([0]!mud,[0]!municipio,$B3,[0]!turno,M$2)</f>
        <v>2</v>
      </c>
      <c r="N4" s="5">
        <f>SUMIFS([0]!mud,[0]!municipio,$B3,[0]!turno,N$2)</f>
        <v>4</v>
      </c>
      <c r="O4" s="5">
        <f>SUMIFS([0]!mud,[0]!municipio,$B3,[0]!turno,O$2)</f>
        <v>5</v>
      </c>
      <c r="P4" s="5">
        <f>SUMIFS([0]!mud,[0]!municipio,$B3,[0]!turno,P$2)</f>
        <v>2</v>
      </c>
      <c r="Q4" s="5">
        <f>SUMIFS([0]!mud,[0]!municipio,$B3,[0]!turno,Q$2)</f>
        <v>1</v>
      </c>
      <c r="R4" s="5">
        <f>SUMIFS([0]!mud,[0]!municipio,$B3,[0]!turno,R$2)</f>
        <v>4</v>
      </c>
      <c r="S4" s="5">
        <f>SUMIFS([0]!mud,[0]!municipio,$B3,[0]!turno,S$2)</f>
        <v>1</v>
      </c>
      <c r="T4" s="5">
        <f>SUMIFS([0]!mud,[0]!municipio,$B3,[0]!turno,T$2)</f>
        <v>1</v>
      </c>
      <c r="U4" s="5">
        <f>SUMIFS([0]!mud,[0]!municipio,$B3,[0]!turno,U$2)</f>
        <v>3</v>
      </c>
      <c r="V4" s="5">
        <f>SUMIFS([0]!mud,[0]!municipio,$B3,[0]!turno,V$2)</f>
        <v>3</v>
      </c>
      <c r="W4" s="26">
        <f>SUMIFS([0]!mud,[0]!municipio,$B3,[0]!turno,W$2)</f>
        <v>3</v>
      </c>
    </row>
    <row r="5" spans="2:23" ht="15.75" thickBot="1" x14ac:dyDescent="0.3">
      <c r="B5" s="21">
        <v>0.18973949992111297</v>
      </c>
      <c r="C5" s="10" t="s">
        <v>0</v>
      </c>
      <c r="D5" s="38">
        <f>IF((E3+E4+E5)=0,0,E5/(E3+E4+E5))</f>
        <v>0.21585903083700442</v>
      </c>
      <c r="E5" s="11">
        <f t="shared" si="0"/>
        <v>49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2</v>
      </c>
      <c r="I5" s="11">
        <f>SUMIFS([0]!otro,[0]!municipio,$B3,[0]!turno,I$2)</f>
        <v>2</v>
      </c>
      <c r="J5" s="11">
        <f>SUMIFS([0]!otro,[0]!municipio,$B3,[0]!turno,J$2)</f>
        <v>2</v>
      </c>
      <c r="K5" s="11">
        <f>SUMIFS([0]!otro,[0]!municipio,$B3,[0]!turno,K$2)</f>
        <v>0</v>
      </c>
      <c r="L5" s="11">
        <f>SUMIFS([0]!otro,[0]!municipio,$B3,[0]!turno,L$2)</f>
        <v>2</v>
      </c>
      <c r="M5" s="11">
        <f>SUMIFS([0]!otro,[0]!municipio,$B3,[0]!turno,M$2)</f>
        <v>1</v>
      </c>
      <c r="N5" s="11">
        <f>SUMIFS([0]!otro,[0]!municipio,$B3,[0]!turno,N$2)</f>
        <v>6</v>
      </c>
      <c r="O5" s="11">
        <f>SUMIFS([0]!otro,[0]!municipio,$B3,[0]!turno,O$2)</f>
        <v>6</v>
      </c>
      <c r="P5" s="11">
        <f>SUMIFS([0]!otro,[0]!municipio,$B3,[0]!turno,P$2)</f>
        <v>4</v>
      </c>
      <c r="Q5" s="11">
        <f>SUMIFS([0]!otro,[0]!municipio,$B3,[0]!turno,Q$2)</f>
        <v>1</v>
      </c>
      <c r="R5" s="11">
        <f>SUMIFS([0]!otro,[0]!municipio,$B3,[0]!turno,R$2)</f>
        <v>3</v>
      </c>
      <c r="S5" s="11">
        <f>SUMIFS([0]!otro,[0]!municipio,$B3,[0]!turno,S$2)</f>
        <v>0</v>
      </c>
      <c r="T5" s="11">
        <f>SUMIFS([0]!otro,[0]!municipio,$B3,[0]!turno,T$2)</f>
        <v>6</v>
      </c>
      <c r="U5" s="11">
        <f>SUMIFS([0]!otro,[0]!municipio,$B3,[0]!turno,U$2)</f>
        <v>5</v>
      </c>
      <c r="V5" s="11">
        <f>SUMIFS([0]!otro,[0]!municipio,$B3,[0]!turno,V$2)</f>
        <v>4</v>
      </c>
      <c r="W5" s="27">
        <f>SUMIFS([0]!otro,[0]!municipio,$B3,[0]!turno,W$2)</f>
        <v>5</v>
      </c>
    </row>
    <row r="6" spans="2:23" x14ac:dyDescent="0.25">
      <c r="B6" s="22">
        <v>109</v>
      </c>
      <c r="C6" s="6" t="s">
        <v>106</v>
      </c>
      <c r="D6" s="36">
        <f>IF((E6+E7+E8)=0,0,E6/(E6+E7+E8))</f>
        <v>0.66519823788546251</v>
      </c>
      <c r="E6" s="7">
        <f t="shared" si="0"/>
        <v>151</v>
      </c>
      <c r="F6" s="7">
        <f>SUMIFS([0]!psuv,[0]!municipio,$B6,[0]!turno,F$2)</f>
        <v>0</v>
      </c>
      <c r="G6" s="7">
        <f>SUMIFS([0]!psuv,[0]!municipio,$B6,[0]!turno,G$2)</f>
        <v>10</v>
      </c>
      <c r="H6" s="7">
        <f>SUMIFS([0]!psuv,[0]!municipio,$B6,[0]!turno,H$2)</f>
        <v>14</v>
      </c>
      <c r="I6" s="7">
        <f>SUMIFS([0]!psuv,[0]!municipio,$B6,[0]!turno,I$2)</f>
        <v>8</v>
      </c>
      <c r="J6" s="7">
        <f>SUMIFS([0]!psuv,[0]!municipio,$B6,[0]!turno,J$2)</f>
        <v>12</v>
      </c>
      <c r="K6" s="7">
        <f>SUMIFS([0]!psuv,[0]!municipio,$B6,[0]!turno,K$2)</f>
        <v>14</v>
      </c>
      <c r="L6" s="7">
        <f>SUMIFS([0]!psuv,[0]!municipio,$B6,[0]!turno,L$2)</f>
        <v>3</v>
      </c>
      <c r="M6" s="7">
        <f>SUMIFS([0]!psuv,[0]!municipio,$B6,[0]!turno,M$2)</f>
        <v>3</v>
      </c>
      <c r="N6" s="7">
        <f>SUMIFS([0]!psuv,[0]!municipio,$B6,[0]!turno,N$2)</f>
        <v>11</v>
      </c>
      <c r="O6" s="7">
        <f>SUMIFS([0]!psuv,[0]!municipio,$B6,[0]!turno,O$2)</f>
        <v>6</v>
      </c>
      <c r="P6" s="7">
        <f>SUMIFS([0]!psuv,[0]!municipio,$B6,[0]!turno,P$2)</f>
        <v>10</v>
      </c>
      <c r="Q6" s="7">
        <f>SUMIFS([0]!psuv,[0]!municipio,$B6,[0]!turno,Q$2)</f>
        <v>0</v>
      </c>
      <c r="R6" s="7">
        <f>SUMIFS([0]!psuv,[0]!municipio,$B6,[0]!turno,R$2)</f>
        <v>10</v>
      </c>
      <c r="S6" s="7">
        <f>SUMIFS([0]!psuv,[0]!municipio,$B6,[0]!turno,S$2)</f>
        <v>11</v>
      </c>
      <c r="T6" s="7">
        <f>SUMIFS([0]!psuv,[0]!municipio,$B6,[0]!turno,T$2)</f>
        <v>10</v>
      </c>
      <c r="U6" s="7">
        <f>SUMIFS([0]!psuv,[0]!municipio,$B6,[0]!turno,U$2)</f>
        <v>15</v>
      </c>
      <c r="V6" s="7">
        <f>SUMIFS([0]!psuv,[0]!municipio,$B6,[0]!turno,V$2)</f>
        <v>7</v>
      </c>
      <c r="W6" s="28">
        <f>SUMIFS([0]!psuv,[0]!municipio,$B6,[0]!turno,W$2)</f>
        <v>7</v>
      </c>
    </row>
    <row r="7" spans="2:23" x14ac:dyDescent="0.25">
      <c r="B7" s="23" t="s">
        <v>198</v>
      </c>
      <c r="C7" s="4" t="s">
        <v>107</v>
      </c>
      <c r="D7" s="37">
        <f>IF((E6+E7+E8)=0,0,E7/(E6+E7+E8))</f>
        <v>0.16740088105726872</v>
      </c>
      <c r="E7" s="5">
        <f t="shared" si="0"/>
        <v>38</v>
      </c>
      <c r="F7" s="5">
        <f>SUMIFS([0]!mud,[0]!municipio,$B6,[0]!turno,F$2)</f>
        <v>0</v>
      </c>
      <c r="G7" s="5">
        <f>SUMIFS([0]!mud,[0]!municipio,$B6,[0]!turno,G$2)</f>
        <v>4</v>
      </c>
      <c r="H7" s="5">
        <f>SUMIFS([0]!mud,[0]!municipio,$B6,[0]!turno,H$2)</f>
        <v>0</v>
      </c>
      <c r="I7" s="5">
        <f>SUMIFS([0]!mud,[0]!municipio,$B6,[0]!turno,I$2)</f>
        <v>0</v>
      </c>
      <c r="J7" s="5">
        <f>SUMIFS([0]!mud,[0]!municipio,$B6,[0]!turno,J$2)</f>
        <v>0</v>
      </c>
      <c r="K7" s="5">
        <f>SUMIFS([0]!mud,[0]!municipio,$B6,[0]!turno,K$2)</f>
        <v>0</v>
      </c>
      <c r="L7" s="5">
        <f>SUMIFS([0]!mud,[0]!municipio,$B6,[0]!turno,L$2)</f>
        <v>13</v>
      </c>
      <c r="M7" s="5">
        <f>SUMIFS([0]!mud,[0]!municipio,$B6,[0]!turno,M$2)</f>
        <v>11</v>
      </c>
      <c r="N7" s="5">
        <f>SUMIFS([0]!mud,[0]!municipio,$B6,[0]!turno,N$2)</f>
        <v>0</v>
      </c>
      <c r="O7" s="5">
        <f>SUMIFS([0]!mud,[0]!municipio,$B6,[0]!turno,O$2)</f>
        <v>0</v>
      </c>
      <c r="P7" s="5">
        <f>SUMIFS([0]!mud,[0]!municipio,$B6,[0]!turno,P$2)</f>
        <v>0</v>
      </c>
      <c r="Q7" s="5">
        <f>SUMIFS([0]!mud,[0]!municipio,$B6,[0]!turno,Q$2)</f>
        <v>0</v>
      </c>
      <c r="R7" s="5">
        <f>SUMIFS([0]!mud,[0]!municipio,$B6,[0]!turno,R$2)</f>
        <v>1</v>
      </c>
      <c r="S7" s="5">
        <f>SUMIFS([0]!mud,[0]!municipio,$B6,[0]!turno,S$2)</f>
        <v>1</v>
      </c>
      <c r="T7" s="5">
        <f>SUMIFS([0]!mud,[0]!municipio,$B6,[0]!turno,T$2)</f>
        <v>0</v>
      </c>
      <c r="U7" s="5">
        <f>SUMIFS([0]!mud,[0]!municipio,$B6,[0]!turno,U$2)</f>
        <v>0</v>
      </c>
      <c r="V7" s="5">
        <f>SUMIFS([0]!mud,[0]!municipio,$B6,[0]!turno,V$2)</f>
        <v>3</v>
      </c>
      <c r="W7" s="26">
        <f>SUMIFS([0]!mud,[0]!municipio,$B6,[0]!turno,W$2)</f>
        <v>5</v>
      </c>
    </row>
    <row r="8" spans="2:23" ht="15.75" thickBot="1" x14ac:dyDescent="0.3">
      <c r="B8" s="24">
        <v>6.278974771281666E-2</v>
      </c>
      <c r="C8" s="12" t="s">
        <v>0</v>
      </c>
      <c r="D8" s="38">
        <f>IF((E6+E7+E8)=0,0,E8/(E6+E7+E8))</f>
        <v>0.16740088105726872</v>
      </c>
      <c r="E8" s="13">
        <f t="shared" si="0"/>
        <v>38</v>
      </c>
      <c r="F8" s="13">
        <f>SUMIFS([0]!otro,[0]!municipio,$B6,[0]!turno,F$2)</f>
        <v>0</v>
      </c>
      <c r="G8" s="13">
        <f>SUMIFS([0]!otro,[0]!municipio,$B6,[0]!turno,G$2)</f>
        <v>1</v>
      </c>
      <c r="H8" s="13">
        <f>SUMIFS([0]!otro,[0]!municipio,$B6,[0]!turno,H$2)</f>
        <v>7</v>
      </c>
      <c r="I8" s="13">
        <f>SUMIFS([0]!otro,[0]!municipio,$B6,[0]!turno,I$2)</f>
        <v>4</v>
      </c>
      <c r="J8" s="13">
        <f>SUMIFS([0]!otro,[0]!municipio,$B6,[0]!turno,J$2)</f>
        <v>6</v>
      </c>
      <c r="K8" s="13">
        <f>SUMIFS([0]!otro,[0]!municipio,$B6,[0]!turno,K$2)</f>
        <v>2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2</v>
      </c>
      <c r="O8" s="13">
        <f>SUMIFS([0]!otro,[0]!municipio,$B6,[0]!turno,O$2)</f>
        <v>4</v>
      </c>
      <c r="P8" s="13">
        <f>SUMIFS([0]!otro,[0]!municipio,$B6,[0]!turno,P$2)</f>
        <v>0</v>
      </c>
      <c r="Q8" s="13">
        <f>SUMIFS([0]!otro,[0]!municipio,$B6,[0]!turno,Q$2)</f>
        <v>0</v>
      </c>
      <c r="R8" s="13">
        <f>SUMIFS([0]!otro,[0]!municipio,$B6,[0]!turno,R$2)</f>
        <v>0</v>
      </c>
      <c r="S8" s="13">
        <f>SUMIFS([0]!otro,[0]!municipio,$B6,[0]!turno,S$2)</f>
        <v>3</v>
      </c>
      <c r="T8" s="13">
        <f>SUMIFS([0]!otro,[0]!municipio,$B6,[0]!turno,T$2)</f>
        <v>0</v>
      </c>
      <c r="U8" s="13">
        <f>SUMIFS([0]!otro,[0]!municipio,$B6,[0]!turno,U$2)</f>
        <v>3</v>
      </c>
      <c r="V8" s="13">
        <f>SUMIFS([0]!otro,[0]!municipio,$B6,[0]!turno,V$2)</f>
        <v>3</v>
      </c>
      <c r="W8" s="29">
        <f>SUMIFS([0]!otro,[0]!municipio,$B6,[0]!turno,W$2)</f>
        <v>3</v>
      </c>
    </row>
    <row r="9" spans="2:23" x14ac:dyDescent="0.25">
      <c r="B9" s="19">
        <v>110</v>
      </c>
      <c r="C9" s="8" t="s">
        <v>106</v>
      </c>
      <c r="D9" s="36">
        <f>IF((E9+E10+E11)=0,0,E9/(E9+E10+E11))</f>
        <v>0.33638025594149906</v>
      </c>
      <c r="E9" s="9">
        <f t="shared" si="0"/>
        <v>184</v>
      </c>
      <c r="F9" s="9">
        <f>SUMIFS([0]!psuv,[0]!municipio,$B9,[0]!turno,F$2)</f>
        <v>13</v>
      </c>
      <c r="G9" s="9">
        <f>SUMIFS([0]!psuv,[0]!municipio,$B9,[0]!turno,G$2)</f>
        <v>11</v>
      </c>
      <c r="H9" s="9">
        <f>SUMIFS([0]!psuv,[0]!municipio,$B9,[0]!turno,H$2)</f>
        <v>6</v>
      </c>
      <c r="I9" s="9">
        <f>SUMIFS([0]!psuv,[0]!municipio,$B9,[0]!turno,I$2)</f>
        <v>18</v>
      </c>
      <c r="J9" s="9">
        <f>SUMIFS([0]!psuv,[0]!municipio,$B9,[0]!turno,J$2)</f>
        <v>7</v>
      </c>
      <c r="K9" s="9">
        <f>SUMIFS([0]!psuv,[0]!municipio,$B9,[0]!turno,K$2)</f>
        <v>19</v>
      </c>
      <c r="L9" s="9">
        <f>SUMIFS([0]!psuv,[0]!municipio,$B9,[0]!turno,L$2)</f>
        <v>14</v>
      </c>
      <c r="M9" s="9">
        <f>SUMIFS([0]!psuv,[0]!municipio,$B9,[0]!turno,M$2)</f>
        <v>12</v>
      </c>
      <c r="N9" s="9">
        <f>SUMIFS([0]!psuv,[0]!municipio,$B9,[0]!turno,N$2)</f>
        <v>9</v>
      </c>
      <c r="O9" s="9">
        <f>SUMIFS([0]!psuv,[0]!municipio,$B9,[0]!turno,O$2)</f>
        <v>9</v>
      </c>
      <c r="P9" s="9">
        <f>SUMIFS([0]!psuv,[0]!municipio,$B9,[0]!turno,P$2)</f>
        <v>9</v>
      </c>
      <c r="Q9" s="9">
        <f>SUMIFS([0]!psuv,[0]!municipio,$B9,[0]!turno,Q$2)</f>
        <v>15</v>
      </c>
      <c r="R9" s="9">
        <f>SUMIFS([0]!psuv,[0]!municipio,$B9,[0]!turno,R$2)</f>
        <v>5</v>
      </c>
      <c r="S9" s="9">
        <f>SUMIFS([0]!psuv,[0]!municipio,$B9,[0]!turno,S$2)</f>
        <v>8</v>
      </c>
      <c r="T9" s="9">
        <f>SUMIFS([0]!psuv,[0]!municipio,$B9,[0]!turno,T$2)</f>
        <v>4</v>
      </c>
      <c r="U9" s="9">
        <f>SUMIFS([0]!psuv,[0]!municipio,$B9,[0]!turno,U$2)</f>
        <v>3</v>
      </c>
      <c r="V9" s="9">
        <f>SUMIFS([0]!psuv,[0]!municipio,$B9,[0]!turno,V$2)</f>
        <v>11</v>
      </c>
      <c r="W9" s="25">
        <f>SUMIFS([0]!psuv,[0]!municipio,$B9,[0]!turno,W$2)</f>
        <v>11</v>
      </c>
    </row>
    <row r="10" spans="2:23" x14ac:dyDescent="0.25">
      <c r="B10" s="20" t="s">
        <v>78</v>
      </c>
      <c r="C10" s="4" t="s">
        <v>107</v>
      </c>
      <c r="D10" s="37">
        <f>IF((E9+E10+E11)=0,0,E10/(E9+E10+E11))</f>
        <v>0.27970749542961609</v>
      </c>
      <c r="E10" s="5">
        <f t="shared" si="0"/>
        <v>153</v>
      </c>
      <c r="F10" s="5">
        <f>SUMIFS([0]!mud,[0]!municipio,$B9,[0]!turno,F$2)</f>
        <v>9</v>
      </c>
      <c r="G10" s="5">
        <f>SUMIFS([0]!mud,[0]!municipio,$B9,[0]!turno,G$2)</f>
        <v>6</v>
      </c>
      <c r="H10" s="5">
        <f>SUMIFS([0]!mud,[0]!municipio,$B9,[0]!turno,H$2)</f>
        <v>7</v>
      </c>
      <c r="I10" s="5">
        <f>SUMIFS([0]!mud,[0]!municipio,$B9,[0]!turno,I$2)</f>
        <v>18</v>
      </c>
      <c r="J10" s="5">
        <f>SUMIFS([0]!mud,[0]!municipio,$B9,[0]!turno,J$2)</f>
        <v>8</v>
      </c>
      <c r="K10" s="5">
        <f>SUMIFS([0]!mud,[0]!municipio,$B9,[0]!turno,K$2)</f>
        <v>18</v>
      </c>
      <c r="L10" s="5">
        <f>SUMIFS([0]!mud,[0]!municipio,$B9,[0]!turno,L$2)</f>
        <v>10</v>
      </c>
      <c r="M10" s="5">
        <f>SUMIFS([0]!mud,[0]!municipio,$B9,[0]!turno,M$2)</f>
        <v>9</v>
      </c>
      <c r="N10" s="5">
        <f>SUMIFS([0]!mud,[0]!municipio,$B9,[0]!turno,N$2)</f>
        <v>7</v>
      </c>
      <c r="O10" s="5">
        <f>SUMIFS([0]!mud,[0]!municipio,$B9,[0]!turno,O$2)</f>
        <v>7</v>
      </c>
      <c r="P10" s="5">
        <f>SUMIFS([0]!mud,[0]!municipio,$B9,[0]!turno,P$2)</f>
        <v>8</v>
      </c>
      <c r="Q10" s="5">
        <f>SUMIFS([0]!mud,[0]!municipio,$B9,[0]!turno,Q$2)</f>
        <v>10</v>
      </c>
      <c r="R10" s="5">
        <f>SUMIFS([0]!mud,[0]!municipio,$B9,[0]!turno,R$2)</f>
        <v>6</v>
      </c>
      <c r="S10" s="5">
        <f>SUMIFS([0]!mud,[0]!municipio,$B9,[0]!turno,S$2)</f>
        <v>5</v>
      </c>
      <c r="T10" s="5">
        <f>SUMIFS([0]!mud,[0]!municipio,$B9,[0]!turno,T$2)</f>
        <v>5</v>
      </c>
      <c r="U10" s="5">
        <f>SUMIFS([0]!mud,[0]!municipio,$B9,[0]!turno,U$2)</f>
        <v>4</v>
      </c>
      <c r="V10" s="5">
        <f>SUMIFS([0]!mud,[0]!municipio,$B9,[0]!turno,V$2)</f>
        <v>9</v>
      </c>
      <c r="W10" s="26">
        <f>SUMIFS([0]!mud,[0]!municipio,$B9,[0]!turno,W$2)</f>
        <v>7</v>
      </c>
    </row>
    <row r="11" spans="2:23" ht="15.75" thickBot="1" x14ac:dyDescent="0.3">
      <c r="B11" s="21">
        <v>0.26643065398422694</v>
      </c>
      <c r="C11" s="10" t="s">
        <v>0</v>
      </c>
      <c r="D11" s="38">
        <f>IF((E9+E10+E11)=0,0,E11/(E9+E10+E11))</f>
        <v>0.38391224862888484</v>
      </c>
      <c r="E11" s="11">
        <f t="shared" si="0"/>
        <v>210</v>
      </c>
      <c r="F11" s="11">
        <f>SUMIFS([0]!otro,[0]!municipio,$B9,[0]!turno,F$2)</f>
        <v>7</v>
      </c>
      <c r="G11" s="11">
        <f>SUMIFS([0]!otro,[0]!municipio,$B9,[0]!turno,G$2)</f>
        <v>8</v>
      </c>
      <c r="H11" s="11">
        <f>SUMIFS([0]!otro,[0]!municipio,$B9,[0]!turno,H$2)</f>
        <v>11</v>
      </c>
      <c r="I11" s="11">
        <f>SUMIFS([0]!otro,[0]!municipio,$B9,[0]!turno,I$2)</f>
        <v>20</v>
      </c>
      <c r="J11" s="11">
        <f>SUMIFS([0]!otro,[0]!municipio,$B9,[0]!turno,J$2)</f>
        <v>15</v>
      </c>
      <c r="K11" s="11">
        <f>SUMIFS([0]!otro,[0]!municipio,$B9,[0]!turno,K$2)</f>
        <v>25</v>
      </c>
      <c r="L11" s="11">
        <f>SUMIFS([0]!otro,[0]!municipio,$B9,[0]!turno,L$2)</f>
        <v>16</v>
      </c>
      <c r="M11" s="11">
        <f>SUMIFS([0]!otro,[0]!municipio,$B9,[0]!turno,M$2)</f>
        <v>11</v>
      </c>
      <c r="N11" s="11">
        <f>SUMIFS([0]!otro,[0]!municipio,$B9,[0]!turno,N$2)</f>
        <v>12</v>
      </c>
      <c r="O11" s="11">
        <f>SUMIFS([0]!otro,[0]!municipio,$B9,[0]!turno,O$2)</f>
        <v>8</v>
      </c>
      <c r="P11" s="11">
        <f>SUMIFS([0]!otro,[0]!municipio,$B9,[0]!turno,P$2)</f>
        <v>18</v>
      </c>
      <c r="Q11" s="11">
        <f>SUMIFS([0]!otro,[0]!municipio,$B9,[0]!turno,Q$2)</f>
        <v>18</v>
      </c>
      <c r="R11" s="11">
        <f>SUMIFS([0]!otro,[0]!municipio,$B9,[0]!turno,R$2)</f>
        <v>4</v>
      </c>
      <c r="S11" s="11">
        <f>SUMIFS([0]!otro,[0]!municipio,$B9,[0]!turno,S$2)</f>
        <v>6</v>
      </c>
      <c r="T11" s="11">
        <f>SUMIFS([0]!otro,[0]!municipio,$B9,[0]!turno,T$2)</f>
        <v>5</v>
      </c>
      <c r="U11" s="11">
        <f>SUMIFS([0]!otro,[0]!municipio,$B9,[0]!turno,U$2)</f>
        <v>9</v>
      </c>
      <c r="V11" s="11">
        <f>SUMIFS([0]!otro,[0]!municipio,$B9,[0]!turno,V$2)</f>
        <v>8</v>
      </c>
      <c r="W11" s="27">
        <f>SUMIFS([0]!otro,[0]!municipio,$B9,[0]!turno,W$2)</f>
        <v>9</v>
      </c>
    </row>
    <row r="12" spans="2:23" x14ac:dyDescent="0.25">
      <c r="B12" s="22">
        <v>111</v>
      </c>
      <c r="C12" s="6" t="s">
        <v>106</v>
      </c>
      <c r="D12" s="36">
        <f>IF((E12+E13+E14)=0,0,E12/(E12+E13+E14))</f>
        <v>0</v>
      </c>
      <c r="E12" s="7">
        <f t="shared" si="0"/>
        <v>0</v>
      </c>
      <c r="F12" s="7">
        <f>SUMIFS([0]!psuv,[0]!municipio,$B12,[0]!turno,F$2)</f>
        <v>0</v>
      </c>
      <c r="G12" s="7">
        <f>SUMIFS([0]!psuv,[0]!municipio,$B12,[0]!turno,G$2)</f>
        <v>0</v>
      </c>
      <c r="H12" s="7">
        <f>SUMIFS([0]!psuv,[0]!municipio,$B12,[0]!turno,H$2)</f>
        <v>0</v>
      </c>
      <c r="I12" s="7">
        <f>SUMIFS([0]!psuv,[0]!municipio,$B12,[0]!turno,I$2)</f>
        <v>0</v>
      </c>
      <c r="J12" s="7">
        <f>SUMIFS([0]!psuv,[0]!municipio,$B12,[0]!turno,J$2)</f>
        <v>0</v>
      </c>
      <c r="K12" s="7">
        <f>SUMIFS([0]!psuv,[0]!municipio,$B12,[0]!turno,K$2)</f>
        <v>0</v>
      </c>
      <c r="L12" s="7">
        <f>SUMIFS([0]!psuv,[0]!municipio,$B12,[0]!turno,L$2)</f>
        <v>0</v>
      </c>
      <c r="M12" s="7">
        <f>SUMIFS([0]!psuv,[0]!municipio,$B12,[0]!turno,M$2)</f>
        <v>0</v>
      </c>
      <c r="N12" s="7">
        <f>SUMIFS([0]!psuv,[0]!municipio,$B12,[0]!turno,N$2)</f>
        <v>0</v>
      </c>
      <c r="O12" s="7">
        <f>SUMIFS([0]!psuv,[0]!municipio,$B12,[0]!turno,O$2)</f>
        <v>0</v>
      </c>
      <c r="P12" s="7">
        <f>SUMIFS([0]!psuv,[0]!municipio,$B12,[0]!turno,P$2)</f>
        <v>0</v>
      </c>
      <c r="Q12" s="7">
        <f>SUMIFS([0]!psuv,[0]!municipio,$B12,[0]!turno,Q$2)</f>
        <v>0</v>
      </c>
      <c r="R12" s="7">
        <f>SUMIFS([0]!psuv,[0]!municipio,$B12,[0]!turno,R$2)</f>
        <v>0</v>
      </c>
      <c r="S12" s="7">
        <f>SUMIFS([0]!psuv,[0]!municipio,$B12,[0]!turno,S$2)</f>
        <v>0</v>
      </c>
      <c r="T12" s="7">
        <f>SUMIFS([0]!psuv,[0]!municipio,$B12,[0]!turno,T$2)</f>
        <v>0</v>
      </c>
      <c r="U12" s="7">
        <f>SUMIFS([0]!psuv,[0]!municipio,$B12,[0]!turno,U$2)</f>
        <v>0</v>
      </c>
      <c r="V12" s="7">
        <f>SUMIFS([0]!psuv,[0]!municipio,$B12,[0]!turno,V$2)</f>
        <v>0</v>
      </c>
      <c r="W12" s="28">
        <f>SUMIFS([0]!psuv,[0]!municipio,$B12,[0]!turno,W$2)</f>
        <v>0</v>
      </c>
    </row>
    <row r="13" spans="2:23" x14ac:dyDescent="0.25">
      <c r="B13" s="23" t="s">
        <v>199</v>
      </c>
      <c r="C13" s="4" t="s">
        <v>107</v>
      </c>
      <c r="D13" s="37">
        <f>IF((E12+E13+E14)=0,0,E13/(E12+E13+E14))</f>
        <v>0</v>
      </c>
      <c r="E13" s="5">
        <f t="shared" si="0"/>
        <v>0</v>
      </c>
      <c r="F13" s="5">
        <f>SUMIFS([0]!mud,[0]!municipio,$B12,[0]!turno,F$2)</f>
        <v>0</v>
      </c>
      <c r="G13" s="5">
        <f>SUMIFS([0]!mud,[0]!municipio,$B12,[0]!turno,G$2)</f>
        <v>0</v>
      </c>
      <c r="H13" s="5">
        <f>SUMIFS([0]!mud,[0]!municipio,$B12,[0]!turno,H$2)</f>
        <v>0</v>
      </c>
      <c r="I13" s="5">
        <f>SUMIFS([0]!mud,[0]!municipio,$B12,[0]!turno,I$2)</f>
        <v>0</v>
      </c>
      <c r="J13" s="5">
        <f>SUMIFS([0]!mud,[0]!municipio,$B12,[0]!turno,J$2)</f>
        <v>0</v>
      </c>
      <c r="K13" s="5">
        <f>SUMIFS([0]!mud,[0]!municipio,$B12,[0]!turno,K$2)</f>
        <v>0</v>
      </c>
      <c r="L13" s="5">
        <f>SUMIFS([0]!mud,[0]!municipio,$B12,[0]!turno,L$2)</f>
        <v>0</v>
      </c>
      <c r="M13" s="5">
        <f>SUMIFS([0]!mud,[0]!municipio,$B12,[0]!turno,M$2)</f>
        <v>0</v>
      </c>
      <c r="N13" s="5">
        <f>SUMIFS([0]!mud,[0]!municipio,$B12,[0]!turno,N$2)</f>
        <v>0</v>
      </c>
      <c r="O13" s="5">
        <f>SUMIFS([0]!mud,[0]!municipio,$B12,[0]!turno,O$2)</f>
        <v>0</v>
      </c>
      <c r="P13" s="5">
        <f>SUMIFS([0]!mud,[0]!municipio,$B12,[0]!turno,P$2)</f>
        <v>0</v>
      </c>
      <c r="Q13" s="5">
        <f>SUMIFS([0]!mud,[0]!municipio,$B12,[0]!turno,Q$2)</f>
        <v>0</v>
      </c>
      <c r="R13" s="5">
        <f>SUMIFS([0]!mud,[0]!municipio,$B12,[0]!turno,R$2)</f>
        <v>0</v>
      </c>
      <c r="S13" s="5">
        <f>SUMIFS([0]!mud,[0]!municipio,$B12,[0]!turno,S$2)</f>
        <v>0</v>
      </c>
      <c r="T13" s="5">
        <f>SUMIFS([0]!mud,[0]!municipio,$B12,[0]!turno,T$2)</f>
        <v>0</v>
      </c>
      <c r="U13" s="5">
        <f>SUMIFS([0]!mud,[0]!municipio,$B12,[0]!turno,U$2)</f>
        <v>0</v>
      </c>
      <c r="V13" s="5">
        <f>SUMIFS([0]!mud,[0]!municipio,$B12,[0]!turno,V$2)</f>
        <v>0</v>
      </c>
      <c r="W13" s="26">
        <f>SUMIFS([0]!mud,[0]!municipio,$B12,[0]!turno,W$2)</f>
        <v>0</v>
      </c>
    </row>
    <row r="14" spans="2:23" ht="15.75" thickBot="1" x14ac:dyDescent="0.3">
      <c r="B14" s="24">
        <v>5.5086916209013868E-2</v>
      </c>
      <c r="C14" s="12" t="s">
        <v>0</v>
      </c>
      <c r="D14" s="38">
        <f>IF((E12+E13+E14)=0,0,E14/(E12+E13+E14))</f>
        <v>0</v>
      </c>
      <c r="E14" s="13">
        <f t="shared" si="0"/>
        <v>0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0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0</v>
      </c>
      <c r="W14" s="29">
        <f>SUMIFS([0]!otro,[0]!municipio,$B12,[0]!turno,W$2)</f>
        <v>0</v>
      </c>
    </row>
    <row r="15" spans="2:23" x14ac:dyDescent="0.25">
      <c r="B15" s="19">
        <v>112</v>
      </c>
      <c r="C15" s="8" t="s">
        <v>106</v>
      </c>
      <c r="D15" s="36">
        <f>IF((E15+E16+E17)=0,0,E15/(E15+E16+E17))</f>
        <v>0.62932790224032586</v>
      </c>
      <c r="E15" s="9">
        <f t="shared" si="0"/>
        <v>309</v>
      </c>
      <c r="F15" s="9">
        <f>SUMIFS([0]!psuv,[0]!municipio,$B15,[0]!turno,F$2)</f>
        <v>0</v>
      </c>
      <c r="G15" s="9">
        <f>SUMIFS([0]!psuv,[0]!municipio,$B15,[0]!turno,G$2)</f>
        <v>5</v>
      </c>
      <c r="H15" s="9">
        <f>SUMIFS([0]!psuv,[0]!municipio,$B15,[0]!turno,H$2)</f>
        <v>2</v>
      </c>
      <c r="I15" s="9">
        <f>SUMIFS([0]!psuv,[0]!municipio,$B15,[0]!turno,I$2)</f>
        <v>14</v>
      </c>
      <c r="J15" s="9">
        <f>SUMIFS([0]!psuv,[0]!municipio,$B15,[0]!turno,J$2)</f>
        <v>24</v>
      </c>
      <c r="K15" s="9">
        <f>SUMIFS([0]!psuv,[0]!municipio,$B15,[0]!turno,K$2)</f>
        <v>11</v>
      </c>
      <c r="L15" s="9">
        <f>SUMIFS([0]!psuv,[0]!municipio,$B15,[0]!turno,L$2)</f>
        <v>6</v>
      </c>
      <c r="M15" s="9">
        <f>SUMIFS([0]!psuv,[0]!municipio,$B15,[0]!turno,M$2)</f>
        <v>17</v>
      </c>
      <c r="N15" s="9">
        <f>SUMIFS([0]!psuv,[0]!municipio,$B15,[0]!turno,N$2)</f>
        <v>27</v>
      </c>
      <c r="O15" s="9">
        <f>SUMIFS([0]!psuv,[0]!municipio,$B15,[0]!turno,O$2)</f>
        <v>25</v>
      </c>
      <c r="P15" s="9">
        <f>SUMIFS([0]!psuv,[0]!municipio,$B15,[0]!turno,P$2)</f>
        <v>26</v>
      </c>
      <c r="Q15" s="9">
        <f>SUMIFS([0]!psuv,[0]!municipio,$B15,[0]!turno,Q$2)</f>
        <v>10</v>
      </c>
      <c r="R15" s="9">
        <f>SUMIFS([0]!psuv,[0]!municipio,$B15,[0]!turno,R$2)</f>
        <v>17</v>
      </c>
      <c r="S15" s="9">
        <f>SUMIFS([0]!psuv,[0]!municipio,$B15,[0]!turno,S$2)</f>
        <v>27</v>
      </c>
      <c r="T15" s="9">
        <f>SUMIFS([0]!psuv,[0]!municipio,$B15,[0]!turno,T$2)</f>
        <v>14</v>
      </c>
      <c r="U15" s="9">
        <f>SUMIFS([0]!psuv,[0]!municipio,$B15,[0]!turno,U$2)</f>
        <v>32</v>
      </c>
      <c r="V15" s="9">
        <f>SUMIFS([0]!psuv,[0]!municipio,$B15,[0]!turno,V$2)</f>
        <v>23</v>
      </c>
      <c r="W15" s="25">
        <f>SUMIFS([0]!psuv,[0]!municipio,$B15,[0]!turno,W$2)</f>
        <v>29</v>
      </c>
    </row>
    <row r="16" spans="2:23" x14ac:dyDescent="0.25">
      <c r="B16" s="20" t="s">
        <v>13</v>
      </c>
      <c r="C16" s="4" t="s">
        <v>107</v>
      </c>
      <c r="D16" s="37">
        <f>IF((E15+E16+E17)=0,0,E16/(E15+E16+E17))</f>
        <v>0.16293279022403259</v>
      </c>
      <c r="E16" s="5">
        <f t="shared" si="0"/>
        <v>80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1</v>
      </c>
      <c r="I16" s="5">
        <f>SUMIFS([0]!mud,[0]!municipio,$B15,[0]!turno,I$2)</f>
        <v>18</v>
      </c>
      <c r="J16" s="5">
        <f>SUMIFS([0]!mud,[0]!municipio,$B15,[0]!turno,J$2)</f>
        <v>4</v>
      </c>
      <c r="K16" s="5">
        <f>SUMIFS([0]!mud,[0]!municipio,$B15,[0]!turno,K$2)</f>
        <v>11</v>
      </c>
      <c r="L16" s="5">
        <f>SUMIFS([0]!mud,[0]!municipio,$B15,[0]!turno,L$2)</f>
        <v>19</v>
      </c>
      <c r="M16" s="5">
        <f>SUMIFS([0]!mud,[0]!municipio,$B15,[0]!turno,M$2)</f>
        <v>0</v>
      </c>
      <c r="N16" s="5">
        <f>SUMIFS([0]!mud,[0]!municipio,$B15,[0]!turno,N$2)</f>
        <v>2</v>
      </c>
      <c r="O16" s="5">
        <f>SUMIFS([0]!mud,[0]!municipio,$B15,[0]!turno,O$2)</f>
        <v>2</v>
      </c>
      <c r="P16" s="5">
        <f>SUMIFS([0]!mud,[0]!municipio,$B15,[0]!turno,P$2)</f>
        <v>3</v>
      </c>
      <c r="Q16" s="5">
        <f>SUMIFS([0]!mud,[0]!municipio,$B15,[0]!turno,Q$2)</f>
        <v>2</v>
      </c>
      <c r="R16" s="5">
        <f>SUMIFS([0]!mud,[0]!municipio,$B15,[0]!turno,R$2)</f>
        <v>2</v>
      </c>
      <c r="S16" s="5">
        <f>SUMIFS([0]!mud,[0]!municipio,$B15,[0]!turno,S$2)</f>
        <v>4</v>
      </c>
      <c r="T16" s="5">
        <f>SUMIFS([0]!mud,[0]!municipio,$B15,[0]!turno,T$2)</f>
        <v>1</v>
      </c>
      <c r="U16" s="5">
        <f>SUMIFS([0]!mud,[0]!municipio,$B15,[0]!turno,U$2)</f>
        <v>5</v>
      </c>
      <c r="V16" s="5">
        <f>SUMIFS([0]!mud,[0]!municipio,$B15,[0]!turno,V$2)</f>
        <v>5</v>
      </c>
      <c r="W16" s="26">
        <f>SUMIFS([0]!mud,[0]!municipio,$B15,[0]!turno,W$2)</f>
        <v>1</v>
      </c>
    </row>
    <row r="17" spans="2:23" ht="15.75" thickBot="1" x14ac:dyDescent="0.3">
      <c r="B17" s="21">
        <v>0.26551426774471726</v>
      </c>
      <c r="C17" s="10" t="s">
        <v>0</v>
      </c>
      <c r="D17" s="38">
        <f>IF((E15+E16+E17)=0,0,E17/(E15+E16+E17))</f>
        <v>0.20773930753564154</v>
      </c>
      <c r="E17" s="11">
        <f t="shared" si="0"/>
        <v>102</v>
      </c>
      <c r="F17" s="11">
        <f>SUMIFS([0]!otro,[0]!municipio,$B15,[0]!turno,F$2)</f>
        <v>0</v>
      </c>
      <c r="G17" s="11">
        <f>SUMIFS([0]!otro,[0]!municipio,$B15,[0]!turno,G$2)</f>
        <v>1</v>
      </c>
      <c r="H17" s="11">
        <f>SUMIFS([0]!otro,[0]!municipio,$B15,[0]!turno,H$2)</f>
        <v>0</v>
      </c>
      <c r="I17" s="11">
        <f>SUMIFS([0]!otro,[0]!municipio,$B15,[0]!turno,I$2)</f>
        <v>14</v>
      </c>
      <c r="J17" s="11">
        <f>SUMIFS([0]!otro,[0]!municipio,$B15,[0]!turno,J$2)</f>
        <v>12</v>
      </c>
      <c r="K17" s="11">
        <f>SUMIFS([0]!otro,[0]!municipio,$B15,[0]!turno,K$2)</f>
        <v>5</v>
      </c>
      <c r="L17" s="11">
        <f>SUMIFS([0]!otro,[0]!municipio,$B15,[0]!turno,L$2)</f>
        <v>8</v>
      </c>
      <c r="M17" s="11">
        <f>SUMIFS([0]!otro,[0]!municipio,$B15,[0]!turno,M$2)</f>
        <v>1</v>
      </c>
      <c r="N17" s="11">
        <f>SUMIFS([0]!otro,[0]!municipio,$B15,[0]!turno,N$2)</f>
        <v>7</v>
      </c>
      <c r="O17" s="11">
        <f>SUMIFS([0]!otro,[0]!municipio,$B15,[0]!turno,O$2)</f>
        <v>5</v>
      </c>
      <c r="P17" s="11">
        <f>SUMIFS([0]!otro,[0]!municipio,$B15,[0]!turno,P$2)</f>
        <v>6</v>
      </c>
      <c r="Q17" s="11">
        <f>SUMIFS([0]!otro,[0]!municipio,$B15,[0]!turno,Q$2)</f>
        <v>4</v>
      </c>
      <c r="R17" s="11">
        <f>SUMIFS([0]!otro,[0]!municipio,$B15,[0]!turno,R$2)</f>
        <v>7</v>
      </c>
      <c r="S17" s="11">
        <f>SUMIFS([0]!otro,[0]!municipio,$B15,[0]!turno,S$2)</f>
        <v>9</v>
      </c>
      <c r="T17" s="11">
        <f>SUMIFS([0]!otro,[0]!municipio,$B15,[0]!turno,T$2)</f>
        <v>4</v>
      </c>
      <c r="U17" s="11">
        <f>SUMIFS([0]!otro,[0]!municipio,$B15,[0]!turno,U$2)</f>
        <v>7</v>
      </c>
      <c r="V17" s="11">
        <f>SUMIFS([0]!otro,[0]!municipio,$B15,[0]!turno,V$2)</f>
        <v>7</v>
      </c>
      <c r="W17" s="27">
        <f>SUMIFS([0]!otro,[0]!municipio,$B15,[0]!turno,W$2)</f>
        <v>5</v>
      </c>
    </row>
    <row r="18" spans="2:23" x14ac:dyDescent="0.25">
      <c r="B18" s="22">
        <v>113</v>
      </c>
      <c r="C18" s="6" t="s">
        <v>106</v>
      </c>
      <c r="D18" s="36">
        <f>IF((E18+E19+E20)=0,0,E18/(E18+E19+E20))</f>
        <v>0.34239130434782611</v>
      </c>
      <c r="E18" s="7">
        <f t="shared" si="0"/>
        <v>63</v>
      </c>
      <c r="F18" s="7">
        <f>SUMIFS([0]!psuv,[0]!municipio,$B18,[0]!turno,F$2)</f>
        <v>0</v>
      </c>
      <c r="G18" s="7">
        <f>SUMIFS([0]!psuv,[0]!municipio,$B18,[0]!turno,G$2)</f>
        <v>0</v>
      </c>
      <c r="H18" s="7">
        <f>SUMIFS([0]!psuv,[0]!municipio,$B18,[0]!turno,H$2)</f>
        <v>6</v>
      </c>
      <c r="I18" s="7">
        <f>SUMIFS([0]!psuv,[0]!municipio,$B18,[0]!turno,I$2)</f>
        <v>10</v>
      </c>
      <c r="J18" s="7">
        <f>SUMIFS([0]!psuv,[0]!municipio,$B18,[0]!turno,J$2)</f>
        <v>14</v>
      </c>
      <c r="K18" s="7">
        <f>SUMIFS([0]!psuv,[0]!municipio,$B18,[0]!turno,K$2)</f>
        <v>4</v>
      </c>
      <c r="L18" s="7">
        <f>SUMIFS([0]!psuv,[0]!municipio,$B18,[0]!turno,L$2)</f>
        <v>1</v>
      </c>
      <c r="M18" s="7">
        <f>SUMIFS([0]!psuv,[0]!municipio,$B18,[0]!turno,M$2)</f>
        <v>4</v>
      </c>
      <c r="N18" s="7">
        <f>SUMIFS([0]!psuv,[0]!municipio,$B18,[0]!turno,N$2)</f>
        <v>1</v>
      </c>
      <c r="O18" s="7">
        <f>SUMIFS([0]!psuv,[0]!municipio,$B18,[0]!turno,O$2)</f>
        <v>1</v>
      </c>
      <c r="P18" s="7">
        <f>SUMIFS([0]!psuv,[0]!municipio,$B18,[0]!turno,P$2)</f>
        <v>4</v>
      </c>
      <c r="Q18" s="7">
        <f>SUMIFS([0]!psuv,[0]!municipio,$B18,[0]!turno,Q$2)</f>
        <v>5</v>
      </c>
      <c r="R18" s="7">
        <f>SUMIFS([0]!psuv,[0]!municipio,$B18,[0]!turno,R$2)</f>
        <v>3</v>
      </c>
      <c r="S18" s="7">
        <f>SUMIFS([0]!psuv,[0]!municipio,$B18,[0]!turno,S$2)</f>
        <v>0</v>
      </c>
      <c r="T18" s="7">
        <f>SUMIFS([0]!psuv,[0]!municipio,$B18,[0]!turno,T$2)</f>
        <v>1</v>
      </c>
      <c r="U18" s="7">
        <f>SUMIFS([0]!psuv,[0]!municipio,$B18,[0]!turno,U$2)</f>
        <v>2</v>
      </c>
      <c r="V18" s="7">
        <f>SUMIFS([0]!psuv,[0]!municipio,$B18,[0]!turno,V$2)</f>
        <v>3</v>
      </c>
      <c r="W18" s="28">
        <f>SUMIFS([0]!psuv,[0]!municipio,$B18,[0]!turno,W$2)</f>
        <v>4</v>
      </c>
    </row>
    <row r="19" spans="2:23" x14ac:dyDescent="0.25">
      <c r="B19" s="23" t="s">
        <v>19</v>
      </c>
      <c r="C19" s="4" t="s">
        <v>107</v>
      </c>
      <c r="D19" s="37">
        <f>IF((E18+E19+E20)=0,0,E19/(E18+E19+E20))</f>
        <v>0.32065217391304346</v>
      </c>
      <c r="E19" s="5">
        <f t="shared" si="0"/>
        <v>59</v>
      </c>
      <c r="F19" s="5">
        <f>SUMIFS([0]!mud,[0]!municipio,$B18,[0]!turno,F$2)</f>
        <v>0</v>
      </c>
      <c r="G19" s="5">
        <f>SUMIFS([0]!mud,[0]!municipio,$B18,[0]!turno,G$2)</f>
        <v>0</v>
      </c>
      <c r="H19" s="5">
        <f>SUMIFS([0]!mud,[0]!municipio,$B18,[0]!turno,H$2)</f>
        <v>4</v>
      </c>
      <c r="I19" s="5">
        <f>SUMIFS([0]!mud,[0]!municipio,$B18,[0]!turno,I$2)</f>
        <v>8</v>
      </c>
      <c r="J19" s="5">
        <f>SUMIFS([0]!mud,[0]!municipio,$B18,[0]!turno,J$2)</f>
        <v>1</v>
      </c>
      <c r="K19" s="5">
        <f>SUMIFS([0]!mud,[0]!municipio,$B18,[0]!turno,K$2)</f>
        <v>7</v>
      </c>
      <c r="L19" s="5">
        <f>SUMIFS([0]!mud,[0]!municipio,$B18,[0]!turno,L$2)</f>
        <v>0</v>
      </c>
      <c r="M19" s="5">
        <f>SUMIFS([0]!mud,[0]!municipio,$B18,[0]!turno,M$2)</f>
        <v>1</v>
      </c>
      <c r="N19" s="5">
        <f>SUMIFS([0]!mud,[0]!municipio,$B18,[0]!turno,N$2)</f>
        <v>5</v>
      </c>
      <c r="O19" s="5">
        <f>SUMIFS([0]!mud,[0]!municipio,$B18,[0]!turno,O$2)</f>
        <v>0</v>
      </c>
      <c r="P19" s="5">
        <f>SUMIFS([0]!mud,[0]!municipio,$B18,[0]!turno,P$2)</f>
        <v>1</v>
      </c>
      <c r="Q19" s="5">
        <f>SUMIFS([0]!mud,[0]!municipio,$B18,[0]!turno,Q$2)</f>
        <v>4</v>
      </c>
      <c r="R19" s="5">
        <f>SUMIFS([0]!mud,[0]!municipio,$B18,[0]!turno,R$2)</f>
        <v>2</v>
      </c>
      <c r="S19" s="5">
        <f>SUMIFS([0]!mud,[0]!municipio,$B18,[0]!turno,S$2)</f>
        <v>4</v>
      </c>
      <c r="T19" s="5">
        <f>SUMIFS([0]!mud,[0]!municipio,$B18,[0]!turno,T$2)</f>
        <v>4</v>
      </c>
      <c r="U19" s="5">
        <f>SUMIFS([0]!mud,[0]!municipio,$B18,[0]!turno,U$2)</f>
        <v>4</v>
      </c>
      <c r="V19" s="5">
        <f>SUMIFS([0]!mud,[0]!municipio,$B18,[0]!turno,V$2)</f>
        <v>4</v>
      </c>
      <c r="W19" s="26">
        <f>SUMIFS([0]!mud,[0]!municipio,$B18,[0]!turno,W$2)</f>
        <v>10</v>
      </c>
    </row>
    <row r="20" spans="2:23" ht="15.75" thickBot="1" x14ac:dyDescent="0.3">
      <c r="B20" s="24">
        <v>6.884351624316222E-2</v>
      </c>
      <c r="C20" s="12" t="s">
        <v>0</v>
      </c>
      <c r="D20" s="38">
        <f>IF((E18+E19+E20)=0,0,E20/(E18+E19+E20))</f>
        <v>0.33695652173913043</v>
      </c>
      <c r="E20" s="13">
        <f t="shared" si="0"/>
        <v>62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5</v>
      </c>
      <c r="I20" s="13">
        <f>SUMIFS([0]!otro,[0]!municipio,$B18,[0]!turno,I$2)</f>
        <v>7</v>
      </c>
      <c r="J20" s="13">
        <f>SUMIFS([0]!otro,[0]!municipio,$B18,[0]!turno,J$2)</f>
        <v>10</v>
      </c>
      <c r="K20" s="13">
        <f>SUMIFS([0]!otro,[0]!municipio,$B18,[0]!turno,K$2)</f>
        <v>10</v>
      </c>
      <c r="L20" s="13">
        <f>SUMIFS([0]!otro,[0]!municipio,$B18,[0]!turno,L$2)</f>
        <v>2</v>
      </c>
      <c r="M20" s="13">
        <f>SUMIFS([0]!otro,[0]!municipio,$B18,[0]!turno,M$2)</f>
        <v>3</v>
      </c>
      <c r="N20" s="13">
        <f>SUMIFS([0]!otro,[0]!municipio,$B18,[0]!turno,N$2)</f>
        <v>3</v>
      </c>
      <c r="O20" s="13">
        <f>SUMIFS([0]!otro,[0]!municipio,$B18,[0]!turno,O$2)</f>
        <v>2</v>
      </c>
      <c r="P20" s="13">
        <f>SUMIFS([0]!otro,[0]!municipio,$B18,[0]!turno,P$2)</f>
        <v>8</v>
      </c>
      <c r="Q20" s="13">
        <f>SUMIFS([0]!otro,[0]!municipio,$B18,[0]!turno,Q$2)</f>
        <v>1</v>
      </c>
      <c r="R20" s="13">
        <f>SUMIFS([0]!otro,[0]!municipio,$B18,[0]!turno,R$2)</f>
        <v>5</v>
      </c>
      <c r="S20" s="13">
        <f>SUMIFS([0]!otro,[0]!municipio,$B18,[0]!turno,S$2)</f>
        <v>1</v>
      </c>
      <c r="T20" s="13">
        <f>SUMIFS([0]!otro,[0]!municipio,$B18,[0]!turno,T$2)</f>
        <v>2</v>
      </c>
      <c r="U20" s="13">
        <f>SUMIFS([0]!otro,[0]!municipio,$B18,[0]!turno,U$2)</f>
        <v>0</v>
      </c>
      <c r="V20" s="13">
        <f>SUMIFS([0]!otro,[0]!municipio,$B18,[0]!turno,V$2)</f>
        <v>1</v>
      </c>
      <c r="W20" s="29">
        <f>SUMIFS([0]!otro,[0]!municipio,$B18,[0]!turno,W$2)</f>
        <v>2</v>
      </c>
    </row>
    <row r="21" spans="2:23" x14ac:dyDescent="0.25">
      <c r="B21" s="19">
        <v>114</v>
      </c>
      <c r="C21" s="8" t="s">
        <v>106</v>
      </c>
      <c r="D21" s="36">
        <f>IF((E21+E22+E23)=0,0,E21/(E21+E22+E23))</f>
        <v>0.40434782608695652</v>
      </c>
      <c r="E21" s="9">
        <f t="shared" si="0"/>
        <v>93</v>
      </c>
      <c r="F21" s="9">
        <f>SUMIFS([0]!psuv,[0]!municipio,$B21,[0]!turno,F$2)</f>
        <v>0</v>
      </c>
      <c r="G21" s="9">
        <f>SUMIFS([0]!psuv,[0]!municipio,$B21,[0]!turno,G$2)</f>
        <v>0</v>
      </c>
      <c r="H21" s="9">
        <f>SUMIFS([0]!psuv,[0]!municipio,$B21,[0]!turno,H$2)</f>
        <v>0</v>
      </c>
      <c r="I21" s="9">
        <f>SUMIFS([0]!psuv,[0]!municipio,$B21,[0]!turno,I$2)</f>
        <v>0</v>
      </c>
      <c r="J21" s="9">
        <f>SUMIFS([0]!psuv,[0]!municipio,$B21,[0]!turno,J$2)</f>
        <v>9</v>
      </c>
      <c r="K21" s="9">
        <f>SUMIFS([0]!psuv,[0]!municipio,$B21,[0]!turno,K$2)</f>
        <v>9</v>
      </c>
      <c r="L21" s="9">
        <f>SUMIFS([0]!psuv,[0]!municipio,$B21,[0]!turno,L$2)</f>
        <v>8</v>
      </c>
      <c r="M21" s="9">
        <f>SUMIFS([0]!psuv,[0]!municipio,$B21,[0]!turno,M$2)</f>
        <v>9</v>
      </c>
      <c r="N21" s="9">
        <f>SUMIFS([0]!psuv,[0]!municipio,$B21,[0]!turno,N$2)</f>
        <v>10</v>
      </c>
      <c r="O21" s="9">
        <f>SUMIFS([0]!psuv,[0]!municipio,$B21,[0]!turno,O$2)</f>
        <v>5</v>
      </c>
      <c r="P21" s="9">
        <f>SUMIFS([0]!psuv,[0]!municipio,$B21,[0]!turno,P$2)</f>
        <v>5</v>
      </c>
      <c r="Q21" s="9">
        <f>SUMIFS([0]!psuv,[0]!municipio,$B21,[0]!turno,Q$2)</f>
        <v>7</v>
      </c>
      <c r="R21" s="9">
        <f>SUMIFS([0]!psuv,[0]!municipio,$B21,[0]!turno,R$2)</f>
        <v>2</v>
      </c>
      <c r="S21" s="9">
        <f>SUMIFS([0]!psuv,[0]!municipio,$B21,[0]!turno,S$2)</f>
        <v>1</v>
      </c>
      <c r="T21" s="9">
        <f>SUMIFS([0]!psuv,[0]!municipio,$B21,[0]!turno,T$2)</f>
        <v>5</v>
      </c>
      <c r="U21" s="9">
        <f>SUMIFS([0]!psuv,[0]!municipio,$B21,[0]!turno,U$2)</f>
        <v>8</v>
      </c>
      <c r="V21" s="9">
        <f>SUMIFS([0]!psuv,[0]!municipio,$B21,[0]!turno,V$2)</f>
        <v>7</v>
      </c>
      <c r="W21" s="25">
        <f>SUMIFS([0]!psuv,[0]!municipio,$B21,[0]!turno,W$2)</f>
        <v>8</v>
      </c>
    </row>
    <row r="22" spans="2:23" x14ac:dyDescent="0.25">
      <c r="B22" s="20" t="s">
        <v>79</v>
      </c>
      <c r="C22" s="4" t="s">
        <v>107</v>
      </c>
      <c r="D22" s="37">
        <f>IF((E21+E22+E23)=0,0,E22/(E21+E22+E23))</f>
        <v>0.4</v>
      </c>
      <c r="E22" s="5">
        <f t="shared" si="0"/>
        <v>92</v>
      </c>
      <c r="F22" s="5">
        <f>SUMIFS([0]!mud,[0]!municipio,$B21,[0]!turno,F$2)</f>
        <v>0</v>
      </c>
      <c r="G22" s="5">
        <f>SUMIFS([0]!mud,[0]!municipio,$B21,[0]!turno,G$2)</f>
        <v>0</v>
      </c>
      <c r="H22" s="5">
        <f>SUMIFS([0]!mud,[0]!municipio,$B21,[0]!turno,H$2)</f>
        <v>0</v>
      </c>
      <c r="I22" s="5">
        <f>SUMIFS([0]!mud,[0]!municipio,$B21,[0]!turno,I$2)</f>
        <v>0</v>
      </c>
      <c r="J22" s="5">
        <f>SUMIFS([0]!mud,[0]!municipio,$B21,[0]!turno,J$2)</f>
        <v>7</v>
      </c>
      <c r="K22" s="5">
        <f>SUMIFS([0]!mud,[0]!municipio,$B21,[0]!turno,K$2)</f>
        <v>5</v>
      </c>
      <c r="L22" s="5">
        <f>SUMIFS([0]!mud,[0]!municipio,$B21,[0]!turno,L$2)</f>
        <v>15</v>
      </c>
      <c r="M22" s="5">
        <f>SUMIFS([0]!mud,[0]!municipio,$B21,[0]!turno,M$2)</f>
        <v>7</v>
      </c>
      <c r="N22" s="5">
        <f>SUMIFS([0]!mud,[0]!municipio,$B21,[0]!turno,N$2)</f>
        <v>8</v>
      </c>
      <c r="O22" s="5">
        <f>SUMIFS([0]!mud,[0]!municipio,$B21,[0]!turno,O$2)</f>
        <v>10</v>
      </c>
      <c r="P22" s="5">
        <f>SUMIFS([0]!mud,[0]!municipio,$B21,[0]!turno,P$2)</f>
        <v>11</v>
      </c>
      <c r="Q22" s="5">
        <f>SUMIFS([0]!mud,[0]!municipio,$B21,[0]!turno,Q$2)</f>
        <v>8</v>
      </c>
      <c r="R22" s="5">
        <f>SUMIFS([0]!mud,[0]!municipio,$B21,[0]!turno,R$2)</f>
        <v>5</v>
      </c>
      <c r="S22" s="5">
        <f>SUMIFS([0]!mud,[0]!municipio,$B21,[0]!turno,S$2)</f>
        <v>4</v>
      </c>
      <c r="T22" s="5">
        <f>SUMIFS([0]!mud,[0]!municipio,$B21,[0]!turno,T$2)</f>
        <v>1</v>
      </c>
      <c r="U22" s="5">
        <f>SUMIFS([0]!mud,[0]!municipio,$B21,[0]!turno,U$2)</f>
        <v>3</v>
      </c>
      <c r="V22" s="5">
        <f>SUMIFS([0]!mud,[0]!municipio,$B21,[0]!turno,V$2)</f>
        <v>4</v>
      </c>
      <c r="W22" s="26">
        <f>SUMIFS([0]!mud,[0]!municipio,$B21,[0]!turno,W$2)</f>
        <v>4</v>
      </c>
    </row>
    <row r="23" spans="2:23" ht="15.75" thickBot="1" x14ac:dyDescent="0.3">
      <c r="B23" s="21">
        <v>9.1595398184950091E-2</v>
      </c>
      <c r="C23" s="10" t="s">
        <v>0</v>
      </c>
      <c r="D23" s="38">
        <f>IF((E21+E22+E23)=0,0,E23/(E21+E22+E23))</f>
        <v>0.19565217391304349</v>
      </c>
      <c r="E23" s="11">
        <f t="shared" si="0"/>
        <v>45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3</v>
      </c>
      <c r="K23" s="11">
        <f>SUMIFS([0]!otro,[0]!municipio,$B21,[0]!turno,K$2)</f>
        <v>5</v>
      </c>
      <c r="L23" s="11">
        <f>SUMIFS([0]!otro,[0]!municipio,$B21,[0]!turno,L$2)</f>
        <v>5</v>
      </c>
      <c r="M23" s="11">
        <f>SUMIFS([0]!otro,[0]!municipio,$B21,[0]!turno,M$2)</f>
        <v>3</v>
      </c>
      <c r="N23" s="11">
        <f>SUMIFS([0]!otro,[0]!municipio,$B21,[0]!turno,N$2)</f>
        <v>3</v>
      </c>
      <c r="O23" s="11">
        <f>SUMIFS([0]!otro,[0]!municipio,$B21,[0]!turno,O$2)</f>
        <v>1</v>
      </c>
      <c r="P23" s="11">
        <f>SUMIFS([0]!otro,[0]!municipio,$B21,[0]!turno,P$2)</f>
        <v>6</v>
      </c>
      <c r="Q23" s="11">
        <f>SUMIFS([0]!otro,[0]!municipio,$B21,[0]!turno,Q$2)</f>
        <v>2</v>
      </c>
      <c r="R23" s="11">
        <f>SUMIFS([0]!otro,[0]!municipio,$B21,[0]!turno,R$2)</f>
        <v>3</v>
      </c>
      <c r="S23" s="11">
        <f>SUMIFS([0]!otro,[0]!municipio,$B21,[0]!turno,S$2)</f>
        <v>2</v>
      </c>
      <c r="T23" s="11">
        <f>SUMIFS([0]!otro,[0]!municipio,$B21,[0]!turno,T$2)</f>
        <v>6</v>
      </c>
      <c r="U23" s="11">
        <f>SUMIFS([0]!otro,[0]!municipio,$B21,[0]!turno,U$2)</f>
        <v>1</v>
      </c>
      <c r="V23" s="11">
        <f>SUMIFS([0]!otro,[0]!municipio,$B21,[0]!turno,V$2)</f>
        <v>3</v>
      </c>
      <c r="W23" s="27">
        <f>SUMIFS([0]!otro,[0]!municipio,$B21,[0]!turno,W$2)</f>
        <v>2</v>
      </c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B1:W422"/>
  <sheetViews>
    <sheetView workbookViewId="0">
      <selection activeCell="B24" sqref="B24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115</v>
      </c>
      <c r="C3" s="8" t="s">
        <v>106</v>
      </c>
      <c r="D3" s="36">
        <f>IF((E3+E4+E5)=0,0,E3/(E3+E4+E5))</f>
        <v>0.5320754716981132</v>
      </c>
      <c r="E3" s="9">
        <f t="shared" ref="E3:E17" si="0">SUM(F3:W3)</f>
        <v>141</v>
      </c>
      <c r="F3" s="9">
        <f>SUMIFS([0]!psuv,[0]!municipio,$B3,[0]!turno,F$2)</f>
        <v>0</v>
      </c>
      <c r="G3" s="9">
        <f>SUMIFS([0]!psuv,[0]!municipio,$B3,[0]!turno,G$2)</f>
        <v>0</v>
      </c>
      <c r="H3" s="9">
        <f>SUMIFS([0]!psuv,[0]!municipio,$B3,[0]!turno,H$2)</f>
        <v>18</v>
      </c>
      <c r="I3" s="9">
        <f>SUMIFS([0]!psuv,[0]!municipio,$B3,[0]!turno,I$2)</f>
        <v>12</v>
      </c>
      <c r="J3" s="9">
        <f>SUMIFS([0]!psuv,[0]!municipio,$B3,[0]!turno,J$2)</f>
        <v>0</v>
      </c>
      <c r="K3" s="9">
        <f>SUMIFS([0]!psuv,[0]!municipio,$B3,[0]!turno,K$2)</f>
        <v>8</v>
      </c>
      <c r="L3" s="9">
        <f>SUMIFS([0]!psuv,[0]!municipio,$B3,[0]!turno,L$2)</f>
        <v>10</v>
      </c>
      <c r="M3" s="9">
        <f>SUMIFS([0]!psuv,[0]!municipio,$B3,[0]!turno,M$2)</f>
        <v>7</v>
      </c>
      <c r="N3" s="9">
        <f>SUMIFS([0]!psuv,[0]!municipio,$B3,[0]!turno,N$2)</f>
        <v>9</v>
      </c>
      <c r="O3" s="9">
        <f>SUMIFS([0]!psuv,[0]!municipio,$B3,[0]!turno,O$2)</f>
        <v>7</v>
      </c>
      <c r="P3" s="9">
        <f>SUMIFS([0]!psuv,[0]!municipio,$B3,[0]!turno,P$2)</f>
        <v>17</v>
      </c>
      <c r="Q3" s="9">
        <f>SUMIFS([0]!psuv,[0]!municipio,$B3,[0]!turno,Q$2)</f>
        <v>12</v>
      </c>
      <c r="R3" s="9">
        <f>SUMIFS([0]!psuv,[0]!municipio,$B3,[0]!turno,R$2)</f>
        <v>9</v>
      </c>
      <c r="S3" s="9">
        <f>SUMIFS([0]!psuv,[0]!municipio,$B3,[0]!turno,S$2)</f>
        <v>14</v>
      </c>
      <c r="T3" s="9">
        <f>SUMIFS([0]!psuv,[0]!municipio,$B3,[0]!turno,T$2)</f>
        <v>4</v>
      </c>
      <c r="U3" s="9">
        <f>SUMIFS([0]!psuv,[0]!municipio,$B3,[0]!turno,U$2)</f>
        <v>7</v>
      </c>
      <c r="V3" s="9">
        <f>SUMIFS([0]!psuv,[0]!municipio,$B3,[0]!turno,V$2)</f>
        <v>4</v>
      </c>
      <c r="W3" s="25">
        <f>SUMIFS([0]!psuv,[0]!municipio,$B3,[0]!turno,W$2)</f>
        <v>3</v>
      </c>
    </row>
    <row r="4" spans="2:23" x14ac:dyDescent="0.25">
      <c r="B4" s="20" t="s">
        <v>80</v>
      </c>
      <c r="C4" s="4" t="s">
        <v>107</v>
      </c>
      <c r="D4" s="37">
        <f>IF((E3+E4+E5)=0,0,E4/(E3+E4+E5))</f>
        <v>0.39245283018867927</v>
      </c>
      <c r="E4" s="5">
        <f t="shared" si="0"/>
        <v>104</v>
      </c>
      <c r="F4" s="5">
        <f>SUMIFS([0]!mud,[0]!municipio,$B3,[0]!turno,F$2)</f>
        <v>0</v>
      </c>
      <c r="G4" s="5">
        <f>SUMIFS([0]!mud,[0]!municipio,$B3,[0]!turno,G$2)</f>
        <v>0</v>
      </c>
      <c r="H4" s="5">
        <f>SUMIFS([0]!mud,[0]!municipio,$B3,[0]!turno,H$2)</f>
        <v>6</v>
      </c>
      <c r="I4" s="5">
        <f>SUMIFS([0]!mud,[0]!municipio,$B3,[0]!turno,I$2)</f>
        <v>8</v>
      </c>
      <c r="J4" s="5">
        <f>SUMIFS([0]!mud,[0]!municipio,$B3,[0]!turno,J$2)</f>
        <v>0</v>
      </c>
      <c r="K4" s="5">
        <f>SUMIFS([0]!mud,[0]!municipio,$B3,[0]!turno,K$2)</f>
        <v>12</v>
      </c>
      <c r="L4" s="5">
        <f>SUMIFS([0]!mud,[0]!municipio,$B3,[0]!turno,L$2)</f>
        <v>6</v>
      </c>
      <c r="M4" s="5">
        <f>SUMIFS([0]!mud,[0]!municipio,$B3,[0]!turno,M$2)</f>
        <v>14</v>
      </c>
      <c r="N4" s="5">
        <f>SUMIFS([0]!mud,[0]!municipio,$B3,[0]!turno,N$2)</f>
        <v>6</v>
      </c>
      <c r="O4" s="5">
        <f>SUMIFS([0]!mud,[0]!municipio,$B3,[0]!turno,O$2)</f>
        <v>11</v>
      </c>
      <c r="P4" s="5">
        <f>SUMIFS([0]!mud,[0]!municipio,$B3,[0]!turno,P$2)</f>
        <v>6</v>
      </c>
      <c r="Q4" s="5">
        <f>SUMIFS([0]!mud,[0]!municipio,$B3,[0]!turno,Q$2)</f>
        <v>13</v>
      </c>
      <c r="R4" s="5">
        <f>SUMIFS([0]!mud,[0]!municipio,$B3,[0]!turno,R$2)</f>
        <v>5</v>
      </c>
      <c r="S4" s="5">
        <f>SUMIFS([0]!mud,[0]!municipio,$B3,[0]!turno,S$2)</f>
        <v>9</v>
      </c>
      <c r="T4" s="5">
        <f>SUMIFS([0]!mud,[0]!municipio,$B3,[0]!turno,T$2)</f>
        <v>3</v>
      </c>
      <c r="U4" s="5">
        <f>SUMIFS([0]!mud,[0]!municipio,$B3,[0]!turno,U$2)</f>
        <v>2</v>
      </c>
      <c r="V4" s="5">
        <f>SUMIFS([0]!mud,[0]!municipio,$B3,[0]!turno,V$2)</f>
        <v>2</v>
      </c>
      <c r="W4" s="26">
        <f>SUMIFS([0]!mud,[0]!municipio,$B3,[0]!turno,W$2)</f>
        <v>1</v>
      </c>
    </row>
    <row r="5" spans="2:23" ht="15.75" thickBot="1" x14ac:dyDescent="0.3">
      <c r="B5" s="21">
        <v>7.7382175054205179E-2</v>
      </c>
      <c r="C5" s="10" t="s">
        <v>0</v>
      </c>
      <c r="D5" s="38">
        <f>IF((E3+E4+E5)=0,0,E5/(E3+E4+E5))</f>
        <v>7.5471698113207544E-2</v>
      </c>
      <c r="E5" s="11">
        <f t="shared" si="0"/>
        <v>20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3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3</v>
      </c>
      <c r="M5" s="11">
        <f>SUMIFS([0]!otro,[0]!municipio,$B3,[0]!turno,M$2)</f>
        <v>0</v>
      </c>
      <c r="N5" s="11">
        <f>SUMIFS([0]!otro,[0]!municipio,$B3,[0]!turno,N$2)</f>
        <v>2</v>
      </c>
      <c r="O5" s="11">
        <f>SUMIFS([0]!otro,[0]!municipio,$B3,[0]!turno,O$2)</f>
        <v>0</v>
      </c>
      <c r="P5" s="11">
        <f>SUMIFS([0]!otro,[0]!municipio,$B3,[0]!turno,P$2)</f>
        <v>1</v>
      </c>
      <c r="Q5" s="11">
        <f>SUMIFS([0]!otro,[0]!municipio,$B3,[0]!turno,Q$2)</f>
        <v>1</v>
      </c>
      <c r="R5" s="11">
        <f>SUMIFS([0]!otro,[0]!municipio,$B3,[0]!turno,R$2)</f>
        <v>3</v>
      </c>
      <c r="S5" s="11">
        <f>SUMIFS([0]!otro,[0]!municipio,$B3,[0]!turno,S$2)</f>
        <v>4</v>
      </c>
      <c r="T5" s="11">
        <f>SUMIFS([0]!otro,[0]!municipio,$B3,[0]!turno,T$2)</f>
        <v>0</v>
      </c>
      <c r="U5" s="11">
        <f>SUMIFS([0]!otro,[0]!municipio,$B3,[0]!turno,U$2)</f>
        <v>2</v>
      </c>
      <c r="V5" s="11">
        <f>SUMIFS([0]!otro,[0]!municipio,$B3,[0]!turno,V$2)</f>
        <v>0</v>
      </c>
      <c r="W5" s="27">
        <f>SUMIFS([0]!otro,[0]!municipio,$B3,[0]!turno,W$2)</f>
        <v>1</v>
      </c>
    </row>
    <row r="6" spans="2:23" x14ac:dyDescent="0.25">
      <c r="B6" s="22">
        <v>116</v>
      </c>
      <c r="C6" s="6" t="s">
        <v>106</v>
      </c>
      <c r="D6" s="36">
        <f>IF((E6+E7+E8)=0,0,E6/(E6+E7+E8))</f>
        <v>0.69168026101141922</v>
      </c>
      <c r="E6" s="7">
        <f t="shared" si="0"/>
        <v>424</v>
      </c>
      <c r="F6" s="7">
        <f>SUMIFS([0]!psuv,[0]!municipio,$B6,[0]!turno,F$2)</f>
        <v>29</v>
      </c>
      <c r="G6" s="7">
        <f>SUMIFS([0]!psuv,[0]!municipio,$B6,[0]!turno,G$2)</f>
        <v>20</v>
      </c>
      <c r="H6" s="7">
        <f>SUMIFS([0]!psuv,[0]!municipio,$B6,[0]!turno,H$2)</f>
        <v>30</v>
      </c>
      <c r="I6" s="7">
        <f>SUMIFS([0]!psuv,[0]!municipio,$B6,[0]!turno,I$2)</f>
        <v>26</v>
      </c>
      <c r="J6" s="7">
        <f>SUMIFS([0]!psuv,[0]!municipio,$B6,[0]!turno,J$2)</f>
        <v>22</v>
      </c>
      <c r="K6" s="7">
        <f>SUMIFS([0]!psuv,[0]!municipio,$B6,[0]!turno,K$2)</f>
        <v>20</v>
      </c>
      <c r="L6" s="7">
        <f>SUMIFS([0]!psuv,[0]!municipio,$B6,[0]!turno,L$2)</f>
        <v>44</v>
      </c>
      <c r="M6" s="7">
        <f>SUMIFS([0]!psuv,[0]!municipio,$B6,[0]!turno,M$2)</f>
        <v>32</v>
      </c>
      <c r="N6" s="7">
        <f>SUMIFS([0]!psuv,[0]!municipio,$B6,[0]!turno,N$2)</f>
        <v>19</v>
      </c>
      <c r="O6" s="7">
        <f>SUMIFS([0]!psuv,[0]!municipio,$B6,[0]!turno,O$2)</f>
        <v>33</v>
      </c>
      <c r="P6" s="7">
        <f>SUMIFS([0]!psuv,[0]!municipio,$B6,[0]!turno,P$2)</f>
        <v>12</v>
      </c>
      <c r="Q6" s="7">
        <f>SUMIFS([0]!psuv,[0]!municipio,$B6,[0]!turno,Q$2)</f>
        <v>18</v>
      </c>
      <c r="R6" s="7">
        <f>SUMIFS([0]!psuv,[0]!municipio,$B6,[0]!turno,R$2)</f>
        <v>14</v>
      </c>
      <c r="S6" s="7">
        <f>SUMIFS([0]!psuv,[0]!municipio,$B6,[0]!turno,S$2)</f>
        <v>24</v>
      </c>
      <c r="T6" s="7">
        <f>SUMIFS([0]!psuv,[0]!municipio,$B6,[0]!turno,T$2)</f>
        <v>8</v>
      </c>
      <c r="U6" s="7">
        <f>SUMIFS([0]!psuv,[0]!municipio,$B6,[0]!turno,U$2)</f>
        <v>46</v>
      </c>
      <c r="V6" s="7">
        <f>SUMIFS([0]!psuv,[0]!municipio,$B6,[0]!turno,V$2)</f>
        <v>17</v>
      </c>
      <c r="W6" s="28">
        <f>SUMIFS([0]!psuv,[0]!municipio,$B6,[0]!turno,W$2)</f>
        <v>10</v>
      </c>
    </row>
    <row r="7" spans="2:23" x14ac:dyDescent="0.25">
      <c r="B7" s="23" t="s">
        <v>81</v>
      </c>
      <c r="C7" s="4" t="s">
        <v>107</v>
      </c>
      <c r="D7" s="37">
        <f>IF((E6+E7+E8)=0,0,E7/(E6+E7+E8))</f>
        <v>0.2561174551386623</v>
      </c>
      <c r="E7" s="5">
        <f t="shared" si="0"/>
        <v>157</v>
      </c>
      <c r="F7" s="5">
        <f>SUMIFS([0]!mud,[0]!municipio,$B6,[0]!turno,F$2)</f>
        <v>12</v>
      </c>
      <c r="G7" s="5">
        <f>SUMIFS([0]!mud,[0]!municipio,$B6,[0]!turno,G$2)</f>
        <v>8</v>
      </c>
      <c r="H7" s="5">
        <f>SUMIFS([0]!mud,[0]!municipio,$B6,[0]!turno,H$2)</f>
        <v>0</v>
      </c>
      <c r="I7" s="5">
        <f>SUMIFS([0]!mud,[0]!municipio,$B6,[0]!turno,I$2)</f>
        <v>6</v>
      </c>
      <c r="J7" s="5">
        <f>SUMIFS([0]!mud,[0]!municipio,$B6,[0]!turno,J$2)</f>
        <v>24</v>
      </c>
      <c r="K7" s="5">
        <f>SUMIFS([0]!mud,[0]!municipio,$B6,[0]!turno,K$2)</f>
        <v>7</v>
      </c>
      <c r="L7" s="5">
        <f>SUMIFS([0]!mud,[0]!municipio,$B6,[0]!turno,L$2)</f>
        <v>4</v>
      </c>
      <c r="M7" s="5">
        <f>SUMIFS([0]!mud,[0]!municipio,$B6,[0]!turno,M$2)</f>
        <v>9</v>
      </c>
      <c r="N7" s="5">
        <f>SUMIFS([0]!mud,[0]!municipio,$B6,[0]!turno,N$2)</f>
        <v>8</v>
      </c>
      <c r="O7" s="5">
        <f>SUMIFS([0]!mud,[0]!municipio,$B6,[0]!turno,O$2)</f>
        <v>6</v>
      </c>
      <c r="P7" s="5">
        <f>SUMIFS([0]!mud,[0]!municipio,$B6,[0]!turno,P$2)</f>
        <v>8</v>
      </c>
      <c r="Q7" s="5">
        <f>SUMIFS([0]!mud,[0]!municipio,$B6,[0]!turno,Q$2)</f>
        <v>7</v>
      </c>
      <c r="R7" s="5">
        <f>SUMIFS([0]!mud,[0]!municipio,$B6,[0]!turno,R$2)</f>
        <v>10</v>
      </c>
      <c r="S7" s="5">
        <f>SUMIFS([0]!mud,[0]!municipio,$B6,[0]!turno,S$2)</f>
        <v>0</v>
      </c>
      <c r="T7" s="5">
        <f>SUMIFS([0]!mud,[0]!municipio,$B6,[0]!turno,T$2)</f>
        <v>0</v>
      </c>
      <c r="U7" s="5">
        <f>SUMIFS([0]!mud,[0]!municipio,$B6,[0]!turno,U$2)</f>
        <v>17</v>
      </c>
      <c r="V7" s="5">
        <f>SUMIFS([0]!mud,[0]!municipio,$B6,[0]!turno,V$2)</f>
        <v>13</v>
      </c>
      <c r="W7" s="26">
        <f>SUMIFS([0]!mud,[0]!municipio,$B6,[0]!turno,W$2)</f>
        <v>18</v>
      </c>
    </row>
    <row r="8" spans="2:23" ht="15.75" thickBot="1" x14ac:dyDescent="0.3">
      <c r="B8" s="24">
        <v>0.22053178135341778</v>
      </c>
      <c r="C8" s="12" t="s">
        <v>0</v>
      </c>
      <c r="D8" s="38">
        <f>IF((E6+E7+E8)=0,0,E8/(E6+E7+E8))</f>
        <v>5.2202283849918436E-2</v>
      </c>
      <c r="E8" s="13">
        <f t="shared" si="0"/>
        <v>32</v>
      </c>
      <c r="F8" s="13">
        <f>SUMIFS([0]!otro,[0]!municipio,$B6,[0]!turno,F$2)</f>
        <v>1</v>
      </c>
      <c r="G8" s="13">
        <f>SUMIFS([0]!otro,[0]!municipio,$B6,[0]!turno,G$2)</f>
        <v>2</v>
      </c>
      <c r="H8" s="13">
        <f>SUMIFS([0]!otro,[0]!municipio,$B6,[0]!turno,H$2)</f>
        <v>0</v>
      </c>
      <c r="I8" s="13">
        <f>SUMIFS([0]!otro,[0]!municipio,$B6,[0]!turno,I$2)</f>
        <v>1</v>
      </c>
      <c r="J8" s="13">
        <f>SUMIFS([0]!otro,[0]!municipio,$B6,[0]!turno,J$2)</f>
        <v>9</v>
      </c>
      <c r="K8" s="13">
        <f>SUMIFS([0]!otro,[0]!municipio,$B6,[0]!turno,K$2)</f>
        <v>0</v>
      </c>
      <c r="L8" s="13">
        <f>SUMIFS([0]!otro,[0]!municipio,$B6,[0]!turno,L$2)</f>
        <v>3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2</v>
      </c>
      <c r="P8" s="13">
        <f>SUMIFS([0]!otro,[0]!municipio,$B6,[0]!turno,P$2)</f>
        <v>3</v>
      </c>
      <c r="Q8" s="13">
        <f>SUMIFS([0]!otro,[0]!municipio,$B6,[0]!turno,Q$2)</f>
        <v>4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0</v>
      </c>
      <c r="U8" s="13">
        <f>SUMIFS([0]!otro,[0]!municipio,$B6,[0]!turno,U$2)</f>
        <v>5</v>
      </c>
      <c r="V8" s="13">
        <f>SUMIFS([0]!otro,[0]!municipio,$B6,[0]!turno,V$2)</f>
        <v>0</v>
      </c>
      <c r="W8" s="29">
        <f>SUMIFS([0]!otro,[0]!municipio,$B6,[0]!turno,W$2)</f>
        <v>2</v>
      </c>
    </row>
    <row r="9" spans="2:23" x14ac:dyDescent="0.25">
      <c r="B9" s="19">
        <v>117</v>
      </c>
      <c r="C9" s="8" t="s">
        <v>106</v>
      </c>
      <c r="D9" s="36">
        <f>IF((E9+E10+E11)=0,0,E9/(E9+E10+E11))</f>
        <v>0.72135416666666663</v>
      </c>
      <c r="E9" s="9">
        <f t="shared" si="0"/>
        <v>277</v>
      </c>
      <c r="F9" s="9">
        <f>SUMIFS([0]!psuv,[0]!municipio,$B9,[0]!turno,F$2)</f>
        <v>7</v>
      </c>
      <c r="G9" s="9">
        <f>SUMIFS([0]!psuv,[0]!municipio,$B9,[0]!turno,G$2)</f>
        <v>6</v>
      </c>
      <c r="H9" s="9">
        <f>SUMIFS([0]!psuv,[0]!municipio,$B9,[0]!turno,H$2)</f>
        <v>4</v>
      </c>
      <c r="I9" s="9">
        <f>SUMIFS([0]!psuv,[0]!municipio,$B9,[0]!turno,I$2)</f>
        <v>17</v>
      </c>
      <c r="J9" s="9">
        <f>SUMIFS([0]!psuv,[0]!municipio,$B9,[0]!turno,J$2)</f>
        <v>21</v>
      </c>
      <c r="K9" s="9">
        <f>SUMIFS([0]!psuv,[0]!municipio,$B9,[0]!turno,K$2)</f>
        <v>20</v>
      </c>
      <c r="L9" s="9">
        <f>SUMIFS([0]!psuv,[0]!municipio,$B9,[0]!turno,L$2)</f>
        <v>15</v>
      </c>
      <c r="M9" s="9">
        <f>SUMIFS([0]!psuv,[0]!municipio,$B9,[0]!turno,M$2)</f>
        <v>17</v>
      </c>
      <c r="N9" s="9">
        <f>SUMIFS([0]!psuv,[0]!municipio,$B9,[0]!turno,N$2)</f>
        <v>17</v>
      </c>
      <c r="O9" s="9">
        <f>SUMIFS([0]!psuv,[0]!municipio,$B9,[0]!turno,O$2)</f>
        <v>9</v>
      </c>
      <c r="P9" s="9">
        <f>SUMIFS([0]!psuv,[0]!municipio,$B9,[0]!turno,P$2)</f>
        <v>17</v>
      </c>
      <c r="Q9" s="9">
        <f>SUMIFS([0]!psuv,[0]!municipio,$B9,[0]!turno,Q$2)</f>
        <v>18</v>
      </c>
      <c r="R9" s="9">
        <f>SUMIFS([0]!psuv,[0]!municipio,$B9,[0]!turno,R$2)</f>
        <v>20</v>
      </c>
      <c r="S9" s="9">
        <f>SUMIFS([0]!psuv,[0]!municipio,$B9,[0]!turno,S$2)</f>
        <v>20</v>
      </c>
      <c r="T9" s="9">
        <f>SUMIFS([0]!psuv,[0]!municipio,$B9,[0]!turno,T$2)</f>
        <v>27</v>
      </c>
      <c r="U9" s="9">
        <f>SUMIFS([0]!psuv,[0]!municipio,$B9,[0]!turno,U$2)</f>
        <v>12</v>
      </c>
      <c r="V9" s="9">
        <f>SUMIFS([0]!psuv,[0]!municipio,$B9,[0]!turno,V$2)</f>
        <v>10</v>
      </c>
      <c r="W9" s="25">
        <f>SUMIFS([0]!psuv,[0]!municipio,$B9,[0]!turno,W$2)</f>
        <v>20</v>
      </c>
    </row>
    <row r="10" spans="2:23" x14ac:dyDescent="0.25">
      <c r="B10" s="20" t="s">
        <v>82</v>
      </c>
      <c r="C10" s="4" t="s">
        <v>107</v>
      </c>
      <c r="D10" s="37">
        <f>IF((E9+E10+E11)=0,0,E10/(E9+E10+E11))</f>
        <v>0.21614583333333334</v>
      </c>
      <c r="E10" s="5">
        <f t="shared" si="0"/>
        <v>83</v>
      </c>
      <c r="F10" s="5">
        <f>SUMIFS([0]!mud,[0]!municipio,$B9,[0]!turno,F$2)</f>
        <v>4</v>
      </c>
      <c r="G10" s="5">
        <f>SUMIFS([0]!mud,[0]!municipio,$B9,[0]!turno,G$2)</f>
        <v>7</v>
      </c>
      <c r="H10" s="5">
        <f>SUMIFS([0]!mud,[0]!municipio,$B9,[0]!turno,H$2)</f>
        <v>5</v>
      </c>
      <c r="I10" s="5">
        <f>SUMIFS([0]!mud,[0]!municipio,$B9,[0]!turno,I$2)</f>
        <v>4</v>
      </c>
      <c r="J10" s="5">
        <f>SUMIFS([0]!mud,[0]!municipio,$B9,[0]!turno,J$2)</f>
        <v>1</v>
      </c>
      <c r="K10" s="5">
        <f>SUMIFS([0]!mud,[0]!municipio,$B9,[0]!turno,K$2)</f>
        <v>5</v>
      </c>
      <c r="L10" s="5">
        <f>SUMIFS([0]!mud,[0]!municipio,$B9,[0]!turno,L$2)</f>
        <v>5</v>
      </c>
      <c r="M10" s="5">
        <f>SUMIFS([0]!mud,[0]!municipio,$B9,[0]!turno,M$2)</f>
        <v>6</v>
      </c>
      <c r="N10" s="5">
        <f>SUMIFS([0]!mud,[0]!municipio,$B9,[0]!turno,N$2)</f>
        <v>2</v>
      </c>
      <c r="O10" s="5">
        <f>SUMIFS([0]!mud,[0]!municipio,$B9,[0]!turno,O$2)</f>
        <v>1</v>
      </c>
      <c r="P10" s="5">
        <f>SUMIFS([0]!mud,[0]!municipio,$B9,[0]!turno,P$2)</f>
        <v>2</v>
      </c>
      <c r="Q10" s="5">
        <f>SUMIFS([0]!mud,[0]!municipio,$B9,[0]!turno,Q$2)</f>
        <v>5</v>
      </c>
      <c r="R10" s="5">
        <f>SUMIFS([0]!mud,[0]!municipio,$B9,[0]!turno,R$2)</f>
        <v>2</v>
      </c>
      <c r="S10" s="5">
        <f>SUMIFS([0]!mud,[0]!municipio,$B9,[0]!turno,S$2)</f>
        <v>6</v>
      </c>
      <c r="T10" s="5">
        <f>SUMIFS([0]!mud,[0]!municipio,$B9,[0]!turno,T$2)</f>
        <v>3</v>
      </c>
      <c r="U10" s="5">
        <f>SUMIFS([0]!mud,[0]!municipio,$B9,[0]!turno,U$2)</f>
        <v>8</v>
      </c>
      <c r="V10" s="5">
        <f>SUMIFS([0]!mud,[0]!municipio,$B9,[0]!turno,V$2)</f>
        <v>9</v>
      </c>
      <c r="W10" s="26">
        <f>SUMIFS([0]!mud,[0]!municipio,$B9,[0]!turno,W$2)</f>
        <v>8</v>
      </c>
    </row>
    <row r="11" spans="2:23" ht="15.75" thickBot="1" x14ac:dyDescent="0.3">
      <c r="B11" s="21">
        <v>9.1331735706949677E-2</v>
      </c>
      <c r="C11" s="10" t="s">
        <v>0</v>
      </c>
      <c r="D11" s="38">
        <f>IF((E9+E10+E11)=0,0,E11/(E9+E10+E11))</f>
        <v>6.25E-2</v>
      </c>
      <c r="E11" s="11">
        <f t="shared" si="0"/>
        <v>24</v>
      </c>
      <c r="F11" s="11">
        <f>SUMIFS([0]!otro,[0]!municipio,$B9,[0]!turno,F$2)</f>
        <v>1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1</v>
      </c>
      <c r="J11" s="11">
        <f>SUMIFS([0]!otro,[0]!municipio,$B9,[0]!turno,J$2)</f>
        <v>3</v>
      </c>
      <c r="K11" s="11">
        <f>SUMIFS([0]!otro,[0]!municipio,$B9,[0]!turno,K$2)</f>
        <v>0</v>
      </c>
      <c r="L11" s="11">
        <f>SUMIFS([0]!otro,[0]!municipio,$B9,[0]!turno,L$2)</f>
        <v>3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1</v>
      </c>
      <c r="Q11" s="11">
        <f>SUMIFS([0]!otro,[0]!municipio,$B9,[0]!turno,Q$2)</f>
        <v>0</v>
      </c>
      <c r="R11" s="11">
        <f>SUMIFS([0]!otro,[0]!municipio,$B9,[0]!turno,R$2)</f>
        <v>1</v>
      </c>
      <c r="S11" s="11">
        <f>SUMIFS([0]!otro,[0]!municipio,$B9,[0]!turno,S$2)</f>
        <v>3</v>
      </c>
      <c r="T11" s="11">
        <f>SUMIFS([0]!otro,[0]!municipio,$B9,[0]!turno,T$2)</f>
        <v>2</v>
      </c>
      <c r="U11" s="11">
        <f>SUMIFS([0]!otro,[0]!municipio,$B9,[0]!turno,U$2)</f>
        <v>1</v>
      </c>
      <c r="V11" s="11">
        <f>SUMIFS([0]!otro,[0]!municipio,$B9,[0]!turno,V$2)</f>
        <v>4</v>
      </c>
      <c r="W11" s="27">
        <f>SUMIFS([0]!otro,[0]!municipio,$B9,[0]!turno,W$2)</f>
        <v>4</v>
      </c>
    </row>
    <row r="12" spans="2:23" x14ac:dyDescent="0.25">
      <c r="B12" s="22">
        <v>118</v>
      </c>
      <c r="C12" s="6" t="s">
        <v>106</v>
      </c>
      <c r="D12" s="36">
        <f>IF((E12+E13+E14)=0,0,E12/(E12+E13+E14))</f>
        <v>0.48105515587529973</v>
      </c>
      <c r="E12" s="7">
        <f t="shared" si="0"/>
        <v>1003</v>
      </c>
      <c r="F12" s="7">
        <f>SUMIFS([0]!psuv,[0]!municipio,$B12,[0]!turno,F$2)</f>
        <v>21</v>
      </c>
      <c r="G12" s="7">
        <f>SUMIFS([0]!psuv,[0]!municipio,$B12,[0]!turno,G$2)</f>
        <v>46</v>
      </c>
      <c r="H12" s="7">
        <f>SUMIFS([0]!psuv,[0]!municipio,$B12,[0]!turno,H$2)</f>
        <v>45</v>
      </c>
      <c r="I12" s="7">
        <f>SUMIFS([0]!psuv,[0]!municipio,$B12,[0]!turno,I$2)</f>
        <v>68</v>
      </c>
      <c r="J12" s="7">
        <f>SUMIFS([0]!psuv,[0]!municipio,$B12,[0]!turno,J$2)</f>
        <v>79</v>
      </c>
      <c r="K12" s="7">
        <f>SUMIFS([0]!psuv,[0]!municipio,$B12,[0]!turno,K$2)</f>
        <v>57</v>
      </c>
      <c r="L12" s="7">
        <f>SUMIFS([0]!psuv,[0]!municipio,$B12,[0]!turno,L$2)</f>
        <v>54</v>
      </c>
      <c r="M12" s="7">
        <f>SUMIFS([0]!psuv,[0]!municipio,$B12,[0]!turno,M$2)</f>
        <v>64</v>
      </c>
      <c r="N12" s="7">
        <f>SUMIFS([0]!psuv,[0]!municipio,$B12,[0]!turno,N$2)</f>
        <v>73</v>
      </c>
      <c r="O12" s="7">
        <f>SUMIFS([0]!psuv,[0]!municipio,$B12,[0]!turno,O$2)</f>
        <v>64</v>
      </c>
      <c r="P12" s="7">
        <f>SUMIFS([0]!psuv,[0]!municipio,$B12,[0]!turno,P$2)</f>
        <v>60</v>
      </c>
      <c r="Q12" s="7">
        <f>SUMIFS([0]!psuv,[0]!municipio,$B12,[0]!turno,Q$2)</f>
        <v>62</v>
      </c>
      <c r="R12" s="7">
        <f>SUMIFS([0]!psuv,[0]!municipio,$B12,[0]!turno,R$2)</f>
        <v>51</v>
      </c>
      <c r="S12" s="7">
        <f>SUMIFS([0]!psuv,[0]!municipio,$B12,[0]!turno,S$2)</f>
        <v>62</v>
      </c>
      <c r="T12" s="7">
        <f>SUMIFS([0]!psuv,[0]!municipio,$B12,[0]!turno,T$2)</f>
        <v>56</v>
      </c>
      <c r="U12" s="7">
        <f>SUMIFS([0]!psuv,[0]!municipio,$B12,[0]!turno,U$2)</f>
        <v>68</v>
      </c>
      <c r="V12" s="7">
        <f>SUMIFS([0]!psuv,[0]!municipio,$B12,[0]!turno,V$2)</f>
        <v>39</v>
      </c>
      <c r="W12" s="28">
        <f>SUMIFS([0]!psuv,[0]!municipio,$B12,[0]!turno,W$2)</f>
        <v>34</v>
      </c>
    </row>
    <row r="13" spans="2:23" x14ac:dyDescent="0.25">
      <c r="B13" s="23" t="s">
        <v>19</v>
      </c>
      <c r="C13" s="4" t="s">
        <v>107</v>
      </c>
      <c r="D13" s="37">
        <f>IF((E12+E13+E14)=0,0,E13/(E12+E13+E14))</f>
        <v>0.40095923261390887</v>
      </c>
      <c r="E13" s="5">
        <f t="shared" si="0"/>
        <v>836</v>
      </c>
      <c r="F13" s="5">
        <f>SUMIFS([0]!mud,[0]!municipio,$B12,[0]!turno,F$2)</f>
        <v>13</v>
      </c>
      <c r="G13" s="5">
        <f>SUMIFS([0]!mud,[0]!municipio,$B12,[0]!turno,G$2)</f>
        <v>24</v>
      </c>
      <c r="H13" s="5">
        <f>SUMIFS([0]!mud,[0]!municipio,$B12,[0]!turno,H$2)</f>
        <v>40</v>
      </c>
      <c r="I13" s="5">
        <f>SUMIFS([0]!mud,[0]!municipio,$B12,[0]!turno,I$2)</f>
        <v>93</v>
      </c>
      <c r="J13" s="5">
        <f>SUMIFS([0]!mud,[0]!municipio,$B12,[0]!turno,J$2)</f>
        <v>51</v>
      </c>
      <c r="K13" s="5">
        <f>SUMIFS([0]!mud,[0]!municipio,$B12,[0]!turno,K$2)</f>
        <v>44</v>
      </c>
      <c r="L13" s="5">
        <f>SUMIFS([0]!mud,[0]!municipio,$B12,[0]!turno,L$2)</f>
        <v>40</v>
      </c>
      <c r="M13" s="5">
        <f>SUMIFS([0]!mud,[0]!municipio,$B12,[0]!turno,M$2)</f>
        <v>66</v>
      </c>
      <c r="N13" s="5">
        <f>SUMIFS([0]!mud,[0]!municipio,$B12,[0]!turno,N$2)</f>
        <v>54</v>
      </c>
      <c r="O13" s="5">
        <f>SUMIFS([0]!mud,[0]!municipio,$B12,[0]!turno,O$2)</f>
        <v>40</v>
      </c>
      <c r="P13" s="5">
        <f>SUMIFS([0]!mud,[0]!municipio,$B12,[0]!turno,P$2)</f>
        <v>57</v>
      </c>
      <c r="Q13" s="5">
        <f>SUMIFS([0]!mud,[0]!municipio,$B12,[0]!turno,Q$2)</f>
        <v>57</v>
      </c>
      <c r="R13" s="5">
        <f>SUMIFS([0]!mud,[0]!municipio,$B12,[0]!turno,R$2)</f>
        <v>44</v>
      </c>
      <c r="S13" s="5">
        <f>SUMIFS([0]!mud,[0]!municipio,$B12,[0]!turno,S$2)</f>
        <v>46</v>
      </c>
      <c r="T13" s="5">
        <f>SUMIFS([0]!mud,[0]!municipio,$B12,[0]!turno,T$2)</f>
        <v>38</v>
      </c>
      <c r="U13" s="5">
        <f>SUMIFS([0]!mud,[0]!municipio,$B12,[0]!turno,U$2)</f>
        <v>53</v>
      </c>
      <c r="V13" s="5">
        <f>SUMIFS([0]!mud,[0]!municipio,$B12,[0]!turno,V$2)</f>
        <v>41</v>
      </c>
      <c r="W13" s="26">
        <f>SUMIFS([0]!mud,[0]!municipio,$B12,[0]!turno,W$2)</f>
        <v>35</v>
      </c>
    </row>
    <row r="14" spans="2:23" ht="15.75" thickBot="1" x14ac:dyDescent="0.3">
      <c r="B14" s="24">
        <v>0.5494830537487162</v>
      </c>
      <c r="C14" s="12" t="s">
        <v>0</v>
      </c>
      <c r="D14" s="38">
        <f>IF((E12+E13+E14)=0,0,E14/(E12+E13+E14))</f>
        <v>0.11798561151079137</v>
      </c>
      <c r="E14" s="13">
        <f t="shared" si="0"/>
        <v>246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1</v>
      </c>
      <c r="I14" s="13">
        <f>SUMIFS([0]!otro,[0]!municipio,$B12,[0]!turno,I$2)</f>
        <v>23</v>
      </c>
      <c r="J14" s="13">
        <f>SUMIFS([0]!otro,[0]!municipio,$B12,[0]!turno,J$2)</f>
        <v>17</v>
      </c>
      <c r="K14" s="13">
        <f>SUMIFS([0]!otro,[0]!municipio,$B12,[0]!turno,K$2)</f>
        <v>10</v>
      </c>
      <c r="L14" s="13">
        <f>SUMIFS([0]!otro,[0]!municipio,$B12,[0]!turno,L$2)</f>
        <v>5</v>
      </c>
      <c r="M14" s="13">
        <f>SUMIFS([0]!otro,[0]!municipio,$B12,[0]!turno,M$2)</f>
        <v>10</v>
      </c>
      <c r="N14" s="13">
        <f>SUMIFS([0]!otro,[0]!municipio,$B12,[0]!turno,N$2)</f>
        <v>26</v>
      </c>
      <c r="O14" s="13">
        <f>SUMIFS([0]!otro,[0]!municipio,$B12,[0]!turno,O$2)</f>
        <v>19</v>
      </c>
      <c r="P14" s="13">
        <f>SUMIFS([0]!otro,[0]!municipio,$B12,[0]!turno,P$2)</f>
        <v>16</v>
      </c>
      <c r="Q14" s="13">
        <f>SUMIFS([0]!otro,[0]!municipio,$B12,[0]!turno,Q$2)</f>
        <v>20</v>
      </c>
      <c r="R14" s="13">
        <f>SUMIFS([0]!otro,[0]!municipio,$B12,[0]!turno,R$2)</f>
        <v>22</v>
      </c>
      <c r="S14" s="13">
        <f>SUMIFS([0]!otro,[0]!municipio,$B12,[0]!turno,S$2)</f>
        <v>19</v>
      </c>
      <c r="T14" s="13">
        <f>SUMIFS([0]!otro,[0]!municipio,$B12,[0]!turno,T$2)</f>
        <v>16</v>
      </c>
      <c r="U14" s="13">
        <f>SUMIFS([0]!otro,[0]!municipio,$B12,[0]!turno,U$2)</f>
        <v>15</v>
      </c>
      <c r="V14" s="13">
        <f>SUMIFS([0]!otro,[0]!municipio,$B12,[0]!turno,V$2)</f>
        <v>12</v>
      </c>
      <c r="W14" s="29">
        <f>SUMIFS([0]!otro,[0]!municipio,$B12,[0]!turno,W$2)</f>
        <v>15</v>
      </c>
    </row>
    <row r="15" spans="2:23" x14ac:dyDescent="0.25">
      <c r="B15" s="19">
        <v>119</v>
      </c>
      <c r="C15" s="8" t="s">
        <v>106</v>
      </c>
      <c r="D15" s="36">
        <f>IF((E15+E16+E17)=0,0,E15/(E15+E16+E17))</f>
        <v>0</v>
      </c>
      <c r="E15" s="9">
        <f t="shared" si="0"/>
        <v>0</v>
      </c>
      <c r="F15" s="9">
        <f>SUMIFS([0]!psuv,[0]!municipio,$B15,[0]!turno,F$2)</f>
        <v>0</v>
      </c>
      <c r="G15" s="9">
        <f>SUMIFS([0]!psuv,[0]!municipio,$B15,[0]!turno,G$2)</f>
        <v>0</v>
      </c>
      <c r="H15" s="9">
        <f>SUMIFS([0]!psuv,[0]!municipio,$B15,[0]!turno,H$2)</f>
        <v>0</v>
      </c>
      <c r="I15" s="9">
        <f>SUMIFS([0]!psuv,[0]!municipio,$B15,[0]!turno,I$2)</f>
        <v>0</v>
      </c>
      <c r="J15" s="9">
        <f>SUMIFS([0]!psuv,[0]!municipio,$B15,[0]!turno,J$2)</f>
        <v>0</v>
      </c>
      <c r="K15" s="9">
        <f>SUMIFS([0]!psuv,[0]!municipio,$B15,[0]!turno,K$2)</f>
        <v>0</v>
      </c>
      <c r="L15" s="9">
        <f>SUMIFS([0]!psuv,[0]!municipio,$B15,[0]!turno,L$2)</f>
        <v>0</v>
      </c>
      <c r="M15" s="9">
        <f>SUMIFS([0]!psuv,[0]!municipio,$B15,[0]!turno,M$2)</f>
        <v>0</v>
      </c>
      <c r="N15" s="9">
        <f>SUMIFS([0]!psuv,[0]!municipio,$B15,[0]!turno,N$2)</f>
        <v>0</v>
      </c>
      <c r="O15" s="9">
        <f>SUMIFS([0]!psuv,[0]!municipio,$B15,[0]!turno,O$2)</f>
        <v>0</v>
      </c>
      <c r="P15" s="9">
        <f>SUMIFS([0]!psuv,[0]!municipio,$B15,[0]!turno,P$2)</f>
        <v>0</v>
      </c>
      <c r="Q15" s="9">
        <f>SUMIFS([0]!psuv,[0]!municipio,$B15,[0]!turno,Q$2)</f>
        <v>0</v>
      </c>
      <c r="R15" s="9">
        <f>SUMIFS([0]!psuv,[0]!municipio,$B15,[0]!turno,R$2)</f>
        <v>0</v>
      </c>
      <c r="S15" s="9">
        <f>SUMIFS([0]!psuv,[0]!municipio,$B15,[0]!turno,S$2)</f>
        <v>0</v>
      </c>
      <c r="T15" s="9">
        <f>SUMIFS([0]!psuv,[0]!municipio,$B15,[0]!turno,T$2)</f>
        <v>0</v>
      </c>
      <c r="U15" s="9">
        <f>SUMIFS([0]!psuv,[0]!municipio,$B15,[0]!turno,U$2)</f>
        <v>0</v>
      </c>
      <c r="V15" s="9">
        <f>SUMIFS([0]!psuv,[0]!municipio,$B15,[0]!turno,V$2)</f>
        <v>0</v>
      </c>
      <c r="W15" s="25">
        <f>SUMIFS([0]!psuv,[0]!municipio,$B15,[0]!turno,W$2)</f>
        <v>0</v>
      </c>
    </row>
    <row r="16" spans="2:23" x14ac:dyDescent="0.25">
      <c r="B16" s="20" t="s">
        <v>203</v>
      </c>
      <c r="C16" s="4" t="s">
        <v>107</v>
      </c>
      <c r="D16" s="37">
        <f>IF((E15+E16+E17)=0,0,E16/(E15+E16+E17))</f>
        <v>0</v>
      </c>
      <c r="E16" s="5">
        <f t="shared" si="0"/>
        <v>0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0</v>
      </c>
      <c r="I16" s="5">
        <f>SUMIFS([0]!mud,[0]!municipio,$B15,[0]!turno,I$2)</f>
        <v>0</v>
      </c>
      <c r="J16" s="5">
        <f>SUMIFS([0]!mud,[0]!municipio,$B15,[0]!turno,J$2)</f>
        <v>0</v>
      </c>
      <c r="K16" s="5">
        <f>SUMIFS([0]!mud,[0]!municipio,$B15,[0]!turno,K$2)</f>
        <v>0</v>
      </c>
      <c r="L16" s="5">
        <f>SUMIFS([0]!mud,[0]!municipio,$B15,[0]!turno,L$2)</f>
        <v>0</v>
      </c>
      <c r="M16" s="5">
        <f>SUMIFS([0]!mud,[0]!municipio,$B15,[0]!turno,M$2)</f>
        <v>0</v>
      </c>
      <c r="N16" s="5">
        <f>SUMIFS([0]!mud,[0]!municipio,$B15,[0]!turno,N$2)</f>
        <v>0</v>
      </c>
      <c r="O16" s="5">
        <f>SUMIFS([0]!mud,[0]!municipio,$B15,[0]!turno,O$2)</f>
        <v>0</v>
      </c>
      <c r="P16" s="5">
        <f>SUMIFS([0]!mud,[0]!municipio,$B15,[0]!turno,P$2)</f>
        <v>0</v>
      </c>
      <c r="Q16" s="5">
        <f>SUMIFS([0]!mud,[0]!municipio,$B15,[0]!turno,Q$2)</f>
        <v>0</v>
      </c>
      <c r="R16" s="5">
        <f>SUMIFS([0]!mud,[0]!municipio,$B15,[0]!turno,R$2)</f>
        <v>0</v>
      </c>
      <c r="S16" s="5">
        <f>SUMIFS([0]!mud,[0]!municipio,$B15,[0]!turno,S$2)</f>
        <v>0</v>
      </c>
      <c r="T16" s="5">
        <f>SUMIFS([0]!mud,[0]!municipio,$B15,[0]!turno,T$2)</f>
        <v>0</v>
      </c>
      <c r="U16" s="5">
        <f>SUMIFS([0]!mud,[0]!municipio,$B15,[0]!turno,U$2)</f>
        <v>0</v>
      </c>
      <c r="V16" s="5">
        <f>SUMIFS([0]!mud,[0]!municipio,$B15,[0]!turno,V$2)</f>
        <v>0</v>
      </c>
      <c r="W16" s="26">
        <f>SUMIFS([0]!mud,[0]!municipio,$B15,[0]!turno,W$2)</f>
        <v>0</v>
      </c>
    </row>
    <row r="17" spans="2:23" ht="15.75" thickBot="1" x14ac:dyDescent="0.3">
      <c r="B17" s="21">
        <v>6.1271254136711174E-2</v>
      </c>
      <c r="C17" s="10" t="s">
        <v>0</v>
      </c>
      <c r="D17" s="38">
        <f>IF((E15+E16+E17)=0,0,E17/(E15+E16+E17))</f>
        <v>0</v>
      </c>
      <c r="E17" s="11">
        <f t="shared" si="0"/>
        <v>0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ht="15" customHeight="1" x14ac:dyDescent="0.25">
      <c r="B18"/>
      <c r="C18"/>
    </row>
    <row r="19" spans="2:23" ht="15" customHeight="1" x14ac:dyDescent="0.25">
      <c r="B19"/>
      <c r="C19"/>
    </row>
    <row r="20" spans="2:23" ht="15" customHeight="1" x14ac:dyDescent="0.25">
      <c r="B20"/>
      <c r="C20"/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B1:W450"/>
  <sheetViews>
    <sheetView workbookViewId="0"/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120</v>
      </c>
      <c r="C3" s="8" t="s">
        <v>106</v>
      </c>
      <c r="D3" s="36">
        <f>IF((E3+E4+E5)=0,0,E3/(E3+E4+E5))</f>
        <v>0.42857142857142855</v>
      </c>
      <c r="E3" s="9">
        <f t="shared" ref="E3:E29" si="0">SUM(F3:W3)</f>
        <v>150</v>
      </c>
      <c r="F3" s="9">
        <f>SUMIFS([0]!psuv,[0]!municipio,$B3,[0]!turno,F$2)</f>
        <v>9</v>
      </c>
      <c r="G3" s="9">
        <f>SUMIFS([0]!psuv,[0]!municipio,$B3,[0]!turno,G$2)</f>
        <v>9</v>
      </c>
      <c r="H3" s="9">
        <f>SUMIFS([0]!psuv,[0]!municipio,$B3,[0]!turno,H$2)</f>
        <v>8</v>
      </c>
      <c r="I3" s="9">
        <f>SUMIFS([0]!psuv,[0]!municipio,$B3,[0]!turno,I$2)</f>
        <v>12</v>
      </c>
      <c r="J3" s="9">
        <f>SUMIFS([0]!psuv,[0]!municipio,$B3,[0]!turno,J$2)</f>
        <v>5</v>
      </c>
      <c r="K3" s="9">
        <f>SUMIFS([0]!psuv,[0]!municipio,$B3,[0]!turno,K$2)</f>
        <v>10</v>
      </c>
      <c r="L3" s="9">
        <f>SUMIFS([0]!psuv,[0]!municipio,$B3,[0]!turno,L$2)</f>
        <v>17</v>
      </c>
      <c r="M3" s="9">
        <f>SUMIFS([0]!psuv,[0]!municipio,$B3,[0]!turno,M$2)</f>
        <v>15</v>
      </c>
      <c r="N3" s="9">
        <f>SUMIFS([0]!psuv,[0]!municipio,$B3,[0]!turno,N$2)</f>
        <v>6</v>
      </c>
      <c r="O3" s="9">
        <f>SUMIFS([0]!psuv,[0]!municipio,$B3,[0]!turno,O$2)</f>
        <v>14</v>
      </c>
      <c r="P3" s="9">
        <f>SUMIFS([0]!psuv,[0]!municipio,$B3,[0]!turno,P$2)</f>
        <v>3</v>
      </c>
      <c r="Q3" s="9">
        <f>SUMIFS([0]!psuv,[0]!municipio,$B3,[0]!turno,Q$2)</f>
        <v>2</v>
      </c>
      <c r="R3" s="9">
        <f>SUMIFS([0]!psuv,[0]!municipio,$B3,[0]!turno,R$2)</f>
        <v>10</v>
      </c>
      <c r="S3" s="9">
        <f>SUMIFS([0]!psuv,[0]!municipio,$B3,[0]!turno,S$2)</f>
        <v>11</v>
      </c>
      <c r="T3" s="9">
        <f>SUMIFS([0]!psuv,[0]!municipio,$B3,[0]!turno,T$2)</f>
        <v>7</v>
      </c>
      <c r="U3" s="9">
        <f>SUMIFS([0]!psuv,[0]!municipio,$B3,[0]!turno,U$2)</f>
        <v>0</v>
      </c>
      <c r="V3" s="9">
        <f>SUMIFS([0]!psuv,[0]!municipio,$B3,[0]!turno,V$2)</f>
        <v>5</v>
      </c>
      <c r="W3" s="25">
        <f>SUMIFS([0]!psuv,[0]!municipio,$B3,[0]!turno,W$2)</f>
        <v>7</v>
      </c>
    </row>
    <row r="4" spans="2:23" x14ac:dyDescent="0.25">
      <c r="B4" s="20" t="s">
        <v>84</v>
      </c>
      <c r="C4" s="4" t="s">
        <v>107</v>
      </c>
      <c r="D4" s="37">
        <f>IF((E3+E4+E5)=0,0,E4/(E3+E4+E5))</f>
        <v>0.55142857142857138</v>
      </c>
      <c r="E4" s="5">
        <f t="shared" si="0"/>
        <v>193</v>
      </c>
      <c r="F4" s="5">
        <f>SUMIFS([0]!mud,[0]!municipio,$B3,[0]!turno,F$2)</f>
        <v>8</v>
      </c>
      <c r="G4" s="5">
        <f>SUMIFS([0]!mud,[0]!municipio,$B3,[0]!turno,G$2)</f>
        <v>16</v>
      </c>
      <c r="H4" s="5">
        <f>SUMIFS([0]!mud,[0]!municipio,$B3,[0]!turno,H$2)</f>
        <v>10</v>
      </c>
      <c r="I4" s="5">
        <f>SUMIFS([0]!mud,[0]!municipio,$B3,[0]!turno,I$2)</f>
        <v>11</v>
      </c>
      <c r="J4" s="5">
        <f>SUMIFS([0]!mud,[0]!municipio,$B3,[0]!turno,J$2)</f>
        <v>14</v>
      </c>
      <c r="K4" s="5">
        <f>SUMIFS([0]!mud,[0]!municipio,$B3,[0]!turno,K$2)</f>
        <v>19</v>
      </c>
      <c r="L4" s="5">
        <f>SUMIFS([0]!mud,[0]!municipio,$B3,[0]!turno,L$2)</f>
        <v>5</v>
      </c>
      <c r="M4" s="5">
        <f>SUMIFS([0]!mud,[0]!municipio,$B3,[0]!turno,M$2)</f>
        <v>11</v>
      </c>
      <c r="N4" s="5">
        <f>SUMIFS([0]!mud,[0]!municipio,$B3,[0]!turno,N$2)</f>
        <v>17</v>
      </c>
      <c r="O4" s="5">
        <f>SUMIFS([0]!mud,[0]!municipio,$B3,[0]!turno,O$2)</f>
        <v>10</v>
      </c>
      <c r="P4" s="5">
        <f>SUMIFS([0]!mud,[0]!municipio,$B3,[0]!turno,P$2)</f>
        <v>17</v>
      </c>
      <c r="Q4" s="5">
        <f>SUMIFS([0]!mud,[0]!municipio,$B3,[0]!turno,Q$2)</f>
        <v>14</v>
      </c>
      <c r="R4" s="5">
        <f>SUMIFS([0]!mud,[0]!municipio,$B3,[0]!turno,R$2)</f>
        <v>8</v>
      </c>
      <c r="S4" s="5">
        <f>SUMIFS([0]!mud,[0]!municipio,$B3,[0]!turno,S$2)</f>
        <v>7</v>
      </c>
      <c r="T4" s="5">
        <f>SUMIFS([0]!mud,[0]!municipio,$B3,[0]!turno,T$2)</f>
        <v>11</v>
      </c>
      <c r="U4" s="5">
        <f>SUMIFS([0]!mud,[0]!municipio,$B3,[0]!turno,U$2)</f>
        <v>0</v>
      </c>
      <c r="V4" s="5">
        <f>SUMIFS([0]!mud,[0]!municipio,$B3,[0]!turno,V$2)</f>
        <v>7</v>
      </c>
      <c r="W4" s="26">
        <f>SUMIFS([0]!mud,[0]!municipio,$B3,[0]!turno,W$2)</f>
        <v>8</v>
      </c>
    </row>
    <row r="5" spans="2:23" ht="15.75" thickBot="1" x14ac:dyDescent="0.3">
      <c r="B5" s="21">
        <v>6.1019580986219908E-2</v>
      </c>
      <c r="C5" s="10" t="s">
        <v>0</v>
      </c>
      <c r="D5" s="38">
        <f>IF((E3+E4+E5)=0,0,E5/(E3+E4+E5))</f>
        <v>0.02</v>
      </c>
      <c r="E5" s="11">
        <f t="shared" si="0"/>
        <v>7</v>
      </c>
      <c r="F5" s="11">
        <f>SUMIFS([0]!otro,[0]!municipio,$B3,[0]!turno,F$2)</f>
        <v>0</v>
      </c>
      <c r="G5" s="11">
        <f>SUMIFS([0]!otro,[0]!municipio,$B3,[0]!turno,G$2)</f>
        <v>1</v>
      </c>
      <c r="H5" s="11">
        <f>SUMIFS([0]!otro,[0]!municipio,$B3,[0]!turno,H$2)</f>
        <v>2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1</v>
      </c>
      <c r="M5" s="11">
        <f>SUMIFS([0]!otro,[0]!municipio,$B3,[0]!turno,M$2)</f>
        <v>1</v>
      </c>
      <c r="N5" s="11">
        <f>SUMIFS([0]!otro,[0]!municipio,$B3,[0]!turno,N$2)</f>
        <v>1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1</v>
      </c>
      <c r="W5" s="27">
        <f>SUMIFS([0]!otro,[0]!municipio,$B3,[0]!turno,W$2)</f>
        <v>0</v>
      </c>
    </row>
    <row r="6" spans="2:23" x14ac:dyDescent="0.25">
      <c r="B6" s="22">
        <v>121</v>
      </c>
      <c r="C6" s="6" t="s">
        <v>106</v>
      </c>
      <c r="D6" s="36">
        <f>IF((E6+E7+E8)=0,0,E6/(E6+E7+E8))</f>
        <v>0.45820433436532509</v>
      </c>
      <c r="E6" s="7">
        <f t="shared" si="0"/>
        <v>148</v>
      </c>
      <c r="F6" s="7">
        <f>SUMIFS([0]!psuv,[0]!municipio,$B6,[0]!turno,F$2)</f>
        <v>0</v>
      </c>
      <c r="G6" s="7">
        <f>SUMIFS([0]!psuv,[0]!municipio,$B6,[0]!turno,G$2)</f>
        <v>8</v>
      </c>
      <c r="H6" s="7">
        <f>SUMIFS([0]!psuv,[0]!municipio,$B6,[0]!turno,H$2)</f>
        <v>6</v>
      </c>
      <c r="I6" s="7">
        <f>SUMIFS([0]!psuv,[0]!municipio,$B6,[0]!turno,I$2)</f>
        <v>8</v>
      </c>
      <c r="J6" s="7">
        <f>SUMIFS([0]!psuv,[0]!municipio,$B6,[0]!turno,J$2)</f>
        <v>8</v>
      </c>
      <c r="K6" s="7">
        <f>SUMIFS([0]!psuv,[0]!municipio,$B6,[0]!turno,K$2)</f>
        <v>4</v>
      </c>
      <c r="L6" s="7">
        <f>SUMIFS([0]!psuv,[0]!municipio,$B6,[0]!turno,L$2)</f>
        <v>11</v>
      </c>
      <c r="M6" s="7">
        <f>SUMIFS([0]!psuv,[0]!municipio,$B6,[0]!turno,M$2)</f>
        <v>13</v>
      </c>
      <c r="N6" s="7">
        <f>SUMIFS([0]!psuv,[0]!municipio,$B6,[0]!turno,N$2)</f>
        <v>14</v>
      </c>
      <c r="O6" s="7">
        <f>SUMIFS([0]!psuv,[0]!municipio,$B6,[0]!turno,O$2)</f>
        <v>0</v>
      </c>
      <c r="P6" s="7">
        <f>SUMIFS([0]!psuv,[0]!municipio,$B6,[0]!turno,P$2)</f>
        <v>13</v>
      </c>
      <c r="Q6" s="7">
        <f>SUMIFS([0]!psuv,[0]!municipio,$B6,[0]!turno,Q$2)</f>
        <v>11</v>
      </c>
      <c r="R6" s="7">
        <f>SUMIFS([0]!psuv,[0]!municipio,$B6,[0]!turno,R$2)</f>
        <v>10</v>
      </c>
      <c r="S6" s="7">
        <f>SUMIFS([0]!psuv,[0]!municipio,$B6,[0]!turno,S$2)</f>
        <v>9</v>
      </c>
      <c r="T6" s="7">
        <f>SUMIFS([0]!psuv,[0]!municipio,$B6,[0]!turno,T$2)</f>
        <v>15</v>
      </c>
      <c r="U6" s="7">
        <f>SUMIFS([0]!psuv,[0]!municipio,$B6,[0]!turno,U$2)</f>
        <v>9</v>
      </c>
      <c r="V6" s="7">
        <f>SUMIFS([0]!psuv,[0]!municipio,$B6,[0]!turno,V$2)</f>
        <v>0</v>
      </c>
      <c r="W6" s="28">
        <f>SUMIFS([0]!psuv,[0]!municipio,$B6,[0]!turno,W$2)</f>
        <v>9</v>
      </c>
    </row>
    <row r="7" spans="2:23" x14ac:dyDescent="0.25">
      <c r="B7" s="23" t="s">
        <v>5</v>
      </c>
      <c r="C7" s="4" t="s">
        <v>107</v>
      </c>
      <c r="D7" s="37">
        <f>IF((E6+E7+E8)=0,0,E7/(E6+E7+E8))</f>
        <v>0.47678018575851394</v>
      </c>
      <c r="E7" s="5">
        <f t="shared" si="0"/>
        <v>154</v>
      </c>
      <c r="F7" s="5">
        <f>SUMIFS([0]!mud,[0]!municipio,$B6,[0]!turno,F$2)</f>
        <v>0</v>
      </c>
      <c r="G7" s="5">
        <f>SUMIFS([0]!mud,[0]!municipio,$B6,[0]!turno,G$2)</f>
        <v>7</v>
      </c>
      <c r="H7" s="5">
        <f>SUMIFS([0]!mud,[0]!municipio,$B6,[0]!turno,H$2)</f>
        <v>9</v>
      </c>
      <c r="I7" s="5">
        <f>SUMIFS([0]!mud,[0]!municipio,$B6,[0]!turno,I$2)</f>
        <v>6</v>
      </c>
      <c r="J7" s="5">
        <f>SUMIFS([0]!mud,[0]!municipio,$B6,[0]!turno,J$2)</f>
        <v>12</v>
      </c>
      <c r="K7" s="5">
        <f>SUMIFS([0]!mud,[0]!municipio,$B6,[0]!turno,K$2)</f>
        <v>11</v>
      </c>
      <c r="L7" s="5">
        <f>SUMIFS([0]!mud,[0]!municipio,$B6,[0]!turno,L$2)</f>
        <v>9</v>
      </c>
      <c r="M7" s="5">
        <f>SUMIFS([0]!mud,[0]!municipio,$B6,[0]!turno,M$2)</f>
        <v>12</v>
      </c>
      <c r="N7" s="5">
        <f>SUMIFS([0]!mud,[0]!municipio,$B6,[0]!turno,N$2)</f>
        <v>9</v>
      </c>
      <c r="O7" s="5">
        <f>SUMIFS([0]!mud,[0]!municipio,$B6,[0]!turno,O$2)</f>
        <v>0</v>
      </c>
      <c r="P7" s="5">
        <f>SUMIFS([0]!mud,[0]!municipio,$B6,[0]!turno,P$2)</f>
        <v>9</v>
      </c>
      <c r="Q7" s="5">
        <f>SUMIFS([0]!mud,[0]!municipio,$B6,[0]!turno,Q$2)</f>
        <v>13</v>
      </c>
      <c r="R7" s="5">
        <f>SUMIFS([0]!mud,[0]!municipio,$B6,[0]!turno,R$2)</f>
        <v>12</v>
      </c>
      <c r="S7" s="5">
        <f>SUMIFS([0]!mud,[0]!municipio,$B6,[0]!turno,S$2)</f>
        <v>11</v>
      </c>
      <c r="T7" s="5">
        <f>SUMIFS([0]!mud,[0]!municipio,$B6,[0]!turno,T$2)</f>
        <v>13</v>
      </c>
      <c r="U7" s="5">
        <f>SUMIFS([0]!mud,[0]!municipio,$B6,[0]!turno,U$2)</f>
        <v>11</v>
      </c>
      <c r="V7" s="5">
        <f>SUMIFS([0]!mud,[0]!municipio,$B6,[0]!turno,V$2)</f>
        <v>0</v>
      </c>
      <c r="W7" s="26">
        <f>SUMIFS([0]!mud,[0]!municipio,$B6,[0]!turno,W$2)</f>
        <v>10</v>
      </c>
    </row>
    <row r="8" spans="2:23" ht="15.75" thickBot="1" x14ac:dyDescent="0.3">
      <c r="B8" s="24">
        <v>8.346711102898921E-2</v>
      </c>
      <c r="C8" s="12" t="s">
        <v>0</v>
      </c>
      <c r="D8" s="38">
        <f>IF((E6+E7+E8)=0,0,E8/(E6+E7+E8))</f>
        <v>6.5015479876160992E-2</v>
      </c>
      <c r="E8" s="13">
        <f t="shared" si="0"/>
        <v>21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1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5</v>
      </c>
      <c r="N8" s="13">
        <f>SUMIFS([0]!otro,[0]!municipio,$B6,[0]!turno,N$2)</f>
        <v>2</v>
      </c>
      <c r="O8" s="13">
        <f>SUMIFS([0]!otro,[0]!municipio,$B6,[0]!turno,O$2)</f>
        <v>0</v>
      </c>
      <c r="P8" s="13">
        <f>SUMIFS([0]!otro,[0]!municipio,$B6,[0]!turno,P$2)</f>
        <v>2</v>
      </c>
      <c r="Q8" s="13">
        <f>SUMIFS([0]!otro,[0]!municipio,$B6,[0]!turno,Q$2)</f>
        <v>4</v>
      </c>
      <c r="R8" s="13">
        <f>SUMIFS([0]!otro,[0]!municipio,$B6,[0]!turno,R$2)</f>
        <v>2</v>
      </c>
      <c r="S8" s="13">
        <f>SUMIFS([0]!otro,[0]!municipio,$B6,[0]!turno,S$2)</f>
        <v>2</v>
      </c>
      <c r="T8" s="13">
        <f>SUMIFS([0]!otro,[0]!municipio,$B6,[0]!turno,T$2)</f>
        <v>0</v>
      </c>
      <c r="U8" s="13">
        <f>SUMIFS([0]!otro,[0]!municipio,$B6,[0]!turno,U$2)</f>
        <v>2</v>
      </c>
      <c r="V8" s="13">
        <f>SUMIFS([0]!otro,[0]!municipio,$B6,[0]!turno,V$2)</f>
        <v>0</v>
      </c>
      <c r="W8" s="29">
        <f>SUMIFS([0]!otro,[0]!municipio,$B6,[0]!turno,W$2)</f>
        <v>1</v>
      </c>
    </row>
    <row r="9" spans="2:23" x14ac:dyDescent="0.25">
      <c r="B9" s="19">
        <v>122</v>
      </c>
      <c r="C9" s="8" t="s">
        <v>106</v>
      </c>
      <c r="D9" s="36">
        <f>IF((E9+E10+E11)=0,0,E9/(E9+E10+E11))</f>
        <v>0.46488294314381273</v>
      </c>
      <c r="E9" s="9">
        <f t="shared" si="0"/>
        <v>417</v>
      </c>
      <c r="F9" s="9">
        <f>SUMIFS([0]!psuv,[0]!municipio,$B9,[0]!turno,F$2)</f>
        <v>30</v>
      </c>
      <c r="G9" s="9">
        <f>SUMIFS([0]!psuv,[0]!municipio,$B9,[0]!turno,G$2)</f>
        <v>22</v>
      </c>
      <c r="H9" s="9">
        <f>SUMIFS([0]!psuv,[0]!municipio,$B9,[0]!turno,H$2)</f>
        <v>8</v>
      </c>
      <c r="I9" s="9">
        <f>SUMIFS([0]!psuv,[0]!municipio,$B9,[0]!turno,I$2)</f>
        <v>12</v>
      </c>
      <c r="J9" s="9">
        <f>SUMIFS([0]!psuv,[0]!municipio,$B9,[0]!turno,J$2)</f>
        <v>15</v>
      </c>
      <c r="K9" s="9">
        <f>SUMIFS([0]!psuv,[0]!municipio,$B9,[0]!turno,K$2)</f>
        <v>20</v>
      </c>
      <c r="L9" s="9">
        <f>SUMIFS([0]!psuv,[0]!municipio,$B9,[0]!turno,L$2)</f>
        <v>27</v>
      </c>
      <c r="M9" s="9">
        <f>SUMIFS([0]!psuv,[0]!municipio,$B9,[0]!turno,M$2)</f>
        <v>19</v>
      </c>
      <c r="N9" s="9">
        <f>SUMIFS([0]!psuv,[0]!municipio,$B9,[0]!turno,N$2)</f>
        <v>19</v>
      </c>
      <c r="O9" s="9">
        <f>SUMIFS([0]!psuv,[0]!municipio,$B9,[0]!turno,O$2)</f>
        <v>32</v>
      </c>
      <c r="P9" s="9">
        <f>SUMIFS([0]!psuv,[0]!municipio,$B9,[0]!turno,P$2)</f>
        <v>32</v>
      </c>
      <c r="Q9" s="9">
        <f>SUMIFS([0]!psuv,[0]!municipio,$B9,[0]!turno,Q$2)</f>
        <v>24</v>
      </c>
      <c r="R9" s="9">
        <f>SUMIFS([0]!psuv,[0]!municipio,$B9,[0]!turno,R$2)</f>
        <v>25</v>
      </c>
      <c r="S9" s="9">
        <f>SUMIFS([0]!psuv,[0]!municipio,$B9,[0]!turno,S$2)</f>
        <v>25</v>
      </c>
      <c r="T9" s="9">
        <f>SUMIFS([0]!psuv,[0]!municipio,$B9,[0]!turno,T$2)</f>
        <v>26</v>
      </c>
      <c r="U9" s="9">
        <f>SUMIFS([0]!psuv,[0]!municipio,$B9,[0]!turno,U$2)</f>
        <v>32</v>
      </c>
      <c r="V9" s="9">
        <f>SUMIFS([0]!psuv,[0]!municipio,$B9,[0]!turno,V$2)</f>
        <v>30</v>
      </c>
      <c r="W9" s="25">
        <f>SUMIFS([0]!psuv,[0]!municipio,$B9,[0]!turno,W$2)</f>
        <v>19</v>
      </c>
    </row>
    <row r="10" spans="2:23" x14ac:dyDescent="0.25">
      <c r="B10" s="20" t="s">
        <v>85</v>
      </c>
      <c r="C10" s="4" t="s">
        <v>107</v>
      </c>
      <c r="D10" s="37">
        <f>IF((E9+E10+E11)=0,0,E10/(E9+E10+E11))</f>
        <v>0.49609810479375699</v>
      </c>
      <c r="E10" s="5">
        <f t="shared" si="0"/>
        <v>445</v>
      </c>
      <c r="F10" s="5">
        <f>SUMIFS([0]!mud,[0]!municipio,$B9,[0]!turno,F$2)</f>
        <v>2</v>
      </c>
      <c r="G10" s="5">
        <f>SUMIFS([0]!mud,[0]!municipio,$B9,[0]!turno,G$2)</f>
        <v>19</v>
      </c>
      <c r="H10" s="5">
        <f>SUMIFS([0]!mud,[0]!municipio,$B9,[0]!turno,H$2)</f>
        <v>6</v>
      </c>
      <c r="I10" s="5">
        <f>SUMIFS([0]!mud,[0]!municipio,$B9,[0]!turno,I$2)</f>
        <v>17</v>
      </c>
      <c r="J10" s="5">
        <f>SUMIFS([0]!mud,[0]!municipio,$B9,[0]!turno,J$2)</f>
        <v>14</v>
      </c>
      <c r="K10" s="5">
        <f>SUMIFS([0]!mud,[0]!municipio,$B9,[0]!turno,K$2)</f>
        <v>10</v>
      </c>
      <c r="L10" s="5">
        <f>SUMIFS([0]!mud,[0]!municipio,$B9,[0]!turno,L$2)</f>
        <v>33</v>
      </c>
      <c r="M10" s="5">
        <f>SUMIFS([0]!mud,[0]!municipio,$B9,[0]!turno,M$2)</f>
        <v>39</v>
      </c>
      <c r="N10" s="5">
        <f>SUMIFS([0]!mud,[0]!municipio,$B9,[0]!turno,N$2)</f>
        <v>39</v>
      </c>
      <c r="O10" s="5">
        <f>SUMIFS([0]!mud,[0]!municipio,$B9,[0]!turno,O$2)</f>
        <v>25</v>
      </c>
      <c r="P10" s="5">
        <f>SUMIFS([0]!mud,[0]!municipio,$B9,[0]!turno,P$2)</f>
        <v>28</v>
      </c>
      <c r="Q10" s="5">
        <f>SUMIFS([0]!mud,[0]!municipio,$B9,[0]!turno,Q$2)</f>
        <v>28</v>
      </c>
      <c r="R10" s="5">
        <f>SUMIFS([0]!mud,[0]!municipio,$B9,[0]!turno,R$2)</f>
        <v>32</v>
      </c>
      <c r="S10" s="5">
        <f>SUMIFS([0]!mud,[0]!municipio,$B9,[0]!turno,S$2)</f>
        <v>32</v>
      </c>
      <c r="T10" s="5">
        <f>SUMIFS([0]!mud,[0]!municipio,$B9,[0]!turno,T$2)</f>
        <v>33</v>
      </c>
      <c r="U10" s="5">
        <f>SUMIFS([0]!mud,[0]!municipio,$B9,[0]!turno,U$2)</f>
        <v>28</v>
      </c>
      <c r="V10" s="5">
        <f>SUMIFS([0]!mud,[0]!municipio,$B9,[0]!turno,V$2)</f>
        <v>26</v>
      </c>
      <c r="W10" s="26">
        <f>SUMIFS([0]!mud,[0]!municipio,$B9,[0]!turno,W$2)</f>
        <v>34</v>
      </c>
    </row>
    <row r="11" spans="2:23" ht="15.75" thickBot="1" x14ac:dyDescent="0.3">
      <c r="B11" s="21">
        <v>0.11699431607247898</v>
      </c>
      <c r="C11" s="10" t="s">
        <v>0</v>
      </c>
      <c r="D11" s="38">
        <f>IF((E9+E10+E11)=0,0,E11/(E9+E10+E11))</f>
        <v>3.901895206243032E-2</v>
      </c>
      <c r="E11" s="11">
        <f t="shared" si="0"/>
        <v>35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2</v>
      </c>
      <c r="N11" s="11">
        <f>SUMIFS([0]!otro,[0]!municipio,$B9,[0]!turno,N$2)</f>
        <v>1</v>
      </c>
      <c r="O11" s="11">
        <f>SUMIFS([0]!otro,[0]!municipio,$B9,[0]!turno,O$2)</f>
        <v>3</v>
      </c>
      <c r="P11" s="11">
        <f>SUMIFS([0]!otro,[0]!municipio,$B9,[0]!turno,P$2)</f>
        <v>0</v>
      </c>
      <c r="Q11" s="11">
        <f>SUMIFS([0]!otro,[0]!municipio,$B9,[0]!turno,Q$2)</f>
        <v>6</v>
      </c>
      <c r="R11" s="11">
        <f>SUMIFS([0]!otro,[0]!municipio,$B9,[0]!turno,R$2)</f>
        <v>13</v>
      </c>
      <c r="S11" s="11">
        <f>SUMIFS([0]!otro,[0]!municipio,$B9,[0]!turno,S$2)</f>
        <v>3</v>
      </c>
      <c r="T11" s="11">
        <f>SUMIFS([0]!otro,[0]!municipio,$B9,[0]!turno,T$2)</f>
        <v>1</v>
      </c>
      <c r="U11" s="11">
        <f>SUMIFS([0]!otro,[0]!municipio,$B9,[0]!turno,U$2)</f>
        <v>0</v>
      </c>
      <c r="V11" s="11">
        <f>SUMIFS([0]!otro,[0]!municipio,$B9,[0]!turno,V$2)</f>
        <v>4</v>
      </c>
      <c r="W11" s="27">
        <f>SUMIFS([0]!otro,[0]!municipio,$B9,[0]!turno,W$2)</f>
        <v>2</v>
      </c>
    </row>
    <row r="12" spans="2:23" x14ac:dyDescent="0.25">
      <c r="B12" s="22">
        <v>123</v>
      </c>
      <c r="C12" s="6" t="s">
        <v>106</v>
      </c>
      <c r="D12" s="36">
        <f>IF((E12+E13+E14)=0,0,E12/(E12+E13+E14))</f>
        <v>0.42183622828784118</v>
      </c>
      <c r="E12" s="7">
        <f t="shared" si="0"/>
        <v>170</v>
      </c>
      <c r="F12" s="7">
        <f>SUMIFS([0]!psuv,[0]!municipio,$B12,[0]!turno,F$2)</f>
        <v>13</v>
      </c>
      <c r="G12" s="7">
        <f>SUMIFS([0]!psuv,[0]!municipio,$B12,[0]!turno,G$2)</f>
        <v>0</v>
      </c>
      <c r="H12" s="7">
        <f>SUMIFS([0]!psuv,[0]!municipio,$B12,[0]!turno,H$2)</f>
        <v>0</v>
      </c>
      <c r="I12" s="7">
        <f>SUMIFS([0]!psuv,[0]!municipio,$B12,[0]!turno,I$2)</f>
        <v>0</v>
      </c>
      <c r="J12" s="7">
        <f>SUMIFS([0]!psuv,[0]!municipio,$B12,[0]!turno,J$2)</f>
        <v>9</v>
      </c>
      <c r="K12" s="7">
        <f>SUMIFS([0]!psuv,[0]!municipio,$B12,[0]!turno,K$2)</f>
        <v>4</v>
      </c>
      <c r="L12" s="7">
        <f>SUMIFS([0]!psuv,[0]!municipio,$B12,[0]!turno,L$2)</f>
        <v>11</v>
      </c>
      <c r="M12" s="7">
        <f>SUMIFS([0]!psuv,[0]!municipio,$B12,[0]!turno,M$2)</f>
        <v>5</v>
      </c>
      <c r="N12" s="7">
        <f>SUMIFS([0]!psuv,[0]!municipio,$B12,[0]!turno,N$2)</f>
        <v>17</v>
      </c>
      <c r="O12" s="7">
        <f>SUMIFS([0]!psuv,[0]!municipio,$B12,[0]!turno,O$2)</f>
        <v>14</v>
      </c>
      <c r="P12" s="7">
        <f>SUMIFS([0]!psuv,[0]!municipio,$B12,[0]!turno,P$2)</f>
        <v>11</v>
      </c>
      <c r="Q12" s="7">
        <f>SUMIFS([0]!psuv,[0]!municipio,$B12,[0]!turno,Q$2)</f>
        <v>7</v>
      </c>
      <c r="R12" s="7">
        <f>SUMIFS([0]!psuv,[0]!municipio,$B12,[0]!turno,R$2)</f>
        <v>10</v>
      </c>
      <c r="S12" s="7">
        <f>SUMIFS([0]!psuv,[0]!municipio,$B12,[0]!turno,S$2)</f>
        <v>12</v>
      </c>
      <c r="T12" s="7">
        <f>SUMIFS([0]!psuv,[0]!municipio,$B12,[0]!turno,T$2)</f>
        <v>14</v>
      </c>
      <c r="U12" s="7">
        <f>SUMIFS([0]!psuv,[0]!municipio,$B12,[0]!turno,U$2)</f>
        <v>17</v>
      </c>
      <c r="V12" s="7">
        <f>SUMIFS([0]!psuv,[0]!municipio,$B12,[0]!turno,V$2)</f>
        <v>10</v>
      </c>
      <c r="W12" s="28">
        <f>SUMIFS([0]!psuv,[0]!municipio,$B12,[0]!turno,W$2)</f>
        <v>16</v>
      </c>
    </row>
    <row r="13" spans="2:23" x14ac:dyDescent="0.25">
      <c r="B13" s="23" t="s">
        <v>205</v>
      </c>
      <c r="C13" s="4" t="s">
        <v>107</v>
      </c>
      <c r="D13" s="37">
        <f>IF((E12+E13+E14)=0,0,E13/(E12+E13+E14))</f>
        <v>0.4466501240694789</v>
      </c>
      <c r="E13" s="5">
        <f t="shared" si="0"/>
        <v>180</v>
      </c>
      <c r="F13" s="5">
        <f>SUMIFS([0]!mud,[0]!municipio,$B12,[0]!turno,F$2)</f>
        <v>17</v>
      </c>
      <c r="G13" s="5">
        <f>SUMIFS([0]!mud,[0]!municipio,$B12,[0]!turno,G$2)</f>
        <v>0</v>
      </c>
      <c r="H13" s="5">
        <f>SUMIFS([0]!mud,[0]!municipio,$B12,[0]!turno,H$2)</f>
        <v>0</v>
      </c>
      <c r="I13" s="5">
        <f>SUMIFS([0]!mud,[0]!municipio,$B12,[0]!turno,I$2)</f>
        <v>0</v>
      </c>
      <c r="J13" s="5">
        <f>SUMIFS([0]!mud,[0]!municipio,$B12,[0]!turno,J$2)</f>
        <v>14</v>
      </c>
      <c r="K13" s="5">
        <f>SUMIFS([0]!mud,[0]!municipio,$B12,[0]!turno,K$2)</f>
        <v>5</v>
      </c>
      <c r="L13" s="5">
        <f>SUMIFS([0]!mud,[0]!municipio,$B12,[0]!turno,L$2)</f>
        <v>7</v>
      </c>
      <c r="M13" s="5">
        <f>SUMIFS([0]!mud,[0]!municipio,$B12,[0]!turno,M$2)</f>
        <v>3</v>
      </c>
      <c r="N13" s="5">
        <f>SUMIFS([0]!mud,[0]!municipio,$B12,[0]!turno,N$2)</f>
        <v>10</v>
      </c>
      <c r="O13" s="5">
        <f>SUMIFS([0]!mud,[0]!municipio,$B12,[0]!turno,O$2)</f>
        <v>10</v>
      </c>
      <c r="P13" s="5">
        <f>SUMIFS([0]!mud,[0]!municipio,$B12,[0]!turno,P$2)</f>
        <v>14</v>
      </c>
      <c r="Q13" s="5">
        <f>SUMIFS([0]!mud,[0]!municipio,$B12,[0]!turno,Q$2)</f>
        <v>14</v>
      </c>
      <c r="R13" s="5">
        <f>SUMIFS([0]!mud,[0]!municipio,$B12,[0]!turno,R$2)</f>
        <v>17</v>
      </c>
      <c r="S13" s="5">
        <f>SUMIFS([0]!mud,[0]!municipio,$B12,[0]!turno,S$2)</f>
        <v>14</v>
      </c>
      <c r="T13" s="5">
        <f>SUMIFS([0]!mud,[0]!municipio,$B12,[0]!turno,T$2)</f>
        <v>15</v>
      </c>
      <c r="U13" s="5">
        <f>SUMIFS([0]!mud,[0]!municipio,$B12,[0]!turno,U$2)</f>
        <v>13</v>
      </c>
      <c r="V13" s="5">
        <f>SUMIFS([0]!mud,[0]!municipio,$B12,[0]!turno,V$2)</f>
        <v>16</v>
      </c>
      <c r="W13" s="26">
        <f>SUMIFS([0]!mud,[0]!municipio,$B12,[0]!turno,W$2)</f>
        <v>11</v>
      </c>
    </row>
    <row r="14" spans="2:23" ht="15.75" thickBot="1" x14ac:dyDescent="0.3">
      <c r="B14" s="24">
        <v>4.497473339108235E-2</v>
      </c>
      <c r="C14" s="12" t="s">
        <v>0</v>
      </c>
      <c r="D14" s="38">
        <f>IF((E12+E13+E14)=0,0,E14/(E12+E13+E14))</f>
        <v>0.13151364764267989</v>
      </c>
      <c r="E14" s="13">
        <f t="shared" si="0"/>
        <v>53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6</v>
      </c>
      <c r="L14" s="13">
        <f>SUMIFS([0]!otro,[0]!municipio,$B12,[0]!turno,L$2)</f>
        <v>12</v>
      </c>
      <c r="M14" s="13">
        <f>SUMIFS([0]!otro,[0]!municipio,$B12,[0]!turno,M$2)</f>
        <v>8</v>
      </c>
      <c r="N14" s="13">
        <f>SUMIFS([0]!otro,[0]!municipio,$B12,[0]!turno,N$2)</f>
        <v>2</v>
      </c>
      <c r="O14" s="13">
        <f>SUMIFS([0]!otro,[0]!municipio,$B12,[0]!turno,O$2)</f>
        <v>6</v>
      </c>
      <c r="P14" s="13">
        <f>SUMIFS([0]!otro,[0]!municipio,$B12,[0]!turno,P$2)</f>
        <v>5</v>
      </c>
      <c r="Q14" s="13">
        <f>SUMIFS([0]!otro,[0]!municipio,$B12,[0]!turno,Q$2)</f>
        <v>0</v>
      </c>
      <c r="R14" s="13">
        <f>SUMIFS([0]!otro,[0]!municipio,$B12,[0]!turno,R$2)</f>
        <v>3</v>
      </c>
      <c r="S14" s="13">
        <f>SUMIFS([0]!otro,[0]!municipio,$B12,[0]!turno,S$2)</f>
        <v>4</v>
      </c>
      <c r="T14" s="13">
        <f>SUMIFS([0]!otro,[0]!municipio,$B12,[0]!turno,T$2)</f>
        <v>1</v>
      </c>
      <c r="U14" s="13">
        <f>SUMIFS([0]!otro,[0]!municipio,$B12,[0]!turno,U$2)</f>
        <v>0</v>
      </c>
      <c r="V14" s="13">
        <f>SUMIFS([0]!otro,[0]!municipio,$B12,[0]!turno,V$2)</f>
        <v>3</v>
      </c>
      <c r="W14" s="29">
        <f>SUMIFS([0]!otro,[0]!municipio,$B12,[0]!turno,W$2)</f>
        <v>3</v>
      </c>
    </row>
    <row r="15" spans="2:23" x14ac:dyDescent="0.25">
      <c r="B15" s="19">
        <v>124</v>
      </c>
      <c r="C15" s="8" t="s">
        <v>106</v>
      </c>
      <c r="D15" s="36">
        <f>IF((E15+E16+E17)=0,0,E15/(E15+E16+E17))</f>
        <v>0.55474452554744524</v>
      </c>
      <c r="E15" s="9">
        <f t="shared" si="0"/>
        <v>228</v>
      </c>
      <c r="F15" s="9">
        <f>SUMIFS([0]!psuv,[0]!municipio,$B15,[0]!turno,F$2)</f>
        <v>19</v>
      </c>
      <c r="G15" s="9">
        <f>SUMIFS([0]!psuv,[0]!municipio,$B15,[0]!turno,G$2)</f>
        <v>21</v>
      </c>
      <c r="H15" s="9">
        <f>SUMIFS([0]!psuv,[0]!municipio,$B15,[0]!turno,H$2)</f>
        <v>12</v>
      </c>
      <c r="I15" s="9">
        <f>SUMIFS([0]!psuv,[0]!municipio,$B15,[0]!turno,I$2)</f>
        <v>0</v>
      </c>
      <c r="J15" s="9">
        <f>SUMIFS([0]!psuv,[0]!municipio,$B15,[0]!turno,J$2)</f>
        <v>20</v>
      </c>
      <c r="K15" s="9">
        <f>SUMIFS([0]!psuv,[0]!municipio,$B15,[0]!turno,K$2)</f>
        <v>10</v>
      </c>
      <c r="L15" s="9">
        <f>SUMIFS([0]!psuv,[0]!municipio,$B15,[0]!turno,L$2)</f>
        <v>10</v>
      </c>
      <c r="M15" s="9">
        <f>SUMIFS([0]!psuv,[0]!municipio,$B15,[0]!turno,M$2)</f>
        <v>19</v>
      </c>
      <c r="N15" s="9">
        <f>SUMIFS([0]!psuv,[0]!municipio,$B15,[0]!turno,N$2)</f>
        <v>10</v>
      </c>
      <c r="O15" s="9">
        <f>SUMIFS([0]!psuv,[0]!municipio,$B15,[0]!turno,O$2)</f>
        <v>16</v>
      </c>
      <c r="P15" s="9">
        <f>SUMIFS([0]!psuv,[0]!municipio,$B15,[0]!turno,P$2)</f>
        <v>14</v>
      </c>
      <c r="Q15" s="9">
        <f>SUMIFS([0]!psuv,[0]!municipio,$B15,[0]!turno,Q$2)</f>
        <v>17</v>
      </c>
      <c r="R15" s="9">
        <f>SUMIFS([0]!psuv,[0]!municipio,$B15,[0]!turno,R$2)</f>
        <v>15</v>
      </c>
      <c r="S15" s="9">
        <f>SUMIFS([0]!psuv,[0]!municipio,$B15,[0]!turno,S$2)</f>
        <v>12</v>
      </c>
      <c r="T15" s="9">
        <f>SUMIFS([0]!psuv,[0]!municipio,$B15,[0]!turno,T$2)</f>
        <v>7</v>
      </c>
      <c r="U15" s="9">
        <f>SUMIFS([0]!psuv,[0]!municipio,$B15,[0]!turno,U$2)</f>
        <v>8</v>
      </c>
      <c r="V15" s="9">
        <f>SUMIFS([0]!psuv,[0]!municipio,$B15,[0]!turno,V$2)</f>
        <v>6</v>
      </c>
      <c r="W15" s="25">
        <f>SUMIFS([0]!psuv,[0]!municipio,$B15,[0]!turno,W$2)</f>
        <v>12</v>
      </c>
    </row>
    <row r="16" spans="2:23" x14ac:dyDescent="0.25">
      <c r="B16" s="20" t="s">
        <v>86</v>
      </c>
      <c r="C16" s="4" t="s">
        <v>107</v>
      </c>
      <c r="D16" s="37">
        <f>IF((E15+E16+E17)=0,0,E16/(E15+E16+E17))</f>
        <v>0.44525547445255476</v>
      </c>
      <c r="E16" s="5">
        <f t="shared" si="0"/>
        <v>183</v>
      </c>
      <c r="F16" s="5">
        <f>SUMIFS([0]!mud,[0]!municipio,$B15,[0]!turno,F$2)</f>
        <v>11</v>
      </c>
      <c r="G16" s="5">
        <f>SUMIFS([0]!mud,[0]!municipio,$B15,[0]!turno,G$2)</f>
        <v>9</v>
      </c>
      <c r="H16" s="5">
        <f>SUMIFS([0]!mud,[0]!municipio,$B15,[0]!turno,H$2)</f>
        <v>18</v>
      </c>
      <c r="I16" s="5">
        <f>SUMIFS([0]!mud,[0]!municipio,$B15,[0]!turno,I$2)</f>
        <v>0</v>
      </c>
      <c r="J16" s="5">
        <f>SUMIFS([0]!mud,[0]!municipio,$B15,[0]!turno,J$2)</f>
        <v>5</v>
      </c>
      <c r="K16" s="5">
        <f>SUMIFS([0]!mud,[0]!municipio,$B15,[0]!turno,K$2)</f>
        <v>19</v>
      </c>
      <c r="L16" s="5">
        <f>SUMIFS([0]!mud,[0]!municipio,$B15,[0]!turno,L$2)</f>
        <v>15</v>
      </c>
      <c r="M16" s="5">
        <f>SUMIFS([0]!mud,[0]!municipio,$B15,[0]!turno,M$2)</f>
        <v>8</v>
      </c>
      <c r="N16" s="5">
        <f>SUMIFS([0]!mud,[0]!municipio,$B15,[0]!turno,N$2)</f>
        <v>15</v>
      </c>
      <c r="O16" s="5">
        <f>SUMIFS([0]!mud,[0]!municipio,$B15,[0]!turno,O$2)</f>
        <v>12</v>
      </c>
      <c r="P16" s="5">
        <f>SUMIFS([0]!mud,[0]!municipio,$B15,[0]!turno,P$2)</f>
        <v>8</v>
      </c>
      <c r="Q16" s="5">
        <f>SUMIFS([0]!mud,[0]!municipio,$B15,[0]!turno,Q$2)</f>
        <v>6</v>
      </c>
      <c r="R16" s="5">
        <f>SUMIFS([0]!mud,[0]!municipio,$B15,[0]!turno,R$2)</f>
        <v>15</v>
      </c>
      <c r="S16" s="5">
        <f>SUMIFS([0]!mud,[0]!municipio,$B15,[0]!turno,S$2)</f>
        <v>13</v>
      </c>
      <c r="T16" s="5">
        <f>SUMIFS([0]!mud,[0]!municipio,$B15,[0]!turno,T$2)</f>
        <v>6</v>
      </c>
      <c r="U16" s="5">
        <f>SUMIFS([0]!mud,[0]!municipio,$B15,[0]!turno,U$2)</f>
        <v>5</v>
      </c>
      <c r="V16" s="5">
        <f>SUMIFS([0]!mud,[0]!municipio,$B15,[0]!turno,V$2)</f>
        <v>10</v>
      </c>
      <c r="W16" s="26">
        <f>SUMIFS([0]!mud,[0]!municipio,$B15,[0]!turno,W$2)</f>
        <v>8</v>
      </c>
    </row>
    <row r="17" spans="2:23" ht="15.75" thickBot="1" x14ac:dyDescent="0.3">
      <c r="B17" s="21">
        <v>5.6320551135853159E-2</v>
      </c>
      <c r="C17" s="10" t="s">
        <v>0</v>
      </c>
      <c r="D17" s="38">
        <f>IF((E15+E16+E17)=0,0,E17/(E15+E16+E17))</f>
        <v>0</v>
      </c>
      <c r="E17" s="11">
        <f t="shared" si="0"/>
        <v>0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125</v>
      </c>
      <c r="C18" s="6" t="s">
        <v>106</v>
      </c>
      <c r="D18" s="36">
        <f>IF((E18+E19+E20)=0,0,E18/(E18+E19+E20))</f>
        <v>0.52795031055900621</v>
      </c>
      <c r="E18" s="7">
        <f t="shared" si="0"/>
        <v>170</v>
      </c>
      <c r="F18" s="7">
        <f>SUMIFS([0]!psuv,[0]!municipio,$B18,[0]!turno,F$2)</f>
        <v>8</v>
      </c>
      <c r="G18" s="7">
        <f>SUMIFS([0]!psuv,[0]!municipio,$B18,[0]!turno,G$2)</f>
        <v>0</v>
      </c>
      <c r="H18" s="7">
        <f>SUMIFS([0]!psuv,[0]!municipio,$B18,[0]!turno,H$2)</f>
        <v>10</v>
      </c>
      <c r="I18" s="7">
        <f>SUMIFS([0]!psuv,[0]!municipio,$B18,[0]!turno,I$2)</f>
        <v>8</v>
      </c>
      <c r="J18" s="7">
        <f>SUMIFS([0]!psuv,[0]!municipio,$B18,[0]!turno,J$2)</f>
        <v>5</v>
      </c>
      <c r="K18" s="7">
        <f>SUMIFS([0]!psuv,[0]!municipio,$B18,[0]!turno,K$2)</f>
        <v>11</v>
      </c>
      <c r="L18" s="7">
        <f>SUMIFS([0]!psuv,[0]!municipio,$B18,[0]!turno,L$2)</f>
        <v>11</v>
      </c>
      <c r="M18" s="7">
        <f>SUMIFS([0]!psuv,[0]!municipio,$B18,[0]!turno,M$2)</f>
        <v>10</v>
      </c>
      <c r="N18" s="7">
        <f>SUMIFS([0]!psuv,[0]!municipio,$B18,[0]!turno,N$2)</f>
        <v>9</v>
      </c>
      <c r="O18" s="7">
        <f>SUMIFS([0]!psuv,[0]!municipio,$B18,[0]!turno,O$2)</f>
        <v>15</v>
      </c>
      <c r="P18" s="7">
        <f>SUMIFS([0]!psuv,[0]!municipio,$B18,[0]!turno,P$2)</f>
        <v>6</v>
      </c>
      <c r="Q18" s="7">
        <f>SUMIFS([0]!psuv,[0]!municipio,$B18,[0]!turno,Q$2)</f>
        <v>18</v>
      </c>
      <c r="R18" s="7">
        <f>SUMIFS([0]!psuv,[0]!municipio,$B18,[0]!turno,R$2)</f>
        <v>10</v>
      </c>
      <c r="S18" s="7">
        <f>SUMIFS([0]!psuv,[0]!municipio,$B18,[0]!turno,S$2)</f>
        <v>8</v>
      </c>
      <c r="T18" s="7">
        <f>SUMIFS([0]!psuv,[0]!municipio,$B18,[0]!turno,T$2)</f>
        <v>13</v>
      </c>
      <c r="U18" s="7">
        <f>SUMIFS([0]!psuv,[0]!municipio,$B18,[0]!turno,U$2)</f>
        <v>6</v>
      </c>
      <c r="V18" s="7">
        <f>SUMIFS([0]!psuv,[0]!municipio,$B18,[0]!turno,V$2)</f>
        <v>8</v>
      </c>
      <c r="W18" s="28">
        <f>SUMIFS([0]!psuv,[0]!municipio,$B18,[0]!turno,W$2)</f>
        <v>14</v>
      </c>
    </row>
    <row r="19" spans="2:23" x14ac:dyDescent="0.25">
      <c r="B19" s="23" t="s">
        <v>206</v>
      </c>
      <c r="C19" s="4" t="s">
        <v>107</v>
      </c>
      <c r="D19" s="37">
        <f>IF((E18+E19+E20)=0,0,E19/(E18+E19+E20))</f>
        <v>0.44409937888198758</v>
      </c>
      <c r="E19" s="5">
        <f t="shared" si="0"/>
        <v>143</v>
      </c>
      <c r="F19" s="5">
        <f>SUMIFS([0]!mud,[0]!municipio,$B18,[0]!turno,F$2)</f>
        <v>5</v>
      </c>
      <c r="G19" s="5">
        <f>SUMIFS([0]!mud,[0]!municipio,$B18,[0]!turno,G$2)</f>
        <v>0</v>
      </c>
      <c r="H19" s="5">
        <f>SUMIFS([0]!mud,[0]!municipio,$B18,[0]!turno,H$2)</f>
        <v>11</v>
      </c>
      <c r="I19" s="5">
        <f>SUMIFS([0]!mud,[0]!municipio,$B18,[0]!turno,I$2)</f>
        <v>6</v>
      </c>
      <c r="J19" s="5">
        <f>SUMIFS([0]!mud,[0]!municipio,$B18,[0]!turno,J$2)</f>
        <v>11</v>
      </c>
      <c r="K19" s="5">
        <f>SUMIFS([0]!mud,[0]!municipio,$B18,[0]!turno,K$2)</f>
        <v>8</v>
      </c>
      <c r="L19" s="5">
        <f>SUMIFS([0]!mud,[0]!municipio,$B18,[0]!turno,L$2)</f>
        <v>13</v>
      </c>
      <c r="M19" s="5">
        <f>SUMIFS([0]!mud,[0]!municipio,$B18,[0]!turno,M$2)</f>
        <v>10</v>
      </c>
      <c r="N19" s="5">
        <f>SUMIFS([0]!mud,[0]!municipio,$B18,[0]!turno,N$2)</f>
        <v>12</v>
      </c>
      <c r="O19" s="5">
        <f>SUMIFS([0]!mud,[0]!municipio,$B18,[0]!turno,O$2)</f>
        <v>6</v>
      </c>
      <c r="P19" s="5">
        <f>SUMIFS([0]!mud,[0]!municipio,$B18,[0]!turno,P$2)</f>
        <v>10</v>
      </c>
      <c r="Q19" s="5">
        <f>SUMIFS([0]!mud,[0]!municipio,$B18,[0]!turno,Q$2)</f>
        <v>5</v>
      </c>
      <c r="R19" s="5">
        <f>SUMIFS([0]!mud,[0]!municipio,$B18,[0]!turno,R$2)</f>
        <v>9</v>
      </c>
      <c r="S19" s="5">
        <f>SUMIFS([0]!mud,[0]!municipio,$B18,[0]!turno,S$2)</f>
        <v>6</v>
      </c>
      <c r="T19" s="5">
        <f>SUMIFS([0]!mud,[0]!municipio,$B18,[0]!turno,T$2)</f>
        <v>5</v>
      </c>
      <c r="U19" s="5">
        <f>SUMIFS([0]!mud,[0]!municipio,$B18,[0]!turno,U$2)</f>
        <v>7</v>
      </c>
      <c r="V19" s="5">
        <f>SUMIFS([0]!mud,[0]!municipio,$B18,[0]!turno,V$2)</f>
        <v>6</v>
      </c>
      <c r="W19" s="26">
        <f>SUMIFS([0]!mud,[0]!municipio,$B18,[0]!turno,W$2)</f>
        <v>13</v>
      </c>
    </row>
    <row r="20" spans="2:23" ht="15.75" thickBot="1" x14ac:dyDescent="0.3">
      <c r="B20" s="24">
        <v>4.7680235426141998E-2</v>
      </c>
      <c r="C20" s="12" t="s">
        <v>0</v>
      </c>
      <c r="D20" s="38">
        <f>IF((E18+E19+E20)=0,0,E20/(E18+E19+E20))</f>
        <v>2.7950310559006212E-2</v>
      </c>
      <c r="E20" s="13">
        <f t="shared" si="0"/>
        <v>9</v>
      </c>
      <c r="F20" s="13">
        <f>SUMIFS([0]!otro,[0]!municipio,$B18,[0]!turno,F$2)</f>
        <v>2</v>
      </c>
      <c r="G20" s="13">
        <f>SUMIFS([0]!otro,[0]!municipio,$B18,[0]!turno,G$2)</f>
        <v>0</v>
      </c>
      <c r="H20" s="13">
        <f>SUMIFS([0]!otro,[0]!municipio,$B18,[0]!turno,H$2)</f>
        <v>0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3</v>
      </c>
      <c r="T20" s="13">
        <f>SUMIFS([0]!otro,[0]!municipio,$B18,[0]!turno,T$2)</f>
        <v>1</v>
      </c>
      <c r="U20" s="13">
        <f>SUMIFS([0]!otro,[0]!municipio,$B18,[0]!turno,U$2)</f>
        <v>0</v>
      </c>
      <c r="V20" s="13">
        <f>SUMIFS([0]!otro,[0]!municipio,$B18,[0]!turno,V$2)</f>
        <v>1</v>
      </c>
      <c r="W20" s="29">
        <f>SUMIFS([0]!otro,[0]!municipio,$B18,[0]!turno,W$2)</f>
        <v>2</v>
      </c>
    </row>
    <row r="21" spans="2:23" x14ac:dyDescent="0.25">
      <c r="B21" s="19">
        <v>126</v>
      </c>
      <c r="C21" s="8" t="s">
        <v>106</v>
      </c>
      <c r="D21" s="36">
        <f>IF((E21+E22+E23)=0,0,E21/(E21+E22+E23))</f>
        <v>0.50168350168350173</v>
      </c>
      <c r="E21" s="9">
        <f t="shared" si="0"/>
        <v>149</v>
      </c>
      <c r="F21" s="9">
        <f>SUMIFS([0]!psuv,[0]!municipio,$B21,[0]!turno,F$2)</f>
        <v>0</v>
      </c>
      <c r="G21" s="9">
        <f>SUMIFS([0]!psuv,[0]!municipio,$B21,[0]!turno,G$2)</f>
        <v>11</v>
      </c>
      <c r="H21" s="9">
        <f>SUMIFS([0]!psuv,[0]!municipio,$B21,[0]!turno,H$2)</f>
        <v>13</v>
      </c>
      <c r="I21" s="9">
        <f>SUMIFS([0]!psuv,[0]!municipio,$B21,[0]!turno,I$2)</f>
        <v>8</v>
      </c>
      <c r="J21" s="9">
        <f>SUMIFS([0]!psuv,[0]!municipio,$B21,[0]!turno,J$2)</f>
        <v>15</v>
      </c>
      <c r="K21" s="9">
        <f>SUMIFS([0]!psuv,[0]!municipio,$B21,[0]!turno,K$2)</f>
        <v>7</v>
      </c>
      <c r="L21" s="9">
        <f>SUMIFS([0]!psuv,[0]!municipio,$B21,[0]!turno,L$2)</f>
        <v>10</v>
      </c>
      <c r="M21" s="9">
        <f>SUMIFS([0]!psuv,[0]!municipio,$B21,[0]!turno,M$2)</f>
        <v>12</v>
      </c>
      <c r="N21" s="9">
        <f>SUMIFS([0]!psuv,[0]!municipio,$B21,[0]!turno,N$2)</f>
        <v>9</v>
      </c>
      <c r="O21" s="9">
        <f>SUMIFS([0]!psuv,[0]!municipio,$B21,[0]!turno,O$2)</f>
        <v>10</v>
      </c>
      <c r="P21" s="9">
        <f>SUMIFS([0]!psuv,[0]!municipio,$B21,[0]!turno,P$2)</f>
        <v>11</v>
      </c>
      <c r="Q21" s="9">
        <f>SUMIFS([0]!psuv,[0]!municipio,$B21,[0]!turno,Q$2)</f>
        <v>12</v>
      </c>
      <c r="R21" s="9">
        <f>SUMIFS([0]!psuv,[0]!municipio,$B21,[0]!turno,R$2)</f>
        <v>10</v>
      </c>
      <c r="S21" s="9">
        <f>SUMIFS([0]!psuv,[0]!municipio,$B21,[0]!turno,S$2)</f>
        <v>0</v>
      </c>
      <c r="T21" s="9">
        <f>SUMIFS([0]!psuv,[0]!municipio,$B21,[0]!turno,T$2)</f>
        <v>0</v>
      </c>
      <c r="U21" s="9">
        <f>SUMIFS([0]!psuv,[0]!municipio,$B21,[0]!turno,U$2)</f>
        <v>5</v>
      </c>
      <c r="V21" s="9">
        <f>SUMIFS([0]!psuv,[0]!municipio,$B21,[0]!turno,V$2)</f>
        <v>6</v>
      </c>
      <c r="W21" s="25">
        <f>SUMIFS([0]!psuv,[0]!municipio,$B21,[0]!turno,W$2)</f>
        <v>10</v>
      </c>
    </row>
    <row r="22" spans="2:23" x14ac:dyDescent="0.25">
      <c r="B22" s="20" t="s">
        <v>207</v>
      </c>
      <c r="C22" s="4" t="s">
        <v>107</v>
      </c>
      <c r="D22" s="37">
        <f>IF((E21+E22+E23)=0,0,E22/(E21+E22+E23))</f>
        <v>0.48821548821548821</v>
      </c>
      <c r="E22" s="5">
        <f t="shared" si="0"/>
        <v>145</v>
      </c>
      <c r="F22" s="5">
        <f>SUMIFS([0]!mud,[0]!municipio,$B21,[0]!turno,F$2)</f>
        <v>0</v>
      </c>
      <c r="G22" s="5">
        <f>SUMIFS([0]!mud,[0]!municipio,$B21,[0]!turno,G$2)</f>
        <v>6</v>
      </c>
      <c r="H22" s="5">
        <f>SUMIFS([0]!mud,[0]!municipio,$B21,[0]!turno,H$2)</f>
        <v>7</v>
      </c>
      <c r="I22" s="5">
        <f>SUMIFS([0]!mud,[0]!municipio,$B21,[0]!turno,I$2)</f>
        <v>4</v>
      </c>
      <c r="J22" s="5">
        <f>SUMIFS([0]!mud,[0]!municipio,$B21,[0]!turno,J$2)</f>
        <v>14</v>
      </c>
      <c r="K22" s="5">
        <f>SUMIFS([0]!mud,[0]!municipio,$B21,[0]!turno,K$2)</f>
        <v>9</v>
      </c>
      <c r="L22" s="5">
        <f>SUMIFS([0]!mud,[0]!municipio,$B21,[0]!turno,L$2)</f>
        <v>12</v>
      </c>
      <c r="M22" s="5">
        <f>SUMIFS([0]!mud,[0]!municipio,$B21,[0]!turno,M$2)</f>
        <v>9</v>
      </c>
      <c r="N22" s="5">
        <f>SUMIFS([0]!mud,[0]!municipio,$B21,[0]!turno,N$2)</f>
        <v>14</v>
      </c>
      <c r="O22" s="5">
        <f>SUMIFS([0]!mud,[0]!municipio,$B21,[0]!turno,O$2)</f>
        <v>13</v>
      </c>
      <c r="P22" s="5">
        <f>SUMIFS([0]!mud,[0]!municipio,$B21,[0]!turno,P$2)</f>
        <v>13</v>
      </c>
      <c r="Q22" s="5">
        <f>SUMIFS([0]!mud,[0]!municipio,$B21,[0]!turno,Q$2)</f>
        <v>9</v>
      </c>
      <c r="R22" s="5">
        <f>SUMIFS([0]!mud,[0]!municipio,$B21,[0]!turno,R$2)</f>
        <v>9</v>
      </c>
      <c r="S22" s="5">
        <f>SUMIFS([0]!mud,[0]!municipio,$B21,[0]!turno,S$2)</f>
        <v>0</v>
      </c>
      <c r="T22" s="5">
        <f>SUMIFS([0]!mud,[0]!municipio,$B21,[0]!turno,T$2)</f>
        <v>0</v>
      </c>
      <c r="U22" s="5">
        <f>SUMIFS([0]!mud,[0]!municipio,$B21,[0]!turno,U$2)</f>
        <v>8</v>
      </c>
      <c r="V22" s="5">
        <f>SUMIFS([0]!mud,[0]!municipio,$B21,[0]!turno,V$2)</f>
        <v>11</v>
      </c>
      <c r="W22" s="26">
        <f>SUMIFS([0]!mud,[0]!municipio,$B21,[0]!turno,W$2)</f>
        <v>7</v>
      </c>
    </row>
    <row r="23" spans="2:23" ht="15.75" thickBot="1" x14ac:dyDescent="0.3">
      <c r="B23" s="21">
        <v>4.5866396342486723E-2</v>
      </c>
      <c r="C23" s="10" t="s">
        <v>0</v>
      </c>
      <c r="D23" s="38">
        <f>IF((E21+E22+E23)=0,0,E23/(E21+E22+E23))</f>
        <v>1.0101010101010102E-2</v>
      </c>
      <c r="E23" s="11">
        <f t="shared" si="0"/>
        <v>3</v>
      </c>
      <c r="F23" s="11">
        <f>SUMIFS([0]!otro,[0]!municipio,$B21,[0]!turno,F$2)</f>
        <v>0</v>
      </c>
      <c r="G23" s="11">
        <f>SUMIFS([0]!otro,[0]!municipio,$B21,[0]!turno,G$2)</f>
        <v>0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0</v>
      </c>
      <c r="K23" s="11">
        <f>SUMIFS([0]!otro,[0]!municipio,$B21,[0]!turno,K$2)</f>
        <v>1</v>
      </c>
      <c r="L23" s="11">
        <f>SUMIFS([0]!otro,[0]!municipio,$B21,[0]!turno,L$2)</f>
        <v>0</v>
      </c>
      <c r="M23" s="11">
        <f>SUMIFS([0]!otro,[0]!municipio,$B21,[0]!turno,M$2)</f>
        <v>0</v>
      </c>
      <c r="N23" s="11">
        <f>SUMIFS([0]!otro,[0]!municipio,$B21,[0]!turno,N$2)</f>
        <v>2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x14ac:dyDescent="0.25">
      <c r="B24" s="22">
        <v>127</v>
      </c>
      <c r="C24" s="6" t="s">
        <v>106</v>
      </c>
      <c r="D24" s="36">
        <f>IF((E24+E25+E26)=0,0,E24/(E24+E25+E26))</f>
        <v>0.4485294117647059</v>
      </c>
      <c r="E24" s="7">
        <f t="shared" si="0"/>
        <v>183</v>
      </c>
      <c r="F24" s="7">
        <f>SUMIFS([0]!psuv,[0]!municipio,$B24,[0]!turno,F$2)</f>
        <v>10</v>
      </c>
      <c r="G24" s="7">
        <f>SUMIFS([0]!psuv,[0]!municipio,$B24,[0]!turno,G$2)</f>
        <v>5</v>
      </c>
      <c r="H24" s="7">
        <f>SUMIFS([0]!psuv,[0]!municipio,$B24,[0]!turno,H$2)</f>
        <v>2</v>
      </c>
      <c r="I24" s="7">
        <f>SUMIFS([0]!psuv,[0]!municipio,$B24,[0]!turno,I$2)</f>
        <v>3</v>
      </c>
      <c r="J24" s="7">
        <f>SUMIFS([0]!psuv,[0]!municipio,$B24,[0]!turno,J$2)</f>
        <v>0</v>
      </c>
      <c r="K24" s="7">
        <f>SUMIFS([0]!psuv,[0]!municipio,$B24,[0]!turno,K$2)</f>
        <v>30</v>
      </c>
      <c r="L24" s="7">
        <f>SUMIFS([0]!psuv,[0]!municipio,$B24,[0]!turno,L$2)</f>
        <v>16</v>
      </c>
      <c r="M24" s="7">
        <f>SUMIFS([0]!psuv,[0]!municipio,$B24,[0]!turno,M$2)</f>
        <v>14</v>
      </c>
      <c r="N24" s="7">
        <f>SUMIFS([0]!psuv,[0]!municipio,$B24,[0]!turno,N$2)</f>
        <v>13</v>
      </c>
      <c r="O24" s="7">
        <f>SUMIFS([0]!psuv,[0]!municipio,$B24,[0]!turno,O$2)</f>
        <v>13</v>
      </c>
      <c r="P24" s="7">
        <f>SUMIFS([0]!psuv,[0]!municipio,$B24,[0]!turno,P$2)</f>
        <v>10</v>
      </c>
      <c r="Q24" s="7">
        <f>SUMIFS([0]!psuv,[0]!municipio,$B24,[0]!turno,Q$2)</f>
        <v>9</v>
      </c>
      <c r="R24" s="7">
        <f>SUMIFS([0]!psuv,[0]!municipio,$B24,[0]!turno,R$2)</f>
        <v>10</v>
      </c>
      <c r="S24" s="7">
        <f>SUMIFS([0]!psuv,[0]!municipio,$B24,[0]!turno,S$2)</f>
        <v>13</v>
      </c>
      <c r="T24" s="7">
        <f>SUMIFS([0]!psuv,[0]!municipio,$B24,[0]!turno,T$2)</f>
        <v>12</v>
      </c>
      <c r="U24" s="7">
        <f>SUMIFS([0]!psuv,[0]!municipio,$B24,[0]!turno,U$2)</f>
        <v>0</v>
      </c>
      <c r="V24" s="7">
        <f>SUMIFS([0]!psuv,[0]!municipio,$B24,[0]!turno,V$2)</f>
        <v>11</v>
      </c>
      <c r="W24" s="28">
        <f>SUMIFS([0]!psuv,[0]!municipio,$B24,[0]!turno,W$2)</f>
        <v>12</v>
      </c>
    </row>
    <row r="25" spans="2:23" x14ac:dyDescent="0.25">
      <c r="B25" s="23" t="s">
        <v>87</v>
      </c>
      <c r="C25" s="4" t="s">
        <v>107</v>
      </c>
      <c r="D25" s="37">
        <f>IF((E24+E25+E26)=0,0,E25/(E24+E25+E26))</f>
        <v>0.53676470588235292</v>
      </c>
      <c r="E25" s="5">
        <f t="shared" si="0"/>
        <v>219</v>
      </c>
      <c r="F25" s="5">
        <f>SUMIFS([0]!mud,[0]!municipio,$B24,[0]!turno,F$2)</f>
        <v>12</v>
      </c>
      <c r="G25" s="5">
        <f>SUMIFS([0]!mud,[0]!municipio,$B24,[0]!turno,G$2)</f>
        <v>5</v>
      </c>
      <c r="H25" s="5">
        <f>SUMIFS([0]!mud,[0]!municipio,$B24,[0]!turno,H$2)</f>
        <v>4</v>
      </c>
      <c r="I25" s="5">
        <f>SUMIFS([0]!mud,[0]!municipio,$B24,[0]!turno,I$2)</f>
        <v>7</v>
      </c>
      <c r="J25" s="5">
        <f>SUMIFS([0]!mud,[0]!municipio,$B24,[0]!turno,J$2)</f>
        <v>0</v>
      </c>
      <c r="K25" s="5">
        <f>SUMIFS([0]!mud,[0]!municipio,$B24,[0]!turno,K$2)</f>
        <v>0</v>
      </c>
      <c r="L25" s="5">
        <f>SUMIFS([0]!mud,[0]!municipio,$B24,[0]!turno,L$2)</f>
        <v>12</v>
      </c>
      <c r="M25" s="5">
        <f>SUMIFS([0]!mud,[0]!municipio,$B24,[0]!turno,M$2)</f>
        <v>11</v>
      </c>
      <c r="N25" s="5">
        <f>SUMIFS([0]!mud,[0]!municipio,$B24,[0]!turno,N$2)</f>
        <v>15</v>
      </c>
      <c r="O25" s="5">
        <f>SUMIFS([0]!mud,[0]!municipio,$B24,[0]!turno,O$2)</f>
        <v>16</v>
      </c>
      <c r="P25" s="5">
        <f>SUMIFS([0]!mud,[0]!municipio,$B24,[0]!turno,P$2)</f>
        <v>17</v>
      </c>
      <c r="Q25" s="5">
        <f>SUMIFS([0]!mud,[0]!municipio,$B24,[0]!turno,Q$2)</f>
        <v>16</v>
      </c>
      <c r="R25" s="5">
        <f>SUMIFS([0]!mud,[0]!municipio,$B24,[0]!turno,R$2)</f>
        <v>19</v>
      </c>
      <c r="S25" s="5">
        <f>SUMIFS([0]!mud,[0]!municipio,$B24,[0]!turno,S$2)</f>
        <v>17</v>
      </c>
      <c r="T25" s="5">
        <f>SUMIFS([0]!mud,[0]!municipio,$B24,[0]!turno,T$2)</f>
        <v>14</v>
      </c>
      <c r="U25" s="5">
        <f>SUMIFS([0]!mud,[0]!municipio,$B24,[0]!turno,U$2)</f>
        <v>20</v>
      </c>
      <c r="V25" s="5">
        <f>SUMIFS([0]!mud,[0]!municipio,$B24,[0]!turno,V$2)</f>
        <v>16</v>
      </c>
      <c r="W25" s="26">
        <f>SUMIFS([0]!mud,[0]!municipio,$B24,[0]!turno,W$2)</f>
        <v>18</v>
      </c>
    </row>
    <row r="26" spans="2:23" ht="15.75" thickBot="1" x14ac:dyDescent="0.3">
      <c r="B26" s="24">
        <v>9.3819555219533862E-2</v>
      </c>
      <c r="C26" s="12" t="s">
        <v>0</v>
      </c>
      <c r="D26" s="38">
        <f>IF((E24+E25+E26)=0,0,E26/(E24+E25+E26))</f>
        <v>1.4705882352941176E-2</v>
      </c>
      <c r="E26" s="13">
        <f t="shared" si="0"/>
        <v>6</v>
      </c>
      <c r="F26" s="13">
        <f>SUMIFS([0]!otro,[0]!municipio,$B24,[0]!turno,F$2)</f>
        <v>4</v>
      </c>
      <c r="G26" s="13">
        <f>SUMIFS([0]!otro,[0]!municipio,$B24,[0]!turno,G$2)</f>
        <v>0</v>
      </c>
      <c r="H26" s="13">
        <f>SUMIFS([0]!otro,[0]!municipio,$B24,[0]!turno,H$2)</f>
        <v>0</v>
      </c>
      <c r="I26" s="13">
        <f>SUMIFS([0]!otro,[0]!municipio,$B24,[0]!turno,I$2)</f>
        <v>1</v>
      </c>
      <c r="J26" s="13">
        <f>SUMIFS([0]!otro,[0]!municipio,$B24,[0]!turno,J$2)</f>
        <v>0</v>
      </c>
      <c r="K26" s="13">
        <f>SUMIFS([0]!otro,[0]!municipio,$B24,[0]!turno,K$2)</f>
        <v>0</v>
      </c>
      <c r="L26" s="13">
        <f>SUMIFS([0]!otro,[0]!municipio,$B24,[0]!turno,L$2)</f>
        <v>0</v>
      </c>
      <c r="M26" s="13">
        <f>SUMIFS([0]!otro,[0]!municipio,$B24,[0]!turno,M$2)</f>
        <v>0</v>
      </c>
      <c r="N26" s="13">
        <f>SUMIFS([0]!otro,[0]!municipio,$B24,[0]!turno,N$2)</f>
        <v>1</v>
      </c>
      <c r="O26" s="13">
        <f>SUMIFS([0]!otro,[0]!municipio,$B24,[0]!turno,O$2)</f>
        <v>0</v>
      </c>
      <c r="P26" s="13">
        <f>SUMIFS([0]!otro,[0]!municipio,$B24,[0]!turno,P$2)</f>
        <v>0</v>
      </c>
      <c r="Q26" s="13">
        <f>SUMIFS([0]!otro,[0]!municipio,$B24,[0]!turno,Q$2)</f>
        <v>0</v>
      </c>
      <c r="R26" s="13">
        <f>SUMIFS([0]!otro,[0]!municipio,$B24,[0]!turno,R$2)</f>
        <v>0</v>
      </c>
      <c r="S26" s="13">
        <f>SUMIFS([0]!otro,[0]!municipio,$B24,[0]!turno,S$2)</f>
        <v>0</v>
      </c>
      <c r="T26" s="13">
        <f>SUMIFS([0]!otro,[0]!municipio,$B24,[0]!turno,T$2)</f>
        <v>0</v>
      </c>
      <c r="U26" s="13">
        <f>SUMIFS([0]!otro,[0]!municipio,$B24,[0]!turno,U$2)</f>
        <v>0</v>
      </c>
      <c r="V26" s="13">
        <f>SUMIFS([0]!otro,[0]!municipio,$B24,[0]!turno,V$2)</f>
        <v>0</v>
      </c>
      <c r="W26" s="29">
        <f>SUMIFS([0]!otro,[0]!municipio,$B24,[0]!turno,W$2)</f>
        <v>0</v>
      </c>
    </row>
    <row r="27" spans="2:23" x14ac:dyDescent="0.25">
      <c r="B27" s="19">
        <v>128</v>
      </c>
      <c r="C27" s="8" t="s">
        <v>106</v>
      </c>
      <c r="D27" s="36">
        <f>IF((E27+E28+E29)=0,0,E27/(E27+E28+E29))</f>
        <v>0.51991150442477874</v>
      </c>
      <c r="E27" s="9">
        <f t="shared" si="0"/>
        <v>235</v>
      </c>
      <c r="F27" s="9">
        <f>SUMIFS([0]!psuv,[0]!municipio,$B27,[0]!turno,F$2)</f>
        <v>21</v>
      </c>
      <c r="G27" s="9">
        <f>SUMIFS([0]!psuv,[0]!municipio,$B27,[0]!turno,G$2)</f>
        <v>8</v>
      </c>
      <c r="H27" s="9">
        <f>SUMIFS([0]!psuv,[0]!municipio,$B27,[0]!turno,H$2)</f>
        <v>19</v>
      </c>
      <c r="I27" s="9">
        <f>SUMIFS([0]!psuv,[0]!municipio,$B27,[0]!turno,I$2)</f>
        <v>17</v>
      </c>
      <c r="J27" s="9">
        <f>SUMIFS([0]!psuv,[0]!municipio,$B27,[0]!turno,J$2)</f>
        <v>18</v>
      </c>
      <c r="K27" s="9">
        <f>SUMIFS([0]!psuv,[0]!municipio,$B27,[0]!turno,K$2)</f>
        <v>12</v>
      </c>
      <c r="L27" s="9">
        <f>SUMIFS([0]!psuv,[0]!municipio,$B27,[0]!turno,L$2)</f>
        <v>10</v>
      </c>
      <c r="M27" s="9">
        <f>SUMIFS([0]!psuv,[0]!municipio,$B27,[0]!turno,M$2)</f>
        <v>8</v>
      </c>
      <c r="N27" s="9">
        <f>SUMIFS([0]!psuv,[0]!municipio,$B27,[0]!turno,N$2)</f>
        <v>15</v>
      </c>
      <c r="O27" s="9">
        <f>SUMIFS([0]!psuv,[0]!municipio,$B27,[0]!turno,O$2)</f>
        <v>15</v>
      </c>
      <c r="P27" s="9">
        <f>SUMIFS([0]!psuv,[0]!municipio,$B27,[0]!turno,P$2)</f>
        <v>14</v>
      </c>
      <c r="Q27" s="9">
        <f>SUMIFS([0]!psuv,[0]!municipio,$B27,[0]!turno,Q$2)</f>
        <v>16</v>
      </c>
      <c r="R27" s="9">
        <f>SUMIFS([0]!psuv,[0]!municipio,$B27,[0]!turno,R$2)</f>
        <v>14</v>
      </c>
      <c r="S27" s="9">
        <f>SUMIFS([0]!psuv,[0]!municipio,$B27,[0]!turno,S$2)</f>
        <v>13</v>
      </c>
      <c r="T27" s="9">
        <f>SUMIFS([0]!psuv,[0]!municipio,$B27,[0]!turno,T$2)</f>
        <v>15</v>
      </c>
      <c r="U27" s="9">
        <f>SUMIFS([0]!psuv,[0]!municipio,$B27,[0]!turno,U$2)</f>
        <v>9</v>
      </c>
      <c r="V27" s="9">
        <f>SUMIFS([0]!psuv,[0]!municipio,$B27,[0]!turno,V$2)</f>
        <v>11</v>
      </c>
      <c r="W27" s="25">
        <f>SUMIFS([0]!psuv,[0]!municipio,$B27,[0]!turno,W$2)</f>
        <v>0</v>
      </c>
    </row>
    <row r="28" spans="2:23" ht="22.5" x14ac:dyDescent="0.25">
      <c r="B28" s="20" t="s">
        <v>88</v>
      </c>
      <c r="C28" s="4" t="s">
        <v>107</v>
      </c>
      <c r="D28" s="37">
        <f>IF((E27+E28+E29)=0,0,E28/(E27+E28+E29))</f>
        <v>0.45575221238938052</v>
      </c>
      <c r="E28" s="5">
        <f t="shared" si="0"/>
        <v>206</v>
      </c>
      <c r="F28" s="5">
        <f>SUMIFS([0]!mud,[0]!municipio,$B27,[0]!turno,F$2)</f>
        <v>9</v>
      </c>
      <c r="G28" s="5">
        <f>SUMIFS([0]!mud,[0]!municipio,$B27,[0]!turno,G$2)</f>
        <v>3</v>
      </c>
      <c r="H28" s="5">
        <f>SUMIFS([0]!mud,[0]!municipio,$B27,[0]!turno,H$2)</f>
        <v>13</v>
      </c>
      <c r="I28" s="5">
        <f>SUMIFS([0]!mud,[0]!municipio,$B27,[0]!turno,I$2)</f>
        <v>12</v>
      </c>
      <c r="J28" s="5">
        <f>SUMIFS([0]!mud,[0]!municipio,$B27,[0]!turno,J$2)</f>
        <v>14</v>
      </c>
      <c r="K28" s="5">
        <f>SUMIFS([0]!mud,[0]!municipio,$B27,[0]!turno,K$2)</f>
        <v>15</v>
      </c>
      <c r="L28" s="5">
        <f>SUMIFS([0]!mud,[0]!municipio,$B27,[0]!turno,L$2)</f>
        <v>14</v>
      </c>
      <c r="M28" s="5">
        <f>SUMIFS([0]!mud,[0]!municipio,$B27,[0]!turno,M$2)</f>
        <v>13</v>
      </c>
      <c r="N28" s="5">
        <f>SUMIFS([0]!mud,[0]!municipio,$B27,[0]!turno,N$2)</f>
        <v>9</v>
      </c>
      <c r="O28" s="5">
        <f>SUMIFS([0]!mud,[0]!municipio,$B27,[0]!turno,O$2)</f>
        <v>14</v>
      </c>
      <c r="P28" s="5">
        <f>SUMIFS([0]!mud,[0]!municipio,$B27,[0]!turno,P$2)</f>
        <v>11</v>
      </c>
      <c r="Q28" s="5">
        <f>SUMIFS([0]!mud,[0]!municipio,$B27,[0]!turno,Q$2)</f>
        <v>12</v>
      </c>
      <c r="R28" s="5">
        <f>SUMIFS([0]!mud,[0]!municipio,$B27,[0]!turno,R$2)</f>
        <v>12</v>
      </c>
      <c r="S28" s="5">
        <f>SUMIFS([0]!mud,[0]!municipio,$B27,[0]!turno,S$2)</f>
        <v>14</v>
      </c>
      <c r="T28" s="5">
        <f>SUMIFS([0]!mud,[0]!municipio,$B27,[0]!turno,T$2)</f>
        <v>12</v>
      </c>
      <c r="U28" s="5">
        <f>SUMIFS([0]!mud,[0]!municipio,$B27,[0]!turno,U$2)</f>
        <v>15</v>
      </c>
      <c r="V28" s="5">
        <f>SUMIFS([0]!mud,[0]!municipio,$B27,[0]!turno,V$2)</f>
        <v>14</v>
      </c>
      <c r="W28" s="26">
        <f>SUMIFS([0]!mud,[0]!municipio,$B27,[0]!turno,W$2)</f>
        <v>0</v>
      </c>
    </row>
    <row r="29" spans="2:23" ht="15.75" thickBot="1" x14ac:dyDescent="0.3">
      <c r="B29" s="21">
        <v>5.7825868057615665E-2</v>
      </c>
      <c r="C29" s="10" t="s">
        <v>0</v>
      </c>
      <c r="D29" s="38">
        <f>IF((E27+E28+E29)=0,0,E29/(E27+E28+E29))</f>
        <v>2.4336283185840708E-2</v>
      </c>
      <c r="E29" s="11">
        <f t="shared" si="0"/>
        <v>11</v>
      </c>
      <c r="F29" s="11">
        <f>SUMIFS([0]!otro,[0]!municipio,$B27,[0]!turno,F$2)</f>
        <v>0</v>
      </c>
      <c r="G29" s="11">
        <f>SUMIFS([0]!otro,[0]!municipio,$B27,[0]!turno,G$2)</f>
        <v>0</v>
      </c>
      <c r="H29" s="11">
        <f>SUMIFS([0]!otro,[0]!municipio,$B27,[0]!turno,H$2)</f>
        <v>0</v>
      </c>
      <c r="I29" s="11">
        <f>SUMIFS([0]!otro,[0]!municipio,$B27,[0]!turno,I$2)</f>
        <v>8</v>
      </c>
      <c r="J29" s="11">
        <f>SUMIFS([0]!otro,[0]!municipio,$B27,[0]!turno,J$2)</f>
        <v>0</v>
      </c>
      <c r="K29" s="11">
        <f>SUMIFS([0]!otro,[0]!municipio,$B27,[0]!turno,K$2)</f>
        <v>0</v>
      </c>
      <c r="L29" s="11">
        <f>SUMIFS([0]!otro,[0]!municipio,$B27,[0]!turno,L$2)</f>
        <v>0</v>
      </c>
      <c r="M29" s="11">
        <f>SUMIFS([0]!otro,[0]!municipio,$B27,[0]!turno,M$2)</f>
        <v>0</v>
      </c>
      <c r="N29" s="11">
        <f>SUMIFS([0]!otro,[0]!municipio,$B27,[0]!turno,N$2)</f>
        <v>1</v>
      </c>
      <c r="O29" s="11">
        <f>SUMIFS([0]!otro,[0]!municipio,$B27,[0]!turno,O$2)</f>
        <v>0</v>
      </c>
      <c r="P29" s="11">
        <f>SUMIFS([0]!otro,[0]!municipio,$B27,[0]!turno,P$2)</f>
        <v>0</v>
      </c>
      <c r="Q29" s="11">
        <f>SUMIFS([0]!otro,[0]!municipio,$B27,[0]!turno,Q$2)</f>
        <v>0</v>
      </c>
      <c r="R29" s="11">
        <f>SUMIFS([0]!otro,[0]!municipio,$B27,[0]!turno,R$2)</f>
        <v>0</v>
      </c>
      <c r="S29" s="11">
        <f>SUMIFS([0]!otro,[0]!municipio,$B27,[0]!turno,S$2)</f>
        <v>1</v>
      </c>
      <c r="T29" s="11">
        <f>SUMIFS([0]!otro,[0]!municipio,$B27,[0]!turno,T$2)</f>
        <v>0</v>
      </c>
      <c r="U29" s="11">
        <f>SUMIFS([0]!otro,[0]!municipio,$B27,[0]!turno,U$2)</f>
        <v>1</v>
      </c>
      <c r="V29" s="11">
        <f>SUMIFS([0]!otro,[0]!municipio,$B27,[0]!turno,V$2)</f>
        <v>0</v>
      </c>
      <c r="W29" s="27">
        <f>SUMIFS([0]!otro,[0]!municipio,$B27,[0]!turno,W$2)</f>
        <v>0</v>
      </c>
    </row>
    <row r="30" spans="2:23" x14ac:dyDescent="0.25">
      <c r="B30" s="22">
        <v>129</v>
      </c>
      <c r="C30" s="6" t="s">
        <v>106</v>
      </c>
      <c r="D30" s="36">
        <f>IF((E30+E31+E32)=0,0,E30/(E30+E31+E32))</f>
        <v>0.4116945107398568</v>
      </c>
      <c r="E30" s="7">
        <f t="shared" ref="E30:E35" si="1">SUM(F30:W30)</f>
        <v>690</v>
      </c>
      <c r="F30" s="7">
        <f>SUMIFS([0]!psuv,[0]!municipio,$B30,[0]!turno,F$2)</f>
        <v>33</v>
      </c>
      <c r="G30" s="7">
        <f>SUMIFS([0]!psuv,[0]!municipio,$B30,[0]!turno,G$2)</f>
        <v>39</v>
      </c>
      <c r="H30" s="7">
        <f>SUMIFS([0]!psuv,[0]!municipio,$B30,[0]!turno,H$2)</f>
        <v>24</v>
      </c>
      <c r="I30" s="7">
        <f>SUMIFS([0]!psuv,[0]!municipio,$B30,[0]!turno,I$2)</f>
        <v>24</v>
      </c>
      <c r="J30" s="7">
        <f>SUMIFS([0]!psuv,[0]!municipio,$B30,[0]!turno,J$2)</f>
        <v>68</v>
      </c>
      <c r="K30" s="7">
        <f>SUMIFS([0]!psuv,[0]!municipio,$B30,[0]!turno,K$2)</f>
        <v>53</v>
      </c>
      <c r="L30" s="7">
        <f>SUMIFS([0]!psuv,[0]!municipio,$B30,[0]!turno,L$2)</f>
        <v>40</v>
      </c>
      <c r="M30" s="7">
        <f>SUMIFS([0]!psuv,[0]!municipio,$B30,[0]!turno,M$2)</f>
        <v>53</v>
      </c>
      <c r="N30" s="7">
        <f>SUMIFS([0]!psuv,[0]!municipio,$B30,[0]!turno,N$2)</f>
        <v>42</v>
      </c>
      <c r="O30" s="7">
        <f>SUMIFS([0]!psuv,[0]!municipio,$B30,[0]!turno,O$2)</f>
        <v>35</v>
      </c>
      <c r="P30" s="7">
        <f>SUMIFS([0]!psuv,[0]!municipio,$B30,[0]!turno,P$2)</f>
        <v>22</v>
      </c>
      <c r="Q30" s="7">
        <f>SUMIFS([0]!psuv,[0]!municipio,$B30,[0]!turno,Q$2)</f>
        <v>30</v>
      </c>
      <c r="R30" s="7">
        <f>SUMIFS([0]!psuv,[0]!municipio,$B30,[0]!turno,R$2)</f>
        <v>39</v>
      </c>
      <c r="S30" s="7">
        <f>SUMIFS([0]!psuv,[0]!municipio,$B30,[0]!turno,S$2)</f>
        <v>28</v>
      </c>
      <c r="T30" s="7">
        <f>SUMIFS([0]!psuv,[0]!municipio,$B30,[0]!turno,T$2)</f>
        <v>41</v>
      </c>
      <c r="U30" s="7">
        <f>SUMIFS([0]!psuv,[0]!municipio,$B30,[0]!turno,U$2)</f>
        <v>41</v>
      </c>
      <c r="V30" s="7">
        <f>SUMIFS([0]!psuv,[0]!municipio,$B30,[0]!turno,V$2)</f>
        <v>39</v>
      </c>
      <c r="W30" s="28">
        <f>SUMIFS([0]!psuv,[0]!municipio,$B30,[0]!turno,W$2)</f>
        <v>39</v>
      </c>
    </row>
    <row r="31" spans="2:23" x14ac:dyDescent="0.25">
      <c r="B31" s="23" t="s">
        <v>89</v>
      </c>
      <c r="C31" s="4" t="s">
        <v>107</v>
      </c>
      <c r="D31" s="37">
        <f>IF((E30+E31+E32)=0,0,E31/(E30+E31+E32))</f>
        <v>0.56861575178997614</v>
      </c>
      <c r="E31" s="5">
        <f t="shared" si="1"/>
        <v>953</v>
      </c>
      <c r="F31" s="5">
        <f>SUMIFS([0]!mud,[0]!municipio,$B30,[0]!turno,F$2)</f>
        <v>32</v>
      </c>
      <c r="G31" s="5">
        <f>SUMIFS([0]!mud,[0]!municipio,$B30,[0]!turno,G$2)</f>
        <v>54</v>
      </c>
      <c r="H31" s="5">
        <f>SUMIFS([0]!mud,[0]!municipio,$B30,[0]!turno,H$2)</f>
        <v>32</v>
      </c>
      <c r="I31" s="5">
        <f>SUMIFS([0]!mud,[0]!municipio,$B30,[0]!turno,I$2)</f>
        <v>32</v>
      </c>
      <c r="J31" s="5">
        <f>SUMIFS([0]!mud,[0]!municipio,$B30,[0]!turno,J$2)</f>
        <v>50</v>
      </c>
      <c r="K31" s="5">
        <f>SUMIFS([0]!mud,[0]!municipio,$B30,[0]!turno,K$2)</f>
        <v>61</v>
      </c>
      <c r="L31" s="5">
        <f>SUMIFS([0]!mud,[0]!municipio,$B30,[0]!turno,L$2)</f>
        <v>70</v>
      </c>
      <c r="M31" s="5">
        <f>SUMIFS([0]!mud,[0]!municipio,$B30,[0]!turno,M$2)</f>
        <v>54</v>
      </c>
      <c r="N31" s="5">
        <f>SUMIFS([0]!mud,[0]!municipio,$B30,[0]!turno,N$2)</f>
        <v>70</v>
      </c>
      <c r="O31" s="5">
        <f>SUMIFS([0]!mud,[0]!municipio,$B30,[0]!turno,O$2)</f>
        <v>68</v>
      </c>
      <c r="P31" s="5">
        <f>SUMIFS([0]!mud,[0]!municipio,$B30,[0]!turno,P$2)</f>
        <v>47</v>
      </c>
      <c r="Q31" s="5">
        <f>SUMIFS([0]!mud,[0]!municipio,$B30,[0]!turno,Q$2)</f>
        <v>50</v>
      </c>
      <c r="R31" s="5">
        <f>SUMIFS([0]!mud,[0]!municipio,$B30,[0]!turno,R$2)</f>
        <v>58</v>
      </c>
      <c r="S31" s="5">
        <f>SUMIFS([0]!mud,[0]!municipio,$B30,[0]!turno,S$2)</f>
        <v>42</v>
      </c>
      <c r="T31" s="5">
        <f>SUMIFS([0]!mud,[0]!municipio,$B30,[0]!turno,T$2)</f>
        <v>58</v>
      </c>
      <c r="U31" s="5">
        <f>SUMIFS([0]!mud,[0]!municipio,$B30,[0]!turno,U$2)</f>
        <v>59</v>
      </c>
      <c r="V31" s="5">
        <f>SUMIFS([0]!mud,[0]!municipio,$B30,[0]!turno,V$2)</f>
        <v>62</v>
      </c>
      <c r="W31" s="26">
        <f>SUMIFS([0]!mud,[0]!municipio,$B30,[0]!turno,W$2)</f>
        <v>54</v>
      </c>
    </row>
    <row r="32" spans="2:23" ht="15.75" thickBot="1" x14ac:dyDescent="0.3">
      <c r="B32" s="24">
        <v>0.34573468111183248</v>
      </c>
      <c r="C32" s="12" t="s">
        <v>0</v>
      </c>
      <c r="D32" s="38">
        <f>IF((E30+E31+E32)=0,0,E32/(E30+E31+E32))</f>
        <v>1.9689737470167064E-2</v>
      </c>
      <c r="E32" s="13">
        <f t="shared" si="1"/>
        <v>33</v>
      </c>
      <c r="F32" s="13">
        <f>SUMIFS([0]!otro,[0]!municipio,$B30,[0]!turno,F$2)</f>
        <v>1</v>
      </c>
      <c r="G32" s="13">
        <f>SUMIFS([0]!otro,[0]!municipio,$B30,[0]!turno,G$2)</f>
        <v>0</v>
      </c>
      <c r="H32" s="13">
        <f>SUMIFS([0]!otro,[0]!municipio,$B30,[0]!turno,H$2)</f>
        <v>2</v>
      </c>
      <c r="I32" s="13">
        <f>SUMIFS([0]!otro,[0]!municipio,$B30,[0]!turno,I$2)</f>
        <v>0</v>
      </c>
      <c r="J32" s="13">
        <f>SUMIFS([0]!otro,[0]!municipio,$B30,[0]!turno,J$2)</f>
        <v>0</v>
      </c>
      <c r="K32" s="13">
        <f>SUMIFS([0]!otro,[0]!municipio,$B30,[0]!turno,K$2)</f>
        <v>0</v>
      </c>
      <c r="L32" s="13">
        <f>SUMIFS([0]!otro,[0]!municipio,$B30,[0]!turno,L$2)</f>
        <v>0</v>
      </c>
      <c r="M32" s="13">
        <f>SUMIFS([0]!otro,[0]!municipio,$B30,[0]!turno,M$2)</f>
        <v>4</v>
      </c>
      <c r="N32" s="13">
        <f>SUMIFS([0]!otro,[0]!municipio,$B30,[0]!turno,N$2)</f>
        <v>1</v>
      </c>
      <c r="O32" s="13">
        <f>SUMIFS([0]!otro,[0]!municipio,$B30,[0]!turno,O$2)</f>
        <v>3</v>
      </c>
      <c r="P32" s="13">
        <f>SUMIFS([0]!otro,[0]!municipio,$B30,[0]!turno,P$2)</f>
        <v>1</v>
      </c>
      <c r="Q32" s="13">
        <f>SUMIFS([0]!otro,[0]!municipio,$B30,[0]!turno,Q$2)</f>
        <v>13</v>
      </c>
      <c r="R32" s="13">
        <f>SUMIFS([0]!otro,[0]!municipio,$B30,[0]!turno,R$2)</f>
        <v>2</v>
      </c>
      <c r="S32" s="13">
        <f>SUMIFS([0]!otro,[0]!municipio,$B30,[0]!turno,S$2)</f>
        <v>0</v>
      </c>
      <c r="T32" s="13">
        <f>SUMIFS([0]!otro,[0]!municipio,$B30,[0]!turno,T$2)</f>
        <v>1</v>
      </c>
      <c r="U32" s="13">
        <f>SUMIFS([0]!otro,[0]!municipio,$B30,[0]!turno,U$2)</f>
        <v>1</v>
      </c>
      <c r="V32" s="13">
        <f>SUMIFS([0]!otro,[0]!municipio,$B30,[0]!turno,V$2)</f>
        <v>2</v>
      </c>
      <c r="W32" s="29">
        <f>SUMIFS([0]!otro,[0]!municipio,$B30,[0]!turno,W$2)</f>
        <v>2</v>
      </c>
    </row>
    <row r="33" spans="2:23" x14ac:dyDescent="0.25">
      <c r="B33" s="19">
        <v>130</v>
      </c>
      <c r="C33" s="8" t="s">
        <v>106</v>
      </c>
      <c r="D33" s="36">
        <f>IF((E33+E34+E35)=0,0,E33/(E33+E34+E35))</f>
        <v>0.5161290322580645</v>
      </c>
      <c r="E33" s="9">
        <f t="shared" si="1"/>
        <v>144</v>
      </c>
      <c r="F33" s="9">
        <f>SUMIFS([0]!psuv,[0]!municipio,$B33,[0]!turno,F$2)</f>
        <v>0</v>
      </c>
      <c r="G33" s="9">
        <f>SUMIFS([0]!psuv,[0]!municipio,$B33,[0]!turno,G$2)</f>
        <v>0</v>
      </c>
      <c r="H33" s="9">
        <f>SUMIFS([0]!psuv,[0]!municipio,$B33,[0]!turno,H$2)</f>
        <v>0</v>
      </c>
      <c r="I33" s="9">
        <f>SUMIFS([0]!psuv,[0]!municipio,$B33,[0]!turno,I$2)</f>
        <v>13</v>
      </c>
      <c r="J33" s="9">
        <f>SUMIFS([0]!psuv,[0]!municipio,$B33,[0]!turno,J$2)</f>
        <v>9</v>
      </c>
      <c r="K33" s="9">
        <f>SUMIFS([0]!psuv,[0]!municipio,$B33,[0]!turno,K$2)</f>
        <v>0</v>
      </c>
      <c r="L33" s="9">
        <f>SUMIFS([0]!psuv,[0]!municipio,$B33,[0]!turno,L$2)</f>
        <v>14</v>
      </c>
      <c r="M33" s="9">
        <f>SUMIFS([0]!psuv,[0]!municipio,$B33,[0]!turno,M$2)</f>
        <v>16</v>
      </c>
      <c r="N33" s="9">
        <f>SUMIFS([0]!psuv,[0]!municipio,$B33,[0]!turno,N$2)</f>
        <v>13</v>
      </c>
      <c r="O33" s="9">
        <f>SUMIFS([0]!psuv,[0]!municipio,$B33,[0]!turno,O$2)</f>
        <v>15</v>
      </c>
      <c r="P33" s="9">
        <f>SUMIFS([0]!psuv,[0]!municipio,$B33,[0]!turno,P$2)</f>
        <v>13</v>
      </c>
      <c r="Q33" s="9">
        <f>SUMIFS([0]!psuv,[0]!municipio,$B33,[0]!turno,Q$2)</f>
        <v>13</v>
      </c>
      <c r="R33" s="9">
        <f>SUMIFS([0]!psuv,[0]!municipio,$B33,[0]!turno,R$2)</f>
        <v>14</v>
      </c>
      <c r="S33" s="9">
        <f>SUMIFS([0]!psuv,[0]!municipio,$B33,[0]!turno,S$2)</f>
        <v>5</v>
      </c>
      <c r="T33" s="9">
        <f>SUMIFS([0]!psuv,[0]!municipio,$B33,[0]!turno,T$2)</f>
        <v>4</v>
      </c>
      <c r="U33" s="9">
        <f>SUMIFS([0]!psuv,[0]!municipio,$B33,[0]!turno,U$2)</f>
        <v>3</v>
      </c>
      <c r="V33" s="9">
        <f>SUMIFS([0]!psuv,[0]!municipio,$B33,[0]!turno,V$2)</f>
        <v>5</v>
      </c>
      <c r="W33" s="25">
        <f>SUMIFS([0]!psuv,[0]!municipio,$B33,[0]!turno,W$2)</f>
        <v>7</v>
      </c>
    </row>
    <row r="34" spans="2:23" x14ac:dyDescent="0.25">
      <c r="B34" s="20" t="s">
        <v>208</v>
      </c>
      <c r="C34" s="4" t="s">
        <v>107</v>
      </c>
      <c r="D34" s="37">
        <f>IF((E33+E34+E35)=0,0,E34/(E33+E34+E35))</f>
        <v>0.43369175627240142</v>
      </c>
      <c r="E34" s="5">
        <f t="shared" si="1"/>
        <v>121</v>
      </c>
      <c r="F34" s="5">
        <f>SUMIFS([0]!mud,[0]!municipio,$B33,[0]!turno,F$2)</f>
        <v>0</v>
      </c>
      <c r="G34" s="5">
        <f>SUMIFS([0]!mud,[0]!municipio,$B33,[0]!turno,G$2)</f>
        <v>0</v>
      </c>
      <c r="H34" s="5">
        <f>SUMIFS([0]!mud,[0]!municipio,$B33,[0]!turno,H$2)</f>
        <v>0</v>
      </c>
      <c r="I34" s="5">
        <f>SUMIFS([0]!mud,[0]!municipio,$B33,[0]!turno,I$2)</f>
        <v>8</v>
      </c>
      <c r="J34" s="5">
        <f>SUMIFS([0]!mud,[0]!municipio,$B33,[0]!turno,J$2)</f>
        <v>4</v>
      </c>
      <c r="K34" s="5">
        <f>SUMIFS([0]!mud,[0]!municipio,$B33,[0]!turno,K$2)</f>
        <v>0</v>
      </c>
      <c r="L34" s="5">
        <f>SUMIFS([0]!mud,[0]!municipio,$B33,[0]!turno,L$2)</f>
        <v>6</v>
      </c>
      <c r="M34" s="5">
        <f>SUMIFS([0]!mud,[0]!municipio,$B33,[0]!turno,M$2)</f>
        <v>9</v>
      </c>
      <c r="N34" s="5">
        <f>SUMIFS([0]!mud,[0]!municipio,$B33,[0]!turno,N$2)</f>
        <v>12</v>
      </c>
      <c r="O34" s="5">
        <f>SUMIFS([0]!mud,[0]!municipio,$B33,[0]!turno,O$2)</f>
        <v>10</v>
      </c>
      <c r="P34" s="5">
        <f>SUMIFS([0]!mud,[0]!municipio,$B33,[0]!turno,P$2)</f>
        <v>7</v>
      </c>
      <c r="Q34" s="5">
        <f>SUMIFS([0]!mud,[0]!municipio,$B33,[0]!turno,Q$2)</f>
        <v>10</v>
      </c>
      <c r="R34" s="5">
        <f>SUMIFS([0]!mud,[0]!municipio,$B33,[0]!turno,R$2)</f>
        <v>8</v>
      </c>
      <c r="S34" s="5">
        <f>SUMIFS([0]!mud,[0]!municipio,$B33,[0]!turno,S$2)</f>
        <v>8</v>
      </c>
      <c r="T34" s="5">
        <f>SUMIFS([0]!mud,[0]!municipio,$B33,[0]!turno,T$2)</f>
        <v>7</v>
      </c>
      <c r="U34" s="5">
        <f>SUMIFS([0]!mud,[0]!municipio,$B33,[0]!turno,U$2)</f>
        <v>9</v>
      </c>
      <c r="V34" s="5">
        <f>SUMIFS([0]!mud,[0]!municipio,$B33,[0]!turno,V$2)</f>
        <v>12</v>
      </c>
      <c r="W34" s="26">
        <f>SUMIFS([0]!mud,[0]!municipio,$B33,[0]!turno,W$2)</f>
        <v>11</v>
      </c>
    </row>
    <row r="35" spans="2:23" ht="15.75" thickBot="1" x14ac:dyDescent="0.3">
      <c r="B35" s="21">
        <v>4.6296971227765639E-2</v>
      </c>
      <c r="C35" s="10" t="s">
        <v>0</v>
      </c>
      <c r="D35" s="38">
        <f>IF((E33+E34+E35)=0,0,E35/(E33+E34+E35))</f>
        <v>5.0179211469534052E-2</v>
      </c>
      <c r="E35" s="11">
        <f t="shared" si="1"/>
        <v>14</v>
      </c>
      <c r="F35" s="11">
        <f>SUMIFS([0]!otro,[0]!municipio,$B33,[0]!turno,F$2)</f>
        <v>0</v>
      </c>
      <c r="G35" s="11">
        <f>SUMIFS([0]!otro,[0]!municipio,$B33,[0]!turno,G$2)</f>
        <v>0</v>
      </c>
      <c r="H35" s="11">
        <f>SUMIFS([0]!otro,[0]!municipio,$B33,[0]!turno,H$2)</f>
        <v>0</v>
      </c>
      <c r="I35" s="11">
        <f>SUMIFS([0]!otro,[0]!municipio,$B33,[0]!turno,I$2)</f>
        <v>0</v>
      </c>
      <c r="J35" s="11">
        <f>SUMIFS([0]!otro,[0]!municipio,$B33,[0]!turno,J$2)</f>
        <v>5</v>
      </c>
      <c r="K35" s="11">
        <f>SUMIFS([0]!otro,[0]!municipio,$B33,[0]!turno,K$2)</f>
        <v>0</v>
      </c>
      <c r="L35" s="11">
        <f>SUMIFS([0]!otro,[0]!municipio,$B33,[0]!turno,L$2)</f>
        <v>1</v>
      </c>
      <c r="M35" s="11">
        <f>SUMIFS([0]!otro,[0]!municipio,$B33,[0]!turno,M$2)</f>
        <v>0</v>
      </c>
      <c r="N35" s="11">
        <f>SUMIFS([0]!otro,[0]!municipio,$B33,[0]!turno,N$2)</f>
        <v>1</v>
      </c>
      <c r="O35" s="11">
        <f>SUMIFS([0]!otro,[0]!municipio,$B33,[0]!turno,O$2)</f>
        <v>0</v>
      </c>
      <c r="P35" s="11">
        <f>SUMIFS([0]!otro,[0]!municipio,$B33,[0]!turno,P$2)</f>
        <v>2</v>
      </c>
      <c r="Q35" s="11">
        <f>SUMIFS([0]!otro,[0]!municipio,$B33,[0]!turno,Q$2)</f>
        <v>3</v>
      </c>
      <c r="R35" s="11">
        <f>SUMIFS([0]!otro,[0]!municipio,$B33,[0]!turno,R$2)</f>
        <v>0</v>
      </c>
      <c r="S35" s="11">
        <f>SUMIFS([0]!otro,[0]!municipio,$B33,[0]!turno,S$2)</f>
        <v>0</v>
      </c>
      <c r="T35" s="11">
        <f>SUMIFS([0]!otro,[0]!municipio,$B33,[0]!turno,T$2)</f>
        <v>0</v>
      </c>
      <c r="U35" s="11">
        <f>SUMIFS([0]!otro,[0]!municipio,$B33,[0]!turno,U$2)</f>
        <v>1</v>
      </c>
      <c r="V35" s="11">
        <f>SUMIFS([0]!otro,[0]!municipio,$B33,[0]!turno,V$2)</f>
        <v>0</v>
      </c>
      <c r="W35" s="27">
        <f>SUMIFS([0]!otro,[0]!municipio,$B33,[0]!turno,W$2)</f>
        <v>1</v>
      </c>
    </row>
    <row r="36" spans="2:23" x14ac:dyDescent="0.25">
      <c r="B36"/>
      <c r="C36"/>
    </row>
    <row r="37" spans="2:23" x14ac:dyDescent="0.25">
      <c r="B37"/>
      <c r="C37"/>
    </row>
    <row r="38" spans="2:23" x14ac:dyDescent="0.25">
      <c r="B38"/>
      <c r="C38"/>
    </row>
    <row r="39" spans="2:23" x14ac:dyDescent="0.25">
      <c r="B39"/>
      <c r="C39"/>
    </row>
    <row r="40" spans="2:23" x14ac:dyDescent="0.25">
      <c r="B40"/>
      <c r="C40"/>
    </row>
    <row r="41" spans="2:23" x14ac:dyDescent="0.25">
      <c r="B41"/>
      <c r="C41"/>
    </row>
    <row r="42" spans="2:23" x14ac:dyDescent="0.25">
      <c r="B42"/>
      <c r="C42"/>
    </row>
    <row r="43" spans="2:23" x14ac:dyDescent="0.25">
      <c r="B43"/>
      <c r="C43"/>
    </row>
    <row r="44" spans="2:23" x14ac:dyDescent="0.25">
      <c r="B44"/>
      <c r="C44"/>
    </row>
    <row r="45" spans="2:23" x14ac:dyDescent="0.25">
      <c r="B45"/>
      <c r="C45"/>
    </row>
    <row r="46" spans="2:23" x14ac:dyDescent="0.25">
      <c r="B46"/>
      <c r="C46"/>
    </row>
    <row r="47" spans="2:23" x14ac:dyDescent="0.25">
      <c r="B47"/>
      <c r="C47"/>
    </row>
    <row r="48" spans="2:23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  <row r="427" spans="2:3" ht="15" customHeight="1" x14ac:dyDescent="0.25">
      <c r="B427"/>
      <c r="C427"/>
    </row>
    <row r="428" spans="2:3" ht="15" customHeight="1" x14ac:dyDescent="0.25">
      <c r="B428"/>
      <c r="C428"/>
    </row>
    <row r="429" spans="2:3" ht="15" customHeight="1" x14ac:dyDescent="0.25">
      <c r="B429"/>
      <c r="C429"/>
    </row>
    <row r="430" spans="2:3" ht="15" customHeight="1" x14ac:dyDescent="0.25">
      <c r="B430"/>
      <c r="C430"/>
    </row>
    <row r="431" spans="2:3" ht="15" customHeight="1" x14ac:dyDescent="0.25">
      <c r="B431"/>
      <c r="C431"/>
    </row>
    <row r="432" spans="2:3" ht="15" customHeight="1" x14ac:dyDescent="0.25">
      <c r="B432"/>
      <c r="C432"/>
    </row>
    <row r="433" spans="2:3" ht="15" customHeight="1" x14ac:dyDescent="0.25">
      <c r="B433"/>
      <c r="C433"/>
    </row>
    <row r="434" spans="2:3" ht="15" customHeight="1" x14ac:dyDescent="0.25">
      <c r="B434"/>
      <c r="C434"/>
    </row>
    <row r="435" spans="2:3" ht="15" customHeight="1" x14ac:dyDescent="0.25">
      <c r="B435"/>
      <c r="C435"/>
    </row>
    <row r="436" spans="2:3" ht="15" customHeight="1" x14ac:dyDescent="0.25">
      <c r="B436"/>
      <c r="C436"/>
    </row>
    <row r="437" spans="2:3" ht="15" customHeight="1" x14ac:dyDescent="0.25">
      <c r="B437"/>
      <c r="C437"/>
    </row>
    <row r="438" spans="2:3" ht="15" customHeight="1" x14ac:dyDescent="0.25">
      <c r="B438"/>
      <c r="C438"/>
    </row>
    <row r="439" spans="2:3" ht="15" customHeight="1" x14ac:dyDescent="0.25">
      <c r="B439"/>
      <c r="C439"/>
    </row>
    <row r="440" spans="2:3" ht="15" customHeight="1" x14ac:dyDescent="0.25">
      <c r="B440"/>
      <c r="C440"/>
    </row>
    <row r="441" spans="2:3" ht="15" customHeight="1" x14ac:dyDescent="0.25">
      <c r="B441"/>
      <c r="C441"/>
    </row>
    <row r="442" spans="2:3" ht="15" customHeight="1" x14ac:dyDescent="0.25">
      <c r="B442"/>
      <c r="C442"/>
    </row>
    <row r="443" spans="2:3" ht="15" customHeight="1" x14ac:dyDescent="0.25">
      <c r="B443"/>
      <c r="C443"/>
    </row>
    <row r="444" spans="2:3" ht="15" customHeight="1" x14ac:dyDescent="0.25">
      <c r="B444"/>
      <c r="C444"/>
    </row>
    <row r="445" spans="2:3" ht="15" customHeight="1" x14ac:dyDescent="0.25">
      <c r="B445"/>
      <c r="C445"/>
    </row>
    <row r="446" spans="2:3" ht="15" customHeight="1" x14ac:dyDescent="0.25">
      <c r="B446"/>
      <c r="C446"/>
    </row>
    <row r="447" spans="2:3" ht="15" customHeight="1" x14ac:dyDescent="0.25">
      <c r="B447"/>
      <c r="C447"/>
    </row>
    <row r="448" spans="2:3" ht="15" customHeight="1" x14ac:dyDescent="0.25">
      <c r="B448"/>
      <c r="C448"/>
    </row>
    <row r="449" spans="2:3" ht="15" customHeight="1" x14ac:dyDescent="0.25">
      <c r="B449"/>
      <c r="C449"/>
    </row>
    <row r="450" spans="2:3" ht="15" customHeight="1" x14ac:dyDescent="0.25">
      <c r="B450"/>
      <c r="C45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B1:W418"/>
  <sheetViews>
    <sheetView workbookViewId="0"/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131</v>
      </c>
      <c r="C3" s="8" t="s">
        <v>106</v>
      </c>
      <c r="D3" s="36">
        <f>IF((E3+E4+E5)=0,0,E3/(E3+E4+E5))</f>
        <v>0.78282828282828287</v>
      </c>
      <c r="E3" s="9">
        <f t="shared" ref="E3:E17" si="0">SUM(F3:W3)</f>
        <v>310</v>
      </c>
      <c r="F3" s="9">
        <f>SUMIFS([0]!psuv,[0]!municipio,$B3,[0]!turno,F$2)</f>
        <v>12</v>
      </c>
      <c r="G3" s="9">
        <f>SUMIFS([0]!psuv,[0]!municipio,$B3,[0]!turno,G$2)</f>
        <v>0</v>
      </c>
      <c r="H3" s="9">
        <f>SUMIFS([0]!psuv,[0]!municipio,$B3,[0]!turno,H$2)</f>
        <v>0</v>
      </c>
      <c r="I3" s="9">
        <f>SUMIFS([0]!psuv,[0]!municipio,$B3,[0]!turno,I$2)</f>
        <v>0</v>
      </c>
      <c r="J3" s="9">
        <f>SUMIFS([0]!psuv,[0]!municipio,$B3,[0]!turno,J$2)</f>
        <v>9</v>
      </c>
      <c r="K3" s="9">
        <f>SUMIFS([0]!psuv,[0]!municipio,$B3,[0]!turno,K$2)</f>
        <v>20</v>
      </c>
      <c r="L3" s="9">
        <f>SUMIFS([0]!psuv,[0]!municipio,$B3,[0]!turno,L$2)</f>
        <v>16</v>
      </c>
      <c r="M3" s="9">
        <f>SUMIFS([0]!psuv,[0]!municipio,$B3,[0]!turno,M$2)</f>
        <v>0</v>
      </c>
      <c r="N3" s="9">
        <f>SUMIFS([0]!psuv,[0]!municipio,$B3,[0]!turno,N$2)</f>
        <v>19</v>
      </c>
      <c r="O3" s="9">
        <f>SUMIFS([0]!psuv,[0]!municipio,$B3,[0]!turno,O$2)</f>
        <v>34</v>
      </c>
      <c r="P3" s="9">
        <f>SUMIFS([0]!psuv,[0]!municipio,$B3,[0]!turno,P$2)</f>
        <v>31</v>
      </c>
      <c r="Q3" s="9">
        <f>SUMIFS([0]!psuv,[0]!municipio,$B3,[0]!turno,Q$2)</f>
        <v>26</v>
      </c>
      <c r="R3" s="9">
        <f>SUMIFS([0]!psuv,[0]!municipio,$B3,[0]!turno,R$2)</f>
        <v>10</v>
      </c>
      <c r="S3" s="9">
        <f>SUMIFS([0]!psuv,[0]!municipio,$B3,[0]!turno,S$2)</f>
        <v>23</v>
      </c>
      <c r="T3" s="9">
        <f>SUMIFS([0]!psuv,[0]!municipio,$B3,[0]!turno,T$2)</f>
        <v>20</v>
      </c>
      <c r="U3" s="9">
        <f>SUMIFS([0]!psuv,[0]!municipio,$B3,[0]!turno,U$2)</f>
        <v>32</v>
      </c>
      <c r="V3" s="9">
        <f>SUMIFS([0]!psuv,[0]!municipio,$B3,[0]!turno,V$2)</f>
        <v>18</v>
      </c>
      <c r="W3" s="25">
        <f>SUMIFS([0]!psuv,[0]!municipio,$B3,[0]!turno,W$2)</f>
        <v>40</v>
      </c>
    </row>
    <row r="4" spans="2:23" x14ac:dyDescent="0.25">
      <c r="B4" s="20" t="s">
        <v>214</v>
      </c>
      <c r="C4" s="4" t="s">
        <v>107</v>
      </c>
      <c r="D4" s="37">
        <f>IF((E3+E4+E5)=0,0,E4/(E3+E4+E5))</f>
        <v>0.19696969696969696</v>
      </c>
      <c r="E4" s="5">
        <f t="shared" si="0"/>
        <v>78</v>
      </c>
      <c r="F4" s="5">
        <f>SUMIFS([0]!mud,[0]!municipio,$B3,[0]!turno,F$2)</f>
        <v>3</v>
      </c>
      <c r="G4" s="5">
        <f>SUMIFS([0]!mud,[0]!municipio,$B3,[0]!turno,G$2)</f>
        <v>0</v>
      </c>
      <c r="H4" s="5">
        <f>SUMIFS([0]!mud,[0]!municipio,$B3,[0]!turno,H$2)</f>
        <v>0</v>
      </c>
      <c r="I4" s="5">
        <f>SUMIFS([0]!mud,[0]!municipio,$B3,[0]!turno,I$2)</f>
        <v>0</v>
      </c>
      <c r="J4" s="5">
        <f>SUMIFS([0]!mud,[0]!municipio,$B3,[0]!turno,J$2)</f>
        <v>3</v>
      </c>
      <c r="K4" s="5">
        <f>SUMIFS([0]!mud,[0]!municipio,$B3,[0]!turno,K$2)</f>
        <v>5</v>
      </c>
      <c r="L4" s="5">
        <f>SUMIFS([0]!mud,[0]!municipio,$B3,[0]!turno,L$2)</f>
        <v>8</v>
      </c>
      <c r="M4" s="5">
        <f>SUMIFS([0]!mud,[0]!municipio,$B3,[0]!turno,M$2)</f>
        <v>0</v>
      </c>
      <c r="N4" s="5">
        <f>SUMIFS([0]!mud,[0]!municipio,$B3,[0]!turno,N$2)</f>
        <v>4</v>
      </c>
      <c r="O4" s="5">
        <f>SUMIFS([0]!mud,[0]!municipio,$B3,[0]!turno,O$2)</f>
        <v>7</v>
      </c>
      <c r="P4" s="5">
        <f>SUMIFS([0]!mud,[0]!municipio,$B3,[0]!turno,P$2)</f>
        <v>4</v>
      </c>
      <c r="Q4" s="5">
        <f>SUMIFS([0]!mud,[0]!municipio,$B3,[0]!turno,Q$2)</f>
        <v>4</v>
      </c>
      <c r="R4" s="5">
        <f>SUMIFS([0]!mud,[0]!municipio,$B3,[0]!turno,R$2)</f>
        <v>3</v>
      </c>
      <c r="S4" s="5">
        <f>SUMIFS([0]!mud,[0]!municipio,$B3,[0]!turno,S$2)</f>
        <v>4</v>
      </c>
      <c r="T4" s="5">
        <f>SUMIFS([0]!mud,[0]!municipio,$B3,[0]!turno,T$2)</f>
        <v>10</v>
      </c>
      <c r="U4" s="5">
        <f>SUMIFS([0]!mud,[0]!municipio,$B3,[0]!turno,U$2)</f>
        <v>15</v>
      </c>
      <c r="V4" s="5">
        <f>SUMIFS([0]!mud,[0]!municipio,$B3,[0]!turno,V$2)</f>
        <v>2</v>
      </c>
      <c r="W4" s="26">
        <f>SUMIFS([0]!mud,[0]!municipio,$B3,[0]!turno,W$2)</f>
        <v>6</v>
      </c>
    </row>
    <row r="5" spans="2:23" ht="15.75" thickBot="1" x14ac:dyDescent="0.3">
      <c r="B5" s="21">
        <v>0.23965863453815262</v>
      </c>
      <c r="C5" s="10" t="s">
        <v>0</v>
      </c>
      <c r="D5" s="38">
        <f>IF((E3+E4+E5)=0,0,E5/(E3+E4+E5))</f>
        <v>2.0202020202020204E-2</v>
      </c>
      <c r="E5" s="11">
        <f t="shared" si="0"/>
        <v>8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1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6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1</v>
      </c>
    </row>
    <row r="6" spans="2:23" x14ac:dyDescent="0.25">
      <c r="B6" s="22">
        <v>132</v>
      </c>
      <c r="C6" s="6" t="s">
        <v>106</v>
      </c>
      <c r="D6" s="36">
        <f>IF((E6+E7+E8)=0,0,E6/(E6+E7+E8))</f>
        <v>0.73186119873817035</v>
      </c>
      <c r="E6" s="7">
        <f t="shared" si="0"/>
        <v>232</v>
      </c>
      <c r="F6" s="7">
        <f>SUMIFS([0]!psuv,[0]!municipio,$B6,[0]!turno,F$2)</f>
        <v>17</v>
      </c>
      <c r="G6" s="7">
        <f>SUMIFS([0]!psuv,[0]!municipio,$B6,[0]!turno,G$2)</f>
        <v>20</v>
      </c>
      <c r="H6" s="7">
        <f>SUMIFS([0]!psuv,[0]!municipio,$B6,[0]!turno,H$2)</f>
        <v>0</v>
      </c>
      <c r="I6" s="7">
        <f>SUMIFS([0]!psuv,[0]!municipio,$B6,[0]!turno,I$2)</f>
        <v>17</v>
      </c>
      <c r="J6" s="7">
        <f>SUMIFS([0]!psuv,[0]!municipio,$B6,[0]!turno,J$2)</f>
        <v>19</v>
      </c>
      <c r="K6" s="7">
        <f>SUMIFS([0]!psuv,[0]!municipio,$B6,[0]!turno,K$2)</f>
        <v>12</v>
      </c>
      <c r="L6" s="7">
        <f>SUMIFS([0]!psuv,[0]!municipio,$B6,[0]!turno,L$2)</f>
        <v>0</v>
      </c>
      <c r="M6" s="7">
        <f>SUMIFS([0]!psuv,[0]!municipio,$B6,[0]!turno,M$2)</f>
        <v>19</v>
      </c>
      <c r="N6" s="7">
        <f>SUMIFS([0]!psuv,[0]!municipio,$B6,[0]!turno,N$2)</f>
        <v>5</v>
      </c>
      <c r="O6" s="7">
        <f>SUMIFS([0]!psuv,[0]!municipio,$B6,[0]!turno,O$2)</f>
        <v>20</v>
      </c>
      <c r="P6" s="7">
        <f>SUMIFS([0]!psuv,[0]!municipio,$B6,[0]!turno,P$2)</f>
        <v>13</v>
      </c>
      <c r="Q6" s="7">
        <f>SUMIFS([0]!psuv,[0]!municipio,$B6,[0]!turno,Q$2)</f>
        <v>13</v>
      </c>
      <c r="R6" s="7">
        <f>SUMIFS([0]!psuv,[0]!municipio,$B6,[0]!turno,R$2)</f>
        <v>0</v>
      </c>
      <c r="S6" s="7">
        <f>SUMIFS([0]!psuv,[0]!municipio,$B6,[0]!turno,S$2)</f>
        <v>9</v>
      </c>
      <c r="T6" s="7">
        <f>SUMIFS([0]!psuv,[0]!municipio,$B6,[0]!turno,T$2)</f>
        <v>16</v>
      </c>
      <c r="U6" s="7">
        <f>SUMIFS([0]!psuv,[0]!municipio,$B6,[0]!turno,U$2)</f>
        <v>19</v>
      </c>
      <c r="V6" s="7">
        <f>SUMIFS([0]!psuv,[0]!municipio,$B6,[0]!turno,V$2)</f>
        <v>15</v>
      </c>
      <c r="W6" s="28">
        <f>SUMIFS([0]!psuv,[0]!municipio,$B6,[0]!turno,W$2)</f>
        <v>18</v>
      </c>
    </row>
    <row r="7" spans="2:23" x14ac:dyDescent="0.25">
      <c r="B7" s="23" t="s">
        <v>215</v>
      </c>
      <c r="C7" s="4" t="s">
        <v>107</v>
      </c>
      <c r="D7" s="37">
        <f>IF((E6+E7+E8)=0,0,E7/(E6+E7+E8))</f>
        <v>0.19558359621451105</v>
      </c>
      <c r="E7" s="5">
        <f t="shared" si="0"/>
        <v>62</v>
      </c>
      <c r="F7" s="5">
        <f>SUMIFS([0]!mud,[0]!municipio,$B6,[0]!turno,F$2)</f>
        <v>3</v>
      </c>
      <c r="G7" s="5">
        <f>SUMIFS([0]!mud,[0]!municipio,$B6,[0]!turno,G$2)</f>
        <v>4</v>
      </c>
      <c r="H7" s="5">
        <f>SUMIFS([0]!mud,[0]!municipio,$B6,[0]!turno,H$2)</f>
        <v>0</v>
      </c>
      <c r="I7" s="5">
        <f>SUMIFS([0]!mud,[0]!municipio,$B6,[0]!turno,I$2)</f>
        <v>0</v>
      </c>
      <c r="J7" s="5">
        <f>SUMIFS([0]!mud,[0]!municipio,$B6,[0]!turno,J$2)</f>
        <v>2</v>
      </c>
      <c r="K7" s="5">
        <f>SUMIFS([0]!mud,[0]!municipio,$B6,[0]!turno,K$2)</f>
        <v>0</v>
      </c>
      <c r="L7" s="5">
        <f>SUMIFS([0]!mud,[0]!municipio,$B6,[0]!turno,L$2)</f>
        <v>0</v>
      </c>
      <c r="M7" s="5">
        <f>SUMIFS([0]!mud,[0]!municipio,$B6,[0]!turno,M$2)</f>
        <v>4</v>
      </c>
      <c r="N7" s="5">
        <f>SUMIFS([0]!mud,[0]!municipio,$B6,[0]!turno,N$2)</f>
        <v>6</v>
      </c>
      <c r="O7" s="5">
        <f>SUMIFS([0]!mud,[0]!municipio,$B6,[0]!turno,O$2)</f>
        <v>2</v>
      </c>
      <c r="P7" s="5">
        <f>SUMIFS([0]!mud,[0]!municipio,$B6,[0]!turno,P$2)</f>
        <v>0</v>
      </c>
      <c r="Q7" s="5">
        <f>SUMIFS([0]!mud,[0]!municipio,$B6,[0]!turno,Q$2)</f>
        <v>7</v>
      </c>
      <c r="R7" s="5">
        <f>SUMIFS([0]!mud,[0]!municipio,$B6,[0]!turno,R$2)</f>
        <v>0</v>
      </c>
      <c r="S7" s="5">
        <f>SUMIFS([0]!mud,[0]!municipio,$B6,[0]!turno,S$2)</f>
        <v>2</v>
      </c>
      <c r="T7" s="5">
        <f>SUMIFS([0]!mud,[0]!municipio,$B6,[0]!turno,T$2)</f>
        <v>4</v>
      </c>
      <c r="U7" s="5">
        <f>SUMIFS([0]!mud,[0]!municipio,$B6,[0]!turno,U$2)</f>
        <v>10</v>
      </c>
      <c r="V7" s="5">
        <f>SUMIFS([0]!mud,[0]!municipio,$B6,[0]!turno,V$2)</f>
        <v>10</v>
      </c>
      <c r="W7" s="26">
        <f>SUMIFS([0]!mud,[0]!municipio,$B6,[0]!turno,W$2)</f>
        <v>8</v>
      </c>
    </row>
    <row r="8" spans="2:23" ht="15.75" thickBot="1" x14ac:dyDescent="0.3">
      <c r="B8" s="24">
        <v>0.12086201950659782</v>
      </c>
      <c r="C8" s="12" t="s">
        <v>0</v>
      </c>
      <c r="D8" s="38">
        <f>IF((E6+E7+E8)=0,0,E8/(E6+E7+E8))</f>
        <v>7.2555205047318619E-2</v>
      </c>
      <c r="E8" s="13">
        <f t="shared" si="0"/>
        <v>23</v>
      </c>
      <c r="F8" s="13">
        <f>SUMIFS([0]!otro,[0]!municipio,$B6,[0]!turno,F$2)</f>
        <v>1</v>
      </c>
      <c r="G8" s="13">
        <f>SUMIFS([0]!otro,[0]!municipio,$B6,[0]!turno,G$2)</f>
        <v>2</v>
      </c>
      <c r="H8" s="13">
        <f>SUMIFS([0]!otro,[0]!municipio,$B6,[0]!turno,H$2)</f>
        <v>0</v>
      </c>
      <c r="I8" s="13">
        <f>SUMIFS([0]!otro,[0]!municipio,$B6,[0]!turno,I$2)</f>
        <v>2</v>
      </c>
      <c r="J8" s="13">
        <f>SUMIFS([0]!otro,[0]!municipio,$B6,[0]!turno,J$2)</f>
        <v>1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2</v>
      </c>
      <c r="N8" s="13">
        <f>SUMIFS([0]!otro,[0]!municipio,$B6,[0]!turno,N$2)</f>
        <v>2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3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3</v>
      </c>
      <c r="U8" s="13">
        <f>SUMIFS([0]!otro,[0]!municipio,$B6,[0]!turno,U$2)</f>
        <v>1</v>
      </c>
      <c r="V8" s="13">
        <f>SUMIFS([0]!otro,[0]!municipio,$B6,[0]!turno,V$2)</f>
        <v>2</v>
      </c>
      <c r="W8" s="29">
        <f>SUMIFS([0]!otro,[0]!municipio,$B6,[0]!turno,W$2)</f>
        <v>4</v>
      </c>
    </row>
    <row r="9" spans="2:23" x14ac:dyDescent="0.25">
      <c r="B9" s="19">
        <v>133</v>
      </c>
      <c r="C9" s="8" t="s">
        <v>106</v>
      </c>
      <c r="D9" s="36">
        <f>IF((E9+E10+E11)=0,0,E9/(E9+E10+E11))</f>
        <v>0.73235294117647054</v>
      </c>
      <c r="E9" s="9">
        <f t="shared" si="0"/>
        <v>249</v>
      </c>
      <c r="F9" s="9">
        <f>SUMIFS([0]!psuv,[0]!municipio,$B9,[0]!turno,F$2)</f>
        <v>0</v>
      </c>
      <c r="G9" s="9">
        <f>SUMIFS([0]!psuv,[0]!municipio,$B9,[0]!turno,G$2)</f>
        <v>9</v>
      </c>
      <c r="H9" s="9">
        <f>SUMIFS([0]!psuv,[0]!municipio,$B9,[0]!turno,H$2)</f>
        <v>5</v>
      </c>
      <c r="I9" s="9">
        <f>SUMIFS([0]!psuv,[0]!municipio,$B9,[0]!turno,I$2)</f>
        <v>8</v>
      </c>
      <c r="J9" s="9">
        <f>SUMIFS([0]!psuv,[0]!municipio,$B9,[0]!turno,J$2)</f>
        <v>15</v>
      </c>
      <c r="K9" s="9">
        <f>SUMIFS([0]!psuv,[0]!municipio,$B9,[0]!turno,K$2)</f>
        <v>10</v>
      </c>
      <c r="L9" s="9">
        <f>SUMIFS([0]!psuv,[0]!municipio,$B9,[0]!turno,L$2)</f>
        <v>11</v>
      </c>
      <c r="M9" s="9">
        <f>SUMIFS([0]!psuv,[0]!municipio,$B9,[0]!turno,M$2)</f>
        <v>13</v>
      </c>
      <c r="N9" s="9">
        <f>SUMIFS([0]!psuv,[0]!municipio,$B9,[0]!turno,N$2)</f>
        <v>15</v>
      </c>
      <c r="O9" s="9">
        <f>SUMIFS([0]!psuv,[0]!municipio,$B9,[0]!turno,O$2)</f>
        <v>14</v>
      </c>
      <c r="P9" s="9">
        <f>SUMIFS([0]!psuv,[0]!municipio,$B9,[0]!turno,P$2)</f>
        <v>22</v>
      </c>
      <c r="Q9" s="9">
        <f>SUMIFS([0]!psuv,[0]!municipio,$B9,[0]!turno,Q$2)</f>
        <v>13</v>
      </c>
      <c r="R9" s="9">
        <f>SUMIFS([0]!psuv,[0]!municipio,$B9,[0]!turno,R$2)</f>
        <v>17</v>
      </c>
      <c r="S9" s="9">
        <f>SUMIFS([0]!psuv,[0]!municipio,$B9,[0]!turno,S$2)</f>
        <v>15</v>
      </c>
      <c r="T9" s="9">
        <f>SUMIFS([0]!psuv,[0]!municipio,$B9,[0]!turno,T$2)</f>
        <v>15</v>
      </c>
      <c r="U9" s="9">
        <f>SUMIFS([0]!psuv,[0]!municipio,$B9,[0]!turno,U$2)</f>
        <v>19</v>
      </c>
      <c r="V9" s="9">
        <f>SUMIFS([0]!psuv,[0]!municipio,$B9,[0]!turno,V$2)</f>
        <v>27</v>
      </c>
      <c r="W9" s="25">
        <f>SUMIFS([0]!psuv,[0]!municipio,$B9,[0]!turno,W$2)</f>
        <v>21</v>
      </c>
    </row>
    <row r="10" spans="2:23" x14ac:dyDescent="0.25">
      <c r="B10" s="20" t="s">
        <v>216</v>
      </c>
      <c r="C10" s="4" t="s">
        <v>107</v>
      </c>
      <c r="D10" s="37">
        <f>IF((E9+E10+E11)=0,0,E10/(E9+E10+E11))</f>
        <v>0.21764705882352942</v>
      </c>
      <c r="E10" s="5">
        <f t="shared" si="0"/>
        <v>74</v>
      </c>
      <c r="F10" s="5">
        <f>SUMIFS([0]!mud,[0]!municipio,$B9,[0]!turno,F$2)</f>
        <v>0</v>
      </c>
      <c r="G10" s="5">
        <f>SUMIFS([0]!mud,[0]!municipio,$B9,[0]!turno,G$2)</f>
        <v>0</v>
      </c>
      <c r="H10" s="5">
        <f>SUMIFS([0]!mud,[0]!municipio,$B9,[0]!turno,H$2)</f>
        <v>0</v>
      </c>
      <c r="I10" s="5">
        <f>SUMIFS([0]!mud,[0]!municipio,$B9,[0]!turno,I$2)</f>
        <v>4</v>
      </c>
      <c r="J10" s="5">
        <f>SUMIFS([0]!mud,[0]!municipio,$B9,[0]!turno,J$2)</f>
        <v>3</v>
      </c>
      <c r="K10" s="5">
        <f>SUMIFS([0]!mud,[0]!municipio,$B9,[0]!turno,K$2)</f>
        <v>6</v>
      </c>
      <c r="L10" s="5">
        <f>SUMIFS([0]!mud,[0]!municipio,$B9,[0]!turno,L$2)</f>
        <v>2</v>
      </c>
      <c r="M10" s="5">
        <f>SUMIFS([0]!mud,[0]!municipio,$B9,[0]!turno,M$2)</f>
        <v>6</v>
      </c>
      <c r="N10" s="5">
        <f>SUMIFS([0]!mud,[0]!municipio,$B9,[0]!turno,N$2)</f>
        <v>9</v>
      </c>
      <c r="O10" s="5">
        <f>SUMIFS([0]!mud,[0]!municipio,$B9,[0]!turno,O$2)</f>
        <v>3</v>
      </c>
      <c r="P10" s="5">
        <f>SUMIFS([0]!mud,[0]!municipio,$B9,[0]!turno,P$2)</f>
        <v>4</v>
      </c>
      <c r="Q10" s="5">
        <f>SUMIFS([0]!mud,[0]!municipio,$B9,[0]!turno,Q$2)</f>
        <v>4</v>
      </c>
      <c r="R10" s="5">
        <f>SUMIFS([0]!mud,[0]!municipio,$B9,[0]!turno,R$2)</f>
        <v>5</v>
      </c>
      <c r="S10" s="5">
        <f>SUMIFS([0]!mud,[0]!municipio,$B9,[0]!turno,S$2)</f>
        <v>8</v>
      </c>
      <c r="T10" s="5">
        <f>SUMIFS([0]!mud,[0]!municipio,$B9,[0]!turno,T$2)</f>
        <v>7</v>
      </c>
      <c r="U10" s="5">
        <f>SUMIFS([0]!mud,[0]!municipio,$B9,[0]!turno,U$2)</f>
        <v>8</v>
      </c>
      <c r="V10" s="5">
        <f>SUMIFS([0]!mud,[0]!municipio,$B9,[0]!turno,V$2)</f>
        <v>1</v>
      </c>
      <c r="W10" s="26">
        <f>SUMIFS([0]!mud,[0]!municipio,$B9,[0]!turno,W$2)</f>
        <v>4</v>
      </c>
    </row>
    <row r="11" spans="2:23" ht="15.75" thickBot="1" x14ac:dyDescent="0.3">
      <c r="B11" s="21">
        <v>0.12912005163511187</v>
      </c>
      <c r="C11" s="10" t="s">
        <v>0</v>
      </c>
      <c r="D11" s="38">
        <f>IF((E9+E10+E11)=0,0,E11/(E9+E10+E11))</f>
        <v>0.05</v>
      </c>
      <c r="E11" s="11">
        <f t="shared" si="0"/>
        <v>17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2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1</v>
      </c>
      <c r="N11" s="11">
        <f>SUMIFS([0]!otro,[0]!municipio,$B9,[0]!turno,N$2)</f>
        <v>2</v>
      </c>
      <c r="O11" s="11">
        <f>SUMIFS([0]!otro,[0]!municipio,$B9,[0]!turno,O$2)</f>
        <v>2</v>
      </c>
      <c r="P11" s="11">
        <f>SUMIFS([0]!otro,[0]!municipio,$B9,[0]!turno,P$2)</f>
        <v>2</v>
      </c>
      <c r="Q11" s="11">
        <f>SUMIFS([0]!otro,[0]!municipio,$B9,[0]!turno,Q$2)</f>
        <v>2</v>
      </c>
      <c r="R11" s="11">
        <f>SUMIFS([0]!otro,[0]!municipio,$B9,[0]!turno,R$2)</f>
        <v>2</v>
      </c>
      <c r="S11" s="11">
        <f>SUMIFS([0]!otro,[0]!municipio,$B9,[0]!turno,S$2)</f>
        <v>3</v>
      </c>
      <c r="T11" s="11">
        <f>SUMIFS([0]!otro,[0]!municipio,$B9,[0]!turno,T$2)</f>
        <v>0</v>
      </c>
      <c r="U11" s="11">
        <f>SUMIFS([0]!otro,[0]!municipio,$B9,[0]!turno,U$2)</f>
        <v>1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134</v>
      </c>
      <c r="C12" s="6" t="s">
        <v>106</v>
      </c>
      <c r="D12" s="36">
        <f>IF((E12+E13+E14)=0,0,E12/(E12+E13+E14))</f>
        <v>0.74125874125874125</v>
      </c>
      <c r="E12" s="7">
        <f t="shared" si="0"/>
        <v>212</v>
      </c>
      <c r="F12" s="7">
        <f>SUMIFS([0]!psuv,[0]!municipio,$B12,[0]!turno,F$2)</f>
        <v>0</v>
      </c>
      <c r="G12" s="7">
        <f>SUMIFS([0]!psuv,[0]!municipio,$B12,[0]!turno,G$2)</f>
        <v>0</v>
      </c>
      <c r="H12" s="7">
        <f>SUMIFS([0]!psuv,[0]!municipio,$B12,[0]!turno,H$2)</f>
        <v>12</v>
      </c>
      <c r="I12" s="7">
        <f>SUMIFS([0]!psuv,[0]!municipio,$B12,[0]!turno,I$2)</f>
        <v>14</v>
      </c>
      <c r="J12" s="7">
        <f>SUMIFS([0]!psuv,[0]!municipio,$B12,[0]!turno,J$2)</f>
        <v>23</v>
      </c>
      <c r="K12" s="7">
        <f>SUMIFS([0]!psuv,[0]!municipio,$B12,[0]!turno,K$2)</f>
        <v>17</v>
      </c>
      <c r="L12" s="7">
        <f>SUMIFS([0]!psuv,[0]!municipio,$B12,[0]!turno,L$2)</f>
        <v>2</v>
      </c>
      <c r="M12" s="7">
        <f>SUMIFS([0]!psuv,[0]!municipio,$B12,[0]!turno,M$2)</f>
        <v>15</v>
      </c>
      <c r="N12" s="7">
        <f>SUMIFS([0]!psuv,[0]!municipio,$B12,[0]!turno,N$2)</f>
        <v>12</v>
      </c>
      <c r="O12" s="7">
        <f>SUMIFS([0]!psuv,[0]!municipio,$B12,[0]!turno,O$2)</f>
        <v>11</v>
      </c>
      <c r="P12" s="7">
        <f>SUMIFS([0]!psuv,[0]!municipio,$B12,[0]!turno,P$2)</f>
        <v>10</v>
      </c>
      <c r="Q12" s="7">
        <f>SUMIFS([0]!psuv,[0]!municipio,$B12,[0]!turno,Q$2)</f>
        <v>21</v>
      </c>
      <c r="R12" s="7">
        <f>SUMIFS([0]!psuv,[0]!municipio,$B12,[0]!turno,R$2)</f>
        <v>19</v>
      </c>
      <c r="S12" s="7">
        <f>SUMIFS([0]!psuv,[0]!municipio,$B12,[0]!turno,S$2)</f>
        <v>9</v>
      </c>
      <c r="T12" s="7">
        <f>SUMIFS([0]!psuv,[0]!municipio,$B12,[0]!turno,T$2)</f>
        <v>8</v>
      </c>
      <c r="U12" s="7">
        <f>SUMIFS([0]!psuv,[0]!municipio,$B12,[0]!turno,U$2)</f>
        <v>13</v>
      </c>
      <c r="V12" s="7">
        <f>SUMIFS([0]!psuv,[0]!municipio,$B12,[0]!turno,V$2)</f>
        <v>11</v>
      </c>
      <c r="W12" s="28">
        <f>SUMIFS([0]!psuv,[0]!municipio,$B12,[0]!turno,W$2)</f>
        <v>15</v>
      </c>
    </row>
    <row r="13" spans="2:23" x14ac:dyDescent="0.25">
      <c r="B13" s="23" t="s">
        <v>90</v>
      </c>
      <c r="C13" s="4" t="s">
        <v>107</v>
      </c>
      <c r="D13" s="37">
        <f>IF((E12+E13+E14)=0,0,E13/(E12+E13+E14))</f>
        <v>0.22027972027972029</v>
      </c>
      <c r="E13" s="5">
        <f t="shared" si="0"/>
        <v>63</v>
      </c>
      <c r="F13" s="5">
        <f>SUMIFS([0]!mud,[0]!municipio,$B12,[0]!turno,F$2)</f>
        <v>0</v>
      </c>
      <c r="G13" s="5">
        <f>SUMIFS([0]!mud,[0]!municipio,$B12,[0]!turno,G$2)</f>
        <v>0</v>
      </c>
      <c r="H13" s="5">
        <f>SUMIFS([0]!mud,[0]!municipio,$B12,[0]!turno,H$2)</f>
        <v>2</v>
      </c>
      <c r="I13" s="5">
        <f>SUMIFS([0]!mud,[0]!municipio,$B12,[0]!turno,I$2)</f>
        <v>3</v>
      </c>
      <c r="J13" s="5">
        <f>SUMIFS([0]!mud,[0]!municipio,$B12,[0]!turno,J$2)</f>
        <v>5</v>
      </c>
      <c r="K13" s="5">
        <f>SUMIFS([0]!mud,[0]!municipio,$B12,[0]!turno,K$2)</f>
        <v>5</v>
      </c>
      <c r="L13" s="5">
        <f>SUMIFS([0]!mud,[0]!municipio,$B12,[0]!turno,L$2)</f>
        <v>1</v>
      </c>
      <c r="M13" s="5">
        <f>SUMIFS([0]!mud,[0]!municipio,$B12,[0]!turno,M$2)</f>
        <v>4</v>
      </c>
      <c r="N13" s="5">
        <f>SUMIFS([0]!mud,[0]!municipio,$B12,[0]!turno,N$2)</f>
        <v>4</v>
      </c>
      <c r="O13" s="5">
        <f>SUMIFS([0]!mud,[0]!municipio,$B12,[0]!turno,O$2)</f>
        <v>7</v>
      </c>
      <c r="P13" s="5">
        <f>SUMIFS([0]!mud,[0]!municipio,$B12,[0]!turno,P$2)</f>
        <v>1</v>
      </c>
      <c r="Q13" s="5">
        <f>SUMIFS([0]!mud,[0]!municipio,$B12,[0]!turno,Q$2)</f>
        <v>1</v>
      </c>
      <c r="R13" s="5">
        <f>SUMIFS([0]!mud,[0]!municipio,$B12,[0]!turno,R$2)</f>
        <v>0</v>
      </c>
      <c r="S13" s="5">
        <f>SUMIFS([0]!mud,[0]!municipio,$B12,[0]!turno,S$2)</f>
        <v>7</v>
      </c>
      <c r="T13" s="5">
        <f>SUMIFS([0]!mud,[0]!municipio,$B12,[0]!turno,T$2)</f>
        <v>13</v>
      </c>
      <c r="U13" s="5">
        <f>SUMIFS([0]!mud,[0]!municipio,$B12,[0]!turno,U$2)</f>
        <v>1</v>
      </c>
      <c r="V13" s="5">
        <f>SUMIFS([0]!mud,[0]!municipio,$B12,[0]!turno,V$2)</f>
        <v>3</v>
      </c>
      <c r="W13" s="26">
        <f>SUMIFS([0]!mud,[0]!municipio,$B12,[0]!turno,W$2)</f>
        <v>6</v>
      </c>
    </row>
    <row r="14" spans="2:23" ht="15.75" thickBot="1" x14ac:dyDescent="0.3">
      <c r="B14" s="24">
        <v>0.15343158347676419</v>
      </c>
      <c r="C14" s="12" t="s">
        <v>0</v>
      </c>
      <c r="D14" s="38">
        <f>IF((E12+E13+E14)=0,0,E14/(E12+E13+E14))</f>
        <v>3.8461538461538464E-2</v>
      </c>
      <c r="E14" s="13">
        <f t="shared" si="0"/>
        <v>11</v>
      </c>
      <c r="F14" s="13">
        <f>SUMIFS([0]!otro,[0]!municipio,$B12,[0]!turno,F$2)</f>
        <v>0</v>
      </c>
      <c r="G14" s="13">
        <f>SUMIFS([0]!otro,[0]!municipio,$B12,[0]!turno,G$2)</f>
        <v>0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1</v>
      </c>
      <c r="K14" s="13">
        <f>SUMIFS([0]!otro,[0]!municipio,$B12,[0]!turno,K$2)</f>
        <v>0</v>
      </c>
      <c r="L14" s="13">
        <f>SUMIFS([0]!otro,[0]!municipio,$B12,[0]!turno,L$2)</f>
        <v>1</v>
      </c>
      <c r="M14" s="13">
        <f>SUMIFS([0]!otro,[0]!municipio,$B12,[0]!turno,M$2)</f>
        <v>1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1</v>
      </c>
      <c r="R14" s="13">
        <f>SUMIFS([0]!otro,[0]!municipio,$B12,[0]!turno,R$2)</f>
        <v>1</v>
      </c>
      <c r="S14" s="13">
        <f>SUMIFS([0]!otro,[0]!municipio,$B12,[0]!turno,S$2)</f>
        <v>4</v>
      </c>
      <c r="T14" s="13">
        <f>SUMIFS([0]!otro,[0]!municipio,$B12,[0]!turno,T$2)</f>
        <v>0</v>
      </c>
      <c r="U14" s="13">
        <f>SUMIFS([0]!otro,[0]!municipio,$B12,[0]!turno,U$2)</f>
        <v>1</v>
      </c>
      <c r="V14" s="13">
        <f>SUMIFS([0]!otro,[0]!municipio,$B12,[0]!turno,V$2)</f>
        <v>0</v>
      </c>
      <c r="W14" s="29">
        <f>SUMIFS([0]!otro,[0]!municipio,$B12,[0]!turno,W$2)</f>
        <v>1</v>
      </c>
    </row>
    <row r="15" spans="2:23" x14ac:dyDescent="0.25">
      <c r="B15" s="19">
        <v>135</v>
      </c>
      <c r="C15" s="8" t="s">
        <v>106</v>
      </c>
      <c r="D15" s="36">
        <f>IF((E15+E16+E17)=0,0,E15/(E15+E16+E17))</f>
        <v>0.78853914447134787</v>
      </c>
      <c r="E15" s="9">
        <f t="shared" si="0"/>
        <v>977</v>
      </c>
      <c r="F15" s="9">
        <f>SUMIFS([0]!psuv,[0]!municipio,$B15,[0]!turno,F$2)</f>
        <v>45</v>
      </c>
      <c r="G15" s="9">
        <f>SUMIFS([0]!psuv,[0]!municipio,$B15,[0]!turno,G$2)</f>
        <v>50</v>
      </c>
      <c r="H15" s="9">
        <f>SUMIFS([0]!psuv,[0]!municipio,$B15,[0]!turno,H$2)</f>
        <v>19</v>
      </c>
      <c r="I15" s="9">
        <f>SUMIFS([0]!psuv,[0]!municipio,$B15,[0]!turno,I$2)</f>
        <v>32</v>
      </c>
      <c r="J15" s="9">
        <f>SUMIFS([0]!psuv,[0]!municipio,$B15,[0]!turno,J$2)</f>
        <v>66</v>
      </c>
      <c r="K15" s="9">
        <f>SUMIFS([0]!psuv,[0]!municipio,$B15,[0]!turno,K$2)</f>
        <v>25</v>
      </c>
      <c r="L15" s="9">
        <f>SUMIFS([0]!psuv,[0]!municipio,$B15,[0]!turno,L$2)</f>
        <v>73</v>
      </c>
      <c r="M15" s="9">
        <f>SUMIFS([0]!psuv,[0]!municipio,$B15,[0]!turno,M$2)</f>
        <v>69</v>
      </c>
      <c r="N15" s="9">
        <f>SUMIFS([0]!psuv,[0]!municipio,$B15,[0]!turno,N$2)</f>
        <v>62</v>
      </c>
      <c r="O15" s="9">
        <f>SUMIFS([0]!psuv,[0]!municipio,$B15,[0]!turno,O$2)</f>
        <v>72</v>
      </c>
      <c r="P15" s="9">
        <f>SUMIFS([0]!psuv,[0]!municipio,$B15,[0]!turno,P$2)</f>
        <v>71</v>
      </c>
      <c r="Q15" s="9">
        <f>SUMIFS([0]!psuv,[0]!municipio,$B15,[0]!turno,Q$2)</f>
        <v>45</v>
      </c>
      <c r="R15" s="9">
        <f>SUMIFS([0]!psuv,[0]!municipio,$B15,[0]!turno,R$2)</f>
        <v>65</v>
      </c>
      <c r="S15" s="9">
        <f>SUMIFS([0]!psuv,[0]!municipio,$B15,[0]!turno,S$2)</f>
        <v>48</v>
      </c>
      <c r="T15" s="9">
        <f>SUMIFS([0]!psuv,[0]!municipio,$B15,[0]!turno,T$2)</f>
        <v>65</v>
      </c>
      <c r="U15" s="9">
        <f>SUMIFS([0]!psuv,[0]!municipio,$B15,[0]!turno,U$2)</f>
        <v>49</v>
      </c>
      <c r="V15" s="9">
        <f>SUMIFS([0]!psuv,[0]!municipio,$B15,[0]!turno,V$2)</f>
        <v>48</v>
      </c>
      <c r="W15" s="25">
        <f>SUMIFS([0]!psuv,[0]!municipio,$B15,[0]!turno,W$2)</f>
        <v>73</v>
      </c>
    </row>
    <row r="16" spans="2:23" x14ac:dyDescent="0.25">
      <c r="B16" s="20" t="s">
        <v>217</v>
      </c>
      <c r="C16" s="4" t="s">
        <v>107</v>
      </c>
      <c r="D16" s="37">
        <f>IF((E15+E16+E17)=0,0,E16/(E15+E16+E17))</f>
        <v>0.18966908797417273</v>
      </c>
      <c r="E16" s="5">
        <f t="shared" si="0"/>
        <v>235</v>
      </c>
      <c r="F16" s="5">
        <f>SUMIFS([0]!mud,[0]!municipio,$B15,[0]!turno,F$2)</f>
        <v>1</v>
      </c>
      <c r="G16" s="5">
        <f>SUMIFS([0]!mud,[0]!municipio,$B15,[0]!turno,G$2)</f>
        <v>0</v>
      </c>
      <c r="H16" s="5">
        <f>SUMIFS([0]!mud,[0]!municipio,$B15,[0]!turno,H$2)</f>
        <v>6</v>
      </c>
      <c r="I16" s="5">
        <f>SUMIFS([0]!mud,[0]!municipio,$B15,[0]!turno,I$2)</f>
        <v>8</v>
      </c>
      <c r="J16" s="5">
        <f>SUMIFS([0]!mud,[0]!municipio,$B15,[0]!turno,J$2)</f>
        <v>5</v>
      </c>
      <c r="K16" s="5">
        <f>SUMIFS([0]!mud,[0]!municipio,$B15,[0]!turno,K$2)</f>
        <v>16</v>
      </c>
      <c r="L16" s="5">
        <f>SUMIFS([0]!mud,[0]!municipio,$B15,[0]!turno,L$2)</f>
        <v>13</v>
      </c>
      <c r="M16" s="5">
        <f>SUMIFS([0]!mud,[0]!municipio,$B15,[0]!turno,M$2)</f>
        <v>10</v>
      </c>
      <c r="N16" s="5">
        <f>SUMIFS([0]!mud,[0]!municipio,$B15,[0]!turno,N$2)</f>
        <v>16</v>
      </c>
      <c r="O16" s="5">
        <f>SUMIFS([0]!mud,[0]!municipio,$B15,[0]!turno,O$2)</f>
        <v>13</v>
      </c>
      <c r="P16" s="5">
        <f>SUMIFS([0]!mud,[0]!municipio,$B15,[0]!turno,P$2)</f>
        <v>15</v>
      </c>
      <c r="Q16" s="5">
        <f>SUMIFS([0]!mud,[0]!municipio,$B15,[0]!turno,Q$2)</f>
        <v>22</v>
      </c>
      <c r="R16" s="5">
        <f>SUMIFS([0]!mud,[0]!municipio,$B15,[0]!turno,R$2)</f>
        <v>24</v>
      </c>
      <c r="S16" s="5">
        <f>SUMIFS([0]!mud,[0]!municipio,$B15,[0]!turno,S$2)</f>
        <v>8</v>
      </c>
      <c r="T16" s="5">
        <f>SUMIFS([0]!mud,[0]!municipio,$B15,[0]!turno,T$2)</f>
        <v>16</v>
      </c>
      <c r="U16" s="5">
        <f>SUMIFS([0]!mud,[0]!municipio,$B15,[0]!turno,U$2)</f>
        <v>19</v>
      </c>
      <c r="V16" s="5">
        <f>SUMIFS([0]!mud,[0]!municipio,$B15,[0]!turno,V$2)</f>
        <v>25</v>
      </c>
      <c r="W16" s="26">
        <f>SUMIFS([0]!mud,[0]!municipio,$B15,[0]!turno,W$2)</f>
        <v>18</v>
      </c>
    </row>
    <row r="17" spans="2:23" ht="15.75" thickBot="1" x14ac:dyDescent="0.3">
      <c r="B17" s="21">
        <v>0.35692771084337349</v>
      </c>
      <c r="C17" s="10" t="s">
        <v>0</v>
      </c>
      <c r="D17" s="38">
        <f>IF((E15+E16+E17)=0,0,E17/(E15+E16+E17))</f>
        <v>2.1791767554479417E-2</v>
      </c>
      <c r="E17" s="11">
        <f t="shared" si="0"/>
        <v>27</v>
      </c>
      <c r="F17" s="11">
        <f>SUMIFS([0]!otro,[0]!municipio,$B15,[0]!turno,F$2)</f>
        <v>0</v>
      </c>
      <c r="G17" s="11">
        <f>SUMIFS([0]!otro,[0]!municipio,$B15,[0]!turno,G$2)</f>
        <v>1</v>
      </c>
      <c r="H17" s="11">
        <f>SUMIFS([0]!otro,[0]!municipio,$B15,[0]!turno,H$2)</f>
        <v>2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2</v>
      </c>
      <c r="M17" s="11">
        <f>SUMIFS([0]!otro,[0]!municipio,$B15,[0]!turno,M$2)</f>
        <v>1</v>
      </c>
      <c r="N17" s="11">
        <f>SUMIFS([0]!otro,[0]!municipio,$B15,[0]!turno,N$2)</f>
        <v>2</v>
      </c>
      <c r="O17" s="11">
        <f>SUMIFS([0]!otro,[0]!municipio,$B15,[0]!turno,O$2)</f>
        <v>3</v>
      </c>
      <c r="P17" s="11">
        <f>SUMIFS([0]!otro,[0]!municipio,$B15,[0]!turno,P$2)</f>
        <v>1</v>
      </c>
      <c r="Q17" s="11">
        <f>SUMIFS([0]!otro,[0]!municipio,$B15,[0]!turno,Q$2)</f>
        <v>2</v>
      </c>
      <c r="R17" s="11">
        <f>SUMIFS([0]!otro,[0]!municipio,$B15,[0]!turno,R$2)</f>
        <v>1</v>
      </c>
      <c r="S17" s="11">
        <f>SUMIFS([0]!otro,[0]!municipio,$B15,[0]!turno,S$2)</f>
        <v>0</v>
      </c>
      <c r="T17" s="11">
        <f>SUMIFS([0]!otro,[0]!municipio,$B15,[0]!turno,T$2)</f>
        <v>4</v>
      </c>
      <c r="U17" s="11">
        <f>SUMIFS([0]!otro,[0]!municipio,$B15,[0]!turno,U$2)</f>
        <v>2</v>
      </c>
      <c r="V17" s="11">
        <f>SUMIFS([0]!otro,[0]!municipio,$B15,[0]!turno,V$2)</f>
        <v>6</v>
      </c>
      <c r="W17" s="27">
        <f>SUMIFS([0]!otro,[0]!municipio,$B15,[0]!turno,W$2)</f>
        <v>0</v>
      </c>
    </row>
    <row r="18" spans="2:23" ht="15" customHeight="1" x14ac:dyDescent="0.25">
      <c r="B18"/>
      <c r="C18"/>
    </row>
    <row r="19" spans="2:23" ht="15" customHeight="1" x14ac:dyDescent="0.25">
      <c r="B19"/>
      <c r="C19"/>
    </row>
    <row r="20" spans="2:23" ht="15" customHeight="1" x14ac:dyDescent="0.25">
      <c r="B20"/>
      <c r="C20"/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B1:W282"/>
  <sheetViews>
    <sheetView zoomScaleNormal="100" workbookViewId="0">
      <selection activeCell="M26" sqref="M26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136</v>
      </c>
      <c r="C3" s="8" t="s">
        <v>106</v>
      </c>
      <c r="D3" s="36">
        <f>IF((E3+E4+E5)=0,0,E3/(E3+E4+E5))</f>
        <v>0.73150457190357443</v>
      </c>
      <c r="E3" s="9">
        <f>SUM(F3:W3)</f>
        <v>880</v>
      </c>
      <c r="F3" s="9">
        <f>SUMIFS([0]!psuv,[0]!municipio,$B3,[0]!turno,F$2)</f>
        <v>0</v>
      </c>
      <c r="G3" s="9">
        <f>SUMIFS([0]!psuv,[0]!municipio,$B3,[0]!turno,G$2)</f>
        <v>31</v>
      </c>
      <c r="H3" s="9">
        <f>SUMIFS([0]!psuv,[0]!municipio,$B3,[0]!turno,H$2)</f>
        <v>43</v>
      </c>
      <c r="I3" s="9">
        <f>SUMIFS([0]!psuv,[0]!municipio,$B3,[0]!turno,I$2)</f>
        <v>44</v>
      </c>
      <c r="J3" s="9">
        <f>SUMIFS([0]!psuv,[0]!municipio,$B3,[0]!turno,J$2)</f>
        <v>57</v>
      </c>
      <c r="K3" s="9">
        <f>SUMIFS([0]!psuv,[0]!municipio,$B3,[0]!turno,K$2)</f>
        <v>50</v>
      </c>
      <c r="L3" s="9">
        <f>SUMIFS([0]!psuv,[0]!municipio,$B3,[0]!turno,L$2)</f>
        <v>46</v>
      </c>
      <c r="M3" s="9">
        <f>SUMIFS([0]!psuv,[0]!municipio,$B3,[0]!turno,M$2)</f>
        <v>47</v>
      </c>
      <c r="N3" s="9">
        <f>SUMIFS([0]!psuv,[0]!municipio,$B3,[0]!turno,N$2)</f>
        <v>61</v>
      </c>
      <c r="O3" s="9">
        <f>SUMIFS([0]!psuv,[0]!municipio,$B3,[0]!turno,O$2)</f>
        <v>74</v>
      </c>
      <c r="P3" s="9">
        <f>SUMIFS([0]!psuv,[0]!municipio,$B3,[0]!turno,P$2)</f>
        <v>39</v>
      </c>
      <c r="Q3" s="9">
        <f>SUMIFS([0]!psuv,[0]!municipio,$B3,[0]!turno,Q$2)</f>
        <v>66</v>
      </c>
      <c r="R3" s="9">
        <f>SUMIFS([0]!psuv,[0]!municipio,$B3,[0]!turno,R$2)</f>
        <v>60</v>
      </c>
      <c r="S3" s="9">
        <f>SUMIFS([0]!psuv,[0]!municipio,$B3,[0]!turno,S$2)</f>
        <v>57</v>
      </c>
      <c r="T3" s="9">
        <f>SUMIFS([0]!psuv,[0]!municipio,$B3,[0]!turno,T$2)</f>
        <v>59</v>
      </c>
      <c r="U3" s="9">
        <f>SUMIFS([0]!psuv,[0]!municipio,$B3,[0]!turno,U$2)</f>
        <v>54</v>
      </c>
      <c r="V3" s="9">
        <f>SUMIFS([0]!psuv,[0]!municipio,$B3,[0]!turno,V$2)</f>
        <v>39</v>
      </c>
      <c r="W3" s="25">
        <f>SUMIFS([0]!psuv,[0]!municipio,$B3,[0]!turno,W$2)</f>
        <v>53</v>
      </c>
    </row>
    <row r="4" spans="2:23" x14ac:dyDescent="0.25">
      <c r="B4" s="20" t="s">
        <v>91</v>
      </c>
      <c r="C4" s="4" t="s">
        <v>107</v>
      </c>
      <c r="D4" s="37">
        <f>IF((E3+E4+E5)=0,0,E4/(E3+E4+E5))</f>
        <v>0.25602660016625106</v>
      </c>
      <c r="E4" s="5">
        <f>SUM(F4:W4)</f>
        <v>308</v>
      </c>
      <c r="F4" s="5">
        <f>SUMIFS([0]!mud,[0]!municipio,$B3,[0]!turno,F$2)</f>
        <v>0</v>
      </c>
      <c r="G4" s="5">
        <f>SUMIFS([0]!mud,[0]!municipio,$B3,[0]!turno,G$2)</f>
        <v>3</v>
      </c>
      <c r="H4" s="5">
        <f>SUMIFS([0]!mud,[0]!municipio,$B3,[0]!turno,H$2)</f>
        <v>7</v>
      </c>
      <c r="I4" s="5">
        <f>SUMIFS([0]!mud,[0]!municipio,$B3,[0]!turno,I$2)</f>
        <v>10</v>
      </c>
      <c r="J4" s="5">
        <f>SUMIFS([0]!mud,[0]!municipio,$B3,[0]!turno,J$2)</f>
        <v>14</v>
      </c>
      <c r="K4" s="5">
        <f>SUMIFS([0]!mud,[0]!municipio,$B3,[0]!turno,K$2)</f>
        <v>3</v>
      </c>
      <c r="L4" s="5">
        <f>SUMIFS([0]!mud,[0]!municipio,$B3,[0]!turno,L$2)</f>
        <v>22</v>
      </c>
      <c r="M4" s="5">
        <f>SUMIFS([0]!mud,[0]!municipio,$B3,[0]!turno,M$2)</f>
        <v>22</v>
      </c>
      <c r="N4" s="5">
        <f>SUMIFS([0]!mud,[0]!municipio,$B3,[0]!turno,N$2)</f>
        <v>35</v>
      </c>
      <c r="O4" s="5">
        <f>SUMIFS([0]!mud,[0]!municipio,$B3,[0]!turno,O$2)</f>
        <v>29</v>
      </c>
      <c r="P4" s="5">
        <f>SUMIFS([0]!mud,[0]!municipio,$B3,[0]!turno,P$2)</f>
        <v>27</v>
      </c>
      <c r="Q4" s="5">
        <f>SUMIFS([0]!mud,[0]!municipio,$B3,[0]!turno,Q$2)</f>
        <v>18</v>
      </c>
      <c r="R4" s="5">
        <f>SUMIFS([0]!mud,[0]!municipio,$B3,[0]!turno,R$2)</f>
        <v>22</v>
      </c>
      <c r="S4" s="5">
        <f>SUMIFS([0]!mud,[0]!municipio,$B3,[0]!turno,S$2)</f>
        <v>26</v>
      </c>
      <c r="T4" s="5">
        <f>SUMIFS([0]!mud,[0]!municipio,$B3,[0]!turno,T$2)</f>
        <v>17</v>
      </c>
      <c r="U4" s="5">
        <f>SUMIFS([0]!mud,[0]!municipio,$B3,[0]!turno,U$2)</f>
        <v>25</v>
      </c>
      <c r="V4" s="5">
        <f>SUMIFS([0]!mud,[0]!municipio,$B3,[0]!turno,V$2)</f>
        <v>12</v>
      </c>
      <c r="W4" s="26">
        <f>SUMIFS([0]!mud,[0]!municipio,$B3,[0]!turno,W$2)</f>
        <v>16</v>
      </c>
    </row>
    <row r="5" spans="2:23" ht="15.75" thickBot="1" x14ac:dyDescent="0.3">
      <c r="B5" s="21">
        <v>1</v>
      </c>
      <c r="C5" s="10" t="s">
        <v>0</v>
      </c>
      <c r="D5" s="38">
        <f>IF((E3+E4+E5)=0,0,E5/(E3+E4+E5))</f>
        <v>1.2468827930174564E-2</v>
      </c>
      <c r="E5" s="11">
        <f>SUM(F5:W5)</f>
        <v>15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1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1</v>
      </c>
      <c r="M5" s="11">
        <f>SUMIFS([0]!otro,[0]!municipio,$B3,[0]!turno,M$2)</f>
        <v>0</v>
      </c>
      <c r="N5" s="11">
        <f>SUMIFS([0]!otro,[0]!municipio,$B3,[0]!turno,N$2)</f>
        <v>2</v>
      </c>
      <c r="O5" s="11">
        <f>SUMIFS([0]!otro,[0]!municipio,$B3,[0]!turno,O$2)</f>
        <v>2</v>
      </c>
      <c r="P5" s="11">
        <f>SUMIFS([0]!otro,[0]!municipio,$B3,[0]!turno,P$2)</f>
        <v>0</v>
      </c>
      <c r="Q5" s="11">
        <f>SUMIFS([0]!otro,[0]!municipio,$B3,[0]!turno,Q$2)</f>
        <v>1</v>
      </c>
      <c r="R5" s="11">
        <f>SUMIFS([0]!otro,[0]!municipio,$B3,[0]!turno,R$2)</f>
        <v>1</v>
      </c>
      <c r="S5" s="11">
        <f>SUMIFS([0]!otro,[0]!municipio,$B3,[0]!turno,S$2)</f>
        <v>1</v>
      </c>
      <c r="T5" s="11">
        <f>SUMIFS([0]!otro,[0]!municipio,$B3,[0]!turno,T$2)</f>
        <v>2</v>
      </c>
      <c r="U5" s="11">
        <f>SUMIFS([0]!otro,[0]!municipio,$B3,[0]!turno,U$2)</f>
        <v>1</v>
      </c>
      <c r="V5" s="11">
        <f>SUMIFS([0]!otro,[0]!municipio,$B3,[0]!turno,V$2)</f>
        <v>0</v>
      </c>
      <c r="W5" s="27">
        <f>SUMIFS([0]!otro,[0]!municipio,$B3,[0]!turno,W$2)</f>
        <v>3</v>
      </c>
    </row>
    <row r="6" spans="2:23" ht="15" customHeight="1" x14ac:dyDescent="0.25">
      <c r="B6"/>
      <c r="C6"/>
    </row>
    <row r="7" spans="2:23" ht="15" customHeight="1" x14ac:dyDescent="0.25">
      <c r="B7"/>
      <c r="C7"/>
    </row>
    <row r="8" spans="2:23" ht="15" customHeight="1" x14ac:dyDescent="0.25">
      <c r="B8"/>
      <c r="C8"/>
    </row>
    <row r="9" spans="2:23" ht="15" customHeight="1" x14ac:dyDescent="0.25">
      <c r="B9"/>
      <c r="C9"/>
    </row>
    <row r="10" spans="2:23" ht="15" customHeight="1" x14ac:dyDescent="0.25">
      <c r="B10"/>
      <c r="C10"/>
    </row>
    <row r="11" spans="2:23" ht="15" customHeight="1" x14ac:dyDescent="0.25">
      <c r="B11"/>
      <c r="C11"/>
    </row>
    <row r="12" spans="2:23" ht="15" customHeight="1" x14ac:dyDescent="0.25">
      <c r="B12"/>
      <c r="C12"/>
    </row>
    <row r="13" spans="2:23" ht="15" customHeight="1" x14ac:dyDescent="0.25">
      <c r="B13"/>
      <c r="C13"/>
    </row>
    <row r="14" spans="2:23" ht="15" customHeight="1" x14ac:dyDescent="0.25">
      <c r="B14"/>
      <c r="C14"/>
    </row>
    <row r="15" spans="2:23" ht="15" customHeight="1" x14ac:dyDescent="0.25">
      <c r="B15"/>
      <c r="C15"/>
    </row>
    <row r="16" spans="2:23" ht="15" customHeight="1" x14ac:dyDescent="0.25">
      <c r="B16"/>
      <c r="C16"/>
    </row>
    <row r="17" spans="2:3" ht="15" customHeight="1" x14ac:dyDescent="0.25">
      <c r="B17"/>
      <c r="C17"/>
    </row>
    <row r="18" spans="2:3" ht="15" customHeight="1" x14ac:dyDescent="0.25">
      <c r="B18"/>
      <c r="C18"/>
    </row>
    <row r="19" spans="2:3" ht="15" customHeight="1" x14ac:dyDescent="0.25">
      <c r="B19"/>
      <c r="C19"/>
    </row>
    <row r="20" spans="2:3" ht="15" customHeight="1" x14ac:dyDescent="0.25">
      <c r="B20"/>
      <c r="C20"/>
    </row>
    <row r="21" spans="2:3" ht="15" customHeight="1" x14ac:dyDescent="0.25">
      <c r="B21"/>
      <c r="C21"/>
    </row>
    <row r="22" spans="2:3" ht="15" customHeight="1" x14ac:dyDescent="0.25">
      <c r="B22"/>
      <c r="C22"/>
    </row>
    <row r="23" spans="2:3" ht="15" customHeight="1" x14ac:dyDescent="0.25">
      <c r="B23"/>
      <c r="C23"/>
    </row>
    <row r="24" spans="2:3" ht="15" customHeight="1" x14ac:dyDescent="0.25">
      <c r="B24"/>
      <c r="C24"/>
    </row>
    <row r="25" spans="2:3" ht="15" customHeight="1" x14ac:dyDescent="0.25">
      <c r="B25"/>
      <c r="C25"/>
    </row>
    <row r="26" spans="2:3" ht="15" customHeight="1" x14ac:dyDescent="0.25">
      <c r="B26"/>
      <c r="C26"/>
    </row>
    <row r="27" spans="2:3" ht="15" customHeight="1" x14ac:dyDescent="0.25">
      <c r="B27"/>
      <c r="C27"/>
    </row>
    <row r="28" spans="2:3" ht="15" customHeight="1" x14ac:dyDescent="0.25">
      <c r="B28"/>
      <c r="C28"/>
    </row>
    <row r="29" spans="2:3" ht="15" customHeight="1" x14ac:dyDescent="0.25">
      <c r="B29"/>
      <c r="C29"/>
    </row>
    <row r="30" spans="2:3" ht="15" customHeight="1" x14ac:dyDescent="0.25">
      <c r="B30"/>
      <c r="C30"/>
    </row>
    <row r="31" spans="2:3" ht="15" customHeight="1" x14ac:dyDescent="0.25">
      <c r="B31"/>
      <c r="C31"/>
    </row>
    <row r="32" spans="2: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</sheetData>
  <pageMargins left="0.7" right="0.7" top="0.75" bottom="0.75" header="0.3" footer="0.3"/>
  <pageSetup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B1:W426"/>
  <sheetViews>
    <sheetView topLeftCell="B1" workbookViewId="0">
      <selection activeCell="B16" sqref="B16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" customHeight="1" thickBot="1" x14ac:dyDescent="0.3"/>
    <row r="2" spans="2:23" s="3" customFormat="1" ht="1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ht="15" customHeight="1" x14ac:dyDescent="0.25">
      <c r="B3" s="19">
        <v>137</v>
      </c>
      <c r="C3" s="8" t="s">
        <v>106</v>
      </c>
      <c r="D3" s="36">
        <f>IF((E3+E4+E5)=0,0,E3/(E3+E4+E5))</f>
        <v>0.37099494097807756</v>
      </c>
      <c r="E3" s="9">
        <f t="shared" ref="E3:E20" si="0">SUM(F3:W3)</f>
        <v>220</v>
      </c>
      <c r="F3" s="9">
        <f>SUMIFS([0]!psuv,[0]!municipio,$B3,[0]!turno,F$2)</f>
        <v>0</v>
      </c>
      <c r="G3" s="9">
        <f>SUMIFS([0]!psuv,[0]!municipio,$B3,[0]!turno,G$2)</f>
        <v>14</v>
      </c>
      <c r="H3" s="9">
        <f>SUMIFS([0]!psuv,[0]!municipio,$B3,[0]!turno,H$2)</f>
        <v>13</v>
      </c>
      <c r="I3" s="9">
        <f>SUMIFS([0]!psuv,[0]!municipio,$B3,[0]!turno,I$2)</f>
        <v>5</v>
      </c>
      <c r="J3" s="9">
        <f>SUMIFS([0]!psuv,[0]!municipio,$B3,[0]!turno,J$2)</f>
        <v>3</v>
      </c>
      <c r="K3" s="9">
        <f>SUMIFS([0]!psuv,[0]!municipio,$B3,[0]!turno,K$2)</f>
        <v>0</v>
      </c>
      <c r="L3" s="9">
        <f>SUMIFS([0]!psuv,[0]!municipio,$B3,[0]!turno,L$2)</f>
        <v>15</v>
      </c>
      <c r="M3" s="9">
        <f>SUMIFS([0]!psuv,[0]!municipio,$B3,[0]!turno,M$2)</f>
        <v>12</v>
      </c>
      <c r="N3" s="9">
        <f>SUMIFS([0]!psuv,[0]!municipio,$B3,[0]!turno,N$2)</f>
        <v>25</v>
      </c>
      <c r="O3" s="9">
        <f>SUMIFS([0]!psuv,[0]!municipio,$B3,[0]!turno,O$2)</f>
        <v>18</v>
      </c>
      <c r="P3" s="9">
        <f>SUMIFS([0]!psuv,[0]!municipio,$B3,[0]!turno,P$2)</f>
        <v>11</v>
      </c>
      <c r="Q3" s="9">
        <f>SUMIFS([0]!psuv,[0]!municipio,$B3,[0]!turno,Q$2)</f>
        <v>28</v>
      </c>
      <c r="R3" s="9">
        <f>SUMIFS([0]!psuv,[0]!municipio,$B3,[0]!turno,R$2)</f>
        <v>11</v>
      </c>
      <c r="S3" s="9">
        <f>SUMIFS([0]!psuv,[0]!municipio,$B3,[0]!turno,S$2)</f>
        <v>16</v>
      </c>
      <c r="T3" s="9">
        <f>SUMIFS([0]!psuv,[0]!municipio,$B3,[0]!turno,T$2)</f>
        <v>16</v>
      </c>
      <c r="U3" s="9">
        <f>SUMIFS([0]!psuv,[0]!municipio,$B3,[0]!turno,U$2)</f>
        <v>15</v>
      </c>
      <c r="V3" s="9">
        <f>SUMIFS([0]!psuv,[0]!municipio,$B3,[0]!turno,V$2)</f>
        <v>2</v>
      </c>
      <c r="W3" s="25">
        <f>SUMIFS([0]!psuv,[0]!municipio,$B3,[0]!turno,W$2)</f>
        <v>16</v>
      </c>
    </row>
    <row r="4" spans="2:23" ht="15" customHeight="1" x14ac:dyDescent="0.25">
      <c r="B4" s="20" t="s">
        <v>93</v>
      </c>
      <c r="C4" s="4" t="s">
        <v>107</v>
      </c>
      <c r="D4" s="37">
        <f>IF((E3+E4+E5)=0,0,E4/(E3+E4+E5))</f>
        <v>0.6104553119730185</v>
      </c>
      <c r="E4" s="5">
        <f t="shared" si="0"/>
        <v>362</v>
      </c>
      <c r="F4" s="5">
        <f>SUMIFS([0]!mud,[0]!municipio,$B3,[0]!turno,F$2)</f>
        <v>0</v>
      </c>
      <c r="G4" s="5">
        <f>SUMIFS([0]!mud,[0]!municipio,$B3,[0]!turno,G$2)</f>
        <v>19</v>
      </c>
      <c r="H4" s="5">
        <f>SUMIFS([0]!mud,[0]!municipio,$B3,[0]!turno,H$2)</f>
        <v>25</v>
      </c>
      <c r="I4" s="5">
        <f>SUMIFS([0]!mud,[0]!municipio,$B3,[0]!turno,I$2)</f>
        <v>10</v>
      </c>
      <c r="J4" s="5">
        <f>SUMIFS([0]!mud,[0]!municipio,$B3,[0]!turno,J$2)</f>
        <v>24</v>
      </c>
      <c r="K4" s="5">
        <f>SUMIFS([0]!mud,[0]!municipio,$B3,[0]!turno,K$2)</f>
        <v>1</v>
      </c>
      <c r="L4" s="5">
        <f>SUMIFS([0]!mud,[0]!municipio,$B3,[0]!turno,L$2)</f>
        <v>23</v>
      </c>
      <c r="M4" s="5">
        <f>SUMIFS([0]!mud,[0]!municipio,$B3,[0]!turno,M$2)</f>
        <v>31</v>
      </c>
      <c r="N4" s="5">
        <f>SUMIFS([0]!mud,[0]!municipio,$B3,[0]!turno,N$2)</f>
        <v>24</v>
      </c>
      <c r="O4" s="5">
        <f>SUMIFS([0]!mud,[0]!municipio,$B3,[0]!turno,O$2)</f>
        <v>12</v>
      </c>
      <c r="P4" s="5">
        <f>SUMIFS([0]!mud,[0]!municipio,$B3,[0]!turno,P$2)</f>
        <v>19</v>
      </c>
      <c r="Q4" s="5">
        <f>SUMIFS([0]!mud,[0]!municipio,$B3,[0]!turno,Q$2)</f>
        <v>26</v>
      </c>
      <c r="R4" s="5">
        <f>SUMIFS([0]!mud,[0]!municipio,$B3,[0]!turno,R$2)</f>
        <v>30</v>
      </c>
      <c r="S4" s="5">
        <f>SUMIFS([0]!mud,[0]!municipio,$B3,[0]!turno,S$2)</f>
        <v>24</v>
      </c>
      <c r="T4" s="5">
        <f>SUMIFS([0]!mud,[0]!municipio,$B3,[0]!turno,T$2)</f>
        <v>22</v>
      </c>
      <c r="U4" s="5">
        <f>SUMIFS([0]!mud,[0]!municipio,$B3,[0]!turno,U$2)</f>
        <v>32</v>
      </c>
      <c r="V4" s="5">
        <f>SUMIFS([0]!mud,[0]!municipio,$B3,[0]!turno,V$2)</f>
        <v>14</v>
      </c>
      <c r="W4" s="26">
        <f>SUMIFS([0]!mud,[0]!municipio,$B3,[0]!turno,W$2)</f>
        <v>26</v>
      </c>
    </row>
    <row r="5" spans="2:23" ht="15" customHeight="1" thickBot="1" x14ac:dyDescent="0.3">
      <c r="B5" s="21">
        <v>0.16254150475013354</v>
      </c>
      <c r="C5" s="10" t="s">
        <v>0</v>
      </c>
      <c r="D5" s="38">
        <f>IF((E3+E4+E5)=0,0,E5/(E3+E4+E5))</f>
        <v>1.8549747048903879E-2</v>
      </c>
      <c r="E5" s="11">
        <f t="shared" si="0"/>
        <v>11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1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2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2</v>
      </c>
      <c r="S5" s="11">
        <f>SUMIFS([0]!otro,[0]!municipio,$B3,[0]!turno,S$2)</f>
        <v>0</v>
      </c>
      <c r="T5" s="11">
        <f>SUMIFS([0]!otro,[0]!municipio,$B3,[0]!turno,T$2)</f>
        <v>2</v>
      </c>
      <c r="U5" s="11">
        <f>SUMIFS([0]!otro,[0]!municipio,$B3,[0]!turno,U$2)</f>
        <v>3</v>
      </c>
      <c r="V5" s="11">
        <f>SUMIFS([0]!otro,[0]!municipio,$B3,[0]!turno,V$2)</f>
        <v>1</v>
      </c>
      <c r="W5" s="27">
        <f>SUMIFS([0]!otro,[0]!municipio,$B3,[0]!turno,W$2)</f>
        <v>0</v>
      </c>
    </row>
    <row r="6" spans="2:23" ht="15" customHeight="1" x14ac:dyDescent="0.25">
      <c r="B6" s="22">
        <v>138</v>
      </c>
      <c r="C6" s="6" t="s">
        <v>106</v>
      </c>
      <c r="D6" s="36">
        <f>IF((E6+E7+E8)=0,0,E6/(E6+E7+E8))</f>
        <v>0.36693548387096775</v>
      </c>
      <c r="E6" s="7">
        <f t="shared" si="0"/>
        <v>91</v>
      </c>
      <c r="F6" s="7">
        <f>SUMIFS([0]!psuv,[0]!municipio,$B6,[0]!turno,F$2)</f>
        <v>0</v>
      </c>
      <c r="G6" s="7">
        <f>SUMIFS([0]!psuv,[0]!municipio,$B6,[0]!turno,G$2)</f>
        <v>12</v>
      </c>
      <c r="H6" s="7">
        <f>SUMIFS([0]!psuv,[0]!municipio,$B6,[0]!turno,H$2)</f>
        <v>0</v>
      </c>
      <c r="I6" s="7">
        <f>SUMIFS([0]!psuv,[0]!municipio,$B6,[0]!turno,I$2)</f>
        <v>8</v>
      </c>
      <c r="J6" s="7">
        <f>SUMIFS([0]!psuv,[0]!municipio,$B6,[0]!turno,J$2)</f>
        <v>4</v>
      </c>
      <c r="K6" s="7">
        <f>SUMIFS([0]!psuv,[0]!municipio,$B6,[0]!turno,K$2)</f>
        <v>12</v>
      </c>
      <c r="L6" s="7">
        <f>SUMIFS([0]!psuv,[0]!municipio,$B6,[0]!turno,L$2)</f>
        <v>4</v>
      </c>
      <c r="M6" s="7">
        <f>SUMIFS([0]!psuv,[0]!municipio,$B6,[0]!turno,M$2)</f>
        <v>5</v>
      </c>
      <c r="N6" s="7">
        <f>SUMIFS([0]!psuv,[0]!municipio,$B6,[0]!turno,N$2)</f>
        <v>2</v>
      </c>
      <c r="O6" s="7">
        <f>SUMIFS([0]!psuv,[0]!municipio,$B6,[0]!turno,O$2)</f>
        <v>1</v>
      </c>
      <c r="P6" s="7">
        <f>SUMIFS([0]!psuv,[0]!municipio,$B6,[0]!turno,P$2)</f>
        <v>3</v>
      </c>
      <c r="Q6" s="7">
        <f>SUMIFS([0]!psuv,[0]!municipio,$B6,[0]!turno,Q$2)</f>
        <v>4</v>
      </c>
      <c r="R6" s="7">
        <f>SUMIFS([0]!psuv,[0]!municipio,$B6,[0]!turno,R$2)</f>
        <v>7</v>
      </c>
      <c r="S6" s="7">
        <f>SUMIFS([0]!psuv,[0]!municipio,$B6,[0]!turno,S$2)</f>
        <v>6</v>
      </c>
      <c r="T6" s="7">
        <f>SUMIFS([0]!psuv,[0]!municipio,$B6,[0]!turno,T$2)</f>
        <v>5</v>
      </c>
      <c r="U6" s="7">
        <f>SUMIFS([0]!psuv,[0]!municipio,$B6,[0]!turno,U$2)</f>
        <v>7</v>
      </c>
      <c r="V6" s="7">
        <f>SUMIFS([0]!psuv,[0]!municipio,$B6,[0]!turno,V$2)</f>
        <v>6</v>
      </c>
      <c r="W6" s="28">
        <f>SUMIFS([0]!psuv,[0]!municipio,$B6,[0]!turno,W$2)</f>
        <v>5</v>
      </c>
    </row>
    <row r="7" spans="2:23" ht="15" customHeight="1" x14ac:dyDescent="0.25">
      <c r="B7" s="23" t="s">
        <v>222</v>
      </c>
      <c r="C7" s="4" t="s">
        <v>107</v>
      </c>
      <c r="D7" s="37">
        <f>IF((E6+E7+E8)=0,0,E7/(E6+E7+E8))</f>
        <v>0.60483870967741937</v>
      </c>
      <c r="E7" s="5">
        <f t="shared" si="0"/>
        <v>150</v>
      </c>
      <c r="F7" s="5">
        <f>SUMIFS([0]!mud,[0]!municipio,$B6,[0]!turno,F$2)</f>
        <v>0</v>
      </c>
      <c r="G7" s="5">
        <f>SUMIFS([0]!mud,[0]!municipio,$B6,[0]!turno,G$2)</f>
        <v>1</v>
      </c>
      <c r="H7" s="5">
        <f>SUMIFS([0]!mud,[0]!municipio,$B6,[0]!turno,H$2)</f>
        <v>0</v>
      </c>
      <c r="I7" s="5">
        <f>SUMIFS([0]!mud,[0]!municipio,$B6,[0]!turno,I$2)</f>
        <v>6</v>
      </c>
      <c r="J7" s="5">
        <f>SUMIFS([0]!mud,[0]!municipio,$B6,[0]!turno,J$2)</f>
        <v>6</v>
      </c>
      <c r="K7" s="5">
        <f>SUMIFS([0]!mud,[0]!municipio,$B6,[0]!turno,K$2)</f>
        <v>12</v>
      </c>
      <c r="L7" s="5">
        <f>SUMIFS([0]!mud,[0]!municipio,$B6,[0]!turno,L$2)</f>
        <v>6</v>
      </c>
      <c r="M7" s="5">
        <f>SUMIFS([0]!mud,[0]!municipio,$B6,[0]!turno,M$2)</f>
        <v>3</v>
      </c>
      <c r="N7" s="5">
        <f>SUMIFS([0]!mud,[0]!municipio,$B6,[0]!turno,N$2)</f>
        <v>7</v>
      </c>
      <c r="O7" s="5">
        <f>SUMIFS([0]!mud,[0]!municipio,$B6,[0]!turno,O$2)</f>
        <v>3</v>
      </c>
      <c r="P7" s="5">
        <f>SUMIFS([0]!mud,[0]!municipio,$B6,[0]!turno,P$2)</f>
        <v>1</v>
      </c>
      <c r="Q7" s="5">
        <f>SUMIFS([0]!mud,[0]!municipio,$B6,[0]!turno,Q$2)</f>
        <v>3</v>
      </c>
      <c r="R7" s="5">
        <f>SUMIFS([0]!mud,[0]!municipio,$B6,[0]!turno,R$2)</f>
        <v>6</v>
      </c>
      <c r="S7" s="5">
        <f>SUMIFS([0]!mud,[0]!municipio,$B6,[0]!turno,S$2)</f>
        <v>4</v>
      </c>
      <c r="T7" s="5">
        <f>SUMIFS([0]!mud,[0]!municipio,$B6,[0]!turno,T$2)</f>
        <v>66</v>
      </c>
      <c r="U7" s="5">
        <f>SUMIFS([0]!mud,[0]!municipio,$B6,[0]!turno,U$2)</f>
        <v>7</v>
      </c>
      <c r="V7" s="5">
        <f>SUMIFS([0]!mud,[0]!municipio,$B6,[0]!turno,V$2)</f>
        <v>9</v>
      </c>
      <c r="W7" s="26">
        <f>SUMIFS([0]!mud,[0]!municipio,$B6,[0]!turno,W$2)</f>
        <v>10</v>
      </c>
    </row>
    <row r="8" spans="2:23" ht="15" customHeight="1" thickBot="1" x14ac:dyDescent="0.3">
      <c r="B8" s="24">
        <v>9.3867945938208117E-2</v>
      </c>
      <c r="C8" s="12" t="s">
        <v>0</v>
      </c>
      <c r="D8" s="38">
        <f>IF((E6+E7+E8)=0,0,E8/(E6+E7+E8))</f>
        <v>2.8225806451612902E-2</v>
      </c>
      <c r="E8" s="13">
        <f t="shared" si="0"/>
        <v>7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2</v>
      </c>
      <c r="P8" s="13">
        <f>SUMIFS([0]!otro,[0]!municipio,$B6,[0]!turno,P$2)</f>
        <v>2</v>
      </c>
      <c r="Q8" s="13">
        <f>SUMIFS([0]!otro,[0]!municipio,$B6,[0]!turno,Q$2)</f>
        <v>1</v>
      </c>
      <c r="R8" s="13">
        <f>SUMIFS([0]!otro,[0]!municipio,$B6,[0]!turno,R$2)</f>
        <v>0</v>
      </c>
      <c r="S8" s="13">
        <f>SUMIFS([0]!otro,[0]!municipio,$B6,[0]!turno,S$2)</f>
        <v>0</v>
      </c>
      <c r="T8" s="13">
        <f>SUMIFS([0]!otro,[0]!municipio,$B6,[0]!turno,T$2)</f>
        <v>0</v>
      </c>
      <c r="U8" s="13">
        <f>SUMIFS([0]!otro,[0]!municipio,$B6,[0]!turno,U$2)</f>
        <v>0</v>
      </c>
      <c r="V8" s="13">
        <f>SUMIFS([0]!otro,[0]!municipio,$B6,[0]!turno,V$2)</f>
        <v>1</v>
      </c>
      <c r="W8" s="29">
        <f>SUMIFS([0]!otro,[0]!municipio,$B6,[0]!turno,W$2)</f>
        <v>1</v>
      </c>
    </row>
    <row r="9" spans="2:23" ht="15" customHeight="1" x14ac:dyDescent="0.25">
      <c r="B9" s="19">
        <v>139</v>
      </c>
      <c r="C9" s="8" t="s">
        <v>106</v>
      </c>
      <c r="D9" s="36">
        <f>IF((E9+E10+E11)=0,0,E9/(E9+E10+E11))</f>
        <v>0.70270270270270274</v>
      </c>
      <c r="E9" s="9">
        <f t="shared" si="0"/>
        <v>26</v>
      </c>
      <c r="F9" s="9">
        <f>SUMIFS([0]!psuv,[0]!municipio,$B9,[0]!turno,F$2)</f>
        <v>0</v>
      </c>
      <c r="G9" s="9">
        <f>SUMIFS([0]!psuv,[0]!municipio,$B9,[0]!turno,G$2)</f>
        <v>0</v>
      </c>
      <c r="H9" s="9">
        <f>SUMIFS([0]!psuv,[0]!municipio,$B9,[0]!turno,H$2)</f>
        <v>0</v>
      </c>
      <c r="I9" s="9">
        <f>SUMIFS([0]!psuv,[0]!municipio,$B9,[0]!turno,I$2)</f>
        <v>0</v>
      </c>
      <c r="J9" s="9">
        <f>SUMIFS([0]!psuv,[0]!municipio,$B9,[0]!turno,J$2)</f>
        <v>0</v>
      </c>
      <c r="K9" s="9">
        <f>SUMIFS([0]!psuv,[0]!municipio,$B9,[0]!turno,K$2)</f>
        <v>0</v>
      </c>
      <c r="L9" s="9">
        <f>SUMIFS([0]!psuv,[0]!municipio,$B9,[0]!turno,L$2)</f>
        <v>0</v>
      </c>
      <c r="M9" s="9">
        <f>SUMIFS([0]!psuv,[0]!municipio,$B9,[0]!turno,M$2)</f>
        <v>0</v>
      </c>
      <c r="N9" s="9">
        <f>SUMIFS([0]!psuv,[0]!municipio,$B9,[0]!turno,N$2)</f>
        <v>0</v>
      </c>
      <c r="O9" s="9">
        <f>SUMIFS([0]!psuv,[0]!municipio,$B9,[0]!turno,O$2)</f>
        <v>5</v>
      </c>
      <c r="P9" s="9">
        <f>SUMIFS([0]!psuv,[0]!municipio,$B9,[0]!turno,P$2)</f>
        <v>0</v>
      </c>
      <c r="Q9" s="9">
        <f>SUMIFS([0]!psuv,[0]!municipio,$B9,[0]!turno,Q$2)</f>
        <v>7</v>
      </c>
      <c r="R9" s="9">
        <f>SUMIFS([0]!psuv,[0]!municipio,$B9,[0]!turno,R$2)</f>
        <v>5</v>
      </c>
      <c r="S9" s="9">
        <f>SUMIFS([0]!psuv,[0]!municipio,$B9,[0]!turno,S$2)</f>
        <v>4</v>
      </c>
      <c r="T9" s="9">
        <f>SUMIFS([0]!psuv,[0]!municipio,$B9,[0]!turno,T$2)</f>
        <v>2</v>
      </c>
      <c r="U9" s="9">
        <f>SUMIFS([0]!psuv,[0]!municipio,$B9,[0]!turno,U$2)</f>
        <v>3</v>
      </c>
      <c r="V9" s="9">
        <f>SUMIFS([0]!psuv,[0]!municipio,$B9,[0]!turno,V$2)</f>
        <v>0</v>
      </c>
      <c r="W9" s="25">
        <f>SUMIFS([0]!psuv,[0]!municipio,$B9,[0]!turno,W$2)</f>
        <v>0</v>
      </c>
    </row>
    <row r="10" spans="2:23" ht="15" customHeight="1" x14ac:dyDescent="0.25">
      <c r="B10" s="20" t="s">
        <v>64</v>
      </c>
      <c r="C10" s="4" t="s">
        <v>107</v>
      </c>
      <c r="D10" s="37">
        <f>IF((E9+E10+E11)=0,0,E10/(E9+E10+E11))</f>
        <v>0.29729729729729731</v>
      </c>
      <c r="E10" s="5">
        <f t="shared" si="0"/>
        <v>11</v>
      </c>
      <c r="F10" s="5">
        <f>SUMIFS([0]!mud,[0]!municipio,$B9,[0]!turno,F$2)</f>
        <v>0</v>
      </c>
      <c r="G10" s="5">
        <f>SUMIFS([0]!mud,[0]!municipio,$B9,[0]!turno,G$2)</f>
        <v>0</v>
      </c>
      <c r="H10" s="5">
        <f>SUMIFS([0]!mud,[0]!municipio,$B9,[0]!turno,H$2)</f>
        <v>0</v>
      </c>
      <c r="I10" s="5">
        <f>SUMIFS([0]!mud,[0]!municipio,$B9,[0]!turno,I$2)</f>
        <v>0</v>
      </c>
      <c r="J10" s="5">
        <f>SUMIFS([0]!mud,[0]!municipio,$B9,[0]!turno,J$2)</f>
        <v>0</v>
      </c>
      <c r="K10" s="5">
        <f>SUMIFS([0]!mud,[0]!municipio,$B9,[0]!turno,K$2)</f>
        <v>0</v>
      </c>
      <c r="L10" s="5">
        <f>SUMIFS([0]!mud,[0]!municipio,$B9,[0]!turno,L$2)</f>
        <v>0</v>
      </c>
      <c r="M10" s="5">
        <f>SUMIFS([0]!mud,[0]!municipio,$B9,[0]!turno,M$2)</f>
        <v>0</v>
      </c>
      <c r="N10" s="5">
        <f>SUMIFS([0]!mud,[0]!municipio,$B9,[0]!turno,N$2)</f>
        <v>0</v>
      </c>
      <c r="O10" s="5">
        <f>SUMIFS([0]!mud,[0]!municipio,$B9,[0]!turno,O$2)</f>
        <v>0</v>
      </c>
      <c r="P10" s="5">
        <f>SUMIFS([0]!mud,[0]!municipio,$B9,[0]!turno,P$2)</f>
        <v>0</v>
      </c>
      <c r="Q10" s="5">
        <f>SUMIFS([0]!mud,[0]!municipio,$B9,[0]!turno,Q$2)</f>
        <v>4</v>
      </c>
      <c r="R10" s="5">
        <f>SUMIFS([0]!mud,[0]!municipio,$B9,[0]!turno,R$2)</f>
        <v>2</v>
      </c>
      <c r="S10" s="5">
        <f>SUMIFS([0]!mud,[0]!municipio,$B9,[0]!turno,S$2)</f>
        <v>1</v>
      </c>
      <c r="T10" s="5">
        <f>SUMIFS([0]!mud,[0]!municipio,$B9,[0]!turno,T$2)</f>
        <v>0</v>
      </c>
      <c r="U10" s="5">
        <f>SUMIFS([0]!mud,[0]!municipio,$B9,[0]!turno,U$2)</f>
        <v>4</v>
      </c>
      <c r="V10" s="5">
        <f>SUMIFS([0]!mud,[0]!municipio,$B9,[0]!turno,V$2)</f>
        <v>0</v>
      </c>
      <c r="W10" s="26">
        <f>SUMIFS([0]!mud,[0]!municipio,$B9,[0]!turno,W$2)</f>
        <v>0</v>
      </c>
    </row>
    <row r="11" spans="2:23" ht="15" customHeight="1" thickBot="1" x14ac:dyDescent="0.3">
      <c r="B11" s="21">
        <v>0.13321322705324129</v>
      </c>
      <c r="C11" s="10" t="s">
        <v>0</v>
      </c>
      <c r="D11" s="38">
        <f>IF((E9+E10+E11)=0,0,E11/(E9+E10+E11))</f>
        <v>0</v>
      </c>
      <c r="E11" s="11">
        <f t="shared" si="0"/>
        <v>0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0</v>
      </c>
      <c r="M11" s="11">
        <f>SUMIFS([0]!otro,[0]!municipio,$B9,[0]!turno,M$2)</f>
        <v>0</v>
      </c>
      <c r="N11" s="11">
        <f>SUMIFS([0]!otro,[0]!municipio,$B9,[0]!turno,N$2)</f>
        <v>0</v>
      </c>
      <c r="O11" s="11">
        <f>SUMIFS([0]!otro,[0]!municipio,$B9,[0]!turno,O$2)</f>
        <v>0</v>
      </c>
      <c r="P11" s="11">
        <f>SUMIFS([0]!otro,[0]!municipio,$B9,[0]!turno,P$2)</f>
        <v>0</v>
      </c>
      <c r="Q11" s="11">
        <f>SUMIFS([0]!otro,[0]!municipio,$B9,[0]!turno,Q$2)</f>
        <v>0</v>
      </c>
      <c r="R11" s="11">
        <f>SUMIFS([0]!otro,[0]!municipio,$B9,[0]!turno,R$2)</f>
        <v>0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ht="15" customHeight="1" x14ac:dyDescent="0.25">
      <c r="B12" s="22">
        <v>140</v>
      </c>
      <c r="C12" s="6" t="s">
        <v>106</v>
      </c>
      <c r="D12" s="36">
        <f>IF((E12+E13+E14)=0,0,E12/(E12+E13+E14))</f>
        <v>0.5518072289156627</v>
      </c>
      <c r="E12" s="7">
        <f t="shared" si="0"/>
        <v>229</v>
      </c>
      <c r="F12" s="7">
        <f>SUMIFS([0]!psuv,[0]!municipio,$B12,[0]!turno,F$2)</f>
        <v>0</v>
      </c>
      <c r="G12" s="7">
        <f>SUMIFS([0]!psuv,[0]!municipio,$B12,[0]!turno,G$2)</f>
        <v>6</v>
      </c>
      <c r="H12" s="7">
        <f>SUMIFS([0]!psuv,[0]!municipio,$B12,[0]!turno,H$2)</f>
        <v>10</v>
      </c>
      <c r="I12" s="7">
        <f>SUMIFS([0]!psuv,[0]!municipio,$B12,[0]!turno,I$2)</f>
        <v>7</v>
      </c>
      <c r="J12" s="7">
        <f>SUMIFS([0]!psuv,[0]!municipio,$B12,[0]!turno,J$2)</f>
        <v>11</v>
      </c>
      <c r="K12" s="7">
        <f>SUMIFS([0]!psuv,[0]!municipio,$B12,[0]!turno,K$2)</f>
        <v>8</v>
      </c>
      <c r="L12" s="7">
        <f>SUMIFS([0]!psuv,[0]!municipio,$B12,[0]!turno,L$2)</f>
        <v>27</v>
      </c>
      <c r="M12" s="7">
        <f>SUMIFS([0]!psuv,[0]!municipio,$B12,[0]!turno,M$2)</f>
        <v>21</v>
      </c>
      <c r="N12" s="7">
        <f>SUMIFS([0]!psuv,[0]!municipio,$B12,[0]!turno,N$2)</f>
        <v>24</v>
      </c>
      <c r="O12" s="7">
        <f>SUMIFS([0]!psuv,[0]!municipio,$B12,[0]!turno,O$2)</f>
        <v>14</v>
      </c>
      <c r="P12" s="7">
        <f>SUMIFS([0]!psuv,[0]!municipio,$B12,[0]!turno,P$2)</f>
        <v>11</v>
      </c>
      <c r="Q12" s="7">
        <f>SUMIFS([0]!psuv,[0]!municipio,$B12,[0]!turno,Q$2)</f>
        <v>12</v>
      </c>
      <c r="R12" s="7">
        <f>SUMIFS([0]!psuv,[0]!municipio,$B12,[0]!turno,R$2)</f>
        <v>10</v>
      </c>
      <c r="S12" s="7">
        <f>SUMIFS([0]!psuv,[0]!municipio,$B12,[0]!turno,S$2)</f>
        <v>10</v>
      </c>
      <c r="T12" s="7">
        <f>SUMIFS([0]!psuv,[0]!municipio,$B12,[0]!turno,T$2)</f>
        <v>16</v>
      </c>
      <c r="U12" s="7">
        <f>SUMIFS([0]!psuv,[0]!municipio,$B12,[0]!turno,U$2)</f>
        <v>17</v>
      </c>
      <c r="V12" s="7">
        <f>SUMIFS([0]!psuv,[0]!municipio,$B12,[0]!turno,V$2)</f>
        <v>14</v>
      </c>
      <c r="W12" s="28">
        <f>SUMIFS([0]!psuv,[0]!municipio,$B12,[0]!turno,W$2)</f>
        <v>11</v>
      </c>
    </row>
    <row r="13" spans="2:23" ht="15" customHeight="1" x14ac:dyDescent="0.25">
      <c r="B13" s="23" t="s">
        <v>94</v>
      </c>
      <c r="C13" s="4" t="s">
        <v>107</v>
      </c>
      <c r="D13" s="37">
        <f>IF((E12+E13+E14)=0,0,E13/(E12+E13+E14))</f>
        <v>0.41445783132530123</v>
      </c>
      <c r="E13" s="5">
        <f t="shared" si="0"/>
        <v>172</v>
      </c>
      <c r="F13" s="5">
        <f>SUMIFS([0]!mud,[0]!municipio,$B12,[0]!turno,F$2)</f>
        <v>0</v>
      </c>
      <c r="G13" s="5">
        <f>SUMIFS([0]!mud,[0]!municipio,$B12,[0]!turno,G$2)</f>
        <v>9</v>
      </c>
      <c r="H13" s="5">
        <f>SUMIFS([0]!mud,[0]!municipio,$B12,[0]!turno,H$2)</f>
        <v>9</v>
      </c>
      <c r="I13" s="5">
        <f>SUMIFS([0]!mud,[0]!municipio,$B12,[0]!turno,I$2)</f>
        <v>2</v>
      </c>
      <c r="J13" s="5">
        <f>SUMIFS([0]!mud,[0]!municipio,$B12,[0]!turno,J$2)</f>
        <v>6</v>
      </c>
      <c r="K13" s="5">
        <f>SUMIFS([0]!mud,[0]!municipio,$B12,[0]!turno,K$2)</f>
        <v>4</v>
      </c>
      <c r="L13" s="5">
        <f>SUMIFS([0]!mud,[0]!municipio,$B12,[0]!turno,L$2)</f>
        <v>12</v>
      </c>
      <c r="M13" s="5">
        <f>SUMIFS([0]!mud,[0]!municipio,$B12,[0]!turno,M$2)</f>
        <v>15</v>
      </c>
      <c r="N13" s="5">
        <f>SUMIFS([0]!mud,[0]!municipio,$B12,[0]!turno,N$2)</f>
        <v>12</v>
      </c>
      <c r="O13" s="5">
        <f>SUMIFS([0]!mud,[0]!municipio,$B12,[0]!turno,O$2)</f>
        <v>17</v>
      </c>
      <c r="P13" s="5">
        <f>SUMIFS([0]!mud,[0]!municipio,$B12,[0]!turno,P$2)</f>
        <v>12</v>
      </c>
      <c r="Q13" s="5">
        <f>SUMIFS([0]!mud,[0]!municipio,$B12,[0]!turno,Q$2)</f>
        <v>19</v>
      </c>
      <c r="R13" s="5">
        <f>SUMIFS([0]!mud,[0]!municipio,$B12,[0]!turno,R$2)</f>
        <v>6</v>
      </c>
      <c r="S13" s="5">
        <f>SUMIFS([0]!mud,[0]!municipio,$B12,[0]!turno,S$2)</f>
        <v>17</v>
      </c>
      <c r="T13" s="5">
        <f>SUMIFS([0]!mud,[0]!municipio,$B12,[0]!turno,T$2)</f>
        <v>5</v>
      </c>
      <c r="U13" s="5">
        <f>SUMIFS([0]!mud,[0]!municipio,$B12,[0]!turno,U$2)</f>
        <v>13</v>
      </c>
      <c r="V13" s="5">
        <f>SUMIFS([0]!mud,[0]!municipio,$B12,[0]!turno,V$2)</f>
        <v>7</v>
      </c>
      <c r="W13" s="26">
        <f>SUMIFS([0]!mud,[0]!municipio,$B12,[0]!turno,W$2)</f>
        <v>7</v>
      </c>
    </row>
    <row r="14" spans="2:23" ht="15" customHeight="1" thickBot="1" x14ac:dyDescent="0.3">
      <c r="B14" s="24">
        <v>0.14532510744973168</v>
      </c>
      <c r="C14" s="12" t="s">
        <v>0</v>
      </c>
      <c r="D14" s="38">
        <f>IF((E12+E13+E14)=0,0,E14/(E12+E13+E14))</f>
        <v>3.3734939759036145E-2</v>
      </c>
      <c r="E14" s="13">
        <f t="shared" si="0"/>
        <v>14</v>
      </c>
      <c r="F14" s="13">
        <f>SUMIFS([0]!otro,[0]!municipio,$B12,[0]!turno,F$2)</f>
        <v>0</v>
      </c>
      <c r="G14" s="13">
        <f>SUMIFS([0]!otro,[0]!municipio,$B12,[0]!turno,G$2)</f>
        <v>1</v>
      </c>
      <c r="H14" s="13">
        <f>SUMIFS([0]!otro,[0]!municipio,$B12,[0]!turno,H$2)</f>
        <v>0</v>
      </c>
      <c r="I14" s="13">
        <f>SUMIFS([0]!otro,[0]!municipio,$B12,[0]!turno,I$2)</f>
        <v>7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2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0</v>
      </c>
      <c r="P14" s="13">
        <f>SUMIFS([0]!otro,[0]!municipio,$B12,[0]!turno,P$2)</f>
        <v>0</v>
      </c>
      <c r="Q14" s="13">
        <f>SUMIFS([0]!otro,[0]!municipio,$B12,[0]!turno,Q$2)</f>
        <v>0</v>
      </c>
      <c r="R14" s="13">
        <f>SUMIFS([0]!otro,[0]!municipio,$B12,[0]!turno,R$2)</f>
        <v>2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0</v>
      </c>
      <c r="V14" s="13">
        <f>SUMIFS([0]!otro,[0]!municipio,$B12,[0]!turno,V$2)</f>
        <v>1</v>
      </c>
      <c r="W14" s="29">
        <f>SUMIFS([0]!otro,[0]!municipio,$B12,[0]!turno,W$2)</f>
        <v>1</v>
      </c>
    </row>
    <row r="15" spans="2:23" ht="15" customHeight="1" x14ac:dyDescent="0.25">
      <c r="B15" s="19">
        <v>141</v>
      </c>
      <c r="C15" s="8" t="s">
        <v>106</v>
      </c>
      <c r="D15" s="36">
        <f>IF((E15+E16+E17)=0,0,E15/(E15+E16+E17))</f>
        <v>0.54502369668246442</v>
      </c>
      <c r="E15" s="9">
        <f t="shared" si="0"/>
        <v>115</v>
      </c>
      <c r="F15" s="9">
        <f>SUMIFS([0]!psuv,[0]!municipio,$B15,[0]!turno,F$2)</f>
        <v>0</v>
      </c>
      <c r="G15" s="9">
        <f>SUMIFS([0]!psuv,[0]!municipio,$B15,[0]!turno,G$2)</f>
        <v>0</v>
      </c>
      <c r="H15" s="9">
        <f>SUMIFS([0]!psuv,[0]!municipio,$B15,[0]!turno,H$2)</f>
        <v>0</v>
      </c>
      <c r="I15" s="9">
        <f>SUMIFS([0]!psuv,[0]!municipio,$B15,[0]!turno,I$2)</f>
        <v>0</v>
      </c>
      <c r="J15" s="9">
        <f>SUMIFS([0]!psuv,[0]!municipio,$B15,[0]!turno,J$2)</f>
        <v>0</v>
      </c>
      <c r="K15" s="9">
        <f>SUMIFS([0]!psuv,[0]!municipio,$B15,[0]!turno,K$2)</f>
        <v>0</v>
      </c>
      <c r="L15" s="9">
        <f>SUMIFS([0]!psuv,[0]!municipio,$B15,[0]!turno,L$2)</f>
        <v>0</v>
      </c>
      <c r="M15" s="9">
        <f>SUMIFS([0]!psuv,[0]!municipio,$B15,[0]!turno,M$2)</f>
        <v>0</v>
      </c>
      <c r="N15" s="9">
        <f>SUMIFS([0]!psuv,[0]!municipio,$B15,[0]!turno,N$2)</f>
        <v>0</v>
      </c>
      <c r="O15" s="9">
        <f>SUMIFS([0]!psuv,[0]!municipio,$B15,[0]!turno,O$2)</f>
        <v>16</v>
      </c>
      <c r="P15" s="9">
        <f>SUMIFS([0]!psuv,[0]!municipio,$B15,[0]!turno,P$2)</f>
        <v>20</v>
      </c>
      <c r="Q15" s="9">
        <f>SUMIFS([0]!psuv,[0]!municipio,$B15,[0]!turno,Q$2)</f>
        <v>11</v>
      </c>
      <c r="R15" s="9">
        <f>SUMIFS([0]!psuv,[0]!municipio,$B15,[0]!turno,R$2)</f>
        <v>20</v>
      </c>
      <c r="S15" s="9">
        <f>SUMIFS([0]!psuv,[0]!municipio,$B15,[0]!turno,S$2)</f>
        <v>18</v>
      </c>
      <c r="T15" s="9">
        <f>SUMIFS([0]!psuv,[0]!municipio,$B15,[0]!turno,T$2)</f>
        <v>2</v>
      </c>
      <c r="U15" s="9">
        <f>SUMIFS([0]!psuv,[0]!municipio,$B15,[0]!turno,U$2)</f>
        <v>21</v>
      </c>
      <c r="V15" s="9">
        <f>SUMIFS([0]!psuv,[0]!municipio,$B15,[0]!turno,V$2)</f>
        <v>7</v>
      </c>
      <c r="W15" s="25">
        <f>SUMIFS([0]!psuv,[0]!municipio,$B15,[0]!turno,W$2)</f>
        <v>0</v>
      </c>
    </row>
    <row r="16" spans="2:23" ht="15" customHeight="1" x14ac:dyDescent="0.25">
      <c r="B16" s="20" t="s">
        <v>95</v>
      </c>
      <c r="C16" s="4" t="s">
        <v>107</v>
      </c>
      <c r="D16" s="37">
        <f>IF((E15+E16+E17)=0,0,E16/(E15+E16+E17))</f>
        <v>0.37914691943127959</v>
      </c>
      <c r="E16" s="5">
        <f t="shared" si="0"/>
        <v>80</v>
      </c>
      <c r="F16" s="5">
        <f>SUMIFS([0]!mud,[0]!municipio,$B15,[0]!turno,F$2)</f>
        <v>0</v>
      </c>
      <c r="G16" s="5">
        <f>SUMIFS([0]!mud,[0]!municipio,$B15,[0]!turno,G$2)</f>
        <v>0</v>
      </c>
      <c r="H16" s="5">
        <f>SUMIFS([0]!mud,[0]!municipio,$B15,[0]!turno,H$2)</f>
        <v>0</v>
      </c>
      <c r="I16" s="5">
        <f>SUMIFS([0]!mud,[0]!municipio,$B15,[0]!turno,I$2)</f>
        <v>0</v>
      </c>
      <c r="J16" s="5">
        <f>SUMIFS([0]!mud,[0]!municipio,$B15,[0]!turno,J$2)</f>
        <v>0</v>
      </c>
      <c r="K16" s="5">
        <f>SUMIFS([0]!mud,[0]!municipio,$B15,[0]!turno,K$2)</f>
        <v>0</v>
      </c>
      <c r="L16" s="5">
        <f>SUMIFS([0]!mud,[0]!municipio,$B15,[0]!turno,L$2)</f>
        <v>0</v>
      </c>
      <c r="M16" s="5">
        <f>SUMIFS([0]!mud,[0]!municipio,$B15,[0]!turno,M$2)</f>
        <v>0</v>
      </c>
      <c r="N16" s="5">
        <f>SUMIFS([0]!mud,[0]!municipio,$B15,[0]!turno,N$2)</f>
        <v>0</v>
      </c>
      <c r="O16" s="5">
        <f>SUMIFS([0]!mud,[0]!municipio,$B15,[0]!turno,O$2)</f>
        <v>9</v>
      </c>
      <c r="P16" s="5">
        <f>SUMIFS([0]!mud,[0]!municipio,$B15,[0]!turno,P$2)</f>
        <v>12</v>
      </c>
      <c r="Q16" s="5">
        <f>SUMIFS([0]!mud,[0]!municipio,$B15,[0]!turno,Q$2)</f>
        <v>10</v>
      </c>
      <c r="R16" s="5">
        <f>SUMIFS([0]!mud,[0]!municipio,$B15,[0]!turno,R$2)</f>
        <v>10</v>
      </c>
      <c r="S16" s="5">
        <f>SUMIFS([0]!mud,[0]!municipio,$B15,[0]!turno,S$2)</f>
        <v>10</v>
      </c>
      <c r="T16" s="5">
        <f>SUMIFS([0]!mud,[0]!municipio,$B15,[0]!turno,T$2)</f>
        <v>5</v>
      </c>
      <c r="U16" s="5">
        <f>SUMIFS([0]!mud,[0]!municipio,$B15,[0]!turno,U$2)</f>
        <v>16</v>
      </c>
      <c r="V16" s="5">
        <f>SUMIFS([0]!mud,[0]!municipio,$B15,[0]!turno,V$2)</f>
        <v>8</v>
      </c>
      <c r="W16" s="26">
        <f>SUMIFS([0]!mud,[0]!municipio,$B15,[0]!turno,W$2)</f>
        <v>0</v>
      </c>
    </row>
    <row r="17" spans="2:23" ht="15" customHeight="1" thickBot="1" x14ac:dyDescent="0.3">
      <c r="B17" s="21">
        <v>0.22307995796280197</v>
      </c>
      <c r="C17" s="10" t="s">
        <v>0</v>
      </c>
      <c r="D17" s="38">
        <f>IF((E15+E16+E17)=0,0,E17/(E15+E16+E17))</f>
        <v>7.582938388625593E-2</v>
      </c>
      <c r="E17" s="11">
        <f t="shared" si="0"/>
        <v>16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0</v>
      </c>
      <c r="J17" s="11">
        <f>SUMIFS([0]!otro,[0]!municipio,$B15,[0]!turno,J$2)</f>
        <v>0</v>
      </c>
      <c r="K17" s="11">
        <f>SUMIFS([0]!otro,[0]!municipio,$B15,[0]!turno,K$2)</f>
        <v>0</v>
      </c>
      <c r="L17" s="11">
        <f>SUMIFS([0]!otro,[0]!municipio,$B15,[0]!turno,L$2)</f>
        <v>0</v>
      </c>
      <c r="M17" s="11">
        <f>SUMIFS([0]!otro,[0]!municipio,$B15,[0]!turno,M$2)</f>
        <v>0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3</v>
      </c>
      <c r="Q17" s="11">
        <f>SUMIFS([0]!otro,[0]!municipio,$B15,[0]!turno,Q$2)</f>
        <v>0</v>
      </c>
      <c r="R17" s="11">
        <f>SUMIFS([0]!otro,[0]!municipio,$B15,[0]!turno,R$2)</f>
        <v>5</v>
      </c>
      <c r="S17" s="11">
        <f>SUMIFS([0]!otro,[0]!municipio,$B15,[0]!turno,S$2)</f>
        <v>3</v>
      </c>
      <c r="T17" s="11">
        <f>SUMIFS([0]!otro,[0]!municipio,$B15,[0]!turno,T$2)</f>
        <v>0</v>
      </c>
      <c r="U17" s="11">
        <f>SUMIFS([0]!otro,[0]!municipio,$B15,[0]!turno,U$2)</f>
        <v>3</v>
      </c>
      <c r="V17" s="11">
        <f>SUMIFS([0]!otro,[0]!municipio,$B15,[0]!turno,V$2)</f>
        <v>2</v>
      </c>
      <c r="W17" s="27">
        <f>SUMIFS([0]!otro,[0]!municipio,$B15,[0]!turno,W$2)</f>
        <v>0</v>
      </c>
    </row>
    <row r="18" spans="2:23" ht="15" customHeight="1" x14ac:dyDescent="0.25">
      <c r="B18" s="22">
        <v>142</v>
      </c>
      <c r="C18" s="6" t="s">
        <v>106</v>
      </c>
      <c r="D18" s="36">
        <f>IF((E18+E19+E20)=0,0,E18/(E18+E19+E20))</f>
        <v>0.50174216027874563</v>
      </c>
      <c r="E18" s="7">
        <f t="shared" si="0"/>
        <v>144</v>
      </c>
      <c r="F18" s="7">
        <f>SUMIFS([0]!psuv,[0]!municipio,$B18,[0]!turno,F$2)</f>
        <v>0</v>
      </c>
      <c r="G18" s="7">
        <f>SUMIFS([0]!psuv,[0]!municipio,$B18,[0]!turno,G$2)</f>
        <v>3</v>
      </c>
      <c r="H18" s="7">
        <f>SUMIFS([0]!psuv,[0]!municipio,$B18,[0]!turno,H$2)</f>
        <v>10</v>
      </c>
      <c r="I18" s="7">
        <f>SUMIFS([0]!psuv,[0]!municipio,$B18,[0]!turno,I$2)</f>
        <v>10</v>
      </c>
      <c r="J18" s="7">
        <f>SUMIFS([0]!psuv,[0]!municipio,$B18,[0]!turno,J$2)</f>
        <v>12</v>
      </c>
      <c r="K18" s="7">
        <f>SUMIFS([0]!psuv,[0]!municipio,$B18,[0]!turno,K$2)</f>
        <v>12</v>
      </c>
      <c r="L18" s="7">
        <f>SUMIFS([0]!psuv,[0]!municipio,$B18,[0]!turno,L$2)</f>
        <v>7</v>
      </c>
      <c r="M18" s="7">
        <f>SUMIFS([0]!psuv,[0]!municipio,$B18,[0]!turno,M$2)</f>
        <v>5</v>
      </c>
      <c r="N18" s="7">
        <f>SUMIFS([0]!psuv,[0]!municipio,$B18,[0]!turno,N$2)</f>
        <v>5</v>
      </c>
      <c r="O18" s="7">
        <f>SUMIFS([0]!psuv,[0]!municipio,$B18,[0]!turno,O$2)</f>
        <v>7</v>
      </c>
      <c r="P18" s="7">
        <f>SUMIFS([0]!psuv,[0]!municipio,$B18,[0]!turno,P$2)</f>
        <v>9</v>
      </c>
      <c r="Q18" s="7">
        <f>SUMIFS([0]!psuv,[0]!municipio,$B18,[0]!turno,Q$2)</f>
        <v>5</v>
      </c>
      <c r="R18" s="7">
        <f>SUMIFS([0]!psuv,[0]!municipio,$B18,[0]!turno,R$2)</f>
        <v>14</v>
      </c>
      <c r="S18" s="7">
        <f>SUMIFS([0]!psuv,[0]!municipio,$B18,[0]!turno,S$2)</f>
        <v>21</v>
      </c>
      <c r="T18" s="7">
        <f>SUMIFS([0]!psuv,[0]!municipio,$B18,[0]!turno,T$2)</f>
        <v>3</v>
      </c>
      <c r="U18" s="7">
        <f>SUMIFS([0]!psuv,[0]!municipio,$B18,[0]!turno,U$2)</f>
        <v>5</v>
      </c>
      <c r="V18" s="7">
        <f>SUMIFS([0]!psuv,[0]!municipio,$B18,[0]!turno,V$2)</f>
        <v>6</v>
      </c>
      <c r="W18" s="28">
        <f>SUMIFS([0]!psuv,[0]!municipio,$B18,[0]!turno,W$2)</f>
        <v>10</v>
      </c>
    </row>
    <row r="19" spans="2:23" ht="15" customHeight="1" x14ac:dyDescent="0.25">
      <c r="B19" s="23" t="s">
        <v>96</v>
      </c>
      <c r="C19" s="4" t="s">
        <v>107</v>
      </c>
      <c r="D19" s="37">
        <f>IF((E18+E19+E20)=0,0,E19/(E18+E19+E20))</f>
        <v>0.49825783972125437</v>
      </c>
      <c r="E19" s="5">
        <f t="shared" si="0"/>
        <v>143</v>
      </c>
      <c r="F19" s="5">
        <f>SUMIFS([0]!mud,[0]!municipio,$B18,[0]!turno,F$2)</f>
        <v>0</v>
      </c>
      <c r="G19" s="5">
        <f>SUMIFS([0]!mud,[0]!municipio,$B18,[0]!turno,G$2)</f>
        <v>9</v>
      </c>
      <c r="H19" s="5">
        <f>SUMIFS([0]!mud,[0]!municipio,$B18,[0]!turno,H$2)</f>
        <v>7</v>
      </c>
      <c r="I19" s="5">
        <f>SUMIFS([0]!mud,[0]!municipio,$B18,[0]!turno,I$2)</f>
        <v>3</v>
      </c>
      <c r="J19" s="5">
        <f>SUMIFS([0]!mud,[0]!municipio,$B18,[0]!turno,J$2)</f>
        <v>13</v>
      </c>
      <c r="K19" s="5">
        <f>SUMIFS([0]!mud,[0]!municipio,$B18,[0]!turno,K$2)</f>
        <v>14</v>
      </c>
      <c r="L19" s="5">
        <f>SUMIFS([0]!mud,[0]!municipio,$B18,[0]!turno,L$2)</f>
        <v>6</v>
      </c>
      <c r="M19" s="5">
        <f>SUMIFS([0]!mud,[0]!municipio,$B18,[0]!turno,M$2)</f>
        <v>8</v>
      </c>
      <c r="N19" s="5">
        <f>SUMIFS([0]!mud,[0]!municipio,$B18,[0]!turno,N$2)</f>
        <v>13</v>
      </c>
      <c r="O19" s="5">
        <f>SUMIFS([0]!mud,[0]!municipio,$B18,[0]!turno,O$2)</f>
        <v>7</v>
      </c>
      <c r="P19" s="5">
        <f>SUMIFS([0]!mud,[0]!municipio,$B18,[0]!turno,P$2)</f>
        <v>8</v>
      </c>
      <c r="Q19" s="5">
        <f>SUMIFS([0]!mud,[0]!municipio,$B18,[0]!turno,Q$2)</f>
        <v>8</v>
      </c>
      <c r="R19" s="5">
        <f>SUMIFS([0]!mud,[0]!municipio,$B18,[0]!turno,R$2)</f>
        <v>16</v>
      </c>
      <c r="S19" s="5">
        <f>SUMIFS([0]!mud,[0]!municipio,$B18,[0]!turno,S$2)</f>
        <v>9</v>
      </c>
      <c r="T19" s="5">
        <f>SUMIFS([0]!mud,[0]!municipio,$B18,[0]!turno,T$2)</f>
        <v>6</v>
      </c>
      <c r="U19" s="5">
        <f>SUMIFS([0]!mud,[0]!municipio,$B18,[0]!turno,U$2)</f>
        <v>8</v>
      </c>
      <c r="V19" s="5">
        <f>SUMIFS([0]!mud,[0]!municipio,$B18,[0]!turno,V$2)</f>
        <v>5</v>
      </c>
      <c r="W19" s="26">
        <f>SUMIFS([0]!mud,[0]!municipio,$B18,[0]!turno,W$2)</f>
        <v>3</v>
      </c>
    </row>
    <row r="20" spans="2:23" ht="15" customHeight="1" thickBot="1" x14ac:dyDescent="0.3">
      <c r="B20" s="21">
        <v>0.24197225684588339</v>
      </c>
      <c r="C20" s="10" t="s">
        <v>0</v>
      </c>
      <c r="D20" s="38">
        <f>IF((E18+E19+E20)=0,0,E20/(E18+E19+E20))</f>
        <v>0</v>
      </c>
      <c r="E20" s="11">
        <f t="shared" si="0"/>
        <v>0</v>
      </c>
      <c r="F20" s="11">
        <f>SUMIFS([0]!otro,[0]!municipio,$B18,[0]!turno,F$2)</f>
        <v>0</v>
      </c>
      <c r="G20" s="11">
        <f>SUMIFS([0]!otro,[0]!municipio,$B18,[0]!turno,G$2)</f>
        <v>0</v>
      </c>
      <c r="H20" s="11">
        <f>SUMIFS([0]!otro,[0]!municipio,$B18,[0]!turno,H$2)</f>
        <v>0</v>
      </c>
      <c r="I20" s="11">
        <f>SUMIFS([0]!otro,[0]!municipio,$B18,[0]!turno,I$2)</f>
        <v>0</v>
      </c>
      <c r="J20" s="11">
        <f>SUMIFS([0]!otro,[0]!municipio,$B18,[0]!turno,J$2)</f>
        <v>0</v>
      </c>
      <c r="K20" s="11">
        <f>SUMIFS([0]!otro,[0]!municipio,$B18,[0]!turno,K$2)</f>
        <v>0</v>
      </c>
      <c r="L20" s="11">
        <f>SUMIFS([0]!otro,[0]!municipio,$B18,[0]!turno,L$2)</f>
        <v>0</v>
      </c>
      <c r="M20" s="11">
        <f>SUMIFS([0]!otro,[0]!municipio,$B18,[0]!turno,M$2)</f>
        <v>0</v>
      </c>
      <c r="N20" s="11">
        <f>SUMIFS([0]!otro,[0]!municipio,$B18,[0]!turno,N$2)</f>
        <v>0</v>
      </c>
      <c r="O20" s="11">
        <f>SUMIFS([0]!otro,[0]!municipio,$B18,[0]!turno,O$2)</f>
        <v>0</v>
      </c>
      <c r="P20" s="11">
        <f>SUMIFS([0]!otro,[0]!municipio,$B18,[0]!turno,P$2)</f>
        <v>0</v>
      </c>
      <c r="Q20" s="11">
        <f>SUMIFS([0]!otro,[0]!municipio,$B18,[0]!turno,Q$2)</f>
        <v>0</v>
      </c>
      <c r="R20" s="11">
        <f>SUMIFS([0]!otro,[0]!municipio,$B18,[0]!turno,R$2)</f>
        <v>0</v>
      </c>
      <c r="S20" s="11">
        <f>SUMIFS([0]!otro,[0]!municipio,$B18,[0]!turno,S$2)</f>
        <v>0</v>
      </c>
      <c r="T20" s="11">
        <f>SUMIFS([0]!otro,[0]!municipio,$B18,[0]!turno,T$2)</f>
        <v>0</v>
      </c>
      <c r="U20" s="11">
        <f>SUMIFS([0]!otro,[0]!municipio,$B18,[0]!turno,U$2)</f>
        <v>0</v>
      </c>
      <c r="V20" s="11">
        <f>SUMIFS([0]!otro,[0]!municipio,$B18,[0]!turno,V$2)</f>
        <v>0</v>
      </c>
      <c r="W20" s="27">
        <f>SUMIFS([0]!otro,[0]!municipio,$B18,[0]!turno,W$2)</f>
        <v>0</v>
      </c>
    </row>
    <row r="21" spans="2:23" ht="15" customHeight="1" x14ac:dyDescent="0.25">
      <c r="B21"/>
      <c r="C21"/>
    </row>
    <row r="22" spans="2:23" ht="15" customHeight="1" x14ac:dyDescent="0.25">
      <c r="B22"/>
      <c r="C22"/>
    </row>
    <row r="23" spans="2:23" ht="15" customHeight="1" x14ac:dyDescent="0.25">
      <c r="B23"/>
      <c r="C23"/>
    </row>
    <row r="24" spans="2:23" ht="15" customHeight="1" x14ac:dyDescent="0.25">
      <c r="B24"/>
      <c r="C24"/>
    </row>
    <row r="25" spans="2:23" ht="15" customHeight="1" x14ac:dyDescent="0.25">
      <c r="B25"/>
      <c r="C25"/>
    </row>
    <row r="26" spans="2:23" ht="15" customHeight="1" x14ac:dyDescent="0.25">
      <c r="B26"/>
      <c r="C26"/>
    </row>
    <row r="27" spans="2:23" ht="15" customHeight="1" x14ac:dyDescent="0.25">
      <c r="B27"/>
      <c r="C27"/>
    </row>
    <row r="28" spans="2:23" ht="15" customHeight="1" x14ac:dyDescent="0.25">
      <c r="B28"/>
      <c r="C28"/>
    </row>
    <row r="29" spans="2:23" ht="15" customHeight="1" x14ac:dyDescent="0.25">
      <c r="B29"/>
      <c r="C29"/>
    </row>
    <row r="30" spans="2:23" ht="15" customHeight="1" x14ac:dyDescent="0.25">
      <c r="B30"/>
      <c r="C30"/>
    </row>
    <row r="31" spans="2:23" ht="15" customHeight="1" x14ac:dyDescent="0.25">
      <c r="B31"/>
      <c r="C31"/>
    </row>
    <row r="32" spans="2:23" ht="15" customHeight="1" x14ac:dyDescent="0.25">
      <c r="B32"/>
      <c r="C32"/>
    </row>
    <row r="33" spans="2:3" ht="15" customHeight="1" x14ac:dyDescent="0.25">
      <c r="B33"/>
      <c r="C33"/>
    </row>
    <row r="34" spans="2:3" ht="15" customHeight="1" x14ac:dyDescent="0.25">
      <c r="B34"/>
      <c r="C34"/>
    </row>
    <row r="35" spans="2:3" ht="15" customHeight="1" x14ac:dyDescent="0.25">
      <c r="B35"/>
      <c r="C35"/>
    </row>
    <row r="36" spans="2:3" ht="15" customHeight="1" x14ac:dyDescent="0.25">
      <c r="B36"/>
      <c r="C36"/>
    </row>
    <row r="37" spans="2:3" ht="15" customHeight="1" x14ac:dyDescent="0.25">
      <c r="B37"/>
      <c r="C37"/>
    </row>
    <row r="38" spans="2:3" ht="15" customHeight="1" x14ac:dyDescent="0.25">
      <c r="B38"/>
      <c r="C38"/>
    </row>
    <row r="39" spans="2:3" ht="15" customHeight="1" x14ac:dyDescent="0.25">
      <c r="B39"/>
      <c r="C39"/>
    </row>
    <row r="40" spans="2:3" ht="15" customHeight="1" x14ac:dyDescent="0.25">
      <c r="B40"/>
      <c r="C40"/>
    </row>
    <row r="41" spans="2:3" ht="15" customHeight="1" x14ac:dyDescent="0.25">
      <c r="B41"/>
      <c r="C41"/>
    </row>
    <row r="42" spans="2:3" ht="15" customHeight="1" x14ac:dyDescent="0.25">
      <c r="B42"/>
      <c r="C42"/>
    </row>
    <row r="43" spans="2:3" ht="15" customHeight="1" x14ac:dyDescent="0.25">
      <c r="B43"/>
      <c r="C43"/>
    </row>
    <row r="44" spans="2:3" ht="15" customHeight="1" x14ac:dyDescent="0.25">
      <c r="B44"/>
      <c r="C44"/>
    </row>
    <row r="45" spans="2:3" ht="15" customHeight="1" x14ac:dyDescent="0.25">
      <c r="B45"/>
      <c r="C45"/>
    </row>
    <row r="46" spans="2:3" ht="15" customHeight="1" x14ac:dyDescent="0.25">
      <c r="B46"/>
      <c r="C46"/>
    </row>
    <row r="47" spans="2:3" ht="15" customHeight="1" x14ac:dyDescent="0.25">
      <c r="B47"/>
      <c r="C47"/>
    </row>
    <row r="48" spans="2:3" ht="15" customHeight="1" x14ac:dyDescent="0.25">
      <c r="B48"/>
      <c r="C48"/>
    </row>
    <row r="49" spans="2:3" ht="15" customHeight="1" x14ac:dyDescent="0.25">
      <c r="B49"/>
      <c r="C49"/>
    </row>
    <row r="50" spans="2:3" ht="15" customHeight="1" x14ac:dyDescent="0.25">
      <c r="B50"/>
      <c r="C50"/>
    </row>
    <row r="51" spans="2:3" ht="15" customHeight="1" x14ac:dyDescent="0.25">
      <c r="B51"/>
      <c r="C51"/>
    </row>
    <row r="52" spans="2:3" ht="15" customHeight="1" x14ac:dyDescent="0.25">
      <c r="B52"/>
      <c r="C52"/>
    </row>
    <row r="53" spans="2:3" ht="15" customHeight="1" x14ac:dyDescent="0.25">
      <c r="B53"/>
      <c r="C53"/>
    </row>
    <row r="54" spans="2:3" ht="15" customHeight="1" x14ac:dyDescent="0.25">
      <c r="B54"/>
      <c r="C54"/>
    </row>
    <row r="55" spans="2:3" ht="15" customHeight="1" x14ac:dyDescent="0.25">
      <c r="B55"/>
      <c r="C55"/>
    </row>
    <row r="56" spans="2:3" ht="15" customHeight="1" x14ac:dyDescent="0.25">
      <c r="B56"/>
      <c r="C56"/>
    </row>
    <row r="57" spans="2:3" ht="15" customHeight="1" x14ac:dyDescent="0.25">
      <c r="B57"/>
      <c r="C57"/>
    </row>
    <row r="58" spans="2:3" ht="15" customHeight="1" x14ac:dyDescent="0.25">
      <c r="B58"/>
      <c r="C58"/>
    </row>
    <row r="59" spans="2:3" ht="15" customHeight="1" x14ac:dyDescent="0.25">
      <c r="B59"/>
      <c r="C59"/>
    </row>
    <row r="60" spans="2:3" ht="15" customHeight="1" x14ac:dyDescent="0.25">
      <c r="B60"/>
      <c r="C60"/>
    </row>
    <row r="61" spans="2:3" ht="15" customHeight="1" x14ac:dyDescent="0.25">
      <c r="B61"/>
      <c r="C61"/>
    </row>
    <row r="62" spans="2:3" ht="15" customHeight="1" x14ac:dyDescent="0.25">
      <c r="B62"/>
      <c r="C62"/>
    </row>
    <row r="63" spans="2:3" ht="15" customHeight="1" x14ac:dyDescent="0.25">
      <c r="B63"/>
      <c r="C63"/>
    </row>
    <row r="64" spans="2:3" ht="15" customHeight="1" x14ac:dyDescent="0.25">
      <c r="B64"/>
      <c r="C64"/>
    </row>
    <row r="65" spans="2:3" ht="15" customHeight="1" x14ac:dyDescent="0.25">
      <c r="B65"/>
      <c r="C65"/>
    </row>
    <row r="66" spans="2:3" ht="15" customHeight="1" x14ac:dyDescent="0.25">
      <c r="B66"/>
      <c r="C66"/>
    </row>
    <row r="67" spans="2:3" ht="15" customHeight="1" x14ac:dyDescent="0.25">
      <c r="B67"/>
      <c r="C67"/>
    </row>
    <row r="68" spans="2:3" ht="15" customHeight="1" x14ac:dyDescent="0.25">
      <c r="B68"/>
      <c r="C68"/>
    </row>
    <row r="69" spans="2:3" ht="15" customHeight="1" x14ac:dyDescent="0.25">
      <c r="B69"/>
      <c r="C69"/>
    </row>
    <row r="70" spans="2:3" ht="15" customHeight="1" x14ac:dyDescent="0.25">
      <c r="B70"/>
      <c r="C70"/>
    </row>
    <row r="71" spans="2:3" ht="15" customHeight="1" x14ac:dyDescent="0.25">
      <c r="B71"/>
      <c r="C71"/>
    </row>
    <row r="72" spans="2:3" ht="15" customHeight="1" x14ac:dyDescent="0.25">
      <c r="B72"/>
      <c r="C72"/>
    </row>
    <row r="73" spans="2:3" ht="15" customHeight="1" x14ac:dyDescent="0.25">
      <c r="B73"/>
      <c r="C73"/>
    </row>
    <row r="74" spans="2:3" ht="15" customHeight="1" x14ac:dyDescent="0.25">
      <c r="B74"/>
      <c r="C74"/>
    </row>
    <row r="75" spans="2:3" ht="15" customHeight="1" x14ac:dyDescent="0.25">
      <c r="B75"/>
      <c r="C75"/>
    </row>
    <row r="76" spans="2:3" ht="15" customHeight="1" x14ac:dyDescent="0.25">
      <c r="B76"/>
      <c r="C76"/>
    </row>
    <row r="77" spans="2:3" ht="15" customHeight="1" x14ac:dyDescent="0.25">
      <c r="B77"/>
      <c r="C77"/>
    </row>
    <row r="78" spans="2:3" ht="15" customHeight="1" x14ac:dyDescent="0.25">
      <c r="B78"/>
      <c r="C78"/>
    </row>
    <row r="79" spans="2:3" ht="15" customHeight="1" x14ac:dyDescent="0.25">
      <c r="B79"/>
      <c r="C79"/>
    </row>
    <row r="80" spans="2:3" ht="15" customHeight="1" x14ac:dyDescent="0.25">
      <c r="B80"/>
      <c r="C80"/>
    </row>
    <row r="81" spans="2:3" ht="15" customHeight="1" x14ac:dyDescent="0.25">
      <c r="B81"/>
      <c r="C81"/>
    </row>
    <row r="82" spans="2:3" ht="15" customHeight="1" x14ac:dyDescent="0.25">
      <c r="B82"/>
      <c r="C82"/>
    </row>
    <row r="83" spans="2:3" ht="15" customHeight="1" x14ac:dyDescent="0.25">
      <c r="B83"/>
      <c r="C83"/>
    </row>
    <row r="84" spans="2:3" ht="15" customHeight="1" x14ac:dyDescent="0.25">
      <c r="B84"/>
      <c r="C84"/>
    </row>
    <row r="85" spans="2:3" ht="15" customHeight="1" x14ac:dyDescent="0.25">
      <c r="B85"/>
      <c r="C85"/>
    </row>
    <row r="86" spans="2:3" ht="15" customHeight="1" x14ac:dyDescent="0.25">
      <c r="B86"/>
      <c r="C86"/>
    </row>
    <row r="87" spans="2:3" ht="15" customHeight="1" x14ac:dyDescent="0.25">
      <c r="B87"/>
      <c r="C87"/>
    </row>
    <row r="88" spans="2:3" ht="15" customHeight="1" x14ac:dyDescent="0.25">
      <c r="B88"/>
      <c r="C88"/>
    </row>
    <row r="89" spans="2:3" ht="15" customHeight="1" x14ac:dyDescent="0.25">
      <c r="B89"/>
      <c r="C89"/>
    </row>
    <row r="90" spans="2:3" ht="15" customHeight="1" x14ac:dyDescent="0.25">
      <c r="B90"/>
      <c r="C90"/>
    </row>
    <row r="91" spans="2:3" ht="15" customHeight="1" x14ac:dyDescent="0.25">
      <c r="B91"/>
      <c r="C91"/>
    </row>
    <row r="92" spans="2:3" ht="15" customHeight="1" x14ac:dyDescent="0.25">
      <c r="B92"/>
      <c r="C92"/>
    </row>
    <row r="93" spans="2:3" ht="15" customHeight="1" x14ac:dyDescent="0.25">
      <c r="B93"/>
      <c r="C93"/>
    </row>
    <row r="94" spans="2:3" ht="15" customHeight="1" x14ac:dyDescent="0.25">
      <c r="B94"/>
      <c r="C94"/>
    </row>
    <row r="95" spans="2:3" ht="15" customHeight="1" x14ac:dyDescent="0.25">
      <c r="B95"/>
      <c r="C95"/>
    </row>
    <row r="96" spans="2:3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3" ht="15" customHeight="1" x14ac:dyDescent="0.25">
      <c r="B113"/>
      <c r="C113"/>
    </row>
    <row r="114" spans="2:3" ht="15" customHeight="1" x14ac:dyDescent="0.25">
      <c r="B114"/>
      <c r="C114"/>
    </row>
    <row r="115" spans="2:3" ht="15" customHeight="1" x14ac:dyDescent="0.25">
      <c r="B115"/>
      <c r="C115"/>
    </row>
    <row r="116" spans="2:3" ht="15" customHeight="1" x14ac:dyDescent="0.25">
      <c r="B116"/>
      <c r="C116"/>
    </row>
    <row r="117" spans="2:3" ht="15" customHeight="1" x14ac:dyDescent="0.25">
      <c r="B117"/>
      <c r="C117"/>
    </row>
    <row r="118" spans="2:3" ht="15" customHeight="1" x14ac:dyDescent="0.25">
      <c r="B118"/>
      <c r="C118"/>
    </row>
    <row r="119" spans="2:3" ht="15" customHeight="1" x14ac:dyDescent="0.25">
      <c r="B119"/>
      <c r="C119"/>
    </row>
    <row r="120" spans="2:3" ht="15" customHeight="1" x14ac:dyDescent="0.25">
      <c r="B120"/>
      <c r="C120"/>
    </row>
    <row r="121" spans="2:3" ht="15" customHeight="1" x14ac:dyDescent="0.25">
      <c r="B121"/>
      <c r="C121"/>
    </row>
    <row r="122" spans="2:3" ht="15" customHeight="1" x14ac:dyDescent="0.25">
      <c r="B122"/>
      <c r="C122"/>
    </row>
    <row r="123" spans="2:3" ht="15" customHeight="1" x14ac:dyDescent="0.25">
      <c r="B123"/>
      <c r="C123"/>
    </row>
    <row r="124" spans="2:3" ht="15" customHeight="1" x14ac:dyDescent="0.25">
      <c r="B124"/>
      <c r="C124"/>
    </row>
    <row r="125" spans="2:3" ht="15" customHeight="1" x14ac:dyDescent="0.25">
      <c r="B125"/>
      <c r="C125"/>
    </row>
    <row r="126" spans="2:3" ht="15" customHeight="1" x14ac:dyDescent="0.25">
      <c r="B126"/>
      <c r="C126"/>
    </row>
    <row r="127" spans="2:3" ht="15" customHeight="1" x14ac:dyDescent="0.25">
      <c r="B127"/>
      <c r="C127"/>
    </row>
    <row r="128" spans="2:3" ht="15" customHeight="1" x14ac:dyDescent="0.25">
      <c r="B128"/>
      <c r="C128"/>
    </row>
    <row r="129" spans="2:3" ht="15" customHeight="1" x14ac:dyDescent="0.25">
      <c r="B129"/>
      <c r="C129"/>
    </row>
    <row r="130" spans="2:3" ht="15" customHeight="1" x14ac:dyDescent="0.25">
      <c r="B130"/>
      <c r="C130"/>
    </row>
    <row r="131" spans="2:3" ht="15" customHeight="1" x14ac:dyDescent="0.25">
      <c r="B131"/>
      <c r="C131"/>
    </row>
    <row r="132" spans="2:3" ht="15" customHeight="1" x14ac:dyDescent="0.25">
      <c r="B132"/>
      <c r="C132"/>
    </row>
    <row r="133" spans="2:3" ht="15" customHeight="1" x14ac:dyDescent="0.25">
      <c r="B133"/>
      <c r="C133"/>
    </row>
    <row r="134" spans="2:3" ht="15" customHeight="1" x14ac:dyDescent="0.25">
      <c r="B134"/>
      <c r="C134"/>
    </row>
    <row r="135" spans="2:3" ht="15" customHeight="1" x14ac:dyDescent="0.25">
      <c r="B135"/>
      <c r="C135"/>
    </row>
    <row r="136" spans="2:3" ht="15" customHeight="1" x14ac:dyDescent="0.25">
      <c r="B136"/>
      <c r="C136"/>
    </row>
    <row r="137" spans="2:3" ht="15" customHeight="1" x14ac:dyDescent="0.25">
      <c r="B137"/>
      <c r="C137"/>
    </row>
    <row r="138" spans="2:3" ht="15" customHeight="1" x14ac:dyDescent="0.25">
      <c r="B138"/>
      <c r="C138"/>
    </row>
    <row r="139" spans="2:3" ht="15" customHeight="1" x14ac:dyDescent="0.25">
      <c r="B139"/>
      <c r="C139"/>
    </row>
    <row r="140" spans="2:3" ht="15" customHeight="1" x14ac:dyDescent="0.25">
      <c r="B140"/>
      <c r="C140"/>
    </row>
    <row r="141" spans="2:3" ht="15" customHeight="1" x14ac:dyDescent="0.25">
      <c r="B141"/>
      <c r="C141"/>
    </row>
    <row r="142" spans="2:3" ht="15" customHeight="1" x14ac:dyDescent="0.25">
      <c r="B142"/>
      <c r="C142"/>
    </row>
    <row r="143" spans="2:3" ht="15" customHeight="1" x14ac:dyDescent="0.25">
      <c r="B143"/>
      <c r="C143"/>
    </row>
    <row r="144" spans="2:3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  <row r="172" spans="2:3" ht="15" customHeight="1" x14ac:dyDescent="0.25">
      <c r="B172"/>
      <c r="C172"/>
    </row>
    <row r="173" spans="2:3" ht="15" customHeight="1" x14ac:dyDescent="0.25">
      <c r="B173"/>
      <c r="C173"/>
    </row>
    <row r="174" spans="2:3" ht="15" customHeight="1" x14ac:dyDescent="0.25">
      <c r="B174"/>
      <c r="C174"/>
    </row>
    <row r="175" spans="2:3" ht="15" customHeight="1" x14ac:dyDescent="0.25">
      <c r="B175"/>
      <c r="C175"/>
    </row>
    <row r="176" spans="2:3" ht="15" customHeight="1" x14ac:dyDescent="0.25">
      <c r="B176"/>
      <c r="C176"/>
    </row>
    <row r="177" spans="2:3" ht="15" customHeight="1" x14ac:dyDescent="0.25">
      <c r="B177"/>
      <c r="C177"/>
    </row>
    <row r="178" spans="2:3" ht="15" customHeight="1" x14ac:dyDescent="0.25">
      <c r="B178"/>
      <c r="C178"/>
    </row>
    <row r="179" spans="2:3" ht="15" customHeight="1" x14ac:dyDescent="0.25">
      <c r="B179"/>
      <c r="C179"/>
    </row>
    <row r="180" spans="2:3" ht="15" customHeight="1" x14ac:dyDescent="0.25">
      <c r="B180"/>
      <c r="C180"/>
    </row>
    <row r="181" spans="2:3" ht="15" customHeight="1" x14ac:dyDescent="0.25">
      <c r="B181"/>
      <c r="C181"/>
    </row>
    <row r="182" spans="2:3" ht="15" customHeight="1" x14ac:dyDescent="0.25">
      <c r="B182"/>
      <c r="C182"/>
    </row>
    <row r="183" spans="2:3" ht="15" customHeight="1" x14ac:dyDescent="0.25">
      <c r="B183"/>
      <c r="C183"/>
    </row>
    <row r="184" spans="2:3" ht="15" customHeight="1" x14ac:dyDescent="0.25">
      <c r="B184"/>
      <c r="C184"/>
    </row>
    <row r="185" spans="2:3" ht="15" customHeight="1" x14ac:dyDescent="0.25">
      <c r="B185"/>
      <c r="C185"/>
    </row>
    <row r="186" spans="2:3" ht="15" customHeight="1" x14ac:dyDescent="0.25">
      <c r="B186"/>
      <c r="C186"/>
    </row>
    <row r="187" spans="2:3" ht="15" customHeight="1" x14ac:dyDescent="0.25">
      <c r="B187"/>
      <c r="C187"/>
    </row>
    <row r="188" spans="2:3" ht="15" customHeight="1" x14ac:dyDescent="0.25">
      <c r="B188"/>
      <c r="C188"/>
    </row>
    <row r="189" spans="2:3" ht="15" customHeight="1" x14ac:dyDescent="0.25">
      <c r="B189"/>
      <c r="C189"/>
    </row>
    <row r="190" spans="2:3" ht="15" customHeight="1" x14ac:dyDescent="0.25">
      <c r="B190"/>
      <c r="C190"/>
    </row>
    <row r="191" spans="2:3" ht="15" customHeight="1" x14ac:dyDescent="0.25">
      <c r="B191"/>
      <c r="C191"/>
    </row>
    <row r="192" spans="2:3" ht="15" customHeight="1" x14ac:dyDescent="0.25">
      <c r="B192"/>
      <c r="C192"/>
    </row>
    <row r="193" spans="2:3" ht="15" customHeight="1" x14ac:dyDescent="0.25">
      <c r="B193"/>
      <c r="C193"/>
    </row>
    <row r="194" spans="2:3" ht="15" customHeight="1" x14ac:dyDescent="0.25">
      <c r="B194"/>
      <c r="C194"/>
    </row>
    <row r="195" spans="2:3" ht="15" customHeight="1" x14ac:dyDescent="0.25">
      <c r="B195"/>
      <c r="C195"/>
    </row>
    <row r="196" spans="2:3" ht="15" customHeight="1" x14ac:dyDescent="0.25">
      <c r="B196"/>
      <c r="C196"/>
    </row>
    <row r="197" spans="2:3" ht="15" customHeight="1" x14ac:dyDescent="0.25">
      <c r="B197"/>
      <c r="C197"/>
    </row>
    <row r="198" spans="2:3" ht="15" customHeight="1" x14ac:dyDescent="0.25">
      <c r="B198"/>
      <c r="C198"/>
    </row>
    <row r="199" spans="2:3" ht="15" customHeight="1" x14ac:dyDescent="0.25">
      <c r="B199"/>
      <c r="C199"/>
    </row>
    <row r="200" spans="2:3" ht="15" customHeight="1" x14ac:dyDescent="0.25">
      <c r="B200"/>
      <c r="C200"/>
    </row>
    <row r="201" spans="2:3" ht="15" customHeight="1" x14ac:dyDescent="0.25">
      <c r="B201"/>
      <c r="C201"/>
    </row>
    <row r="202" spans="2:3" ht="15" customHeight="1" x14ac:dyDescent="0.25">
      <c r="B202"/>
      <c r="C202"/>
    </row>
    <row r="203" spans="2:3" ht="15" customHeight="1" x14ac:dyDescent="0.25">
      <c r="B203"/>
      <c r="C203"/>
    </row>
    <row r="204" spans="2:3" ht="15" customHeight="1" x14ac:dyDescent="0.25">
      <c r="B204"/>
      <c r="C204"/>
    </row>
    <row r="205" spans="2:3" ht="15" customHeight="1" x14ac:dyDescent="0.25">
      <c r="B205"/>
      <c r="C205"/>
    </row>
    <row r="206" spans="2:3" ht="15" customHeight="1" x14ac:dyDescent="0.25">
      <c r="B206"/>
      <c r="C206"/>
    </row>
    <row r="207" spans="2:3" ht="15" customHeight="1" x14ac:dyDescent="0.25">
      <c r="B207"/>
      <c r="C207"/>
    </row>
    <row r="208" spans="2:3" ht="15" customHeight="1" x14ac:dyDescent="0.25">
      <c r="B208"/>
      <c r="C208"/>
    </row>
    <row r="209" spans="2:3" ht="15" customHeight="1" x14ac:dyDescent="0.25">
      <c r="B209"/>
      <c r="C209"/>
    </row>
    <row r="210" spans="2:3" ht="15" customHeight="1" x14ac:dyDescent="0.25">
      <c r="B210"/>
      <c r="C210"/>
    </row>
    <row r="211" spans="2:3" ht="15" customHeight="1" x14ac:dyDescent="0.25">
      <c r="B211"/>
      <c r="C211"/>
    </row>
    <row r="212" spans="2:3" ht="15" customHeight="1" x14ac:dyDescent="0.25">
      <c r="B212"/>
      <c r="C212"/>
    </row>
    <row r="213" spans="2:3" ht="15" customHeight="1" x14ac:dyDescent="0.25">
      <c r="B213"/>
      <c r="C213"/>
    </row>
    <row r="214" spans="2:3" ht="15" customHeight="1" x14ac:dyDescent="0.25">
      <c r="B214"/>
      <c r="C214"/>
    </row>
    <row r="215" spans="2:3" ht="15" customHeight="1" x14ac:dyDescent="0.25">
      <c r="B215"/>
      <c r="C215"/>
    </row>
    <row r="216" spans="2:3" ht="15" customHeight="1" x14ac:dyDescent="0.25">
      <c r="B216"/>
      <c r="C216"/>
    </row>
    <row r="217" spans="2:3" ht="15" customHeight="1" x14ac:dyDescent="0.25">
      <c r="B217"/>
      <c r="C217"/>
    </row>
    <row r="218" spans="2:3" ht="15" customHeight="1" x14ac:dyDescent="0.25">
      <c r="B218"/>
      <c r="C218"/>
    </row>
    <row r="219" spans="2:3" ht="15" customHeight="1" x14ac:dyDescent="0.25">
      <c r="B219"/>
      <c r="C219"/>
    </row>
    <row r="220" spans="2:3" ht="15" customHeight="1" x14ac:dyDescent="0.25">
      <c r="B220"/>
      <c r="C220"/>
    </row>
    <row r="221" spans="2:3" ht="15" customHeight="1" x14ac:dyDescent="0.25">
      <c r="B221"/>
      <c r="C221"/>
    </row>
    <row r="222" spans="2:3" ht="15" customHeight="1" x14ac:dyDescent="0.25">
      <c r="B222"/>
      <c r="C222"/>
    </row>
    <row r="223" spans="2:3" ht="15" customHeight="1" x14ac:dyDescent="0.25">
      <c r="B223"/>
      <c r="C223"/>
    </row>
    <row r="224" spans="2:3" ht="15" customHeight="1" x14ac:dyDescent="0.25">
      <c r="B224"/>
      <c r="C224"/>
    </row>
    <row r="225" spans="2:3" ht="15" customHeight="1" x14ac:dyDescent="0.25">
      <c r="B225"/>
      <c r="C225"/>
    </row>
    <row r="226" spans="2:3" ht="15" customHeight="1" x14ac:dyDescent="0.25">
      <c r="B226"/>
      <c r="C226"/>
    </row>
    <row r="227" spans="2:3" ht="15" customHeight="1" x14ac:dyDescent="0.25">
      <c r="B227"/>
      <c r="C227"/>
    </row>
    <row r="228" spans="2:3" ht="15" customHeight="1" x14ac:dyDescent="0.25">
      <c r="B228"/>
      <c r="C228"/>
    </row>
    <row r="229" spans="2:3" ht="15" customHeight="1" x14ac:dyDescent="0.25">
      <c r="B229"/>
      <c r="C229"/>
    </row>
    <row r="230" spans="2:3" ht="15" customHeight="1" x14ac:dyDescent="0.25">
      <c r="B230"/>
      <c r="C230"/>
    </row>
    <row r="231" spans="2:3" ht="15" customHeight="1" x14ac:dyDescent="0.25">
      <c r="B231"/>
      <c r="C231"/>
    </row>
    <row r="232" spans="2:3" ht="15" customHeight="1" x14ac:dyDescent="0.25">
      <c r="B232"/>
      <c r="C232"/>
    </row>
    <row r="233" spans="2:3" ht="15" customHeight="1" x14ac:dyDescent="0.25">
      <c r="B233"/>
      <c r="C233"/>
    </row>
    <row r="234" spans="2:3" ht="15" customHeight="1" x14ac:dyDescent="0.25">
      <c r="B234"/>
      <c r="C234"/>
    </row>
    <row r="235" spans="2:3" ht="15" customHeight="1" x14ac:dyDescent="0.25">
      <c r="B235"/>
      <c r="C235"/>
    </row>
    <row r="236" spans="2:3" ht="15" customHeight="1" x14ac:dyDescent="0.25">
      <c r="B236"/>
      <c r="C236"/>
    </row>
    <row r="237" spans="2:3" ht="15" customHeight="1" x14ac:dyDescent="0.25">
      <c r="B237"/>
      <c r="C237"/>
    </row>
    <row r="238" spans="2:3" ht="15" customHeight="1" x14ac:dyDescent="0.25">
      <c r="B238"/>
      <c r="C238"/>
    </row>
    <row r="239" spans="2:3" ht="15" customHeight="1" x14ac:dyDescent="0.25">
      <c r="B239"/>
      <c r="C239"/>
    </row>
    <row r="240" spans="2:3" ht="15" customHeight="1" x14ac:dyDescent="0.25">
      <c r="B240"/>
      <c r="C240"/>
    </row>
    <row r="241" spans="2:3" ht="15" customHeight="1" x14ac:dyDescent="0.25">
      <c r="B241"/>
      <c r="C241"/>
    </row>
    <row r="242" spans="2:3" ht="15" customHeight="1" x14ac:dyDescent="0.25">
      <c r="B242"/>
      <c r="C242"/>
    </row>
    <row r="243" spans="2:3" ht="15" customHeight="1" x14ac:dyDescent="0.25">
      <c r="B243"/>
      <c r="C243"/>
    </row>
    <row r="244" spans="2:3" ht="15" customHeight="1" x14ac:dyDescent="0.25">
      <c r="B244"/>
      <c r="C244"/>
    </row>
    <row r="245" spans="2:3" ht="15" customHeight="1" x14ac:dyDescent="0.25">
      <c r="B245"/>
      <c r="C245"/>
    </row>
    <row r="246" spans="2:3" ht="15" customHeight="1" x14ac:dyDescent="0.25">
      <c r="B246"/>
      <c r="C246"/>
    </row>
    <row r="247" spans="2:3" ht="15" customHeight="1" x14ac:dyDescent="0.25">
      <c r="B247"/>
      <c r="C247"/>
    </row>
    <row r="248" spans="2:3" ht="15" customHeight="1" x14ac:dyDescent="0.25">
      <c r="B248"/>
      <c r="C248"/>
    </row>
    <row r="249" spans="2:3" ht="15" customHeight="1" x14ac:dyDescent="0.25">
      <c r="B249"/>
      <c r="C249"/>
    </row>
    <row r="250" spans="2:3" ht="15" customHeight="1" x14ac:dyDescent="0.25">
      <c r="B250"/>
      <c r="C250"/>
    </row>
    <row r="251" spans="2:3" ht="15" customHeight="1" x14ac:dyDescent="0.25">
      <c r="B251"/>
      <c r="C251"/>
    </row>
    <row r="252" spans="2:3" ht="15" customHeight="1" x14ac:dyDescent="0.25">
      <c r="B252"/>
      <c r="C252"/>
    </row>
    <row r="253" spans="2:3" ht="15" customHeight="1" x14ac:dyDescent="0.25">
      <c r="B253"/>
      <c r="C253"/>
    </row>
    <row r="254" spans="2:3" ht="15" customHeight="1" x14ac:dyDescent="0.25">
      <c r="B254"/>
      <c r="C254"/>
    </row>
    <row r="255" spans="2:3" ht="15" customHeight="1" x14ac:dyDescent="0.25">
      <c r="B255"/>
      <c r="C255"/>
    </row>
    <row r="256" spans="2:3" ht="15" customHeight="1" x14ac:dyDescent="0.25">
      <c r="B256"/>
      <c r="C256"/>
    </row>
    <row r="257" spans="2:3" ht="15" customHeight="1" x14ac:dyDescent="0.25">
      <c r="B257"/>
      <c r="C257"/>
    </row>
    <row r="258" spans="2:3" ht="15" customHeight="1" x14ac:dyDescent="0.25">
      <c r="B258"/>
      <c r="C258"/>
    </row>
    <row r="259" spans="2:3" ht="15" customHeight="1" x14ac:dyDescent="0.25">
      <c r="B259"/>
      <c r="C259"/>
    </row>
    <row r="260" spans="2:3" ht="15" customHeight="1" x14ac:dyDescent="0.25">
      <c r="B260"/>
      <c r="C260"/>
    </row>
    <row r="261" spans="2:3" ht="15" customHeight="1" x14ac:dyDescent="0.25">
      <c r="B261"/>
      <c r="C261"/>
    </row>
    <row r="262" spans="2:3" ht="15" customHeight="1" x14ac:dyDescent="0.25">
      <c r="B262"/>
      <c r="C262"/>
    </row>
    <row r="263" spans="2:3" ht="15" customHeight="1" x14ac:dyDescent="0.25">
      <c r="B263"/>
      <c r="C263"/>
    </row>
    <row r="264" spans="2:3" ht="15" customHeight="1" x14ac:dyDescent="0.25">
      <c r="B264"/>
      <c r="C264"/>
    </row>
    <row r="265" spans="2:3" ht="15" customHeight="1" x14ac:dyDescent="0.25">
      <c r="B265"/>
      <c r="C265"/>
    </row>
    <row r="266" spans="2:3" ht="15" customHeight="1" x14ac:dyDescent="0.25">
      <c r="B266"/>
      <c r="C266"/>
    </row>
    <row r="267" spans="2:3" ht="15" customHeight="1" x14ac:dyDescent="0.25">
      <c r="B267"/>
      <c r="C267"/>
    </row>
    <row r="268" spans="2:3" ht="15" customHeight="1" x14ac:dyDescent="0.25">
      <c r="B268"/>
      <c r="C268"/>
    </row>
    <row r="269" spans="2:3" ht="15" customHeight="1" x14ac:dyDescent="0.25">
      <c r="B269"/>
      <c r="C269"/>
    </row>
    <row r="270" spans="2:3" ht="15" customHeight="1" x14ac:dyDescent="0.25">
      <c r="B270"/>
      <c r="C270"/>
    </row>
    <row r="271" spans="2:3" ht="15" customHeight="1" x14ac:dyDescent="0.25">
      <c r="B271"/>
      <c r="C271"/>
    </row>
    <row r="272" spans="2:3" ht="15" customHeight="1" x14ac:dyDescent="0.25">
      <c r="B272"/>
      <c r="C272"/>
    </row>
    <row r="273" spans="2:3" ht="15" customHeight="1" x14ac:dyDescent="0.25">
      <c r="B273"/>
      <c r="C273"/>
    </row>
    <row r="274" spans="2:3" ht="15" customHeight="1" x14ac:dyDescent="0.25">
      <c r="B274"/>
      <c r="C274"/>
    </row>
    <row r="275" spans="2:3" ht="15" customHeight="1" x14ac:dyDescent="0.25">
      <c r="B275"/>
      <c r="C275"/>
    </row>
    <row r="276" spans="2:3" ht="15" customHeight="1" x14ac:dyDescent="0.25">
      <c r="B276"/>
      <c r="C276"/>
    </row>
    <row r="277" spans="2:3" ht="15" customHeight="1" x14ac:dyDescent="0.25">
      <c r="B277"/>
      <c r="C277"/>
    </row>
    <row r="278" spans="2:3" ht="15" customHeight="1" x14ac:dyDescent="0.25">
      <c r="B278"/>
      <c r="C278"/>
    </row>
    <row r="279" spans="2:3" ht="15" customHeight="1" x14ac:dyDescent="0.25">
      <c r="B279"/>
      <c r="C279"/>
    </row>
    <row r="280" spans="2:3" ht="15" customHeight="1" x14ac:dyDescent="0.25">
      <c r="B280"/>
      <c r="C280"/>
    </row>
    <row r="281" spans="2:3" ht="15" customHeight="1" x14ac:dyDescent="0.25">
      <c r="B281"/>
      <c r="C281"/>
    </row>
    <row r="282" spans="2:3" ht="15" customHeight="1" x14ac:dyDescent="0.25">
      <c r="B282"/>
      <c r="C282"/>
    </row>
    <row r="283" spans="2:3" ht="15" customHeight="1" x14ac:dyDescent="0.25">
      <c r="B283"/>
      <c r="C283"/>
    </row>
    <row r="284" spans="2:3" ht="15" customHeight="1" x14ac:dyDescent="0.25">
      <c r="B284"/>
      <c r="C284"/>
    </row>
    <row r="285" spans="2:3" ht="15" customHeight="1" x14ac:dyDescent="0.25">
      <c r="B285"/>
      <c r="C285"/>
    </row>
    <row r="286" spans="2:3" ht="15" customHeight="1" x14ac:dyDescent="0.25">
      <c r="B286"/>
      <c r="C286"/>
    </row>
    <row r="287" spans="2:3" ht="15" customHeight="1" x14ac:dyDescent="0.25">
      <c r="B287"/>
      <c r="C287"/>
    </row>
    <row r="288" spans="2:3" ht="15" customHeight="1" x14ac:dyDescent="0.25">
      <c r="B288"/>
      <c r="C288"/>
    </row>
    <row r="289" spans="2:3" ht="15" customHeight="1" x14ac:dyDescent="0.25">
      <c r="B289"/>
      <c r="C289"/>
    </row>
    <row r="290" spans="2:3" ht="15" customHeight="1" x14ac:dyDescent="0.25">
      <c r="B290"/>
      <c r="C290"/>
    </row>
    <row r="291" spans="2:3" ht="15" customHeight="1" x14ac:dyDescent="0.25">
      <c r="B291"/>
      <c r="C291"/>
    </row>
    <row r="292" spans="2:3" ht="15" customHeight="1" x14ac:dyDescent="0.25">
      <c r="B292"/>
      <c r="C292"/>
    </row>
    <row r="293" spans="2:3" ht="15" customHeight="1" x14ac:dyDescent="0.25">
      <c r="B293"/>
      <c r="C293"/>
    </row>
    <row r="294" spans="2:3" ht="15" customHeight="1" x14ac:dyDescent="0.25">
      <c r="B294"/>
      <c r="C294"/>
    </row>
    <row r="295" spans="2:3" ht="15" customHeight="1" x14ac:dyDescent="0.25">
      <c r="B295"/>
      <c r="C295"/>
    </row>
    <row r="296" spans="2:3" ht="15" customHeight="1" x14ac:dyDescent="0.25">
      <c r="B296"/>
      <c r="C296"/>
    </row>
    <row r="297" spans="2:3" ht="15" customHeight="1" x14ac:dyDescent="0.25">
      <c r="B297"/>
      <c r="C297"/>
    </row>
    <row r="298" spans="2:3" ht="15" customHeight="1" x14ac:dyDescent="0.25">
      <c r="B298"/>
      <c r="C298"/>
    </row>
    <row r="299" spans="2:3" ht="15" customHeight="1" x14ac:dyDescent="0.25">
      <c r="B299"/>
      <c r="C299"/>
    </row>
    <row r="300" spans="2:3" ht="15" customHeight="1" x14ac:dyDescent="0.25">
      <c r="B300"/>
      <c r="C300"/>
    </row>
    <row r="301" spans="2:3" ht="15" customHeight="1" x14ac:dyDescent="0.25">
      <c r="B301"/>
      <c r="C301"/>
    </row>
    <row r="302" spans="2:3" ht="15" customHeight="1" x14ac:dyDescent="0.25">
      <c r="B302"/>
      <c r="C302"/>
    </row>
    <row r="303" spans="2:3" ht="15" customHeight="1" x14ac:dyDescent="0.25">
      <c r="B303"/>
      <c r="C303"/>
    </row>
    <row r="304" spans="2:3" ht="15" customHeight="1" x14ac:dyDescent="0.25">
      <c r="B304"/>
      <c r="C304"/>
    </row>
    <row r="305" spans="2:3" ht="15" customHeight="1" x14ac:dyDescent="0.25">
      <c r="B305"/>
      <c r="C305"/>
    </row>
    <row r="306" spans="2:3" ht="15" customHeight="1" x14ac:dyDescent="0.25">
      <c r="B306"/>
      <c r="C306"/>
    </row>
    <row r="307" spans="2:3" ht="15" customHeight="1" x14ac:dyDescent="0.25">
      <c r="B307"/>
      <c r="C307"/>
    </row>
    <row r="308" spans="2:3" ht="15" customHeight="1" x14ac:dyDescent="0.25">
      <c r="B308"/>
      <c r="C308"/>
    </row>
    <row r="309" spans="2:3" ht="15" customHeight="1" x14ac:dyDescent="0.25">
      <c r="B309"/>
      <c r="C309"/>
    </row>
    <row r="310" spans="2:3" ht="15" customHeight="1" x14ac:dyDescent="0.25">
      <c r="B310"/>
      <c r="C310"/>
    </row>
    <row r="311" spans="2:3" ht="15" customHeight="1" x14ac:dyDescent="0.25">
      <c r="B311"/>
      <c r="C311"/>
    </row>
    <row r="312" spans="2:3" ht="15" customHeight="1" x14ac:dyDescent="0.25">
      <c r="B312"/>
      <c r="C312"/>
    </row>
    <row r="313" spans="2:3" ht="15" customHeight="1" x14ac:dyDescent="0.25">
      <c r="B313"/>
      <c r="C313"/>
    </row>
    <row r="314" spans="2:3" ht="15" customHeight="1" x14ac:dyDescent="0.25">
      <c r="B314"/>
      <c r="C314"/>
    </row>
    <row r="315" spans="2:3" ht="15" customHeight="1" x14ac:dyDescent="0.25">
      <c r="B315"/>
      <c r="C315"/>
    </row>
    <row r="316" spans="2:3" ht="15" customHeight="1" x14ac:dyDescent="0.25">
      <c r="B316"/>
      <c r="C316"/>
    </row>
    <row r="317" spans="2:3" ht="15" customHeight="1" x14ac:dyDescent="0.25">
      <c r="B317"/>
      <c r="C317"/>
    </row>
    <row r="318" spans="2:3" ht="15" customHeight="1" x14ac:dyDescent="0.25">
      <c r="B318"/>
      <c r="C318"/>
    </row>
    <row r="319" spans="2:3" ht="15" customHeight="1" x14ac:dyDescent="0.25">
      <c r="B319"/>
      <c r="C319"/>
    </row>
    <row r="320" spans="2:3" ht="15" customHeight="1" x14ac:dyDescent="0.25">
      <c r="B320"/>
      <c r="C320"/>
    </row>
    <row r="321" spans="2:3" ht="15" customHeight="1" x14ac:dyDescent="0.25">
      <c r="B321"/>
      <c r="C321"/>
    </row>
    <row r="322" spans="2:3" ht="15" customHeight="1" x14ac:dyDescent="0.25">
      <c r="B322"/>
      <c r="C322"/>
    </row>
    <row r="323" spans="2:3" ht="15" customHeight="1" x14ac:dyDescent="0.25">
      <c r="B323"/>
      <c r="C323"/>
    </row>
    <row r="324" spans="2:3" ht="15" customHeight="1" x14ac:dyDescent="0.25">
      <c r="B324"/>
      <c r="C324"/>
    </row>
    <row r="325" spans="2:3" ht="15" customHeight="1" x14ac:dyDescent="0.25">
      <c r="B325"/>
      <c r="C325"/>
    </row>
    <row r="326" spans="2:3" ht="15" customHeight="1" x14ac:dyDescent="0.25">
      <c r="B326"/>
      <c r="C326"/>
    </row>
    <row r="327" spans="2:3" ht="15" customHeight="1" x14ac:dyDescent="0.25">
      <c r="B327"/>
      <c r="C327"/>
    </row>
    <row r="328" spans="2:3" ht="15" customHeight="1" x14ac:dyDescent="0.25">
      <c r="B328"/>
      <c r="C328"/>
    </row>
    <row r="329" spans="2:3" ht="15" customHeight="1" x14ac:dyDescent="0.25">
      <c r="B329"/>
      <c r="C329"/>
    </row>
    <row r="330" spans="2:3" ht="15" customHeight="1" x14ac:dyDescent="0.25">
      <c r="B330"/>
      <c r="C330"/>
    </row>
    <row r="331" spans="2:3" ht="15" customHeight="1" x14ac:dyDescent="0.25">
      <c r="B331"/>
      <c r="C331"/>
    </row>
    <row r="332" spans="2:3" ht="15" customHeight="1" x14ac:dyDescent="0.25">
      <c r="B332"/>
      <c r="C332"/>
    </row>
    <row r="333" spans="2:3" ht="15" customHeight="1" x14ac:dyDescent="0.25">
      <c r="B333"/>
      <c r="C333"/>
    </row>
    <row r="334" spans="2:3" ht="15" customHeight="1" x14ac:dyDescent="0.25">
      <c r="B334"/>
      <c r="C334"/>
    </row>
    <row r="335" spans="2:3" ht="15" customHeight="1" x14ac:dyDescent="0.25">
      <c r="B335"/>
      <c r="C335"/>
    </row>
    <row r="336" spans="2:3" ht="15" customHeight="1" x14ac:dyDescent="0.25">
      <c r="B336"/>
      <c r="C336"/>
    </row>
    <row r="337" spans="2:3" ht="15" customHeight="1" x14ac:dyDescent="0.25">
      <c r="B337"/>
      <c r="C337"/>
    </row>
    <row r="338" spans="2:3" ht="15" customHeight="1" x14ac:dyDescent="0.25">
      <c r="B338"/>
      <c r="C338"/>
    </row>
    <row r="339" spans="2:3" ht="15" customHeight="1" x14ac:dyDescent="0.25">
      <c r="B339"/>
      <c r="C339"/>
    </row>
    <row r="340" spans="2:3" ht="15" customHeight="1" x14ac:dyDescent="0.25">
      <c r="B340"/>
      <c r="C340"/>
    </row>
    <row r="341" spans="2:3" ht="15" customHeight="1" x14ac:dyDescent="0.25">
      <c r="B341"/>
      <c r="C341"/>
    </row>
    <row r="342" spans="2:3" ht="15" customHeight="1" x14ac:dyDescent="0.25">
      <c r="B342"/>
      <c r="C342"/>
    </row>
    <row r="343" spans="2:3" ht="15" customHeight="1" x14ac:dyDescent="0.25">
      <c r="B343"/>
      <c r="C343"/>
    </row>
    <row r="344" spans="2:3" ht="15" customHeight="1" x14ac:dyDescent="0.25">
      <c r="B344"/>
      <c r="C344"/>
    </row>
    <row r="345" spans="2:3" ht="15" customHeight="1" x14ac:dyDescent="0.25">
      <c r="B345"/>
      <c r="C345"/>
    </row>
    <row r="346" spans="2:3" ht="15" customHeight="1" x14ac:dyDescent="0.25">
      <c r="B346"/>
      <c r="C346"/>
    </row>
    <row r="347" spans="2:3" ht="15" customHeight="1" x14ac:dyDescent="0.25">
      <c r="B347"/>
      <c r="C347"/>
    </row>
    <row r="348" spans="2:3" ht="15" customHeight="1" x14ac:dyDescent="0.25">
      <c r="B348"/>
      <c r="C348"/>
    </row>
    <row r="349" spans="2:3" ht="15" customHeight="1" x14ac:dyDescent="0.25">
      <c r="B349"/>
      <c r="C349"/>
    </row>
    <row r="350" spans="2:3" ht="15" customHeight="1" x14ac:dyDescent="0.25">
      <c r="B350"/>
      <c r="C350"/>
    </row>
    <row r="351" spans="2:3" ht="15" customHeight="1" x14ac:dyDescent="0.25">
      <c r="B351"/>
      <c r="C351"/>
    </row>
    <row r="352" spans="2:3" ht="15" customHeight="1" x14ac:dyDescent="0.25">
      <c r="B352"/>
      <c r="C352"/>
    </row>
    <row r="353" spans="2:3" ht="15" customHeight="1" x14ac:dyDescent="0.25">
      <c r="B353"/>
      <c r="C353"/>
    </row>
    <row r="354" spans="2:3" ht="15" customHeight="1" x14ac:dyDescent="0.25">
      <c r="B354"/>
      <c r="C354"/>
    </row>
    <row r="355" spans="2:3" ht="15" customHeight="1" x14ac:dyDescent="0.25">
      <c r="B355"/>
      <c r="C355"/>
    </row>
    <row r="356" spans="2:3" ht="15" customHeight="1" x14ac:dyDescent="0.25">
      <c r="B356"/>
      <c r="C356"/>
    </row>
    <row r="357" spans="2:3" ht="15" customHeight="1" x14ac:dyDescent="0.25">
      <c r="B357"/>
      <c r="C357"/>
    </row>
    <row r="358" spans="2:3" ht="15" customHeight="1" x14ac:dyDescent="0.25">
      <c r="B358"/>
      <c r="C358"/>
    </row>
    <row r="359" spans="2:3" ht="15" customHeight="1" x14ac:dyDescent="0.25">
      <c r="B359"/>
      <c r="C359"/>
    </row>
    <row r="360" spans="2:3" ht="15" customHeight="1" x14ac:dyDescent="0.25">
      <c r="B360"/>
      <c r="C360"/>
    </row>
    <row r="361" spans="2:3" ht="15" customHeight="1" x14ac:dyDescent="0.25">
      <c r="B361"/>
      <c r="C361"/>
    </row>
    <row r="362" spans="2:3" ht="15" customHeight="1" x14ac:dyDescent="0.25">
      <c r="B362"/>
      <c r="C362"/>
    </row>
    <row r="363" spans="2:3" ht="15" customHeight="1" x14ac:dyDescent="0.25">
      <c r="B363"/>
      <c r="C363"/>
    </row>
    <row r="364" spans="2:3" ht="15" customHeight="1" x14ac:dyDescent="0.25">
      <c r="B364"/>
      <c r="C364"/>
    </row>
    <row r="365" spans="2:3" ht="15" customHeight="1" x14ac:dyDescent="0.25">
      <c r="B365"/>
      <c r="C365"/>
    </row>
    <row r="366" spans="2:3" ht="15" customHeight="1" x14ac:dyDescent="0.25">
      <c r="B366"/>
      <c r="C366"/>
    </row>
    <row r="367" spans="2:3" ht="15" customHeight="1" x14ac:dyDescent="0.25">
      <c r="B367"/>
      <c r="C367"/>
    </row>
    <row r="368" spans="2:3" ht="15" customHeight="1" x14ac:dyDescent="0.25">
      <c r="B368"/>
      <c r="C368"/>
    </row>
    <row r="369" spans="2:3" ht="15" customHeight="1" x14ac:dyDescent="0.25">
      <c r="B369"/>
      <c r="C369"/>
    </row>
    <row r="370" spans="2:3" ht="15" customHeight="1" x14ac:dyDescent="0.25">
      <c r="B370"/>
      <c r="C370"/>
    </row>
    <row r="371" spans="2:3" ht="15" customHeight="1" x14ac:dyDescent="0.25">
      <c r="B371"/>
      <c r="C371"/>
    </row>
    <row r="372" spans="2:3" ht="15" customHeight="1" x14ac:dyDescent="0.25">
      <c r="B372"/>
      <c r="C372"/>
    </row>
    <row r="373" spans="2:3" ht="15" customHeight="1" x14ac:dyDescent="0.25">
      <c r="B373"/>
      <c r="C373"/>
    </row>
    <row r="374" spans="2:3" ht="15" customHeight="1" x14ac:dyDescent="0.25">
      <c r="B374"/>
      <c r="C374"/>
    </row>
    <row r="375" spans="2:3" ht="15" customHeight="1" x14ac:dyDescent="0.25">
      <c r="B375"/>
      <c r="C375"/>
    </row>
    <row r="376" spans="2:3" ht="15" customHeight="1" x14ac:dyDescent="0.25">
      <c r="B376"/>
      <c r="C376"/>
    </row>
    <row r="377" spans="2:3" ht="15" customHeight="1" x14ac:dyDescent="0.25">
      <c r="B377"/>
      <c r="C377"/>
    </row>
    <row r="378" spans="2:3" ht="15" customHeight="1" x14ac:dyDescent="0.25">
      <c r="B378"/>
      <c r="C378"/>
    </row>
    <row r="379" spans="2:3" ht="15" customHeight="1" x14ac:dyDescent="0.25">
      <c r="B379"/>
      <c r="C379"/>
    </row>
    <row r="380" spans="2:3" ht="15" customHeight="1" x14ac:dyDescent="0.25">
      <c r="B380"/>
      <c r="C380"/>
    </row>
    <row r="381" spans="2:3" ht="15" customHeight="1" x14ac:dyDescent="0.25">
      <c r="B381"/>
      <c r="C381"/>
    </row>
    <row r="382" spans="2:3" ht="15" customHeight="1" x14ac:dyDescent="0.25">
      <c r="B382"/>
      <c r="C382"/>
    </row>
    <row r="383" spans="2:3" ht="15" customHeight="1" x14ac:dyDescent="0.25">
      <c r="B383"/>
      <c r="C383"/>
    </row>
    <row r="384" spans="2:3" ht="15" customHeight="1" x14ac:dyDescent="0.25">
      <c r="B384"/>
      <c r="C384"/>
    </row>
    <row r="385" spans="2:3" ht="15" customHeight="1" x14ac:dyDescent="0.25">
      <c r="B385"/>
      <c r="C385"/>
    </row>
    <row r="386" spans="2:3" ht="15" customHeight="1" x14ac:dyDescent="0.25">
      <c r="B386"/>
      <c r="C386"/>
    </row>
    <row r="387" spans="2:3" ht="15" customHeight="1" x14ac:dyDescent="0.25">
      <c r="B387"/>
      <c r="C387"/>
    </row>
    <row r="388" spans="2:3" ht="15" customHeight="1" x14ac:dyDescent="0.25">
      <c r="B388"/>
      <c r="C388"/>
    </row>
    <row r="389" spans="2:3" ht="15" customHeight="1" x14ac:dyDescent="0.25">
      <c r="B389"/>
      <c r="C389"/>
    </row>
    <row r="390" spans="2:3" ht="15" customHeight="1" x14ac:dyDescent="0.25">
      <c r="B390"/>
      <c r="C390"/>
    </row>
    <row r="391" spans="2:3" ht="15" customHeight="1" x14ac:dyDescent="0.25">
      <c r="B391"/>
      <c r="C391"/>
    </row>
    <row r="392" spans="2:3" ht="15" customHeight="1" x14ac:dyDescent="0.25">
      <c r="B392"/>
      <c r="C392"/>
    </row>
    <row r="393" spans="2:3" ht="15" customHeight="1" x14ac:dyDescent="0.25">
      <c r="B393"/>
      <c r="C393"/>
    </row>
    <row r="394" spans="2:3" ht="15" customHeight="1" x14ac:dyDescent="0.25">
      <c r="B394"/>
      <c r="C394"/>
    </row>
    <row r="395" spans="2:3" ht="15" customHeight="1" x14ac:dyDescent="0.25">
      <c r="B395"/>
      <c r="C395"/>
    </row>
    <row r="396" spans="2:3" ht="15" customHeight="1" x14ac:dyDescent="0.25">
      <c r="B396"/>
      <c r="C396"/>
    </row>
    <row r="397" spans="2:3" ht="15" customHeight="1" x14ac:dyDescent="0.25">
      <c r="B397"/>
      <c r="C397"/>
    </row>
    <row r="398" spans="2:3" ht="15" customHeight="1" x14ac:dyDescent="0.25">
      <c r="B398"/>
      <c r="C398"/>
    </row>
    <row r="399" spans="2:3" ht="15" customHeight="1" x14ac:dyDescent="0.25">
      <c r="B399"/>
      <c r="C399"/>
    </row>
    <row r="400" spans="2:3" ht="15" customHeight="1" x14ac:dyDescent="0.25">
      <c r="B400"/>
      <c r="C400"/>
    </row>
    <row r="401" spans="2:3" ht="15" customHeight="1" x14ac:dyDescent="0.25">
      <c r="B401"/>
      <c r="C401"/>
    </row>
    <row r="402" spans="2:3" ht="15" customHeight="1" x14ac:dyDescent="0.25">
      <c r="B402"/>
      <c r="C402"/>
    </row>
    <row r="403" spans="2:3" ht="15" customHeight="1" x14ac:dyDescent="0.25">
      <c r="B403"/>
      <c r="C403"/>
    </row>
    <row r="404" spans="2:3" ht="15" customHeight="1" x14ac:dyDescent="0.25">
      <c r="B404"/>
      <c r="C404"/>
    </row>
    <row r="405" spans="2:3" ht="15" customHeight="1" x14ac:dyDescent="0.25">
      <c r="B405"/>
      <c r="C405"/>
    </row>
    <row r="406" spans="2:3" ht="15" customHeight="1" x14ac:dyDescent="0.25">
      <c r="B406"/>
      <c r="C406"/>
    </row>
    <row r="407" spans="2:3" ht="15" customHeight="1" x14ac:dyDescent="0.25">
      <c r="B407"/>
      <c r="C407"/>
    </row>
    <row r="408" spans="2:3" ht="15" customHeight="1" x14ac:dyDescent="0.25">
      <c r="B408"/>
      <c r="C408"/>
    </row>
    <row r="409" spans="2:3" ht="15" customHeight="1" x14ac:dyDescent="0.25">
      <c r="B409"/>
      <c r="C409"/>
    </row>
    <row r="410" spans="2:3" ht="15" customHeight="1" x14ac:dyDescent="0.25">
      <c r="B410"/>
      <c r="C410"/>
    </row>
    <row r="411" spans="2:3" ht="15" customHeight="1" x14ac:dyDescent="0.25">
      <c r="B411"/>
      <c r="C411"/>
    </row>
    <row r="412" spans="2:3" ht="15" customHeight="1" x14ac:dyDescent="0.25">
      <c r="B412"/>
      <c r="C412"/>
    </row>
    <row r="413" spans="2:3" ht="15" customHeight="1" x14ac:dyDescent="0.25">
      <c r="B413"/>
      <c r="C413"/>
    </row>
    <row r="414" spans="2:3" ht="15" customHeight="1" x14ac:dyDescent="0.25">
      <c r="B414"/>
      <c r="C414"/>
    </row>
    <row r="415" spans="2:3" ht="15" customHeight="1" x14ac:dyDescent="0.25">
      <c r="B415"/>
      <c r="C415"/>
    </row>
    <row r="416" spans="2:3" ht="15" customHeight="1" x14ac:dyDescent="0.25">
      <c r="B416"/>
      <c r="C416"/>
    </row>
    <row r="417" spans="2:3" ht="15" customHeight="1" x14ac:dyDescent="0.25">
      <c r="B417"/>
      <c r="C417"/>
    </row>
    <row r="418" spans="2:3" ht="15" customHeight="1" x14ac:dyDescent="0.25">
      <c r="B418"/>
      <c r="C418"/>
    </row>
    <row r="419" spans="2:3" ht="15" customHeight="1" x14ac:dyDescent="0.25">
      <c r="B419"/>
      <c r="C419"/>
    </row>
    <row r="420" spans="2:3" ht="15" customHeight="1" x14ac:dyDescent="0.25">
      <c r="B420"/>
      <c r="C420"/>
    </row>
    <row r="421" spans="2:3" ht="15" customHeight="1" x14ac:dyDescent="0.25">
      <c r="B421"/>
      <c r="C421"/>
    </row>
    <row r="422" spans="2:3" ht="15" customHeight="1" x14ac:dyDescent="0.25">
      <c r="B422"/>
      <c r="C422"/>
    </row>
    <row r="423" spans="2:3" ht="15" customHeight="1" x14ac:dyDescent="0.25">
      <c r="B423"/>
      <c r="C423"/>
    </row>
    <row r="424" spans="2:3" ht="15" customHeight="1" x14ac:dyDescent="0.25">
      <c r="B424"/>
      <c r="C424"/>
    </row>
    <row r="425" spans="2:3" ht="15" customHeight="1" x14ac:dyDescent="0.25">
      <c r="B425"/>
      <c r="C425"/>
    </row>
    <row r="426" spans="2:3" ht="15" customHeight="1" x14ac:dyDescent="0.25">
      <c r="B426"/>
      <c r="C426"/>
    </row>
  </sheetData>
  <pageMargins left="0.7" right="0.7" top="0.75" bottom="0.75" header="0.3" footer="0.3"/>
  <pageSetup scale="70" fitToHeight="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B1:W474"/>
  <sheetViews>
    <sheetView topLeftCell="A35" zoomScaleNormal="100" workbookViewId="0">
      <selection activeCell="C3" sqref="C3:C53"/>
    </sheetView>
  </sheetViews>
  <sheetFormatPr baseColWidth="10" defaultRowHeight="15" customHeight="1" x14ac:dyDescent="0.25"/>
  <cols>
    <col min="1" max="1" width="5.85546875" customWidth="1"/>
    <col min="2" max="2" width="14.28515625" style="2" customWidth="1"/>
    <col min="3" max="3" width="16.140625" style="1" customWidth="1"/>
    <col min="4" max="4" width="8.7109375" bestFit="1" customWidth="1"/>
    <col min="5" max="5" width="8.28515625" customWidth="1"/>
    <col min="6" max="23" width="6.7109375" customWidth="1"/>
  </cols>
  <sheetData>
    <row r="1" spans="2:23" ht="15.75" customHeight="1" thickBot="1" x14ac:dyDescent="0.3"/>
    <row r="2" spans="2:23" s="3" customFormat="1" ht="15.75" customHeight="1" thickBot="1" x14ac:dyDescent="0.25">
      <c r="B2" s="18" t="s">
        <v>3</v>
      </c>
      <c r="C2" s="14" t="s">
        <v>1</v>
      </c>
      <c r="D2" s="17" t="s">
        <v>112</v>
      </c>
      <c r="E2" s="15" t="s">
        <v>111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33">
        <v>18</v>
      </c>
    </row>
    <row r="3" spans="2:23" x14ac:dyDescent="0.25">
      <c r="B3" s="19">
        <v>143</v>
      </c>
      <c r="C3" s="8" t="s">
        <v>106</v>
      </c>
      <c r="D3" s="36">
        <f>IF((E3+E4+E5)=0,0,E3/(E3+E4+E5))</f>
        <v>0.51190476190476186</v>
      </c>
      <c r="E3" s="9">
        <f t="shared" ref="E3:E29" si="0">SUM(F3:W3)</f>
        <v>129</v>
      </c>
      <c r="F3" s="9">
        <f>SUMIFS([0]!psuv,[0]!municipio,$B3,[0]!turno,F$2)</f>
        <v>0</v>
      </c>
      <c r="G3" s="9">
        <f>SUMIFS([0]!psuv,[0]!municipio,$B3,[0]!turno,G$2)</f>
        <v>2</v>
      </c>
      <c r="H3" s="9">
        <f>SUMIFS([0]!psuv,[0]!municipio,$B3,[0]!turno,H$2)</f>
        <v>16</v>
      </c>
      <c r="I3" s="9">
        <f>SUMIFS([0]!psuv,[0]!municipio,$B3,[0]!turno,I$2)</f>
        <v>16</v>
      </c>
      <c r="J3" s="9">
        <f>SUMIFS([0]!psuv,[0]!municipio,$B3,[0]!turno,J$2)</f>
        <v>7</v>
      </c>
      <c r="K3" s="9">
        <f>SUMIFS([0]!psuv,[0]!municipio,$B3,[0]!turno,K$2)</f>
        <v>10</v>
      </c>
      <c r="L3" s="9">
        <f>SUMIFS([0]!psuv,[0]!municipio,$B3,[0]!turno,L$2)</f>
        <v>8</v>
      </c>
      <c r="M3" s="9">
        <f>SUMIFS([0]!psuv,[0]!municipio,$B3,[0]!turno,M$2)</f>
        <v>8</v>
      </c>
      <c r="N3" s="9">
        <f>SUMIFS([0]!psuv,[0]!municipio,$B3,[0]!turno,N$2)</f>
        <v>10</v>
      </c>
      <c r="O3" s="9">
        <f>SUMIFS([0]!psuv,[0]!municipio,$B3,[0]!turno,O$2)</f>
        <v>13</v>
      </c>
      <c r="P3" s="9">
        <f>SUMIFS([0]!psuv,[0]!municipio,$B3,[0]!turno,P$2)</f>
        <v>13</v>
      </c>
      <c r="Q3" s="9">
        <f>SUMIFS([0]!psuv,[0]!municipio,$B3,[0]!turno,Q$2)</f>
        <v>10</v>
      </c>
      <c r="R3" s="9">
        <f>SUMIFS([0]!psuv,[0]!municipio,$B3,[0]!turno,R$2)</f>
        <v>16</v>
      </c>
      <c r="S3" s="9">
        <f>SUMIFS([0]!psuv,[0]!municipio,$B3,[0]!turno,S$2)</f>
        <v>0</v>
      </c>
      <c r="T3" s="9">
        <f>SUMIFS([0]!psuv,[0]!municipio,$B3,[0]!turno,T$2)</f>
        <v>0</v>
      </c>
      <c r="U3" s="9">
        <f>SUMIFS([0]!psuv,[0]!municipio,$B3,[0]!turno,U$2)</f>
        <v>0</v>
      </c>
      <c r="V3" s="9">
        <f>SUMIFS([0]!psuv,[0]!municipio,$B3,[0]!turno,V$2)</f>
        <v>0</v>
      </c>
      <c r="W3" s="25">
        <f>SUMIFS([0]!psuv,[0]!municipio,$B3,[0]!turno,W$2)</f>
        <v>0</v>
      </c>
    </row>
    <row r="4" spans="2:23" x14ac:dyDescent="0.25">
      <c r="B4" s="20" t="s">
        <v>125</v>
      </c>
      <c r="C4" s="4" t="s">
        <v>107</v>
      </c>
      <c r="D4" s="37">
        <f>IF((E3+E4+E5)=0,0,E4/(E3+E4+E5))</f>
        <v>0.48809523809523808</v>
      </c>
      <c r="E4" s="5">
        <f t="shared" si="0"/>
        <v>123</v>
      </c>
      <c r="F4" s="5">
        <f>SUMIFS([0]!mud,[0]!municipio,$B3,[0]!turno,F$2)</f>
        <v>0</v>
      </c>
      <c r="G4" s="5">
        <f>SUMIFS([0]!mud,[0]!municipio,$B3,[0]!turno,G$2)</f>
        <v>6</v>
      </c>
      <c r="H4" s="5">
        <f>SUMIFS([0]!mud,[0]!municipio,$B3,[0]!turno,H$2)</f>
        <v>6</v>
      </c>
      <c r="I4" s="5">
        <f>SUMIFS([0]!mud,[0]!municipio,$B3,[0]!turno,I$2)</f>
        <v>14</v>
      </c>
      <c r="J4" s="5">
        <f>SUMIFS([0]!mud,[0]!municipio,$B3,[0]!turno,J$2)</f>
        <v>9</v>
      </c>
      <c r="K4" s="5">
        <f>SUMIFS([0]!mud,[0]!municipio,$B3,[0]!turno,K$2)</f>
        <v>6</v>
      </c>
      <c r="L4" s="5">
        <f>SUMIFS([0]!mud,[0]!municipio,$B3,[0]!turno,L$2)</f>
        <v>13</v>
      </c>
      <c r="M4" s="5">
        <f>SUMIFS([0]!mud,[0]!municipio,$B3,[0]!turno,M$2)</f>
        <v>6</v>
      </c>
      <c r="N4" s="5">
        <f>SUMIFS([0]!mud,[0]!municipio,$B3,[0]!turno,N$2)</f>
        <v>12</v>
      </c>
      <c r="O4" s="5">
        <f>SUMIFS([0]!mud,[0]!municipio,$B3,[0]!turno,O$2)</f>
        <v>17</v>
      </c>
      <c r="P4" s="5">
        <f>SUMIFS([0]!mud,[0]!municipio,$B3,[0]!turno,P$2)</f>
        <v>13</v>
      </c>
      <c r="Q4" s="5">
        <f>SUMIFS([0]!mud,[0]!municipio,$B3,[0]!turno,Q$2)</f>
        <v>12</v>
      </c>
      <c r="R4" s="5">
        <f>SUMIFS([0]!mud,[0]!municipio,$B3,[0]!turno,R$2)</f>
        <v>9</v>
      </c>
      <c r="S4" s="5">
        <f>SUMIFS([0]!mud,[0]!municipio,$B3,[0]!turno,S$2)</f>
        <v>0</v>
      </c>
      <c r="T4" s="5">
        <f>SUMIFS([0]!mud,[0]!municipio,$B3,[0]!turno,T$2)</f>
        <v>0</v>
      </c>
      <c r="U4" s="5">
        <f>SUMIFS([0]!mud,[0]!municipio,$B3,[0]!turno,U$2)</f>
        <v>0</v>
      </c>
      <c r="V4" s="5">
        <f>SUMIFS([0]!mud,[0]!municipio,$B3,[0]!turno,V$2)</f>
        <v>0</v>
      </c>
      <c r="W4" s="26">
        <f>SUMIFS([0]!mud,[0]!municipio,$B3,[0]!turno,W$2)</f>
        <v>0</v>
      </c>
    </row>
    <row r="5" spans="2:23" ht="15.75" thickBot="1" x14ac:dyDescent="0.3">
      <c r="B5" s="21">
        <v>2.4478842241685395E-2</v>
      </c>
      <c r="C5" s="10" t="s">
        <v>0</v>
      </c>
      <c r="D5" s="38">
        <f>IF((E3+E4+E5)=0,0,E5/(E3+E4+E5))</f>
        <v>0</v>
      </c>
      <c r="E5" s="11">
        <f t="shared" si="0"/>
        <v>0</v>
      </c>
      <c r="F5" s="11">
        <f>SUMIFS([0]!otro,[0]!municipio,$B3,[0]!turno,F$2)</f>
        <v>0</v>
      </c>
      <c r="G5" s="11">
        <f>SUMIFS([0]!otro,[0]!municipio,$B3,[0]!turno,G$2)</f>
        <v>0</v>
      </c>
      <c r="H5" s="11">
        <f>SUMIFS([0]!otro,[0]!municipio,$B3,[0]!turno,H$2)</f>
        <v>0</v>
      </c>
      <c r="I5" s="11">
        <f>SUMIFS([0]!otro,[0]!municipio,$B3,[0]!turno,I$2)</f>
        <v>0</v>
      </c>
      <c r="J5" s="11">
        <f>SUMIFS([0]!otro,[0]!municipio,$B3,[0]!turno,J$2)</f>
        <v>0</v>
      </c>
      <c r="K5" s="11">
        <f>SUMIFS([0]!otro,[0]!municipio,$B3,[0]!turno,K$2)</f>
        <v>0</v>
      </c>
      <c r="L5" s="11">
        <f>SUMIFS([0]!otro,[0]!municipio,$B3,[0]!turno,L$2)</f>
        <v>0</v>
      </c>
      <c r="M5" s="11">
        <f>SUMIFS([0]!otro,[0]!municipio,$B3,[0]!turno,M$2)</f>
        <v>0</v>
      </c>
      <c r="N5" s="11">
        <f>SUMIFS([0]!otro,[0]!municipio,$B3,[0]!turno,N$2)</f>
        <v>0</v>
      </c>
      <c r="O5" s="11">
        <f>SUMIFS([0]!otro,[0]!municipio,$B3,[0]!turno,O$2)</f>
        <v>0</v>
      </c>
      <c r="P5" s="11">
        <f>SUMIFS([0]!otro,[0]!municipio,$B3,[0]!turno,P$2)</f>
        <v>0</v>
      </c>
      <c r="Q5" s="11">
        <f>SUMIFS([0]!otro,[0]!municipio,$B3,[0]!turno,Q$2)</f>
        <v>0</v>
      </c>
      <c r="R5" s="11">
        <f>SUMIFS([0]!otro,[0]!municipio,$B3,[0]!turno,R$2)</f>
        <v>0</v>
      </c>
      <c r="S5" s="11">
        <f>SUMIFS([0]!otro,[0]!municipio,$B3,[0]!turno,S$2)</f>
        <v>0</v>
      </c>
      <c r="T5" s="11">
        <f>SUMIFS([0]!otro,[0]!municipio,$B3,[0]!turno,T$2)</f>
        <v>0</v>
      </c>
      <c r="U5" s="11">
        <f>SUMIFS([0]!otro,[0]!municipio,$B3,[0]!turno,U$2)</f>
        <v>0</v>
      </c>
      <c r="V5" s="11">
        <f>SUMIFS([0]!otro,[0]!municipio,$B3,[0]!turno,V$2)</f>
        <v>0</v>
      </c>
      <c r="W5" s="27">
        <f>SUMIFS([0]!otro,[0]!municipio,$B3,[0]!turno,W$2)</f>
        <v>0</v>
      </c>
    </row>
    <row r="6" spans="2:23" x14ac:dyDescent="0.25">
      <c r="B6" s="22">
        <v>144</v>
      </c>
      <c r="C6" s="6" t="s">
        <v>106</v>
      </c>
      <c r="D6" s="36">
        <f>IF((E6+E7+E8)=0,0,E6/(E6+E7+E8))</f>
        <v>0.48099415204678364</v>
      </c>
      <c r="E6" s="7">
        <f t="shared" si="0"/>
        <v>658</v>
      </c>
      <c r="F6" s="7">
        <f>SUMIFS([0]!psuv,[0]!municipio,$B6,[0]!turno,F$2)</f>
        <v>10</v>
      </c>
      <c r="G6" s="7">
        <f>SUMIFS([0]!psuv,[0]!municipio,$B6,[0]!turno,G$2)</f>
        <v>41</v>
      </c>
      <c r="H6" s="7">
        <f>SUMIFS([0]!psuv,[0]!municipio,$B6,[0]!turno,H$2)</f>
        <v>19</v>
      </c>
      <c r="I6" s="7">
        <f>SUMIFS([0]!psuv,[0]!municipio,$B6,[0]!turno,I$2)</f>
        <v>29</v>
      </c>
      <c r="J6" s="7">
        <f>SUMIFS([0]!psuv,[0]!municipio,$B6,[0]!turno,J$2)</f>
        <v>24</v>
      </c>
      <c r="K6" s="7">
        <f>SUMIFS([0]!psuv,[0]!municipio,$B6,[0]!turno,K$2)</f>
        <v>34</v>
      </c>
      <c r="L6" s="7">
        <f>SUMIFS([0]!psuv,[0]!municipio,$B6,[0]!turno,L$2)</f>
        <v>58</v>
      </c>
      <c r="M6" s="7">
        <f>SUMIFS([0]!psuv,[0]!municipio,$B6,[0]!turno,M$2)</f>
        <v>46</v>
      </c>
      <c r="N6" s="7">
        <f>SUMIFS([0]!psuv,[0]!municipio,$B6,[0]!turno,N$2)</f>
        <v>48</v>
      </c>
      <c r="O6" s="7">
        <f>SUMIFS([0]!psuv,[0]!municipio,$B6,[0]!turno,O$2)</f>
        <v>40</v>
      </c>
      <c r="P6" s="7">
        <f>SUMIFS([0]!psuv,[0]!municipio,$B6,[0]!turno,P$2)</f>
        <v>33</v>
      </c>
      <c r="Q6" s="7">
        <f>SUMIFS([0]!psuv,[0]!municipio,$B6,[0]!turno,Q$2)</f>
        <v>23</v>
      </c>
      <c r="R6" s="7">
        <f>SUMIFS([0]!psuv,[0]!municipio,$B6,[0]!turno,R$2)</f>
        <v>28</v>
      </c>
      <c r="S6" s="7">
        <f>SUMIFS([0]!psuv,[0]!municipio,$B6,[0]!turno,S$2)</f>
        <v>55</v>
      </c>
      <c r="T6" s="7">
        <f>SUMIFS([0]!psuv,[0]!municipio,$B6,[0]!turno,T$2)</f>
        <v>39</v>
      </c>
      <c r="U6" s="7">
        <f>SUMIFS([0]!psuv,[0]!municipio,$B6,[0]!turno,U$2)</f>
        <v>48</v>
      </c>
      <c r="V6" s="7">
        <f>SUMIFS([0]!psuv,[0]!municipio,$B6,[0]!turno,V$2)</f>
        <v>45</v>
      </c>
      <c r="W6" s="28">
        <f>SUMIFS([0]!psuv,[0]!municipio,$B6,[0]!turno,W$2)</f>
        <v>38</v>
      </c>
    </row>
    <row r="7" spans="2:23" x14ac:dyDescent="0.25">
      <c r="B7" s="23" t="s">
        <v>126</v>
      </c>
      <c r="C7" s="4" t="s">
        <v>107</v>
      </c>
      <c r="D7" s="37">
        <f>IF((E6+E7+E8)=0,0,E7/(E6+E7+E8))</f>
        <v>0.51461988304093564</v>
      </c>
      <c r="E7" s="5">
        <f t="shared" si="0"/>
        <v>704</v>
      </c>
      <c r="F7" s="5">
        <f>SUMIFS([0]!mud,[0]!municipio,$B6,[0]!turno,F$2)</f>
        <v>5</v>
      </c>
      <c r="G7" s="5">
        <f>SUMIFS([0]!mud,[0]!municipio,$B6,[0]!turno,G$2)</f>
        <v>68</v>
      </c>
      <c r="H7" s="5">
        <f>SUMIFS([0]!mud,[0]!municipio,$B6,[0]!turno,H$2)</f>
        <v>29</v>
      </c>
      <c r="I7" s="5">
        <f>SUMIFS([0]!mud,[0]!municipio,$B6,[0]!turno,I$2)</f>
        <v>36</v>
      </c>
      <c r="J7" s="5">
        <f>SUMIFS([0]!mud,[0]!municipio,$B6,[0]!turno,J$2)</f>
        <v>37</v>
      </c>
      <c r="K7" s="5">
        <f>SUMIFS([0]!mud,[0]!municipio,$B6,[0]!turno,K$2)</f>
        <v>44</v>
      </c>
      <c r="L7" s="5">
        <f>SUMIFS([0]!mud,[0]!municipio,$B6,[0]!turno,L$2)</f>
        <v>42</v>
      </c>
      <c r="M7" s="5">
        <f>SUMIFS([0]!mud,[0]!municipio,$B6,[0]!turno,M$2)</f>
        <v>44</v>
      </c>
      <c r="N7" s="5">
        <f>SUMIFS([0]!mud,[0]!municipio,$B6,[0]!turno,N$2)</f>
        <v>33</v>
      </c>
      <c r="O7" s="5">
        <f>SUMIFS([0]!mud,[0]!municipio,$B6,[0]!turno,O$2)</f>
        <v>38</v>
      </c>
      <c r="P7" s="5">
        <f>SUMIFS([0]!mud,[0]!municipio,$B6,[0]!turno,P$2)</f>
        <v>51</v>
      </c>
      <c r="Q7" s="5">
        <f>SUMIFS([0]!mud,[0]!municipio,$B6,[0]!turno,Q$2)</f>
        <v>34</v>
      </c>
      <c r="R7" s="5">
        <f>SUMIFS([0]!mud,[0]!municipio,$B6,[0]!turno,R$2)</f>
        <v>33</v>
      </c>
      <c r="S7" s="5">
        <f>SUMIFS([0]!mud,[0]!municipio,$B6,[0]!turno,S$2)</f>
        <v>40</v>
      </c>
      <c r="T7" s="5">
        <f>SUMIFS([0]!mud,[0]!municipio,$B6,[0]!turno,T$2)</f>
        <v>55</v>
      </c>
      <c r="U7" s="5">
        <f>SUMIFS([0]!mud,[0]!municipio,$B6,[0]!turno,U$2)</f>
        <v>41</v>
      </c>
      <c r="V7" s="5">
        <f>SUMIFS([0]!mud,[0]!municipio,$B6,[0]!turno,V$2)</f>
        <v>35</v>
      </c>
      <c r="W7" s="26">
        <f>SUMIFS([0]!mud,[0]!municipio,$B6,[0]!turno,W$2)</f>
        <v>39</v>
      </c>
    </row>
    <row r="8" spans="2:23" ht="15.75" thickBot="1" x14ac:dyDescent="0.3">
      <c r="B8" s="24">
        <v>8.0442123978322871E-2</v>
      </c>
      <c r="C8" s="12" t="s">
        <v>0</v>
      </c>
      <c r="D8" s="38">
        <f>IF((E6+E7+E8)=0,0,E8/(E6+E7+E8))</f>
        <v>4.3859649122807015E-3</v>
      </c>
      <c r="E8" s="13">
        <f t="shared" si="0"/>
        <v>6</v>
      </c>
      <c r="F8" s="13">
        <f>SUMIFS([0]!otro,[0]!municipio,$B6,[0]!turno,F$2)</f>
        <v>0</v>
      </c>
      <c r="G8" s="13">
        <f>SUMIFS([0]!otro,[0]!municipio,$B6,[0]!turno,G$2)</f>
        <v>0</v>
      </c>
      <c r="H8" s="13">
        <f>SUMIFS([0]!otro,[0]!municipio,$B6,[0]!turno,H$2)</f>
        <v>0</v>
      </c>
      <c r="I8" s="13">
        <f>SUMIFS([0]!otro,[0]!municipio,$B6,[0]!turno,I$2)</f>
        <v>0</v>
      </c>
      <c r="J8" s="13">
        <f>SUMIFS([0]!otro,[0]!municipio,$B6,[0]!turno,J$2)</f>
        <v>0</v>
      </c>
      <c r="K8" s="13">
        <f>SUMIFS([0]!otro,[0]!municipio,$B6,[0]!turno,K$2)</f>
        <v>0</v>
      </c>
      <c r="L8" s="13">
        <f>SUMIFS([0]!otro,[0]!municipio,$B6,[0]!turno,L$2)</f>
        <v>0</v>
      </c>
      <c r="M8" s="13">
        <f>SUMIFS([0]!otro,[0]!municipio,$B6,[0]!turno,M$2)</f>
        <v>0</v>
      </c>
      <c r="N8" s="13">
        <f>SUMIFS([0]!otro,[0]!municipio,$B6,[0]!turno,N$2)</f>
        <v>0</v>
      </c>
      <c r="O8" s="13">
        <f>SUMIFS([0]!otro,[0]!municipio,$B6,[0]!turno,O$2)</f>
        <v>0</v>
      </c>
      <c r="P8" s="13">
        <f>SUMIFS([0]!otro,[0]!municipio,$B6,[0]!turno,P$2)</f>
        <v>0</v>
      </c>
      <c r="Q8" s="13">
        <f>SUMIFS([0]!otro,[0]!municipio,$B6,[0]!turno,Q$2)</f>
        <v>3</v>
      </c>
      <c r="R8" s="13">
        <f>SUMIFS([0]!otro,[0]!municipio,$B6,[0]!turno,R$2)</f>
        <v>0</v>
      </c>
      <c r="S8" s="13">
        <f>SUMIFS([0]!otro,[0]!municipio,$B6,[0]!turno,S$2)</f>
        <v>2</v>
      </c>
      <c r="T8" s="13">
        <f>SUMIFS([0]!otro,[0]!municipio,$B6,[0]!turno,T$2)</f>
        <v>0</v>
      </c>
      <c r="U8" s="13">
        <f>SUMIFS([0]!otro,[0]!municipio,$B6,[0]!turno,U$2)</f>
        <v>1</v>
      </c>
      <c r="V8" s="13">
        <f>SUMIFS([0]!otro,[0]!municipio,$B6,[0]!turno,V$2)</f>
        <v>0</v>
      </c>
      <c r="W8" s="29">
        <f>SUMIFS([0]!otro,[0]!municipio,$B6,[0]!turno,W$2)</f>
        <v>0</v>
      </c>
    </row>
    <row r="9" spans="2:23" x14ac:dyDescent="0.25">
      <c r="B9" s="19">
        <v>145</v>
      </c>
      <c r="C9" s="8" t="s">
        <v>106</v>
      </c>
      <c r="D9" s="36">
        <f>IF((E9+E10+E11)=0,0,E9/(E9+E10+E11))</f>
        <v>0.5044776119402985</v>
      </c>
      <c r="E9" s="9">
        <f t="shared" si="0"/>
        <v>338</v>
      </c>
      <c r="F9" s="9">
        <f>SUMIFS([0]!psuv,[0]!municipio,$B9,[0]!turno,F$2)</f>
        <v>4</v>
      </c>
      <c r="G9" s="9">
        <f>SUMIFS([0]!psuv,[0]!municipio,$B9,[0]!turno,G$2)</f>
        <v>4</v>
      </c>
      <c r="H9" s="9">
        <f>SUMIFS([0]!psuv,[0]!municipio,$B9,[0]!turno,H$2)</f>
        <v>0</v>
      </c>
      <c r="I9" s="9">
        <f>SUMIFS([0]!psuv,[0]!municipio,$B9,[0]!turno,I$2)</f>
        <v>2</v>
      </c>
      <c r="J9" s="9">
        <f>SUMIFS([0]!psuv,[0]!municipio,$B9,[0]!turno,J$2)</f>
        <v>27</v>
      </c>
      <c r="K9" s="9">
        <f>SUMIFS([0]!psuv,[0]!municipio,$B9,[0]!turno,K$2)</f>
        <v>20</v>
      </c>
      <c r="L9" s="9">
        <f>SUMIFS([0]!psuv,[0]!municipio,$B9,[0]!turno,L$2)</f>
        <v>11</v>
      </c>
      <c r="M9" s="9">
        <f>SUMIFS([0]!psuv,[0]!municipio,$B9,[0]!turno,M$2)</f>
        <v>28</v>
      </c>
      <c r="N9" s="9">
        <f>SUMIFS([0]!psuv,[0]!municipio,$B9,[0]!turno,N$2)</f>
        <v>29</v>
      </c>
      <c r="O9" s="9">
        <f>SUMIFS([0]!psuv,[0]!municipio,$B9,[0]!turno,O$2)</f>
        <v>24</v>
      </c>
      <c r="P9" s="9">
        <f>SUMIFS([0]!psuv,[0]!municipio,$B9,[0]!turno,P$2)</f>
        <v>23</v>
      </c>
      <c r="Q9" s="9">
        <f>SUMIFS([0]!psuv,[0]!municipio,$B9,[0]!turno,Q$2)</f>
        <v>19</v>
      </c>
      <c r="R9" s="9">
        <f>SUMIFS([0]!psuv,[0]!municipio,$B9,[0]!turno,R$2)</f>
        <v>27</v>
      </c>
      <c r="S9" s="9">
        <f>SUMIFS([0]!psuv,[0]!municipio,$B9,[0]!turno,S$2)</f>
        <v>28</v>
      </c>
      <c r="T9" s="9">
        <f>SUMIFS([0]!psuv,[0]!municipio,$B9,[0]!turno,T$2)</f>
        <v>25</v>
      </c>
      <c r="U9" s="9">
        <f>SUMIFS([0]!psuv,[0]!municipio,$B9,[0]!turno,U$2)</f>
        <v>24</v>
      </c>
      <c r="V9" s="9">
        <f>SUMIFS([0]!psuv,[0]!municipio,$B9,[0]!turno,V$2)</f>
        <v>13</v>
      </c>
      <c r="W9" s="25">
        <f>SUMIFS([0]!psuv,[0]!municipio,$B9,[0]!turno,W$2)</f>
        <v>30</v>
      </c>
    </row>
    <row r="10" spans="2:23" x14ac:dyDescent="0.25">
      <c r="B10" s="20" t="s">
        <v>127</v>
      </c>
      <c r="C10" s="4" t="s">
        <v>107</v>
      </c>
      <c r="D10" s="37">
        <f>IF((E9+E10+E11)=0,0,E10/(E9+E10+E11))</f>
        <v>0.48208955223880595</v>
      </c>
      <c r="E10" s="5">
        <f t="shared" si="0"/>
        <v>323</v>
      </c>
      <c r="F10" s="5">
        <f>SUMIFS([0]!mud,[0]!municipio,$B9,[0]!turno,F$2)</f>
        <v>9</v>
      </c>
      <c r="G10" s="5">
        <f>SUMIFS([0]!mud,[0]!municipio,$B9,[0]!turno,G$2)</f>
        <v>12</v>
      </c>
      <c r="H10" s="5">
        <f>SUMIFS([0]!mud,[0]!municipio,$B9,[0]!turno,H$2)</f>
        <v>0</v>
      </c>
      <c r="I10" s="5">
        <f>SUMIFS([0]!mud,[0]!municipio,$B9,[0]!turno,I$2)</f>
        <v>28</v>
      </c>
      <c r="J10" s="5">
        <f>SUMIFS([0]!mud,[0]!municipio,$B9,[0]!turno,J$2)</f>
        <v>11</v>
      </c>
      <c r="K10" s="5">
        <f>SUMIFS([0]!mud,[0]!municipio,$B9,[0]!turno,K$2)</f>
        <v>12</v>
      </c>
      <c r="L10" s="5">
        <f>SUMIFS([0]!mud,[0]!municipio,$B9,[0]!turno,L$2)</f>
        <v>17</v>
      </c>
      <c r="M10" s="5">
        <f>SUMIFS([0]!mud,[0]!municipio,$B9,[0]!turno,M$2)</f>
        <v>29</v>
      </c>
      <c r="N10" s="5">
        <f>SUMIFS([0]!mud,[0]!municipio,$B9,[0]!turno,N$2)</f>
        <v>24</v>
      </c>
      <c r="O10" s="5">
        <f>SUMIFS([0]!mud,[0]!municipio,$B9,[0]!turno,O$2)</f>
        <v>33</v>
      </c>
      <c r="P10" s="5">
        <f>SUMIFS([0]!mud,[0]!municipio,$B9,[0]!turno,P$2)</f>
        <v>21</v>
      </c>
      <c r="Q10" s="5">
        <f>SUMIFS([0]!mud,[0]!municipio,$B9,[0]!turno,Q$2)</f>
        <v>28</v>
      </c>
      <c r="R10" s="5">
        <f>SUMIFS([0]!mud,[0]!municipio,$B9,[0]!turno,R$2)</f>
        <v>19</v>
      </c>
      <c r="S10" s="5">
        <f>SUMIFS([0]!mud,[0]!municipio,$B9,[0]!turno,S$2)</f>
        <v>17</v>
      </c>
      <c r="T10" s="5">
        <f>SUMIFS([0]!mud,[0]!municipio,$B9,[0]!turno,T$2)</f>
        <v>24</v>
      </c>
      <c r="U10" s="5">
        <f>SUMIFS([0]!mud,[0]!municipio,$B9,[0]!turno,U$2)</f>
        <v>19</v>
      </c>
      <c r="V10" s="5">
        <f>SUMIFS([0]!mud,[0]!municipio,$B9,[0]!turno,V$2)</f>
        <v>8</v>
      </c>
      <c r="W10" s="26">
        <f>SUMIFS([0]!mud,[0]!municipio,$B9,[0]!turno,W$2)</f>
        <v>12</v>
      </c>
    </row>
    <row r="11" spans="2:23" ht="15.75" thickBot="1" x14ac:dyDescent="0.3">
      <c r="B11" s="21">
        <v>3.0297236791213555E-2</v>
      </c>
      <c r="C11" s="10" t="s">
        <v>0</v>
      </c>
      <c r="D11" s="38">
        <f>IF((E9+E10+E11)=0,0,E11/(E9+E10+E11))</f>
        <v>1.3432835820895522E-2</v>
      </c>
      <c r="E11" s="11">
        <f t="shared" si="0"/>
        <v>9</v>
      </c>
      <c r="F11" s="11">
        <f>SUMIFS([0]!otro,[0]!municipio,$B9,[0]!turno,F$2)</f>
        <v>0</v>
      </c>
      <c r="G11" s="11">
        <f>SUMIFS([0]!otro,[0]!municipio,$B9,[0]!turno,G$2)</f>
        <v>0</v>
      </c>
      <c r="H11" s="11">
        <f>SUMIFS([0]!otro,[0]!municipio,$B9,[0]!turno,H$2)</f>
        <v>0</v>
      </c>
      <c r="I11" s="11">
        <f>SUMIFS([0]!otro,[0]!municipio,$B9,[0]!turno,I$2)</f>
        <v>0</v>
      </c>
      <c r="J11" s="11">
        <f>SUMIFS([0]!otro,[0]!municipio,$B9,[0]!turno,J$2)</f>
        <v>0</v>
      </c>
      <c r="K11" s="11">
        <f>SUMIFS([0]!otro,[0]!municipio,$B9,[0]!turno,K$2)</f>
        <v>0</v>
      </c>
      <c r="L11" s="11">
        <f>SUMIFS([0]!otro,[0]!municipio,$B9,[0]!turno,L$2)</f>
        <v>1</v>
      </c>
      <c r="M11" s="11">
        <f>SUMIFS([0]!otro,[0]!municipio,$B9,[0]!turno,M$2)</f>
        <v>0</v>
      </c>
      <c r="N11" s="11">
        <f>SUMIFS([0]!otro,[0]!municipio,$B9,[0]!turno,N$2)</f>
        <v>1</v>
      </c>
      <c r="O11" s="11">
        <f>SUMIFS([0]!otro,[0]!municipio,$B9,[0]!turno,O$2)</f>
        <v>0</v>
      </c>
      <c r="P11" s="11">
        <f>SUMIFS([0]!otro,[0]!municipio,$B9,[0]!turno,P$2)</f>
        <v>4</v>
      </c>
      <c r="Q11" s="11">
        <f>SUMIFS([0]!otro,[0]!municipio,$B9,[0]!turno,Q$2)</f>
        <v>0</v>
      </c>
      <c r="R11" s="11">
        <f>SUMIFS([0]!otro,[0]!municipio,$B9,[0]!turno,R$2)</f>
        <v>3</v>
      </c>
      <c r="S11" s="11">
        <f>SUMIFS([0]!otro,[0]!municipio,$B9,[0]!turno,S$2)</f>
        <v>0</v>
      </c>
      <c r="T11" s="11">
        <f>SUMIFS([0]!otro,[0]!municipio,$B9,[0]!turno,T$2)</f>
        <v>0</v>
      </c>
      <c r="U11" s="11">
        <f>SUMIFS([0]!otro,[0]!municipio,$B9,[0]!turno,U$2)</f>
        <v>0</v>
      </c>
      <c r="V11" s="11">
        <f>SUMIFS([0]!otro,[0]!municipio,$B9,[0]!turno,V$2)</f>
        <v>0</v>
      </c>
      <c r="W11" s="27">
        <f>SUMIFS([0]!otro,[0]!municipio,$B9,[0]!turno,W$2)</f>
        <v>0</v>
      </c>
    </row>
    <row r="12" spans="2:23" x14ac:dyDescent="0.25">
      <c r="B12" s="22">
        <v>146</v>
      </c>
      <c r="C12" s="6" t="s">
        <v>106</v>
      </c>
      <c r="D12" s="36">
        <f>IF((E12+E13+E14)=0,0,E12/(E12+E13+E14))</f>
        <v>0.47445255474452552</v>
      </c>
      <c r="E12" s="7">
        <f t="shared" si="0"/>
        <v>195</v>
      </c>
      <c r="F12" s="7">
        <f>SUMIFS([0]!psuv,[0]!municipio,$B12,[0]!turno,F$2)</f>
        <v>21</v>
      </c>
      <c r="G12" s="7">
        <f>SUMIFS([0]!psuv,[0]!municipio,$B12,[0]!turno,G$2)</f>
        <v>7</v>
      </c>
      <c r="H12" s="7">
        <f>SUMIFS([0]!psuv,[0]!municipio,$B12,[0]!turno,H$2)</f>
        <v>27</v>
      </c>
      <c r="I12" s="7">
        <f>SUMIFS([0]!psuv,[0]!municipio,$B12,[0]!turno,I$2)</f>
        <v>11</v>
      </c>
      <c r="J12" s="7">
        <f>SUMIFS([0]!psuv,[0]!municipio,$B12,[0]!turno,J$2)</f>
        <v>23</v>
      </c>
      <c r="K12" s="7">
        <f>SUMIFS([0]!psuv,[0]!municipio,$B12,[0]!turno,K$2)</f>
        <v>8</v>
      </c>
      <c r="L12" s="7">
        <f>SUMIFS([0]!psuv,[0]!municipio,$B12,[0]!turno,L$2)</f>
        <v>12</v>
      </c>
      <c r="M12" s="7">
        <f>SUMIFS([0]!psuv,[0]!municipio,$B12,[0]!turno,M$2)</f>
        <v>5</v>
      </c>
      <c r="N12" s="7">
        <f>SUMIFS([0]!psuv,[0]!municipio,$B12,[0]!turno,N$2)</f>
        <v>27</v>
      </c>
      <c r="O12" s="7">
        <f>SUMIFS([0]!psuv,[0]!municipio,$B12,[0]!turno,O$2)</f>
        <v>14</v>
      </c>
      <c r="P12" s="7">
        <f>SUMIFS([0]!psuv,[0]!municipio,$B12,[0]!turno,P$2)</f>
        <v>8</v>
      </c>
      <c r="Q12" s="7">
        <f>SUMIFS([0]!psuv,[0]!municipio,$B12,[0]!turno,Q$2)</f>
        <v>8</v>
      </c>
      <c r="R12" s="7">
        <f>SUMIFS([0]!psuv,[0]!municipio,$B12,[0]!turno,R$2)</f>
        <v>6</v>
      </c>
      <c r="S12" s="7">
        <f>SUMIFS([0]!psuv,[0]!municipio,$B12,[0]!turno,S$2)</f>
        <v>1</v>
      </c>
      <c r="T12" s="7">
        <f>SUMIFS([0]!psuv,[0]!municipio,$B12,[0]!turno,T$2)</f>
        <v>1</v>
      </c>
      <c r="U12" s="7">
        <f>SUMIFS([0]!psuv,[0]!municipio,$B12,[0]!turno,U$2)</f>
        <v>1</v>
      </c>
      <c r="V12" s="7">
        <f>SUMIFS([0]!psuv,[0]!municipio,$B12,[0]!turno,V$2)</f>
        <v>6</v>
      </c>
      <c r="W12" s="28">
        <f>SUMIFS([0]!psuv,[0]!municipio,$B12,[0]!turno,W$2)</f>
        <v>9</v>
      </c>
    </row>
    <row r="13" spans="2:23" x14ac:dyDescent="0.25">
      <c r="B13" s="23" t="s">
        <v>128</v>
      </c>
      <c r="C13" s="4" t="s">
        <v>107</v>
      </c>
      <c r="D13" s="37">
        <f>IF((E12+E13+E14)=0,0,E13/(E12+E13+E14))</f>
        <v>0.49635036496350365</v>
      </c>
      <c r="E13" s="5">
        <f t="shared" si="0"/>
        <v>204</v>
      </c>
      <c r="F13" s="5">
        <f>SUMIFS([0]!mud,[0]!municipio,$B12,[0]!turno,F$2)</f>
        <v>23</v>
      </c>
      <c r="G13" s="5">
        <f>SUMIFS([0]!mud,[0]!municipio,$B12,[0]!turno,G$2)</f>
        <v>11</v>
      </c>
      <c r="H13" s="5">
        <f>SUMIFS([0]!mud,[0]!municipio,$B12,[0]!turno,H$2)</f>
        <v>10</v>
      </c>
      <c r="I13" s="5">
        <f>SUMIFS([0]!mud,[0]!municipio,$B12,[0]!turno,I$2)</f>
        <v>26</v>
      </c>
      <c r="J13" s="5">
        <f>SUMIFS([0]!mud,[0]!municipio,$B12,[0]!turno,J$2)</f>
        <v>15</v>
      </c>
      <c r="K13" s="5">
        <f>SUMIFS([0]!mud,[0]!municipio,$B12,[0]!turno,K$2)</f>
        <v>12</v>
      </c>
      <c r="L13" s="5">
        <f>SUMIFS([0]!mud,[0]!municipio,$B12,[0]!turno,L$2)</f>
        <v>10</v>
      </c>
      <c r="M13" s="5">
        <f>SUMIFS([0]!mud,[0]!municipio,$B12,[0]!turno,M$2)</f>
        <v>12</v>
      </c>
      <c r="N13" s="5">
        <f>SUMIFS([0]!mud,[0]!municipio,$B12,[0]!turno,N$2)</f>
        <v>15</v>
      </c>
      <c r="O13" s="5">
        <f>SUMIFS([0]!mud,[0]!municipio,$B12,[0]!turno,O$2)</f>
        <v>9</v>
      </c>
      <c r="P13" s="5">
        <f>SUMIFS([0]!mud,[0]!municipio,$B12,[0]!turno,P$2)</f>
        <v>11</v>
      </c>
      <c r="Q13" s="5">
        <f>SUMIFS([0]!mud,[0]!municipio,$B12,[0]!turno,Q$2)</f>
        <v>9</v>
      </c>
      <c r="R13" s="5">
        <f>SUMIFS([0]!mud,[0]!municipio,$B12,[0]!turno,R$2)</f>
        <v>20</v>
      </c>
      <c r="S13" s="5">
        <f>SUMIFS([0]!mud,[0]!municipio,$B12,[0]!turno,S$2)</f>
        <v>2</v>
      </c>
      <c r="T13" s="5">
        <f>SUMIFS([0]!mud,[0]!municipio,$B12,[0]!turno,T$2)</f>
        <v>4</v>
      </c>
      <c r="U13" s="5">
        <f>SUMIFS([0]!mud,[0]!municipio,$B12,[0]!turno,U$2)</f>
        <v>2</v>
      </c>
      <c r="V13" s="5">
        <f>SUMIFS([0]!mud,[0]!municipio,$B12,[0]!turno,V$2)</f>
        <v>1</v>
      </c>
      <c r="W13" s="26">
        <f>SUMIFS([0]!mud,[0]!municipio,$B12,[0]!turno,W$2)</f>
        <v>12</v>
      </c>
    </row>
    <row r="14" spans="2:23" ht="15.75" thickBot="1" x14ac:dyDescent="0.3">
      <c r="B14" s="24">
        <v>2.7700368539436714E-2</v>
      </c>
      <c r="C14" s="12" t="s">
        <v>0</v>
      </c>
      <c r="D14" s="38">
        <f>IF((E12+E13+E14)=0,0,E14/(E12+E13+E14))</f>
        <v>2.9197080291970802E-2</v>
      </c>
      <c r="E14" s="13">
        <f t="shared" si="0"/>
        <v>12</v>
      </c>
      <c r="F14" s="13">
        <f>SUMIFS([0]!otro,[0]!municipio,$B12,[0]!turno,F$2)</f>
        <v>2</v>
      </c>
      <c r="G14" s="13">
        <f>SUMIFS([0]!otro,[0]!municipio,$B12,[0]!turno,G$2)</f>
        <v>3</v>
      </c>
      <c r="H14" s="13">
        <f>SUMIFS([0]!otro,[0]!municipio,$B12,[0]!turno,H$2)</f>
        <v>0</v>
      </c>
      <c r="I14" s="13">
        <f>SUMIFS([0]!otro,[0]!municipio,$B12,[0]!turno,I$2)</f>
        <v>0</v>
      </c>
      <c r="J14" s="13">
        <f>SUMIFS([0]!otro,[0]!municipio,$B12,[0]!turno,J$2)</f>
        <v>0</v>
      </c>
      <c r="K14" s="13">
        <f>SUMIFS([0]!otro,[0]!municipio,$B12,[0]!turno,K$2)</f>
        <v>0</v>
      </c>
      <c r="L14" s="13">
        <f>SUMIFS([0]!otro,[0]!municipio,$B12,[0]!turno,L$2)</f>
        <v>0</v>
      </c>
      <c r="M14" s="13">
        <f>SUMIFS([0]!otro,[0]!municipio,$B12,[0]!turno,M$2)</f>
        <v>0</v>
      </c>
      <c r="N14" s="13">
        <f>SUMIFS([0]!otro,[0]!municipio,$B12,[0]!turno,N$2)</f>
        <v>0</v>
      </c>
      <c r="O14" s="13">
        <f>SUMIFS([0]!otro,[0]!municipio,$B12,[0]!turno,O$2)</f>
        <v>1</v>
      </c>
      <c r="P14" s="13">
        <f>SUMIFS([0]!otro,[0]!municipio,$B12,[0]!turno,P$2)</f>
        <v>1</v>
      </c>
      <c r="Q14" s="13">
        <f>SUMIFS([0]!otro,[0]!municipio,$B12,[0]!turno,Q$2)</f>
        <v>0</v>
      </c>
      <c r="R14" s="13">
        <f>SUMIFS([0]!otro,[0]!municipio,$B12,[0]!turno,R$2)</f>
        <v>3</v>
      </c>
      <c r="S14" s="13">
        <f>SUMIFS([0]!otro,[0]!municipio,$B12,[0]!turno,S$2)</f>
        <v>0</v>
      </c>
      <c r="T14" s="13">
        <f>SUMIFS([0]!otro,[0]!municipio,$B12,[0]!turno,T$2)</f>
        <v>0</v>
      </c>
      <c r="U14" s="13">
        <f>SUMIFS([0]!otro,[0]!municipio,$B12,[0]!turno,U$2)</f>
        <v>1</v>
      </c>
      <c r="V14" s="13">
        <f>SUMIFS([0]!otro,[0]!municipio,$B12,[0]!turno,V$2)</f>
        <v>0</v>
      </c>
      <c r="W14" s="29">
        <f>SUMIFS([0]!otro,[0]!municipio,$B12,[0]!turno,W$2)</f>
        <v>1</v>
      </c>
    </row>
    <row r="15" spans="2:23" x14ac:dyDescent="0.25">
      <c r="B15" s="19">
        <v>147</v>
      </c>
      <c r="C15" s="8" t="s">
        <v>106</v>
      </c>
      <c r="D15" s="36">
        <f>IF((E15+E16+E17)=0,0,E15/(E15+E16+E17))</f>
        <v>0.50766871165644167</v>
      </c>
      <c r="E15" s="9">
        <f t="shared" si="0"/>
        <v>331</v>
      </c>
      <c r="F15" s="9">
        <f>SUMIFS([0]!psuv,[0]!municipio,$B15,[0]!turno,F$2)</f>
        <v>22</v>
      </c>
      <c r="G15" s="9">
        <f>SUMIFS([0]!psuv,[0]!municipio,$B15,[0]!turno,G$2)</f>
        <v>27</v>
      </c>
      <c r="H15" s="9">
        <f>SUMIFS([0]!psuv,[0]!municipio,$B15,[0]!turno,H$2)</f>
        <v>17</v>
      </c>
      <c r="I15" s="9">
        <f>SUMIFS([0]!psuv,[0]!municipio,$B15,[0]!turno,I$2)</f>
        <v>22</v>
      </c>
      <c r="J15" s="9">
        <f>SUMIFS([0]!psuv,[0]!municipio,$B15,[0]!turno,J$2)</f>
        <v>33</v>
      </c>
      <c r="K15" s="9">
        <f>SUMIFS([0]!psuv,[0]!municipio,$B15,[0]!turno,K$2)</f>
        <v>19</v>
      </c>
      <c r="L15" s="9">
        <f>SUMIFS([0]!psuv,[0]!municipio,$B15,[0]!turno,L$2)</f>
        <v>35</v>
      </c>
      <c r="M15" s="9">
        <f>SUMIFS([0]!psuv,[0]!municipio,$B15,[0]!turno,M$2)</f>
        <v>26</v>
      </c>
      <c r="N15" s="9">
        <f>SUMIFS([0]!psuv,[0]!municipio,$B15,[0]!turno,N$2)</f>
        <v>30</v>
      </c>
      <c r="O15" s="9">
        <f>SUMIFS([0]!psuv,[0]!municipio,$B15,[0]!turno,O$2)</f>
        <v>12</v>
      </c>
      <c r="P15" s="9">
        <f>SUMIFS([0]!psuv,[0]!municipio,$B15,[0]!turno,P$2)</f>
        <v>20</v>
      </c>
      <c r="Q15" s="9">
        <f>SUMIFS([0]!psuv,[0]!municipio,$B15,[0]!turno,Q$2)</f>
        <v>14</v>
      </c>
      <c r="R15" s="9">
        <f>SUMIFS([0]!psuv,[0]!municipio,$B15,[0]!turno,R$2)</f>
        <v>13</v>
      </c>
      <c r="S15" s="9">
        <f>SUMIFS([0]!psuv,[0]!municipio,$B15,[0]!turno,S$2)</f>
        <v>12</v>
      </c>
      <c r="T15" s="9">
        <f>SUMIFS([0]!psuv,[0]!municipio,$B15,[0]!turno,T$2)</f>
        <v>16</v>
      </c>
      <c r="U15" s="9">
        <f>SUMIFS([0]!psuv,[0]!municipio,$B15,[0]!turno,U$2)</f>
        <v>8</v>
      </c>
      <c r="V15" s="9">
        <f>SUMIFS([0]!psuv,[0]!municipio,$B15,[0]!turno,V$2)</f>
        <v>5</v>
      </c>
      <c r="W15" s="25">
        <f>SUMIFS([0]!psuv,[0]!municipio,$B15,[0]!turno,W$2)</f>
        <v>0</v>
      </c>
    </row>
    <row r="16" spans="2:23" ht="22.5" x14ac:dyDescent="0.25">
      <c r="B16" s="20" t="s">
        <v>129</v>
      </c>
      <c r="C16" s="4" t="s">
        <v>107</v>
      </c>
      <c r="D16" s="37">
        <f>IF((E15+E16+E17)=0,0,E16/(E15+E16+E17))</f>
        <v>0.48619631901840493</v>
      </c>
      <c r="E16" s="5">
        <f t="shared" si="0"/>
        <v>317</v>
      </c>
      <c r="F16" s="5">
        <f>SUMIFS([0]!mud,[0]!municipio,$B15,[0]!turno,F$2)</f>
        <v>21</v>
      </c>
      <c r="G16" s="5">
        <f>SUMIFS([0]!mud,[0]!municipio,$B15,[0]!turno,G$2)</f>
        <v>31</v>
      </c>
      <c r="H16" s="5">
        <f>SUMIFS([0]!mud,[0]!municipio,$B15,[0]!turno,H$2)</f>
        <v>13</v>
      </c>
      <c r="I16" s="5">
        <f>SUMIFS([0]!mud,[0]!municipio,$B15,[0]!turno,I$2)</f>
        <v>25</v>
      </c>
      <c r="J16" s="5">
        <f>SUMIFS([0]!mud,[0]!municipio,$B15,[0]!turno,J$2)</f>
        <v>25</v>
      </c>
      <c r="K16" s="5">
        <f>SUMIFS([0]!mud,[0]!municipio,$B15,[0]!turno,K$2)</f>
        <v>11</v>
      </c>
      <c r="L16" s="5">
        <f>SUMIFS([0]!mud,[0]!municipio,$B15,[0]!turno,L$2)</f>
        <v>25</v>
      </c>
      <c r="M16" s="5">
        <f>SUMIFS([0]!mud,[0]!municipio,$B15,[0]!turno,M$2)</f>
        <v>19</v>
      </c>
      <c r="N16" s="5">
        <f>SUMIFS([0]!mud,[0]!municipio,$B15,[0]!turno,N$2)</f>
        <v>23</v>
      </c>
      <c r="O16" s="5">
        <f>SUMIFS([0]!mud,[0]!municipio,$B15,[0]!turno,O$2)</f>
        <v>24</v>
      </c>
      <c r="P16" s="5">
        <f>SUMIFS([0]!mud,[0]!municipio,$B15,[0]!turno,P$2)</f>
        <v>20</v>
      </c>
      <c r="Q16" s="5">
        <f>SUMIFS([0]!mud,[0]!municipio,$B15,[0]!turno,Q$2)</f>
        <v>16</v>
      </c>
      <c r="R16" s="5">
        <f>SUMIFS([0]!mud,[0]!municipio,$B15,[0]!turno,R$2)</f>
        <v>17</v>
      </c>
      <c r="S16" s="5">
        <f>SUMIFS([0]!mud,[0]!municipio,$B15,[0]!turno,S$2)</f>
        <v>17</v>
      </c>
      <c r="T16" s="5">
        <f>SUMIFS([0]!mud,[0]!municipio,$B15,[0]!turno,T$2)</f>
        <v>13</v>
      </c>
      <c r="U16" s="5">
        <f>SUMIFS([0]!mud,[0]!municipio,$B15,[0]!turno,U$2)</f>
        <v>5</v>
      </c>
      <c r="V16" s="5">
        <f>SUMIFS([0]!mud,[0]!municipio,$B15,[0]!turno,V$2)</f>
        <v>11</v>
      </c>
      <c r="W16" s="26">
        <f>SUMIFS([0]!mud,[0]!municipio,$B15,[0]!turno,W$2)</f>
        <v>1</v>
      </c>
    </row>
    <row r="17" spans="2:23" ht="15.75" thickBot="1" x14ac:dyDescent="0.3">
      <c r="B17" s="21">
        <v>2.837304331814125E-2</v>
      </c>
      <c r="C17" s="10" t="s">
        <v>0</v>
      </c>
      <c r="D17" s="38">
        <f>IF((E15+E16+E17)=0,0,E17/(E15+E16+E17))</f>
        <v>6.1349693251533744E-3</v>
      </c>
      <c r="E17" s="11">
        <f t="shared" si="0"/>
        <v>4</v>
      </c>
      <c r="F17" s="11">
        <f>SUMIFS([0]!otro,[0]!municipio,$B15,[0]!turno,F$2)</f>
        <v>0</v>
      </c>
      <c r="G17" s="11">
        <f>SUMIFS([0]!otro,[0]!municipio,$B15,[0]!turno,G$2)</f>
        <v>0</v>
      </c>
      <c r="H17" s="11">
        <f>SUMIFS([0]!otro,[0]!municipio,$B15,[0]!turno,H$2)</f>
        <v>0</v>
      </c>
      <c r="I17" s="11">
        <f>SUMIFS([0]!otro,[0]!municipio,$B15,[0]!turno,I$2)</f>
        <v>1</v>
      </c>
      <c r="J17" s="11">
        <f>SUMIFS([0]!otro,[0]!municipio,$B15,[0]!turno,J$2)</f>
        <v>0</v>
      </c>
      <c r="K17" s="11">
        <f>SUMIFS([0]!otro,[0]!municipio,$B15,[0]!turno,K$2)</f>
        <v>2</v>
      </c>
      <c r="L17" s="11">
        <f>SUMIFS([0]!otro,[0]!municipio,$B15,[0]!turno,L$2)</f>
        <v>0</v>
      </c>
      <c r="M17" s="11">
        <f>SUMIFS([0]!otro,[0]!municipio,$B15,[0]!turno,M$2)</f>
        <v>1</v>
      </c>
      <c r="N17" s="11">
        <f>SUMIFS([0]!otro,[0]!municipio,$B15,[0]!turno,N$2)</f>
        <v>0</v>
      </c>
      <c r="O17" s="11">
        <f>SUMIFS([0]!otro,[0]!municipio,$B15,[0]!turno,O$2)</f>
        <v>0</v>
      </c>
      <c r="P17" s="11">
        <f>SUMIFS([0]!otro,[0]!municipio,$B15,[0]!turno,P$2)</f>
        <v>0</v>
      </c>
      <c r="Q17" s="11">
        <f>SUMIFS([0]!otro,[0]!municipio,$B15,[0]!turno,Q$2)</f>
        <v>0</v>
      </c>
      <c r="R17" s="11">
        <f>SUMIFS([0]!otro,[0]!municipio,$B15,[0]!turno,R$2)</f>
        <v>0</v>
      </c>
      <c r="S17" s="11">
        <f>SUMIFS([0]!otro,[0]!municipio,$B15,[0]!turno,S$2)</f>
        <v>0</v>
      </c>
      <c r="T17" s="11">
        <f>SUMIFS([0]!otro,[0]!municipio,$B15,[0]!turno,T$2)</f>
        <v>0</v>
      </c>
      <c r="U17" s="11">
        <f>SUMIFS([0]!otro,[0]!municipio,$B15,[0]!turno,U$2)</f>
        <v>0</v>
      </c>
      <c r="V17" s="11">
        <f>SUMIFS([0]!otro,[0]!municipio,$B15,[0]!turno,V$2)</f>
        <v>0</v>
      </c>
      <c r="W17" s="27">
        <f>SUMIFS([0]!otro,[0]!municipio,$B15,[0]!turno,W$2)</f>
        <v>0</v>
      </c>
    </row>
    <row r="18" spans="2:23" x14ac:dyDescent="0.25">
      <c r="B18" s="22">
        <v>148</v>
      </c>
      <c r="C18" s="6" t="s">
        <v>106</v>
      </c>
      <c r="D18" s="36">
        <f>IF((E18+E19+E20)=0,0,E18/(E18+E19+E20))</f>
        <v>0.5</v>
      </c>
      <c r="E18" s="7">
        <f t="shared" si="0"/>
        <v>202</v>
      </c>
      <c r="F18" s="7">
        <f>SUMIFS([0]!psuv,[0]!municipio,$B18,[0]!turno,F$2)</f>
        <v>17</v>
      </c>
      <c r="G18" s="7">
        <f>SUMIFS([0]!psuv,[0]!municipio,$B18,[0]!turno,G$2)</f>
        <v>15</v>
      </c>
      <c r="H18" s="7">
        <f>SUMIFS([0]!psuv,[0]!municipio,$B18,[0]!turno,H$2)</f>
        <v>10</v>
      </c>
      <c r="I18" s="7">
        <f>SUMIFS([0]!psuv,[0]!municipio,$B18,[0]!turno,I$2)</f>
        <v>17</v>
      </c>
      <c r="J18" s="7">
        <f>SUMIFS([0]!psuv,[0]!municipio,$B18,[0]!turno,J$2)</f>
        <v>12</v>
      </c>
      <c r="K18" s="7">
        <f>SUMIFS([0]!psuv,[0]!municipio,$B18,[0]!turno,K$2)</f>
        <v>14</v>
      </c>
      <c r="L18" s="7">
        <f>SUMIFS([0]!psuv,[0]!municipio,$B18,[0]!turno,L$2)</f>
        <v>18</v>
      </c>
      <c r="M18" s="7">
        <f>SUMIFS([0]!psuv,[0]!municipio,$B18,[0]!turno,M$2)</f>
        <v>8</v>
      </c>
      <c r="N18" s="7">
        <f>SUMIFS([0]!psuv,[0]!municipio,$B18,[0]!turno,N$2)</f>
        <v>11</v>
      </c>
      <c r="O18" s="7">
        <f>SUMIFS([0]!psuv,[0]!municipio,$B18,[0]!turno,O$2)</f>
        <v>12</v>
      </c>
      <c r="P18" s="7">
        <f>SUMIFS([0]!psuv,[0]!municipio,$B18,[0]!turno,P$2)</f>
        <v>0</v>
      </c>
      <c r="Q18" s="7">
        <f>SUMIFS([0]!psuv,[0]!municipio,$B18,[0]!turno,Q$2)</f>
        <v>16</v>
      </c>
      <c r="R18" s="7">
        <f>SUMIFS([0]!psuv,[0]!municipio,$B18,[0]!turno,R$2)</f>
        <v>13</v>
      </c>
      <c r="S18" s="7">
        <f>SUMIFS([0]!psuv,[0]!municipio,$B18,[0]!turno,S$2)</f>
        <v>8</v>
      </c>
      <c r="T18" s="7">
        <f>SUMIFS([0]!psuv,[0]!municipio,$B18,[0]!turno,T$2)</f>
        <v>11</v>
      </c>
      <c r="U18" s="7">
        <f>SUMIFS([0]!psuv,[0]!municipio,$B18,[0]!turno,U$2)</f>
        <v>0</v>
      </c>
      <c r="V18" s="7">
        <f>SUMIFS([0]!psuv,[0]!municipio,$B18,[0]!turno,V$2)</f>
        <v>16</v>
      </c>
      <c r="W18" s="28">
        <f>SUMIFS([0]!psuv,[0]!municipio,$B18,[0]!turno,W$2)</f>
        <v>4</v>
      </c>
    </row>
    <row r="19" spans="2:23" ht="22.5" x14ac:dyDescent="0.25">
      <c r="B19" s="23" t="s">
        <v>130</v>
      </c>
      <c r="C19" s="4" t="s">
        <v>107</v>
      </c>
      <c r="D19" s="37">
        <f>IF((E18+E19+E20)=0,0,E19/(E18+E19+E20))</f>
        <v>0.49752475247524752</v>
      </c>
      <c r="E19" s="5">
        <f t="shared" si="0"/>
        <v>201</v>
      </c>
      <c r="F19" s="5">
        <f>SUMIFS([0]!mud,[0]!municipio,$B18,[0]!turno,F$2)</f>
        <v>12</v>
      </c>
      <c r="G19" s="5">
        <f>SUMIFS([0]!mud,[0]!municipio,$B18,[0]!turno,G$2)</f>
        <v>15</v>
      </c>
      <c r="H19" s="5">
        <f>SUMIFS([0]!mud,[0]!municipio,$B18,[0]!turno,H$2)</f>
        <v>20</v>
      </c>
      <c r="I19" s="5">
        <f>SUMIFS([0]!mud,[0]!municipio,$B18,[0]!turno,I$2)</f>
        <v>13</v>
      </c>
      <c r="J19" s="5">
        <f>SUMIFS([0]!mud,[0]!municipio,$B18,[0]!turno,J$2)</f>
        <v>16</v>
      </c>
      <c r="K19" s="5">
        <f>SUMIFS([0]!mud,[0]!municipio,$B18,[0]!turno,K$2)</f>
        <v>16</v>
      </c>
      <c r="L19" s="5">
        <f>SUMIFS([0]!mud,[0]!municipio,$B18,[0]!turno,L$2)</f>
        <v>12</v>
      </c>
      <c r="M19" s="5">
        <f>SUMIFS([0]!mud,[0]!municipio,$B18,[0]!turno,M$2)</f>
        <v>15</v>
      </c>
      <c r="N19" s="5">
        <f>SUMIFS([0]!mud,[0]!municipio,$B18,[0]!turno,N$2)</f>
        <v>17</v>
      </c>
      <c r="O19" s="5">
        <f>SUMIFS([0]!mud,[0]!municipio,$B18,[0]!turno,O$2)</f>
        <v>10</v>
      </c>
      <c r="P19" s="5">
        <f>SUMIFS([0]!mud,[0]!municipio,$B18,[0]!turno,P$2)</f>
        <v>0</v>
      </c>
      <c r="Q19" s="5">
        <f>SUMIFS([0]!mud,[0]!municipio,$B18,[0]!turno,Q$2)</f>
        <v>11</v>
      </c>
      <c r="R19" s="5">
        <f>SUMIFS([0]!mud,[0]!municipio,$B18,[0]!turno,R$2)</f>
        <v>5</v>
      </c>
      <c r="S19" s="5">
        <f>SUMIFS([0]!mud,[0]!municipio,$B18,[0]!turno,S$2)</f>
        <v>9</v>
      </c>
      <c r="T19" s="5">
        <f>SUMIFS([0]!mud,[0]!municipio,$B18,[0]!turno,T$2)</f>
        <v>13</v>
      </c>
      <c r="U19" s="5">
        <f>SUMIFS([0]!mud,[0]!municipio,$B18,[0]!turno,U$2)</f>
        <v>0</v>
      </c>
      <c r="V19" s="5">
        <f>SUMIFS([0]!mud,[0]!municipio,$B18,[0]!turno,V$2)</f>
        <v>14</v>
      </c>
      <c r="W19" s="26">
        <f>SUMIFS([0]!mud,[0]!municipio,$B18,[0]!turno,W$2)</f>
        <v>3</v>
      </c>
    </row>
    <row r="20" spans="2:23" ht="15.75" thickBot="1" x14ac:dyDescent="0.3">
      <c r="B20" s="24">
        <v>2.0614596558125357E-2</v>
      </c>
      <c r="C20" s="12" t="s">
        <v>0</v>
      </c>
      <c r="D20" s="38">
        <f>IF((E18+E19+E20)=0,0,E20/(E18+E19+E20))</f>
        <v>2.4752475247524753E-3</v>
      </c>
      <c r="E20" s="13">
        <f t="shared" si="0"/>
        <v>1</v>
      </c>
      <c r="F20" s="13">
        <f>SUMIFS([0]!otro,[0]!municipio,$B18,[0]!turno,F$2)</f>
        <v>0</v>
      </c>
      <c r="G20" s="13">
        <f>SUMIFS([0]!otro,[0]!municipio,$B18,[0]!turno,G$2)</f>
        <v>0</v>
      </c>
      <c r="H20" s="13">
        <f>SUMIFS([0]!otro,[0]!municipio,$B18,[0]!turno,H$2)</f>
        <v>0</v>
      </c>
      <c r="I20" s="13">
        <f>SUMIFS([0]!otro,[0]!municipio,$B18,[0]!turno,I$2)</f>
        <v>0</v>
      </c>
      <c r="J20" s="13">
        <f>SUMIFS([0]!otro,[0]!municipio,$B18,[0]!turno,J$2)</f>
        <v>0</v>
      </c>
      <c r="K20" s="13">
        <f>SUMIFS([0]!otro,[0]!municipio,$B18,[0]!turno,K$2)</f>
        <v>0</v>
      </c>
      <c r="L20" s="13">
        <f>SUMIFS([0]!otro,[0]!municipio,$B18,[0]!turno,L$2)</f>
        <v>0</v>
      </c>
      <c r="M20" s="13">
        <f>SUMIFS([0]!otro,[0]!municipio,$B18,[0]!turno,M$2)</f>
        <v>0</v>
      </c>
      <c r="N20" s="13">
        <f>SUMIFS([0]!otro,[0]!municipio,$B18,[0]!turno,N$2)</f>
        <v>0</v>
      </c>
      <c r="O20" s="13">
        <f>SUMIFS([0]!otro,[0]!municipio,$B18,[0]!turno,O$2)</f>
        <v>0</v>
      </c>
      <c r="P20" s="13">
        <f>SUMIFS([0]!otro,[0]!municipio,$B18,[0]!turno,P$2)</f>
        <v>0</v>
      </c>
      <c r="Q20" s="13">
        <f>SUMIFS([0]!otro,[0]!municipio,$B18,[0]!turno,Q$2)</f>
        <v>0</v>
      </c>
      <c r="R20" s="13">
        <f>SUMIFS([0]!otro,[0]!municipio,$B18,[0]!turno,R$2)</f>
        <v>0</v>
      </c>
      <c r="S20" s="13">
        <f>SUMIFS([0]!otro,[0]!municipio,$B18,[0]!turno,S$2)</f>
        <v>0</v>
      </c>
      <c r="T20" s="13">
        <f>SUMIFS([0]!otro,[0]!municipio,$B18,[0]!turno,T$2)</f>
        <v>0</v>
      </c>
      <c r="U20" s="13">
        <f>SUMIFS([0]!otro,[0]!municipio,$B18,[0]!turno,U$2)</f>
        <v>0</v>
      </c>
      <c r="V20" s="13">
        <f>SUMIFS([0]!otro,[0]!municipio,$B18,[0]!turno,V$2)</f>
        <v>0</v>
      </c>
      <c r="W20" s="29">
        <f>SUMIFS([0]!otro,[0]!municipio,$B18,[0]!turno,W$2)</f>
        <v>1</v>
      </c>
    </row>
    <row r="21" spans="2:23" x14ac:dyDescent="0.25">
      <c r="B21" s="19">
        <v>149</v>
      </c>
      <c r="C21" s="8" t="s">
        <v>106</v>
      </c>
      <c r="D21" s="36">
        <f>IF((E21+E22+E23)=0,0,E21/(E21+E22+E23))</f>
        <v>0.69784172661870503</v>
      </c>
      <c r="E21" s="9">
        <f t="shared" si="0"/>
        <v>388</v>
      </c>
      <c r="F21" s="9">
        <f>SUMIFS([0]!psuv,[0]!municipio,$B21,[0]!turno,F$2)</f>
        <v>0</v>
      </c>
      <c r="G21" s="9">
        <f>SUMIFS([0]!psuv,[0]!municipio,$B21,[0]!turno,G$2)</f>
        <v>22</v>
      </c>
      <c r="H21" s="9">
        <f>SUMIFS([0]!psuv,[0]!municipio,$B21,[0]!turno,H$2)</f>
        <v>26</v>
      </c>
      <c r="I21" s="9">
        <f>SUMIFS([0]!psuv,[0]!municipio,$B21,[0]!turno,I$2)</f>
        <v>15</v>
      </c>
      <c r="J21" s="9">
        <f>SUMIFS([0]!psuv,[0]!municipio,$B21,[0]!turno,J$2)</f>
        <v>10</v>
      </c>
      <c r="K21" s="9">
        <f>SUMIFS([0]!psuv,[0]!municipio,$B21,[0]!turno,K$2)</f>
        <v>1</v>
      </c>
      <c r="L21" s="9">
        <f>SUMIFS([0]!psuv,[0]!municipio,$B21,[0]!turno,L$2)</f>
        <v>6</v>
      </c>
      <c r="M21" s="9">
        <f>SUMIFS([0]!psuv,[0]!municipio,$B21,[0]!turno,M$2)</f>
        <v>31</v>
      </c>
      <c r="N21" s="9">
        <f>SUMIFS([0]!psuv,[0]!municipio,$B21,[0]!turno,N$2)</f>
        <v>31</v>
      </c>
      <c r="O21" s="9">
        <f>SUMIFS([0]!psuv,[0]!municipio,$B21,[0]!turno,O$2)</f>
        <v>27</v>
      </c>
      <c r="P21" s="9">
        <f>SUMIFS([0]!psuv,[0]!municipio,$B21,[0]!turno,P$2)</f>
        <v>32</v>
      </c>
      <c r="Q21" s="9">
        <f>SUMIFS([0]!psuv,[0]!municipio,$B21,[0]!turno,Q$2)</f>
        <v>29</v>
      </c>
      <c r="R21" s="9">
        <f>SUMIFS([0]!psuv,[0]!municipio,$B21,[0]!turno,R$2)</f>
        <v>16</v>
      </c>
      <c r="S21" s="9">
        <f>SUMIFS([0]!psuv,[0]!municipio,$B21,[0]!turno,S$2)</f>
        <v>32</v>
      </c>
      <c r="T21" s="9">
        <f>SUMIFS([0]!psuv,[0]!municipio,$B21,[0]!turno,T$2)</f>
        <v>20</v>
      </c>
      <c r="U21" s="9">
        <f>SUMIFS([0]!psuv,[0]!municipio,$B21,[0]!turno,U$2)</f>
        <v>27</v>
      </c>
      <c r="V21" s="9">
        <f>SUMIFS([0]!psuv,[0]!municipio,$B21,[0]!turno,V$2)</f>
        <v>34</v>
      </c>
      <c r="W21" s="25">
        <f>SUMIFS([0]!psuv,[0]!municipio,$B21,[0]!turno,W$2)</f>
        <v>29</v>
      </c>
    </row>
    <row r="22" spans="2:23" x14ac:dyDescent="0.25">
      <c r="B22" s="20" t="s">
        <v>131</v>
      </c>
      <c r="C22" s="4" t="s">
        <v>107</v>
      </c>
      <c r="D22" s="37">
        <f>IF((E21+E22+E23)=0,0,E22/(E21+E22+E23))</f>
        <v>0.28776978417266186</v>
      </c>
      <c r="E22" s="5">
        <f t="shared" si="0"/>
        <v>160</v>
      </c>
      <c r="F22" s="5">
        <f>SUMIFS([0]!mud,[0]!municipio,$B21,[0]!turno,F$2)</f>
        <v>0</v>
      </c>
      <c r="G22" s="5">
        <f>SUMIFS([0]!mud,[0]!municipio,$B21,[0]!turno,G$2)</f>
        <v>4</v>
      </c>
      <c r="H22" s="5">
        <f>SUMIFS([0]!mud,[0]!municipio,$B21,[0]!turno,H$2)</f>
        <v>15</v>
      </c>
      <c r="I22" s="5">
        <f>SUMIFS([0]!mud,[0]!municipio,$B21,[0]!turno,I$2)</f>
        <v>9</v>
      </c>
      <c r="J22" s="5">
        <f>SUMIFS([0]!mud,[0]!municipio,$B21,[0]!turno,J$2)</f>
        <v>6</v>
      </c>
      <c r="K22" s="5">
        <f>SUMIFS([0]!mud,[0]!municipio,$B21,[0]!turno,K$2)</f>
        <v>2</v>
      </c>
      <c r="L22" s="5">
        <f>SUMIFS([0]!mud,[0]!municipio,$B21,[0]!turno,L$2)</f>
        <v>2</v>
      </c>
      <c r="M22" s="5">
        <f>SUMIFS([0]!mud,[0]!municipio,$B21,[0]!turno,M$2)</f>
        <v>2</v>
      </c>
      <c r="N22" s="5">
        <f>SUMIFS([0]!mud,[0]!municipio,$B21,[0]!turno,N$2)</f>
        <v>9</v>
      </c>
      <c r="O22" s="5">
        <f>SUMIFS([0]!mud,[0]!municipio,$B21,[0]!turno,O$2)</f>
        <v>9</v>
      </c>
      <c r="P22" s="5">
        <f>SUMIFS([0]!mud,[0]!municipio,$B21,[0]!turno,P$2)</f>
        <v>15</v>
      </c>
      <c r="Q22" s="5">
        <f>SUMIFS([0]!mud,[0]!municipio,$B21,[0]!turno,Q$2)</f>
        <v>12</v>
      </c>
      <c r="R22" s="5">
        <f>SUMIFS([0]!mud,[0]!municipio,$B21,[0]!turno,R$2)</f>
        <v>5</v>
      </c>
      <c r="S22" s="5">
        <f>SUMIFS([0]!mud,[0]!municipio,$B21,[0]!turno,S$2)</f>
        <v>6</v>
      </c>
      <c r="T22" s="5">
        <f>SUMIFS([0]!mud,[0]!municipio,$B21,[0]!turno,T$2)</f>
        <v>14</v>
      </c>
      <c r="U22" s="5">
        <f>SUMIFS([0]!mud,[0]!municipio,$B21,[0]!turno,U$2)</f>
        <v>20</v>
      </c>
      <c r="V22" s="5">
        <f>SUMIFS([0]!mud,[0]!municipio,$B21,[0]!turno,V$2)</f>
        <v>22</v>
      </c>
      <c r="W22" s="26">
        <f>SUMIFS([0]!mud,[0]!municipio,$B21,[0]!turno,W$2)</f>
        <v>8</v>
      </c>
    </row>
    <row r="23" spans="2:23" ht="15.75" thickBot="1" x14ac:dyDescent="0.3">
      <c r="B23" s="21">
        <v>5.4353619888971215E-2</v>
      </c>
      <c r="C23" s="10" t="s">
        <v>0</v>
      </c>
      <c r="D23" s="38">
        <f>IF((E21+E22+E23)=0,0,E23/(E21+E22+E23))</f>
        <v>1.4388489208633094E-2</v>
      </c>
      <c r="E23" s="11">
        <f t="shared" si="0"/>
        <v>8</v>
      </c>
      <c r="F23" s="11">
        <f>SUMIFS([0]!otro,[0]!municipio,$B21,[0]!turno,F$2)</f>
        <v>0</v>
      </c>
      <c r="G23" s="11">
        <f>SUMIFS([0]!otro,[0]!municipio,$B21,[0]!turno,G$2)</f>
        <v>8</v>
      </c>
      <c r="H23" s="11">
        <f>SUMIFS([0]!otro,[0]!municipio,$B21,[0]!turno,H$2)</f>
        <v>0</v>
      </c>
      <c r="I23" s="11">
        <f>SUMIFS([0]!otro,[0]!municipio,$B21,[0]!turno,I$2)</f>
        <v>0</v>
      </c>
      <c r="J23" s="11">
        <f>SUMIFS([0]!otro,[0]!municipio,$B21,[0]!turno,J$2)</f>
        <v>0</v>
      </c>
      <c r="K23" s="11">
        <f>SUMIFS([0]!otro,[0]!municipio,$B21,[0]!turno,K$2)</f>
        <v>0</v>
      </c>
      <c r="L23" s="11">
        <f>SUMIFS([0]!otro,[0]!municipio,$B21,[0]!turno,L$2)</f>
        <v>0</v>
      </c>
      <c r="M23" s="11">
        <f>SUMIFS([0]!otro,[0]!municipio,$B21,[0]!turno,M$2)</f>
        <v>0</v>
      </c>
      <c r="N23" s="11">
        <f>SUMIFS([0]!otro,[0]!municipio,$B21,[0]!turno,N$2)</f>
        <v>0</v>
      </c>
      <c r="O23" s="11">
        <f>SUMIFS([0]!otro,[0]!municipio,$B21,[0]!turno,O$2)</f>
        <v>0</v>
      </c>
      <c r="P23" s="11">
        <f>SUMIFS([0]!otro,[0]!municipio,$B21,[0]!turno,P$2)</f>
        <v>0</v>
      </c>
      <c r="Q23" s="11">
        <f>SUMIFS([0]!otro,[0]!municipio,$B21,[0]!turno,Q$2)</f>
        <v>0</v>
      </c>
      <c r="R23" s="11">
        <f>SUMIFS([0]!otro,[0]!municipio,$B21,[0]!turno,R$2)</f>
        <v>0</v>
      </c>
      <c r="S23" s="11">
        <f>SUMIFS([0]!otro,[0]!municipio,$B21,[0]!turno,S$2)</f>
        <v>0</v>
      </c>
      <c r="T23" s="11">
        <f>SUMIFS([0]!otro,[0]!municipio,$B21,[0]!turno,T$2)</f>
        <v>0</v>
      </c>
      <c r="U23" s="11">
        <f>SUMIFS([0]!otro,[0]!municipio,$B21,[0]!turno,U$2)</f>
        <v>0</v>
      </c>
      <c r="V23" s="11">
        <f>SUMIFS([0]!otro,[0]!municipio,$B21,[0]!turno,V$2)</f>
        <v>0</v>
      </c>
      <c r="W23" s="27">
        <f>SUMIFS([0]!otro,[0]!municipio,$B21,[0]!turno,W$2)</f>
        <v>0</v>
      </c>
    </row>
    <row r="24" spans="2:23" x14ac:dyDescent="0.25">
      <c r="B24" s="22">
        <v>150</v>
      </c>
      <c r="C24" s="6" t="s">
        <v>106</v>
      </c>
      <c r="D24" s="36">
        <f>IF((E24+E25+E26)=0,0,E24/(E24+E25+E26))</f>
        <v>0.39461883408071746</v>
      </c>
      <c r="E24" s="7">
        <f t="shared" si="0"/>
        <v>88</v>
      </c>
      <c r="F24" s="7">
        <f>SUMIFS([0]!psuv,[0]!municipio,$B24,[0]!turno,F$2)</f>
        <v>11</v>
      </c>
      <c r="G24" s="7">
        <f>SUMIFS([0]!psuv,[0]!municipio,$B24,[0]!turno,G$2)</f>
        <v>6</v>
      </c>
      <c r="H24" s="7">
        <f>SUMIFS([0]!psuv,[0]!municipio,$B24,[0]!turno,H$2)</f>
        <v>1</v>
      </c>
      <c r="I24" s="7">
        <f>SUMIFS([0]!psuv,[0]!municipio,$B24,[0]!turno,I$2)</f>
        <v>3</v>
      </c>
      <c r="J24" s="7">
        <f>SUMIFS([0]!psuv,[0]!municipio,$B24,[0]!turno,J$2)</f>
        <v>0</v>
      </c>
      <c r="K24" s="7">
        <f>SUMIFS([0]!psuv,[0]!municipio,$B24,[0]!turno,K$2)</f>
        <v>5</v>
      </c>
      <c r="L24" s="7">
        <f>SUMIFS([0]!psuv,[0]!municipio,$B24,[0]!turno,L$2)</f>
        <v>2</v>
      </c>
      <c r="M24" s="7">
        <f>SUMIFS([0]!psuv,[0]!municipio,$B24,[0]!turno,M$2)</f>
        <v>3</v>
      </c>
      <c r="N24" s="7">
        <f>SUMIFS([0]!psuv,[0]!municipio,$B24,[0]!turno,N$2)</f>
        <v>2</v>
      </c>
      <c r="O24" s="7">
        <f>SUMIFS([0]!psuv,[0]!municipio,$B24,[0]!turno,O$2)</f>
        <v>5</v>
      </c>
      <c r="P24" s="7">
        <f>SUMIFS([0]!psuv,[0]!municipio,$B24,[0]!turno,P$2)</f>
        <v>7</v>
      </c>
      <c r="Q24" s="7">
        <f>SUMIFS([0]!psuv,[0]!municipio,$B24,[0]!turno,Q$2)</f>
        <v>6</v>
      </c>
      <c r="R24" s="7">
        <f>SUMIFS([0]!psuv,[0]!municipio,$B24,[0]!turno,R$2)</f>
        <v>3</v>
      </c>
      <c r="S24" s="7">
        <f>SUMIFS([0]!psuv,[0]!municipio,$B24,[0]!turno,S$2)</f>
        <v>10</v>
      </c>
      <c r="T24" s="7">
        <f>SUMIFS([0]!psuv,[0]!municipio,$B24,[0]!turno,T$2)</f>
        <v>9</v>
      </c>
      <c r="U24" s="7">
        <f>SUMIFS([0]!psuv,[0]!municipio,$B24,[0]!turno,U$2)</f>
        <v>7</v>
      </c>
      <c r="V24" s="7">
        <f>SUMIFS([0]!psuv,[0]!municipio,$B24,[0]!turno,V$2)</f>
        <v>5</v>
      </c>
      <c r="W24" s="28">
        <f>SUMIFS([0]!psuv,[0]!municipio,$B24,[0]!turno,W$2)</f>
        <v>3</v>
      </c>
    </row>
    <row r="25" spans="2:23" ht="22.5" x14ac:dyDescent="0.25">
      <c r="B25" s="23" t="s">
        <v>132</v>
      </c>
      <c r="C25" s="4" t="s">
        <v>107</v>
      </c>
      <c r="D25" s="37">
        <f>IF((E24+E25+E26)=0,0,E25/(E24+E25+E26))</f>
        <v>0.5829596412556054</v>
      </c>
      <c r="E25" s="5">
        <f t="shared" si="0"/>
        <v>130</v>
      </c>
      <c r="F25" s="5">
        <f>SUMIFS([0]!mud,[0]!municipio,$B24,[0]!turno,F$2)</f>
        <v>2</v>
      </c>
      <c r="G25" s="5">
        <f>SUMIFS([0]!mud,[0]!municipio,$B24,[0]!turno,G$2)</f>
        <v>14</v>
      </c>
      <c r="H25" s="5">
        <f>SUMIFS([0]!mud,[0]!municipio,$B24,[0]!turno,H$2)</f>
        <v>9</v>
      </c>
      <c r="I25" s="5">
        <f>SUMIFS([0]!mud,[0]!municipio,$B24,[0]!turno,I$2)</f>
        <v>10</v>
      </c>
      <c r="J25" s="5">
        <f>SUMIFS([0]!mud,[0]!municipio,$B24,[0]!turno,J$2)</f>
        <v>0</v>
      </c>
      <c r="K25" s="5">
        <f>SUMIFS([0]!mud,[0]!municipio,$B24,[0]!turno,K$2)</f>
        <v>12</v>
      </c>
      <c r="L25" s="5">
        <f>SUMIFS([0]!mud,[0]!municipio,$B24,[0]!turno,L$2)</f>
        <v>8</v>
      </c>
      <c r="M25" s="5">
        <f>SUMIFS([0]!mud,[0]!municipio,$B24,[0]!turno,M$2)</f>
        <v>7</v>
      </c>
      <c r="N25" s="5">
        <f>SUMIFS([0]!mud,[0]!municipio,$B24,[0]!turno,N$2)</f>
        <v>6</v>
      </c>
      <c r="O25" s="5">
        <f>SUMIFS([0]!mud,[0]!municipio,$B24,[0]!turno,O$2)</f>
        <v>9</v>
      </c>
      <c r="P25" s="5">
        <f>SUMIFS([0]!mud,[0]!municipio,$B24,[0]!turno,P$2)</f>
        <v>15</v>
      </c>
      <c r="Q25" s="5">
        <f>SUMIFS([0]!mud,[0]!municipio,$B24,[0]!turno,Q$2)</f>
        <v>5</v>
      </c>
      <c r="R25" s="5">
        <f>SUMIFS([0]!mud,[0]!municipio,$B24,[0]!turno,R$2)</f>
        <v>2</v>
      </c>
      <c r="S25" s="5">
        <f>SUMIFS([0]!mud,[0]!municipio,$B24,[0]!turno,S$2)</f>
        <v>5</v>
      </c>
      <c r="T25" s="5">
        <f>SUMIFS([0]!mud,[0]!municipio,$B24,[0]!turno,T$2)</f>
        <v>8</v>
      </c>
      <c r="U25" s="5">
        <f>SUMIFS([0]!mud,[0]!municipio,$B24,[0]!turno,U$2)</f>
        <v>6</v>
      </c>
      <c r="V25" s="5">
        <f>SUMIFS([0]!mud,[0]!municipio,$B24,[0]!turno,V$2)</f>
        <v>7</v>
      </c>
      <c r="W25" s="26">
        <f>SUMIFS([0]!mud,[0]!municipio,$B24,[0]!turno,W$2)</f>
        <v>5</v>
      </c>
    </row>
    <row r="26" spans="2:23" ht="15.75" thickBot="1" x14ac:dyDescent="0.3">
      <c r="B26" s="24">
        <v>3.3223614364844348E-2</v>
      </c>
      <c r="C26" s="12" t="s">
        <v>0</v>
      </c>
      <c r="D26" s="38">
        <f>IF((E24+E25+E26)=0,0,E26/(E24+E25+E26))</f>
        <v>2.2421524663677129E-2</v>
      </c>
      <c r="E26" s="13">
        <f t="shared" si="0"/>
        <v>5</v>
      </c>
      <c r="F26" s="13">
        <f>SUMIFS([0]!otro,[0]!municipio,$B24,[0]!turno,F$2)</f>
        <v>0</v>
      </c>
      <c r="G26" s="13">
        <f>SUMIFS([0]!otro,[0]!municipio,$B24,[0]!turno,G$2)</f>
        <v>0</v>
      </c>
      <c r="H26" s="13">
        <f>SUMIFS([0]!otro,[0]!municipio,$B24,[0]!turno,H$2)</f>
        <v>0</v>
      </c>
      <c r="I26" s="13">
        <f>SUMIFS([0]!otro,[0]!municipio,$B24,[0]!turno,I$2)</f>
        <v>0</v>
      </c>
      <c r="J26" s="13">
        <f>SUMIFS([0]!otro,[0]!municipio,$B24,[0]!turno,J$2)</f>
        <v>0</v>
      </c>
      <c r="K26" s="13">
        <f>SUMIFS([0]!otro,[0]!municipio,$B24,[0]!turno,K$2)</f>
        <v>1</v>
      </c>
      <c r="L26" s="13">
        <f>SUMIFS([0]!otro,[0]!municipio,$B24,[0]!turno,L$2)</f>
        <v>1</v>
      </c>
      <c r="M26" s="13">
        <f>SUMIFS([0]!otro,[0]!municipio,$B24,[0]!turno,M$2)</f>
        <v>1</v>
      </c>
      <c r="N26" s="13">
        <f>SUMIFS([0]!otro,[0]!municipio,$B24,[0]!turno,N$2)</f>
        <v>0</v>
      </c>
      <c r="O26" s="13">
        <f>SUMIFS([0]!otro,[0]!municipio,$B24,[0]!turno,O$2)</f>
        <v>0</v>
      </c>
      <c r="P26" s="13">
        <f>SUMIFS([0]!otro,[0]!municipio,$B24,[0]!turno,P$2)</f>
        <v>0</v>
      </c>
      <c r="Q26" s="13">
        <f>SUMIFS([0]!otro,[0]!municipio,$B24,[0]!turno,Q$2)</f>
        <v>0</v>
      </c>
      <c r="R26" s="13">
        <f>SUMIFS([0]!otro,[0]!municipio,$B24,[0]!turno,R$2)</f>
        <v>0</v>
      </c>
      <c r="S26" s="13">
        <f>SUMIFS([0]!otro,[0]!municipio,$B24,[0]!turno,S$2)</f>
        <v>0</v>
      </c>
      <c r="T26" s="13">
        <f>SUMIFS([0]!otro,[0]!municipio,$B24,[0]!turno,T$2)</f>
        <v>1</v>
      </c>
      <c r="U26" s="13">
        <f>SUMIFS([0]!otro,[0]!municipio,$B24,[0]!turno,U$2)</f>
        <v>0</v>
      </c>
      <c r="V26" s="13">
        <f>SUMIFS([0]!otro,[0]!municipio,$B24,[0]!turno,V$2)</f>
        <v>1</v>
      </c>
      <c r="W26" s="29">
        <f>SUMIFS([0]!otro,[0]!municipio,$B24,[0]!turno,W$2)</f>
        <v>0</v>
      </c>
    </row>
    <row r="27" spans="2:23" x14ac:dyDescent="0.25">
      <c r="B27" s="19">
        <v>151</v>
      </c>
      <c r="C27" s="8" t="s">
        <v>106</v>
      </c>
      <c r="D27" s="36">
        <f>IF((E27+E28+E29)=0,0,E27/(E27+E28+E29))</f>
        <v>0.63119266055045875</v>
      </c>
      <c r="E27" s="9">
        <f t="shared" si="0"/>
        <v>344</v>
      </c>
      <c r="F27" s="9">
        <f>SUMIFS([0]!psuv,[0]!municipio,$B27,[0]!turno,F$2)</f>
        <v>20</v>
      </c>
      <c r="G27" s="9">
        <f>SUMIFS([0]!psuv,[0]!municipio,$B27,[0]!turno,G$2)</f>
        <v>30</v>
      </c>
      <c r="H27" s="9">
        <f>SUMIFS([0]!psuv,[0]!municipio,$B27,[0]!turno,H$2)</f>
        <v>28</v>
      </c>
      <c r="I27" s="9">
        <f>SUMIFS([0]!psuv,[0]!municipio,$B27,[0]!turno,I$2)</f>
        <v>17</v>
      </c>
      <c r="J27" s="9">
        <f>SUMIFS([0]!psuv,[0]!municipio,$B27,[0]!turno,J$2)</f>
        <v>27</v>
      </c>
      <c r="K27" s="9">
        <f>SUMIFS([0]!psuv,[0]!municipio,$B27,[0]!turno,K$2)</f>
        <v>20</v>
      </c>
      <c r="L27" s="9">
        <f>SUMIFS([0]!psuv,[0]!municipio,$B27,[0]!turno,L$2)</f>
        <v>20</v>
      </c>
      <c r="M27" s="9">
        <f>SUMIFS([0]!psuv,[0]!municipio,$B27,[0]!turno,M$2)</f>
        <v>29</v>
      </c>
      <c r="N27" s="9">
        <f>SUMIFS([0]!psuv,[0]!municipio,$B27,[0]!turno,N$2)</f>
        <v>22</v>
      </c>
      <c r="O27" s="9">
        <f>SUMIFS([0]!psuv,[0]!municipio,$B27,[0]!turno,O$2)</f>
        <v>24</v>
      </c>
      <c r="P27" s="9">
        <f>SUMIFS([0]!psuv,[0]!municipio,$B27,[0]!turno,P$2)</f>
        <v>15</v>
      </c>
      <c r="Q27" s="9">
        <f>SUMIFS([0]!psuv,[0]!municipio,$B27,[0]!turno,Q$2)</f>
        <v>18</v>
      </c>
      <c r="R27" s="9">
        <f>SUMIFS([0]!psuv,[0]!municipio,$B27,[0]!turno,R$2)</f>
        <v>0</v>
      </c>
      <c r="S27" s="9">
        <f>SUMIFS([0]!psuv,[0]!municipio,$B27,[0]!turno,S$2)</f>
        <v>5</v>
      </c>
      <c r="T27" s="9">
        <f>SUMIFS([0]!psuv,[0]!municipio,$B27,[0]!turno,T$2)</f>
        <v>12</v>
      </c>
      <c r="U27" s="9">
        <f>SUMIFS([0]!psuv,[0]!municipio,$B27,[0]!turno,U$2)</f>
        <v>16</v>
      </c>
      <c r="V27" s="9">
        <f>SUMIFS([0]!psuv,[0]!municipio,$B27,[0]!turno,V$2)</f>
        <v>19</v>
      </c>
      <c r="W27" s="25">
        <f>SUMIFS([0]!psuv,[0]!municipio,$B27,[0]!turno,W$2)</f>
        <v>22</v>
      </c>
    </row>
    <row r="28" spans="2:23" x14ac:dyDescent="0.25">
      <c r="B28" s="20" t="s">
        <v>133</v>
      </c>
      <c r="C28" s="4" t="s">
        <v>107</v>
      </c>
      <c r="D28" s="37">
        <f>IF((E27+E28+E29)=0,0,E28/(E27+E28+E29))</f>
        <v>0.3688073394495413</v>
      </c>
      <c r="E28" s="5">
        <f t="shared" si="0"/>
        <v>201</v>
      </c>
      <c r="F28" s="5">
        <f>SUMIFS([0]!mud,[0]!municipio,$B27,[0]!turno,F$2)</f>
        <v>10</v>
      </c>
      <c r="G28" s="5">
        <f>SUMIFS([0]!mud,[0]!municipio,$B27,[0]!turno,G$2)</f>
        <v>23</v>
      </c>
      <c r="H28" s="5">
        <f>SUMIFS([0]!mud,[0]!municipio,$B27,[0]!turno,H$2)</f>
        <v>17</v>
      </c>
      <c r="I28" s="5">
        <f>SUMIFS([0]!mud,[0]!municipio,$B27,[0]!turno,I$2)</f>
        <v>9</v>
      </c>
      <c r="J28" s="5">
        <f>SUMIFS([0]!mud,[0]!municipio,$B27,[0]!turno,J$2)</f>
        <v>13</v>
      </c>
      <c r="K28" s="5">
        <f>SUMIFS([0]!mud,[0]!municipio,$B27,[0]!turno,K$2)</f>
        <v>10</v>
      </c>
      <c r="L28" s="5">
        <f>SUMIFS([0]!mud,[0]!municipio,$B27,[0]!turno,L$2)</f>
        <v>13</v>
      </c>
      <c r="M28" s="5">
        <f>SUMIFS([0]!mud,[0]!municipio,$B27,[0]!turno,M$2)</f>
        <v>21</v>
      </c>
      <c r="N28" s="5">
        <f>SUMIFS([0]!mud,[0]!municipio,$B27,[0]!turno,N$2)</f>
        <v>13</v>
      </c>
      <c r="O28" s="5">
        <f>SUMIFS([0]!mud,[0]!municipio,$B27,[0]!turno,O$2)</f>
        <v>14</v>
      </c>
      <c r="P28" s="5">
        <f>SUMIFS([0]!mud,[0]!municipio,$B27,[0]!turno,P$2)</f>
        <v>13</v>
      </c>
      <c r="Q28" s="5">
        <f>SUMIFS([0]!mud,[0]!municipio,$B27,[0]!turno,Q$2)</f>
        <v>8</v>
      </c>
      <c r="R28" s="5">
        <f>SUMIFS([0]!mud,[0]!municipio,$B27,[0]!turno,R$2)</f>
        <v>0</v>
      </c>
      <c r="S28" s="5">
        <f>SUMIFS([0]!mud,[0]!municipio,$B27,[0]!turno,S$2)</f>
        <v>2</v>
      </c>
      <c r="T28" s="5">
        <f>SUMIFS([0]!mud,[0]!municipio,$B27,[0]!turno,T$2)</f>
        <v>4</v>
      </c>
      <c r="U28" s="5">
        <f>SUMIFS([0]!mud,[0]!municipio,$B27,[0]!turno,U$2)</f>
        <v>12</v>
      </c>
      <c r="V28" s="5">
        <f>SUMIFS([0]!mud,[0]!municipio,$B27,[0]!turno,V$2)</f>
        <v>9</v>
      </c>
      <c r="W28" s="26">
        <f>SUMIFS([0]!mud,[0]!municipio,$B27,[0]!turno,W$2)</f>
        <v>10</v>
      </c>
    </row>
    <row r="29" spans="2:23" ht="15.75" thickBot="1" x14ac:dyDescent="0.3">
      <c r="B29" s="21">
        <v>5.3603854025608334E-2</v>
      </c>
      <c r="C29" s="10" t="s">
        <v>0</v>
      </c>
      <c r="D29" s="38">
        <f>IF((E27+E28+E29)=0,0,E29/(E27+E28+E29))</f>
        <v>0</v>
      </c>
      <c r="E29" s="11">
        <f t="shared" si="0"/>
        <v>0</v>
      </c>
      <c r="F29" s="11">
        <f>SUMIFS([0]!otro,[0]!municipio,$B27,[0]!turno,F$2)</f>
        <v>0</v>
      </c>
      <c r="G29" s="11">
        <f>SUMIFS([0]!otro,[0]!municipio,$B27,[0]!turno,G$2)</f>
        <v>0</v>
      </c>
      <c r="H29" s="11">
        <f>SUMIFS([0]!otro,[0]!municipio,$B27,[0]!turno,H$2)</f>
        <v>0</v>
      </c>
      <c r="I29" s="11">
        <f>SUMIFS([0]!otro,[0]!municipio,$B27,[0]!turno,I$2)</f>
        <v>0</v>
      </c>
      <c r="J29" s="11">
        <f>SUMIFS([0]!otro,[0]!municipio,$B27,[0]!turno,J$2)</f>
        <v>0</v>
      </c>
      <c r="K29" s="11">
        <f>SUMIFS([0]!otro,[0]!municipio,$B27,[0]!turno,K$2)</f>
        <v>0</v>
      </c>
      <c r="L29" s="11">
        <f>SUMIFS([0]!otro,[0]!municipio,$B27,[0]!turno,L$2)</f>
        <v>0</v>
      </c>
      <c r="M29" s="11">
        <f>SUMIFS([0]!otro,[0]!municipio,$B27,[0]!turno,M$2)</f>
        <v>0</v>
      </c>
      <c r="N29" s="11">
        <f>SUMIFS([0]!otro,[0]!municipio,$B27,[0]!turno,N$2)</f>
        <v>0</v>
      </c>
      <c r="O29" s="11">
        <f>SUMIFS([0]!otro,[0]!municipio,$B27,[0]!turno,O$2)</f>
        <v>0</v>
      </c>
      <c r="P29" s="11">
        <f>SUMIFS([0]!otro,[0]!municipio,$B27,[0]!turno,P$2)</f>
        <v>0</v>
      </c>
      <c r="Q29" s="11">
        <f>SUMIFS([0]!otro,[0]!municipio,$B27,[0]!turno,Q$2)</f>
        <v>0</v>
      </c>
      <c r="R29" s="11">
        <f>SUMIFS([0]!otro,[0]!municipio,$B27,[0]!turno,R$2)</f>
        <v>0</v>
      </c>
      <c r="S29" s="11">
        <f>SUMIFS([0]!otro,[0]!municipio,$B27,[0]!turno,S$2)</f>
        <v>0</v>
      </c>
      <c r="T29" s="11">
        <f>SUMIFS([0]!otro,[0]!municipio,$B27,[0]!turno,T$2)</f>
        <v>0</v>
      </c>
      <c r="U29" s="11">
        <f>SUMIFS([0]!otro,[0]!municipio,$B27,[0]!turno,U$2)</f>
        <v>0</v>
      </c>
      <c r="V29" s="11">
        <f>SUMIFS([0]!otro,[0]!municipio,$B27,[0]!turno,V$2)</f>
        <v>0</v>
      </c>
      <c r="W29" s="27">
        <f>SUMIFS([0]!otro,[0]!municipio,$B27,[0]!turno,W$2)</f>
        <v>0</v>
      </c>
    </row>
    <row r="30" spans="2:23" x14ac:dyDescent="0.25">
      <c r="B30" s="22">
        <v>152</v>
      </c>
      <c r="C30" s="6" t="s">
        <v>106</v>
      </c>
      <c r="D30" s="36">
        <f>IF((E30+E31+E32)=0,0,E30/(E30+E31+E32))</f>
        <v>0.40933476394849788</v>
      </c>
      <c r="E30" s="7">
        <f t="shared" ref="E30:E53" si="1">SUM(F30:W30)</f>
        <v>2289</v>
      </c>
      <c r="F30" s="7">
        <f>SUMIFS([0]!psuv,[0]!municipio,$B30,[0]!turno,F$2)</f>
        <v>79</v>
      </c>
      <c r="G30" s="7">
        <f>SUMIFS([0]!psuv,[0]!municipio,$B30,[0]!turno,G$2)</f>
        <v>96</v>
      </c>
      <c r="H30" s="7">
        <f>SUMIFS([0]!psuv,[0]!municipio,$B30,[0]!turno,H$2)</f>
        <v>143</v>
      </c>
      <c r="I30" s="7">
        <f>SUMIFS([0]!psuv,[0]!municipio,$B30,[0]!turno,I$2)</f>
        <v>138</v>
      </c>
      <c r="J30" s="7">
        <f>SUMIFS([0]!psuv,[0]!municipio,$B30,[0]!turno,J$2)</f>
        <v>140</v>
      </c>
      <c r="K30" s="7">
        <f>SUMIFS([0]!psuv,[0]!municipio,$B30,[0]!turno,K$2)</f>
        <v>155</v>
      </c>
      <c r="L30" s="7">
        <f>SUMIFS([0]!psuv,[0]!municipio,$B30,[0]!turno,L$2)</f>
        <v>135</v>
      </c>
      <c r="M30" s="7">
        <f>SUMIFS([0]!psuv,[0]!municipio,$B30,[0]!turno,M$2)</f>
        <v>130</v>
      </c>
      <c r="N30" s="7">
        <f>SUMIFS([0]!psuv,[0]!municipio,$B30,[0]!turno,N$2)</f>
        <v>110</v>
      </c>
      <c r="O30" s="7">
        <f>SUMIFS([0]!psuv,[0]!municipio,$B30,[0]!turno,O$2)</f>
        <v>144</v>
      </c>
      <c r="P30" s="7">
        <f>SUMIFS([0]!psuv,[0]!municipio,$B30,[0]!turno,P$2)</f>
        <v>116</v>
      </c>
      <c r="Q30" s="7">
        <f>SUMIFS([0]!psuv,[0]!municipio,$B30,[0]!turno,Q$2)</f>
        <v>102</v>
      </c>
      <c r="R30" s="7">
        <f>SUMIFS([0]!psuv,[0]!municipio,$B30,[0]!turno,R$2)</f>
        <v>108</v>
      </c>
      <c r="S30" s="7">
        <f>SUMIFS([0]!psuv,[0]!municipio,$B30,[0]!turno,S$2)</f>
        <v>148</v>
      </c>
      <c r="T30" s="7">
        <f>SUMIFS([0]!psuv,[0]!municipio,$B30,[0]!turno,T$2)</f>
        <v>161</v>
      </c>
      <c r="U30" s="7">
        <f>SUMIFS([0]!psuv,[0]!municipio,$B30,[0]!turno,U$2)</f>
        <v>113</v>
      </c>
      <c r="V30" s="7">
        <f>SUMIFS([0]!psuv,[0]!municipio,$B30,[0]!turno,V$2)</f>
        <v>131</v>
      </c>
      <c r="W30" s="28">
        <f>SUMIFS([0]!psuv,[0]!municipio,$B30,[0]!turno,W$2)</f>
        <v>140</v>
      </c>
    </row>
    <row r="31" spans="2:23" x14ac:dyDescent="0.25">
      <c r="B31" s="23" t="s">
        <v>134</v>
      </c>
      <c r="C31" s="4" t="s">
        <v>107</v>
      </c>
      <c r="D31" s="37">
        <f>IF((E30+E31+E32)=0,0,E31/(E30+E31+E32))</f>
        <v>0.57922031473533619</v>
      </c>
      <c r="E31" s="5">
        <f t="shared" si="1"/>
        <v>3239</v>
      </c>
      <c r="F31" s="5">
        <f>SUMIFS([0]!mud,[0]!municipio,$B30,[0]!turno,F$2)</f>
        <v>92</v>
      </c>
      <c r="G31" s="5">
        <f>SUMIFS([0]!mud,[0]!municipio,$B30,[0]!turno,G$2)</f>
        <v>153</v>
      </c>
      <c r="H31" s="5">
        <f>SUMIFS([0]!mud,[0]!municipio,$B30,[0]!turno,H$2)</f>
        <v>183</v>
      </c>
      <c r="I31" s="5">
        <f>SUMIFS([0]!mud,[0]!municipio,$B30,[0]!turno,I$2)</f>
        <v>150</v>
      </c>
      <c r="J31" s="5">
        <f>SUMIFS([0]!mud,[0]!municipio,$B30,[0]!turno,J$2)</f>
        <v>148</v>
      </c>
      <c r="K31" s="5">
        <f>SUMIFS([0]!mud,[0]!municipio,$B30,[0]!turno,K$2)</f>
        <v>173</v>
      </c>
      <c r="L31" s="5">
        <f>SUMIFS([0]!mud,[0]!municipio,$B30,[0]!turno,L$2)</f>
        <v>204</v>
      </c>
      <c r="M31" s="5">
        <f>SUMIFS([0]!mud,[0]!municipio,$B30,[0]!turno,M$2)</f>
        <v>249</v>
      </c>
      <c r="N31" s="5">
        <f>SUMIFS([0]!mud,[0]!municipio,$B30,[0]!turno,N$2)</f>
        <v>203</v>
      </c>
      <c r="O31" s="5">
        <f>SUMIFS([0]!mud,[0]!municipio,$B30,[0]!turno,O$2)</f>
        <v>225</v>
      </c>
      <c r="P31" s="5">
        <f>SUMIFS([0]!mud,[0]!municipio,$B30,[0]!turno,P$2)</f>
        <v>188</v>
      </c>
      <c r="Q31" s="5">
        <f>SUMIFS([0]!mud,[0]!municipio,$B30,[0]!turno,Q$2)</f>
        <v>207</v>
      </c>
      <c r="R31" s="5">
        <f>SUMIFS([0]!mud,[0]!municipio,$B30,[0]!turno,R$2)</f>
        <v>190</v>
      </c>
      <c r="S31" s="5">
        <f>SUMIFS([0]!mud,[0]!municipio,$B30,[0]!turno,S$2)</f>
        <v>214</v>
      </c>
      <c r="T31" s="5">
        <f>SUMIFS([0]!mud,[0]!municipio,$B30,[0]!turno,T$2)</f>
        <v>190</v>
      </c>
      <c r="U31" s="5">
        <f>SUMIFS([0]!mud,[0]!municipio,$B30,[0]!turno,U$2)</f>
        <v>144</v>
      </c>
      <c r="V31" s="5">
        <f>SUMIFS([0]!mud,[0]!municipio,$B30,[0]!turno,V$2)</f>
        <v>113</v>
      </c>
      <c r="W31" s="26">
        <f>SUMIFS([0]!mud,[0]!municipio,$B30,[0]!turno,W$2)</f>
        <v>213</v>
      </c>
    </row>
    <row r="32" spans="2:23" ht="15.75" thickBot="1" x14ac:dyDescent="0.3">
      <c r="B32" s="24">
        <v>0.40813606091869664</v>
      </c>
      <c r="C32" s="12" t="s">
        <v>0</v>
      </c>
      <c r="D32" s="38">
        <f>IF((E30+E31+E32)=0,0,E32/(E30+E31+E32))</f>
        <v>1.1444921316165951E-2</v>
      </c>
      <c r="E32" s="13">
        <f t="shared" si="1"/>
        <v>64</v>
      </c>
      <c r="F32" s="13">
        <f>SUMIFS([0]!otro,[0]!municipio,$B30,[0]!turno,F$2)</f>
        <v>1</v>
      </c>
      <c r="G32" s="13">
        <f>SUMIFS([0]!otro,[0]!municipio,$B30,[0]!turno,G$2)</f>
        <v>0</v>
      </c>
      <c r="H32" s="13">
        <f>SUMIFS([0]!otro,[0]!municipio,$B30,[0]!turno,H$2)</f>
        <v>6</v>
      </c>
      <c r="I32" s="13">
        <f>SUMIFS([0]!otro,[0]!municipio,$B30,[0]!turno,I$2)</f>
        <v>3</v>
      </c>
      <c r="J32" s="13">
        <f>SUMIFS([0]!otro,[0]!municipio,$B30,[0]!turno,J$2)</f>
        <v>4</v>
      </c>
      <c r="K32" s="13">
        <f>SUMIFS([0]!otro,[0]!municipio,$B30,[0]!turno,K$2)</f>
        <v>1</v>
      </c>
      <c r="L32" s="13">
        <f>SUMIFS([0]!otro,[0]!municipio,$B30,[0]!turno,L$2)</f>
        <v>1</v>
      </c>
      <c r="M32" s="13">
        <f>SUMIFS([0]!otro,[0]!municipio,$B30,[0]!turno,M$2)</f>
        <v>17</v>
      </c>
      <c r="N32" s="13">
        <f>SUMIFS([0]!otro,[0]!municipio,$B30,[0]!turno,N$2)</f>
        <v>1</v>
      </c>
      <c r="O32" s="13">
        <f>SUMIFS([0]!otro,[0]!municipio,$B30,[0]!turno,O$2)</f>
        <v>4</v>
      </c>
      <c r="P32" s="13">
        <f>SUMIFS([0]!otro,[0]!municipio,$B30,[0]!turno,P$2)</f>
        <v>5</v>
      </c>
      <c r="Q32" s="13">
        <f>SUMIFS([0]!otro,[0]!municipio,$B30,[0]!turno,Q$2)</f>
        <v>7</v>
      </c>
      <c r="R32" s="13">
        <f>SUMIFS([0]!otro,[0]!municipio,$B30,[0]!turno,R$2)</f>
        <v>0</v>
      </c>
      <c r="S32" s="13">
        <f>SUMIFS([0]!otro,[0]!municipio,$B30,[0]!turno,S$2)</f>
        <v>8</v>
      </c>
      <c r="T32" s="13">
        <f>SUMIFS([0]!otro,[0]!municipio,$B30,[0]!turno,T$2)</f>
        <v>1</v>
      </c>
      <c r="U32" s="13">
        <f>SUMIFS([0]!otro,[0]!municipio,$B30,[0]!turno,U$2)</f>
        <v>1</v>
      </c>
      <c r="V32" s="13">
        <f>SUMIFS([0]!otro,[0]!municipio,$B30,[0]!turno,V$2)</f>
        <v>1</v>
      </c>
      <c r="W32" s="29">
        <f>SUMIFS([0]!otro,[0]!municipio,$B30,[0]!turno,W$2)</f>
        <v>3</v>
      </c>
    </row>
    <row r="33" spans="2:23" x14ac:dyDescent="0.25">
      <c r="B33" s="19">
        <v>153</v>
      </c>
      <c r="C33" s="8" t="s">
        <v>106</v>
      </c>
      <c r="D33" s="36">
        <f>IF((E33+E34+E35)=0,0,E33/(E33+E34+E35))</f>
        <v>0</v>
      </c>
      <c r="E33" s="9">
        <f t="shared" si="1"/>
        <v>0</v>
      </c>
      <c r="F33" s="9">
        <f>SUMIFS([0]!psuv,[0]!municipio,$B33,[0]!turno,F$2)</f>
        <v>0</v>
      </c>
      <c r="G33" s="9">
        <f>SUMIFS([0]!psuv,[0]!municipio,$B33,[0]!turno,G$2)</f>
        <v>0</v>
      </c>
      <c r="H33" s="9">
        <f>SUMIFS([0]!psuv,[0]!municipio,$B33,[0]!turno,H$2)</f>
        <v>0</v>
      </c>
      <c r="I33" s="9">
        <f>SUMIFS([0]!psuv,[0]!municipio,$B33,[0]!turno,I$2)</f>
        <v>0</v>
      </c>
      <c r="J33" s="9">
        <f>SUMIFS([0]!psuv,[0]!municipio,$B33,[0]!turno,J$2)</f>
        <v>0</v>
      </c>
      <c r="K33" s="9">
        <f>SUMIFS([0]!psuv,[0]!municipio,$B33,[0]!turno,K$2)</f>
        <v>0</v>
      </c>
      <c r="L33" s="9">
        <f>SUMIFS([0]!psuv,[0]!municipio,$B33,[0]!turno,L$2)</f>
        <v>0</v>
      </c>
      <c r="M33" s="9">
        <f>SUMIFS([0]!psuv,[0]!municipio,$B33,[0]!turno,M$2)</f>
        <v>0</v>
      </c>
      <c r="N33" s="9">
        <f>SUMIFS([0]!psuv,[0]!municipio,$B33,[0]!turno,N$2)</f>
        <v>0</v>
      </c>
      <c r="O33" s="9">
        <f>SUMIFS([0]!psuv,[0]!municipio,$B33,[0]!turno,O$2)</f>
        <v>0</v>
      </c>
      <c r="P33" s="9">
        <f>SUMIFS([0]!psuv,[0]!municipio,$B33,[0]!turno,P$2)</f>
        <v>0</v>
      </c>
      <c r="Q33" s="9">
        <f>SUMIFS([0]!psuv,[0]!municipio,$B33,[0]!turno,Q$2)</f>
        <v>0</v>
      </c>
      <c r="R33" s="9">
        <f>SUMIFS([0]!psuv,[0]!municipio,$B33,[0]!turno,R$2)</f>
        <v>0</v>
      </c>
      <c r="S33" s="9">
        <f>SUMIFS([0]!psuv,[0]!municipio,$B33,[0]!turno,S$2)</f>
        <v>0</v>
      </c>
      <c r="T33" s="9">
        <f>SUMIFS([0]!psuv,[0]!municipio,$B33,[0]!turno,T$2)</f>
        <v>0</v>
      </c>
      <c r="U33" s="9">
        <f>SUMIFS([0]!psuv,[0]!municipio,$B33,[0]!turno,U$2)</f>
        <v>0</v>
      </c>
      <c r="V33" s="9">
        <f>SUMIFS([0]!psuv,[0]!municipio,$B33,[0]!turno,V$2)</f>
        <v>0</v>
      </c>
      <c r="W33" s="25">
        <f>SUMIFS([0]!psuv,[0]!municipio,$B33,[0]!turno,W$2)</f>
        <v>0</v>
      </c>
    </row>
    <row r="34" spans="2:23" x14ac:dyDescent="0.25">
      <c r="B34" s="20" t="s">
        <v>8</v>
      </c>
      <c r="C34" s="4" t="s">
        <v>107</v>
      </c>
      <c r="D34" s="37">
        <f>IF((E33+E34+E35)=0,0,E34/(E33+E34+E35))</f>
        <v>0</v>
      </c>
      <c r="E34" s="5">
        <f t="shared" si="1"/>
        <v>0</v>
      </c>
      <c r="F34" s="5">
        <f>SUMIFS([0]!mud,[0]!municipio,$B33,[0]!turno,F$2)</f>
        <v>0</v>
      </c>
      <c r="G34" s="5">
        <f>SUMIFS([0]!mud,[0]!municipio,$B33,[0]!turno,G$2)</f>
        <v>0</v>
      </c>
      <c r="H34" s="5">
        <f>SUMIFS([0]!mud,[0]!municipio,$B33,[0]!turno,H$2)</f>
        <v>0</v>
      </c>
      <c r="I34" s="5">
        <f>SUMIFS([0]!mud,[0]!municipio,$B33,[0]!turno,I$2)</f>
        <v>0</v>
      </c>
      <c r="J34" s="5">
        <f>SUMIFS([0]!mud,[0]!municipio,$B33,[0]!turno,J$2)</f>
        <v>0</v>
      </c>
      <c r="K34" s="5">
        <f>SUMIFS([0]!mud,[0]!municipio,$B33,[0]!turno,K$2)</f>
        <v>0</v>
      </c>
      <c r="L34" s="5">
        <f>SUMIFS([0]!mud,[0]!municipio,$B33,[0]!turno,L$2)</f>
        <v>0</v>
      </c>
      <c r="M34" s="5">
        <f>SUMIFS([0]!mud,[0]!municipio,$B33,[0]!turno,M$2)</f>
        <v>0</v>
      </c>
      <c r="N34" s="5">
        <f>SUMIFS([0]!mud,[0]!municipio,$B33,[0]!turno,N$2)</f>
        <v>0</v>
      </c>
      <c r="O34" s="5">
        <f>SUMIFS([0]!mud,[0]!municipio,$B33,[0]!turno,O$2)</f>
        <v>0</v>
      </c>
      <c r="P34" s="5">
        <f>SUMIFS([0]!mud,[0]!municipio,$B33,[0]!turno,P$2)</f>
        <v>0</v>
      </c>
      <c r="Q34" s="5">
        <f>SUMIFS([0]!mud,[0]!municipio,$B33,[0]!turno,Q$2)</f>
        <v>0</v>
      </c>
      <c r="R34" s="5">
        <f>SUMIFS([0]!mud,[0]!municipio,$B33,[0]!turno,R$2)</f>
        <v>0</v>
      </c>
      <c r="S34" s="5">
        <f>SUMIFS([0]!mud,[0]!municipio,$B33,[0]!turno,S$2)</f>
        <v>0</v>
      </c>
      <c r="T34" s="5">
        <f>SUMIFS([0]!mud,[0]!municipio,$B33,[0]!turno,T$2)</f>
        <v>0</v>
      </c>
      <c r="U34" s="5">
        <f>SUMIFS([0]!mud,[0]!municipio,$B33,[0]!turno,U$2)</f>
        <v>0</v>
      </c>
      <c r="V34" s="5">
        <f>SUMIFS([0]!mud,[0]!municipio,$B33,[0]!turno,V$2)</f>
        <v>0</v>
      </c>
      <c r="W34" s="26">
        <f>SUMIFS([0]!mud,[0]!municipio,$B33,[0]!turno,W$2)</f>
        <v>0</v>
      </c>
    </row>
    <row r="35" spans="2:23" ht="15.75" thickBot="1" x14ac:dyDescent="0.3">
      <c r="B35" s="21">
        <v>2.8806515474163033E-2</v>
      </c>
      <c r="C35" s="10" t="s">
        <v>0</v>
      </c>
      <c r="D35" s="38">
        <f>IF((E33+E34+E35)=0,0,E35/(E33+E34+E35))</f>
        <v>0</v>
      </c>
      <c r="E35" s="11">
        <f t="shared" si="1"/>
        <v>0</v>
      </c>
      <c r="F35" s="11">
        <f>SUMIFS([0]!otro,[0]!municipio,$B33,[0]!turno,F$2)</f>
        <v>0</v>
      </c>
      <c r="G35" s="11">
        <f>SUMIFS([0]!otro,[0]!municipio,$B33,[0]!turno,G$2)</f>
        <v>0</v>
      </c>
      <c r="H35" s="11">
        <f>SUMIFS([0]!otro,[0]!municipio,$B33,[0]!turno,H$2)</f>
        <v>0</v>
      </c>
      <c r="I35" s="11">
        <f>SUMIFS([0]!otro,[0]!municipio,$B33,[0]!turno,I$2)</f>
        <v>0</v>
      </c>
      <c r="J35" s="11">
        <f>SUMIFS([0]!otro,[0]!municipio,$B33,[0]!turno,J$2)</f>
        <v>0</v>
      </c>
      <c r="K35" s="11">
        <f>SUMIFS([0]!otro,[0]!municipio,$B33,[0]!turno,K$2)</f>
        <v>0</v>
      </c>
      <c r="L35" s="11">
        <f>SUMIFS([0]!otro,[0]!municipio,$B33,[0]!turno,L$2)</f>
        <v>0</v>
      </c>
      <c r="M35" s="11">
        <f>SUMIFS([0]!otro,[0]!municipio,$B33,[0]!turno,M$2)</f>
        <v>0</v>
      </c>
      <c r="N35" s="11">
        <f>SUMIFS([0]!otro,[0]!municipio,$B33,[0]!turno,N$2)</f>
        <v>0</v>
      </c>
      <c r="O35" s="11">
        <f>SUMIFS([0]!otro,[0]!municipio,$B33,[0]!turno,O$2)</f>
        <v>0</v>
      </c>
      <c r="P35" s="11">
        <f>SUMIFS([0]!otro,[0]!municipio,$B33,[0]!turno,P$2)</f>
        <v>0</v>
      </c>
      <c r="Q35" s="11">
        <f>SUMIFS([0]!otro,[0]!municipio,$B33,[0]!turno,Q$2)</f>
        <v>0</v>
      </c>
      <c r="R35" s="11">
        <f>SUMIFS([0]!otro,[0]!municipio,$B33,[0]!turno,R$2)</f>
        <v>0</v>
      </c>
      <c r="S35" s="11">
        <f>SUMIFS([0]!otro,[0]!municipio,$B33,[0]!turno,S$2)</f>
        <v>0</v>
      </c>
      <c r="T35" s="11">
        <f>SUMIFS([0]!otro,[0]!municipio,$B33,[0]!turno,T$2)</f>
        <v>0</v>
      </c>
      <c r="U35" s="11">
        <f>SUMIFS([0]!otro,[0]!municipio,$B33,[0]!turno,U$2)</f>
        <v>0</v>
      </c>
      <c r="V35" s="11">
        <f>SUMIFS([0]!otro,[0]!municipio,$B33,[0]!turno,V$2)</f>
        <v>0</v>
      </c>
      <c r="W35" s="27">
        <f>SUMIFS([0]!otro,[0]!municipio,$B33,[0]!turno,W$2)</f>
        <v>0</v>
      </c>
    </row>
    <row r="36" spans="2:23" x14ac:dyDescent="0.25">
      <c r="B36" s="22">
        <v>154</v>
      </c>
      <c r="C36" s="6" t="s">
        <v>106</v>
      </c>
      <c r="D36" s="36">
        <f>IF((E36+E37+E38)=0,0,E36/(E36+E37+E38))</f>
        <v>0.43325526932084307</v>
      </c>
      <c r="E36" s="7">
        <f t="shared" si="1"/>
        <v>185</v>
      </c>
      <c r="F36" s="7">
        <f>SUMIFS([0]!psuv,[0]!municipio,$B36,[0]!turno,F$2)</f>
        <v>14</v>
      </c>
      <c r="G36" s="7">
        <f>SUMIFS([0]!psuv,[0]!municipio,$B36,[0]!turno,G$2)</f>
        <v>12</v>
      </c>
      <c r="H36" s="7">
        <f>SUMIFS([0]!psuv,[0]!municipio,$B36,[0]!turno,H$2)</f>
        <v>0</v>
      </c>
      <c r="I36" s="7">
        <f>SUMIFS([0]!psuv,[0]!municipio,$B36,[0]!turno,I$2)</f>
        <v>14</v>
      </c>
      <c r="J36" s="7">
        <f>SUMIFS([0]!psuv,[0]!municipio,$B36,[0]!turno,J$2)</f>
        <v>11</v>
      </c>
      <c r="K36" s="7">
        <f>SUMIFS([0]!psuv,[0]!municipio,$B36,[0]!turno,K$2)</f>
        <v>12</v>
      </c>
      <c r="L36" s="7">
        <f>SUMIFS([0]!psuv,[0]!municipio,$B36,[0]!turno,L$2)</f>
        <v>5</v>
      </c>
      <c r="M36" s="7">
        <f>SUMIFS([0]!psuv,[0]!municipio,$B36,[0]!turno,M$2)</f>
        <v>8</v>
      </c>
      <c r="N36" s="7">
        <f>SUMIFS([0]!psuv,[0]!municipio,$B36,[0]!turno,N$2)</f>
        <v>6</v>
      </c>
      <c r="O36" s="7">
        <f>SUMIFS([0]!psuv,[0]!municipio,$B36,[0]!turno,O$2)</f>
        <v>11</v>
      </c>
      <c r="P36" s="7">
        <f>SUMIFS([0]!psuv,[0]!municipio,$B36,[0]!turno,P$2)</f>
        <v>12</v>
      </c>
      <c r="Q36" s="7">
        <f>SUMIFS([0]!psuv,[0]!municipio,$B36,[0]!turno,Q$2)</f>
        <v>8</v>
      </c>
      <c r="R36" s="7">
        <f>SUMIFS([0]!psuv,[0]!municipio,$B36,[0]!turno,R$2)</f>
        <v>12</v>
      </c>
      <c r="S36" s="7">
        <f>SUMIFS([0]!psuv,[0]!municipio,$B36,[0]!turno,S$2)</f>
        <v>13</v>
      </c>
      <c r="T36" s="7">
        <f>SUMIFS([0]!psuv,[0]!municipio,$B36,[0]!turno,T$2)</f>
        <v>10</v>
      </c>
      <c r="U36" s="7">
        <f>SUMIFS([0]!psuv,[0]!municipio,$B36,[0]!turno,U$2)</f>
        <v>9</v>
      </c>
      <c r="V36" s="7">
        <f>SUMIFS([0]!psuv,[0]!municipio,$B36,[0]!turno,V$2)</f>
        <v>15</v>
      </c>
      <c r="W36" s="28">
        <f>SUMIFS([0]!psuv,[0]!municipio,$B36,[0]!turno,W$2)</f>
        <v>13</v>
      </c>
    </row>
    <row r="37" spans="2:23" x14ac:dyDescent="0.25">
      <c r="B37" s="23" t="s">
        <v>135</v>
      </c>
      <c r="C37" s="4" t="s">
        <v>107</v>
      </c>
      <c r="D37" s="37">
        <f>IF((E36+E37+E38)=0,0,E37/(E36+E37+E38))</f>
        <v>0.56440281030444961</v>
      </c>
      <c r="E37" s="5">
        <f t="shared" si="1"/>
        <v>241</v>
      </c>
      <c r="F37" s="5">
        <f>SUMIFS([0]!mud,[0]!municipio,$B36,[0]!turno,F$2)</f>
        <v>14</v>
      </c>
      <c r="G37" s="5">
        <f>SUMIFS([0]!mud,[0]!municipio,$B36,[0]!turno,G$2)</f>
        <v>14</v>
      </c>
      <c r="H37" s="5">
        <f>SUMIFS([0]!mud,[0]!municipio,$B36,[0]!turno,H$2)</f>
        <v>19</v>
      </c>
      <c r="I37" s="5">
        <f>SUMIFS([0]!mud,[0]!municipio,$B36,[0]!turno,I$2)</f>
        <v>12</v>
      </c>
      <c r="J37" s="5">
        <f>SUMIFS([0]!mud,[0]!municipio,$B36,[0]!turno,J$2)</f>
        <v>6</v>
      </c>
      <c r="K37" s="5">
        <f>SUMIFS([0]!mud,[0]!municipio,$B36,[0]!turno,K$2)</f>
        <v>5</v>
      </c>
      <c r="L37" s="5">
        <f>SUMIFS([0]!mud,[0]!municipio,$B36,[0]!turno,L$2)</f>
        <v>14</v>
      </c>
      <c r="M37" s="5">
        <f>SUMIFS([0]!mud,[0]!municipio,$B36,[0]!turno,M$2)</f>
        <v>19</v>
      </c>
      <c r="N37" s="5">
        <f>SUMIFS([0]!mud,[0]!municipio,$B36,[0]!turno,N$2)</f>
        <v>17</v>
      </c>
      <c r="O37" s="5">
        <f>SUMIFS([0]!mud,[0]!municipio,$B36,[0]!turno,O$2)</f>
        <v>18</v>
      </c>
      <c r="P37" s="5">
        <f>SUMIFS([0]!mud,[0]!municipio,$B36,[0]!turno,P$2)</f>
        <v>15</v>
      </c>
      <c r="Q37" s="5">
        <f>SUMIFS([0]!mud,[0]!municipio,$B36,[0]!turno,Q$2)</f>
        <v>18</v>
      </c>
      <c r="R37" s="5">
        <f>SUMIFS([0]!mud,[0]!municipio,$B36,[0]!turno,R$2)</f>
        <v>16</v>
      </c>
      <c r="S37" s="5">
        <f>SUMIFS([0]!mud,[0]!municipio,$B36,[0]!turno,S$2)</f>
        <v>11</v>
      </c>
      <c r="T37" s="5">
        <f>SUMIFS([0]!mud,[0]!municipio,$B36,[0]!turno,T$2)</f>
        <v>9</v>
      </c>
      <c r="U37" s="5">
        <f>SUMIFS([0]!mud,[0]!municipio,$B36,[0]!turno,U$2)</f>
        <v>12</v>
      </c>
      <c r="V37" s="5">
        <f>SUMIFS([0]!mud,[0]!municipio,$B36,[0]!turno,V$2)</f>
        <v>7</v>
      </c>
      <c r="W37" s="26">
        <f>SUMIFS([0]!mud,[0]!municipio,$B36,[0]!turno,W$2)</f>
        <v>15</v>
      </c>
    </row>
    <row r="38" spans="2:23" ht="15.75" thickBot="1" x14ac:dyDescent="0.3">
      <c r="B38" s="24">
        <v>2.453346678167188E-2</v>
      </c>
      <c r="C38" s="12" t="s">
        <v>0</v>
      </c>
      <c r="D38" s="38">
        <f>IF((E36+E37+E38)=0,0,E38/(E36+E37+E38))</f>
        <v>2.34192037470726E-3</v>
      </c>
      <c r="E38" s="13">
        <f t="shared" si="1"/>
        <v>1</v>
      </c>
      <c r="F38" s="13">
        <f>SUMIFS([0]!otro,[0]!municipio,$B36,[0]!turno,F$2)</f>
        <v>0</v>
      </c>
      <c r="G38" s="13">
        <f>SUMIFS([0]!otro,[0]!municipio,$B36,[0]!turno,G$2)</f>
        <v>0</v>
      </c>
      <c r="H38" s="13">
        <f>SUMIFS([0]!otro,[0]!municipio,$B36,[0]!turno,H$2)</f>
        <v>0</v>
      </c>
      <c r="I38" s="13">
        <f>SUMIFS([0]!otro,[0]!municipio,$B36,[0]!turno,I$2)</f>
        <v>0</v>
      </c>
      <c r="J38" s="13">
        <f>SUMIFS([0]!otro,[0]!municipio,$B36,[0]!turno,J$2)</f>
        <v>0</v>
      </c>
      <c r="K38" s="13">
        <f>SUMIFS([0]!otro,[0]!municipio,$B36,[0]!turno,K$2)</f>
        <v>0</v>
      </c>
      <c r="L38" s="13">
        <f>SUMIFS([0]!otro,[0]!municipio,$B36,[0]!turno,L$2)</f>
        <v>0</v>
      </c>
      <c r="M38" s="13">
        <f>SUMIFS([0]!otro,[0]!municipio,$B36,[0]!turno,M$2)</f>
        <v>0</v>
      </c>
      <c r="N38" s="13">
        <f>SUMIFS([0]!otro,[0]!municipio,$B36,[0]!turno,N$2)</f>
        <v>0</v>
      </c>
      <c r="O38" s="13">
        <f>SUMIFS([0]!otro,[0]!municipio,$B36,[0]!turno,O$2)</f>
        <v>0</v>
      </c>
      <c r="P38" s="13">
        <f>SUMIFS([0]!otro,[0]!municipio,$B36,[0]!turno,P$2)</f>
        <v>0</v>
      </c>
      <c r="Q38" s="13">
        <f>SUMIFS([0]!otro,[0]!municipio,$B36,[0]!turno,Q$2)</f>
        <v>0</v>
      </c>
      <c r="R38" s="13">
        <f>SUMIFS([0]!otro,[0]!municipio,$B36,[0]!turno,R$2)</f>
        <v>0</v>
      </c>
      <c r="S38" s="13">
        <f>SUMIFS([0]!otro,[0]!municipio,$B36,[0]!turno,S$2)</f>
        <v>0</v>
      </c>
      <c r="T38" s="13">
        <f>SUMIFS([0]!otro,[0]!municipio,$B36,[0]!turno,T$2)</f>
        <v>0</v>
      </c>
      <c r="U38" s="13">
        <f>SUMIFS([0]!otro,[0]!municipio,$B36,[0]!turno,U$2)</f>
        <v>0</v>
      </c>
      <c r="V38" s="13">
        <f>SUMIFS([0]!otro,[0]!municipio,$B36,[0]!turno,V$2)</f>
        <v>1</v>
      </c>
      <c r="W38" s="29">
        <f>SUMIFS([0]!otro,[0]!municipio,$B36,[0]!turno,W$2)</f>
        <v>0</v>
      </c>
    </row>
    <row r="39" spans="2:23" x14ac:dyDescent="0.25">
      <c r="B39" s="19">
        <v>155</v>
      </c>
      <c r="C39" s="8" t="s">
        <v>106</v>
      </c>
      <c r="D39" s="36">
        <f>IF((E39+E40+E41)=0,0,E39/(E39+E40+E41))</f>
        <v>0.46710526315789475</v>
      </c>
      <c r="E39" s="9">
        <f t="shared" si="1"/>
        <v>781</v>
      </c>
      <c r="F39" s="9">
        <f>SUMIFS([0]!psuv,[0]!municipio,$B39,[0]!turno,F$2)</f>
        <v>26</v>
      </c>
      <c r="G39" s="9">
        <f>SUMIFS([0]!psuv,[0]!municipio,$B39,[0]!turno,G$2)</f>
        <v>39</v>
      </c>
      <c r="H39" s="9">
        <f>SUMIFS([0]!psuv,[0]!municipio,$B39,[0]!turno,H$2)</f>
        <v>49</v>
      </c>
      <c r="I39" s="9">
        <f>SUMIFS([0]!psuv,[0]!municipio,$B39,[0]!turno,I$2)</f>
        <v>39</v>
      </c>
      <c r="J39" s="9">
        <f>SUMIFS([0]!psuv,[0]!municipio,$B39,[0]!turno,J$2)</f>
        <v>29</v>
      </c>
      <c r="K39" s="9">
        <f>SUMIFS([0]!psuv,[0]!municipio,$B39,[0]!turno,K$2)</f>
        <v>65</v>
      </c>
      <c r="L39" s="9">
        <f>SUMIFS([0]!psuv,[0]!municipio,$B39,[0]!turno,L$2)</f>
        <v>59</v>
      </c>
      <c r="M39" s="9">
        <f>SUMIFS([0]!psuv,[0]!municipio,$B39,[0]!turno,M$2)</f>
        <v>42</v>
      </c>
      <c r="N39" s="9">
        <f>SUMIFS([0]!psuv,[0]!municipio,$B39,[0]!turno,N$2)</f>
        <v>42</v>
      </c>
      <c r="O39" s="9">
        <f>SUMIFS([0]!psuv,[0]!municipio,$B39,[0]!turno,O$2)</f>
        <v>59</v>
      </c>
      <c r="P39" s="9">
        <f>SUMIFS([0]!psuv,[0]!municipio,$B39,[0]!turno,P$2)</f>
        <v>47</v>
      </c>
      <c r="Q39" s="9">
        <f>SUMIFS([0]!psuv,[0]!municipio,$B39,[0]!turno,Q$2)</f>
        <v>41</v>
      </c>
      <c r="R39" s="9">
        <f>SUMIFS([0]!psuv,[0]!municipio,$B39,[0]!turno,R$2)</f>
        <v>58</v>
      </c>
      <c r="S39" s="9">
        <f>SUMIFS([0]!psuv,[0]!municipio,$B39,[0]!turno,S$2)</f>
        <v>27</v>
      </c>
      <c r="T39" s="9">
        <f>SUMIFS([0]!psuv,[0]!municipio,$B39,[0]!turno,T$2)</f>
        <v>37</v>
      </c>
      <c r="U39" s="9">
        <f>SUMIFS([0]!psuv,[0]!municipio,$B39,[0]!turno,U$2)</f>
        <v>38</v>
      </c>
      <c r="V39" s="9">
        <f>SUMIFS([0]!psuv,[0]!municipio,$B39,[0]!turno,V$2)</f>
        <v>44</v>
      </c>
      <c r="W39" s="25">
        <f>SUMIFS([0]!psuv,[0]!municipio,$B39,[0]!turno,W$2)</f>
        <v>40</v>
      </c>
    </row>
    <row r="40" spans="2:23" x14ac:dyDescent="0.25">
      <c r="B40" s="20" t="s">
        <v>136</v>
      </c>
      <c r="C40" s="4" t="s">
        <v>107</v>
      </c>
      <c r="D40" s="37">
        <f>IF((E39+E40+E41)=0,0,E40/(E39+E40+E41))</f>
        <v>0.51196172248803828</v>
      </c>
      <c r="E40" s="5">
        <f t="shared" si="1"/>
        <v>856</v>
      </c>
      <c r="F40" s="5">
        <f>SUMIFS([0]!mud,[0]!municipio,$B39,[0]!turno,F$2)</f>
        <v>29</v>
      </c>
      <c r="G40" s="5">
        <f>SUMIFS([0]!mud,[0]!municipio,$B39,[0]!turno,G$2)</f>
        <v>34</v>
      </c>
      <c r="H40" s="5">
        <f>SUMIFS([0]!mud,[0]!municipio,$B39,[0]!turno,H$2)</f>
        <v>48</v>
      </c>
      <c r="I40" s="5">
        <f>SUMIFS([0]!mud,[0]!municipio,$B39,[0]!turno,I$2)</f>
        <v>52</v>
      </c>
      <c r="J40" s="5">
        <f>SUMIFS([0]!mud,[0]!municipio,$B39,[0]!turno,J$2)</f>
        <v>54</v>
      </c>
      <c r="K40" s="5">
        <f>SUMIFS([0]!mud,[0]!municipio,$B39,[0]!turno,K$2)</f>
        <v>70</v>
      </c>
      <c r="L40" s="5">
        <f>SUMIFS([0]!mud,[0]!municipio,$B39,[0]!turno,L$2)</f>
        <v>66</v>
      </c>
      <c r="M40" s="5">
        <f>SUMIFS([0]!mud,[0]!municipio,$B39,[0]!turno,M$2)</f>
        <v>59</v>
      </c>
      <c r="N40" s="5">
        <f>SUMIFS([0]!mud,[0]!municipio,$B39,[0]!turno,N$2)</f>
        <v>40</v>
      </c>
      <c r="O40" s="5">
        <f>SUMIFS([0]!mud,[0]!municipio,$B39,[0]!turno,O$2)</f>
        <v>45</v>
      </c>
      <c r="P40" s="5">
        <f>SUMIFS([0]!mud,[0]!municipio,$B39,[0]!turno,P$2)</f>
        <v>40</v>
      </c>
      <c r="Q40" s="5">
        <f>SUMIFS([0]!mud,[0]!municipio,$B39,[0]!turno,Q$2)</f>
        <v>34</v>
      </c>
      <c r="R40" s="5">
        <f>SUMIFS([0]!mud,[0]!municipio,$B39,[0]!turno,R$2)</f>
        <v>62</v>
      </c>
      <c r="S40" s="5">
        <f>SUMIFS([0]!mud,[0]!municipio,$B39,[0]!turno,S$2)</f>
        <v>41</v>
      </c>
      <c r="T40" s="5">
        <f>SUMIFS([0]!mud,[0]!municipio,$B39,[0]!turno,T$2)</f>
        <v>40</v>
      </c>
      <c r="U40" s="5">
        <f>SUMIFS([0]!mud,[0]!municipio,$B39,[0]!turno,U$2)</f>
        <v>59</v>
      </c>
      <c r="V40" s="5">
        <f>SUMIFS([0]!mud,[0]!municipio,$B39,[0]!turno,V$2)</f>
        <v>37</v>
      </c>
      <c r="W40" s="26">
        <f>SUMIFS([0]!mud,[0]!municipio,$B39,[0]!turno,W$2)</f>
        <v>46</v>
      </c>
    </row>
    <row r="41" spans="2:23" ht="15.75" thickBot="1" x14ac:dyDescent="0.3">
      <c r="B41" s="21">
        <v>0.12035327980715775</v>
      </c>
      <c r="C41" s="10" t="s">
        <v>0</v>
      </c>
      <c r="D41" s="38">
        <f>IF((E39+E40+E41)=0,0,E41/(E39+E40+E41))</f>
        <v>2.0933014354066987E-2</v>
      </c>
      <c r="E41" s="11">
        <f t="shared" si="1"/>
        <v>35</v>
      </c>
      <c r="F41" s="11">
        <f>SUMIFS([0]!otro,[0]!municipio,$B39,[0]!turno,F$2)</f>
        <v>3</v>
      </c>
      <c r="G41" s="11">
        <f>SUMIFS([0]!otro,[0]!municipio,$B39,[0]!turno,G$2)</f>
        <v>3</v>
      </c>
      <c r="H41" s="11">
        <f>SUMIFS([0]!otro,[0]!municipio,$B39,[0]!turno,H$2)</f>
        <v>3</v>
      </c>
      <c r="I41" s="11">
        <f>SUMIFS([0]!otro,[0]!municipio,$B39,[0]!turno,I$2)</f>
        <v>0</v>
      </c>
      <c r="J41" s="11">
        <f>SUMIFS([0]!otro,[0]!municipio,$B39,[0]!turno,J$2)</f>
        <v>1</v>
      </c>
      <c r="K41" s="11">
        <f>SUMIFS([0]!otro,[0]!municipio,$B39,[0]!turno,K$2)</f>
        <v>10</v>
      </c>
      <c r="L41" s="11">
        <f>SUMIFS([0]!otro,[0]!municipio,$B39,[0]!turno,L$2)</f>
        <v>2</v>
      </c>
      <c r="M41" s="11">
        <f>SUMIFS([0]!otro,[0]!municipio,$B39,[0]!turno,M$2)</f>
        <v>0</v>
      </c>
      <c r="N41" s="11">
        <f>SUMIFS([0]!otro,[0]!municipio,$B39,[0]!turno,N$2)</f>
        <v>1</v>
      </c>
      <c r="O41" s="11">
        <f>SUMIFS([0]!otro,[0]!municipio,$B39,[0]!turno,O$2)</f>
        <v>2</v>
      </c>
      <c r="P41" s="11">
        <f>SUMIFS([0]!otro,[0]!municipio,$B39,[0]!turno,P$2)</f>
        <v>2</v>
      </c>
      <c r="Q41" s="11">
        <f>SUMIFS([0]!otro,[0]!municipio,$B39,[0]!turno,Q$2)</f>
        <v>1</v>
      </c>
      <c r="R41" s="11">
        <f>SUMIFS([0]!otro,[0]!municipio,$B39,[0]!turno,R$2)</f>
        <v>5</v>
      </c>
      <c r="S41" s="11">
        <f>SUMIFS([0]!otro,[0]!municipio,$B39,[0]!turno,S$2)</f>
        <v>0</v>
      </c>
      <c r="T41" s="11">
        <f>SUMIFS([0]!otro,[0]!municipio,$B39,[0]!turno,T$2)</f>
        <v>2</v>
      </c>
      <c r="U41" s="11">
        <f>SUMIFS([0]!otro,[0]!municipio,$B39,[0]!turno,U$2)</f>
        <v>0</v>
      </c>
      <c r="V41" s="11">
        <f>SUMIFS([0]!otro,[0]!municipio,$B39,[0]!turno,V$2)</f>
        <v>0</v>
      </c>
      <c r="W41" s="27">
        <f>SUMIFS([0]!otro,[0]!municipio,$B39,[0]!turno,W$2)</f>
        <v>0</v>
      </c>
    </row>
    <row r="42" spans="2:23" x14ac:dyDescent="0.25">
      <c r="B42" s="22">
        <v>156</v>
      </c>
      <c r="C42" s="6" t="s">
        <v>106</v>
      </c>
      <c r="D42" s="36">
        <f>IF((E42+E43+E44)=0,0,E42/(E42+E43+E44))</f>
        <v>0.49825783972125437</v>
      </c>
      <c r="E42" s="7">
        <f t="shared" si="1"/>
        <v>143</v>
      </c>
      <c r="F42" s="7">
        <f>SUMIFS([0]!psuv,[0]!municipio,$B42,[0]!turno,F$2)</f>
        <v>0</v>
      </c>
      <c r="G42" s="7">
        <f>SUMIFS([0]!psuv,[0]!municipio,$B42,[0]!turno,G$2)</f>
        <v>0</v>
      </c>
      <c r="H42" s="7">
        <f>SUMIFS([0]!psuv,[0]!municipio,$B42,[0]!turno,H$2)</f>
        <v>11</v>
      </c>
      <c r="I42" s="7">
        <f>SUMIFS([0]!psuv,[0]!municipio,$B42,[0]!turno,I$2)</f>
        <v>10</v>
      </c>
      <c r="J42" s="7">
        <f>SUMIFS([0]!psuv,[0]!municipio,$B42,[0]!turno,J$2)</f>
        <v>19</v>
      </c>
      <c r="K42" s="7">
        <f>SUMIFS([0]!psuv,[0]!municipio,$B42,[0]!turno,K$2)</f>
        <v>4</v>
      </c>
      <c r="L42" s="7">
        <f>SUMIFS([0]!psuv,[0]!municipio,$B42,[0]!turno,L$2)</f>
        <v>14</v>
      </c>
      <c r="M42" s="7">
        <f>SUMIFS([0]!psuv,[0]!municipio,$B42,[0]!turno,M$2)</f>
        <v>13</v>
      </c>
      <c r="N42" s="7">
        <f>SUMIFS([0]!psuv,[0]!municipio,$B42,[0]!turno,N$2)</f>
        <v>11</v>
      </c>
      <c r="O42" s="7">
        <f>SUMIFS([0]!psuv,[0]!municipio,$B42,[0]!turno,O$2)</f>
        <v>0</v>
      </c>
      <c r="P42" s="7">
        <f>SUMIFS([0]!psuv,[0]!municipio,$B42,[0]!turno,P$2)</f>
        <v>10</v>
      </c>
      <c r="Q42" s="7">
        <f>SUMIFS([0]!psuv,[0]!municipio,$B42,[0]!turno,Q$2)</f>
        <v>10</v>
      </c>
      <c r="R42" s="7">
        <f>SUMIFS([0]!psuv,[0]!municipio,$B42,[0]!turno,R$2)</f>
        <v>7</v>
      </c>
      <c r="S42" s="7">
        <f>SUMIFS([0]!psuv,[0]!municipio,$B42,[0]!turno,S$2)</f>
        <v>8</v>
      </c>
      <c r="T42" s="7">
        <f>SUMIFS([0]!psuv,[0]!municipio,$B42,[0]!turno,T$2)</f>
        <v>0</v>
      </c>
      <c r="U42" s="7">
        <f>SUMIFS([0]!psuv,[0]!municipio,$B42,[0]!turno,U$2)</f>
        <v>6</v>
      </c>
      <c r="V42" s="7">
        <f>SUMIFS([0]!psuv,[0]!municipio,$B42,[0]!turno,V$2)</f>
        <v>10</v>
      </c>
      <c r="W42" s="28">
        <f>SUMIFS([0]!psuv,[0]!municipio,$B42,[0]!turno,W$2)</f>
        <v>10</v>
      </c>
    </row>
    <row r="43" spans="2:23" x14ac:dyDescent="0.25">
      <c r="B43" s="23" t="s">
        <v>137</v>
      </c>
      <c r="C43" s="4" t="s">
        <v>107</v>
      </c>
      <c r="D43" s="37">
        <f>IF((E42+E43+E44)=0,0,E43/(E42+E43+E44))</f>
        <v>0.49825783972125437</v>
      </c>
      <c r="E43" s="5">
        <f t="shared" si="1"/>
        <v>143</v>
      </c>
      <c r="F43" s="5">
        <f>SUMIFS([0]!mud,[0]!municipio,$B42,[0]!turno,F$2)</f>
        <v>0</v>
      </c>
      <c r="G43" s="5">
        <f>SUMIFS([0]!mud,[0]!municipio,$B42,[0]!turno,G$2)</f>
        <v>0</v>
      </c>
      <c r="H43" s="5">
        <f>SUMIFS([0]!mud,[0]!municipio,$B42,[0]!turno,H$2)</f>
        <v>4</v>
      </c>
      <c r="I43" s="5">
        <f>SUMIFS([0]!mud,[0]!municipio,$B42,[0]!turno,I$2)</f>
        <v>14</v>
      </c>
      <c r="J43" s="5">
        <f>SUMIFS([0]!mud,[0]!municipio,$B42,[0]!turno,J$2)</f>
        <v>15</v>
      </c>
      <c r="K43" s="5">
        <f>SUMIFS([0]!mud,[0]!municipio,$B42,[0]!turno,K$2)</f>
        <v>7</v>
      </c>
      <c r="L43" s="5">
        <f>SUMIFS([0]!mud,[0]!municipio,$B42,[0]!turno,L$2)</f>
        <v>7</v>
      </c>
      <c r="M43" s="5">
        <f>SUMIFS([0]!mud,[0]!municipio,$B42,[0]!turno,M$2)</f>
        <v>15</v>
      </c>
      <c r="N43" s="5">
        <f>SUMIFS([0]!mud,[0]!municipio,$B42,[0]!turno,N$2)</f>
        <v>6</v>
      </c>
      <c r="O43" s="5">
        <f>SUMIFS([0]!mud,[0]!municipio,$B42,[0]!turno,O$2)</f>
        <v>0</v>
      </c>
      <c r="P43" s="5">
        <f>SUMIFS([0]!mud,[0]!municipio,$B42,[0]!turno,P$2)</f>
        <v>4</v>
      </c>
      <c r="Q43" s="5">
        <f>SUMIFS([0]!mud,[0]!municipio,$B42,[0]!turno,Q$2)</f>
        <v>10</v>
      </c>
      <c r="R43" s="5">
        <f>SUMIFS([0]!mud,[0]!municipio,$B42,[0]!turno,R$2)</f>
        <v>5</v>
      </c>
      <c r="S43" s="5">
        <f>SUMIFS([0]!mud,[0]!municipio,$B42,[0]!turno,S$2)</f>
        <v>9</v>
      </c>
      <c r="T43" s="5">
        <f>SUMIFS([0]!mud,[0]!municipio,$B42,[0]!turno,T$2)</f>
        <v>0</v>
      </c>
      <c r="U43" s="5">
        <f>SUMIFS([0]!mud,[0]!municipio,$B42,[0]!turno,U$2)</f>
        <v>13</v>
      </c>
      <c r="V43" s="5">
        <f>SUMIFS([0]!mud,[0]!municipio,$B42,[0]!turno,V$2)</f>
        <v>17</v>
      </c>
      <c r="W43" s="26">
        <f>SUMIFS([0]!mud,[0]!municipio,$B42,[0]!turno,W$2)</f>
        <v>17</v>
      </c>
    </row>
    <row r="44" spans="2:23" ht="15.75" thickBot="1" x14ac:dyDescent="0.3">
      <c r="B44" s="24">
        <v>1.7209813739129057E-2</v>
      </c>
      <c r="C44" s="12" t="s">
        <v>0</v>
      </c>
      <c r="D44" s="38">
        <f>IF((E42+E43+E44)=0,0,E44/(E42+E43+E44))</f>
        <v>3.4843205574912892E-3</v>
      </c>
      <c r="E44" s="13">
        <f t="shared" si="1"/>
        <v>1</v>
      </c>
      <c r="F44" s="13">
        <f>SUMIFS([0]!otro,[0]!municipio,$B42,[0]!turno,F$2)</f>
        <v>0</v>
      </c>
      <c r="G44" s="13">
        <f>SUMIFS([0]!otro,[0]!municipio,$B42,[0]!turno,G$2)</f>
        <v>0</v>
      </c>
      <c r="H44" s="13">
        <f>SUMIFS([0]!otro,[0]!municipio,$B42,[0]!turno,H$2)</f>
        <v>1</v>
      </c>
      <c r="I44" s="13">
        <f>SUMIFS([0]!otro,[0]!municipio,$B42,[0]!turno,I$2)</f>
        <v>0</v>
      </c>
      <c r="J44" s="13">
        <f>SUMIFS([0]!otro,[0]!municipio,$B42,[0]!turno,J$2)</f>
        <v>0</v>
      </c>
      <c r="K44" s="13">
        <f>SUMIFS([0]!otro,[0]!municipio,$B42,[0]!turno,K$2)</f>
        <v>0</v>
      </c>
      <c r="L44" s="13">
        <f>SUMIFS([0]!otro,[0]!municipio,$B42,[0]!turno,L$2)</f>
        <v>0</v>
      </c>
      <c r="M44" s="13">
        <f>SUMIFS([0]!otro,[0]!municipio,$B42,[0]!turno,M$2)</f>
        <v>0</v>
      </c>
      <c r="N44" s="13">
        <f>SUMIFS([0]!otro,[0]!municipio,$B42,[0]!turno,N$2)</f>
        <v>0</v>
      </c>
      <c r="O44" s="13">
        <f>SUMIFS([0]!otro,[0]!municipio,$B42,[0]!turno,O$2)</f>
        <v>0</v>
      </c>
      <c r="P44" s="13">
        <f>SUMIFS([0]!otro,[0]!municipio,$B42,[0]!turno,P$2)</f>
        <v>0</v>
      </c>
      <c r="Q44" s="13">
        <f>SUMIFS([0]!otro,[0]!municipio,$B42,[0]!turno,Q$2)</f>
        <v>0</v>
      </c>
      <c r="R44" s="13">
        <f>SUMIFS([0]!otro,[0]!municipio,$B42,[0]!turno,R$2)</f>
        <v>0</v>
      </c>
      <c r="S44" s="13">
        <f>SUMIFS([0]!otro,[0]!municipio,$B42,[0]!turno,S$2)</f>
        <v>0</v>
      </c>
      <c r="T44" s="13">
        <f>SUMIFS([0]!otro,[0]!municipio,$B42,[0]!turno,T$2)</f>
        <v>0</v>
      </c>
      <c r="U44" s="13">
        <f>SUMIFS([0]!otro,[0]!municipio,$B42,[0]!turno,U$2)</f>
        <v>0</v>
      </c>
      <c r="V44" s="13">
        <f>SUMIFS([0]!otro,[0]!municipio,$B42,[0]!turno,V$2)</f>
        <v>0</v>
      </c>
      <c r="W44" s="29">
        <f>SUMIFS([0]!otro,[0]!municipio,$B42,[0]!turno,W$2)</f>
        <v>0</v>
      </c>
    </row>
    <row r="45" spans="2:23" x14ac:dyDescent="0.25">
      <c r="B45" s="19">
        <v>157</v>
      </c>
      <c r="C45" s="8" t="s">
        <v>106</v>
      </c>
      <c r="D45" s="36">
        <f>IF((E45+E46+E47)=0,0,E45/(E45+E46+E47))</f>
        <v>0.43260188087774293</v>
      </c>
      <c r="E45" s="9">
        <f t="shared" si="1"/>
        <v>138</v>
      </c>
      <c r="F45" s="9">
        <f>SUMIFS([0]!psuv,[0]!municipio,$B45,[0]!turno,F$2)</f>
        <v>0</v>
      </c>
      <c r="G45" s="9">
        <f>SUMIFS([0]!psuv,[0]!municipio,$B45,[0]!turno,G$2)</f>
        <v>0</v>
      </c>
      <c r="H45" s="9">
        <f>SUMIFS([0]!psuv,[0]!municipio,$B45,[0]!turno,H$2)</f>
        <v>3</v>
      </c>
      <c r="I45" s="9">
        <f>SUMIFS([0]!psuv,[0]!municipio,$B45,[0]!turno,I$2)</f>
        <v>0</v>
      </c>
      <c r="J45" s="9">
        <f>SUMIFS([0]!psuv,[0]!municipio,$B45,[0]!turno,J$2)</f>
        <v>11</v>
      </c>
      <c r="K45" s="9">
        <f>SUMIFS([0]!psuv,[0]!municipio,$B45,[0]!turno,K$2)</f>
        <v>7</v>
      </c>
      <c r="L45" s="9">
        <f>SUMIFS([0]!psuv,[0]!municipio,$B45,[0]!turno,L$2)</f>
        <v>14</v>
      </c>
      <c r="M45" s="9">
        <f>SUMIFS([0]!psuv,[0]!municipio,$B45,[0]!turno,M$2)</f>
        <v>8</v>
      </c>
      <c r="N45" s="9">
        <f>SUMIFS([0]!psuv,[0]!municipio,$B45,[0]!turno,N$2)</f>
        <v>8</v>
      </c>
      <c r="O45" s="9">
        <f>SUMIFS([0]!psuv,[0]!municipio,$B45,[0]!turno,O$2)</f>
        <v>16</v>
      </c>
      <c r="P45" s="9">
        <f>SUMIFS([0]!psuv,[0]!municipio,$B45,[0]!turno,P$2)</f>
        <v>10</v>
      </c>
      <c r="Q45" s="9">
        <f>SUMIFS([0]!psuv,[0]!municipio,$B45,[0]!turno,Q$2)</f>
        <v>9</v>
      </c>
      <c r="R45" s="9">
        <f>SUMIFS([0]!psuv,[0]!municipio,$B45,[0]!turno,R$2)</f>
        <v>16</v>
      </c>
      <c r="S45" s="9">
        <f>SUMIFS([0]!psuv,[0]!municipio,$B45,[0]!turno,S$2)</f>
        <v>8</v>
      </c>
      <c r="T45" s="9">
        <f>SUMIFS([0]!psuv,[0]!municipio,$B45,[0]!turno,T$2)</f>
        <v>8</v>
      </c>
      <c r="U45" s="9">
        <f>SUMIFS([0]!psuv,[0]!municipio,$B45,[0]!turno,U$2)</f>
        <v>13</v>
      </c>
      <c r="V45" s="9">
        <f>SUMIFS([0]!psuv,[0]!municipio,$B45,[0]!turno,V$2)</f>
        <v>4</v>
      </c>
      <c r="W45" s="25">
        <f>SUMIFS([0]!psuv,[0]!municipio,$B45,[0]!turno,W$2)</f>
        <v>3</v>
      </c>
    </row>
    <row r="46" spans="2:23" x14ac:dyDescent="0.25">
      <c r="B46" s="20" t="s">
        <v>138</v>
      </c>
      <c r="C46" s="4" t="s">
        <v>107</v>
      </c>
      <c r="D46" s="37">
        <f>IF((E45+E46+E47)=0,0,E46/(E45+E46+E47))</f>
        <v>0.55485893416927901</v>
      </c>
      <c r="E46" s="5">
        <f t="shared" si="1"/>
        <v>177</v>
      </c>
      <c r="F46" s="5">
        <f>SUMIFS([0]!mud,[0]!municipio,$B45,[0]!turno,F$2)</f>
        <v>0</v>
      </c>
      <c r="G46" s="5">
        <f>SUMIFS([0]!mud,[0]!municipio,$B45,[0]!turno,G$2)</f>
        <v>0</v>
      </c>
      <c r="H46" s="5">
        <f>SUMIFS([0]!mud,[0]!municipio,$B45,[0]!turno,H$2)</f>
        <v>8</v>
      </c>
      <c r="I46" s="5">
        <f>SUMIFS([0]!mud,[0]!municipio,$B45,[0]!turno,I$2)</f>
        <v>0</v>
      </c>
      <c r="J46" s="5">
        <f>SUMIFS([0]!mud,[0]!municipio,$B45,[0]!turno,J$2)</f>
        <v>19</v>
      </c>
      <c r="K46" s="5">
        <f>SUMIFS([0]!mud,[0]!municipio,$B45,[0]!turno,K$2)</f>
        <v>12</v>
      </c>
      <c r="L46" s="5">
        <f>SUMIFS([0]!mud,[0]!municipio,$B45,[0]!turno,L$2)</f>
        <v>9</v>
      </c>
      <c r="M46" s="5">
        <f>SUMIFS([0]!mud,[0]!municipio,$B45,[0]!turno,M$2)</f>
        <v>15</v>
      </c>
      <c r="N46" s="5">
        <f>SUMIFS([0]!mud,[0]!municipio,$B45,[0]!turno,N$2)</f>
        <v>9</v>
      </c>
      <c r="O46" s="5">
        <f>SUMIFS([0]!mud,[0]!municipio,$B45,[0]!turno,O$2)</f>
        <v>12</v>
      </c>
      <c r="P46" s="5">
        <f>SUMIFS([0]!mud,[0]!municipio,$B45,[0]!turno,P$2)</f>
        <v>20</v>
      </c>
      <c r="Q46" s="5">
        <f>SUMIFS([0]!mud,[0]!municipio,$B45,[0]!turno,Q$2)</f>
        <v>5</v>
      </c>
      <c r="R46" s="5">
        <f>SUMIFS([0]!mud,[0]!municipio,$B45,[0]!turno,R$2)</f>
        <v>16</v>
      </c>
      <c r="S46" s="5">
        <f>SUMIFS([0]!mud,[0]!municipio,$B45,[0]!turno,S$2)</f>
        <v>9</v>
      </c>
      <c r="T46" s="5">
        <f>SUMIFS([0]!mud,[0]!municipio,$B45,[0]!turno,T$2)</f>
        <v>13</v>
      </c>
      <c r="U46" s="5">
        <f>SUMIFS([0]!mud,[0]!municipio,$B45,[0]!turno,U$2)</f>
        <v>14</v>
      </c>
      <c r="V46" s="5">
        <f>SUMIFS([0]!mud,[0]!municipio,$B45,[0]!turno,V$2)</f>
        <v>8</v>
      </c>
      <c r="W46" s="26">
        <f>SUMIFS([0]!mud,[0]!municipio,$B45,[0]!turno,W$2)</f>
        <v>8</v>
      </c>
    </row>
    <row r="47" spans="2:23" ht="15.75" thickBot="1" x14ac:dyDescent="0.3">
      <c r="B47" s="21">
        <v>1.4205904560356152E-2</v>
      </c>
      <c r="C47" s="10" t="s">
        <v>0</v>
      </c>
      <c r="D47" s="38">
        <f>IF((E45+E46+E47)=0,0,E47/(E45+E46+E47))</f>
        <v>1.2539184952978056E-2</v>
      </c>
      <c r="E47" s="11">
        <f t="shared" si="1"/>
        <v>4</v>
      </c>
      <c r="F47" s="11">
        <f>SUMIFS([0]!otro,[0]!municipio,$B45,[0]!turno,F$2)</f>
        <v>0</v>
      </c>
      <c r="G47" s="11">
        <f>SUMIFS([0]!otro,[0]!municipio,$B45,[0]!turno,G$2)</f>
        <v>0</v>
      </c>
      <c r="H47" s="11">
        <f>SUMIFS([0]!otro,[0]!municipio,$B45,[0]!turno,H$2)</f>
        <v>0</v>
      </c>
      <c r="I47" s="11">
        <f>SUMIFS([0]!otro,[0]!municipio,$B45,[0]!turno,I$2)</f>
        <v>0</v>
      </c>
      <c r="J47" s="11">
        <f>SUMIFS([0]!otro,[0]!municipio,$B45,[0]!turno,J$2)</f>
        <v>0</v>
      </c>
      <c r="K47" s="11">
        <f>SUMIFS([0]!otro,[0]!municipio,$B45,[0]!turno,K$2)</f>
        <v>0</v>
      </c>
      <c r="L47" s="11">
        <f>SUMIFS([0]!otro,[0]!municipio,$B45,[0]!turno,L$2)</f>
        <v>0</v>
      </c>
      <c r="M47" s="11">
        <f>SUMIFS([0]!otro,[0]!municipio,$B45,[0]!turno,M$2)</f>
        <v>0</v>
      </c>
      <c r="N47" s="11">
        <f>SUMIFS([0]!otro,[0]!municipio,$B45,[0]!turno,N$2)</f>
        <v>0</v>
      </c>
      <c r="O47" s="11">
        <f>SUMIFS([0]!otro,[0]!municipio,$B45,[0]!turno,O$2)</f>
        <v>4</v>
      </c>
      <c r="P47" s="11">
        <f>SUMIFS([0]!otro,[0]!municipio,$B45,[0]!turno,P$2)</f>
        <v>0</v>
      </c>
      <c r="Q47" s="11">
        <f>SUMIFS([0]!otro,[0]!municipio,$B45,[0]!turno,Q$2)</f>
        <v>0</v>
      </c>
      <c r="R47" s="11">
        <f>SUMIFS([0]!otro,[0]!municipio,$B45,[0]!turno,R$2)</f>
        <v>0</v>
      </c>
      <c r="S47" s="11">
        <f>SUMIFS([0]!otro,[0]!municipio,$B45,[0]!turno,S$2)</f>
        <v>0</v>
      </c>
      <c r="T47" s="11">
        <f>SUMIFS([0]!otro,[0]!municipio,$B45,[0]!turno,T$2)</f>
        <v>0</v>
      </c>
      <c r="U47" s="11">
        <f>SUMIFS([0]!otro,[0]!municipio,$B45,[0]!turno,U$2)</f>
        <v>0</v>
      </c>
      <c r="V47" s="11">
        <f>SUMIFS([0]!otro,[0]!municipio,$B45,[0]!turno,V$2)</f>
        <v>0</v>
      </c>
      <c r="W47" s="27">
        <f>SUMIFS([0]!otro,[0]!municipio,$B45,[0]!turno,W$2)</f>
        <v>0</v>
      </c>
    </row>
    <row r="48" spans="2:23" x14ac:dyDescent="0.25">
      <c r="B48" s="22">
        <v>158</v>
      </c>
      <c r="C48" s="6" t="s">
        <v>106</v>
      </c>
      <c r="D48" s="36">
        <f>IF((E48+E49+E50)=0,0,E48/(E48+E49+E50))</f>
        <v>0.33986928104575165</v>
      </c>
      <c r="E48" s="7">
        <f t="shared" si="1"/>
        <v>52</v>
      </c>
      <c r="F48" s="7">
        <f>SUMIFS([0]!psuv,[0]!municipio,$B48,[0]!turno,F$2)</f>
        <v>0</v>
      </c>
      <c r="G48" s="7">
        <f>SUMIFS([0]!psuv,[0]!municipio,$B48,[0]!turno,G$2)</f>
        <v>0</v>
      </c>
      <c r="H48" s="7">
        <f>SUMIFS([0]!psuv,[0]!municipio,$B48,[0]!turno,H$2)</f>
        <v>0</v>
      </c>
      <c r="I48" s="7">
        <f>SUMIFS([0]!psuv,[0]!municipio,$B48,[0]!turno,I$2)</f>
        <v>2</v>
      </c>
      <c r="J48" s="7">
        <f>SUMIFS([0]!psuv,[0]!municipio,$B48,[0]!turno,J$2)</f>
        <v>1</v>
      </c>
      <c r="K48" s="7">
        <f>SUMIFS([0]!psuv,[0]!municipio,$B48,[0]!turno,K$2)</f>
        <v>3</v>
      </c>
      <c r="L48" s="7">
        <f>SUMIFS([0]!psuv,[0]!municipio,$B48,[0]!turno,L$2)</f>
        <v>3</v>
      </c>
      <c r="M48" s="7">
        <f>SUMIFS([0]!psuv,[0]!municipio,$B48,[0]!turno,M$2)</f>
        <v>1</v>
      </c>
      <c r="N48" s="7">
        <f>SUMIFS([0]!psuv,[0]!municipio,$B48,[0]!turno,N$2)</f>
        <v>1</v>
      </c>
      <c r="O48" s="7">
        <f>SUMIFS([0]!psuv,[0]!municipio,$B48,[0]!turno,O$2)</f>
        <v>4</v>
      </c>
      <c r="P48" s="7">
        <f>SUMIFS([0]!psuv,[0]!municipio,$B48,[0]!turno,P$2)</f>
        <v>3</v>
      </c>
      <c r="Q48" s="7">
        <f>SUMIFS([0]!psuv,[0]!municipio,$B48,[0]!turno,Q$2)</f>
        <v>2</v>
      </c>
      <c r="R48" s="7">
        <f>SUMIFS([0]!psuv,[0]!municipio,$B48,[0]!turno,R$2)</f>
        <v>4</v>
      </c>
      <c r="S48" s="7">
        <f>SUMIFS([0]!psuv,[0]!municipio,$B48,[0]!turno,S$2)</f>
        <v>3</v>
      </c>
      <c r="T48" s="7">
        <f>SUMIFS([0]!psuv,[0]!municipio,$B48,[0]!turno,T$2)</f>
        <v>0</v>
      </c>
      <c r="U48" s="7">
        <f>SUMIFS([0]!psuv,[0]!municipio,$B48,[0]!turno,U$2)</f>
        <v>9</v>
      </c>
      <c r="V48" s="7">
        <f>SUMIFS([0]!psuv,[0]!municipio,$B48,[0]!turno,V$2)</f>
        <v>6</v>
      </c>
      <c r="W48" s="28">
        <f>SUMIFS([0]!psuv,[0]!municipio,$B48,[0]!turno,W$2)</f>
        <v>10</v>
      </c>
    </row>
    <row r="49" spans="2:23" x14ac:dyDescent="0.25">
      <c r="B49" s="23" t="s">
        <v>19</v>
      </c>
      <c r="C49" s="4" t="s">
        <v>107</v>
      </c>
      <c r="D49" s="37">
        <f>IF((E48+E49+E50)=0,0,E49/(E48+E49+E50))</f>
        <v>0.65359477124183007</v>
      </c>
      <c r="E49" s="5">
        <f t="shared" si="1"/>
        <v>100</v>
      </c>
      <c r="F49" s="5">
        <f>SUMIFS([0]!mud,[0]!municipio,$B48,[0]!turno,F$2)</f>
        <v>0</v>
      </c>
      <c r="G49" s="5">
        <f>SUMIFS([0]!mud,[0]!municipio,$B48,[0]!turno,G$2)</f>
        <v>0</v>
      </c>
      <c r="H49" s="5">
        <f>SUMIFS([0]!mud,[0]!municipio,$B48,[0]!turno,H$2)</f>
        <v>10</v>
      </c>
      <c r="I49" s="5">
        <f>SUMIFS([0]!mud,[0]!municipio,$B48,[0]!turno,I$2)</f>
        <v>2</v>
      </c>
      <c r="J49" s="5">
        <f>SUMIFS([0]!mud,[0]!municipio,$B48,[0]!turno,J$2)</f>
        <v>1</v>
      </c>
      <c r="K49" s="5">
        <f>SUMIFS([0]!mud,[0]!municipio,$B48,[0]!turno,K$2)</f>
        <v>4</v>
      </c>
      <c r="L49" s="5">
        <f>SUMIFS([0]!mud,[0]!municipio,$B48,[0]!turno,L$2)</f>
        <v>3</v>
      </c>
      <c r="M49" s="5">
        <f>SUMIFS([0]!mud,[0]!municipio,$B48,[0]!turno,M$2)</f>
        <v>1</v>
      </c>
      <c r="N49" s="5">
        <f>SUMIFS([0]!mud,[0]!municipio,$B48,[0]!turno,N$2)</f>
        <v>1</v>
      </c>
      <c r="O49" s="5">
        <f>SUMIFS([0]!mud,[0]!municipio,$B48,[0]!turno,O$2)</f>
        <v>3</v>
      </c>
      <c r="P49" s="5">
        <f>SUMIFS([0]!mud,[0]!municipio,$B48,[0]!turno,P$2)</f>
        <v>5</v>
      </c>
      <c r="Q49" s="5">
        <f>SUMIFS([0]!mud,[0]!municipio,$B48,[0]!turno,Q$2)</f>
        <v>14</v>
      </c>
      <c r="R49" s="5">
        <f>SUMIFS([0]!mud,[0]!municipio,$B48,[0]!turno,R$2)</f>
        <v>10</v>
      </c>
      <c r="S49" s="5">
        <f>SUMIFS([0]!mud,[0]!municipio,$B48,[0]!turno,S$2)</f>
        <v>9</v>
      </c>
      <c r="T49" s="5">
        <f>SUMIFS([0]!mud,[0]!municipio,$B48,[0]!turno,T$2)</f>
        <v>0</v>
      </c>
      <c r="U49" s="5">
        <f>SUMIFS([0]!mud,[0]!municipio,$B48,[0]!turno,U$2)</f>
        <v>10</v>
      </c>
      <c r="V49" s="5">
        <f>SUMIFS([0]!mud,[0]!municipio,$B48,[0]!turno,V$2)</f>
        <v>13</v>
      </c>
      <c r="W49" s="26">
        <f>SUMIFS([0]!mud,[0]!municipio,$B48,[0]!turno,W$2)</f>
        <v>14</v>
      </c>
    </row>
    <row r="50" spans="2:23" ht="15.75" thickBot="1" x14ac:dyDescent="0.3">
      <c r="B50" s="24">
        <v>1.744505167745795E-2</v>
      </c>
      <c r="C50" s="12" t="s">
        <v>0</v>
      </c>
      <c r="D50" s="38">
        <f>IF((E48+E49+E50)=0,0,E50/(E48+E49+E50))</f>
        <v>6.5359477124183009E-3</v>
      </c>
      <c r="E50" s="13">
        <f t="shared" si="1"/>
        <v>1</v>
      </c>
      <c r="F50" s="13">
        <f>SUMIFS([0]!otro,[0]!municipio,$B48,[0]!turno,F$2)</f>
        <v>0</v>
      </c>
      <c r="G50" s="13">
        <f>SUMIFS([0]!otro,[0]!municipio,$B48,[0]!turno,G$2)</f>
        <v>0</v>
      </c>
      <c r="H50" s="13">
        <f>SUMIFS([0]!otro,[0]!municipio,$B48,[0]!turno,H$2)</f>
        <v>0</v>
      </c>
      <c r="I50" s="13">
        <f>SUMIFS([0]!otro,[0]!municipio,$B48,[0]!turno,I$2)</f>
        <v>0</v>
      </c>
      <c r="J50" s="13">
        <f>SUMIFS([0]!otro,[0]!municipio,$B48,[0]!turno,J$2)</f>
        <v>0</v>
      </c>
      <c r="K50" s="13">
        <f>SUMIFS([0]!otro,[0]!municipio,$B48,[0]!turno,K$2)</f>
        <v>0</v>
      </c>
      <c r="L50" s="13">
        <f>SUMIFS([0]!otro,[0]!municipio,$B48,[0]!turno,L$2)</f>
        <v>0</v>
      </c>
      <c r="M50" s="13">
        <f>SUMIFS([0]!otro,[0]!municipio,$B48,[0]!turno,M$2)</f>
        <v>0</v>
      </c>
      <c r="N50" s="13">
        <f>SUMIFS([0]!otro,[0]!municipio,$B48,[0]!turno,N$2)</f>
        <v>0</v>
      </c>
      <c r="O50" s="13">
        <f>SUMIFS([0]!otro,[0]!municipio,$B48,[0]!turno,O$2)</f>
        <v>0</v>
      </c>
      <c r="P50" s="13">
        <f>SUMIFS([0]!otro,[0]!municipio,$B48,[0]!turno,P$2)</f>
        <v>0</v>
      </c>
      <c r="Q50" s="13">
        <f>SUMIFS([0]!otro,[0]!municipio,$B48,[0]!turno,Q$2)</f>
        <v>1</v>
      </c>
      <c r="R50" s="13">
        <f>SUMIFS([0]!otro,[0]!municipio,$B48,[0]!turno,R$2)</f>
        <v>0</v>
      </c>
      <c r="S50" s="13">
        <f>SUMIFS([0]!otro,[0]!municipio,$B48,[0]!turno,S$2)</f>
        <v>0</v>
      </c>
      <c r="T50" s="13">
        <f>SUMIFS([0]!otro,[0]!municipio,$B48,[0]!turno,T$2)</f>
        <v>0</v>
      </c>
      <c r="U50" s="13">
        <f>SUMIFS([0]!otro,[0]!municipio,$B48,[0]!turno,U$2)</f>
        <v>0</v>
      </c>
      <c r="V50" s="13">
        <f>SUMIFS([0]!otro,[0]!municipio,$B48,[0]!turno,V$2)</f>
        <v>0</v>
      </c>
      <c r="W50" s="29">
        <f>SUMIFS([0]!otro,[0]!municipio,$B48,[0]!turno,W$2)</f>
        <v>0</v>
      </c>
    </row>
    <row r="51" spans="2:23" x14ac:dyDescent="0.25">
      <c r="B51" s="19">
        <v>159</v>
      </c>
      <c r="C51" s="8" t="s">
        <v>106</v>
      </c>
      <c r="D51" s="36">
        <f>IF((E51+E52+E53)=0,0,E51/(E51+E52+E53))</f>
        <v>0.51282051282051277</v>
      </c>
      <c r="E51" s="9">
        <f t="shared" si="1"/>
        <v>20</v>
      </c>
      <c r="F51" s="9">
        <f>SUMIFS([0]!psuv,[0]!municipio,$B51,[0]!turno,F$2)</f>
        <v>0</v>
      </c>
      <c r="G51" s="9">
        <f>SUMIFS([0]!psuv,[0]!municipio,$B51,[0]!turno,G$2)</f>
        <v>0</v>
      </c>
      <c r="H51" s="9">
        <f>SUMIFS([0]!psuv,[0]!municipio,$B51,[0]!turno,H$2)</f>
        <v>0</v>
      </c>
      <c r="I51" s="9">
        <f>SUMIFS([0]!psuv,[0]!municipio,$B51,[0]!turno,I$2)</f>
        <v>0</v>
      </c>
      <c r="J51" s="9">
        <f>SUMIFS([0]!psuv,[0]!municipio,$B51,[0]!turno,J$2)</f>
        <v>0</v>
      </c>
      <c r="K51" s="9">
        <f>SUMIFS([0]!psuv,[0]!municipio,$B51,[0]!turno,K$2)</f>
        <v>0</v>
      </c>
      <c r="L51" s="9">
        <f>SUMIFS([0]!psuv,[0]!municipio,$B51,[0]!turno,L$2)</f>
        <v>0</v>
      </c>
      <c r="M51" s="9">
        <f>SUMIFS([0]!psuv,[0]!municipio,$B51,[0]!turno,M$2)</f>
        <v>0</v>
      </c>
      <c r="N51" s="9">
        <f>SUMIFS([0]!psuv,[0]!municipio,$B51,[0]!turno,N$2)</f>
        <v>0</v>
      </c>
      <c r="O51" s="9">
        <f>SUMIFS([0]!psuv,[0]!municipio,$B51,[0]!turno,O$2)</f>
        <v>0</v>
      </c>
      <c r="P51" s="9">
        <f>SUMIFS([0]!psuv,[0]!municipio,$B51,[0]!turno,P$2)</f>
        <v>0</v>
      </c>
      <c r="Q51" s="9">
        <f>SUMIFS([0]!psuv,[0]!municipio,$B51,[0]!turno,Q$2)</f>
        <v>0</v>
      </c>
      <c r="R51" s="9">
        <f>SUMIFS([0]!psuv,[0]!municipio,$B51,[0]!turno,R$2)</f>
        <v>0</v>
      </c>
      <c r="S51" s="9">
        <f>SUMIFS([0]!psuv,[0]!municipio,$B51,[0]!turno,S$2)</f>
        <v>0</v>
      </c>
      <c r="T51" s="9">
        <f>SUMIFS([0]!psuv,[0]!municipio,$B51,[0]!turno,T$2)</f>
        <v>0</v>
      </c>
      <c r="U51" s="9">
        <f>SUMIFS([0]!psuv,[0]!municipio,$B51,[0]!turno,U$2)</f>
        <v>0</v>
      </c>
      <c r="V51" s="9">
        <f>SUMIFS([0]!psuv,[0]!municipio,$B51,[0]!turno,V$2)</f>
        <v>11</v>
      </c>
      <c r="W51" s="25">
        <f>SUMIFS([0]!psuv,[0]!municipio,$B51,[0]!turno,W$2)</f>
        <v>9</v>
      </c>
    </row>
    <row r="52" spans="2:23" ht="22.5" x14ac:dyDescent="0.25">
      <c r="B52" s="20" t="s">
        <v>139</v>
      </c>
      <c r="C52" s="4" t="s">
        <v>107</v>
      </c>
      <c r="D52" s="37">
        <f>IF((E51+E52+E53)=0,0,E52/(E51+E52+E53))</f>
        <v>0.48717948717948717</v>
      </c>
      <c r="E52" s="5">
        <f t="shared" si="1"/>
        <v>19</v>
      </c>
      <c r="F52" s="5">
        <f>SUMIFS([0]!mud,[0]!municipio,$B51,[0]!turno,F$2)</f>
        <v>0</v>
      </c>
      <c r="G52" s="5">
        <f>SUMIFS([0]!mud,[0]!municipio,$B51,[0]!turno,G$2)</f>
        <v>0</v>
      </c>
      <c r="H52" s="5">
        <f>SUMIFS([0]!mud,[0]!municipio,$B51,[0]!turno,H$2)</f>
        <v>0</v>
      </c>
      <c r="I52" s="5">
        <f>SUMIFS([0]!mud,[0]!municipio,$B51,[0]!turno,I$2)</f>
        <v>0</v>
      </c>
      <c r="J52" s="5">
        <f>SUMIFS([0]!mud,[0]!municipio,$B51,[0]!turno,J$2)</f>
        <v>0</v>
      </c>
      <c r="K52" s="5">
        <f>SUMIFS([0]!mud,[0]!municipio,$B51,[0]!turno,K$2)</f>
        <v>0</v>
      </c>
      <c r="L52" s="5">
        <f>SUMIFS([0]!mud,[0]!municipio,$B51,[0]!turno,L$2)</f>
        <v>0</v>
      </c>
      <c r="M52" s="5">
        <f>SUMIFS([0]!mud,[0]!municipio,$B51,[0]!turno,M$2)</f>
        <v>0</v>
      </c>
      <c r="N52" s="5">
        <f>SUMIFS([0]!mud,[0]!municipio,$B51,[0]!turno,N$2)</f>
        <v>0</v>
      </c>
      <c r="O52" s="5">
        <f>SUMIFS([0]!mud,[0]!municipio,$B51,[0]!turno,O$2)</f>
        <v>0</v>
      </c>
      <c r="P52" s="5">
        <f>SUMIFS([0]!mud,[0]!municipio,$B51,[0]!turno,P$2)</f>
        <v>0</v>
      </c>
      <c r="Q52" s="5">
        <f>SUMIFS([0]!mud,[0]!municipio,$B51,[0]!turno,Q$2)</f>
        <v>0</v>
      </c>
      <c r="R52" s="5">
        <f>SUMIFS([0]!mud,[0]!municipio,$B51,[0]!turno,R$2)</f>
        <v>0</v>
      </c>
      <c r="S52" s="5">
        <f>SUMIFS([0]!mud,[0]!municipio,$B51,[0]!turno,S$2)</f>
        <v>0</v>
      </c>
      <c r="T52" s="5">
        <f>SUMIFS([0]!mud,[0]!municipio,$B51,[0]!turno,T$2)</f>
        <v>0</v>
      </c>
      <c r="U52" s="5">
        <f>SUMIFS([0]!mud,[0]!municipio,$B51,[0]!turno,U$2)</f>
        <v>0</v>
      </c>
      <c r="V52" s="5">
        <f>SUMIFS([0]!mud,[0]!municipio,$B51,[0]!turno,V$2)</f>
        <v>7</v>
      </c>
      <c r="W52" s="26">
        <f>SUMIFS([0]!mud,[0]!municipio,$B51,[0]!turno,W$2)</f>
        <v>12</v>
      </c>
    </row>
    <row r="53" spans="2:23" ht="15.75" thickBot="1" x14ac:dyDescent="0.3">
      <c r="B53" s="21">
        <v>1.6222607335018471E-2</v>
      </c>
      <c r="C53" s="10" t="s">
        <v>0</v>
      </c>
      <c r="D53" s="38">
        <f>IF((E51+E52+E53)=0,0,E53/(E51+E52+E53))</f>
        <v>0</v>
      </c>
      <c r="E53" s="11">
        <f t="shared" si="1"/>
        <v>0</v>
      </c>
      <c r="F53" s="11">
        <f>SUMIFS([0]!otro,[0]!municipio,$B51,[0]!turno,F$2)</f>
        <v>0</v>
      </c>
      <c r="G53" s="11">
        <f>SUMIFS([0]!otro,[0]!municipio,$B51,[0]!turno,G$2)</f>
        <v>0</v>
      </c>
      <c r="H53" s="11">
        <f>SUMIFS([0]!otro,[0]!municipio,$B51,[0]!turno,H$2)</f>
        <v>0</v>
      </c>
      <c r="I53" s="11">
        <f>SUMIFS([0]!otro,[0]!municipio,$B51,[0]!turno,I$2)</f>
        <v>0</v>
      </c>
      <c r="J53" s="11">
        <f>SUMIFS([0]!otro,[0]!municipio,$B51,[0]!turno,J$2)</f>
        <v>0</v>
      </c>
      <c r="K53" s="11">
        <f>SUMIFS([0]!otro,[0]!municipio,$B51,[0]!turno,K$2)</f>
        <v>0</v>
      </c>
      <c r="L53" s="11">
        <f>SUMIFS([0]!otro,[0]!municipio,$B51,[0]!turno,L$2)</f>
        <v>0</v>
      </c>
      <c r="M53" s="11">
        <f>SUMIFS([0]!otro,[0]!municipio,$B51,[0]!turno,M$2)</f>
        <v>0</v>
      </c>
      <c r="N53" s="11">
        <f>SUMIFS([0]!otro,[0]!municipio,$B51,[0]!turno,N$2)</f>
        <v>0</v>
      </c>
      <c r="O53" s="11">
        <f>SUMIFS([0]!otro,[0]!municipio,$B51,[0]!turno,O$2)</f>
        <v>0</v>
      </c>
      <c r="P53" s="11">
        <f>SUMIFS([0]!otro,[0]!municipio,$B51,[0]!turno,P$2)</f>
        <v>0</v>
      </c>
      <c r="Q53" s="11">
        <f>SUMIFS([0]!otro,[0]!municipio,$B51,[0]!turno,Q$2)</f>
        <v>0</v>
      </c>
      <c r="R53" s="11">
        <f>SUMIFS([0]!otro,[0]!municipio,$B51,[0]!turno,R$2)</f>
        <v>0</v>
      </c>
      <c r="S53" s="11">
        <f>SUMIFS([0]!otro,[0]!municipio,$B51,[0]!turno,S$2)</f>
        <v>0</v>
      </c>
      <c r="T53" s="11">
        <f>SUMIFS([0]!otro,[0]!municipio,$B51,[0]!turno,T$2)</f>
        <v>0</v>
      </c>
      <c r="U53" s="11">
        <f>SUMIFS([0]!otro,[0]!municipio,$B51,[0]!turno,U$2)</f>
        <v>0</v>
      </c>
      <c r="V53" s="11">
        <f>SUMIFS([0]!otro,[0]!municipio,$B51,[0]!turno,V$2)</f>
        <v>0</v>
      </c>
      <c r="W53" s="27">
        <f>SUMIFS([0]!otro,[0]!municipio,$B51,[0]!turno,W$2)</f>
        <v>0</v>
      </c>
    </row>
    <row r="54" spans="2:23" x14ac:dyDescent="0.25">
      <c r="B54"/>
      <c r="C54"/>
      <c r="E54" s="34"/>
    </row>
    <row r="55" spans="2:23" x14ac:dyDescent="0.25">
      <c r="B55"/>
      <c r="C55"/>
    </row>
    <row r="56" spans="2:23" x14ac:dyDescent="0.25">
      <c r="B56"/>
      <c r="C56"/>
    </row>
    <row r="57" spans="2:23" x14ac:dyDescent="0.25">
      <c r="B57"/>
      <c r="C57"/>
    </row>
    <row r="58" spans="2:23" x14ac:dyDescent="0.25">
      <c r="B58"/>
      <c r="C58"/>
    </row>
    <row r="59" spans="2:23" x14ac:dyDescent="0.25">
      <c r="B59"/>
      <c r="C59"/>
    </row>
    <row r="60" spans="2:23" x14ac:dyDescent="0.25">
      <c r="B60"/>
      <c r="C60"/>
    </row>
    <row r="61" spans="2:23" x14ac:dyDescent="0.25">
      <c r="B61"/>
      <c r="C61"/>
    </row>
    <row r="62" spans="2:23" x14ac:dyDescent="0.25">
      <c r="B62"/>
      <c r="C62"/>
    </row>
    <row r="63" spans="2:23" x14ac:dyDescent="0.25">
      <c r="B63"/>
      <c r="C63"/>
    </row>
    <row r="64" spans="2:2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ht="15.75" customHeight="1" x14ac:dyDescent="0.25">
      <c r="B164"/>
      <c r="C164"/>
    </row>
    <row r="165" spans="2:3" ht="15.75" customHeight="1" x14ac:dyDescent="0.25">
      <c r="B165"/>
      <c r="C165"/>
    </row>
    <row r="166" spans="2:3" ht="15.75" customHeight="1" x14ac:dyDescent="0.25">
      <c r="B166"/>
      <c r="C166"/>
    </row>
    <row r="167" spans="2:3" ht="15.75" customHeight="1" x14ac:dyDescent="0.25">
      <c r="B167"/>
      <c r="C167"/>
    </row>
    <row r="168" spans="2:3" ht="15.75" customHeight="1" x14ac:dyDescent="0.25">
      <c r="B168"/>
      <c r="C168"/>
    </row>
    <row r="169" spans="2:3" ht="15.75" customHeight="1" x14ac:dyDescent="0.25">
      <c r="B169"/>
      <c r="C169"/>
    </row>
    <row r="170" spans="2:3" ht="15.75" customHeight="1" x14ac:dyDescent="0.25">
      <c r="B170"/>
      <c r="C170"/>
    </row>
    <row r="171" spans="2:3" ht="15.75" customHeight="1" x14ac:dyDescent="0.25">
      <c r="B171"/>
      <c r="C171"/>
    </row>
    <row r="172" spans="2:3" ht="15.75" customHeight="1" x14ac:dyDescent="0.25">
      <c r="B172"/>
      <c r="C172"/>
    </row>
    <row r="173" spans="2:3" ht="15.75" customHeight="1" x14ac:dyDescent="0.25">
      <c r="B173"/>
      <c r="C173"/>
    </row>
    <row r="174" spans="2:3" ht="15.75" customHeight="1" x14ac:dyDescent="0.25">
      <c r="B174"/>
      <c r="C174"/>
    </row>
    <row r="175" spans="2:3" ht="15.75" customHeight="1" x14ac:dyDescent="0.25">
      <c r="B175"/>
      <c r="C175"/>
    </row>
    <row r="176" spans="2:3" ht="15.75" customHeight="1" x14ac:dyDescent="0.25">
      <c r="B176"/>
      <c r="C176"/>
    </row>
    <row r="177" spans="2:3" ht="15.75" customHeight="1" x14ac:dyDescent="0.25">
      <c r="B177"/>
      <c r="C177"/>
    </row>
    <row r="178" spans="2:3" ht="15.75" customHeight="1" x14ac:dyDescent="0.25">
      <c r="B178"/>
      <c r="C178"/>
    </row>
    <row r="179" spans="2:3" ht="15.75" customHeight="1" x14ac:dyDescent="0.25">
      <c r="B179"/>
      <c r="C179"/>
    </row>
    <row r="180" spans="2:3" ht="15.75" customHeight="1" x14ac:dyDescent="0.25">
      <c r="B180"/>
      <c r="C180"/>
    </row>
    <row r="181" spans="2:3" ht="15.75" customHeight="1" x14ac:dyDescent="0.25">
      <c r="B181"/>
      <c r="C181"/>
    </row>
    <row r="182" spans="2:3" ht="15.75" customHeight="1" x14ac:dyDescent="0.25">
      <c r="B182"/>
      <c r="C182"/>
    </row>
    <row r="183" spans="2:3" ht="15.75" customHeight="1" x14ac:dyDescent="0.25">
      <c r="B183"/>
      <c r="C183"/>
    </row>
    <row r="184" spans="2:3" ht="15.75" customHeight="1" x14ac:dyDescent="0.25">
      <c r="B184"/>
      <c r="C184"/>
    </row>
    <row r="185" spans="2:3" ht="15.75" customHeight="1" x14ac:dyDescent="0.25">
      <c r="B185"/>
      <c r="C185"/>
    </row>
    <row r="186" spans="2:3" ht="15.75" customHeight="1" x14ac:dyDescent="0.25">
      <c r="B186"/>
      <c r="C186"/>
    </row>
    <row r="187" spans="2:3" ht="15.75" customHeight="1" x14ac:dyDescent="0.25">
      <c r="B187"/>
      <c r="C187"/>
    </row>
    <row r="188" spans="2:3" ht="15.75" customHeight="1" x14ac:dyDescent="0.25">
      <c r="B188"/>
      <c r="C188"/>
    </row>
    <row r="189" spans="2:3" ht="15.75" customHeight="1" x14ac:dyDescent="0.25">
      <c r="B189"/>
      <c r="C189"/>
    </row>
    <row r="190" spans="2:3" ht="15.75" customHeight="1" x14ac:dyDescent="0.25">
      <c r="B190"/>
      <c r="C190"/>
    </row>
    <row r="191" spans="2:3" ht="15.75" customHeight="1" x14ac:dyDescent="0.25">
      <c r="B191"/>
      <c r="C191"/>
    </row>
    <row r="192" spans="2:3" ht="15.75" customHeight="1" x14ac:dyDescent="0.25">
      <c r="B192"/>
      <c r="C192"/>
    </row>
    <row r="193" spans="2:3" ht="15.75" customHeight="1" x14ac:dyDescent="0.25">
      <c r="B193"/>
      <c r="C193"/>
    </row>
    <row r="194" spans="2:3" ht="15.75" customHeight="1" x14ac:dyDescent="0.25">
      <c r="B194"/>
      <c r="C194"/>
    </row>
    <row r="195" spans="2:3" ht="15.75" customHeight="1" x14ac:dyDescent="0.25">
      <c r="B195"/>
      <c r="C195"/>
    </row>
    <row r="196" spans="2:3" ht="15.75" customHeight="1" x14ac:dyDescent="0.25">
      <c r="B196"/>
      <c r="C196"/>
    </row>
    <row r="197" spans="2:3" ht="15.75" customHeight="1" x14ac:dyDescent="0.25">
      <c r="B197"/>
      <c r="C197"/>
    </row>
    <row r="198" spans="2:3" ht="15.75" customHeight="1" x14ac:dyDescent="0.25">
      <c r="B198"/>
      <c r="C198"/>
    </row>
    <row r="199" spans="2:3" ht="15.75" customHeight="1" x14ac:dyDescent="0.25">
      <c r="B199"/>
      <c r="C199"/>
    </row>
    <row r="200" spans="2:3" ht="15.75" customHeight="1" x14ac:dyDescent="0.25">
      <c r="B200"/>
      <c r="C200"/>
    </row>
    <row r="201" spans="2:3" ht="15.75" customHeight="1" x14ac:dyDescent="0.25">
      <c r="B201"/>
      <c r="C201"/>
    </row>
    <row r="202" spans="2:3" ht="15.75" customHeight="1" x14ac:dyDescent="0.25">
      <c r="B202"/>
      <c r="C202"/>
    </row>
    <row r="203" spans="2:3" ht="15.75" customHeight="1" x14ac:dyDescent="0.25">
      <c r="B203"/>
      <c r="C203"/>
    </row>
    <row r="204" spans="2:3" ht="15.75" customHeight="1" x14ac:dyDescent="0.25">
      <c r="B204"/>
      <c r="C204"/>
    </row>
    <row r="205" spans="2:3" ht="15.75" customHeight="1" x14ac:dyDescent="0.25">
      <c r="B205"/>
      <c r="C205"/>
    </row>
    <row r="206" spans="2:3" ht="15.75" customHeight="1" x14ac:dyDescent="0.25">
      <c r="B206"/>
      <c r="C206"/>
    </row>
    <row r="207" spans="2:3" ht="15.75" customHeight="1" x14ac:dyDescent="0.25">
      <c r="B207"/>
      <c r="C207"/>
    </row>
    <row r="208" spans="2:3" ht="15.75" customHeight="1" x14ac:dyDescent="0.25">
      <c r="B208"/>
      <c r="C208"/>
    </row>
    <row r="209" spans="2:3" ht="15.75" customHeight="1" x14ac:dyDescent="0.25">
      <c r="B209"/>
      <c r="C209"/>
    </row>
    <row r="210" spans="2:3" ht="15.75" customHeight="1" x14ac:dyDescent="0.25">
      <c r="B210"/>
      <c r="C210"/>
    </row>
    <row r="211" spans="2:3" ht="15.75" customHeight="1" x14ac:dyDescent="0.25">
      <c r="B211"/>
      <c r="C211"/>
    </row>
    <row r="212" spans="2:3" ht="15.75" customHeight="1" x14ac:dyDescent="0.25">
      <c r="B212"/>
      <c r="C212"/>
    </row>
    <row r="213" spans="2:3" ht="15.75" customHeight="1" x14ac:dyDescent="0.25">
      <c r="B213"/>
      <c r="C213"/>
    </row>
    <row r="214" spans="2:3" ht="15.75" customHeight="1" x14ac:dyDescent="0.25">
      <c r="B214"/>
      <c r="C214"/>
    </row>
    <row r="215" spans="2:3" ht="15.75" customHeight="1" x14ac:dyDescent="0.25">
      <c r="B215"/>
      <c r="C215"/>
    </row>
    <row r="216" spans="2:3" ht="15.75" customHeight="1" x14ac:dyDescent="0.25">
      <c r="B216"/>
      <c r="C216"/>
    </row>
    <row r="217" spans="2:3" ht="15.75" customHeight="1" x14ac:dyDescent="0.25">
      <c r="B217"/>
      <c r="C217"/>
    </row>
    <row r="218" spans="2:3" ht="15.75" customHeight="1" x14ac:dyDescent="0.25">
      <c r="B218"/>
      <c r="C218"/>
    </row>
    <row r="219" spans="2:3" ht="15.75" customHeight="1" x14ac:dyDescent="0.25">
      <c r="B219"/>
      <c r="C219"/>
    </row>
    <row r="220" spans="2:3" ht="15.75" customHeight="1" x14ac:dyDescent="0.25">
      <c r="B220"/>
      <c r="C220"/>
    </row>
    <row r="221" spans="2:3" ht="15.75" customHeight="1" x14ac:dyDescent="0.25">
      <c r="B221"/>
      <c r="C221"/>
    </row>
    <row r="222" spans="2:3" ht="15.75" customHeight="1" x14ac:dyDescent="0.25">
      <c r="B222"/>
      <c r="C222"/>
    </row>
    <row r="223" spans="2:3" ht="15.75" customHeight="1" x14ac:dyDescent="0.25">
      <c r="B223"/>
      <c r="C223"/>
    </row>
    <row r="224" spans="2:3" ht="15.75" customHeight="1" x14ac:dyDescent="0.25">
      <c r="B224"/>
      <c r="C224"/>
    </row>
    <row r="225" spans="2:3" ht="15.75" customHeight="1" x14ac:dyDescent="0.25">
      <c r="B225"/>
      <c r="C225"/>
    </row>
    <row r="226" spans="2:3" ht="15.75" customHeight="1" x14ac:dyDescent="0.25">
      <c r="B226"/>
      <c r="C226"/>
    </row>
    <row r="227" spans="2:3" ht="15.75" customHeight="1" x14ac:dyDescent="0.25">
      <c r="B227"/>
      <c r="C227"/>
    </row>
    <row r="228" spans="2:3" ht="15.75" customHeight="1" x14ac:dyDescent="0.25">
      <c r="B228"/>
      <c r="C228"/>
    </row>
    <row r="229" spans="2:3" ht="15.75" customHeight="1" x14ac:dyDescent="0.25">
      <c r="B229"/>
      <c r="C229"/>
    </row>
    <row r="230" spans="2:3" ht="15.75" customHeight="1" x14ac:dyDescent="0.25">
      <c r="B230"/>
      <c r="C230"/>
    </row>
    <row r="231" spans="2:3" ht="15.75" customHeight="1" x14ac:dyDescent="0.25">
      <c r="B231"/>
      <c r="C231"/>
    </row>
    <row r="232" spans="2:3" ht="15.75" customHeight="1" x14ac:dyDescent="0.25">
      <c r="B232"/>
      <c r="C232"/>
    </row>
    <row r="233" spans="2:3" ht="15.75" customHeight="1" x14ac:dyDescent="0.25">
      <c r="B233"/>
      <c r="C233"/>
    </row>
    <row r="234" spans="2:3" ht="15.75" customHeight="1" x14ac:dyDescent="0.25">
      <c r="B234"/>
      <c r="C234"/>
    </row>
    <row r="235" spans="2:3" ht="15.75" customHeight="1" x14ac:dyDescent="0.25">
      <c r="B235"/>
      <c r="C235"/>
    </row>
    <row r="236" spans="2:3" ht="15.75" customHeight="1" x14ac:dyDescent="0.25">
      <c r="B236"/>
      <c r="C236"/>
    </row>
    <row r="237" spans="2:3" ht="15.75" customHeight="1" x14ac:dyDescent="0.25">
      <c r="B237"/>
      <c r="C237"/>
    </row>
    <row r="238" spans="2:3" ht="15.75" customHeight="1" x14ac:dyDescent="0.25">
      <c r="B238"/>
      <c r="C238"/>
    </row>
    <row r="239" spans="2:3" ht="15.75" customHeight="1" x14ac:dyDescent="0.25">
      <c r="B239"/>
      <c r="C239"/>
    </row>
    <row r="240" spans="2:3" ht="15.75" customHeight="1" x14ac:dyDescent="0.25">
      <c r="B240"/>
      <c r="C240"/>
    </row>
    <row r="241" spans="2:3" ht="15.75" customHeight="1" x14ac:dyDescent="0.25">
      <c r="B241"/>
      <c r="C241"/>
    </row>
    <row r="242" spans="2:3" ht="15.75" customHeight="1" x14ac:dyDescent="0.25">
      <c r="B242"/>
      <c r="C242"/>
    </row>
    <row r="243" spans="2:3" ht="15.75" customHeight="1" x14ac:dyDescent="0.25">
      <c r="B243"/>
      <c r="C243"/>
    </row>
    <row r="244" spans="2:3" ht="15.75" customHeight="1" x14ac:dyDescent="0.25">
      <c r="B244"/>
      <c r="C244"/>
    </row>
    <row r="245" spans="2:3" ht="15.75" customHeight="1" x14ac:dyDescent="0.25">
      <c r="B245"/>
      <c r="C245"/>
    </row>
    <row r="246" spans="2:3" ht="15.75" customHeight="1" x14ac:dyDescent="0.25">
      <c r="B246"/>
      <c r="C246"/>
    </row>
    <row r="247" spans="2:3" ht="15.75" customHeight="1" x14ac:dyDescent="0.25">
      <c r="B247"/>
      <c r="C247"/>
    </row>
    <row r="248" spans="2:3" ht="15.75" customHeight="1" x14ac:dyDescent="0.25">
      <c r="B248"/>
      <c r="C248"/>
    </row>
    <row r="249" spans="2:3" ht="15.75" customHeight="1" x14ac:dyDescent="0.25">
      <c r="B249"/>
      <c r="C249"/>
    </row>
    <row r="250" spans="2:3" ht="15.75" customHeight="1" x14ac:dyDescent="0.25">
      <c r="B250"/>
      <c r="C250"/>
    </row>
    <row r="251" spans="2:3" ht="15.75" customHeight="1" x14ac:dyDescent="0.25">
      <c r="B251"/>
      <c r="C251"/>
    </row>
    <row r="252" spans="2:3" ht="15.75" customHeight="1" x14ac:dyDescent="0.25">
      <c r="B252"/>
      <c r="C252"/>
    </row>
    <row r="253" spans="2:3" ht="15.75" customHeight="1" x14ac:dyDescent="0.25">
      <c r="B253"/>
      <c r="C253"/>
    </row>
    <row r="254" spans="2:3" ht="15.75" customHeight="1" x14ac:dyDescent="0.25">
      <c r="B254"/>
      <c r="C254"/>
    </row>
    <row r="255" spans="2:3" ht="15.75" customHeight="1" x14ac:dyDescent="0.25">
      <c r="B255"/>
      <c r="C255"/>
    </row>
    <row r="256" spans="2:3" ht="15.75" customHeight="1" x14ac:dyDescent="0.25">
      <c r="B256"/>
      <c r="C256"/>
    </row>
    <row r="257" spans="2:3" ht="15.75" customHeight="1" x14ac:dyDescent="0.25">
      <c r="B257"/>
      <c r="C257"/>
    </row>
    <row r="258" spans="2:3" ht="15.75" customHeight="1" x14ac:dyDescent="0.25">
      <c r="B258"/>
      <c r="C258"/>
    </row>
    <row r="259" spans="2:3" ht="15.75" customHeight="1" x14ac:dyDescent="0.25">
      <c r="B259"/>
      <c r="C259"/>
    </row>
    <row r="260" spans="2:3" ht="15.75" customHeight="1" x14ac:dyDescent="0.25">
      <c r="B260"/>
      <c r="C260"/>
    </row>
    <row r="261" spans="2:3" ht="15.75" customHeight="1" x14ac:dyDescent="0.25">
      <c r="B261"/>
      <c r="C261"/>
    </row>
    <row r="262" spans="2:3" ht="15.75" customHeight="1" x14ac:dyDescent="0.25">
      <c r="B262"/>
      <c r="C262"/>
    </row>
    <row r="263" spans="2:3" ht="15.75" customHeight="1" x14ac:dyDescent="0.25">
      <c r="B263"/>
      <c r="C263"/>
    </row>
    <row r="264" spans="2:3" ht="15.75" customHeight="1" x14ac:dyDescent="0.25">
      <c r="B264"/>
      <c r="C264"/>
    </row>
    <row r="265" spans="2:3" ht="15.75" customHeight="1" x14ac:dyDescent="0.25">
      <c r="B265"/>
      <c r="C265"/>
    </row>
    <row r="266" spans="2:3" ht="15.75" customHeight="1" x14ac:dyDescent="0.25">
      <c r="B266"/>
      <c r="C266"/>
    </row>
    <row r="267" spans="2:3" ht="15.75" customHeight="1" x14ac:dyDescent="0.25">
      <c r="B267"/>
      <c r="C267"/>
    </row>
    <row r="268" spans="2:3" ht="15.75" customHeight="1" x14ac:dyDescent="0.25">
      <c r="B268"/>
      <c r="C268"/>
    </row>
    <row r="269" spans="2:3" ht="15.75" customHeight="1" x14ac:dyDescent="0.25">
      <c r="B269"/>
      <c r="C269"/>
    </row>
    <row r="270" spans="2:3" ht="15.75" customHeight="1" x14ac:dyDescent="0.25">
      <c r="B270"/>
      <c r="C270"/>
    </row>
    <row r="271" spans="2:3" ht="15.75" customHeight="1" x14ac:dyDescent="0.25">
      <c r="B271"/>
      <c r="C271"/>
    </row>
    <row r="272" spans="2:3" ht="15.75" customHeight="1" x14ac:dyDescent="0.25">
      <c r="B272"/>
      <c r="C272"/>
    </row>
    <row r="273" spans="2:3" ht="15.75" customHeight="1" x14ac:dyDescent="0.25">
      <c r="B273"/>
      <c r="C273"/>
    </row>
    <row r="274" spans="2:3" ht="15.75" customHeight="1" x14ac:dyDescent="0.25">
      <c r="B274"/>
      <c r="C274"/>
    </row>
    <row r="275" spans="2:3" ht="15.75" customHeight="1" x14ac:dyDescent="0.25">
      <c r="B275"/>
      <c r="C275"/>
    </row>
    <row r="276" spans="2:3" ht="15.75" customHeight="1" x14ac:dyDescent="0.25">
      <c r="B276"/>
      <c r="C276"/>
    </row>
    <row r="277" spans="2:3" ht="15.75" customHeight="1" x14ac:dyDescent="0.25">
      <c r="B277"/>
      <c r="C277"/>
    </row>
    <row r="278" spans="2:3" ht="15.75" customHeight="1" x14ac:dyDescent="0.25">
      <c r="B278"/>
      <c r="C278"/>
    </row>
    <row r="279" spans="2:3" ht="15.75" customHeight="1" x14ac:dyDescent="0.25">
      <c r="B279"/>
      <c r="C279"/>
    </row>
    <row r="280" spans="2:3" ht="15.75" customHeight="1" x14ac:dyDescent="0.25">
      <c r="B280"/>
      <c r="C280"/>
    </row>
    <row r="281" spans="2:3" ht="15.75" customHeight="1" x14ac:dyDescent="0.25">
      <c r="B281"/>
      <c r="C281"/>
    </row>
    <row r="282" spans="2:3" ht="15.75" customHeight="1" x14ac:dyDescent="0.25">
      <c r="B282"/>
      <c r="C282"/>
    </row>
    <row r="283" spans="2:3" ht="15.75" customHeight="1" x14ac:dyDescent="0.25">
      <c r="B283"/>
      <c r="C283"/>
    </row>
    <row r="284" spans="2:3" ht="15.75" customHeight="1" x14ac:dyDescent="0.25">
      <c r="B284"/>
      <c r="C284"/>
    </row>
    <row r="285" spans="2:3" ht="15.75" customHeight="1" x14ac:dyDescent="0.25">
      <c r="B285"/>
      <c r="C285"/>
    </row>
    <row r="286" spans="2:3" ht="15.75" customHeight="1" x14ac:dyDescent="0.25">
      <c r="B286"/>
      <c r="C286"/>
    </row>
    <row r="287" spans="2:3" ht="15.75" customHeight="1" x14ac:dyDescent="0.25">
      <c r="B287"/>
      <c r="C287"/>
    </row>
    <row r="288" spans="2:3" ht="15.75" customHeight="1" x14ac:dyDescent="0.25">
      <c r="B288"/>
      <c r="C288"/>
    </row>
    <row r="289" spans="2:3" ht="15.75" customHeight="1" x14ac:dyDescent="0.25">
      <c r="B289"/>
      <c r="C289"/>
    </row>
    <row r="290" spans="2:3" ht="15.75" customHeight="1" x14ac:dyDescent="0.25">
      <c r="B290"/>
      <c r="C290"/>
    </row>
    <row r="291" spans="2:3" ht="15.75" customHeight="1" x14ac:dyDescent="0.25">
      <c r="B291"/>
      <c r="C291"/>
    </row>
    <row r="292" spans="2:3" ht="15.75" customHeight="1" x14ac:dyDescent="0.25">
      <c r="B292"/>
      <c r="C292"/>
    </row>
    <row r="293" spans="2:3" ht="15.75" customHeight="1" x14ac:dyDescent="0.25">
      <c r="B293"/>
      <c r="C293"/>
    </row>
    <row r="294" spans="2:3" ht="15.75" customHeight="1" x14ac:dyDescent="0.25">
      <c r="B294"/>
      <c r="C294"/>
    </row>
    <row r="295" spans="2:3" ht="15.75" customHeight="1" x14ac:dyDescent="0.25">
      <c r="B295"/>
      <c r="C295"/>
    </row>
    <row r="296" spans="2:3" ht="15.75" customHeight="1" x14ac:dyDescent="0.25">
      <c r="B296"/>
      <c r="C296"/>
    </row>
    <row r="297" spans="2:3" ht="15.75" customHeight="1" x14ac:dyDescent="0.25">
      <c r="B297"/>
      <c r="C297"/>
    </row>
    <row r="298" spans="2:3" ht="15.75" customHeight="1" x14ac:dyDescent="0.25">
      <c r="B298"/>
      <c r="C298"/>
    </row>
    <row r="299" spans="2:3" ht="15.75" customHeight="1" x14ac:dyDescent="0.25">
      <c r="B299"/>
      <c r="C299"/>
    </row>
    <row r="300" spans="2:3" ht="15.75" customHeight="1" x14ac:dyDescent="0.25">
      <c r="B300"/>
      <c r="C300"/>
    </row>
    <row r="301" spans="2:3" ht="15.75" customHeight="1" x14ac:dyDescent="0.25">
      <c r="B301"/>
      <c r="C301"/>
    </row>
    <row r="302" spans="2:3" ht="15.75" customHeight="1" x14ac:dyDescent="0.25">
      <c r="B302"/>
      <c r="C302"/>
    </row>
    <row r="303" spans="2:3" ht="15.75" customHeight="1" x14ac:dyDescent="0.25">
      <c r="B303"/>
      <c r="C303"/>
    </row>
    <row r="304" spans="2:3" ht="15.75" customHeight="1" x14ac:dyDescent="0.25">
      <c r="B304"/>
      <c r="C304"/>
    </row>
    <row r="305" spans="2:3" ht="15.75" customHeight="1" x14ac:dyDescent="0.25">
      <c r="B305"/>
      <c r="C305"/>
    </row>
    <row r="306" spans="2:3" ht="15.75" customHeight="1" x14ac:dyDescent="0.25">
      <c r="B306"/>
      <c r="C306"/>
    </row>
    <row r="307" spans="2:3" ht="15.75" customHeight="1" x14ac:dyDescent="0.25">
      <c r="B307"/>
      <c r="C307"/>
    </row>
    <row r="308" spans="2:3" ht="15.75" customHeight="1" x14ac:dyDescent="0.25">
      <c r="B308"/>
      <c r="C308"/>
    </row>
    <row r="309" spans="2:3" ht="15.75" customHeight="1" x14ac:dyDescent="0.25">
      <c r="B309"/>
      <c r="C309"/>
    </row>
    <row r="310" spans="2:3" ht="15.75" customHeight="1" x14ac:dyDescent="0.25">
      <c r="B310"/>
      <c r="C310"/>
    </row>
    <row r="311" spans="2:3" ht="15.75" customHeight="1" x14ac:dyDescent="0.25">
      <c r="B311"/>
      <c r="C311"/>
    </row>
    <row r="312" spans="2:3" ht="15.75" customHeight="1" x14ac:dyDescent="0.25">
      <c r="B312"/>
      <c r="C312"/>
    </row>
    <row r="313" spans="2:3" ht="15.75" customHeight="1" x14ac:dyDescent="0.25">
      <c r="B313"/>
      <c r="C313"/>
    </row>
    <row r="314" spans="2:3" ht="15.75" customHeight="1" x14ac:dyDescent="0.25">
      <c r="B314"/>
      <c r="C314"/>
    </row>
    <row r="315" spans="2:3" ht="15.75" customHeight="1" x14ac:dyDescent="0.25">
      <c r="B315"/>
      <c r="C315"/>
    </row>
    <row r="316" spans="2:3" ht="15.75" customHeight="1" x14ac:dyDescent="0.25">
      <c r="B316"/>
      <c r="C316"/>
    </row>
    <row r="317" spans="2:3" ht="15.75" customHeight="1" x14ac:dyDescent="0.25">
      <c r="B317"/>
      <c r="C317"/>
    </row>
    <row r="318" spans="2:3" ht="15.75" customHeight="1" x14ac:dyDescent="0.25">
      <c r="B318"/>
      <c r="C318"/>
    </row>
    <row r="319" spans="2:3" ht="15.75" customHeight="1" x14ac:dyDescent="0.25">
      <c r="B319"/>
      <c r="C319"/>
    </row>
    <row r="320" spans="2:3" ht="15.75" customHeight="1" x14ac:dyDescent="0.25">
      <c r="B320"/>
      <c r="C320"/>
    </row>
    <row r="321" spans="2:3" ht="15.75" customHeight="1" x14ac:dyDescent="0.25">
      <c r="B321"/>
      <c r="C321"/>
    </row>
    <row r="322" spans="2:3" ht="15.75" customHeight="1" x14ac:dyDescent="0.25">
      <c r="B322"/>
      <c r="C322"/>
    </row>
    <row r="323" spans="2:3" ht="15.75" customHeight="1" x14ac:dyDescent="0.25">
      <c r="B323"/>
      <c r="C323"/>
    </row>
    <row r="324" spans="2:3" ht="15.75" customHeight="1" x14ac:dyDescent="0.25">
      <c r="B324"/>
      <c r="C324"/>
    </row>
    <row r="325" spans="2:3" ht="15.75" customHeight="1" x14ac:dyDescent="0.25">
      <c r="B325"/>
      <c r="C325"/>
    </row>
    <row r="326" spans="2:3" ht="15.75" customHeight="1" x14ac:dyDescent="0.25">
      <c r="B326"/>
      <c r="C326"/>
    </row>
    <row r="327" spans="2:3" ht="15.75" customHeight="1" x14ac:dyDescent="0.25">
      <c r="B327"/>
      <c r="C327"/>
    </row>
    <row r="328" spans="2:3" ht="15.75" customHeight="1" x14ac:dyDescent="0.25">
      <c r="B328"/>
      <c r="C328"/>
    </row>
    <row r="329" spans="2:3" ht="15.75" customHeight="1" x14ac:dyDescent="0.25">
      <c r="B329"/>
      <c r="C329"/>
    </row>
    <row r="330" spans="2:3" ht="15.75" customHeight="1" x14ac:dyDescent="0.25">
      <c r="B330"/>
      <c r="C330"/>
    </row>
    <row r="331" spans="2:3" ht="15.75" customHeight="1" x14ac:dyDescent="0.25">
      <c r="B331"/>
      <c r="C331"/>
    </row>
    <row r="332" spans="2:3" ht="15.75" customHeight="1" x14ac:dyDescent="0.25">
      <c r="B332"/>
      <c r="C332"/>
    </row>
    <row r="333" spans="2:3" ht="15.75" customHeight="1" x14ac:dyDescent="0.25">
      <c r="B333"/>
      <c r="C333"/>
    </row>
    <row r="334" spans="2:3" ht="15.75" customHeight="1" x14ac:dyDescent="0.25">
      <c r="B334"/>
      <c r="C334"/>
    </row>
    <row r="335" spans="2:3" ht="15.75" customHeight="1" x14ac:dyDescent="0.25">
      <c r="B335"/>
      <c r="C335"/>
    </row>
    <row r="336" spans="2:3" ht="15.75" customHeight="1" x14ac:dyDescent="0.25">
      <c r="B336"/>
      <c r="C336"/>
    </row>
    <row r="337" spans="2:3" ht="15.75" customHeight="1" x14ac:dyDescent="0.25">
      <c r="B337"/>
      <c r="C337"/>
    </row>
    <row r="338" spans="2:3" ht="15.75" customHeight="1" x14ac:dyDescent="0.25">
      <c r="B338"/>
      <c r="C338"/>
    </row>
    <row r="339" spans="2:3" ht="15.75" customHeight="1" x14ac:dyDescent="0.25">
      <c r="B339"/>
      <c r="C339"/>
    </row>
    <row r="340" spans="2:3" ht="15.75" customHeight="1" x14ac:dyDescent="0.25">
      <c r="B340"/>
      <c r="C340"/>
    </row>
    <row r="341" spans="2:3" ht="15.75" customHeight="1" x14ac:dyDescent="0.25">
      <c r="B341"/>
      <c r="C341"/>
    </row>
    <row r="342" spans="2:3" ht="15.75" customHeight="1" x14ac:dyDescent="0.25">
      <c r="B342"/>
      <c r="C342"/>
    </row>
    <row r="343" spans="2:3" ht="15.75" customHeight="1" x14ac:dyDescent="0.25">
      <c r="B343"/>
      <c r="C343"/>
    </row>
    <row r="344" spans="2:3" ht="15.75" customHeight="1" x14ac:dyDescent="0.25">
      <c r="B344"/>
      <c r="C344"/>
    </row>
    <row r="345" spans="2:3" ht="15.75" customHeight="1" x14ac:dyDescent="0.25">
      <c r="B345"/>
      <c r="C345"/>
    </row>
    <row r="346" spans="2:3" ht="15.75" customHeight="1" x14ac:dyDescent="0.25">
      <c r="B346"/>
      <c r="C346"/>
    </row>
    <row r="347" spans="2:3" ht="15.75" customHeight="1" x14ac:dyDescent="0.25">
      <c r="B347"/>
      <c r="C347"/>
    </row>
    <row r="348" spans="2:3" ht="15.75" customHeight="1" x14ac:dyDescent="0.25">
      <c r="B348"/>
      <c r="C348"/>
    </row>
    <row r="349" spans="2:3" ht="15.75" customHeight="1" x14ac:dyDescent="0.25">
      <c r="B349"/>
      <c r="C349"/>
    </row>
    <row r="350" spans="2:3" ht="15.75" customHeight="1" x14ac:dyDescent="0.25">
      <c r="B350"/>
      <c r="C350"/>
    </row>
    <row r="351" spans="2:3" ht="15.75" customHeight="1" x14ac:dyDescent="0.25">
      <c r="B351"/>
      <c r="C351"/>
    </row>
    <row r="352" spans="2:3" ht="15.75" customHeight="1" x14ac:dyDescent="0.25">
      <c r="B352"/>
      <c r="C352"/>
    </row>
    <row r="353" spans="2:3" ht="15.75" customHeight="1" x14ac:dyDescent="0.25">
      <c r="B353"/>
      <c r="C353"/>
    </row>
    <row r="354" spans="2:3" ht="15.75" customHeight="1" x14ac:dyDescent="0.25">
      <c r="B354"/>
      <c r="C354"/>
    </row>
    <row r="355" spans="2:3" ht="15.75" customHeight="1" x14ac:dyDescent="0.25">
      <c r="B355"/>
      <c r="C355"/>
    </row>
    <row r="356" spans="2:3" ht="15.75" customHeight="1" x14ac:dyDescent="0.25">
      <c r="B356"/>
      <c r="C356"/>
    </row>
    <row r="357" spans="2:3" ht="15.75" customHeight="1" x14ac:dyDescent="0.25">
      <c r="B357"/>
      <c r="C357"/>
    </row>
    <row r="358" spans="2:3" ht="15.75" customHeight="1" x14ac:dyDescent="0.25">
      <c r="B358"/>
      <c r="C358"/>
    </row>
    <row r="359" spans="2:3" ht="15.75" customHeight="1" x14ac:dyDescent="0.25">
      <c r="B359"/>
      <c r="C359"/>
    </row>
    <row r="360" spans="2:3" ht="15.75" customHeight="1" x14ac:dyDescent="0.25">
      <c r="B360"/>
      <c r="C360"/>
    </row>
    <row r="361" spans="2:3" ht="15.75" customHeight="1" x14ac:dyDescent="0.25">
      <c r="B361"/>
      <c r="C361"/>
    </row>
    <row r="362" spans="2:3" ht="15.75" customHeight="1" x14ac:dyDescent="0.25">
      <c r="B362"/>
      <c r="C362"/>
    </row>
    <row r="363" spans="2:3" ht="15.75" customHeight="1" x14ac:dyDescent="0.25">
      <c r="B363"/>
      <c r="C363"/>
    </row>
    <row r="364" spans="2:3" ht="15.75" customHeight="1" x14ac:dyDescent="0.25">
      <c r="B364"/>
      <c r="C364"/>
    </row>
    <row r="365" spans="2:3" ht="15.75" customHeight="1" x14ac:dyDescent="0.25">
      <c r="B365"/>
      <c r="C365"/>
    </row>
    <row r="366" spans="2:3" ht="15.75" customHeight="1" x14ac:dyDescent="0.25">
      <c r="B366"/>
      <c r="C366"/>
    </row>
    <row r="367" spans="2:3" ht="15.75" customHeight="1" x14ac:dyDescent="0.25">
      <c r="B367"/>
      <c r="C367"/>
    </row>
    <row r="368" spans="2:3" ht="15.75" customHeight="1" x14ac:dyDescent="0.25">
      <c r="B368"/>
      <c r="C368"/>
    </row>
    <row r="369" spans="2:3" ht="15.75" customHeight="1" x14ac:dyDescent="0.25">
      <c r="B369"/>
      <c r="C369"/>
    </row>
    <row r="370" spans="2:3" ht="15.75" customHeight="1" x14ac:dyDescent="0.25">
      <c r="B370"/>
      <c r="C370"/>
    </row>
    <row r="371" spans="2:3" ht="15.75" customHeight="1" x14ac:dyDescent="0.25">
      <c r="B371"/>
      <c r="C371"/>
    </row>
    <row r="372" spans="2:3" ht="15.75" customHeight="1" x14ac:dyDescent="0.25">
      <c r="B372"/>
      <c r="C372"/>
    </row>
    <row r="373" spans="2:3" ht="15.75" customHeight="1" x14ac:dyDescent="0.25">
      <c r="B373"/>
      <c r="C373"/>
    </row>
    <row r="374" spans="2:3" ht="15.75" customHeight="1" x14ac:dyDescent="0.25">
      <c r="B374"/>
      <c r="C374"/>
    </row>
    <row r="375" spans="2:3" ht="15.75" customHeight="1" x14ac:dyDescent="0.25">
      <c r="B375"/>
      <c r="C375"/>
    </row>
    <row r="376" spans="2:3" ht="15.75" customHeight="1" x14ac:dyDescent="0.25">
      <c r="B376"/>
      <c r="C376"/>
    </row>
    <row r="377" spans="2:3" ht="15.75" customHeight="1" x14ac:dyDescent="0.25">
      <c r="B377"/>
      <c r="C377"/>
    </row>
    <row r="378" spans="2:3" ht="15.75" customHeight="1" x14ac:dyDescent="0.25">
      <c r="B378"/>
      <c r="C378"/>
    </row>
    <row r="379" spans="2:3" ht="15.75" customHeight="1" x14ac:dyDescent="0.25">
      <c r="B379"/>
      <c r="C379"/>
    </row>
    <row r="380" spans="2:3" ht="15.75" customHeight="1" x14ac:dyDescent="0.25">
      <c r="B380"/>
      <c r="C380"/>
    </row>
    <row r="381" spans="2:3" ht="15.75" customHeight="1" x14ac:dyDescent="0.25">
      <c r="B381"/>
      <c r="C381"/>
    </row>
    <row r="382" spans="2:3" ht="15.75" customHeight="1" x14ac:dyDescent="0.25">
      <c r="B382"/>
      <c r="C382"/>
    </row>
    <row r="383" spans="2:3" ht="15.75" customHeight="1" x14ac:dyDescent="0.25">
      <c r="B383"/>
      <c r="C383"/>
    </row>
    <row r="384" spans="2:3" ht="15.75" customHeight="1" x14ac:dyDescent="0.25">
      <c r="B384"/>
      <c r="C384"/>
    </row>
    <row r="385" spans="2:3" ht="15.75" customHeight="1" x14ac:dyDescent="0.25">
      <c r="B385"/>
      <c r="C385"/>
    </row>
    <row r="386" spans="2:3" ht="15.75" customHeight="1" x14ac:dyDescent="0.25">
      <c r="B386"/>
      <c r="C386"/>
    </row>
    <row r="387" spans="2:3" ht="15.75" customHeight="1" x14ac:dyDescent="0.25">
      <c r="B387"/>
      <c r="C387"/>
    </row>
    <row r="388" spans="2:3" ht="15.75" customHeight="1" x14ac:dyDescent="0.25">
      <c r="B388"/>
      <c r="C388"/>
    </row>
    <row r="389" spans="2:3" ht="15.75" customHeight="1" x14ac:dyDescent="0.25">
      <c r="B389"/>
      <c r="C389"/>
    </row>
    <row r="390" spans="2:3" ht="15.75" customHeight="1" x14ac:dyDescent="0.25">
      <c r="B390"/>
      <c r="C390"/>
    </row>
    <row r="391" spans="2:3" ht="15.75" customHeight="1" x14ac:dyDescent="0.25">
      <c r="B391"/>
      <c r="C391"/>
    </row>
    <row r="392" spans="2:3" ht="15.75" customHeight="1" x14ac:dyDescent="0.25">
      <c r="B392"/>
      <c r="C392"/>
    </row>
    <row r="393" spans="2:3" ht="15.75" customHeight="1" x14ac:dyDescent="0.25">
      <c r="B393"/>
      <c r="C393"/>
    </row>
    <row r="394" spans="2:3" ht="15.75" customHeight="1" x14ac:dyDescent="0.25">
      <c r="B394"/>
      <c r="C394"/>
    </row>
    <row r="395" spans="2:3" ht="15.75" customHeight="1" x14ac:dyDescent="0.25">
      <c r="B395"/>
      <c r="C395"/>
    </row>
    <row r="396" spans="2:3" ht="15.75" customHeight="1" x14ac:dyDescent="0.25">
      <c r="B396"/>
      <c r="C396"/>
    </row>
    <row r="397" spans="2:3" ht="15.75" customHeight="1" x14ac:dyDescent="0.25">
      <c r="B397"/>
      <c r="C397"/>
    </row>
    <row r="398" spans="2:3" ht="15.75" customHeight="1" x14ac:dyDescent="0.25">
      <c r="B398"/>
      <c r="C398"/>
    </row>
    <row r="399" spans="2:3" ht="15.75" customHeight="1" x14ac:dyDescent="0.25">
      <c r="B399"/>
      <c r="C399"/>
    </row>
    <row r="400" spans="2:3" ht="15.75" customHeight="1" x14ac:dyDescent="0.25">
      <c r="B400"/>
      <c r="C400"/>
    </row>
    <row r="401" spans="2:3" ht="15.75" customHeight="1" x14ac:dyDescent="0.25">
      <c r="B401"/>
      <c r="C401"/>
    </row>
    <row r="402" spans="2:3" ht="15.75" customHeight="1" x14ac:dyDescent="0.25">
      <c r="B402"/>
      <c r="C402"/>
    </row>
    <row r="403" spans="2:3" ht="15.75" customHeight="1" x14ac:dyDescent="0.25">
      <c r="B403"/>
      <c r="C403"/>
    </row>
    <row r="404" spans="2:3" ht="15.75" customHeight="1" x14ac:dyDescent="0.25">
      <c r="B404"/>
      <c r="C404"/>
    </row>
    <row r="405" spans="2:3" ht="15.75" customHeight="1" x14ac:dyDescent="0.25">
      <c r="B405"/>
      <c r="C405"/>
    </row>
    <row r="406" spans="2:3" ht="15.75" customHeight="1" x14ac:dyDescent="0.25">
      <c r="B406"/>
      <c r="C406"/>
    </row>
    <row r="407" spans="2:3" ht="15.75" customHeight="1" x14ac:dyDescent="0.25">
      <c r="B407"/>
      <c r="C407"/>
    </row>
    <row r="408" spans="2:3" ht="15.75" customHeight="1" x14ac:dyDescent="0.25">
      <c r="B408"/>
      <c r="C408"/>
    </row>
    <row r="409" spans="2:3" ht="15.75" customHeight="1" x14ac:dyDescent="0.25">
      <c r="B409"/>
      <c r="C409"/>
    </row>
    <row r="410" spans="2:3" ht="15.75" customHeight="1" x14ac:dyDescent="0.25">
      <c r="B410"/>
      <c r="C410"/>
    </row>
    <row r="411" spans="2:3" ht="15.75" customHeight="1" x14ac:dyDescent="0.25">
      <c r="B411"/>
      <c r="C411"/>
    </row>
    <row r="412" spans="2:3" ht="15.75" customHeight="1" x14ac:dyDescent="0.25">
      <c r="B412"/>
      <c r="C412"/>
    </row>
    <row r="413" spans="2:3" ht="15.75" customHeight="1" x14ac:dyDescent="0.25">
      <c r="B413"/>
      <c r="C413"/>
    </row>
    <row r="414" spans="2:3" ht="15.75" customHeight="1" x14ac:dyDescent="0.25">
      <c r="B414"/>
      <c r="C414"/>
    </row>
    <row r="415" spans="2:3" ht="15.75" customHeight="1" x14ac:dyDescent="0.25">
      <c r="B415"/>
      <c r="C415"/>
    </row>
    <row r="416" spans="2:3" ht="15.75" customHeight="1" x14ac:dyDescent="0.25">
      <c r="B416"/>
      <c r="C416"/>
    </row>
    <row r="417" spans="2:3" ht="15.75" customHeight="1" x14ac:dyDescent="0.25">
      <c r="B417"/>
      <c r="C417"/>
    </row>
    <row r="418" spans="2:3" ht="15.75" customHeight="1" x14ac:dyDescent="0.25">
      <c r="B418"/>
      <c r="C418"/>
    </row>
    <row r="419" spans="2:3" ht="15.75" customHeight="1" x14ac:dyDescent="0.25">
      <c r="B419"/>
      <c r="C419"/>
    </row>
    <row r="420" spans="2:3" ht="15.75" customHeight="1" x14ac:dyDescent="0.25">
      <c r="B420"/>
      <c r="C420"/>
    </row>
    <row r="421" spans="2:3" ht="15.75" customHeight="1" x14ac:dyDescent="0.25">
      <c r="B421"/>
      <c r="C421"/>
    </row>
    <row r="422" spans="2:3" ht="15.75" customHeight="1" x14ac:dyDescent="0.25">
      <c r="B422"/>
      <c r="C422"/>
    </row>
    <row r="423" spans="2:3" ht="15.75" customHeight="1" x14ac:dyDescent="0.25">
      <c r="B423"/>
      <c r="C423"/>
    </row>
    <row r="424" spans="2:3" ht="15.75" customHeight="1" x14ac:dyDescent="0.25">
      <c r="B424"/>
      <c r="C424"/>
    </row>
    <row r="425" spans="2:3" ht="15.75" customHeight="1" x14ac:dyDescent="0.25">
      <c r="B425"/>
      <c r="C425"/>
    </row>
    <row r="426" spans="2:3" ht="15.75" customHeight="1" x14ac:dyDescent="0.25">
      <c r="B426"/>
      <c r="C426"/>
    </row>
    <row r="427" spans="2:3" ht="15.75" customHeight="1" x14ac:dyDescent="0.25">
      <c r="B427"/>
      <c r="C427"/>
    </row>
    <row r="428" spans="2:3" ht="15.75" customHeight="1" x14ac:dyDescent="0.25">
      <c r="B428"/>
      <c r="C428"/>
    </row>
    <row r="429" spans="2:3" ht="15.75" customHeight="1" x14ac:dyDescent="0.25">
      <c r="B429"/>
      <c r="C429"/>
    </row>
    <row r="430" spans="2:3" ht="15.75" customHeight="1" x14ac:dyDescent="0.25">
      <c r="B430"/>
      <c r="C430"/>
    </row>
    <row r="431" spans="2:3" ht="15.75" customHeight="1" x14ac:dyDescent="0.25">
      <c r="B431"/>
      <c r="C431"/>
    </row>
    <row r="432" spans="2:3" ht="15.75" customHeight="1" x14ac:dyDescent="0.25">
      <c r="B432"/>
      <c r="C432"/>
    </row>
    <row r="433" spans="2:3" ht="15.75" customHeight="1" x14ac:dyDescent="0.25">
      <c r="B433"/>
      <c r="C433"/>
    </row>
    <row r="434" spans="2:3" ht="15.75" customHeight="1" x14ac:dyDescent="0.25">
      <c r="B434"/>
      <c r="C434"/>
    </row>
    <row r="435" spans="2:3" ht="15.75" customHeight="1" x14ac:dyDescent="0.25">
      <c r="B435"/>
      <c r="C435"/>
    </row>
    <row r="436" spans="2:3" ht="15.75" customHeight="1" x14ac:dyDescent="0.25">
      <c r="B436"/>
      <c r="C436"/>
    </row>
    <row r="437" spans="2:3" ht="15.75" customHeight="1" x14ac:dyDescent="0.25">
      <c r="B437"/>
      <c r="C437"/>
    </row>
    <row r="438" spans="2:3" ht="15.75" customHeight="1" x14ac:dyDescent="0.25">
      <c r="B438"/>
      <c r="C438"/>
    </row>
    <row r="439" spans="2:3" ht="15.75" customHeight="1" x14ac:dyDescent="0.25">
      <c r="B439"/>
      <c r="C439"/>
    </row>
    <row r="440" spans="2:3" ht="15.75" customHeight="1" x14ac:dyDescent="0.25">
      <c r="B440"/>
      <c r="C440"/>
    </row>
    <row r="441" spans="2:3" ht="15.75" customHeight="1" x14ac:dyDescent="0.25">
      <c r="B441"/>
      <c r="C441"/>
    </row>
    <row r="442" spans="2:3" ht="15.75" customHeight="1" x14ac:dyDescent="0.25">
      <c r="B442"/>
      <c r="C442"/>
    </row>
    <row r="443" spans="2:3" ht="15.75" customHeight="1" x14ac:dyDescent="0.25">
      <c r="B443"/>
      <c r="C443"/>
    </row>
    <row r="444" spans="2:3" ht="15.75" customHeight="1" x14ac:dyDescent="0.25">
      <c r="B444"/>
      <c r="C444"/>
    </row>
    <row r="445" spans="2:3" ht="15.75" customHeight="1" x14ac:dyDescent="0.25">
      <c r="B445"/>
      <c r="C445"/>
    </row>
    <row r="446" spans="2:3" ht="15.75" customHeight="1" x14ac:dyDescent="0.25">
      <c r="B446"/>
      <c r="C446"/>
    </row>
    <row r="447" spans="2:3" ht="15.75" customHeight="1" x14ac:dyDescent="0.25">
      <c r="B447"/>
      <c r="C447"/>
    </row>
    <row r="448" spans="2:3" ht="15.75" customHeight="1" x14ac:dyDescent="0.25">
      <c r="B448"/>
      <c r="C448"/>
    </row>
    <row r="449" spans="2:3" ht="15.75" customHeight="1" x14ac:dyDescent="0.25">
      <c r="B449"/>
      <c r="C449"/>
    </row>
    <row r="450" spans="2:3" ht="15.75" customHeight="1" x14ac:dyDescent="0.25">
      <c r="B450"/>
      <c r="C450"/>
    </row>
    <row r="451" spans="2:3" ht="15.75" customHeight="1" x14ac:dyDescent="0.25">
      <c r="B451"/>
      <c r="C451"/>
    </row>
    <row r="452" spans="2:3" ht="15.75" customHeight="1" x14ac:dyDescent="0.25">
      <c r="B452"/>
      <c r="C452"/>
    </row>
    <row r="453" spans="2:3" ht="15.75" customHeight="1" x14ac:dyDescent="0.25">
      <c r="B453"/>
      <c r="C453"/>
    </row>
    <row r="454" spans="2:3" ht="15.75" customHeight="1" x14ac:dyDescent="0.25">
      <c r="B454"/>
      <c r="C454"/>
    </row>
    <row r="455" spans="2:3" ht="15.75" customHeight="1" x14ac:dyDescent="0.25">
      <c r="B455"/>
      <c r="C455"/>
    </row>
    <row r="456" spans="2:3" ht="15.75" customHeight="1" x14ac:dyDescent="0.25">
      <c r="B456"/>
      <c r="C456"/>
    </row>
    <row r="457" spans="2:3" ht="15.75" customHeight="1" x14ac:dyDescent="0.25">
      <c r="B457"/>
      <c r="C457"/>
    </row>
    <row r="458" spans="2:3" ht="15.75" customHeight="1" x14ac:dyDescent="0.25">
      <c r="B458"/>
      <c r="C458"/>
    </row>
    <row r="459" spans="2:3" ht="15.75" customHeight="1" x14ac:dyDescent="0.25">
      <c r="B459"/>
      <c r="C459"/>
    </row>
    <row r="460" spans="2:3" ht="15.75" customHeight="1" x14ac:dyDescent="0.25">
      <c r="B460"/>
      <c r="C460"/>
    </row>
    <row r="461" spans="2:3" ht="15.75" customHeight="1" x14ac:dyDescent="0.25">
      <c r="B461"/>
      <c r="C461"/>
    </row>
    <row r="462" spans="2:3" ht="15.75" customHeight="1" x14ac:dyDescent="0.25">
      <c r="B462"/>
      <c r="C462"/>
    </row>
    <row r="463" spans="2:3" ht="15.75" customHeight="1" x14ac:dyDescent="0.25">
      <c r="B463"/>
      <c r="C463"/>
    </row>
    <row r="464" spans="2:3" ht="15.75" customHeight="1" x14ac:dyDescent="0.25">
      <c r="B464"/>
      <c r="C464"/>
    </row>
    <row r="465" spans="2:3" ht="15.75" customHeight="1" x14ac:dyDescent="0.25">
      <c r="B465"/>
      <c r="C465"/>
    </row>
    <row r="466" spans="2:3" ht="15.75" customHeight="1" x14ac:dyDescent="0.25">
      <c r="B466"/>
      <c r="C466"/>
    </row>
    <row r="467" spans="2:3" ht="15.75" customHeight="1" x14ac:dyDescent="0.25">
      <c r="B467"/>
      <c r="C467"/>
    </row>
    <row r="468" spans="2:3" ht="15.75" customHeight="1" x14ac:dyDescent="0.25">
      <c r="B468"/>
      <c r="C468"/>
    </row>
    <row r="469" spans="2:3" ht="15.75" customHeight="1" x14ac:dyDescent="0.25">
      <c r="B469"/>
      <c r="C469"/>
    </row>
    <row r="470" spans="2:3" ht="15.75" customHeight="1" x14ac:dyDescent="0.25"/>
    <row r="471" spans="2:3" ht="15.75" customHeight="1" x14ac:dyDescent="0.25"/>
    <row r="472" spans="2:3" ht="15.75" customHeight="1" x14ac:dyDescent="0.25"/>
    <row r="473" spans="2:3" ht="15.75" customHeight="1" x14ac:dyDescent="0.25"/>
    <row r="474" spans="2:3" ht="15.75" customHeight="1" x14ac:dyDescent="0.25"/>
  </sheetData>
  <pageMargins left="0.25" right="0.25" top="0.75" bottom="0.75" header="0.3" footer="0.3"/>
  <pageSetup scale="5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9</vt:i4>
      </vt:variant>
    </vt:vector>
  </HeadingPairs>
  <TitlesOfParts>
    <vt:vector size="35" baseType="lpstr">
      <vt:lpstr>Entrada</vt:lpstr>
      <vt:lpstr>Hector</vt:lpstr>
      <vt:lpstr>Alejandro</vt:lpstr>
      <vt:lpstr>AM</vt:lpstr>
      <vt:lpstr>AN</vt:lpstr>
      <vt:lpstr>AP</vt:lpstr>
      <vt:lpstr>AR</vt:lpstr>
      <vt:lpstr>BA</vt:lpstr>
      <vt:lpstr>BO</vt:lpstr>
      <vt:lpstr>CA</vt:lpstr>
      <vt:lpstr>CO</vt:lpstr>
      <vt:lpstr>DA</vt:lpstr>
      <vt:lpstr>FA</vt:lpstr>
      <vt:lpstr>GU</vt:lpstr>
      <vt:lpstr>LA</vt:lpstr>
      <vt:lpstr>ME</vt:lpstr>
      <vt:lpstr>MI</vt:lpstr>
      <vt:lpstr>MO</vt:lpstr>
      <vt:lpstr>NE</vt:lpstr>
      <vt:lpstr>PO</vt:lpstr>
      <vt:lpstr>SU</vt:lpstr>
      <vt:lpstr>TA</vt:lpstr>
      <vt:lpstr>TR</vt:lpstr>
      <vt:lpstr>VA</vt:lpstr>
      <vt:lpstr>YA</vt:lpstr>
      <vt:lpstr>ZU</vt:lpstr>
      <vt:lpstr>centro</vt:lpstr>
      <vt:lpstr>ind</vt:lpstr>
      <vt:lpstr>independiente</vt:lpstr>
      <vt:lpstr>mud</vt:lpstr>
      <vt:lpstr>municipio</vt:lpstr>
      <vt:lpstr>otro</vt:lpstr>
      <vt:lpstr>psuv</vt:lpstr>
      <vt:lpstr>totalv</vt:lpstr>
      <vt:lpstr>turno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PLM</cp:lastModifiedBy>
  <cp:lastPrinted>2012-12-16T20:24:08Z</cp:lastPrinted>
  <dcterms:created xsi:type="dcterms:W3CDTF">2012-07-15T23:37:15Z</dcterms:created>
  <dcterms:modified xsi:type="dcterms:W3CDTF">2012-12-16T22:32:21Z</dcterms:modified>
</cp:coreProperties>
</file>