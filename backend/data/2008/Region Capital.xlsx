
<file path=[Content_Types].xml><?xml version="1.0" encoding="utf-8"?>
<Types xmlns="http://schemas.openxmlformats.org/package/2006/content-types">
  <Override PartName="/xl/revisions/revisionLog89.xml" ContentType="application/vnd.openxmlformats-officedocument.spreadsheetml.revisionLog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revisions/revisionLog67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6.xml" ContentType="application/vnd.openxmlformats-officedocument.spreadsheetml.revisionLog+xml"/>
  <Override PartName="/xl/worksheets/sheet7.xml" ContentType="application/vnd.openxmlformats-officedocument.spreadsheetml.worksheet+xml"/>
  <Override PartName="/xl/revisions/revisionLog56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38.xml" ContentType="application/vnd.openxmlformats-officedocument.spreadsheetml.revisionLog+xml"/>
  <Default Extension="xml" ContentType="application/xml"/>
  <Override PartName="/xl/drawings/drawing2.xml" ContentType="application/vnd.openxmlformats-officedocument.drawing+xml"/>
  <Override PartName="/xl/revisions/revisionLog63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92.xml" ContentType="application/vnd.openxmlformats-officedocument.spreadsheetml.revisionLog+xml"/>
  <Override PartName="/xl/worksheets/sheet3.xml" ContentType="application/vnd.openxmlformats-officedocument.spreadsheetml.worksheet+xml"/>
  <Override PartName="/xl/revisions/revisionLog34.xml" ContentType="application/vnd.openxmlformats-officedocument.spreadsheetml.revisionLog+xml"/>
  <Override PartName="/xl/revisions/revisionLog1211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41.xml" ContentType="application/vnd.openxmlformats-officedocument.spreadsheetml.revisionLog+xml"/>
  <Override PartName="/xl/sharedStrings.xml" ContentType="application/vnd.openxmlformats-officedocument.spreadsheetml.sharedStrings+xml"/>
  <Override PartName="/xl/revisions/revisionLog5.xml" ContentType="application/vnd.openxmlformats-officedocument.spreadsheetml.revisionLog+xml"/>
  <Override PartName="/xl/revisions/revisionLog30.xml" ContentType="application/vnd.openxmlformats-officedocument.spreadsheetml.revisionLog+xml"/>
  <Default Extension="bin" ContentType="application/vnd.openxmlformats-officedocument.spreadsheetml.printerSettings"/>
  <Default Extension="png" ContentType="image/png"/>
  <Override PartName="/xl/charts/chart7.xml" ContentType="application/vnd.openxmlformats-officedocument.drawingml.chart+xml"/>
  <Override PartName="/xl/revisions/revisionLog8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.xml" ContentType="application/vnd.openxmlformats-officedocument.spreadsheetml.revisionLo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revisions/revisionLog68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39.xml" ContentType="application/vnd.openxmlformats-officedocument.spreadsheetml.revisionLo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revisions/revisionLog84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57.xml" ContentType="application/vnd.openxmlformats-officedocument.spreadsheetml.revisionLo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revisions/revisionLog26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73.xml" ContentType="application/vnd.openxmlformats-officedocument.spreadsheetml.revisionLo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4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15.xml" ContentType="application/vnd.openxmlformats-officedocument.spreadsheetml.revisionLog+xml"/>
  <Override PartName="/xl/calcChain.xml" ContentType="application/vnd.openxmlformats-officedocument.spreadsheetml.calcChain+xml"/>
  <Override PartName="/xl/revisions/revisionLog40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.xml" ContentType="application/vnd.openxmlformats-officedocument.spreadsheetml.revisionLog+xml"/>
  <Override PartName="/xl/charts/chart8.xml" ContentType="application/vnd.openxmlformats-officedocument.drawingml.chart+xml"/>
  <Override PartName="/docProps/core.xml" ContentType="application/vnd.openxmlformats-package.core-properties+xml"/>
  <Override PartName="/xl/revisions/revisionLog2.xml" ContentType="application/vnd.openxmlformats-officedocument.spreadsheetml.revisionLog+xml"/>
  <Override PartName="/xl/charts/chart6.xml" ContentType="application/vnd.openxmlformats-officedocument.drawingml.chart+xml"/>
  <Override PartName="/xl/revisions/revisionLog69.xml" ContentType="application/vnd.openxmlformats-officedocument.spreadsheetml.revisionLo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revisions/userNames.xml" ContentType="application/vnd.openxmlformats-officedocument.spreadsheetml.userNames+xml"/>
  <Override PartName="/xl/revisions/revisionLog58.xml" ContentType="application/vnd.openxmlformats-officedocument.spreadsheetml.revisionLog+xml"/>
  <Override PartName="/xl/revisions/revisionLog87.xml" ContentType="application/vnd.openxmlformats-officedocument.spreadsheetml.revisionLo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Override PartName="/xl/revisions/revisionLog47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8.xml" ContentType="application/vnd.openxmlformats-officedocument.spreadsheetml.revisionLog+xml"/>
  <Override PartName="/xl/worksheets/sheet5.xml" ContentType="application/vnd.openxmlformats-officedocument.spreadsheetml.worksheet+xml"/>
  <Override PartName="/xl/revisions/revisionLog72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90.xml" ContentType="application/vnd.openxmlformats-officedocument.spreadsheetml.revisionLog+xml"/>
  <Override PartName="/xl/worksheets/sheet1.xml" ContentType="application/vnd.openxmlformats-officedocument.spreadsheetml.worksheet+xml"/>
  <Override PartName="/xl/revisions/revisionLog21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HorizontalScroll="0" showVerticalScroll="0" showSheetTabs="0" xWindow="360" yWindow="360" windowWidth="1845" windowHeight="2235" firstSheet="3" activeTab="4"/>
  </bookViews>
  <sheets>
    <sheet name="PPrincipal" sheetId="1" r:id="rId1"/>
    <sheet name="A Mayor" sheetId="2" r:id="rId2"/>
    <sheet name="GA Mayor" sheetId="3" r:id="rId3"/>
    <sheet name="CA Mayor" sheetId="4" r:id="rId4"/>
    <sheet name="Miranda" sheetId="5" r:id="rId5"/>
    <sheet name="GMiranda" sheetId="6" r:id="rId6"/>
    <sheet name="CMiranda" sheetId="7" r:id="rId7"/>
    <sheet name="Vargas" sheetId="8" r:id="rId8"/>
    <sheet name="GVargas" sheetId="9" r:id="rId9"/>
    <sheet name="CVargas" sheetId="10" r:id="rId10"/>
    <sheet name="Libertador" sheetId="11" r:id="rId11"/>
    <sheet name="GLibertador" sheetId="12" r:id="rId12"/>
    <sheet name="CLibertador" sheetId="13" r:id="rId13"/>
  </sheets>
  <definedNames>
    <definedName name="Antonio_Ledezma">'A Mayor'!$F$9:$F$1888</definedName>
    <definedName name="Aristobulo_Izturiz">'A Mayor'!$E$9:$E$1888</definedName>
    <definedName name="Augusto_Uribe">'A Mayor'!$G$9:$G$1888</definedName>
    <definedName name="CentroAM">'A Mayor'!$C$9:$C$1888</definedName>
    <definedName name="CentroLI">Libertador!$C$9:$C$1188</definedName>
    <definedName name="CentroMI">Miranda!$C$9:$C$1347</definedName>
    <definedName name="CentroVA">Vargas!$C$9:$C$228</definedName>
    <definedName name="Claudio_Fermin">Libertador!$G$9:$G$1188</definedName>
    <definedName name="Diosdado_Cabello">Miranda!$E$9:$E$1347</definedName>
    <definedName name="Henrique_Capriles_Radonski">Miranda!$F$9:$F$1347</definedName>
    <definedName name="Jorge_Garcia_Carneiro">Vargas!$E$9:$E$228</definedName>
    <definedName name="Jorge_Rodriguez">Libertador!$E$9:$E$1188</definedName>
    <definedName name="MunicipiosAM">'CA Mayor'!$X$9:$X$98</definedName>
    <definedName name="MunicipiosBo">CMiranda!$X$9:$X$40</definedName>
    <definedName name="MunicipiosDA">CVargas!$X$9:$X$12</definedName>
    <definedName name="MunicipiosMI">CMiranda!$X$9:$X$75</definedName>
    <definedName name="OtroAM">'A Mayor'!$H$9:$H$1888</definedName>
    <definedName name="OtroLI">Libertador!$H$9:$H$1188</definedName>
    <definedName name="OtroMI">Miranda!$G$9:$G$1347</definedName>
    <definedName name="OtroVA">Vargas!$G$9:$G$228</definedName>
    <definedName name="ParroquiasLI">CLibertador!$X$9:$X$66</definedName>
    <definedName name="ParroquiaVA">CVargas!$X$9:$X$18</definedName>
    <definedName name="Roberto_Smith">Vargas!$F$9:$F$228</definedName>
    <definedName name="Stalin_Gonzalez">Libertador!$F$9:$F$1188</definedName>
    <definedName name="SumaAM">'A Mayor'!$M$9:$M$1888</definedName>
    <definedName name="SumaLI">Libertador!$M$9:$M$1188</definedName>
    <definedName name="SumaMI">Miranda!$L$9:$L$1347</definedName>
    <definedName name="SumaVA">Vargas!$M$9:$M$228</definedName>
    <definedName name="TurnoAM">'A Mayor'!$D$9:$D$1888</definedName>
    <definedName name="TurnoLI">Libertador!$D$9:$D$1188</definedName>
    <definedName name="TurnoMI">Miranda!$D$9:$D$1347</definedName>
    <definedName name="TurnoVA">Vargas!$D$9:$D$228</definedName>
    <definedName name="Z_2387E3E5_DC3A_4E55_B9FB_E509729F4507_.wvu.PrintArea" localSheetId="2" hidden="1">'GA Mayor'!$A$1:$K$22</definedName>
    <definedName name="Z_2387E3E5_DC3A_4E55_B9FB_E509729F4507_.wvu.PrintArea" localSheetId="11" hidden="1">GLibertador!$A$1:$K$25</definedName>
    <definedName name="Z_2387E3E5_DC3A_4E55_B9FB_E509729F4507_.wvu.PrintArea" localSheetId="5" hidden="1">GMiranda!$A$1:$K$25</definedName>
    <definedName name="Z_2387E3E5_DC3A_4E55_B9FB_E509729F4507_.wvu.PrintArea" localSheetId="8" hidden="1">GVargas!$A$1:$K$23</definedName>
  </definedNames>
  <calcPr calcId="124519"/>
  <customWorkbookViews>
    <customWorkbookView name="PLM - Vista personalizada" guid="{2387E3E5-DC3A-4E55-B9FB-E509729F4507}" autoUpdate="1" mergeInterval="5" personalView="1" maximized="1" xWindow="1" yWindow="1" windowWidth="1280" windowHeight="545" tabRatio="649" activeSheetId="1"/>
    <customWorkbookView name="Usuario - Vista personalizada" guid="{E8E9C221-0224-4E73-8F39-1821F41C5BD3}" autoUpdate="1" mergeInterval="5" personalView="1" maximized="1" showHorizontalScroll="0" showVerticalScroll="0" showSheetTabs="0" xWindow="1" yWindow="1" windowWidth="952" windowHeight="358" activeSheetId="5"/>
    <customWorkbookView name="equipo de trabajo 8 - Vista personalizada" guid="{6E31FC92-C3FF-4227-932A-BABD82E820B9}" autoUpdate="1" mergeInterval="5" personalView="1" maximized="1" windowWidth="1276" windowHeight="654" activeSheetId="4"/>
    <customWorkbookView name="equipo de trabajo 3 - Vista personalizada" guid="{57DF099C-2F69-48FA-8FC1-A9D4BE3C4B9B}" autoUpdate="1" mergeInterval="5" personalView="1" maximized="1" windowWidth="1020" windowHeight="622" activeSheetId="4"/>
    <customWorkbookView name="lenovo-4 - Vista personalizada" guid="{8533A692-1FDC-4EF0-90A0-99C037A6D79B}" autoUpdate="1" mergeInterval="5" personalView="1" maximized="1" windowWidth="1020" windowHeight="596" activeSheetId="2"/>
    <customWorkbookView name="equipo de trabajo 1 - Vista personalizada" guid="{CA2040AE-62FD-482F-B99E-D7687506BEE4}" autoUpdate="1" mergeInterval="5" personalView="1" maximized="1" showHorizontalScroll="0" showVerticalScroll="0" showSheetTabs="0" windowWidth="1020" windowHeight="739" activeSheetId="2" showFormulaBar="0" showStatusbar="0"/>
    <customWorkbookView name="equipo de trabajo 2 - Vista personalizada" guid="{9FEEFF71-DB18-450A-9C46-2600DEBD4C2F}" autoUpdate="1" mergeInterval="5" personalView="1" maximized="1" windowWidth="1276" windowHeight="622" activeSheetId="4"/>
    <customWorkbookView name="equipo de trabajo 6 - Vista personalizada" guid="{C985031D-D85E-4FDB-AC65-62493A942234}" autoUpdate="1" mergeInterval="5" personalView="1" maximized="1" windowWidth="1276" windowHeight="622" activeSheetId="4"/>
    <customWorkbookView name="equipo de trabajo4 - Vista personalizada" guid="{71ABA865-EF8A-4EB3-AA45-9433D0EFFA82}" autoUpdate="1" mergeInterval="5" personalView="1" maximized="1" windowWidth="1020" windowHeight="622" activeSheetId="4"/>
    <customWorkbookView name="equipo de trabajo 5 - Vista personalizada" guid="{A77EC4ED-03BF-4540-A476-D8F99E900844}" autoUpdate="1" mergeInterval="5" personalView="1" maximized="1" showHorizontalScroll="0" showVerticalScroll="0" showSheetTabs="0" windowWidth="1020" windowHeight="739" activeSheetId="3" showFormulaBar="0" showStatusbar="0"/>
  </customWorkbookViews>
</workbook>
</file>

<file path=xl/calcChain.xml><?xml version="1.0" encoding="utf-8"?>
<calcChain xmlns="http://schemas.openxmlformats.org/spreadsheetml/2006/main">
  <c r="Y10" i="13"/>
  <c r="Z10"/>
  <c r="AA10"/>
  <c r="AB10"/>
  <c r="Y11"/>
  <c r="Z11"/>
  <c r="AA11"/>
  <c r="AB11"/>
  <c r="Y12"/>
  <c r="Y71" s="1"/>
  <c r="Z12"/>
  <c r="Z71" s="1"/>
  <c r="AA12"/>
  <c r="AA71" s="1"/>
  <c r="AB12"/>
  <c r="AB71" s="1"/>
  <c r="Y13"/>
  <c r="Z13"/>
  <c r="AA13"/>
  <c r="AB13"/>
  <c r="Y14"/>
  <c r="Z14"/>
  <c r="AA14"/>
  <c r="AB14"/>
  <c r="Y15"/>
  <c r="Z15"/>
  <c r="AA15"/>
  <c r="AB15"/>
  <c r="Y16"/>
  <c r="Z16"/>
  <c r="AA16"/>
  <c r="AB16"/>
  <c r="Y17"/>
  <c r="Z17"/>
  <c r="AA17"/>
  <c r="AB17"/>
  <c r="Y18"/>
  <c r="Z18"/>
  <c r="AA18"/>
  <c r="AB18"/>
  <c r="Y19"/>
  <c r="Z19"/>
  <c r="AA19"/>
  <c r="AB19"/>
  <c r="Y20"/>
  <c r="Z20"/>
  <c r="AA20"/>
  <c r="AB20"/>
  <c r="Y21"/>
  <c r="Z21"/>
  <c r="AA21"/>
  <c r="AB21"/>
  <c r="Y22"/>
  <c r="Z22"/>
  <c r="AA22"/>
  <c r="AB22"/>
  <c r="Y23"/>
  <c r="Z23"/>
  <c r="AA23"/>
  <c r="AB23"/>
  <c r="Y24"/>
  <c r="Z24"/>
  <c r="AA24"/>
  <c r="AB24"/>
  <c r="Y25"/>
  <c r="Z25"/>
  <c r="AA25"/>
  <c r="AB25"/>
  <c r="Y26"/>
  <c r="Z26"/>
  <c r="AA26"/>
  <c r="AB26"/>
  <c r="Y27"/>
  <c r="Z27"/>
  <c r="AA27"/>
  <c r="AB27"/>
  <c r="Y28"/>
  <c r="Z28"/>
  <c r="AA28"/>
  <c r="AB28"/>
  <c r="Y29"/>
  <c r="Z29"/>
  <c r="AA29"/>
  <c r="AB29"/>
  <c r="Y30"/>
  <c r="Z30"/>
  <c r="AA30"/>
  <c r="AB30"/>
  <c r="Y31"/>
  <c r="Z31"/>
  <c r="AA31"/>
  <c r="AB31"/>
  <c r="Y32"/>
  <c r="Z32"/>
  <c r="AA32"/>
  <c r="AB32"/>
  <c r="Y33"/>
  <c r="Z33"/>
  <c r="AA33"/>
  <c r="AB33"/>
  <c r="Y34"/>
  <c r="Z34"/>
  <c r="AA34"/>
  <c r="AB34"/>
  <c r="Y35"/>
  <c r="Z35"/>
  <c r="AA35"/>
  <c r="AB35"/>
  <c r="Y36"/>
  <c r="Z36"/>
  <c r="AA36"/>
  <c r="AB36"/>
  <c r="Y37"/>
  <c r="Z37"/>
  <c r="AA37"/>
  <c r="AB37"/>
  <c r="Y38"/>
  <c r="Z38"/>
  <c r="AA38"/>
  <c r="AB38"/>
  <c r="Y39"/>
  <c r="Z39"/>
  <c r="AA39"/>
  <c r="AB39"/>
  <c r="Y40"/>
  <c r="Z40"/>
  <c r="AA40"/>
  <c r="AB40"/>
  <c r="Y41"/>
  <c r="Z41"/>
  <c r="AA41"/>
  <c r="AB41"/>
  <c r="Y42"/>
  <c r="Z42"/>
  <c r="AA42"/>
  <c r="AB42"/>
  <c r="Y43"/>
  <c r="Z43"/>
  <c r="AA43"/>
  <c r="AB43"/>
  <c r="Y44"/>
  <c r="Z44"/>
  <c r="AA44"/>
  <c r="AB44"/>
  <c r="Y45"/>
  <c r="Y84" s="1"/>
  <c r="Z45"/>
  <c r="Z84" s="1"/>
  <c r="AA45"/>
  <c r="AA84" s="1"/>
  <c r="AB45"/>
  <c r="AB84" s="1"/>
  <c r="Y46"/>
  <c r="Y85" s="1"/>
  <c r="Z46"/>
  <c r="Z85" s="1"/>
  <c r="AA46"/>
  <c r="AA85" s="1"/>
  <c r="AB46"/>
  <c r="AB85" s="1"/>
  <c r="Y47"/>
  <c r="Y86" s="1"/>
  <c r="Z47"/>
  <c r="Z86" s="1"/>
  <c r="AA47"/>
  <c r="AA86" s="1"/>
  <c r="AB47"/>
  <c r="AB86" s="1"/>
  <c r="Y48"/>
  <c r="Z48"/>
  <c r="AA48"/>
  <c r="AB48"/>
  <c r="Y49"/>
  <c r="Z49"/>
  <c r="AA49"/>
  <c r="AB49"/>
  <c r="Y50"/>
  <c r="Z50"/>
  <c r="AA50"/>
  <c r="AB50"/>
  <c r="Y51"/>
  <c r="Z51"/>
  <c r="AA51"/>
  <c r="AB51"/>
  <c r="Y52"/>
  <c r="Z52"/>
  <c r="AA52"/>
  <c r="AB52"/>
  <c r="Y53"/>
  <c r="Z53"/>
  <c r="AA53"/>
  <c r="AB53"/>
  <c r="Y54"/>
  <c r="Z54"/>
  <c r="AA54"/>
  <c r="AB54"/>
  <c r="Y55"/>
  <c r="Z55"/>
  <c r="AA55"/>
  <c r="AB55"/>
  <c r="Y56"/>
  <c r="Y90" s="1"/>
  <c r="Z56"/>
  <c r="Z90" s="1"/>
  <c r="AA56"/>
  <c r="AA90" s="1"/>
  <c r="AB56"/>
  <c r="AB90" s="1"/>
  <c r="Y57"/>
  <c r="Z57"/>
  <c r="AA57"/>
  <c r="AB57"/>
  <c r="Y58"/>
  <c r="Z58"/>
  <c r="AA58"/>
  <c r="AB58"/>
  <c r="Y59"/>
  <c r="Z59"/>
  <c r="AA59"/>
  <c r="AB59"/>
  <c r="Y60"/>
  <c r="Z60"/>
  <c r="AA60"/>
  <c r="AB60"/>
  <c r="Y61"/>
  <c r="Z61"/>
  <c r="AA61"/>
  <c r="AB61"/>
  <c r="Y62"/>
  <c r="Z62"/>
  <c r="AA62"/>
  <c r="AB62"/>
  <c r="Y63"/>
  <c r="Z63"/>
  <c r="AA63"/>
  <c r="AB63"/>
  <c r="Y64"/>
  <c r="Z64"/>
  <c r="AA64"/>
  <c r="AB64"/>
  <c r="Y65"/>
  <c r="Z65"/>
  <c r="AA65"/>
  <c r="AB65"/>
  <c r="Y66"/>
  <c r="Z66"/>
  <c r="AA66"/>
  <c r="AB66"/>
  <c r="Y67"/>
  <c r="Z67"/>
  <c r="AA67"/>
  <c r="AB67"/>
  <c r="AA9"/>
  <c r="AA70" s="1"/>
  <c r="Z9"/>
  <c r="Z70" s="1"/>
  <c r="Y9"/>
  <c r="Y70" s="1"/>
  <c r="V11" i="11"/>
  <c r="V12"/>
  <c r="V13"/>
  <c r="V14"/>
  <c r="V15"/>
  <c r="V16"/>
  <c r="V17"/>
  <c r="V18"/>
  <c r="V19"/>
  <c r="V20"/>
  <c r="V21"/>
  <c r="V22"/>
  <c r="V23"/>
  <c r="V24"/>
  <c r="V25"/>
  <c r="V26"/>
  <c r="X26" s="1"/>
  <c r="V27"/>
  <c r="V28"/>
  <c r="X28" s="1"/>
  <c r="V29"/>
  <c r="S11"/>
  <c r="S12"/>
  <c r="S13"/>
  <c r="S14"/>
  <c r="S15"/>
  <c r="S16"/>
  <c r="S17"/>
  <c r="S18"/>
  <c r="S19"/>
  <c r="S20"/>
  <c r="S21"/>
  <c r="S22"/>
  <c r="S23"/>
  <c r="S24"/>
  <c r="S25"/>
  <c r="S26"/>
  <c r="U26" s="1"/>
  <c r="S27"/>
  <c r="S28"/>
  <c r="U28" s="1"/>
  <c r="S29"/>
  <c r="P11"/>
  <c r="P12"/>
  <c r="P13"/>
  <c r="P14"/>
  <c r="P15"/>
  <c r="P16"/>
  <c r="P17"/>
  <c r="P18"/>
  <c r="P19"/>
  <c r="P20"/>
  <c r="P21"/>
  <c r="P22"/>
  <c r="P23"/>
  <c r="P24"/>
  <c r="P25"/>
  <c r="P26"/>
  <c r="R26" s="1"/>
  <c r="P27"/>
  <c r="P28"/>
  <c r="R28" s="1"/>
  <c r="P29"/>
  <c r="R29" s="1"/>
  <c r="V10"/>
  <c r="R27"/>
  <c r="U27"/>
  <c r="U29"/>
  <c r="X25"/>
  <c r="X27"/>
  <c r="X29"/>
  <c r="S10"/>
  <c r="P10"/>
  <c r="V9"/>
  <c r="S9"/>
  <c r="P9"/>
  <c r="Q9" s="1"/>
  <c r="C26" i="13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C53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C59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C61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C62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C63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C64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C65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C66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C67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C13" i="10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Z10"/>
  <c r="Z22" s="1"/>
  <c r="Z11"/>
  <c r="Z23" s="1"/>
  <c r="Z12"/>
  <c r="Z13"/>
  <c r="Z14"/>
  <c r="Z15"/>
  <c r="Z25" s="1"/>
  <c r="Z16"/>
  <c r="Z26" s="1"/>
  <c r="Z17"/>
  <c r="Z27" s="1"/>
  <c r="Z18"/>
  <c r="Z28" s="1"/>
  <c r="Z9"/>
  <c r="Z21" s="1"/>
  <c r="Y10"/>
  <c r="Y22" s="1"/>
  <c r="Y11"/>
  <c r="Y23" s="1"/>
  <c r="Y12"/>
  <c r="Y13"/>
  <c r="Y14"/>
  <c r="Y15"/>
  <c r="Y25" s="1"/>
  <c r="Y16"/>
  <c r="Y26" s="1"/>
  <c r="Y17"/>
  <c r="Y27" s="1"/>
  <c r="Y18"/>
  <c r="Y28" s="1"/>
  <c r="Y9"/>
  <c r="Y21" s="1"/>
  <c r="AA13"/>
  <c r="AA14"/>
  <c r="AA15"/>
  <c r="AA25" s="1"/>
  <c r="AA16"/>
  <c r="AA26" s="1"/>
  <c r="AA17"/>
  <c r="AA27" s="1"/>
  <c r="AA18"/>
  <c r="AA28" s="1"/>
  <c r="S11" i="8"/>
  <c r="S12"/>
  <c r="S13"/>
  <c r="S14"/>
  <c r="S15"/>
  <c r="S16"/>
  <c r="S17"/>
  <c r="S18"/>
  <c r="S19"/>
  <c r="S20"/>
  <c r="S21"/>
  <c r="S22"/>
  <c r="S23"/>
  <c r="S24"/>
  <c r="U24" s="1"/>
  <c r="S25"/>
  <c r="U25" s="1"/>
  <c r="S26"/>
  <c r="U26" s="1"/>
  <c r="S27"/>
  <c r="U27" s="1"/>
  <c r="S28"/>
  <c r="U28" s="1"/>
  <c r="S29"/>
  <c r="U29" s="1"/>
  <c r="S10"/>
  <c r="P11"/>
  <c r="P12"/>
  <c r="P13"/>
  <c r="P14"/>
  <c r="P15"/>
  <c r="P16"/>
  <c r="P17"/>
  <c r="P18"/>
  <c r="P19"/>
  <c r="P20"/>
  <c r="P21"/>
  <c r="P22"/>
  <c r="P23"/>
  <c r="P24"/>
  <c r="R24" s="1"/>
  <c r="P25"/>
  <c r="R25" s="1"/>
  <c r="P26"/>
  <c r="R26" s="1"/>
  <c r="P27"/>
  <c r="R27" s="1"/>
  <c r="P28"/>
  <c r="R28" s="1"/>
  <c r="P29"/>
  <c r="R29" s="1"/>
  <c r="P10"/>
  <c r="Q10" s="1"/>
  <c r="Q11" s="1"/>
  <c r="S9"/>
  <c r="P9"/>
  <c r="Y10" i="7"/>
  <c r="Z10"/>
  <c r="AA10"/>
  <c r="Y11"/>
  <c r="Z11"/>
  <c r="AA11"/>
  <c r="Y12"/>
  <c r="Z12"/>
  <c r="AA12"/>
  <c r="Y13"/>
  <c r="Z13"/>
  <c r="AA13"/>
  <c r="Y14"/>
  <c r="Z14"/>
  <c r="AA14"/>
  <c r="Y15"/>
  <c r="Z15"/>
  <c r="AA15"/>
  <c r="Y16"/>
  <c r="Z16"/>
  <c r="AA16"/>
  <c r="Y17"/>
  <c r="Z17"/>
  <c r="AA17"/>
  <c r="Y18"/>
  <c r="Z18"/>
  <c r="AA18"/>
  <c r="Y19"/>
  <c r="Y79" s="1"/>
  <c r="Z19"/>
  <c r="Z79" s="1"/>
  <c r="AA19"/>
  <c r="AA79" s="1"/>
  <c r="Y20"/>
  <c r="Z20"/>
  <c r="AA20"/>
  <c r="Y21"/>
  <c r="Z21"/>
  <c r="AA21"/>
  <c r="Y22"/>
  <c r="Z22"/>
  <c r="AA22"/>
  <c r="Y23"/>
  <c r="Z23"/>
  <c r="AA23"/>
  <c r="Y24"/>
  <c r="Z24"/>
  <c r="AA24"/>
  <c r="Y25"/>
  <c r="Z25"/>
  <c r="AA25"/>
  <c r="Y26"/>
  <c r="Z26"/>
  <c r="AA26"/>
  <c r="Y27"/>
  <c r="Z27"/>
  <c r="AA27"/>
  <c r="Y28"/>
  <c r="Z28"/>
  <c r="AA28"/>
  <c r="Y29"/>
  <c r="Z29"/>
  <c r="AA29"/>
  <c r="Y30"/>
  <c r="Z30"/>
  <c r="AA30"/>
  <c r="Y31"/>
  <c r="Z31"/>
  <c r="AA31"/>
  <c r="Y32"/>
  <c r="Z32"/>
  <c r="AA32"/>
  <c r="Y33"/>
  <c r="Z33"/>
  <c r="AA33"/>
  <c r="Y34"/>
  <c r="Z34"/>
  <c r="AA34"/>
  <c r="Y35"/>
  <c r="Z35"/>
  <c r="AA35"/>
  <c r="Y36"/>
  <c r="Z36"/>
  <c r="AA36"/>
  <c r="Y37"/>
  <c r="Z37"/>
  <c r="AA37"/>
  <c r="Y38"/>
  <c r="Z38"/>
  <c r="AA38"/>
  <c r="Y39"/>
  <c r="Z39"/>
  <c r="AA39"/>
  <c r="Y40"/>
  <c r="Z40"/>
  <c r="AA40"/>
  <c r="Y41"/>
  <c r="Z41"/>
  <c r="AA41"/>
  <c r="Y42"/>
  <c r="Z42"/>
  <c r="AA42"/>
  <c r="Y43"/>
  <c r="Z43"/>
  <c r="AA43"/>
  <c r="Y44"/>
  <c r="Z44"/>
  <c r="AA44"/>
  <c r="Y45"/>
  <c r="Z45"/>
  <c r="AA45"/>
  <c r="Y46"/>
  <c r="Z46"/>
  <c r="AA46"/>
  <c r="Y47"/>
  <c r="Z47"/>
  <c r="AA47"/>
  <c r="Y48"/>
  <c r="Z48"/>
  <c r="AA48"/>
  <c r="Y49"/>
  <c r="Z49"/>
  <c r="AA49"/>
  <c r="Y50"/>
  <c r="Z50"/>
  <c r="AA50"/>
  <c r="Y51"/>
  <c r="Z51"/>
  <c r="AA51"/>
  <c r="Y52"/>
  <c r="Z52"/>
  <c r="AA52"/>
  <c r="Y53"/>
  <c r="Z53"/>
  <c r="AA53"/>
  <c r="Y54"/>
  <c r="Z54"/>
  <c r="AA54"/>
  <c r="Y55"/>
  <c r="Z55"/>
  <c r="AA55"/>
  <c r="Y56"/>
  <c r="Z56"/>
  <c r="AA56"/>
  <c r="Y57"/>
  <c r="Z57"/>
  <c r="AA57"/>
  <c r="Y58"/>
  <c r="Z58"/>
  <c r="AA58"/>
  <c r="Y59"/>
  <c r="Z59"/>
  <c r="AA59"/>
  <c r="Y60"/>
  <c r="Z60"/>
  <c r="AA60"/>
  <c r="Y61"/>
  <c r="Z61"/>
  <c r="AA61"/>
  <c r="Y62"/>
  <c r="Z62"/>
  <c r="AA62"/>
  <c r="Y63"/>
  <c r="Z63"/>
  <c r="AA63"/>
  <c r="Y64"/>
  <c r="Z64"/>
  <c r="AA64"/>
  <c r="Y65"/>
  <c r="Z65"/>
  <c r="AA65"/>
  <c r="Y66"/>
  <c r="Z66"/>
  <c r="AA66"/>
  <c r="Y67"/>
  <c r="Z67"/>
  <c r="AA67"/>
  <c r="Y68"/>
  <c r="Z68"/>
  <c r="AA68"/>
  <c r="Y69"/>
  <c r="Z69"/>
  <c r="AA69"/>
  <c r="Y70"/>
  <c r="Z70"/>
  <c r="AA70"/>
  <c r="Y71"/>
  <c r="Z71"/>
  <c r="AA71"/>
  <c r="Y72"/>
  <c r="Z72"/>
  <c r="AA72"/>
  <c r="Y73"/>
  <c r="Z73"/>
  <c r="AA73"/>
  <c r="Y74"/>
  <c r="Z74"/>
  <c r="AA74"/>
  <c r="Y75"/>
  <c r="Z75"/>
  <c r="AA75"/>
  <c r="Z9"/>
  <c r="Z77" s="1"/>
  <c r="Y9"/>
  <c r="Y77" s="1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C53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C59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C61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C62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C63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C64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C65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C66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C67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C68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C69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C70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C71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C72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C73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C74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C75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U11" i="5"/>
  <c r="U12"/>
  <c r="U13"/>
  <c r="U14"/>
  <c r="U15"/>
  <c r="U16"/>
  <c r="U17"/>
  <c r="U18"/>
  <c r="U19"/>
  <c r="U20"/>
  <c r="U21"/>
  <c r="U22"/>
  <c r="U23"/>
  <c r="U24"/>
  <c r="U25"/>
  <c r="W25" s="1"/>
  <c r="U26"/>
  <c r="W26" s="1"/>
  <c r="U27"/>
  <c r="W27" s="1"/>
  <c r="U28"/>
  <c r="W28" s="1"/>
  <c r="U29"/>
  <c r="W29" s="1"/>
  <c r="R11"/>
  <c r="R12"/>
  <c r="R13"/>
  <c r="R14"/>
  <c r="R15"/>
  <c r="R16"/>
  <c r="R17"/>
  <c r="R18"/>
  <c r="R19"/>
  <c r="R20"/>
  <c r="R21"/>
  <c r="R22"/>
  <c r="R23"/>
  <c r="R24"/>
  <c r="R25"/>
  <c r="R26"/>
  <c r="R27"/>
  <c r="T27" s="1"/>
  <c r="R28"/>
  <c r="T28" s="1"/>
  <c r="R29"/>
  <c r="T29" s="1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Q28" s="1"/>
  <c r="O29"/>
  <c r="Q29" s="1"/>
  <c r="U10"/>
  <c r="V10" s="1"/>
  <c r="R10"/>
  <c r="S10" s="1"/>
  <c r="O10"/>
  <c r="P10" s="1"/>
  <c r="U9"/>
  <c r="V9" s="1"/>
  <c r="R9"/>
  <c r="S9" s="1"/>
  <c r="O9"/>
  <c r="P9" s="1"/>
  <c r="Z10" i="4"/>
  <c r="AA10"/>
  <c r="AB10"/>
  <c r="Z11"/>
  <c r="AA11"/>
  <c r="AB11"/>
  <c r="Z12"/>
  <c r="Z101" s="1"/>
  <c r="AA12"/>
  <c r="AA101" s="1"/>
  <c r="AB12"/>
  <c r="AB101" s="1"/>
  <c r="Z13"/>
  <c r="AA13"/>
  <c r="AB13"/>
  <c r="Z14"/>
  <c r="AA14"/>
  <c r="AB14"/>
  <c r="Z15"/>
  <c r="AA15"/>
  <c r="AB15"/>
  <c r="Z16"/>
  <c r="AA16"/>
  <c r="AB16"/>
  <c r="Z17"/>
  <c r="AA17"/>
  <c r="AB17"/>
  <c r="Z18"/>
  <c r="AA18"/>
  <c r="AB18"/>
  <c r="Z19"/>
  <c r="AA19"/>
  <c r="AB19"/>
  <c r="Z20"/>
  <c r="AA20"/>
  <c r="AB20"/>
  <c r="Z21"/>
  <c r="AA21"/>
  <c r="AB21"/>
  <c r="Z22"/>
  <c r="AA22"/>
  <c r="AB22"/>
  <c r="Z23"/>
  <c r="AA23"/>
  <c r="AB23"/>
  <c r="Z24"/>
  <c r="AA24"/>
  <c r="AB24"/>
  <c r="Z25"/>
  <c r="AA25"/>
  <c r="AB25"/>
  <c r="Z26"/>
  <c r="AA26"/>
  <c r="AB26"/>
  <c r="Z27"/>
  <c r="AA27"/>
  <c r="AB27"/>
  <c r="Z28"/>
  <c r="AA28"/>
  <c r="AB28"/>
  <c r="Z29"/>
  <c r="AA29"/>
  <c r="AB29"/>
  <c r="Z30"/>
  <c r="AA30"/>
  <c r="AB30"/>
  <c r="Z31"/>
  <c r="AA31"/>
  <c r="AB31"/>
  <c r="Z32"/>
  <c r="AA32"/>
  <c r="AB32"/>
  <c r="Z33"/>
  <c r="AA33"/>
  <c r="AB33"/>
  <c r="Z34"/>
  <c r="AA34"/>
  <c r="AB34"/>
  <c r="Z35"/>
  <c r="AA35"/>
  <c r="AB35"/>
  <c r="Z36"/>
  <c r="AA36"/>
  <c r="AB36"/>
  <c r="Z37"/>
  <c r="AA37"/>
  <c r="AB37"/>
  <c r="Z38"/>
  <c r="AA38"/>
  <c r="AB38"/>
  <c r="Z39"/>
  <c r="AA39"/>
  <c r="AB39"/>
  <c r="Z40"/>
  <c r="AA40"/>
  <c r="AB40"/>
  <c r="Z41"/>
  <c r="AA41"/>
  <c r="AB41"/>
  <c r="Z42"/>
  <c r="AA42"/>
  <c r="AB42"/>
  <c r="Z43"/>
  <c r="AA43"/>
  <c r="AB43"/>
  <c r="Z44"/>
  <c r="AA44"/>
  <c r="AB44"/>
  <c r="Z45"/>
  <c r="Z113" s="1"/>
  <c r="AA45"/>
  <c r="AA113" s="1"/>
  <c r="AB45"/>
  <c r="AB113" s="1"/>
  <c r="Z46"/>
  <c r="Z114" s="1"/>
  <c r="AA46"/>
  <c r="AA114" s="1"/>
  <c r="AB46"/>
  <c r="AB114" s="1"/>
  <c r="Z47"/>
  <c r="Z115" s="1"/>
  <c r="AA47"/>
  <c r="AA115" s="1"/>
  <c r="AB47"/>
  <c r="AB115" s="1"/>
  <c r="Z48"/>
  <c r="AA48"/>
  <c r="AB48"/>
  <c r="Z49"/>
  <c r="AA49"/>
  <c r="AB49"/>
  <c r="Z50"/>
  <c r="AA50"/>
  <c r="AB50"/>
  <c r="Z51"/>
  <c r="AA51"/>
  <c r="AB51"/>
  <c r="Z52"/>
  <c r="AA52"/>
  <c r="AB52"/>
  <c r="Z53"/>
  <c r="AA53"/>
  <c r="AB53"/>
  <c r="Z54"/>
  <c r="AA54"/>
  <c r="AB54"/>
  <c r="Z55"/>
  <c r="AA55"/>
  <c r="AB55"/>
  <c r="Z56"/>
  <c r="Z119" s="1"/>
  <c r="AA56"/>
  <c r="AA119" s="1"/>
  <c r="AB56"/>
  <c r="AB119" s="1"/>
  <c r="Z57"/>
  <c r="AA57"/>
  <c r="AB57"/>
  <c r="Z58"/>
  <c r="AA58"/>
  <c r="AB58"/>
  <c r="Z59"/>
  <c r="AA59"/>
  <c r="AB59"/>
  <c r="Z60"/>
  <c r="AA60"/>
  <c r="AB60"/>
  <c r="Z61"/>
  <c r="AA61"/>
  <c r="AB61"/>
  <c r="Z62"/>
  <c r="AA62"/>
  <c r="AB62"/>
  <c r="Z63"/>
  <c r="AA63"/>
  <c r="AB63"/>
  <c r="Z64"/>
  <c r="AA64"/>
  <c r="AB64"/>
  <c r="Z65"/>
  <c r="AA65"/>
  <c r="AB65"/>
  <c r="Z66"/>
  <c r="AA66"/>
  <c r="AB66"/>
  <c r="Z67"/>
  <c r="AA67"/>
  <c r="AB67"/>
  <c r="Z68"/>
  <c r="AA68"/>
  <c r="AB68"/>
  <c r="Z69"/>
  <c r="AA69"/>
  <c r="AB69"/>
  <c r="Z70"/>
  <c r="AA70"/>
  <c r="AB70"/>
  <c r="Z71"/>
  <c r="AA71"/>
  <c r="AB71"/>
  <c r="Z72"/>
  <c r="AA72"/>
  <c r="AB72"/>
  <c r="Z73"/>
  <c r="AA73"/>
  <c r="AB73"/>
  <c r="Z74"/>
  <c r="AA74"/>
  <c r="AB74"/>
  <c r="Z75"/>
  <c r="AA75"/>
  <c r="AB75"/>
  <c r="Z76"/>
  <c r="AA76"/>
  <c r="AB76"/>
  <c r="Z77"/>
  <c r="AA77"/>
  <c r="AB77"/>
  <c r="Z78"/>
  <c r="AA78"/>
  <c r="AB78"/>
  <c r="Z79"/>
  <c r="AA79"/>
  <c r="AB79"/>
  <c r="Z80"/>
  <c r="AA80"/>
  <c r="AB80"/>
  <c r="Z81"/>
  <c r="AA81"/>
  <c r="AB81"/>
  <c r="Z82"/>
  <c r="AA82"/>
  <c r="AB82"/>
  <c r="Z83"/>
  <c r="AA83"/>
  <c r="AB83"/>
  <c r="Z84"/>
  <c r="AA84"/>
  <c r="AB84"/>
  <c r="Z85"/>
  <c r="AA85"/>
  <c r="AB85"/>
  <c r="Z86"/>
  <c r="AA86"/>
  <c r="AB86"/>
  <c r="Z87"/>
  <c r="AA87"/>
  <c r="AB87"/>
  <c r="Z88"/>
  <c r="AA88"/>
  <c r="AB88"/>
  <c r="Z89"/>
  <c r="AA89"/>
  <c r="AB89"/>
  <c r="Z90"/>
  <c r="AA90"/>
  <c r="AB90"/>
  <c r="Z91"/>
  <c r="AA91"/>
  <c r="AB91"/>
  <c r="Z92"/>
  <c r="AA92"/>
  <c r="AB92"/>
  <c r="Z93"/>
  <c r="AA93"/>
  <c r="AB93"/>
  <c r="Z94"/>
  <c r="AA94"/>
  <c r="AB94"/>
  <c r="Z95"/>
  <c r="AA95"/>
  <c r="AB95"/>
  <c r="Z96"/>
  <c r="AA96"/>
  <c r="AB96"/>
  <c r="Z97"/>
  <c r="AA97"/>
  <c r="AB97"/>
  <c r="Z98"/>
  <c r="AA98"/>
  <c r="AB98"/>
  <c r="AB9"/>
  <c r="AB100" s="1"/>
  <c r="AA9"/>
  <c r="AA100" s="1"/>
  <c r="Z9"/>
  <c r="Z100" s="1"/>
  <c r="Y10"/>
  <c r="Y11"/>
  <c r="Y12"/>
  <c r="Y101" s="1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113" s="1"/>
  <c r="Y46"/>
  <c r="Y114" s="1"/>
  <c r="Y47"/>
  <c r="Y115" s="1"/>
  <c r="Y48"/>
  <c r="Y49"/>
  <c r="Y50"/>
  <c r="Y51"/>
  <c r="Y52"/>
  <c r="Y53"/>
  <c r="Y54"/>
  <c r="Y55"/>
  <c r="Y56"/>
  <c r="Y119" s="1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"/>
  <c r="Y100" s="1"/>
  <c r="C68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C69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C70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C71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C72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C73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C74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C75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C76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C77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C78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C79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C80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C81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C82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C83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C84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C85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C86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C87"/>
  <c r="D87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C88"/>
  <c r="D88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C89"/>
  <c r="D89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C90"/>
  <c r="D90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C91"/>
  <c r="D91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C92"/>
  <c r="D92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C93"/>
  <c r="D93"/>
  <c r="E93"/>
  <c r="F93"/>
  <c r="G93"/>
  <c r="H93"/>
  <c r="I93"/>
  <c r="J93"/>
  <c r="K93"/>
  <c r="L93"/>
  <c r="M93"/>
  <c r="N93"/>
  <c r="O93"/>
  <c r="P93"/>
  <c r="Q93"/>
  <c r="R93"/>
  <c r="S93"/>
  <c r="T93"/>
  <c r="U93"/>
  <c r="V93"/>
  <c r="C94"/>
  <c r="D94"/>
  <c r="E94"/>
  <c r="F94"/>
  <c r="G94"/>
  <c r="H94"/>
  <c r="I94"/>
  <c r="J94"/>
  <c r="K94"/>
  <c r="L94"/>
  <c r="M94"/>
  <c r="N94"/>
  <c r="O94"/>
  <c r="P94"/>
  <c r="Q94"/>
  <c r="R94"/>
  <c r="S94"/>
  <c r="T94"/>
  <c r="U94"/>
  <c r="V94"/>
  <c r="C95"/>
  <c r="D95"/>
  <c r="E95"/>
  <c r="F95"/>
  <c r="G95"/>
  <c r="H95"/>
  <c r="I95"/>
  <c r="J95"/>
  <c r="K95"/>
  <c r="L95"/>
  <c r="M95"/>
  <c r="N95"/>
  <c r="O95"/>
  <c r="P95"/>
  <c r="Q95"/>
  <c r="R95"/>
  <c r="S95"/>
  <c r="T95"/>
  <c r="U95"/>
  <c r="V95"/>
  <c r="C96"/>
  <c r="D96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C97"/>
  <c r="D97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C98"/>
  <c r="D98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C53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C59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C61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C62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C63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C64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C65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C66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C67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P11" i="2"/>
  <c r="P12"/>
  <c r="P13"/>
  <c r="P14"/>
  <c r="P15"/>
  <c r="P16"/>
  <c r="P17"/>
  <c r="P18"/>
  <c r="P19"/>
  <c r="P20"/>
  <c r="P21"/>
  <c r="P22"/>
  <c r="P23"/>
  <c r="P24"/>
  <c r="P25"/>
  <c r="R25" s="1"/>
  <c r="P26"/>
  <c r="R26" s="1"/>
  <c r="P27"/>
  <c r="R27" s="1"/>
  <c r="P28"/>
  <c r="R28" s="1"/>
  <c r="P29"/>
  <c r="R29" s="1"/>
  <c r="V11"/>
  <c r="Y11"/>
  <c r="V12"/>
  <c r="Y12"/>
  <c r="V13"/>
  <c r="Y13"/>
  <c r="V14"/>
  <c r="Y14"/>
  <c r="V15"/>
  <c r="Y15"/>
  <c r="V16"/>
  <c r="Y16"/>
  <c r="V17"/>
  <c r="Y17"/>
  <c r="V18"/>
  <c r="Y18"/>
  <c r="V19"/>
  <c r="Y19"/>
  <c r="V20"/>
  <c r="Y20"/>
  <c r="V21"/>
  <c r="Y21"/>
  <c r="V22"/>
  <c r="Y22"/>
  <c r="V23"/>
  <c r="Y23"/>
  <c r="V24"/>
  <c r="Y24"/>
  <c r="V25"/>
  <c r="Y25"/>
  <c r="V26"/>
  <c r="Y26"/>
  <c r="V27"/>
  <c r="Y27"/>
  <c r="V28"/>
  <c r="X28" s="1"/>
  <c r="Y28"/>
  <c r="V29"/>
  <c r="Y29"/>
  <c r="Y10"/>
  <c r="Z10" s="1"/>
  <c r="V10"/>
  <c r="W10" s="1"/>
  <c r="S12"/>
  <c r="S13"/>
  <c r="S14"/>
  <c r="S15"/>
  <c r="S16"/>
  <c r="S17"/>
  <c r="S18"/>
  <c r="S19"/>
  <c r="S20"/>
  <c r="S21"/>
  <c r="S22"/>
  <c r="S23"/>
  <c r="S24"/>
  <c r="S25"/>
  <c r="U25" s="1"/>
  <c r="S26"/>
  <c r="U26" s="1"/>
  <c r="S27"/>
  <c r="U27" s="1"/>
  <c r="S28"/>
  <c r="U28" s="1"/>
  <c r="S29"/>
  <c r="U29" s="1"/>
  <c r="S11"/>
  <c r="S10"/>
  <c r="T10" s="1"/>
  <c r="P10"/>
  <c r="Q10" s="1"/>
  <c r="Q11" s="1"/>
  <c r="Q12" s="1"/>
  <c r="Y9"/>
  <c r="Z9" s="1"/>
  <c r="V9"/>
  <c r="W9" s="1"/>
  <c r="S9"/>
  <c r="T9" s="1"/>
  <c r="P9"/>
  <c r="AB9" i="13"/>
  <c r="AB70" s="1"/>
  <c r="AA10" i="10"/>
  <c r="AA22" s="1"/>
  <c r="AA11"/>
  <c r="AA23" s="1"/>
  <c r="AA12"/>
  <c r="AA24" s="1"/>
  <c r="AA9"/>
  <c r="AA21" s="1"/>
  <c r="AA9" i="7"/>
  <c r="AA77" s="1"/>
  <c r="C10" i="13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7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T9" i="11"/>
  <c r="Y9"/>
  <c r="Z9" s="1"/>
  <c r="Q10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T10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W10"/>
  <c r="Y10"/>
  <c r="Z10" s="1"/>
  <c r="Y11"/>
  <c r="Y12"/>
  <c r="Y13"/>
  <c r="Y14"/>
  <c r="Y15"/>
  <c r="Y16"/>
  <c r="Y17"/>
  <c r="Y18"/>
  <c r="Y19"/>
  <c r="Y20"/>
  <c r="Y21"/>
  <c r="Y22"/>
  <c r="Y23"/>
  <c r="Y24"/>
  <c r="Y25"/>
  <c r="AA25" s="1"/>
  <c r="Y26"/>
  <c r="AA26" s="1"/>
  <c r="Y27"/>
  <c r="AA27" s="1"/>
  <c r="Y28"/>
  <c r="AA28" s="1"/>
  <c r="Y29"/>
  <c r="AA29" s="1"/>
  <c r="Q9" i="2"/>
  <c r="V9" i="8"/>
  <c r="W9" s="1"/>
  <c r="T10"/>
  <c r="V10"/>
  <c r="W10" s="1"/>
  <c r="V11"/>
  <c r="V12"/>
  <c r="V13"/>
  <c r="V14"/>
  <c r="V15"/>
  <c r="V16"/>
  <c r="V17"/>
  <c r="V18"/>
  <c r="V19"/>
  <c r="V20"/>
  <c r="X20" s="1"/>
  <c r="V21"/>
  <c r="V22"/>
  <c r="V23"/>
  <c r="X23" s="1"/>
  <c r="V24"/>
  <c r="X24" s="1"/>
  <c r="V25"/>
  <c r="X25" s="1"/>
  <c r="V26"/>
  <c r="X26" s="1"/>
  <c r="V27"/>
  <c r="X27" s="1"/>
  <c r="V28"/>
  <c r="X28" s="1"/>
  <c r="V29"/>
  <c r="X29" s="1"/>
  <c r="T9"/>
  <c r="W9" i="11"/>
  <c r="AA9"/>
  <c r="Q5" s="1"/>
  <c r="R9" i="8"/>
  <c r="Q2" s="1"/>
  <c r="S11" i="5" l="1"/>
  <c r="S12" s="1"/>
  <c r="S13" s="1"/>
  <c r="S14" s="1"/>
  <c r="P11"/>
  <c r="P12" s="1"/>
  <c r="P13" s="1"/>
  <c r="P14" s="1"/>
  <c r="P15" s="1"/>
  <c r="V11"/>
  <c r="V12" s="1"/>
  <c r="V13" s="1"/>
  <c r="V14" s="1"/>
  <c r="Z11" i="2"/>
  <c r="AA10" i="11"/>
  <c r="AA91" i="13"/>
  <c r="Y91"/>
  <c r="AA89"/>
  <c r="Y89"/>
  <c r="AA88"/>
  <c r="Y88"/>
  <c r="AA87"/>
  <c r="Y87"/>
  <c r="AA83"/>
  <c r="Y83"/>
  <c r="AA82"/>
  <c r="Y82"/>
  <c r="AA81"/>
  <c r="Y81"/>
  <c r="AA80"/>
  <c r="Y80"/>
  <c r="AA79"/>
  <c r="Y79"/>
  <c r="AA78"/>
  <c r="Y78"/>
  <c r="AA77"/>
  <c r="Y77"/>
  <c r="AA76"/>
  <c r="Y76"/>
  <c r="AA75"/>
  <c r="Y75"/>
  <c r="AA73"/>
  <c r="Y73"/>
  <c r="AA72"/>
  <c r="Y72"/>
  <c r="AB91"/>
  <c r="Z91"/>
  <c r="AB89"/>
  <c r="Z89"/>
  <c r="AB88"/>
  <c r="Z88"/>
  <c r="AB87"/>
  <c r="Z87"/>
  <c r="AB83"/>
  <c r="Z83"/>
  <c r="AB82"/>
  <c r="Z82"/>
  <c r="AB81"/>
  <c r="Z81"/>
  <c r="AB80"/>
  <c r="Z80"/>
  <c r="AB79"/>
  <c r="Z79"/>
  <c r="AB78"/>
  <c r="Z78"/>
  <c r="AB77"/>
  <c r="Z77"/>
  <c r="AB76"/>
  <c r="Z76"/>
  <c r="AB75"/>
  <c r="Z75"/>
  <c r="AB73"/>
  <c r="Z73"/>
  <c r="AB72"/>
  <c r="Z72"/>
  <c r="Z12" i="2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W11"/>
  <c r="W12" s="1"/>
  <c r="W13" s="1"/>
  <c r="W14" s="1"/>
  <c r="W15" s="1"/>
  <c r="W16" s="1"/>
  <c r="Y124" i="4"/>
  <c r="Y123"/>
  <c r="Y121"/>
  <c r="Y116"/>
  <c r="Y111"/>
  <c r="Y110"/>
  <c r="Y109"/>
  <c r="Y108"/>
  <c r="AB124"/>
  <c r="Z124"/>
  <c r="AB123"/>
  <c r="Z123"/>
  <c r="AA122"/>
  <c r="AB121"/>
  <c r="Z121"/>
  <c r="AA120"/>
  <c r="AA118"/>
  <c r="AA117"/>
  <c r="AB116"/>
  <c r="Z116"/>
  <c r="AA112"/>
  <c r="AB111"/>
  <c r="Z111"/>
  <c r="AB110"/>
  <c r="Z110"/>
  <c r="AB109"/>
  <c r="Z109"/>
  <c r="AB108"/>
  <c r="Z108"/>
  <c r="AA107"/>
  <c r="AA106"/>
  <c r="AA105"/>
  <c r="AA104"/>
  <c r="AA103"/>
  <c r="AA102"/>
  <c r="W17" i="2"/>
  <c r="W18" s="1"/>
  <c r="W19" s="1"/>
  <c r="W20" s="1"/>
  <c r="W21" s="1"/>
  <c r="W22" s="1"/>
  <c r="W23" s="1"/>
  <c r="W24" s="1"/>
  <c r="W25" s="1"/>
  <c r="W26" s="1"/>
  <c r="W27" s="1"/>
  <c r="W28" s="1"/>
  <c r="W29" s="1"/>
  <c r="Y122" i="4"/>
  <c r="Y120"/>
  <c r="Y118"/>
  <c r="Y117"/>
  <c r="Y112"/>
  <c r="Y107"/>
  <c r="Y106"/>
  <c r="Y105"/>
  <c r="Y104"/>
  <c r="Y103"/>
  <c r="Y102"/>
  <c r="AA124"/>
  <c r="AA123"/>
  <c r="AB122"/>
  <c r="Z122"/>
  <c r="AA121"/>
  <c r="AB120"/>
  <c r="Z120"/>
  <c r="AB118"/>
  <c r="Z118"/>
  <c r="AB117"/>
  <c r="Z117"/>
  <c r="AA116"/>
  <c r="AB112"/>
  <c r="Z112"/>
  <c r="AA111"/>
  <c r="AA110"/>
  <c r="AA109"/>
  <c r="AA108"/>
  <c r="AB107"/>
  <c r="Z107"/>
  <c r="AB106"/>
  <c r="Z106"/>
  <c r="AB105"/>
  <c r="Z105"/>
  <c r="AB104"/>
  <c r="Z104"/>
  <c r="AB103"/>
  <c r="Z103"/>
  <c r="AB102"/>
  <c r="Z102"/>
  <c r="W11" i="8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AA74" i="13"/>
  <c r="Y74"/>
  <c r="AB74"/>
  <c r="Z74"/>
  <c r="Z28" i="2"/>
  <c r="Z29" s="1"/>
  <c r="W9" i="5"/>
  <c r="P4" s="1"/>
  <c r="T9"/>
  <c r="P3" s="1"/>
  <c r="AA92" i="7"/>
  <c r="Y92"/>
  <c r="AA91"/>
  <c r="Y91"/>
  <c r="Z90"/>
  <c r="AA89"/>
  <c r="Y89"/>
  <c r="AA88"/>
  <c r="Y88"/>
  <c r="AA87"/>
  <c r="Y87"/>
  <c r="Z86"/>
  <c r="AA85"/>
  <c r="Y85"/>
  <c r="AA84"/>
  <c r="Y84"/>
  <c r="AA83"/>
  <c r="Y83"/>
  <c r="AA82"/>
  <c r="Y82"/>
  <c r="Z81"/>
  <c r="Z80"/>
  <c r="Z78"/>
  <c r="Q9" i="5"/>
  <c r="P2" s="1"/>
  <c r="Z92" i="7"/>
  <c r="Z91"/>
  <c r="AA90"/>
  <c r="Y90"/>
  <c r="Z89"/>
  <c r="Z88"/>
  <c r="Z87"/>
  <c r="AA86"/>
  <c r="Y86"/>
  <c r="Z85"/>
  <c r="Z84"/>
  <c r="Z83"/>
  <c r="Z82"/>
  <c r="AA81"/>
  <c r="Y81"/>
  <c r="AA80"/>
  <c r="Y80"/>
  <c r="AA78"/>
  <c r="Y78"/>
  <c r="Z11" i="1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W11"/>
  <c r="W12" s="1"/>
  <c r="W13" s="1"/>
  <c r="X10"/>
  <c r="U10"/>
  <c r="R10"/>
  <c r="U9"/>
  <c r="Q3" s="1"/>
  <c r="X9"/>
  <c r="Q4" s="1"/>
  <c r="R9"/>
  <c r="Q2" s="1"/>
  <c r="Q12" i="8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X10"/>
  <c r="U10"/>
  <c r="T11"/>
  <c r="T12" s="1"/>
  <c r="T13" s="1"/>
  <c r="T14" s="1"/>
  <c r="T15" s="1"/>
  <c r="Y24" i="10"/>
  <c r="Z24"/>
  <c r="R10" i="8"/>
  <c r="U9"/>
  <c r="Q3" s="1"/>
  <c r="T10" i="5"/>
  <c r="Q10"/>
  <c r="W10"/>
  <c r="S15"/>
  <c r="P16"/>
  <c r="P17" s="1"/>
  <c r="Q13" i="2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X26"/>
  <c r="AA28"/>
  <c r="AA26"/>
  <c r="AA29"/>
  <c r="AA27"/>
  <c r="AA25"/>
  <c r="T11"/>
  <c r="R11" s="1"/>
  <c r="X29"/>
  <c r="X27"/>
  <c r="X25"/>
  <c r="X10"/>
  <c r="U10"/>
  <c r="AA10"/>
  <c r="R10"/>
  <c r="X9"/>
  <c r="Q4" s="1"/>
  <c r="U9"/>
  <c r="Q3" s="1"/>
  <c r="AA9"/>
  <c r="Q5" s="1"/>
  <c r="R9"/>
  <c r="Q2" s="1"/>
  <c r="Q9" i="8"/>
  <c r="X9"/>
  <c r="Q4" s="1"/>
  <c r="AA11" i="11" l="1"/>
  <c r="AA13"/>
  <c r="T14" i="5"/>
  <c r="V15"/>
  <c r="Q15" s="1"/>
  <c r="X15" i="8"/>
  <c r="U15"/>
  <c r="R15"/>
  <c r="W11" i="5"/>
  <c r="T11"/>
  <c r="Q11"/>
  <c r="W14" i="11"/>
  <c r="AA14" s="1"/>
  <c r="X13"/>
  <c r="R13"/>
  <c r="R12"/>
  <c r="U13"/>
  <c r="X14" i="8"/>
  <c r="Q12" i="5"/>
  <c r="W14"/>
  <c r="U14" i="8"/>
  <c r="R14"/>
  <c r="X13"/>
  <c r="U13"/>
  <c r="R13"/>
  <c r="X12"/>
  <c r="U12"/>
  <c r="R12"/>
  <c r="T12" i="5"/>
  <c r="W12"/>
  <c r="T13"/>
  <c r="Q14"/>
  <c r="Q13"/>
  <c r="W13"/>
  <c r="X11" i="8"/>
  <c r="U11"/>
  <c r="R11" i="11"/>
  <c r="X11"/>
  <c r="R11" i="8"/>
  <c r="AA12" i="11"/>
  <c r="U11"/>
  <c r="U12"/>
  <c r="X12"/>
  <c r="T16" i="8"/>
  <c r="U16" s="1"/>
  <c r="S16" i="5"/>
  <c r="P18"/>
  <c r="X11" i="2"/>
  <c r="T12"/>
  <c r="AA11"/>
  <c r="U11"/>
  <c r="V16" i="5" l="1"/>
  <c r="W16" s="1"/>
  <c r="W15"/>
  <c r="T15"/>
  <c r="X16" i="8"/>
  <c r="R16"/>
  <c r="W15" i="11"/>
  <c r="R14"/>
  <c r="U14"/>
  <c r="X14"/>
  <c r="T17" i="8"/>
  <c r="X17" s="1"/>
  <c r="S17" i="5"/>
  <c r="P19"/>
  <c r="AA12" i="2"/>
  <c r="R12"/>
  <c r="X12"/>
  <c r="T13"/>
  <c r="U12"/>
  <c r="V17" i="5" l="1"/>
  <c r="T17" s="1"/>
  <c r="T16"/>
  <c r="X15" i="11"/>
  <c r="AA15"/>
  <c r="Q16" i="5"/>
  <c r="W16" i="11"/>
  <c r="U15"/>
  <c r="R15"/>
  <c r="U17" i="8"/>
  <c r="R17"/>
  <c r="W17" i="5"/>
  <c r="AA13" i="2"/>
  <c r="X13"/>
  <c r="T14"/>
  <c r="X14" s="1"/>
  <c r="U13"/>
  <c r="R13"/>
  <c r="T18" i="8"/>
  <c r="X18" s="1"/>
  <c r="S18" i="5"/>
  <c r="P20"/>
  <c r="V18" l="1"/>
  <c r="W18" s="1"/>
  <c r="Q17"/>
  <c r="R18" i="8"/>
  <c r="U18"/>
  <c r="W17" i="11"/>
  <c r="AA17" s="1"/>
  <c r="R16"/>
  <c r="X16"/>
  <c r="U16"/>
  <c r="AA16"/>
  <c r="R14" i="2"/>
  <c r="AA14"/>
  <c r="T15"/>
  <c r="U14"/>
  <c r="Q18" i="5"/>
  <c r="T19" i="8"/>
  <c r="X19" s="1"/>
  <c r="S19" i="5"/>
  <c r="P21"/>
  <c r="V19" l="1"/>
  <c r="Q19" s="1"/>
  <c r="T18"/>
  <c r="R19" i="8"/>
  <c r="U19"/>
  <c r="W19" i="5"/>
  <c r="W18" i="11"/>
  <c r="AA18" s="1"/>
  <c r="X17"/>
  <c r="U17"/>
  <c r="R17"/>
  <c r="T19" i="5"/>
  <c r="AA15" i="2"/>
  <c r="X15"/>
  <c r="U15"/>
  <c r="R15"/>
  <c r="T16"/>
  <c r="AA16" s="1"/>
  <c r="T20" i="8"/>
  <c r="S20" i="5"/>
  <c r="P22"/>
  <c r="V20" l="1"/>
  <c r="W20" s="1"/>
  <c r="U20" i="8"/>
  <c r="R20"/>
  <c r="R16" i="2"/>
  <c r="U16"/>
  <c r="W19" i="11"/>
  <c r="AA19" s="1"/>
  <c r="R18"/>
  <c r="X18"/>
  <c r="U18"/>
  <c r="T20" i="5"/>
  <c r="X16" i="2"/>
  <c r="T17"/>
  <c r="T21" i="8"/>
  <c r="X21" s="1"/>
  <c r="S21" i="5"/>
  <c r="V21"/>
  <c r="P23"/>
  <c r="Q20" l="1"/>
  <c r="W21"/>
  <c r="T21"/>
  <c r="Q21"/>
  <c r="U21" i="8"/>
  <c r="R21"/>
  <c r="W20" i="11"/>
  <c r="AA20" s="1"/>
  <c r="R19"/>
  <c r="U19"/>
  <c r="X19"/>
  <c r="T18" i="2"/>
  <c r="T19" s="1"/>
  <c r="X17"/>
  <c r="R17"/>
  <c r="U17"/>
  <c r="AA17"/>
  <c r="T22" i="8"/>
  <c r="X22" s="1"/>
  <c r="V22" i="5"/>
  <c r="S22"/>
  <c r="P24"/>
  <c r="U18" i="2" l="1"/>
  <c r="U22" i="8"/>
  <c r="R22"/>
  <c r="R18" i="2"/>
  <c r="W22" i="5"/>
  <c r="T22"/>
  <c r="Q22"/>
  <c r="W21" i="11"/>
  <c r="R20"/>
  <c r="U20"/>
  <c r="X20"/>
  <c r="X19" i="2"/>
  <c r="AA19"/>
  <c r="T20"/>
  <c r="U19"/>
  <c r="R19"/>
  <c r="AA18"/>
  <c r="X18"/>
  <c r="T23" i="8"/>
  <c r="S23" i="5"/>
  <c r="V23"/>
  <c r="P25"/>
  <c r="U23" i="8" l="1"/>
  <c r="R23"/>
  <c r="W23" i="5"/>
  <c r="Q23"/>
  <c r="T23"/>
  <c r="X21" i="11"/>
  <c r="R21"/>
  <c r="AA21"/>
  <c r="W22"/>
  <c r="U21"/>
  <c r="X20" i="2"/>
  <c r="AA20"/>
  <c r="T21"/>
  <c r="U20"/>
  <c r="R20"/>
  <c r="T24" i="8"/>
  <c r="V24" i="5"/>
  <c r="S24"/>
  <c r="P26"/>
  <c r="W24" l="1"/>
  <c r="T24"/>
  <c r="Q24"/>
  <c r="W23" i="11"/>
  <c r="X22"/>
  <c r="R22"/>
  <c r="U22"/>
  <c r="AA22"/>
  <c r="T22" i="2"/>
  <c r="U21"/>
  <c r="AA21"/>
  <c r="X21"/>
  <c r="R21"/>
  <c r="T25" i="8"/>
  <c r="S25" i="5"/>
  <c r="V25"/>
  <c r="P27"/>
  <c r="Q27" s="1"/>
  <c r="R23" i="11" l="1"/>
  <c r="AA23"/>
  <c r="T25" i="5"/>
  <c r="Q25"/>
  <c r="AA22" i="2"/>
  <c r="X22"/>
  <c r="W24" i="11"/>
  <c r="AA24" s="1"/>
  <c r="X23"/>
  <c r="U23"/>
  <c r="T23" i="2"/>
  <c r="X23" s="1"/>
  <c r="U22"/>
  <c r="R22"/>
  <c r="T26" i="8"/>
  <c r="V26" i="5"/>
  <c r="S26"/>
  <c r="P28"/>
  <c r="Q26" l="1"/>
  <c r="T26"/>
  <c r="W25" i="11"/>
  <c r="X24"/>
  <c r="R24"/>
  <c r="U24"/>
  <c r="T24" i="2"/>
  <c r="X24" s="1"/>
  <c r="U23"/>
  <c r="AA23"/>
  <c r="R23"/>
  <c r="T27" i="8"/>
  <c r="S27" i="5"/>
  <c r="V27"/>
  <c r="P29"/>
  <c r="W26" i="11" l="1"/>
  <c r="W27" s="1"/>
  <c r="W28" s="1"/>
  <c r="W29" s="1"/>
  <c r="U25"/>
  <c r="R25"/>
  <c r="T25" i="2"/>
  <c r="T26" s="1"/>
  <c r="T27" s="1"/>
  <c r="T28" s="1"/>
  <c r="T29" s="1"/>
  <c r="U24"/>
  <c r="AA24"/>
  <c r="R24"/>
  <c r="T28" i="8"/>
  <c r="V28" i="5"/>
  <c r="S28"/>
  <c r="T29" i="8" l="1"/>
  <c r="S29" i="5"/>
  <c r="V29"/>
</calcChain>
</file>

<file path=xl/sharedStrings.xml><?xml version="1.0" encoding="utf-8"?>
<sst xmlns="http://schemas.openxmlformats.org/spreadsheetml/2006/main" count="495" uniqueCount="99">
  <si>
    <t>Turno</t>
  </si>
  <si>
    <t>Entidad</t>
  </si>
  <si>
    <t>Centro</t>
  </si>
  <si>
    <t>.</t>
  </si>
  <si>
    <t>Otro</t>
  </si>
  <si>
    <t>Exit Poll Regional Noviembre 2.008</t>
  </si>
  <si>
    <t xml:space="preserve"> </t>
  </si>
  <si>
    <t>Municipio</t>
  </si>
  <si>
    <t>Pagina Principal</t>
  </si>
  <si>
    <t>SumaDA</t>
  </si>
  <si>
    <t>MIRANDA</t>
  </si>
  <si>
    <t>Region Capital</t>
  </si>
  <si>
    <t>Transcripción Miranda</t>
  </si>
  <si>
    <t>Supervisor de Miranda</t>
  </si>
  <si>
    <t>Gráficos de Miranda</t>
  </si>
  <si>
    <t>Transcripción Vargas</t>
  </si>
  <si>
    <t>Supervisor de Vargas</t>
  </si>
  <si>
    <t>Gráficos de Vargas</t>
  </si>
  <si>
    <t>Transcripción Libertador</t>
  </si>
  <si>
    <t>Supervisor de Libertador</t>
  </si>
  <si>
    <t>Gráficos de Libertador</t>
  </si>
  <si>
    <t>Transcripción Alcaldía Mayor</t>
  </si>
  <si>
    <t>Supervisor Alcaldía Mayor</t>
  </si>
  <si>
    <t>Gráficos de Alcaldía Mayor</t>
  </si>
  <si>
    <t>Alcaldía Mayor</t>
  </si>
  <si>
    <t>ALCADÍA MAYOR</t>
  </si>
  <si>
    <t>ALCALDÍA MAYOR</t>
  </si>
  <si>
    <t>23 DE ENERO</t>
  </si>
  <si>
    <t>ALTAGRACIA</t>
  </si>
  <si>
    <t>ANTIMANO</t>
  </si>
  <si>
    <t>CANDELARIA</t>
  </si>
  <si>
    <t>CARICUAO</t>
  </si>
  <si>
    <t>COCHE</t>
  </si>
  <si>
    <t>EL JUNQUITO</t>
  </si>
  <si>
    <t>EL PARAISO</t>
  </si>
  <si>
    <t>EL RECREO</t>
  </si>
  <si>
    <t>EL VALLE</t>
  </si>
  <si>
    <t>LA PASTORA</t>
  </si>
  <si>
    <t>LA VEGA</t>
  </si>
  <si>
    <t>MACARAO</t>
  </si>
  <si>
    <t>SAN AGUSTIN</t>
  </si>
  <si>
    <t>SAN BERNARDINO</t>
  </si>
  <si>
    <t>SAN JOSE</t>
  </si>
  <si>
    <t>SAN JUAN</t>
  </si>
  <si>
    <t>SAN PEDRO</t>
  </si>
  <si>
    <t>SANTA ROSALIA</t>
  </si>
  <si>
    <t>SANTA TERESA</t>
  </si>
  <si>
    <t>SUCRE</t>
  </si>
  <si>
    <t>Libertador</t>
  </si>
  <si>
    <t>Miranda</t>
  </si>
  <si>
    <t>Vargas</t>
  </si>
  <si>
    <t>Aristobulo Izturiz</t>
  </si>
  <si>
    <t>Antonio Ledezma</t>
  </si>
  <si>
    <t>Augusto Uribe</t>
  </si>
  <si>
    <t>SumaAM</t>
  </si>
  <si>
    <t>BARUTA</t>
  </si>
  <si>
    <t>BRION</t>
  </si>
  <si>
    <t>CARRIZAL</t>
  </si>
  <si>
    <t>CHACAO</t>
  </si>
  <si>
    <t>CRISTOBAL ROJAS</t>
  </si>
  <si>
    <t>EL HATILLO</t>
  </si>
  <si>
    <t>GUAICAIPURO</t>
  </si>
  <si>
    <t>INDEPENDENCIA</t>
  </si>
  <si>
    <t>LANDER</t>
  </si>
  <si>
    <t>LOS SALIAS</t>
  </si>
  <si>
    <t>PAZ CASTILLO</t>
  </si>
  <si>
    <t>PLAZA</t>
  </si>
  <si>
    <t>URDANETA</t>
  </si>
  <si>
    <t>ZAMORA</t>
  </si>
  <si>
    <t>SUCRE DC</t>
  </si>
  <si>
    <t>SUCRE MI</t>
  </si>
  <si>
    <t>Estado Miranda</t>
  </si>
  <si>
    <t>SumaMI</t>
  </si>
  <si>
    <t>Diosdado Cabello</t>
  </si>
  <si>
    <t>Henrique Capriles Radonski</t>
  </si>
  <si>
    <t>GOBERNACION DE MIRANDA</t>
  </si>
  <si>
    <t>ACEVEDO</t>
  </si>
  <si>
    <t>Estado Vargas</t>
  </si>
  <si>
    <t>Jorge Garcia Carneiro</t>
  </si>
  <si>
    <t>Roberto Smith</t>
  </si>
  <si>
    <t>GOBERNACION DE VARGAS</t>
  </si>
  <si>
    <t>Parroquia</t>
  </si>
  <si>
    <t>CARABALLEDA</t>
  </si>
  <si>
    <t>CARAYACA</t>
  </si>
  <si>
    <t>CARLOS SOUBLETTE</t>
  </si>
  <si>
    <t>CATIA LA MAR</t>
  </si>
  <si>
    <t>LA GUAIRA</t>
  </si>
  <si>
    <t>MAIQUETIA</t>
  </si>
  <si>
    <t>NAIGUATA</t>
  </si>
  <si>
    <t>RAUL LEONI</t>
  </si>
  <si>
    <t>Municipio Libertador</t>
  </si>
  <si>
    <t>Jorge Rodriguez</t>
  </si>
  <si>
    <t>Stalin Gonzalez</t>
  </si>
  <si>
    <t>Claudio Fermin</t>
  </si>
  <si>
    <t>SumaLi</t>
  </si>
  <si>
    <t xml:space="preserve"> MUNICIPIO LIBERTADOR</t>
  </si>
  <si>
    <t>LIBERTADOR</t>
  </si>
  <si>
    <t>|</t>
  </si>
  <si>
    <t>VARGAS</t>
  </si>
</sst>
</file>

<file path=xl/styles.xml><?xml version="1.0" encoding="utf-8"?>
<styleSheet xmlns="http://schemas.openxmlformats.org/spreadsheetml/2006/main">
  <numFmts count="1">
    <numFmt numFmtId="164" formatCode="0.0%"/>
  </numFmts>
  <fonts count="3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  <font>
      <sz val="22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i/>
      <u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0"/>
      <color rgb="FF006600"/>
      <name val="Arial"/>
      <family val="2"/>
    </font>
    <font>
      <i/>
      <sz val="26"/>
      <color rgb="FF7030A0"/>
      <name val="Arial"/>
      <family val="2"/>
    </font>
    <font>
      <i/>
      <sz val="26"/>
      <color rgb="FFFF0000"/>
      <name val="Arial"/>
      <family val="2"/>
    </font>
    <font>
      <i/>
      <sz val="26"/>
      <color theme="9" tint="-0.249977111117893"/>
      <name val="Arial"/>
      <family val="2"/>
    </font>
    <font>
      <i/>
      <sz val="26"/>
      <color rgb="FF00B05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i/>
      <sz val="20"/>
      <color theme="3" tint="-0.249977111117893"/>
      <name val="Arial"/>
      <family val="2"/>
    </font>
    <font>
      <i/>
      <sz val="18"/>
      <color theme="3" tint="-0.249977111117893"/>
      <name val="Arial"/>
      <family val="2"/>
    </font>
    <font>
      <i/>
      <sz val="10"/>
      <color rgb="FF19B533"/>
      <name val="Arial"/>
      <family val="2"/>
    </font>
    <font>
      <i/>
      <sz val="10"/>
      <color theme="9" tint="-0.249977111117893"/>
      <name val="Arial"/>
      <family val="2"/>
    </font>
    <font>
      <i/>
      <sz val="10"/>
      <color rgb="FF7030A0"/>
      <name val="Arial"/>
      <family val="2"/>
    </font>
    <font>
      <b/>
      <sz val="11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sz val="36"/>
      <color theme="3" tint="-0.249977111117893"/>
      <name val="Arial"/>
      <family val="2"/>
    </font>
    <font>
      <b/>
      <i/>
      <sz val="10"/>
      <color rgb="FF009900"/>
      <name val="Arial"/>
      <family val="2"/>
    </font>
    <font>
      <b/>
      <i/>
      <u/>
      <sz val="10"/>
      <color rgb="FF009900"/>
      <name val="Arial"/>
      <family val="2"/>
    </font>
    <font>
      <sz val="10"/>
      <color rgb="FF002060"/>
      <name val="Arial"/>
      <family val="2"/>
    </font>
    <font>
      <b/>
      <i/>
      <u/>
      <sz val="11"/>
      <color rgb="FF002060"/>
      <name val="Arial"/>
      <family val="2"/>
    </font>
    <font>
      <b/>
      <sz val="11"/>
      <color rgb="FF002060"/>
      <name val="Arial"/>
      <family val="2"/>
    </font>
    <font>
      <i/>
      <sz val="16"/>
      <color rgb="FF002060"/>
      <name val="Arial"/>
      <family val="2"/>
    </font>
    <font>
      <b/>
      <i/>
      <sz val="11"/>
      <color rgb="FF002060"/>
      <name val="Arial"/>
      <family val="2"/>
    </font>
    <font>
      <b/>
      <i/>
      <u/>
      <sz val="10"/>
      <color rgb="FFFF0000"/>
      <name val="Arial"/>
      <family val="2"/>
    </font>
    <font>
      <b/>
      <i/>
      <sz val="22"/>
      <color rgb="FF002060"/>
      <name val="Arial"/>
      <family val="2"/>
    </font>
    <font>
      <i/>
      <sz val="36"/>
      <color rgb="FF002060"/>
      <name val="Arial"/>
      <family val="2"/>
    </font>
    <font>
      <b/>
      <i/>
      <sz val="20"/>
      <color rgb="FFFF0000"/>
      <name val="Arial"/>
      <family val="2"/>
    </font>
    <font>
      <i/>
      <sz val="2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81">
    <xf numFmtId="0" fontId="0" fillId="0" borderId="0" xfId="0"/>
    <xf numFmtId="1" fontId="2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" fontId="0" fillId="0" borderId="0" xfId="0" applyNumberFormat="1" applyBorder="1" applyAlignment="1">
      <alignment horizontal="right" vertical="center" indent="1"/>
    </xf>
    <xf numFmtId="20" fontId="0" fillId="0" borderId="0" xfId="0" applyNumberFormat="1" applyAlignment="1">
      <alignment vertical="center"/>
    </xf>
    <xf numFmtId="1" fontId="0" fillId="0" borderId="3" xfId="0" applyNumberFormat="1" applyBorder="1" applyAlignment="1">
      <alignment horizontal="right" vertical="center" indent="1"/>
    </xf>
    <xf numFmtId="1" fontId="0" fillId="0" borderId="4" xfId="0" applyNumberFormat="1" applyBorder="1" applyAlignment="1">
      <alignment horizontal="right" vertical="center" indent="1"/>
    </xf>
    <xf numFmtId="2" fontId="0" fillId="0" borderId="5" xfId="0" applyNumberFormat="1" applyBorder="1" applyAlignment="1">
      <alignment horizontal="right" vertical="center" indent="1"/>
    </xf>
    <xf numFmtId="2" fontId="0" fillId="0" borderId="0" xfId="0" applyNumberFormat="1" applyBorder="1" applyAlignment="1">
      <alignment horizontal="right" vertical="center" indent="1"/>
    </xf>
    <xf numFmtId="2" fontId="0" fillId="0" borderId="4" xfId="0" applyNumberFormat="1" applyBorder="1" applyAlignment="1">
      <alignment horizontal="right" vertical="center" indent="1"/>
    </xf>
    <xf numFmtId="0" fontId="2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6" fillId="3" borderId="7" xfId="0" applyNumberFormat="1" applyFont="1" applyFill="1" applyBorder="1" applyAlignment="1" applyProtection="1">
      <alignment horizontal="center" vertical="center"/>
      <protection locked="0"/>
    </xf>
    <xf numFmtId="0" fontId="6" fillId="3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6" fillId="0" borderId="0" xfId="0" applyFont="1" applyAlignment="1">
      <alignment horizontal="right" vertical="center"/>
    </xf>
    <xf numFmtId="0" fontId="7" fillId="2" borderId="6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5" borderId="7" xfId="0" applyNumberFormat="1" applyFont="1" applyFill="1" applyBorder="1" applyAlignment="1" applyProtection="1">
      <alignment horizontal="center" vertical="center"/>
      <protection locked="0"/>
    </xf>
    <xf numFmtId="0" fontId="6" fillId="5" borderId="7" xfId="0" applyNumberFormat="1" applyFont="1" applyFill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/>
    </xf>
    <xf numFmtId="1" fontId="5" fillId="3" borderId="10" xfId="0" applyNumberFormat="1" applyFont="1" applyFill="1" applyBorder="1" applyAlignment="1" applyProtection="1">
      <alignment horizontal="right" vertical="center" indent="2"/>
      <protection locked="0"/>
    </xf>
    <xf numFmtId="1" fontId="5" fillId="3" borderId="11" xfId="0" applyNumberFormat="1" applyFont="1" applyFill="1" applyBorder="1" applyAlignment="1" applyProtection="1">
      <alignment horizontal="right" vertical="center" indent="2"/>
      <protection locked="0"/>
    </xf>
    <xf numFmtId="1" fontId="0" fillId="0" borderId="12" xfId="0" quotePrefix="1" applyNumberFormat="1" applyBorder="1" applyAlignment="1">
      <alignment horizontal="right" vertical="center" indent="1"/>
    </xf>
    <xf numFmtId="1" fontId="0" fillId="0" borderId="13" xfId="0" quotePrefix="1" applyNumberFormat="1" applyBorder="1" applyAlignment="1">
      <alignment horizontal="right" vertical="center" indent="1"/>
    </xf>
    <xf numFmtId="2" fontId="0" fillId="0" borderId="13" xfId="0" applyNumberFormat="1" applyBorder="1" applyAlignment="1">
      <alignment horizontal="right" vertical="center" indent="1"/>
    </xf>
    <xf numFmtId="2" fontId="0" fillId="0" borderId="14" xfId="0" applyNumberFormat="1" applyBorder="1" applyAlignment="1">
      <alignment horizontal="right" vertical="center" inden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" fontId="5" fillId="6" borderId="10" xfId="0" applyNumberFormat="1" applyFont="1" applyFill="1" applyBorder="1" applyAlignment="1" applyProtection="1">
      <alignment horizontal="right" vertical="center" indent="2"/>
      <protection locked="0"/>
    </xf>
    <xf numFmtId="1" fontId="5" fillId="6" borderId="11" xfId="0" applyNumberFormat="1" applyFont="1" applyFill="1" applyBorder="1" applyAlignment="1" applyProtection="1">
      <alignment horizontal="right" vertical="center" indent="2"/>
      <protection locked="0"/>
    </xf>
    <xf numFmtId="49" fontId="6" fillId="6" borderId="7" xfId="0" applyNumberFormat="1" applyFont="1" applyFill="1" applyBorder="1" applyAlignment="1" applyProtection="1">
      <alignment horizontal="right" vertical="center" indent="2"/>
      <protection locked="0"/>
    </xf>
    <xf numFmtId="0" fontId="6" fillId="6" borderId="7" xfId="0" applyNumberFormat="1" applyFont="1" applyFill="1" applyBorder="1" applyAlignment="1" applyProtection="1">
      <alignment horizontal="right" vertical="center" indent="2"/>
      <protection locked="0"/>
    </xf>
    <xf numFmtId="0" fontId="6" fillId="6" borderId="9" xfId="0" applyNumberFormat="1" applyFont="1" applyFill="1" applyBorder="1" applyAlignment="1" applyProtection="1">
      <alignment horizontal="right" vertical="center" indent="2"/>
      <protection locked="0"/>
    </xf>
    <xf numFmtId="1" fontId="5" fillId="6" borderId="15" xfId="0" applyNumberFormat="1" applyFont="1" applyFill="1" applyBorder="1" applyAlignment="1" applyProtection="1">
      <alignment horizontal="right" vertical="center" indent="2"/>
      <protection locked="0"/>
    </xf>
    <xf numFmtId="1" fontId="5" fillId="6" borderId="16" xfId="0" applyNumberFormat="1" applyFont="1" applyFill="1" applyBorder="1" applyAlignment="1" applyProtection="1">
      <alignment horizontal="right" vertical="center" indent="2"/>
      <protection locked="0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 wrapText="1"/>
    </xf>
    <xf numFmtId="1" fontId="5" fillId="4" borderId="11" xfId="0" applyNumberFormat="1" applyFont="1" applyFill="1" applyBorder="1" applyAlignment="1" applyProtection="1">
      <alignment horizontal="right" vertical="center" indent="2"/>
      <protection locked="0"/>
    </xf>
    <xf numFmtId="1" fontId="5" fillId="5" borderId="10" xfId="0" applyNumberFormat="1" applyFont="1" applyFill="1" applyBorder="1" applyAlignment="1" applyProtection="1">
      <alignment horizontal="right" vertical="center" indent="2"/>
      <protection locked="0"/>
    </xf>
    <xf numFmtId="1" fontId="5" fillId="5" borderId="11" xfId="0" applyNumberFormat="1" applyFont="1" applyFill="1" applyBorder="1" applyAlignment="1" applyProtection="1">
      <alignment horizontal="right" vertical="center" indent="2"/>
      <protection locked="0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164" fontId="3" fillId="0" borderId="0" xfId="2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 wrapText="1"/>
    </xf>
    <xf numFmtId="20" fontId="3" fillId="0" borderId="0" xfId="0" applyNumberFormat="1" applyFont="1" applyBorder="1" applyAlignment="1">
      <alignment vertical="center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" fontId="3" fillId="7" borderId="21" xfId="0" applyNumberFormat="1" applyFont="1" applyFill="1" applyBorder="1" applyAlignment="1">
      <alignment horizontal="center" vertical="center"/>
    </xf>
    <xf numFmtId="0" fontId="3" fillId="0" borderId="22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Border="1" applyAlignment="1" applyProtection="1">
      <alignment horizontal="center"/>
      <protection locked="0"/>
    </xf>
    <xf numFmtId="0" fontId="28" fillId="0" borderId="0" xfId="1" applyFont="1" applyAlignment="1" applyProtection="1">
      <alignment vertical="center"/>
    </xf>
    <xf numFmtId="20" fontId="3" fillId="0" borderId="25" xfId="0" applyNumberFormat="1" applyFont="1" applyBorder="1" applyAlignment="1">
      <alignment horizontal="center" vertical="center"/>
    </xf>
    <xf numFmtId="20" fontId="3" fillId="0" borderId="26" xfId="0" applyNumberFormat="1" applyFont="1" applyBorder="1" applyAlignment="1">
      <alignment horizontal="center" vertical="center"/>
    </xf>
    <xf numFmtId="20" fontId="3" fillId="0" borderId="27" xfId="0" applyNumberFormat="1" applyFont="1" applyBorder="1" applyAlignment="1">
      <alignment horizontal="center" vertical="center"/>
    </xf>
    <xf numFmtId="0" fontId="3" fillId="0" borderId="19" xfId="0" applyFont="1" applyBorder="1" applyAlignment="1" applyProtection="1">
      <alignment horizontal="center"/>
      <protection locked="0"/>
    </xf>
    <xf numFmtId="1" fontId="28" fillId="0" borderId="0" xfId="0" applyNumberFormat="1" applyFont="1" applyBorder="1" applyAlignment="1">
      <alignment horizontal="center" vertical="center" wrapText="1"/>
    </xf>
    <xf numFmtId="0" fontId="28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>
      <alignment vertical="center"/>
    </xf>
    <xf numFmtId="0" fontId="2" fillId="0" borderId="0" xfId="0" applyFont="1" applyBorder="1" applyAlignment="1" applyProtection="1">
      <alignment horizont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1" fontId="3" fillId="0" borderId="29" xfId="0" applyNumberFormat="1" applyFont="1" applyFill="1" applyBorder="1" applyAlignment="1">
      <alignment horizontal="center" vertical="center"/>
    </xf>
    <xf numFmtId="1" fontId="3" fillId="0" borderId="30" xfId="0" applyNumberFormat="1" applyFont="1" applyFill="1" applyBorder="1" applyAlignment="1">
      <alignment horizontal="center" vertical="center"/>
    </xf>
    <xf numFmtId="0" fontId="3" fillId="0" borderId="30" xfId="0" applyFont="1" applyBorder="1" applyAlignment="1" applyProtection="1">
      <alignment horizontal="center"/>
      <protection locked="0"/>
    </xf>
    <xf numFmtId="0" fontId="3" fillId="0" borderId="31" xfId="0" applyFont="1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  <protection locked="0"/>
    </xf>
    <xf numFmtId="1" fontId="3" fillId="0" borderId="31" xfId="0" applyNumberFormat="1" applyFon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1" fillId="0" borderId="24" xfId="0" applyFont="1" applyBorder="1" applyAlignment="1">
      <alignment horizontal="left" indent="1"/>
    </xf>
    <xf numFmtId="0" fontId="11" fillId="0" borderId="22" xfId="0" applyFont="1" applyBorder="1" applyAlignment="1">
      <alignment horizontal="left" indent="1"/>
    </xf>
    <xf numFmtId="0" fontId="3" fillId="0" borderId="22" xfId="0" applyFont="1" applyBorder="1" applyAlignment="1">
      <alignment horizontal="center"/>
    </xf>
    <xf numFmtId="2" fontId="3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0" fillId="0" borderId="0" xfId="1" applyFont="1" applyAlignment="1" applyProtection="1">
      <alignment vertical="center"/>
    </xf>
    <xf numFmtId="0" fontId="33" fillId="0" borderId="0" xfId="0" applyFont="1" applyAlignment="1">
      <alignment vertical="center"/>
    </xf>
    <xf numFmtId="0" fontId="28" fillId="0" borderId="0" xfId="0" applyFont="1" applyBorder="1"/>
    <xf numFmtId="0" fontId="27" fillId="0" borderId="0" xfId="0" applyFont="1" applyBorder="1"/>
    <xf numFmtId="0" fontId="3" fillId="0" borderId="26" xfId="0" applyFont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center"/>
      <protection locked="0"/>
    </xf>
    <xf numFmtId="0" fontId="34" fillId="0" borderId="0" xfId="0" applyFont="1" applyAlignment="1">
      <alignment vertical="center"/>
    </xf>
    <xf numFmtId="0" fontId="11" fillId="0" borderId="35" xfId="0" applyFont="1" applyBorder="1" applyAlignment="1">
      <alignment horizontal="left" indent="1"/>
    </xf>
    <xf numFmtId="0" fontId="11" fillId="0" borderId="18" xfId="0" applyFont="1" applyBorder="1" applyAlignment="1">
      <alignment horizontal="left" indent="1"/>
    </xf>
    <xf numFmtId="0" fontId="11" fillId="0" borderId="20" xfId="0" applyFont="1" applyBorder="1" applyAlignment="1">
      <alignment horizontal="left" indent="1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36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20" fontId="3" fillId="0" borderId="37" xfId="0" applyNumberFormat="1" applyFont="1" applyBorder="1" applyAlignment="1">
      <alignment horizontal="center" vertical="center"/>
    </xf>
    <xf numFmtId="20" fontId="3" fillId="0" borderId="38" xfId="0" applyNumberFormat="1" applyFont="1" applyBorder="1" applyAlignment="1">
      <alignment horizontal="center" vertical="center"/>
    </xf>
    <xf numFmtId="20" fontId="3" fillId="0" borderId="39" xfId="0" applyNumberFormat="1" applyFont="1" applyBorder="1" applyAlignment="1">
      <alignment horizontal="center" vertical="center"/>
    </xf>
    <xf numFmtId="1" fontId="3" fillId="0" borderId="26" xfId="0" applyNumberFormat="1" applyFont="1" applyFill="1" applyBorder="1" applyAlignment="1">
      <alignment horizontal="center" vertical="center"/>
    </xf>
    <xf numFmtId="1" fontId="3" fillId="0" borderId="27" xfId="0" applyNumberFormat="1" applyFont="1" applyFill="1" applyBorder="1" applyAlignment="1">
      <alignment horizontal="center" vertical="center"/>
    </xf>
    <xf numFmtId="1" fontId="3" fillId="7" borderId="17" xfId="0" applyNumberFormat="1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horizontal="left"/>
      <protection locked="0"/>
    </xf>
    <xf numFmtId="1" fontId="2" fillId="0" borderId="0" xfId="0" applyNumberFormat="1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/>
    </xf>
    <xf numFmtId="1" fontId="5" fillId="4" borderId="40" xfId="0" applyNumberFormat="1" applyFont="1" applyFill="1" applyBorder="1" applyAlignment="1" applyProtection="1">
      <alignment horizontal="right" vertical="center" indent="2"/>
      <protection locked="0"/>
    </xf>
    <xf numFmtId="0" fontId="38" fillId="0" borderId="0" xfId="0" applyFont="1" applyAlignment="1">
      <alignment vertical="center"/>
    </xf>
    <xf numFmtId="1" fontId="5" fillId="4" borderId="41" xfId="0" applyNumberFormat="1" applyFont="1" applyFill="1" applyBorder="1" applyAlignment="1" applyProtection="1">
      <alignment horizontal="right" vertical="center" indent="2"/>
      <protection locked="0"/>
    </xf>
    <xf numFmtId="1" fontId="5" fillId="4" borderId="42" xfId="0" applyNumberFormat="1" applyFont="1" applyFill="1" applyBorder="1" applyAlignment="1" applyProtection="1">
      <alignment horizontal="right" vertical="center" indent="2"/>
      <protection locked="0"/>
    </xf>
    <xf numFmtId="49" fontId="6" fillId="4" borderId="43" xfId="0" applyNumberFormat="1" applyFont="1" applyFill="1" applyBorder="1" applyAlignment="1" applyProtection="1">
      <alignment horizontal="center" vertical="center"/>
      <protection locked="0"/>
    </xf>
    <xf numFmtId="0" fontId="6" fillId="4" borderId="43" xfId="0" applyNumberFormat="1" applyFont="1" applyFill="1" applyBorder="1" applyAlignment="1" applyProtection="1">
      <alignment horizontal="center" vertical="center"/>
      <protection locked="0"/>
    </xf>
    <xf numFmtId="0" fontId="6" fillId="4" borderId="44" xfId="0" applyNumberFormat="1" applyFont="1" applyFill="1" applyBorder="1" applyAlignment="1" applyProtection="1">
      <alignment horizontal="center" vertical="center"/>
      <protection locked="0"/>
    </xf>
    <xf numFmtId="0" fontId="11" fillId="0" borderId="18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11" fillId="0" borderId="35" xfId="0" applyFont="1" applyBorder="1" applyAlignment="1">
      <alignment horizontal="left"/>
    </xf>
    <xf numFmtId="1" fontId="3" fillId="0" borderId="25" xfId="0" applyNumberFormat="1" applyFont="1" applyFill="1" applyBorder="1" applyAlignment="1">
      <alignment horizontal="center" vertical="center"/>
    </xf>
    <xf numFmtId="0" fontId="3" fillId="0" borderId="6" xfId="0" applyFont="1" applyBorder="1" applyAlignment="1" applyProtection="1">
      <alignment horizontal="center"/>
      <protection locked="0"/>
    </xf>
    <xf numFmtId="1" fontId="3" fillId="7" borderId="45" xfId="0" applyNumberFormat="1" applyFont="1" applyFill="1" applyBorder="1" applyAlignment="1">
      <alignment horizontal="center" vertical="center"/>
    </xf>
    <xf numFmtId="1" fontId="3" fillId="7" borderId="46" xfId="0" applyNumberFormat="1" applyFont="1" applyFill="1" applyBorder="1" applyAlignment="1">
      <alignment horizontal="center" vertical="center"/>
    </xf>
    <xf numFmtId="1" fontId="3" fillId="7" borderId="5" xfId="0" applyNumberFormat="1" applyFont="1" applyFill="1" applyBorder="1" applyAlignment="1">
      <alignment horizontal="center" vertical="center"/>
    </xf>
    <xf numFmtId="0" fontId="3" fillId="0" borderId="47" xfId="0" applyFont="1" applyBorder="1" applyAlignment="1" applyProtection="1">
      <alignment horizontal="center" vertical="center"/>
      <protection locked="0"/>
    </xf>
    <xf numFmtId="0" fontId="28" fillId="0" borderId="0" xfId="1" applyFont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</xf>
    <xf numFmtId="0" fontId="27" fillId="0" borderId="0" xfId="0" applyFont="1" applyFill="1" applyAlignment="1" applyProtection="1">
      <alignment vertical="center"/>
    </xf>
    <xf numFmtId="0" fontId="12" fillId="0" borderId="0" xfId="0" applyFont="1" applyFill="1" applyAlignment="1" applyProtection="1">
      <alignment vertical="center"/>
    </xf>
    <xf numFmtId="0" fontId="0" fillId="0" borderId="0" xfId="0" applyFill="1" applyProtection="1"/>
    <xf numFmtId="0" fontId="7" fillId="0" borderId="0" xfId="0" applyFont="1" applyFill="1" applyBorder="1" applyAlignment="1" applyProtection="1">
      <alignment horizontal="center" vertical="center" wrapText="1"/>
    </xf>
    <xf numFmtId="1" fontId="5" fillId="0" borderId="0" xfId="0" applyNumberFormat="1" applyFont="1" applyFill="1" applyBorder="1" applyAlignment="1" applyProtection="1">
      <alignment horizontal="right" vertical="center" indent="2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3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34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37" fillId="0" borderId="0" xfId="0" applyFont="1" applyBorder="1" applyAlignment="1" applyProtection="1">
      <alignment horizontal="center"/>
      <protection locked="0"/>
    </xf>
    <xf numFmtId="0" fontId="11" fillId="0" borderId="26" xfId="0" applyNumberFormat="1" applyFont="1" applyBorder="1" applyAlignment="1">
      <alignment horizontal="center" vertical="center" wrapText="1"/>
    </xf>
    <xf numFmtId="0" fontId="11" fillId="0" borderId="17" xfId="0" applyNumberFormat="1" applyFont="1" applyBorder="1" applyAlignment="1">
      <alignment horizontal="center" vertical="center" wrapText="1"/>
    </xf>
    <xf numFmtId="0" fontId="11" fillId="0" borderId="27" xfId="0" applyNumberFormat="1" applyFont="1" applyBorder="1" applyAlignment="1">
      <alignment horizontal="center" vertical="center" wrapText="1"/>
    </xf>
    <xf numFmtId="0" fontId="11" fillId="0" borderId="19" xfId="0" applyNumberFormat="1" applyFont="1" applyBorder="1" applyAlignment="1">
      <alignment horizontal="center" vertical="center" wrapText="1"/>
    </xf>
    <xf numFmtId="0" fontId="11" fillId="0" borderId="35" xfId="0" applyNumberFormat="1" applyFont="1" applyBorder="1" applyAlignment="1">
      <alignment horizontal="center" vertical="center" wrapText="1"/>
    </xf>
    <xf numFmtId="0" fontId="11" fillId="0" borderId="18" xfId="0" applyNumberFormat="1" applyFont="1" applyBorder="1" applyAlignment="1">
      <alignment horizontal="center" vertical="center" wrapText="1"/>
    </xf>
    <xf numFmtId="0" fontId="11" fillId="0" borderId="12" xfId="0" applyNumberFormat="1" applyFont="1" applyBorder="1" applyAlignment="1">
      <alignment horizontal="center" vertical="center" wrapText="1"/>
    </xf>
    <xf numFmtId="0" fontId="11" fillId="0" borderId="3" xfId="0" applyNumberFormat="1" applyFont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Porcentual" xfId="2" builtinId="5"/>
  </cellStyles>
  <dxfs count="24"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usernames" Target="revisions/userNam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84"/>
        </c:manualLayout>
      </c:layout>
      <c:lineChart>
        <c:grouping val="standard"/>
        <c:ser>
          <c:idx val="0"/>
          <c:order val="0"/>
          <c:tx>
            <c:strRef>
              <c:f>'A Mayor'!$P$8:$R$8</c:f>
              <c:strCache>
                <c:ptCount val="1"/>
                <c:pt idx="0">
                  <c:v>Aristobulo Izturiz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Miranda!$M$10:$M$29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'A Mayor'!$R$10:$R$29</c:f>
              <c:numCache>
                <c:formatCode>0.00</c:formatCode>
                <c:ptCount val="20"/>
                <c:pt idx="0">
                  <c:v>0.33404255319148934</c:v>
                </c:pt>
                <c:pt idx="1">
                  <c:v>0.38628472222222221</c:v>
                </c:pt>
                <c:pt idx="2">
                  <c:v>0.39315403422982886</c:v>
                </c:pt>
                <c:pt idx="3">
                  <c:v>0.40213143872113677</c:v>
                </c:pt>
                <c:pt idx="4">
                  <c:v>0.42019812878370943</c:v>
                </c:pt>
                <c:pt idx="5">
                  <c:v>0.43077256944444442</c:v>
                </c:pt>
                <c:pt idx="6">
                  <c:v>0.4354182087342709</c:v>
                </c:pt>
                <c:pt idx="7">
                  <c:v>0.43671766342141866</c:v>
                </c:pt>
                <c:pt idx="8">
                  <c:v>0.44344251425540382</c:v>
                </c:pt>
                <c:pt idx="9">
                  <c:v>0.44170192759755522</c:v>
                </c:pt>
                <c:pt idx="10">
                  <c:v>0.44244794419194589</c:v>
                </c:pt>
                <c:pt idx="11">
                  <c:v>0.44273716358083604</c:v>
                </c:pt>
                <c:pt idx="12">
                  <c:v>0.4453125</c:v>
                </c:pt>
                <c:pt idx="13">
                  <c:v>0.44812157028281974</c:v>
                </c:pt>
                <c:pt idx="14">
                  <c:v>0.4465108624094799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 Mayor'!$S$8:$U$8</c:f>
              <c:strCache>
                <c:ptCount val="1"/>
                <c:pt idx="0">
                  <c:v>Antonio Ledezma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Miranda!$M$10:$M$29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'A Mayor'!$U$10:$U$29</c:f>
              <c:numCache>
                <c:formatCode>0.00</c:formatCode>
                <c:ptCount val="20"/>
                <c:pt idx="0">
                  <c:v>0.59148936170212763</c:v>
                </c:pt>
                <c:pt idx="1">
                  <c:v>0.546875</c:v>
                </c:pt>
                <c:pt idx="2">
                  <c:v>0.55207823960880198</c:v>
                </c:pt>
                <c:pt idx="3">
                  <c:v>0.54991119005328593</c:v>
                </c:pt>
                <c:pt idx="4">
                  <c:v>0.53384700055035772</c:v>
                </c:pt>
                <c:pt idx="5">
                  <c:v>0.52365451388888884</c:v>
                </c:pt>
                <c:pt idx="6">
                  <c:v>0.52017024426350855</c:v>
                </c:pt>
                <c:pt idx="7">
                  <c:v>0.51321279554937416</c:v>
                </c:pt>
                <c:pt idx="8">
                  <c:v>0.5059010741280997</c:v>
                </c:pt>
                <c:pt idx="9">
                  <c:v>0.50822755054066759</c:v>
                </c:pt>
                <c:pt idx="10">
                  <c:v>0.50882570552795692</c:v>
                </c:pt>
                <c:pt idx="11">
                  <c:v>0.50515365527772471</c:v>
                </c:pt>
                <c:pt idx="12">
                  <c:v>0.50426136363636365</c:v>
                </c:pt>
                <c:pt idx="13">
                  <c:v>0.50063317855635292</c:v>
                </c:pt>
                <c:pt idx="14">
                  <c:v>0.50255102040816324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'A Mayor'!$V$8:$X$8</c:f>
              <c:strCache>
                <c:ptCount val="1"/>
                <c:pt idx="0">
                  <c:v>Augusto Uribe</c:v>
                </c:pt>
              </c:strCache>
            </c:strRef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Miranda!$M$10:$M$29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'A Mayor'!$X$10:$X$29</c:f>
              <c:numCache>
                <c:formatCode>0.00</c:formatCode>
                <c:ptCount val="20"/>
                <c:pt idx="0">
                  <c:v>1.9148936170212766E-2</c:v>
                </c:pt>
                <c:pt idx="1">
                  <c:v>3.4722222222222224E-2</c:v>
                </c:pt>
                <c:pt idx="2">
                  <c:v>2.591687041564792E-2</c:v>
                </c:pt>
                <c:pt idx="3">
                  <c:v>2.16696269982238E-2</c:v>
                </c:pt>
                <c:pt idx="4">
                  <c:v>2.0088057237204183E-2</c:v>
                </c:pt>
                <c:pt idx="5">
                  <c:v>1.7578125E-2</c:v>
                </c:pt>
                <c:pt idx="6">
                  <c:v>1.8504811250925242E-2</c:v>
                </c:pt>
                <c:pt idx="7">
                  <c:v>2.2098593725853811E-2</c:v>
                </c:pt>
                <c:pt idx="8">
                  <c:v>2.1880387216549529E-2</c:v>
                </c:pt>
                <c:pt idx="9">
                  <c:v>2.1274094969440528E-2</c:v>
                </c:pt>
                <c:pt idx="10">
                  <c:v>1.9871049571926858E-2</c:v>
                </c:pt>
                <c:pt idx="11">
                  <c:v>2.0900935292994846E-2</c:v>
                </c:pt>
                <c:pt idx="12">
                  <c:v>1.9975142045454544E-2</c:v>
                </c:pt>
                <c:pt idx="13">
                  <c:v>2.0852680455888561E-2</c:v>
                </c:pt>
                <c:pt idx="14">
                  <c:v>2.0572745227123108E-2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'A Mayor'!$Y$8:$AA$8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val>
            <c:numRef>
              <c:f>'A Mayor'!$AA$10:$AA$29</c:f>
              <c:numCache>
                <c:formatCode>0.00</c:formatCode>
                <c:ptCount val="20"/>
                <c:pt idx="0">
                  <c:v>5.5319148936170209E-2</c:v>
                </c:pt>
                <c:pt idx="1">
                  <c:v>3.2118055555555552E-2</c:v>
                </c:pt>
                <c:pt idx="2">
                  <c:v>2.8850855745721271E-2</c:v>
                </c:pt>
                <c:pt idx="3">
                  <c:v>2.6287744227353464E-2</c:v>
                </c:pt>
                <c:pt idx="4">
                  <c:v>2.5866813428728673E-2</c:v>
                </c:pt>
                <c:pt idx="5">
                  <c:v>2.7994791666666668E-2</c:v>
                </c:pt>
                <c:pt idx="6">
                  <c:v>2.5906735751295335E-2</c:v>
                </c:pt>
                <c:pt idx="7">
                  <c:v>2.7970947303353422E-2</c:v>
                </c:pt>
                <c:pt idx="8">
                  <c:v>2.8776024399946958E-2</c:v>
                </c:pt>
                <c:pt idx="9">
                  <c:v>2.8796426892336625E-2</c:v>
                </c:pt>
                <c:pt idx="10">
                  <c:v>2.8855300708170384E-2</c:v>
                </c:pt>
                <c:pt idx="11">
                  <c:v>3.1208245848444359E-2</c:v>
                </c:pt>
                <c:pt idx="12">
                  <c:v>3.045099431818182E-2</c:v>
                </c:pt>
                <c:pt idx="13">
                  <c:v>3.0392570704938792E-2</c:v>
                </c:pt>
                <c:pt idx="14">
                  <c:v>3.0365371955233707E-2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</c:ser>
        <c:marker val="1"/>
        <c:axId val="91841280"/>
        <c:axId val="91843200"/>
      </c:lineChart>
      <c:catAx>
        <c:axId val="91841280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1843200"/>
        <c:crosses val="autoZero"/>
        <c:auto val="1"/>
        <c:lblAlgn val="ctr"/>
        <c:lblOffset val="100"/>
      </c:catAx>
      <c:valAx>
        <c:axId val="91843200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18412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3" r="0.750000000000003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Pt>
            <c:idx val="3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5381750465549432E-3"/>
                  <c:y val="-0.22631800092233623"/>
                </c:manualLayout>
              </c:layout>
              <c:showVal val="1"/>
            </c:dLbl>
            <c:dLbl>
              <c:idx val="1"/>
              <c:layout>
                <c:manualLayout>
                  <c:x val="2.9629629629629704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28"/>
                </c:manualLayout>
              </c:layout>
              <c:showVal val="1"/>
            </c:dLbl>
            <c:dLbl>
              <c:idx val="3"/>
              <c:layout>
                <c:manualLayout>
                  <c:x val="1.4897579143389234E-2"/>
                  <c:y val="-0.21717047841904788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'A Mayor'!$P$2:$P$5</c:f>
              <c:strCache>
                <c:ptCount val="4"/>
                <c:pt idx="0">
                  <c:v>Aristobulo Izturiz</c:v>
                </c:pt>
                <c:pt idx="1">
                  <c:v>Antonio Ledezma</c:v>
                </c:pt>
                <c:pt idx="2">
                  <c:v>Augusto Uribe</c:v>
                </c:pt>
                <c:pt idx="3">
                  <c:v>Otro</c:v>
                </c:pt>
              </c:strCache>
            </c:strRef>
          </c:cat>
          <c:val>
            <c:numRef>
              <c:f>'A Mayor'!$Q$2:$Q$5</c:f>
              <c:numCache>
                <c:formatCode>0.0%</c:formatCode>
                <c:ptCount val="4"/>
                <c:pt idx="0">
                  <c:v>0.4465108624094799</c:v>
                </c:pt>
                <c:pt idx="1">
                  <c:v>0.50255102040816324</c:v>
                </c:pt>
                <c:pt idx="2">
                  <c:v>2.0572745227123108E-2</c:v>
                </c:pt>
                <c:pt idx="3">
                  <c:v>3.0365371955233707E-2</c:v>
                </c:pt>
              </c:numCache>
            </c:numRef>
          </c:val>
        </c:ser>
        <c:dLbls>
          <c:showVal val="1"/>
        </c:dLbls>
        <c:gapWidth val="75"/>
        <c:shape val="box"/>
        <c:axId val="92219264"/>
        <c:axId val="92220800"/>
        <c:axId val="0"/>
      </c:bar3DChart>
      <c:catAx>
        <c:axId val="922192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2220800"/>
        <c:crosses val="autoZero"/>
        <c:auto val="1"/>
        <c:lblAlgn val="ctr"/>
        <c:lblOffset val="100"/>
      </c:catAx>
      <c:valAx>
        <c:axId val="92220800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2219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67"/>
        </c:manualLayout>
      </c:layout>
      <c:lineChart>
        <c:grouping val="standard"/>
        <c:ser>
          <c:idx val="0"/>
          <c:order val="0"/>
          <c:tx>
            <c:strRef>
              <c:f>Miranda!$E$8</c:f>
              <c:strCache>
                <c:ptCount val="1"/>
                <c:pt idx="0">
                  <c:v>Diosdado Cabello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Miranda!$M$10:$M$29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Miranda!$Q$10:$Q$29</c:f>
              <c:numCache>
                <c:formatCode>0.00</c:formatCode>
                <c:ptCount val="20"/>
                <c:pt idx="0">
                  <c:v>0.53395472703062585</c:v>
                </c:pt>
                <c:pt idx="1">
                  <c:v>0.51387948544346651</c:v>
                </c:pt>
                <c:pt idx="2">
                  <c:v>0.51740855002203612</c:v>
                </c:pt>
                <c:pt idx="3">
                  <c:v>0.51653439153439151</c:v>
                </c:pt>
                <c:pt idx="4">
                  <c:v>0.52382192137464201</c:v>
                </c:pt>
                <c:pt idx="5">
                  <c:v>0.52296894938324112</c:v>
                </c:pt>
                <c:pt idx="6">
                  <c:v>0.52384393063583812</c:v>
                </c:pt>
                <c:pt idx="7">
                  <c:v>0.53356016084132385</c:v>
                </c:pt>
                <c:pt idx="8">
                  <c:v>0.5291950886766712</c:v>
                </c:pt>
                <c:pt idx="9">
                  <c:v>0.53034789045151742</c:v>
                </c:pt>
                <c:pt idx="10">
                  <c:v>0.53080995831925204</c:v>
                </c:pt>
                <c:pt idx="11">
                  <c:v>0.53261096061679514</c:v>
                </c:pt>
                <c:pt idx="12">
                  <c:v>0.53600933035280396</c:v>
                </c:pt>
                <c:pt idx="13">
                  <c:v>0.53390382290019534</c:v>
                </c:pt>
                <c:pt idx="14">
                  <c:v>0.52963268297151234</c:v>
                </c:pt>
                <c:pt idx="15">
                  <c:v>0.53025041125936756</c:v>
                </c:pt>
                <c:pt idx="16">
                  <c:v>0.53040941004832676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Miranda!$F$8</c:f>
              <c:strCache>
                <c:ptCount val="1"/>
                <c:pt idx="0">
                  <c:v>Henrique Capriles Radonski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Miranda!$M$10:$M$29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Miranda!$T$10:$T$29</c:f>
              <c:numCache>
                <c:formatCode>0.00</c:formatCode>
                <c:ptCount val="20"/>
                <c:pt idx="0">
                  <c:v>0.4207723035952064</c:v>
                </c:pt>
                <c:pt idx="1">
                  <c:v>0.44346648612051454</c:v>
                </c:pt>
                <c:pt idx="2">
                  <c:v>0.4464521815777876</c:v>
                </c:pt>
                <c:pt idx="3">
                  <c:v>0.44675925925925924</c:v>
                </c:pt>
                <c:pt idx="4">
                  <c:v>0.44077063264774796</c:v>
                </c:pt>
                <c:pt idx="5">
                  <c:v>0.44066354742662694</c:v>
                </c:pt>
                <c:pt idx="6">
                  <c:v>0.4375</c:v>
                </c:pt>
                <c:pt idx="7">
                  <c:v>0.42622950819672129</c:v>
                </c:pt>
                <c:pt idx="8">
                  <c:v>0.42960436562073667</c:v>
                </c:pt>
                <c:pt idx="9">
                  <c:v>0.42918825561312607</c:v>
                </c:pt>
                <c:pt idx="10">
                  <c:v>0.42953700574518416</c:v>
                </c:pt>
                <c:pt idx="11">
                  <c:v>0.4282142112940196</c:v>
                </c:pt>
                <c:pt idx="12">
                  <c:v>0.42521139080571485</c:v>
                </c:pt>
                <c:pt idx="13">
                  <c:v>0.42730908752674168</c:v>
                </c:pt>
                <c:pt idx="14">
                  <c:v>0.43207840981954748</c:v>
                </c:pt>
                <c:pt idx="15">
                  <c:v>0.43154816304149152</c:v>
                </c:pt>
                <c:pt idx="16">
                  <c:v>0.43147624692258596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Miranda!$G$8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Miranda!$M$10:$M$29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Miranda!$W$10:$W$29</c:f>
              <c:numCache>
                <c:formatCode>0.00</c:formatCode>
                <c:ptCount val="20"/>
                <c:pt idx="0">
                  <c:v>4.5272969374167776E-2</c:v>
                </c:pt>
                <c:pt idx="1">
                  <c:v>4.2654028436018961E-2</c:v>
                </c:pt>
                <c:pt idx="2">
                  <c:v>3.613926840017629E-2</c:v>
                </c:pt>
                <c:pt idx="3">
                  <c:v>3.6706349206349208E-2</c:v>
                </c:pt>
                <c:pt idx="4">
                  <c:v>3.5407445977609996E-2</c:v>
                </c:pt>
                <c:pt idx="5">
                  <c:v>3.6367503190131857E-2</c:v>
                </c:pt>
                <c:pt idx="6">
                  <c:v>3.8656069364161848E-2</c:v>
                </c:pt>
                <c:pt idx="7">
                  <c:v>4.0210330961954838E-2</c:v>
                </c:pt>
                <c:pt idx="8">
                  <c:v>4.1200545702592087E-2</c:v>
                </c:pt>
                <c:pt idx="9">
                  <c:v>4.0463853935356529E-2</c:v>
                </c:pt>
                <c:pt idx="10">
                  <c:v>3.9653035935563817E-2</c:v>
                </c:pt>
                <c:pt idx="11">
                  <c:v>3.9174828089185244E-2</c:v>
                </c:pt>
                <c:pt idx="12">
                  <c:v>3.8779278841481191E-2</c:v>
                </c:pt>
                <c:pt idx="13">
                  <c:v>3.8787089573062969E-2</c:v>
                </c:pt>
                <c:pt idx="14">
                  <c:v>3.8288907208940182E-2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92603904"/>
        <c:axId val="92605824"/>
      </c:lineChart>
      <c:catAx>
        <c:axId val="92603904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2605824"/>
        <c:crosses val="autoZero"/>
        <c:auto val="1"/>
        <c:lblAlgn val="ctr"/>
        <c:lblOffset val="100"/>
      </c:catAx>
      <c:valAx>
        <c:axId val="92605824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26039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78" r="0.75000000000000278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52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0986964618249571E-2"/>
                  <c:y val="-0.22832980972515857"/>
                </c:manualLayout>
              </c:layout>
              <c:showVal val="1"/>
            </c:dLbl>
            <c:dLbl>
              <c:idx val="1"/>
              <c:layout>
                <c:manualLayout>
                  <c:x val="2.9629629629629693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37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4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Miranda!$O$2:$O$4</c:f>
              <c:strCache>
                <c:ptCount val="3"/>
                <c:pt idx="0">
                  <c:v>Diosdado Cabello</c:v>
                </c:pt>
                <c:pt idx="1">
                  <c:v>Henrique Capriles Radonski</c:v>
                </c:pt>
                <c:pt idx="2">
                  <c:v>Otro</c:v>
                </c:pt>
              </c:strCache>
            </c:strRef>
          </c:cat>
          <c:val>
            <c:numRef>
              <c:f>Miranda!$P$2:$P$4</c:f>
              <c:numCache>
                <c:formatCode>0.0%</c:formatCode>
                <c:ptCount val="3"/>
                <c:pt idx="0">
                  <c:v>0.53040941004832676</c:v>
                </c:pt>
                <c:pt idx="1">
                  <c:v>0.43147624692258596</c:v>
                </c:pt>
                <c:pt idx="2">
                  <c:v>3.8114343029087262E-2</c:v>
                </c:pt>
              </c:numCache>
            </c:numRef>
          </c:val>
        </c:ser>
        <c:dLbls>
          <c:showVal val="1"/>
        </c:dLbls>
        <c:gapWidth val="75"/>
        <c:shape val="box"/>
        <c:axId val="92648960"/>
        <c:axId val="92650496"/>
        <c:axId val="0"/>
      </c:bar3DChart>
      <c:catAx>
        <c:axId val="926489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2650496"/>
        <c:crosses val="autoZero"/>
        <c:auto val="1"/>
        <c:lblAlgn val="ctr"/>
        <c:lblOffset val="100"/>
      </c:catAx>
      <c:valAx>
        <c:axId val="92650496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26489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84"/>
        </c:manualLayout>
      </c:layout>
      <c:lineChart>
        <c:grouping val="standard"/>
        <c:ser>
          <c:idx val="0"/>
          <c:order val="0"/>
          <c:tx>
            <c:strRef>
              <c:f>Vargas!$E$8</c:f>
              <c:strCache>
                <c:ptCount val="1"/>
                <c:pt idx="0">
                  <c:v>Jorge Garcia Carneiro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Vargas!$N$10:$N$29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Vargas!$R$10:$R$29</c:f>
              <c:numCache>
                <c:formatCode>0.00</c:formatCode>
                <c:ptCount val="20"/>
                <c:pt idx="0">
                  <c:v>0.62857142857142856</c:v>
                </c:pt>
                <c:pt idx="1">
                  <c:v>0.73484848484848486</c:v>
                </c:pt>
                <c:pt idx="2">
                  <c:v>0.77092511013215859</c:v>
                </c:pt>
                <c:pt idx="3">
                  <c:v>0.71142857142857141</c:v>
                </c:pt>
                <c:pt idx="4">
                  <c:v>0.66375545851528384</c:v>
                </c:pt>
                <c:pt idx="5">
                  <c:v>0.65619546247818494</c:v>
                </c:pt>
                <c:pt idx="6">
                  <c:v>0.64580152671755731</c:v>
                </c:pt>
                <c:pt idx="7">
                  <c:v>0.63788300835654599</c:v>
                </c:pt>
                <c:pt idx="8">
                  <c:v>0.65013054830287209</c:v>
                </c:pt>
                <c:pt idx="9">
                  <c:v>0.64844720496894415</c:v>
                </c:pt>
                <c:pt idx="10">
                  <c:v>0.6467065868263473</c:v>
                </c:pt>
                <c:pt idx="11">
                  <c:v>0.64382022471910116</c:v>
                </c:pt>
                <c:pt idx="12">
                  <c:v>0.64341085271317833</c:v>
                </c:pt>
                <c:pt idx="13">
                  <c:v>0.6463547334058759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Vargas!$F$8</c:f>
              <c:strCache>
                <c:ptCount val="1"/>
                <c:pt idx="0">
                  <c:v>Roberto Smith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Vargas!$N$10:$N$29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Vargas!$U$10:$U$29</c:f>
              <c:numCache>
                <c:formatCode>0.00</c:formatCode>
                <c:ptCount val="20"/>
                <c:pt idx="0">
                  <c:v>0.34285714285714286</c:v>
                </c:pt>
                <c:pt idx="1">
                  <c:v>0.24242424242424243</c:v>
                </c:pt>
                <c:pt idx="2">
                  <c:v>0.19383259911894274</c:v>
                </c:pt>
                <c:pt idx="3">
                  <c:v>0.23428571428571429</c:v>
                </c:pt>
                <c:pt idx="4">
                  <c:v>0.27292576419213976</c:v>
                </c:pt>
                <c:pt idx="5">
                  <c:v>0.27225130890052357</c:v>
                </c:pt>
                <c:pt idx="6">
                  <c:v>0.28854961832061071</c:v>
                </c:pt>
                <c:pt idx="7">
                  <c:v>0.29387186629526463</c:v>
                </c:pt>
                <c:pt idx="8">
                  <c:v>0.28198433420365537</c:v>
                </c:pt>
                <c:pt idx="9">
                  <c:v>0.28447204968944101</c:v>
                </c:pt>
                <c:pt idx="10">
                  <c:v>0.28862275449101799</c:v>
                </c:pt>
                <c:pt idx="11">
                  <c:v>0.29101123595505618</c:v>
                </c:pt>
                <c:pt idx="12">
                  <c:v>0.29125138427464009</c:v>
                </c:pt>
                <c:pt idx="13">
                  <c:v>0.28944504896626766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Vargas!$G$8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Vargas!$N$10:$N$29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Vargas!$X$10:$X$29</c:f>
              <c:numCache>
                <c:formatCode>0.00</c:formatCode>
                <c:ptCount val="20"/>
                <c:pt idx="0">
                  <c:v>2.8571428571428571E-2</c:v>
                </c:pt>
                <c:pt idx="1">
                  <c:v>2.2727272727272728E-2</c:v>
                </c:pt>
                <c:pt idx="2">
                  <c:v>3.5242290748898682E-2</c:v>
                </c:pt>
                <c:pt idx="3">
                  <c:v>5.4285714285714284E-2</c:v>
                </c:pt>
                <c:pt idx="4">
                  <c:v>6.3318777292576414E-2</c:v>
                </c:pt>
                <c:pt idx="5">
                  <c:v>7.1553228621291445E-2</c:v>
                </c:pt>
                <c:pt idx="6">
                  <c:v>6.5648854961832065E-2</c:v>
                </c:pt>
                <c:pt idx="7">
                  <c:v>6.8245125348189412E-2</c:v>
                </c:pt>
                <c:pt idx="8">
                  <c:v>6.7885117493472591E-2</c:v>
                </c:pt>
                <c:pt idx="9">
                  <c:v>6.70807453416149E-2</c:v>
                </c:pt>
                <c:pt idx="10">
                  <c:v>#N/A</c:v>
                </c:pt>
                <c:pt idx="11">
                  <c:v>6.5168539325842698E-2</c:v>
                </c:pt>
                <c:pt idx="12">
                  <c:v>6.533776301218161E-2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93004928"/>
        <c:axId val="93006848"/>
      </c:lineChart>
      <c:catAx>
        <c:axId val="93004928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3006848"/>
        <c:crosses val="autoZero"/>
        <c:auto val="1"/>
        <c:lblAlgn val="ctr"/>
        <c:lblOffset val="100"/>
      </c:catAx>
      <c:valAx>
        <c:axId val="93006848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3004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3" r="0.750000000000003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63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8435754189944135E-2"/>
                  <c:y val="-0.22833003168472871"/>
                </c:manualLayout>
              </c:layout>
              <c:showVal val="1"/>
            </c:dLbl>
            <c:dLbl>
              <c:idx val="1"/>
              <c:layout>
                <c:manualLayout>
                  <c:x val="2.9629629629629704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28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2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Vargas!$P$2:$P$4</c:f>
              <c:strCache>
                <c:ptCount val="3"/>
                <c:pt idx="0">
                  <c:v>Jorge Garcia Carneiro</c:v>
                </c:pt>
                <c:pt idx="1">
                  <c:v>Roberto Smith</c:v>
                </c:pt>
                <c:pt idx="2">
                  <c:v>Otro</c:v>
                </c:pt>
              </c:strCache>
            </c:strRef>
          </c:cat>
          <c:val>
            <c:numRef>
              <c:f>Vargas!$Q$2:$Q$4</c:f>
              <c:numCache>
                <c:formatCode>0.00</c:formatCode>
                <c:ptCount val="3"/>
                <c:pt idx="0">
                  <c:v>0.6463547334058759</c:v>
                </c:pt>
                <c:pt idx="1">
                  <c:v>0.28944504896626766</c:v>
                </c:pt>
                <c:pt idx="2">
                  <c:v>6.4200217627856368E-2</c:v>
                </c:pt>
              </c:numCache>
            </c:numRef>
          </c:val>
        </c:ser>
        <c:dLbls>
          <c:showVal val="1"/>
        </c:dLbls>
        <c:gapWidth val="75"/>
        <c:shape val="box"/>
        <c:axId val="93054080"/>
        <c:axId val="93055616"/>
        <c:axId val="0"/>
      </c:bar3DChart>
      <c:catAx>
        <c:axId val="930540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3055616"/>
        <c:crosses val="autoZero"/>
        <c:auto val="1"/>
        <c:lblAlgn val="ctr"/>
        <c:lblOffset val="100"/>
      </c:catAx>
      <c:valAx>
        <c:axId val="93055616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30540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84"/>
        </c:manualLayout>
      </c:layout>
      <c:lineChart>
        <c:grouping val="standard"/>
        <c:ser>
          <c:idx val="0"/>
          <c:order val="0"/>
          <c:tx>
            <c:strRef>
              <c:f>Libertador!$E$8</c:f>
              <c:strCache>
                <c:ptCount val="1"/>
                <c:pt idx="0">
                  <c:v>Jorge Rodriguez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Libertador!$N$10:$N$29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Libertador!$R$10:$R$29</c:f>
              <c:numCache>
                <c:formatCode>0.00</c:formatCode>
                <c:ptCount val="20"/>
                <c:pt idx="0">
                  <c:v>0.41566265060240964</c:v>
                </c:pt>
                <c:pt idx="1">
                  <c:v>0.38057742782152232</c:v>
                </c:pt>
                <c:pt idx="2">
                  <c:v>0.39762219286657857</c:v>
                </c:pt>
                <c:pt idx="3">
                  <c:v>0.41723549488054607</c:v>
                </c:pt>
                <c:pt idx="4">
                  <c:v>0.40397350993377484</c:v>
                </c:pt>
                <c:pt idx="5">
                  <c:v>0.40361732508329368</c:v>
                </c:pt>
                <c:pt idx="6">
                  <c:v>0.40683353198251887</c:v>
                </c:pt>
                <c:pt idx="7">
                  <c:v>0.40804218852999341</c:v>
                </c:pt>
                <c:pt idx="8">
                  <c:v>0.40972419675860106</c:v>
                </c:pt>
                <c:pt idx="9">
                  <c:v>0.40975733063700709</c:v>
                </c:pt>
                <c:pt idx="10">
                  <c:v>0.41767068273092367</c:v>
                </c:pt>
                <c:pt idx="11">
                  <c:v>0.42572062084257206</c:v>
                </c:pt>
                <c:pt idx="12">
                  <c:v>0.43495712461229702</c:v>
                </c:pt>
                <c:pt idx="13">
                  <c:v>0.44309559939301973</c:v>
                </c:pt>
                <c:pt idx="14">
                  <c:v>0.44215011471648641</c:v>
                </c:pt>
                <c:pt idx="15">
                  <c:v>0.44197086266164676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Libertador!$F$8</c:f>
              <c:strCache>
                <c:ptCount val="1"/>
                <c:pt idx="0">
                  <c:v>Stalin Gonzalez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Libertador!$N$10:$N$29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Libertador!$U$10:$U$29</c:f>
              <c:numCache>
                <c:formatCode>0.00</c:formatCode>
                <c:ptCount val="20"/>
                <c:pt idx="0">
                  <c:v>0.46385542168674698</c:v>
                </c:pt>
                <c:pt idx="1">
                  <c:v>0.49081364829396323</c:v>
                </c:pt>
                <c:pt idx="2">
                  <c:v>0.50594451783355354</c:v>
                </c:pt>
                <c:pt idx="3">
                  <c:v>0.49232081911262798</c:v>
                </c:pt>
                <c:pt idx="4">
                  <c:v>0.50571944611679709</c:v>
                </c:pt>
                <c:pt idx="5">
                  <c:v>0.50690147548786291</c:v>
                </c:pt>
                <c:pt idx="6">
                  <c:v>0.50536352800953521</c:v>
                </c:pt>
                <c:pt idx="7">
                  <c:v>0.505932762030323</c:v>
                </c:pt>
                <c:pt idx="8">
                  <c:v>0.5027011657662781</c:v>
                </c:pt>
                <c:pt idx="9">
                  <c:v>0.50176946410515677</c:v>
                </c:pt>
                <c:pt idx="10">
                  <c:v>0.49754573850959394</c:v>
                </c:pt>
                <c:pt idx="11">
                  <c:v>0.48982060068534572</c:v>
                </c:pt>
                <c:pt idx="12">
                  <c:v>0.48312351760627625</c:v>
                </c:pt>
                <c:pt idx="13">
                  <c:v>0.47732254257292195</c:v>
                </c:pt>
                <c:pt idx="14">
                  <c:v>0.47885939036381514</c:v>
                </c:pt>
                <c:pt idx="15">
                  <c:v>0.47912915370764447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Libertador!$G$8</c:f>
              <c:strCache>
                <c:ptCount val="1"/>
                <c:pt idx="0">
                  <c:v>Claudio Fermin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Libertador!$N$10:$N$29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Libertador!$X$10:$X$29</c:f>
              <c:numCache>
                <c:formatCode>0.00</c:formatCode>
                <c:ptCount val="20"/>
                <c:pt idx="0">
                  <c:v>9.6385542168674704E-2</c:v>
                </c:pt>
                <c:pt idx="1">
                  <c:v>9.4488188976377951E-2</c:v>
                </c:pt>
                <c:pt idx="2">
                  <c:v>6.8692206076618231E-2</c:v>
                </c:pt>
                <c:pt idx="3">
                  <c:v>6.3993174061433442E-2</c:v>
                </c:pt>
                <c:pt idx="4">
                  <c:v>5.7796508127633955E-2</c:v>
                </c:pt>
                <c:pt idx="5">
                  <c:v>5.9019514516896715E-2</c:v>
                </c:pt>
                <c:pt idx="6">
                  <c:v>5.7608263806118394E-2</c:v>
                </c:pt>
                <c:pt idx="7">
                  <c:v>5.7350032959789056E-2</c:v>
                </c:pt>
                <c:pt idx="8">
                  <c:v>5.9425646858117714E-2</c:v>
                </c:pt>
                <c:pt idx="9">
                  <c:v>6.2184024266936297E-2</c:v>
                </c:pt>
                <c:pt idx="10">
                  <c:v>6.0017849174475682E-2</c:v>
                </c:pt>
                <c:pt idx="11">
                  <c:v>5.9665390042330173E-2</c:v>
                </c:pt>
                <c:pt idx="12">
                  <c:v>5.7471264367816091E-2</c:v>
                </c:pt>
                <c:pt idx="13">
                  <c:v>5.614567526555387E-2</c:v>
                </c:pt>
                <c:pt idx="14">
                  <c:v>5.6047197640117993E-2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Libertador!$H$8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Libertador!$N$10:$N$29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Libertador!$AA$10:$AA$29</c:f>
              <c:numCache>
                <c:formatCode>0.00</c:formatCode>
                <c:ptCount val="20"/>
                <c:pt idx="0">
                  <c:v>2.4096385542168676E-2</c:v>
                </c:pt>
                <c:pt idx="1">
                  <c:v>3.4120734908136482E-2</c:v>
                </c:pt>
                <c:pt idx="2">
                  <c:v>2.7741083223249668E-2</c:v>
                </c:pt>
                <c:pt idx="3">
                  <c:v>2.6450511945392493E-2</c:v>
                </c:pt>
                <c:pt idx="4">
                  <c:v>3.2510535821794098E-2</c:v>
                </c:pt>
                <c:pt idx="5">
                  <c:v>3.0461684911946691E-2</c:v>
                </c:pt>
                <c:pt idx="6">
                  <c:v>3.0194676201827572E-2</c:v>
                </c:pt>
                <c:pt idx="7">
                  <c:v>2.8675016479894528E-2</c:v>
                </c:pt>
                <c:pt idx="8">
                  <c:v>2.8148990617003128E-2</c:v>
                </c:pt>
                <c:pt idx="9">
                  <c:v>2.6289180990899899E-2</c:v>
                </c:pt>
                <c:pt idx="10">
                  <c:v>2.4765729585006693E-2</c:v>
                </c:pt>
                <c:pt idx="11">
                  <c:v>2.4793388429752067E-2</c:v>
                </c:pt>
                <c:pt idx="12">
                  <c:v>2.4448093413610653E-2</c:v>
                </c:pt>
                <c:pt idx="13">
                  <c:v>2.3436182768504468E-2</c:v>
                </c:pt>
                <c:pt idx="14">
                  <c:v>2.2943297279580464E-2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93353088"/>
        <c:axId val="93355008"/>
      </c:lineChart>
      <c:catAx>
        <c:axId val="93353088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3355008"/>
        <c:crosses val="autoZero"/>
        <c:auto val="1"/>
        <c:lblAlgn val="ctr"/>
        <c:lblOffset val="100"/>
      </c:catAx>
      <c:valAx>
        <c:axId val="93355008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33530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3" r="0.750000000000003" t="1" header="0" footer="0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63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333333333333334E-2"/>
                  <c:y val="-0.19450321441920709"/>
                </c:manualLayout>
              </c:layout>
              <c:showVal val="1"/>
            </c:dLbl>
            <c:dLbl>
              <c:idx val="1"/>
              <c:layout>
                <c:manualLayout>
                  <c:x val="2.9629629629629704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28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2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Libertador!$P$2:$P$5</c:f>
              <c:strCache>
                <c:ptCount val="4"/>
                <c:pt idx="0">
                  <c:v>Jorge Rodriguez</c:v>
                </c:pt>
                <c:pt idx="1">
                  <c:v>Stalin Gonzalez</c:v>
                </c:pt>
                <c:pt idx="2">
                  <c:v>Claudio Fermin</c:v>
                </c:pt>
                <c:pt idx="3">
                  <c:v>Otro</c:v>
                </c:pt>
              </c:strCache>
            </c:strRef>
          </c:cat>
          <c:val>
            <c:numRef>
              <c:f>Libertador!$Q$2:$Q$5</c:f>
              <c:numCache>
                <c:formatCode>0.00</c:formatCode>
                <c:ptCount val="4"/>
                <c:pt idx="0">
                  <c:v>0.44197086266164676</c:v>
                </c:pt>
                <c:pt idx="1">
                  <c:v>0.47912915370764447</c:v>
                </c:pt>
                <c:pt idx="2">
                  <c:v>5.5982975937141924E-2</c:v>
                </c:pt>
                <c:pt idx="3">
                  <c:v>2.291700769356687E-2</c:v>
                </c:pt>
              </c:numCache>
            </c:numRef>
          </c:val>
        </c:ser>
        <c:dLbls>
          <c:showVal val="1"/>
        </c:dLbls>
        <c:gapWidth val="75"/>
        <c:shape val="box"/>
        <c:axId val="93394432"/>
        <c:axId val="93395968"/>
        <c:axId val="0"/>
      </c:bar3DChart>
      <c:catAx>
        <c:axId val="933944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3395968"/>
        <c:crosses val="autoZero"/>
        <c:auto val="1"/>
        <c:lblAlgn val="ctr"/>
        <c:lblOffset val="100"/>
      </c:catAx>
      <c:valAx>
        <c:axId val="93395968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3394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123825</xdr:rowOff>
    </xdr:from>
    <xdr:to>
      <xdr:col>0</xdr:col>
      <xdr:colOff>2266950</xdr:colOff>
      <xdr:row>5</xdr:row>
      <xdr:rowOff>9525</xdr:rowOff>
    </xdr:to>
    <xdr:pic>
      <xdr:nvPicPr>
        <xdr:cNvPr id="57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23825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495300</xdr:colOff>
      <xdr:row>24</xdr:row>
      <xdr:rowOff>38100</xdr:rowOff>
    </xdr:to>
    <xdr:graphicFrame macro="">
      <xdr:nvGraphicFramePr>
        <xdr:cNvPr id="91961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838200</xdr:colOff>
      <xdr:row>4</xdr:row>
      <xdr:rowOff>180975</xdr:rowOff>
    </xdr:from>
    <xdr:to>
      <xdr:col>11</xdr:col>
      <xdr:colOff>57150</xdr:colOff>
      <xdr:row>20</xdr:row>
      <xdr:rowOff>190500</xdr:rowOff>
    </xdr:to>
    <xdr:graphicFrame macro="">
      <xdr:nvGraphicFramePr>
        <xdr:cNvPr id="919616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142875</xdr:rowOff>
    </xdr:to>
    <xdr:pic>
      <xdr:nvPicPr>
        <xdr:cNvPr id="57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266700</xdr:rowOff>
    </xdr:from>
    <xdr:to>
      <xdr:col>7</xdr:col>
      <xdr:colOff>819150</xdr:colOff>
      <xdr:row>27</xdr:row>
      <xdr:rowOff>19050</xdr:rowOff>
    </xdr:to>
    <xdr:graphicFrame macro="">
      <xdr:nvGraphicFramePr>
        <xdr:cNvPr id="922687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922688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6090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7</xdr:row>
      <xdr:rowOff>276225</xdr:rowOff>
    </xdr:from>
    <xdr:to>
      <xdr:col>11</xdr:col>
      <xdr:colOff>0</xdr:colOff>
      <xdr:row>23</xdr:row>
      <xdr:rowOff>209550</xdr:rowOff>
    </xdr:to>
    <xdr:graphicFrame macro="">
      <xdr:nvGraphicFramePr>
        <xdr:cNvPr id="106090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70119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1070120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26" Type="http://schemas.openxmlformats.org/officeDocument/2006/relationships/revisionLog" Target="revisionLog26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63" Type="http://schemas.openxmlformats.org/officeDocument/2006/relationships/revisionLog" Target="revisionLog63.xml"/><Relationship Id="rId68" Type="http://schemas.openxmlformats.org/officeDocument/2006/relationships/revisionLog" Target="revisionLog68.xml"/><Relationship Id="rId76" Type="http://schemas.openxmlformats.org/officeDocument/2006/relationships/revisionLog" Target="revisionLog76.xml"/><Relationship Id="rId84" Type="http://schemas.openxmlformats.org/officeDocument/2006/relationships/revisionLog" Target="revisionLog84.xml"/><Relationship Id="rId89" Type="http://schemas.openxmlformats.org/officeDocument/2006/relationships/revisionLog" Target="revisionLog88.xml"/><Relationship Id="rId97" Type="http://schemas.openxmlformats.org/officeDocument/2006/relationships/revisionLog" Target="revisionLog94.xml"/><Relationship Id="rId7" Type="http://schemas.openxmlformats.org/officeDocument/2006/relationships/revisionLog" Target="revisionLog7.xml"/><Relationship Id="rId71" Type="http://schemas.openxmlformats.org/officeDocument/2006/relationships/revisionLog" Target="revisionLog71.xml"/><Relationship Id="rId92" Type="http://schemas.openxmlformats.org/officeDocument/2006/relationships/revisionLog" Target="revisionLog91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9" Type="http://schemas.openxmlformats.org/officeDocument/2006/relationships/revisionLog" Target="revisionLog29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53" Type="http://schemas.openxmlformats.org/officeDocument/2006/relationships/revisionLog" Target="revisionLog53.xml"/><Relationship Id="rId58" Type="http://schemas.openxmlformats.org/officeDocument/2006/relationships/revisionLog" Target="revisionLog58.xml"/><Relationship Id="rId66" Type="http://schemas.openxmlformats.org/officeDocument/2006/relationships/revisionLog" Target="revisionLog66.xml"/><Relationship Id="rId74" Type="http://schemas.openxmlformats.org/officeDocument/2006/relationships/revisionLog" Target="revisionLog74.xml"/><Relationship Id="rId79" Type="http://schemas.openxmlformats.org/officeDocument/2006/relationships/revisionLog" Target="revisionLog79.xml"/><Relationship Id="rId87" Type="http://schemas.openxmlformats.org/officeDocument/2006/relationships/revisionLog" Target="revisionLog86.xml"/><Relationship Id="rId5" Type="http://schemas.openxmlformats.org/officeDocument/2006/relationships/revisionLog" Target="revisionLog5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90" Type="http://schemas.openxmlformats.org/officeDocument/2006/relationships/revisionLog" Target="revisionLog89.xml"/><Relationship Id="rId95" Type="http://schemas.openxmlformats.org/officeDocument/2006/relationships/revisionLog" Target="revisionLog12.xml"/><Relationship Id="rId19" Type="http://schemas.openxmlformats.org/officeDocument/2006/relationships/revisionLog" Target="revisionLog1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56" Type="http://schemas.openxmlformats.org/officeDocument/2006/relationships/revisionLog" Target="revisionLog56.xml"/><Relationship Id="rId64" Type="http://schemas.openxmlformats.org/officeDocument/2006/relationships/revisionLog" Target="revisionLog64.xml"/><Relationship Id="rId69" Type="http://schemas.openxmlformats.org/officeDocument/2006/relationships/revisionLog" Target="revisionLog69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80" Type="http://schemas.openxmlformats.org/officeDocument/2006/relationships/revisionLog" Target="revisionLog80.xml"/><Relationship Id="rId85" Type="http://schemas.openxmlformats.org/officeDocument/2006/relationships/revisionLog" Target="revisionLog85.xml"/><Relationship Id="rId93" Type="http://schemas.openxmlformats.org/officeDocument/2006/relationships/revisionLog" Target="revisionLog121.xml"/><Relationship Id="rId98" Type="http://schemas.openxmlformats.org/officeDocument/2006/relationships/revisionLog" Target="revisionLog95.xml"/><Relationship Id="rId3" Type="http://schemas.openxmlformats.org/officeDocument/2006/relationships/revisionLog" Target="revisionLog3.xml"/><Relationship Id="rId12" Type="http://schemas.openxmlformats.org/officeDocument/2006/relationships/revisionLog" Target="revisionLog1211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46" Type="http://schemas.openxmlformats.org/officeDocument/2006/relationships/revisionLog" Target="revisionLog46.xml"/><Relationship Id="rId59" Type="http://schemas.openxmlformats.org/officeDocument/2006/relationships/revisionLog" Target="revisionLog59.xml"/><Relationship Id="rId67" Type="http://schemas.openxmlformats.org/officeDocument/2006/relationships/revisionLog" Target="revisionLog67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54" Type="http://schemas.openxmlformats.org/officeDocument/2006/relationships/revisionLog" Target="revisionLog54.xml"/><Relationship Id="rId62" Type="http://schemas.openxmlformats.org/officeDocument/2006/relationships/revisionLog" Target="revisionLog62.xml"/><Relationship Id="rId70" Type="http://schemas.openxmlformats.org/officeDocument/2006/relationships/revisionLog" Target="revisionLog70.xml"/><Relationship Id="rId75" Type="http://schemas.openxmlformats.org/officeDocument/2006/relationships/revisionLog" Target="revisionLog75.xml"/><Relationship Id="rId83" Type="http://schemas.openxmlformats.org/officeDocument/2006/relationships/revisionLog" Target="revisionLog83.xml"/><Relationship Id="rId88" Type="http://schemas.openxmlformats.org/officeDocument/2006/relationships/revisionLog" Target="revisionLog87.xml"/><Relationship Id="rId91" Type="http://schemas.openxmlformats.org/officeDocument/2006/relationships/revisionLog" Target="revisionLog90.xml"/><Relationship Id="rId96" Type="http://schemas.openxmlformats.org/officeDocument/2006/relationships/revisionLog" Target="revisionLog93.xml"/><Relationship Id="rId1" Type="http://schemas.openxmlformats.org/officeDocument/2006/relationships/revisionLog" Target="revisionLog15.xml"/><Relationship Id="rId6" Type="http://schemas.openxmlformats.org/officeDocument/2006/relationships/revisionLog" Target="revisionLog6.xml"/><Relationship Id="rId15" Type="http://schemas.openxmlformats.org/officeDocument/2006/relationships/revisionLog" Target="revisionLog151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49" Type="http://schemas.openxmlformats.org/officeDocument/2006/relationships/revisionLog" Target="revisionLog49.xml"/><Relationship Id="rId57" Type="http://schemas.openxmlformats.org/officeDocument/2006/relationships/revisionLog" Target="revisionLog57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Relationship Id="rId60" Type="http://schemas.openxmlformats.org/officeDocument/2006/relationships/revisionLog" Target="revisionLog60.xml"/><Relationship Id="rId65" Type="http://schemas.openxmlformats.org/officeDocument/2006/relationships/revisionLog" Target="revisionLog65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81" Type="http://schemas.openxmlformats.org/officeDocument/2006/relationships/revisionLog" Target="revisionLog81.xml"/><Relationship Id="rId86" Type="http://schemas.openxmlformats.org/officeDocument/2006/relationships/revisionLog" Target="revisionLog110.xml"/><Relationship Id="rId94" Type="http://schemas.openxmlformats.org/officeDocument/2006/relationships/revisionLog" Target="revisionLog92.xml"/><Relationship Id="rId99" Type="http://schemas.openxmlformats.org/officeDocument/2006/relationships/revisionLog" Target="revisionLog96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9" Type="http://schemas.openxmlformats.org/officeDocument/2006/relationships/revisionLog" Target="revisionLog39.xml"/></Relationships>
</file>

<file path=xl/revisions/revisionHeaders.xml><?xml version="1.0" encoding="utf-8"?>
<headers xmlns="http://schemas.openxmlformats.org/spreadsheetml/2006/main" xmlns:r="http://schemas.openxmlformats.org/officeDocument/2006/relationships" guid="{324D7F27-7C37-4979-B0DE-3E36F45CAEC0}" diskRevisions="1" revisionId="9598" version="5">
  <header guid="{B6E8575E-0846-442B-A5C1-939EB79F84F4}" dateTime="2008-11-22T21:27:09" maxSheetId="14" userName="Usuario" r:id="rId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3A59B0-DE8F-421F-9B79-4721407A4249}" dateTime="2008-11-22T21:32:44" maxSheetId="14" userName="Usuario" r:id="rId2" minRId="1" maxRId="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3F9B63-4EBF-4D88-9EAB-281547700415}" dateTime="2008-11-22T21:37:44" maxSheetId="14" userName="Usuario" r:id="rId3" minRId="61" maxRId="1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5D63D0-8C7C-4FA3-92FD-B1BA7BC8290C}" dateTime="2008-11-22T21:38:09" maxSheetId="14" userName="Usuario" r:id="rId4" minRId="121" maxRId="2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11EE63-C147-4E6C-BFC3-5C762761B795}" dateTime="2008-11-22T21:42:45" maxSheetId="14" userName="Usuario" r:id="rId5" minRId="204" maxRId="2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77632C-B935-4FD4-8701-E96D9A9EB37A}" dateTime="2008-11-22T21:43:07" maxSheetId="14" userName="Usuario" r:id="rId6" minRId="228" maxRId="2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6C1B08-A3CF-4AC2-AFF7-3AE637D3294E}" dateTime="2008-11-22T21:47:45" maxSheetId="14" userName="Usuario" r:id="rId7" minRId="298" maxRId="3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E7BDA9-282B-4166-BD29-AA1F8D9F193B}" dateTime="2008-11-22T21:48:07" maxSheetId="14" userName="Usuario" r:id="rId8" minRId="384" maxRId="4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0CEA8E-A2ED-438B-BB6C-B69AB6D0E368}" dateTime="2008-11-22T21:52:45" maxSheetId="14" userName="Usuario" r:id="rId9" minRId="448" maxRId="5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C12904-1592-4C3B-8375-1D7CAB22C521}" dateTime="2008-11-22T21:53:07" maxSheetId="14" userName="Usuario" r:id="rId10" minRId="537" maxRId="6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E44D09-4452-4C24-8F84-941E3393BD79}" dateTime="2008-11-22T21:58:07" maxSheetId="14" userName="Usuario" r:id="rId11" minRId="634" maxRId="6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0B1C25-7803-4716-84A8-89CC6E9164CB}" dateTime="2008-11-22T21:58:45" maxSheetId="14" userName="Usuario" r:id="rId12" minRId="687" maxRId="7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426C1A-B801-49D1-937D-F9137453B1F2}" dateTime="2008-11-22T22:03:07" maxSheetId="14" userName="Usuario" r:id="rId13" minRId="774" maxRId="8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6B0DC3-4AB5-4C1E-974F-1101DC41732E}" dateTime="2008-11-22T22:03:47" maxSheetId="14" userName="Usuario" r:id="rId14" minRId="848" maxRId="9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A271DF-100F-42E8-B31D-22D96AFEBA0F}" dateTime="2008-11-22T22:08:12" maxSheetId="14" userName="Usuario" r:id="rId15" minRId="934" maxRId="10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8152F7-7809-4930-8BDF-17C5297CC95A}" dateTime="2008-11-22T22:08:45" maxSheetId="14" userName="Usuario" r:id="rId16" minRId="1046" maxRId="11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4FA6DC-C9C1-4CD2-97DD-8814CBDE1647}" dateTime="2008-11-22T22:13:19" maxSheetId="14" userName="Usuario" r:id="rId17" minRId="1101" maxRId="11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026ACF-1FE4-46DF-A4D3-23044799978F}" dateTime="2008-11-22T22:13:45" maxSheetId="14" userName="Usuario" r:id="rId18" minRId="1192" maxRId="12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463A27-926B-4B7C-A8E9-528DAB82BEE8}" dateTime="2008-11-22T22:18:09" maxSheetId="14" userName="Usuario" r:id="rId19" minRId="1252" maxRId="13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BEEEC1-8420-4D1C-ABF7-E397CF5D4A5E}" dateTime="2008-11-22T22:18:45" maxSheetId="14" userName="Usuario" r:id="rId20" minRId="1343" maxRId="14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045F01-12C4-499D-A006-DBA64DA43809}" dateTime="2008-11-22T22:23:07" maxSheetId="14" userName="Usuario" r:id="rId21" minRId="1415" maxRId="14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E30EC1-6F46-41E3-8314-A4B208D30461}" dateTime="2008-11-22T22:23:45" maxSheetId="14" userName="Usuario" r:id="rId22" minRId="1493" maxRId="15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769E42-7248-4ED1-A514-0D86A9912EC3}" dateTime="2008-11-22T22:28:07" maxSheetId="14" userName="Usuario" r:id="rId23" minRId="1595" maxRId="16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65765B-118B-485D-8A62-6E5B5D4C6FC0}" dateTime="2008-11-22T22:28:45" maxSheetId="14" userName="Usuario" r:id="rId24" minRId="1672" maxRId="17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8901C3-D22A-485C-9CBD-34DF135DEF2F}" dateTime="2008-11-22T22:33:07" maxSheetId="14" userName="Usuario" r:id="rId25" minRId="1753" maxRId="18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130F90-13F0-4B6C-ACEB-7EC4A2B8FC3D}" dateTime="2008-11-22T22:33:45" maxSheetId="14" userName="Usuario" r:id="rId26" minRId="1843" maxRId="19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E025C8-8FC4-45BA-856D-ECFE55651122}" dateTime="2008-11-22T22:38:44" maxSheetId="14" userName="Usuario" r:id="rId27" minRId="1948" maxRId="20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DF5BA5-248B-4127-9ADC-B3C1EE38436B}" dateTime="2008-11-22T22:40:08" maxSheetId="14" userName="Usuario" r:id="rId28" minRId="2040" maxRId="20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F6D4B3-CBA3-4281-83F7-DE0CB5266E01}" dateTime="2008-11-22T22:44:47" maxSheetId="14" userName="Usuario" r:id="rId29" minRId="2076" maxRId="22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297088-1F8D-49B1-9E01-C3963AD5F708}" dateTime="2008-11-22T22:45:07" maxSheetId="14" userName="Usuario" r:id="rId30" minRId="2202" maxRId="23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39BB47-46BE-4751-8CA2-8DAC9CE5ED30}" dateTime="2008-11-22T22:49:45" maxSheetId="14" userName="Usuario" r:id="rId31" minRId="2354" maxRId="23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7E1249-4829-42D1-A9C6-EE9EBCD6C417}" dateTime="2008-11-22T22:50:07" maxSheetId="14" userName="Usuario" r:id="rId32" minRId="2360" maxRId="25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E84564-B6CF-4D73-8C8C-9B737772F863}" dateTime="2008-11-22T22:54:45" maxSheetId="14" userName="Usuario" r:id="rId33" minRId="2508" maxRId="25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0710F5-CB49-4DD2-8131-5B49C391247F}" dateTime="2008-11-22T22:55:07" maxSheetId="14" userName="Usuario" r:id="rId34" minRId="2592" maxRId="27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7E415A-2357-4CDB-B773-41A8A0183B09}" dateTime="2008-11-22T22:59:45" maxSheetId="14" userName="Usuario" r:id="rId35" minRId="2767" maxRId="28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1F1EE5-9F2E-4196-ABFF-6738022579E0}" dateTime="2008-11-22T23:00:07" maxSheetId="14" userName="Usuario" r:id="rId36" minRId="2827" maxRId="29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E8852E-D6CA-4F18-9196-F76565721541}" dateTime="2008-11-22T23:04:45" maxSheetId="14" userName="Usuario" r:id="rId37" minRId="2952" maxRId="29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4DA922-D94E-4A84-B825-38AF950D384A}" dateTime="2008-11-22T23:06:09" maxSheetId="14" userName="Usuario" r:id="rId38" minRId="2971" maxRId="31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4DC39B-0816-4D30-ACBF-1EABCE1A65E6}" dateTime="2008-11-22T23:09:45" maxSheetId="14" userName="Usuario" r:id="rId39" minRId="3197" maxRId="32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CA0C38-B84B-42C3-8AA5-23EB53302B03}" dateTime="2008-11-22T23:11:07" maxSheetId="14" userName="Usuario" r:id="rId40" minRId="3256" maxRId="34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2B2100-62B7-4DA1-B65A-75DB49733BD0}" dateTime="2008-11-22T23:14:45" maxSheetId="14" userName="Usuario" r:id="rId41" minRId="3401" maxRId="34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BA973B-6993-4349-82DC-0D2E38086CCE}" dateTime="2008-11-22T23:16:07" maxSheetId="14" userName="Usuario" r:id="rId42" minRId="3479" maxRId="37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C5BB41-C236-4C5C-8027-E6111FBC0975}" dateTime="2008-11-22T23:19:45" maxSheetId="14" userName="Usuario" r:id="rId43" minRId="3748" maxRId="38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27E0F5-CE29-4297-8D28-150B0931BC91}" dateTime="2008-11-22T23:21:07" maxSheetId="14" userName="Usuario" r:id="rId44" minRId="3808" maxRId="38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64B3DA-52A1-4B7E-9227-5C2B9C40AD7C}" dateTime="2008-11-22T23:24:45" maxSheetId="14" userName="Usuario" r:id="rId45" minRId="3869" maxRId="39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1AB8FC-E359-4B96-88B3-5AC2CE4C28D7}" dateTime="2008-11-22T23:26:07" maxSheetId="14" userName="Usuario" r:id="rId46" minRId="3905" maxRId="40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2D5792-64BF-4184-B6D5-CCB866AC7487}" dateTime="2008-11-22T23:31:07" maxSheetId="14" userName="Usuario" r:id="rId47" minRId="4019" maxRId="40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FFE0F7-36BF-4E94-8AA7-1BE288322EB9}" dateTime="2008-11-22T23:31:45" maxSheetId="14" userName="Usuario" r:id="rId48" minRId="4095" maxRId="41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B32499-A9AE-401C-98F7-B6D6600F1109}" dateTime="2008-11-22T23:36:07" maxSheetId="14" userName="Usuario" r:id="rId49" minRId="4132" maxRId="42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232E63-5D11-41DB-9A79-B11FEBBFCE22}" dateTime="2008-11-22T23:37:19" maxSheetId="14" userName="Usuario" r:id="rId50" minRId="4208" maxRId="42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63C188-91CF-4CEF-9888-2E48B629DF56}" dateTime="2008-11-22T23:41:07" maxSheetId="14" userName="Usuario" r:id="rId51" minRId="4238" maxRId="43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A3C1F6-3CC5-4719-9399-460C25F27D70}" dateTime="2008-11-22T23:41:45" maxSheetId="14" userName="Usuario" r:id="rId52" minRId="4336" maxRId="44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FCD245-B721-4C28-A2E7-CF452F69ECC0}" dateTime="2008-11-22T23:46:07" maxSheetId="14" userName="Usuario" r:id="rId53" minRId="4414" maxRId="45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DB2F59-936D-4027-B575-FF24E3F733FB}" dateTime="2008-11-22T23:46:45" maxSheetId="14" userName="Usuario" r:id="rId54" minRId="4540" maxRId="46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321B51-99F7-4373-9A85-B22A56EC771E}" dateTime="2008-11-22T23:51:08" maxSheetId="14" userName="Usuario" r:id="rId55" minRId="4629" maxRId="47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4AF195-6845-4A19-9CB4-5E2F951970ED}" dateTime="2008-11-22T23:51:45" maxSheetId="14" userName="Usuario" r:id="rId56" minRId="4746" maxRId="48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EB898F-CBFE-4755-BE96-065E392B351E}" dateTime="2008-11-22T23:56:07" maxSheetId="14" userName="Usuario" r:id="rId57" minRId="4843" maxRId="50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59C34F-F36F-47F5-BDC2-997D07F68A1C}" dateTime="2008-11-23T00:01:07" maxSheetId="14" userName="Usuario" r:id="rId58" minRId="5013" maxRId="52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7CD027-608F-41E3-ACE5-4DC8AC8FA694}" dateTime="2008-11-23T00:01:45" maxSheetId="14" userName="Usuario" r:id="rId59" minRId="5211" maxRId="52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D7A53A-3EE0-42FB-B14A-548DE7030FA2}" dateTime="2008-11-23T00:06:44" maxSheetId="14" userName="Usuario" r:id="rId60" minRId="5270" maxRId="53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3B8284-3E4F-4648-8791-3ED8EF7DBBC1}" dateTime="2008-11-23T00:07:07" maxSheetId="14" userName="Usuario" r:id="rId61" minRId="5325" maxRId="55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FEE6F8-86CF-47B8-A273-EC24DC77A835}" dateTime="2008-11-23T00:12:07" maxSheetId="14" userName="Usuario" r:id="rId62" minRId="5502" maxRId="55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CF08F0-09B3-411E-9974-3AB27CAAD24B}" dateTime="2008-11-23T00:26:44" maxSheetId="14" userName="Usuario" r:id="rId63" minRId="5540" maxRId="55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065E25-EE8B-4106-A4B9-88F896E756B3}" dateTime="2008-11-23T00:27:07" maxSheetId="14" userName="Usuario" r:id="rId64" minRId="5582" maxRId="56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E460D6-8C6D-4BD8-89E1-5A192F0588A8}" dateTime="2008-11-23T00:32:07" maxSheetId="14" userName="Usuario" r:id="rId65" minRId="5659" maxRId="57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240C70-57E0-40CC-9E50-15B419C2340C}" dateTime="2008-11-23T00:36:45" maxSheetId="14" userName="Usuario" r:id="rId66" minRId="5736" maxRId="57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C4D243-9E4F-44C8-BC3D-79BAE1C02AF9}" dateTime="2008-11-23T00:37:07" maxSheetId="14" userName="Usuario" r:id="rId67" minRId="5753" maxRId="57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DF7436-6914-43C6-855F-9ED6E061B485}" dateTime="2008-11-23T00:41:45" maxSheetId="14" userName="Usuario" r:id="rId68" minRId="5795" maxRId="58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9F83B9-3D7F-44BB-94EC-36F8E0DD3184}" dateTime="2008-11-23T00:43:07" maxSheetId="14" userName="Usuario" r:id="rId69" minRId="5890" maxRId="60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1315E9-83B1-4EF8-9A4D-6C0F85E9FD51}" dateTime="2008-11-23T00:46:45" maxSheetId="14" userName="Usuario" r:id="rId70" minRId="6059" maxRId="61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146F8F-5F8C-4505-8133-C30502218F57}" dateTime="2008-11-23T00:48:07" maxSheetId="14" userName="Usuario" r:id="rId71" minRId="6175" maxRId="63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DD9E81-0E50-4D63-AC75-59BD0FA028A5}" dateTime="2008-11-23T00:51:45" maxSheetId="14" userName="Usuario" r:id="rId72" minRId="6355" maxRId="64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03A6B9-BFB1-4D91-B5A3-56EF32F78963}" dateTime="2008-11-23T00:53:08" maxSheetId="14" userName="Usuario" r:id="rId73" minRId="6483" maxRId="66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65E30E-D338-4D67-B7DE-0C5E73195509}" dateTime="2008-11-23T00:56:45" maxSheetId="14" userName="Usuario" r:id="rId74" minRId="6668" maxRId="67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A6E045-EF14-4C14-8847-92420086C147}" dateTime="2008-11-23T00:58:07" maxSheetId="14" userName="Usuario" r:id="rId75" minRId="6758" maxRId="69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FBB18F-9F29-4A12-98EC-24274B61C201}" dateTime="2008-11-23T01:02:45" maxSheetId="14" userName="Usuario" r:id="rId76" minRId="6981" maxRId="70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57599E-A71E-4D21-AFAF-1DFA2D137F92}" dateTime="2008-11-23T01:03:07" maxSheetId="14" userName="Usuario" r:id="rId77" minRId="7053" maxRId="72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34AD8F-AE16-4DFD-884B-2FC4735E3115}" dateTime="2008-11-23T01:08:07" maxSheetId="14" userName="Usuario" r:id="rId78" minRId="7221" maxRId="74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0119D2-3F07-474C-B7CD-6327279EBC8B}" dateTime="2008-11-23T01:08:45" maxSheetId="14" userName="Usuario" r:id="rId79" minRId="7415" maxRId="74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07D46D-B493-428D-89F9-0FA4E2C0512A}" dateTime="2008-11-23T01:13:07" maxSheetId="14" userName="Usuario" r:id="rId80" minRId="7477" maxRId="75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46EE75-C46E-4221-8A37-EBDEB2E5A95D}" dateTime="2008-11-23T01:13:45" maxSheetId="14" userName="Usuario" r:id="rId81" minRId="7577" maxRId="75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EE0212-9DA3-420E-BAA5-7508EBFC024D}" dateTime="2008-11-23T01:18:07" maxSheetId="14" userName="Usuario" r:id="rId82" minRId="7582" maxRId="76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E28A56-E5E6-49C9-BACD-6DAC29C70528}" dateTime="2008-11-23T01:18:44" maxSheetId="14" userName="Usuario" r:id="rId83" minRId="7683" maxRId="77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175558-D3EE-45AD-A6B3-62D91CFDFAB8}" dateTime="2008-11-23T01:23:08" maxSheetId="14" userName="Usuario" r:id="rId84" minRId="7731" maxRId="78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6C6C49-A301-4F34-AC51-C15E48923D27}" dateTime="2008-11-23T01:23:45" maxSheetId="14" userName="Usuario" r:id="rId85" minRId="7892" maxRId="79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DB5F4A-332B-401B-875E-E0017D31A5A5}" dateTime="2008-11-23T14:25:24" maxSheetId="14" userName="PLM" r:id="rId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73A6B6-64BC-412B-8444-DF17FBDEE330}" dateTime="2008-11-23T01:28:45" maxSheetId="14" userName="Usuario" r:id="rId87" minRId="7962" maxRId="80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2029C8-497E-4D9B-B36B-D02E1A045C58}" dateTime="2008-11-23T01:30:08" maxSheetId="14" userName="Usuario" r:id="rId88" minRId="8053" maxRId="83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54B47B-D05A-45BD-92D9-F3571E114DA8}" dateTime="2008-11-23T01:33:46" maxSheetId="14" userName="Usuario" r:id="rId89" minRId="8316" maxRId="84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EC31A9-2F1A-490A-9DB6-E4260A354D84}" dateTime="2008-11-23T01:35:07" maxSheetId="14" userName="Usuario" r:id="rId90" minRId="8414" maxRId="85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599252-1EAA-4FB7-BD5C-01D884644E3A}" dateTime="2008-11-23T01:38:45" maxSheetId="14" userName="Usuario" r:id="rId91" minRId="8533" maxRId="86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0CFC1C-A156-4B2D-9830-7F982459D216}" dateTime="2008-11-23T01:40:07" maxSheetId="14" userName="Usuario" r:id="rId92" minRId="8617" maxRId="87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03359A-12C4-40FD-883D-7E899489EBB3}" dateTime="2008-11-23T01:41:35" maxSheetId="14" userName="Usuario" r:id="rId93" minRId="8785" maxRId="87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C78AB1-4541-4B58-8120-C235B19BFCC9}" dateTime="2008-11-23T01:43:46" maxSheetId="14" userName="Usuario" r:id="rId94" minRId="8792" maxRId="88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F1F877-76BF-42B6-8D28-BFAFAF41C0C8}" dateTime="2008-11-23T01:44:07" maxSheetId="14" userName="Usuario" r:id="rId95" minRId="8840" maxRId="88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43E094-21E4-4996-922A-AB6BFCC01D40}" dateTime="2008-11-23T01:54:43" maxSheetId="14" userName="Usuario" r:id="rId96" minRId="8842" maxRId="89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4806C4-79C8-4D96-A27F-D8179EFE52FB}" dateTime="2008-11-23T01:59:43" maxSheetId="14" userName="Usuario" r:id="rId97" minRId="8921" maxRId="91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CC7767-2F7A-4369-B887-20B4A8E7D156}" dateTime="2008-11-23T02:04:45" maxSheetId="14" userName="Usuario" r:id="rId98" minRId="9143" maxRId="93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52A97A-CAAE-4C83-BD5F-24120D7B3C5A}" dateTime="2008-11-23T02:09:42" maxSheetId="14" userName="Usuario" r:id="rId99" minRId="9362" maxRId="95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4D7F27-7C37-4979-B0DE-3E36F45CAEC0}" dateTime="2008-11-23T15:10:24" maxSheetId="14" userName="PLM" r:id="rId100" minRId="9558" maxRId="95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9558" sId="11" numFmtId="4">
    <nc r="C292">
      <v>15</v>
    </nc>
  </rcc>
  <rcft rId="8843" sheetId="11"/>
  <rcc rId="9559" sId="11" numFmtId="4">
    <nc r="D292">
      <v>11</v>
    </nc>
  </rcc>
  <rcft rId="8844" sheetId="11"/>
  <rcc rId="9560" sId="11" numFmtId="4">
    <nc r="E292">
      <v>17</v>
    </nc>
  </rcc>
  <rcft rId="8845" sheetId="11"/>
  <rcc rId="9561" sId="11" numFmtId="4">
    <nc r="G292">
      <v>0</v>
    </nc>
  </rcc>
  <rcft rId="8847" sheetId="11"/>
  <rcc rId="9562" sId="11" numFmtId="4">
    <nc r="C293">
      <v>15</v>
    </nc>
  </rcc>
  <rcft rId="8850" sheetId="11"/>
  <rcc rId="9563" sId="11" numFmtId="4">
    <nc r="E293">
      <v>25</v>
    </nc>
  </rcc>
  <rcft rId="8852" sheetId="11"/>
  <rcc rId="9564" sId="11" numFmtId="4">
    <nc r="F293">
      <v>0</v>
    </nc>
  </rcc>
  <rcft rId="8853" sheetId="11"/>
  <rcc rId="9565" sId="11" numFmtId="4">
    <nc r="G293">
      <v>0</v>
    </nc>
  </rcc>
  <rcft rId="8854" sheetId="11"/>
  <rcc rId="9566" sId="11" numFmtId="4">
    <nc r="H293">
      <v>0</v>
    </nc>
  </rcc>
  <rcft rId="8855" sheetId="11"/>
  <rcc rId="9567" sId="11" numFmtId="4">
    <nc r="B294">
      <v>1</v>
    </nc>
  </rcc>
  <rcft rId="8856" sheetId="11"/>
  <rcc rId="9568" sId="11" numFmtId="4">
    <nc r="C294">
      <v>15</v>
    </nc>
  </rcc>
  <rcft rId="8857" sheetId="11"/>
  <rcc rId="9569" sId="11" numFmtId="4">
    <nc r="D294">
      <v>11</v>
    </nc>
  </rcc>
  <rcft rId="8858" sheetId="11"/>
  <rcc rId="9570" sId="11" numFmtId="4">
    <nc r="E294">
      <v>50</v>
    </nc>
  </rcc>
  <rcft rId="8859" sheetId="11"/>
  <rcc rId="9571" sId="11" numFmtId="4">
    <nc r="F294">
      <v>0</v>
    </nc>
  </rcc>
  <rcft rId="8860" sheetId="11"/>
  <rcc rId="9572" sId="11" numFmtId="4">
    <nc r="G294">
      <v>0</v>
    </nc>
  </rcc>
  <rcft rId="8861" sheetId="11"/>
  <rcc rId="9573" sId="11" numFmtId="4">
    <nc r="H294">
      <v>0</v>
    </nc>
  </rcc>
  <rcft rId="8862" sheetId="11"/>
  <rcc rId="9574" sId="11" numFmtId="4">
    <nc r="B295">
      <v>1</v>
    </nc>
  </rcc>
  <rcft rId="8863" sheetId="11"/>
  <rcc rId="9575" sId="11" numFmtId="4">
    <nc r="C295">
      <v>15</v>
    </nc>
  </rcc>
  <rcft rId="8864" sheetId="11"/>
  <rcc rId="9576" sId="11" numFmtId="4">
    <nc r="D295">
      <v>12</v>
    </nc>
  </rcc>
  <rcft rId="8865" sheetId="11"/>
  <rcc rId="9577" sId="11" numFmtId="4">
    <nc r="E295">
      <v>75</v>
    </nc>
  </rcc>
  <rcft rId="8866" sheetId="11"/>
  <rcc rId="9578" sId="11" numFmtId="4">
    <nc r="F295">
      <v>0</v>
    </nc>
  </rcc>
  <rcft rId="8867" sheetId="11"/>
  <rcc rId="9579" sId="11" numFmtId="4">
    <nc r="G295">
      <v>0</v>
    </nc>
  </rcc>
  <rcft rId="8868" sheetId="11"/>
  <rcc rId="9580" sId="11" numFmtId="4">
    <nc r="H295">
      <v>0</v>
    </nc>
  </rcc>
  <rcft rId="8869" sheetId="11"/>
  <rcc rId="9581" sId="11" numFmtId="4">
    <nc r="B296">
      <v>1</v>
    </nc>
  </rcc>
  <rcft rId="8870" sheetId="11"/>
  <rcc rId="9582" sId="11" numFmtId="4">
    <nc r="C296">
      <v>15</v>
    </nc>
  </rcc>
  <rcft rId="8871" sheetId="11"/>
  <rcc rId="9583" sId="11" numFmtId="4">
    <nc r="D296">
      <v>13</v>
    </nc>
  </rcc>
  <rcft rId="8872" sheetId="11"/>
  <rcc rId="9584" sId="11" numFmtId="4">
    <nc r="E296">
      <v>75</v>
    </nc>
  </rcc>
  <rcft rId="8873" sheetId="11"/>
  <rcc rId="9585" sId="11" numFmtId="4">
    <nc r="F296">
      <v>0</v>
    </nc>
  </rcc>
  <rcft rId="8874" sheetId="11"/>
  <rcc rId="9586" sId="11" numFmtId="4">
    <nc r="G296">
      <v>0</v>
    </nc>
  </rcc>
  <rcft rId="8875" sheetId="11"/>
  <rcc rId="9587" sId="11" numFmtId="4">
    <nc r="H296">
      <v>0</v>
    </nc>
  </rcc>
  <rcft rId="8876" sheetId="11"/>
  <rcc rId="9588" sId="11" numFmtId="4">
    <nc r="B297">
      <v>1</v>
    </nc>
  </rcc>
  <rcft rId="8877" sheetId="11"/>
  <rcc rId="9589" sId="11" numFmtId="4">
    <nc r="C297">
      <v>15</v>
    </nc>
  </rcc>
  <rcft rId="8878" sheetId="11"/>
  <rcc rId="9590" sId="11" numFmtId="4">
    <nc r="D297">
      <v>14</v>
    </nc>
  </rcc>
  <rcft rId="8879" sheetId="11"/>
  <rcc rId="9591" sId="11" numFmtId="4">
    <nc r="E297">
      <v>75</v>
    </nc>
  </rcc>
  <rcft rId="8880" sheetId="11"/>
  <rcc rId="9592" sId="11" numFmtId="4">
    <nc r="F297">
      <v>0</v>
    </nc>
  </rcc>
  <rcft rId="8881" sheetId="11"/>
  <rcc rId="9593" sId="11" numFmtId="4">
    <nc r="G297">
      <v>0</v>
    </nc>
  </rcc>
  <rcft rId="8882" sheetId="11"/>
  <rcc rId="9594" sId="11" numFmtId="4">
    <nc r="H297">
      <v>0</v>
    </nc>
  </rcc>
  <rcft rId="8883" sheetId="11"/>
  <rcv guid="{2387E3E5-DC3A-4E55-B9FB-E509729F4507}" action="delete"/>
  <rdn rId="0" localSheetId="3" customView="1" name="Z_2387E3E5_DC3A_4E55_B9FB_E509729F4507_.wvu.PrintArea" hidden="1" oldHidden="1">
    <formula>'GA Mayor'!$A$1:$K$22</formula>
    <oldFormula>'GA Mayor'!$A$1:$K$22</oldFormula>
  </rdn>
  <rdn rId="0" localSheetId="6" customView="1" name="Z_2387E3E5_DC3A_4E55_B9FB_E509729F4507_.wvu.PrintArea" hidden="1" oldHidden="1">
    <formula>GMiranda!$A$1:$K$25</formula>
    <oldFormula>GMiranda!$A$1:$K$25</oldFormula>
  </rdn>
  <rdn rId="0" localSheetId="9" customView="1" name="Z_2387E3E5_DC3A_4E55_B9FB_E509729F4507_.wvu.PrintArea" hidden="1" oldHidden="1">
    <formula>GVargas!$A$1:$K$23</formula>
    <oldFormula>GVargas!$A$1:$K$23</oldFormula>
  </rdn>
  <rdn rId="0" localSheetId="12" customView="1" name="Z_2387E3E5_DC3A_4E55_B9FB_E509729F4507_.wvu.PrintArea" hidden="1" oldHidden="1">
    <formula>GLibertador!$A$1:$K$25</formula>
    <oldFormula>GLibertador!$A$1:$K$25</oldFormula>
  </rdn>
  <rcv guid="{2387E3E5-DC3A-4E55-B9FB-E509729F4507}" action="add"/>
</revisions>
</file>

<file path=xl/revisions/revisionLog2.xml><?xml version="1.0" encoding="utf-8"?>
<revisions xmlns="http://schemas.openxmlformats.org/spreadsheetml/2006/main" xmlns:r="http://schemas.openxmlformats.org/officeDocument/2006/relationships">
  <rcc rId="1" sId="5" numFmtId="4">
    <nc r="B1332">
      <v>13</v>
    </nc>
  </rcc>
  <rcc rId="2" sId="5" numFmtId="4">
    <nc r="C1332">
      <v>76</v>
    </nc>
  </rcc>
  <rcc rId="3" sId="5" numFmtId="4">
    <nc r="D1332">
      <v>6</v>
    </nc>
  </rcc>
  <rcc rId="4" sId="5" numFmtId="4">
    <nc r="E1332">
      <v>9</v>
    </nc>
  </rcc>
  <rcc rId="5" sId="5" numFmtId="4">
    <nc r="F1332">
      <v>4</v>
    </nc>
  </rcc>
  <rcc rId="6" sId="5" numFmtId="4">
    <nc r="G1332">
      <v>2</v>
    </nc>
  </rcc>
  <rcc rId="7" sId="5" numFmtId="4">
    <nc r="B1333">
      <v>13</v>
    </nc>
  </rcc>
  <rcc rId="8" sId="5" numFmtId="4">
    <nc r="C1333">
      <v>76</v>
    </nc>
  </rcc>
  <rcc rId="9" sId="5" numFmtId="4">
    <nc r="D1333">
      <v>5</v>
    </nc>
  </rcc>
  <rcc rId="10" sId="5" numFmtId="4">
    <nc r="E1333">
      <v>13</v>
    </nc>
  </rcc>
  <rcc rId="11" sId="5" numFmtId="4">
    <nc r="F1333">
      <v>13</v>
    </nc>
  </rcc>
  <rcc rId="12" sId="5" numFmtId="4">
    <nc r="G1333">
      <v>0</v>
    </nc>
  </rcc>
  <rcc rId="13" sId="5" numFmtId="4">
    <nc r="B1334">
      <v>13</v>
    </nc>
  </rcc>
  <rcc rId="14" sId="5" numFmtId="4">
    <nc r="C1334">
      <v>114</v>
    </nc>
  </rcc>
  <rcc rId="15" sId="5" numFmtId="4">
    <nc r="D1334">
      <v>5</v>
    </nc>
  </rcc>
  <rcc rId="16" sId="5" numFmtId="4">
    <nc r="E1334">
      <v>11</v>
    </nc>
  </rcc>
  <rcc rId="17" sId="5" numFmtId="4">
    <nc r="F1334">
      <v>3</v>
    </nc>
  </rcc>
  <rcc rId="18" sId="5" numFmtId="4">
    <nc r="G1334">
      <v>4</v>
    </nc>
  </rcc>
  <rcc rId="19" sId="5" numFmtId="4">
    <nc r="B1335">
      <v>13</v>
    </nc>
  </rcc>
  <rcc rId="20" sId="5" numFmtId="4">
    <nc r="C1335">
      <v>126</v>
    </nc>
  </rcc>
  <rcc rId="21" sId="5" numFmtId="4">
    <nc r="D1335">
      <v>1</v>
    </nc>
  </rcc>
  <rcc rId="22" sId="5" numFmtId="4">
    <nc r="E1335">
      <v>5</v>
    </nc>
  </rcc>
  <rcc rId="23" sId="5" numFmtId="4">
    <nc r="F1335">
      <v>2</v>
    </nc>
  </rcc>
  <rcc rId="24" sId="5" numFmtId="4">
    <nc r="G1335">
      <v>0</v>
    </nc>
  </rcc>
  <rcc rId="25" sId="5" numFmtId="4">
    <nc r="B1336">
      <v>13</v>
    </nc>
  </rcc>
  <rcc rId="26" sId="5" numFmtId="4">
    <nc r="C1336">
      <v>126</v>
    </nc>
  </rcc>
  <rcc rId="27" sId="5" numFmtId="4">
    <nc r="D1336">
      <v>2</v>
    </nc>
  </rcc>
  <rcc rId="28" sId="5" numFmtId="4">
    <nc r="E1336">
      <v>4</v>
    </nc>
  </rcc>
  <rcc rId="29" sId="5" numFmtId="4">
    <nc r="F1336">
      <v>0</v>
    </nc>
  </rcc>
  <rcc rId="30" sId="5" numFmtId="4">
    <nc r="G1336">
      <v>0</v>
    </nc>
  </rcc>
  <rcc rId="31" sId="5" numFmtId="4">
    <nc r="B1337">
      <v>13</v>
    </nc>
  </rcc>
  <rcc rId="32" sId="5" numFmtId="4">
    <nc r="C1337">
      <v>126</v>
    </nc>
  </rcc>
  <rcc rId="33" sId="5" numFmtId="4">
    <nc r="D1337">
      <v>3</v>
    </nc>
  </rcc>
  <rcc rId="34" sId="5" numFmtId="4">
    <nc r="E1337">
      <v>7</v>
    </nc>
  </rcc>
  <rcc rId="35" sId="5" numFmtId="4">
    <nc r="F1337">
      <v>1</v>
    </nc>
  </rcc>
  <rcc rId="36" sId="5" numFmtId="4">
    <nc r="G1337">
      <v>0</v>
    </nc>
  </rcc>
  <rcc rId="37" sId="5" numFmtId="4">
    <nc r="B1338">
      <v>13</v>
    </nc>
  </rcc>
  <rcc rId="38" sId="5" numFmtId="4">
    <nc r="C1338">
      <v>126</v>
    </nc>
  </rcc>
  <rcc rId="39" sId="5" numFmtId="4">
    <nc r="D1338">
      <v>4</v>
    </nc>
  </rcc>
  <rcc rId="40" sId="5" numFmtId="4">
    <nc r="E1338">
      <v>3</v>
    </nc>
  </rcc>
  <rcc rId="41" sId="5" numFmtId="4">
    <nc r="F1338">
      <v>0</v>
    </nc>
  </rcc>
  <rcc rId="42" sId="5" numFmtId="4">
    <nc r="G1338">
      <v>0</v>
    </nc>
  </rcc>
  <rcc rId="43" sId="5" numFmtId="4">
    <nc r="B1339">
      <v>13</v>
    </nc>
  </rcc>
  <rcc rId="44" sId="5" numFmtId="4">
    <nc r="C1339">
      <v>126</v>
    </nc>
  </rcc>
  <rcc rId="45" sId="5" numFmtId="4">
    <nc r="D1339">
      <v>5</v>
    </nc>
  </rcc>
  <rcc rId="46" sId="5" numFmtId="4">
    <nc r="E1339">
      <v>5</v>
    </nc>
  </rcc>
  <rcc rId="47" sId="5" numFmtId="4">
    <nc r="F1339">
      <v>3</v>
    </nc>
  </rcc>
  <rcc rId="48" sId="5" numFmtId="4">
    <nc r="G1339">
      <v>0</v>
    </nc>
  </rcc>
  <rcc rId="49" sId="5" numFmtId="4">
    <nc r="B1340">
      <v>13</v>
    </nc>
  </rcc>
  <rcc rId="50" sId="5" numFmtId="4">
    <nc r="C1340">
      <v>124</v>
    </nc>
  </rcc>
  <rcc rId="51" sId="5" numFmtId="4">
    <nc r="D1340">
      <v>2</v>
    </nc>
  </rcc>
  <rcc rId="52" sId="5" numFmtId="4">
    <nc r="E1340">
      <v>1</v>
    </nc>
  </rcc>
  <rcc rId="53" sId="5" numFmtId="4">
    <nc r="F1340">
      <v>0</v>
    </nc>
  </rcc>
  <rcc rId="54" sId="5" numFmtId="4">
    <nc r="G1340">
      <v>0</v>
    </nc>
  </rcc>
  <rcc rId="55" sId="5" numFmtId="4">
    <nc r="B1341">
      <v>13</v>
    </nc>
  </rcc>
  <rcc rId="56" sId="5" numFmtId="4">
    <nc r="C1341">
      <v>124</v>
    </nc>
  </rcc>
  <rcc rId="57" sId="5" numFmtId="4">
    <nc r="D1341">
      <v>4</v>
    </nc>
  </rcc>
  <rcc rId="58" sId="5" numFmtId="4">
    <nc r="E1341">
      <v>3</v>
    </nc>
  </rcc>
  <rcc rId="59" sId="5" numFmtId="4">
    <nc r="F1341">
      <v>1</v>
    </nc>
  </rcc>
  <rcc rId="60" sId="5" numFmtId="4">
    <nc r="G1341">
      <v>1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61" sId="5" numFmtId="4">
    <oc r="C1332">
      <v>76</v>
    </oc>
    <nc r="C1332"/>
  </rcc>
  <rcc rId="62" sId="5" numFmtId="4">
    <oc r="D1332">
      <v>6</v>
    </oc>
    <nc r="D1332"/>
  </rcc>
  <rcc rId="63" sId="5" numFmtId="4">
    <oc r="E1332">
      <v>9</v>
    </oc>
    <nc r="E1332"/>
  </rcc>
  <rcc rId="64" sId="5" numFmtId="4">
    <oc r="F1332">
      <v>4</v>
    </oc>
    <nc r="F1332"/>
  </rcc>
  <rcc rId="65" sId="5" numFmtId="4">
    <oc r="G1332">
      <v>2</v>
    </oc>
    <nc r="G1332"/>
  </rcc>
  <rcc rId="66" sId="5" numFmtId="4">
    <oc r="B1332">
      <v>13</v>
    </oc>
    <nc r="B1332"/>
  </rcc>
  <rcc rId="67" sId="5" numFmtId="4">
    <oc r="B1335">
      <v>13</v>
    </oc>
    <nc r="B1335"/>
  </rcc>
  <rcc rId="68" sId="5" numFmtId="4">
    <oc r="C1335">
      <v>126</v>
    </oc>
    <nc r="C1335"/>
  </rcc>
  <rcc rId="69" sId="5" numFmtId="4">
    <oc r="D1335">
      <v>1</v>
    </oc>
    <nc r="D1335"/>
  </rcc>
  <rcc rId="70" sId="5" numFmtId="4">
    <oc r="E1335">
      <v>5</v>
    </oc>
    <nc r="E1335"/>
  </rcc>
  <rcc rId="71" sId="5" numFmtId="4">
    <oc r="F1335">
      <v>2</v>
    </oc>
    <nc r="F1335"/>
  </rcc>
  <rcc rId="72" sId="5" numFmtId="4">
    <oc r="G1335">
      <v>0</v>
    </oc>
    <nc r="G1335"/>
  </rcc>
  <rcc rId="73" sId="5" numFmtId="4">
    <oc r="G1334">
      <v>4</v>
    </oc>
    <nc r="G1334"/>
  </rcc>
  <rcc rId="74" sId="5" numFmtId="4">
    <oc r="F1334">
      <v>3</v>
    </oc>
    <nc r="F1334"/>
  </rcc>
  <rcc rId="75" sId="5" numFmtId="4">
    <oc r="E1334">
      <v>11</v>
    </oc>
    <nc r="E1334"/>
  </rcc>
  <rcc rId="76" sId="5" numFmtId="4">
    <oc r="D1334">
      <v>5</v>
    </oc>
    <nc r="D1334"/>
  </rcc>
  <rcc rId="77" sId="5" numFmtId="4">
    <oc r="C1334">
      <v>114</v>
    </oc>
    <nc r="C1334"/>
  </rcc>
  <rcc rId="78" sId="5" numFmtId="4">
    <oc r="B1334">
      <v>13</v>
    </oc>
    <nc r="B1334"/>
  </rcc>
  <rcc rId="79" sId="5" numFmtId="4">
    <oc r="G1338">
      <v>0</v>
    </oc>
    <nc r="G1338"/>
  </rcc>
  <rcc rId="80" sId="5" numFmtId="4">
    <oc r="F1338">
      <v>0</v>
    </oc>
    <nc r="F1338"/>
  </rcc>
  <rcc rId="81" sId="5" numFmtId="4">
    <oc r="E1338">
      <v>3</v>
    </oc>
    <nc r="E1338"/>
  </rcc>
  <rcc rId="82" sId="5" numFmtId="4">
    <oc r="D1338">
      <v>4</v>
    </oc>
    <nc r="D1338"/>
  </rcc>
  <rcc rId="83" sId="5" numFmtId="4">
    <oc r="C1338">
      <v>126</v>
    </oc>
    <nc r="C1338"/>
  </rcc>
  <rcc rId="84" sId="5" numFmtId="4">
    <oc r="B1338">
      <v>13</v>
    </oc>
    <nc r="B1338"/>
  </rcc>
  <rcc rId="85" sId="5" numFmtId="4">
    <oc r="G1337">
      <v>0</v>
    </oc>
    <nc r="G1337"/>
  </rcc>
  <rcc rId="86" sId="5" numFmtId="4">
    <oc r="F1337">
      <v>1</v>
    </oc>
    <nc r="F1337"/>
  </rcc>
  <rcc rId="87" sId="5" numFmtId="4">
    <oc r="E1337">
      <v>7</v>
    </oc>
    <nc r="E1337"/>
  </rcc>
  <rcc rId="88" sId="5" numFmtId="4">
    <oc r="D1337">
      <v>3</v>
    </oc>
    <nc r="D1337"/>
  </rcc>
  <rcc rId="89" sId="5" numFmtId="4">
    <oc r="C1337">
      <v>126</v>
    </oc>
    <nc r="C1337"/>
  </rcc>
  <rcc rId="90" sId="5" numFmtId="4">
    <oc r="B1337">
      <v>13</v>
    </oc>
    <nc r="B1337"/>
  </rcc>
  <rcc rId="91" sId="5" numFmtId="4">
    <oc r="G1340">
      <v>0</v>
    </oc>
    <nc r="G1340"/>
  </rcc>
  <rcc rId="92" sId="5" numFmtId="4">
    <oc r="E1340">
      <v>1</v>
    </oc>
    <nc r="E1340"/>
  </rcc>
  <rcc rId="93" sId="5" numFmtId="4">
    <oc r="F1340">
      <v>0</v>
    </oc>
    <nc r="F1340"/>
  </rcc>
  <rcc rId="94" sId="5" numFmtId="4">
    <oc r="B1340">
      <v>13</v>
    </oc>
    <nc r="B1340"/>
  </rcc>
  <rcc rId="95" sId="5" numFmtId="4">
    <oc r="C1340">
      <v>124</v>
    </oc>
    <nc r="C1340"/>
  </rcc>
  <rcc rId="96" sId="5" numFmtId="4">
    <oc r="D1340">
      <v>2</v>
    </oc>
    <nc r="D1340"/>
  </rcc>
  <rcc rId="97" sId="5" numFmtId="4">
    <oc r="B1341">
      <v>13</v>
    </oc>
    <nc r="B1341"/>
  </rcc>
  <rcc rId="98" sId="5" numFmtId="4">
    <oc r="C1341">
      <v>124</v>
    </oc>
    <nc r="C1341"/>
  </rcc>
  <rcc rId="99" sId="5" numFmtId="4">
    <oc r="D1341">
      <v>4</v>
    </oc>
    <nc r="D1341"/>
  </rcc>
  <rcc rId="100" sId="5" numFmtId="4">
    <oc r="E1341">
      <v>3</v>
    </oc>
    <nc r="E1341"/>
  </rcc>
  <rcc rId="101" sId="5" numFmtId="4">
    <oc r="F1341">
      <v>1</v>
    </oc>
    <nc r="F1341"/>
  </rcc>
  <rcc rId="102" sId="5" numFmtId="4">
    <oc r="G1341">
      <v>1</v>
    </oc>
    <nc r="G1341"/>
  </rcc>
  <rcc rId="103" sId="5" numFmtId="4">
    <oc r="B1339">
      <v>13</v>
    </oc>
    <nc r="B1339"/>
  </rcc>
  <rcc rId="104" sId="5" numFmtId="4">
    <oc r="C1339">
      <v>126</v>
    </oc>
    <nc r="C1339"/>
  </rcc>
  <rcc rId="105" sId="5" numFmtId="4">
    <oc r="D1339">
      <v>5</v>
    </oc>
    <nc r="D1339"/>
  </rcc>
  <rcc rId="106" sId="5" numFmtId="4">
    <oc r="E1339">
      <v>5</v>
    </oc>
    <nc r="E1339"/>
  </rcc>
  <rcc rId="107" sId="5" numFmtId="4">
    <oc r="F1339">
      <v>3</v>
    </oc>
    <nc r="F1339"/>
  </rcc>
  <rcc rId="108" sId="5" numFmtId="4">
    <oc r="G1339">
      <v>0</v>
    </oc>
    <nc r="G1339"/>
  </rcc>
  <rcc rId="109" sId="5" numFmtId="4">
    <oc r="B1336">
      <v>13</v>
    </oc>
    <nc r="B1336"/>
  </rcc>
  <rcc rId="110" sId="5" numFmtId="4">
    <oc r="C1336">
      <v>126</v>
    </oc>
    <nc r="C1336"/>
  </rcc>
  <rcc rId="111" sId="5" numFmtId="4">
    <oc r="D1336">
      <v>2</v>
    </oc>
    <nc r="D1336"/>
  </rcc>
  <rcc rId="112" sId="5" numFmtId="4">
    <oc r="E1336">
      <v>4</v>
    </oc>
    <nc r="E1336"/>
  </rcc>
  <rcc rId="113" sId="5" numFmtId="4">
    <oc r="F1336">
      <v>0</v>
    </oc>
    <nc r="F1336"/>
  </rcc>
  <rcc rId="114" sId="5" numFmtId="4">
    <oc r="G1336">
      <v>0</v>
    </oc>
    <nc r="G1336"/>
  </rcc>
  <rcc rId="115" sId="5" numFmtId="4">
    <oc r="B1333">
      <v>13</v>
    </oc>
    <nc r="B1333"/>
  </rcc>
  <rcc rId="116" sId="5" numFmtId="4">
    <oc r="C1333">
      <v>76</v>
    </oc>
    <nc r="C1333"/>
  </rcc>
  <rcc rId="117" sId="5" numFmtId="4">
    <oc r="D1333">
      <v>5</v>
    </oc>
    <nc r="D1333"/>
  </rcc>
  <rcc rId="118" sId="5" numFmtId="4">
    <oc r="E1333">
      <v>13</v>
    </oc>
    <nc r="E1333"/>
  </rcc>
  <rcc rId="119" sId="5" numFmtId="4">
    <oc r="F1333">
      <v>13</v>
    </oc>
    <nc r="F1333"/>
  </rcc>
  <rcc rId="120" sId="5" numFmtId="4">
    <oc r="G1333">
      <v>0</v>
    </oc>
    <nc r="G1333"/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121" sId="2" numFmtId="4">
    <oc r="C88">
      <v>15</v>
    </oc>
    <nc r="C88">
      <v>53</v>
    </nc>
  </rcc>
  <rcc rId="122" sId="2" numFmtId="4">
    <oc r="D88">
      <v>2</v>
    </oc>
    <nc r="D88">
      <v>6</v>
    </nc>
  </rcc>
  <rcc rId="123" sId="2" numFmtId="4">
    <oc r="E88">
      <v>1</v>
    </oc>
    <nc r="E88">
      <v>4</v>
    </nc>
  </rcc>
  <rcc rId="124" sId="2" numFmtId="4">
    <nc r="F88">
      <v>2</v>
    </nc>
  </rcc>
  <rcc rId="125" sId="2" numFmtId="4">
    <nc r="G88">
      <v>0</v>
    </nc>
  </rcc>
  <rcc rId="126" sId="2" numFmtId="4">
    <nc r="H88">
      <v>0</v>
    </nc>
  </rcc>
  <rcc rId="127" sId="2" numFmtId="4">
    <nc r="B89">
      <v>13</v>
    </nc>
  </rcc>
  <rcc rId="128" sId="2" numFmtId="4">
    <nc r="C89">
      <v>75</v>
    </nc>
  </rcc>
  <rcc rId="129" sId="2" numFmtId="4">
    <nc r="D89">
      <v>2</v>
    </nc>
  </rcc>
  <rcc rId="130" sId="2" numFmtId="4">
    <nc r="E89">
      <v>1</v>
    </nc>
  </rcc>
  <rcc rId="131" sId="2" numFmtId="4">
    <nc r="F89">
      <v>24</v>
    </nc>
  </rcc>
  <rcc rId="132" sId="2" numFmtId="4">
    <nc r="G89">
      <v>0</v>
    </nc>
  </rcc>
  <rcc rId="133" sId="2" numFmtId="4">
    <nc r="H89">
      <v>0</v>
    </nc>
  </rcc>
  <rcc rId="134" sId="2" numFmtId="4">
    <nc r="B90">
      <v>13</v>
    </nc>
  </rcc>
  <rcc rId="135" sId="2" numFmtId="4">
    <nc r="C90">
      <v>105</v>
    </nc>
  </rcc>
  <rcc rId="136" sId="2" numFmtId="4">
    <nc r="D90">
      <v>2</v>
    </nc>
  </rcc>
  <rcc rId="137" sId="2" numFmtId="4">
    <nc r="E90">
      <v>13</v>
    </nc>
  </rcc>
  <rcc rId="138" sId="2" numFmtId="4">
    <nc r="F90">
      <v>3</v>
    </nc>
  </rcc>
  <rcc rId="139" sId="2" numFmtId="4">
    <nc r="G90">
      <v>0</v>
    </nc>
  </rcc>
  <rcc rId="140" sId="2" numFmtId="4">
    <nc r="H90">
      <v>0</v>
    </nc>
  </rcc>
  <rcc rId="141" sId="2" numFmtId="4">
    <nc r="B91">
      <v>13</v>
    </nc>
  </rcc>
  <rcc rId="142" sId="2" numFmtId="4">
    <nc r="C91">
      <v>73</v>
    </nc>
  </rcc>
  <rcc rId="143" sId="2" numFmtId="4">
    <nc r="D91">
      <v>4</v>
    </nc>
  </rcc>
  <rcc rId="144" sId="2" numFmtId="4">
    <nc r="E91">
      <v>0</v>
    </nc>
  </rcc>
  <rcc rId="145" sId="2" numFmtId="4">
    <nc r="F91">
      <v>4</v>
    </nc>
  </rcc>
  <rcc rId="146" sId="2" numFmtId="4">
    <nc r="G91">
      <v>0</v>
    </nc>
  </rcc>
  <rcc rId="147" sId="2" numFmtId="4">
    <nc r="H91">
      <v>0</v>
    </nc>
  </rcc>
  <rcc rId="148" sId="2" numFmtId="4">
    <nc r="B92">
      <v>13</v>
    </nc>
  </rcc>
  <rcc rId="149" sId="2" numFmtId="4">
    <nc r="C92">
      <v>73</v>
    </nc>
  </rcc>
  <rcc rId="150" sId="2" numFmtId="4">
    <nc r="D92">
      <v>3</v>
    </nc>
  </rcc>
  <rcc rId="151" sId="2" numFmtId="4">
    <nc r="E92">
      <v>1</v>
    </nc>
  </rcc>
  <rcc rId="152" sId="2" numFmtId="4">
    <nc r="F92">
      <v>2</v>
    </nc>
  </rcc>
  <rcc rId="153" sId="2" numFmtId="4">
    <nc r="G92">
      <v>0</v>
    </nc>
  </rcc>
  <rcc rId="154" sId="2" numFmtId="4">
    <nc r="H92">
      <v>0</v>
    </nc>
  </rcc>
  <rcc rId="155" sId="2" numFmtId="4">
    <nc r="B93">
      <v>1</v>
    </nc>
  </rcc>
  <rcc rId="156" sId="2" numFmtId="4">
    <nc r="C93">
      <v>20</v>
    </nc>
  </rcc>
  <rcc rId="157" sId="2" numFmtId="4">
    <nc r="D93">
      <v>5</v>
    </nc>
  </rcc>
  <rcc rId="158" sId="2" numFmtId="4">
    <nc r="E93">
      <v>3</v>
    </nc>
  </rcc>
  <rcc rId="159" sId="2" numFmtId="4">
    <nc r="F93">
      <v>9</v>
    </nc>
  </rcc>
  <rcc rId="160" sId="2" numFmtId="4">
    <nc r="G93">
      <v>0</v>
    </nc>
  </rcc>
  <rcc rId="161" sId="2" numFmtId="4">
    <nc r="H93">
      <v>0</v>
    </nc>
  </rcc>
  <rcc rId="162" sId="2" numFmtId="4">
    <nc r="B94">
      <v>13</v>
    </nc>
  </rcc>
  <rcc rId="163" sId="2" numFmtId="4">
    <nc r="C94">
      <v>20</v>
    </nc>
  </rcc>
  <rcc rId="164" sId="2" numFmtId="4">
    <nc r="D94">
      <v>4</v>
    </nc>
  </rcc>
  <rcc rId="165" sId="2" numFmtId="4">
    <nc r="E94">
      <v>2</v>
    </nc>
  </rcc>
  <rcc rId="166" sId="2" numFmtId="4">
    <nc r="F94">
      <v>5</v>
    </nc>
  </rcc>
  <rcc rId="167" sId="2" numFmtId="4">
    <nc r="G94">
      <v>0</v>
    </nc>
  </rcc>
  <rcc rId="168" sId="2" numFmtId="4">
    <nc r="H94">
      <v>0</v>
    </nc>
  </rcc>
  <rcc rId="169" sId="2" numFmtId="4">
    <nc r="B95">
      <v>13</v>
    </nc>
  </rcc>
  <rcc rId="170" sId="2" numFmtId="4">
    <nc r="C95">
      <v>31</v>
    </nc>
  </rcc>
  <rcc rId="171" sId="2" numFmtId="4">
    <nc r="G95">
      <v>0</v>
    </nc>
  </rcc>
  <rcc rId="172" sId="2" numFmtId="4">
    <nc r="D95">
      <v>6</v>
    </nc>
  </rcc>
  <rcc rId="173" sId="2" numFmtId="4">
    <nc r="E95">
      <v>7</v>
    </nc>
  </rcc>
  <rcc rId="174" sId="2" numFmtId="4">
    <nc r="F95">
      <v>4</v>
    </nc>
  </rcc>
  <rcc rId="175" sId="2" numFmtId="4">
    <nc r="H95">
      <v>0</v>
    </nc>
  </rcc>
  <rcc rId="176" sId="2" numFmtId="4">
    <nc r="B96">
      <v>13</v>
    </nc>
  </rcc>
  <rcc rId="177" sId="2" numFmtId="4">
    <nc r="C96">
      <v>31</v>
    </nc>
  </rcc>
  <rcc rId="178" sId="2" numFmtId="4">
    <nc r="D96">
      <v>5</v>
    </nc>
  </rcc>
  <rcc rId="179" sId="2" numFmtId="4">
    <nc r="E96">
      <v>5</v>
    </nc>
  </rcc>
  <rcc rId="180" sId="2" numFmtId="4">
    <nc r="F96">
      <v>2</v>
    </nc>
  </rcc>
  <rcc rId="181" sId="2" numFmtId="4">
    <nc r="G96">
      <v>0</v>
    </nc>
  </rcc>
  <rcc rId="182" sId="2" numFmtId="4">
    <nc r="H96">
      <v>0</v>
    </nc>
  </rcc>
  <rcc rId="183" sId="2" numFmtId="4">
    <nc r="B97">
      <v>13</v>
    </nc>
  </rcc>
  <rcc rId="184" sId="2" numFmtId="4">
    <nc r="C97">
      <v>35</v>
    </nc>
  </rcc>
  <rcc rId="185" sId="2" numFmtId="4">
    <nc r="D97">
      <v>3</v>
    </nc>
  </rcc>
  <rcc rId="186" sId="2" numFmtId="4">
    <nc r="E97">
      <v>15</v>
    </nc>
  </rcc>
  <rcc rId="187" sId="2" numFmtId="4">
    <nc r="F97">
      <v>10</v>
    </nc>
  </rcc>
  <rcc rId="188" sId="2" numFmtId="4">
    <nc r="G97">
      <v>0</v>
    </nc>
  </rcc>
  <rcc rId="189" sId="2" numFmtId="4">
    <nc r="H97">
      <v>0</v>
    </nc>
  </rcc>
  <rcc rId="190" sId="2" numFmtId="4">
    <nc r="B98">
      <v>13</v>
    </nc>
  </rcc>
  <rcc rId="191" sId="2" numFmtId="4">
    <nc r="C98">
      <v>46</v>
    </nc>
  </rcc>
  <rcc rId="192" sId="2" numFmtId="4">
    <nc r="D98">
      <v>5</v>
    </nc>
  </rcc>
  <rcc rId="193" sId="2" numFmtId="4">
    <nc r="E98">
      <v>0</v>
    </nc>
  </rcc>
  <rcc rId="194" sId="2" numFmtId="4">
    <nc r="F98">
      <v>1</v>
    </nc>
  </rcc>
  <rcc rId="195" sId="2" numFmtId="4">
    <nc r="G98">
      <v>0</v>
    </nc>
  </rcc>
  <rcc rId="196" sId="2" numFmtId="4">
    <nc r="H98">
      <v>0</v>
    </nc>
  </rcc>
  <rcc rId="197" sId="2" numFmtId="4">
    <nc r="B99">
      <v>13</v>
    </nc>
  </rcc>
  <rcc rId="198" sId="2" numFmtId="4">
    <nc r="C99">
      <v>46</v>
    </nc>
  </rcc>
  <rcc rId="199" sId="2" numFmtId="4">
    <nc r="D99">
      <v>4</v>
    </nc>
  </rcc>
  <rcc rId="200" sId="2" numFmtId="4">
    <nc r="E99">
      <v>0</v>
    </nc>
  </rcc>
  <rcc rId="201" sId="2" numFmtId="4">
    <nc r="F99">
      <v>2</v>
    </nc>
  </rcc>
  <rcc rId="202" sId="2" numFmtId="4">
    <nc r="G99">
      <v>0</v>
    </nc>
  </rcc>
  <rcc rId="203" sId="2" numFmtId="4">
    <nc r="H99">
      <v>0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204" sId="5" numFmtId="4">
    <oc r="B1331">
      <v>13</v>
    </oc>
    <nc r="B1331"/>
  </rcc>
  <rcc rId="205" sId="5" numFmtId="4">
    <oc r="C1331">
      <v>114</v>
    </oc>
    <nc r="C1331"/>
  </rcc>
  <rcc rId="206" sId="5" numFmtId="4">
    <oc r="D1331">
      <v>2</v>
    </oc>
    <nc r="D1331"/>
  </rcc>
  <rcc rId="207" sId="5" numFmtId="4">
    <oc r="E1331">
      <v>10</v>
    </oc>
    <nc r="E1331"/>
  </rcc>
  <rcc rId="208" sId="5" numFmtId="4">
    <oc r="F1331">
      <v>6</v>
    </oc>
    <nc r="F1331"/>
  </rcc>
  <rcc rId="209" sId="5" numFmtId="4">
    <oc r="G1331">
      <v>8</v>
    </oc>
    <nc r="G1331"/>
  </rcc>
  <rcc rId="210" sId="5" numFmtId="4">
    <oc r="B1330">
      <v>13</v>
    </oc>
    <nc r="B1330"/>
  </rcc>
  <rcc rId="211" sId="5" numFmtId="4">
    <oc r="C1330">
      <v>77</v>
    </oc>
    <nc r="C1330"/>
  </rcc>
  <rcc rId="212" sId="5" numFmtId="4">
    <oc r="D1330">
      <v>3</v>
    </oc>
    <nc r="D1330"/>
  </rcc>
  <rcc rId="213" sId="5" numFmtId="4">
    <oc r="E1330">
      <v>13</v>
    </oc>
    <nc r="E1330"/>
  </rcc>
  <rcc rId="214" sId="5" numFmtId="4">
    <oc r="F1330">
      <v>10</v>
    </oc>
    <nc r="F1330"/>
  </rcc>
  <rcc rId="215" sId="5" numFmtId="4">
    <oc r="G1330">
      <v>0</v>
    </oc>
    <nc r="G1330"/>
  </rcc>
  <rcc rId="216" sId="5" numFmtId="4">
    <oc r="B1329">
      <v>13</v>
    </oc>
    <nc r="B1329"/>
  </rcc>
  <rcc rId="217" sId="5" numFmtId="4">
    <oc r="C1329">
      <v>95</v>
    </oc>
    <nc r="C1329"/>
  </rcc>
  <rcc rId="218" sId="5" numFmtId="4">
    <oc r="D1329">
      <v>1</v>
    </oc>
    <nc r="D1329"/>
  </rcc>
  <rcc rId="219" sId="5" numFmtId="4">
    <oc r="E1329">
      <v>13</v>
    </oc>
    <nc r="E1329"/>
  </rcc>
  <rcc rId="220" sId="5" numFmtId="4">
    <oc r="F1329">
      <v>12</v>
    </oc>
    <nc r="F1329"/>
  </rcc>
  <rcc rId="221" sId="5" numFmtId="4">
    <oc r="G1329">
      <v>0</v>
    </oc>
    <nc r="G1329"/>
  </rcc>
  <rcc rId="222" sId="5" numFmtId="4">
    <oc r="B1328">
      <v>13</v>
    </oc>
    <nc r="B1328"/>
  </rcc>
  <rcc rId="223" sId="5" numFmtId="4">
    <oc r="C1328">
      <v>91</v>
    </oc>
    <nc r="C1328"/>
  </rcc>
  <rcc rId="224" sId="5" numFmtId="4">
    <oc r="D1328">
      <v>1</v>
    </oc>
    <nc r="D1328"/>
  </rcc>
  <rcc rId="225" sId="5" numFmtId="4">
    <oc r="E1328">
      <v>20</v>
    </oc>
    <nc r="E1328"/>
  </rcc>
  <rcc rId="226" sId="5" numFmtId="4">
    <oc r="F1328">
      <v>5</v>
    </oc>
    <nc r="F1328"/>
  </rcc>
  <rcc rId="227" sId="5" numFmtId="4">
    <oc r="G1328">
      <v>0</v>
    </oc>
    <nc r="G1328"/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228" sId="2" numFmtId="4">
    <nc r="B100">
      <v>13</v>
    </nc>
  </rcc>
  <rcc rId="229" sId="2" numFmtId="4">
    <nc r="C100">
      <v>61</v>
    </nc>
  </rcc>
  <rcc rId="230" sId="2" numFmtId="4">
    <nc r="D100">
      <v>5</v>
    </nc>
  </rcc>
  <rcc rId="231" sId="2" numFmtId="4">
    <nc r="E100">
      <v>2</v>
    </nc>
  </rcc>
  <rcc rId="232" sId="2" numFmtId="4">
    <nc r="F100">
      <v>20</v>
    </nc>
  </rcc>
  <rcc rId="233" sId="2" numFmtId="4">
    <nc r="G100">
      <v>0</v>
    </nc>
  </rcc>
  <rcc rId="234" sId="2" numFmtId="4">
    <nc r="H100">
      <v>0</v>
    </nc>
  </rcc>
  <rcc rId="235" sId="2" numFmtId="4">
    <nc r="B101">
      <v>13</v>
    </nc>
  </rcc>
  <rcc rId="236" sId="2" numFmtId="4">
    <nc r="C101">
      <v>61</v>
    </nc>
  </rcc>
  <rcc rId="237" sId="2" numFmtId="4">
    <nc r="D101">
      <v>6</v>
    </nc>
  </rcc>
  <rcc rId="238" sId="2" numFmtId="4">
    <nc r="E101">
      <v>4</v>
    </nc>
  </rcc>
  <rcc rId="239" sId="2" numFmtId="4">
    <nc r="F101">
      <v>21</v>
    </nc>
  </rcc>
  <rcc rId="240" sId="2" numFmtId="4">
    <nc r="G101">
      <v>0</v>
    </nc>
  </rcc>
  <rcc rId="241" sId="2" numFmtId="4">
    <nc r="H101">
      <v>0</v>
    </nc>
  </rcc>
  <rcc rId="242" sId="2" numFmtId="4">
    <nc r="B102">
      <v>13</v>
    </nc>
  </rcc>
  <rcc rId="243" sId="2" numFmtId="4">
    <nc r="C102">
      <v>25</v>
    </nc>
  </rcc>
  <rcc rId="244" sId="2" numFmtId="4">
    <nc r="D102">
      <v>4</v>
    </nc>
  </rcc>
  <rcc rId="245" sId="2" numFmtId="4">
    <nc r="E102">
      <v>5</v>
    </nc>
  </rcc>
  <rcc rId="246" sId="2" numFmtId="4">
    <nc r="F102">
      <v>0</v>
    </nc>
  </rcc>
  <rcc rId="247" sId="2" numFmtId="4">
    <nc r="G102">
      <v>0</v>
    </nc>
  </rcc>
  <rcc rId="248" sId="2" numFmtId="4">
    <nc r="H102">
      <v>0</v>
    </nc>
  </rcc>
  <rcc rId="249" sId="2" numFmtId="4">
    <nc r="B103">
      <v>13</v>
    </nc>
  </rcc>
  <rcc rId="250" sId="2" numFmtId="4">
    <nc r="C103">
      <v>35</v>
    </nc>
  </rcc>
  <rcc rId="251" sId="2" numFmtId="4">
    <nc r="D103">
      <v>2</v>
    </nc>
  </rcc>
  <rcc rId="252" sId="2" numFmtId="4">
    <nc r="E103">
      <v>12</v>
    </nc>
  </rcc>
  <rcc rId="253" sId="2" numFmtId="4">
    <nc r="F103">
      <v>9</v>
    </nc>
  </rcc>
  <rcc rId="254" sId="2" numFmtId="4">
    <nc r="G103">
      <v>0</v>
    </nc>
  </rcc>
  <rcc rId="255" sId="2" numFmtId="4">
    <nc r="H103">
      <v>0</v>
    </nc>
  </rcc>
  <rcc rId="256" sId="2" numFmtId="4">
    <nc r="B104">
      <v>13</v>
    </nc>
  </rcc>
  <rcc rId="257" sId="2" numFmtId="4">
    <nc r="C104">
      <v>15</v>
    </nc>
  </rcc>
  <rcc rId="258" sId="2" numFmtId="4">
    <nc r="D104">
      <v>4</v>
    </nc>
  </rcc>
  <rcc rId="259" sId="2" numFmtId="4">
    <nc r="E104">
      <v>2</v>
    </nc>
  </rcc>
  <rcc rId="260" sId="2" numFmtId="4">
    <nc r="F104">
      <v>0</v>
    </nc>
  </rcc>
  <rcc rId="261" sId="2" numFmtId="4">
    <nc r="G104">
      <v>0</v>
    </nc>
  </rcc>
  <rcc rId="262" sId="2" numFmtId="4">
    <nc r="H104">
      <v>0</v>
    </nc>
  </rcc>
  <rcc rId="263" sId="2" numFmtId="4">
    <nc r="B105">
      <v>13</v>
    </nc>
  </rcc>
  <rcc rId="264" sId="2" numFmtId="4">
    <nc r="C105">
      <v>15</v>
    </nc>
  </rcc>
  <rcc rId="265" sId="2" numFmtId="4">
    <nc r="D105">
      <v>5</v>
    </nc>
  </rcc>
  <rcc rId="266" sId="2" numFmtId="4">
    <nc r="E105">
      <v>2</v>
    </nc>
  </rcc>
  <rcc rId="267" sId="2" numFmtId="4">
    <nc r="F105">
      <v>0</v>
    </nc>
  </rcc>
  <rcc rId="268" sId="2" numFmtId="4">
    <nc r="G105">
      <v>0</v>
    </nc>
  </rcc>
  <rcc rId="269" sId="2" numFmtId="4">
    <nc r="H105">
      <v>0</v>
    </nc>
  </rcc>
  <rcc rId="270" sId="2" numFmtId="4">
    <nc r="B106">
      <v>13</v>
    </nc>
  </rcc>
  <rcc rId="271" sId="2" numFmtId="4">
    <nc r="C106">
      <v>16</v>
    </nc>
  </rcc>
  <rcc rId="272" sId="2" numFmtId="4">
    <nc r="D106">
      <v>3</v>
    </nc>
  </rcc>
  <rcc rId="273" sId="2" numFmtId="4">
    <nc r="E106">
      <v>3</v>
    </nc>
  </rcc>
  <rcc rId="274" sId="2" numFmtId="4">
    <nc r="F106">
      <v>4</v>
    </nc>
  </rcc>
  <rcc rId="275" sId="2" numFmtId="4">
    <nc r="G106">
      <v>0</v>
    </nc>
  </rcc>
  <rcc rId="276" sId="2" numFmtId="4">
    <nc r="H106">
      <v>0</v>
    </nc>
  </rcc>
  <rcc rId="277" sId="2" numFmtId="4">
    <nc r="B107">
      <v>13</v>
    </nc>
  </rcc>
  <rcc rId="278" sId="2" numFmtId="4">
    <nc r="C107">
      <v>16</v>
    </nc>
  </rcc>
  <rcc rId="279" sId="2" numFmtId="4">
    <nc r="D107">
      <v>2</v>
    </nc>
  </rcc>
  <rcc rId="280" sId="2" numFmtId="4">
    <nc r="E107">
      <v>12</v>
    </nc>
  </rcc>
  <rcc rId="281" sId="2" numFmtId="4">
    <nc r="F107">
      <v>11</v>
    </nc>
  </rcc>
  <rcc rId="282" sId="2" numFmtId="4">
    <nc r="G107">
      <v>0</v>
    </nc>
  </rcc>
  <rcc rId="283" sId="2" numFmtId="4">
    <nc r="H107">
      <v>0</v>
    </nc>
  </rcc>
  <rcc rId="284" sId="2" numFmtId="4">
    <nc r="B108">
      <v>13</v>
    </nc>
  </rcc>
  <rcc rId="285" sId="2" numFmtId="4">
    <nc r="C108">
      <v>19</v>
    </nc>
  </rcc>
  <rcc rId="286" sId="2" numFmtId="4">
    <nc r="D108">
      <v>4</v>
    </nc>
  </rcc>
  <rcc rId="287" sId="2" numFmtId="4">
    <nc r="E108">
      <v>5</v>
    </nc>
  </rcc>
  <rcc rId="288" sId="2" numFmtId="4">
    <nc r="F108">
      <v>6</v>
    </nc>
  </rcc>
  <rcc rId="289" sId="2" numFmtId="4">
    <nc r="G108">
      <v>0</v>
    </nc>
  </rcc>
  <rcc rId="290" sId="2" numFmtId="4">
    <nc r="H108">
      <v>0</v>
    </nc>
  </rcc>
  <rcc rId="291" sId="2" numFmtId="4">
    <nc r="B109">
      <v>13</v>
    </nc>
  </rcc>
  <rcc rId="292" sId="2" numFmtId="4">
    <nc r="C109">
      <v>19</v>
    </nc>
  </rcc>
  <rcc rId="293" sId="2" numFmtId="4">
    <nc r="D109">
      <v>5</v>
    </nc>
  </rcc>
  <rcc rId="294" sId="2" numFmtId="4">
    <nc r="E109">
      <v>5</v>
    </nc>
  </rcc>
  <rcc rId="295" sId="2" numFmtId="4">
    <nc r="F109">
      <v>8</v>
    </nc>
  </rcc>
  <rcc rId="296" sId="2" numFmtId="4">
    <nc r="G109">
      <v>0</v>
    </nc>
  </rcc>
  <rcc rId="297" sId="2" numFmtId="4">
    <nc r="H109">
      <v>0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298" sId="8" numFmtId="4">
    <nc r="B24">
      <v>23</v>
    </nc>
  </rcc>
  <rcc rId="299" sId="8" numFmtId="4">
    <nc r="C24">
      <v>133</v>
    </nc>
  </rcc>
  <rcc rId="300" sId="8" numFmtId="4">
    <nc r="D24">
      <v>3</v>
    </nc>
  </rcc>
  <rcc rId="301" sId="8" numFmtId="4">
    <nc r="E24">
      <v>0</v>
    </nc>
  </rcc>
  <rcc rId="302" sId="8" numFmtId="4">
    <nc r="F24">
      <v>1</v>
    </nc>
  </rcc>
  <rcc rId="303" sId="8" numFmtId="4">
    <nc r="G24">
      <v>0</v>
    </nc>
  </rcc>
  <rcc rId="304" sId="8" numFmtId="4">
    <nc r="B25">
      <v>23</v>
    </nc>
  </rcc>
  <rcc rId="305" sId="8" numFmtId="4">
    <nc r="C25">
      <v>133</v>
    </nc>
  </rcc>
  <rcc rId="306" sId="8" numFmtId="4">
    <nc r="D25">
      <v>4</v>
    </nc>
  </rcc>
  <rcc rId="307" sId="8" numFmtId="4">
    <nc r="E25">
      <v>11</v>
    </nc>
  </rcc>
  <rcc rId="308" sId="8" numFmtId="4">
    <nc r="F25">
      <v>5</v>
    </nc>
  </rcc>
  <rcc rId="309" sId="8" numFmtId="4">
    <nc r="G25">
      <v>0</v>
    </nc>
  </rcc>
  <rcc rId="310" sId="5" numFmtId="4">
    <nc r="B123">
      <v>13</v>
    </nc>
  </rcc>
  <rcc rId="311" sId="5" numFmtId="4">
    <nc r="C123">
      <v>91</v>
    </nc>
  </rcc>
  <rcc rId="312" sId="5" numFmtId="4">
    <nc r="D123">
      <v>1</v>
    </nc>
  </rcc>
  <rcc rId="313" sId="5" numFmtId="4">
    <nc r="E123">
      <v>20</v>
    </nc>
  </rcc>
  <rcc rId="314" sId="5" numFmtId="4">
    <nc r="F123">
      <v>5</v>
    </nc>
  </rcc>
  <rcc rId="315" sId="5" numFmtId="4">
    <nc r="G123">
      <v>0</v>
    </nc>
  </rcc>
  <rcc rId="316" sId="5" numFmtId="4">
    <nc r="B124">
      <v>13</v>
    </nc>
  </rcc>
  <rcc rId="317" sId="5" numFmtId="4">
    <nc r="C124">
      <v>95</v>
    </nc>
  </rcc>
  <rcc rId="318" sId="5" numFmtId="4">
    <nc r="D124">
      <v>1</v>
    </nc>
  </rcc>
  <rcc rId="319" sId="5" numFmtId="4">
    <nc r="E124">
      <v>13</v>
    </nc>
  </rcc>
  <rcc rId="320" sId="5" numFmtId="4">
    <nc r="F124">
      <v>12</v>
    </nc>
  </rcc>
  <rcc rId="321" sId="5" numFmtId="4">
    <nc r="G124">
      <v>0</v>
    </nc>
  </rcc>
  <rcc rId="322" sId="5" numFmtId="4">
    <nc r="B125">
      <v>13</v>
    </nc>
  </rcc>
  <rcc rId="323" sId="5" numFmtId="4">
    <nc r="C125">
      <v>77</v>
    </nc>
  </rcc>
  <rcc rId="324" sId="5" numFmtId="4">
    <nc r="D125">
      <v>3</v>
    </nc>
  </rcc>
  <rcc rId="325" sId="5" numFmtId="4">
    <nc r="E125">
      <v>13</v>
    </nc>
  </rcc>
  <rcc rId="326" sId="5" numFmtId="4">
    <nc r="F125">
      <v>10</v>
    </nc>
  </rcc>
  <rcc rId="327" sId="5" numFmtId="4">
    <nc r="G125">
      <v>0</v>
    </nc>
  </rcc>
  <rcc rId="328" sId="5" numFmtId="4">
    <nc r="B126">
      <v>13</v>
    </nc>
  </rcc>
  <rcc rId="329" sId="5" numFmtId="4">
    <nc r="C126">
      <v>114</v>
    </nc>
  </rcc>
  <rcc rId="330" sId="5" numFmtId="4">
    <nc r="D126">
      <v>2</v>
    </nc>
  </rcc>
  <rcc rId="331" sId="5" numFmtId="4">
    <nc r="E126">
      <v>10</v>
    </nc>
  </rcc>
  <rcc rId="332" sId="5" numFmtId="4">
    <nc r="F126">
      <v>6</v>
    </nc>
  </rcc>
  <rcc rId="333" sId="5" numFmtId="4">
    <nc r="G126">
      <v>8</v>
    </nc>
  </rcc>
  <rcc rId="334" sId="5" numFmtId="4">
    <nc r="B127">
      <v>13</v>
    </nc>
  </rcc>
  <rcc rId="335" sId="5" numFmtId="4">
    <nc r="C127">
      <v>76</v>
    </nc>
  </rcc>
  <rcc rId="336" sId="5" numFmtId="4">
    <nc r="D127">
      <v>5</v>
    </nc>
  </rcc>
  <rcc rId="337" sId="5" numFmtId="4">
    <nc r="E127">
      <v>13</v>
    </nc>
  </rcc>
  <rcc rId="338" sId="5" numFmtId="4">
    <nc r="F127">
      <v>13</v>
    </nc>
  </rcc>
  <rcc rId="339" sId="5" numFmtId="4">
    <nc r="G127">
      <v>0</v>
    </nc>
  </rcc>
  <rcc rId="340" sId="5" numFmtId="4">
    <nc r="B128">
      <v>13</v>
    </nc>
  </rcc>
  <rcc rId="341" sId="5" numFmtId="4">
    <nc r="C128">
      <v>126</v>
    </nc>
  </rcc>
  <rcc rId="342" sId="5" numFmtId="4">
    <nc r="D128">
      <v>2</v>
    </nc>
  </rcc>
  <rcc rId="343" sId="5" numFmtId="4">
    <nc r="E128">
      <v>4</v>
    </nc>
  </rcc>
  <rcc rId="344" sId="5" numFmtId="4">
    <nc r="F128">
      <v>0</v>
    </nc>
  </rcc>
  <rcc rId="345" sId="5" numFmtId="4">
    <nc r="G128">
      <v>0</v>
    </nc>
  </rcc>
  <rcc rId="346" sId="5" numFmtId="4">
    <nc r="B129">
      <v>13</v>
    </nc>
  </rcc>
  <rcc rId="347" sId="5" numFmtId="4">
    <nc r="C129">
      <v>126</v>
    </nc>
  </rcc>
  <rcc rId="348" sId="5" numFmtId="4">
    <nc r="D129">
      <v>5</v>
    </nc>
  </rcc>
  <rcc rId="349" sId="5" numFmtId="4">
    <nc r="E129">
      <v>5</v>
    </nc>
  </rcc>
  <rcc rId="350" sId="5" numFmtId="4">
    <nc r="F129">
      <v>3</v>
    </nc>
  </rcc>
  <rcc rId="351" sId="5" numFmtId="4">
    <nc r="G129">
      <v>0</v>
    </nc>
  </rcc>
  <rcc rId="352" sId="5" numFmtId="4">
    <nc r="B130">
      <v>13</v>
    </nc>
  </rcc>
  <rcc rId="353" sId="5" numFmtId="4">
    <nc r="C130">
      <v>126</v>
    </nc>
  </rcc>
  <rcc rId="354" sId="5" numFmtId="4">
    <nc r="D130">
      <v>4</v>
    </nc>
  </rcc>
  <rcc rId="355" sId="5" numFmtId="4">
    <nc r="E130">
      <v>3</v>
    </nc>
  </rcc>
  <rcc rId="356" sId="5" numFmtId="4">
    <nc r="F130">
      <v>1</v>
    </nc>
  </rcc>
  <rcc rId="357" sId="5" numFmtId="4">
    <nc r="G130">
      <v>1</v>
    </nc>
  </rcc>
  <rcc rId="358" sId="5" numFmtId="4">
    <nc r="B131">
      <v>13</v>
    </nc>
  </rcc>
  <rcc rId="359" sId="5" numFmtId="4">
    <nc r="C131">
      <v>124</v>
    </nc>
  </rcc>
  <rcc rId="360" sId="5" numFmtId="4">
    <nc r="D131">
      <v>2</v>
    </nc>
  </rcc>
  <rcc rId="361" sId="5" numFmtId="4">
    <nc r="E131">
      <v>1</v>
    </nc>
  </rcc>
  <rcc rId="362" sId="5" numFmtId="4">
    <nc r="F131">
      <v>0</v>
    </nc>
  </rcc>
  <rcc rId="363" sId="5" numFmtId="4">
    <nc r="G131">
      <v>0</v>
    </nc>
  </rcc>
  <rcc rId="364" sId="5" numFmtId="4">
    <nc r="B132">
      <v>13</v>
    </nc>
  </rcc>
  <rcc rId="365" sId="5" numFmtId="4">
    <nc r="C132">
      <v>126</v>
    </nc>
  </rcc>
  <rcc rId="366" sId="5" numFmtId="4">
    <nc r="D132">
      <v>3</v>
    </nc>
  </rcc>
  <rcc rId="367" sId="5" numFmtId="4">
    <nc r="E132">
      <v>7</v>
    </nc>
  </rcc>
  <rcc rId="368" sId="5" numFmtId="4">
    <nc r="F132">
      <v>1</v>
    </nc>
  </rcc>
  <rcc rId="369" sId="5" numFmtId="4">
    <nc r="G132">
      <v>0</v>
    </nc>
  </rcc>
  <rcc rId="370" sId="5" numFmtId="4">
    <nc r="B133">
      <v>13</v>
    </nc>
  </rcc>
  <rcc rId="371" sId="5" numFmtId="4">
    <nc r="C133">
      <v>126</v>
    </nc>
  </rcc>
  <rcc rId="372" sId="5" numFmtId="4">
    <nc r="D133">
      <v>4</v>
    </nc>
  </rcc>
  <rcc rId="373" sId="5" numFmtId="4">
    <nc r="E133">
      <v>3</v>
    </nc>
  </rcc>
  <rcc rId="374" sId="5" numFmtId="4">
    <nc r="F133">
      <v>0</v>
    </nc>
  </rcc>
  <rcc rId="375" sId="5" numFmtId="4">
    <nc r="G133">
      <v>0</v>
    </nc>
  </rcc>
  <rcc rId="376" sId="5" numFmtId="4">
    <nc r="B134">
      <v>13</v>
    </nc>
  </rcc>
  <rcc rId="377" sId="5" numFmtId="4">
    <nc r="C134">
      <v>114</v>
    </nc>
  </rcc>
  <rcc rId="378" sId="5" numFmtId="4">
    <nc r="D134">
      <v>5</v>
    </nc>
  </rcc>
  <rcc rId="379" sId="5" numFmtId="4">
    <nc r="E134">
      <v>11</v>
    </nc>
  </rcc>
  <rcc rId="380" sId="5" numFmtId="4">
    <nc r="F134">
      <v>3</v>
    </nc>
  </rcc>
  <rcc rId="381" sId="5" numFmtId="4">
    <nc r="G134">
      <v>4</v>
    </nc>
  </rcc>
  <rcc rId="382" sId="5" numFmtId="4">
    <nc r="B135">
      <v>13</v>
    </nc>
  </rcc>
  <rcc rId="383" sId="5" numFmtId="4">
    <nc r="C135">
      <v>126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384" sId="2" numFmtId="4">
    <nc r="B110">
      <v>13</v>
    </nc>
  </rcc>
  <rcc rId="385" sId="2" numFmtId="4">
    <nc r="C110">
      <v>13</v>
    </nc>
  </rcc>
  <rcc rId="386" sId="2" numFmtId="4">
    <nc r="D110">
      <v>1</v>
    </nc>
  </rcc>
  <rcc rId="387" sId="2" numFmtId="4">
    <nc r="E110">
      <v>3</v>
    </nc>
  </rcc>
  <rcc rId="388" sId="2" numFmtId="4">
    <nc r="F110">
      <v>7</v>
    </nc>
  </rcc>
  <rcc rId="389" sId="2" numFmtId="4">
    <nc r="G110">
      <v>0</v>
    </nc>
  </rcc>
  <rcc rId="390" sId="2" numFmtId="4">
    <nc r="H110">
      <v>1</v>
    </nc>
  </rcc>
  <rcc rId="391" sId="2" numFmtId="4">
    <nc r="B111">
      <v>1</v>
    </nc>
  </rcc>
  <rcc rId="392" sId="2" numFmtId="4">
    <nc r="C111">
      <v>22</v>
    </nc>
  </rcc>
  <rcc rId="393" sId="2" numFmtId="4">
    <nc r="D111">
      <v>1</v>
    </nc>
  </rcc>
  <rcc rId="394" sId="2" numFmtId="4">
    <nc r="E111">
      <v>0</v>
    </nc>
  </rcc>
  <rcc rId="395" sId="2" numFmtId="4">
    <nc r="F111">
      <v>10</v>
    </nc>
  </rcc>
  <rcc rId="396" sId="2" numFmtId="4">
    <nc r="G111">
      <v>0</v>
    </nc>
  </rcc>
  <rcc rId="397" sId="2" numFmtId="4">
    <nc r="H111">
      <v>0</v>
    </nc>
  </rcc>
  <rcc rId="398" sId="2" numFmtId="4">
    <nc r="B112">
      <v>1</v>
    </nc>
  </rcc>
  <rcc rId="399" sId="2" numFmtId="4">
    <nc r="C112">
      <v>22</v>
    </nc>
  </rcc>
  <rcc rId="400" sId="2" numFmtId="4">
    <nc r="D112">
      <v>3</v>
    </nc>
  </rcc>
  <rcc rId="401" sId="2" numFmtId="4">
    <nc r="H112">
      <v>0</v>
    </nc>
  </rcc>
  <rcc rId="402" sId="2" numFmtId="4">
    <nc r="E112">
      <v>1</v>
    </nc>
  </rcc>
  <rcc rId="403" sId="2" numFmtId="4">
    <nc r="F112">
      <v>9</v>
    </nc>
  </rcc>
  <rcc rId="404" sId="2" numFmtId="4">
    <nc r="G112">
      <v>0</v>
    </nc>
  </rcc>
  <rcc rId="405" sId="2" numFmtId="4">
    <nc r="B113">
      <v>1</v>
    </nc>
  </rcc>
  <rcc rId="406" sId="2" numFmtId="4">
    <nc r="C113">
      <v>22</v>
    </nc>
  </rcc>
  <rcc rId="407" sId="2" numFmtId="4">
    <nc r="D113">
      <v>4</v>
    </nc>
  </rcc>
  <rcc rId="408" sId="2" numFmtId="4">
    <nc r="E113">
      <v>1</v>
    </nc>
  </rcc>
  <rcc rId="409" sId="2" numFmtId="4">
    <nc r="F113">
      <v>10</v>
    </nc>
  </rcc>
  <rcc rId="410" sId="2" numFmtId="4">
    <nc r="G113">
      <v>0</v>
    </nc>
  </rcc>
  <rcc rId="411" sId="2" numFmtId="4">
    <nc r="H113">
      <v>0</v>
    </nc>
  </rcc>
  <rcc rId="412" sId="2" numFmtId="4">
    <nc r="B114">
      <v>1</v>
    </nc>
  </rcc>
  <rcc rId="413" sId="2" numFmtId="4">
    <nc r="C114">
      <v>22</v>
    </nc>
  </rcc>
  <rcc rId="414" sId="2" numFmtId="4">
    <nc r="D114">
      <v>2</v>
    </nc>
  </rcc>
  <rcc rId="415" sId="2" numFmtId="4">
    <nc r="E114">
      <v>1</v>
    </nc>
  </rcc>
  <rcc rId="416" sId="2" numFmtId="4">
    <nc r="F114">
      <v>13</v>
    </nc>
  </rcc>
  <rcc rId="417" sId="2" numFmtId="4">
    <nc r="G114">
      <v>0</v>
    </nc>
  </rcc>
  <rcc rId="418" sId="2" numFmtId="4">
    <nc r="H114">
      <v>0</v>
    </nc>
  </rcc>
  <rcc rId="419" sId="2" numFmtId="4">
    <nc r="B115">
      <v>1</v>
    </nc>
  </rcc>
  <rcc rId="420" sId="2" numFmtId="4">
    <nc r="C115">
      <v>3</v>
    </nc>
  </rcc>
  <rcc rId="421" sId="2" numFmtId="4">
    <nc r="D115">
      <v>6</v>
    </nc>
  </rcc>
  <rcc rId="422" sId="2" numFmtId="4">
    <nc r="E115">
      <v>12</v>
    </nc>
  </rcc>
  <rcc rId="423" sId="2" numFmtId="4">
    <nc r="F115">
      <v>3</v>
    </nc>
  </rcc>
  <rcc rId="424" sId="2" numFmtId="4">
    <nc r="G115">
      <v>0</v>
    </nc>
  </rcc>
  <rcc rId="425" sId="2" numFmtId="4">
    <nc r="H115">
      <v>0</v>
    </nc>
  </rcc>
  <rcc rId="426" sId="2" numFmtId="4">
    <nc r="B116">
      <v>13</v>
    </nc>
  </rcc>
  <rcc rId="427" sId="2" numFmtId="4">
    <nc r="C116">
      <v>5</v>
    </nc>
  </rcc>
  <rcc rId="428" sId="2" numFmtId="4">
    <nc r="D116">
      <v>10</v>
    </nc>
  </rcc>
  <rcc rId="429" sId="2" numFmtId="4">
    <nc r="E116">
      <v>5</v>
    </nc>
  </rcc>
  <rcc rId="430" sId="2" numFmtId="4">
    <nc r="F116">
      <v>0</v>
    </nc>
  </rcc>
  <rcc rId="431" sId="2" numFmtId="4">
    <nc r="G116">
      <v>0</v>
    </nc>
  </rcc>
  <rcc rId="432" sId="2" numFmtId="4">
    <nc r="H116">
      <v>5</v>
    </nc>
  </rcc>
  <rcc rId="433" sId="2" numFmtId="4">
    <nc r="B117">
      <v>1</v>
    </nc>
  </rcc>
  <rcc rId="434" sId="2" numFmtId="4">
    <nc r="C117">
      <v>3</v>
    </nc>
  </rcc>
  <rcc rId="435" sId="2" numFmtId="4">
    <nc r="D117">
      <v>4</v>
    </nc>
  </rcc>
  <rcc rId="436" sId="2" numFmtId="4">
    <nc r="E117">
      <v>6</v>
    </nc>
  </rcc>
  <rcc rId="437" sId="2" numFmtId="4">
    <nc r="F117">
      <v>4</v>
    </nc>
  </rcc>
  <rcc rId="438" sId="2" numFmtId="4">
    <nc r="G117">
      <v>0</v>
    </nc>
  </rcc>
  <rcc rId="439" sId="2" numFmtId="4">
    <nc r="H117">
      <v>2</v>
    </nc>
  </rcc>
  <rcc rId="440" sId="2" numFmtId="4">
    <nc r="B118">
      <v>1</v>
    </nc>
  </rcc>
  <rcc rId="441" sId="2" numFmtId="4">
    <nc r="C118">
      <v>3</v>
    </nc>
  </rcc>
  <rcc rId="442" sId="2" numFmtId="4">
    <nc r="D118">
      <v>3</v>
    </nc>
  </rcc>
  <rcc rId="443" sId="2" numFmtId="4">
    <nc r="E118">
      <v>5</v>
    </nc>
  </rcc>
  <rcc rId="444" sId="2" numFmtId="4">
    <nc r="F118">
      <v>2</v>
    </nc>
  </rcc>
  <rcc rId="445" sId="2" numFmtId="4">
    <nc r="G118">
      <v>0</v>
    </nc>
  </rcc>
  <rcc rId="446" sId="2" numFmtId="4">
    <nc r="H118">
      <v>4</v>
    </nc>
  </rcc>
  <rcc rId="447" sId="2" numFmtId="4">
    <nc r="B119">
      <v>13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448" sId="5" numFmtId="4">
    <nc r="D135">
      <v>1</v>
    </nc>
  </rcc>
  <rcc rId="449" sId="5" numFmtId="4">
    <nc r="E135">
      <v>5</v>
    </nc>
  </rcc>
  <rcc rId="450" sId="5" numFmtId="4">
    <nc r="F135">
      <v>2</v>
    </nc>
  </rcc>
  <rcc rId="451" sId="5" numFmtId="4">
    <nc r="G135">
      <v>0</v>
    </nc>
  </rcc>
  <rcc rId="452" sId="5" numFmtId="4">
    <nc r="B136">
      <v>13</v>
    </nc>
  </rcc>
  <rcc rId="453" sId="5" numFmtId="4">
    <nc r="C136">
      <v>76</v>
    </nc>
  </rcc>
  <rcc rId="454" sId="5" numFmtId="4">
    <nc r="D136">
      <v>6</v>
    </nc>
  </rcc>
  <rcc rId="455" sId="5" numFmtId="4">
    <nc r="E136">
      <v>9</v>
    </nc>
  </rcc>
  <rcc rId="456" sId="5" numFmtId="4">
    <nc r="F136">
      <v>4</v>
    </nc>
  </rcc>
  <rcc rId="457" sId="5" numFmtId="4">
    <nc r="G136">
      <v>2</v>
    </nc>
  </rcc>
  <rcc rId="458" sId="5" numFmtId="4">
    <nc r="B137">
      <v>13</v>
    </nc>
  </rcc>
  <rcc rId="459" sId="5" numFmtId="4">
    <nc r="C137">
      <v>77</v>
    </nc>
  </rcc>
  <rcc rId="460" sId="5" numFmtId="4">
    <nc r="D137">
      <v>6</v>
    </nc>
  </rcc>
  <rcc rId="461" sId="5" numFmtId="4">
    <nc r="E137">
      <v>8</v>
    </nc>
  </rcc>
  <rcc rId="462" sId="5" numFmtId="4">
    <nc r="F137">
      <v>5</v>
    </nc>
  </rcc>
  <rcc rId="463" sId="5" numFmtId="4">
    <nc r="G137">
      <v>3</v>
    </nc>
  </rcc>
  <rcc rId="464" sId="5" numFmtId="4">
    <nc r="B138">
      <v>13</v>
    </nc>
  </rcc>
  <rcc rId="465" sId="5" numFmtId="4">
    <nc r="C138">
      <v>88</v>
    </nc>
  </rcc>
  <rcc rId="466" sId="5" numFmtId="4">
    <nc r="D138">
      <v>6</v>
    </nc>
  </rcc>
  <rcc rId="467" sId="5" numFmtId="4">
    <nc r="E138">
      <v>20</v>
    </nc>
  </rcc>
  <rcc rId="468" sId="5" numFmtId="4">
    <nc r="F138">
      <v>2</v>
    </nc>
  </rcc>
  <rcc rId="469" sId="5" numFmtId="4">
    <nc r="G138">
      <v>3</v>
    </nc>
  </rcc>
  <rcc rId="470" sId="5" numFmtId="4">
    <nc r="B139">
      <v>13</v>
    </nc>
  </rcc>
  <rcc rId="471" sId="5" numFmtId="4">
    <nc r="C139">
      <v>88</v>
    </nc>
  </rcc>
  <rcc rId="472" sId="5" numFmtId="4">
    <nc r="D139">
      <v>5</v>
    </nc>
  </rcc>
  <rcc rId="473" sId="5" numFmtId="4">
    <nc r="E139">
      <v>23</v>
    </nc>
  </rcc>
  <rcc rId="474" sId="5" numFmtId="4">
    <nc r="F139">
      <v>0</v>
    </nc>
  </rcc>
  <rcc rId="475" sId="5" numFmtId="4">
    <nc r="G139">
      <v>2</v>
    </nc>
  </rcc>
  <rcc rId="476" sId="5" numFmtId="4">
    <nc r="B140">
      <v>13</v>
    </nc>
  </rcc>
  <rcc rId="477" sId="5" numFmtId="4">
    <nc r="C140">
      <v>88</v>
    </nc>
  </rcc>
  <rcc rId="478" sId="5" numFmtId="4">
    <nc r="D140">
      <v>4</v>
    </nc>
  </rcc>
  <rcc rId="479" sId="5" numFmtId="4">
    <nc r="E140">
      <v>19</v>
    </nc>
  </rcc>
  <rcc rId="480" sId="5" numFmtId="4">
    <nc r="F140">
      <v>1</v>
    </nc>
  </rcc>
  <rcc rId="481" sId="5" numFmtId="4">
    <nc r="G140">
      <v>5</v>
    </nc>
  </rcc>
  <rcc rId="482" sId="5" numFmtId="4">
    <nc r="B141">
      <v>13</v>
    </nc>
  </rcc>
  <rcc rId="483" sId="5" numFmtId="4">
    <nc r="C141">
      <v>120</v>
    </nc>
  </rcc>
  <rcc rId="484" sId="5" numFmtId="4">
    <nc r="D141">
      <v>7</v>
    </nc>
  </rcc>
  <rcc rId="485" sId="5" numFmtId="4">
    <nc r="E141">
      <v>14</v>
    </nc>
  </rcc>
  <rcc rId="486" sId="5" numFmtId="4">
    <nc r="F141">
      <v>11</v>
    </nc>
  </rcc>
  <rcc rId="487" sId="5" numFmtId="4">
    <nc r="G141">
      <v>0</v>
    </nc>
  </rcc>
  <rcc rId="488" sId="5" numFmtId="4">
    <nc r="B142">
      <v>13</v>
    </nc>
  </rcc>
  <rcc rId="489" sId="5" numFmtId="4">
    <nc r="C142">
      <v>120</v>
    </nc>
  </rcc>
  <rcc rId="490" sId="5" numFmtId="4">
    <nc r="D142">
      <v>6</v>
    </nc>
  </rcc>
  <rcc rId="491" sId="5" numFmtId="4">
    <nc r="E142">
      <v>7</v>
    </nc>
  </rcc>
  <rcc rId="492" sId="5" numFmtId="4">
    <nc r="F142">
      <v>18</v>
    </nc>
  </rcc>
  <rcc rId="493" sId="5" numFmtId="4">
    <nc r="G142">
      <v>0</v>
    </nc>
  </rcc>
  <rcc rId="494" sId="5" numFmtId="4">
    <nc r="B143">
      <v>13</v>
    </nc>
  </rcc>
  <rcc rId="495" sId="5" numFmtId="4">
    <nc r="C143">
      <v>120</v>
    </nc>
  </rcc>
  <rcc rId="496" sId="5" numFmtId="4">
    <nc r="D143">
      <v>6</v>
    </nc>
  </rcc>
  <rcc rId="497" sId="5" numFmtId="4">
    <nc r="E143">
      <v>9</v>
    </nc>
  </rcc>
  <rcc rId="498" sId="5" numFmtId="4">
    <nc r="F143">
      <v>10</v>
    </nc>
  </rcc>
  <rcc rId="499" sId="5" numFmtId="4">
    <nc r="G143">
      <v>0</v>
    </nc>
  </rcc>
  <rcc rId="500" sId="5" numFmtId="4">
    <nc r="B144">
      <v>13</v>
    </nc>
  </rcc>
  <rcc rId="501" sId="5" numFmtId="4">
    <nc r="C144">
      <v>120</v>
    </nc>
  </rcc>
  <rcc rId="502" sId="5" numFmtId="4">
    <nc r="D144">
      <v>4</v>
    </nc>
  </rcc>
  <rcc rId="503" sId="5" numFmtId="4">
    <nc r="E144">
      <v>11</v>
    </nc>
  </rcc>
  <rcc rId="504" sId="5" numFmtId="4">
    <nc r="F144">
      <v>13</v>
    </nc>
  </rcc>
  <rcc rId="505" sId="5" numFmtId="4">
    <nc r="G144">
      <v>0</v>
    </nc>
  </rcc>
  <rcc rId="506" sId="5" numFmtId="4">
    <nc r="B145">
      <v>13</v>
    </nc>
  </rcc>
  <rcc rId="507" sId="5" numFmtId="4">
    <nc r="C145">
      <v>120</v>
    </nc>
  </rcc>
  <rcc rId="508" sId="5" numFmtId="4">
    <nc r="D145">
      <v>3</v>
    </nc>
  </rcc>
  <rcc rId="509" sId="5" numFmtId="4">
    <nc r="E145">
      <v>10</v>
    </nc>
  </rcc>
  <rcc rId="510" sId="5" numFmtId="4">
    <nc r="F145">
      <v>15</v>
    </nc>
  </rcc>
  <rcc rId="511" sId="5" numFmtId="4">
    <nc r="G145">
      <v>0</v>
    </nc>
  </rcc>
  <rcc rId="512" sId="5" numFmtId="4">
    <nc r="B146">
      <v>13</v>
    </nc>
  </rcc>
  <rcc rId="513" sId="5" numFmtId="4">
    <nc r="C146">
      <v>112</v>
    </nc>
  </rcc>
  <rcc rId="514" sId="5" numFmtId="4">
    <nc r="D146">
      <v>6</v>
    </nc>
  </rcc>
  <rcc rId="515" sId="5" numFmtId="4">
    <nc r="E146">
      <v>25</v>
    </nc>
  </rcc>
  <rcc rId="516" sId="5" numFmtId="4">
    <nc r="F146">
      <v>9</v>
    </nc>
  </rcc>
  <rcc rId="517" sId="5" numFmtId="4">
    <nc r="G146">
      <v>0</v>
    </nc>
  </rcc>
  <rcc rId="518" sId="5" numFmtId="4">
    <nc r="B147">
      <v>13</v>
    </nc>
  </rcc>
  <rcc rId="519" sId="5" numFmtId="4">
    <nc r="C147">
      <v>89</v>
    </nc>
  </rcc>
  <rcc rId="520" sId="5" numFmtId="4">
    <nc r="D147">
      <v>6</v>
    </nc>
  </rcc>
  <rcc rId="521" sId="5" numFmtId="4">
    <nc r="E147">
      <v>13</v>
    </nc>
  </rcc>
  <rcc rId="522" sId="5" numFmtId="4">
    <nc r="F147">
      <v>10</v>
    </nc>
  </rcc>
  <rcc rId="523" sId="5" numFmtId="4">
    <nc r="G147">
      <v>0</v>
    </nc>
  </rcc>
  <rcc rId="524" sId="5" numFmtId="4">
    <nc r="B148">
      <v>13</v>
    </nc>
  </rcc>
  <rcc rId="525" sId="5" numFmtId="4">
    <nc r="C148">
      <v>101</v>
    </nc>
  </rcc>
  <rcc rId="526" sId="5" numFmtId="4">
    <nc r="D148">
      <v>5</v>
    </nc>
  </rcc>
  <rcc rId="527" sId="5" numFmtId="4">
    <nc r="E148">
      <v>1</v>
    </nc>
  </rcc>
  <rcc rId="528" sId="5" numFmtId="4">
    <nc r="F148">
      <v>11</v>
    </nc>
  </rcc>
  <rcc rId="529" sId="5" numFmtId="4">
    <nc r="G148">
      <v>0</v>
    </nc>
  </rcc>
  <rcc rId="530" sId="5" numFmtId="4">
    <nc r="B149">
      <v>13</v>
    </nc>
  </rcc>
  <rcc rId="531" sId="5" numFmtId="4">
    <nc r="C149">
      <v>101</v>
    </nc>
  </rcc>
  <rcc rId="532" sId="5" numFmtId="4">
    <nc r="D149">
      <v>6</v>
    </nc>
  </rcc>
  <rcc rId="533" sId="5" numFmtId="4">
    <nc r="E149">
      <v>1</v>
    </nc>
  </rcc>
  <rcc rId="534" sId="5" numFmtId="4">
    <nc r="F149">
      <v>6</v>
    </nc>
  </rcc>
  <rcc rId="535" sId="5" numFmtId="4">
    <nc r="G149">
      <v>0</v>
    </nc>
  </rcc>
  <rcc rId="536" sId="5" numFmtId="4">
    <nc r="B150">
      <v>13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537" sId="2" numFmtId="4">
    <nc r="C119">
      <v>115</v>
    </nc>
  </rcc>
  <rcc rId="538" sId="2" numFmtId="4">
    <nc r="D119">
      <v>4</v>
    </nc>
  </rcc>
  <rcc rId="539" sId="2" numFmtId="4">
    <nc r="E119">
      <v>0</v>
    </nc>
  </rcc>
  <rcc rId="540" sId="2" numFmtId="4">
    <nc r="F119">
      <v>18</v>
    </nc>
  </rcc>
  <rcc rId="541" sId="2" numFmtId="4">
    <nc r="G119">
      <v>0</v>
    </nc>
  </rcc>
  <rcc rId="542" sId="2" numFmtId="4">
    <nc r="H119">
      <v>0</v>
    </nc>
  </rcc>
  <rcc rId="543" sId="2" numFmtId="4">
    <nc r="B120">
      <v>13</v>
    </nc>
  </rcc>
  <rcc rId="544" sId="2" numFmtId="4">
    <nc r="C120">
      <v>115</v>
    </nc>
  </rcc>
  <rcc rId="545" sId="2" numFmtId="4">
    <nc r="D120">
      <v>3</v>
    </nc>
  </rcc>
  <rcc rId="546" sId="2" numFmtId="4">
    <nc r="E120">
      <v>0</v>
    </nc>
  </rcc>
  <rcc rId="547" sId="2" numFmtId="4">
    <nc r="F120">
      <v>20</v>
    </nc>
  </rcc>
  <rcc rId="548" sId="2" numFmtId="4">
    <nc r="G120">
      <v>0</v>
    </nc>
  </rcc>
  <rcc rId="549" sId="2" numFmtId="4">
    <nc r="H120">
      <v>0</v>
    </nc>
  </rcc>
  <rcc rId="550" sId="2" numFmtId="4">
    <nc r="B121">
      <v>13</v>
    </nc>
  </rcc>
  <rcc rId="551" sId="2" numFmtId="4">
    <nc r="C121">
      <v>115</v>
    </nc>
  </rcc>
  <rcc rId="552" sId="2" numFmtId="4">
    <nc r="D121">
      <v>2</v>
    </nc>
  </rcc>
  <rcc rId="553" sId="2" numFmtId="4">
    <nc r="E121">
      <v>0</v>
    </nc>
  </rcc>
  <rcc rId="554" sId="2" numFmtId="4">
    <nc r="F121">
      <v>11</v>
    </nc>
  </rcc>
  <rcc rId="555" sId="2" numFmtId="4">
    <nc r="G121">
      <v>0</v>
    </nc>
  </rcc>
  <rcc rId="556" sId="2" numFmtId="4">
    <nc r="H121">
      <v>0</v>
    </nc>
  </rcc>
  <rcc rId="557" sId="2" numFmtId="4">
    <nc r="B122">
      <v>13</v>
    </nc>
  </rcc>
  <rcc rId="558" sId="2" numFmtId="4">
    <nc r="C122">
      <v>25</v>
    </nc>
  </rcc>
  <rcc rId="559" sId="2" numFmtId="4">
    <nc r="D122">
      <v>5</v>
    </nc>
  </rcc>
  <rcc rId="560" sId="2" numFmtId="4">
    <nc r="E122">
      <v>18</v>
    </nc>
  </rcc>
  <rcc rId="561" sId="2" numFmtId="4">
    <nc r="F122">
      <v>0</v>
    </nc>
  </rcc>
  <rcc rId="562" sId="2" numFmtId="4">
    <nc r="G122">
      <v>4</v>
    </nc>
  </rcc>
  <rcc rId="563" sId="2" numFmtId="4">
    <nc r="H122">
      <v>0</v>
    </nc>
  </rcc>
  <rcc rId="564" sId="2" numFmtId="4">
    <nc r="B123">
      <v>13</v>
    </nc>
  </rcc>
  <rcc rId="565" sId="2" numFmtId="4">
    <nc r="C123">
      <v>115</v>
    </nc>
  </rcc>
  <rcc rId="566" sId="2" numFmtId="4">
    <nc r="D123">
      <v>1</v>
    </nc>
  </rcc>
  <rcc rId="567" sId="2" numFmtId="4">
    <nc r="E123">
      <v>0</v>
    </nc>
  </rcc>
  <rcc rId="568" sId="2" numFmtId="4">
    <nc r="F123">
      <v>11</v>
    </nc>
  </rcc>
  <rcc rId="569" sId="2" numFmtId="4">
    <nc r="G123">
      <v>0</v>
    </nc>
  </rcc>
  <rcc rId="570" sId="2" numFmtId="4">
    <nc r="H123">
      <v>0</v>
    </nc>
  </rcc>
  <rcc rId="571" sId="2" numFmtId="4">
    <nc r="B124">
      <v>13</v>
    </nc>
  </rcc>
  <rcc rId="572" sId="2" numFmtId="4">
    <nc r="C124">
      <v>78</v>
    </nc>
  </rcc>
  <rcc rId="573" sId="2" numFmtId="4">
    <nc r="D124">
      <v>4</v>
    </nc>
  </rcc>
  <rcc rId="574" sId="2" numFmtId="4">
    <nc r="E124">
      <v>2</v>
    </nc>
  </rcc>
  <rcc rId="575" sId="2" numFmtId="4">
    <nc r="F124">
      <v>23</v>
    </nc>
  </rcc>
  <rcc rId="576" sId="2" numFmtId="4">
    <nc r="G124">
      <v>0</v>
    </nc>
  </rcc>
  <rcc rId="577" sId="2" numFmtId="4">
    <nc r="H124">
      <v>0</v>
    </nc>
  </rcc>
  <rcc rId="578" sId="2" numFmtId="4">
    <nc r="B125">
      <v>13</v>
    </nc>
  </rcc>
  <rcc rId="579" sId="2" numFmtId="4">
    <nc r="C125">
      <v>78</v>
    </nc>
  </rcc>
  <rcc rId="580" sId="2" numFmtId="4">
    <nc r="D125">
      <v>2</v>
    </nc>
  </rcc>
  <rcc rId="581" sId="2" numFmtId="4">
    <nc r="E125">
      <v>1</v>
    </nc>
  </rcc>
  <rcc rId="582" sId="2" numFmtId="4">
    <nc r="F125">
      <v>24</v>
    </nc>
  </rcc>
  <rcc rId="583" sId="2" numFmtId="4">
    <nc r="G125">
      <v>0</v>
    </nc>
  </rcc>
  <rcc rId="584" sId="2" numFmtId="4">
    <nc r="H125">
      <v>0</v>
    </nc>
  </rcc>
  <rcc rId="585" sId="2" numFmtId="4">
    <nc r="B126">
      <v>13</v>
    </nc>
  </rcc>
  <rcc rId="586" sId="2" numFmtId="4">
    <nc r="C126">
      <v>78</v>
    </nc>
  </rcc>
  <rcc rId="587" sId="2" numFmtId="4">
    <nc r="D126">
      <v>3</v>
    </nc>
  </rcc>
  <rcc rId="588" sId="2" numFmtId="4">
    <nc r="E126">
      <v>8</v>
    </nc>
  </rcc>
  <rcc rId="589" sId="2" numFmtId="4">
    <nc r="F126">
      <v>22</v>
    </nc>
  </rcc>
  <rcc rId="590" sId="2" numFmtId="4">
    <nc r="G126">
      <v>0</v>
    </nc>
  </rcc>
  <rcc rId="591" sId="2" numFmtId="4">
    <nc r="H126">
      <v>0</v>
    </nc>
  </rcc>
  <rcc rId="592" sId="2" numFmtId="4">
    <nc r="B127">
      <v>13</v>
    </nc>
  </rcc>
  <rcc rId="593" sId="2" numFmtId="4">
    <nc r="C127">
      <v>78</v>
    </nc>
  </rcc>
  <rcc rId="594" sId="2" numFmtId="4">
    <nc r="D127">
      <v>1</v>
    </nc>
  </rcc>
  <rcc rId="595" sId="2" numFmtId="4">
    <nc r="E127">
      <v>0</v>
    </nc>
  </rcc>
  <rcc rId="596" sId="2" numFmtId="4">
    <nc r="F127">
      <v>25</v>
    </nc>
  </rcc>
  <rcc rId="597" sId="2" numFmtId="4">
    <nc r="G127">
      <v>0</v>
    </nc>
  </rcc>
  <rcc rId="598" sId="2" numFmtId="4">
    <nc r="H127">
      <v>0</v>
    </nc>
  </rcc>
  <rcc rId="599" sId="2" numFmtId="4">
    <nc r="B128">
      <v>13</v>
    </nc>
  </rcc>
  <rcc rId="600" sId="2" numFmtId="4">
    <nc r="C128">
      <v>64</v>
    </nc>
  </rcc>
  <rcc rId="601" sId="2" numFmtId="4">
    <nc r="D128">
      <v>5</v>
    </nc>
  </rcc>
  <rcc rId="602" sId="2" numFmtId="4">
    <nc r="E128">
      <v>17</v>
    </nc>
  </rcc>
  <rcc rId="603" sId="2" numFmtId="4">
    <nc r="F128">
      <v>2</v>
    </nc>
  </rcc>
  <rcc rId="604" sId="2" numFmtId="4">
    <nc r="G128">
      <v>0</v>
    </nc>
  </rcc>
  <rcc rId="605" sId="2" numFmtId="4">
    <nc r="H128">
      <v>0</v>
    </nc>
  </rcc>
  <rcc rId="606" sId="2" numFmtId="4">
    <nc r="B129">
      <v>13</v>
    </nc>
  </rcc>
  <rcc rId="607" sId="2" numFmtId="4">
    <nc r="C129">
      <v>64</v>
    </nc>
  </rcc>
  <rcc rId="608" sId="2" numFmtId="4">
    <nc r="D129">
      <v>4</v>
    </nc>
  </rcc>
  <rcc rId="609" sId="2" numFmtId="4">
    <nc r="E129">
      <v>1</v>
    </nc>
  </rcc>
  <rcc rId="610" sId="2" numFmtId="4">
    <nc r="F129">
      <v>19</v>
    </nc>
  </rcc>
  <rcc rId="611" sId="2" numFmtId="4">
    <nc r="G129">
      <v>0</v>
    </nc>
  </rcc>
  <rcc rId="612" sId="2" numFmtId="4">
    <nc r="H129">
      <v>0</v>
    </nc>
  </rcc>
  <rcc rId="613" sId="2" numFmtId="4">
    <nc r="B130">
      <v>13</v>
    </nc>
  </rcc>
  <rcc rId="614" sId="2" numFmtId="4">
    <nc r="C130">
      <v>64</v>
    </nc>
  </rcc>
  <rcc rId="615" sId="2" numFmtId="4">
    <nc r="D130">
      <v>3</v>
    </nc>
  </rcc>
  <rcc rId="616" sId="2" numFmtId="4">
    <nc r="E130">
      <v>0</v>
    </nc>
  </rcc>
  <rcc rId="617" sId="2" numFmtId="4">
    <nc r="F130">
      <v>0</v>
    </nc>
  </rcc>
  <rcc rId="618" sId="2" numFmtId="4">
    <nc r="G130">
      <v>0</v>
    </nc>
  </rcc>
  <rcc rId="619" sId="2" numFmtId="4">
    <nc r="H130">
      <v>0</v>
    </nc>
  </rcc>
  <rcc rId="620" sId="2" numFmtId="4">
    <nc r="B131">
      <v>13</v>
    </nc>
  </rcc>
  <rcc rId="621" sId="2" numFmtId="4">
    <nc r="C131">
      <v>64</v>
    </nc>
  </rcc>
  <rcc rId="622" sId="2" numFmtId="4">
    <nc r="D131">
      <v>2</v>
    </nc>
  </rcc>
  <rcc rId="623" sId="2" numFmtId="4">
    <nc r="E131">
      <v>0</v>
    </nc>
  </rcc>
  <rcc rId="624" sId="2" numFmtId="4">
    <nc r="F131">
      <v>0</v>
    </nc>
  </rcc>
  <rcc rId="625" sId="2" numFmtId="4">
    <nc r="G131">
      <v>0</v>
    </nc>
  </rcc>
  <rcc rId="626" sId="2" numFmtId="4">
    <nc r="H131">
      <v>0</v>
    </nc>
  </rcc>
  <rcc rId="627" sId="2" numFmtId="4">
    <nc r="B132">
      <v>13</v>
    </nc>
  </rcc>
  <rcc rId="628" sId="2" numFmtId="4">
    <nc r="C132">
      <v>64</v>
    </nc>
  </rcc>
  <rcc rId="629" sId="2" numFmtId="4">
    <nc r="D132">
      <v>1</v>
    </nc>
  </rcc>
  <rcc rId="630" sId="2" numFmtId="4">
    <nc r="E132">
      <v>0</v>
    </nc>
  </rcc>
  <rcc rId="631" sId="2" numFmtId="4">
    <nc r="F132">
      <v>0</v>
    </nc>
  </rcc>
  <rcc rId="632" sId="2" numFmtId="4">
    <nc r="G132">
      <v>0</v>
    </nc>
  </rcc>
  <rcc rId="633" sId="2" numFmtId="4">
    <nc r="H132">
      <v>0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c rId="634" sId="2" numFmtId="4">
    <nc r="B133">
      <v>13</v>
    </nc>
  </rcc>
  <rcc rId="635" sId="2" numFmtId="4">
    <nc r="C133">
      <v>27</v>
    </nc>
  </rcc>
  <rcc rId="636" sId="2" numFmtId="4">
    <nc r="D133">
      <v>2</v>
    </nc>
  </rcc>
  <rcc rId="637" sId="2" numFmtId="4">
    <nc r="E133">
      <v>25</v>
    </nc>
  </rcc>
  <rcc rId="638" sId="2" numFmtId="4">
    <nc r="F133">
      <v>15</v>
    </nc>
  </rcc>
  <rcc rId="639" sId="2" numFmtId="4">
    <nc r="G133">
      <v>25</v>
    </nc>
  </rcc>
  <rcc rId="640" sId="2" numFmtId="4">
    <nc r="H133">
      <v>0</v>
    </nc>
  </rcc>
  <rcc rId="641" sId="2" numFmtId="4">
    <nc r="B134">
      <v>13</v>
    </nc>
  </rcc>
  <rcc rId="642" sId="2" numFmtId="4">
    <nc r="C134">
      <v>21</v>
    </nc>
  </rcc>
  <rcc rId="643" sId="2" numFmtId="4">
    <nc r="D134">
      <v>4</v>
    </nc>
  </rcc>
  <rcc rId="644" sId="2" numFmtId="4">
    <nc r="E134">
      <v>4</v>
    </nc>
  </rcc>
  <rcc rId="645" sId="2" numFmtId="4">
    <nc r="F134">
      <v>29</v>
    </nc>
  </rcc>
  <rcc rId="646" sId="2" numFmtId="4">
    <nc r="G134">
      <v>0</v>
    </nc>
  </rcc>
  <rcc rId="647" sId="2" numFmtId="4">
    <nc r="H134">
      <v>1</v>
    </nc>
  </rcc>
  <rcc rId="648" sId="2" numFmtId="4">
    <nc r="B135">
      <v>13</v>
    </nc>
  </rcc>
  <rcc rId="649" sId="2" numFmtId="4">
    <nc r="C135">
      <v>21</v>
    </nc>
  </rcc>
  <rcc rId="650" sId="2" numFmtId="4">
    <nc r="D135">
      <v>3</v>
    </nc>
  </rcc>
  <rcc rId="651" sId="2" numFmtId="4">
    <nc r="E135">
      <v>1</v>
    </nc>
  </rcc>
  <rcc rId="652" sId="2" numFmtId="4">
    <nc r="F135">
      <v>21</v>
    </nc>
  </rcc>
  <rcc rId="653" sId="2" numFmtId="4">
    <nc r="G135">
      <v>0</v>
    </nc>
  </rcc>
  <rcc rId="654" sId="2" numFmtId="4">
    <nc r="H135">
      <v>0</v>
    </nc>
  </rcc>
  <rcc rId="655" sId="2" numFmtId="4">
    <oc r="D116">
      <v>10</v>
    </oc>
    <nc r="D116">
      <v>1</v>
    </nc>
  </rcc>
  <rcc rId="656" sId="2" numFmtId="4">
    <nc r="B136">
      <v>13</v>
    </nc>
  </rcc>
  <rcc rId="657" sId="2" numFmtId="4">
    <nc r="C136">
      <v>61</v>
    </nc>
  </rcc>
  <rcc rId="658" sId="2" numFmtId="4">
    <nc r="D136">
      <v>2</v>
    </nc>
  </rcc>
  <rcc rId="659" sId="2" numFmtId="4">
    <nc r="E136">
      <v>5</v>
    </nc>
  </rcc>
  <rcc rId="660" sId="2" numFmtId="4">
    <nc r="F136">
      <v>13</v>
    </nc>
  </rcc>
  <rcc rId="661" sId="2" numFmtId="4">
    <nc r="G136">
      <v>0</v>
    </nc>
  </rcc>
  <rcc rId="662" sId="2" numFmtId="4">
    <nc r="H136">
      <v>0</v>
    </nc>
  </rcc>
  <rcc rId="663" sId="2" numFmtId="4">
    <nc r="B137">
      <v>13</v>
    </nc>
  </rcc>
  <rcc rId="664" sId="2" numFmtId="4">
    <nc r="C137">
      <v>11</v>
    </nc>
  </rcc>
  <rcc rId="665" sId="2" numFmtId="4">
    <nc r="D137">
      <v>5</v>
    </nc>
  </rcc>
  <rcc rId="666" sId="2" numFmtId="4">
    <nc r="E137">
      <v>5</v>
    </nc>
  </rcc>
  <rcc rId="667" sId="2" numFmtId="4">
    <nc r="F137">
      <v>9</v>
    </nc>
  </rcc>
  <rcc rId="668" sId="2" numFmtId="4">
    <nc r="G137">
      <v>0</v>
    </nc>
  </rcc>
  <rcc rId="669" sId="2" numFmtId="4">
    <nc r="H137">
      <v>0</v>
    </nc>
  </rcc>
  <rcc rId="670" sId="2" numFmtId="4">
    <nc r="B138">
      <v>13</v>
    </nc>
  </rcc>
  <rcc rId="671" sId="2" numFmtId="4">
    <nc r="C138">
      <v>11</v>
    </nc>
  </rcc>
  <rcc rId="672" sId="2" numFmtId="4">
    <nc r="D138">
      <v>4</v>
    </nc>
  </rcc>
  <rcc rId="673" sId="2" numFmtId="4">
    <nc r="E138">
      <v>9</v>
    </nc>
  </rcc>
  <rcc rId="674" sId="2" numFmtId="4">
    <nc r="F138">
      <v>16</v>
    </nc>
  </rcc>
  <rcc rId="675" sId="2" numFmtId="4">
    <nc r="G138">
      <v>0</v>
    </nc>
  </rcc>
  <rcc rId="676" sId="2" numFmtId="4">
    <nc r="H138">
      <v>1</v>
    </nc>
  </rcc>
  <rcc rId="677" sId="2" numFmtId="4">
    <nc r="B139">
      <v>13</v>
    </nc>
  </rcc>
  <rcc rId="678" sId="2" numFmtId="4">
    <nc r="C139">
      <v>11</v>
    </nc>
  </rcc>
  <rcc rId="679" sId="2" numFmtId="4">
    <nc r="D139">
      <v>3</v>
    </nc>
  </rcc>
  <rcc rId="680" sId="2" numFmtId="4">
    <nc r="E139">
      <v>4</v>
    </nc>
  </rcc>
  <rcc rId="681" sId="2" numFmtId="4">
    <nc r="F139">
      <v>2</v>
    </nc>
  </rcc>
  <rcc rId="682" sId="2" numFmtId="4">
    <nc r="G139">
      <v>0</v>
    </nc>
  </rcc>
  <rcc rId="683" sId="2" numFmtId="4">
    <nc r="H139">
      <v>9</v>
    </nc>
  </rcc>
  <rcc rId="684" sId="2" numFmtId="4">
    <nc r="B140">
      <v>13</v>
    </nc>
  </rcc>
  <rcc rId="685" sId="2" numFmtId="4">
    <nc r="C140">
      <v>114</v>
    </nc>
  </rcc>
  <rcc rId="686" sId="2" numFmtId="4">
    <nc r="D140">
      <v>3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>
  <rcc rId="8840" sId="5">
    <oc r="I5">
      <v>13</v>
    </oc>
    <nc r="I5" t="inlineStr">
      <is>
        <t>Vargas</t>
      </is>
    </nc>
  </rcc>
  <rcc rId="8841" sId="5">
    <oc r="I4">
      <v>13</v>
    </oc>
    <nc r="I4" t="inlineStr">
      <is>
        <t>Libertador</t>
      </is>
    </nc>
  </rcc>
  <rcv guid="{E8E9C221-0224-4E73-8F39-1821F41C5BD3}" action="delete"/>
  <rcv guid="{E8E9C221-0224-4E73-8F39-1821F41C5BD3}" action="add"/>
</revisions>
</file>

<file path=xl/revisions/revisionLog13.xml><?xml version="1.0" encoding="utf-8"?>
<revisions xmlns="http://schemas.openxmlformats.org/spreadsheetml/2006/main" xmlns:r="http://schemas.openxmlformats.org/officeDocument/2006/relationships">
  <rcc rId="774" sId="2" numFmtId="4">
    <nc r="E140">
      <v>20</v>
    </nc>
  </rcc>
  <rcc rId="775" sId="2" numFmtId="4">
    <nc r="F140">
      <v>4</v>
    </nc>
  </rcc>
  <rcc rId="776" sId="2" numFmtId="4">
    <nc r="G140">
      <v>7</v>
    </nc>
  </rcc>
  <rcc rId="777" sId="2" numFmtId="4">
    <nc r="H140">
      <v>0</v>
    </nc>
  </rcc>
  <rcc rId="778" sId="2" numFmtId="4">
    <nc r="B141">
      <v>13</v>
    </nc>
  </rcc>
  <rcc rId="779" sId="2" numFmtId="4">
    <nc r="C141">
      <v>114</v>
    </nc>
  </rcc>
  <rcc rId="780" sId="2" numFmtId="4">
    <nc r="D141">
      <v>3</v>
    </nc>
  </rcc>
  <rcc rId="781" sId="2" numFmtId="4">
    <nc r="E141">
      <v>4</v>
    </nc>
  </rcc>
  <rcc rId="782" sId="2" numFmtId="4">
    <nc r="F141">
      <v>18</v>
    </nc>
  </rcc>
  <rcc rId="783" sId="2" numFmtId="4">
    <nc r="G141">
      <v>2</v>
    </nc>
  </rcc>
  <rcc rId="784" sId="2" numFmtId="4">
    <nc r="H141">
      <v>1</v>
    </nc>
  </rcc>
  <rcc rId="785" sId="2" numFmtId="4">
    <nc r="B142">
      <v>13</v>
    </nc>
  </rcc>
  <rcc rId="786" sId="2" numFmtId="4">
    <nc r="C142">
      <v>25</v>
    </nc>
  </rcc>
  <rcc rId="787" sId="2" numFmtId="4">
    <nc r="D142">
      <v>3</v>
    </nc>
  </rcc>
  <rcc rId="788" sId="2" numFmtId="4">
    <nc r="E142">
      <v>5</v>
    </nc>
  </rcc>
  <rcc rId="789" sId="2" numFmtId="4">
    <nc r="F142">
      <v>0</v>
    </nc>
  </rcc>
  <rcc rId="790" sId="2" numFmtId="4">
    <nc r="G142">
      <v>0</v>
    </nc>
  </rcc>
  <rcc rId="791" sId="2" numFmtId="4">
    <nc r="H142">
      <v>0</v>
    </nc>
  </rcc>
  <rcc rId="792" sId="2" numFmtId="4">
    <nc r="B143">
      <v>13</v>
    </nc>
  </rcc>
  <rcc rId="793" sId="2" numFmtId="4">
    <nc r="C143">
      <v>10</v>
    </nc>
  </rcc>
  <rcc rId="794" sId="2" numFmtId="4">
    <nc r="D143">
      <v>4</v>
    </nc>
  </rcc>
  <rcc rId="795" sId="2" numFmtId="4">
    <nc r="E143">
      <v>1</v>
    </nc>
  </rcc>
  <rcc rId="796" sId="2" numFmtId="4">
    <nc r="F143">
      <v>5</v>
    </nc>
  </rcc>
  <rcc rId="797" sId="2" numFmtId="4">
    <nc r="G143">
      <v>0</v>
    </nc>
  </rcc>
  <rcc rId="798" sId="2" numFmtId="4">
    <nc r="H143">
      <v>0</v>
    </nc>
  </rcc>
  <rcc rId="799" sId="2" numFmtId="4">
    <nc r="B144">
      <v>13</v>
    </nc>
  </rcc>
  <rcc rId="800" sId="2" numFmtId="4">
    <nc r="C144">
      <v>58</v>
    </nc>
  </rcc>
  <rcc rId="801" sId="2" numFmtId="4">
    <nc r="D144">
      <v>3</v>
    </nc>
  </rcc>
  <rcc rId="802" sId="2" numFmtId="4">
    <nc r="E144">
      <v>2</v>
    </nc>
  </rcc>
  <rcc rId="803" sId="2" numFmtId="4">
    <nc r="F144">
      <v>2</v>
    </nc>
  </rcc>
  <rcc rId="804" sId="2" numFmtId="4">
    <nc r="G144">
      <v>0</v>
    </nc>
  </rcc>
  <rcc rId="805" sId="2" numFmtId="4">
    <nc r="H144">
      <v>0</v>
    </nc>
  </rcc>
  <rcc rId="806" sId="2" numFmtId="4">
    <nc r="B145">
      <v>13</v>
    </nc>
  </rcc>
  <rcc rId="807" sId="2" numFmtId="4">
    <nc r="C145">
      <v>58</v>
    </nc>
  </rcc>
  <rcc rId="808" sId="2" numFmtId="4">
    <nc r="D145">
      <v>2</v>
    </nc>
  </rcc>
  <rcc rId="809" sId="2" numFmtId="4">
    <nc r="E145">
      <v>2</v>
    </nc>
  </rcc>
  <rcc rId="810" sId="2" numFmtId="4">
    <nc r="F145">
      <v>2</v>
    </nc>
  </rcc>
  <rcc rId="811" sId="2" numFmtId="4">
    <nc r="G145">
      <v>0</v>
    </nc>
  </rcc>
  <rcc rId="812" sId="2" numFmtId="4">
    <nc r="H145">
      <v>0</v>
    </nc>
  </rcc>
  <rcc rId="813" sId="2" numFmtId="4">
    <nc r="B146">
      <v>13</v>
    </nc>
  </rcc>
  <rcc rId="814" sId="2" numFmtId="4">
    <nc r="C146">
      <v>58</v>
    </nc>
  </rcc>
  <rcc rId="815" sId="2" numFmtId="4">
    <nc r="D146">
      <v>1</v>
    </nc>
  </rcc>
  <rcc rId="816" sId="2" numFmtId="4">
    <nc r="E146">
      <v>4</v>
    </nc>
  </rcc>
  <rcc rId="817" sId="2" numFmtId="4">
    <nc r="F146">
      <v>5</v>
    </nc>
  </rcc>
  <rcc rId="818" sId="2" numFmtId="4">
    <nc r="G146">
      <v>0</v>
    </nc>
  </rcc>
  <rcc rId="819" sId="2" numFmtId="4">
    <nc r="H146">
      <v>0</v>
    </nc>
  </rcc>
  <rcc rId="820" sId="2" numFmtId="4">
    <nc r="B147">
      <v>13</v>
    </nc>
  </rcc>
  <rcc rId="821" sId="2" numFmtId="4">
    <nc r="C147">
      <v>49</v>
    </nc>
  </rcc>
  <rcc rId="822" sId="2" numFmtId="4">
    <nc r="D147">
      <v>4</v>
    </nc>
  </rcc>
  <rcc rId="823" sId="2" numFmtId="4">
    <nc r="E147">
      <v>14</v>
    </nc>
  </rcc>
  <rcc rId="824" sId="2" numFmtId="4">
    <nc r="F147">
      <v>6</v>
    </nc>
  </rcc>
  <rcc rId="825" sId="2" numFmtId="4">
    <nc r="G147">
      <v>1</v>
    </nc>
  </rcc>
  <rcc rId="826" sId="2" numFmtId="4">
    <nc r="H147">
      <v>0</v>
    </nc>
  </rcc>
  <rcc rId="827" sId="2" numFmtId="4">
    <nc r="B148">
      <v>13</v>
    </nc>
  </rcc>
  <rcc rId="828" sId="2" numFmtId="4">
    <nc r="C148">
      <v>49</v>
    </nc>
  </rcc>
  <rcc rId="829" sId="2" numFmtId="4">
    <nc r="D148">
      <v>3</v>
    </nc>
  </rcc>
  <rcc rId="830" sId="2" numFmtId="4">
    <nc r="E148">
      <v>8</v>
    </nc>
  </rcc>
  <rcc rId="831" sId="2" numFmtId="4">
    <nc r="F148">
      <v>7</v>
    </nc>
  </rcc>
  <rcc rId="832" sId="2" numFmtId="4">
    <nc r="G148">
      <v>0</v>
    </nc>
  </rcc>
  <rcc rId="833" sId="2" numFmtId="4">
    <nc r="H148">
      <v>0</v>
    </nc>
  </rcc>
  <rcc rId="834" sId="2" numFmtId="4">
    <nc r="B149">
      <v>13</v>
    </nc>
  </rcc>
  <rcc rId="835" sId="2" numFmtId="4">
    <nc r="C149">
      <v>109</v>
    </nc>
  </rcc>
  <rcc rId="836" sId="2" numFmtId="4">
    <nc r="D149">
      <v>6</v>
    </nc>
  </rcc>
  <rcc rId="837" sId="2" numFmtId="4">
    <nc r="E149">
      <v>16</v>
    </nc>
  </rcc>
  <rcc rId="838" sId="2" numFmtId="4">
    <nc r="F149">
      <v>2</v>
    </nc>
  </rcc>
  <rcc rId="839" sId="2" numFmtId="4">
    <nc r="G149">
      <v>0</v>
    </nc>
  </rcc>
  <rcc rId="840" sId="2" numFmtId="4">
    <nc r="H149">
      <v>0</v>
    </nc>
  </rcc>
  <rcc rId="841" sId="2" numFmtId="4">
    <nc r="B150">
      <v>13</v>
    </nc>
  </rcc>
  <rcc rId="842" sId="2" numFmtId="4">
    <nc r="C150">
      <v>109</v>
    </nc>
  </rcc>
  <rcc rId="843" sId="2" numFmtId="4">
    <nc r="D150">
      <v>5</v>
    </nc>
  </rcc>
  <rcc rId="844" sId="2" numFmtId="4">
    <nc r="E150">
      <v>16</v>
    </nc>
  </rcc>
  <rcc rId="845" sId="2" numFmtId="4">
    <nc r="F150">
      <v>0</v>
    </nc>
  </rcc>
  <rcc rId="846" sId="2" numFmtId="4">
    <nc r="G150">
      <v>0</v>
    </nc>
  </rcc>
  <rcc rId="847" sId="2" numFmtId="4">
    <nc r="H150">
      <v>0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>
  <rcc rId="848" sId="5" numFmtId="4">
    <nc r="F164">
      <v>25</v>
    </nc>
  </rcc>
  <rcc rId="849" sId="5" numFmtId="4">
    <nc r="G164">
      <v>0</v>
    </nc>
  </rcc>
  <rcc rId="850" sId="5" numFmtId="4">
    <nc r="B165">
      <v>13</v>
    </nc>
  </rcc>
  <rcc rId="851" sId="5" numFmtId="4">
    <nc r="C165">
      <v>98</v>
    </nc>
  </rcc>
  <rcc rId="852" sId="5" numFmtId="4">
    <nc r="D165">
      <v>5</v>
    </nc>
  </rcc>
  <rcc rId="853" sId="5" numFmtId="4">
    <nc r="E165">
      <v>0</v>
    </nc>
  </rcc>
  <rcc rId="854" sId="5" numFmtId="4">
    <nc r="F165">
      <v>1</v>
    </nc>
  </rcc>
  <rcc rId="855" sId="5" numFmtId="4">
    <nc r="G165">
      <v>0</v>
    </nc>
  </rcc>
  <rcc rId="856" sId="5" numFmtId="4">
    <nc r="B166">
      <v>13</v>
    </nc>
  </rcc>
  <rcc rId="857" sId="5" numFmtId="4">
    <nc r="C166">
      <v>116</v>
    </nc>
  </rcc>
  <rcc rId="858" sId="5" numFmtId="4">
    <nc r="D166">
      <v>7</v>
    </nc>
  </rcc>
  <rcc rId="859" sId="5" numFmtId="4">
    <nc r="E166">
      <v>15</v>
    </nc>
  </rcc>
  <rcc rId="860" sId="5" numFmtId="4">
    <nc r="F166">
      <v>15</v>
    </nc>
  </rcc>
  <rcc rId="861" sId="5" numFmtId="4">
    <nc r="G166">
      <v>0</v>
    </nc>
  </rcc>
  <rcc rId="862" sId="5" numFmtId="4">
    <nc r="B167">
      <v>13</v>
    </nc>
  </rcc>
  <rcc rId="863" sId="5" numFmtId="4">
    <nc r="C167">
      <v>67</v>
    </nc>
  </rcc>
  <rcc rId="864" sId="5" numFmtId="4">
    <nc r="D167">
      <v>7</v>
    </nc>
  </rcc>
  <rcc rId="865" sId="5" numFmtId="4">
    <nc r="E167">
      <v>0</v>
    </nc>
  </rcc>
  <rcc rId="866" sId="5" numFmtId="4">
    <nc r="F167">
      <v>10</v>
    </nc>
  </rcc>
  <rcc rId="867" sId="5" numFmtId="4">
    <nc r="G167">
      <v>0</v>
    </nc>
  </rcc>
  <rcc rId="868" sId="5" numFmtId="4">
    <nc r="B168">
      <v>13</v>
    </nc>
  </rcc>
  <rcc rId="869" sId="5" numFmtId="4">
    <nc r="C168">
      <v>67</v>
    </nc>
  </rcc>
  <rcc rId="870" sId="5" numFmtId="4">
    <nc r="D168">
      <v>6</v>
    </nc>
  </rcc>
  <rcc rId="871" sId="5" numFmtId="4">
    <nc r="E168">
      <v>0</v>
    </nc>
  </rcc>
  <rcc rId="872" sId="5" numFmtId="4">
    <nc r="F168">
      <v>31</v>
    </nc>
  </rcc>
  <rcc rId="873" sId="5" numFmtId="4">
    <nc r="G168">
      <v>0</v>
    </nc>
  </rcc>
  <rcc rId="874" sId="5" numFmtId="4">
    <nc r="B169">
      <v>13</v>
    </nc>
  </rcc>
  <rcc rId="875" sId="5" numFmtId="4">
    <nc r="C169">
      <v>67</v>
    </nc>
  </rcc>
  <rcc rId="876" sId="5" numFmtId="4">
    <nc r="D169">
      <v>5</v>
    </nc>
  </rcc>
  <rcc rId="877" sId="5" numFmtId="4">
    <nc r="E169">
      <v>0</v>
    </nc>
  </rcc>
  <rcc rId="878" sId="5" numFmtId="4">
    <nc r="F169">
      <v>28</v>
    </nc>
  </rcc>
  <rcc rId="879" sId="5" numFmtId="4">
    <nc r="G169">
      <v>0</v>
    </nc>
  </rcc>
  <rcc rId="880" sId="5" numFmtId="4">
    <nc r="B170">
      <v>13</v>
    </nc>
  </rcc>
  <rcc rId="881" sId="5" numFmtId="4">
    <nc r="C170">
      <v>67</v>
    </nc>
  </rcc>
  <rcc rId="882" sId="5" numFmtId="4">
    <nc r="D170">
      <v>4</v>
    </nc>
  </rcc>
  <rcc rId="883" sId="5" numFmtId="4">
    <nc r="E170">
      <v>0</v>
    </nc>
  </rcc>
  <rcc rId="884" sId="5" numFmtId="4">
    <nc r="F170">
      <v>25</v>
    </nc>
  </rcc>
  <rcc rId="885" sId="5" numFmtId="4">
    <nc r="G170">
      <v>0</v>
    </nc>
  </rcc>
  <rcc rId="886" sId="5" numFmtId="4">
    <nc r="B171">
      <v>13</v>
    </nc>
  </rcc>
  <rcc rId="887" sId="5" numFmtId="4">
    <nc r="C171">
      <v>118</v>
    </nc>
  </rcc>
  <rcc rId="888" sId="5" numFmtId="4">
    <nc r="D171">
      <v>7</v>
    </nc>
  </rcc>
  <rcc rId="889" sId="5" numFmtId="4">
    <nc r="E171">
      <v>9</v>
    </nc>
  </rcc>
  <rcc rId="890" sId="5" numFmtId="4">
    <nc r="F171">
      <v>8</v>
    </nc>
  </rcc>
  <rcc rId="891" sId="5" numFmtId="4">
    <nc r="G171">
      <v>4</v>
    </nc>
  </rcc>
  <rcc rId="892" sId="5" numFmtId="4">
    <nc r="B172">
      <v>13</v>
    </nc>
  </rcc>
  <rcc rId="893" sId="5" numFmtId="4">
    <nc r="C172">
      <v>118</v>
    </nc>
  </rcc>
  <rcc rId="894" sId="5" numFmtId="4">
    <nc r="D172">
      <v>6</v>
    </nc>
  </rcc>
  <rcc rId="895" sId="5" numFmtId="4">
    <nc r="E172">
      <v>13</v>
    </nc>
  </rcc>
  <rcc rId="896" sId="5" numFmtId="4">
    <nc r="F172">
      <v>7</v>
    </nc>
  </rcc>
  <rcc rId="897" sId="5" numFmtId="4">
    <nc r="G172">
      <v>2</v>
    </nc>
  </rcc>
  <rcc rId="898" sId="5" numFmtId="4">
    <nc r="B173">
      <v>13</v>
    </nc>
  </rcc>
  <rcc rId="899" sId="5" numFmtId="4">
    <nc r="C173">
      <v>109</v>
    </nc>
  </rcc>
  <rcc rId="900" sId="5" numFmtId="4">
    <nc r="D173">
      <v>7</v>
    </nc>
  </rcc>
  <rcc rId="901" sId="5" numFmtId="4">
    <nc r="E173">
      <v>23</v>
    </nc>
  </rcc>
  <rcc rId="902" sId="5" numFmtId="4">
    <nc r="F173">
      <v>11</v>
    </nc>
  </rcc>
  <rcc rId="903" sId="5" numFmtId="4">
    <nc r="G173">
      <v>0</v>
    </nc>
  </rcc>
  <rcc rId="904" sId="5" numFmtId="4">
    <nc r="B174">
      <v>13</v>
    </nc>
  </rcc>
  <rcc rId="905" sId="5" numFmtId="4">
    <nc r="C174">
      <v>109</v>
    </nc>
  </rcc>
  <rcc rId="906" sId="5" numFmtId="4">
    <nc r="D174">
      <v>6</v>
    </nc>
  </rcc>
  <rcc rId="907" sId="5" numFmtId="4">
    <nc r="E174">
      <v>11</v>
    </nc>
  </rcc>
  <rcc rId="908" sId="5" numFmtId="4">
    <nc r="F174">
      <v>7</v>
    </nc>
  </rcc>
  <rcc rId="909" sId="5" numFmtId="4">
    <nc r="G174">
      <v>0</v>
    </nc>
  </rcc>
  <rcc rId="910" sId="5" numFmtId="4">
    <nc r="B175">
      <v>13</v>
    </nc>
  </rcc>
  <rcc rId="911" sId="5" numFmtId="4">
    <nc r="C175">
      <v>109</v>
    </nc>
  </rcc>
  <rcc rId="912" sId="5" numFmtId="4">
    <nc r="D175">
      <v>5</v>
    </nc>
  </rcc>
  <rcc rId="913" sId="5" numFmtId="4">
    <nc r="E175">
      <v>21</v>
    </nc>
  </rcc>
  <rcc rId="914" sId="5" numFmtId="4">
    <nc r="F175">
      <v>4</v>
    </nc>
  </rcc>
  <rcc rId="915" sId="5" numFmtId="4">
    <nc r="G175">
      <v>0</v>
    </nc>
  </rcc>
  <rcc rId="916" sId="5" numFmtId="4">
    <nc r="B176">
      <v>13</v>
    </nc>
  </rcc>
  <rcc rId="917" sId="5" numFmtId="4">
    <nc r="C176">
      <v>109</v>
    </nc>
  </rcc>
  <rcc rId="918" sId="5" numFmtId="4">
    <nc r="D176">
      <v>7</v>
    </nc>
  </rcc>
  <rcc rId="919" sId="5" numFmtId="4">
    <nc r="E176">
      <v>7</v>
    </nc>
  </rcc>
  <rcc rId="920" sId="5" numFmtId="4">
    <nc r="F176">
      <v>0</v>
    </nc>
  </rcc>
  <rcc rId="921" sId="5" numFmtId="4">
    <nc r="G176">
      <v>13</v>
    </nc>
  </rcc>
  <rcc rId="922" sId="5" numFmtId="4">
    <nc r="B177">
      <v>13</v>
    </nc>
  </rcc>
  <rcc rId="923" sId="5" numFmtId="4">
    <nc r="C177">
      <v>109</v>
    </nc>
  </rcc>
  <rcc rId="924" sId="5" numFmtId="4">
    <nc r="D177">
      <v>3</v>
    </nc>
  </rcc>
  <rcc rId="925" sId="5" numFmtId="4">
    <nc r="E177">
      <v>15</v>
    </nc>
  </rcc>
  <rcc rId="926" sId="5" numFmtId="4">
    <nc r="F177">
      <v>16</v>
    </nc>
  </rcc>
  <rcc rId="927" sId="5" numFmtId="4">
    <nc r="G177">
      <v>0</v>
    </nc>
  </rcc>
  <rcc rId="928" sId="5" numFmtId="4">
    <nc r="B178">
      <v>13</v>
    </nc>
  </rcc>
  <rcc rId="929" sId="5" numFmtId="4">
    <nc r="C178">
      <v>109</v>
    </nc>
  </rcc>
  <rcc rId="930" sId="5" numFmtId="4">
    <nc r="D178">
      <v>2</v>
    </nc>
  </rcc>
  <rcc rId="931" sId="5" numFmtId="4">
    <nc r="E178">
      <v>8</v>
    </nc>
  </rcc>
  <rcc rId="932" sId="5" numFmtId="4">
    <nc r="F178">
      <v>3</v>
    </nc>
  </rcc>
  <rcc rId="933" sId="5" numFmtId="4">
    <nc r="G178">
      <v>2</v>
    </nc>
  </rcc>
</revisions>
</file>

<file path=xl/revisions/revisionLog15.xml><?xml version="1.0" encoding="utf-8"?>
<revisions xmlns="http://schemas.openxmlformats.org/spreadsheetml/2006/main" xmlns:r="http://schemas.openxmlformats.org/officeDocument/2006/relationships"/>
</file>

<file path=xl/revisions/revisionLog16.xml><?xml version="1.0" encoding="utf-8"?>
<revisions xmlns="http://schemas.openxmlformats.org/spreadsheetml/2006/main" xmlns:r="http://schemas.openxmlformats.org/officeDocument/2006/relationships">
  <rcc rId="1046" sId="5" numFmtId="4">
    <oc r="G178">
      <v>2</v>
    </oc>
    <nc r="G178">
      <v>0</v>
    </nc>
  </rcc>
  <rcc rId="1047" sId="5" numFmtId="4">
    <nc r="B179">
      <v>13</v>
    </nc>
  </rcc>
  <rcc rId="1048" sId="5" numFmtId="4">
    <nc r="C179">
      <v>70</v>
    </nc>
  </rcc>
  <rcc rId="1049" sId="5" numFmtId="4">
    <nc r="D179">
      <v>2</v>
    </nc>
  </rcc>
  <rcc rId="1050" sId="5" numFmtId="4">
    <nc r="E179">
      <v>11</v>
    </nc>
  </rcc>
  <rcc rId="1051" sId="5" numFmtId="4">
    <nc r="F179">
      <v>13</v>
    </nc>
  </rcc>
  <rcc rId="1052" sId="5" numFmtId="4">
    <nc r="G179">
      <v>3</v>
    </nc>
  </rcc>
  <rcc rId="1053" sId="5" numFmtId="4">
    <nc r="B180">
      <v>13</v>
    </nc>
  </rcc>
  <rcc rId="1054" sId="5" numFmtId="4">
    <nc r="C180">
      <v>70</v>
    </nc>
  </rcc>
  <rcc rId="1055" sId="5" numFmtId="4">
    <nc r="D180">
      <v>4</v>
    </nc>
  </rcc>
  <rcc rId="1056" sId="5" numFmtId="4">
    <nc r="E180">
      <v>8</v>
    </nc>
  </rcc>
  <rcc rId="1057" sId="5" numFmtId="4">
    <nc r="F180">
      <v>12</v>
    </nc>
  </rcc>
  <rcc rId="1058" sId="5" numFmtId="4">
    <nc r="G180">
      <v>4</v>
    </nc>
  </rcc>
  <rcc rId="1059" sId="5" numFmtId="4">
    <nc r="B181">
      <v>13</v>
    </nc>
  </rcc>
  <rcc rId="1060" sId="5" numFmtId="4">
    <nc r="C181">
      <v>70</v>
    </nc>
  </rcc>
  <rcc rId="1061" sId="5" numFmtId="4">
    <nc r="D181">
      <v>3</v>
    </nc>
  </rcc>
  <rcc rId="1062" sId="5" numFmtId="4">
    <nc r="E181">
      <v>10</v>
    </nc>
  </rcc>
  <rcc rId="1063" sId="5" numFmtId="4">
    <nc r="F181">
      <v>11</v>
    </nc>
  </rcc>
  <rcc rId="1064" sId="5" numFmtId="4">
    <nc r="G181">
      <v>0</v>
    </nc>
  </rcc>
  <rcc rId="1065" sId="5" numFmtId="4">
    <nc r="B182">
      <v>13</v>
    </nc>
  </rcc>
  <rcc rId="1066" sId="5" numFmtId="4">
    <nc r="C182">
      <v>70</v>
    </nc>
  </rcc>
  <rcc rId="1067" sId="5" numFmtId="4">
    <nc r="D182">
      <v>5</v>
    </nc>
  </rcc>
  <rcc rId="1068" sId="5" numFmtId="4">
    <nc r="E182">
      <v>11</v>
    </nc>
  </rcc>
  <rcc rId="1069" sId="5" numFmtId="4">
    <nc r="F182">
      <v>10</v>
    </nc>
  </rcc>
  <rcc rId="1070" sId="5" numFmtId="4">
    <nc r="G182">
      <v>4</v>
    </nc>
  </rcc>
  <rcc rId="1071" sId="5" numFmtId="4">
    <nc r="B183">
      <v>13</v>
    </nc>
  </rcc>
  <rcc rId="1072" sId="5" numFmtId="4">
    <nc r="C183">
      <v>70</v>
    </nc>
  </rcc>
  <rcc rId="1073" sId="5" numFmtId="4">
    <nc r="D183">
      <v>6</v>
    </nc>
  </rcc>
  <rcc rId="1074" sId="5" numFmtId="4">
    <nc r="E183">
      <v>10</v>
    </nc>
  </rcc>
  <rcc rId="1075" sId="5" numFmtId="4">
    <nc r="F183">
      <v>11</v>
    </nc>
  </rcc>
  <rcc rId="1076" sId="5" numFmtId="4">
    <nc r="G183">
      <v>2</v>
    </nc>
  </rcc>
  <rcc rId="1077" sId="5" numFmtId="4">
    <nc r="B184">
      <v>13</v>
    </nc>
  </rcc>
  <rcc rId="1078" sId="5" numFmtId="4">
    <nc r="C184">
      <v>70</v>
    </nc>
  </rcc>
  <rcc rId="1079" sId="5" numFmtId="4">
    <nc r="D184">
      <v>7</v>
    </nc>
  </rcc>
  <rcc rId="1080" sId="5" numFmtId="4">
    <nc r="E184">
      <v>9</v>
    </nc>
  </rcc>
  <rcc rId="1081" sId="5" numFmtId="4">
    <nc r="F184">
      <v>7</v>
    </nc>
  </rcc>
  <rcc rId="1082" sId="5" numFmtId="4">
    <nc r="G184">
      <v>1</v>
    </nc>
  </rcc>
  <rcc rId="1083" sId="5" numFmtId="4">
    <nc r="B185">
      <v>13</v>
    </nc>
  </rcc>
  <rcc rId="1084" sId="5" numFmtId="4">
    <nc r="C185">
      <v>105</v>
    </nc>
  </rcc>
  <rcc rId="1085" sId="5" numFmtId="4">
    <nc r="D185">
      <v>6</v>
    </nc>
  </rcc>
  <rcc rId="1086" sId="5" numFmtId="4">
    <nc r="E185">
      <v>7</v>
    </nc>
  </rcc>
  <rcc rId="1087" sId="5" numFmtId="4">
    <nc r="F185">
      <v>1</v>
    </nc>
  </rcc>
  <rcc rId="1088" sId="5" numFmtId="4">
    <nc r="G185">
      <v>0</v>
    </nc>
  </rcc>
  <rcc rId="1089" sId="5" numFmtId="4">
    <nc r="B186">
      <v>13</v>
    </nc>
  </rcc>
  <rcc rId="1090" sId="5" numFmtId="4">
    <nc r="C186">
      <v>105</v>
    </nc>
  </rcc>
  <rcc rId="1091" sId="5" numFmtId="4">
    <nc r="D186">
      <v>3</v>
    </nc>
  </rcc>
  <rcc rId="1092" sId="5" numFmtId="4">
    <nc r="E186">
      <v>8</v>
    </nc>
  </rcc>
  <rcc rId="1093" sId="5" numFmtId="4">
    <nc r="F186">
      <v>1</v>
    </nc>
  </rcc>
  <rcc rId="1094" sId="5" numFmtId="4">
    <nc r="G186">
      <v>0</v>
    </nc>
  </rcc>
  <rcc rId="1095" sId="5" numFmtId="4">
    <nc r="B187">
      <v>13</v>
    </nc>
  </rcc>
  <rcc rId="1096" sId="5" numFmtId="4">
    <nc r="C187">
      <v>105</v>
    </nc>
  </rcc>
  <rcc rId="1097" sId="5" numFmtId="4">
    <nc r="D187">
      <v>4</v>
    </nc>
  </rcc>
  <rcc rId="1098" sId="5" numFmtId="4">
    <nc r="E187">
      <v>7</v>
    </nc>
  </rcc>
  <rcc rId="1099" sId="5" numFmtId="4">
    <nc r="F187">
      <v>1</v>
    </nc>
  </rcc>
  <rcc rId="1100" sId="5" numFmtId="4">
    <nc r="G187">
      <v>0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>
  <rcc rId="1101" sId="2" numFmtId="4">
    <nc r="B167">
      <v>1</v>
    </nc>
  </rcc>
  <rcc rId="1102" sId="2" numFmtId="4">
    <nc r="C167">
      <v>2</v>
    </nc>
  </rcc>
  <rcc rId="1103" sId="2" numFmtId="4">
    <nc r="D167">
      <v>2</v>
    </nc>
  </rcc>
  <rcc rId="1104" sId="2" numFmtId="4">
    <nc r="E167">
      <v>3</v>
    </nc>
  </rcc>
  <rcc rId="1105" sId="2" numFmtId="4">
    <nc r="F167">
      <v>2</v>
    </nc>
  </rcc>
  <rcc rId="1106" sId="2" numFmtId="4">
    <nc r="G167">
      <v>0</v>
    </nc>
  </rcc>
  <rcc rId="1107" sId="2" numFmtId="4">
    <nc r="H167">
      <v>2</v>
    </nc>
  </rcc>
  <rcc rId="1108" sId="2" numFmtId="4">
    <nc r="B168">
      <v>1</v>
    </nc>
  </rcc>
  <rcc rId="1109" sId="2" numFmtId="4">
    <nc r="C168">
      <v>2</v>
    </nc>
  </rcc>
  <rcc rId="1110" sId="2" numFmtId="4">
    <nc r="D168">
      <v>8</v>
    </nc>
  </rcc>
  <rcc rId="1111" sId="2" numFmtId="4">
    <nc r="E168">
      <v>15</v>
    </nc>
  </rcc>
  <rcc rId="1112" sId="2" numFmtId="4">
    <nc r="F168">
      <v>0</v>
    </nc>
  </rcc>
  <rcc rId="1113" sId="2" numFmtId="4">
    <nc r="G168">
      <v>0</v>
    </nc>
  </rcc>
  <rcc rId="1114" sId="2" numFmtId="4">
    <nc r="H168">
      <v>2</v>
    </nc>
  </rcc>
  <rcc rId="1115" sId="2" numFmtId="4">
    <nc r="B169">
      <v>1</v>
    </nc>
  </rcc>
  <rcc rId="1116" sId="2" numFmtId="4">
    <nc r="C169">
      <v>2</v>
    </nc>
  </rcc>
  <rcc rId="1117" sId="2" numFmtId="4">
    <nc r="D169">
      <v>7</v>
    </nc>
  </rcc>
  <rcc rId="1118" sId="2" numFmtId="4">
    <nc r="E169">
      <v>23</v>
    </nc>
  </rcc>
  <rcc rId="1119" sId="2" numFmtId="4">
    <nc r="F169">
      <v>2</v>
    </nc>
  </rcc>
  <rcc rId="1120" sId="2" numFmtId="4">
    <nc r="G169">
      <v>0</v>
    </nc>
  </rcc>
  <rcc rId="1121" sId="2" numFmtId="4">
    <nc r="H169">
      <v>0</v>
    </nc>
  </rcc>
  <rcc rId="1122" sId="2" numFmtId="4">
    <nc r="B170">
      <v>1</v>
    </nc>
  </rcc>
  <rcc rId="1123" sId="2" numFmtId="4">
    <nc r="C170">
      <v>2</v>
    </nc>
  </rcc>
  <rcc rId="1124" sId="2" numFmtId="4">
    <nc r="D170">
      <v>6</v>
    </nc>
  </rcc>
  <rcc rId="1125" sId="2" numFmtId="4">
    <nc r="E170">
      <v>9</v>
    </nc>
  </rcc>
  <rcc rId="1126" sId="2" numFmtId="4">
    <nc r="F170">
      <v>7</v>
    </nc>
  </rcc>
  <rcc rId="1127" sId="2" numFmtId="4">
    <nc r="G170">
      <v>0</v>
    </nc>
  </rcc>
  <rcc rId="1128" sId="2" numFmtId="4">
    <nc r="H170">
      <v>6</v>
    </nc>
  </rcc>
  <rcc rId="1129" sId="2" numFmtId="4">
    <nc r="B171">
      <v>1</v>
    </nc>
  </rcc>
  <rcc rId="1130" sId="2" numFmtId="4">
    <nc r="C171">
      <v>2</v>
    </nc>
  </rcc>
  <rcc rId="1131" sId="2" numFmtId="4">
    <nc r="D171">
      <v>5</v>
    </nc>
  </rcc>
  <rcc rId="1132" sId="2" numFmtId="4">
    <nc r="E171">
      <v>3</v>
    </nc>
  </rcc>
  <rcc rId="1133" sId="2" numFmtId="4">
    <nc r="F171">
      <v>4</v>
    </nc>
  </rcc>
  <rcc rId="1134" sId="2" numFmtId="4">
    <nc r="G171">
      <v>0</v>
    </nc>
  </rcc>
  <rcc rId="1135" sId="2" numFmtId="4">
    <nc r="H171">
      <v>1</v>
    </nc>
  </rcc>
  <rcc rId="1136" sId="2" numFmtId="4">
    <nc r="B172">
      <v>1</v>
    </nc>
  </rcc>
  <rcc rId="1137" sId="2" numFmtId="4">
    <nc r="C172">
      <v>2</v>
    </nc>
  </rcc>
  <rcc rId="1138" sId="2" numFmtId="4">
    <nc r="D172">
      <v>4</v>
    </nc>
  </rcc>
  <rcc rId="1139" sId="2" numFmtId="4">
    <nc r="E172">
      <v>4</v>
    </nc>
  </rcc>
  <rcc rId="1140" sId="2" numFmtId="4">
    <nc r="F172">
      <v>2</v>
    </nc>
  </rcc>
  <rcc rId="1141" sId="2" numFmtId="4">
    <nc r="G172">
      <v>0</v>
    </nc>
  </rcc>
  <rcc rId="1142" sId="2" numFmtId="4">
    <nc r="H172">
      <v>4</v>
    </nc>
  </rcc>
  <rcc rId="1143" sId="2" numFmtId="4">
    <nc r="B173">
      <v>1</v>
    </nc>
  </rcc>
  <rcc rId="1144" sId="2" numFmtId="4">
    <nc r="C173">
      <v>2</v>
    </nc>
  </rcc>
  <rcc rId="1145" sId="2" numFmtId="4">
    <nc r="D173">
      <v>3</v>
    </nc>
  </rcc>
  <rcc rId="1146" sId="2" numFmtId="4">
    <nc r="E173">
      <v>4</v>
    </nc>
  </rcc>
  <rcc rId="1147" sId="2" numFmtId="4">
    <nc r="F173">
      <v>3</v>
    </nc>
  </rcc>
  <rcc rId="1148" sId="2" numFmtId="4">
    <nc r="G173">
      <v>0</v>
    </nc>
  </rcc>
  <rcc rId="1149" sId="2" numFmtId="4">
    <nc r="H173">
      <v>0</v>
    </nc>
  </rcc>
  <rcc rId="1150" sId="2" numFmtId="4">
    <nc r="B174">
      <v>1</v>
    </nc>
  </rcc>
  <rcc rId="1151" sId="2" numFmtId="4">
    <nc r="C174">
      <v>22</v>
    </nc>
  </rcc>
  <rcc rId="1152" sId="2" numFmtId="4">
    <nc r="D174">
      <v>8</v>
    </nc>
  </rcc>
  <rcc rId="1153" sId="2" numFmtId="4">
    <nc r="E174">
      <v>2</v>
    </nc>
  </rcc>
  <rcc rId="1154" sId="2" numFmtId="4">
    <nc r="F174">
      <v>23</v>
    </nc>
  </rcc>
  <rcc rId="1155" sId="2" numFmtId="4">
    <nc r="G174">
      <v>0</v>
    </nc>
  </rcc>
  <rcc rId="1156" sId="2" numFmtId="4">
    <nc r="H174">
      <v>0</v>
    </nc>
  </rcc>
  <rcc rId="1157" sId="2" numFmtId="4">
    <nc r="B175">
      <v>1</v>
    </nc>
  </rcc>
  <rcc rId="1158" sId="2" numFmtId="4">
    <nc r="C175">
      <v>22</v>
    </nc>
  </rcc>
  <rcc rId="1159" sId="2" numFmtId="4">
    <nc r="D175">
      <v>7</v>
    </nc>
  </rcc>
  <rcc rId="1160" sId="2" numFmtId="4">
    <nc r="E175">
      <v>0</v>
    </nc>
  </rcc>
  <rcc rId="1161" sId="2" numFmtId="4">
    <nc r="F175">
      <v>23</v>
    </nc>
  </rcc>
  <rcc rId="1162" sId="2" numFmtId="4">
    <nc r="G175">
      <v>0</v>
    </nc>
  </rcc>
  <rcc rId="1163" sId="2" numFmtId="4">
    <nc r="H175">
      <v>0</v>
    </nc>
  </rcc>
  <rcc rId="1164" sId="2" numFmtId="4">
    <nc r="B176">
      <v>1</v>
    </nc>
  </rcc>
  <rcc rId="1165" sId="2" numFmtId="4">
    <nc r="C176">
      <v>22</v>
    </nc>
  </rcc>
  <rcc rId="1166" sId="2" numFmtId="4">
    <nc r="D176">
      <v>6</v>
    </nc>
  </rcc>
  <rcc rId="1167" sId="2" numFmtId="4">
    <nc r="E176">
      <v>1</v>
    </nc>
  </rcc>
  <rcc rId="1168" sId="2" numFmtId="4">
    <nc r="F176">
      <v>13</v>
    </nc>
  </rcc>
  <rcc rId="1169" sId="2" numFmtId="4">
    <nc r="G176">
      <v>0</v>
    </nc>
  </rcc>
  <rcc rId="1170" sId="2" numFmtId="4">
    <nc r="H176">
      <v>0</v>
    </nc>
  </rcc>
  <rcc rId="1171" sId="2" numFmtId="4">
    <nc r="B177">
      <v>1</v>
    </nc>
  </rcc>
  <rcc rId="1172" sId="2" numFmtId="4">
    <nc r="C177">
      <v>22</v>
    </nc>
  </rcc>
  <rcc rId="1173" sId="2" numFmtId="4">
    <nc r="D177">
      <v>5</v>
    </nc>
  </rcc>
  <rcc rId="1174" sId="2" numFmtId="4">
    <nc r="E177">
      <v>1</v>
    </nc>
  </rcc>
  <rcc rId="1175" sId="2" numFmtId="4">
    <nc r="F177">
      <v>10</v>
    </nc>
  </rcc>
  <rcc rId="1176" sId="2" numFmtId="4">
    <nc r="G177">
      <v>0</v>
    </nc>
  </rcc>
  <rcc rId="1177" sId="2" numFmtId="4">
    <nc r="H177">
      <v>0</v>
    </nc>
  </rcc>
  <rcc rId="1178" sId="2" numFmtId="4">
    <nc r="B178">
      <v>13</v>
    </nc>
  </rcc>
  <rcc rId="1179" sId="2" numFmtId="4">
    <nc r="C178">
      <v>102</v>
    </nc>
  </rcc>
  <rcc rId="1180" sId="2" numFmtId="4">
    <nc r="D178">
      <v>6</v>
    </nc>
  </rcc>
  <rcc rId="1181" sId="2" numFmtId="4">
    <nc r="E178">
      <v>4</v>
    </nc>
  </rcc>
  <rcc rId="1182" sId="2" numFmtId="4">
    <nc r="F178">
      <v>7</v>
    </nc>
  </rcc>
  <rcc rId="1183" sId="2" numFmtId="4">
    <nc r="G178">
      <v>0</v>
    </nc>
  </rcc>
  <rcc rId="1184" sId="2" numFmtId="4">
    <nc r="H178">
      <v>0</v>
    </nc>
  </rcc>
  <rcc rId="1185" sId="2" numFmtId="4">
    <nc r="B179">
      <v>13</v>
    </nc>
  </rcc>
  <rcc rId="1186" sId="2" numFmtId="4">
    <nc r="C179">
      <v>102</v>
    </nc>
  </rcc>
  <rcc rId="1187" sId="2" numFmtId="4">
    <nc r="D179">
      <v>7</v>
    </nc>
  </rcc>
  <rcc rId="1188" sId="2" numFmtId="4">
    <nc r="E179">
      <v>3</v>
    </nc>
  </rcc>
  <rcc rId="1189" sId="2" numFmtId="4">
    <nc r="F179">
      <v>8</v>
    </nc>
  </rcc>
  <rcc rId="1190" sId="2" numFmtId="4">
    <nc r="G179">
      <v>2</v>
    </nc>
  </rcc>
  <rcc rId="1191" sId="2" numFmtId="4">
    <nc r="H179">
      <v>0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1192" sId="8" numFmtId="4">
    <nc r="B26">
      <v>23</v>
    </nc>
  </rcc>
  <rcc rId="1193" sId="8" numFmtId="4">
    <nc r="C26">
      <v>134</v>
    </nc>
  </rcc>
  <rcc rId="1194" sId="8" numFmtId="4">
    <nc r="D26">
      <v>1</v>
    </nc>
  </rcc>
  <rcc rId="1195" sId="8" numFmtId="4">
    <nc r="E26">
      <v>5</v>
    </nc>
  </rcc>
  <rcc rId="1196" sId="8" numFmtId="4">
    <nc r="F26">
      <v>6</v>
    </nc>
  </rcc>
  <rcc rId="1197" sId="8" numFmtId="4">
    <nc r="G26">
      <v>0</v>
    </nc>
  </rcc>
  <rcc rId="1198" sId="8" numFmtId="4">
    <nc r="B27">
      <v>23</v>
    </nc>
  </rcc>
  <rcc rId="1199" sId="8" numFmtId="4">
    <nc r="C27">
      <v>131</v>
    </nc>
  </rcc>
  <rcc rId="1200" sId="8" numFmtId="4">
    <nc r="D27">
      <v>1</v>
    </nc>
  </rcc>
  <rcc rId="1201" sId="8" numFmtId="4">
    <nc r="E27">
      <v>11</v>
    </nc>
  </rcc>
  <rcc rId="1202" sId="8" numFmtId="4">
    <nc r="F27">
      <v>3</v>
    </nc>
  </rcc>
  <rcc rId="1203" sId="8" numFmtId="4">
    <nc r="G27">
      <v>1</v>
    </nc>
  </rcc>
  <rcc rId="1204" sId="8" numFmtId="4">
    <nc r="B28">
      <v>23</v>
    </nc>
  </rcc>
  <rcc rId="1205" sId="8" numFmtId="4">
    <nc r="C28">
      <v>131</v>
    </nc>
  </rcc>
  <rcc rId="1206" sId="8" numFmtId="4">
    <nc r="D28">
      <v>1</v>
    </nc>
  </rcc>
  <rcc rId="1207" sId="8" numFmtId="4">
    <nc r="E28">
      <v>6</v>
    </nc>
  </rcc>
  <rcc rId="1208" sId="8" numFmtId="4">
    <nc r="F28">
      <v>2</v>
    </nc>
  </rcc>
  <rcc rId="1209" sId="8" numFmtId="4">
    <nc r="G28">
      <v>0</v>
    </nc>
  </rcc>
  <rcc rId="1210" sId="8" numFmtId="4">
    <nc r="B29">
      <v>23</v>
    </nc>
  </rcc>
  <rcc rId="1211" sId="8" numFmtId="4">
    <nc r="C29">
      <v>134</v>
    </nc>
  </rcc>
  <rcc rId="1212" sId="8" numFmtId="4">
    <nc r="D29">
      <v>2</v>
    </nc>
  </rcc>
  <rcc rId="1213" sId="8" numFmtId="4">
    <nc r="E29">
      <v>12</v>
    </nc>
  </rcc>
  <rcc rId="1214" sId="8" numFmtId="4">
    <nc r="F29">
      <v>9</v>
    </nc>
  </rcc>
  <rcc rId="1215" sId="8" numFmtId="4">
    <nc r="G29">
      <v>1</v>
    </nc>
  </rcc>
  <rcc rId="1216" sId="8" numFmtId="4">
    <nc r="B30">
      <v>23</v>
    </nc>
  </rcc>
  <rcc rId="1217" sId="8" numFmtId="4">
    <nc r="C30">
      <v>128</v>
    </nc>
  </rcc>
  <rcc rId="1218" sId="8" numFmtId="4">
    <nc r="D30">
      <v>6</v>
    </nc>
  </rcc>
  <rcc rId="1219" sId="8" numFmtId="4">
    <nc r="E30">
      <v>6</v>
    </nc>
  </rcc>
  <rcc rId="1220" sId="8" numFmtId="4">
    <nc r="F30">
      <v>1</v>
    </nc>
  </rcc>
  <rcc rId="1221" sId="8" numFmtId="4">
    <nc r="G30">
      <v>0</v>
    </nc>
  </rcc>
  <rcc rId="1222" sId="8" numFmtId="4">
    <nc r="B31">
      <v>23</v>
    </nc>
  </rcc>
  <rcc rId="1223" sId="8" numFmtId="4">
    <nc r="C31">
      <v>128</v>
    </nc>
  </rcc>
  <rcc rId="1224" sId="8" numFmtId="4">
    <nc r="D31">
      <v>7</v>
    </nc>
  </rcc>
  <rcc rId="1225" sId="8" numFmtId="4">
    <nc r="E31">
      <v>7</v>
    </nc>
  </rcc>
  <rcc rId="1226" sId="8" numFmtId="4">
    <nc r="F31">
      <v>3</v>
    </nc>
  </rcc>
  <rcc rId="1227" sId="8" numFmtId="4">
    <nc r="G31">
      <v>1</v>
    </nc>
  </rcc>
  <rcc rId="1228" sId="8" numFmtId="4">
    <nc r="B32">
      <v>23</v>
    </nc>
  </rcc>
  <rcc rId="1229" sId="8" numFmtId="4">
    <nc r="C32">
      <v>130</v>
    </nc>
  </rcc>
  <rcc rId="1230" sId="8" numFmtId="4">
    <nc r="D32">
      <v>5</v>
    </nc>
  </rcc>
  <rcc rId="1231" sId="8" numFmtId="4">
    <nc r="E32">
      <v>10</v>
    </nc>
  </rcc>
  <rcc rId="1232" sId="8" numFmtId="4">
    <nc r="F32">
      <v>5</v>
    </nc>
  </rcc>
  <rcc rId="1233" sId="8" numFmtId="4">
    <nc r="G32">
      <v>2</v>
    </nc>
  </rcc>
  <rcc rId="1234" sId="8" numFmtId="4">
    <nc r="B33">
      <v>23</v>
    </nc>
  </rcc>
  <rcc rId="1235" sId="8" numFmtId="4">
    <nc r="C33">
      <v>130</v>
    </nc>
  </rcc>
  <rcc rId="1236" sId="8" numFmtId="4">
    <nc r="D33">
      <v>6</v>
    </nc>
  </rcc>
  <rcc rId="1237" sId="8" numFmtId="4">
    <nc r="E33">
      <v>21</v>
    </nc>
  </rcc>
  <rcc rId="1238" sId="8" numFmtId="4">
    <nc r="F33">
      <v>1</v>
    </nc>
  </rcc>
  <rcc rId="1239" sId="8" numFmtId="4">
    <nc r="G33">
      <v>1</v>
    </nc>
  </rcc>
  <rcc rId="1240" sId="8" numFmtId="4">
    <nc r="B34">
      <v>23</v>
    </nc>
  </rcc>
  <rcc rId="1241" sId="8" numFmtId="4">
    <nc r="C34">
      <v>130</v>
    </nc>
  </rcc>
  <rcc rId="1242" sId="8" numFmtId="4">
    <nc r="D34">
      <v>4</v>
    </nc>
  </rcc>
  <rcc rId="1243" sId="8" numFmtId="4">
    <nc r="E34">
      <v>13</v>
    </nc>
  </rcc>
  <rcc rId="1244" sId="8" numFmtId="4">
    <nc r="F34">
      <v>4</v>
    </nc>
  </rcc>
  <rcc rId="1245" sId="8" numFmtId="4">
    <nc r="G34">
      <v>2</v>
    </nc>
  </rcc>
  <rcc rId="1246" sId="8" numFmtId="4">
    <nc r="B35">
      <v>23</v>
    </nc>
  </rcc>
  <rcc rId="1247" sId="8" numFmtId="4">
    <nc r="C35">
      <v>130</v>
    </nc>
  </rcc>
  <rcc rId="1248" sId="8" numFmtId="4">
    <nc r="D35">
      <v>2</v>
    </nc>
  </rcc>
  <rcc rId="1249" sId="8" numFmtId="4">
    <nc r="E35">
      <v>7</v>
    </nc>
  </rcc>
  <rcc rId="1250" sId="8" numFmtId="4">
    <nc r="F35">
      <v>1</v>
    </nc>
  </rcc>
  <rcc rId="1251" sId="8" numFmtId="4">
    <nc r="G35">
      <v>0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1252" sId="2" numFmtId="4">
    <nc r="B180">
      <v>13</v>
    </nc>
  </rcc>
  <rcc rId="1253" sId="2" numFmtId="4">
    <nc r="C180">
      <v>102</v>
    </nc>
  </rcc>
  <rcc rId="1254" sId="2" numFmtId="4">
    <nc r="D180">
      <v>7</v>
    </nc>
  </rcc>
  <rcc rId="1255" sId="2" numFmtId="4">
    <nc r="E180">
      <v>3</v>
    </nc>
  </rcc>
  <rcc rId="1256" sId="2" numFmtId="4">
    <nc r="F180">
      <v>8</v>
    </nc>
  </rcc>
  <rcc rId="1257" sId="2" numFmtId="4">
    <nc r="G180">
      <v>2</v>
    </nc>
  </rcc>
  <rcc rId="1258" sId="2" numFmtId="4">
    <nc r="H180">
      <v>0</v>
    </nc>
  </rcc>
  <rcc rId="1259" sId="2" numFmtId="4">
    <nc r="B181">
      <v>13</v>
    </nc>
  </rcc>
  <rcc rId="1260" sId="2" numFmtId="4">
    <nc r="C181">
      <v>102</v>
    </nc>
  </rcc>
  <rcc rId="1261" sId="2" numFmtId="4">
    <nc r="D181">
      <v>5</v>
    </nc>
  </rcc>
  <rcc rId="1262" sId="2" numFmtId="4">
    <nc r="E181">
      <v>5</v>
    </nc>
  </rcc>
  <rcc rId="1263" sId="2" numFmtId="4">
    <nc r="F181">
      <v>7</v>
    </nc>
  </rcc>
  <rcc rId="1264" sId="2" numFmtId="4">
    <nc r="G181">
      <v>0</v>
    </nc>
  </rcc>
  <rcc rId="1265" sId="2" numFmtId="4">
    <nc r="H181">
      <v>0</v>
    </nc>
  </rcc>
  <rcc rId="1266" sId="2" numFmtId="4">
    <nc r="B182">
      <v>13</v>
    </nc>
  </rcc>
  <rcc rId="1267" sId="2" numFmtId="4">
    <nc r="C182">
      <v>41</v>
    </nc>
  </rcc>
  <rcc rId="1268" sId="2" numFmtId="4">
    <nc r="D182">
      <v>6</v>
    </nc>
  </rcc>
  <rcc rId="1269" sId="2" numFmtId="4">
    <nc r="E182">
      <v>11</v>
    </nc>
  </rcc>
  <rcc rId="1270" sId="2" numFmtId="4">
    <nc r="F182">
      <v>5</v>
    </nc>
  </rcc>
  <rcc rId="1271" sId="2" numFmtId="4">
    <nc r="G182">
      <v>0</v>
    </nc>
  </rcc>
  <rcc rId="1272" sId="2" numFmtId="4">
    <nc r="H182">
      <v>0</v>
    </nc>
  </rcc>
  <rcc rId="1273" sId="2" numFmtId="4">
    <nc r="B183">
      <v>13</v>
    </nc>
  </rcc>
  <rcc rId="1274" sId="2" numFmtId="4">
    <nc r="C183">
      <v>75</v>
    </nc>
  </rcc>
  <rcc rId="1275" sId="2" numFmtId="4">
    <nc r="D183">
      <v>3</v>
    </nc>
  </rcc>
  <rcc rId="1276" sId="2" numFmtId="4">
    <nc r="E183">
      <v>2</v>
    </nc>
  </rcc>
  <rcc rId="1277" sId="2" numFmtId="4">
    <nc r="F183">
      <v>23</v>
    </nc>
  </rcc>
  <rcc rId="1278" sId="2" numFmtId="4">
    <nc r="G183">
      <v>0</v>
    </nc>
  </rcc>
  <rcc rId="1279" sId="2" numFmtId="4">
    <nc r="H183">
      <v>0</v>
    </nc>
  </rcc>
  <rcc rId="1280" sId="2" numFmtId="4">
    <nc r="B184">
      <v>13</v>
    </nc>
  </rcc>
  <rcc rId="1281" sId="2" numFmtId="4">
    <nc r="C184">
      <v>36</v>
    </nc>
  </rcc>
  <rcc rId="1282" sId="2" numFmtId="4">
    <nc r="D184">
      <v>6</v>
    </nc>
  </rcc>
  <rcc rId="1283" sId="2" numFmtId="4">
    <nc r="E184">
      <v>18</v>
    </nc>
  </rcc>
  <rcc rId="1284" sId="2" numFmtId="4">
    <nc r="F184">
      <v>9</v>
    </nc>
  </rcc>
  <rcc rId="1285" sId="2" numFmtId="4">
    <nc r="G184">
      <v>0</v>
    </nc>
  </rcc>
  <rcc rId="1286" sId="2" numFmtId="4">
    <nc r="H184">
      <v>0</v>
    </nc>
  </rcc>
  <rcc rId="1287" sId="2" numFmtId="4">
    <nc r="B185">
      <v>13</v>
    </nc>
  </rcc>
  <rcc rId="1288" sId="2" numFmtId="4">
    <nc r="C185">
      <v>116</v>
    </nc>
  </rcc>
  <rcc rId="1289" sId="2" numFmtId="4">
    <nc r="D185">
      <v>7</v>
    </nc>
  </rcc>
  <rcc rId="1290" sId="2" numFmtId="4">
    <nc r="E185">
      <v>15</v>
    </nc>
  </rcc>
  <rcc rId="1291" sId="2" numFmtId="4">
    <nc r="F185">
      <v>0</v>
    </nc>
  </rcc>
  <rcc rId="1292" sId="2" numFmtId="4">
    <nc r="G185">
      <v>0</v>
    </nc>
  </rcc>
  <rcc rId="1293" sId="2" numFmtId="4">
    <nc r="H185">
      <v>0</v>
    </nc>
  </rcc>
  <rcc rId="1294" sId="2" numFmtId="4">
    <nc r="B186">
      <v>1</v>
    </nc>
  </rcc>
  <rcc rId="1295" sId="2" numFmtId="4">
    <nc r="C186">
      <v>67</v>
    </nc>
  </rcc>
  <rcc rId="1296" sId="2" numFmtId="4">
    <nc r="D186">
      <v>7</v>
    </nc>
  </rcc>
  <rcc rId="1297" sId="2" numFmtId="4">
    <nc r="E186">
      <v>0</v>
    </nc>
  </rcc>
  <rcc rId="1298" sId="2" numFmtId="4">
    <nc r="F186">
      <v>10</v>
    </nc>
  </rcc>
  <rcc rId="1299" sId="2" numFmtId="4">
    <nc r="G186">
      <v>0</v>
    </nc>
  </rcc>
  <rcc rId="1300" sId="2" numFmtId="4">
    <nc r="H186">
      <v>0</v>
    </nc>
  </rcc>
  <rcc rId="1301" sId="2" numFmtId="4">
    <nc r="B187">
      <v>1</v>
    </nc>
  </rcc>
  <rcc rId="1302" sId="2" numFmtId="4">
    <nc r="C187">
      <v>67</v>
    </nc>
  </rcc>
  <rcc rId="1303" sId="2" numFmtId="4">
    <nc r="D187">
      <v>6</v>
    </nc>
  </rcc>
  <rcc rId="1304" sId="2" numFmtId="4">
    <nc r="E187">
      <v>0</v>
    </nc>
  </rcc>
  <rcc rId="1305" sId="2" numFmtId="4">
    <nc r="F187">
      <v>31</v>
    </nc>
  </rcc>
  <rcc rId="1306" sId="2" numFmtId="4">
    <nc r="G187">
      <v>0</v>
    </nc>
  </rcc>
  <rcc rId="1307" sId="2" numFmtId="4">
    <nc r="H187">
      <v>0</v>
    </nc>
  </rcc>
  <rcc rId="1308" sId="2" numFmtId="4">
    <nc r="B188">
      <v>1</v>
    </nc>
  </rcc>
  <rcc rId="1309" sId="2" numFmtId="4">
    <nc r="C188">
      <v>67</v>
    </nc>
  </rcc>
  <rcc rId="1310" sId="2" numFmtId="4">
    <nc r="D188">
      <v>5</v>
    </nc>
  </rcc>
  <rcc rId="1311" sId="2" numFmtId="4">
    <nc r="E188">
      <v>0</v>
    </nc>
  </rcc>
  <rcc rId="1312" sId="2" numFmtId="4">
    <nc r="F188">
      <v>28</v>
    </nc>
  </rcc>
  <rcc rId="1313" sId="2" numFmtId="4">
    <nc r="G188">
      <v>0</v>
    </nc>
  </rcc>
  <rcc rId="1314" sId="2" numFmtId="4">
    <nc r="H188">
      <v>0</v>
    </nc>
  </rcc>
  <rcc rId="1315" sId="2" numFmtId="4">
    <nc r="B189">
      <v>1</v>
    </nc>
  </rcc>
  <rcc rId="1316" sId="2" numFmtId="4">
    <nc r="C189">
      <v>39</v>
    </nc>
  </rcc>
  <rcc rId="1317" sId="2" numFmtId="4">
    <nc r="D189">
      <v>3</v>
    </nc>
  </rcc>
  <rcc rId="1318" sId="2" numFmtId="4">
    <nc r="E189">
      <v>8</v>
    </nc>
  </rcc>
  <rcc rId="1319" sId="2" numFmtId="4">
    <nc r="F189">
      <v>15</v>
    </nc>
  </rcc>
  <rcc rId="1320" sId="2" numFmtId="4">
    <nc r="G189">
      <v>0</v>
    </nc>
  </rcc>
  <rcc rId="1321" sId="2" numFmtId="4">
    <nc r="H189">
      <v>2</v>
    </nc>
  </rcc>
  <rcc rId="1322" sId="2" numFmtId="4">
    <nc r="B190">
      <v>1</v>
    </nc>
  </rcc>
  <rcc rId="1323" sId="2" numFmtId="4">
    <nc r="C190">
      <v>61</v>
    </nc>
  </rcc>
  <rcc rId="1324" sId="2" numFmtId="4">
    <nc r="D190">
      <v>7</v>
    </nc>
  </rcc>
  <rcc rId="1325" sId="2" numFmtId="4">
    <nc r="E190">
      <v>3</v>
    </nc>
  </rcc>
  <rcc rId="1326" sId="2" numFmtId="4">
    <nc r="F190">
      <v>19</v>
    </nc>
  </rcc>
  <rcc rId="1327" sId="2" numFmtId="4">
    <nc r="G190">
      <v>0</v>
    </nc>
  </rcc>
  <rcc rId="1328" sId="2" numFmtId="4">
    <nc r="H190">
      <v>2</v>
    </nc>
  </rcc>
  <rcc rId="1329" sId="2" numFmtId="4">
    <nc r="B191">
      <v>13</v>
    </nc>
  </rcc>
  <rcc rId="1330" sId="2" numFmtId="4">
    <nc r="C191">
      <v>49</v>
    </nc>
  </rcc>
  <rcc rId="1331" sId="2" numFmtId="4">
    <nc r="D191">
      <v>6</v>
    </nc>
  </rcc>
  <rcc rId="1332" sId="2" numFmtId="4">
    <nc r="E191">
      <v>15</v>
    </nc>
  </rcc>
  <rcc rId="1333" sId="2" numFmtId="4">
    <nc r="F191">
      <v>8</v>
    </nc>
  </rcc>
  <rcc rId="1334" sId="2" numFmtId="4">
    <nc r="G191">
      <v>0</v>
    </nc>
  </rcc>
  <rcc rId="1335" sId="2" numFmtId="4">
    <nc r="H191">
      <v>0</v>
    </nc>
  </rcc>
  <rcc rId="1336" sId="2" numFmtId="4">
    <nc r="B192">
      <v>1</v>
    </nc>
  </rcc>
  <rcc rId="1337" sId="2" numFmtId="4">
    <nc r="C192">
      <v>69</v>
    </nc>
  </rcc>
  <rcc rId="1338" sId="2" numFmtId="4">
    <nc r="D192">
      <v>7</v>
    </nc>
  </rcc>
  <rcc rId="1339" sId="2" numFmtId="4">
    <nc r="E192">
      <v>3</v>
    </nc>
  </rcc>
  <rcc rId="1340" sId="2" numFmtId="4">
    <nc r="F192">
      <v>12</v>
    </nc>
  </rcc>
  <rcc rId="1341" sId="2" numFmtId="4">
    <nc r="G192">
      <v>0</v>
    </nc>
  </rcc>
  <rcc rId="1342" sId="2" numFmtId="4">
    <nc r="H192">
      <v>0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cc rId="1343" sId="5" numFmtId="4">
    <nc r="B188">
      <v>13</v>
    </nc>
  </rcc>
  <rcc rId="1344" sId="5" numFmtId="4">
    <nc r="C188">
      <v>62</v>
    </nc>
  </rcc>
  <rcc rId="1345" sId="5" numFmtId="4">
    <nc r="D188">
      <v>6</v>
    </nc>
  </rcc>
  <rcc rId="1346" sId="5" numFmtId="4">
    <nc r="E188">
      <v>5</v>
    </nc>
  </rcc>
  <rcc rId="1347" sId="5" numFmtId="4">
    <nc r="F188">
      <v>13</v>
    </nc>
  </rcc>
  <rcc rId="1348" sId="5" numFmtId="4">
    <nc r="G188">
      <v>0</v>
    </nc>
  </rcc>
  <rcc rId="1349" sId="5" numFmtId="4">
    <nc r="B189">
      <v>13</v>
    </nc>
  </rcc>
  <rcc rId="1350" sId="5" numFmtId="4">
    <nc r="C189">
      <v>65</v>
    </nc>
  </rcc>
  <rcc rId="1351" sId="5" numFmtId="4">
    <nc r="D189">
      <v>5</v>
    </nc>
  </rcc>
  <rcc rId="1352" sId="5" numFmtId="4">
    <nc r="E189">
      <v>7</v>
    </nc>
  </rcc>
  <rcc rId="1353" sId="5" numFmtId="4">
    <nc r="F189">
      <v>10</v>
    </nc>
  </rcc>
  <rcc rId="1354" sId="5" numFmtId="4">
    <nc r="G189">
      <v>0</v>
    </nc>
  </rcc>
  <rcc rId="1355" sId="5" numFmtId="4">
    <nc r="B190">
      <v>13</v>
    </nc>
  </rcc>
  <rcc rId="1356" sId="5" numFmtId="4">
    <nc r="C190">
      <v>65</v>
    </nc>
  </rcc>
  <rcc rId="1357" sId="5" numFmtId="4">
    <nc r="D190">
      <v>3</v>
    </nc>
  </rcc>
  <rcc rId="1358" sId="5" numFmtId="4">
    <nc r="E190">
      <v>9</v>
    </nc>
  </rcc>
  <rcc rId="1359" sId="5" numFmtId="4">
    <nc r="F190">
      <v>13</v>
    </nc>
  </rcc>
  <rcc rId="1360" sId="5" numFmtId="4">
    <nc r="G190">
      <v>0</v>
    </nc>
  </rcc>
  <rcc rId="1361" sId="5" numFmtId="4">
    <nc r="B191">
      <v>13</v>
    </nc>
  </rcc>
  <rcc rId="1362" sId="5" numFmtId="4">
    <nc r="C191">
      <v>65</v>
    </nc>
  </rcc>
  <rcc rId="1363" sId="5" numFmtId="4">
    <nc r="D191">
      <v>4</v>
    </nc>
  </rcc>
  <rcc rId="1364" sId="5" numFmtId="4">
    <nc r="E191">
      <v>4</v>
    </nc>
  </rcc>
  <rcc rId="1365" sId="5" numFmtId="4">
    <nc r="F191">
      <v>10</v>
    </nc>
  </rcc>
  <rcc rId="1366" sId="5" numFmtId="4">
    <nc r="G191">
      <v>0</v>
    </nc>
  </rcc>
  <rcc rId="1367" sId="5" numFmtId="4">
    <nc r="B192">
      <v>13</v>
    </nc>
  </rcc>
  <rcc rId="1368" sId="5" numFmtId="4">
    <nc r="C192">
      <v>121</v>
    </nc>
  </rcc>
  <rcc rId="1369" sId="5" numFmtId="4">
    <nc r="D192">
      <v>8</v>
    </nc>
  </rcc>
  <rcc rId="1370" sId="5" numFmtId="4">
    <nc r="E192">
      <v>33</v>
    </nc>
  </rcc>
  <rcc rId="1371" sId="5" numFmtId="4">
    <nc r="F192">
      <v>17</v>
    </nc>
  </rcc>
  <rcc rId="1372" sId="5" numFmtId="4">
    <nc r="G192">
      <v>0</v>
    </nc>
  </rcc>
  <rcc rId="1373" sId="5" numFmtId="4">
    <nc r="B193">
      <v>13</v>
    </nc>
  </rcc>
  <rcc rId="1374" sId="5" numFmtId="4">
    <nc r="C193">
      <v>102</v>
    </nc>
  </rcc>
  <rcc rId="1375" sId="5" numFmtId="4">
    <nc r="D193">
      <v>7</v>
    </nc>
  </rcc>
  <rcc rId="1376" sId="5" numFmtId="4">
    <nc r="E193">
      <v>5</v>
    </nc>
  </rcc>
  <rcc rId="1377" sId="5" numFmtId="4">
    <nc r="F193">
      <v>9</v>
    </nc>
  </rcc>
  <rcc rId="1378" sId="5" numFmtId="4">
    <nc r="G193">
      <v>0</v>
    </nc>
  </rcc>
  <rcc rId="1379" sId="5" numFmtId="4">
    <nc r="B194">
      <v>13</v>
    </nc>
  </rcc>
  <rcc rId="1380" sId="5" numFmtId="4">
    <nc r="C194">
      <v>102</v>
    </nc>
  </rcc>
  <rcc rId="1381" sId="5" numFmtId="4">
    <nc r="D194">
      <v>6</v>
    </nc>
  </rcc>
  <rcc rId="1382" sId="5" numFmtId="4">
    <nc r="E194">
      <v>8</v>
    </nc>
  </rcc>
  <rcc rId="1383" sId="5" numFmtId="4">
    <nc r="F194">
      <v>8</v>
    </nc>
  </rcc>
  <rcc rId="1384" sId="5" numFmtId="4">
    <nc r="G194">
      <v>1</v>
    </nc>
  </rcc>
  <rcc rId="1385" sId="5" numFmtId="4">
    <nc r="B195">
      <v>13</v>
    </nc>
  </rcc>
  <rcc rId="1386" sId="5" numFmtId="4">
    <nc r="C195">
      <v>102</v>
    </nc>
  </rcc>
  <rcc rId="1387" sId="5" numFmtId="4">
    <nc r="D195">
      <v>6</v>
    </nc>
  </rcc>
  <rcc rId="1388" sId="5" numFmtId="4">
    <nc r="E195">
      <v>8</v>
    </nc>
  </rcc>
  <rcc rId="1389" sId="5" numFmtId="4">
    <nc r="F195">
      <v>8</v>
    </nc>
  </rcc>
  <rcc rId="1390" sId="5" numFmtId="4">
    <nc r="G195">
      <v>1</v>
    </nc>
  </rcc>
  <rcc rId="1391" sId="5" numFmtId="4">
    <nc r="B196">
      <v>13</v>
    </nc>
  </rcc>
  <rcc rId="1392" sId="5" numFmtId="4">
    <nc r="C196">
      <v>102</v>
    </nc>
  </rcc>
  <rcc rId="1393" sId="5" numFmtId="4">
    <nc r="D196">
      <v>5</v>
    </nc>
  </rcc>
  <rcc rId="1394" sId="5" numFmtId="4">
    <nc r="E196">
      <v>4</v>
    </nc>
  </rcc>
  <rcc rId="1395" sId="5" numFmtId="4">
    <nc r="F196">
      <v>11</v>
    </nc>
  </rcc>
  <rcc rId="1396" sId="5" numFmtId="4">
    <nc r="G196">
      <v>0</v>
    </nc>
  </rcc>
  <rcc rId="1397" sId="5" numFmtId="4">
    <nc r="B197">
      <v>13</v>
    </nc>
  </rcc>
  <rcc rId="1398" sId="5" numFmtId="4">
    <nc r="C197">
      <v>77</v>
    </nc>
  </rcc>
  <rcc rId="1399" sId="5" numFmtId="4">
    <nc r="D197">
      <v>7</v>
    </nc>
  </rcc>
  <rcc rId="1400" sId="5" numFmtId="4">
    <nc r="E197">
      <v>14</v>
    </nc>
  </rcc>
  <rcc rId="1401" sId="5" numFmtId="4">
    <nc r="F197">
      <v>10</v>
    </nc>
  </rcc>
  <rcc rId="1402" sId="5" numFmtId="4">
    <nc r="G197">
      <v>0</v>
    </nc>
  </rcc>
  <rcc rId="1403" sId="5" numFmtId="4">
    <nc r="B198">
      <v>13</v>
    </nc>
  </rcc>
  <rcc rId="1404" sId="5" numFmtId="4">
    <nc r="C198">
      <v>75</v>
    </nc>
  </rcc>
  <rcc rId="1405" sId="5" numFmtId="4">
    <nc r="D198">
      <v>3</v>
    </nc>
  </rcc>
  <rcc rId="1406" sId="5" numFmtId="4">
    <nc r="E198">
      <v>2</v>
    </nc>
  </rcc>
  <rcc rId="1407" sId="5" numFmtId="4">
    <nc r="G198">
      <v>0</v>
    </nc>
  </rcc>
  <rcc rId="1408" sId="5" numFmtId="4">
    <nc r="F198">
      <v>23</v>
    </nc>
  </rcc>
  <rcc rId="1409" sId="5" numFmtId="4">
    <nc r="B199">
      <v>13</v>
    </nc>
  </rcc>
  <rcc rId="1410" sId="5" numFmtId="4">
    <nc r="C199">
      <v>87</v>
    </nc>
  </rcc>
  <rcc rId="1411" sId="5" numFmtId="4">
    <nc r="D199">
      <v>6</v>
    </nc>
  </rcc>
  <rcc rId="1412" sId="5" numFmtId="4">
    <nc r="E199">
      <v>18</v>
    </nc>
  </rcc>
  <rcc rId="1413" sId="5" numFmtId="4">
    <nc r="F199">
      <v>2</v>
    </nc>
  </rcc>
  <rcc rId="1414" sId="5" numFmtId="4">
    <nc r="G199">
      <v>5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cc rId="1415" sId="2" numFmtId="4">
    <nc r="B193">
      <v>1</v>
    </nc>
  </rcc>
  <rcc rId="1416" sId="2" numFmtId="4">
    <nc r="C193">
      <v>64</v>
    </nc>
  </rcc>
  <rcc rId="1417" sId="2" numFmtId="4">
    <nc r="D193">
      <v>6</v>
    </nc>
  </rcc>
  <rcc rId="1418" sId="2" numFmtId="4">
    <nc r="E193">
      <v>15</v>
    </nc>
  </rcc>
  <rcc rId="1419" sId="2" numFmtId="4">
    <nc r="F193">
      <v>8</v>
    </nc>
  </rcc>
  <rcc rId="1420" sId="2" numFmtId="4">
    <nc r="G193">
      <v>0</v>
    </nc>
  </rcc>
  <rcc rId="1421" sId="2" numFmtId="4">
    <nc r="H193">
      <v>0</v>
    </nc>
  </rcc>
  <rcc rId="1422" sId="2" numFmtId="4">
    <nc r="B194">
      <v>1</v>
    </nc>
  </rcc>
  <rcc rId="1423" sId="2" numFmtId="4">
    <nc r="C194">
      <v>64</v>
    </nc>
  </rcc>
  <rcc rId="1424" sId="2" numFmtId="4">
    <nc r="D194">
      <v>5</v>
    </nc>
  </rcc>
  <rcc rId="1425" sId="2" numFmtId="4">
    <nc r="E194">
      <v>17</v>
    </nc>
  </rcc>
  <rcc rId="1426" sId="2" numFmtId="4">
    <nc r="F194">
      <v>2</v>
    </nc>
  </rcc>
  <rcc rId="1427" sId="2" numFmtId="4">
    <nc r="G194">
      <v>0</v>
    </nc>
  </rcc>
  <rcc rId="1428" sId="2" numFmtId="4">
    <nc r="H194">
      <v>0</v>
    </nc>
  </rcc>
  <rcc rId="1429" sId="2" numFmtId="4">
    <nc r="B195">
      <v>1</v>
    </nc>
  </rcc>
  <rcc rId="1430" sId="2" numFmtId="4">
    <nc r="C195">
      <v>48</v>
    </nc>
  </rcc>
  <rcc rId="1431" sId="2" numFmtId="4">
    <nc r="D195">
      <v>7</v>
    </nc>
  </rcc>
  <rcc rId="1432" sId="2" numFmtId="4">
    <nc r="E195">
      <v>5</v>
    </nc>
  </rcc>
  <rcc rId="1433" sId="2" numFmtId="4">
    <nc r="F195">
      <v>20</v>
    </nc>
  </rcc>
  <rcc rId="1434" sId="2" numFmtId="4">
    <nc r="G195">
      <v>0</v>
    </nc>
  </rcc>
  <rcc rId="1435" sId="2" numFmtId="4">
    <nc r="H195">
      <v>0</v>
    </nc>
  </rcc>
  <rcc rId="1436" sId="2" numFmtId="4">
    <nc r="B196">
      <v>1</v>
    </nc>
  </rcc>
  <rcc rId="1437" sId="2" numFmtId="4">
    <nc r="C196">
      <v>48</v>
    </nc>
  </rcc>
  <rcc rId="1438" sId="2" numFmtId="4">
    <nc r="D196">
      <v>6</v>
    </nc>
  </rcc>
  <rcc rId="1439" sId="2" numFmtId="4">
    <nc r="E196">
      <v>10</v>
    </nc>
  </rcc>
  <rcc rId="1440" sId="2" numFmtId="4">
    <nc r="F196">
      <v>20</v>
    </nc>
  </rcc>
  <rcc rId="1441" sId="2" numFmtId="4">
    <nc r="G196">
      <v>0</v>
    </nc>
  </rcc>
  <rcc rId="1442" sId="2" numFmtId="4">
    <nc r="H196">
      <v>0</v>
    </nc>
  </rcc>
  <rcc rId="1443" sId="2" numFmtId="4">
    <nc r="B197">
      <v>1</v>
    </nc>
  </rcc>
  <rcc rId="1444" sId="2" numFmtId="4">
    <nc r="C197">
      <v>48</v>
    </nc>
  </rcc>
  <rcc rId="1445" sId="2" numFmtId="4">
    <nc r="D197">
      <v>6</v>
    </nc>
  </rcc>
  <rcc rId="1446" sId="2" numFmtId="4">
    <nc r="E197">
      <v>10</v>
    </nc>
  </rcc>
  <rcc rId="1447" sId="2" numFmtId="4">
    <nc r="F197">
      <v>20</v>
    </nc>
  </rcc>
  <rcc rId="1448" sId="2" numFmtId="4">
    <nc r="G197">
      <v>0</v>
    </nc>
  </rcc>
  <rcc rId="1449" sId="2" numFmtId="4">
    <nc r="H197">
      <v>0</v>
    </nc>
  </rcc>
  <rcc rId="1450" sId="2" numFmtId="4">
    <nc r="B198">
      <v>1</v>
    </nc>
  </rcc>
  <rcc rId="1451" sId="2" numFmtId="4">
    <nc r="C198">
      <v>48</v>
    </nc>
  </rcc>
  <rcc rId="1452" sId="2" numFmtId="4">
    <nc r="D198">
      <v>5</v>
    </nc>
  </rcc>
  <rcc rId="1453" sId="2" numFmtId="4">
    <nc r="E198">
      <v>8</v>
    </nc>
  </rcc>
  <rcc rId="1454" sId="2" numFmtId="4">
    <nc r="F198">
      <v>10</v>
    </nc>
  </rcc>
  <rcc rId="1455" sId="2" numFmtId="4">
    <nc r="G198">
      <v>0</v>
    </nc>
  </rcc>
  <rcc rId="1456" sId="2" numFmtId="4">
    <nc r="H198">
      <v>0</v>
    </nc>
  </rcc>
  <rcc rId="1457" sId="2" numFmtId="4">
    <nc r="B199">
      <v>1</v>
    </nc>
  </rcc>
  <rcc rId="1458" sId="2" numFmtId="4">
    <nc r="C199">
      <v>48</v>
    </nc>
  </rcc>
  <rcc rId="1459" sId="2" numFmtId="4">
    <nc r="D199">
      <v>4</v>
    </nc>
  </rcc>
  <rcc rId="1460" sId="2" numFmtId="4">
    <nc r="F199">
      <v>10</v>
    </nc>
  </rcc>
  <rcc rId="1461" sId="2" numFmtId="4">
    <nc r="E199">
      <v>10</v>
    </nc>
  </rcc>
  <rcc rId="1462" sId="2" numFmtId="4">
    <nc r="G199">
      <v>0</v>
    </nc>
  </rcc>
  <rcc rId="1463" sId="2" numFmtId="4">
    <nc r="H199">
      <v>0</v>
    </nc>
  </rcc>
  <rcc rId="1464" sId="2" numFmtId="4">
    <nc r="B200">
      <v>1</v>
    </nc>
  </rcc>
  <rcc rId="1465" sId="2" numFmtId="4">
    <nc r="C200">
      <v>48</v>
    </nc>
  </rcc>
  <rcc rId="1466" sId="2" numFmtId="4">
    <nc r="D200">
      <v>3</v>
    </nc>
  </rcc>
  <rcc rId="1467" sId="2" numFmtId="4">
    <nc r="E200">
      <v>0</v>
    </nc>
  </rcc>
  <rcc rId="1468" sId="2" numFmtId="4">
    <nc r="F200">
      <v>0</v>
    </nc>
  </rcc>
  <rcc rId="1469" sId="2" numFmtId="4">
    <nc r="G200">
      <v>0</v>
    </nc>
  </rcc>
  <rcc rId="1470" sId="2" numFmtId="4">
    <nc r="H200">
      <v>0</v>
    </nc>
  </rcc>
  <rcc rId="1471" sId="2" numFmtId="4">
    <nc r="B201">
      <v>1</v>
    </nc>
  </rcc>
  <rcc rId="1472" sId="2" numFmtId="4">
    <nc r="C201">
      <v>48</v>
    </nc>
  </rcc>
  <rcc rId="1473" sId="2" numFmtId="4">
    <nc r="D201">
      <v>2</v>
    </nc>
  </rcc>
  <rcc rId="1474" sId="2" numFmtId="4">
    <nc r="E201">
      <v>0</v>
    </nc>
  </rcc>
  <rcc rId="1475" sId="2" numFmtId="4">
    <nc r="F201">
      <v>0</v>
    </nc>
  </rcc>
  <rcc rId="1476" sId="2" numFmtId="4">
    <nc r="G201">
      <v>0</v>
    </nc>
  </rcc>
  <rcc rId="1477" sId="2" numFmtId="4">
    <nc r="H201">
      <v>0</v>
    </nc>
  </rcc>
  <rcc rId="1478" sId="2" numFmtId="4">
    <nc r="B202">
      <v>1</v>
    </nc>
  </rcc>
  <rcc rId="1479" sId="2" numFmtId="4">
    <nc r="C202">
      <v>48</v>
    </nc>
  </rcc>
  <rcc rId="1480" sId="2" numFmtId="4">
    <nc r="D202">
      <v>1</v>
    </nc>
  </rcc>
  <rcc rId="1481" sId="2" numFmtId="4">
    <nc r="E202">
      <v>0</v>
    </nc>
  </rcc>
  <rcc rId="1482" sId="2" numFmtId="4">
    <nc r="F202">
      <v>0</v>
    </nc>
  </rcc>
  <rcc rId="1483" sId="2" numFmtId="4">
    <nc r="G202">
      <v>0</v>
    </nc>
  </rcc>
  <rcc rId="1484" sId="2" numFmtId="4">
    <nc r="H202">
      <v>0</v>
    </nc>
  </rcc>
  <rcc rId="1485" sId="2" numFmtId="4">
    <nc r="B203">
      <v>13</v>
    </nc>
  </rcc>
  <rcc rId="1486" sId="2" numFmtId="4">
    <nc r="C203">
      <v>51</v>
    </nc>
  </rcc>
  <rcc rId="1487" sId="2" numFmtId="4">
    <nc r="D203">
      <v>6</v>
    </nc>
  </rcc>
  <rcc rId="1488" sId="2" numFmtId="4">
    <nc r="E203">
      <v>1</v>
    </nc>
  </rcc>
  <rcc rId="1489" sId="2" numFmtId="4">
    <nc r="F203">
      <v>0</v>
    </nc>
  </rcc>
  <rcc rId="1490" sId="2" numFmtId="4">
    <nc r="G203">
      <v>0</v>
    </nc>
  </rcc>
  <rcc rId="1491" sId="2" numFmtId="4">
    <nc r="H203">
      <v>0</v>
    </nc>
  </rcc>
  <rcc rId="1492" sId="2" numFmtId="4">
    <nc r="B204">
      <v>13</v>
    </nc>
  </rcc>
</revisions>
</file>

<file path=xl/revisions/revisionLog22.xml><?xml version="1.0" encoding="utf-8"?>
<revisions xmlns="http://schemas.openxmlformats.org/spreadsheetml/2006/main" xmlns:r="http://schemas.openxmlformats.org/officeDocument/2006/relationships">
  <rcc rId="1493" sId="5" numFmtId="4">
    <nc r="B200">
      <v>13</v>
    </nc>
  </rcc>
  <rcc rId="1494" sId="5" numFmtId="4">
    <nc r="C200">
      <v>87</v>
    </nc>
  </rcc>
  <rcc rId="1495" sId="5" numFmtId="4">
    <nc r="D200">
      <v>7</v>
    </nc>
  </rcc>
  <rcc rId="1496" sId="5" numFmtId="4">
    <nc r="E200">
      <v>19</v>
    </nc>
  </rcc>
  <rcc rId="1497" sId="5" numFmtId="4">
    <nc r="F200">
      <v>3</v>
    </nc>
  </rcc>
  <rcc rId="1498" sId="5" numFmtId="4">
    <nc r="G200">
      <v>3</v>
    </nc>
  </rcc>
  <rcc rId="1499" sId="5" numFmtId="4">
    <nc r="B201">
      <v>13</v>
    </nc>
  </rcc>
  <rcc rId="1500" sId="5" numFmtId="4">
    <nc r="C201">
      <v>61</v>
    </nc>
  </rcc>
  <rcc rId="1501" sId="5" numFmtId="4">
    <nc r="D201">
      <v>7</v>
    </nc>
  </rcc>
  <rcc rId="1502" sId="5" numFmtId="4">
    <nc r="E201">
      <v>3</v>
    </nc>
  </rcc>
  <rcc rId="1503" sId="5" numFmtId="4">
    <nc r="F201">
      <v>17</v>
    </nc>
  </rcc>
  <rcc rId="1504" sId="5" numFmtId="4">
    <nc r="G201">
      <v>2</v>
    </nc>
  </rcc>
  <rcc rId="1505" sId="5" numFmtId="4">
    <nc r="B202">
      <v>13</v>
    </nc>
  </rcc>
  <rcc rId="1506" sId="5" numFmtId="4">
    <nc r="C202">
      <v>63</v>
    </nc>
  </rcc>
  <rcc rId="1507" sId="5" numFmtId="4">
    <nc r="D202">
      <v>7</v>
    </nc>
  </rcc>
  <rcc rId="1508" sId="5" numFmtId="4">
    <nc r="E202">
      <v>3</v>
    </nc>
  </rcc>
  <rcc rId="1509" sId="5" numFmtId="4">
    <nc r="F202">
      <v>12</v>
    </nc>
  </rcc>
  <rcc rId="1510" sId="5" numFmtId="4">
    <nc r="G202">
      <v>1</v>
    </nc>
  </rcc>
  <rcc rId="1511" sId="5" numFmtId="4">
    <nc r="B203">
      <v>13</v>
    </nc>
  </rcc>
  <rcc rId="1512" sId="5" numFmtId="4">
    <nc r="C203">
      <v>64</v>
    </nc>
  </rcc>
  <rcc rId="1513" sId="5" numFmtId="4">
    <nc r="D203">
      <v>6</v>
    </nc>
  </rcc>
  <rcc rId="1514" sId="5" numFmtId="4">
    <nc r="E203">
      <v>15</v>
    </nc>
  </rcc>
  <rcc rId="1515" sId="5" numFmtId="4">
    <nc r="F203">
      <v>8</v>
    </nc>
  </rcc>
  <rcc rId="1516" sId="5" numFmtId="4">
    <nc r="G203">
      <v>0</v>
    </nc>
  </rcc>
  <rcc rId="1517" sId="5" numFmtId="4">
    <nc r="B204">
      <v>13</v>
    </nc>
  </rcc>
  <rcc rId="1518" sId="5" numFmtId="4">
    <nc r="C204">
      <v>64</v>
    </nc>
  </rcc>
  <rcc rId="1519" sId="5" numFmtId="4">
    <nc r="D204">
      <v>5</v>
    </nc>
  </rcc>
  <rcc rId="1520" sId="5" numFmtId="4">
    <nc r="E204">
      <v>17</v>
    </nc>
  </rcc>
  <rcc rId="1521" sId="5" numFmtId="4">
    <nc r="F204">
      <v>2</v>
    </nc>
  </rcc>
  <rcc rId="1522" sId="5" numFmtId="4">
    <nc r="G204">
      <v>0</v>
    </nc>
  </rcc>
  <rcc rId="1523" sId="5" numFmtId="4">
    <nc r="B205">
      <v>13</v>
    </nc>
  </rcc>
  <rcc rId="1524" sId="5" numFmtId="4">
    <nc r="C205">
      <v>60</v>
    </nc>
  </rcc>
  <rcc rId="1525" sId="5" numFmtId="4">
    <nc r="D205">
      <v>6</v>
    </nc>
  </rcc>
  <rcc rId="1526" sId="5" numFmtId="4">
    <nc r="E205">
      <v>6</v>
    </nc>
  </rcc>
  <rcc rId="1527" sId="5" numFmtId="4">
    <nc r="F205">
      <v>2</v>
    </nc>
  </rcc>
  <rcc rId="1528" sId="5" numFmtId="4">
    <nc r="G205">
      <v>0</v>
    </nc>
  </rcc>
  <rcc rId="1529" sId="5" numFmtId="4">
    <nc r="B206">
      <v>13</v>
    </nc>
  </rcc>
  <rcc rId="1530" sId="5" numFmtId="4">
    <nc r="C206">
      <v>66</v>
    </nc>
  </rcc>
  <rcc rId="1531" sId="5" numFmtId="4">
    <nc r="D206">
      <v>6</v>
    </nc>
  </rcc>
  <rcc rId="1532" sId="5" numFmtId="4">
    <nc r="E206">
      <v>10</v>
    </nc>
  </rcc>
  <rcc rId="1533" sId="5" numFmtId="4">
    <nc r="F206">
      <v>15</v>
    </nc>
  </rcc>
  <rcc rId="1534" sId="5" numFmtId="4">
    <nc r="G206">
      <v>0</v>
    </nc>
  </rcc>
  <rcc rId="1535" sId="5" numFmtId="4">
    <nc r="B207">
      <v>13</v>
    </nc>
  </rcc>
  <rcc rId="1536" sId="5" numFmtId="4">
    <nc r="C207">
      <v>66</v>
    </nc>
  </rcc>
  <rcc rId="1537" sId="5" numFmtId="4">
    <nc r="D207">
      <v>7</v>
    </nc>
  </rcc>
  <rcc rId="1538" sId="5" numFmtId="4">
    <nc r="E207">
      <v>15</v>
    </nc>
  </rcc>
  <rcc rId="1539" sId="5" numFmtId="4">
    <nc r="F207">
      <v>16</v>
    </nc>
  </rcc>
  <rcc rId="1540" sId="5" numFmtId="4">
    <nc r="G207">
      <v>3</v>
    </nc>
  </rcc>
  <rcc rId="1541" sId="5" numFmtId="4">
    <nc r="B208">
      <v>13</v>
    </nc>
  </rcc>
  <rcc rId="1542" sId="5" numFmtId="4">
    <nc r="C208">
      <v>69</v>
    </nc>
  </rcc>
  <rcc rId="1543" sId="5" numFmtId="4">
    <nc r="D208">
      <v>4</v>
    </nc>
  </rcc>
  <rcc rId="1544" sId="5" numFmtId="4">
    <nc r="E208">
      <v>0</v>
    </nc>
  </rcc>
  <rcc rId="1545" sId="5" numFmtId="4">
    <nc r="F208">
      <v>24</v>
    </nc>
  </rcc>
  <rcc rId="1546" sId="5" numFmtId="4">
    <nc r="G208">
      <v>1</v>
    </nc>
  </rcc>
  <rcc rId="1547" sId="5" numFmtId="4">
    <nc r="B209">
      <v>13</v>
    </nc>
  </rcc>
  <rcc rId="1548" sId="5" numFmtId="4">
    <nc r="C209">
      <v>69</v>
    </nc>
  </rcc>
  <rcc rId="1549" sId="5" numFmtId="4">
    <nc r="D209">
      <v>3</v>
    </nc>
  </rcc>
  <rcc rId="1550" sId="5" numFmtId="4">
    <nc r="E209">
      <v>1</v>
    </nc>
  </rcc>
  <rcc rId="1551" sId="5" numFmtId="4">
    <nc r="F209">
      <v>24</v>
    </nc>
  </rcc>
  <rcc rId="1552" sId="5" numFmtId="4">
    <nc r="G209">
      <v>0</v>
    </nc>
  </rcc>
  <rcc rId="1553" sId="5" numFmtId="4">
    <nc r="B210">
      <v>13</v>
    </nc>
  </rcc>
  <rcc rId="1554" sId="5" numFmtId="4">
    <nc r="C210">
      <v>69</v>
    </nc>
  </rcc>
  <rcc rId="1555" sId="5" numFmtId="4">
    <nc r="D210">
      <v>2</v>
    </nc>
  </rcc>
  <rcc rId="1556" sId="5" numFmtId="4">
    <nc r="E210">
      <v>2</v>
    </nc>
  </rcc>
  <rcc rId="1557" sId="5" numFmtId="4">
    <nc r="F210">
      <v>23</v>
    </nc>
  </rcc>
  <rcc rId="1558" sId="5" numFmtId="4">
    <nc r="G210">
      <v>0</v>
    </nc>
  </rcc>
  <rcc rId="1559" sId="5" numFmtId="4">
    <nc r="B211">
      <v>13</v>
    </nc>
  </rcc>
  <rcc rId="1560" sId="5" numFmtId="4">
    <nc r="C211">
      <v>69</v>
    </nc>
  </rcc>
  <rcc rId="1561" sId="5" numFmtId="4">
    <nc r="D211">
      <v>1</v>
    </nc>
  </rcc>
  <rcc rId="1562" sId="5" numFmtId="4">
    <nc r="E211">
      <v>0</v>
    </nc>
  </rcc>
  <rcc rId="1563" sId="5" numFmtId="4">
    <nc r="F211">
      <v>25</v>
    </nc>
  </rcc>
  <rcc rId="1564" sId="5" numFmtId="4">
    <nc r="G211">
      <v>0</v>
    </nc>
  </rcc>
  <rcc rId="1565" sId="5" numFmtId="4">
    <nc r="B212">
      <v>13</v>
    </nc>
  </rcc>
  <rcc rId="1566" sId="5" numFmtId="4">
    <nc r="C212">
      <v>90</v>
    </nc>
  </rcc>
  <rcc rId="1567" sId="5" numFmtId="4">
    <nc r="D212">
      <v>4</v>
    </nc>
  </rcc>
  <rcc rId="1568" sId="5" numFmtId="4">
    <nc r="E212">
      <v>24</v>
    </nc>
  </rcc>
  <rcc rId="1569" sId="5" numFmtId="4">
    <nc r="F212">
      <v>1</v>
    </nc>
  </rcc>
  <rcc rId="1570" sId="5" numFmtId="4">
    <nc r="G212">
      <v>0</v>
    </nc>
  </rcc>
  <rcc rId="1571" sId="5" numFmtId="4">
    <nc r="B213">
      <v>13</v>
    </nc>
  </rcc>
  <rcc rId="1572" sId="5" numFmtId="4">
    <nc r="C213">
      <v>90</v>
    </nc>
  </rcc>
  <rcc rId="1573" sId="5" numFmtId="4">
    <nc r="D213">
      <v>3</v>
    </nc>
  </rcc>
  <rcc rId="1574" sId="5" numFmtId="4">
    <nc r="E213">
      <v>23</v>
    </nc>
  </rcc>
  <rcc rId="1575" sId="5" numFmtId="4">
    <nc r="F213">
      <v>2</v>
    </nc>
  </rcc>
  <rcc rId="1576" sId="5" numFmtId="4">
    <nc r="G213">
      <v>0</v>
    </nc>
  </rcc>
  <rcc rId="1577" sId="5" numFmtId="4">
    <nc r="B214">
      <v>13</v>
    </nc>
  </rcc>
  <rcc rId="1578" sId="5" numFmtId="4">
    <nc r="C214">
      <v>114</v>
    </nc>
  </rcc>
  <rcc rId="1579" sId="5" numFmtId="4">
    <nc r="D214">
      <v>7</v>
    </nc>
  </rcc>
  <rcc rId="1580" sId="5" numFmtId="4">
    <nc r="E214">
      <v>20</v>
    </nc>
  </rcc>
  <rcc rId="1581" sId="5" numFmtId="4">
    <nc r="F214">
      <v>3</v>
    </nc>
  </rcc>
  <rcc rId="1582" sId="5" numFmtId="4">
    <nc r="G214">
      <v>3</v>
    </nc>
  </rcc>
  <rcc rId="1583" sId="5" numFmtId="4">
    <nc r="B215">
      <v>13</v>
    </nc>
  </rcc>
  <rcc rId="1584" sId="5" numFmtId="4">
    <nc r="C215">
      <v>86</v>
    </nc>
  </rcc>
  <rcc rId="1585" sId="5" numFmtId="4">
    <nc r="D215">
      <v>7</v>
    </nc>
  </rcc>
  <rcc rId="1586" sId="5" numFmtId="4">
    <nc r="E215">
      <v>20</v>
    </nc>
  </rcc>
  <rcc rId="1587" sId="5" numFmtId="4">
    <nc r="F215">
      <v>0</v>
    </nc>
  </rcc>
  <rcc rId="1588" sId="5" numFmtId="4">
    <nc r="G215">
      <v>5</v>
    </nc>
  </rcc>
  <rcc rId="1589" sId="5" numFmtId="4">
    <nc r="B216">
      <v>13</v>
    </nc>
  </rcc>
  <rcc rId="1590" sId="5" numFmtId="4">
    <nc r="C216">
      <v>89</v>
    </nc>
  </rcc>
  <rcc rId="1591" sId="5" numFmtId="4">
    <nc r="D216">
      <v>7</v>
    </nc>
  </rcc>
  <rcc rId="1592" sId="5" numFmtId="4">
    <nc r="E216">
      <v>15</v>
    </nc>
  </rcc>
  <rcc rId="1593" sId="5" numFmtId="4">
    <nc r="F216">
      <v>12</v>
    </nc>
  </rcc>
  <rcc rId="1594" sId="5" numFmtId="4">
    <nc r="G216">
      <v>0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>
  <rcc rId="1595" sId="2" numFmtId="4">
    <nc r="C204">
      <v>27</v>
    </nc>
  </rcc>
  <rcc rId="1596" sId="2" numFmtId="4">
    <nc r="D204">
      <v>3</v>
    </nc>
  </rcc>
  <rcc rId="1597" sId="2" numFmtId="4">
    <nc r="E204">
      <v>25</v>
    </nc>
  </rcc>
  <rcc rId="1598" sId="2" numFmtId="4">
    <nc r="F204">
      <v>15</v>
    </nc>
  </rcc>
  <rcc rId="1599" sId="2" numFmtId="4">
    <nc r="G204">
      <v>0</v>
    </nc>
  </rcc>
  <rcc rId="1600" sId="2" numFmtId="4">
    <nc r="H204">
      <v>0</v>
    </nc>
  </rcc>
  <rcc rId="1601" sId="2" numFmtId="4">
    <nc r="B205">
      <v>13</v>
    </nc>
  </rcc>
  <rcc rId="1602" sId="2" numFmtId="4">
    <nc r="C205">
      <v>66</v>
    </nc>
  </rcc>
  <rcc rId="1603" sId="2" numFmtId="4">
    <nc r="D205">
      <v>6</v>
    </nc>
  </rcc>
  <rcc rId="1604" sId="2" numFmtId="4">
    <nc r="E205">
      <v>5</v>
    </nc>
  </rcc>
  <rcc rId="1605" sId="2" numFmtId="4">
    <nc r="F205">
      <v>10</v>
    </nc>
  </rcc>
  <rcc rId="1606" sId="2" numFmtId="4">
    <nc r="G205">
      <v>0</v>
    </nc>
  </rcc>
  <rcc rId="1607" sId="2" numFmtId="4">
    <nc r="H205">
      <v>0</v>
    </nc>
  </rcc>
  <rcc rId="1608" sId="2" numFmtId="4">
    <nc r="B206">
      <v>13</v>
    </nc>
  </rcc>
  <rcc rId="1609" sId="2" numFmtId="4">
    <nc r="C206">
      <v>66</v>
    </nc>
  </rcc>
  <rcc rId="1610" sId="2" numFmtId="4">
    <nc r="D206">
      <v>7</v>
    </nc>
  </rcc>
  <rcc rId="1611" sId="2" numFmtId="4">
    <nc r="E206">
      <v>10</v>
    </nc>
  </rcc>
  <rcc rId="1612" sId="2" numFmtId="4">
    <nc r="F206">
      <v>10</v>
    </nc>
  </rcc>
  <rcc rId="1613" sId="2" numFmtId="4">
    <nc r="G206">
      <v>0</v>
    </nc>
  </rcc>
  <rcc rId="1614" sId="2" numFmtId="4">
    <nc r="H206">
      <v>3</v>
    </nc>
  </rcc>
  <rcc rId="1615" sId="2" numFmtId="4">
    <nc r="B207">
      <v>13</v>
    </nc>
  </rcc>
  <rcc rId="1616" sId="2" numFmtId="4">
    <nc r="C207">
      <v>21</v>
    </nc>
  </rcc>
  <rcc rId="1617" sId="2" numFmtId="4">
    <nc r="D207">
      <v>6</v>
    </nc>
  </rcc>
  <rcc rId="1618" sId="2" numFmtId="4">
    <nc r="E207">
      <v>2</v>
    </nc>
  </rcc>
  <rcc rId="1619" sId="2" numFmtId="4">
    <nc r="F207">
      <v>23</v>
    </nc>
  </rcc>
  <rcc rId="1620" sId="2" numFmtId="4">
    <nc r="G207">
      <v>0</v>
    </nc>
  </rcc>
  <rcc rId="1621" sId="2" numFmtId="4">
    <nc r="H207">
      <v>0</v>
    </nc>
  </rcc>
  <rcc rId="1622" sId="2" numFmtId="4">
    <nc r="B208">
      <v>13</v>
    </nc>
  </rcc>
  <rcc rId="1623" sId="2" numFmtId="4">
    <nc r="C208">
      <v>21</v>
    </nc>
  </rcc>
  <rcc rId="1624" sId="2" numFmtId="4">
    <nc r="D208">
      <v>7</v>
    </nc>
  </rcc>
  <rcc rId="1625" sId="2" numFmtId="4">
    <nc r="E208">
      <v>2</v>
    </nc>
  </rcc>
  <rcc rId="1626" sId="2" numFmtId="4">
    <nc r="F208">
      <v>20</v>
    </nc>
  </rcc>
  <rcc rId="1627" sId="2" numFmtId="4">
    <nc r="G208">
      <v>0</v>
    </nc>
  </rcc>
  <rcc rId="1628" sId="2" numFmtId="4">
    <nc r="H208">
      <v>0</v>
    </nc>
  </rcc>
  <rcc rId="1629" sId="2" numFmtId="4">
    <nc r="B209">
      <v>1</v>
    </nc>
  </rcc>
  <rcc rId="1630" sId="2" numFmtId="4">
    <nc r="C209">
      <v>27</v>
    </nc>
  </rcc>
  <rcc rId="1631" sId="2" numFmtId="4">
    <nc r="D209">
      <v>6</v>
    </nc>
  </rcc>
  <rcc rId="1632" sId="2" numFmtId="4">
    <nc r="E209">
      <v>20</v>
    </nc>
  </rcc>
  <rcc rId="1633" sId="2" numFmtId="4">
    <nc r="F209">
      <v>15</v>
    </nc>
  </rcc>
  <rcc rId="1634" sId="2" numFmtId="4">
    <nc r="G209">
      <v>0</v>
    </nc>
  </rcc>
  <rcc rId="1635" sId="2" numFmtId="4">
    <nc r="H209">
      <v>0</v>
    </nc>
  </rcc>
  <rcc rId="1636" sId="2" numFmtId="4">
    <nc r="B210">
      <v>1</v>
    </nc>
  </rcc>
  <rcc rId="1637" sId="2" numFmtId="4">
    <nc r="C210">
      <v>27</v>
    </nc>
  </rcc>
  <rcc rId="1638" sId="2" numFmtId="4">
    <nc r="D210">
      <v>5</v>
    </nc>
  </rcc>
  <rcc rId="1639" sId="2" numFmtId="4">
    <nc r="E210">
      <v>45</v>
    </nc>
  </rcc>
  <rcc rId="1640" sId="2" numFmtId="4">
    <nc r="F210">
      <v>15</v>
    </nc>
  </rcc>
  <rcc rId="1641" sId="2" numFmtId="4">
    <nc r="G210">
      <v>0</v>
    </nc>
  </rcc>
  <rcc rId="1642" sId="2" numFmtId="4">
    <nc r="H210">
      <v>0</v>
    </nc>
  </rcc>
  <rcc rId="1643" sId="2" numFmtId="4">
    <nc r="B211">
      <v>1</v>
    </nc>
  </rcc>
  <rcc rId="1644" sId="2" numFmtId="4">
    <nc r="C211">
      <v>27</v>
    </nc>
  </rcc>
  <rcc rId="1645" sId="2" numFmtId="4">
    <nc r="D211">
      <v>4</v>
    </nc>
  </rcc>
  <rcc rId="1646" sId="2" numFmtId="4">
    <nc r="E211">
      <v>15</v>
    </nc>
  </rcc>
  <rcc rId="1647" sId="2" numFmtId="4">
    <nc r="F211">
      <v>10</v>
    </nc>
  </rcc>
  <rcc rId="1648" sId="2" numFmtId="4">
    <nc r="G211">
      <v>0</v>
    </nc>
  </rcc>
  <rcc rId="1649" sId="2" numFmtId="4">
    <nc r="H211">
      <v>0</v>
    </nc>
  </rcc>
  <rcc rId="1650" sId="2" numFmtId="4">
    <nc r="B212">
      <v>1</v>
    </nc>
  </rcc>
  <rcc rId="1651" sId="2" numFmtId="4">
    <nc r="C212">
      <v>47</v>
    </nc>
  </rcc>
  <rcc rId="1652" sId="2" numFmtId="4">
    <nc r="D212">
      <v>7</v>
    </nc>
  </rcc>
  <rcc rId="1653" sId="2" numFmtId="4">
    <nc r="E212">
      <v>11</v>
    </nc>
  </rcc>
  <rcc rId="1654" sId="2" numFmtId="4">
    <nc r="F212">
      <v>7</v>
    </nc>
  </rcc>
  <rcc rId="1655" sId="2" numFmtId="4">
    <nc r="G212">
      <v>0</v>
    </nc>
  </rcc>
  <rcc rId="1656" sId="2" numFmtId="4">
    <nc r="H212">
      <v>2</v>
    </nc>
  </rcc>
  <rcc rId="1657" sId="2" numFmtId="4">
    <nc r="B213">
      <v>1</v>
    </nc>
  </rcc>
  <rcc rId="1658" sId="2" numFmtId="4">
    <nc r="C213">
      <v>16</v>
    </nc>
  </rcc>
  <rcc rId="1659" sId="2" numFmtId="4">
    <nc r="D213">
      <v>6</v>
    </nc>
  </rcc>
  <rcc rId="1660" sId="2" numFmtId="4">
    <nc r="E213">
      <v>4</v>
    </nc>
  </rcc>
  <rcc rId="1661" sId="2" numFmtId="4">
    <nc r="F213">
      <v>0</v>
    </nc>
  </rcc>
  <rcc rId="1662" sId="2" numFmtId="4">
    <nc r="G213">
      <v>0</v>
    </nc>
  </rcc>
  <rcc rId="1663" sId="2" numFmtId="4">
    <nc r="H213">
      <v>0</v>
    </nc>
  </rcc>
  <rcc rId="1664" sId="2" numFmtId="4">
    <nc r="B214">
      <v>1</v>
    </nc>
  </rcc>
  <rcc rId="1665" sId="2" numFmtId="4">
    <nc r="C214">
      <v>16</v>
    </nc>
  </rcc>
  <rcc rId="1666" sId="2" numFmtId="4">
    <nc r="D214">
      <v>5</v>
    </nc>
  </rcc>
  <rcc rId="1667" sId="2" numFmtId="4">
    <nc r="E214">
      <v>4</v>
    </nc>
  </rcc>
  <rcc rId="1668" sId="2" numFmtId="4">
    <nc r="F214">
      <v>0</v>
    </nc>
  </rcc>
  <rcc rId="1669" sId="2" numFmtId="4">
    <nc r="G214">
      <v>0</v>
    </nc>
  </rcc>
  <rcc rId="1670" sId="2" numFmtId="4">
    <nc r="H214">
      <v>0</v>
    </nc>
  </rcc>
  <rcc rId="1671" sId="2" numFmtId="4">
    <nc r="B215">
      <v>1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>
  <rcc rId="1672" sId="5" numFmtId="4">
    <nc r="B217">
      <v>13</v>
    </nc>
  </rcc>
  <rcc rId="1673" sId="5" numFmtId="4">
    <nc r="C217">
      <v>99</v>
    </nc>
  </rcc>
  <rcc rId="1674" sId="5" numFmtId="4">
    <nc r="D217">
      <v>5</v>
    </nc>
  </rcc>
  <rcc rId="1675" sId="5" numFmtId="4">
    <nc r="E217">
      <v>13</v>
    </nc>
  </rcc>
  <rcc rId="1676" sId="5" numFmtId="4">
    <nc r="F217">
      <v>6</v>
    </nc>
  </rcc>
  <rcc rId="1677" sId="5" numFmtId="4">
    <nc r="G217">
      <v>0</v>
    </nc>
  </rcc>
  <rcc rId="1678" sId="5" numFmtId="4">
    <nc r="B218">
      <v>13</v>
    </nc>
  </rcc>
  <rcc rId="1679" sId="5" numFmtId="4">
    <nc r="C218">
      <v>119</v>
    </nc>
  </rcc>
  <rcc rId="1680" sId="5" numFmtId="4">
    <nc r="D218">
      <v>8</v>
    </nc>
  </rcc>
  <rcc rId="1681" sId="5" numFmtId="4">
    <nc r="E218">
      <v>13</v>
    </nc>
  </rcc>
  <rcc rId="1682" sId="5" numFmtId="4">
    <nc r="F218">
      <v>11</v>
    </nc>
  </rcc>
  <rcc rId="1683" sId="5" numFmtId="4">
    <nc r="G218">
      <v>1</v>
    </nc>
  </rcc>
  <rcc rId="1684" sId="5" numFmtId="4">
    <nc r="B219">
      <v>13</v>
    </nc>
  </rcc>
  <rcc rId="1685" sId="5" numFmtId="4">
    <nc r="C219">
      <v>119</v>
    </nc>
  </rcc>
  <rcc rId="1686" sId="5" numFmtId="4">
    <nc r="D219">
      <v>7</v>
    </nc>
  </rcc>
  <rcc rId="1687" sId="5" numFmtId="4">
    <nc r="E219">
      <v>13</v>
    </nc>
  </rcc>
  <rcc rId="1688" sId="5" numFmtId="4">
    <nc r="F219">
      <v>12</v>
    </nc>
  </rcc>
  <rcc rId="1689" sId="5" numFmtId="4">
    <nc r="G219">
      <v>0</v>
    </nc>
  </rcc>
  <rcc rId="1690" sId="5" numFmtId="4">
    <nc r="B220">
      <v>13</v>
    </nc>
  </rcc>
  <rcc rId="1691" sId="5" numFmtId="4">
    <nc r="C220">
      <v>119</v>
    </nc>
  </rcc>
  <rcc rId="1692" sId="5" numFmtId="4">
    <nc r="D220">
      <v>6</v>
    </nc>
  </rcc>
  <rcc rId="1693" sId="5" numFmtId="4">
    <nc r="E220">
      <v>16</v>
    </nc>
  </rcc>
  <rcc rId="1694" sId="5" numFmtId="4">
    <nc r="F220">
      <v>9</v>
    </nc>
  </rcc>
  <rcc rId="1695" sId="5" numFmtId="4">
    <nc r="G220">
      <v>0</v>
    </nc>
  </rcc>
  <rcc rId="1696" sId="5" numFmtId="4">
    <nc r="B221">
      <v>13</v>
    </nc>
  </rcc>
  <rcc rId="1697" sId="5" numFmtId="4">
    <nc r="C221">
      <v>119</v>
    </nc>
  </rcc>
  <rcc rId="1698" sId="5" numFmtId="4">
    <nc r="D221">
      <v>5</v>
    </nc>
  </rcc>
  <rcc rId="1699" sId="5" numFmtId="4">
    <nc r="E221">
      <v>15</v>
    </nc>
  </rcc>
  <rcc rId="1700" sId="5" numFmtId="4">
    <nc r="F221">
      <v>10</v>
    </nc>
  </rcc>
  <rcc rId="1701" sId="5" numFmtId="4">
    <nc r="G221">
      <v>0</v>
    </nc>
  </rcc>
  <rcc rId="1702" sId="5" numFmtId="4">
    <nc r="B222">
      <v>13</v>
    </nc>
  </rcc>
  <rcc rId="1703" sId="5" numFmtId="4">
    <nc r="C222">
      <v>119</v>
    </nc>
  </rcc>
  <rcc rId="1704" sId="5" numFmtId="4">
    <nc r="D222">
      <v>4</v>
    </nc>
  </rcc>
  <rcc rId="1705" sId="5" numFmtId="4">
    <nc r="E222">
      <v>22</v>
    </nc>
  </rcc>
  <rcc rId="1706" sId="5" numFmtId="4">
    <nc r="F222">
      <v>5</v>
    </nc>
  </rcc>
  <rcc rId="1707" sId="5" numFmtId="4">
    <nc r="G222">
      <v>0</v>
    </nc>
  </rcc>
  <rcc rId="1708" sId="5" numFmtId="4">
    <nc r="B223">
      <v>13</v>
    </nc>
  </rcc>
  <rcc rId="1709" sId="5" numFmtId="4">
    <nc r="C223">
      <v>112</v>
    </nc>
  </rcc>
  <rcc rId="1710" sId="5" numFmtId="4">
    <nc r="D223">
      <v>7</v>
    </nc>
  </rcc>
  <rcc rId="1711" sId="5" numFmtId="4">
    <nc r="E223">
      <v>25</v>
    </nc>
  </rcc>
  <rcc rId="1712" sId="5" numFmtId="4">
    <nc r="F223">
      <v>9</v>
    </nc>
  </rcc>
  <rcc rId="1713" sId="5" numFmtId="4">
    <nc r="G223">
      <v>0</v>
    </nc>
  </rcc>
  <rcc rId="1714" sId="5" numFmtId="4">
    <nc r="B224">
      <v>13</v>
    </nc>
  </rcc>
  <rcc rId="1715" sId="5" numFmtId="4">
    <nc r="C224">
      <v>114</v>
    </nc>
  </rcc>
  <rcc rId="1716" sId="5" numFmtId="4">
    <nc r="D224">
      <v>6</v>
    </nc>
  </rcc>
  <rcc rId="1717" sId="5" numFmtId="4">
    <nc r="E224">
      <v>15</v>
    </nc>
  </rcc>
  <rcc rId="1718" sId="5" numFmtId="4">
    <nc r="F224">
      <v>8</v>
    </nc>
  </rcc>
  <rcc rId="1719" sId="5" numFmtId="4">
    <nc r="G224">
      <v>6</v>
    </nc>
  </rcc>
  <rcc rId="1720" sId="5" numFmtId="4">
    <nc r="B225">
      <v>13</v>
    </nc>
  </rcc>
  <rcc rId="1721" sId="5" numFmtId="4">
    <nc r="C225">
      <v>91</v>
    </nc>
  </rcc>
  <rcc rId="1722" sId="5" numFmtId="4">
    <nc r="D225">
      <v>6</v>
    </nc>
  </rcc>
  <rcc rId="1723" sId="5" numFmtId="4">
    <nc r="E225">
      <v>12</v>
    </nc>
  </rcc>
  <rcc rId="1724" sId="5" numFmtId="4">
    <nc r="F225">
      <v>13</v>
    </nc>
  </rcc>
  <rcc rId="1725" sId="5" numFmtId="4">
    <nc r="G225">
      <v>0</v>
    </nc>
  </rcc>
  <rcc rId="1726" sId="5" numFmtId="4">
    <nc r="B226">
      <v>13</v>
    </nc>
  </rcc>
  <rcc rId="1727" sId="5" numFmtId="4">
    <nc r="C226">
      <v>91</v>
    </nc>
  </rcc>
  <rcc rId="1728" sId="5" numFmtId="4">
    <nc r="D226">
      <v>5</v>
    </nc>
  </rcc>
  <rcc rId="1729" sId="5" numFmtId="4">
    <nc r="E226">
      <v>15</v>
    </nc>
  </rcc>
  <rcc rId="1730" sId="5" numFmtId="4">
    <nc r="F226">
      <v>8</v>
    </nc>
  </rcc>
  <rcc rId="1731" sId="5" numFmtId="4">
    <nc r="G226">
      <v>2</v>
    </nc>
  </rcc>
  <rcc rId="1732" sId="5" numFmtId="4">
    <nc r="B227">
      <v>13</v>
    </nc>
  </rcc>
  <rcc rId="1733" sId="5" numFmtId="4">
    <nc r="C227">
      <v>76</v>
    </nc>
  </rcc>
  <rcc rId="1734" sId="5" numFmtId="4">
    <nc r="D227">
      <v>7</v>
    </nc>
  </rcc>
  <rcc rId="1735" sId="5" numFmtId="4">
    <nc r="E227">
      <v>11</v>
    </nc>
  </rcc>
  <rcc rId="1736" sId="5" numFmtId="4">
    <nc r="F227">
      <v>8</v>
    </nc>
  </rcc>
  <rcc rId="1737" sId="5" numFmtId="4">
    <nc r="G227">
      <v>1</v>
    </nc>
  </rcc>
  <rcc rId="1738" sId="5" numFmtId="4">
    <nc r="B228">
      <v>13</v>
    </nc>
  </rcc>
  <rcc rId="1739" sId="5" numFmtId="4">
    <nc r="C228">
      <v>76</v>
    </nc>
  </rcc>
  <rcc rId="1740" sId="5" numFmtId="4">
    <nc r="D228">
      <v>8</v>
    </nc>
  </rcc>
  <rcc rId="1741" sId="5" numFmtId="4">
    <nc r="E228">
      <v>15</v>
    </nc>
  </rcc>
  <rcc rId="1742" sId="5" numFmtId="4">
    <nc r="F228">
      <v>6</v>
    </nc>
  </rcc>
  <rcc rId="1743" sId="5" numFmtId="4">
    <nc r="G228">
      <v>2</v>
    </nc>
  </rcc>
  <rcc rId="1744" sId="5" numFmtId="4">
    <nc r="B229">
      <v>13</v>
    </nc>
  </rcc>
  <rcc rId="1745" sId="5" numFmtId="4">
    <nc r="C229">
      <v>99</v>
    </nc>
  </rcc>
  <rcc rId="1746" sId="5" numFmtId="4">
    <nc r="D229">
      <v>5</v>
    </nc>
  </rcc>
  <rcc rId="1747" sId="5" numFmtId="4">
    <nc r="E229">
      <v>8</v>
    </nc>
  </rcc>
  <rcc rId="1748" sId="5" numFmtId="4">
    <nc r="F229">
      <v>6</v>
    </nc>
  </rcc>
  <rcc rId="1749" sId="5" numFmtId="4">
    <nc r="G229">
      <v>0</v>
    </nc>
  </rcc>
  <rcc rId="1750" sId="5" numFmtId="4">
    <nc r="B230">
      <v>13</v>
    </nc>
  </rcc>
  <rcc rId="1751" sId="5" numFmtId="4">
    <nc r="C230">
      <v>98</v>
    </nc>
  </rcc>
  <rcc rId="1752" sId="5" numFmtId="4">
    <nc r="D230">
      <v>8</v>
    </nc>
  </rcc>
</revisions>
</file>

<file path=xl/revisions/revisionLog25.xml><?xml version="1.0" encoding="utf-8"?>
<revisions xmlns="http://schemas.openxmlformats.org/spreadsheetml/2006/main" xmlns:r="http://schemas.openxmlformats.org/officeDocument/2006/relationships">
  <rcc rId="1753" sId="2" numFmtId="4">
    <nc r="C215">
      <v>69</v>
    </nc>
  </rcc>
  <rcc rId="1754" sId="2" numFmtId="4">
    <nc r="D215">
      <v>4</v>
    </nc>
  </rcc>
  <rcc rId="1755" sId="2" numFmtId="4">
    <nc r="E215">
      <v>0</v>
    </nc>
  </rcc>
  <rcc rId="1756" sId="2" numFmtId="4">
    <nc r="F215">
      <v>25</v>
    </nc>
  </rcc>
  <rcc rId="1757" sId="2" numFmtId="4">
    <nc r="G215">
      <v>0</v>
    </nc>
  </rcc>
  <rcc rId="1758" sId="2" numFmtId="4">
    <nc r="H215">
      <v>0</v>
    </nc>
  </rcc>
  <rcc rId="1759" sId="2" numFmtId="4">
    <nc r="B216">
      <v>1</v>
    </nc>
  </rcc>
  <rcc rId="1760" sId="2" numFmtId="4">
    <nc r="C216">
      <v>69</v>
    </nc>
  </rcc>
  <rcc rId="1761" sId="2" numFmtId="4">
    <nc r="D216">
      <v>3</v>
    </nc>
  </rcc>
  <rcc rId="1762" sId="2" numFmtId="4">
    <nc r="E216">
      <v>1</v>
    </nc>
  </rcc>
  <rcc rId="1763" sId="2" numFmtId="4">
    <nc r="F216">
      <v>24</v>
    </nc>
  </rcc>
  <rcc rId="1764" sId="2" numFmtId="4">
    <nc r="G216">
      <v>0</v>
    </nc>
  </rcc>
  <rcc rId="1765" sId="2" numFmtId="4">
    <nc r="H216">
      <v>0</v>
    </nc>
  </rcc>
  <rcc rId="1766" sId="2" numFmtId="4">
    <nc r="B217">
      <v>1</v>
    </nc>
  </rcc>
  <rcc rId="1767" sId="2" numFmtId="4">
    <nc r="C217">
      <v>69</v>
    </nc>
  </rcc>
  <rcc rId="1768" sId="2" numFmtId="4">
    <nc r="D217">
      <v>2</v>
    </nc>
  </rcc>
  <rcc rId="1769" sId="2" numFmtId="4">
    <nc r="E217">
      <v>2</v>
    </nc>
  </rcc>
  <rcc rId="1770" sId="2" numFmtId="4">
    <nc r="F217">
      <v>3</v>
    </nc>
  </rcc>
  <rcc rId="1771" sId="2" numFmtId="4">
    <nc r="G217">
      <v>0</v>
    </nc>
  </rcc>
  <rcc rId="1772" sId="2" numFmtId="4">
    <nc r="H217">
      <v>0</v>
    </nc>
  </rcc>
  <rcc rId="1773" sId="2" numFmtId="4">
    <nc r="B218">
      <v>1</v>
    </nc>
  </rcc>
  <rcc rId="1774" sId="2" numFmtId="4">
    <nc r="C218">
      <v>69</v>
    </nc>
  </rcc>
  <rcc rId="1775" sId="2" numFmtId="4">
    <nc r="D218">
      <v>1</v>
    </nc>
  </rcc>
  <rcc rId="1776" sId="2" numFmtId="4">
    <nc r="E218">
      <v>0</v>
    </nc>
  </rcc>
  <rcc rId="1777" sId="2" numFmtId="4">
    <nc r="F218">
      <v>25</v>
    </nc>
  </rcc>
  <rcc rId="1778" sId="2" numFmtId="4">
    <nc r="G218">
      <v>0</v>
    </nc>
  </rcc>
  <rcc rId="1779" sId="2" numFmtId="4">
    <nc r="H218">
      <v>0</v>
    </nc>
  </rcc>
  <rcc rId="1780" sId="2" numFmtId="4">
    <nc r="B219">
      <v>13</v>
    </nc>
  </rcc>
  <rcc rId="1781" sId="2" numFmtId="4">
    <nc r="C219">
      <v>25</v>
    </nc>
  </rcc>
  <rcc rId="1782" sId="2" numFmtId="4">
    <nc r="D219">
      <v>6</v>
    </nc>
  </rcc>
  <rcc rId="1783" sId="2" numFmtId="4">
    <nc r="E219">
      <v>15</v>
    </nc>
  </rcc>
  <rcc rId="1784" sId="2" numFmtId="4">
    <nc r="F219">
      <v>12</v>
    </nc>
  </rcc>
  <rcc rId="1785" sId="2" numFmtId="4">
    <nc r="G219">
      <v>0</v>
    </nc>
  </rcc>
  <rcc rId="1786" sId="2" numFmtId="4">
    <nc r="H219">
      <v>0</v>
    </nc>
  </rcc>
  <rcc rId="1787" sId="2" numFmtId="4">
    <nc r="B220">
      <v>13</v>
    </nc>
  </rcc>
  <rcc rId="1788" sId="2" numFmtId="4">
    <nc r="C220">
      <v>65</v>
    </nc>
  </rcc>
  <rcc rId="1789" sId="2" numFmtId="4">
    <nc r="D220">
      <v>3</v>
    </nc>
  </rcc>
  <rcc rId="1790" sId="2" numFmtId="4">
    <nc r="E220">
      <v>9</v>
    </nc>
  </rcc>
  <rcc rId="1791" sId="2" numFmtId="4">
    <nc r="F220">
      <v>13</v>
    </nc>
  </rcc>
  <rcc rId="1792" sId="2" numFmtId="4">
    <nc r="G220">
      <v>0</v>
    </nc>
  </rcc>
  <rcc rId="1793" sId="2" numFmtId="4">
    <nc r="H220">
      <v>0</v>
    </nc>
  </rcc>
  <rcc rId="1794" sId="2" numFmtId="4">
    <nc r="B221">
      <v>13</v>
    </nc>
  </rcc>
  <rcc rId="1795" sId="2" numFmtId="4">
    <nc r="C221">
      <v>28</v>
    </nc>
  </rcc>
  <rcc rId="1796" sId="2" numFmtId="4">
    <nc r="D221">
      <v>5</v>
    </nc>
  </rcc>
  <rcc rId="1797" sId="2" numFmtId="4">
    <nc r="E221">
      <v>4</v>
    </nc>
  </rcc>
  <rcc rId="1798" sId="2" numFmtId="4">
    <nc r="F221">
      <v>3</v>
    </nc>
  </rcc>
  <rcc rId="1799" sId="2" numFmtId="4">
    <nc r="G221">
      <v>0</v>
    </nc>
  </rcc>
  <rcc rId="1800" sId="2" numFmtId="4">
    <nc r="H221">
      <v>1</v>
    </nc>
  </rcc>
  <rcc rId="1801" sId="2" numFmtId="4">
    <nc r="B222">
      <v>13</v>
    </nc>
  </rcc>
  <rcc rId="1802" sId="2" numFmtId="4">
    <nc r="C222">
      <v>65</v>
    </nc>
  </rcc>
  <rcc rId="1803" sId="2" numFmtId="4">
    <nc r="D222">
      <v>4</v>
    </nc>
  </rcc>
  <rcc rId="1804" sId="2" numFmtId="4">
    <nc r="E222">
      <v>4</v>
    </nc>
  </rcc>
  <rcc rId="1805" sId="2" numFmtId="4">
    <nc r="F222">
      <v>10</v>
    </nc>
  </rcc>
  <rcc rId="1806" sId="2" numFmtId="4">
    <nc r="G222">
      <v>0</v>
    </nc>
  </rcc>
  <rcc rId="1807" sId="2" numFmtId="4">
    <nc r="H222">
      <v>0</v>
    </nc>
  </rcc>
  <rcc rId="1808" sId="2" numFmtId="4">
    <nc r="B223">
      <v>13</v>
    </nc>
  </rcc>
  <rcc rId="1809" sId="2" numFmtId="4">
    <nc r="C223">
      <v>15</v>
    </nc>
  </rcc>
  <rcc rId="1810" sId="2" numFmtId="4">
    <nc r="D223">
      <v>6</v>
    </nc>
  </rcc>
  <rcc rId="1811" sId="2" numFmtId="4">
    <nc r="E223">
      <v>1</v>
    </nc>
  </rcc>
  <rcc rId="1812" sId="2" numFmtId="4">
    <nc r="F223">
      <v>0</v>
    </nc>
  </rcc>
  <rcc rId="1813" sId="2" numFmtId="4">
    <nc r="G223">
      <v>0</v>
    </nc>
  </rcc>
  <rcc rId="1814" sId="2" numFmtId="4">
    <nc r="H223">
      <v>0</v>
    </nc>
  </rcc>
  <rcc rId="1815" sId="2" numFmtId="4">
    <nc r="B224">
      <v>13</v>
    </nc>
  </rcc>
  <rcc rId="1816" sId="2" numFmtId="4">
    <nc r="C224">
      <v>47</v>
    </nc>
  </rcc>
  <rcc rId="1817" sId="2" numFmtId="4">
    <nc r="D224">
      <v>6</v>
    </nc>
  </rcc>
  <rcc rId="1818" sId="2" numFmtId="4">
    <nc r="E224">
      <v>6</v>
    </nc>
  </rcc>
  <rcc rId="1819" sId="2" numFmtId="4">
    <nc r="F224">
      <v>14</v>
    </nc>
  </rcc>
  <rcc rId="1820" sId="2" numFmtId="4">
    <nc r="G224">
      <v>0</v>
    </nc>
  </rcc>
  <rcc rId="1821" sId="2" numFmtId="4">
    <nc r="H224">
      <v>1</v>
    </nc>
  </rcc>
  <rcc rId="1822" sId="2" numFmtId="4">
    <nc r="B225">
      <v>13</v>
    </nc>
  </rcc>
  <rcc rId="1823" sId="2" numFmtId="4">
    <nc r="C225">
      <v>47</v>
    </nc>
  </rcc>
  <rcc rId="1824" sId="2" numFmtId="4">
    <nc r="D225">
      <v>5</v>
    </nc>
  </rcc>
  <rcc rId="1825" sId="2" numFmtId="4">
    <nc r="E225">
      <v>7</v>
    </nc>
  </rcc>
  <rcc rId="1826" sId="2" numFmtId="4">
    <nc r="F225">
      <v>10</v>
    </nc>
  </rcc>
  <rcc rId="1827" sId="2" numFmtId="4">
    <nc r="G225">
      <v>0</v>
    </nc>
  </rcc>
  <rcc rId="1828" sId="2" numFmtId="4">
    <nc r="H225">
      <v>1</v>
    </nc>
  </rcc>
  <rcc rId="1829" sId="2" numFmtId="4">
    <nc r="B226">
      <v>13</v>
    </nc>
  </rcc>
  <rcc rId="1830" sId="2" numFmtId="4">
    <nc r="C226">
      <v>47</v>
    </nc>
  </rcc>
  <rcc rId="1831" sId="2" numFmtId="4">
    <nc r="D226">
      <v>4</v>
    </nc>
  </rcc>
  <rcc rId="1832" sId="2" numFmtId="4">
    <nc r="E226">
      <v>10</v>
    </nc>
  </rcc>
  <rcc rId="1833" sId="2" numFmtId="4">
    <nc r="F226">
      <v>4</v>
    </nc>
  </rcc>
  <rcc rId="1834" sId="2" numFmtId="4">
    <nc r="G226">
      <v>0</v>
    </nc>
  </rcc>
  <rcc rId="1835" sId="2" numFmtId="4">
    <nc r="H226">
      <v>0</v>
    </nc>
  </rcc>
  <rcc rId="1836" sId="2" numFmtId="4">
    <nc r="B227">
      <v>13</v>
    </nc>
  </rcc>
  <rcc rId="1837" sId="2" numFmtId="4">
    <nc r="C227">
      <v>58</v>
    </nc>
  </rcc>
  <rcc rId="1838" sId="2" numFmtId="4">
    <nc r="E227">
      <v>2</v>
    </nc>
  </rcc>
  <rcc rId="1839" sId="2" numFmtId="4">
    <nc r="D227">
      <v>5</v>
    </nc>
  </rcc>
  <rcc rId="1840" sId="2" numFmtId="4">
    <nc r="F227">
      <v>2</v>
    </nc>
  </rcc>
  <rcc rId="1841" sId="2" numFmtId="4">
    <nc r="G227">
      <v>0</v>
    </nc>
  </rcc>
  <rcc rId="1842" sId="2" numFmtId="4">
    <nc r="H227">
      <v>0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>
  <rcc rId="1843" sId="5" numFmtId="4">
    <nc r="E230">
      <v>7</v>
    </nc>
  </rcc>
  <rcc rId="1844" sId="5" numFmtId="4">
    <nc r="F230">
      <v>3</v>
    </nc>
  </rcc>
  <rcc rId="1845" sId="5" numFmtId="4">
    <nc r="G230">
      <v>0</v>
    </nc>
  </rcc>
  <rcc rId="1846" sId="5" numFmtId="4">
    <nc r="B231">
      <v>13</v>
    </nc>
  </rcc>
  <rcc rId="1847" sId="5" numFmtId="4">
    <nc r="C231">
      <v>98</v>
    </nc>
  </rcc>
  <rcc rId="1848" sId="5" numFmtId="4">
    <nc r="D231">
      <v>6</v>
    </nc>
  </rcc>
  <rcc rId="1849" sId="5" numFmtId="4">
    <nc r="E231">
      <v>0</v>
    </nc>
  </rcc>
  <rcc rId="1850" sId="5" numFmtId="4">
    <nc r="F231">
      <v>5</v>
    </nc>
  </rcc>
  <rcc rId="1851" sId="5" numFmtId="4">
    <nc r="G231">
      <v>0</v>
    </nc>
  </rcc>
  <rcc rId="1852" sId="5" numFmtId="4">
    <nc r="B232">
      <v>13</v>
    </nc>
  </rcc>
  <rcc rId="1853" sId="5" numFmtId="4">
    <nc r="C232">
      <v>98</v>
    </nc>
  </rcc>
  <rcc rId="1854" sId="5" numFmtId="4">
    <nc r="D232">
      <v>7</v>
    </nc>
  </rcc>
  <rcc rId="1855" sId="5" numFmtId="4">
    <nc r="E232">
      <v>0</v>
    </nc>
  </rcc>
  <rcc rId="1856" sId="5" numFmtId="4">
    <nc r="F232">
      <v>1</v>
    </nc>
  </rcc>
  <rcc rId="1857" sId="5" numFmtId="4">
    <nc r="G232">
      <v>0</v>
    </nc>
  </rcc>
  <rcc rId="1858" sId="5" numFmtId="4">
    <nc r="B233">
      <v>13</v>
    </nc>
  </rcc>
  <rcc rId="1859" sId="5" numFmtId="4">
    <nc r="C233">
      <v>106</v>
    </nc>
  </rcc>
  <rcc rId="1860" sId="5" numFmtId="4">
    <nc r="D233">
      <v>3</v>
    </nc>
  </rcc>
  <rcc rId="1861" sId="5" numFmtId="4">
    <nc r="E233">
      <v>17</v>
    </nc>
  </rcc>
  <rcc rId="1862" sId="5" numFmtId="4">
    <nc r="F233">
      <v>1</v>
    </nc>
  </rcc>
  <rcc rId="1863" sId="5" numFmtId="4">
    <nc r="G233">
      <v>1</v>
    </nc>
  </rcc>
  <rcc rId="1864" sId="5" numFmtId="4">
    <nc r="B234">
      <v>13</v>
    </nc>
  </rcc>
  <rcc rId="1865" sId="5" numFmtId="4">
    <nc r="C234">
      <v>106</v>
    </nc>
  </rcc>
  <rcc rId="1866" sId="5" numFmtId="4">
    <nc r="D234">
      <v>4</v>
    </nc>
  </rcc>
  <rcc rId="1867" sId="5" numFmtId="4">
    <nc r="E234">
      <v>19</v>
    </nc>
  </rcc>
  <rcc rId="1868" sId="5" numFmtId="4">
    <nc r="F234">
      <v>1</v>
    </nc>
  </rcc>
  <rcc rId="1869" sId="5" numFmtId="4">
    <nc r="G234">
      <v>0</v>
    </nc>
  </rcc>
  <rcc rId="1870" sId="5" numFmtId="4">
    <nc r="B235">
      <v>13</v>
    </nc>
  </rcc>
  <rcc rId="1871" sId="5" numFmtId="4">
    <nc r="C235">
      <v>106</v>
    </nc>
  </rcc>
  <rcc rId="1872" sId="5" numFmtId="4">
    <nc r="D235">
      <v>5</v>
    </nc>
  </rcc>
  <rcc rId="1873" sId="5" numFmtId="4">
    <nc r="E235">
      <v>25</v>
    </nc>
  </rcc>
  <rcc rId="1874" sId="5" numFmtId="4">
    <nc r="F235">
      <v>0</v>
    </nc>
  </rcc>
  <rcc rId="1875" sId="5" numFmtId="4">
    <nc r="G235">
      <v>0</v>
    </nc>
  </rcc>
  <rcc rId="1876" sId="5" numFmtId="4">
    <nc r="B236">
      <v>13</v>
    </nc>
  </rcc>
  <rcc rId="1877" sId="5" numFmtId="4">
    <nc r="C236">
      <v>106</v>
    </nc>
  </rcc>
  <rcc rId="1878" sId="5" numFmtId="4">
    <nc r="D236">
      <v>6</v>
    </nc>
  </rcc>
  <rcc rId="1879" sId="5" numFmtId="4">
    <nc r="E236">
      <v>15</v>
    </nc>
  </rcc>
  <rcc rId="1880" sId="5" numFmtId="4">
    <nc r="F236">
      <v>3</v>
    </nc>
  </rcc>
  <rcc rId="1881" sId="5" numFmtId="4">
    <nc r="G236">
      <v>2</v>
    </nc>
  </rcc>
  <rcc rId="1882" sId="5" numFmtId="4">
    <nc r="B237">
      <v>13</v>
    </nc>
  </rcc>
  <rcc rId="1883" sId="5" numFmtId="4">
    <nc r="C237">
      <v>106</v>
    </nc>
  </rcc>
  <rcc rId="1884" sId="5" numFmtId="4">
    <nc r="D237">
      <v>7</v>
    </nc>
  </rcc>
  <rcc rId="1885" sId="5" numFmtId="4">
    <nc r="E237">
      <v>12</v>
    </nc>
  </rcc>
  <rcc rId="1886" sId="5" numFmtId="4">
    <nc r="F237">
      <v>0</v>
    </nc>
  </rcc>
  <rcc rId="1887" sId="5" numFmtId="4">
    <nc r="G237">
      <v>0</v>
    </nc>
  </rcc>
  <rcc rId="1888" sId="5" numFmtId="4">
    <nc r="B238">
      <v>13</v>
    </nc>
  </rcc>
  <rcc rId="1889" sId="5" numFmtId="4">
    <nc r="C238">
      <v>106</v>
    </nc>
  </rcc>
  <rcc rId="1890" sId="5" numFmtId="4">
    <nc r="D238">
      <v>8</v>
    </nc>
  </rcc>
  <rcc rId="1891" sId="5" numFmtId="4">
    <nc r="E238">
      <v>8</v>
    </nc>
  </rcc>
  <rcc rId="1892" sId="5" numFmtId="4">
    <nc r="F238">
      <v>3</v>
    </nc>
  </rcc>
  <rcc rId="1893" sId="5" numFmtId="4">
    <nc r="G238">
      <v>0</v>
    </nc>
  </rcc>
  <rcc rId="1894" sId="5" numFmtId="4">
    <nc r="B239">
      <v>13</v>
    </nc>
  </rcc>
  <rcc rId="1895" sId="5" numFmtId="4">
    <nc r="C239">
      <v>73</v>
    </nc>
  </rcc>
  <rcc rId="1896" sId="5" numFmtId="4">
    <nc r="D239">
      <v>8</v>
    </nc>
  </rcc>
  <rcc rId="1897" sId="5" numFmtId="4">
    <nc r="E239">
      <v>1</v>
    </nc>
  </rcc>
  <rcc rId="1898" sId="5" numFmtId="4">
    <nc r="F239">
      <v>6</v>
    </nc>
  </rcc>
  <rcc rId="1899" sId="5" numFmtId="4">
    <nc r="G239">
      <v>0</v>
    </nc>
  </rcc>
  <rcc rId="1900" sId="5" numFmtId="4">
    <nc r="B240">
      <v>13</v>
    </nc>
  </rcc>
  <rcc rId="1901" sId="5" numFmtId="4">
    <nc r="C240">
      <v>73</v>
    </nc>
  </rcc>
  <rcc rId="1902" sId="5" numFmtId="4">
    <nc r="D240">
      <v>7</v>
    </nc>
  </rcc>
  <rcc rId="1903" sId="5" numFmtId="4">
    <nc r="E240">
      <v>0</v>
    </nc>
  </rcc>
  <rcc rId="1904" sId="5" numFmtId="4">
    <nc r="F240">
      <v>5</v>
    </nc>
  </rcc>
  <rcc rId="1905" sId="5" numFmtId="4">
    <nc r="G240">
      <v>0</v>
    </nc>
  </rcc>
  <rcc rId="1906" sId="5" numFmtId="4">
    <nc r="B241">
      <v>13</v>
    </nc>
  </rcc>
  <rcc rId="1907" sId="5" numFmtId="4">
    <nc r="C241">
      <v>73</v>
    </nc>
  </rcc>
  <rcc rId="1908" sId="5" numFmtId="4">
    <nc r="D241">
      <v>6</v>
    </nc>
  </rcc>
  <rcc rId="1909" sId="5" numFmtId="4">
    <nc r="E241">
      <v>0</v>
    </nc>
  </rcc>
  <rcc rId="1910" sId="5" numFmtId="4">
    <nc r="F241">
      <v>3</v>
    </nc>
  </rcc>
  <rcc rId="1911" sId="5" numFmtId="4">
    <nc r="G241">
      <v>0</v>
    </nc>
  </rcc>
  <rcc rId="1912" sId="5" numFmtId="4">
    <nc r="B242">
      <v>13</v>
    </nc>
  </rcc>
  <rcc rId="1913" sId="5" numFmtId="4">
    <nc r="C242">
      <v>115</v>
    </nc>
  </rcc>
  <rcc rId="1914" sId="5" numFmtId="4">
    <nc r="D242">
      <v>7</v>
    </nc>
  </rcc>
  <rcc rId="1915" sId="5" numFmtId="4">
    <nc r="E242">
      <v>0</v>
    </nc>
  </rcc>
  <rcc rId="1916" sId="5" numFmtId="4">
    <nc r="F242">
      <v>15</v>
    </nc>
  </rcc>
  <rcc rId="1917" sId="5" numFmtId="4">
    <nc r="G242">
      <v>0</v>
    </nc>
  </rcc>
  <rcc rId="1918" sId="5" numFmtId="4">
    <nc r="B243">
      <v>13</v>
    </nc>
  </rcc>
  <rcc rId="1919" sId="5" numFmtId="4">
    <nc r="C243">
      <v>115</v>
    </nc>
  </rcc>
  <rcc rId="1920" sId="5" numFmtId="4">
    <nc r="D243">
      <v>6</v>
    </nc>
  </rcc>
  <rcc rId="1921" sId="5" numFmtId="4">
    <nc r="E243">
      <v>0</v>
    </nc>
  </rcc>
  <rcc rId="1922" sId="5" numFmtId="4">
    <nc r="F243">
      <v>17</v>
    </nc>
  </rcc>
  <rcc rId="1923" sId="5" numFmtId="4">
    <nc r="G243">
      <v>0</v>
    </nc>
  </rcc>
  <rcc rId="1924" sId="5" numFmtId="4">
    <nc r="B244">
      <v>13</v>
    </nc>
  </rcc>
  <rcc rId="1925" sId="5" numFmtId="4">
    <nc r="C244">
      <v>115</v>
    </nc>
  </rcc>
  <rcc rId="1926" sId="5" numFmtId="4">
    <nc r="D244">
      <v>5</v>
    </nc>
  </rcc>
  <rcc rId="1927" sId="5" numFmtId="4">
    <nc r="E244">
      <v>0</v>
    </nc>
  </rcc>
  <rcc rId="1928" sId="5" numFmtId="4">
    <nc r="F244">
      <v>22</v>
    </nc>
  </rcc>
  <rcc rId="1929" sId="5" numFmtId="4">
    <nc r="G244">
      <v>0</v>
    </nc>
  </rcc>
  <rcc rId="1930" sId="5" numFmtId="4">
    <nc r="B245">
      <v>13</v>
    </nc>
  </rcc>
  <rcc rId="1931" sId="5" numFmtId="4">
    <nc r="C245">
      <v>120</v>
    </nc>
  </rcc>
  <rcc rId="1932" sId="5" numFmtId="4">
    <nc r="D245">
      <v>8</v>
    </nc>
  </rcc>
  <rcc rId="1933" sId="5" numFmtId="4">
    <nc r="E245">
      <v>20</v>
    </nc>
  </rcc>
  <rcc rId="1934" sId="5" numFmtId="4">
    <nc r="F245">
      <v>5</v>
    </nc>
  </rcc>
  <rcc rId="1935" sId="5" numFmtId="4">
    <nc r="G245">
      <v>0</v>
    </nc>
  </rcc>
  <rcc rId="1936" sId="5" numFmtId="4">
    <nc r="B246">
      <v>13</v>
    </nc>
  </rcc>
  <rcc rId="1937" sId="5" numFmtId="4">
    <nc r="C246">
      <v>88</v>
    </nc>
  </rcc>
  <rcc rId="1938" sId="5" numFmtId="4">
    <nc r="D246">
      <v>7</v>
    </nc>
  </rcc>
  <rcc rId="1939" sId="5" numFmtId="4">
    <nc r="E246">
      <v>15</v>
    </nc>
  </rcc>
  <rcc rId="1940" sId="5" numFmtId="4">
    <nc r="F246">
      <v>3</v>
    </nc>
  </rcc>
  <rcc rId="1941" sId="5" numFmtId="4">
    <nc r="G246">
      <v>7</v>
    </nc>
  </rcc>
  <rcc rId="1942" sId="5" numFmtId="4">
    <nc r="B247">
      <v>13</v>
    </nc>
  </rcc>
  <rcc rId="1943" sId="5" numFmtId="4">
    <nc r="C247">
      <v>88</v>
    </nc>
  </rcc>
  <rcc rId="1944" sId="5" numFmtId="4">
    <nc r="D247">
      <v>8</v>
    </nc>
  </rcc>
  <rcc rId="1945" sId="5" numFmtId="4">
    <nc r="E247">
      <v>18</v>
    </nc>
  </rcc>
  <rcc rId="1946" sId="5" numFmtId="4">
    <nc r="F247">
      <v>2</v>
    </nc>
  </rcc>
  <rcc rId="1947" sId="5" numFmtId="4">
    <nc r="G247">
      <v>5</v>
    </nc>
  </rcc>
</revisions>
</file>

<file path=xl/revisions/revisionLog27.xml><?xml version="1.0" encoding="utf-8"?>
<revisions xmlns="http://schemas.openxmlformats.org/spreadsheetml/2006/main" xmlns:r="http://schemas.openxmlformats.org/officeDocument/2006/relationships">
  <rcc rId="1948" sId="5" numFmtId="4">
    <nc r="B248">
      <v>13</v>
    </nc>
  </rcc>
  <rcc rId="1949" sId="5" numFmtId="4">
    <nc r="C248">
      <v>117</v>
    </nc>
  </rcc>
  <rcc rId="1950" sId="5" numFmtId="4">
    <nc r="D248">
      <v>8</v>
    </nc>
  </rcc>
  <rcc rId="1951" sId="5" numFmtId="4">
    <nc r="E248">
      <v>4</v>
    </nc>
  </rcc>
  <rcc rId="1952" sId="5" numFmtId="4">
    <nc r="F248">
      <v>21</v>
    </nc>
  </rcc>
  <rcc rId="1953" sId="5" numFmtId="4">
    <nc r="G248">
      <v>0</v>
    </nc>
  </rcc>
  <rcc rId="1954" sId="5" numFmtId="4">
    <nc r="B249">
      <v>13</v>
    </nc>
  </rcc>
  <rcc rId="1955" sId="5" numFmtId="4">
    <nc r="C249">
      <v>67</v>
    </nc>
  </rcc>
  <rcc rId="1956" sId="5" numFmtId="4">
    <nc r="D249">
      <v>8</v>
    </nc>
  </rcc>
  <rcc rId="1957" sId="5" numFmtId="4">
    <nc r="E249">
      <v>0</v>
    </nc>
  </rcc>
  <rcc rId="1958" sId="5" numFmtId="4">
    <nc r="F249">
      <v>10</v>
    </nc>
  </rcc>
  <rcc rId="1959" sId="5" numFmtId="4">
    <nc r="G249">
      <v>0</v>
    </nc>
  </rcc>
  <rcc rId="1960" sId="5" numFmtId="4">
    <nc r="B250">
      <v>13</v>
    </nc>
  </rcc>
  <rcc rId="1961" sId="5" numFmtId="4">
    <nc r="C250">
      <v>62</v>
    </nc>
  </rcc>
  <rcc rId="1962" sId="5" numFmtId="4">
    <nc r="D250">
      <v>7</v>
    </nc>
  </rcc>
  <rcc rId="1963" sId="5" numFmtId="4">
    <nc r="E250">
      <v>14</v>
    </nc>
  </rcc>
  <rcc rId="1964" sId="5" numFmtId="4">
    <nc r="F250">
      <v>17</v>
    </nc>
  </rcc>
  <rcc rId="1965" sId="5" numFmtId="4">
    <nc r="G250">
      <v>0</v>
    </nc>
  </rcc>
  <rcc rId="1966" sId="5" numFmtId="4">
    <nc r="B251">
      <v>13</v>
    </nc>
  </rcc>
  <rcc rId="1967" sId="5" numFmtId="4">
    <nc r="C251">
      <v>62</v>
    </nc>
  </rcc>
  <rcc rId="1968" sId="5" numFmtId="4">
    <nc r="D251">
      <v>9</v>
    </nc>
  </rcc>
  <rcc rId="1969" sId="5" numFmtId="4">
    <nc r="E251">
      <v>2</v>
    </nc>
  </rcc>
  <rcc rId="1970" sId="5" numFmtId="4">
    <nc r="F251">
      <v>8</v>
    </nc>
  </rcc>
  <rcc rId="1971" sId="5" numFmtId="4">
    <nc r="G251">
      <v>1</v>
    </nc>
  </rcc>
  <rcc rId="1972" sId="5" numFmtId="4">
    <nc r="B252">
      <v>13</v>
    </nc>
  </rcc>
  <rcc rId="1973" sId="5" numFmtId="4">
    <nc r="C252">
      <v>62</v>
    </nc>
  </rcc>
  <rcc rId="1974" sId="5" numFmtId="4">
    <nc r="D252">
      <v>8</v>
    </nc>
  </rcc>
  <rcc rId="1975" sId="5" numFmtId="4">
    <nc r="E252">
      <v>3</v>
    </nc>
  </rcc>
  <rcc rId="1976" sId="5" numFmtId="4">
    <nc r="F252">
      <v>14</v>
    </nc>
  </rcc>
  <rcc rId="1977" sId="5" numFmtId="4">
    <nc r="G252">
      <v>0</v>
    </nc>
  </rcc>
  <rcc rId="1978" sId="5" numFmtId="4">
    <nc r="B253">
      <v>13</v>
    </nc>
  </rcc>
  <rcc rId="1979" sId="5" numFmtId="4">
    <nc r="C253">
      <v>126</v>
    </nc>
  </rcc>
  <rcc rId="1980" sId="5" numFmtId="4">
    <nc r="D253">
      <v>8</v>
    </nc>
  </rcc>
  <rcc rId="1981" sId="5" numFmtId="4">
    <nc r="E253">
      <v>3</v>
    </nc>
  </rcc>
  <rcc rId="1982" sId="5" numFmtId="4">
    <nc r="F253">
      <v>9</v>
    </nc>
  </rcc>
  <rcc rId="1983" sId="5" numFmtId="4">
    <nc r="G253">
      <v>0</v>
    </nc>
  </rcc>
  <rcc rId="1984" sId="5" numFmtId="4">
    <nc r="B254">
      <v>13</v>
    </nc>
  </rcc>
  <rcc rId="1985" sId="5" numFmtId="4">
    <nc r="C254">
      <v>126</v>
    </nc>
  </rcc>
  <rcc rId="1986" sId="5" numFmtId="4">
    <nc r="D254">
      <v>7</v>
    </nc>
  </rcc>
  <rcc rId="1987" sId="5" numFmtId="4">
    <nc r="E254">
      <v>3</v>
    </nc>
  </rcc>
  <rcc rId="1988" sId="5" numFmtId="4">
    <nc r="F254">
      <v>5</v>
    </nc>
  </rcc>
  <rcc rId="1989" sId="5" numFmtId="4">
    <nc r="G254">
      <v>0</v>
    </nc>
  </rcc>
  <rcc rId="1990" sId="5" numFmtId="4">
    <nc r="B255">
      <v>13</v>
    </nc>
  </rcc>
  <rcc rId="1991" sId="5" numFmtId="4">
    <nc r="C255">
      <v>126</v>
    </nc>
  </rcc>
  <rcc rId="1992" sId="5" numFmtId="4">
    <nc r="D255">
      <v>6</v>
    </nc>
  </rcc>
  <rcc rId="1993" sId="5" numFmtId="4">
    <nc r="E255">
      <v>1</v>
    </nc>
  </rcc>
  <rcc rId="1994" sId="5" numFmtId="4">
    <nc r="F255">
      <v>7</v>
    </nc>
  </rcc>
  <rcc rId="1995" sId="5" numFmtId="4">
    <nc r="G255">
      <v>0</v>
    </nc>
  </rcc>
  <rcc rId="1996" sId="5" numFmtId="4">
    <nc r="B256">
      <v>13</v>
    </nc>
  </rcc>
  <rcc rId="1997" sId="5" numFmtId="4">
    <nc r="C256">
      <v>75</v>
    </nc>
  </rcc>
  <rcc rId="1998" sId="5" numFmtId="4">
    <nc r="D256">
      <v>4</v>
    </nc>
  </rcc>
  <rcc rId="1999" sId="5" numFmtId="4">
    <nc r="E256">
      <v>4</v>
    </nc>
  </rcc>
  <rcc rId="2000" sId="5" numFmtId="4">
    <nc r="F256">
      <v>21</v>
    </nc>
  </rcc>
  <rcc rId="2001" sId="5" numFmtId="4">
    <nc r="G256">
      <v>0</v>
    </nc>
  </rcc>
  <rcc rId="2002" sId="5" numFmtId="4">
    <nc r="B257">
      <v>13</v>
    </nc>
  </rcc>
  <rcc rId="2003" sId="5" numFmtId="4">
    <nc r="C257">
      <v>106</v>
    </nc>
  </rcc>
  <rcc rId="2004" sId="5" numFmtId="4">
    <nc r="D257">
      <v>9</v>
    </nc>
  </rcc>
  <rcc rId="2005" sId="5" numFmtId="4">
    <nc r="E257">
      <v>10</v>
    </nc>
  </rcc>
  <rcc rId="2006" sId="5" numFmtId="4">
    <nc r="F257">
      <v>0</v>
    </nc>
  </rcc>
  <rcc rId="2007" sId="5" numFmtId="4">
    <nc r="G257">
      <v>1</v>
    </nc>
  </rcc>
  <rcc rId="2008" sId="8">
    <oc r="I5" t="inlineStr">
      <is>
        <t>Miranda</t>
      </is>
    </oc>
    <nc r="I5">
      <v>23</v>
    </nc>
  </rcc>
  <rcc rId="2009" sId="8" numFmtId="4">
    <nc r="B36">
      <v>23</v>
    </nc>
  </rcc>
  <rcc rId="2010" sId="8" numFmtId="4">
    <nc r="C36">
      <v>131</v>
    </nc>
  </rcc>
  <rcc rId="2011" sId="8" numFmtId="4">
    <nc r="D36">
      <v>7</v>
    </nc>
  </rcc>
  <rcc rId="2012" sId="8" numFmtId="4">
    <nc r="E36">
      <v>14</v>
    </nc>
  </rcc>
  <rcc rId="2013" sId="8" numFmtId="4">
    <nc r="F36">
      <v>1</v>
    </nc>
  </rcc>
  <rcc rId="2014" sId="8" numFmtId="4">
    <nc r="G36">
      <v>0</v>
    </nc>
  </rcc>
  <rcc rId="2015" sId="8" numFmtId="4">
    <nc r="B37">
      <v>23</v>
    </nc>
  </rcc>
  <rcc rId="2016" sId="8" numFmtId="4">
    <nc r="C37">
      <v>131</v>
    </nc>
  </rcc>
  <rcc rId="2017" sId="8" numFmtId="4">
    <nc r="D37">
      <v>6</v>
    </nc>
  </rcc>
  <rcc rId="2018" sId="8" numFmtId="4">
    <nc r="E37">
      <v>4</v>
    </nc>
  </rcc>
  <rcc rId="2019" sId="8" numFmtId="4">
    <nc r="F37">
      <v>3</v>
    </nc>
  </rcc>
  <rcc rId="2020" sId="8" numFmtId="4">
    <nc r="G37">
      <v>3</v>
    </nc>
  </rcc>
  <rcc rId="2021" sId="8" numFmtId="4">
    <nc r="B38">
      <v>23</v>
    </nc>
  </rcc>
  <rcc rId="2022" sId="8" numFmtId="4">
    <nc r="C38">
      <v>134</v>
    </nc>
  </rcc>
  <rcc rId="2023" sId="8" numFmtId="4">
    <nc r="D38">
      <v>6</v>
    </nc>
  </rcc>
  <rcc rId="2024" sId="8" numFmtId="4">
    <nc r="E38">
      <v>18</v>
    </nc>
  </rcc>
  <rcc rId="2025" sId="8" numFmtId="4">
    <nc r="F38">
      <v>6</v>
    </nc>
  </rcc>
  <rcc rId="2026" sId="8" numFmtId="4">
    <nc r="G38">
      <v>0</v>
    </nc>
  </rcc>
  <rcc rId="2027" sId="8" numFmtId="4">
    <nc r="B39">
      <v>23</v>
    </nc>
  </rcc>
  <rcc rId="2028" sId="8" numFmtId="4">
    <nc r="C39">
      <v>134</v>
    </nc>
  </rcc>
  <rcc rId="2029" sId="8" numFmtId="4">
    <nc r="D39">
      <v>5</v>
    </nc>
  </rcc>
  <rcc rId="2030" sId="8" numFmtId="4">
    <nc r="E39">
      <v>12</v>
    </nc>
  </rcc>
  <rcc rId="2031" sId="8" numFmtId="4">
    <nc r="F39">
      <v>6</v>
    </nc>
  </rcc>
  <rcc rId="2032" sId="8" numFmtId="4">
    <nc r="G39">
      <v>2</v>
    </nc>
  </rcc>
  <rcc rId="2033" sId="8" numFmtId="4">
    <nc r="B40">
      <v>23</v>
    </nc>
  </rcc>
  <rcc rId="2034" sId="8" numFmtId="4">
    <nc r="C40">
      <v>130</v>
    </nc>
  </rcc>
  <rcc rId="2035" sId="8" numFmtId="4">
    <nc r="D40">
      <v>9</v>
    </nc>
  </rcc>
  <rcc rId="2036" sId="8" numFmtId="4">
    <nc r="E40">
      <v>5</v>
    </nc>
  </rcc>
  <rcc rId="2037" sId="8" numFmtId="4">
    <nc r="F40">
      <v>0</v>
    </nc>
  </rcc>
  <rcc rId="2038" sId="8" numFmtId="4">
    <nc r="G40">
      <v>0</v>
    </nc>
  </rcc>
  <rcc rId="2039" sId="8" numFmtId="4">
    <nc r="B41">
      <v>23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>
  <rcc rId="2040" sId="2" numFmtId="4">
    <nc r="B228">
      <v>13</v>
    </nc>
  </rcc>
  <rcc rId="2041" sId="2" numFmtId="4">
    <nc r="C228">
      <v>105</v>
    </nc>
  </rcc>
  <rcc rId="2042" sId="2" numFmtId="4">
    <nc r="D228">
      <v>6</v>
    </nc>
  </rcc>
  <rcc rId="2043" sId="2" numFmtId="4">
    <nc r="E228">
      <v>7</v>
    </nc>
  </rcc>
  <rcc rId="2044" sId="2" numFmtId="4">
    <nc r="F228">
      <v>1</v>
    </nc>
  </rcc>
  <rcc rId="2045" sId="2" numFmtId="4">
    <nc r="G228">
      <v>0</v>
    </nc>
  </rcc>
  <rcc rId="2046" sId="2" numFmtId="4">
    <nc r="H228">
      <v>0</v>
    </nc>
  </rcc>
  <rcc rId="2047" sId="2" numFmtId="4">
    <nc r="B229">
      <v>13</v>
    </nc>
  </rcc>
  <rcc rId="2048" sId="2" numFmtId="4">
    <nc r="C229">
      <v>105</v>
    </nc>
  </rcc>
  <rcc rId="2049" sId="2" numFmtId="4">
    <nc r="D229">
      <v>3</v>
    </nc>
  </rcc>
  <rcc rId="2050" sId="2" numFmtId="4">
    <nc r="F229">
      <v>1</v>
    </nc>
  </rcc>
  <rcc rId="2051" sId="2" numFmtId="4">
    <nc r="G229">
      <v>0</v>
    </nc>
  </rcc>
  <rcc rId="2052" sId="2" numFmtId="4">
    <nc r="H229">
      <v>0</v>
    </nc>
  </rcc>
  <rcc rId="2053" sId="2" numFmtId="4">
    <nc r="B230">
      <v>13</v>
    </nc>
  </rcc>
  <rcc rId="2054" sId="2" numFmtId="4">
    <nc r="C230">
      <v>105</v>
    </nc>
  </rcc>
  <rcc rId="2055" sId="2" numFmtId="4">
    <nc r="D230">
      <v>4</v>
    </nc>
  </rcc>
  <rcc rId="2056" sId="2" numFmtId="4">
    <nc r="E230">
      <v>7</v>
    </nc>
  </rcc>
  <rcc rId="2057" sId="2" numFmtId="4">
    <nc r="F230">
      <v>1</v>
    </nc>
  </rcc>
  <rcc rId="2058" sId="2" numFmtId="4">
    <nc r="G230">
      <v>0</v>
    </nc>
  </rcc>
  <rcc rId="2059" sId="2" numFmtId="4">
    <nc r="H230">
      <v>0</v>
    </nc>
  </rcc>
  <rcc rId="2060" sId="2" numFmtId="4">
    <nc r="B231">
      <v>13</v>
    </nc>
  </rcc>
  <rcc rId="2061" sId="2" numFmtId="4">
    <nc r="C231">
      <v>106</v>
    </nc>
  </rcc>
  <rcc rId="2062" sId="2" numFmtId="4">
    <nc r="D231">
      <v>9</v>
    </nc>
  </rcc>
  <rcc rId="2063" sId="2" numFmtId="4">
    <nc r="E231">
      <v>10</v>
    </nc>
  </rcc>
  <rcc rId="2064" sId="2" numFmtId="4">
    <nc r="F231">
      <v>1</v>
    </nc>
  </rcc>
  <rcc rId="2065" sId="2" numFmtId="4">
    <nc r="G231">
      <v>0</v>
    </nc>
  </rcc>
  <rcc rId="2066" sId="2" numFmtId="4">
    <nc r="H231">
      <v>0</v>
    </nc>
  </rcc>
  <rcc rId="2067" sId="2" numFmtId="4">
    <nc r="B232">
      <v>1</v>
    </nc>
  </rcc>
  <rcc rId="2068" sId="2" numFmtId="4">
    <nc r="C232">
      <v>46</v>
    </nc>
  </rcc>
  <rcc rId="2069" sId="2" numFmtId="4">
    <nc r="D232">
      <v>9</v>
    </nc>
  </rcc>
  <rcc rId="2070" sId="2" numFmtId="4">
    <nc r="E232">
      <v>2</v>
    </nc>
  </rcc>
  <rcc rId="2071" sId="2" numFmtId="4">
    <nc r="F232">
      <v>1</v>
    </nc>
  </rcc>
  <rcc rId="2072" sId="2" numFmtId="4">
    <nc r="G232">
      <v>0</v>
    </nc>
  </rcc>
  <rcc rId="2073" sId="2" numFmtId="4">
    <nc r="H232">
      <v>0</v>
    </nc>
  </rcc>
  <rcc rId="2074" sId="2" numFmtId="4">
    <nc r="B233">
      <v>1</v>
    </nc>
  </rcc>
  <rcc rId="2075" sId="2" numFmtId="4">
    <nc r="C233">
      <v>46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>
  <rcc rId="2076" sId="8" numFmtId="4">
    <nc r="C41">
      <v>134</v>
    </nc>
  </rcc>
  <rcc rId="2077" sId="8" numFmtId="4">
    <nc r="D41">
      <v>4</v>
    </nc>
  </rcc>
  <rcc rId="2078" sId="8" numFmtId="4">
    <nc r="E41">
      <v>18</v>
    </nc>
  </rcc>
  <rcc rId="2079" sId="8" numFmtId="4">
    <nc r="F41">
      <v>5</v>
    </nc>
  </rcc>
  <rcc rId="2080" sId="8" numFmtId="4">
    <nc r="G41">
      <v>2</v>
    </nc>
  </rcc>
  <rcc rId="2081" sId="8" numFmtId="4">
    <nc r="B42">
      <v>23</v>
    </nc>
  </rcc>
  <rcc rId="2082" sId="8" numFmtId="4">
    <nc r="C42">
      <v>134</v>
    </nc>
  </rcc>
  <rcc rId="2083" sId="8" numFmtId="4">
    <nc r="D42">
      <v>3</v>
    </nc>
  </rcc>
  <rcc rId="2084" sId="8" numFmtId="4">
    <nc r="E42">
      <v>20</v>
    </nc>
  </rcc>
  <rcc rId="2085" sId="8" numFmtId="4">
    <nc r="F42">
      <v>3</v>
    </nc>
  </rcc>
  <rcc rId="2086" sId="8" numFmtId="4">
    <nc r="G42">
      <v>1</v>
    </nc>
  </rcc>
  <rcc rId="2087" sId="8" numFmtId="4">
    <nc r="B43">
      <v>23</v>
    </nc>
  </rcc>
  <rcc rId="2088" sId="8" numFmtId="4">
    <nc r="C43">
      <v>130</v>
    </nc>
  </rcc>
  <rcc rId="2089" sId="8" numFmtId="4">
    <nc r="D43">
      <v>9</v>
    </nc>
  </rcc>
  <rcc rId="2090" sId="8" numFmtId="4">
    <nc r="E43">
      <v>2</v>
    </nc>
  </rcc>
  <rcc rId="2091" sId="8" numFmtId="4">
    <nc r="F43">
      <v>0</v>
    </nc>
  </rcc>
  <rcc rId="2092" sId="8" numFmtId="4">
    <nc r="G43">
      <v>0</v>
    </nc>
  </rcc>
  <rcc rId="2093" sId="8" numFmtId="4">
    <nc r="B44">
      <v>23</v>
    </nc>
  </rcc>
  <rcc rId="2094" sId="8" numFmtId="4">
    <nc r="C44">
      <v>130</v>
    </nc>
  </rcc>
  <rcc rId="2095" sId="8" numFmtId="4">
    <nc r="D44">
      <v>8</v>
    </nc>
  </rcc>
  <rcc rId="2096" sId="8" numFmtId="4">
    <nc r="E44">
      <v>3</v>
    </nc>
  </rcc>
  <rcc rId="2097" sId="8" numFmtId="4">
    <nc r="F44">
      <v>2</v>
    </nc>
  </rcc>
  <rcc rId="2098" sId="8" numFmtId="4">
    <nc r="G44">
      <v>0</v>
    </nc>
  </rcc>
  <rcc rId="2099" sId="8" numFmtId="4">
    <nc r="B45">
      <v>23</v>
    </nc>
  </rcc>
  <rcc rId="2100" sId="8" numFmtId="4">
    <nc r="C45">
      <v>130</v>
    </nc>
  </rcc>
  <rcc rId="2101" sId="8" numFmtId="4">
    <nc r="D45">
      <v>7</v>
    </nc>
  </rcc>
  <rcc rId="2102" sId="8" numFmtId="4">
    <nc r="E45">
      <v>0</v>
    </nc>
  </rcc>
  <rcc rId="2103" sId="8" numFmtId="4">
    <nc r="F45">
      <v>0</v>
    </nc>
  </rcc>
  <rcc rId="2104" sId="8" numFmtId="4">
    <nc r="G45">
      <v>0</v>
    </nc>
  </rcc>
  <rcc rId="2105" sId="8" numFmtId="4">
    <nc r="B46">
      <v>23</v>
    </nc>
  </rcc>
  <rcc rId="2106" sId="8" numFmtId="4">
    <nc r="C46">
      <v>133</v>
    </nc>
  </rcc>
  <rcc rId="2107" sId="8" numFmtId="4">
    <nc r="D46">
      <v>5</v>
    </nc>
  </rcc>
  <rcc rId="2108" sId="8" numFmtId="4">
    <nc r="E46">
      <v>2</v>
    </nc>
  </rcc>
  <rcc rId="2109" sId="8" numFmtId="4">
    <nc r="F46">
      <v>1</v>
    </nc>
  </rcc>
  <rcc rId="2110" sId="8" numFmtId="4">
    <nc r="G46">
      <v>0</v>
    </nc>
  </rcc>
  <rcc rId="2111" sId="8" numFmtId="4">
    <nc r="B47">
      <v>23</v>
    </nc>
  </rcc>
  <rcc rId="2112" sId="8" numFmtId="4">
    <nc r="C47">
      <v>133</v>
    </nc>
  </rcc>
  <rcc rId="2113" sId="8" numFmtId="4">
    <nc r="D47">
      <v>6</v>
    </nc>
  </rcc>
  <rcc rId="2114" sId="8" numFmtId="4">
    <nc r="E47">
      <v>1</v>
    </nc>
  </rcc>
  <rcc rId="2115" sId="8" numFmtId="4">
    <nc r="F47">
      <v>2</v>
    </nc>
  </rcc>
  <rcc rId="2116" sId="8" numFmtId="4">
    <nc r="G47">
      <v>2</v>
    </nc>
  </rcc>
  <rcc rId="2117" sId="8" numFmtId="4">
    <nc r="B48">
      <v>23</v>
    </nc>
  </rcc>
  <rcc rId="2118" sId="8" numFmtId="4">
    <nc r="C48">
      <v>127</v>
    </nc>
  </rcc>
  <rcc rId="2119" sId="8" numFmtId="4">
    <nc r="D48">
      <v>8</v>
    </nc>
  </rcc>
  <rcc rId="2120" sId="8" numFmtId="4">
    <nc r="E48">
      <v>5</v>
    </nc>
  </rcc>
  <rcc rId="2121" sId="8" numFmtId="4">
    <nc r="F48">
      <v>10</v>
    </nc>
  </rcc>
  <rcc rId="2122" sId="8" numFmtId="4">
    <nc r="G48">
      <v>0</v>
    </nc>
  </rcc>
  <rcc rId="2123" sId="8" numFmtId="4">
    <nc r="B49">
      <v>23</v>
    </nc>
  </rcc>
  <rcc rId="2124" sId="8" numFmtId="4">
    <nc r="C49">
      <v>127</v>
    </nc>
  </rcc>
  <rcc rId="2125" sId="8" numFmtId="4">
    <nc r="D49">
      <v>7</v>
    </nc>
  </rcc>
  <rcc rId="2126" sId="8" numFmtId="4">
    <nc r="E49">
      <v>3</v>
    </nc>
  </rcc>
  <rcc rId="2127" sId="8" numFmtId="4">
    <nc r="F49">
      <v>15</v>
    </nc>
  </rcc>
  <rcc rId="2128" sId="8" numFmtId="4">
    <nc r="G49">
      <v>0</v>
    </nc>
  </rcc>
  <rcc rId="2129" sId="8" numFmtId="4">
    <nc r="B50">
      <v>23</v>
    </nc>
  </rcc>
  <rcc rId="2130" sId="8" numFmtId="4">
    <nc r="C50">
      <v>127</v>
    </nc>
  </rcc>
  <rcc rId="2131" sId="8" numFmtId="4">
    <nc r="D50">
      <v>6</v>
    </nc>
  </rcc>
  <rcc rId="2132" sId="8" numFmtId="4">
    <nc r="E50">
      <v>2</v>
    </nc>
  </rcc>
  <rcc rId="2133" sId="8" numFmtId="4">
    <nc r="F50">
      <v>12</v>
    </nc>
  </rcc>
  <rcc rId="2134" sId="8" numFmtId="4">
    <nc r="G50">
      <v>0</v>
    </nc>
  </rcc>
  <rcc rId="2135" sId="8" numFmtId="4">
    <nc r="B51">
      <v>23</v>
    </nc>
  </rcc>
  <rcc rId="2136" sId="8" numFmtId="4">
    <nc r="C51">
      <v>127</v>
    </nc>
  </rcc>
  <rcc rId="2137" sId="8" numFmtId="4">
    <nc r="D51">
      <v>5</v>
    </nc>
  </rcc>
  <rcc rId="2138" sId="8" numFmtId="4">
    <nc r="E51">
      <v>2</v>
    </nc>
  </rcc>
  <rcc rId="2139" sId="8" numFmtId="4">
    <nc r="F51">
      <v>10</v>
    </nc>
  </rcc>
  <rcc rId="2140" sId="8" numFmtId="4">
    <nc r="G51">
      <v>0</v>
    </nc>
  </rcc>
  <rcc rId="2141" sId="8" numFmtId="4">
    <nc r="B52">
      <v>23</v>
    </nc>
  </rcc>
  <rcc rId="2142" sId="8" numFmtId="4">
    <nc r="C52">
      <v>127</v>
    </nc>
  </rcc>
  <rcc rId="2143" sId="8" numFmtId="4">
    <nc r="D52">
      <v>4</v>
    </nc>
  </rcc>
  <rcc rId="2144" sId="8" numFmtId="4">
    <nc r="E52">
      <v>1</v>
    </nc>
  </rcc>
  <rcc rId="2145" sId="8" numFmtId="4">
    <nc r="F52">
      <v>7</v>
    </nc>
  </rcc>
  <rcc rId="2146" sId="8" numFmtId="4">
    <nc r="G52">
      <v>0</v>
    </nc>
  </rcc>
  <rcc rId="2147" sId="8" numFmtId="4">
    <nc r="B53">
      <v>23</v>
    </nc>
  </rcc>
  <rcc rId="2148" sId="8" numFmtId="4">
    <nc r="C53">
      <v>135</v>
    </nc>
  </rcc>
  <rcc rId="2149" sId="8" numFmtId="4">
    <nc r="D53">
      <v>6</v>
    </nc>
  </rcc>
  <rcc rId="2150" sId="8" numFmtId="4">
    <nc r="E53">
      <v>2</v>
    </nc>
  </rcc>
  <rcc rId="2151" sId="8" numFmtId="4">
    <nc r="F53">
      <v>0</v>
    </nc>
  </rcc>
  <rcc rId="2152" sId="8" numFmtId="4">
    <nc r="G53">
      <v>0</v>
    </nc>
  </rcc>
  <rcc rId="2153" sId="8" numFmtId="4">
    <nc r="B54">
      <v>23</v>
    </nc>
  </rcc>
  <rcc rId="2154" sId="8" numFmtId="4">
    <nc r="C54">
      <v>135</v>
    </nc>
  </rcc>
  <rcc rId="2155" sId="8" numFmtId="4">
    <nc r="D54">
      <v>7</v>
    </nc>
  </rcc>
  <rcc rId="2156" sId="8" numFmtId="4">
    <nc r="E54">
      <v>1</v>
    </nc>
  </rcc>
  <rcc rId="2157" sId="8" numFmtId="4">
    <nc r="F54">
      <v>0</v>
    </nc>
  </rcc>
  <rcc rId="2158" sId="8" numFmtId="4">
    <nc r="G54">
      <v>0</v>
    </nc>
  </rcc>
  <rcc rId="2159" sId="8" numFmtId="4">
    <nc r="B55">
      <v>23</v>
    </nc>
  </rcc>
  <rcc rId="2160" sId="8" numFmtId="4">
    <nc r="C55">
      <v>135</v>
    </nc>
  </rcc>
  <rcc rId="2161" sId="8" numFmtId="4">
    <nc r="D55">
      <v>8</v>
    </nc>
  </rcc>
  <rcc rId="2162" sId="8" numFmtId="4">
    <nc r="E55">
      <v>1</v>
    </nc>
  </rcc>
  <rcc rId="2163" sId="8" numFmtId="4">
    <nc r="F55">
      <v>0</v>
    </nc>
  </rcc>
  <rcc rId="2164" sId="8" numFmtId="4">
    <nc r="G55">
      <v>1</v>
    </nc>
  </rcc>
  <rcc rId="2165" sId="5">
    <oc r="I5" t="inlineStr">
      <is>
        <t>Vargas</t>
      </is>
    </oc>
    <nc r="I5">
      <v>23</v>
    </nc>
  </rcc>
  <rcc rId="2166" sId="5" numFmtId="4">
    <nc r="B258">
      <v>13</v>
    </nc>
  </rcc>
  <rcc rId="2167" sId="5" numFmtId="4">
    <nc r="C258">
      <v>112</v>
    </nc>
  </rcc>
  <rcc rId="2168" sId="5" numFmtId="4">
    <nc r="D258">
      <v>8</v>
    </nc>
  </rcc>
  <rcc rId="2169" sId="5" numFmtId="4">
    <nc r="E258">
      <v>22</v>
    </nc>
  </rcc>
  <rcc rId="2170" sId="5" numFmtId="4">
    <nc r="F258">
      <v>5</v>
    </nc>
  </rcc>
  <rcc rId="2171" sId="5" numFmtId="4">
    <nc r="G258">
      <v>0</v>
    </nc>
  </rcc>
  <rcc rId="2172" sId="5" numFmtId="4">
    <nc r="B259">
      <v>13</v>
    </nc>
  </rcc>
  <rcc rId="2173" sId="5" numFmtId="4">
    <nc r="C259">
      <v>77</v>
    </nc>
  </rcc>
  <rcc rId="2174" sId="5" numFmtId="4">
    <nc r="D259">
      <v>8</v>
    </nc>
  </rcc>
  <rcc rId="2175" sId="5" numFmtId="4">
    <nc r="E259">
      <v>9</v>
    </nc>
  </rcc>
  <rcc rId="2176" sId="5" numFmtId="4">
    <nc r="F259">
      <v>5</v>
    </nc>
  </rcc>
  <rcc rId="2177" sId="5" numFmtId="4">
    <nc r="G259">
      <v>7</v>
    </nc>
  </rcc>
  <rcc rId="2178" sId="5" numFmtId="4">
    <nc r="B260">
      <v>13</v>
    </nc>
  </rcc>
  <rcc rId="2179" sId="5" numFmtId="4">
    <nc r="C260">
      <v>117</v>
    </nc>
  </rcc>
  <rcc rId="2180" sId="5" numFmtId="4">
    <nc r="D260">
      <v>9</v>
    </nc>
  </rcc>
  <rcc rId="2181" sId="5" numFmtId="4">
    <nc r="E260">
      <v>2</v>
    </nc>
  </rcc>
  <rcc rId="2182" sId="5" numFmtId="4">
    <nc r="F260">
      <v>23</v>
    </nc>
  </rcc>
  <rcc rId="2183" sId="5" numFmtId="4">
    <nc r="G260">
      <v>0</v>
    </nc>
  </rcc>
  <rcc rId="2184" sId="5" numFmtId="4">
    <nc r="B261">
      <v>13</v>
    </nc>
  </rcc>
  <rcc rId="2185" sId="5" numFmtId="4">
    <nc r="C261">
      <v>100</v>
    </nc>
  </rcc>
  <rcc rId="2186" sId="5" numFmtId="4">
    <nc r="D261">
      <v>9</v>
    </nc>
  </rcc>
  <rcc rId="2187" sId="5" numFmtId="4">
    <nc r="E261">
      <v>10</v>
    </nc>
  </rcc>
  <rcc rId="2188" sId="5" numFmtId="4">
    <nc r="F261">
      <v>4</v>
    </nc>
  </rcc>
  <rcc rId="2189" sId="5" numFmtId="4">
    <nc r="G261">
      <v>0</v>
    </nc>
  </rcc>
  <rcc rId="2190" sId="5" numFmtId="4">
    <nc r="B262">
      <v>13</v>
    </nc>
  </rcc>
  <rcc rId="2191" sId="5" numFmtId="4">
    <nc r="C262">
      <v>100</v>
    </nc>
  </rcc>
  <rcc rId="2192" sId="5" numFmtId="4">
    <nc r="D262">
      <v>8</v>
    </nc>
  </rcc>
  <rcc rId="2193" sId="5" numFmtId="4">
    <nc r="E262">
      <v>6</v>
    </nc>
  </rcc>
  <rcc rId="2194" sId="5" numFmtId="4">
    <nc r="F262">
      <v>1</v>
    </nc>
  </rcc>
  <rcc rId="2195" sId="5" numFmtId="4">
    <nc r="G262">
      <v>0</v>
    </nc>
  </rcc>
  <rcc rId="2196" sId="5" numFmtId="4">
    <nc r="B263">
      <v>13</v>
    </nc>
  </rcc>
  <rcc rId="2197" sId="5" numFmtId="4">
    <nc r="C263">
      <v>96</v>
    </nc>
  </rcc>
  <rcc rId="2198" sId="5" numFmtId="4">
    <nc r="D263">
      <v>9</v>
    </nc>
  </rcc>
  <rcc rId="2199" sId="5" numFmtId="4">
    <nc r="E263">
      <v>2</v>
    </nc>
  </rcc>
  <rcc rId="2200" sId="5" numFmtId="4">
    <nc r="F263">
      <v>5</v>
    </nc>
  </rcc>
  <rcc rId="2201" sId="5" numFmtId="4">
    <nc r="G263">
      <v>4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>
  <rcc rId="2202" sId="2" numFmtId="4">
    <nc r="D233">
      <v>6</v>
    </nc>
  </rcc>
  <rcc rId="2203" sId="2" numFmtId="4">
    <nc r="E233">
      <v>0</v>
    </nc>
  </rcc>
  <rcc rId="2204" sId="2" numFmtId="4">
    <nc r="F233">
      <v>3</v>
    </nc>
  </rcc>
  <rcc rId="2205" sId="2" numFmtId="4">
    <nc r="G233">
      <v>0</v>
    </nc>
  </rcc>
  <rcc rId="2206" sId="2" numFmtId="4">
    <nc r="H233">
      <v>0</v>
    </nc>
  </rcc>
  <rcc rId="2207" sId="2" numFmtId="4">
    <nc r="B234">
      <v>1</v>
    </nc>
  </rcc>
  <rcc rId="2208" sId="2" numFmtId="4">
    <nc r="C234">
      <v>46</v>
    </nc>
  </rcc>
  <rcc rId="2209" sId="2" numFmtId="4">
    <nc r="D234">
      <v>7</v>
    </nc>
  </rcc>
  <rcc rId="2210" sId="2" numFmtId="4">
    <nc r="E234">
      <v>0</v>
    </nc>
  </rcc>
  <rcc rId="2211" sId="2" numFmtId="4">
    <nc r="F234">
      <v>1</v>
    </nc>
  </rcc>
  <rcc rId="2212" sId="2" numFmtId="4">
    <nc r="G234">
      <v>0</v>
    </nc>
  </rcc>
  <rcc rId="2213" sId="2" numFmtId="4">
    <nc r="H234">
      <v>0</v>
    </nc>
  </rcc>
  <rcc rId="2214" sId="2" numFmtId="4">
    <nc r="B235">
      <v>1</v>
    </nc>
  </rcc>
  <rcc rId="2215" sId="2" numFmtId="4">
    <nc r="C235">
      <v>46</v>
    </nc>
  </rcc>
  <rcc rId="2216" sId="2" numFmtId="4">
    <nc r="D235">
      <v>8</v>
    </nc>
  </rcc>
  <rcc rId="2217" sId="2" numFmtId="4">
    <nc r="E235">
      <v>3</v>
    </nc>
  </rcc>
  <rcc rId="2218" sId="2" numFmtId="4">
    <nc r="F235">
      <v>1</v>
    </nc>
  </rcc>
  <rcc rId="2219" sId="2" numFmtId="4">
    <nc r="G235">
      <v>0</v>
    </nc>
  </rcc>
  <rcc rId="2220" sId="2" numFmtId="4">
    <nc r="H235">
      <v>0</v>
    </nc>
  </rcc>
  <rcc rId="2221" sId="2" numFmtId="4">
    <nc r="B236">
      <v>1</v>
    </nc>
  </rcc>
  <rcc rId="2222" sId="2" numFmtId="4">
    <nc r="C236">
      <v>33</v>
    </nc>
  </rcc>
  <rcc rId="2223" sId="2" numFmtId="4">
    <nc r="D236">
      <v>7</v>
    </nc>
  </rcc>
  <rcc rId="2224" sId="2" numFmtId="4">
    <nc r="E236">
      <v>2</v>
    </nc>
  </rcc>
  <rcc rId="2225" sId="2" numFmtId="4">
    <nc r="F236">
      <v>6</v>
    </nc>
  </rcc>
  <rcc rId="2226" sId="2" numFmtId="4">
    <nc r="G236">
      <v>0</v>
    </nc>
  </rcc>
  <rcc rId="2227" sId="2" numFmtId="4">
    <nc r="H236">
      <v>1</v>
    </nc>
  </rcc>
  <rcc rId="2228" sId="2" numFmtId="4">
    <nc r="B237">
      <v>13</v>
    </nc>
  </rcc>
  <rcc rId="2229" sId="2" numFmtId="4">
    <nc r="C237">
      <v>19</v>
    </nc>
  </rcc>
  <rcc rId="2230" sId="2" numFmtId="4">
    <nc r="D237">
      <v>6</v>
    </nc>
  </rcc>
  <rcc rId="2231" sId="2" numFmtId="4">
    <nc r="E237">
      <v>0</v>
    </nc>
  </rcc>
  <rcc rId="2232" sId="2" numFmtId="4">
    <nc r="F237">
      <v>8</v>
    </nc>
  </rcc>
  <rcc rId="2233" sId="2" numFmtId="4">
    <nc r="G237">
      <v>0</v>
    </nc>
  </rcc>
  <rcc rId="2234" sId="2" numFmtId="4">
    <nc r="H237">
      <v>0</v>
    </nc>
  </rcc>
  <rcc rId="2235" sId="2" numFmtId="4">
    <nc r="B238">
      <v>13</v>
    </nc>
  </rcc>
  <rcc rId="2236" sId="2" numFmtId="4">
    <nc r="C238">
      <v>19</v>
    </nc>
  </rcc>
  <rcc rId="2237" sId="2" numFmtId="4">
    <nc r="D238">
      <v>7</v>
    </nc>
  </rcc>
  <rcc rId="2238" sId="2" numFmtId="4">
    <nc r="E238">
      <v>1</v>
    </nc>
  </rcc>
  <rcc rId="2239" sId="2" numFmtId="4">
    <nc r="F238">
      <v>14</v>
    </nc>
  </rcc>
  <rcc rId="2240" sId="2" numFmtId="4">
    <nc r="G238">
      <v>0</v>
    </nc>
  </rcc>
  <rcc rId="2241" sId="2" numFmtId="4">
    <nc r="H238">
      <v>0</v>
    </nc>
  </rcc>
  <rcc rId="2242" sId="2" numFmtId="4">
    <nc r="B239">
      <v>13</v>
    </nc>
  </rcc>
  <rcc rId="2243" sId="2" numFmtId="4">
    <nc r="C239">
      <v>19</v>
    </nc>
  </rcc>
  <rcc rId="2244" sId="2" numFmtId="4">
    <nc r="D239">
      <v>8</v>
    </nc>
  </rcc>
  <rcc rId="2245" sId="2" numFmtId="4">
    <nc r="E239">
      <v>1</v>
    </nc>
  </rcc>
  <rcc rId="2246" sId="2" numFmtId="4">
    <nc r="F239">
      <v>18</v>
    </nc>
  </rcc>
  <rcc rId="2247" sId="2" numFmtId="4">
    <nc r="G239">
      <v>0</v>
    </nc>
  </rcc>
  <rcc rId="2248" sId="2" numFmtId="4">
    <nc r="H239">
      <v>0</v>
    </nc>
  </rcc>
  <rcc rId="2249" sId="2" numFmtId="4">
    <nc r="B240">
      <v>13</v>
    </nc>
  </rcc>
  <rcc rId="2250" sId="2" numFmtId="4">
    <nc r="C240">
      <v>117</v>
    </nc>
  </rcc>
  <rcc rId="2251" sId="2" numFmtId="4">
    <nc r="D240">
      <v>8</v>
    </nc>
  </rcc>
  <rcc rId="2252" sId="2" numFmtId="4">
    <nc r="E240">
      <v>4</v>
    </nc>
  </rcc>
  <rcc rId="2253" sId="2" numFmtId="4">
    <nc r="F240">
      <v>20</v>
    </nc>
  </rcc>
  <rcc rId="2254" sId="2" numFmtId="4">
    <nc r="G240">
      <v>0</v>
    </nc>
  </rcc>
  <rcc rId="2255" sId="2" numFmtId="4">
    <nc r="H240">
      <v>0</v>
    </nc>
  </rcc>
  <rcc rId="2256" sId="2" numFmtId="4">
    <nc r="B241">
      <v>13</v>
    </nc>
  </rcc>
  <rcc rId="2257" sId="2" numFmtId="4">
    <nc r="C241">
      <v>67</v>
    </nc>
  </rcc>
  <rcc rId="2258" sId="2" numFmtId="4">
    <nc r="D241">
      <v>8</v>
    </nc>
  </rcc>
  <rcc rId="2259" sId="2" numFmtId="4">
    <nc r="E241">
      <v>0</v>
    </nc>
  </rcc>
  <rcc rId="2260" sId="2" numFmtId="4">
    <nc r="F241">
      <v>10</v>
    </nc>
  </rcc>
  <rcc rId="2261" sId="2" numFmtId="4">
    <nc r="G241">
      <v>0</v>
    </nc>
  </rcc>
  <rcc rId="2262" sId="2" numFmtId="4">
    <nc r="H241">
      <v>0</v>
    </nc>
  </rcc>
  <rcc rId="2263" sId="2" numFmtId="4">
    <nc r="B242">
      <v>13</v>
    </nc>
  </rcc>
  <rcc rId="2264" sId="2" numFmtId="4">
    <nc r="C242">
      <v>75</v>
    </nc>
  </rcc>
  <rcc rId="2265" sId="2" numFmtId="4">
    <nc r="D242">
      <v>4</v>
    </nc>
  </rcc>
  <rcc rId="2266" sId="2" numFmtId="4">
    <nc r="E242">
      <v>4</v>
    </nc>
  </rcc>
  <rcc rId="2267" sId="2" numFmtId="4">
    <nc r="F242">
      <v>21</v>
    </nc>
  </rcc>
  <rcc rId="2268" sId="2" numFmtId="4">
    <nc r="G242">
      <v>0</v>
    </nc>
  </rcc>
  <rcc rId="2269" sId="2" numFmtId="4">
    <nc r="H242">
      <v>0</v>
    </nc>
  </rcc>
  <rcc rId="2270" sId="2" numFmtId="4">
    <nc r="B243">
      <v>1</v>
    </nc>
  </rcc>
  <rcc rId="2271" sId="2" numFmtId="4">
    <nc r="C243">
      <v>53</v>
    </nc>
  </rcc>
  <rcc rId="2272" sId="2" numFmtId="4">
    <nc r="D243">
      <v>8</v>
    </nc>
  </rcc>
  <rcc rId="2273" sId="2" numFmtId="4">
    <nc r="E243">
      <v>12</v>
    </nc>
  </rcc>
  <rcc rId="2274" sId="2" numFmtId="4">
    <nc r="F243">
      <v>9</v>
    </nc>
  </rcc>
  <rcc rId="2275" sId="2" numFmtId="4">
    <nc r="G243">
      <v>0</v>
    </nc>
  </rcc>
  <rcc rId="2276" sId="2" numFmtId="4">
    <nc r="H243">
      <v>1</v>
    </nc>
  </rcc>
  <rcc rId="2277" sId="2" numFmtId="4">
    <nc r="B244">
      <v>1</v>
    </nc>
  </rcc>
  <rcc rId="2278" sId="2" numFmtId="4">
    <nc r="C244">
      <v>53</v>
    </nc>
  </rcc>
  <rcc rId="2279" sId="2" numFmtId="4">
    <nc r="D244">
      <v>7</v>
    </nc>
  </rcc>
  <rcc rId="2280" sId="2" numFmtId="4">
    <nc r="E244">
      <v>5</v>
    </nc>
  </rcc>
  <rcc rId="2281" sId="2" numFmtId="4">
    <nc r="F244">
      <v>1</v>
    </nc>
  </rcc>
  <rcc rId="2282" sId="2" numFmtId="4">
    <nc r="G244">
      <v>0</v>
    </nc>
  </rcc>
  <rcc rId="2283" sId="2" numFmtId="4">
    <nc r="H244">
      <v>0</v>
    </nc>
  </rcc>
  <rcc rId="2284" sId="2" numFmtId="4">
    <nc r="B245">
      <v>13</v>
    </nc>
  </rcc>
  <rcc rId="2285" sId="2" numFmtId="4">
    <nc r="C245">
      <v>73</v>
    </nc>
  </rcc>
  <rcc rId="2286" sId="2" numFmtId="4">
    <nc r="D245">
      <v>8</v>
    </nc>
  </rcc>
  <rcc rId="2287" sId="2" numFmtId="4">
    <nc r="E245">
      <v>1</v>
    </nc>
  </rcc>
  <rcc rId="2288" sId="2" numFmtId="4">
    <nc r="F245">
      <v>6</v>
    </nc>
  </rcc>
  <rcc rId="2289" sId="2" numFmtId="4">
    <nc r="G245">
      <v>0</v>
    </nc>
  </rcc>
  <rcc rId="2290" sId="2" numFmtId="4">
    <nc r="H245">
      <v>0</v>
    </nc>
  </rcc>
  <rcc rId="2291" sId="2" numFmtId="4">
    <nc r="B246">
      <v>13</v>
    </nc>
  </rcc>
  <rcc rId="2292" sId="2" numFmtId="4">
    <nc r="C246">
      <v>73</v>
    </nc>
  </rcc>
  <rcc rId="2293" sId="2" numFmtId="4">
    <nc r="D246">
      <v>6</v>
    </nc>
  </rcc>
  <rcc rId="2294" sId="2" numFmtId="4">
    <nc r="E246">
      <v>0</v>
    </nc>
  </rcc>
  <rcc rId="2295" sId="2" numFmtId="4">
    <nc r="F246">
      <v>3</v>
    </nc>
  </rcc>
  <rcc rId="2296" sId="2" numFmtId="4">
    <nc r="G246">
      <v>0</v>
    </nc>
  </rcc>
  <rcc rId="2297" sId="2" numFmtId="4">
    <nc r="H246">
      <v>0</v>
    </nc>
  </rcc>
  <rcc rId="2298" sId="2" numFmtId="4">
    <nc r="B247">
      <v>13</v>
    </nc>
  </rcc>
  <rcc rId="2299" sId="2" numFmtId="4">
    <nc r="C247">
      <v>73</v>
    </nc>
  </rcc>
  <rcc rId="2300" sId="2" numFmtId="4">
    <nc r="D247">
      <v>7</v>
    </nc>
  </rcc>
  <rcc rId="2301" sId="2" numFmtId="4">
    <nc r="E247">
      <v>0</v>
    </nc>
  </rcc>
  <rcc rId="2302" sId="2" numFmtId="4">
    <nc r="F247">
      <v>5</v>
    </nc>
  </rcc>
  <rcc rId="2303" sId="2" numFmtId="4">
    <nc r="G247">
      <v>0</v>
    </nc>
  </rcc>
  <rcc rId="2304" sId="2" numFmtId="4">
    <nc r="H247">
      <v>0</v>
    </nc>
  </rcc>
  <rcc rId="2305" sId="2" numFmtId="4">
    <nc r="B248">
      <v>13</v>
    </nc>
  </rcc>
  <rcc rId="2306" sId="2" numFmtId="4">
    <nc r="C248">
      <v>115</v>
    </nc>
  </rcc>
  <rcc rId="2307" sId="2" numFmtId="4">
    <nc r="D248">
      <v>7</v>
    </nc>
  </rcc>
  <rcc rId="2308" sId="2" numFmtId="4">
    <nc r="E248">
      <v>0</v>
    </nc>
  </rcc>
  <rcc rId="2309" sId="2" numFmtId="4">
    <nc r="F248">
      <v>15</v>
    </nc>
  </rcc>
  <rcc rId="2310" sId="2" numFmtId="4">
    <nc r="G248">
      <v>0</v>
    </nc>
  </rcc>
  <rcc rId="2311" sId="2" numFmtId="4">
    <nc r="H248">
      <v>0</v>
    </nc>
  </rcc>
  <rcc rId="2312" sId="2" numFmtId="4">
    <nc r="B249">
      <v>13</v>
    </nc>
  </rcc>
  <rcc rId="2313" sId="2" numFmtId="4">
    <nc r="C249">
      <v>115</v>
    </nc>
  </rcc>
  <rcc rId="2314" sId="2" numFmtId="4">
    <nc r="D249">
      <v>6</v>
    </nc>
  </rcc>
  <rcc rId="2315" sId="2" numFmtId="4">
    <nc r="E249">
      <v>0</v>
    </nc>
  </rcc>
  <rcc rId="2316" sId="2" numFmtId="4">
    <nc r="F249">
      <v>17</v>
    </nc>
  </rcc>
  <rcc rId="2317" sId="2" numFmtId="4">
    <nc r="G249">
      <v>0</v>
    </nc>
  </rcc>
  <rcc rId="2318" sId="2" numFmtId="4">
    <nc r="H249">
      <v>0</v>
    </nc>
  </rcc>
  <rcc rId="2319" sId="2" numFmtId="4">
    <nc r="B250">
      <v>13</v>
    </nc>
  </rcc>
  <rcc rId="2320" sId="2" numFmtId="4">
    <nc r="C250">
      <v>115</v>
    </nc>
  </rcc>
  <rcc rId="2321" sId="2" numFmtId="4">
    <nc r="D250">
      <v>5</v>
    </nc>
  </rcc>
  <rcc rId="2322" sId="2" numFmtId="4">
    <nc r="E250">
      <v>0</v>
    </nc>
  </rcc>
  <rcc rId="2323" sId="2" numFmtId="4">
    <nc r="F250">
      <v>22</v>
    </nc>
  </rcc>
  <rcc rId="2324" sId="2" numFmtId="4">
    <nc r="G250">
      <v>0</v>
    </nc>
  </rcc>
  <rcc rId="2325" sId="2" numFmtId="4">
    <nc r="H250">
      <v>0</v>
    </nc>
  </rcc>
  <rcc rId="2326" sId="2" numFmtId="4">
    <nc r="B251">
      <v>13</v>
    </nc>
  </rcc>
  <rcc rId="2327" sId="2" numFmtId="4">
    <nc r="C251">
      <v>38</v>
    </nc>
  </rcc>
  <rcc rId="2328" sId="2" numFmtId="4">
    <nc r="D251">
      <v>4</v>
    </nc>
  </rcc>
  <rcc rId="2329" sId="2" numFmtId="4">
    <nc r="E251">
      <v>3</v>
    </nc>
  </rcc>
  <rcc rId="2330" sId="2" numFmtId="4">
    <nc r="F251">
      <v>26</v>
    </nc>
  </rcc>
  <rcc rId="2331" sId="2" numFmtId="4">
    <nc r="G251">
      <v>1</v>
    </nc>
  </rcc>
  <rcc rId="2332" sId="2" numFmtId="4">
    <nc r="H251">
      <v>1</v>
    </nc>
  </rcc>
  <rcc rId="2333" sId="2" numFmtId="4">
    <nc r="B252">
      <v>1</v>
    </nc>
  </rcc>
  <rcc rId="2334" sId="2" numFmtId="4">
    <nc r="C252">
      <v>30</v>
    </nc>
  </rcc>
  <rcc rId="2335" sId="2" numFmtId="4">
    <nc r="D252">
      <v>4</v>
    </nc>
  </rcc>
  <rcc rId="2336" sId="2" numFmtId="4">
    <nc r="E252">
      <v>10</v>
    </nc>
  </rcc>
  <rcc rId="2337" sId="2" numFmtId="4">
    <nc r="F252">
      <v>6</v>
    </nc>
  </rcc>
  <rcc rId="2338" sId="2" numFmtId="4">
    <nc r="G252">
      <v>0</v>
    </nc>
  </rcc>
  <rcc rId="2339" sId="2" numFmtId="4">
    <nc r="H252">
      <v>2</v>
    </nc>
  </rcc>
  <rcc rId="2340" sId="2" numFmtId="4">
    <nc r="B253">
      <v>1</v>
    </nc>
  </rcc>
  <rcc rId="2341" sId="2" numFmtId="4">
    <nc r="C253">
      <v>30</v>
    </nc>
  </rcc>
  <rcc rId="2342" sId="2" numFmtId="4">
    <nc r="D253">
      <v>5</v>
    </nc>
  </rcc>
  <rcc rId="2343" sId="2" numFmtId="4">
    <nc r="E253">
      <v>17</v>
    </nc>
  </rcc>
  <rcc rId="2344" sId="2" numFmtId="4">
    <nc r="F253">
      <v>3</v>
    </nc>
  </rcc>
  <rcc rId="2345" sId="2" numFmtId="4">
    <nc r="G253">
      <v>0</v>
    </nc>
  </rcc>
  <rcc rId="2346" sId="2" numFmtId="4">
    <nc r="H253">
      <v>3</v>
    </nc>
  </rcc>
  <rcc rId="2347" sId="2" numFmtId="4">
    <nc r="B254">
      <v>1</v>
    </nc>
  </rcc>
  <rcc rId="2348" sId="2" numFmtId="4">
    <nc r="C254">
      <v>30</v>
    </nc>
  </rcc>
  <rcc rId="2349" sId="2" numFmtId="4">
    <nc r="D254">
      <v>6</v>
    </nc>
  </rcc>
  <rcc rId="2350" sId="2" numFmtId="4">
    <nc r="E254">
      <v>22</v>
    </nc>
  </rcc>
  <rcc rId="2351" sId="2" numFmtId="4">
    <nc r="F254">
      <v>0</v>
    </nc>
  </rcc>
  <rcc rId="2352" sId="2" numFmtId="4">
    <nc r="G254">
      <v>0</v>
    </nc>
  </rcc>
  <rcc rId="2353" sId="2" numFmtId="4">
    <nc r="H254">
      <v>1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>
  <rcc rId="2354" sId="5" numFmtId="4">
    <nc r="B264">
      <v>13</v>
    </nc>
  </rcc>
  <rcc rId="2355" sId="5" numFmtId="4">
    <nc r="C264">
      <v>96</v>
    </nc>
  </rcc>
  <rcc rId="2356" sId="5" numFmtId="4">
    <nc r="D264">
      <v>8</v>
    </nc>
  </rcc>
  <rcc rId="2357" sId="5" numFmtId="4">
    <nc r="E264">
      <v>4</v>
    </nc>
  </rcc>
  <rcc rId="2358" sId="5" numFmtId="4">
    <nc r="F264">
      <v>6</v>
    </nc>
  </rcc>
  <rcc rId="2359" sId="5" numFmtId="4">
    <nc r="G264">
      <v>0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>
  <rcc rId="2360" sId="2" numFmtId="4">
    <nc r="B255">
      <v>13</v>
    </nc>
  </rcc>
  <rcc rId="2361" sId="2" numFmtId="4">
    <nc r="C255">
      <v>106</v>
    </nc>
  </rcc>
  <rcc rId="2362" sId="2" numFmtId="4">
    <nc r="D255">
      <v>8</v>
    </nc>
  </rcc>
  <rcc rId="2363" sId="2" numFmtId="4">
    <nc r="E255">
      <v>8</v>
    </nc>
  </rcc>
  <rcc rId="2364" sId="2" numFmtId="4">
    <nc r="F255">
      <v>6</v>
    </nc>
  </rcc>
  <rcc rId="2365" sId="2" numFmtId="4">
    <nc r="G255">
      <v>0</v>
    </nc>
  </rcc>
  <rcc rId="2366" sId="2" numFmtId="4">
    <nc r="H255">
      <v>0</v>
    </nc>
  </rcc>
  <rcc rId="2367" sId="2" numFmtId="4">
    <nc r="B256">
      <v>13</v>
    </nc>
  </rcc>
  <rcc rId="2368" sId="2" numFmtId="4">
    <nc r="C256">
      <v>106</v>
    </nc>
  </rcc>
  <rcc rId="2369" sId="2" numFmtId="4">
    <nc r="D256">
      <v>7</v>
    </nc>
  </rcc>
  <rcc rId="2370" sId="2" numFmtId="4">
    <nc r="E256">
      <v>12</v>
    </nc>
  </rcc>
  <rcc rId="2371" sId="2" numFmtId="4">
    <nc r="F256">
      <v>0</v>
    </nc>
  </rcc>
  <rcc rId="2372" sId="2" numFmtId="4">
    <nc r="G256">
      <v>0</v>
    </nc>
  </rcc>
  <rcc rId="2373" sId="2" numFmtId="4">
    <nc r="H256">
      <v>0</v>
    </nc>
  </rcc>
  <rcc rId="2374" sId="2" numFmtId="4">
    <nc r="B257">
      <v>13</v>
    </nc>
  </rcc>
  <rcc rId="2375" sId="2" numFmtId="4">
    <nc r="C257">
      <v>106</v>
    </nc>
  </rcc>
  <rcc rId="2376" sId="2" numFmtId="4">
    <nc r="D257">
      <v>6</v>
    </nc>
  </rcc>
  <rcc rId="2377" sId="2" numFmtId="4">
    <nc r="E257">
      <v>15</v>
    </nc>
  </rcc>
  <rcc rId="2378" sId="2" numFmtId="4">
    <nc r="F257">
      <v>3</v>
    </nc>
  </rcc>
  <rcc rId="2379" sId="2" numFmtId="4">
    <nc r="G257">
      <v>0</v>
    </nc>
  </rcc>
  <rcc rId="2380" sId="2" numFmtId="4">
    <nc r="H257">
      <v>0</v>
    </nc>
  </rcc>
  <rcc rId="2381" sId="2" numFmtId="4">
    <nc r="B258">
      <v>13</v>
    </nc>
  </rcc>
  <rcc rId="2382" sId="2" numFmtId="4">
    <nc r="C258">
      <v>106</v>
    </nc>
  </rcc>
  <rcc rId="2383" sId="2" numFmtId="4">
    <nc r="D258">
      <v>5</v>
    </nc>
  </rcc>
  <rcc rId="2384" sId="2" numFmtId="4">
    <nc r="E258">
      <v>25</v>
    </nc>
  </rcc>
  <rcc rId="2385" sId="2" numFmtId="4">
    <nc r="F258">
      <v>0</v>
    </nc>
  </rcc>
  <rcc rId="2386" sId="2" numFmtId="4">
    <nc r="G258">
      <v>0</v>
    </nc>
  </rcc>
  <rcc rId="2387" sId="2" numFmtId="4">
    <nc r="H258">
      <v>0</v>
    </nc>
  </rcc>
  <rcc rId="2388" sId="2" numFmtId="4">
    <nc r="B259">
      <v>13</v>
    </nc>
  </rcc>
  <rcc rId="2389" sId="2" numFmtId="4">
    <nc r="C259">
      <v>106</v>
    </nc>
  </rcc>
  <rcc rId="2390" sId="2" numFmtId="4">
    <nc r="D259">
      <v>4</v>
    </nc>
  </rcc>
  <rcc rId="2391" sId="2" numFmtId="4">
    <nc r="E259">
      <v>19</v>
    </nc>
  </rcc>
  <rcc rId="2392" sId="2" numFmtId="4">
    <nc r="F259">
      <v>1</v>
    </nc>
  </rcc>
  <rcc rId="2393" sId="2" numFmtId="4">
    <nc r="G259">
      <v>0</v>
    </nc>
  </rcc>
  <rcc rId="2394" sId="2" numFmtId="4">
    <nc r="H259">
      <v>0</v>
    </nc>
  </rcc>
  <rcc rId="2395" sId="2" numFmtId="4">
    <nc r="B260">
      <v>13</v>
    </nc>
  </rcc>
  <rcc rId="2396" sId="2" numFmtId="4">
    <nc r="C260">
      <v>106</v>
    </nc>
  </rcc>
  <rcc rId="2397" sId="2" numFmtId="4">
    <nc r="D260">
      <v>3</v>
    </nc>
  </rcc>
  <rcc rId="2398" sId="2" numFmtId="4">
    <nc r="E260">
      <v>17</v>
    </nc>
  </rcc>
  <rcc rId="2399" sId="2" numFmtId="4">
    <nc r="F260">
      <v>2</v>
    </nc>
  </rcc>
  <rcc rId="2400" sId="2" numFmtId="4">
    <nc r="G260">
      <v>0</v>
    </nc>
  </rcc>
  <rcc rId="2401" sId="2" numFmtId="4">
    <nc r="H260">
      <v>0</v>
    </nc>
  </rcc>
  <rcc rId="2402" sId="2" numFmtId="4">
    <nc r="B261">
      <v>13</v>
    </nc>
  </rcc>
  <rcc rId="2403" sId="2" numFmtId="4">
    <nc r="C261">
      <v>15</v>
    </nc>
  </rcc>
  <rcc rId="2404" sId="2" numFmtId="4">
    <nc r="D261">
      <v>7</v>
    </nc>
  </rcc>
  <rcc rId="2405" sId="2" numFmtId="4">
    <nc r="E261">
      <v>0</v>
    </nc>
  </rcc>
  <rcc rId="2406" sId="2" numFmtId="4">
    <nc r="F261">
      <v>3</v>
    </nc>
  </rcc>
  <rcc rId="2407" sId="2" numFmtId="4">
    <nc r="G261">
      <v>0</v>
    </nc>
  </rcc>
  <rcc rId="2408" sId="2" numFmtId="4">
    <nc r="H261">
      <v>0</v>
    </nc>
  </rcc>
  <rcc rId="2409" sId="2" numFmtId="4">
    <nc r="B262">
      <v>13</v>
    </nc>
  </rcc>
  <rcc rId="2410" sId="2" numFmtId="4">
    <nc r="C262">
      <v>35</v>
    </nc>
  </rcc>
  <rcc rId="2411" sId="2" numFmtId="4">
    <nc r="D262">
      <v>7</v>
    </nc>
  </rcc>
  <rcc rId="2412" sId="2" numFmtId="4">
    <nc r="E262">
      <v>14</v>
    </nc>
  </rcc>
  <rcc rId="2413" sId="2" numFmtId="4">
    <nc r="F262">
      <v>10</v>
    </nc>
  </rcc>
  <rcc rId="2414" sId="2" numFmtId="4">
    <nc r="G262">
      <v>0</v>
    </nc>
  </rcc>
  <rcc rId="2415" sId="2" numFmtId="4">
    <nc r="H262">
      <v>0</v>
    </nc>
  </rcc>
  <rcc rId="2416" sId="2" numFmtId="4">
    <nc r="B263">
      <v>13</v>
    </nc>
  </rcc>
  <rcc rId="2417" sId="2" numFmtId="4">
    <nc r="C263">
      <v>114</v>
    </nc>
  </rcc>
  <rcc rId="2418" sId="2" numFmtId="4">
    <nc r="D263">
      <v>7</v>
    </nc>
  </rcc>
  <rcc rId="2419" sId="2" numFmtId="4">
    <nc r="E263">
      <v>25</v>
    </nc>
  </rcc>
  <rcc rId="2420" sId="2" numFmtId="4">
    <nc r="F263">
      <v>5</v>
    </nc>
  </rcc>
  <rcc rId="2421" sId="2" numFmtId="4">
    <nc r="G263">
      <v>10</v>
    </nc>
  </rcc>
  <rcc rId="2422" sId="2" numFmtId="4">
    <nc r="H263">
      <v>0</v>
    </nc>
  </rcc>
  <rcc rId="2423" sId="2" numFmtId="4">
    <nc r="B264">
      <v>1</v>
    </nc>
  </rcc>
  <rcc rId="2424" sId="2" numFmtId="4">
    <nc r="C264">
      <v>31</v>
    </nc>
  </rcc>
  <rcc rId="2425" sId="2" numFmtId="4">
    <nc r="D264">
      <v>4</v>
    </nc>
  </rcc>
  <rcc rId="2426" sId="2" numFmtId="4">
    <nc r="E264">
      <v>5</v>
    </nc>
  </rcc>
  <rcc rId="2427" sId="2" numFmtId="4">
    <nc r="F264">
      <v>5</v>
    </nc>
  </rcc>
  <rcc rId="2428" sId="2" numFmtId="4">
    <nc r="G264">
      <v>0</v>
    </nc>
  </rcc>
  <rcc rId="2429" sId="2" numFmtId="4">
    <nc r="H264">
      <v>0</v>
    </nc>
  </rcc>
  <rcc rId="2430" sId="2" numFmtId="4">
    <nc r="B265">
      <v>1</v>
    </nc>
  </rcc>
  <rcc rId="2431" sId="2" numFmtId="4">
    <nc r="C265">
      <v>13</v>
    </nc>
  </rcc>
  <rcc rId="2432" sId="2" numFmtId="4">
    <nc r="D265">
      <v>9</v>
    </nc>
  </rcc>
  <rcc rId="2433" sId="2" numFmtId="4">
    <nc r="E265">
      <v>10</v>
    </nc>
  </rcc>
  <rcc rId="2434" sId="2" numFmtId="4">
    <nc r="F265">
      <v>1</v>
    </nc>
  </rcc>
  <rcc rId="2435" sId="2" numFmtId="4">
    <nc r="G265">
      <v>0</v>
    </nc>
  </rcc>
  <rcc rId="2436" sId="2" numFmtId="4">
    <nc r="H265">
      <v>1</v>
    </nc>
  </rcc>
  <rcc rId="2437" sId="2" numFmtId="4">
    <nc r="B266">
      <v>1</v>
    </nc>
  </rcc>
  <rcc rId="2438" sId="2" numFmtId="4">
    <nc r="C266">
      <v>13</v>
    </nc>
  </rcc>
  <rcc rId="2439" sId="2" numFmtId="4">
    <nc r="D266">
      <v>8</v>
    </nc>
  </rcc>
  <rcc rId="2440" sId="2" numFmtId="4">
    <nc r="E266">
      <v>2</v>
    </nc>
  </rcc>
  <rcc rId="2441" sId="2" numFmtId="4">
    <nc r="F266">
      <v>1</v>
    </nc>
  </rcc>
  <rcc rId="2442" sId="2" numFmtId="4">
    <nc r="G266">
      <v>0</v>
    </nc>
  </rcc>
  <rcc rId="2443" sId="2" numFmtId="4">
    <nc r="H266">
      <v>0</v>
    </nc>
  </rcc>
  <rcc rId="2444" sId="2" numFmtId="4">
    <nc r="B267">
      <v>1</v>
    </nc>
  </rcc>
  <rcc rId="2445" sId="2" numFmtId="4">
    <nc r="C267">
      <v>24</v>
    </nc>
  </rcc>
  <rcc rId="2446" sId="2" numFmtId="4">
    <nc r="D267">
      <v>7</v>
    </nc>
  </rcc>
  <rcc rId="2447" sId="2" numFmtId="4">
    <nc r="E267">
      <v>3</v>
    </nc>
  </rcc>
  <rcc rId="2448" sId="2" numFmtId="4">
    <nc r="F267">
      <v>20</v>
    </nc>
  </rcc>
  <rcc rId="2449" sId="2" numFmtId="4">
    <nc r="G267">
      <v>0</v>
    </nc>
  </rcc>
  <rcc rId="2450" sId="2" numFmtId="4">
    <nc r="H267">
      <v>2</v>
    </nc>
  </rcc>
  <rcc rId="2451" sId="2" numFmtId="4">
    <nc r="B268">
      <v>13</v>
    </nc>
  </rcc>
  <rcc rId="2452" sId="2" numFmtId="4">
    <nc r="C268">
      <v>37</v>
    </nc>
  </rcc>
  <rcc rId="2453" sId="2" numFmtId="4">
    <nc r="D268">
      <v>4</v>
    </nc>
  </rcc>
  <rcc rId="2454" sId="2" numFmtId="4">
    <nc r="E268">
      <v>5</v>
    </nc>
  </rcc>
  <rcc rId="2455" sId="2" numFmtId="4">
    <nc r="F268">
      <v>18</v>
    </nc>
  </rcc>
  <rcc rId="2456" sId="2" numFmtId="4">
    <nc r="G268">
      <v>1</v>
    </nc>
  </rcc>
  <rcc rId="2457" sId="2" numFmtId="4">
    <nc r="H268">
      <v>0</v>
    </nc>
  </rcc>
  <rcc rId="2458" sId="2" numFmtId="4">
    <nc r="B269">
      <v>13</v>
    </nc>
  </rcc>
  <rcc rId="2459" sId="2" numFmtId="4">
    <nc r="C269">
      <v>37</v>
    </nc>
  </rcc>
  <rcc rId="2460" sId="2" numFmtId="4">
    <nc r="D269">
      <v>3</v>
    </nc>
  </rcc>
  <rcc rId="2461" sId="2" numFmtId="4">
    <nc r="E269">
      <v>4</v>
    </nc>
  </rcc>
  <rcc rId="2462" sId="2" numFmtId="4">
    <nc r="F269">
      <v>19</v>
    </nc>
  </rcc>
  <rcc rId="2463" sId="2" numFmtId="4">
    <nc r="G269">
      <v>1</v>
    </nc>
  </rcc>
  <rcc rId="2464" sId="2" numFmtId="4">
    <nc r="H269">
      <v>0</v>
    </nc>
  </rcc>
  <rcc rId="2465" sId="2" numFmtId="4">
    <nc r="B270">
      <v>13</v>
    </nc>
  </rcc>
  <rcc rId="2466" sId="2" numFmtId="4">
    <nc r="C270">
      <v>34</v>
    </nc>
  </rcc>
  <rcc rId="2467" sId="2" numFmtId="4">
    <nc r="D270">
      <v>7</v>
    </nc>
  </rcc>
  <rcc rId="2468" sId="2" numFmtId="4">
    <nc r="E270">
      <v>10</v>
    </nc>
  </rcc>
  <rcc rId="2469" sId="2" numFmtId="4">
    <nc r="F270">
      <v>3</v>
    </nc>
  </rcc>
  <rcc rId="2470" sId="2" numFmtId="4">
    <nc r="G270">
      <v>0</v>
    </nc>
  </rcc>
  <rcc rId="2471" sId="2" numFmtId="4">
    <nc r="H270">
      <v>0</v>
    </nc>
  </rcc>
  <rcc rId="2472" sId="2" numFmtId="4">
    <nc r="B271">
      <v>13</v>
    </nc>
  </rcc>
  <rcc rId="2473" sId="2" numFmtId="4">
    <nc r="C271">
      <v>34</v>
    </nc>
  </rcc>
  <rcc rId="2474" sId="2" numFmtId="4">
    <nc r="D271">
      <v>8</v>
    </nc>
  </rcc>
  <rcc rId="2475" sId="2" numFmtId="4">
    <nc r="E271">
      <v>25</v>
    </nc>
  </rcc>
  <rcc rId="2476" sId="2" numFmtId="4">
    <nc r="F271">
      <v>11</v>
    </nc>
  </rcc>
  <rcc rId="2477" sId="2" numFmtId="4">
    <nc r="G271">
      <v>0</v>
    </nc>
  </rcc>
  <rcc rId="2478" sId="2" numFmtId="4">
    <nc r="H271">
      <v>0</v>
    </nc>
  </rcc>
  <rcc rId="2479" sId="2" numFmtId="4">
    <nc r="B272">
      <v>1</v>
    </nc>
  </rcc>
  <rcc rId="2480" sId="2" numFmtId="4">
    <nc r="C272">
      <v>4</v>
    </nc>
  </rcc>
  <rcc rId="2481" sId="2" numFmtId="4">
    <nc r="D272">
      <v>7</v>
    </nc>
  </rcc>
  <rcc rId="2482" sId="2" numFmtId="4">
    <nc r="E272">
      <v>8</v>
    </nc>
  </rcc>
  <rcc rId="2483" sId="2" numFmtId="4">
    <nc r="F272">
      <v>7</v>
    </nc>
  </rcc>
  <rcc rId="2484" sId="2" numFmtId="4">
    <nc r="G272">
      <v>0</v>
    </nc>
  </rcc>
  <rcc rId="2485" sId="2" numFmtId="4">
    <nc r="H272">
      <v>0</v>
    </nc>
  </rcc>
  <rcc rId="2486" sId="2" numFmtId="4">
    <nc r="B273">
      <v>1</v>
    </nc>
  </rcc>
  <rcc rId="2487" sId="2" numFmtId="4">
    <nc r="C273">
      <v>4</v>
    </nc>
  </rcc>
  <rcc rId="2488" sId="2" numFmtId="4">
    <nc r="D273">
      <v>8</v>
    </nc>
  </rcc>
  <rcc rId="2489" sId="2" numFmtId="4">
    <nc r="E273">
      <v>6</v>
    </nc>
  </rcc>
  <rcc rId="2490" sId="2" numFmtId="4">
    <nc r="F273">
      <v>7</v>
    </nc>
  </rcc>
  <rcc rId="2491" sId="2" numFmtId="4">
    <nc r="G273">
      <v>0</v>
    </nc>
  </rcc>
  <rcc rId="2492" sId="2" numFmtId="4">
    <nc r="H273">
      <v>3</v>
    </nc>
  </rcc>
  <rcc rId="2493" sId="2" numFmtId="4">
    <nc r="B274">
      <v>1</v>
    </nc>
  </rcc>
  <rcc rId="2494" sId="2" numFmtId="4">
    <nc r="C274">
      <v>4</v>
    </nc>
  </rcc>
  <rcc rId="2495" sId="2" numFmtId="4">
    <nc r="D274">
      <v>6</v>
    </nc>
  </rcc>
  <rcc rId="2496" sId="2" numFmtId="4">
    <nc r="E274">
      <v>5</v>
    </nc>
  </rcc>
  <rcc rId="2497" sId="2" numFmtId="4">
    <nc r="F274">
      <v>6</v>
    </nc>
  </rcc>
  <rcc rId="2498" sId="2" numFmtId="4">
    <nc r="G274">
      <v>0</v>
    </nc>
  </rcc>
  <rcc rId="2499" sId="2" numFmtId="4">
    <nc r="H274">
      <v>0</v>
    </nc>
  </rcc>
  <rcc rId="2500" sId="2" numFmtId="4">
    <nc r="B275">
      <v>1</v>
    </nc>
  </rcc>
  <rcc rId="2501" sId="2" numFmtId="4">
    <nc r="C275">
      <v>4</v>
    </nc>
  </rcc>
  <rcc rId="2502" sId="2" numFmtId="4">
    <nc r="D275">
      <v>5</v>
    </nc>
  </rcc>
  <rcc rId="2503" sId="2" numFmtId="4">
    <nc r="E275">
      <v>6</v>
    </nc>
  </rcc>
  <rcc rId="2504" sId="2" numFmtId="4">
    <nc r="F275">
      <v>12</v>
    </nc>
  </rcc>
  <rcc rId="2505" sId="2" numFmtId="4">
    <nc r="G275">
      <v>0</v>
    </nc>
  </rcc>
  <rcc rId="2506" sId="2" numFmtId="4">
    <nc r="H275">
      <v>0</v>
    </nc>
  </rcc>
  <rcc rId="2507" sId="2" numFmtId="4">
    <nc r="B276">
      <v>1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>
  <rcc rId="2508" sId="5" numFmtId="4">
    <nc r="B265">
      <v>13</v>
    </nc>
  </rcc>
  <rcc rId="2509" sId="5" numFmtId="4">
    <nc r="C265">
      <v>116</v>
    </nc>
  </rcc>
  <rcc rId="2510" sId="5" numFmtId="4">
    <nc r="D265">
      <v>9</v>
    </nc>
  </rcc>
  <rcc rId="2511" sId="5" numFmtId="4">
    <nc r="E265">
      <v>20</v>
    </nc>
  </rcc>
  <rcc rId="2512" sId="5" numFmtId="4">
    <nc r="F265">
      <v>5</v>
    </nc>
  </rcc>
  <rcc rId="2513" sId="5" numFmtId="4">
    <nc r="G265">
      <v>0</v>
    </nc>
  </rcc>
  <rcc rId="2514" sId="5" numFmtId="4">
    <nc r="B266">
      <v>13</v>
    </nc>
  </rcc>
  <rcc rId="2515" sId="5" numFmtId="4">
    <nc r="C266">
      <v>89</v>
    </nc>
  </rcc>
  <rcc rId="2516" sId="5" numFmtId="4">
    <nc r="D266">
      <v>8</v>
    </nc>
  </rcc>
  <rcc rId="2517" sId="5" numFmtId="4">
    <nc r="E266">
      <v>14</v>
    </nc>
  </rcc>
  <rcc rId="2518" sId="5" numFmtId="4">
    <nc r="F266">
      <v>7</v>
    </nc>
  </rcc>
  <rcc rId="2519" sId="5" numFmtId="4">
    <nc r="G266">
      <v>0</v>
    </nc>
  </rcc>
  <rcc rId="2520" sId="5" numFmtId="4">
    <nc r="B267">
      <v>13</v>
    </nc>
  </rcc>
  <rcc rId="2521" sId="5" numFmtId="4">
    <nc r="C267">
      <v>86</v>
    </nc>
  </rcc>
  <rcc rId="2522" sId="5" numFmtId="4">
    <nc r="D267">
      <v>8</v>
    </nc>
  </rcc>
  <rcc rId="2523" sId="5" numFmtId="4">
    <nc r="E267">
      <v>19</v>
    </nc>
  </rcc>
  <rcc rId="2524" sId="5" numFmtId="4">
    <nc r="F267">
      <v>3</v>
    </nc>
  </rcc>
  <rcc rId="2525" sId="5" numFmtId="4">
    <nc r="G267">
      <v>3</v>
    </nc>
  </rcc>
  <rcc rId="2526" sId="5" numFmtId="4">
    <nc r="B268">
      <v>13</v>
    </nc>
  </rcc>
  <rcc rId="2527" sId="5" numFmtId="4">
    <nc r="C268">
      <v>114</v>
    </nc>
  </rcc>
  <rcc rId="2528" sId="5" numFmtId="4">
    <nc r="D268">
      <v>8</v>
    </nc>
  </rcc>
  <rcc rId="2529" sId="5" numFmtId="4">
    <nc r="E268">
      <v>25</v>
    </nc>
  </rcc>
  <rcc rId="2530" sId="5" numFmtId="4">
    <nc r="F268">
      <v>8</v>
    </nc>
  </rcc>
  <rcc rId="2531" sId="5" numFmtId="4">
    <nc r="G268">
      <v>5</v>
    </nc>
  </rcc>
  <rcc rId="2532" sId="5" numFmtId="4">
    <nc r="B269">
      <v>13</v>
    </nc>
  </rcc>
  <rcc rId="2533" sId="5" numFmtId="4">
    <nc r="C269">
      <v>116</v>
    </nc>
  </rcc>
  <rcc rId="2534" sId="5" numFmtId="4">
    <nc r="D269">
      <v>8</v>
    </nc>
  </rcc>
  <rcc rId="2535" sId="5" numFmtId="4">
    <nc r="E269">
      <v>19</v>
    </nc>
  </rcc>
  <rcc rId="2536" sId="5" numFmtId="4">
    <nc r="F269">
      <v>6</v>
    </nc>
  </rcc>
  <rcc rId="2537" sId="5" numFmtId="4">
    <nc r="G269">
      <v>0</v>
    </nc>
  </rcc>
  <rcc rId="2538" sId="5" numFmtId="4">
    <nc r="B270">
      <v>13</v>
    </nc>
  </rcc>
  <rcc rId="2539" sId="5" numFmtId="4">
    <nc r="C270">
      <v>109</v>
    </nc>
  </rcc>
  <rcc rId="2540" sId="5" numFmtId="4">
    <nc r="D270">
      <v>9</v>
    </nc>
  </rcc>
  <rcc rId="2541" sId="5" numFmtId="4">
    <nc r="E270">
      <v>15</v>
    </nc>
  </rcc>
  <rcc rId="2542" sId="5" numFmtId="4">
    <nc r="F270">
      <v>11</v>
    </nc>
  </rcc>
  <rcc rId="2543" sId="5" numFmtId="4">
    <nc r="G270">
      <v>0</v>
    </nc>
  </rcc>
  <rcc rId="2544" sId="5" numFmtId="4">
    <nc r="B271">
      <v>13</v>
    </nc>
  </rcc>
  <rcc rId="2545" sId="5" numFmtId="4">
    <nc r="C271">
      <v>109</v>
    </nc>
  </rcc>
  <rcc rId="2546" sId="5" numFmtId="4">
    <nc r="D271">
      <v>8</v>
    </nc>
  </rcc>
  <rcc rId="2547" sId="5" numFmtId="4">
    <nc r="E271">
      <v>18</v>
    </nc>
  </rcc>
  <rcc rId="2548" sId="5" numFmtId="4">
    <nc r="F271">
      <v>9</v>
    </nc>
  </rcc>
  <rcc rId="2549" sId="5" numFmtId="4">
    <nc r="G271">
      <v>0</v>
    </nc>
  </rcc>
  <rcc rId="2550" sId="5" numFmtId="4">
    <nc r="B272">
      <v>13</v>
    </nc>
  </rcc>
  <rcc rId="2551" sId="5" numFmtId="4">
    <nc r="C272">
      <v>118</v>
    </nc>
  </rcc>
  <rcc rId="2552" sId="5" numFmtId="4">
    <nc r="D272">
      <v>8</v>
    </nc>
  </rcc>
  <rcc rId="2553" sId="5" numFmtId="4">
    <nc r="E272">
      <v>12</v>
    </nc>
  </rcc>
  <rcc rId="2554" sId="5" numFmtId="4">
    <nc r="F272">
      <v>7</v>
    </nc>
  </rcc>
  <rcc rId="2555" sId="5" numFmtId="4">
    <nc r="G272">
      <v>0</v>
    </nc>
  </rcc>
  <rcc rId="2556" sId="5" numFmtId="4">
    <nc r="B273">
      <v>13</v>
    </nc>
  </rcc>
  <rcc rId="2557" sId="5" numFmtId="4">
    <nc r="C273">
      <v>87</v>
    </nc>
  </rcc>
  <rcc rId="2558" sId="5" numFmtId="4">
    <nc r="D273">
      <v>8</v>
    </nc>
  </rcc>
  <rcc rId="2559" sId="5" numFmtId="4">
    <nc r="E273">
      <v>20</v>
    </nc>
  </rcc>
  <rcc rId="2560" sId="5" numFmtId="4">
    <nc r="F273">
      <v>0</v>
    </nc>
  </rcc>
  <rcc rId="2561" sId="5" numFmtId="4">
    <nc r="G273">
      <v>5</v>
    </nc>
  </rcc>
  <rcc rId="2562" sId="5" numFmtId="4">
    <nc r="B274">
      <v>13</v>
    </nc>
  </rcc>
  <rcc rId="2563" sId="5" numFmtId="4">
    <nc r="C274">
      <v>105</v>
    </nc>
  </rcc>
  <rcc rId="2564" sId="5" numFmtId="4">
    <nc r="D274">
      <v>7</v>
    </nc>
  </rcc>
  <rcc rId="2565" sId="5" numFmtId="4">
    <nc r="E274">
      <v>14</v>
    </nc>
  </rcc>
  <rcc rId="2566" sId="5" numFmtId="4">
    <nc r="F274">
      <v>5</v>
    </nc>
  </rcc>
  <rcc rId="2567" sId="5" numFmtId="4">
    <nc r="G274">
      <v>0</v>
    </nc>
  </rcc>
  <rcc rId="2568" sId="5" numFmtId="4">
    <nc r="B275">
      <v>13</v>
    </nc>
  </rcc>
  <rcc rId="2569" sId="5" numFmtId="4">
    <nc r="C275">
      <v>105</v>
    </nc>
  </rcc>
  <rcc rId="2570" sId="5" numFmtId="4">
    <nc r="D275">
      <v>5</v>
    </nc>
  </rcc>
  <rcc rId="2571" sId="5" numFmtId="4">
    <nc r="E275">
      <v>10</v>
    </nc>
  </rcc>
  <rcc rId="2572" sId="5" numFmtId="4">
    <nc r="F275">
      <v>4</v>
    </nc>
  </rcc>
  <rcc rId="2573" sId="5" numFmtId="4">
    <nc r="G275">
      <v>0</v>
    </nc>
  </rcc>
  <rcc rId="2574" sId="5" numFmtId="4">
    <nc r="B276">
      <v>13</v>
    </nc>
  </rcc>
  <rcc rId="2575" sId="5" numFmtId="4">
    <nc r="C276">
      <v>105</v>
    </nc>
  </rcc>
  <rcc rId="2576" sId="5" numFmtId="4">
    <nc r="D276">
      <v>6</v>
    </nc>
  </rcc>
  <rcc rId="2577" sId="5" numFmtId="4">
    <nc r="E276">
      <v>5</v>
    </nc>
  </rcc>
  <rcc rId="2578" sId="5" numFmtId="4">
    <nc r="F276">
      <v>0</v>
    </nc>
  </rcc>
  <rcc rId="2579" sId="5" numFmtId="4">
    <nc r="G276">
      <v>0</v>
    </nc>
  </rcc>
  <rcc rId="2580" sId="5" numFmtId="4">
    <nc r="B277">
      <v>13</v>
    </nc>
  </rcc>
  <rcc rId="2581" sId="5" numFmtId="4">
    <nc r="C277">
      <v>61</v>
    </nc>
  </rcc>
  <rcc rId="2582" sId="5" numFmtId="4">
    <nc r="D277">
      <v>9</v>
    </nc>
  </rcc>
  <rcc rId="2583" sId="5" numFmtId="4">
    <nc r="E277">
      <v>2</v>
    </nc>
  </rcc>
  <rcc rId="2584" sId="5" numFmtId="4">
    <nc r="F277">
      <v>8</v>
    </nc>
  </rcc>
  <rcc rId="2585" sId="5" numFmtId="4">
    <nc r="G277">
      <v>0</v>
    </nc>
  </rcc>
  <rcc rId="2586" sId="5" numFmtId="4">
    <nc r="B278">
      <v>13</v>
    </nc>
  </rcc>
  <rcc rId="2587" sId="5" numFmtId="4">
    <nc r="C278">
      <v>61</v>
    </nc>
  </rcc>
  <rcc rId="2588" sId="5" numFmtId="4">
    <nc r="D278">
      <v>8</v>
    </nc>
  </rcc>
  <rcc rId="2589" sId="5" numFmtId="4">
    <nc r="E278">
      <v>6</v>
    </nc>
  </rcc>
  <rcc rId="2590" sId="5" numFmtId="4">
    <nc r="F278">
      <v>14</v>
    </nc>
  </rcc>
  <rcc rId="2591" sId="5" numFmtId="4">
    <nc r="G278">
      <v>0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>
  <rcc rId="2592" sId="2" numFmtId="4">
    <nc r="C276">
      <v>4</v>
    </nc>
  </rcc>
  <rcc rId="2593" sId="2" numFmtId="4">
    <nc r="D276">
      <v>4</v>
    </nc>
  </rcc>
  <rcc rId="2594" sId="2" numFmtId="4">
    <nc r="E276">
      <v>15</v>
    </nc>
  </rcc>
  <rcc rId="2595" sId="2" numFmtId="4">
    <nc r="F276">
      <v>14</v>
    </nc>
  </rcc>
  <rcc rId="2596" sId="2" numFmtId="4">
    <nc r="G276">
      <v>0</v>
    </nc>
  </rcc>
  <rcc rId="2597" sId="2" numFmtId="4">
    <nc r="H276">
      <v>1</v>
    </nc>
  </rcc>
  <rcc rId="2598" sId="2" numFmtId="4">
    <nc r="B277">
      <v>13</v>
    </nc>
  </rcc>
  <rcc rId="2599" sId="2" numFmtId="4">
    <nc r="C277">
      <v>112</v>
    </nc>
  </rcc>
  <rcc rId="2600" sId="2" numFmtId="4">
    <nc r="D277">
      <v>7</v>
    </nc>
  </rcc>
  <rcc rId="2601" sId="2" numFmtId="4">
    <nc r="E277">
      <v>25</v>
    </nc>
  </rcc>
  <rcc rId="2602" sId="2" numFmtId="4">
    <nc r="F277">
      <v>6</v>
    </nc>
  </rcc>
  <rcc rId="2603" sId="2" numFmtId="4">
    <nc r="G277">
      <v>0</v>
    </nc>
  </rcc>
  <rcc rId="2604" sId="2" numFmtId="4">
    <nc r="H277">
      <v>0</v>
    </nc>
  </rcc>
  <rcc rId="2605" sId="2" numFmtId="4">
    <nc r="B278">
      <v>13</v>
    </nc>
  </rcc>
  <rcc rId="2606" sId="2" numFmtId="4">
    <nc r="C278">
      <v>25</v>
    </nc>
  </rcc>
  <rcc rId="2607" sId="2" numFmtId="4">
    <nc r="D278">
      <v>7</v>
    </nc>
  </rcc>
  <rcc rId="2608" sId="2" numFmtId="4">
    <nc r="E278">
      <v>7</v>
    </nc>
  </rcc>
  <rcc rId="2609" sId="2" numFmtId="4">
    <nc r="F278">
      <v>0</v>
    </nc>
  </rcc>
  <rcc rId="2610" sId="2" numFmtId="4">
    <nc r="G278">
      <v>0</v>
    </nc>
  </rcc>
  <rcc rId="2611" sId="2" numFmtId="4">
    <nc r="H278">
      <v>0</v>
    </nc>
  </rcc>
  <rcc rId="2612" sId="2" numFmtId="4">
    <nc r="B279">
      <v>13</v>
    </nc>
  </rcc>
  <rcc rId="2613" sId="2" numFmtId="4">
    <nc r="C279">
      <v>114</v>
    </nc>
  </rcc>
  <rcc rId="2614" sId="2" numFmtId="4">
    <nc r="D279">
      <v>6</v>
    </nc>
  </rcc>
  <rcc rId="2615" sId="2" numFmtId="4">
    <nc r="E279">
      <v>25</v>
    </nc>
  </rcc>
  <rcc rId="2616" sId="2" numFmtId="4">
    <nc r="F279">
      <v>12</v>
    </nc>
  </rcc>
  <rcc rId="2617" sId="2" numFmtId="4">
    <nc r="G279">
      <v>6</v>
    </nc>
  </rcc>
  <rcc rId="2618" sId="2" numFmtId="4">
    <nc r="H279">
      <v>0</v>
    </nc>
  </rcc>
  <rcc rId="2619" sId="2" numFmtId="4">
    <nc r="B280">
      <v>13</v>
    </nc>
  </rcc>
  <rcc rId="2620" sId="2" numFmtId="4">
    <nc r="C280">
      <v>9</v>
    </nc>
  </rcc>
  <rcc rId="2621" sId="2" numFmtId="4">
    <nc r="D280">
      <v>6</v>
    </nc>
  </rcc>
  <rcc rId="2622" sId="2" numFmtId="4">
    <nc r="E280">
      <v>3</v>
    </nc>
  </rcc>
  <rcc rId="2623" sId="2" numFmtId="4">
    <nc r="F280">
      <v>22</v>
    </nc>
  </rcc>
  <rcc rId="2624" sId="2" numFmtId="4">
    <nc r="G280">
      <v>0</v>
    </nc>
  </rcc>
  <rcc rId="2625" sId="2" numFmtId="4">
    <nc r="H280">
      <v>13</v>
    </nc>
  </rcc>
  <rcc rId="2626" sId="2" numFmtId="4">
    <nc r="B281">
      <v>13</v>
    </nc>
  </rcc>
  <rcc rId="2627" sId="2" numFmtId="4">
    <nc r="C281">
      <v>49</v>
    </nc>
  </rcc>
  <rcc rId="2628" sId="2" numFmtId="4">
    <nc r="D281">
      <v>7</v>
    </nc>
  </rcc>
  <rcc rId="2629" sId="2" numFmtId="4">
    <nc r="E281">
      <v>9</v>
    </nc>
  </rcc>
  <rcc rId="2630" sId="2" numFmtId="4">
    <nc r="F281">
      <v>1</v>
    </nc>
  </rcc>
  <rcc rId="2631" sId="2" numFmtId="4">
    <nc r="G281">
      <v>0</v>
    </nc>
  </rcc>
  <rcc rId="2632" sId="2" numFmtId="4">
    <nc r="H281">
      <v>0</v>
    </nc>
  </rcc>
  <rcc rId="2633" sId="2" numFmtId="4">
    <nc r="B282">
      <v>1</v>
    </nc>
  </rcc>
  <rcc rId="2634" sId="2" numFmtId="4">
    <nc r="C282">
      <v>3</v>
    </nc>
  </rcc>
  <rcc rId="2635" sId="2" numFmtId="4">
    <nc r="D282">
      <v>8</v>
    </nc>
  </rcc>
  <rcc rId="2636" sId="2" numFmtId="4">
    <nc r="E282">
      <v>18</v>
    </nc>
  </rcc>
  <rcc rId="2637" sId="2" numFmtId="4">
    <nc r="F282">
      <v>5</v>
    </nc>
  </rcc>
  <rcc rId="2638" sId="2" numFmtId="4">
    <nc r="G282">
      <v>0</v>
    </nc>
  </rcc>
  <rcc rId="2639" sId="2" numFmtId="4">
    <nc r="H282">
      <v>0</v>
    </nc>
  </rcc>
  <rcc rId="2640" sId="2" numFmtId="4">
    <nc r="B283">
      <v>1</v>
    </nc>
  </rcc>
  <rcc rId="2641" sId="2" numFmtId="4">
    <nc r="C283">
      <v>3</v>
    </nc>
  </rcc>
  <rcc rId="2642" sId="2" numFmtId="4">
    <nc r="D283">
      <v>7</v>
    </nc>
  </rcc>
  <rcc rId="2643" sId="2" numFmtId="4">
    <nc r="E283">
      <v>15</v>
    </nc>
  </rcc>
  <rcc rId="2644" sId="2" numFmtId="4">
    <nc r="F283">
      <v>7</v>
    </nc>
  </rcc>
  <rcc rId="2645" sId="2" numFmtId="4">
    <nc r="G283">
      <v>0</v>
    </nc>
  </rcc>
  <rcc rId="2646" sId="2" numFmtId="4">
    <nc r="H283">
      <v>0</v>
    </nc>
  </rcc>
  <rcc rId="2647" sId="2" numFmtId="4">
    <nc r="B284">
      <v>13</v>
    </nc>
  </rcc>
  <rcc rId="2648" sId="2" numFmtId="4">
    <nc r="C284">
      <v>51</v>
    </nc>
  </rcc>
  <rcc rId="2649" sId="2" numFmtId="4">
    <nc r="D284">
      <v>7</v>
    </nc>
  </rcc>
  <rcc rId="2650" sId="2" numFmtId="4">
    <nc r="E284">
      <v>6</v>
    </nc>
  </rcc>
  <rcc rId="2651" sId="2" numFmtId="4">
    <nc r="F284">
      <v>2</v>
    </nc>
  </rcc>
  <rcc rId="2652" sId="2" numFmtId="4">
    <nc r="G284">
      <v>0</v>
    </nc>
  </rcc>
  <rcc rId="2653" sId="2" numFmtId="4">
    <nc r="H284">
      <v>0</v>
    </nc>
  </rcc>
  <rcc rId="2654" sId="2" numFmtId="4">
    <nc r="B285">
      <v>13</v>
    </nc>
  </rcc>
  <rcc rId="2655" sId="2" numFmtId="4">
    <nc r="C285">
      <v>41</v>
    </nc>
  </rcc>
  <rcc rId="2656" sId="2" numFmtId="4">
    <nc r="D285">
      <v>7</v>
    </nc>
  </rcc>
  <rcc rId="2657" sId="2" numFmtId="4">
    <nc r="E285">
      <v>3</v>
    </nc>
  </rcc>
  <rcc rId="2658" sId="2" numFmtId="4">
    <nc r="F285">
      <v>12</v>
    </nc>
  </rcc>
  <rcc rId="2659" sId="2" numFmtId="4">
    <nc r="G285">
      <v>0</v>
    </nc>
  </rcc>
  <rcc rId="2660" sId="2" numFmtId="4">
    <nc r="H285">
      <v>0</v>
    </nc>
  </rcc>
  <rcc rId="2661" sId="2" numFmtId="4">
    <nc r="B286">
      <v>13</v>
    </nc>
  </rcc>
  <rcc rId="2662" sId="2" numFmtId="4">
    <nc r="C286">
      <v>114</v>
    </nc>
  </rcc>
  <rcc rId="2663" sId="2" numFmtId="4">
    <nc r="D286">
      <v>8</v>
    </nc>
  </rcc>
  <rcc rId="2664" sId="2" numFmtId="4">
    <nc r="E286">
      <v>25</v>
    </nc>
  </rcc>
  <rcc rId="2665" sId="2" numFmtId="4">
    <nc r="F286">
      <v>10</v>
    </nc>
  </rcc>
  <rcc rId="2666" sId="2" numFmtId="4">
    <nc r="G286">
      <v>6</v>
    </nc>
  </rcc>
  <rcc rId="2667" sId="2" numFmtId="4">
    <nc r="H286">
      <v>4</v>
    </nc>
  </rcc>
  <rcc rId="2668" sId="2" numFmtId="4">
    <nc r="B287">
      <v>13</v>
    </nc>
  </rcc>
  <rcc rId="2669" sId="2" numFmtId="4">
    <nc r="C287">
      <v>35</v>
    </nc>
  </rcc>
  <rcc rId="2670" sId="2" numFmtId="4">
    <nc r="D287">
      <v>8</v>
    </nc>
  </rcc>
  <rcc rId="2671" sId="2" numFmtId="4">
    <nc r="E287">
      <v>19</v>
    </nc>
  </rcc>
  <rcc rId="2672" sId="2" numFmtId="4">
    <nc r="F287">
      <v>16</v>
    </nc>
  </rcc>
  <rcc rId="2673" sId="2" numFmtId="4">
    <nc r="G287">
      <v>0</v>
    </nc>
  </rcc>
  <rcc rId="2674" sId="2" numFmtId="4">
    <nc r="H287">
      <v>0</v>
    </nc>
  </rcc>
  <rcc rId="2675" sId="2" numFmtId="4">
    <nc r="B288">
      <v>13</v>
    </nc>
  </rcc>
  <rcc rId="2676" sId="2" numFmtId="4">
    <nc r="C288">
      <v>116</v>
    </nc>
  </rcc>
  <rcc rId="2677" sId="2" numFmtId="4">
    <nc r="D288">
      <v>8</v>
    </nc>
  </rcc>
  <rcc rId="2678" sId="2" numFmtId="4">
    <nc r="E288">
      <v>20</v>
    </nc>
  </rcc>
  <rcc rId="2679" sId="2" numFmtId="4">
    <nc r="F288">
      <v>5</v>
    </nc>
  </rcc>
  <rcc rId="2680" sId="2" numFmtId="4">
    <nc r="G288">
      <v>0</v>
    </nc>
  </rcc>
  <rcc rId="2681" sId="2" numFmtId="4">
    <nc r="H288">
      <v>0</v>
    </nc>
  </rcc>
  <rcc rId="2682" sId="2" numFmtId="4">
    <nc r="B289">
      <v>13</v>
    </nc>
  </rcc>
  <rcc rId="2683" sId="2" numFmtId="4">
    <nc r="C289">
      <v>116</v>
    </nc>
  </rcc>
  <rcc rId="2684" sId="2" numFmtId="4">
    <nc r="D289">
      <v>9</v>
    </nc>
  </rcc>
  <rcc rId="2685" sId="2" numFmtId="4">
    <nc r="E289">
      <v>25</v>
    </nc>
  </rcc>
  <rcc rId="2686" sId="2" numFmtId="4">
    <nc r="F289">
      <v>0</v>
    </nc>
  </rcc>
  <rcc rId="2687" sId="2" numFmtId="4">
    <nc r="G289">
      <v>0</v>
    </nc>
  </rcc>
  <rcc rId="2688" sId="2" numFmtId="4">
    <nc r="H289">
      <v>0</v>
    </nc>
  </rcc>
  <rcc rId="2689" sId="2" numFmtId="4">
    <nc r="B290">
      <v>13</v>
    </nc>
  </rcc>
  <rcc rId="2690" sId="2" numFmtId="4">
    <nc r="C290">
      <v>109</v>
    </nc>
  </rcc>
  <rcc rId="2691" sId="2" numFmtId="4">
    <nc r="D290">
      <v>9</v>
    </nc>
  </rcc>
  <rcc rId="2692" sId="2" numFmtId="4">
    <nc r="E290">
      <v>18</v>
    </nc>
  </rcc>
  <rcc rId="2693" sId="2" numFmtId="4">
    <nc r="F290">
      <v>3</v>
    </nc>
  </rcc>
  <rcc rId="2694" sId="2" numFmtId="4">
    <nc r="G290">
      <v>0</v>
    </nc>
  </rcc>
  <rcc rId="2695" sId="2" numFmtId="4">
    <nc r="H290">
      <v>0</v>
    </nc>
  </rcc>
  <rcc rId="2696" sId="2" numFmtId="4">
    <nc r="B291">
      <v>13</v>
    </nc>
  </rcc>
  <rcc rId="2697" sId="2" numFmtId="4">
    <nc r="C291">
      <v>109</v>
    </nc>
  </rcc>
  <rcc rId="2698" sId="2" numFmtId="4">
    <nc r="D291">
      <v>8</v>
    </nc>
  </rcc>
  <rcc rId="2699" sId="2" numFmtId="4">
    <nc r="E291">
      <v>15</v>
    </nc>
  </rcc>
  <rcc rId="2700" sId="2" numFmtId="4">
    <nc r="F291">
      <v>9</v>
    </nc>
  </rcc>
  <rcc rId="2701" sId="2" numFmtId="4">
    <nc r="G291">
      <v>0</v>
    </nc>
  </rcc>
  <rcc rId="2702" sId="2" numFmtId="4">
    <nc r="H291">
      <v>0</v>
    </nc>
  </rcc>
  <rcc rId="2703" sId="2" numFmtId="4">
    <nc r="B292">
      <v>1</v>
    </nc>
  </rcc>
  <rcc rId="2704" sId="2" numFmtId="4">
    <nc r="C292">
      <v>48</v>
    </nc>
  </rcc>
  <rcc rId="2705" sId="2" numFmtId="4">
    <nc r="D292">
      <v>8</v>
    </nc>
  </rcc>
  <rcc rId="2706" sId="2" numFmtId="4">
    <nc r="E292">
      <v>5</v>
    </nc>
  </rcc>
  <rcc rId="2707" sId="2" numFmtId="4">
    <nc r="F292">
      <v>15</v>
    </nc>
  </rcc>
  <rcc rId="2708" sId="2" numFmtId="4">
    <nc r="G292">
      <v>0</v>
    </nc>
  </rcc>
  <rcc rId="2709" sId="2" numFmtId="4">
    <nc r="H292">
      <v>0</v>
    </nc>
  </rcc>
  <rcc rId="2710" sId="2" numFmtId="4">
    <nc r="B293">
      <v>13</v>
    </nc>
  </rcc>
  <rcc rId="2711" sId="2" numFmtId="4">
    <nc r="C293">
      <v>49</v>
    </nc>
  </rcc>
  <rcc rId="2712" sId="2" numFmtId="4">
    <nc r="D293">
      <v>5</v>
    </nc>
  </rcc>
  <rcc rId="2713" sId="2" numFmtId="4">
    <nc r="E293">
      <v>11</v>
    </nc>
  </rcc>
  <rcc rId="2714" sId="2" numFmtId="4">
    <nc r="F293">
      <v>4</v>
    </nc>
  </rcc>
  <rcc rId="2715" sId="2" numFmtId="4">
    <nc r="G293">
      <v>0</v>
    </nc>
  </rcc>
  <rcc rId="2716" sId="2" numFmtId="4">
    <nc r="H293">
      <v>0</v>
    </nc>
  </rcc>
  <rcc rId="2717" sId="2" numFmtId="4">
    <nc r="B294">
      <v>13</v>
    </nc>
  </rcc>
  <rcc rId="2718" sId="2" numFmtId="4">
    <nc r="C294">
      <v>112</v>
    </nc>
  </rcc>
  <rcc rId="2719" sId="2" numFmtId="4">
    <nc r="D294">
      <v>8</v>
    </nc>
  </rcc>
  <rcc rId="2720" sId="2" numFmtId="4">
    <nc r="E294">
      <v>25</v>
    </nc>
  </rcc>
  <rcc rId="2721" sId="2" numFmtId="4">
    <nc r="F294">
      <v>5</v>
    </nc>
  </rcc>
  <rcc rId="2722" sId="2" numFmtId="4">
    <nc r="G294">
      <v>0</v>
    </nc>
  </rcc>
  <rcc rId="2723" sId="2" numFmtId="4">
    <nc r="H294">
      <v>0</v>
    </nc>
  </rcc>
  <rcc rId="2724" sId="2" numFmtId="4">
    <nc r="B295">
      <v>13</v>
    </nc>
  </rcc>
  <rcc rId="2725" sId="2" numFmtId="4">
    <nc r="C295">
      <v>25</v>
    </nc>
  </rcc>
  <rcc rId="2726" sId="2" numFmtId="4">
    <nc r="D295">
      <v>8</v>
    </nc>
  </rcc>
  <rcc rId="2727" sId="2" numFmtId="4">
    <nc r="E295">
      <v>14</v>
    </nc>
  </rcc>
  <rcc rId="2728" sId="2" numFmtId="4">
    <nc r="F295">
      <v>0</v>
    </nc>
  </rcc>
  <rcc rId="2729" sId="2" numFmtId="4">
    <nc r="G295">
      <v>5</v>
    </nc>
  </rcc>
  <rcc rId="2730" sId="2" numFmtId="4">
    <nc r="H295">
      <v>0</v>
    </nc>
  </rcc>
  <rcc rId="2731" sId="2" numFmtId="4">
    <nc r="B296">
      <v>13</v>
    </nc>
  </rcc>
  <rcc rId="2732" sId="2" numFmtId="4">
    <nc r="C296">
      <v>56</v>
    </nc>
  </rcc>
  <rcc rId="2733" sId="2" numFmtId="4">
    <nc r="D296">
      <v>7</v>
    </nc>
  </rcc>
  <rcc rId="2734" sId="2" numFmtId="4">
    <nc r="E296">
      <v>3</v>
    </nc>
  </rcc>
  <rcc rId="2735" sId="2" numFmtId="4">
    <nc r="F296">
      <v>1</v>
    </nc>
  </rcc>
  <rcc rId="2736" sId="2" numFmtId="4">
    <nc r="G296">
      <v>0</v>
    </nc>
  </rcc>
  <rcc rId="2737" sId="2" numFmtId="4">
    <nc r="H296">
      <v>1</v>
    </nc>
  </rcc>
  <rcc rId="2738" sId="2" numFmtId="4">
    <nc r="B297">
      <v>13</v>
    </nc>
  </rcc>
  <rcc rId="2739" sId="2" numFmtId="4">
    <nc r="C297">
      <v>56</v>
    </nc>
  </rcc>
  <rcc rId="2740" sId="2" numFmtId="4">
    <nc r="D297">
      <v>8</v>
    </nc>
  </rcc>
  <rcc rId="2741" sId="2" numFmtId="4">
    <nc r="E297">
      <v>5</v>
    </nc>
  </rcc>
  <rcc rId="2742" sId="2" numFmtId="4">
    <nc r="F297">
      <v>4</v>
    </nc>
  </rcc>
  <rcc rId="2743" sId="2" numFmtId="4">
    <nc r="G297">
      <v>0</v>
    </nc>
  </rcc>
  <rcc rId="2744" sId="2" numFmtId="4">
    <nc r="H297">
      <v>0</v>
    </nc>
  </rcc>
  <rcc rId="2745" sId="2" numFmtId="4">
    <nc r="B298">
      <v>13</v>
    </nc>
  </rcc>
  <rcc rId="2746" sId="2" numFmtId="4">
    <nc r="C298">
      <v>117</v>
    </nc>
  </rcc>
  <rcc rId="2747" sId="2" numFmtId="4">
    <nc r="D298">
      <v>9</v>
    </nc>
  </rcc>
  <rcc rId="2748" sId="2" numFmtId="4">
    <nc r="E298">
      <v>2</v>
    </nc>
  </rcc>
  <rcc rId="2749" sId="2" numFmtId="4">
    <nc r="F298">
      <v>23</v>
    </nc>
  </rcc>
  <rcc rId="2750" sId="2" numFmtId="4">
    <nc r="G298">
      <v>0</v>
    </nc>
  </rcc>
  <rcc rId="2751" sId="2" numFmtId="4">
    <nc r="H298">
      <v>0</v>
    </nc>
  </rcc>
  <rcc rId="2752" sId="2" numFmtId="4">
    <nc r="B299">
      <v>13</v>
    </nc>
  </rcc>
  <rcc rId="2753" sId="2" numFmtId="4">
    <nc r="C299">
      <v>62</v>
    </nc>
  </rcc>
  <rcc rId="2754" sId="2" numFmtId="4">
    <nc r="D299">
      <v>9</v>
    </nc>
  </rcc>
  <rcc rId="2755" sId="2" numFmtId="4">
    <nc r="E299">
      <v>2</v>
    </nc>
  </rcc>
  <rcc rId="2756" sId="2" numFmtId="4">
    <nc r="F299">
      <v>8</v>
    </nc>
  </rcc>
  <rcc rId="2757" sId="2" numFmtId="4">
    <nc r="G299">
      <v>0</v>
    </nc>
  </rcc>
  <rcc rId="2758" sId="2" numFmtId="4">
    <nc r="H299">
      <v>1</v>
    </nc>
  </rcc>
  <rcc rId="2759" sId="2" numFmtId="4">
    <nc r="B300">
      <v>13</v>
    </nc>
  </rcc>
  <rcc rId="2760" sId="2" numFmtId="4">
    <nc r="C300">
      <v>62</v>
    </nc>
  </rcc>
  <rcc rId="2761" sId="2" numFmtId="4">
    <nc r="D300">
      <v>8</v>
    </nc>
  </rcc>
  <rcc rId="2762" sId="2" numFmtId="4">
    <nc r="E300">
      <v>2</v>
    </nc>
  </rcc>
  <rcc rId="2763" sId="2" numFmtId="4">
    <nc r="F300">
      <v>14</v>
    </nc>
  </rcc>
  <rcc rId="2764" sId="2" numFmtId="4">
    <nc r="G300">
      <v>0</v>
    </nc>
  </rcc>
  <rcc rId="2765" sId="2" numFmtId="4">
    <nc r="H300">
      <v>0</v>
    </nc>
  </rcc>
  <rcc rId="2766" sId="2" numFmtId="4">
    <nc r="B301">
      <v>13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>
  <rcc rId="2767" sId="5" numFmtId="4">
    <nc r="B279">
      <v>13</v>
    </nc>
  </rcc>
  <rcc rId="2768" sId="5" numFmtId="4">
    <nc r="C279">
      <v>64</v>
    </nc>
  </rcc>
  <rcc rId="2769" sId="5" numFmtId="4">
    <nc r="D279">
      <v>8</v>
    </nc>
  </rcc>
  <rcc rId="2770" sId="5" numFmtId="4">
    <nc r="E279">
      <v>17</v>
    </nc>
  </rcc>
  <rcc rId="2771" sId="5" numFmtId="4">
    <nc r="F279">
      <v>3</v>
    </nc>
  </rcc>
  <rcc rId="2772" sId="5" numFmtId="4">
    <nc r="G279">
      <v>0</v>
    </nc>
  </rcc>
  <rcc rId="2773" sId="5" numFmtId="4">
    <nc r="B280">
      <v>13</v>
    </nc>
  </rcc>
  <rcc rId="2774" sId="5" numFmtId="4">
    <nc r="C280">
      <v>99</v>
    </nc>
  </rcc>
  <rcc rId="2775" sId="5" numFmtId="4">
    <nc r="D280">
      <v>8</v>
    </nc>
  </rcc>
  <rcc rId="2776" sId="5" numFmtId="4">
    <nc r="E280">
      <v>9</v>
    </nc>
  </rcc>
  <rcc rId="2777" sId="5" numFmtId="4">
    <nc r="F280">
      <v>5</v>
    </nc>
  </rcc>
  <rcc rId="2778" sId="5" numFmtId="4">
    <nc r="G280">
      <v>2</v>
    </nc>
  </rcc>
  <rcc rId="2779" sId="5" numFmtId="4">
    <nc r="B281">
      <v>13</v>
    </nc>
  </rcc>
  <rcc rId="2780" sId="5" numFmtId="4">
    <nc r="C281">
      <v>106</v>
    </nc>
  </rcc>
  <rcc rId="2781" sId="5" numFmtId="4">
    <nc r="D281">
      <v>3</v>
    </nc>
  </rcc>
  <rcc rId="2782" sId="5" numFmtId="4">
    <nc r="E281">
      <v>17</v>
    </nc>
  </rcc>
  <rcc rId="2783" sId="5" numFmtId="4">
    <nc r="F281">
      <v>1</v>
    </nc>
  </rcc>
  <rcc rId="2784" sId="5" numFmtId="4">
    <nc r="G281">
      <v>0</v>
    </nc>
  </rcc>
  <rcc rId="2785" sId="5" numFmtId="4">
    <nc r="B282">
      <v>13</v>
    </nc>
  </rcc>
  <rcc rId="2786" sId="5" numFmtId="4">
    <nc r="C282">
      <v>106</v>
    </nc>
  </rcc>
  <rcc rId="2787" sId="5" numFmtId="4">
    <nc r="D282">
      <v>4</v>
    </nc>
  </rcc>
  <rcc rId="2788" sId="5" numFmtId="4">
    <nc r="E282">
      <v>19</v>
    </nc>
  </rcc>
  <rcc rId="2789" sId="5" numFmtId="4">
    <nc r="F282">
      <v>1</v>
    </nc>
  </rcc>
  <rcc rId="2790" sId="5" numFmtId="4">
    <nc r="G282">
      <v>0</v>
    </nc>
  </rcc>
  <rcc rId="2791" sId="5" numFmtId="4">
    <nc r="B283">
      <v>13</v>
    </nc>
  </rcc>
  <rcc rId="2792" sId="5" numFmtId="4">
    <nc r="C283">
      <v>106</v>
    </nc>
  </rcc>
  <rcc rId="2793" sId="5" numFmtId="4">
    <nc r="D283">
      <v>5</v>
    </nc>
  </rcc>
  <rcc rId="2794" sId="5" numFmtId="4">
    <nc r="E283">
      <v>25</v>
    </nc>
  </rcc>
  <rcc rId="2795" sId="5" numFmtId="4">
    <nc r="F283">
      <v>0</v>
    </nc>
  </rcc>
  <rcc rId="2796" sId="5" numFmtId="4">
    <nc r="G283">
      <v>0</v>
    </nc>
  </rcc>
  <rcc rId="2797" sId="5" numFmtId="4">
    <nc r="B284">
      <v>13</v>
    </nc>
  </rcc>
  <rcc rId="2798" sId="5" numFmtId="4">
    <nc r="C284">
      <v>106</v>
    </nc>
  </rcc>
  <rcc rId="2799" sId="5" numFmtId="4">
    <nc r="D284">
      <v>6</v>
    </nc>
  </rcc>
  <rcc rId="2800" sId="5" numFmtId="4">
    <nc r="E284">
      <v>15</v>
    </nc>
  </rcc>
  <rcc rId="2801" sId="5" numFmtId="4">
    <nc r="F284">
      <v>3</v>
    </nc>
  </rcc>
  <rcc rId="2802" sId="5" numFmtId="4">
    <nc r="G284">
      <v>0</v>
    </nc>
  </rcc>
  <rcc rId="2803" sId="5" numFmtId="4">
    <nc r="B285">
      <v>13</v>
    </nc>
  </rcc>
  <rcc rId="2804" sId="5" numFmtId="4">
    <nc r="C285">
      <v>106</v>
    </nc>
  </rcc>
  <rcc rId="2805" sId="5" numFmtId="4">
    <nc r="D285">
      <v>7</v>
    </nc>
  </rcc>
  <rcc rId="2806" sId="5" numFmtId="4">
    <nc r="E285">
      <v>12</v>
    </nc>
  </rcc>
  <rcc rId="2807" sId="5" numFmtId="4">
    <nc r="F285">
      <v>0</v>
    </nc>
  </rcc>
  <rcc rId="2808" sId="5" numFmtId="4">
    <nc r="G285">
      <v>0</v>
    </nc>
  </rcc>
  <rcc rId="2809" sId="5" numFmtId="4">
    <nc r="B286">
      <v>13</v>
    </nc>
  </rcc>
  <rcc rId="2810" sId="5" numFmtId="4">
    <nc r="C286">
      <v>106</v>
    </nc>
  </rcc>
  <rcc rId="2811" sId="5" numFmtId="4">
    <nc r="D286">
      <v>8</v>
    </nc>
  </rcc>
  <rcc rId="2812" sId="5" numFmtId="4">
    <nc r="E286">
      <v>8</v>
    </nc>
  </rcc>
  <rcc rId="2813" sId="5" numFmtId="4">
    <nc r="F286">
      <v>3</v>
    </nc>
  </rcc>
  <rcc rId="2814" sId="5" numFmtId="4">
    <nc r="G286">
      <v>0</v>
    </nc>
  </rcc>
  <rcc rId="2815" sId="5" numFmtId="4">
    <nc r="B287">
      <v>13</v>
    </nc>
  </rcc>
  <rcc rId="2816" sId="5" numFmtId="4">
    <nc r="C287">
      <v>106</v>
    </nc>
  </rcc>
  <rcc rId="2817" sId="5" numFmtId="4">
    <nc r="D287">
      <v>9</v>
    </nc>
  </rcc>
  <rcc rId="2818" sId="5" numFmtId="4">
    <nc r="E287">
      <v>10</v>
    </nc>
  </rcc>
  <rcc rId="2819" sId="5" numFmtId="4">
    <nc r="F287">
      <v>0</v>
    </nc>
  </rcc>
  <rcc rId="2820" sId="5" numFmtId="4">
    <nc r="G287">
      <v>1</v>
    </nc>
  </rcc>
  <rcc rId="2821" sId="5" numFmtId="4">
    <nc r="B288">
      <v>13</v>
    </nc>
  </rcc>
  <rcc rId="2822" sId="5" numFmtId="4">
    <nc r="C288">
      <v>91</v>
    </nc>
  </rcc>
  <rcc rId="2823" sId="5" numFmtId="4">
    <nc r="D288">
      <v>7</v>
    </nc>
  </rcc>
  <rcc rId="2824" sId="5" numFmtId="4">
    <nc r="E288">
      <v>18</v>
    </nc>
  </rcc>
  <rcc rId="2825" sId="5" numFmtId="4">
    <nc r="F288">
      <v>6</v>
    </nc>
  </rcc>
  <rcc rId="2826" sId="5" numFmtId="4">
    <nc r="G288">
      <v>0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>
  <rcc rId="2827" sId="2" numFmtId="4">
    <nc r="C301">
      <v>62</v>
    </nc>
  </rcc>
  <rcc rId="2828" sId="2" numFmtId="4">
    <nc r="D301">
      <v>7</v>
    </nc>
  </rcc>
  <rcc rId="2829" sId="2" numFmtId="4">
    <nc r="E301">
      <v>4</v>
    </nc>
  </rcc>
  <rcc rId="2830" sId="2" numFmtId="4">
    <nc r="F301">
      <v>17</v>
    </nc>
  </rcc>
  <rcc rId="2831" sId="2" numFmtId="4">
    <nc r="G301">
      <v>0</v>
    </nc>
  </rcc>
  <rcc rId="2832" sId="2" numFmtId="4">
    <nc r="H301">
      <v>0</v>
    </nc>
  </rcc>
  <rcc rId="2833" sId="2" numFmtId="4">
    <nc r="B302">
      <v>13</v>
    </nc>
  </rcc>
  <rcc rId="2834" sId="2" numFmtId="4">
    <nc r="C302">
      <v>21</v>
    </nc>
  </rcc>
  <rcc rId="2835" sId="2" numFmtId="4">
    <nc r="D302">
      <v>8</v>
    </nc>
  </rcc>
  <rcc rId="2836" sId="2" numFmtId="4">
    <nc r="E302">
      <v>1</v>
    </nc>
  </rcc>
  <rcc rId="2837" sId="2" numFmtId="4">
    <nc r="F302">
      <v>23</v>
    </nc>
  </rcc>
  <rcc rId="2838" sId="2" numFmtId="4">
    <nc r="G302">
      <v>0</v>
    </nc>
  </rcc>
  <rcc rId="2839" sId="2" numFmtId="4">
    <nc r="H302">
      <v>0</v>
    </nc>
  </rcc>
  <rcc rId="2840" sId="2" numFmtId="4">
    <nc r="B303">
      <v>1</v>
    </nc>
  </rcc>
  <rcc rId="2841" sId="2" numFmtId="4">
    <nc r="C303">
      <v>61</v>
    </nc>
  </rcc>
  <rcc rId="2842" sId="2" numFmtId="4">
    <nc r="D303">
      <v>9</v>
    </nc>
  </rcc>
  <rcc rId="2843" sId="2" numFmtId="4">
    <nc r="E303">
      <v>2</v>
    </nc>
  </rcc>
  <rcc rId="2844" sId="2" numFmtId="4">
    <nc r="F303">
      <v>8</v>
    </nc>
  </rcc>
  <rcc rId="2845" sId="2" numFmtId="4">
    <nc r="G303">
      <v>0</v>
    </nc>
  </rcc>
  <rcc rId="2846" sId="2" numFmtId="4">
    <nc r="H303">
      <v>0</v>
    </nc>
  </rcc>
  <rcc rId="2847" sId="2" numFmtId="4">
    <nc r="B304">
      <v>1</v>
    </nc>
  </rcc>
  <rcc rId="2848" sId="2" numFmtId="4">
    <nc r="C304">
      <v>61</v>
    </nc>
  </rcc>
  <rcc rId="2849" sId="2" numFmtId="4">
    <nc r="D304">
      <v>9</v>
    </nc>
  </rcc>
  <rcc rId="2850" sId="2" numFmtId="4">
    <nc r="E304">
      <v>6</v>
    </nc>
  </rcc>
  <rcc rId="2851" sId="2" numFmtId="4">
    <nc r="F304">
      <v>4</v>
    </nc>
  </rcc>
  <rcc rId="2852" sId="2" numFmtId="4">
    <nc r="G304">
      <v>0</v>
    </nc>
  </rcc>
  <rcc rId="2853" sId="2" numFmtId="4">
    <nc r="H304">
      <v>1</v>
    </nc>
  </rcc>
  <rcc rId="2854" sId="2" numFmtId="4">
    <nc r="B305">
      <v>13</v>
    </nc>
  </rcc>
  <rcc rId="2855" sId="2" numFmtId="4">
    <nc r="C305">
      <v>105</v>
    </nc>
  </rcc>
  <rcc rId="2856" sId="2" numFmtId="4">
    <nc r="D305">
      <v>6</v>
    </nc>
  </rcc>
  <rcc rId="2857" sId="2" numFmtId="4">
    <nc r="E305">
      <v>5</v>
    </nc>
  </rcc>
  <rcc rId="2858" sId="2" numFmtId="4">
    <nc r="F305">
      <v>0</v>
    </nc>
  </rcc>
  <rcc rId="2859" sId="2" numFmtId="4">
    <nc r="G305">
      <v>0</v>
    </nc>
  </rcc>
  <rcc rId="2860" sId="2" numFmtId="4">
    <nc r="H305">
      <v>0</v>
    </nc>
  </rcc>
  <rcc rId="2861" sId="2" numFmtId="4">
    <nc r="B306">
      <v>13</v>
    </nc>
  </rcc>
  <rcc rId="2862" sId="2" numFmtId="4">
    <nc r="C306">
      <v>105</v>
    </nc>
  </rcc>
  <rcc rId="2863" sId="2" numFmtId="4">
    <nc r="D306">
      <v>5</v>
    </nc>
  </rcc>
  <rcc rId="2864" sId="2" numFmtId="4">
    <nc r="E306">
      <v>14</v>
    </nc>
  </rcc>
  <rcc rId="2865" sId="2" numFmtId="4">
    <nc r="F306">
      <v>5</v>
    </nc>
  </rcc>
  <rcc rId="2866" sId="2" numFmtId="4">
    <nc r="G306">
      <v>0</v>
    </nc>
  </rcc>
  <rcc rId="2867" sId="2" numFmtId="4">
    <nc r="H306">
      <v>0</v>
    </nc>
  </rcc>
  <rcc rId="2868" sId="2" numFmtId="4">
    <nc r="B307">
      <v>13</v>
    </nc>
  </rcc>
  <rcc rId="2869" sId="2" numFmtId="4">
    <nc r="C307">
      <v>105</v>
    </nc>
  </rcc>
  <rcc rId="2870" sId="2" numFmtId="4">
    <nc r="D307">
      <v>7</v>
    </nc>
  </rcc>
  <rcc rId="2871" sId="2" numFmtId="4">
    <nc r="E307">
      <v>10</v>
    </nc>
  </rcc>
  <rcc rId="2872" sId="2" numFmtId="4">
    <nc r="F307">
      <v>4</v>
    </nc>
  </rcc>
  <rcc rId="2873" sId="2" numFmtId="4">
    <nc r="G307">
      <v>0</v>
    </nc>
  </rcc>
  <rcc rId="2874" sId="2" numFmtId="4">
    <nc r="H307">
      <v>0</v>
    </nc>
  </rcc>
  <rcc rId="2875" sId="2" numFmtId="4">
    <nc r="B308">
      <v>13</v>
    </nc>
  </rcc>
  <rcc rId="2876" sId="2" numFmtId="4">
    <nc r="C308">
      <v>54</v>
    </nc>
  </rcc>
  <rcc rId="2877" sId="2" numFmtId="4">
    <nc r="D308">
      <v>8</v>
    </nc>
  </rcc>
  <rcc rId="2878" sId="2" numFmtId="4">
    <nc r="E308">
      <v>3</v>
    </nc>
  </rcc>
  <rcc rId="2879" sId="2" numFmtId="4">
    <nc r="F308">
      <v>0</v>
    </nc>
  </rcc>
  <rcc rId="2880" sId="2" numFmtId="4">
    <nc r="G308">
      <v>1</v>
    </nc>
  </rcc>
  <rcc rId="2881" sId="2" numFmtId="4">
    <nc r="H308">
      <v>0</v>
    </nc>
  </rcc>
  <rcc rId="2882" sId="2" numFmtId="4">
    <nc r="B309">
      <v>13</v>
    </nc>
  </rcc>
  <rcc rId="2883" sId="2" numFmtId="4">
    <nc r="C309">
      <v>54</v>
    </nc>
  </rcc>
  <rcc rId="2884" sId="2" numFmtId="4">
    <nc r="D309">
      <v>9</v>
    </nc>
  </rcc>
  <rcc rId="2885" sId="2" numFmtId="4">
    <nc r="E309">
      <v>4</v>
    </nc>
  </rcc>
  <rcc rId="2886" sId="2" numFmtId="4">
    <nc r="F309">
      <v>5</v>
    </nc>
  </rcc>
  <rcc rId="2887" sId="2" numFmtId="4">
    <nc r="G309">
      <v>2</v>
    </nc>
  </rcc>
  <rcc rId="2888" sId="2" numFmtId="4">
    <nc r="H309">
      <v>0</v>
    </nc>
  </rcc>
  <rcc rId="2889" sId="2" numFmtId="4">
    <nc r="B310">
      <v>13</v>
    </nc>
  </rcc>
  <rcc rId="2890" sId="2" numFmtId="4">
    <nc r="C310">
      <v>15</v>
    </nc>
  </rcc>
  <rcc rId="2891" sId="2" numFmtId="4">
    <nc r="D310">
      <v>8</v>
    </nc>
  </rcc>
  <rcc rId="2892" sId="2" numFmtId="4">
    <nc r="E310">
      <v>3</v>
    </nc>
  </rcc>
  <rcc rId="2893" sId="2" numFmtId="4">
    <nc r="F310">
      <v>1</v>
    </nc>
  </rcc>
  <rcc rId="2894" sId="2" numFmtId="4">
    <nc r="G310">
      <v>0</v>
    </nc>
  </rcc>
  <rcc rId="2895" sId="2" numFmtId="4">
    <nc r="H310">
      <v>0</v>
    </nc>
  </rcc>
  <rcc rId="2896" sId="2" numFmtId="4">
    <nc r="B311">
      <v>13</v>
    </nc>
  </rcc>
  <rcc rId="2897" sId="2" numFmtId="4">
    <nc r="C311">
      <v>106</v>
    </nc>
  </rcc>
  <rcc rId="2898" sId="2" numFmtId="4">
    <nc r="D311">
      <v>3</v>
    </nc>
  </rcc>
  <rcc rId="2899" sId="2" numFmtId="4">
    <nc r="E311">
      <v>17</v>
    </nc>
  </rcc>
  <rcc rId="2900" sId="2" numFmtId="4">
    <nc r="F311">
      <v>2</v>
    </nc>
  </rcc>
  <rcc rId="2901" sId="2" numFmtId="4">
    <nc r="G311">
      <v>0</v>
    </nc>
  </rcc>
  <rcc rId="2902" sId="2" numFmtId="4">
    <nc r="H311">
      <v>0</v>
    </nc>
  </rcc>
  <rcc rId="2903" sId="2" numFmtId="4">
    <nc r="B312">
      <v>13</v>
    </nc>
  </rcc>
  <rcc rId="2904" sId="2" numFmtId="4">
    <nc r="C312">
      <v>106</v>
    </nc>
  </rcc>
  <rcc rId="2905" sId="2" numFmtId="4">
    <nc r="D312">
      <v>9</v>
    </nc>
  </rcc>
  <rcc rId="2906" sId="2" numFmtId="4">
    <nc r="E312">
      <v>10</v>
    </nc>
  </rcc>
  <rcc rId="2907" sId="2" numFmtId="4">
    <nc r="F312">
      <v>1</v>
    </nc>
  </rcc>
  <rcc rId="2908" sId="2" numFmtId="4">
    <nc r="G312">
      <v>0</v>
    </nc>
  </rcc>
  <rcc rId="2909" sId="2" numFmtId="4">
    <nc r="H312">
      <v>0</v>
    </nc>
  </rcc>
  <rcc rId="2910" sId="2" numFmtId="4">
    <nc r="B313">
      <v>13</v>
    </nc>
  </rcc>
  <rcc rId="2911" sId="2" numFmtId="4">
    <nc r="C313">
      <v>106</v>
    </nc>
  </rcc>
  <rcc rId="2912" sId="2" numFmtId="4">
    <nc r="D313">
      <v>4</v>
    </nc>
  </rcc>
  <rcc rId="2913" sId="2" numFmtId="4">
    <nc r="E313">
      <v>19</v>
    </nc>
  </rcc>
  <rcc rId="2914" sId="2" numFmtId="4">
    <nc r="F313">
      <v>1</v>
    </nc>
  </rcc>
  <rcc rId="2915" sId="2" numFmtId="4">
    <nc r="G313">
      <v>0</v>
    </nc>
  </rcc>
  <rcc rId="2916" sId="2" numFmtId="4">
    <nc r="H313">
      <v>0</v>
    </nc>
  </rcc>
  <rcc rId="2917" sId="2" numFmtId="4">
    <nc r="B314">
      <v>13</v>
    </nc>
  </rcc>
  <rcc rId="2918" sId="2" numFmtId="4">
    <nc r="C314">
      <v>106</v>
    </nc>
  </rcc>
  <rcc rId="2919" sId="2" numFmtId="4">
    <nc r="D314">
      <v>5</v>
    </nc>
  </rcc>
  <rcc rId="2920" sId="2" numFmtId="4">
    <nc r="E314">
      <v>25</v>
    </nc>
  </rcc>
  <rcc rId="2921" sId="2" numFmtId="4">
    <nc r="F314">
      <v>0</v>
    </nc>
  </rcc>
  <rcc rId="2922" sId="2" numFmtId="4">
    <nc r="G314">
      <v>0</v>
    </nc>
  </rcc>
  <rcc rId="2923" sId="2" numFmtId="4">
    <nc r="H314">
      <v>0</v>
    </nc>
  </rcc>
  <rcc rId="2924" sId="2" numFmtId="4">
    <nc r="B315">
      <v>13</v>
    </nc>
  </rcc>
  <rcc rId="2925" sId="2" numFmtId="4">
    <nc r="C315">
      <v>106</v>
    </nc>
  </rcc>
  <rcc rId="2926" sId="2" numFmtId="4">
    <nc r="D315">
      <v>6</v>
    </nc>
  </rcc>
  <rcc rId="2927" sId="2" numFmtId="4">
    <nc r="E315">
      <v>15</v>
    </nc>
  </rcc>
  <rcc rId="2928" sId="2" numFmtId="4">
    <nc r="F315">
      <v>3</v>
    </nc>
  </rcc>
  <rcc rId="2929" sId="2" numFmtId="4">
    <nc r="G315">
      <v>0</v>
    </nc>
  </rcc>
  <rcc rId="2930" sId="2" numFmtId="4">
    <nc r="H315">
      <v>0</v>
    </nc>
  </rcc>
  <rcc rId="2931" sId="2" numFmtId="4">
    <nc r="B316">
      <v>13</v>
    </nc>
  </rcc>
  <rcc rId="2932" sId="2" numFmtId="4">
    <nc r="C316">
      <v>106</v>
    </nc>
  </rcc>
  <rcc rId="2933" sId="2" numFmtId="4">
    <nc r="D316">
      <v>7</v>
    </nc>
  </rcc>
  <rcc rId="2934" sId="2" numFmtId="4">
    <nc r="E316">
      <v>12</v>
    </nc>
  </rcc>
  <rcc rId="2935" sId="2" numFmtId="4">
    <nc r="F316">
      <v>0</v>
    </nc>
  </rcc>
  <rcc rId="2936" sId="2" numFmtId="4">
    <nc r="G316">
      <v>0</v>
    </nc>
  </rcc>
  <rcc rId="2937" sId="2" numFmtId="4">
    <nc r="H316">
      <v>0</v>
    </nc>
  </rcc>
  <rcc rId="2938" sId="2" numFmtId="4">
    <nc r="B317">
      <v>13</v>
    </nc>
  </rcc>
  <rcc rId="2939" sId="2" numFmtId="4">
    <nc r="C317">
      <v>106</v>
    </nc>
  </rcc>
  <rcc rId="2940" sId="2" numFmtId="4">
    <nc r="D317">
      <v>8</v>
    </nc>
  </rcc>
  <rcc rId="2941" sId="2" numFmtId="4">
    <nc r="E317">
      <v>8</v>
    </nc>
  </rcc>
  <rcc rId="2942" sId="2" numFmtId="4">
    <nc r="F317">
      <v>3</v>
    </nc>
  </rcc>
  <rcc rId="2943" sId="2" numFmtId="4">
    <nc r="G317">
      <v>0</v>
    </nc>
  </rcc>
  <rcc rId="2944" sId="2" numFmtId="4">
    <nc r="H317">
      <v>0</v>
    </nc>
  </rcc>
  <rcc rId="2945" sId="2" numFmtId="4">
    <nc r="B318">
      <v>1</v>
    </nc>
  </rcc>
  <rcc rId="2946" sId="2" numFmtId="4">
    <nc r="C318">
      <v>3</v>
    </nc>
  </rcc>
  <rcc rId="2947" sId="2" numFmtId="4">
    <nc r="D318">
      <v>9</v>
    </nc>
  </rcc>
  <rcc rId="2948" sId="2" numFmtId="4">
    <nc r="E318">
      <v>15</v>
    </nc>
  </rcc>
  <rcc rId="2949" sId="2" numFmtId="4">
    <nc r="F318">
      <v>5</v>
    </nc>
  </rcc>
  <rcc rId="2950" sId="2" numFmtId="4">
    <nc r="G318">
      <v>0</v>
    </nc>
  </rcc>
  <rcc rId="2951" sId="2" numFmtId="4">
    <nc r="H318">
      <v>3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>
  <rcc rId="2952" sId="5" numFmtId="4">
    <nc r="B289">
      <v>13</v>
    </nc>
  </rcc>
  <rcc rId="2953" sId="5" numFmtId="4">
    <nc r="C289">
      <v>103</v>
    </nc>
  </rcc>
  <rcc rId="2954" sId="5" numFmtId="4">
    <nc r="D289">
      <v>9</v>
    </nc>
  </rcc>
  <rcc rId="2955" sId="5" numFmtId="4">
    <nc r="E289">
      <v>2</v>
    </nc>
  </rcc>
  <rcc rId="2956" sId="5" numFmtId="4">
    <nc r="F289">
      <v>8</v>
    </nc>
  </rcc>
  <rcc rId="2957" sId="5" numFmtId="4">
    <nc r="G289">
      <v>2</v>
    </nc>
  </rcc>
  <rcc rId="2958" sId="5" numFmtId="4">
    <nc r="B290">
      <v>13</v>
    </nc>
  </rcc>
  <rcc rId="2959" sId="5" numFmtId="4">
    <nc r="C290">
      <v>66</v>
    </nc>
  </rcc>
  <rcc rId="2960" sId="5" numFmtId="4">
    <nc r="D290">
      <v>8</v>
    </nc>
  </rcc>
  <rcc rId="2961" sId="5" numFmtId="4">
    <nc r="E290">
      <v>15</v>
    </nc>
  </rcc>
  <rcc rId="2962" sId="5" numFmtId="4">
    <nc r="F290">
      <v>13</v>
    </nc>
  </rcc>
  <rcc rId="2963" sId="5" numFmtId="4">
    <nc r="G290">
      <v>2</v>
    </nc>
  </rcc>
  <rcc rId="2964" sId="5" numFmtId="4">
    <nc r="B291">
      <v>13</v>
    </nc>
  </rcc>
  <rcc rId="2965" sId="5" numFmtId="4">
    <nc r="C291">
      <v>86</v>
    </nc>
  </rcc>
  <rcc rId="2966" sId="5" numFmtId="4">
    <nc r="D291">
      <v>8</v>
    </nc>
  </rcc>
  <rcc rId="2967" sId="5" numFmtId="4">
    <nc r="E291">
      <v>19</v>
    </nc>
  </rcc>
  <rcc rId="2968" sId="5" numFmtId="4">
    <nc r="F291">
      <v>3</v>
    </nc>
  </rcc>
  <rcc rId="2969" sId="5" numFmtId="4">
    <nc r="G291">
      <v>3</v>
    </nc>
  </rcc>
  <rcc rId="2970" sId="5" numFmtId="4">
    <nc r="B292">
      <v>13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>
  <rcc rId="2971" sId="2" numFmtId="4">
    <nc r="B319">
      <v>1</v>
    </nc>
  </rcc>
  <rcc rId="2972" sId="2" numFmtId="4">
    <nc r="C319">
      <v>3</v>
    </nc>
  </rcc>
  <rcc rId="2973" sId="2" numFmtId="4">
    <nc r="D319">
      <v>10</v>
    </nc>
  </rcc>
  <rcc rId="2974" sId="2" numFmtId="4">
    <nc r="E319">
      <v>10</v>
    </nc>
  </rcc>
  <rcc rId="2975" sId="2" numFmtId="4">
    <nc r="F319">
      <v>6</v>
    </nc>
  </rcc>
  <rcc rId="2976" sId="2" numFmtId="4">
    <nc r="G319">
      <v>0</v>
    </nc>
  </rcc>
  <rcc rId="2977" sId="2" numFmtId="4">
    <nc r="H319">
      <v>0</v>
    </nc>
  </rcc>
  <rcc rId="2978" sId="2" numFmtId="4">
    <nc r="B320">
      <v>13</v>
    </nc>
  </rcc>
  <rcc rId="2979" sId="2" numFmtId="4">
    <nc r="C320">
      <v>41</v>
    </nc>
  </rcc>
  <rcc rId="2980" sId="2" numFmtId="4">
    <nc r="D320">
      <v>8</v>
    </nc>
  </rcc>
  <rcc rId="2981" sId="2" numFmtId="4">
    <nc r="E320">
      <v>2</v>
    </nc>
  </rcc>
  <rcc rId="2982" sId="2" numFmtId="4">
    <nc r="F320">
      <v>1</v>
    </nc>
  </rcc>
  <rcc rId="2983" sId="2" numFmtId="4">
    <nc r="G320">
      <v>0</v>
    </nc>
  </rcc>
  <rcc rId="2984" sId="2" numFmtId="4">
    <nc r="H320">
      <v>0</v>
    </nc>
  </rcc>
  <rcc rId="2985" sId="2" numFmtId="4">
    <nc r="B321">
      <v>13</v>
    </nc>
  </rcc>
  <rcc rId="2986" sId="2" numFmtId="4">
    <nc r="C321">
      <v>113</v>
    </nc>
  </rcc>
  <rcc rId="2987" sId="2" numFmtId="4">
    <nc r="D321">
      <v>9</v>
    </nc>
  </rcc>
  <rcc rId="2988" sId="2" numFmtId="4">
    <nc r="E321">
      <v>6</v>
    </nc>
  </rcc>
  <rcc rId="2989" sId="2" numFmtId="4">
    <nc r="F321">
      <v>2</v>
    </nc>
  </rcc>
  <rcc rId="2990" sId="2" numFmtId="4">
    <nc r="G321">
      <v>0</v>
    </nc>
  </rcc>
  <rcc rId="2991" sId="2" numFmtId="4">
    <nc r="H321">
      <v>0</v>
    </nc>
  </rcc>
  <rcc rId="2992" sId="2" numFmtId="4">
    <nc r="B322">
      <v>13</v>
    </nc>
  </rcc>
  <rcc rId="2993" sId="2" numFmtId="4">
    <nc r="C322">
      <v>113</v>
    </nc>
  </rcc>
  <rcc rId="2994" sId="2" numFmtId="4">
    <nc r="D322">
      <v>8</v>
    </nc>
  </rcc>
  <rcc rId="2995" sId="2" numFmtId="4">
    <nc r="E322">
      <v>7</v>
    </nc>
  </rcc>
  <rcc rId="2996" sId="2" numFmtId="4">
    <nc r="F322">
      <v>0</v>
    </nc>
  </rcc>
  <rcc rId="2997" sId="2" numFmtId="4">
    <nc r="G322">
      <v>0</v>
    </nc>
  </rcc>
  <rcc rId="2998" sId="2" numFmtId="4">
    <nc r="H322">
      <v>0</v>
    </nc>
  </rcc>
  <rcc rId="2999" sId="2" numFmtId="4">
    <nc r="B323">
      <v>13</v>
    </nc>
  </rcc>
  <rcc rId="3000" sId="2" numFmtId="4">
    <nc r="C323">
      <v>64</v>
    </nc>
  </rcc>
  <rcc rId="3001" sId="2" numFmtId="4">
    <nc r="D323">
      <v>8</v>
    </nc>
  </rcc>
  <rcc rId="3002" sId="2" numFmtId="4">
    <nc r="E323">
      <v>17</v>
    </nc>
  </rcc>
  <rcc rId="3003" sId="2" numFmtId="4">
    <nc r="F323">
      <v>3</v>
    </nc>
  </rcc>
  <rcc rId="3004" sId="2" numFmtId="4">
    <nc r="G323">
      <v>0</v>
    </nc>
  </rcc>
  <rcc rId="3005" sId="2" numFmtId="4">
    <nc r="H323">
      <v>1</v>
    </nc>
  </rcc>
  <rcc rId="3006" sId="11" numFmtId="4">
    <nc r="B64">
      <v>1</v>
    </nc>
  </rcc>
  <rcc rId="3007" sId="11" numFmtId="4">
    <nc r="C64">
      <v>15</v>
    </nc>
  </rcc>
  <rcc rId="3008" sId="11" numFmtId="4">
    <nc r="D64">
      <v>8</v>
    </nc>
  </rcc>
  <rcc rId="3009" sId="11" numFmtId="4">
    <nc r="E64">
      <v>3</v>
    </nc>
  </rcc>
  <rcc rId="3010" sId="11" numFmtId="4">
    <nc r="F64">
      <v>1</v>
    </nc>
  </rcc>
  <rcc rId="3011" sId="11" numFmtId="4">
    <nc r="G64">
      <v>0</v>
    </nc>
  </rcc>
  <rcc rId="3012" sId="11" numFmtId="4">
    <nc r="H64">
      <v>0</v>
    </nc>
  </rcc>
  <rcc rId="3013" sId="11" numFmtId="4">
    <nc r="B65">
      <v>1</v>
    </nc>
  </rcc>
  <rcc rId="3014" sId="11" numFmtId="4">
    <nc r="C65">
      <v>41</v>
    </nc>
  </rcc>
  <rcc rId="3015" sId="11" numFmtId="4">
    <nc r="D65">
      <v>8</v>
    </nc>
  </rcc>
  <rcc rId="3016" sId="11" numFmtId="4">
    <nc r="E65">
      <v>2</v>
    </nc>
  </rcc>
  <rcc rId="3017" sId="11" numFmtId="4">
    <nc r="F65">
      <v>1</v>
    </nc>
  </rcc>
  <rcc rId="3018" sId="11" numFmtId="4">
    <nc r="G65">
      <v>0</v>
    </nc>
  </rcc>
  <rcc rId="3019" sId="11" numFmtId="4">
    <nc r="H65">
      <v>0</v>
    </nc>
  </rcc>
  <rcc rId="3020" sId="11" numFmtId="4">
    <nc r="B66">
      <v>1</v>
    </nc>
  </rcc>
  <rcc rId="3021" sId="11" numFmtId="4">
    <nc r="C66">
      <v>54</v>
    </nc>
  </rcc>
  <rcc rId="3022" sId="11" numFmtId="4">
    <nc r="D66">
      <v>8</v>
    </nc>
  </rcc>
  <rcc rId="3023" sId="11" numFmtId="4">
    <nc r="E66">
      <v>3</v>
    </nc>
  </rcc>
  <rcc rId="3024" sId="11" numFmtId="4">
    <nc r="F66">
      <v>1</v>
    </nc>
  </rcc>
  <rcc rId="3025" sId="11" numFmtId="4">
    <nc r="G66">
      <v>0</v>
    </nc>
  </rcc>
  <rcc rId="3026" sId="11" numFmtId="4">
    <nc r="H66">
      <v>0</v>
    </nc>
  </rcc>
  <rcc rId="3027" sId="11" numFmtId="4">
    <nc r="B67">
      <v>1</v>
    </nc>
  </rcc>
  <rcc rId="3028" sId="11" numFmtId="4">
    <nc r="C67">
      <v>54</v>
    </nc>
  </rcc>
  <rcc rId="3029" sId="11" numFmtId="4">
    <nc r="D67">
      <v>9</v>
    </nc>
  </rcc>
  <rcc rId="3030" sId="11" numFmtId="4">
    <nc r="E67">
      <v>4</v>
    </nc>
  </rcc>
  <rcc rId="3031" sId="11" numFmtId="4">
    <nc r="F67">
      <v>1</v>
    </nc>
  </rcc>
  <rcc rId="3032" sId="11" numFmtId="4">
    <nc r="G67">
      <v>1</v>
    </nc>
  </rcc>
  <rcc rId="3033" sId="11" numFmtId="4">
    <nc r="H67">
      <v>0</v>
    </nc>
  </rcc>
  <rcc rId="3034" sId="11" numFmtId="4">
    <nc r="B68">
      <v>1</v>
    </nc>
  </rcc>
  <rcc rId="3035" sId="11" numFmtId="4">
    <nc r="C68">
      <v>35</v>
    </nc>
  </rcc>
  <rcc rId="3036" sId="11" numFmtId="4">
    <nc r="D68">
      <v>8</v>
    </nc>
  </rcc>
  <rcc rId="3037" sId="11" numFmtId="4">
    <nc r="E68">
      <v>8</v>
    </nc>
  </rcc>
  <rcc rId="3038" sId="11" numFmtId="4">
    <nc r="F68">
      <v>7</v>
    </nc>
  </rcc>
  <rcc rId="3039" sId="11" numFmtId="4">
    <nc r="G68">
      <v>5</v>
    </nc>
  </rcc>
  <rcc rId="3040" sId="11" numFmtId="4">
    <nc r="H68">
      <v>0</v>
    </nc>
  </rcc>
  <rcc rId="3041" sId="11" numFmtId="4">
    <nc r="B69">
      <v>1</v>
    </nc>
  </rcc>
  <rcc rId="3042" sId="11" numFmtId="4">
    <nc r="C69">
      <v>48</v>
    </nc>
  </rcc>
  <rcc rId="3043" sId="11" numFmtId="4">
    <nc r="D69">
      <v>8</v>
    </nc>
  </rcc>
  <rcc rId="3044" sId="11" numFmtId="4">
    <nc r="E69">
      <v>5</v>
    </nc>
  </rcc>
  <rcc rId="3045" sId="11" numFmtId="4">
    <nc r="F69">
      <v>15</v>
    </nc>
  </rcc>
  <rcc rId="3046" sId="11" numFmtId="4">
    <nc r="G69">
      <v>0</v>
    </nc>
  </rcc>
  <rcc rId="3047" sId="11" numFmtId="4">
    <nc r="H69">
      <v>0</v>
    </nc>
  </rcc>
  <rcc rId="3048" sId="11" numFmtId="4">
    <nc r="B70">
      <v>1</v>
    </nc>
  </rcc>
  <rcc rId="3049" sId="11" numFmtId="4">
    <nc r="C70">
      <v>49</v>
    </nc>
  </rcc>
  <rcc rId="3050" sId="11" numFmtId="4">
    <nc r="D70">
      <v>4</v>
    </nc>
  </rcc>
  <rcc rId="3051" sId="11" numFmtId="4">
    <nc r="E70">
      <v>11</v>
    </nc>
  </rcc>
  <rcc rId="3052" sId="11" numFmtId="4">
    <nc r="F70">
      <v>4</v>
    </nc>
  </rcc>
  <rcc rId="3053" sId="11" numFmtId="4">
    <nc r="G70">
      <v>0</v>
    </nc>
  </rcc>
  <rcc rId="3054" sId="11" numFmtId="4">
    <nc r="H70">
      <v>0</v>
    </nc>
  </rcc>
  <rcc rId="3055" sId="11" numFmtId="4">
    <nc r="B71">
      <v>1</v>
    </nc>
  </rcc>
  <rcc rId="3056" sId="11" numFmtId="4">
    <nc r="C71">
      <v>25</v>
    </nc>
  </rcc>
  <rcc rId="3057" sId="11" numFmtId="4">
    <nc r="D71">
      <v>8</v>
    </nc>
  </rcc>
  <rcc rId="3058" sId="11" numFmtId="4">
    <nc r="E71">
      <v>11</v>
    </nc>
  </rcc>
  <rcc rId="3059" sId="11" numFmtId="4">
    <nc r="F71">
      <v>0</v>
    </nc>
  </rcc>
  <rcc rId="3060" sId="11" numFmtId="4">
    <nc r="G71">
      <v>2</v>
    </nc>
  </rcc>
  <rcc rId="3061" sId="11" numFmtId="4">
    <nc r="H71">
      <v>0</v>
    </nc>
  </rcc>
  <rcc rId="3062" sId="11" numFmtId="4">
    <nc r="B72">
      <v>1</v>
    </nc>
  </rcc>
  <rcc rId="3063" sId="11" numFmtId="4">
    <nc r="C72">
      <v>56</v>
    </nc>
  </rcc>
  <rcc rId="3064" sId="11" numFmtId="4">
    <nc r="D72">
      <v>8</v>
    </nc>
  </rcc>
  <rcc rId="3065" sId="11" numFmtId="4">
    <nc r="E72">
      <v>4</v>
    </nc>
  </rcc>
  <rcc rId="3066" sId="11" numFmtId="4">
    <nc r="F72">
      <v>5</v>
    </nc>
  </rcc>
  <rcc rId="3067" sId="11" numFmtId="4">
    <nc r="G72">
      <v>0</v>
    </nc>
  </rcc>
  <rcc rId="3068" sId="11" numFmtId="4">
    <nc r="H72">
      <v>0</v>
    </nc>
  </rcc>
  <rcc rId="3069" sId="11" numFmtId="4">
    <nc r="B73">
      <v>1</v>
    </nc>
  </rcc>
  <rcc rId="3070" sId="11" numFmtId="4">
    <nc r="C73">
      <v>56</v>
    </nc>
  </rcc>
  <rcc rId="3071" sId="11" numFmtId="4">
    <nc r="D73">
      <v>7</v>
    </nc>
  </rcc>
  <rcc rId="3072" sId="11" numFmtId="4">
    <nc r="E73">
      <v>3</v>
    </nc>
  </rcc>
  <rcc rId="3073" sId="11" numFmtId="4">
    <nc r="F73">
      <v>0</v>
    </nc>
  </rcc>
  <rcc rId="3074" sId="11" numFmtId="4">
    <nc r="G73">
      <v>0</v>
    </nc>
  </rcc>
  <rcc rId="3075" sId="11" numFmtId="4">
    <nc r="H73">
      <v>3</v>
    </nc>
  </rcc>
  <rcc rId="3076" sId="11" numFmtId="4">
    <nc r="B74">
      <v>1</v>
    </nc>
  </rcc>
  <rcc rId="3077" sId="11" numFmtId="4">
    <nc r="C74">
      <v>46</v>
    </nc>
  </rcc>
  <rcc rId="3078" sId="11" numFmtId="4">
    <nc r="D74">
      <v>9</v>
    </nc>
  </rcc>
  <rcc rId="3079" sId="11" numFmtId="4">
    <nc r="E74">
      <v>2</v>
    </nc>
  </rcc>
  <rcc rId="3080" sId="11" numFmtId="4">
    <nc r="F74">
      <v>1</v>
    </nc>
  </rcc>
  <rcc rId="3081" sId="11" numFmtId="4">
    <nc r="G74">
      <v>0</v>
    </nc>
  </rcc>
  <rcc rId="3082" sId="11" numFmtId="4">
    <nc r="H74">
      <v>0</v>
    </nc>
  </rcc>
  <rcc rId="3083" sId="11" numFmtId="4">
    <nc r="B75">
      <v>1</v>
    </nc>
  </rcc>
  <rcc rId="3084" sId="11" numFmtId="4">
    <nc r="C75">
      <v>46</v>
    </nc>
  </rcc>
  <rcc rId="3085" sId="11" numFmtId="4">
    <nc r="D75">
      <v>8</v>
    </nc>
  </rcc>
  <rcc rId="3086" sId="11" numFmtId="4">
    <nc r="E75">
      <v>3</v>
    </nc>
  </rcc>
  <rcc rId="3087" sId="11" numFmtId="4">
    <nc r="F75">
      <v>1</v>
    </nc>
  </rcc>
  <rcc rId="3088" sId="11" numFmtId="4">
    <nc r="G75">
      <v>0</v>
    </nc>
  </rcc>
  <rcc rId="3089" sId="11" numFmtId="4">
    <nc r="H75">
      <v>0</v>
    </nc>
  </rcc>
  <rcc rId="3090" sId="11" numFmtId="4">
    <nc r="B76">
      <v>1</v>
    </nc>
  </rcc>
  <rcc rId="3091" sId="11" numFmtId="4">
    <nc r="C76">
      <v>46</v>
    </nc>
  </rcc>
  <rcc rId="3092" sId="11" numFmtId="4">
    <nc r="D76">
      <v>7</v>
    </nc>
  </rcc>
  <rcc rId="3093" sId="11" numFmtId="4">
    <nc r="E76">
      <v>0</v>
    </nc>
  </rcc>
  <rcc rId="3094" sId="11" numFmtId="4">
    <nc r="F76">
      <v>1</v>
    </nc>
  </rcc>
  <rcc rId="3095" sId="11" numFmtId="4">
    <nc r="G76">
      <v>0</v>
    </nc>
  </rcc>
  <rcc rId="3096" sId="11" numFmtId="4">
    <nc r="H76">
      <v>0</v>
    </nc>
  </rcc>
  <rcc rId="3097" sId="11" numFmtId="4">
    <nc r="B77">
      <v>1</v>
    </nc>
  </rcc>
  <rcc rId="3098" sId="11" numFmtId="4">
    <nc r="C77">
      <v>46</v>
    </nc>
  </rcc>
  <rcc rId="3099" sId="11" numFmtId="4">
    <nc r="D77">
      <v>6</v>
    </nc>
  </rcc>
  <rcc rId="3100" sId="11" numFmtId="4">
    <nc r="E77">
      <v>0</v>
    </nc>
  </rcc>
  <rcc rId="3101" sId="11" numFmtId="4">
    <nc r="F77">
      <v>3</v>
    </nc>
  </rcc>
  <rcc rId="3102" sId="11" numFmtId="4">
    <nc r="G77">
      <v>0</v>
    </nc>
  </rcc>
  <rcc rId="3103" sId="11" numFmtId="4">
    <nc r="H77">
      <v>0</v>
    </nc>
  </rcc>
  <rcc rId="3104" sId="11" numFmtId="4">
    <nc r="B78">
      <v>1</v>
    </nc>
  </rcc>
  <rcc rId="3105" sId="11" numFmtId="4">
    <nc r="C78">
      <v>21</v>
    </nc>
  </rcc>
  <rcc rId="3106" sId="11" numFmtId="4">
    <nc r="D78">
      <v>8</v>
    </nc>
  </rcc>
  <rcc rId="3107" sId="11" numFmtId="4">
    <nc r="E78">
      <v>1</v>
    </nc>
  </rcc>
  <rcc rId="3108" sId="11" numFmtId="4">
    <nc r="F78">
      <v>20</v>
    </nc>
  </rcc>
  <rcc rId="3109" sId="11" numFmtId="4">
    <nc r="G78">
      <v>0</v>
    </nc>
  </rcc>
  <rcc rId="3110" sId="11" numFmtId="4">
    <nc r="H78">
      <v>0</v>
    </nc>
  </rcc>
  <rcc rId="3111" sId="11" numFmtId="4">
    <nc r="B79">
      <v>1</v>
    </nc>
  </rcc>
  <rcc rId="3112" sId="11" numFmtId="4">
    <nc r="C79">
      <v>19</v>
    </nc>
  </rcc>
  <rcc rId="3113" sId="11" numFmtId="4">
    <nc r="D79">
      <v>6</v>
    </nc>
  </rcc>
  <rcc rId="3114" sId="11" numFmtId="4">
    <nc r="E79">
      <v>0</v>
    </nc>
  </rcc>
  <rcc rId="3115" sId="11" numFmtId="4">
    <nc r="F79">
      <v>8</v>
    </nc>
  </rcc>
  <rcc rId="3116" sId="11" numFmtId="4">
    <nc r="G79">
      <v>0</v>
    </nc>
  </rcc>
  <rcc rId="3117" sId="11" numFmtId="4">
    <nc r="H79">
      <v>0</v>
    </nc>
  </rcc>
  <rcc rId="3118" sId="11" numFmtId="4">
    <nc r="B80">
      <v>1</v>
    </nc>
  </rcc>
  <rcc rId="3119" sId="11" numFmtId="4">
    <nc r="C80">
      <v>19</v>
    </nc>
  </rcc>
  <rcc rId="3120" sId="11" numFmtId="4">
    <nc r="D80">
      <v>7</v>
    </nc>
  </rcc>
  <rcc rId="3121" sId="11" numFmtId="4">
    <nc r="E80">
      <v>0</v>
    </nc>
  </rcc>
  <rcc rId="3122" sId="11" numFmtId="4">
    <nc r="F80">
      <v>14</v>
    </nc>
  </rcc>
  <rcc rId="3123" sId="11" numFmtId="4">
    <nc r="G80">
      <v>0</v>
    </nc>
  </rcc>
  <rcc rId="3124" sId="11" numFmtId="4">
    <nc r="H80">
      <v>0</v>
    </nc>
  </rcc>
  <rcc rId="3125" sId="11" numFmtId="4">
    <nc r="B81">
      <v>1</v>
    </nc>
  </rcc>
  <rcc rId="3126" sId="11" numFmtId="4">
    <nc r="C81">
      <v>19</v>
    </nc>
  </rcc>
  <rcc rId="3127" sId="11" numFmtId="4">
    <nc r="D81">
      <v>8</v>
    </nc>
  </rcc>
  <rcc rId="3128" sId="11" numFmtId="4">
    <nc r="E81">
      <v>0</v>
    </nc>
  </rcc>
  <rcc rId="3129" sId="11" numFmtId="4">
    <nc r="F81">
      <v>18</v>
    </nc>
  </rcc>
  <rcc rId="3130" sId="11" numFmtId="4">
    <nc r="G81">
      <v>0</v>
    </nc>
  </rcc>
  <rcc rId="3131" sId="11" numFmtId="4">
    <nc r="H81">
      <v>0</v>
    </nc>
  </rcc>
  <rcc rId="3132" sId="11" numFmtId="4">
    <nc r="B82">
      <v>1</v>
    </nc>
  </rcc>
  <rcc rId="3133" sId="11" numFmtId="4">
    <nc r="C82">
      <v>15</v>
    </nc>
  </rcc>
  <rcc rId="3134" sId="11" numFmtId="4">
    <nc r="D82">
      <v>7</v>
    </nc>
  </rcc>
  <rcc rId="3135" sId="11" numFmtId="4">
    <nc r="E82">
      <v>0</v>
    </nc>
  </rcc>
  <rcc rId="3136" sId="11" numFmtId="4">
    <nc r="F82">
      <v>3</v>
    </nc>
  </rcc>
  <rcc rId="3137" sId="11" numFmtId="4">
    <nc r="G82">
      <v>0</v>
    </nc>
  </rcc>
  <rcc rId="3138" sId="11" numFmtId="4">
    <nc r="H82">
      <v>0</v>
    </nc>
  </rcc>
  <rcc rId="3139" sId="11" numFmtId="4">
    <nc r="B83">
      <v>1</v>
    </nc>
  </rcc>
  <rcc rId="3140" sId="11" numFmtId="4">
    <nc r="C83">
      <v>35</v>
    </nc>
  </rcc>
  <rcc rId="3141" sId="11" numFmtId="4">
    <nc r="D83">
      <v>7</v>
    </nc>
  </rcc>
  <rcc rId="3142" sId="11" numFmtId="4">
    <nc r="E83">
      <v>10</v>
    </nc>
  </rcc>
  <rcc rId="3143" sId="11" numFmtId="4">
    <nc r="F83">
      <v>5</v>
    </nc>
  </rcc>
  <rcc rId="3144" sId="11" numFmtId="4">
    <nc r="G83">
      <v>8</v>
    </nc>
  </rcc>
  <rcc rId="3145" sId="11" numFmtId="4">
    <nc r="H83">
      <v>0</v>
    </nc>
  </rcc>
  <rcc rId="3146" sId="11" numFmtId="4">
    <nc r="B84">
      <v>1</v>
    </nc>
  </rcc>
  <rcc rId="3147" sId="11" numFmtId="4">
    <nc r="C84">
      <v>11</v>
    </nc>
  </rcc>
  <rcc rId="3148" sId="11" numFmtId="4">
    <nc r="D84">
      <v>8</v>
    </nc>
  </rcc>
  <rcc rId="3149" sId="11" numFmtId="4">
    <nc r="E84">
      <v>6</v>
    </nc>
  </rcc>
  <rcc rId="3150" sId="11" numFmtId="4">
    <nc r="F84">
      <v>9</v>
    </nc>
  </rcc>
  <rcc rId="3151" sId="11" numFmtId="4">
    <nc r="G84">
      <v>1</v>
    </nc>
  </rcc>
  <rcc rId="3152" sId="11" numFmtId="4">
    <nc r="H84">
      <v>0</v>
    </nc>
  </rcc>
  <rcc rId="3153" sId="11" numFmtId="4">
    <nc r="B85">
      <v>1</v>
    </nc>
  </rcc>
  <rcc rId="3154" sId="11" numFmtId="4">
    <nc r="C85">
      <v>11</v>
    </nc>
  </rcc>
  <rcc rId="3155" sId="11" numFmtId="4">
    <nc r="D85">
      <v>7</v>
    </nc>
  </rcc>
  <rcc rId="3156" sId="11" numFmtId="4">
    <nc r="E85">
      <v>3</v>
    </nc>
  </rcc>
  <rcc rId="3157" sId="11" numFmtId="4">
    <nc r="F85">
      <v>7</v>
    </nc>
  </rcc>
  <rcc rId="3158" sId="11" numFmtId="4">
    <nc r="G85">
      <v>0</v>
    </nc>
  </rcc>
  <rcc rId="3159" sId="11" numFmtId="4">
    <nc r="H85">
      <v>2</v>
    </nc>
  </rcc>
  <rcc rId="3160" sId="11" numFmtId="4">
    <nc r="B86">
      <v>1</v>
    </nc>
  </rcc>
  <rcc rId="3161" sId="11" numFmtId="4">
    <nc r="C86">
      <v>11</v>
    </nc>
  </rcc>
  <rcc rId="3162" sId="11" numFmtId="4">
    <nc r="D86">
      <v>6</v>
    </nc>
  </rcc>
  <rcc rId="3163" sId="11" numFmtId="4">
    <nc r="E86">
      <v>5</v>
    </nc>
  </rcc>
  <rcc rId="3164" sId="11" numFmtId="4">
    <nc r="F86">
      <v>9</v>
    </nc>
  </rcc>
  <rcc rId="3165" sId="11" numFmtId="4">
    <nc r="G86">
      <v>0</v>
    </nc>
  </rcc>
  <rcc rId="3166" sId="11" numFmtId="4">
    <nc r="H86">
      <v>0</v>
    </nc>
  </rcc>
  <rcc rId="3167" sId="11" numFmtId="4">
    <nc r="B87">
      <v>1</v>
    </nc>
  </rcc>
  <rcc rId="3168" sId="11" numFmtId="4">
    <nc r="C87">
      <v>24</v>
    </nc>
  </rcc>
  <rcc rId="3169" sId="11" numFmtId="4">
    <nc r="D87">
      <v>7</v>
    </nc>
  </rcc>
  <rcc rId="3170" sId="11" numFmtId="4">
    <nc r="E87">
      <v>3</v>
    </nc>
  </rcc>
  <rcc rId="3171" sId="11" numFmtId="4">
    <nc r="F87">
      <v>20</v>
    </nc>
  </rcc>
  <rcc rId="3172" sId="11" numFmtId="4">
    <nc r="G87">
      <v>1</v>
    </nc>
  </rcc>
  <rcc rId="3173" sId="11" numFmtId="4">
    <nc r="H87">
      <v>1</v>
    </nc>
  </rcc>
  <rcc rId="3174" sId="11" numFmtId="4">
    <nc r="B88">
      <v>1</v>
    </nc>
  </rcc>
  <rcc rId="3175" sId="11" numFmtId="4">
    <nc r="C88">
      <v>37</v>
    </nc>
  </rcc>
  <rcc rId="3176" sId="11" numFmtId="4">
    <nc r="D88">
      <v>4</v>
    </nc>
  </rcc>
  <rcc rId="3177" sId="11" numFmtId="4">
    <nc r="E88">
      <v>5</v>
    </nc>
  </rcc>
  <rcc rId="3178" sId="11" numFmtId="4">
    <nc r="F88">
      <v>10</v>
    </nc>
  </rcc>
  <rcc rId="3179" sId="11" numFmtId="4">
    <nc r="G88">
      <v>1</v>
    </nc>
  </rcc>
  <rcc rId="3180" sId="11" numFmtId="4">
    <nc r="H88">
      <v>0</v>
    </nc>
  </rcc>
  <rcc rId="3181" sId="11" numFmtId="4">
    <nc r="B89">
      <v>1</v>
    </nc>
  </rcc>
  <rcc rId="3182" sId="11" numFmtId="4">
    <nc r="C89">
      <v>37</v>
    </nc>
  </rcc>
  <rcc rId="3183" sId="11" numFmtId="4">
    <nc r="D89">
      <v>3</v>
    </nc>
  </rcc>
  <rcc rId="3184" sId="11" numFmtId="4">
    <nc r="E89">
      <v>5</v>
    </nc>
  </rcc>
  <rcc rId="3185" sId="11" numFmtId="4">
    <nc r="F89">
      <v>18</v>
    </nc>
  </rcc>
  <rcc rId="3186" sId="11" numFmtId="4">
    <nc r="G89">
      <v>1</v>
    </nc>
  </rcc>
  <rcc rId="3187" sId="11" numFmtId="4">
    <nc r="H89">
      <v>0</v>
    </nc>
  </rcc>
  <rcc rId="3188" sId="11" numFmtId="4">
    <nc r="B90">
      <v>1</v>
    </nc>
  </rcc>
  <rcc rId="3189" sId="11" numFmtId="4">
    <nc r="C90">
      <v>34</v>
    </nc>
  </rcc>
  <rcc rId="3190" sId="11" numFmtId="4">
    <nc r="D90">
      <v>7</v>
    </nc>
  </rcc>
  <rcc rId="3191" sId="11" numFmtId="4">
    <nc r="E90">
      <v>10</v>
    </nc>
  </rcc>
  <rcc rId="3192" sId="11" numFmtId="4">
    <nc r="F90">
      <v>9</v>
    </nc>
  </rcc>
  <rcc rId="3193" sId="11" numFmtId="4">
    <nc r="G90">
      <v>0</v>
    </nc>
  </rcc>
  <rcc rId="3194" sId="11" numFmtId="4">
    <nc r="H90">
      <v>0</v>
    </nc>
  </rcc>
  <rcc rId="3195" sId="11" numFmtId="4">
    <nc r="B91">
      <v>1</v>
    </nc>
  </rcc>
  <rcc rId="3196" sId="11" numFmtId="4">
    <nc r="C91">
      <v>34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>
  <rcc rId="3197" sId="5" numFmtId="4">
    <nc r="C292">
      <v>115</v>
    </nc>
  </rcc>
  <rcc rId="3198" sId="5" numFmtId="4">
    <nc r="D292">
      <v>10</v>
    </nc>
  </rcc>
  <rcc rId="3199" sId="5" numFmtId="4">
    <nc r="E292">
      <v>0</v>
    </nc>
  </rcc>
  <rcc rId="3200" sId="5" numFmtId="4">
    <nc r="F292">
      <v>15</v>
    </nc>
  </rcc>
  <rcc rId="3201" sId="5" numFmtId="4">
    <nc r="G292">
      <v>0</v>
    </nc>
  </rcc>
  <rcc rId="3202" sId="8" numFmtId="4">
    <nc r="B56">
      <v>23</v>
    </nc>
  </rcc>
  <rcc rId="3203" sId="8" numFmtId="4">
    <nc r="C56">
      <v>135</v>
    </nc>
  </rcc>
  <rcc rId="3204" sId="8" numFmtId="4">
    <nc r="D56">
      <v>9</v>
    </nc>
  </rcc>
  <rcc rId="3205" sId="8" numFmtId="4">
    <nc r="E56">
      <v>1</v>
    </nc>
  </rcc>
  <rcc rId="3206" sId="8" numFmtId="4">
    <nc r="F56">
      <v>0</v>
    </nc>
  </rcc>
  <rcc rId="3207" sId="8" numFmtId="4">
    <nc r="G56">
      <v>0</v>
    </nc>
  </rcc>
  <rcc rId="3208" sId="8" numFmtId="4">
    <nc r="B57">
      <v>23</v>
    </nc>
  </rcc>
  <rcc rId="3209" sId="8" numFmtId="4">
    <nc r="C57">
      <v>135</v>
    </nc>
  </rcc>
  <rcc rId="3210" sId="8" numFmtId="4">
    <nc r="D57">
      <v>10</v>
    </nc>
  </rcc>
  <rcc rId="3211" sId="8" numFmtId="4">
    <nc r="E57">
      <v>2</v>
    </nc>
  </rcc>
  <rcc rId="3212" sId="8" numFmtId="4">
    <nc r="F57">
      <v>0</v>
    </nc>
  </rcc>
  <rcc rId="3213" sId="8" numFmtId="4">
    <nc r="G57">
      <v>0</v>
    </nc>
  </rcc>
  <rcc rId="3214" sId="5" numFmtId="4">
    <nc r="B293">
      <v>13</v>
    </nc>
  </rcc>
  <rcc rId="3215" sId="5" numFmtId="4">
    <nc r="C293">
      <v>101</v>
    </nc>
  </rcc>
  <rcc rId="3216" sId="5" numFmtId="4">
    <nc r="D293">
      <v>8</v>
    </nc>
  </rcc>
  <rcc rId="3217" sId="5" numFmtId="4">
    <nc r="E293">
      <v>1</v>
    </nc>
  </rcc>
  <rcc rId="3218" sId="5" numFmtId="4">
    <nc r="F293">
      <v>5</v>
    </nc>
  </rcc>
  <rcc rId="3219" sId="5" numFmtId="4">
    <nc r="G293">
      <v>0</v>
    </nc>
  </rcc>
  <rcc rId="3220" sId="5" numFmtId="4">
    <nc r="B294">
      <v>13</v>
    </nc>
  </rcc>
  <rcc rId="3221" sId="5" numFmtId="4">
    <nc r="C294">
      <v>101</v>
    </nc>
  </rcc>
  <rcc rId="3222" sId="5" numFmtId="4">
    <nc r="D294">
      <v>7</v>
    </nc>
  </rcc>
  <rcc rId="3223" sId="5" numFmtId="4">
    <nc r="E294">
      <v>6</v>
    </nc>
  </rcc>
  <rcc rId="3224" sId="5" numFmtId="4">
    <nc r="F294">
      <v>9</v>
    </nc>
  </rcc>
  <rcc rId="3225" sId="5" numFmtId="4">
    <nc r="G294">
      <v>0</v>
    </nc>
  </rcc>
  <rcc rId="3226" sId="5" numFmtId="4">
    <nc r="B295">
      <v>13</v>
    </nc>
  </rcc>
  <rcc rId="3227" sId="5" numFmtId="4">
    <nc r="C295">
      <v>77</v>
    </nc>
  </rcc>
  <rcc rId="3228" sId="5" numFmtId="4">
    <nc r="D295">
      <v>9</v>
    </nc>
  </rcc>
  <rcc rId="3229" sId="5" numFmtId="4">
    <nc r="E295">
      <v>6</v>
    </nc>
  </rcc>
  <rcc rId="3230" sId="5" numFmtId="4">
    <nc r="F295">
      <v>9</v>
    </nc>
  </rcc>
  <rcc rId="3231" sId="5" numFmtId="4">
    <nc r="G295">
      <v>2</v>
    </nc>
  </rcc>
  <rcc rId="3232" sId="5" numFmtId="4">
    <nc r="B296">
      <v>13</v>
    </nc>
  </rcc>
  <rcc rId="3233" sId="5" numFmtId="4">
    <nc r="C296">
      <v>75</v>
    </nc>
  </rcc>
  <rcc rId="3234" sId="5" numFmtId="4">
    <nc r="D296">
      <v>5</v>
    </nc>
  </rcc>
  <rcc rId="3235" sId="5" numFmtId="4">
    <nc r="E296">
      <v>0</v>
    </nc>
  </rcc>
  <rcc rId="3236" sId="5" numFmtId="4">
    <nc r="F296">
      <v>25</v>
    </nc>
  </rcc>
  <rcc rId="3237" sId="5" numFmtId="4">
    <nc r="G296">
      <v>0</v>
    </nc>
  </rcc>
  <rcc rId="3238" sId="5" numFmtId="4">
    <nc r="B297">
      <v>13</v>
    </nc>
  </rcc>
  <rcc rId="3239" sId="5" numFmtId="4">
    <nc r="C297">
      <v>115</v>
    </nc>
  </rcc>
  <rcc rId="3240" sId="5" numFmtId="4">
    <nc r="D297">
      <v>9</v>
    </nc>
  </rcc>
  <rcc rId="3241" sId="5" numFmtId="4">
    <nc r="E297">
      <v>0</v>
    </nc>
  </rcc>
  <rcc rId="3242" sId="5" numFmtId="4">
    <nc r="F297">
      <v>25</v>
    </nc>
  </rcc>
  <rcc rId="3243" sId="5" numFmtId="4">
    <nc r="G297">
      <v>0</v>
    </nc>
  </rcc>
  <rcc rId="3244" sId="5" numFmtId="4">
    <nc r="B298">
      <v>13</v>
    </nc>
  </rcc>
  <rcc rId="3245" sId="5" numFmtId="4">
    <nc r="C298">
      <v>120</v>
    </nc>
  </rcc>
  <rcc rId="3246" sId="5" numFmtId="4">
    <nc r="D298">
      <v>10</v>
    </nc>
  </rcc>
  <rcc rId="3247" sId="5" numFmtId="4">
    <nc r="E298">
      <v>16</v>
    </nc>
  </rcc>
  <rcc rId="3248" sId="5" numFmtId="4">
    <nc r="F298">
      <v>9</v>
    </nc>
  </rcc>
  <rcc rId="3249" sId="5" numFmtId="4">
    <nc r="G298">
      <v>0</v>
    </nc>
  </rcc>
  <rcc rId="3250" sId="5" numFmtId="4">
    <nc r="B299">
      <v>13</v>
    </nc>
  </rcc>
  <rcc rId="3251" sId="5" numFmtId="4">
    <nc r="C299">
      <v>120</v>
    </nc>
  </rcc>
  <rcc rId="3252" sId="5" numFmtId="4">
    <nc r="D299">
      <v>9</v>
    </nc>
  </rcc>
  <rcc rId="3253" sId="5" numFmtId="4">
    <nc r="E299">
      <v>10</v>
    </nc>
  </rcc>
  <rcc rId="3254" sId="5" numFmtId="4">
    <nc r="F299">
      <v>15</v>
    </nc>
  </rcc>
  <rcc rId="3255" sId="5" numFmtId="4">
    <nc r="G299">
      <v>0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>
  <rcc rId="3256" sId="11" numFmtId="4">
    <nc r="D91">
      <v>8</v>
    </nc>
  </rcc>
  <rcc rId="3257" sId="11" numFmtId="4">
    <nc r="E91">
      <v>24</v>
    </nc>
  </rcc>
  <rcc rId="3258" sId="11" numFmtId="4">
    <nc r="F91">
      <v>10</v>
    </nc>
  </rcc>
  <rcc rId="3259" sId="11" numFmtId="4">
    <nc r="G91">
      <v>7</v>
    </nc>
  </rcc>
  <rcc rId="3260" sId="11" numFmtId="4">
    <nc r="H91">
      <v>0</v>
    </nc>
  </rcc>
  <rcc rId="3261" sId="11" numFmtId="4">
    <nc r="B92">
      <v>1</v>
    </nc>
  </rcc>
  <rcc rId="3262" sId="11" numFmtId="4">
    <nc r="C92">
      <v>4</v>
    </nc>
  </rcc>
  <rcc rId="3263" sId="11" numFmtId="4">
    <nc r="D92">
      <v>4</v>
    </nc>
  </rcc>
  <rcc rId="3264" sId="11" numFmtId="4">
    <nc r="E92">
      <v>15</v>
    </nc>
  </rcc>
  <rcc rId="3265" sId="11" numFmtId="4">
    <nc r="F92">
      <v>12</v>
    </nc>
  </rcc>
  <rcc rId="3266" sId="11" numFmtId="4">
    <nc r="G92">
      <v>2</v>
    </nc>
  </rcc>
  <rcc rId="3267" sId="11" numFmtId="4">
    <nc r="H92">
      <v>1</v>
    </nc>
  </rcc>
  <rcc rId="3268" sId="11" numFmtId="4">
    <nc r="B93">
      <v>1</v>
    </nc>
  </rcc>
  <rcc rId="3269" sId="11" numFmtId="4">
    <nc r="C93">
      <v>4</v>
    </nc>
  </rcc>
  <rcc rId="3270" sId="11" numFmtId="4">
    <nc r="D93">
      <v>5</v>
    </nc>
  </rcc>
  <rcc rId="3271" sId="11" numFmtId="4">
    <nc r="E93">
      <v>6</v>
    </nc>
  </rcc>
  <rcc rId="3272" sId="11" numFmtId="4">
    <nc r="F93">
      <v>12</v>
    </nc>
  </rcc>
  <rcc rId="3273" sId="11" numFmtId="4">
    <nc r="G93">
      <v>0</v>
    </nc>
  </rcc>
  <rcc rId="3274" sId="11" numFmtId="4">
    <nc r="H93">
      <v>0</v>
    </nc>
  </rcc>
  <rcc rId="3275" sId="11" numFmtId="4">
    <nc r="B94">
      <v>1</v>
    </nc>
  </rcc>
  <rcc rId="3276" sId="11" numFmtId="4">
    <nc r="C94">
      <v>4</v>
    </nc>
  </rcc>
  <rcc rId="3277" sId="11" numFmtId="4">
    <nc r="D94">
      <v>6</v>
    </nc>
  </rcc>
  <rcc rId="3278" sId="11" numFmtId="4">
    <nc r="E94">
      <v>5</v>
    </nc>
  </rcc>
  <rcc rId="3279" sId="11" numFmtId="4">
    <nc r="F94">
      <v>6</v>
    </nc>
  </rcc>
  <rcc rId="3280" sId="11" numFmtId="4">
    <nc r="G94">
      <v>1</v>
    </nc>
  </rcc>
  <rcc rId="3281" sId="11" numFmtId="4">
    <nc r="H94">
      <v>0</v>
    </nc>
  </rcc>
  <rcc rId="3282" sId="11" numFmtId="4">
    <nc r="B95">
      <v>1</v>
    </nc>
  </rcc>
  <rcc rId="3283" sId="11" numFmtId="4">
    <nc r="C95">
      <v>4</v>
    </nc>
  </rcc>
  <rcc rId="3284" sId="11" numFmtId="4">
    <nc r="D95">
      <v>7</v>
    </nc>
  </rcc>
  <rcc rId="3285" sId="11" numFmtId="4">
    <nc r="E95">
      <v>8</v>
    </nc>
  </rcc>
  <rcc rId="3286" sId="11" numFmtId="4">
    <nc r="F95">
      <v>7</v>
    </nc>
  </rcc>
  <rcc rId="3287" sId="11" numFmtId="4">
    <nc r="G95">
      <v>0</v>
    </nc>
  </rcc>
  <rcc rId="3288" sId="11" numFmtId="4">
    <nc r="H95">
      <v>0</v>
    </nc>
  </rcc>
  <rcc rId="3289" sId="11" numFmtId="4">
    <nc r="B96">
      <v>1</v>
    </nc>
  </rcc>
  <rcc rId="3290" sId="11" numFmtId="4">
    <nc r="C96">
      <v>4</v>
    </nc>
  </rcc>
  <rcc rId="3291" sId="11" numFmtId="4">
    <nc r="D96">
      <v>8</v>
    </nc>
  </rcc>
  <rcc rId="3292" sId="11" numFmtId="4">
    <nc r="E96">
      <v>6</v>
    </nc>
  </rcc>
  <rcc rId="3293" sId="11" numFmtId="4">
    <nc r="F96">
      <v>8</v>
    </nc>
  </rcc>
  <rcc rId="3294" sId="11" numFmtId="4">
    <nc r="G96">
      <v>1</v>
    </nc>
  </rcc>
  <rcc rId="3295" sId="11" numFmtId="4">
    <nc r="H96">
      <v>1</v>
    </nc>
  </rcc>
  <rcc rId="3296" sId="11" numFmtId="4">
    <nc r="B97">
      <v>1</v>
    </nc>
  </rcc>
  <rcc rId="3297" sId="11" numFmtId="4">
    <nc r="C97">
      <v>25</v>
    </nc>
  </rcc>
  <rcc rId="3298" sId="11" numFmtId="4">
    <nc r="D97">
      <v>7</v>
    </nc>
  </rcc>
  <rcc rId="3299" sId="11" numFmtId="4">
    <nc r="E97">
      <v>10</v>
    </nc>
  </rcc>
  <rcc rId="3300" sId="11" numFmtId="4">
    <nc r="F97">
      <v>3</v>
    </nc>
  </rcc>
  <rcc rId="3301" sId="11" numFmtId="4">
    <nc r="G97">
      <v>5</v>
    </nc>
  </rcc>
  <rcc rId="3302" sId="11" numFmtId="4">
    <nc r="H97">
      <v>0</v>
    </nc>
  </rcc>
  <rcc rId="3303" sId="11" numFmtId="4">
    <nc r="B98">
      <v>1</v>
    </nc>
  </rcc>
  <rcc rId="3304" sId="11" numFmtId="4">
    <nc r="C98">
      <v>9</v>
    </nc>
  </rcc>
  <rcc rId="3305" sId="11" numFmtId="4">
    <nc r="D98">
      <v>6</v>
    </nc>
  </rcc>
  <rcc rId="3306" sId="11" numFmtId="4">
    <nc r="E98">
      <v>3</v>
    </nc>
  </rcc>
  <rcc rId="3307" sId="11" numFmtId="4">
    <nc r="F98">
      <v>22</v>
    </nc>
  </rcc>
  <rcc rId="3308" sId="11" numFmtId="4">
    <nc r="G98">
      <v>0</v>
    </nc>
  </rcc>
  <rcc rId="3309" sId="11" numFmtId="4">
    <nc r="H98">
      <v>0</v>
    </nc>
  </rcc>
  <rcc rId="3310" sId="11" numFmtId="4">
    <nc r="B99">
      <v>1</v>
    </nc>
  </rcc>
  <rcc rId="3311" sId="11" numFmtId="4">
    <nc r="C99">
      <v>49</v>
    </nc>
  </rcc>
  <rcc rId="3312" sId="11" numFmtId="4">
    <nc r="D99">
      <v>7</v>
    </nc>
  </rcc>
  <rcc rId="3313" sId="11" numFmtId="4">
    <nc r="E99">
      <v>9</v>
    </nc>
  </rcc>
  <rcc rId="3314" sId="11" numFmtId="4">
    <nc r="F99">
      <v>1</v>
    </nc>
  </rcc>
  <rcc rId="3315" sId="11" numFmtId="4">
    <nc r="G99">
      <v>0</v>
    </nc>
  </rcc>
  <rcc rId="3316" sId="11" numFmtId="4">
    <nc r="H99">
      <v>0</v>
    </nc>
  </rcc>
  <rcc rId="3317" sId="11" numFmtId="4">
    <nc r="B100">
      <v>1</v>
    </nc>
  </rcc>
  <rcc rId="3318" sId="11" numFmtId="4">
    <nc r="C100">
      <v>54</v>
    </nc>
  </rcc>
  <rcc rId="3319" sId="11" numFmtId="4">
    <nc r="D100">
      <v>8</v>
    </nc>
  </rcc>
  <rcc rId="3320" sId="11" numFmtId="4">
    <nc r="E100">
      <v>7</v>
    </nc>
  </rcc>
  <rcc rId="3321" sId="11" numFmtId="4">
    <nc r="F100">
      <v>1</v>
    </nc>
  </rcc>
  <rcc rId="3322" sId="11" numFmtId="4">
    <nc r="G100">
      <v>0</v>
    </nc>
  </rcc>
  <rcc rId="3323" sId="11" numFmtId="4">
    <nc r="H100">
      <v>1</v>
    </nc>
  </rcc>
  <rcc rId="3324" sId="11" numFmtId="4">
    <nc r="B101">
      <v>1</v>
    </nc>
  </rcc>
  <rcc rId="3325" sId="11" numFmtId="4">
    <nc r="C101">
      <v>54</v>
    </nc>
  </rcc>
  <rcc rId="3326" sId="11" numFmtId="4">
    <nc r="D101">
      <v>6</v>
    </nc>
  </rcc>
  <rcc rId="3327" sId="11" numFmtId="4">
    <nc r="E101">
      <v>4</v>
    </nc>
  </rcc>
  <rcc rId="3328" sId="11" numFmtId="4">
    <nc r="F101">
      <v>1</v>
    </nc>
  </rcc>
  <rcc rId="3329" sId="11" numFmtId="4">
    <nc r="G101">
      <v>1</v>
    </nc>
  </rcc>
  <rcc rId="3330" sId="11" numFmtId="4">
    <nc r="H101">
      <v>0</v>
    </nc>
  </rcc>
  <rcc rId="3331" sId="11" numFmtId="4">
    <nc r="B102">
      <v>1</v>
    </nc>
  </rcc>
  <rcc rId="3332" sId="11" numFmtId="4">
    <nc r="C102">
      <v>54</v>
    </nc>
  </rcc>
  <rcc rId="3333" sId="11" numFmtId="4">
    <nc r="D102">
      <v>5</v>
    </nc>
  </rcc>
  <rcc rId="3334" sId="11" numFmtId="4">
    <nc r="E102">
      <v>4</v>
    </nc>
  </rcc>
  <rcc rId="3335" sId="11" numFmtId="4">
    <nc r="F102">
      <v>0</v>
    </nc>
  </rcc>
  <rcc rId="3336" sId="11" numFmtId="4">
    <nc r="G102">
      <v>0</v>
    </nc>
  </rcc>
  <rcc rId="3337" sId="11" numFmtId="4">
    <nc r="H102">
      <v>1</v>
    </nc>
  </rcc>
  <rcc rId="3338" sId="11" numFmtId="4">
    <nc r="B103">
      <v>1</v>
    </nc>
  </rcc>
  <rcc rId="3339" sId="11" numFmtId="4">
    <nc r="C103">
      <v>54</v>
    </nc>
  </rcc>
  <rcc rId="3340" sId="11" numFmtId="4">
    <nc r="D103">
      <v>7</v>
    </nc>
  </rcc>
  <rcc rId="3341" sId="11" numFmtId="4">
    <nc r="E103">
      <v>7</v>
    </nc>
  </rcc>
  <rcc rId="3342" sId="11" numFmtId="4">
    <nc r="F103">
      <v>0</v>
    </nc>
  </rcc>
  <rcc rId="3343" sId="11" numFmtId="4">
    <nc r="G103">
      <v>0</v>
    </nc>
  </rcc>
  <rcc rId="3344" sId="11" numFmtId="4">
    <nc r="H103">
      <v>1</v>
    </nc>
  </rcc>
  <rcc rId="3345" sId="11" numFmtId="4">
    <nc r="B104">
      <v>1</v>
    </nc>
  </rcc>
  <rcc rId="3346" sId="11" numFmtId="4">
    <nc r="C104">
      <v>54</v>
    </nc>
  </rcc>
  <rcc rId="3347" sId="11" numFmtId="4">
    <nc r="D104">
      <v>4</v>
    </nc>
  </rcc>
  <rcc rId="3348" sId="11" numFmtId="4">
    <nc r="E104">
      <v>2</v>
    </nc>
  </rcc>
  <rcc rId="3349" sId="11" numFmtId="4">
    <nc r="F104">
      <v>0</v>
    </nc>
  </rcc>
  <rcc rId="3350" sId="11" numFmtId="4">
    <nc r="G104">
      <v>0</v>
    </nc>
  </rcc>
  <rcc rId="3351" sId="11" numFmtId="4">
    <nc r="H104">
      <v>0</v>
    </nc>
  </rcc>
  <rcc rId="3352" sId="11" numFmtId="4">
    <nc r="B105">
      <v>1</v>
    </nc>
  </rcc>
  <rcc rId="3353" sId="11" numFmtId="4">
    <nc r="C105">
      <v>41</v>
    </nc>
  </rcc>
  <rcc rId="3354" sId="11" numFmtId="4">
    <nc r="D105">
      <v>7</v>
    </nc>
  </rcc>
  <rcc rId="3355" sId="11" numFmtId="4">
    <nc r="E105">
      <v>3</v>
    </nc>
  </rcc>
  <rcc rId="3356" sId="11" numFmtId="4">
    <nc r="F105">
      <v>12</v>
    </nc>
  </rcc>
  <rcc rId="3357" sId="11" numFmtId="4">
    <nc r="G105">
      <v>0</v>
    </nc>
  </rcc>
  <rcc rId="3358" sId="11" numFmtId="4">
    <nc r="H105">
      <v>0</v>
    </nc>
  </rcc>
  <rcc rId="3359" sId="11" numFmtId="4">
    <nc r="B106">
      <v>1</v>
    </nc>
  </rcc>
  <rcc rId="3360" sId="11" numFmtId="4">
    <nc r="C106">
      <v>2</v>
    </nc>
  </rcc>
  <rcc rId="3361" sId="11" numFmtId="4">
    <nc r="D106">
      <v>2</v>
    </nc>
  </rcc>
  <rcc rId="3362" sId="11" numFmtId="4">
    <nc r="E106">
      <v>3</v>
    </nc>
  </rcc>
  <rcc rId="3363" sId="11" numFmtId="4">
    <nc r="F106">
      <v>2</v>
    </nc>
  </rcc>
  <rcc rId="3364" sId="11" numFmtId="4">
    <nc r="G106">
      <v>0</v>
    </nc>
  </rcc>
  <rcc rId="3365" sId="11" numFmtId="4">
    <nc r="H106">
      <v>2</v>
    </nc>
  </rcc>
  <rcc rId="3366" sId="11" numFmtId="4">
    <nc r="B107">
      <v>1</v>
    </nc>
  </rcc>
  <rcc rId="3367" sId="11" numFmtId="4">
    <nc r="C107">
      <v>2</v>
    </nc>
  </rcc>
  <rcc rId="3368" sId="11" numFmtId="4">
    <nc r="D107">
      <v>4</v>
    </nc>
  </rcc>
  <rcc rId="3369" sId="11" numFmtId="4">
    <nc r="E107">
      <v>4</v>
    </nc>
  </rcc>
  <rcc rId="3370" sId="11" numFmtId="4">
    <nc r="F107">
      <v>3</v>
    </nc>
  </rcc>
  <rcc rId="3371" sId="11" numFmtId="4">
    <nc r="G107">
      <v>0</v>
    </nc>
  </rcc>
  <rcc rId="3372" sId="11" numFmtId="4">
    <nc r="H107">
      <v>4</v>
    </nc>
  </rcc>
  <rcc rId="3373" sId="11" numFmtId="4">
    <nc r="B108">
      <v>1</v>
    </nc>
  </rcc>
  <rcc rId="3374" sId="11" numFmtId="4">
    <nc r="C108">
      <v>2</v>
    </nc>
  </rcc>
  <rcc rId="3375" sId="11" numFmtId="4">
    <nc r="D108">
      <v>5</v>
    </nc>
  </rcc>
  <rcc rId="3376" sId="11" numFmtId="4">
    <nc r="E108">
      <v>2</v>
    </nc>
  </rcc>
  <rcc rId="3377" sId="11" numFmtId="4">
    <nc r="F108">
      <v>1</v>
    </nc>
  </rcc>
  <rcc rId="3378" sId="11" numFmtId="4">
    <nc r="G108">
      <v>1</v>
    </nc>
  </rcc>
  <rcc rId="3379" sId="11" numFmtId="4">
    <nc r="H108">
      <v>3</v>
    </nc>
  </rcc>
  <rcc rId="3380" sId="11" numFmtId="4">
    <nc r="B109">
      <v>1</v>
    </nc>
  </rcc>
  <rcc rId="3381" sId="11" numFmtId="4">
    <nc r="C109">
      <v>2</v>
    </nc>
  </rcc>
  <rcc rId="3382" sId="11" numFmtId="4">
    <nc r="D109">
      <v>6</v>
    </nc>
  </rcc>
  <rcc rId="3383" sId="11" numFmtId="4">
    <nc r="E109">
      <v>7</v>
    </nc>
  </rcc>
  <rcc rId="3384" sId="11" numFmtId="4">
    <nc r="F109">
      <v>2</v>
    </nc>
  </rcc>
  <rcc rId="3385" sId="11" numFmtId="4">
    <nc r="G109">
      <v>0</v>
    </nc>
  </rcc>
  <rcc rId="3386" sId="11" numFmtId="4">
    <nc r="H109">
      <v>5</v>
    </nc>
  </rcc>
  <rcc rId="3387" sId="11" numFmtId="4">
    <nc r="B110">
      <v>1</v>
    </nc>
  </rcc>
  <rcc rId="3388" sId="11" numFmtId="4">
    <nc r="C110">
      <v>2</v>
    </nc>
  </rcc>
  <rcc rId="3389" sId="11" numFmtId="4">
    <nc r="D110">
      <v>7</v>
    </nc>
  </rcc>
  <rcc rId="3390" sId="11" numFmtId="4">
    <nc r="E110">
      <v>23</v>
    </nc>
  </rcc>
  <rcc rId="3391" sId="11" numFmtId="4">
    <nc r="F110">
      <v>2</v>
    </nc>
  </rcc>
  <rcc rId="3392" sId="11" numFmtId="4">
    <nc r="G110">
      <v>0</v>
    </nc>
  </rcc>
  <rcc rId="3393" sId="11" numFmtId="4">
    <nc r="H110">
      <v>0</v>
    </nc>
  </rcc>
  <rcc rId="3394" sId="11" numFmtId="4">
    <nc r="B111">
      <v>1</v>
    </nc>
  </rcc>
  <rcc rId="3395" sId="11" numFmtId="4">
    <nc r="C111">
      <v>2</v>
    </nc>
  </rcc>
  <rcc rId="3396" sId="11" numFmtId="4">
    <nc r="D111">
      <v>8</v>
    </nc>
  </rcc>
  <rcc rId="3397" sId="11" numFmtId="4">
    <nc r="E111">
      <v>15</v>
    </nc>
  </rcc>
  <rcc rId="3398" sId="11" numFmtId="4">
    <nc r="F111">
      <v>0</v>
    </nc>
  </rcc>
  <rcc rId="3399" sId="11" numFmtId="4">
    <nc r="G111">
      <v>1</v>
    </nc>
  </rcc>
  <rcc rId="3400" sId="11" numFmtId="4">
    <nc r="H111">
      <v>1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>
  <rcc rId="3401" sId="5" numFmtId="4">
    <nc r="B300">
      <v>13</v>
    </nc>
  </rcc>
  <rcc rId="3402" sId="5" numFmtId="4">
    <nc r="C300">
      <v>112</v>
    </nc>
  </rcc>
  <rcc rId="3403" sId="5" numFmtId="4">
    <nc r="D300">
      <v>9</v>
    </nc>
  </rcc>
  <rcc rId="3404" sId="5" numFmtId="4">
    <nc r="E300">
      <v>23</v>
    </nc>
  </rcc>
  <rcc rId="3405" sId="5" numFmtId="4">
    <nc r="F300">
      <v>4</v>
    </nc>
  </rcc>
  <rcc rId="3406" sId="5" numFmtId="4">
    <nc r="G300">
      <v>0</v>
    </nc>
  </rcc>
  <rcc rId="3407" sId="5" numFmtId="4">
    <nc r="B301">
      <v>13</v>
    </nc>
  </rcc>
  <rcc rId="3408" sId="5" numFmtId="4">
    <nc r="C301">
      <v>99</v>
    </nc>
  </rcc>
  <rcc rId="3409" sId="5" numFmtId="4">
    <nc r="D301">
      <v>9</v>
    </nc>
  </rcc>
  <rcc rId="3410" sId="5" numFmtId="4">
    <nc r="E301">
      <v>10</v>
    </nc>
  </rcc>
  <rcc rId="3411" sId="5" numFmtId="4">
    <nc r="F301">
      <v>7</v>
    </nc>
  </rcc>
  <rcc rId="3412" sId="5" numFmtId="4">
    <nc r="G301">
      <v>0</v>
    </nc>
  </rcc>
  <rcc rId="3413" sId="5" numFmtId="4">
    <nc r="B302">
      <v>13</v>
    </nc>
  </rcc>
  <rcc rId="3414" sId="5" numFmtId="4">
    <nc r="C302">
      <v>76</v>
    </nc>
  </rcc>
  <rcc rId="3415" sId="5" numFmtId="4">
    <nc r="D302">
      <v>9</v>
    </nc>
  </rcc>
  <rcc rId="3416" sId="5" numFmtId="4">
    <nc r="E302">
      <v>7</v>
    </nc>
  </rcc>
  <rcc rId="3417" sId="5" numFmtId="4">
    <nc r="F302">
      <v>11</v>
    </nc>
  </rcc>
  <rcc rId="3418" sId="5" numFmtId="4">
    <nc r="G302">
      <v>1</v>
    </nc>
  </rcc>
  <rcc rId="3419" sId="5" numFmtId="4">
    <nc r="B303">
      <v>13</v>
    </nc>
  </rcc>
  <rcc rId="3420" sId="5" numFmtId="4">
    <nc r="C303">
      <v>65</v>
    </nc>
  </rcc>
  <rcc rId="3421" sId="5" numFmtId="4">
    <nc r="D303">
      <v>10</v>
    </nc>
  </rcc>
  <rcc rId="3422" sId="5" numFmtId="4">
    <nc r="E303">
      <v>6</v>
    </nc>
  </rcc>
  <rcc rId="3423" sId="5" numFmtId="4">
    <nc r="F303">
      <v>3</v>
    </nc>
  </rcc>
  <rcc rId="3424" sId="5" numFmtId="4">
    <nc r="G303">
      <v>0</v>
    </nc>
  </rcc>
  <rcc rId="3425" sId="5" numFmtId="4">
    <nc r="B304">
      <v>13</v>
    </nc>
  </rcc>
  <rcc rId="3426" sId="5" numFmtId="4">
    <nc r="C304">
      <v>65</v>
    </nc>
  </rcc>
  <rcc rId="3427" sId="5" numFmtId="4">
    <nc r="D304">
      <v>9</v>
    </nc>
  </rcc>
  <rcc rId="3428" sId="5" numFmtId="4">
    <nc r="E304">
      <v>12</v>
    </nc>
  </rcc>
  <rcc rId="3429" sId="5" numFmtId="4">
    <nc r="F304">
      <v>14</v>
    </nc>
  </rcc>
  <rcc rId="3430" sId="5" numFmtId="4">
    <nc r="G304">
      <v>0</v>
    </nc>
  </rcc>
  <rcc rId="3431" sId="5" numFmtId="4">
    <nc r="B305">
      <v>13</v>
    </nc>
  </rcc>
  <rcc rId="3432" sId="5" numFmtId="4">
    <nc r="C305">
      <v>65</v>
    </nc>
  </rcc>
  <rcc rId="3433" sId="5" numFmtId="4">
    <nc r="D305">
      <v>8</v>
    </nc>
  </rcc>
  <rcc rId="3434" sId="5" numFmtId="4">
    <nc r="E305">
      <v>9</v>
    </nc>
  </rcc>
  <rcc rId="3435" sId="5" numFmtId="4">
    <nc r="F305">
      <v>13</v>
    </nc>
  </rcc>
  <rcc rId="3436" sId="5" numFmtId="4">
    <nc r="G305">
      <v>0</v>
    </nc>
  </rcc>
  <rcc rId="3437" sId="5" numFmtId="4">
    <nc r="B306">
      <v>13</v>
    </nc>
  </rcc>
  <rcc rId="3438" sId="5" numFmtId="4">
    <nc r="C306">
      <v>65</v>
    </nc>
  </rcc>
  <rcc rId="3439" sId="5" numFmtId="4">
    <nc r="D306">
      <v>7</v>
    </nc>
  </rcc>
  <rcc rId="3440" sId="5" numFmtId="4">
    <nc r="E306">
      <v>7</v>
    </nc>
  </rcc>
  <rcc rId="3441" sId="5" numFmtId="4">
    <nc r="F306">
      <v>16</v>
    </nc>
  </rcc>
  <rcc rId="3442" sId="5" numFmtId="4">
    <nc r="G306">
      <v>0</v>
    </nc>
  </rcc>
  <rcc rId="3443" sId="5" numFmtId="4">
    <nc r="B307">
      <v>13</v>
    </nc>
  </rcc>
  <rcc rId="3444" sId="5" numFmtId="4">
    <nc r="C307">
      <v>65</v>
    </nc>
  </rcc>
  <rcc rId="3445" sId="5" numFmtId="4">
    <nc r="D307">
      <v>6</v>
    </nc>
  </rcc>
  <rcc rId="3446" sId="5" numFmtId="4">
    <nc r="E307">
      <v>14</v>
    </nc>
  </rcc>
  <rcc rId="3447" sId="5" numFmtId="4">
    <nc r="F307">
      <v>8</v>
    </nc>
  </rcc>
  <rcc rId="3448" sId="5" numFmtId="4">
    <nc r="G307">
      <v>0</v>
    </nc>
  </rcc>
  <rcc rId="3449" sId="5" numFmtId="4">
    <nc r="B308">
      <v>13</v>
    </nc>
  </rcc>
  <rcc rId="3450" sId="5" numFmtId="4">
    <nc r="C308">
      <v>65</v>
    </nc>
  </rcc>
  <rcc rId="3451" sId="5" numFmtId="4">
    <nc r="D308">
      <v>5</v>
    </nc>
  </rcc>
  <rcc rId="3452" sId="5" numFmtId="4">
    <nc r="E308">
      <v>11</v>
    </nc>
  </rcc>
  <rcc rId="3453" sId="5" numFmtId="4">
    <nc r="F308">
      <v>9</v>
    </nc>
  </rcc>
  <rcc rId="3454" sId="5" numFmtId="4">
    <nc r="G308">
      <v>1</v>
    </nc>
  </rcc>
  <rcc rId="3455" sId="5" numFmtId="4">
    <nc r="B309">
      <v>13</v>
    </nc>
  </rcc>
  <rcc rId="3456" sId="5" numFmtId="4">
    <nc r="C309">
      <v>60</v>
    </nc>
  </rcc>
  <rcc rId="3457" sId="5" numFmtId="4">
    <nc r="D309">
      <v>8</v>
    </nc>
  </rcc>
  <rcc rId="3458" sId="5" numFmtId="4">
    <nc r="E309">
      <v>8</v>
    </nc>
  </rcc>
  <rcc rId="3459" sId="5" numFmtId="4">
    <nc r="F309">
      <v>2</v>
    </nc>
  </rcc>
  <rcc rId="3460" sId="5" numFmtId="4">
    <nc r="G309">
      <v>1</v>
    </nc>
  </rcc>
  <rcc rId="3461" sId="5" numFmtId="4">
    <nc r="B310">
      <v>13</v>
    </nc>
  </rcc>
  <rcc rId="3462" sId="5" numFmtId="4">
    <nc r="C310">
      <v>60</v>
    </nc>
  </rcc>
  <rcc rId="3463" sId="5" numFmtId="4">
    <nc r="D310">
      <v>9</v>
    </nc>
  </rcc>
  <rcc rId="3464" sId="5" numFmtId="4">
    <nc r="E310">
      <v>10</v>
    </nc>
  </rcc>
  <rcc rId="3465" sId="5" numFmtId="4">
    <nc r="F310">
      <v>0</v>
    </nc>
  </rcc>
  <rcc rId="3466" sId="5" numFmtId="4">
    <nc r="G310">
      <v>3</v>
    </nc>
  </rcc>
  <rcc rId="3467" sId="5" numFmtId="4">
    <nc r="B311">
      <v>13</v>
    </nc>
  </rcc>
  <rcc rId="3468" sId="5" numFmtId="4">
    <nc r="C311">
      <v>60</v>
    </nc>
  </rcc>
  <rcc rId="3469" sId="5" numFmtId="4">
    <nc r="D311">
      <v>10</v>
    </nc>
  </rcc>
  <rcc rId="3470" sId="5" numFmtId="4">
    <nc r="E311">
      <v>9</v>
    </nc>
  </rcc>
  <rcc rId="3471" sId="5" numFmtId="4">
    <nc r="F311">
      <v>1</v>
    </nc>
  </rcc>
  <rcc rId="3472" sId="5" numFmtId="4">
    <nc r="G311">
      <v>0</v>
    </nc>
  </rcc>
  <rcc rId="3473" sId="5" numFmtId="4">
    <nc r="B312">
      <v>13</v>
    </nc>
  </rcc>
  <rcc rId="3474" sId="5" numFmtId="4">
    <nc r="C312">
      <v>60</v>
    </nc>
  </rcc>
  <rcc rId="3475" sId="5" numFmtId="4">
    <nc r="D312">
      <v>7</v>
    </nc>
  </rcc>
  <rcc rId="3476" sId="5" numFmtId="4">
    <nc r="E312">
      <v>8</v>
    </nc>
  </rcc>
  <rcc rId="3477" sId="5" numFmtId="4">
    <nc r="G312">
      <v>0</v>
    </nc>
  </rcc>
  <rcc rId="3478" sId="5" numFmtId="4">
    <nc r="F312">
      <v>3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>
  <rcc rId="3479" sId="11" numFmtId="4">
    <nc r="B112">
      <v>1</v>
    </nc>
  </rcc>
  <rcc rId="3480" sId="11" numFmtId="4">
    <nc r="C112">
      <v>2</v>
    </nc>
  </rcc>
  <rcc rId="3481" sId="11" numFmtId="4">
    <nc r="D112">
      <v>3</v>
    </nc>
  </rcc>
  <rcc rId="3482" sId="11" numFmtId="4">
    <nc r="E112">
      <v>4</v>
    </nc>
  </rcc>
  <rcc rId="3483" sId="11" numFmtId="4">
    <nc r="F112">
      <v>2</v>
    </nc>
  </rcc>
  <rcc rId="3484" sId="11" numFmtId="4">
    <nc r="G112">
      <v>0</v>
    </nc>
  </rcc>
  <rcc rId="3485" sId="11" numFmtId="4">
    <nc r="H112">
      <v>1</v>
    </nc>
  </rcc>
  <rcc rId="3486" sId="11" numFmtId="4">
    <nc r="B113">
      <v>1</v>
    </nc>
  </rcc>
  <rcc rId="3487" sId="11" numFmtId="4">
    <nc r="C113">
      <v>22</v>
    </nc>
  </rcc>
  <rcc rId="3488" sId="11" numFmtId="4">
    <nc r="D113">
      <v>8</v>
    </nc>
  </rcc>
  <rcc rId="3489" sId="11" numFmtId="4">
    <nc r="E113">
      <v>2</v>
    </nc>
  </rcc>
  <rcc rId="3490" sId="11" numFmtId="4">
    <nc r="F113">
      <v>23</v>
    </nc>
  </rcc>
  <rcc rId="3491" sId="11" numFmtId="4">
    <nc r="G113">
      <v>0</v>
    </nc>
  </rcc>
  <rcc rId="3492" sId="11" numFmtId="4">
    <nc r="H113">
      <v>0</v>
    </nc>
  </rcc>
  <rcc rId="3493" sId="11" numFmtId="4">
    <nc r="B114">
      <v>1</v>
    </nc>
  </rcc>
  <rcc rId="3494" sId="11" numFmtId="4">
    <nc r="C114">
      <v>22</v>
    </nc>
  </rcc>
  <rcc rId="3495" sId="11" numFmtId="4">
    <nc r="D114">
      <v>7</v>
    </nc>
  </rcc>
  <rcc rId="3496" sId="11" numFmtId="4">
    <nc r="E114">
      <v>0</v>
    </nc>
  </rcc>
  <rcc rId="3497" sId="11" numFmtId="4">
    <nc r="F114">
      <v>23</v>
    </nc>
  </rcc>
  <rcc rId="3498" sId="11" numFmtId="4">
    <nc r="G114">
      <v>0</v>
    </nc>
  </rcc>
  <rcc rId="3499" sId="11" numFmtId="4">
    <nc r="H114">
      <v>0</v>
    </nc>
  </rcc>
  <rcc rId="3500" sId="11" numFmtId="4">
    <nc r="B115">
      <v>1</v>
    </nc>
  </rcc>
  <rcc rId="3501" sId="11" numFmtId="4">
    <nc r="C115">
      <v>22</v>
    </nc>
  </rcc>
  <rcc rId="3502" sId="11" numFmtId="4">
    <nc r="D115">
      <v>6</v>
    </nc>
  </rcc>
  <rcc rId="3503" sId="11" numFmtId="4">
    <nc r="E115">
      <v>1</v>
    </nc>
  </rcc>
  <rcc rId="3504" sId="11" numFmtId="4">
    <nc r="F115">
      <v>13</v>
    </nc>
  </rcc>
  <rcc rId="3505" sId="11" numFmtId="4">
    <nc r="G115">
      <v>0</v>
    </nc>
  </rcc>
  <rcc rId="3506" sId="11" numFmtId="4">
    <nc r="H115">
      <v>0</v>
    </nc>
  </rcc>
  <rcc rId="3507" sId="11" numFmtId="4">
    <nc r="B116">
      <v>1</v>
    </nc>
  </rcc>
  <rcc rId="3508" sId="11" numFmtId="4">
    <nc r="C116">
      <v>22</v>
    </nc>
  </rcc>
  <rcc rId="3509" sId="11" numFmtId="4">
    <nc r="D116">
      <v>5</v>
    </nc>
  </rcc>
  <rcc rId="3510" sId="11" numFmtId="4">
    <nc r="E116">
      <v>1</v>
    </nc>
  </rcc>
  <rcc rId="3511" sId="11" numFmtId="4">
    <nc r="F116">
      <v>10</v>
    </nc>
  </rcc>
  <rcc rId="3512" sId="11" numFmtId="4">
    <nc r="G116">
      <v>0</v>
    </nc>
  </rcc>
  <rcc rId="3513" sId="11" numFmtId="4">
    <nc r="H116">
      <v>0</v>
    </nc>
  </rcc>
  <rcc rId="3514" sId="11" numFmtId="4">
    <nc r="B117">
      <v>1</v>
    </nc>
  </rcc>
  <rcc rId="3515" sId="11" numFmtId="4">
    <nc r="C117">
      <v>41</v>
    </nc>
  </rcc>
  <rcc rId="3516" sId="11" numFmtId="4">
    <nc r="D117">
      <v>6</v>
    </nc>
  </rcc>
  <rcc rId="3517" sId="11" numFmtId="4">
    <nc r="E117">
      <v>11</v>
    </nc>
  </rcc>
  <rcc rId="3518" sId="11" numFmtId="4">
    <nc r="F117">
      <v>4</v>
    </nc>
  </rcc>
  <rcc rId="3519" sId="11" numFmtId="4">
    <nc r="G117">
      <v>1</v>
    </nc>
  </rcc>
  <rcc rId="3520" sId="11" numFmtId="4">
    <nc r="H117">
      <v>0</v>
    </nc>
  </rcc>
  <rcc rId="3521" sId="11" numFmtId="4">
    <nc r="B118">
      <v>1</v>
    </nc>
  </rcc>
  <rcc rId="3522" sId="11" numFmtId="4">
    <nc r="C118">
      <v>49</v>
    </nc>
  </rcc>
  <rcc rId="3523" sId="11" numFmtId="4">
    <nc r="D118">
      <v>6</v>
    </nc>
  </rcc>
  <rcc rId="3524" sId="11" numFmtId="4">
    <nc r="E118">
      <v>15</v>
    </nc>
  </rcc>
  <rcc rId="3525" sId="11" numFmtId="4">
    <nc r="F118">
      <v>6</v>
    </nc>
  </rcc>
  <rcc rId="3526" sId="11" numFmtId="4">
    <nc r="G118">
      <v>2</v>
    </nc>
  </rcc>
  <rcc rId="3527" sId="11" numFmtId="4">
    <nc r="H118">
      <v>0</v>
    </nc>
  </rcc>
  <rcc rId="3528" sId="11" numFmtId="4">
    <nc r="B119">
      <v>1</v>
    </nc>
  </rcc>
  <rcc rId="3529" sId="11" numFmtId="4">
    <nc r="C119">
      <v>21</v>
    </nc>
  </rcc>
  <rcc rId="3530" sId="11" numFmtId="4">
    <nc r="D119">
      <v>7</v>
    </nc>
  </rcc>
  <rcc rId="3531" sId="11" numFmtId="4">
    <nc r="E119">
      <v>2</v>
    </nc>
  </rcc>
  <rcc rId="3532" sId="11" numFmtId="4">
    <nc r="F119">
      <v>19</v>
    </nc>
  </rcc>
  <rcc rId="3533" sId="11" numFmtId="4">
    <nc r="G119">
      <v>0</v>
    </nc>
  </rcc>
  <rcc rId="3534" sId="11" numFmtId="4">
    <nc r="H119">
      <v>0</v>
    </nc>
  </rcc>
  <rcc rId="3535" sId="11" numFmtId="4">
    <nc r="B120">
      <v>1</v>
    </nc>
  </rcc>
  <rcc rId="3536" sId="11" numFmtId="4">
    <nc r="C120">
      <v>21</v>
    </nc>
  </rcc>
  <rcc rId="3537" sId="11" numFmtId="4">
    <nc r="D120">
      <v>6</v>
    </nc>
  </rcc>
  <rcc rId="3538" sId="11" numFmtId="4">
    <nc r="E120">
      <v>1</v>
    </nc>
  </rcc>
  <rcc rId="3539" sId="11" numFmtId="4">
    <nc r="F120">
      <v>22</v>
    </nc>
  </rcc>
  <rcc rId="3540" sId="11" numFmtId="4">
    <nc r="G120">
      <v>0</v>
    </nc>
  </rcc>
  <rcc rId="3541" sId="11" numFmtId="4">
    <nc r="H120">
      <v>0</v>
    </nc>
  </rcc>
  <rcc rId="3542" sId="11" numFmtId="4">
    <nc r="B121">
      <v>1</v>
    </nc>
  </rcc>
  <rcc rId="3543" sId="11" numFmtId="4">
    <nc r="C121">
      <v>27</v>
    </nc>
  </rcc>
  <rcc rId="3544" sId="11" numFmtId="4">
    <nc r="D121">
      <v>5</v>
    </nc>
  </rcc>
  <rcc rId="3545" sId="11" numFmtId="4">
    <nc r="E121">
      <v>40</v>
    </nc>
  </rcc>
  <rcc rId="3546" sId="11" numFmtId="4">
    <nc r="F121">
      <v>15</v>
    </nc>
  </rcc>
  <rcc rId="3547" sId="11" numFmtId="4">
    <nc r="G121">
      <v>0</v>
    </nc>
  </rcc>
  <rcc rId="3548" sId="11" numFmtId="4">
    <nc r="H121">
      <v>0</v>
    </nc>
  </rcc>
  <rcc rId="3549" sId="11" numFmtId="4">
    <nc r="B122">
      <v>1</v>
    </nc>
  </rcc>
  <rcc rId="3550" sId="11" numFmtId="4">
    <nc r="C122">
      <v>27</v>
    </nc>
  </rcc>
  <rcc rId="3551" sId="11" numFmtId="4">
    <nc r="D122">
      <v>4</v>
    </nc>
  </rcc>
  <rcc rId="3552" sId="11" numFmtId="4">
    <nc r="E122">
      <v>20</v>
    </nc>
  </rcc>
  <rcc rId="3553" sId="11" numFmtId="4">
    <nc r="F122">
      <v>12</v>
    </nc>
  </rcc>
  <rcc rId="3554" sId="11" numFmtId="4">
    <nc r="G122">
      <v>0</v>
    </nc>
  </rcc>
  <rcc rId="3555" sId="11" numFmtId="4">
    <nc r="H122">
      <v>0</v>
    </nc>
  </rcc>
  <rcc rId="3556" sId="11" numFmtId="4">
    <nc r="B123">
      <v>1</v>
    </nc>
  </rcc>
  <rcc rId="3557" sId="11" numFmtId="4">
    <nc r="C123">
      <v>27</v>
    </nc>
  </rcc>
  <rcc rId="3558" sId="11" numFmtId="4">
    <nc r="D123">
      <v>3</v>
    </nc>
  </rcc>
  <rcc rId="3559" sId="11" numFmtId="4">
    <nc r="E123">
      <v>25</v>
    </nc>
  </rcc>
  <rcc rId="3560" sId="11" numFmtId="4">
    <nc r="F123">
      <v>15</v>
    </nc>
  </rcc>
  <rcc rId="3561" sId="11" numFmtId="4">
    <nc r="G123">
      <v>0</v>
    </nc>
  </rcc>
  <rcc rId="3562" sId="11" numFmtId="4">
    <nc r="H123">
      <v>0</v>
    </nc>
  </rcc>
  <rcc rId="3563" sId="11" numFmtId="4">
    <nc r="B124">
      <v>1</v>
    </nc>
  </rcc>
  <rcc rId="3564" sId="11" numFmtId="4">
    <nc r="C124">
      <v>35</v>
    </nc>
  </rcc>
  <rcc rId="3565" sId="11" numFmtId="4">
    <nc r="D124">
      <v>6</v>
    </nc>
  </rcc>
  <rcc rId="3566" sId="11" numFmtId="4">
    <nc r="E124">
      <v>9</v>
    </nc>
  </rcc>
  <rcc rId="3567" sId="11" numFmtId="4">
    <nc r="F124">
      <v>0</v>
    </nc>
  </rcc>
  <rcc rId="3568" sId="11" numFmtId="4">
    <nc r="G124">
      <v>8</v>
    </nc>
  </rcc>
  <rcc rId="3569" sId="11" numFmtId="4">
    <nc r="H124">
      <v>0</v>
    </nc>
  </rcc>
  <rcc rId="3570" sId="11" numFmtId="4">
    <nc r="B125">
      <v>1</v>
    </nc>
  </rcc>
  <rcc rId="3571" sId="11" numFmtId="4">
    <nc r="C125">
      <v>28</v>
    </nc>
  </rcc>
  <rcc rId="3572" sId="11" numFmtId="4">
    <nc r="D125">
      <v>5</v>
    </nc>
  </rcc>
  <rcc rId="3573" sId="11" numFmtId="4">
    <nc r="E125">
      <v>13</v>
    </nc>
  </rcc>
  <rcc rId="3574" sId="11" numFmtId="4">
    <nc r="F125">
      <v>4</v>
    </nc>
  </rcc>
  <rcc rId="3575" sId="11" numFmtId="4">
    <nc r="G125">
      <v>0</v>
    </nc>
  </rcc>
  <rcc rId="3576" sId="11" numFmtId="4">
    <nc r="H125">
      <v>1</v>
    </nc>
  </rcc>
  <rcc rId="3577" sId="11" numFmtId="4">
    <nc r="B126">
      <v>1</v>
    </nc>
  </rcc>
  <rcc rId="3578" sId="11" numFmtId="4">
    <nc r="C126">
      <v>15</v>
    </nc>
  </rcc>
  <rcc rId="3579" sId="11" numFmtId="4">
    <nc r="D126">
      <v>6</v>
    </nc>
  </rcc>
  <rcc rId="3580" sId="11" numFmtId="4">
    <nc r="E126">
      <v>1</v>
    </nc>
  </rcc>
  <rcc rId="3581" sId="11" numFmtId="4">
    <nc r="F126">
      <v>0</v>
    </nc>
  </rcc>
  <rcc rId="3582" sId="11" numFmtId="4">
    <nc r="G126">
      <v>0</v>
    </nc>
  </rcc>
  <rcc rId="3583" sId="11" numFmtId="4">
    <nc r="H126">
      <v>0</v>
    </nc>
  </rcc>
  <rcc rId="3584" sId="11" numFmtId="4">
    <nc r="B127">
      <v>1</v>
    </nc>
  </rcc>
  <rcc rId="3585" sId="11" numFmtId="4">
    <nc r="C127">
      <v>9</v>
    </nc>
  </rcc>
  <rcc rId="3586" sId="11" numFmtId="4">
    <nc r="D127">
      <v>6</v>
    </nc>
  </rcc>
  <rcc rId="3587" sId="11" numFmtId="4">
    <nc r="E127">
      <v>4</v>
    </nc>
  </rcc>
  <rcc rId="3588" sId="11" numFmtId="4">
    <nc r="F127">
      <v>21</v>
    </nc>
  </rcc>
  <rcc rId="3589" sId="11" numFmtId="4">
    <nc r="G127">
      <v>0</v>
    </nc>
  </rcc>
  <rcc rId="3590" sId="11" numFmtId="4">
    <nc r="H127">
      <v>0</v>
    </nc>
  </rcc>
  <rcc rId="3591" sId="11" numFmtId="4">
    <nc r="B128">
      <v>1</v>
    </nc>
  </rcc>
  <rcc rId="3592" sId="11" numFmtId="4">
    <nc r="C128">
      <v>59</v>
    </nc>
  </rcc>
  <rcc rId="3593" sId="11" numFmtId="4">
    <nc r="D128">
      <v>4</v>
    </nc>
  </rcc>
  <rcc rId="3594" sId="11" numFmtId="4">
    <nc r="E128">
      <v>3</v>
    </nc>
  </rcc>
  <rcc rId="3595" sId="11" numFmtId="4">
    <nc r="F128">
      <v>0</v>
    </nc>
  </rcc>
  <rcc rId="3596" sId="11" numFmtId="4">
    <nc r="G128">
      <v>0</v>
    </nc>
  </rcc>
  <rcc rId="3597" sId="11" numFmtId="4">
    <nc r="H128">
      <v>0</v>
    </nc>
  </rcc>
  <rcc rId="3598" sId="11" numFmtId="4">
    <nc r="B129">
      <v>1</v>
    </nc>
  </rcc>
  <rcc rId="3599" sId="11" numFmtId="4">
    <nc r="C129">
      <v>59</v>
    </nc>
  </rcc>
  <rcc rId="3600" sId="11" numFmtId="4">
    <nc r="D129">
      <v>5</v>
    </nc>
  </rcc>
  <rcc rId="3601" sId="11" numFmtId="4">
    <nc r="E129">
      <v>6</v>
    </nc>
  </rcc>
  <rcc rId="3602" sId="11" numFmtId="4">
    <nc r="F129">
      <v>1</v>
    </nc>
  </rcc>
  <rcc rId="3603" sId="11" numFmtId="4">
    <nc r="G129">
      <v>0</v>
    </nc>
  </rcc>
  <rcc rId="3604" sId="11" numFmtId="4">
    <nc r="H129">
      <v>0</v>
    </nc>
  </rcc>
  <rcc rId="3605" sId="11" numFmtId="4">
    <nc r="B130">
      <v>1</v>
    </nc>
  </rcc>
  <rcc rId="3606" sId="11" numFmtId="4">
    <nc r="C130">
      <v>29</v>
    </nc>
  </rcc>
  <rcc rId="3607" sId="11" numFmtId="4">
    <nc r="D130">
      <v>4</v>
    </nc>
  </rcc>
  <rcc rId="3608" sId="11" numFmtId="4">
    <nc r="E130">
      <v>20</v>
    </nc>
  </rcc>
  <rcc rId="3609" sId="11" numFmtId="4">
    <nc r="F130">
      <v>15</v>
    </nc>
  </rcc>
  <rcc rId="3610" sId="11" numFmtId="4">
    <nc r="G130">
      <v>0</v>
    </nc>
  </rcc>
  <rcc rId="3611" sId="11" numFmtId="4">
    <nc r="H130">
      <v>0</v>
    </nc>
  </rcc>
  <rcc rId="3612" sId="11" numFmtId="4">
    <nc r="B131">
      <v>1</v>
    </nc>
  </rcc>
  <rcc rId="3613" sId="11" numFmtId="4">
    <nc r="C131">
      <v>29</v>
    </nc>
  </rcc>
  <rcc rId="3614" sId="11" numFmtId="4">
    <nc r="D131">
      <v>3</v>
    </nc>
  </rcc>
  <rcc rId="3615" sId="11" numFmtId="4">
    <nc r="E131">
      <v>14</v>
    </nc>
  </rcc>
  <rcc rId="3616" sId="11" numFmtId="4">
    <nc r="F131">
      <v>38</v>
    </nc>
  </rcc>
  <rcc rId="3617" sId="11" numFmtId="4">
    <nc r="G131">
      <v>0</v>
    </nc>
  </rcc>
  <rcc rId="3618" sId="11" numFmtId="4">
    <nc r="H131">
      <v>0</v>
    </nc>
  </rcc>
  <rcc rId="3619" sId="11" numFmtId="4">
    <nc r="B132">
      <v>1</v>
    </nc>
  </rcc>
  <rcc rId="3620" sId="11" numFmtId="4">
    <nc r="C132">
      <v>29</v>
    </nc>
  </rcc>
  <rcc rId="3621" sId="11" numFmtId="4">
    <nc r="D132">
      <v>5</v>
    </nc>
  </rcc>
  <rcc rId="3622" sId="11" numFmtId="4">
    <nc r="E132">
      <v>9</v>
    </nc>
  </rcc>
  <rcc rId="3623" sId="11" numFmtId="4">
    <nc r="F132">
      <v>13</v>
    </nc>
  </rcc>
  <rcc rId="3624" sId="11" numFmtId="4">
    <nc r="G132">
      <v>6</v>
    </nc>
  </rcc>
  <rcc rId="3625" sId="11" numFmtId="4">
    <nc r="H132">
      <v>0</v>
    </nc>
  </rcc>
  <rcc rId="3626" sId="11" numFmtId="4">
    <nc r="B133">
      <v>1</v>
    </nc>
  </rcc>
  <rcc rId="3627" sId="11" numFmtId="4">
    <nc r="C133">
      <v>25</v>
    </nc>
  </rcc>
  <rcc rId="3628" sId="11" numFmtId="4">
    <nc r="D133">
      <v>6</v>
    </nc>
  </rcc>
  <rcc rId="3629" sId="11" numFmtId="4">
    <nc r="E133">
      <v>8</v>
    </nc>
  </rcc>
  <rcc rId="3630" sId="11" numFmtId="4">
    <nc r="F133">
      <v>0</v>
    </nc>
  </rcc>
  <rcc rId="3631" sId="11" numFmtId="4">
    <nc r="G133">
      <v>3</v>
    </nc>
  </rcc>
  <rcc rId="3632" sId="11" numFmtId="4">
    <nc r="H133">
      <v>0</v>
    </nc>
  </rcc>
  <rcc rId="3633" sId="11" numFmtId="4">
    <nc r="B134">
      <v>1</v>
    </nc>
  </rcc>
  <rcc rId="3634" sId="11" numFmtId="4">
    <nc r="C134">
      <v>34</v>
    </nc>
  </rcc>
  <rcc rId="3635" sId="11" numFmtId="4">
    <nc r="D134">
      <v>6</v>
    </nc>
  </rcc>
  <rcc rId="3636" sId="11" numFmtId="4">
    <nc r="E134">
      <v>10</v>
    </nc>
  </rcc>
  <rcc rId="3637" sId="11" numFmtId="4">
    <nc r="F134">
      <v>10</v>
    </nc>
  </rcc>
  <rcc rId="3638" sId="11" numFmtId="4">
    <nc r="G134">
      <v>8</v>
    </nc>
  </rcc>
  <rcc rId="3639" sId="11" numFmtId="4">
    <nc r="H134">
      <v>3</v>
    </nc>
  </rcc>
  <rcc rId="3640" sId="11" numFmtId="4">
    <nc r="B135">
      <v>1</v>
    </nc>
  </rcc>
  <rcc rId="3641" sId="11" numFmtId="4">
    <nc r="C135">
      <v>8</v>
    </nc>
  </rcc>
  <rcc rId="3642" sId="11" numFmtId="4">
    <nc r="D135">
      <v>2</v>
    </nc>
  </rcc>
  <rcc rId="3643" sId="11" numFmtId="4">
    <nc r="E135">
      <v>8</v>
    </nc>
  </rcc>
  <rcc rId="3644" sId="11" numFmtId="4">
    <nc r="F135">
      <v>5</v>
    </nc>
  </rcc>
  <rcc rId="3645" sId="11" numFmtId="4">
    <nc r="G135">
      <v>12</v>
    </nc>
  </rcc>
  <rcc rId="3646" sId="11" numFmtId="4">
    <nc r="H135">
      <v>0</v>
    </nc>
  </rcc>
  <rcc rId="3647" sId="11" numFmtId="4">
    <nc r="B136">
      <v>1</v>
    </nc>
  </rcc>
  <rcc rId="3648" sId="11" numFmtId="4">
    <nc r="C136">
      <v>8</v>
    </nc>
  </rcc>
  <rcc rId="3649" sId="11" numFmtId="4">
    <nc r="D136">
      <v>7</v>
    </nc>
  </rcc>
  <rcc rId="3650" sId="11" numFmtId="4">
    <nc r="E136">
      <v>10</v>
    </nc>
  </rcc>
  <rcc rId="3651" sId="11" numFmtId="4">
    <nc r="F136">
      <v>8</v>
    </nc>
  </rcc>
  <rcc rId="3652" sId="11" numFmtId="4">
    <nc r="G136">
      <v>0</v>
    </nc>
  </rcc>
  <rcc rId="3653" sId="11" numFmtId="4">
    <nc r="H136">
      <v>0</v>
    </nc>
  </rcc>
  <rcc rId="3654" sId="11" numFmtId="4">
    <nc r="B137">
      <v>1</v>
    </nc>
  </rcc>
  <rcc rId="3655" sId="11" numFmtId="4">
    <nc r="C137">
      <v>8</v>
    </nc>
  </rcc>
  <rcc rId="3656" sId="11" numFmtId="4">
    <nc r="D137">
      <v>5</v>
    </nc>
  </rcc>
  <rcc rId="3657" sId="11" numFmtId="4">
    <nc r="E137">
      <v>5</v>
    </nc>
  </rcc>
  <rcc rId="3658" sId="11" numFmtId="4">
    <nc r="F137">
      <v>10</v>
    </nc>
  </rcc>
  <rcc rId="3659" sId="11" numFmtId="4">
    <nc r="G137">
      <v>0</v>
    </nc>
  </rcc>
  <rcc rId="3660" sId="11" numFmtId="4">
    <nc r="H137">
      <v>0</v>
    </nc>
  </rcc>
  <rcc rId="3661" sId="11" numFmtId="4">
    <nc r="B138">
      <v>1</v>
    </nc>
  </rcc>
  <rcc rId="3662" sId="11" numFmtId="4">
    <nc r="C138">
      <v>8</v>
    </nc>
  </rcc>
  <rcc rId="3663" sId="11" numFmtId="4">
    <nc r="D138">
      <v>6</v>
    </nc>
  </rcc>
  <rcc rId="3664" sId="11" numFmtId="4">
    <nc r="E138">
      <v>12</v>
    </nc>
  </rcc>
  <rcc rId="3665" sId="11" numFmtId="4">
    <nc r="F138">
      <v>6</v>
    </nc>
  </rcc>
  <rcc rId="3666" sId="11" numFmtId="4">
    <nc r="G138">
      <v>1</v>
    </nc>
  </rcc>
  <rcc rId="3667" sId="11" numFmtId="4">
    <nc r="H138">
      <v>0</v>
    </nc>
  </rcc>
  <rcc rId="3668" sId="11" numFmtId="4">
    <nc r="B139">
      <v>1</v>
    </nc>
  </rcc>
  <rcc rId="3669" sId="11" numFmtId="4">
    <nc r="C139">
      <v>8</v>
    </nc>
  </rcc>
  <rcc rId="3670" sId="11" numFmtId="4">
    <nc r="D139">
      <v>4</v>
    </nc>
  </rcc>
  <rcc rId="3671" sId="11" numFmtId="4">
    <nc r="E139">
      <v>8</v>
    </nc>
  </rcc>
  <rcc rId="3672" sId="11" numFmtId="4">
    <nc r="F139">
      <v>8</v>
    </nc>
  </rcc>
  <rcc rId="3673" sId="11" numFmtId="4">
    <nc r="G139">
      <v>1</v>
    </nc>
  </rcc>
  <rcc rId="3674" sId="11" numFmtId="4">
    <nc r="H139">
      <v>0</v>
    </nc>
  </rcc>
  <rcc rId="3675" sId="11" numFmtId="4">
    <nc r="B140">
      <v>1</v>
    </nc>
  </rcc>
  <rcc rId="3676" sId="11" numFmtId="4">
    <nc r="C140">
      <v>8</v>
    </nc>
  </rcc>
  <rcc rId="3677" sId="11" numFmtId="4">
    <nc r="D140">
      <v>3</v>
    </nc>
  </rcc>
  <rcc rId="3678" sId="11" numFmtId="4">
    <nc r="E140">
      <v>4</v>
    </nc>
  </rcc>
  <rcc rId="3679" sId="11" numFmtId="4">
    <nc r="F140">
      <v>0</v>
    </nc>
  </rcc>
  <rcc rId="3680" sId="11" numFmtId="4">
    <nc r="G140">
      <v>1</v>
    </nc>
  </rcc>
  <rcc rId="3681" sId="11" numFmtId="4">
    <nc r="H140">
      <v>0</v>
    </nc>
  </rcc>
  <rcc rId="3682" sId="11" numFmtId="4">
    <nc r="B141">
      <v>1</v>
    </nc>
  </rcc>
  <rcc rId="3683" sId="11" numFmtId="4">
    <nc r="C141">
      <v>56</v>
    </nc>
  </rcc>
  <rcc rId="3684" sId="11" numFmtId="4">
    <nc r="D141">
      <v>5</v>
    </nc>
  </rcc>
  <rcc rId="3685" sId="11" numFmtId="4">
    <nc r="E141">
      <v>9</v>
    </nc>
  </rcc>
  <rcc rId="3686" sId="11" numFmtId="4">
    <nc r="F141">
      <v>1</v>
    </nc>
  </rcc>
  <rcc rId="3687" sId="11" numFmtId="4">
    <nc r="G141">
      <v>0</v>
    </nc>
  </rcc>
  <rcc rId="3688" sId="11" numFmtId="4">
    <nc r="H141">
      <v>3</v>
    </nc>
  </rcc>
  <rcc rId="3689" sId="11" numFmtId="4">
    <nc r="B142">
      <v>1</v>
    </nc>
  </rcc>
  <rcc rId="3690" sId="11" numFmtId="4">
    <nc r="C142">
      <v>56</v>
    </nc>
  </rcc>
  <rcc rId="3691" sId="11" numFmtId="4">
    <nc r="D142">
      <v>4</v>
    </nc>
  </rcc>
  <rcc rId="3692" sId="11" numFmtId="4">
    <nc r="E142">
      <v>7</v>
    </nc>
  </rcc>
  <rcc rId="3693" sId="11" numFmtId="4">
    <nc r="F142">
      <v>0</v>
    </nc>
  </rcc>
  <rcc rId="3694" sId="11" numFmtId="4">
    <nc r="G142">
      <v>3</v>
    </nc>
  </rcc>
  <rcc rId="3695" sId="11" numFmtId="4">
    <nc r="H142">
      <v>4</v>
    </nc>
  </rcc>
  <rcc rId="3696" sId="11" numFmtId="4">
    <nc r="B143">
      <v>1</v>
    </nc>
  </rcc>
  <rcc rId="3697" sId="11" numFmtId="4">
    <nc r="C143">
      <v>56</v>
    </nc>
  </rcc>
  <rcc rId="3698" sId="11" numFmtId="4">
    <nc r="D143">
      <v>3</v>
    </nc>
  </rcc>
  <rcc rId="3699" sId="11" numFmtId="4">
    <nc r="E143">
      <v>2</v>
    </nc>
  </rcc>
  <rcc rId="3700" sId="11" numFmtId="4">
    <nc r="F143">
      <v>0</v>
    </nc>
  </rcc>
  <rcc rId="3701" sId="11" numFmtId="4">
    <nc r="G143">
      <v>0</v>
    </nc>
  </rcc>
  <rcc rId="3702" sId="11" numFmtId="4">
    <nc r="H143">
      <v>4</v>
    </nc>
  </rcc>
  <rcc rId="3703" sId="11" numFmtId="4">
    <nc r="B144">
      <v>1</v>
    </nc>
  </rcc>
  <rcc rId="3704" sId="11" numFmtId="4">
    <nc r="C144">
      <v>41</v>
    </nc>
  </rcc>
  <rcc rId="3705" sId="11" numFmtId="4">
    <nc r="D144">
      <v>5</v>
    </nc>
  </rcc>
  <rcc rId="3706" sId="11" numFmtId="4">
    <nc r="E144">
      <v>8</v>
    </nc>
  </rcc>
  <rcc rId="3707" sId="11" numFmtId="4">
    <nc r="F144">
      <v>1</v>
    </nc>
  </rcc>
  <rcc rId="3708" sId="11" numFmtId="4">
    <nc r="G144">
      <v>1</v>
    </nc>
  </rcc>
  <rcc rId="3709" sId="11" numFmtId="4">
    <nc r="H144">
      <v>0</v>
    </nc>
  </rcc>
  <rcc rId="3710" sId="11" numFmtId="4">
    <nc r="B145">
      <v>1</v>
    </nc>
  </rcc>
  <rcc rId="3711" sId="11" numFmtId="4">
    <nc r="C145">
      <v>35</v>
    </nc>
  </rcc>
  <rcc rId="3712" sId="11" numFmtId="4">
    <nc r="D145">
      <v>5</v>
    </nc>
  </rcc>
  <rcc rId="3713" sId="11" numFmtId="4">
    <nc r="E145">
      <v>6</v>
    </nc>
  </rcc>
  <rcc rId="3714" sId="11" numFmtId="4">
    <nc r="F145">
      <v>5</v>
    </nc>
  </rcc>
  <rcc rId="3715" sId="11" numFmtId="4">
    <nc r="G145">
      <v>0</v>
    </nc>
  </rcc>
  <rcc rId="3716" sId="11" numFmtId="4">
    <nc r="H145">
      <v>0</v>
    </nc>
  </rcc>
  <rcc rId="3717" sId="11" numFmtId="4">
    <nc r="B146">
      <v>1</v>
    </nc>
  </rcc>
  <rcc rId="3718" sId="11" numFmtId="4">
    <nc r="C146">
      <v>34</v>
    </nc>
  </rcc>
  <rcc rId="3719" sId="11" numFmtId="4">
    <nc r="D146">
      <v>5</v>
    </nc>
  </rcc>
  <rcc rId="3720" sId="11" numFmtId="4">
    <nc r="E146">
      <v>11</v>
    </nc>
  </rcc>
  <rcc rId="3721" sId="11" numFmtId="4">
    <nc r="F146">
      <v>17</v>
    </nc>
  </rcc>
  <rcc rId="3722" sId="11" numFmtId="4">
    <nc r="G146">
      <v>5</v>
    </nc>
  </rcc>
  <rcc rId="3723" sId="11" numFmtId="4">
    <nc r="H146">
      <v>6</v>
    </nc>
  </rcc>
  <rcc rId="3724" sId="11" numFmtId="4">
    <nc r="B147">
      <v>1</v>
    </nc>
  </rcc>
  <rcc rId="3725" sId="11" numFmtId="4">
    <nc r="C147">
      <v>34</v>
    </nc>
  </rcc>
  <rcc rId="3726" sId="11" numFmtId="4">
    <nc r="D147">
      <v>4</v>
    </nc>
  </rcc>
  <rcc rId="3727" sId="11" numFmtId="4">
    <nc r="E147">
      <v>15</v>
    </nc>
  </rcc>
  <rcc rId="3728" sId="11" numFmtId="4">
    <nc r="F147">
      <v>15</v>
    </nc>
  </rcc>
  <rcc rId="3729" sId="11" numFmtId="4">
    <nc r="G147">
      <v>7</v>
    </nc>
  </rcc>
  <rcc rId="3730" sId="11" numFmtId="4">
    <nc r="H147">
      <v>1</v>
    </nc>
  </rcc>
  <rcc rId="3731" sId="11" numFmtId="4">
    <nc r="B148">
      <v>1</v>
    </nc>
  </rcc>
  <rcc rId="3732" sId="11" numFmtId="4">
    <nc r="C148">
      <v>12</v>
    </nc>
  </rcc>
  <rcc rId="3733" sId="11" numFmtId="4">
    <nc r="D148">
      <v>7</v>
    </nc>
  </rcc>
  <rcc rId="3734" sId="11" numFmtId="4">
    <nc r="E148">
      <v>8</v>
    </nc>
  </rcc>
  <rcc rId="3735" sId="11" numFmtId="4">
    <nc r="F148">
      <v>9</v>
    </nc>
  </rcc>
  <rcc rId="3736" sId="11" numFmtId="4">
    <nc r="G148">
      <v>2</v>
    </nc>
  </rcc>
  <rcc rId="3737" sId="11" numFmtId="4">
    <nc r="H148">
      <v>3</v>
    </nc>
  </rcc>
  <rcc rId="3738" sId="11" numFmtId="4">
    <nc r="B149">
      <v>1</v>
    </nc>
  </rcc>
  <rcc rId="3739" sId="11" numFmtId="4">
    <nc r="C149">
      <v>12</v>
    </nc>
  </rcc>
  <rcc rId="3740" sId="11" numFmtId="4">
    <nc r="D149">
      <v>5</v>
    </nc>
  </rcc>
  <rcc rId="3741" sId="11" numFmtId="4">
    <nc r="E149">
      <v>4</v>
    </nc>
  </rcc>
  <rcc rId="3742" sId="11" numFmtId="4">
    <nc r="F149">
      <v>7</v>
    </nc>
  </rcc>
  <rcc rId="3743" sId="11" numFmtId="4">
    <nc r="G149">
      <v>1</v>
    </nc>
  </rcc>
  <rcc rId="3744" sId="11" numFmtId="4">
    <nc r="H149">
      <v>0</v>
    </nc>
  </rcc>
  <rcc rId="3745" sId="11" numFmtId="4">
    <nc r="B150">
      <v>1</v>
    </nc>
  </rcc>
  <rcc rId="3746" sId="11" numFmtId="4">
    <nc r="C150">
      <v>35</v>
    </nc>
  </rcc>
  <rcc rId="3747" sId="11" numFmtId="4">
    <nc r="D150">
      <v>4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>
  <rcc rId="3748" sId="5" numFmtId="4">
    <nc r="B313">
      <v>13</v>
    </nc>
  </rcc>
  <rcc rId="3749" sId="5" numFmtId="4">
    <nc r="C313">
      <v>86</v>
    </nc>
  </rcc>
  <rcc rId="3750" sId="5" numFmtId="4">
    <nc r="D313">
      <v>8</v>
    </nc>
  </rcc>
  <rcc rId="3751" sId="5" numFmtId="4">
    <nc r="E313">
      <v>22</v>
    </nc>
  </rcc>
  <rcc rId="3752" sId="5" numFmtId="4">
    <nc r="F313">
      <v>2</v>
    </nc>
  </rcc>
  <rcc rId="3753" sId="5" numFmtId="4">
    <nc r="G313">
      <v>1</v>
    </nc>
  </rcc>
  <rcc rId="3754" sId="5" numFmtId="4">
    <nc r="B314">
      <v>13</v>
    </nc>
  </rcc>
  <rcc rId="3755" sId="5" numFmtId="4">
    <nc r="C314">
      <v>114</v>
    </nc>
  </rcc>
  <rcc rId="3756" sId="5" numFmtId="4">
    <nc r="D314">
      <v>9</v>
    </nc>
  </rcc>
  <rcc rId="3757" sId="5" numFmtId="4">
    <nc r="E314">
      <v>25</v>
    </nc>
  </rcc>
  <rcc rId="3758" sId="5" numFmtId="4">
    <nc r="F314">
      <v>8</v>
    </nc>
  </rcc>
  <rcc rId="3759" sId="5" numFmtId="4">
    <nc r="G314">
      <v>5</v>
    </nc>
  </rcc>
  <rcc rId="3760" sId="5" numFmtId="4">
    <nc r="B315">
      <v>13</v>
    </nc>
  </rcc>
  <rcc rId="3761" sId="5" numFmtId="4">
    <nc r="C315">
      <v>89</v>
    </nc>
  </rcc>
  <rcc rId="3762" sId="5" numFmtId="4">
    <nc r="D315">
      <v>9</v>
    </nc>
  </rcc>
  <rcc rId="3763" sId="5" numFmtId="4">
    <nc r="E315">
      <v>13</v>
    </nc>
  </rcc>
  <rcc rId="3764" sId="5" numFmtId="4">
    <nc r="F315">
      <v>7</v>
    </nc>
  </rcc>
  <rcc rId="3765" sId="5" numFmtId="4">
    <nc r="G315">
      <v>0</v>
    </nc>
  </rcc>
  <rcc rId="3766" sId="5" numFmtId="4">
    <nc r="B316">
      <v>13</v>
    </nc>
  </rcc>
  <rcc rId="3767" sId="5" numFmtId="4">
    <nc r="C316">
      <v>78</v>
    </nc>
  </rcc>
  <rcc rId="3768" sId="5" numFmtId="4">
    <nc r="D316">
      <v>9</v>
    </nc>
  </rcc>
  <rcc rId="3769" sId="5" numFmtId="4">
    <nc r="E316">
      <v>3</v>
    </nc>
  </rcc>
  <rcc rId="3770" sId="5" numFmtId="4">
    <nc r="F316">
      <v>23</v>
    </nc>
  </rcc>
  <rcc rId="3771" sId="5" numFmtId="4">
    <nc r="G316">
      <v>0</v>
    </nc>
  </rcc>
  <rcc rId="3772" sId="5" numFmtId="4">
    <nc r="B317">
      <v>13</v>
    </nc>
  </rcc>
  <rcc rId="3773" sId="5" numFmtId="4">
    <nc r="C317">
      <v>78</v>
    </nc>
  </rcc>
  <rcc rId="3774" sId="5" numFmtId="4">
    <nc r="D317">
      <v>8</v>
    </nc>
  </rcc>
  <rcc rId="3775" sId="5" numFmtId="4">
    <nc r="E317">
      <v>0</v>
    </nc>
  </rcc>
  <rcc rId="3776" sId="5" numFmtId="4">
    <nc r="F317">
      <v>25</v>
    </nc>
  </rcc>
  <rcc rId="3777" sId="5" numFmtId="4">
    <nc r="G317">
      <v>0</v>
    </nc>
  </rcc>
  <rcc rId="3778" sId="5" numFmtId="4">
    <nc r="B318">
      <v>13</v>
    </nc>
  </rcc>
  <rcc rId="3779" sId="5" numFmtId="4">
    <nc r="C318">
      <v>73</v>
    </nc>
  </rcc>
  <rcc rId="3780" sId="5" numFmtId="4">
    <nc r="D318">
      <v>9</v>
    </nc>
  </rcc>
  <rcc rId="3781" sId="5" numFmtId="4">
    <nc r="E318">
      <v>0</v>
    </nc>
  </rcc>
  <rcc rId="3782" sId="5" numFmtId="4">
    <nc r="F318">
      <v>5</v>
    </nc>
  </rcc>
  <rcc rId="3783" sId="5" numFmtId="4">
    <nc r="G318">
      <v>0</v>
    </nc>
  </rcc>
  <rcc rId="3784" sId="5" numFmtId="4">
    <nc r="B319">
      <v>13</v>
    </nc>
  </rcc>
  <rcc rId="3785" sId="5" numFmtId="4">
    <nc r="C319">
      <v>88</v>
    </nc>
  </rcc>
  <rcc rId="3786" sId="5" numFmtId="4">
    <nc r="D319">
      <v>9</v>
    </nc>
  </rcc>
  <rcc rId="3787" sId="5" numFmtId="4">
    <nc r="E319">
      <v>16</v>
    </nc>
  </rcc>
  <rcc rId="3788" sId="5" numFmtId="4">
    <nc r="F319">
      <v>1</v>
    </nc>
  </rcc>
  <rcc rId="3789" sId="5" numFmtId="4">
    <nc r="G319">
      <v>8</v>
    </nc>
  </rcc>
  <rcc rId="3790" sId="5" numFmtId="4">
    <nc r="B320">
      <v>13</v>
    </nc>
  </rcc>
  <rcc rId="3791" sId="5" numFmtId="4">
    <nc r="C320">
      <v>88</v>
    </nc>
  </rcc>
  <rcc rId="3792" sId="5" numFmtId="4">
    <nc r="D320">
      <v>10</v>
    </nc>
  </rcc>
  <rcc rId="3793" sId="5" numFmtId="4">
    <nc r="E320">
      <v>19</v>
    </nc>
  </rcc>
  <rcc rId="3794" sId="5" numFmtId="4">
    <nc r="F320">
      <v>2</v>
    </nc>
  </rcc>
  <rcc rId="3795" sId="5" numFmtId="4">
    <nc r="G320">
      <v>4</v>
    </nc>
  </rcc>
  <rcc rId="3796" sId="5" numFmtId="4">
    <nc r="B321">
      <v>13</v>
    </nc>
  </rcc>
  <rcc rId="3797" sId="5" numFmtId="4">
    <nc r="C321">
      <v>100</v>
    </nc>
  </rcc>
  <rcc rId="3798" sId="5" numFmtId="4">
    <nc r="D321">
      <v>10</v>
    </nc>
  </rcc>
  <rcc rId="3799" sId="5" numFmtId="4">
    <nc r="E321">
      <v>8</v>
    </nc>
  </rcc>
  <rcc rId="3800" sId="5" numFmtId="4">
    <nc r="F321">
      <v>2</v>
    </nc>
  </rcc>
  <rcc rId="3801" sId="5" numFmtId="4">
    <nc r="G321">
      <v>0</v>
    </nc>
  </rcc>
  <rcc rId="3802" sId="5" numFmtId="4">
    <nc r="B322">
      <v>13</v>
    </nc>
  </rcc>
  <rcc rId="3803" sId="5" numFmtId="4">
    <nc r="C322">
      <v>121</v>
    </nc>
  </rcc>
  <rcc rId="3804" sId="5" numFmtId="4">
    <nc r="D322">
      <v>9</v>
    </nc>
  </rcc>
  <rcc rId="3805" sId="5" numFmtId="4">
    <nc r="E322">
      <v>36</v>
    </nc>
  </rcc>
  <rcc rId="3806" sId="5" numFmtId="4">
    <nc r="F322">
      <v>38</v>
    </nc>
  </rcc>
  <rcc rId="3807" sId="5" numFmtId="4">
    <nc r="G322">
      <v>0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>
  <rcc rId="3808" sId="11" numFmtId="4">
    <nc r="E150">
      <v>10</v>
    </nc>
  </rcc>
  <rcc rId="3809" sId="11" numFmtId="4">
    <nc r="F150">
      <v>5</v>
    </nc>
  </rcc>
  <rcc rId="3810" sId="11" numFmtId="4">
    <nc r="G150">
      <v>0</v>
    </nc>
  </rcc>
  <rcc rId="3811" sId="11" numFmtId="4">
    <nc r="H150">
      <v>0</v>
    </nc>
  </rcc>
  <rcc rId="3812" sId="11" numFmtId="4">
    <nc r="B151">
      <v>1</v>
    </nc>
  </rcc>
  <rcc rId="3813" sId="11" numFmtId="4">
    <nc r="C151">
      <v>43</v>
    </nc>
  </rcc>
  <rcc rId="3814" sId="11" numFmtId="4">
    <nc r="D151">
      <v>2</v>
    </nc>
  </rcc>
  <rcc rId="3815" sId="11" numFmtId="4">
    <nc r="E151">
      <v>5</v>
    </nc>
  </rcc>
  <rcc rId="3816" sId="11" numFmtId="4">
    <nc r="F151">
      <v>10</v>
    </nc>
  </rcc>
  <rcc rId="3817" sId="11" numFmtId="4">
    <nc r="G151">
      <v>0</v>
    </nc>
  </rcc>
  <rcc rId="3818" sId="11" numFmtId="4">
    <nc r="H151">
      <v>0</v>
    </nc>
  </rcc>
  <rcc rId="3819" sId="11" numFmtId="4">
    <nc r="B152">
      <v>1</v>
    </nc>
  </rcc>
  <rcc rId="3820" sId="11" numFmtId="4">
    <nc r="C152">
      <v>4</v>
    </nc>
  </rcc>
  <rcc rId="3821" sId="11" numFmtId="4">
    <nc r="D152">
      <v>1</v>
    </nc>
  </rcc>
  <rcc rId="3822" sId="11" numFmtId="4">
    <nc r="E152">
      <v>3</v>
    </nc>
  </rcc>
  <rcc rId="3823" sId="11" numFmtId="4">
    <nc r="F152">
      <v>14</v>
    </nc>
  </rcc>
  <rcc rId="3824" sId="11" numFmtId="4">
    <nc r="G152">
      <v>1</v>
    </nc>
  </rcc>
  <rcc rId="3825" sId="11" numFmtId="4">
    <nc r="H152">
      <v>0</v>
    </nc>
  </rcc>
  <rcc rId="3826" sId="11" numFmtId="4">
    <nc r="B153">
      <v>1</v>
    </nc>
  </rcc>
  <rcc rId="3827" sId="11" numFmtId="4">
    <nc r="C153">
      <v>43</v>
    </nc>
  </rcc>
  <rcc rId="3828" sId="11" numFmtId="4">
    <nc r="D153">
      <v>3</v>
    </nc>
  </rcc>
  <rcc rId="3829" sId="11" numFmtId="4">
    <nc r="E153">
      <v>0</v>
    </nc>
  </rcc>
  <rcc rId="3830" sId="11" numFmtId="4">
    <nc r="F153">
      <v>17</v>
    </nc>
  </rcc>
  <rcc rId="3831" sId="11" numFmtId="4">
    <nc r="G153">
      <v>0</v>
    </nc>
  </rcc>
  <rcc rId="3832" sId="11" numFmtId="4">
    <nc r="H153">
      <v>0</v>
    </nc>
  </rcc>
  <rcc rId="3833" sId="11" numFmtId="4">
    <nc r="B154">
      <v>1</v>
    </nc>
  </rcc>
  <rcc rId="3834" sId="11" numFmtId="4">
    <nc r="C154">
      <v>43</v>
    </nc>
  </rcc>
  <rcc rId="3835" sId="11" numFmtId="4">
    <nc r="D154">
      <v>7</v>
    </nc>
  </rcc>
  <rcc rId="3836" sId="11" numFmtId="4">
    <nc r="E154">
      <v>8</v>
    </nc>
  </rcc>
  <rcc rId="3837" sId="11" numFmtId="4">
    <nc r="F154">
      <v>2</v>
    </nc>
  </rcc>
  <rcc rId="3838" sId="11" numFmtId="4">
    <nc r="G154">
      <v>3</v>
    </nc>
  </rcc>
  <rcc rId="3839" sId="11" numFmtId="4">
    <nc r="H154">
      <v>0</v>
    </nc>
  </rcc>
  <rcc rId="3840" sId="11" numFmtId="4">
    <nc r="B155">
      <v>1</v>
    </nc>
  </rcc>
  <rcc rId="3841" sId="11" numFmtId="4">
    <nc r="C155">
      <v>35</v>
    </nc>
  </rcc>
  <rcc rId="3842" sId="11" numFmtId="4">
    <nc r="D155">
      <v>9</v>
    </nc>
  </rcc>
  <rcc rId="3843" sId="11" numFmtId="4">
    <nc r="E155">
      <v>8</v>
    </nc>
  </rcc>
  <rcc rId="3844" sId="11" numFmtId="4">
    <nc r="F155">
      <v>7</v>
    </nc>
  </rcc>
  <rcc rId="3845" sId="11" numFmtId="4">
    <nc r="G155">
      <v>5</v>
    </nc>
  </rcc>
  <rcc rId="3846" sId="11" numFmtId="4">
    <nc r="H155">
      <v>0</v>
    </nc>
  </rcc>
  <rcc rId="3847" sId="11" numFmtId="4">
    <nc r="B156">
      <v>1</v>
    </nc>
  </rcc>
  <rcc rId="3848" sId="11" numFmtId="4">
    <nc r="C156">
      <v>37</v>
    </nc>
  </rcc>
  <rcc rId="3849" sId="11" numFmtId="4">
    <nc r="D156">
      <v>5</v>
    </nc>
  </rcc>
  <rcc rId="3850" sId="11" numFmtId="4">
    <nc r="E156">
      <v>10</v>
    </nc>
  </rcc>
  <rcc rId="3851" sId="11" numFmtId="4">
    <nc r="F156">
      <v>13</v>
    </nc>
  </rcc>
  <rcc rId="3852" sId="11" numFmtId="4">
    <nc r="G156">
      <v>2</v>
    </nc>
  </rcc>
  <rcc rId="3853" sId="11" numFmtId="4">
    <nc r="H156">
      <v>0</v>
    </nc>
  </rcc>
  <rcc rId="3854" sId="11" numFmtId="4">
    <nc r="B157">
      <v>1</v>
    </nc>
  </rcc>
  <rcc rId="3855" sId="11" numFmtId="4">
    <nc r="C157">
      <v>41</v>
    </nc>
  </rcc>
  <rcc rId="3856" sId="11" numFmtId="4">
    <nc r="D157">
      <v>9</v>
    </nc>
  </rcc>
  <rcc rId="3857" sId="11" numFmtId="4">
    <nc r="E157">
      <v>3</v>
    </nc>
  </rcc>
  <rcc rId="3858" sId="11" numFmtId="4">
    <nc r="F157">
      <v>0</v>
    </nc>
  </rcc>
  <rcc rId="3859" sId="11" numFmtId="4">
    <nc r="G157">
      <v>0</v>
    </nc>
  </rcc>
  <rcc rId="3860" sId="11" numFmtId="4">
    <nc r="H157">
      <v>0</v>
    </nc>
  </rcc>
  <rcc rId="3861" sId="11" numFmtId="4">
    <nc r="B158">
      <v>1</v>
    </nc>
  </rcc>
  <rcc rId="3862" sId="11" numFmtId="4">
    <nc r="C158">
      <v>34</v>
    </nc>
  </rcc>
  <rcc rId="3863" sId="11" numFmtId="4">
    <nc r="D158">
      <v>8</v>
    </nc>
  </rcc>
  <rcc rId="3864" sId="11" numFmtId="4">
    <nc r="E158">
      <v>11</v>
    </nc>
  </rcc>
  <rcc rId="3865" sId="11" numFmtId="4">
    <nc r="F158">
      <v>2</v>
    </nc>
  </rcc>
  <rcc rId="3866" sId="11" numFmtId="4">
    <nc r="G158">
      <v>1</v>
    </nc>
  </rcc>
  <rcc rId="3867" sId="11" numFmtId="4">
    <nc r="H158">
      <v>2</v>
    </nc>
  </rcc>
  <rcc rId="3868" sId="11" numFmtId="4">
    <nc r="B159">
      <v>1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>
  <rcc rId="3869" sId="5" numFmtId="4">
    <nc r="B323">
      <v>13</v>
    </nc>
  </rcc>
  <rcc rId="3870" sId="5" numFmtId="4">
    <nc r="C323">
      <v>87</v>
    </nc>
  </rcc>
  <rcc rId="3871" sId="5" numFmtId="4">
    <nc r="D323">
      <v>9</v>
    </nc>
  </rcc>
  <rcc rId="3872" sId="5" numFmtId="4">
    <nc r="E323">
      <v>17</v>
    </nc>
  </rcc>
  <rcc rId="3873" sId="5" numFmtId="4">
    <nc r="F323">
      <v>2</v>
    </nc>
  </rcc>
  <rcc rId="3874" sId="5" numFmtId="4">
    <nc r="G323">
      <v>6</v>
    </nc>
  </rcc>
  <rcc rId="3875" sId="5" numFmtId="4">
    <nc r="B324">
      <v>13</v>
    </nc>
  </rcc>
  <rcc rId="3876" sId="5" numFmtId="4">
    <nc r="C324">
      <v>70</v>
    </nc>
  </rcc>
  <rcc rId="3877" sId="5" numFmtId="4">
    <nc r="D324">
      <v>10</v>
    </nc>
  </rcc>
  <rcc rId="3878" sId="5" numFmtId="4">
    <nc r="E324">
      <v>14</v>
    </nc>
  </rcc>
  <rcc rId="3879" sId="5" numFmtId="4">
    <nc r="F324">
      <v>7</v>
    </nc>
  </rcc>
  <rcc rId="3880" sId="5" numFmtId="4">
    <nc r="G324">
      <v>1</v>
    </nc>
  </rcc>
  <rcc rId="3881" sId="5" numFmtId="4">
    <nc r="B325">
      <v>13</v>
    </nc>
  </rcc>
  <rcc rId="3882" sId="5" numFmtId="4">
    <nc r="C325">
      <v>70</v>
    </nc>
  </rcc>
  <rcc rId="3883" sId="5" numFmtId="4">
    <nc r="D325">
      <v>9</v>
    </nc>
  </rcc>
  <rcc rId="3884" sId="5" numFmtId="4">
    <nc r="E325">
      <v>13</v>
    </nc>
  </rcc>
  <rcc rId="3885" sId="5" numFmtId="4">
    <nc r="F325">
      <v>12</v>
    </nc>
  </rcc>
  <rcc rId="3886" sId="5" numFmtId="4">
    <nc r="G325">
      <v>4</v>
    </nc>
  </rcc>
  <rcc rId="3887" sId="5" numFmtId="4">
    <nc r="B326">
      <v>13</v>
    </nc>
  </rcc>
  <rcc rId="3888" sId="5" numFmtId="4">
    <nc r="C326">
      <v>118</v>
    </nc>
  </rcc>
  <rcc rId="3889" sId="5" numFmtId="4">
    <nc r="D326">
      <v>9</v>
    </nc>
  </rcc>
  <rcc rId="3890" sId="5" numFmtId="4">
    <nc r="E326">
      <v>16</v>
    </nc>
  </rcc>
  <rcc rId="3891" sId="5" numFmtId="4">
    <nc r="F326">
      <v>5</v>
    </nc>
  </rcc>
  <rcc rId="3892" sId="5" numFmtId="4">
    <nc r="G326">
      <v>1</v>
    </nc>
  </rcc>
  <rcc rId="3893" sId="5" numFmtId="4">
    <nc r="B327">
      <v>13</v>
    </nc>
  </rcc>
  <rcc rId="3894" sId="5" numFmtId="4">
    <nc r="C327">
      <v>70</v>
    </nc>
  </rcc>
  <rcc rId="3895" sId="5" numFmtId="4">
    <nc r="D327">
      <v>8</v>
    </nc>
  </rcc>
  <rcc rId="3896" sId="5" numFmtId="4">
    <nc r="E327">
      <v>11</v>
    </nc>
  </rcc>
  <rcc rId="3897" sId="5" numFmtId="4">
    <nc r="F327">
      <v>9</v>
    </nc>
  </rcc>
  <rcc rId="3898" sId="5" numFmtId="4">
    <nc r="G327">
      <v>2</v>
    </nc>
  </rcc>
  <rcc rId="3899" sId="5" numFmtId="4">
    <nc r="B328">
      <v>13</v>
    </nc>
  </rcc>
  <rcc rId="3900" sId="5" numFmtId="4">
    <nc r="C328">
      <v>116</v>
    </nc>
  </rcc>
  <rcc rId="3901" sId="5" numFmtId="4">
    <nc r="D328">
      <v>10</v>
    </nc>
  </rcc>
  <rcc rId="3902" sId="5" numFmtId="4">
    <nc r="E328">
      <v>18</v>
    </nc>
  </rcc>
  <rcc rId="3903" sId="5" numFmtId="4">
    <nc r="F328">
      <v>7</v>
    </nc>
  </rcc>
  <rcc rId="3904" sId="5" numFmtId="4">
    <nc r="G328">
      <v>0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>
  <rcc rId="3905" sId="11" numFmtId="4">
    <nc r="C159">
      <v>34</v>
    </nc>
  </rcc>
  <rcc rId="3906" sId="11" numFmtId="4">
    <nc r="D159">
      <v>9</v>
    </nc>
  </rcc>
  <rcc rId="3907" sId="11" numFmtId="4">
    <nc r="E159">
      <v>15</v>
    </nc>
  </rcc>
  <rcc rId="3908" sId="11" numFmtId="4">
    <nc r="F159">
      <v>2</v>
    </nc>
  </rcc>
  <rcc rId="3909" sId="11" numFmtId="4">
    <nc r="G159">
      <v>3</v>
    </nc>
  </rcc>
  <rcc rId="3910" sId="11" numFmtId="4">
    <nc r="H159">
      <v>0</v>
    </nc>
  </rcc>
  <rcc rId="3911" sId="11" numFmtId="4">
    <nc r="B160">
      <v>1</v>
    </nc>
  </rcc>
  <rcc rId="3912" sId="11" numFmtId="4">
    <nc r="C160">
      <v>59</v>
    </nc>
  </rcc>
  <rcc rId="3913" sId="11" numFmtId="4">
    <nc r="D160">
      <v>9</v>
    </nc>
  </rcc>
  <rcc rId="3914" sId="11" numFmtId="4">
    <nc r="E160">
      <v>3</v>
    </nc>
  </rcc>
  <rcc rId="3915" sId="11" numFmtId="4">
    <nc r="F160">
      <v>1</v>
    </nc>
  </rcc>
  <rcc rId="3916" sId="11" numFmtId="4">
    <nc r="G160">
      <v>0</v>
    </nc>
  </rcc>
  <rcc rId="3917" sId="11" numFmtId="4">
    <nc r="H160">
      <v>0</v>
    </nc>
  </rcc>
  <rcc rId="3918" sId="11" numFmtId="4">
    <nc r="B161">
      <v>1</v>
    </nc>
  </rcc>
  <rcc rId="3919" sId="11" numFmtId="4">
    <nc r="C161">
      <v>59</v>
    </nc>
  </rcc>
  <rcc rId="3920" sId="11" numFmtId="4">
    <nc r="D161">
      <v>8</v>
    </nc>
  </rcc>
  <rcc rId="3921" sId="11" numFmtId="4">
    <nc r="E161">
      <v>5</v>
    </nc>
  </rcc>
  <rcc rId="3922" sId="11" numFmtId="4">
    <nc r="F161">
      <v>1</v>
    </nc>
  </rcc>
  <rcc rId="3923" sId="11" numFmtId="4">
    <nc r="G161">
      <v>0</v>
    </nc>
  </rcc>
  <rcc rId="3924" sId="11" numFmtId="4">
    <nc r="H161">
      <v>0</v>
    </nc>
  </rcc>
  <rcc rId="3925" sId="11" numFmtId="4">
    <nc r="B162">
      <v>1</v>
    </nc>
  </rcc>
  <rcc rId="3926" sId="11" numFmtId="4">
    <nc r="C162">
      <v>2</v>
    </nc>
  </rcc>
  <rcc rId="3927" sId="11" numFmtId="4">
    <nc r="D162">
      <v>9</v>
    </nc>
  </rcc>
  <rcc rId="3928" sId="11" numFmtId="4">
    <nc r="E162">
      <v>4</v>
    </nc>
  </rcc>
  <rcc rId="3929" sId="11" numFmtId="4">
    <nc r="F162">
      <v>0</v>
    </nc>
  </rcc>
  <rcc rId="3930" sId="11" numFmtId="4">
    <nc r="G162">
      <v>0</v>
    </nc>
  </rcc>
  <rcc rId="3931" sId="11" numFmtId="4">
    <nc r="H162">
      <v>0</v>
    </nc>
  </rcc>
  <rcc rId="3932" sId="11" numFmtId="4">
    <nc r="B163">
      <v>1</v>
    </nc>
  </rcc>
  <rcc rId="3933" sId="11" numFmtId="4">
    <nc r="C163">
      <v>21</v>
    </nc>
  </rcc>
  <rcc rId="3934" sId="11" numFmtId="4">
    <nc r="D163">
      <v>9</v>
    </nc>
  </rcc>
  <rcc rId="3935" sId="11" numFmtId="4">
    <nc r="E163">
      <v>4</v>
    </nc>
  </rcc>
  <rcc rId="3936" sId="11" numFmtId="4">
    <nc r="F163">
      <v>24</v>
    </nc>
  </rcc>
  <rcc rId="3937" sId="11" numFmtId="4">
    <nc r="G163">
      <v>0</v>
    </nc>
  </rcc>
  <rcc rId="3938" sId="11" numFmtId="4">
    <nc r="H163">
      <v>0</v>
    </nc>
  </rcc>
  <rcc rId="3939" sId="11" numFmtId="4">
    <nc r="B164">
      <v>1</v>
    </nc>
  </rcc>
  <rcc rId="3940" sId="11" numFmtId="4">
    <nc r="C164">
      <v>49</v>
    </nc>
  </rcc>
  <rcc rId="3941" sId="11" numFmtId="4">
    <nc r="D164">
      <v>9</v>
    </nc>
  </rcc>
  <rcc rId="3942" sId="11" numFmtId="4">
    <nc r="E164">
      <v>8</v>
    </nc>
  </rcc>
  <rcc rId="3943" sId="11" numFmtId="4">
    <nc r="F164">
      <v>7</v>
    </nc>
  </rcc>
  <rcc rId="3944" sId="11" numFmtId="4">
    <nc r="G164">
      <v>0</v>
    </nc>
  </rcc>
  <rcc rId="3945" sId="11" numFmtId="4">
    <nc r="H164">
      <v>0</v>
    </nc>
  </rcc>
  <rcc rId="3946" sId="11" numFmtId="4">
    <nc r="B165">
      <v>1</v>
    </nc>
  </rcc>
  <rcc rId="3947" sId="11" numFmtId="4">
    <nc r="C165">
      <v>9</v>
    </nc>
  </rcc>
  <rcc rId="3948" sId="11" numFmtId="4">
    <nc r="D165">
      <v>8</v>
    </nc>
  </rcc>
  <rcc rId="3949" sId="11" numFmtId="4">
    <nc r="E165">
      <v>6</v>
    </nc>
  </rcc>
  <rcc rId="3950" sId="11" numFmtId="4">
    <nc r="F165">
      <v>19</v>
    </nc>
  </rcc>
  <rcc rId="3951" sId="11" numFmtId="4">
    <nc r="G165">
      <v>0</v>
    </nc>
  </rcc>
  <rcc rId="3952" sId="11" numFmtId="4">
    <nc r="H165">
      <v>0</v>
    </nc>
  </rcc>
  <rcc rId="3953" sId="11" numFmtId="4">
    <nc r="B166">
      <v>1</v>
    </nc>
  </rcc>
  <rcc rId="3954" sId="11" numFmtId="4">
    <nc r="C166">
      <v>9</v>
    </nc>
  </rcc>
  <rcc rId="3955" sId="11" numFmtId="4">
    <nc r="D166">
      <v>3</v>
    </nc>
  </rcc>
  <rcc rId="3956" sId="11" numFmtId="4">
    <nc r="E166">
      <v>6</v>
    </nc>
  </rcc>
  <rcc rId="3957" sId="11" numFmtId="4">
    <nc r="F166">
      <v>17</v>
    </nc>
  </rcc>
  <rcc rId="3958" sId="11" numFmtId="4">
    <nc r="G166">
      <v>2</v>
    </nc>
  </rcc>
  <rcc rId="3959" sId="11" numFmtId="4">
    <nc r="H166">
      <v>0</v>
    </nc>
  </rcc>
  <rcc rId="3960" sId="11" numFmtId="4">
    <nc r="B167">
      <v>1</v>
    </nc>
  </rcc>
  <rcc rId="3961" sId="11" numFmtId="4">
    <nc r="C167">
      <v>23</v>
    </nc>
  </rcc>
  <rcc rId="3962" sId="11" numFmtId="4">
    <nc r="D167">
      <v>5</v>
    </nc>
  </rcc>
  <rcc rId="3963" sId="11" numFmtId="4">
    <nc r="E167">
      <v>6</v>
    </nc>
  </rcc>
  <rcc rId="3964" sId="11" numFmtId="4">
    <nc r="F167">
      <v>10</v>
    </nc>
  </rcc>
  <rcc rId="3965" sId="11" numFmtId="4">
    <nc r="G167">
      <v>1</v>
    </nc>
  </rcc>
  <rcc rId="3966" sId="11" numFmtId="4">
    <nc r="H167">
      <v>0</v>
    </nc>
  </rcc>
  <rcc rId="3967" sId="11" numFmtId="4">
    <nc r="B168">
      <v>1</v>
    </nc>
  </rcc>
  <rcc rId="3968" sId="11" numFmtId="4">
    <nc r="C168">
      <v>23</v>
    </nc>
  </rcc>
  <rcc rId="3969" sId="11" numFmtId="4">
    <nc r="D168">
      <v>6</v>
    </nc>
  </rcc>
  <rcc rId="3970" sId="11" numFmtId="4">
    <nc r="E168">
      <v>7</v>
    </nc>
  </rcc>
  <rcc rId="3971" sId="11" numFmtId="4">
    <nc r="F168">
      <v>12</v>
    </nc>
  </rcc>
  <rcc rId="3972" sId="11" numFmtId="4">
    <nc r="G168">
      <v>0</v>
    </nc>
  </rcc>
  <rcc rId="3973" sId="11" numFmtId="4">
    <nc r="H168">
      <v>0</v>
    </nc>
  </rcc>
  <rcc rId="3974" sId="11" numFmtId="4">
    <nc r="B169">
      <v>1</v>
    </nc>
  </rcc>
  <rcc rId="3975" sId="11" numFmtId="4">
    <nc r="C169">
      <v>23</v>
    </nc>
  </rcc>
  <rcc rId="3976" sId="11" numFmtId="4">
    <nc r="D169">
      <v>7</v>
    </nc>
  </rcc>
  <rcc rId="3977" sId="11" numFmtId="4">
    <nc r="E169">
      <v>4</v>
    </nc>
  </rcc>
  <rcc rId="3978" sId="11" numFmtId="4">
    <nc r="F169">
      <v>9</v>
    </nc>
  </rcc>
  <rcc rId="3979" sId="11" numFmtId="4">
    <nc r="G169">
      <v>1</v>
    </nc>
  </rcc>
  <rcc rId="3980" sId="11" numFmtId="4">
    <nc r="H169">
      <v>1</v>
    </nc>
  </rcc>
  <rcc rId="3981" sId="11" numFmtId="4">
    <nc r="B170">
      <v>1</v>
    </nc>
  </rcc>
  <rcc rId="3982" sId="11" numFmtId="4">
    <nc r="C170">
      <v>23</v>
    </nc>
  </rcc>
  <rcc rId="3983" sId="11" numFmtId="4">
    <nc r="D170">
      <v>9</v>
    </nc>
  </rcc>
  <rcc rId="3984" sId="11" numFmtId="4">
    <nc r="E170">
      <v>7</v>
    </nc>
  </rcc>
  <rcc rId="3985" sId="11" numFmtId="4">
    <nc r="F170">
      <v>15</v>
    </nc>
  </rcc>
  <rcc rId="3986" sId="11" numFmtId="4">
    <nc r="G170">
      <v>2</v>
    </nc>
  </rcc>
  <rcc rId="3987" sId="11" numFmtId="4">
    <nc r="H170">
      <v>1</v>
    </nc>
  </rcc>
  <rcc rId="3988" sId="11" numFmtId="4">
    <nc r="B171">
      <v>1</v>
    </nc>
  </rcc>
  <rcc rId="3989" sId="11" numFmtId="4">
    <nc r="C171">
      <v>28</v>
    </nc>
  </rcc>
  <rcc rId="3990" sId="11" numFmtId="4">
    <nc r="D171">
      <v>9</v>
    </nc>
  </rcc>
  <rcc rId="3991" sId="11" numFmtId="4">
    <nc r="E171">
      <v>7</v>
    </nc>
  </rcc>
  <rcc rId="3992" sId="11" numFmtId="4">
    <nc r="F171">
      <v>15</v>
    </nc>
  </rcc>
  <rcc rId="3993" sId="11" numFmtId="4">
    <nc r="G171">
      <v>0</v>
    </nc>
  </rcc>
  <rcc rId="3994" sId="11" numFmtId="4">
    <nc r="H171">
      <v>4</v>
    </nc>
  </rcc>
  <rcc rId="3995" sId="11" numFmtId="4">
    <nc r="B172">
      <v>1</v>
    </nc>
  </rcc>
  <rcc rId="3996" sId="11" numFmtId="4">
    <nc r="C172">
      <v>28</v>
    </nc>
  </rcc>
  <rcc rId="3997" sId="11" numFmtId="4">
    <nc r="D172">
      <v>8</v>
    </nc>
  </rcc>
  <rcc rId="3998" sId="11" numFmtId="4">
    <nc r="E172">
      <v>5</v>
    </nc>
  </rcc>
  <rcc rId="3999" sId="11" numFmtId="4">
    <nc r="F172">
      <v>17</v>
    </nc>
  </rcc>
  <rcc rId="4000" sId="11" numFmtId="4">
    <nc r="G172">
      <v>0</v>
    </nc>
  </rcc>
  <rcc rId="4001" sId="11" numFmtId="4">
    <nc r="H172">
      <v>2</v>
    </nc>
  </rcc>
  <rcc rId="4002" sId="11" numFmtId="4">
    <nc r="B173">
      <v>1</v>
    </nc>
  </rcc>
  <rcc rId="4003" sId="11" numFmtId="4">
    <nc r="C173">
      <v>28</v>
    </nc>
  </rcc>
  <rcc rId="4004" sId="11" numFmtId="4">
    <nc r="D173">
      <v>7</v>
    </nc>
  </rcc>
  <rcc rId="4005" sId="11" numFmtId="4">
    <nc r="E173">
      <v>12</v>
    </nc>
  </rcc>
  <rcc rId="4006" sId="11" numFmtId="4">
    <nc r="F173">
      <v>3</v>
    </nc>
  </rcc>
  <rcc rId="4007" sId="11" numFmtId="4">
    <nc r="G173">
      <v>0</v>
    </nc>
  </rcc>
  <rcc rId="4008" sId="11" numFmtId="4">
    <nc r="H173">
      <v>0</v>
    </nc>
  </rcc>
  <rcc rId="4009" sId="11" numFmtId="4">
    <nc r="B174">
      <v>1</v>
    </nc>
  </rcc>
  <rcc rId="4010" sId="11" numFmtId="4">
    <nc r="C174">
      <v>9</v>
    </nc>
  </rcc>
  <rcc rId="4011" sId="11" numFmtId="4">
    <nc r="D174">
      <v>9</v>
    </nc>
  </rcc>
  <rcc rId="4012" sId="11" numFmtId="4">
    <nc r="E174">
      <v>6</v>
    </nc>
  </rcc>
  <rcc rId="4013" sId="11" numFmtId="4">
    <nc r="F174">
      <v>19</v>
    </nc>
  </rcc>
  <rcc rId="4014" sId="11" numFmtId="4">
    <nc r="G174">
      <v>0</v>
    </nc>
  </rcc>
  <rcc rId="4015" sId="11" numFmtId="4">
    <nc r="H174">
      <v>0</v>
    </nc>
  </rcc>
  <rcc rId="4016" sId="11" numFmtId="4">
    <nc r="B175">
      <v>1</v>
    </nc>
  </rcc>
  <rcc rId="4017" sId="11" numFmtId="4">
    <nc r="C175">
      <v>23</v>
    </nc>
  </rcc>
  <rcc rId="4018" sId="11" numFmtId="4">
    <nc r="D175">
      <v>8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>
  <rcc rId="4019" sId="11" numFmtId="4">
    <nc r="E175">
      <v>6</v>
    </nc>
  </rcc>
  <rcc rId="4020" sId="11" numFmtId="4">
    <nc r="F175">
      <v>13</v>
    </nc>
  </rcc>
  <rcc rId="4021" sId="11" numFmtId="4">
    <nc r="G175">
      <v>0</v>
    </nc>
  </rcc>
  <rcc rId="4022" sId="11" numFmtId="4">
    <nc r="H175">
      <v>1</v>
    </nc>
  </rcc>
  <rcc rId="4023" sId="2" numFmtId="4">
    <nc r="B324">
      <v>13</v>
    </nc>
  </rcc>
  <rcc rId="4024" sId="2" numFmtId="4">
    <nc r="C324">
      <v>112</v>
    </nc>
  </rcc>
  <rcc rId="4025" sId="2" numFmtId="4">
    <nc r="D324">
      <v>3</v>
    </nc>
  </rcc>
  <rcc rId="4026" sId="2" numFmtId="4">
    <nc r="E324">
      <v>25</v>
    </nc>
  </rcc>
  <rcc rId="4027" sId="2" numFmtId="4">
    <nc r="F324">
      <v>8</v>
    </nc>
  </rcc>
  <rcc rId="4028" sId="2" numFmtId="4">
    <nc r="G324">
      <v>0</v>
    </nc>
  </rcc>
  <rcc rId="4029" sId="2" numFmtId="4">
    <nc r="H324">
      <v>0</v>
    </nc>
  </rcc>
  <rcc rId="4030" sId="2" numFmtId="4">
    <oc r="E316">
      <v>12</v>
    </oc>
    <nc r="E316">
      <v>13</v>
    </nc>
  </rcc>
  <rcc rId="4031" sId="2" numFmtId="4">
    <nc r="B325">
      <v>13</v>
    </nc>
  </rcc>
  <rcc rId="4032" sId="2" numFmtId="4">
    <nc r="C325">
      <v>51</v>
    </nc>
  </rcc>
  <rcc rId="4033" sId="2" numFmtId="4">
    <nc r="D325">
      <v>8</v>
    </nc>
  </rcc>
  <rcc rId="4034" sId="2" numFmtId="4">
    <nc r="E325">
      <v>6</v>
    </nc>
  </rcc>
  <rcc rId="4035" sId="2" numFmtId="4">
    <nc r="F325">
      <v>2</v>
    </nc>
  </rcc>
  <rcc rId="4036" sId="2" numFmtId="4">
    <nc r="G325">
      <v>0</v>
    </nc>
  </rcc>
  <rcc rId="4037" sId="2" numFmtId="4">
    <nc r="H325">
      <v>0</v>
    </nc>
  </rcc>
  <rcc rId="4038" sId="2" numFmtId="4">
    <nc r="B326">
      <v>13</v>
    </nc>
  </rcc>
  <rcc rId="4039" sId="2" numFmtId="4">
    <nc r="C326">
      <v>51</v>
    </nc>
  </rcc>
  <rcc rId="4040" sId="2" numFmtId="4">
    <nc r="D326">
      <v>9</v>
    </nc>
  </rcc>
  <rcc rId="4041" sId="2" numFmtId="4">
    <nc r="E326">
      <v>9</v>
    </nc>
  </rcc>
  <rcc rId="4042" sId="2" numFmtId="4">
    <nc r="F326">
      <v>1</v>
    </nc>
  </rcc>
  <rcc rId="4043" sId="2" numFmtId="4">
    <nc r="G326">
      <v>0</v>
    </nc>
  </rcc>
  <rcc rId="4044" sId="2" numFmtId="4">
    <nc r="H326">
      <v>0</v>
    </nc>
  </rcc>
  <rcc rId="4045" sId="2" numFmtId="4">
    <nc r="B327">
      <v>13</v>
    </nc>
  </rcc>
  <rcc rId="4046" sId="2" numFmtId="4">
    <nc r="C327">
      <v>51</v>
    </nc>
  </rcc>
  <rcc rId="4047" sId="2" numFmtId="4">
    <nc r="D327">
      <v>10</v>
    </nc>
  </rcc>
  <rcc rId="4048" sId="2" numFmtId="4">
    <nc r="E327">
      <v>6</v>
    </nc>
  </rcc>
  <rcc rId="4049" sId="2" numFmtId="4">
    <nc r="F327">
      <v>1</v>
    </nc>
  </rcc>
  <rcc rId="4050" sId="2" numFmtId="4">
    <nc r="G327">
      <v>0</v>
    </nc>
  </rcc>
  <rcc rId="4051" sId="2" numFmtId="4">
    <nc r="H327">
      <v>0</v>
    </nc>
  </rcc>
  <rcc rId="4052" sId="2" numFmtId="4">
    <nc r="B328">
      <v>13</v>
    </nc>
  </rcc>
  <rcc rId="4053" sId="2" numFmtId="4">
    <nc r="C328">
      <v>21</v>
    </nc>
  </rcc>
  <rcc rId="4054" sId="2" numFmtId="4">
    <nc r="D328">
      <v>10</v>
    </nc>
  </rcc>
  <rcc rId="4055" sId="2" numFmtId="4">
    <nc r="E328">
      <v>1</v>
    </nc>
  </rcc>
  <rcc rId="4056" sId="2" numFmtId="4">
    <nc r="F328">
      <v>18</v>
    </nc>
  </rcc>
  <rcc rId="4057" sId="2" numFmtId="4">
    <nc r="H328">
      <v>0</v>
    </nc>
  </rcc>
  <rcc rId="4058" sId="2" numFmtId="4">
    <nc r="G328">
      <v>0</v>
    </nc>
  </rcc>
  <rcc rId="4059" sId="2" numFmtId="4">
    <nc r="B329">
      <v>13</v>
    </nc>
  </rcc>
  <rcc rId="4060" sId="2" numFmtId="4">
    <nc r="C329">
      <v>27</v>
    </nc>
  </rcc>
  <rcc rId="4061" sId="2" numFmtId="4">
    <nc r="D329">
      <v>6</v>
    </nc>
  </rcc>
  <rcc rId="4062" sId="2" numFmtId="4">
    <nc r="E329">
      <v>55</v>
    </nc>
  </rcc>
  <rcc rId="4063" sId="2" numFmtId="4">
    <nc r="F329">
      <v>20</v>
    </nc>
  </rcc>
  <rcc rId="4064" sId="2" numFmtId="4">
    <nc r="G329">
      <v>0</v>
    </nc>
  </rcc>
  <rcc rId="4065" sId="2" numFmtId="4">
    <nc r="H329">
      <v>0</v>
    </nc>
  </rcc>
  <rcc rId="4066" sId="2" numFmtId="4">
    <nc r="B330">
      <v>13</v>
    </nc>
  </rcc>
  <rcc rId="4067" sId="2" numFmtId="4">
    <nc r="C330">
      <v>27</v>
    </nc>
  </rcc>
  <rcc rId="4068" sId="2" numFmtId="4">
    <nc r="D330">
      <v>7</v>
    </nc>
  </rcc>
  <rcc rId="4069" sId="2" numFmtId="4">
    <nc r="E330">
      <v>20</v>
    </nc>
  </rcc>
  <rcc rId="4070" sId="2" numFmtId="4">
    <nc r="F330">
      <v>15</v>
    </nc>
  </rcc>
  <rcc rId="4071" sId="2" numFmtId="4">
    <nc r="G330">
      <v>0</v>
    </nc>
  </rcc>
  <rcc rId="4072" sId="2" numFmtId="4">
    <nc r="H330">
      <v>0</v>
    </nc>
  </rcc>
  <rcc rId="4073" sId="2" numFmtId="4">
    <nc r="B331">
      <v>13</v>
    </nc>
  </rcc>
  <rcc rId="4074" sId="2" numFmtId="4">
    <nc r="C331">
      <v>27</v>
    </nc>
  </rcc>
  <rcc rId="4075" sId="2" numFmtId="4">
    <nc r="D331">
      <v>8</v>
    </nc>
  </rcc>
  <rcc rId="4076" sId="2" numFmtId="4">
    <nc r="E331">
      <v>25</v>
    </nc>
  </rcc>
  <rcc rId="4077" sId="2" numFmtId="4">
    <nc r="F331">
      <v>10</v>
    </nc>
  </rcc>
  <rcc rId="4078" sId="2" numFmtId="4">
    <nc r="G331">
      <v>0</v>
    </nc>
  </rcc>
  <rcc rId="4079" sId="2" numFmtId="4">
    <nc r="H331">
      <v>0</v>
    </nc>
  </rcc>
  <rcc rId="4080" sId="2" numFmtId="4">
    <nc r="B332">
      <v>13</v>
    </nc>
  </rcc>
  <rcc rId="4081" sId="2" numFmtId="4">
    <nc r="C332">
      <v>27</v>
    </nc>
  </rcc>
  <rcc rId="4082" sId="2" numFmtId="4">
    <nc r="D332">
      <v>9</v>
    </nc>
  </rcc>
  <rcc rId="4083" sId="2" numFmtId="4">
    <nc r="E332">
      <v>30</v>
    </nc>
  </rcc>
  <rcc rId="4084" sId="2" numFmtId="4">
    <nc r="F332">
      <v>10</v>
    </nc>
  </rcc>
  <rcc rId="4085" sId="2" numFmtId="4">
    <nc r="G332">
      <v>0</v>
    </nc>
  </rcc>
  <rcc rId="4086" sId="2" numFmtId="4">
    <nc r="H332">
      <v>0</v>
    </nc>
  </rcc>
  <rcc rId="4087" sId="2" numFmtId="4">
    <nc r="B333">
      <v>13</v>
    </nc>
  </rcc>
  <rcc rId="4088" sId="2" numFmtId="4">
    <nc r="C333">
      <v>62</v>
    </nc>
  </rcc>
  <rcc rId="4089" sId="2" numFmtId="4">
    <nc r="D333">
      <v>10</v>
    </nc>
  </rcc>
  <rcc rId="4090" sId="2" numFmtId="4">
    <nc r="E333">
      <v>4</v>
    </nc>
  </rcc>
  <rcc rId="4091" sId="2" numFmtId="4">
    <nc r="F333">
      <v>9</v>
    </nc>
  </rcc>
  <rcc rId="4092" sId="2" numFmtId="4">
    <nc r="G333">
      <v>0</v>
    </nc>
  </rcc>
  <rcc rId="4093" sId="2" numFmtId="4">
    <nc r="H333">
      <v>0</v>
    </nc>
  </rcc>
  <rcc rId="4094" sId="2" numFmtId="4">
    <nc r="B334">
      <v>13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>
  <rcc rId="4095" sId="5" numFmtId="4">
    <nc r="B329">
      <v>13</v>
    </nc>
  </rcc>
  <rcc rId="4096" sId="5" numFmtId="4">
    <nc r="C329">
      <v>112</v>
    </nc>
  </rcc>
  <rcc rId="4097" sId="5" numFmtId="4">
    <nc r="D329">
      <v>8</v>
    </nc>
  </rcc>
  <rcc rId="4098" sId="5" numFmtId="4">
    <nc r="E329">
      <v>25</v>
    </nc>
  </rcc>
  <rcc rId="4099" sId="5" numFmtId="4">
    <nc r="F329">
      <v>8</v>
    </nc>
  </rcc>
  <rcc rId="4100" sId="5" numFmtId="4">
    <nc r="G329">
      <v>5</v>
    </nc>
  </rcc>
  <rcc rId="4101" sId="5" numFmtId="4">
    <nc r="B330">
      <v>13</v>
    </nc>
  </rcc>
  <rcc rId="4102" sId="5" numFmtId="4">
    <nc r="C330">
      <v>106</v>
    </nc>
  </rcc>
  <rcc rId="4103" sId="5" numFmtId="4">
    <nc r="D330">
      <v>10</v>
    </nc>
  </rcc>
  <rcc rId="4104" sId="5" numFmtId="4">
    <nc r="E330">
      <v>5</v>
    </nc>
  </rcc>
  <rcc rId="4105" sId="5" numFmtId="4">
    <nc r="F330">
      <v>5</v>
    </nc>
  </rcc>
  <rcc rId="4106" sId="5" numFmtId="4">
    <nc r="G330">
      <v>0</v>
    </nc>
  </rcc>
  <rcc rId="4107" sId="5" numFmtId="4">
    <nc r="B331">
      <v>13</v>
    </nc>
  </rcc>
  <rcc rId="4108" sId="5" numFmtId="4">
    <nc r="C331">
      <v>66</v>
    </nc>
  </rcc>
  <rcc rId="4109" sId="5" numFmtId="4">
    <nc r="D331">
      <v>9</v>
    </nc>
  </rcc>
  <rcc rId="4110" sId="5" numFmtId="4">
    <nc r="E331">
      <v>0</v>
    </nc>
  </rcc>
  <rcc rId="4111" sId="5" numFmtId="4">
    <nc r="F331">
      <v>16</v>
    </nc>
  </rcc>
  <rcc rId="4112" sId="5" numFmtId="4">
    <nc r="G331">
      <v>1</v>
    </nc>
  </rcc>
  <rcc rId="4113" sId="5" numFmtId="4">
    <nc r="B332">
      <v>13</v>
    </nc>
  </rcc>
  <rcc rId="4114" sId="5" numFmtId="4">
    <nc r="C332">
      <v>91</v>
    </nc>
  </rcc>
  <rcc rId="4115" sId="5" numFmtId="4">
    <nc r="D332">
      <v>3</v>
    </nc>
  </rcc>
  <rcc rId="4116" sId="5" numFmtId="4">
    <nc r="E332">
      <v>17</v>
    </nc>
  </rcc>
  <rcc rId="4117" sId="5" numFmtId="4">
    <nc r="F332">
      <v>8</v>
    </nc>
  </rcc>
  <rcc rId="4118" sId="5" numFmtId="4">
    <nc r="G332">
      <v>0</v>
    </nc>
  </rcc>
  <rcc rId="4119" sId="5" numFmtId="4">
    <nc r="B333">
      <v>13</v>
    </nc>
  </rcc>
  <rcc rId="4120" sId="5" numFmtId="4">
    <nc r="C333">
      <v>91</v>
    </nc>
  </rcc>
  <rcc rId="4121" sId="5" numFmtId="4">
    <nc r="D333">
      <v>4</v>
    </nc>
  </rcc>
  <rcc rId="4122" sId="5" numFmtId="4">
    <nc r="E333">
      <v>15</v>
    </nc>
  </rcc>
  <rcc rId="4123" sId="5" numFmtId="4">
    <nc r="F333">
      <v>10</v>
    </nc>
  </rcc>
  <rcc rId="4124" sId="5" numFmtId="4">
    <nc r="G333">
      <v>0</v>
    </nc>
  </rcc>
  <rcc rId="4125" sId="5" numFmtId="4">
    <nc r="B334">
      <v>13</v>
    </nc>
  </rcc>
  <rcc rId="4126" sId="5" numFmtId="4">
    <nc r="C334">
      <v>62</v>
    </nc>
  </rcc>
  <rcc rId="4127" sId="5" numFmtId="4">
    <nc r="D334">
      <v>10</v>
    </nc>
  </rcc>
  <rcc rId="4128" sId="5" numFmtId="4">
    <nc r="E334">
      <v>4</v>
    </nc>
  </rcc>
  <rcc rId="4129" sId="5" numFmtId="4">
    <nc r="F334">
      <v>9</v>
    </nc>
  </rcc>
  <rcc rId="4130" sId="5" numFmtId="4">
    <nc r="G334">
      <v>0</v>
    </nc>
  </rcc>
  <rcc rId="4131" sId="8">
    <oc r="I5">
      <v>23</v>
    </oc>
    <nc r="I5" t="inlineStr">
      <is>
        <t>Vargas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>
  <rcc rId="4132" sId="2" numFmtId="4">
    <nc r="C334">
      <v>106</v>
    </nc>
  </rcc>
  <rcc rId="4133" sId="2" numFmtId="4">
    <nc r="D334">
      <v>10</v>
    </nc>
  </rcc>
  <rcc rId="4134" sId="2" numFmtId="4">
    <nc r="E334">
      <v>5</v>
    </nc>
  </rcc>
  <rcc rId="4135" sId="2" numFmtId="4">
    <nc r="F334">
      <v>5</v>
    </nc>
  </rcc>
  <rcc rId="4136" sId="2" numFmtId="4">
    <nc r="G334">
      <v>0</v>
    </nc>
  </rcc>
  <rcc rId="4137" sId="2" numFmtId="4">
    <nc r="H334">
      <v>0</v>
    </nc>
  </rcc>
  <rcc rId="4138" sId="2" numFmtId="4">
    <nc r="B335">
      <v>13</v>
    </nc>
  </rcc>
  <rcc rId="4139" sId="2" numFmtId="4">
    <nc r="C335">
      <v>12</v>
    </nc>
  </rcc>
  <rcc rId="4140" sId="2" numFmtId="4">
    <nc r="D335">
      <v>4</v>
    </nc>
  </rcc>
  <rcc rId="4141" sId="2" numFmtId="4">
    <nc r="E335">
      <v>6</v>
    </nc>
  </rcc>
  <rcc rId="4142" sId="2" numFmtId="4">
    <nc r="F335">
      <v>5</v>
    </nc>
  </rcc>
  <rcc rId="4143" sId="2" numFmtId="4">
    <nc r="G335">
      <v>0</v>
    </nc>
  </rcc>
  <rcc rId="4144" sId="2" numFmtId="4">
    <nc r="H335">
      <v>0</v>
    </nc>
  </rcc>
  <rcc rId="4145" sId="2" numFmtId="4">
    <nc r="B336">
      <v>13</v>
    </nc>
  </rcc>
  <rcc rId="4146" sId="2" numFmtId="4">
    <nc r="C336">
      <v>28</v>
    </nc>
  </rcc>
  <rcc rId="4147" sId="2" numFmtId="4">
    <nc r="D336">
      <v>9</v>
    </nc>
  </rcc>
  <rcc rId="4148" sId="2" numFmtId="4">
    <nc r="E336">
      <v>7</v>
    </nc>
  </rcc>
  <rcc rId="4149" sId="2" numFmtId="4">
    <nc r="F336">
      <v>15</v>
    </nc>
  </rcc>
  <rcc rId="4150" sId="2" numFmtId="4">
    <nc r="G336">
      <v>0</v>
    </nc>
  </rcc>
  <rcc rId="4151" sId="2" numFmtId="4">
    <nc r="H336">
      <v>5</v>
    </nc>
  </rcc>
  <rcc rId="4152" sId="2" numFmtId="4">
    <nc r="B337">
      <v>13</v>
    </nc>
  </rcc>
  <rcc rId="4153" sId="2" numFmtId="4">
    <nc r="C337">
      <v>28</v>
    </nc>
  </rcc>
  <rcc rId="4154" sId="2" numFmtId="4">
    <nc r="D337">
      <v>8</v>
    </nc>
  </rcc>
  <rcc rId="4155" sId="2" numFmtId="4">
    <nc r="E337">
      <v>6</v>
    </nc>
  </rcc>
  <rcc rId="4156" sId="2" numFmtId="4">
    <nc r="F337">
      <v>15</v>
    </nc>
  </rcc>
  <rcc rId="4157" sId="2" numFmtId="4">
    <nc r="G337">
      <v>0</v>
    </nc>
  </rcc>
  <rcc rId="4158" sId="2" numFmtId="4">
    <nc r="H337">
      <v>3</v>
    </nc>
  </rcc>
  <rcc rId="4159" sId="2" numFmtId="4">
    <nc r="B338">
      <v>13</v>
    </nc>
  </rcc>
  <rcc rId="4160" sId="2" numFmtId="4">
    <nc r="C338">
      <v>28</v>
    </nc>
  </rcc>
  <rcc rId="4161" sId="2" numFmtId="4">
    <nc r="D338">
      <v>7</v>
    </nc>
  </rcc>
  <rcc rId="4162" sId="2" numFmtId="4">
    <nc r="E338">
      <v>9</v>
    </nc>
  </rcc>
  <rcc rId="4163" sId="2" numFmtId="4">
    <nc r="F338">
      <v>5</v>
    </nc>
  </rcc>
  <rcc rId="4164" sId="2" numFmtId="4">
    <nc r="G338">
      <v>0</v>
    </nc>
  </rcc>
  <rcc rId="4165" sId="2" numFmtId="4">
    <nc r="H338">
      <v>0</v>
    </nc>
  </rcc>
  <rcc rId="4166" sId="2" numFmtId="4">
    <nc r="B339">
      <v>13</v>
    </nc>
  </rcc>
  <rcc rId="4167" sId="2" numFmtId="4">
    <nc r="C339">
      <v>116</v>
    </nc>
  </rcc>
  <rcc rId="4168" sId="2" numFmtId="4">
    <nc r="D339">
      <v>10</v>
    </nc>
  </rcc>
  <rcc rId="4169" sId="2" numFmtId="4">
    <nc r="E339">
      <v>21</v>
    </nc>
  </rcc>
  <rcc rId="4170" sId="2" numFmtId="4">
    <nc r="F339">
      <v>0</v>
    </nc>
  </rcc>
  <rcc rId="4171" sId="2" numFmtId="4">
    <nc r="G339">
      <v>8</v>
    </nc>
  </rcc>
  <rcc rId="4172" sId="2" numFmtId="4">
    <nc r="H339">
      <v>0</v>
    </nc>
  </rcc>
  <rcc rId="4173" sId="2" numFmtId="4">
    <nc r="B340">
      <v>1</v>
    </nc>
  </rcc>
  <rcc rId="4174" sId="2" numFmtId="4">
    <nc r="C340">
      <v>9</v>
    </nc>
  </rcc>
  <rcc rId="4175" sId="2" numFmtId="4">
    <nc r="D340">
      <v>9</v>
    </nc>
  </rcc>
  <rcc rId="4176" sId="2" numFmtId="4">
    <nc r="E340">
      <v>6</v>
    </nc>
  </rcc>
  <rcc rId="4177" sId="2" numFmtId="4">
    <nc r="F340">
      <v>19</v>
    </nc>
  </rcc>
  <rcc rId="4178" sId="2" numFmtId="4">
    <nc r="G340">
      <v>0</v>
    </nc>
  </rcc>
  <rcc rId="4179" sId="2" numFmtId="4">
    <nc r="H340">
      <v>0</v>
    </nc>
  </rcc>
  <rcc rId="4180" sId="2" numFmtId="4">
    <nc r="B341">
      <v>13</v>
    </nc>
  </rcc>
  <rcc rId="4181" sId="2" numFmtId="4">
    <nc r="C341">
      <v>43</v>
    </nc>
  </rcc>
  <rcc rId="4182" sId="2" numFmtId="4">
    <nc r="D341">
      <v>3</v>
    </nc>
  </rcc>
  <rcc rId="4183" sId="2" numFmtId="4">
    <nc r="E341">
      <v>0</v>
    </nc>
  </rcc>
  <rcc rId="4184" sId="2" numFmtId="4">
    <nc r="F341">
      <v>17</v>
    </nc>
  </rcc>
  <rcc rId="4185" sId="2" numFmtId="4">
    <nc r="G341">
      <v>0</v>
    </nc>
  </rcc>
  <rcc rId="4186" sId="2" numFmtId="4">
    <nc r="H341">
      <v>0</v>
    </nc>
  </rcc>
  <rcc rId="4187" sId="2" numFmtId="4">
    <nc r="B342">
      <v>13</v>
    </nc>
  </rcc>
  <rcc rId="4188" sId="2" numFmtId="4">
    <nc r="C342">
      <v>43</v>
    </nc>
  </rcc>
  <rcc rId="4189" sId="2" numFmtId="4">
    <nc r="D342">
      <v>2</v>
    </nc>
  </rcc>
  <rcc rId="4190" sId="2" numFmtId="4">
    <nc r="E342">
      <v>5</v>
    </nc>
  </rcc>
  <rcc rId="4191" sId="2" numFmtId="4">
    <nc r="F342">
      <v>10</v>
    </nc>
  </rcc>
  <rcc rId="4192" sId="2" numFmtId="4">
    <nc r="G342">
      <v>0</v>
    </nc>
  </rcc>
  <rcc rId="4193" sId="2" numFmtId="4">
    <nc r="H342">
      <v>0</v>
    </nc>
  </rcc>
  <rcc rId="4194" sId="2" numFmtId="4">
    <nc r="B343">
      <v>13</v>
    </nc>
  </rcc>
  <rcc rId="4195" sId="2" numFmtId="4">
    <nc r="C343">
      <v>43</v>
    </nc>
  </rcc>
  <rcc rId="4196" sId="2" numFmtId="4">
    <nc r="D343">
      <v>1</v>
    </nc>
  </rcc>
  <rcc rId="4197" sId="2" numFmtId="4">
    <nc r="E343">
      <v>3</v>
    </nc>
  </rcc>
  <rcc rId="4198" sId="2" numFmtId="4">
    <nc r="F343">
      <v>14</v>
    </nc>
  </rcc>
  <rcc rId="4199" sId="2" numFmtId="4">
    <nc r="G343">
      <v>1</v>
    </nc>
  </rcc>
  <rcc rId="4200" sId="2" numFmtId="4">
    <nc r="H343">
      <v>0</v>
    </nc>
  </rcc>
  <rcc rId="4201" sId="2" numFmtId="4">
    <nc r="B344">
      <v>1</v>
    </nc>
  </rcc>
  <rcc rId="4202" sId="2" numFmtId="4">
    <nc r="C344">
      <v>38</v>
    </nc>
  </rcc>
  <rcc rId="4203" sId="2" numFmtId="4">
    <nc r="D344">
      <v>3</v>
    </nc>
  </rcc>
  <rcc rId="4204" sId="2" numFmtId="4">
    <nc r="E344">
      <v>1</v>
    </nc>
  </rcc>
  <rcc rId="4205" sId="2" numFmtId="4">
    <nc r="F344">
      <v>10</v>
    </nc>
  </rcc>
  <rcc rId="4206" sId="2" numFmtId="4">
    <nc r="G344">
      <v>0</v>
    </nc>
  </rcc>
  <rcc rId="4207" sId="2" numFmtId="4">
    <nc r="H344">
      <v>0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>
  <rcc rId="4208" sId="8" numFmtId="4">
    <nc r="B58">
      <v>23</v>
    </nc>
  </rcc>
  <rcc rId="4209" sId="8" numFmtId="4">
    <nc r="C58">
      <v>133</v>
    </nc>
  </rcc>
  <rcc rId="4210" sId="8" numFmtId="4">
    <nc r="D58">
      <v>7</v>
    </nc>
  </rcc>
  <rcc rId="4211" sId="8" numFmtId="4">
    <nc r="E58">
      <v>4</v>
    </nc>
  </rcc>
  <rcc rId="4212" sId="8" numFmtId="4">
    <nc r="F58">
      <v>5</v>
    </nc>
  </rcc>
  <rcc rId="4213" sId="8" numFmtId="4">
    <nc r="G58">
      <v>0</v>
    </nc>
  </rcc>
  <rcc rId="4214" sId="8" numFmtId="4">
    <nc r="B59">
      <v>23</v>
    </nc>
  </rcc>
  <rcc rId="4215" sId="8" numFmtId="4">
    <nc r="C59">
      <v>133</v>
    </nc>
  </rcc>
  <rcc rId="4216" sId="8" numFmtId="4">
    <nc r="D59">
      <v>9</v>
    </nc>
  </rcc>
  <rcc rId="4217" sId="8" numFmtId="4">
    <nc r="E59">
      <v>2</v>
    </nc>
  </rcc>
  <rcc rId="4218" sId="8" numFmtId="4">
    <nc r="F59">
      <v>1</v>
    </nc>
  </rcc>
  <rcc rId="4219" sId="8" numFmtId="4">
    <nc r="G59">
      <v>1</v>
    </nc>
  </rcc>
  <rcc rId="4220" sId="8" numFmtId="4">
    <nc r="B60">
      <v>23</v>
    </nc>
  </rcc>
  <rcc rId="4221" sId="8" numFmtId="4">
    <nc r="C60">
      <v>133</v>
    </nc>
  </rcc>
  <rcc rId="4222" sId="8" numFmtId="4">
    <nc r="D60">
      <v>8</v>
    </nc>
  </rcc>
  <rcc rId="4223" sId="8" numFmtId="4">
    <nc r="E60">
      <v>1</v>
    </nc>
  </rcc>
  <rcc rId="4224" sId="8" numFmtId="4">
    <nc r="F60">
      <v>2</v>
    </nc>
  </rcc>
  <rcc rId="4225" sId="8" numFmtId="4">
    <nc r="G60">
      <v>2</v>
    </nc>
  </rcc>
  <rcc rId="4226" sId="8" numFmtId="4">
    <nc r="B61">
      <v>23</v>
    </nc>
  </rcc>
  <rcc rId="4227" sId="8" numFmtId="4">
    <nc r="C61">
      <v>133</v>
    </nc>
  </rcc>
  <rcc rId="4228" sId="8" numFmtId="4">
    <nc r="D61">
      <v>7</v>
    </nc>
  </rcc>
  <rcc rId="4229" sId="8" numFmtId="4">
    <nc r="E61">
      <v>2</v>
    </nc>
  </rcc>
  <rcc rId="4230" sId="8" numFmtId="4">
    <nc r="F61">
      <v>1</v>
    </nc>
  </rcc>
  <rcc rId="4231" sId="8" numFmtId="4">
    <nc r="G61">
      <v>0</v>
    </nc>
  </rcc>
  <rcc rId="4232" sId="8" numFmtId="4">
    <nc r="B62">
      <v>23</v>
    </nc>
  </rcc>
  <rcc rId="4233" sId="8" numFmtId="4">
    <nc r="C62">
      <v>133</v>
    </nc>
  </rcc>
  <rcc rId="4234" sId="8" numFmtId="4">
    <nc r="D62">
      <v>10</v>
    </nc>
  </rcc>
  <rcc rId="4235" sId="8" numFmtId="4">
    <nc r="E62">
      <v>2</v>
    </nc>
  </rcc>
  <rcc rId="4236" sId="8" numFmtId="4">
    <nc r="F62">
      <v>2</v>
    </nc>
  </rcc>
  <rcc rId="4237" sId="8" numFmtId="4">
    <nc r="G62">
      <v>0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>
  <rcc rId="4238" sId="2" numFmtId="4">
    <nc r="B345">
      <v>1</v>
    </nc>
  </rcc>
  <rcc rId="4239" sId="2" numFmtId="4">
    <nc r="C345">
      <v>25</v>
    </nc>
  </rcc>
  <rcc rId="4240" sId="2" numFmtId="4">
    <nc r="D345">
      <v>5</v>
    </nc>
  </rcc>
  <rcc rId="4241" sId="2" numFmtId="4">
    <nc r="E345">
      <v>17</v>
    </nc>
  </rcc>
  <rcc rId="4242" sId="2" numFmtId="4">
    <nc r="F345">
      <v>2</v>
    </nc>
  </rcc>
  <rcc rId="4243" sId="2" numFmtId="4">
    <nc r="G345">
      <v>1</v>
    </nc>
  </rcc>
  <rcc rId="4244" sId="2" numFmtId="4">
    <nc r="H345">
      <v>0</v>
    </nc>
  </rcc>
  <rcc rId="4245" sId="2" numFmtId="4">
    <nc r="B346">
      <v>1</v>
    </nc>
  </rcc>
  <rcc rId="4246" sId="2" numFmtId="4">
    <nc r="C346">
      <v>49</v>
    </nc>
  </rcc>
  <rcc rId="4247" sId="2" numFmtId="4">
    <nc r="D346">
      <v>5</v>
    </nc>
  </rcc>
  <rcc rId="4248" sId="2" numFmtId="4">
    <nc r="E346">
      <v>8</v>
    </nc>
  </rcc>
  <rcc rId="4249" sId="2" numFmtId="4">
    <nc r="F346">
      <v>9</v>
    </nc>
  </rcc>
  <rcc rId="4250" sId="2" numFmtId="4">
    <nc r="G346">
      <v>3</v>
    </nc>
  </rcc>
  <rcc rId="4251" sId="2" numFmtId="4">
    <nc r="H346">
      <v>0</v>
    </nc>
  </rcc>
  <rcc rId="4252" sId="2" numFmtId="4">
    <nc r="B347">
      <v>1</v>
    </nc>
  </rcc>
  <rcc rId="4253" sId="2" numFmtId="4">
    <nc r="C347">
      <v>25</v>
    </nc>
  </rcc>
  <rcc rId="4254" sId="2" numFmtId="4">
    <nc r="D347">
      <v>4</v>
    </nc>
  </rcc>
  <rcc rId="4255" sId="2" numFmtId="4">
    <nc r="E347">
      <v>15</v>
    </nc>
  </rcc>
  <rcc rId="4256" sId="2" numFmtId="4">
    <nc r="F347">
      <v>0</v>
    </nc>
  </rcc>
  <rcc rId="4257" sId="2" numFmtId="4">
    <nc r="G347">
      <v>5</v>
    </nc>
  </rcc>
  <rcc rId="4258" sId="2" numFmtId="4">
    <nc r="H347">
      <v>0</v>
    </nc>
  </rcc>
  <rcc rId="4259" sId="2" numFmtId="4">
    <nc r="B348">
      <v>1</v>
    </nc>
  </rcc>
  <rcc rId="4260" sId="2" numFmtId="4">
    <nc r="C348">
      <v>43</v>
    </nc>
  </rcc>
  <rcc rId="4261" sId="2" numFmtId="4">
    <nc r="D348">
      <v>10</v>
    </nc>
  </rcc>
  <rcc rId="4262" sId="2" numFmtId="4">
    <nc r="E348">
      <v>3</v>
    </nc>
  </rcc>
  <rcc rId="4263" sId="2" numFmtId="4">
    <nc r="F348">
      <v>11</v>
    </nc>
  </rcc>
  <rcc rId="4264" sId="2" numFmtId="4">
    <nc r="G348">
      <v>3</v>
    </nc>
  </rcc>
  <rcc rId="4265" sId="2" numFmtId="4">
    <nc r="H348">
      <v>0</v>
    </nc>
  </rcc>
  <rcc rId="4266" sId="2" numFmtId="4">
    <nc r="B349">
      <v>1</v>
    </nc>
  </rcc>
  <rcc rId="4267" sId="2" numFmtId="4">
    <nc r="C349">
      <v>43</v>
    </nc>
  </rcc>
  <rcc rId="4268" sId="2" numFmtId="4">
    <nc r="D349">
      <v>9</v>
    </nc>
  </rcc>
  <rcc rId="4269" sId="2" numFmtId="4">
    <nc r="E349">
      <v>9</v>
    </nc>
  </rcc>
  <rcc rId="4270" sId="2" numFmtId="4">
    <nc r="F349">
      <v>18</v>
    </nc>
  </rcc>
  <rcc rId="4271" sId="2" numFmtId="4">
    <nc r="G349">
      <v>0</v>
    </nc>
  </rcc>
  <rcc rId="4272" sId="2" numFmtId="4">
    <nc r="H349">
      <v>0</v>
    </nc>
  </rcc>
  <rcc rId="4273" sId="2" numFmtId="4">
    <nc r="B350">
      <v>13</v>
    </nc>
  </rcc>
  <rcc rId="4274" sId="2" numFmtId="4">
    <nc r="C350">
      <v>43</v>
    </nc>
  </rcc>
  <rcc rId="4275" sId="2" numFmtId="4">
    <nc r="D350">
      <v>8</v>
    </nc>
  </rcc>
  <rcc rId="4276" sId="2" numFmtId="4">
    <nc r="E350">
      <v>4</v>
    </nc>
  </rcc>
  <rcc rId="4277" sId="2" numFmtId="4">
    <nc r="F350">
      <v>8</v>
    </nc>
  </rcc>
  <rcc rId="4278" sId="2" numFmtId="4">
    <nc r="G350">
      <v>4</v>
    </nc>
  </rcc>
  <rcc rId="4279" sId="2" numFmtId="4">
    <nc r="H350">
      <v>4</v>
    </nc>
  </rcc>
  <rcc rId="4280" sId="2" numFmtId="4">
    <nc r="B351">
      <v>13</v>
    </nc>
  </rcc>
  <rcc rId="4281" sId="2" numFmtId="4">
    <nc r="C351">
      <v>35</v>
    </nc>
  </rcc>
  <rcc rId="4282" sId="2" numFmtId="4">
    <nc r="D351">
      <v>9</v>
    </nc>
  </rcc>
  <rcc rId="4283" sId="2" numFmtId="4">
    <nc r="E351">
      <v>10</v>
    </nc>
  </rcc>
  <rcc rId="4284" sId="2" numFmtId="4">
    <nc r="F351">
      <v>7</v>
    </nc>
  </rcc>
  <rcc rId="4285" sId="2" numFmtId="4">
    <nc r="G351">
      <v>0</v>
    </nc>
  </rcc>
  <rcc rId="4286" sId="2" numFmtId="4">
    <nc r="H351">
      <v>0</v>
    </nc>
  </rcc>
  <rcc rId="4287" sId="2" numFmtId="4">
    <nc r="B352">
      <v>1</v>
    </nc>
  </rcc>
  <rcc rId="4288" sId="2" numFmtId="4">
    <nc r="C352">
      <v>114</v>
    </nc>
  </rcc>
  <rcc rId="4289" sId="2" numFmtId="4">
    <nc r="D352">
      <v>9</v>
    </nc>
  </rcc>
  <rcc rId="4290" sId="2" numFmtId="4">
    <nc r="E352">
      <v>25</v>
    </nc>
  </rcc>
  <rcc rId="4291" sId="2" numFmtId="4">
    <nc r="F352">
      <v>3</v>
    </nc>
  </rcc>
  <rcc rId="4292" sId="2" numFmtId="4">
    <nc r="G352">
      <v>2</v>
    </nc>
  </rcc>
  <rcc rId="4293" sId="2" numFmtId="4">
    <nc r="H352">
      <v>2</v>
    </nc>
  </rcc>
  <rcc rId="4294" sId="2" numFmtId="4">
    <nc r="B353">
      <v>13</v>
    </nc>
  </rcc>
  <rcc rId="4295" sId="2" numFmtId="4">
    <nc r="C353">
      <v>41</v>
    </nc>
  </rcc>
  <rcc rId="4296" sId="2" numFmtId="4">
    <nc r="D353">
      <v>9</v>
    </nc>
  </rcc>
  <rcc rId="4297" sId="2" numFmtId="4">
    <nc r="E353">
      <v>3</v>
    </nc>
  </rcc>
  <rcc rId="4298" sId="2" numFmtId="4">
    <nc r="F353">
      <v>0</v>
    </nc>
  </rcc>
  <rcc rId="4299" sId="2" numFmtId="4">
    <nc r="G353">
      <v>0</v>
    </nc>
  </rcc>
  <rcc rId="4300" sId="2" numFmtId="4">
    <nc r="H353">
      <v>0</v>
    </nc>
  </rcc>
  <rcc rId="4301" sId="2" numFmtId="4">
    <nc r="B354">
      <v>13</v>
    </nc>
  </rcc>
  <rcc rId="4302" sId="2" numFmtId="4">
    <nc r="C354">
      <v>78</v>
    </nc>
  </rcc>
  <rcc rId="4303" sId="2" numFmtId="4">
    <nc r="D354">
      <v>8</v>
    </nc>
  </rcc>
  <rcc rId="4304" sId="2" numFmtId="4">
    <nc r="E354">
      <v>0</v>
    </nc>
  </rcc>
  <rcc rId="4305" sId="2" numFmtId="4">
    <nc r="F354">
      <v>20</v>
    </nc>
  </rcc>
  <rcc rId="4306" sId="2" numFmtId="4">
    <nc r="G354">
      <v>0</v>
    </nc>
  </rcc>
  <rcc rId="4307" sId="2" numFmtId="4">
    <nc r="H354">
      <v>0</v>
    </nc>
  </rcc>
  <rcc rId="4308" sId="2" numFmtId="4">
    <nc r="B355">
      <v>13</v>
    </nc>
  </rcc>
  <rcc rId="4309" sId="2" numFmtId="4">
    <nc r="C355">
      <v>78</v>
    </nc>
  </rcc>
  <rcc rId="4310" sId="2" numFmtId="4">
    <nc r="D355">
      <v>9</v>
    </nc>
  </rcc>
  <rcc rId="4311" sId="2" numFmtId="4">
    <nc r="E355">
      <v>0</v>
    </nc>
  </rcc>
  <rcc rId="4312" sId="2" numFmtId="4">
    <nc r="F355">
      <v>22</v>
    </nc>
  </rcc>
  <rcc rId="4313" sId="2" numFmtId="4">
    <nc r="G355">
      <v>3</v>
    </nc>
  </rcc>
  <rcc rId="4314" sId="2" numFmtId="4">
    <nc r="H355">
      <v>0</v>
    </nc>
  </rcc>
  <rcc rId="4315" sId="2" numFmtId="4">
    <nc r="B356">
      <v>13</v>
    </nc>
  </rcc>
  <rcc rId="4316" sId="2" numFmtId="4">
    <nc r="C356">
      <v>73</v>
    </nc>
  </rcc>
  <rcc rId="4317" sId="2" numFmtId="4">
    <nc r="D356">
      <v>9</v>
    </nc>
  </rcc>
  <rcc rId="4318" sId="2" numFmtId="4">
    <nc r="E356">
      <v>0</v>
    </nc>
  </rcc>
  <rcc rId="4319" sId="2" numFmtId="4">
    <nc r="F356">
      <v>5</v>
    </nc>
  </rcc>
  <rcc rId="4320" sId="2" numFmtId="4">
    <nc r="G356">
      <v>0</v>
    </nc>
  </rcc>
  <rcc rId="4321" sId="2" numFmtId="4">
    <nc r="H356">
      <v>0</v>
    </nc>
  </rcc>
  <rcc rId="4322" sId="2" numFmtId="4">
    <nc r="B357">
      <v>13</v>
    </nc>
  </rcc>
  <rcc rId="4323" sId="2" numFmtId="4">
    <nc r="C357">
      <v>34</v>
    </nc>
  </rcc>
  <rcc rId="4324" sId="2" numFmtId="4">
    <nc r="D357">
      <v>9</v>
    </nc>
  </rcc>
  <rcc rId="4325" sId="2" numFmtId="4">
    <nc r="E357">
      <v>15</v>
    </nc>
  </rcc>
  <rcc rId="4326" sId="2" numFmtId="4">
    <nc r="F357">
      <v>5</v>
    </nc>
  </rcc>
  <rcc rId="4327" sId="2" numFmtId="4">
    <nc r="G357">
      <v>0</v>
    </nc>
  </rcc>
  <rcc rId="4328" sId="2" numFmtId="4">
    <nc r="H357">
      <v>1</v>
    </nc>
  </rcc>
  <rcc rId="4329" sId="2" numFmtId="4">
    <nc r="B358">
      <v>13</v>
    </nc>
  </rcc>
  <rcc rId="4330" sId="2" numFmtId="4">
    <nc r="C358">
      <v>34</v>
    </nc>
  </rcc>
  <rcc rId="4331" sId="2" numFmtId="4">
    <nc r="D358">
      <v>8</v>
    </nc>
  </rcc>
  <rcc rId="4332" sId="2" numFmtId="4">
    <nc r="E358">
      <v>11</v>
    </nc>
  </rcc>
  <rcc rId="4333" sId="2" numFmtId="4">
    <nc r="F358">
      <v>13</v>
    </nc>
  </rcc>
  <rcc rId="4334" sId="2" numFmtId="4">
    <nc r="G358">
      <v>0</v>
    </nc>
  </rcc>
  <rcc rId="4335" sId="2" numFmtId="4">
    <nc r="H358">
      <v>4</v>
    </nc>
  </rcc>
</revisions>
</file>

<file path=xl/revisions/revisionLog52.xml><?xml version="1.0" encoding="utf-8"?>
<revisions xmlns="http://schemas.openxmlformats.org/spreadsheetml/2006/main" xmlns:r="http://schemas.openxmlformats.org/officeDocument/2006/relationships">
  <rcc rId="4336" sId="5" numFmtId="4">
    <nc r="B335">
      <v>13</v>
    </nc>
  </rcc>
  <rcc rId="4337" sId="5" numFmtId="4">
    <nc r="C335">
      <v>117</v>
    </nc>
  </rcc>
  <rcc rId="4338" sId="5" numFmtId="4">
    <nc r="D335">
      <v>10</v>
    </nc>
  </rcc>
  <rcc rId="4339" sId="5" numFmtId="4">
    <nc r="E335">
      <v>1</v>
    </nc>
  </rcc>
  <rcc rId="4340" sId="5" numFmtId="4">
    <nc r="F335">
      <v>24</v>
    </nc>
  </rcc>
  <rcc rId="4341" sId="5" numFmtId="4">
    <nc r="G335">
      <v>0</v>
    </nc>
  </rcc>
  <rcc rId="4342" sId="5" numFmtId="4">
    <nc r="B336">
      <v>13</v>
    </nc>
  </rcc>
  <rcc rId="4343" sId="5" numFmtId="4">
    <nc r="C336">
      <v>117</v>
    </nc>
  </rcc>
  <rcc rId="4344" sId="5" numFmtId="4">
    <nc r="D336">
      <v>11</v>
    </nc>
  </rcc>
  <rcc rId="4345" sId="5" numFmtId="4">
    <nc r="E336">
      <v>3</v>
    </nc>
  </rcc>
  <rcc rId="4346" sId="5" numFmtId="4">
    <nc r="F336">
      <v>16</v>
    </nc>
  </rcc>
  <rcc rId="4347" sId="5" numFmtId="4">
    <nc r="G336">
      <v>0</v>
    </nc>
  </rcc>
  <rcc rId="4348" sId="5" numFmtId="4">
    <nc r="B337">
      <v>13</v>
    </nc>
  </rcc>
  <rcc rId="4349" sId="5" numFmtId="4">
    <nc r="C337">
      <v>98</v>
    </nc>
  </rcc>
  <rcc rId="4350" sId="5" numFmtId="4">
    <nc r="D337">
      <v>10</v>
    </nc>
  </rcc>
  <rcc rId="4351" sId="5" numFmtId="4">
    <nc r="E337">
      <v>8</v>
    </nc>
  </rcc>
  <rcc rId="4352" sId="5" numFmtId="4">
    <nc r="F337">
      <v>6</v>
    </nc>
  </rcc>
  <rcc rId="4353" sId="5" numFmtId="4">
    <nc r="G337">
      <v>0</v>
    </nc>
  </rcc>
  <rcc rId="4354" sId="5" numFmtId="4">
    <nc r="B338">
      <v>13</v>
    </nc>
  </rcc>
  <rcc rId="4355" sId="5" numFmtId="4">
    <nc r="C338">
      <v>76</v>
    </nc>
  </rcc>
  <rcc rId="4356" sId="5" numFmtId="4">
    <nc r="D338">
      <v>10</v>
    </nc>
  </rcc>
  <rcc rId="4357" sId="5" numFmtId="4">
    <nc r="E338">
      <v>6</v>
    </nc>
  </rcc>
  <rcc rId="4358" sId="5" numFmtId="4">
    <nc r="F338">
      <v>9</v>
    </nc>
  </rcc>
  <rcc rId="4359" sId="5" numFmtId="4">
    <nc r="G338">
      <v>4</v>
    </nc>
  </rcc>
  <rcc rId="4360" sId="5" numFmtId="4">
    <nc r="B339">
      <v>13</v>
    </nc>
  </rcc>
  <rcc rId="4361" sId="5" numFmtId="4">
    <nc r="C339">
      <v>67</v>
    </nc>
  </rcc>
  <rcc rId="4362" sId="5" numFmtId="4">
    <nc r="D339">
      <v>9</v>
    </nc>
  </rcc>
  <rcc rId="4363" sId="5" numFmtId="4">
    <nc r="E339">
      <v>0</v>
    </nc>
  </rcc>
  <rcc rId="4364" sId="5" numFmtId="4">
    <nc r="F339">
      <v>10</v>
    </nc>
  </rcc>
  <rcc rId="4365" sId="5" numFmtId="4">
    <nc r="G339">
      <v>0</v>
    </nc>
  </rcc>
  <rcc rId="4366" sId="5" numFmtId="4">
    <nc r="B340">
      <v>13</v>
    </nc>
  </rcc>
  <rcc rId="4367" sId="5" numFmtId="4">
    <nc r="C340">
      <v>98</v>
    </nc>
  </rcc>
  <rcc rId="4368" sId="5" numFmtId="4">
    <nc r="D340">
      <v>9</v>
    </nc>
  </rcc>
  <rcc rId="4369" sId="5" numFmtId="4">
    <nc r="E340">
      <v>2</v>
    </nc>
  </rcc>
  <rcc rId="4370" sId="5" numFmtId="4">
    <nc r="F340">
      <v>5</v>
    </nc>
  </rcc>
  <rcc rId="4371" sId="5" numFmtId="4">
    <nc r="G340">
      <v>0</v>
    </nc>
  </rcc>
  <rcc rId="4372" sId="5" numFmtId="4">
    <nc r="B341">
      <v>13</v>
    </nc>
  </rcc>
  <rcc rId="4373" sId="5" numFmtId="4">
    <nc r="C341">
      <v>78</v>
    </nc>
  </rcc>
  <rcc rId="4374" sId="5" numFmtId="4">
    <nc r="D341">
      <v>10</v>
    </nc>
  </rcc>
  <rcc rId="4375" sId="5" numFmtId="4">
    <nc r="E341">
      <v>0</v>
    </nc>
  </rcc>
  <rcc rId="4376" sId="5" numFmtId="4">
    <nc r="F341">
      <v>25</v>
    </nc>
  </rcc>
  <rcc rId="4377" sId="5" numFmtId="4">
    <nc r="G341">
      <v>0</v>
    </nc>
  </rcc>
  <rcc rId="4378" sId="5" numFmtId="4">
    <nc r="B342">
      <v>13</v>
    </nc>
  </rcc>
  <rcc rId="4379" sId="5" numFmtId="4">
    <nc r="C342">
      <v>90</v>
    </nc>
  </rcc>
  <rcc rId="4380" sId="5" numFmtId="4">
    <nc r="D342">
      <v>9</v>
    </nc>
  </rcc>
  <rcc rId="4381" sId="5" numFmtId="4">
    <nc r="E342">
      <v>13</v>
    </nc>
  </rcc>
  <rcc rId="4382" sId="5" numFmtId="4">
    <nc r="F342">
      <v>12</v>
    </nc>
  </rcc>
  <rcc rId="4383" sId="5" numFmtId="4">
    <nc r="G342">
      <v>0</v>
    </nc>
  </rcc>
  <rcc rId="4384" sId="5" numFmtId="4">
    <nc r="B343">
      <v>13</v>
    </nc>
  </rcc>
  <rcc rId="4385" sId="5" numFmtId="4">
    <nc r="C343">
      <v>90</v>
    </nc>
  </rcc>
  <rcc rId="4386" sId="5" numFmtId="4">
    <nc r="D343">
      <v>10</v>
    </nc>
  </rcc>
  <rcc rId="4387" sId="5" numFmtId="4">
    <nc r="E343">
      <v>20</v>
    </nc>
  </rcc>
  <rcc rId="4388" sId="5" numFmtId="4">
    <nc r="F343">
      <v>5</v>
    </nc>
  </rcc>
  <rcc rId="4389" sId="5" numFmtId="4">
    <nc r="G343">
      <v>0</v>
    </nc>
  </rcc>
  <rcc rId="4390" sId="5" numFmtId="4">
    <nc r="B344">
      <v>13</v>
    </nc>
  </rcc>
  <rcc rId="4391" sId="5" numFmtId="4">
    <nc r="C344">
      <v>90</v>
    </nc>
  </rcc>
  <rcc rId="4392" sId="5" numFmtId="4">
    <nc r="D344">
      <v>8</v>
    </nc>
  </rcc>
  <rcc rId="4393" sId="5" numFmtId="4">
    <nc r="E344">
      <v>24</v>
    </nc>
  </rcc>
  <rcc rId="4394" sId="5" numFmtId="4">
    <nc r="F344">
      <v>1</v>
    </nc>
  </rcc>
  <rcc rId="4395" sId="5" numFmtId="4">
    <nc r="G344">
      <v>0</v>
    </nc>
  </rcc>
  <rcc rId="4396" sId="5" numFmtId="4">
    <nc r="B345">
      <v>13</v>
    </nc>
  </rcc>
  <rcc rId="4397" sId="5" numFmtId="4">
    <nc r="C345">
      <v>90</v>
    </nc>
  </rcc>
  <rcc rId="4398" sId="5" numFmtId="4">
    <nc r="D345">
      <v>7</v>
    </nc>
  </rcc>
  <rcc rId="4399" sId="5" numFmtId="4">
    <nc r="E345">
      <v>25</v>
    </nc>
  </rcc>
  <rcc rId="4400" sId="5" numFmtId="4">
    <nc r="F345">
      <v>0</v>
    </nc>
  </rcc>
  <rcc rId="4401" sId="5" numFmtId="4">
    <nc r="G345">
      <v>0</v>
    </nc>
  </rcc>
  <rcc rId="4402" sId="5" numFmtId="4">
    <nc r="B346">
      <v>13</v>
    </nc>
  </rcc>
  <rcc rId="4403" sId="5" numFmtId="4">
    <nc r="C346">
      <v>90</v>
    </nc>
  </rcc>
  <rcc rId="4404" sId="5" numFmtId="4">
    <nc r="D346">
      <v>6</v>
    </nc>
  </rcc>
  <rcc rId="4405" sId="5" numFmtId="4">
    <nc r="E346">
      <v>24</v>
    </nc>
  </rcc>
  <rcc rId="4406" sId="5" numFmtId="4">
    <nc r="F346">
      <v>0</v>
    </nc>
  </rcc>
  <rcc rId="4407" sId="5" numFmtId="4">
    <nc r="G346">
      <v>1</v>
    </nc>
  </rcc>
  <rcc rId="4408" sId="5" numFmtId="4">
    <nc r="B347">
      <v>13</v>
    </nc>
  </rcc>
  <rcc rId="4409" sId="5" numFmtId="4">
    <nc r="C347">
      <v>90</v>
    </nc>
  </rcc>
  <rcc rId="4410" sId="5" numFmtId="4">
    <nc r="D347">
      <v>5</v>
    </nc>
  </rcc>
  <rcc rId="4411" sId="5" numFmtId="4">
    <nc r="E347">
      <v>21</v>
    </nc>
  </rcc>
  <rcc rId="4412" sId="5" numFmtId="4">
    <nc r="F347">
      <v>3</v>
    </nc>
  </rcc>
  <rcc rId="4413" sId="5" numFmtId="4">
    <nc r="G347">
      <v>1</v>
    </nc>
  </rcc>
</revisions>
</file>

<file path=xl/revisions/revisionLog53.xml><?xml version="1.0" encoding="utf-8"?>
<revisions xmlns="http://schemas.openxmlformats.org/spreadsheetml/2006/main" xmlns:r="http://schemas.openxmlformats.org/officeDocument/2006/relationships">
  <rcc rId="4414" sId="2" numFmtId="4">
    <nc r="B359">
      <v>13</v>
    </nc>
  </rcc>
  <rcc rId="4415" sId="2" numFmtId="4">
    <nc r="C359">
      <v>59</v>
    </nc>
  </rcc>
  <rcc rId="4416" sId="2" numFmtId="4">
    <nc r="D359">
      <v>9</v>
    </nc>
  </rcc>
  <rcc rId="4417" sId="2" numFmtId="4">
    <nc r="E359">
      <v>3</v>
    </nc>
  </rcc>
  <rcc rId="4418" sId="2" numFmtId="4">
    <nc r="F359">
      <v>1</v>
    </nc>
  </rcc>
  <rcc rId="4419" sId="2" numFmtId="4">
    <nc r="G359">
      <v>0</v>
    </nc>
  </rcc>
  <rcc rId="4420" sId="2" numFmtId="4">
    <nc r="H359">
      <v>0</v>
    </nc>
  </rcc>
  <rcc rId="4421" sId="2" numFmtId="4">
    <nc r="B360">
      <v>13</v>
    </nc>
  </rcc>
  <rcc rId="4422" sId="2" numFmtId="4">
    <nc r="C360">
      <v>59</v>
    </nc>
  </rcc>
  <rcc rId="4423" sId="2" numFmtId="4">
    <nc r="D360">
      <v>8</v>
    </nc>
  </rcc>
  <rcc rId="4424" sId="2" numFmtId="4">
    <nc r="E360">
      <v>5</v>
    </nc>
  </rcc>
  <rcc rId="4425" sId="2" numFmtId="4">
    <nc r="F360">
      <v>1</v>
    </nc>
  </rcc>
  <rcc rId="4426" sId="2" numFmtId="4">
    <nc r="G360">
      <v>0</v>
    </nc>
  </rcc>
  <rcc rId="4427" sId="2" numFmtId="4">
    <nc r="H360">
      <v>0</v>
    </nc>
  </rcc>
  <rcc rId="4428" sId="2" numFmtId="4">
    <nc r="B361">
      <v>1</v>
    </nc>
  </rcc>
  <rcc rId="4429" sId="2" numFmtId="4">
    <nc r="C361">
      <v>25</v>
    </nc>
  </rcc>
  <rcc rId="4430" sId="2" numFmtId="4">
    <nc r="D361">
      <v>9</v>
    </nc>
  </rcc>
  <rcc rId="4431" sId="2" numFmtId="4">
    <nc r="E361">
      <v>12</v>
    </nc>
  </rcc>
  <rcc rId="4432" sId="2" numFmtId="4">
    <nc r="F361">
      <v>8</v>
    </nc>
  </rcc>
  <rcc rId="4433" sId="2" numFmtId="4">
    <nc r="G361">
      <v>0</v>
    </nc>
  </rcc>
  <rcc rId="4434" sId="2" numFmtId="4">
    <nc r="H361">
      <v>0</v>
    </nc>
  </rcc>
  <rcc rId="4435" sId="2" numFmtId="4">
    <nc r="B362">
      <v>13</v>
    </nc>
  </rcc>
  <rcc rId="4436" sId="2" numFmtId="4">
    <nc r="C362">
      <v>44</v>
    </nc>
  </rcc>
  <rcc rId="4437" sId="2" numFmtId="4">
    <nc r="D362">
      <v>6</v>
    </nc>
  </rcc>
  <rcc rId="4438" sId="2" numFmtId="4">
    <nc r="E362">
      <v>6</v>
    </nc>
  </rcc>
  <rcc rId="4439" sId="2" numFmtId="4">
    <nc r="F362">
      <v>1</v>
    </nc>
  </rcc>
  <rcc rId="4440" sId="2" numFmtId="4">
    <nc r="G362">
      <v>0</v>
    </nc>
  </rcc>
  <rcc rId="4441" sId="2" numFmtId="4">
    <nc r="H362">
      <v>0</v>
    </nc>
  </rcc>
  <rcc rId="4442" sId="2" numFmtId="4">
    <nc r="B363">
      <v>13</v>
    </nc>
  </rcc>
  <rcc rId="4443" sId="2" numFmtId="4">
    <nc r="C363">
      <v>44</v>
    </nc>
  </rcc>
  <rcc rId="4444" sId="2" numFmtId="4">
    <nc r="D363">
      <v>7</v>
    </nc>
  </rcc>
  <rcc rId="4445" sId="2" numFmtId="4">
    <nc r="E363">
      <v>11</v>
    </nc>
  </rcc>
  <rcc rId="4446" sId="2" numFmtId="4">
    <nc r="F363">
      <v>4</v>
    </nc>
  </rcc>
  <rcc rId="4447" sId="2" numFmtId="4">
    <nc r="G363">
      <v>0</v>
    </nc>
  </rcc>
  <rcc rId="4448" sId="2" numFmtId="4">
    <nc r="H363">
      <v>0</v>
    </nc>
  </rcc>
  <rcc rId="4449" sId="2" numFmtId="4">
    <nc r="B364">
      <v>13</v>
    </nc>
  </rcc>
  <rcc rId="4450" sId="2" numFmtId="4">
    <nc r="C364">
      <v>44</v>
    </nc>
  </rcc>
  <rcc rId="4451" sId="2" numFmtId="4">
    <nc r="D364">
      <v>8</v>
    </nc>
  </rcc>
  <rcc rId="4452" sId="2" numFmtId="4">
    <nc r="E364">
      <v>8</v>
    </nc>
  </rcc>
  <rcc rId="4453" sId="2" numFmtId="4">
    <nc r="F364">
      <v>9</v>
    </nc>
  </rcc>
  <rcc rId="4454" sId="2" numFmtId="4">
    <nc r="G364">
      <v>0</v>
    </nc>
  </rcc>
  <rcc rId="4455" sId="2" numFmtId="4">
    <nc r="H364">
      <v>0</v>
    </nc>
  </rcc>
  <rcc rId="4456" sId="2" numFmtId="4">
    <nc r="B365">
      <v>13</v>
    </nc>
  </rcc>
  <rcc rId="4457" sId="2" numFmtId="4">
    <nc r="C365">
      <v>44</v>
    </nc>
  </rcc>
  <rcc rId="4458" sId="2" numFmtId="4">
    <nc r="D365">
      <v>9</v>
    </nc>
  </rcc>
  <rcc rId="4459" sId="2" numFmtId="4">
    <nc r="E365">
      <v>2</v>
    </nc>
  </rcc>
  <rcc rId="4460" sId="2" numFmtId="4">
    <nc r="F365">
      <v>9</v>
    </nc>
  </rcc>
  <rcc rId="4461" sId="2" numFmtId="4">
    <nc r="G365">
      <v>0</v>
    </nc>
  </rcc>
  <rcc rId="4462" sId="2" numFmtId="4">
    <nc r="H365">
      <v>0</v>
    </nc>
  </rcc>
  <rcc rId="4463" sId="2" numFmtId="4">
    <nc r="B366">
      <v>13</v>
    </nc>
  </rcc>
  <rcc rId="4464" sId="2" numFmtId="4">
    <nc r="C366">
      <v>21</v>
    </nc>
  </rcc>
  <rcc rId="4465" sId="2" numFmtId="4">
    <nc r="D366">
      <v>9</v>
    </nc>
  </rcc>
  <rcc rId="4466" sId="2" numFmtId="4">
    <nc r="E366">
      <v>4</v>
    </nc>
  </rcc>
  <rcc rId="4467" sId="2" numFmtId="4">
    <nc r="F366">
      <v>25</v>
    </nc>
  </rcc>
  <rcc rId="4468" sId="2" numFmtId="4">
    <nc r="G366">
      <v>0</v>
    </nc>
  </rcc>
  <rcc rId="4469" sId="2" numFmtId="4">
    <nc r="H366">
      <v>0</v>
    </nc>
  </rcc>
  <rcc rId="4470" sId="2" numFmtId="4">
    <nc r="B367">
      <v>13</v>
    </nc>
  </rcc>
  <rcc rId="4471" sId="2" numFmtId="4">
    <nc r="C367">
      <v>36</v>
    </nc>
  </rcc>
  <rcc rId="4472" sId="2" numFmtId="4">
    <nc r="D367">
      <v>7</v>
    </nc>
  </rcc>
  <rcc rId="4473" sId="2" numFmtId="4">
    <nc r="E367">
      <v>14</v>
    </nc>
  </rcc>
  <rcc rId="4474" sId="2" numFmtId="4">
    <nc r="F367">
      <v>11</v>
    </nc>
  </rcc>
  <rcc rId="4475" sId="2" numFmtId="4">
    <nc r="G367">
      <v>5</v>
    </nc>
  </rcc>
  <rcc rId="4476" sId="2" numFmtId="4">
    <nc r="H367">
      <v>0</v>
    </nc>
  </rcc>
  <rcc rId="4477" sId="2" numFmtId="4">
    <nc r="B368">
      <v>13</v>
    </nc>
  </rcc>
  <rcc rId="4478" sId="2" numFmtId="4">
    <nc r="C368">
      <v>36</v>
    </nc>
  </rcc>
  <rcc rId="4479" sId="2" numFmtId="4">
    <nc r="D368">
      <v>8</v>
    </nc>
  </rcc>
  <rcc rId="4480" sId="2" numFmtId="4">
    <nc r="E368">
      <v>22</v>
    </nc>
  </rcc>
  <rcc rId="4481" sId="2" numFmtId="4">
    <nc r="F368">
      <v>4</v>
    </nc>
  </rcc>
  <rcc rId="4482" sId="2" numFmtId="4">
    <nc r="G368">
      <v>19</v>
    </nc>
  </rcc>
  <rcc rId="4483" sId="2" numFmtId="4">
    <nc r="H368">
      <v>0</v>
    </nc>
  </rcc>
  <rcc rId="4484" sId="2" numFmtId="4">
    <nc r="B369">
      <v>13</v>
    </nc>
  </rcc>
  <rcc rId="4485" sId="2" numFmtId="4">
    <nc r="C369">
      <v>36</v>
    </nc>
  </rcc>
  <rcc rId="4486" sId="2" numFmtId="4">
    <nc r="D369">
      <v>9</v>
    </nc>
  </rcc>
  <rcc rId="4487" sId="2" numFmtId="4">
    <nc r="E369">
      <v>11</v>
    </nc>
  </rcc>
  <rcc rId="4488" sId="2" numFmtId="4">
    <nc r="F369">
      <v>6</v>
    </nc>
  </rcc>
  <rcc rId="4489" sId="2" numFmtId="4">
    <nc r="G369">
      <v>3</v>
    </nc>
  </rcc>
  <rcc rId="4490" sId="2" numFmtId="4">
    <nc r="H369">
      <v>0</v>
    </nc>
  </rcc>
  <rcc rId="4491" sId="2" numFmtId="4">
    <nc r="B370">
      <v>1</v>
    </nc>
  </rcc>
  <rcc rId="4492" sId="2" numFmtId="4">
    <nc r="C370">
      <v>112</v>
    </nc>
  </rcc>
  <rcc rId="4493" sId="2" numFmtId="4">
    <nc r="D370">
      <v>9</v>
    </nc>
  </rcc>
  <rcc rId="4494" sId="2" numFmtId="4">
    <nc r="E370">
      <v>23</v>
    </nc>
  </rcc>
  <rcc rId="4495" sId="2" numFmtId="4">
    <nc r="F370">
      <v>4</v>
    </nc>
  </rcc>
  <rcc rId="4496" sId="2" numFmtId="4">
    <nc r="G370">
      <v>0</v>
    </nc>
  </rcc>
  <rcc rId="4497" sId="2" numFmtId="4">
    <nc r="H370">
      <v>0</v>
    </nc>
  </rcc>
  <rcc rId="4498" sId="2" numFmtId="4">
    <nc r="B371">
      <v>13</v>
    </nc>
  </rcc>
  <rcc rId="4499" sId="2" numFmtId="4">
    <nc r="C371">
      <v>49</v>
    </nc>
  </rcc>
  <rcc rId="4500" sId="2" numFmtId="4">
    <nc r="D371">
      <v>9</v>
    </nc>
  </rcc>
  <rcc rId="4501" sId="2" numFmtId="4">
    <nc r="E371">
      <v>8</v>
    </nc>
  </rcc>
  <rcc rId="4502" sId="2" numFmtId="4">
    <nc r="F371">
      <v>7</v>
    </nc>
  </rcc>
  <rcc rId="4503" sId="2" numFmtId="4">
    <nc r="G371">
      <v>0</v>
    </nc>
  </rcc>
  <rcc rId="4504" sId="2" numFmtId="4">
    <nc r="H371">
      <v>0</v>
    </nc>
  </rcc>
  <rcc rId="4505" sId="2" numFmtId="4">
    <nc r="B372">
      <v>13</v>
    </nc>
  </rcc>
  <rcc rId="4506" sId="2" numFmtId="4">
    <nc r="C372">
      <v>101</v>
    </nc>
  </rcc>
  <rcc rId="4507" sId="2" numFmtId="4">
    <nc r="D372">
      <v>8</v>
    </nc>
  </rcc>
  <rcc rId="4508" sId="2" numFmtId="4">
    <nc r="E372">
      <v>1</v>
    </nc>
  </rcc>
  <rcc rId="4509" sId="2" numFmtId="4">
    <nc r="F372">
      <v>5</v>
    </nc>
  </rcc>
  <rcc rId="4510" sId="2" numFmtId="4">
    <nc r="G372">
      <v>0</v>
    </nc>
  </rcc>
  <rcc rId="4511" sId="2" numFmtId="4">
    <nc r="H372">
      <v>0</v>
    </nc>
  </rcc>
  <rcc rId="4512" sId="2" numFmtId="4">
    <nc r="B373">
      <v>13</v>
    </nc>
  </rcc>
  <rcc rId="4513" sId="2" numFmtId="4">
    <nc r="C373">
      <v>101</v>
    </nc>
  </rcc>
  <rcc rId="4514" sId="2" numFmtId="4">
    <nc r="D373">
      <v>7</v>
    </nc>
  </rcc>
  <rcc rId="4515" sId="2" numFmtId="4">
    <nc r="E373">
      <v>7</v>
    </nc>
  </rcc>
  <rcc rId="4516" sId="2" numFmtId="4">
    <nc r="F373">
      <v>8</v>
    </nc>
  </rcc>
  <rcc rId="4517" sId="2" numFmtId="4">
    <nc r="G373">
      <v>0</v>
    </nc>
  </rcc>
  <rcc rId="4518" sId="2" numFmtId="4">
    <nc r="H373">
      <v>0</v>
    </nc>
  </rcc>
  <rcc rId="4519" sId="2" numFmtId="4">
    <nc r="B374">
      <v>13</v>
    </nc>
  </rcc>
  <rcc rId="4520" sId="2" numFmtId="4">
    <nc r="C374">
      <v>37</v>
    </nc>
  </rcc>
  <rcc rId="4521" sId="2" numFmtId="4">
    <nc r="D374">
      <v>5</v>
    </nc>
  </rcc>
  <rcc rId="4522" sId="2" numFmtId="4">
    <nc r="E374">
      <v>10</v>
    </nc>
  </rcc>
  <rcc rId="4523" sId="2" numFmtId="4">
    <nc r="F374">
      <v>14</v>
    </nc>
  </rcc>
  <rcc rId="4524" sId="2" numFmtId="4">
    <nc r="G374">
      <v>0</v>
    </nc>
  </rcc>
  <rcc rId="4525" sId="2" numFmtId="4">
    <nc r="H374">
      <v>0</v>
    </nc>
  </rcc>
  <rcc rId="4526" sId="2" numFmtId="4">
    <nc r="B375">
      <v>13</v>
    </nc>
  </rcc>
  <rcc rId="4527" sId="2" numFmtId="4">
    <nc r="C375">
      <v>23</v>
    </nc>
  </rcc>
  <rcc rId="4528" sId="2" numFmtId="4">
    <nc r="D375">
      <v>5</v>
    </nc>
  </rcc>
  <rcc rId="4529" sId="2" numFmtId="4">
    <nc r="E375">
      <v>6</v>
    </nc>
  </rcc>
  <rcc rId="4530" sId="2" numFmtId="4">
    <nc r="F375">
      <v>10</v>
    </nc>
  </rcc>
  <rcc rId="4531" sId="2" numFmtId="4">
    <nc r="G375">
      <v>0</v>
    </nc>
  </rcc>
  <rcc rId="4532" sId="2" numFmtId="4">
    <nc r="H375">
      <v>0</v>
    </nc>
  </rcc>
  <rcc rId="4533" sId="2" numFmtId="4">
    <nc r="B376">
      <v>13</v>
    </nc>
  </rcc>
  <rcc rId="4534" sId="2" numFmtId="4">
    <nc r="C376">
      <v>23</v>
    </nc>
  </rcc>
  <rcc rId="4535" sId="2" numFmtId="4">
    <nc r="D376">
      <v>6</v>
    </nc>
  </rcc>
  <rcc rId="4536" sId="2" numFmtId="4">
    <nc r="E376">
      <v>7</v>
    </nc>
  </rcc>
  <rcc rId="4537" sId="2" numFmtId="4">
    <nc r="F376">
      <v>12</v>
    </nc>
  </rcc>
  <rcc rId="4538" sId="2" numFmtId="4">
    <nc r="G376">
      <v>0</v>
    </nc>
  </rcc>
  <rcc rId="4539" sId="2" numFmtId="4">
    <nc r="H376">
      <v>1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>
  <rcc rId="4540" sId="5" numFmtId="4">
    <nc r="B348">
      <v>13</v>
    </nc>
  </rcc>
  <rcc rId="4541" sId="5" numFmtId="4">
    <nc r="C348">
      <v>125</v>
    </nc>
  </rcc>
  <rcc rId="4542" sId="5" numFmtId="4">
    <nc r="D348">
      <v>10</v>
    </nc>
  </rcc>
  <rcc rId="4543" sId="5" numFmtId="4">
    <nc r="E348">
      <v>15</v>
    </nc>
  </rcc>
  <rcc rId="4544" sId="5" numFmtId="4">
    <nc r="F348">
      <v>9</v>
    </nc>
  </rcc>
  <rcc rId="4545" sId="5" numFmtId="4">
    <nc r="G348">
      <v>0</v>
    </nc>
  </rcc>
  <rcc rId="4546" sId="5" numFmtId="4">
    <nc r="B349">
      <v>13</v>
    </nc>
  </rcc>
  <rcc rId="4547" sId="5" numFmtId="4">
    <nc r="C349">
      <v>125</v>
    </nc>
  </rcc>
  <rcc rId="4548" sId="5" numFmtId="4">
    <nc r="D349">
      <v>9</v>
    </nc>
  </rcc>
  <rcc rId="4549" sId="5" numFmtId="4">
    <nc r="E349">
      <v>9</v>
    </nc>
  </rcc>
  <rcc rId="4550" sId="5" numFmtId="4">
    <nc r="F349">
      <v>12</v>
    </nc>
  </rcc>
  <rcc rId="4551" sId="5" numFmtId="4">
    <nc r="G349">
      <v>0</v>
    </nc>
  </rcc>
  <rcc rId="4552" sId="5" numFmtId="4">
    <nc r="B350">
      <v>13</v>
    </nc>
  </rcc>
  <rcc rId="4553" sId="5" numFmtId="4">
    <nc r="C350">
      <v>125</v>
    </nc>
  </rcc>
  <rcc rId="4554" sId="5" numFmtId="4">
    <nc r="D350">
      <v>7</v>
    </nc>
  </rcc>
  <rcc rId="4555" sId="5" numFmtId="4">
    <nc r="E350">
      <v>22</v>
    </nc>
  </rcc>
  <rcc rId="4556" sId="5" numFmtId="4">
    <nc r="F350">
      <v>6</v>
    </nc>
  </rcc>
  <rcc rId="4557" sId="5" numFmtId="4">
    <nc r="G350">
      <v>0</v>
    </nc>
  </rcc>
  <rcc rId="4558" sId="5" numFmtId="4">
    <nc r="B351">
      <v>13</v>
    </nc>
  </rcc>
  <rcc rId="4559" sId="5" numFmtId="4">
    <nc r="C351">
      <v>125</v>
    </nc>
  </rcc>
  <rcc rId="4560" sId="5" numFmtId="4">
    <nc r="D351">
      <v>8</v>
    </nc>
  </rcc>
  <rcc rId="4561" sId="5" numFmtId="4">
    <nc r="E351">
      <v>13</v>
    </nc>
  </rcc>
  <rcc rId="4562" sId="5" numFmtId="4">
    <nc r="F351">
      <v>14</v>
    </nc>
  </rcc>
  <rcc rId="4563" sId="5" numFmtId="4">
    <nc r="G351">
      <v>0</v>
    </nc>
  </rcc>
  <rcc rId="4564" sId="5" numFmtId="4">
    <nc r="B352">
      <v>13</v>
    </nc>
  </rcc>
  <rcc rId="4565" sId="5" numFmtId="4">
    <nc r="C352">
      <v>125</v>
    </nc>
  </rcc>
  <rcc rId="4566" sId="5" numFmtId="4">
    <nc r="D352">
      <v>6</v>
    </nc>
  </rcc>
  <rcc rId="4567" sId="5" numFmtId="4">
    <nc r="E352">
      <v>14</v>
    </nc>
  </rcc>
  <rcc rId="4568" sId="5" numFmtId="4">
    <nc r="F352">
      <v>17</v>
    </nc>
  </rcc>
  <rcc rId="4569" sId="5" numFmtId="4">
    <nc r="G352">
      <v>0</v>
    </nc>
  </rcc>
  <rcc rId="4570" sId="5" numFmtId="4">
    <nc r="B353">
      <v>13</v>
    </nc>
  </rcc>
  <rcc rId="4571" sId="5" numFmtId="4">
    <nc r="C353">
      <v>125</v>
    </nc>
  </rcc>
  <rcc rId="4572" sId="5" numFmtId="4">
    <nc r="D353">
      <v>5</v>
    </nc>
  </rcc>
  <rcc rId="4573" sId="5" numFmtId="4">
    <nc r="E353">
      <v>9</v>
    </nc>
  </rcc>
  <rcc rId="4574" sId="5" numFmtId="4">
    <nc r="F353">
      <v>7</v>
    </nc>
  </rcc>
  <rcc rId="4575" sId="5" numFmtId="4">
    <nc r="G353">
      <v>0</v>
    </nc>
  </rcc>
  <rcc rId="4576" sId="5" numFmtId="4">
    <nc r="B354">
      <v>13</v>
    </nc>
  </rcc>
  <rcc rId="4577" sId="5" numFmtId="4">
    <nc r="C354">
      <v>125</v>
    </nc>
  </rcc>
  <rcc rId="4578" sId="5" numFmtId="4">
    <nc r="D354">
      <v>4</v>
    </nc>
  </rcc>
  <rcc rId="4579" sId="5" numFmtId="4">
    <nc r="E354">
      <v>7</v>
    </nc>
  </rcc>
  <rcc rId="4580" sId="5" numFmtId="4">
    <nc r="F354">
      <v>12</v>
    </nc>
  </rcc>
  <rcc rId="4581" sId="5" numFmtId="4">
    <nc r="G354">
      <v>0</v>
    </nc>
  </rcc>
  <rcc rId="4582" sId="5" numFmtId="4">
    <nc r="B355">
      <v>13</v>
    </nc>
  </rcc>
  <rcc rId="4583" sId="5" numFmtId="4">
    <nc r="C355">
      <v>126</v>
    </nc>
  </rcc>
  <rcc rId="4584" sId="5" numFmtId="4">
    <nc r="D355">
      <v>10</v>
    </nc>
  </rcc>
  <rcc rId="4585" sId="5" numFmtId="4">
    <nc r="E355">
      <v>4</v>
    </nc>
  </rcc>
  <rcc rId="4586" sId="5" numFmtId="4">
    <nc r="F355">
      <v>7</v>
    </nc>
  </rcc>
  <rcc rId="4587" sId="5" numFmtId="4">
    <nc r="G355">
      <v>0</v>
    </nc>
  </rcc>
  <rcc rId="4588" sId="5" numFmtId="4">
    <nc r="B356">
      <v>13</v>
    </nc>
  </rcc>
  <rcc rId="4589" sId="5" numFmtId="4">
    <nc r="C356">
      <v>112</v>
    </nc>
  </rcc>
  <rcc rId="4590" sId="5" numFmtId="4">
    <nc r="D356">
      <v>10</v>
    </nc>
  </rcc>
  <rcc rId="4591" sId="5" numFmtId="4">
    <nc r="E356">
      <v>25</v>
    </nc>
  </rcc>
  <rcc rId="4592" sId="5" numFmtId="4">
    <nc r="F356">
      <v>6</v>
    </nc>
  </rcc>
  <rcc rId="4593" sId="5" numFmtId="4">
    <nc r="G356">
      <v>0</v>
    </nc>
  </rcc>
  <rcc rId="4594" sId="5" numFmtId="4">
    <nc r="B357">
      <v>13</v>
    </nc>
  </rcc>
  <rcc rId="4595" sId="5" numFmtId="4">
    <nc r="C357">
      <v>86</v>
    </nc>
  </rcc>
  <rcc rId="4596" sId="5" numFmtId="4">
    <nc r="D357">
      <v>10</v>
    </nc>
  </rcc>
  <rcc rId="4597" sId="5" numFmtId="4">
    <nc r="E357">
      <v>17</v>
    </nc>
  </rcc>
  <rcc rId="4598" sId="5" numFmtId="4">
    <nc r="F357">
      <v>2</v>
    </nc>
  </rcc>
  <rcc rId="4599" sId="5" numFmtId="4">
    <nc r="G357">
      <v>6</v>
    </nc>
  </rcc>
  <rcc rId="4600" sId="5" numFmtId="4">
    <nc r="B358">
      <v>13</v>
    </nc>
  </rcc>
  <rcc rId="4601" sId="5" numFmtId="4">
    <nc r="C358">
      <v>114</v>
    </nc>
  </rcc>
  <rcc rId="4602" sId="5" numFmtId="4">
    <nc r="D358">
      <v>10</v>
    </nc>
  </rcc>
  <rcc rId="4603" sId="5" numFmtId="4">
    <nc r="E358">
      <v>21</v>
    </nc>
  </rcc>
  <rcc rId="4604" sId="5" numFmtId="4">
    <nc r="F358">
      <v>5</v>
    </nc>
  </rcc>
  <rcc rId="4605" sId="5" numFmtId="4">
    <nc r="G358">
      <v>3</v>
    </nc>
  </rcc>
  <rcc rId="4606" sId="5" numFmtId="4">
    <nc r="B359">
      <v>13</v>
    </nc>
  </rcc>
  <rcc rId="4607" sId="5" numFmtId="4">
    <nc r="C359">
      <v>99</v>
    </nc>
  </rcc>
  <rcc rId="4608" sId="5" numFmtId="4">
    <nc r="D359">
      <v>10</v>
    </nc>
  </rcc>
  <rcc rId="4609" sId="5" numFmtId="4">
    <nc r="E359">
      <v>11</v>
    </nc>
  </rcc>
  <rcc rId="4610" sId="5" numFmtId="4">
    <nc r="F359">
      <v>4</v>
    </nc>
  </rcc>
  <rcc rId="4611" sId="5" numFmtId="4">
    <nc r="G359">
      <v>0</v>
    </nc>
  </rcc>
  <rcc rId="4612" sId="5" numFmtId="4">
    <nc r="B360">
      <v>13</v>
    </nc>
  </rcc>
  <rcc rId="4613" sId="5" numFmtId="4">
    <nc r="C360">
      <v>96</v>
    </nc>
  </rcc>
  <rcc rId="4614" sId="5" numFmtId="4">
    <nc r="D360">
      <v>10</v>
    </nc>
  </rcc>
  <rcc rId="4615" sId="5" numFmtId="4">
    <nc r="E360">
      <v>1</v>
    </nc>
  </rcc>
  <rcc rId="4616" sId="5" numFmtId="4">
    <nc r="F360">
      <v>0</v>
    </nc>
  </rcc>
  <rcc rId="4617" sId="5" numFmtId="4">
    <nc r="G360">
      <v>1</v>
    </nc>
  </rcc>
  <rcc rId="4618" sId="5" numFmtId="4">
    <nc r="B361">
      <v>13</v>
    </nc>
  </rcc>
  <rcc rId="4619" sId="5" numFmtId="4">
    <nc r="C361">
      <v>64</v>
    </nc>
  </rcc>
  <rcc rId="4620" sId="5" numFmtId="4">
    <nc r="D361">
      <v>10</v>
    </nc>
  </rcc>
  <rcc rId="4621" sId="5" numFmtId="4">
    <nc r="E361">
      <v>0</v>
    </nc>
  </rcc>
  <rcc rId="4622" sId="5" numFmtId="4">
    <nc r="F361">
      <v>20</v>
    </nc>
  </rcc>
  <rcc rId="4623" sId="5" numFmtId="4">
    <nc r="G361">
      <v>0</v>
    </nc>
  </rcc>
  <rcc rId="4624" sId="5" numFmtId="4">
    <nc r="B362">
      <v>13</v>
    </nc>
  </rcc>
  <rcc rId="4625" sId="5" numFmtId="4">
    <nc r="C362">
      <v>64</v>
    </nc>
  </rcc>
  <rcc rId="4626" sId="5" numFmtId="4">
    <nc r="D362">
      <v>9</v>
    </nc>
  </rcc>
  <rcc rId="4627" sId="5" numFmtId="4">
    <nc r="E362">
      <v>0</v>
    </nc>
  </rcc>
  <rcc rId="4628" sId="5" numFmtId="4">
    <nc r="F362">
      <v>22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>
  <rcc rId="4629" sId="2" numFmtId="4">
    <nc r="B377">
      <v>13</v>
    </nc>
  </rcc>
  <rcc rId="4630" sId="2" numFmtId="4">
    <nc r="C377">
      <v>23</v>
    </nc>
  </rcc>
  <rcc rId="4631" sId="2" numFmtId="4">
    <nc r="D377">
      <v>8</v>
    </nc>
  </rcc>
  <rcc rId="4632" sId="2" numFmtId="4">
    <nc r="E377">
      <v>6</v>
    </nc>
  </rcc>
  <rcc rId="4633" sId="2" numFmtId="4">
    <nc r="F377">
      <v>14</v>
    </nc>
  </rcc>
  <rcc rId="4634" sId="2" numFmtId="4">
    <nc r="G377">
      <v>1</v>
    </nc>
  </rcc>
  <rcc rId="4635" sId="2" numFmtId="4">
    <nc r="H377">
      <v>1</v>
    </nc>
  </rcc>
  <rcc rId="4636" sId="2" numFmtId="4">
    <nc r="B378">
      <v>13</v>
    </nc>
  </rcc>
  <rcc rId="4637" sId="2" numFmtId="4">
    <nc r="C378">
      <v>23</v>
    </nc>
  </rcc>
  <rcc rId="4638" sId="2" numFmtId="4">
    <nc r="D378">
      <v>9</v>
    </nc>
  </rcc>
  <rcc rId="4639" sId="2" numFmtId="4">
    <nc r="E378">
      <v>10</v>
    </nc>
  </rcc>
  <rcc rId="4640" sId="2" numFmtId="4">
    <nc r="F378">
      <v>15</v>
    </nc>
  </rcc>
  <rcc rId="4641" sId="2" numFmtId="4">
    <nc r="G378">
      <v>2</v>
    </nc>
  </rcc>
  <rcc rId="4642" sId="2" numFmtId="4">
    <nc r="H378">
      <v>0</v>
    </nc>
  </rcc>
  <rcc rId="4643" sId="2" numFmtId="4">
    <nc r="B379">
      <v>1</v>
    </nc>
  </rcc>
  <rcc rId="4644" sId="2" numFmtId="4">
    <nc r="C379">
      <v>47</v>
    </nc>
  </rcc>
  <rcc rId="4645" sId="2" numFmtId="4">
    <nc r="D379">
      <v>5</v>
    </nc>
  </rcc>
  <rcc rId="4646" sId="2" numFmtId="4">
    <nc r="E379">
      <v>3</v>
    </nc>
  </rcc>
  <rcc rId="4647" sId="2" numFmtId="4">
    <nc r="F379">
      <v>3</v>
    </nc>
  </rcc>
  <rcc rId="4648" sId="2" numFmtId="4">
    <nc r="G379">
      <v>0</v>
    </nc>
  </rcc>
  <rcc rId="4649" sId="2" numFmtId="4">
    <nc r="H379">
      <v>0</v>
    </nc>
  </rcc>
  <rcc rId="4650" sId="2" numFmtId="4">
    <nc r="B380">
      <v>13</v>
    </nc>
  </rcc>
  <rcc rId="4651" sId="2" numFmtId="4">
    <nc r="C380">
      <v>66</v>
    </nc>
  </rcc>
  <rcc rId="4652" sId="2" numFmtId="4">
    <nc r="D380">
      <v>8</v>
    </nc>
  </rcc>
  <rcc rId="4653" sId="2" numFmtId="4">
    <nc r="E380">
      <v>11</v>
    </nc>
  </rcc>
  <rcc rId="4654" sId="2" numFmtId="4">
    <nc r="F380">
      <v>13</v>
    </nc>
  </rcc>
  <rcc rId="4655" sId="2" numFmtId="4">
    <nc r="G380">
      <v>5</v>
    </nc>
  </rcc>
  <rcc rId="4656" sId="2" numFmtId="4">
    <nc r="H380">
      <v>0</v>
    </nc>
  </rcc>
  <rcc rId="4657" sId="2" numFmtId="4">
    <nc r="B381">
      <v>13</v>
    </nc>
  </rcc>
  <rcc rId="4658" sId="2" numFmtId="4">
    <nc r="C381">
      <v>9</v>
    </nc>
  </rcc>
  <rcc rId="4659" sId="2" numFmtId="4">
    <nc r="D381">
      <v>3</v>
    </nc>
  </rcc>
  <rcc rId="4660" sId="2" numFmtId="4">
    <nc r="E381">
      <v>5</v>
    </nc>
  </rcc>
  <rcc rId="4661" sId="2" numFmtId="4">
    <nc r="F381">
      <v>20</v>
    </nc>
  </rcc>
  <rcc rId="4662" sId="2" numFmtId="4">
    <nc r="G381">
      <v>0</v>
    </nc>
  </rcc>
  <rcc rId="4663" sId="2" numFmtId="4">
    <nc r="H381">
      <v>0</v>
    </nc>
  </rcc>
  <rcc rId="4664" sId="2" numFmtId="4">
    <nc r="B382">
      <v>13</v>
    </nc>
  </rcc>
  <rcc rId="4665" sId="2" numFmtId="4">
    <nc r="C382">
      <v>9</v>
    </nc>
  </rcc>
  <rcc rId="4666" sId="2" numFmtId="4">
    <nc r="D382">
      <v>8</v>
    </nc>
  </rcc>
  <rcc rId="4667" sId="2" numFmtId="4">
    <nc r="E382">
      <v>6</v>
    </nc>
  </rcc>
  <rcc rId="4668" sId="2" numFmtId="4">
    <nc r="F382">
      <v>19</v>
    </nc>
  </rcc>
  <rcc rId="4669" sId="2" numFmtId="4">
    <nc r="G382">
      <v>0</v>
    </nc>
  </rcc>
  <rcc rId="4670" sId="2" numFmtId="4">
    <nc r="H382">
      <v>0</v>
    </nc>
  </rcc>
  <rcc rId="4671" sId="2" numFmtId="4">
    <nc r="B383">
      <v>13</v>
    </nc>
  </rcc>
  <rcc rId="4672" sId="2" numFmtId="4">
    <nc r="C383">
      <v>115</v>
    </nc>
  </rcc>
  <rcc rId="4673" sId="2" numFmtId="4">
    <nc r="D383">
      <v>10</v>
    </nc>
  </rcc>
  <rcc rId="4674" sId="2" numFmtId="4">
    <nc r="E383">
      <v>0</v>
    </nc>
  </rcc>
  <rcc rId="4675" sId="2" numFmtId="4">
    <nc r="F383">
      <v>15</v>
    </nc>
  </rcc>
  <rcc rId="4676" sId="2" numFmtId="4">
    <nc r="G383">
      <v>0</v>
    </nc>
  </rcc>
  <rcc rId="4677" sId="2" numFmtId="4">
    <nc r="H383">
      <v>0</v>
    </nc>
  </rcc>
  <rcc rId="4678" sId="2" numFmtId="4">
    <nc r="B384">
      <v>13</v>
    </nc>
  </rcc>
  <rcc rId="4679" sId="2" numFmtId="4">
    <nc r="C384">
      <v>115</v>
    </nc>
  </rcc>
  <rcc rId="4680" sId="2" numFmtId="4">
    <nc r="D384">
      <v>9</v>
    </nc>
  </rcc>
  <rcc rId="4681" sId="2" numFmtId="4">
    <nc r="E384">
      <v>0</v>
    </nc>
  </rcc>
  <rcc rId="4682" sId="2" numFmtId="4">
    <nc r="F384">
      <v>25</v>
    </nc>
  </rcc>
  <rcc rId="4683" sId="2" numFmtId="4">
    <nc r="G384">
      <v>0</v>
    </nc>
  </rcc>
  <rcc rId="4684" sId="2" numFmtId="4">
    <nc r="H384">
      <v>0</v>
    </nc>
  </rcc>
  <rcc rId="4685" sId="2" numFmtId="4">
    <nc r="B385">
      <v>13</v>
    </nc>
  </rcc>
  <rcc rId="4686" sId="2" numFmtId="4">
    <nc r="C385">
      <v>75</v>
    </nc>
  </rcc>
  <rcc rId="4687" sId="2" numFmtId="4">
    <nc r="D385">
      <v>5</v>
    </nc>
  </rcc>
  <rcc rId="4688" sId="2" numFmtId="4">
    <nc r="E385">
      <v>0</v>
    </nc>
  </rcc>
  <rcc rId="4689" sId="2" numFmtId="4">
    <nc r="F385">
      <v>25</v>
    </nc>
  </rcc>
  <rcc rId="4690" sId="2" numFmtId="4">
    <nc r="G385">
      <v>0</v>
    </nc>
  </rcc>
  <rcc rId="4691" sId="2" numFmtId="4">
    <nc r="H385">
      <v>0</v>
    </nc>
  </rcc>
  <rcc rId="4692" sId="2" numFmtId="4">
    <nc r="B386">
      <v>13</v>
    </nc>
  </rcc>
  <rcc rId="4693" sId="2" numFmtId="4">
    <nc r="C386">
      <v>12</v>
    </nc>
  </rcc>
  <rcc rId="4694" sId="2" numFmtId="4">
    <nc r="D386">
      <v>9</v>
    </nc>
  </rcc>
  <rcc rId="4695" sId="2" numFmtId="4">
    <nc r="E386">
      <v>12</v>
    </nc>
  </rcc>
  <rcc rId="4696" sId="2" numFmtId="4">
    <nc r="F386">
      <v>7</v>
    </nc>
  </rcc>
  <rcc rId="4697" sId="2" numFmtId="4">
    <nc r="G386">
      <v>0</v>
    </nc>
  </rcc>
  <rcc rId="4698" sId="2" numFmtId="4">
    <nc r="H386">
      <v>2</v>
    </nc>
  </rcc>
  <rcc rId="4699" sId="2" numFmtId="4">
    <nc r="B387">
      <v>13</v>
    </nc>
  </rcc>
  <rcc rId="4700" sId="2" numFmtId="4">
    <nc r="C387">
      <v>12</v>
    </nc>
  </rcc>
  <rcc rId="4701" sId="2" numFmtId="4">
    <nc r="D387">
      <v>8</v>
    </nc>
  </rcc>
  <rcc rId="4702" sId="2" numFmtId="4">
    <nc r="E387">
      <v>5</v>
    </nc>
  </rcc>
  <rcc rId="4703" sId="2" numFmtId="4">
    <nc r="F387">
      <v>8</v>
    </nc>
  </rcc>
  <rcc rId="4704" sId="2" numFmtId="4">
    <nc r="G387">
      <v>0</v>
    </nc>
  </rcc>
  <rcc rId="4705" sId="2" numFmtId="4">
    <nc r="H387">
      <v>4</v>
    </nc>
  </rcc>
  <rcc rId="4706" sId="2" numFmtId="4">
    <nc r="B388">
      <v>13</v>
    </nc>
  </rcc>
  <rcc rId="4707" sId="2" numFmtId="4">
    <nc r="C388">
      <v>112</v>
    </nc>
  </rcc>
  <rcc rId="4708" sId="2" numFmtId="4">
    <nc r="D388">
      <v>9</v>
    </nc>
  </rcc>
  <rcc rId="4709" sId="2" numFmtId="4">
    <nc r="E388">
      <v>25</v>
    </nc>
  </rcc>
  <rcc rId="4710" sId="2" numFmtId="4">
    <nc r="F388">
      <v>10</v>
    </nc>
  </rcc>
  <rcc rId="4711" sId="2" numFmtId="4">
    <nc r="G388">
      <v>6</v>
    </nc>
  </rcc>
  <rcc rId="4712" sId="2" numFmtId="4">
    <nc r="H388">
      <v>4</v>
    </nc>
  </rcc>
  <rcc rId="4713" sId="2" numFmtId="4">
    <nc r="B389">
      <v>13</v>
    </nc>
  </rcc>
  <rcc rId="4714" sId="2" numFmtId="4">
    <nc r="C389">
      <v>12</v>
    </nc>
  </rcc>
  <rcc rId="4715" sId="2" numFmtId="4">
    <nc r="D389">
      <v>10</v>
    </nc>
  </rcc>
  <rcc rId="4716" sId="2" numFmtId="4">
    <nc r="E389">
      <v>12</v>
    </nc>
  </rcc>
  <rcc rId="4717" sId="2" numFmtId="4">
    <nc r="F389">
      <v>6</v>
    </nc>
  </rcc>
  <rcc rId="4718" sId="2" numFmtId="4">
    <nc r="G389">
      <v>0</v>
    </nc>
  </rcc>
  <rcc rId="4719" sId="2" numFmtId="4">
    <nc r="H389">
      <v>2</v>
    </nc>
  </rcc>
  <rcc rId="4720" sId="2" numFmtId="4">
    <nc r="B390">
      <v>1</v>
    </nc>
  </rcc>
  <rcc rId="4721" sId="2" numFmtId="4">
    <nc r="C390">
      <v>48</v>
    </nc>
  </rcc>
  <rcc rId="4722" sId="2" numFmtId="4">
    <nc r="D390">
      <v>10</v>
    </nc>
  </rcc>
  <rcc rId="4723" sId="2" numFmtId="4">
    <nc r="E390">
      <v>11</v>
    </nc>
  </rcc>
  <rcc rId="4724" sId="2" numFmtId="4">
    <nc r="F390">
      <v>12</v>
    </nc>
  </rcc>
  <rcc rId="4725" sId="2" numFmtId="4">
    <nc r="G390">
      <v>0</v>
    </nc>
  </rcc>
  <rcc rId="4726" sId="2" numFmtId="4">
    <nc r="H390">
      <v>0</v>
    </nc>
  </rcc>
  <rcc rId="4727" sId="2" numFmtId="4">
    <nc r="B391">
      <v>1</v>
    </nc>
  </rcc>
  <rcc rId="4728" sId="2" numFmtId="4">
    <nc r="C391">
      <v>48</v>
    </nc>
  </rcc>
  <rcc rId="4729" sId="2" numFmtId="4">
    <nc r="D391">
      <v>9</v>
    </nc>
  </rcc>
  <rcc rId="4730" sId="2" numFmtId="4">
    <nc r="E391">
      <v>10</v>
    </nc>
  </rcc>
  <rcc rId="4731" sId="2" numFmtId="4">
    <nc r="F391">
      <v>7</v>
    </nc>
  </rcc>
  <rcc rId="4732" sId="2" numFmtId="4">
    <nc r="G391">
      <v>0</v>
    </nc>
  </rcc>
  <rcc rId="4733" sId="2" numFmtId="4">
    <nc r="H391">
      <v>0</v>
    </nc>
  </rcc>
  <rcc rId="4734" sId="2" numFmtId="4">
    <nc r="B392">
      <v>1</v>
    </nc>
  </rcc>
  <rcc rId="4735" sId="2" numFmtId="4">
    <nc r="C392">
      <v>29</v>
    </nc>
  </rcc>
  <rcc rId="4736" sId="2" numFmtId="4">
    <nc r="D392">
      <v>6</v>
    </nc>
  </rcc>
  <rcc rId="4737" sId="2" numFmtId="4">
    <nc r="E392">
      <v>18</v>
    </nc>
  </rcc>
  <rcc rId="4738" sId="2" numFmtId="4">
    <nc r="F392">
      <v>12</v>
    </nc>
  </rcc>
  <rcc rId="4739" sId="2" numFmtId="4">
    <nc r="G392">
      <v>0</v>
    </nc>
  </rcc>
  <rcc rId="4740" sId="2" numFmtId="4">
    <nc r="H392">
      <v>0</v>
    </nc>
  </rcc>
  <rcc rId="4741" sId="2" numFmtId="4">
    <nc r="B393">
      <v>13</v>
    </nc>
  </rcc>
  <rcc rId="4742" sId="2" numFmtId="4">
    <nc r="C393">
      <v>67</v>
    </nc>
  </rcc>
  <rcc rId="4743" sId="2" numFmtId="4">
    <nc r="D393">
      <v>9</v>
    </nc>
  </rcc>
  <rcc rId="4744" sId="2" numFmtId="4">
    <nc r="E393">
      <v>0</v>
    </nc>
  </rcc>
  <rcc rId="4745" sId="2" numFmtId="4">
    <nc r="F393">
      <v>10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>
  <rcc rId="4746" sId="5" numFmtId="4">
    <nc r="G362">
      <v>1</v>
    </nc>
  </rcc>
  <rcc rId="4747" sId="5" numFmtId="4">
    <nc r="B363">
      <v>13</v>
    </nc>
  </rcc>
  <rcc rId="4748" sId="5" numFmtId="4">
    <nc r="C363">
      <v>97</v>
    </nc>
  </rcc>
  <rcc rId="4749" sId="5" numFmtId="4">
    <nc r="D363">
      <v>10</v>
    </nc>
  </rcc>
  <rcc rId="4750" sId="5" numFmtId="4">
    <nc r="E363">
      <v>4</v>
    </nc>
  </rcc>
  <rcc rId="4751" sId="5" numFmtId="4">
    <nc r="F363">
      <v>0</v>
    </nc>
  </rcc>
  <rcc rId="4752" sId="5" numFmtId="4">
    <nc r="G363">
      <v>0</v>
    </nc>
  </rcc>
  <rcc rId="4753" sId="5" numFmtId="4">
    <nc r="B364">
      <v>13</v>
    </nc>
  </rcc>
  <rcc rId="4754" sId="5" numFmtId="4">
    <nc r="C364">
      <v>97</v>
    </nc>
  </rcc>
  <rcc rId="4755" sId="5" numFmtId="4">
    <nc r="D364">
      <v>9</v>
    </nc>
  </rcc>
  <rcc rId="4756" sId="5" numFmtId="4">
    <nc r="E364">
      <v>14</v>
    </nc>
  </rcc>
  <rcc rId="4757" sId="5" numFmtId="4">
    <nc r="F364">
      <v>0</v>
    </nc>
  </rcc>
  <rcc rId="4758" sId="5" numFmtId="4">
    <nc r="G364">
      <v>0</v>
    </nc>
  </rcc>
  <rcc rId="4759" sId="5" numFmtId="4">
    <nc r="B365">
      <v>13</v>
    </nc>
  </rcc>
  <rcc rId="4760" sId="5" numFmtId="4">
    <nc r="C365">
      <v>97</v>
    </nc>
  </rcc>
  <rcc rId="4761" sId="5" numFmtId="4">
    <nc r="D365">
      <v>8</v>
    </nc>
  </rcc>
  <rcc rId="4762" sId="5" numFmtId="4">
    <nc r="E365">
      <v>15</v>
    </nc>
  </rcc>
  <rcc rId="4763" sId="5" numFmtId="4">
    <nc r="F365">
      <v>8</v>
    </nc>
  </rcc>
  <rcc rId="4764" sId="5" numFmtId="4">
    <nc r="G365">
      <v>0</v>
    </nc>
  </rcc>
  <rcc rId="4765" sId="5" numFmtId="4">
    <nc r="B366">
      <v>13</v>
    </nc>
  </rcc>
  <rcc rId="4766" sId="5" numFmtId="4">
    <nc r="C366">
      <v>97</v>
    </nc>
  </rcc>
  <rcc rId="4767" sId="5" numFmtId="4">
    <nc r="D366">
      <v>7</v>
    </nc>
  </rcc>
  <rcc rId="4768" sId="5" numFmtId="4">
    <nc r="E366">
      <v>12</v>
    </nc>
  </rcc>
  <rcc rId="4769" sId="5" numFmtId="4">
    <nc r="F366">
      <v>10</v>
    </nc>
  </rcc>
  <rcc rId="4770" sId="5" numFmtId="4">
    <nc r="G366">
      <v>0</v>
    </nc>
  </rcc>
  <rcc rId="4771" sId="5" numFmtId="4">
    <nc r="B367">
      <v>13</v>
    </nc>
  </rcc>
  <rcc rId="4772" sId="5" numFmtId="4">
    <nc r="C367">
      <v>97</v>
    </nc>
  </rcc>
  <rcc rId="4773" sId="5" numFmtId="4">
    <nc r="D367">
      <v>6</v>
    </nc>
  </rcc>
  <rcc rId="4774" sId="5" numFmtId="4">
    <nc r="E367">
      <v>20</v>
    </nc>
  </rcc>
  <rcc rId="4775" sId="5" numFmtId="4">
    <nc r="F367">
      <v>3</v>
    </nc>
  </rcc>
  <rcc rId="4776" sId="5" numFmtId="4">
    <nc r="G367">
      <v>0</v>
    </nc>
  </rcc>
  <rcc rId="4777" sId="5" numFmtId="4">
    <nc r="B368">
      <v>13</v>
    </nc>
  </rcc>
  <rcc rId="4778" sId="5" numFmtId="4">
    <nc r="C368">
      <v>97</v>
    </nc>
  </rcc>
  <rcc rId="4779" sId="5" numFmtId="4">
    <nc r="D368">
      <v>5</v>
    </nc>
  </rcc>
  <rcc rId="4780" sId="5" numFmtId="4">
    <nc r="E368">
      <v>17</v>
    </nc>
  </rcc>
  <rcc rId="4781" sId="5" numFmtId="4">
    <nc r="F368">
      <v>6</v>
    </nc>
  </rcc>
  <rcc rId="4782" sId="5" numFmtId="4">
    <nc r="G368">
      <v>0</v>
    </nc>
  </rcc>
  <rcc rId="4783" sId="5" numFmtId="4">
    <nc r="B369">
      <v>13</v>
    </nc>
  </rcc>
  <rcc rId="4784" sId="5" numFmtId="4">
    <nc r="C369">
      <v>97</v>
    </nc>
  </rcc>
  <rcc rId="4785" sId="5" numFmtId="4">
    <nc r="D369">
      <v>4</v>
    </nc>
  </rcc>
  <rcc rId="4786" sId="5" numFmtId="4">
    <nc r="E369">
      <v>6</v>
    </nc>
  </rcc>
  <rcc rId="4787" sId="5" numFmtId="4">
    <nc r="F369">
      <v>2</v>
    </nc>
  </rcc>
  <rcc rId="4788" sId="5" numFmtId="4">
    <nc r="G369">
      <v>0</v>
    </nc>
  </rcc>
  <rcc rId="4789" sId="5" numFmtId="4">
    <nc r="B370">
      <v>13</v>
    </nc>
  </rcc>
  <rcc rId="4790" sId="5" numFmtId="4">
    <nc r="C370">
      <v>97</v>
    </nc>
  </rcc>
  <rcc rId="4791" sId="5" numFmtId="4">
    <nc r="D370">
      <v>3</v>
    </nc>
  </rcc>
  <rcc rId="4792" sId="5" numFmtId="4">
    <nc r="E370">
      <v>10</v>
    </nc>
  </rcc>
  <rcc rId="4793" sId="5" numFmtId="4">
    <nc r="F370">
      <v>0</v>
    </nc>
  </rcc>
  <rcc rId="4794" sId="5" numFmtId="4">
    <nc r="G370">
      <v>0</v>
    </nc>
  </rcc>
  <rcc rId="4795" sId="5" numFmtId="4">
    <nc r="B371">
      <v>13</v>
    </nc>
  </rcc>
  <rcc rId="4796" sId="5" numFmtId="4">
    <nc r="C371">
      <v>97</v>
    </nc>
  </rcc>
  <rcc rId="4797" sId="5" numFmtId="4">
    <nc r="D371">
      <v>2</v>
    </nc>
  </rcc>
  <rcc rId="4798" sId="5" numFmtId="4">
    <nc r="E371">
      <v>5</v>
    </nc>
  </rcc>
  <rcc rId="4799" sId="5" numFmtId="4">
    <nc r="F371">
      <v>0</v>
    </nc>
  </rcc>
  <rcc rId="4800" sId="5" numFmtId="4">
    <nc r="G371">
      <v>0</v>
    </nc>
  </rcc>
  <rcc rId="4801" sId="8" numFmtId="4">
    <nc r="B63">
      <v>23</v>
    </nc>
  </rcc>
  <rcc rId="4802" sId="8" numFmtId="4">
    <nc r="C63">
      <v>134</v>
    </nc>
  </rcc>
  <rcc rId="4803" sId="8" numFmtId="4">
    <nc r="D63">
      <v>9</v>
    </nc>
  </rcc>
  <rcc rId="4804" sId="8" numFmtId="4">
    <nc r="E63">
      <v>20</v>
    </nc>
  </rcc>
  <rcc rId="4805" sId="8" numFmtId="4">
    <nc r="F63">
      <v>2</v>
    </nc>
  </rcc>
  <rcc rId="4806" sId="8" numFmtId="4">
    <nc r="G63">
      <v>2</v>
    </nc>
  </rcc>
  <rcc rId="4807" sId="8" numFmtId="4">
    <nc r="B64">
      <v>23</v>
    </nc>
  </rcc>
  <rcc rId="4808" sId="8" numFmtId="4">
    <nc r="C64">
      <v>134</v>
    </nc>
  </rcc>
  <rcc rId="4809" sId="8" numFmtId="4">
    <nc r="D64">
      <v>5</v>
    </nc>
  </rcc>
  <rcc rId="4810" sId="8" numFmtId="4">
    <nc r="E64">
      <v>12</v>
    </nc>
  </rcc>
  <rcc rId="4811" sId="8" numFmtId="4">
    <nc r="F64">
      <v>6</v>
    </nc>
  </rcc>
  <rcc rId="4812" sId="8" numFmtId="4">
    <nc r="G64">
      <v>2</v>
    </nc>
  </rcc>
  <rcc rId="4813" sId="8" numFmtId="4">
    <nc r="B65">
      <v>23</v>
    </nc>
  </rcc>
  <rcc rId="4814" sId="8" numFmtId="4">
    <nc r="C65">
      <v>134</v>
    </nc>
  </rcc>
  <rcc rId="4815" sId="8" numFmtId="4">
    <nc r="D65">
      <v>4</v>
    </nc>
  </rcc>
  <rcc rId="4816" sId="8" numFmtId="4">
    <nc r="E65">
      <v>18</v>
    </nc>
  </rcc>
  <rcc rId="4817" sId="8" numFmtId="4">
    <nc r="F65">
      <v>5</v>
    </nc>
  </rcc>
  <rcc rId="4818" sId="8" numFmtId="4">
    <nc r="G65">
      <v>2</v>
    </nc>
  </rcc>
  <rcc rId="4819" sId="8" numFmtId="4">
    <nc r="B66">
      <v>23</v>
    </nc>
  </rcc>
  <rcc rId="4820" sId="8" numFmtId="4">
    <nc r="C66">
      <v>134</v>
    </nc>
  </rcc>
  <rcc rId="4821" sId="8" numFmtId="4">
    <nc r="D66">
      <v>3</v>
    </nc>
  </rcc>
  <rcc rId="4822" sId="8" numFmtId="4">
    <nc r="E66">
      <v>20</v>
    </nc>
  </rcc>
  <rcc rId="4823" sId="8" numFmtId="4">
    <nc r="F66">
      <v>3</v>
    </nc>
  </rcc>
  <rcc rId="4824" sId="8" numFmtId="4">
    <nc r="G66">
      <v>1</v>
    </nc>
  </rcc>
  <rcc rId="4825" sId="8" numFmtId="4">
    <nc r="B67">
      <v>23</v>
    </nc>
  </rcc>
  <rcc rId="4826" sId="8" numFmtId="4">
    <nc r="C67">
      <v>134</v>
    </nc>
  </rcc>
  <rcc rId="4827" sId="8" numFmtId="4">
    <nc r="D67">
      <v>6</v>
    </nc>
  </rcc>
  <rcc rId="4828" sId="8" numFmtId="4">
    <nc r="E67">
      <v>18</v>
    </nc>
  </rcc>
  <rcc rId="4829" sId="8" numFmtId="4">
    <nc r="F67">
      <v>6</v>
    </nc>
  </rcc>
  <rcc rId="4830" sId="8" numFmtId="4">
    <nc r="G67">
      <v>6</v>
    </nc>
  </rcc>
  <rcc rId="4831" sId="8" numFmtId="4">
    <nc r="B68">
      <v>23</v>
    </nc>
  </rcc>
  <rcc rId="4832" sId="8" numFmtId="4">
    <nc r="C68">
      <v>134</v>
    </nc>
  </rcc>
  <rcc rId="4833" sId="8" numFmtId="4">
    <nc r="D68">
      <v>7</v>
    </nc>
  </rcc>
  <rcc rId="4834" sId="8" numFmtId="4">
    <nc r="E68">
      <v>16</v>
    </nc>
  </rcc>
  <rcc rId="4835" sId="8" numFmtId="4">
    <nc r="F68">
      <v>8</v>
    </nc>
  </rcc>
  <rcc rId="4836" sId="8" numFmtId="4">
    <nc r="G68">
      <v>1</v>
    </nc>
  </rcc>
  <rcc rId="4837" sId="8" numFmtId="4">
    <nc r="B69">
      <v>23</v>
    </nc>
  </rcc>
  <rcc rId="4838" sId="8" numFmtId="4">
    <nc r="C69">
      <v>134</v>
    </nc>
  </rcc>
  <rcc rId="4839" sId="8" numFmtId="4">
    <nc r="D69">
      <v>8</v>
    </nc>
  </rcc>
  <rcc rId="4840" sId="8" numFmtId="4">
    <nc r="E69">
      <v>16</v>
    </nc>
  </rcc>
  <rcc rId="4841" sId="8" numFmtId="4">
    <nc r="F69">
      <v>7</v>
    </nc>
  </rcc>
  <rcc rId="4842" sId="8" numFmtId="4">
    <nc r="G69">
      <v>2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>
  <rcc rId="4843" sId="2" numFmtId="4">
    <nc r="H393">
      <v>0</v>
    </nc>
  </rcc>
  <rcc rId="4844" sId="2" numFmtId="4">
    <nc r="G393">
      <v>0</v>
    </nc>
  </rcc>
  <rcc rId="4845" sId="2" numFmtId="4">
    <nc r="B394">
      <v>13</v>
    </nc>
  </rcc>
  <rcc rId="4846" sId="2" numFmtId="4">
    <nc r="C394">
      <v>117</v>
    </nc>
  </rcc>
  <rcc rId="4847" sId="2" numFmtId="4">
    <nc r="D394">
      <v>10</v>
    </nc>
  </rcc>
  <rcc rId="4848" sId="2" numFmtId="4">
    <nc r="E394">
      <v>2</v>
    </nc>
  </rcc>
  <rcc rId="4849" sId="2" numFmtId="4">
    <nc r="F394">
      <v>20</v>
    </nc>
  </rcc>
  <rcc rId="4850" sId="2" numFmtId="4">
    <nc r="G394">
      <v>0</v>
    </nc>
  </rcc>
  <rcc rId="4851" sId="2" numFmtId="4">
    <nc r="H394">
      <v>0</v>
    </nc>
  </rcc>
  <rcc rId="4852" sId="2" numFmtId="4">
    <nc r="B395">
      <v>13</v>
    </nc>
  </rcc>
  <rcc rId="4853" sId="2" numFmtId="4">
    <nc r="C395">
      <v>117</v>
    </nc>
  </rcc>
  <rcc rId="4854" sId="2" numFmtId="4">
    <nc r="D395">
      <v>11</v>
    </nc>
  </rcc>
  <rcc rId="4855" sId="2" numFmtId="4">
    <nc r="E395">
      <v>5</v>
    </nc>
  </rcc>
  <rcc rId="4856" sId="2" numFmtId="4">
    <nc r="F395">
      <v>15</v>
    </nc>
  </rcc>
  <rcc rId="4857" sId="2" numFmtId="4">
    <nc r="G395">
      <v>0</v>
    </nc>
  </rcc>
  <rcc rId="4858" sId="2" numFmtId="4">
    <nc r="H395">
      <v>0</v>
    </nc>
  </rcc>
  <rcc rId="4859" sId="2" numFmtId="4">
    <nc r="B396">
      <v>13</v>
    </nc>
  </rcc>
  <rcc rId="4860" sId="2" numFmtId="4">
    <nc r="C396">
      <v>36</v>
    </nc>
  </rcc>
  <rcc rId="4861" sId="2" numFmtId="4">
    <nc r="D396">
      <v>10</v>
    </nc>
  </rcc>
  <rcc rId="4862" sId="2" numFmtId="4">
    <nc r="E396">
      <v>22</v>
    </nc>
  </rcc>
  <rcc rId="4863" sId="2" numFmtId="4">
    <nc r="F396">
      <v>11</v>
    </nc>
  </rcc>
  <rcc rId="4864" sId="2" numFmtId="4">
    <nc r="G396">
      <v>0</v>
    </nc>
  </rcc>
  <rcc rId="4865" sId="2" numFmtId="4">
    <nc r="H396">
      <v>0</v>
    </nc>
  </rcc>
  <rcc rId="4866" sId="2" numFmtId="4">
    <nc r="B397">
      <v>13</v>
    </nc>
  </rcc>
  <rcc rId="4867" sId="2" numFmtId="4">
    <nc r="C397">
      <v>78</v>
    </nc>
  </rcc>
  <rcc rId="4868" sId="2" numFmtId="4">
    <nc r="D397">
      <v>10</v>
    </nc>
  </rcc>
  <rcc rId="4869" sId="2" numFmtId="4">
    <nc r="E397">
      <v>0</v>
    </nc>
  </rcc>
  <rcc rId="4870" sId="2" numFmtId="4">
    <nc r="F397">
      <v>25</v>
    </nc>
  </rcc>
  <rcc rId="4871" sId="2" numFmtId="4">
    <nc r="G397">
      <v>0</v>
    </nc>
  </rcc>
  <rcc rId="4872" sId="2" numFmtId="4">
    <nc r="H397">
      <v>0</v>
    </nc>
  </rcc>
  <rcc rId="4873" sId="2" numFmtId="4">
    <nc r="B398">
      <v>1</v>
    </nc>
  </rcc>
  <rcc rId="4874" sId="2" numFmtId="4">
    <nc r="C398">
      <v>22</v>
    </nc>
  </rcc>
  <rcc rId="4875" sId="2" numFmtId="4">
    <nc r="D398">
      <v>10</v>
    </nc>
  </rcc>
  <rcc rId="4876" sId="2" numFmtId="4">
    <nc r="E398">
      <v>0</v>
    </nc>
  </rcc>
  <rcc rId="4877" sId="2" numFmtId="4">
    <nc r="F398">
      <v>14</v>
    </nc>
  </rcc>
  <rcc rId="4878" sId="2" numFmtId="4">
    <nc r="G398">
      <v>0</v>
    </nc>
  </rcc>
  <rcc rId="4879" sId="2" numFmtId="4">
    <nc r="H398">
      <v>0</v>
    </nc>
  </rcc>
  <rcc rId="4880" sId="2" numFmtId="4">
    <nc r="B399">
      <v>1</v>
    </nc>
  </rcc>
  <rcc rId="4881" sId="2" numFmtId="4">
    <nc r="C399">
      <v>22</v>
    </nc>
  </rcc>
  <rcc rId="4882" sId="2" numFmtId="4">
    <nc r="D399">
      <v>9</v>
    </nc>
  </rcc>
  <rcc rId="4883" sId="2" numFmtId="4">
    <nc r="E399">
      <v>1</v>
    </nc>
  </rcc>
  <rcc rId="4884" sId="2" numFmtId="4">
    <nc r="F399">
      <v>24</v>
    </nc>
  </rcc>
  <rcc rId="4885" sId="2" numFmtId="4">
    <nc r="G399">
      <v>0</v>
    </nc>
  </rcc>
  <rcc rId="4886" sId="2" numFmtId="4">
    <nc r="H399">
      <v>0</v>
    </nc>
  </rcc>
  <rcc rId="4887" sId="2" numFmtId="4">
    <nc r="B400">
      <v>13</v>
    </nc>
  </rcc>
  <rcc rId="4888" sId="2" numFmtId="4">
    <nc r="C400">
      <v>41</v>
    </nc>
  </rcc>
  <rcc rId="4889" sId="2" numFmtId="4">
    <nc r="D400">
      <v>10</v>
    </nc>
  </rcc>
  <rcc rId="4890" sId="2" numFmtId="4">
    <nc r="E400">
      <v>3</v>
    </nc>
  </rcc>
  <rcc rId="4891" sId="2" numFmtId="4">
    <nc r="F400">
      <v>3</v>
    </nc>
  </rcc>
  <rcc rId="4892" sId="2" numFmtId="4">
    <nc r="G400">
      <v>0</v>
    </nc>
  </rcc>
  <rcc rId="4893" sId="2" numFmtId="4">
    <nc r="H400">
      <v>0</v>
    </nc>
  </rcc>
  <rcc rId="4894" sId="2" numFmtId="4">
    <nc r="B401">
      <v>1</v>
    </nc>
  </rcc>
  <rcc rId="4895" sId="2" numFmtId="4">
    <nc r="C401">
      <v>45</v>
    </nc>
  </rcc>
  <rcc rId="4896" sId="2" numFmtId="4">
    <nc r="D401">
      <v>3</v>
    </nc>
  </rcc>
  <rcc rId="4897" sId="2" numFmtId="4">
    <nc r="E401">
      <v>14</v>
    </nc>
  </rcc>
  <rcc rId="4898" sId="2" numFmtId="4">
    <nc r="F401">
      <v>9</v>
    </nc>
  </rcc>
  <rcc rId="4899" sId="2" numFmtId="4">
    <nc r="G401">
      <v>0</v>
    </nc>
  </rcc>
  <rcc rId="4900" sId="2" numFmtId="4">
    <nc r="H401">
      <v>0</v>
    </nc>
  </rcc>
  <rcc rId="4901" sId="2" numFmtId="4">
    <nc r="B402">
      <v>1</v>
    </nc>
  </rcc>
  <rcc rId="4902" sId="2" numFmtId="4">
    <nc r="C402">
      <v>45</v>
    </nc>
  </rcc>
  <rcc rId="4903" sId="2" numFmtId="4">
    <nc r="D402">
      <v>5</v>
    </nc>
  </rcc>
  <rcc rId="4904" sId="2" numFmtId="4">
    <nc r="E402">
      <v>15</v>
    </nc>
  </rcc>
  <rcc rId="4905" sId="2" numFmtId="4">
    <nc r="F402">
      <v>4</v>
    </nc>
  </rcc>
  <rcc rId="4906" sId="2" numFmtId="4">
    <nc r="G402">
      <v>0</v>
    </nc>
  </rcc>
  <rcc rId="4907" sId="2" numFmtId="4">
    <nc r="H402">
      <v>5</v>
    </nc>
  </rcc>
  <rcc rId="4908" sId="2" numFmtId="4">
    <nc r="B403">
      <v>1</v>
    </nc>
  </rcc>
  <rcc rId="4909" sId="2" numFmtId="4">
    <nc r="C403">
      <v>45</v>
    </nc>
  </rcc>
  <rcc rId="4910" sId="2" numFmtId="4">
    <nc r="D403">
      <v>6</v>
    </nc>
  </rcc>
  <rcc rId="4911" sId="2" numFmtId="4">
    <nc r="E403">
      <v>18</v>
    </nc>
  </rcc>
  <rcc rId="4912" sId="2" numFmtId="4">
    <nc r="F403">
      <v>7</v>
    </nc>
  </rcc>
  <rcc rId="4913" sId="2" numFmtId="4">
    <nc r="G403">
      <v>0</v>
    </nc>
  </rcc>
  <rcc rId="4914" sId="2" numFmtId="4">
    <nc r="H403">
      <v>0</v>
    </nc>
  </rcc>
  <rcc rId="4915" sId="2" numFmtId="4">
    <nc r="B404">
      <v>1</v>
    </nc>
  </rcc>
  <rcc rId="4916" sId="2" numFmtId="4">
    <nc r="C404">
      <v>45</v>
    </nc>
  </rcc>
  <rcc rId="4917" sId="2" numFmtId="4">
    <nc r="D404">
      <v>7</v>
    </nc>
  </rcc>
  <rcc rId="4918" sId="2" numFmtId="4">
    <nc r="E404">
      <v>13</v>
    </nc>
  </rcc>
  <rcc rId="4919" sId="2" numFmtId="4">
    <nc r="F404">
      <v>4</v>
    </nc>
  </rcc>
  <rcc rId="4920" sId="2" numFmtId="4">
    <nc r="G404">
      <v>0</v>
    </nc>
  </rcc>
  <rcc rId="4921" sId="2" numFmtId="4">
    <nc r="H404">
      <v>0</v>
    </nc>
  </rcc>
  <rcc rId="4922" sId="2" numFmtId="4">
    <nc r="B405">
      <v>1</v>
    </nc>
  </rcc>
  <rcc rId="4923" sId="2" numFmtId="4">
    <nc r="C405">
      <v>45</v>
    </nc>
  </rcc>
  <rcc rId="4924" sId="2" numFmtId="4">
    <nc r="D405">
      <v>8</v>
    </nc>
  </rcc>
  <rcc rId="4925" sId="2" numFmtId="4">
    <nc r="E405">
      <v>17</v>
    </nc>
  </rcc>
  <rcc rId="4926" sId="2" numFmtId="4">
    <nc r="F405">
      <v>3</v>
    </nc>
  </rcc>
  <rcc rId="4927" sId="2" numFmtId="4">
    <nc r="G405">
      <v>0</v>
    </nc>
  </rcc>
  <rcc rId="4928" sId="2" numFmtId="4">
    <nc r="H405">
      <v>2</v>
    </nc>
  </rcc>
  <rcc rId="4929" sId="2" numFmtId="4">
    <nc r="B406">
      <v>1</v>
    </nc>
  </rcc>
  <rcc rId="4930" sId="2" numFmtId="4">
    <nc r="C406">
      <v>45</v>
    </nc>
  </rcc>
  <rcc rId="4931" sId="2" numFmtId="4">
    <nc r="D406">
      <v>9</v>
    </nc>
  </rcc>
  <rcc rId="4932" sId="2" numFmtId="4">
    <nc r="E406">
      <v>6</v>
    </nc>
  </rcc>
  <rcc rId="4933" sId="2" numFmtId="4">
    <nc r="F406">
      <v>6</v>
    </nc>
  </rcc>
  <rcc rId="4934" sId="2" numFmtId="4">
    <nc r="G406">
      <v>0</v>
    </nc>
  </rcc>
  <rcc rId="4935" sId="2" numFmtId="4">
    <nc r="H406">
      <v>4</v>
    </nc>
  </rcc>
  <rcc rId="4936" sId="2" numFmtId="4">
    <nc r="B407">
      <v>1</v>
    </nc>
  </rcc>
  <rcc rId="4937" sId="2" numFmtId="4">
    <nc r="C407">
      <v>45</v>
    </nc>
  </rcc>
  <rcc rId="4938" sId="2" numFmtId="4">
    <nc r="D407">
      <v>4</v>
    </nc>
  </rcc>
  <rcc rId="4939" sId="2" numFmtId="4">
    <nc r="E407">
      <v>11</v>
    </nc>
  </rcc>
  <rcc rId="4940" sId="2" numFmtId="4">
    <nc r="F407">
      <v>7</v>
    </nc>
  </rcc>
  <rcc rId="4941" sId="2" numFmtId="4">
    <nc r="G407">
      <v>0</v>
    </nc>
  </rcc>
  <rcc rId="4942" sId="2" numFmtId="4">
    <nc r="H407">
      <v>1</v>
    </nc>
  </rcc>
  <rcc rId="4943" sId="2" numFmtId="4">
    <nc r="B408">
      <v>13</v>
    </nc>
  </rcc>
  <rcc rId="4944" sId="2" numFmtId="4">
    <nc r="C408">
      <v>69</v>
    </nc>
  </rcc>
  <rcc rId="4945" sId="2" numFmtId="4">
    <nc r="D408">
      <v>5</v>
    </nc>
  </rcc>
  <rcc rId="4946" sId="2" numFmtId="4">
    <nc r="E408">
      <v>2</v>
    </nc>
  </rcc>
  <rcc rId="4947" sId="2" numFmtId="4">
    <nc r="F408">
      <v>3</v>
    </nc>
  </rcc>
  <rcc rId="4948" sId="2" numFmtId="4">
    <nc r="G408">
      <v>0</v>
    </nc>
  </rcc>
  <rcc rId="4949" sId="2" numFmtId="4">
    <nc r="H408">
      <v>0</v>
    </nc>
  </rcc>
  <rcc rId="4950" sId="2" numFmtId="4">
    <nc r="B409">
      <v>13</v>
    </nc>
  </rcc>
  <rcc rId="4951" sId="2" numFmtId="4">
    <nc r="C409">
      <v>69</v>
    </nc>
  </rcc>
  <rcc rId="4952" sId="2" numFmtId="4">
    <nc r="D409">
      <v>7</v>
    </nc>
  </rcc>
  <rcc rId="4953" sId="2" numFmtId="4">
    <nc r="E409">
      <v>0</v>
    </nc>
  </rcc>
  <rcc rId="4954" sId="2" numFmtId="4">
    <nc r="F409">
      <v>20</v>
    </nc>
  </rcc>
  <rcc rId="4955" sId="2" numFmtId="4">
    <nc r="G409">
      <v>0</v>
    </nc>
  </rcc>
  <rcc rId="4956" sId="2" numFmtId="4">
    <nc r="H409">
      <v>0</v>
    </nc>
  </rcc>
  <rcc rId="4957" sId="2" numFmtId="4">
    <nc r="B410">
      <v>13</v>
    </nc>
  </rcc>
  <rcc rId="4958" sId="2" numFmtId="4">
    <nc r="C410">
      <v>69</v>
    </nc>
  </rcc>
  <rcc rId="4959" sId="2" numFmtId="4">
    <nc r="D410">
      <v>6</v>
    </nc>
  </rcc>
  <rcc rId="4960" sId="2" numFmtId="4">
    <nc r="E410">
      <v>1</v>
    </nc>
  </rcc>
  <rcc rId="4961" sId="2" numFmtId="4">
    <nc r="F410">
      <v>4</v>
    </nc>
  </rcc>
  <rcc rId="4962" sId="2" numFmtId="4">
    <nc r="G410">
      <v>0</v>
    </nc>
  </rcc>
  <rcc rId="4963" sId="2" numFmtId="4">
    <nc r="H410">
      <v>0</v>
    </nc>
  </rcc>
  <rcc rId="4964" sId="2" numFmtId="4">
    <nc r="B411">
      <v>13</v>
    </nc>
  </rcc>
  <rcc rId="4965" sId="2" numFmtId="4">
    <nc r="C411">
      <v>69</v>
    </nc>
  </rcc>
  <rcc rId="4966" sId="2" numFmtId="4">
    <nc r="D411">
      <v>8</v>
    </nc>
  </rcc>
  <rcc rId="4967" sId="2" numFmtId="4">
    <nc r="E411">
      <v>1</v>
    </nc>
  </rcc>
  <rcc rId="4968" sId="2" numFmtId="4">
    <nc r="F411">
      <v>25</v>
    </nc>
  </rcc>
  <rcc rId="4969" sId="2" numFmtId="4">
    <nc r="G411">
      <v>0</v>
    </nc>
  </rcc>
  <rcc rId="4970" sId="2" numFmtId="4">
    <nc r="H411">
      <v>0</v>
    </nc>
  </rcc>
  <rcc rId="4971" sId="2" numFmtId="4">
    <nc r="B412">
      <v>13</v>
    </nc>
  </rcc>
  <rcc rId="4972" sId="2" numFmtId="4">
    <nc r="C412">
      <v>38</v>
    </nc>
  </rcc>
  <rcc rId="4973" sId="2" numFmtId="4">
    <nc r="D412">
      <v>10</v>
    </nc>
  </rcc>
  <rcc rId="4974" sId="2" numFmtId="4">
    <nc r="E412">
      <v>3</v>
    </nc>
  </rcc>
  <rcc rId="4975" sId="2" numFmtId="4">
    <nc r="F412">
      <v>31</v>
    </nc>
  </rcc>
  <rcc rId="4976" sId="2" numFmtId="4">
    <nc r="G412">
      <v>0</v>
    </nc>
  </rcc>
  <rcc rId="4977" sId="2" numFmtId="4">
    <nc r="H412">
      <v>0</v>
    </nc>
  </rcc>
  <rcc rId="4978" sId="2" numFmtId="4">
    <nc r="B413">
      <v>13</v>
    </nc>
  </rcc>
  <rcc rId="4979" sId="2" numFmtId="4">
    <nc r="C413">
      <v>19</v>
    </nc>
  </rcc>
  <rcc rId="4980" sId="2" numFmtId="4">
    <nc r="D413">
      <v>10</v>
    </nc>
  </rcc>
  <rcc rId="4981" sId="2" numFmtId="4">
    <nc r="E413">
      <v>1</v>
    </nc>
  </rcc>
  <rcc rId="4982" sId="2" numFmtId="4">
    <nc r="F413">
      <v>13</v>
    </nc>
  </rcc>
  <rcc rId="4983" sId="2" numFmtId="4">
    <nc r="G413">
      <v>0</v>
    </nc>
  </rcc>
  <rcc rId="4984" sId="2" numFmtId="4">
    <nc r="H413">
      <v>0</v>
    </nc>
  </rcc>
  <rcc rId="4985" sId="2" numFmtId="4">
    <nc r="B414">
      <v>13</v>
    </nc>
  </rcc>
  <rcc rId="4986" sId="2" numFmtId="4">
    <nc r="C414">
      <v>19</v>
    </nc>
  </rcc>
  <rcc rId="4987" sId="2" numFmtId="4">
    <nc r="D414">
      <v>9</v>
    </nc>
  </rcc>
  <rcc rId="4988" sId="2" numFmtId="4">
    <nc r="E414">
      <v>0</v>
    </nc>
  </rcc>
  <rcc rId="4989" sId="2" numFmtId="4">
    <nc r="F414">
      <v>10</v>
    </nc>
  </rcc>
  <rcc rId="4990" sId="2" numFmtId="4">
    <nc r="G414">
      <v>0</v>
    </nc>
  </rcc>
  <rcc rId="4991" sId="2" numFmtId="4">
    <nc r="H414">
      <v>0</v>
    </nc>
  </rcc>
  <rcc rId="4992" sId="2" numFmtId="4">
    <nc r="B415">
      <v>1</v>
    </nc>
  </rcc>
  <rcc rId="4993" sId="2" numFmtId="4">
    <nc r="C415">
      <v>66</v>
    </nc>
  </rcc>
  <rcc rId="4994" sId="2" numFmtId="4">
    <nc r="D415">
      <v>8</v>
    </nc>
  </rcc>
  <rcc rId="4995" sId="2" numFmtId="4">
    <nc r="E415">
      <v>0</v>
    </nc>
  </rcc>
  <rcc rId="4996" sId="2" numFmtId="4">
    <nc r="F415">
      <v>20</v>
    </nc>
  </rcc>
  <rcc rId="4997" sId="2" numFmtId="4">
    <nc r="G415">
      <v>1</v>
    </nc>
  </rcc>
  <rcc rId="4998" sId="2" numFmtId="4">
    <nc r="H415">
      <v>1</v>
    </nc>
  </rcc>
  <rcc rId="4999" sId="2" numFmtId="4">
    <nc r="B416">
      <v>1</v>
    </nc>
  </rcc>
  <rcc rId="5000" sId="2" numFmtId="4">
    <nc r="C416">
      <v>15</v>
    </nc>
  </rcc>
  <rcc rId="5001" sId="2" numFmtId="4">
    <nc r="D416">
      <v>9</v>
    </nc>
  </rcc>
  <rcc rId="5002" sId="2" numFmtId="4">
    <nc r="E416">
      <v>0</v>
    </nc>
  </rcc>
  <rcc rId="5003" sId="2" numFmtId="4">
    <nc r="F416">
      <v>1</v>
    </nc>
  </rcc>
  <rcc rId="5004" sId="2" numFmtId="4">
    <nc r="G416">
      <v>0</v>
    </nc>
  </rcc>
  <rcc rId="5005" sId="2" numFmtId="4">
    <nc r="H416">
      <v>0</v>
    </nc>
  </rcc>
  <rcc rId="5006" sId="2" numFmtId="4">
    <nc r="B417">
      <v>1</v>
    </nc>
  </rcc>
  <rcc rId="5007" sId="2" numFmtId="4">
    <nc r="C417">
      <v>49</v>
    </nc>
  </rcc>
  <rcc rId="5008" sId="2" numFmtId="4">
    <nc r="D417">
      <v>10</v>
    </nc>
  </rcc>
  <rcc rId="5009" sId="2" numFmtId="4">
    <nc r="E417">
      <v>10</v>
    </nc>
  </rcc>
  <rcc rId="5010" sId="2" numFmtId="4">
    <nc r="F417">
      <v>6</v>
    </nc>
  </rcc>
  <rcc rId="5011" sId="2" numFmtId="4">
    <nc r="G417">
      <v>1</v>
    </nc>
  </rcc>
  <rcc rId="5012" sId="2" numFmtId="4">
    <nc r="H417">
      <v>0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>
  <rcc rId="5013" sId="2" numFmtId="4">
    <nc r="B418">
      <v>1</v>
    </nc>
  </rcc>
  <rcc rId="5014" sId="2" numFmtId="4">
    <nc r="C418">
      <v>112</v>
    </nc>
  </rcc>
  <rcc rId="5015" sId="2" numFmtId="4">
    <nc r="D418">
      <v>10</v>
    </nc>
  </rcc>
  <rcc rId="5016" sId="2" numFmtId="4">
    <nc r="E418">
      <v>25</v>
    </nc>
  </rcc>
  <rcc rId="5017" sId="2" numFmtId="4">
    <nc r="F418">
      <v>6</v>
    </nc>
  </rcc>
  <rcc rId="5018" sId="2" numFmtId="4">
    <nc r="G418">
      <v>0</v>
    </nc>
  </rcc>
  <rcc rId="5019" sId="2" numFmtId="4">
    <nc r="H418">
      <v>0</v>
    </nc>
  </rcc>
  <rcc rId="5020" sId="2" numFmtId="4">
    <nc r="B419">
      <v>1</v>
    </nc>
  </rcc>
  <rcc rId="5021" sId="2" numFmtId="4">
    <nc r="C419">
      <v>25</v>
    </nc>
  </rcc>
  <rcc rId="5022" sId="2" numFmtId="4">
    <nc r="D419">
      <v>10</v>
    </nc>
  </rcc>
  <rcc rId="5023" sId="2" numFmtId="4">
    <nc r="E419">
      <v>7</v>
    </nc>
  </rcc>
  <rcc rId="5024" sId="2" numFmtId="4">
    <nc r="F419">
      <v>0</v>
    </nc>
  </rcc>
  <rcc rId="5025" sId="2" numFmtId="4">
    <nc r="G419">
      <v>1</v>
    </nc>
  </rcc>
  <rcc rId="5026" sId="2" numFmtId="4">
    <nc r="H419">
      <v>0</v>
    </nc>
  </rcc>
  <rcc rId="5027" sId="2" numFmtId="4">
    <nc r="B420">
      <v>1</v>
    </nc>
  </rcc>
  <rcc rId="5028" sId="2" numFmtId="4">
    <nc r="C420">
      <v>114</v>
    </nc>
  </rcc>
  <rcc rId="5029" sId="2" numFmtId="4">
    <nc r="D420">
      <v>10</v>
    </nc>
  </rcc>
  <rcc rId="5030" sId="2" numFmtId="4">
    <nc r="E420">
      <v>25</v>
    </nc>
  </rcc>
  <rcc rId="5031" sId="2" numFmtId="4">
    <nc r="F420">
      <v>2</v>
    </nc>
  </rcc>
  <rcc rId="5032" sId="2" numFmtId="4">
    <nc r="G420">
      <v>1</v>
    </nc>
  </rcc>
  <rcc rId="5033" sId="2" numFmtId="4">
    <nc r="H420">
      <v>2</v>
    </nc>
  </rcc>
  <rcc rId="5034" sId="2" numFmtId="4">
    <nc r="B421">
      <v>13</v>
    </nc>
  </rcc>
  <rcc rId="5035" sId="2" numFmtId="4">
    <nc r="C421">
      <v>64</v>
    </nc>
  </rcc>
  <rcc rId="5036" sId="2" numFmtId="4">
    <nc r="D421">
      <v>10</v>
    </nc>
  </rcc>
  <rcc rId="5037" sId="2" numFmtId="4">
    <nc r="E421">
      <v>0</v>
    </nc>
  </rcc>
  <rcc rId="5038" sId="2" numFmtId="4">
    <nc r="F421">
      <v>20</v>
    </nc>
  </rcc>
  <rcc rId="5039" sId="2" numFmtId="4">
    <nc r="G421">
      <v>0</v>
    </nc>
  </rcc>
  <rcc rId="5040" sId="2" numFmtId="4">
    <nc r="H421">
      <v>1</v>
    </nc>
  </rcc>
  <rcc rId="5041" sId="2" numFmtId="4">
    <nc r="B422">
      <v>13</v>
    </nc>
  </rcc>
  <rcc rId="5042" sId="2" numFmtId="4">
    <nc r="C422">
      <v>64</v>
    </nc>
  </rcc>
  <rcc rId="5043" sId="2" numFmtId="4">
    <nc r="D422">
      <v>9</v>
    </nc>
  </rcc>
  <rcc rId="5044" sId="2" numFmtId="4">
    <nc r="E422">
      <v>0</v>
    </nc>
  </rcc>
  <rcc rId="5045" sId="2" numFmtId="4">
    <nc r="F422">
      <v>22</v>
    </nc>
  </rcc>
  <rcc rId="5046" sId="2" numFmtId="4">
    <nc r="G422">
      <v>0</v>
    </nc>
  </rcc>
  <rcc rId="5047" sId="2" numFmtId="4">
    <nc r="H422">
      <v>1</v>
    </nc>
  </rcc>
  <rcc rId="5048" sId="2" numFmtId="4">
    <nc r="B423">
      <v>13</v>
    </nc>
  </rcc>
  <rcc rId="5049" sId="2" numFmtId="4">
    <nc r="C423">
      <v>113</v>
    </nc>
  </rcc>
  <rcc rId="5050" sId="2" numFmtId="4">
    <nc r="D423">
      <v>11</v>
    </nc>
  </rcc>
  <rcc rId="5051" sId="2" numFmtId="4">
    <nc r="E423">
      <v>12</v>
    </nc>
  </rcc>
  <rcc rId="5052" sId="2" numFmtId="4">
    <nc r="F423">
      <v>2</v>
    </nc>
  </rcc>
  <rcc rId="5053" sId="2" numFmtId="4">
    <nc r="G423">
      <v>0</v>
    </nc>
  </rcc>
  <rcc rId="5054" sId="2" numFmtId="4">
    <nc r="H423">
      <v>0</v>
    </nc>
  </rcc>
  <rcc rId="5055" sId="2" numFmtId="4">
    <nc r="B424">
      <v>13</v>
    </nc>
  </rcc>
  <rcc rId="5056" sId="2" numFmtId="4">
    <nc r="C424">
      <v>113</v>
    </nc>
  </rcc>
  <rcc rId="5057" sId="2" numFmtId="4">
    <nc r="D424">
      <v>10</v>
    </nc>
  </rcc>
  <rcc rId="5058" sId="2" numFmtId="4">
    <nc r="E424">
      <v>5</v>
    </nc>
  </rcc>
  <rcc rId="5059" sId="2" numFmtId="4">
    <nc r="F424">
      <v>1</v>
    </nc>
  </rcc>
  <rcc rId="5060" sId="2" numFmtId="4">
    <nc r="G424">
      <v>0</v>
    </nc>
  </rcc>
  <rcc rId="5061" sId="2" numFmtId="4">
    <nc r="H424">
      <v>0</v>
    </nc>
  </rcc>
  <rcc rId="5062" sId="2" numFmtId="4">
    <nc r="B425">
      <v>1</v>
    </nc>
  </rcc>
  <rcc rId="5063" sId="2" numFmtId="4">
    <nc r="C425">
      <v>35</v>
    </nc>
  </rcc>
  <rcc rId="5064" sId="2" numFmtId="4">
    <nc r="D425">
      <v>10</v>
    </nc>
  </rcc>
  <rcc rId="5065" sId="2" numFmtId="4">
    <nc r="E425">
      <v>12</v>
    </nc>
  </rcc>
  <rcc rId="5066" sId="2" numFmtId="4">
    <nc r="F425">
      <v>11</v>
    </nc>
  </rcc>
  <rcc rId="5067" sId="2" numFmtId="4">
    <nc r="G425">
      <v>0</v>
    </nc>
  </rcc>
  <rcc rId="5068" sId="2" numFmtId="4">
    <nc r="H425">
      <v>0</v>
    </nc>
  </rcc>
  <rcc rId="5069" sId="2" numFmtId="4">
    <nc r="B426">
      <v>13</v>
    </nc>
  </rcc>
  <rcc rId="5070" sId="2" numFmtId="4">
    <nc r="C426">
      <v>37</v>
    </nc>
  </rcc>
  <rcc rId="5071" sId="2" numFmtId="4">
    <nc r="D426">
      <v>6</v>
    </nc>
  </rcc>
  <rcc rId="5072" sId="2" numFmtId="4">
    <nc r="E426">
      <v>7</v>
    </nc>
  </rcc>
  <rcc rId="5073" sId="2" numFmtId="4">
    <nc r="F426">
      <v>16</v>
    </nc>
  </rcc>
  <rcc rId="5074" sId="2" numFmtId="4">
    <nc r="G426">
      <v>1</v>
    </nc>
  </rcc>
  <rcc rId="5075" sId="2" numFmtId="4">
    <nc r="H426">
      <v>1</v>
    </nc>
  </rcc>
  <rcc rId="5076" sId="2" numFmtId="4">
    <nc r="B427">
      <v>13</v>
    </nc>
  </rcc>
  <rcc rId="5077" sId="2" numFmtId="4">
    <nc r="C427">
      <v>73</v>
    </nc>
  </rcc>
  <rcc rId="5078" sId="2" numFmtId="4">
    <nc r="D427">
      <v>10</v>
    </nc>
  </rcc>
  <rcc rId="5079" sId="2" numFmtId="4">
    <nc r="E427">
      <v>0</v>
    </nc>
  </rcc>
  <rcc rId="5080" sId="2" numFmtId="4">
    <nc r="F427">
      <v>3</v>
    </nc>
  </rcc>
  <rcc rId="5081" sId="2" numFmtId="4">
    <nc r="G427">
      <v>0</v>
    </nc>
  </rcc>
  <rcc rId="5082" sId="2" numFmtId="4">
    <nc r="H427">
      <v>1</v>
    </nc>
  </rcc>
  <rcc rId="5083" sId="2" numFmtId="4">
    <nc r="B428">
      <v>13</v>
    </nc>
  </rcc>
  <rcc rId="5084" sId="2" numFmtId="4">
    <nc r="C428">
      <v>38</v>
    </nc>
  </rcc>
  <rcc rId="5085" sId="2" numFmtId="4">
    <nc r="D428">
      <v>9</v>
    </nc>
  </rcc>
  <rcc rId="5086" sId="2" numFmtId="4">
    <nc r="E428">
      <v>2</v>
    </nc>
  </rcc>
  <rcc rId="5087" sId="2" numFmtId="4">
    <nc r="F428">
      <v>19</v>
    </nc>
  </rcc>
  <rcc rId="5088" sId="2" numFmtId="4">
    <nc r="G428">
      <v>2</v>
    </nc>
  </rcc>
  <rcc rId="5089" sId="2" numFmtId="4">
    <nc r="H428">
      <v>0</v>
    </nc>
  </rcc>
  <rcc rId="5090" sId="2" numFmtId="4">
    <nc r="B429">
      <v>13</v>
    </nc>
  </rcc>
  <rcc rId="5091" sId="2" numFmtId="4">
    <nc r="C429">
      <v>38</v>
    </nc>
  </rcc>
  <rcc rId="5092" sId="2" numFmtId="4">
    <nc r="D429">
      <v>8</v>
    </nc>
  </rcc>
  <rcc rId="5093" sId="2" numFmtId="4">
    <nc r="E429">
      <v>6</v>
    </nc>
  </rcc>
  <rcc rId="5094" sId="2" numFmtId="4">
    <nc r="F429">
      <v>39</v>
    </nc>
  </rcc>
  <rcc rId="5095" sId="2" numFmtId="4">
    <nc r="G429">
      <v>1</v>
    </nc>
  </rcc>
  <rcc rId="5096" sId="2" numFmtId="4">
    <nc r="H429">
      <v>0</v>
    </nc>
  </rcc>
  <rcc rId="5097" sId="2" numFmtId="4">
    <nc r="B430">
      <v>13</v>
    </nc>
  </rcc>
  <rcc rId="5098" sId="2" numFmtId="4">
    <nc r="C430">
      <v>38</v>
    </nc>
  </rcc>
  <rcc rId="5099" sId="2" numFmtId="4">
    <nc r="D430">
      <v>7</v>
    </nc>
  </rcc>
  <rcc rId="5100" sId="2" numFmtId="4">
    <nc r="E430">
      <v>2</v>
    </nc>
  </rcc>
  <rcc rId="5101" sId="2" numFmtId="4">
    <nc r="F430">
      <v>16</v>
    </nc>
  </rcc>
  <rcc rId="5102" sId="2" numFmtId="4">
    <nc r="G430">
      <v>0</v>
    </nc>
  </rcc>
  <rcc rId="5103" sId="2" numFmtId="4">
    <nc r="H430">
      <v>0</v>
    </nc>
  </rcc>
  <rcc rId="5104" sId="2" numFmtId="4">
    <nc r="B431">
      <v>13</v>
    </nc>
  </rcc>
  <rcc rId="5105" sId="2" numFmtId="4">
    <nc r="C431">
      <v>38</v>
    </nc>
  </rcc>
  <rcc rId="5106" sId="2" numFmtId="4">
    <nc r="D431">
      <v>6</v>
    </nc>
  </rcc>
  <rcc rId="5107" sId="2" numFmtId="4">
    <nc r="E431">
      <v>4</v>
    </nc>
  </rcc>
  <rcc rId="5108" sId="2" numFmtId="4">
    <nc r="F431">
      <v>36</v>
    </nc>
  </rcc>
  <rcc rId="5109" sId="2" numFmtId="4">
    <nc r="G431">
      <v>1</v>
    </nc>
  </rcc>
  <rcc rId="5110" sId="2" numFmtId="4">
    <nc r="H431">
      <v>0</v>
    </nc>
  </rcc>
  <rcc rId="5111" sId="2" numFmtId="4">
    <nc r="B432">
      <v>13</v>
    </nc>
  </rcc>
  <rcc rId="5112" sId="2" numFmtId="4">
    <nc r="C432">
      <v>38</v>
    </nc>
  </rcc>
  <rcc rId="5113" sId="2" numFmtId="4">
    <nc r="D432">
      <v>5</v>
    </nc>
  </rcc>
  <rcc rId="5114" sId="2" numFmtId="4">
    <nc r="E432">
      <v>2</v>
    </nc>
  </rcc>
  <rcc rId="5115" sId="2" numFmtId="4">
    <nc r="F432">
      <v>32</v>
    </nc>
  </rcc>
  <rcc rId="5116" sId="2" numFmtId="4">
    <nc r="G432">
      <v>0</v>
    </nc>
  </rcc>
  <rcc rId="5117" sId="2" numFmtId="4">
    <nc r="H432">
      <v>1</v>
    </nc>
  </rcc>
  <rcc rId="5118" sId="11" numFmtId="4">
    <nc r="B176">
      <v>1</v>
    </nc>
  </rcc>
  <rcc rId="5119" sId="11" numFmtId="4">
    <nc r="C176">
      <v>35</v>
    </nc>
  </rcc>
  <rcc rId="5120" sId="11" numFmtId="4">
    <nc r="D176">
      <v>10</v>
    </nc>
  </rcc>
  <rcc rId="5121" sId="11" numFmtId="4">
    <nc r="E176">
      <v>10</v>
    </nc>
  </rcc>
  <rcc rId="5122" sId="11" numFmtId="4">
    <nc r="F176">
      <v>9</v>
    </nc>
  </rcc>
  <rcc rId="5123" sId="11" numFmtId="4">
    <nc r="G176">
      <v>8</v>
    </nc>
  </rcc>
  <rcc rId="5124" sId="11" numFmtId="4">
    <nc r="H176">
      <v>0</v>
    </nc>
  </rcc>
  <rcc rId="5125" sId="11" numFmtId="4">
    <nc r="B177">
      <v>1</v>
    </nc>
  </rcc>
  <rcc rId="5126" sId="11" numFmtId="4">
    <nc r="C177">
      <v>37</v>
    </nc>
  </rcc>
  <rcc rId="5127" sId="11" numFmtId="4">
    <nc r="D177">
      <v>6</v>
    </nc>
  </rcc>
  <rcc rId="5128" sId="11" numFmtId="4">
    <nc r="E177">
      <v>7</v>
    </nc>
  </rcc>
  <rcc rId="5129" sId="11" numFmtId="4">
    <nc r="F177">
      <v>16</v>
    </nc>
  </rcc>
  <rcc rId="5130" sId="11" numFmtId="4">
    <nc r="G177">
      <v>2</v>
    </nc>
  </rcc>
  <rcc rId="5131" sId="11" numFmtId="4">
    <nc r="H177">
      <v>0</v>
    </nc>
  </rcc>
  <rcc rId="5132" sId="11" numFmtId="4">
    <nc r="B178">
      <v>1</v>
    </nc>
  </rcc>
  <rcc rId="5133" sId="11" numFmtId="4">
    <nc r="C178">
      <v>49</v>
    </nc>
  </rcc>
  <rcc rId="5134" sId="11" numFmtId="4">
    <nc r="D178">
      <v>10</v>
    </nc>
  </rcc>
  <rcc rId="5135" sId="11" numFmtId="4">
    <nc r="E178">
      <v>10</v>
    </nc>
  </rcc>
  <rcc rId="5136" sId="11" numFmtId="4">
    <nc r="F178">
      <v>7</v>
    </nc>
  </rcc>
  <rcc rId="5137" sId="11" numFmtId="4">
    <nc r="G178">
      <v>0</v>
    </nc>
  </rcc>
  <rcc rId="5138" sId="11" numFmtId="4">
    <nc r="H178">
      <v>0</v>
    </nc>
  </rcc>
  <rcc rId="5139" sId="11" numFmtId="4">
    <nc r="B179">
      <v>1</v>
    </nc>
  </rcc>
  <rcc rId="5140" sId="11" numFmtId="4">
    <nc r="C179">
      <v>25</v>
    </nc>
  </rcc>
  <rcc rId="5141" sId="11" numFmtId="4">
    <nc r="D179">
      <v>10</v>
    </nc>
  </rcc>
  <rcc rId="5142" sId="11" numFmtId="4">
    <nc r="E179">
      <v>13</v>
    </nc>
  </rcc>
  <rcc rId="5143" sId="11" numFmtId="4">
    <nc r="F179">
      <v>3</v>
    </nc>
  </rcc>
  <rcc rId="5144" sId="11" numFmtId="4">
    <nc r="G179">
      <v>5</v>
    </nc>
  </rcc>
  <rcc rId="5145" sId="11" numFmtId="4">
    <nc r="H179">
      <v>0</v>
    </nc>
  </rcc>
  <rcc rId="5146" sId="11" numFmtId="4">
    <nc r="B180">
      <v>1</v>
    </nc>
  </rcc>
  <rcc rId="5147" sId="11" numFmtId="4">
    <nc r="C180">
      <v>12</v>
    </nc>
  </rcc>
  <rcc rId="5148" sId="11" numFmtId="4">
    <nc r="D180">
      <v>10</v>
    </nc>
  </rcc>
  <rcc rId="5149" sId="11" numFmtId="4">
    <nc r="E180">
      <v>12</v>
    </nc>
  </rcc>
  <rcc rId="5150" sId="11" numFmtId="4">
    <nc r="F180">
      <v>8</v>
    </nc>
  </rcc>
  <rcc rId="5151" sId="11" numFmtId="4">
    <nc r="G180">
      <v>3</v>
    </nc>
  </rcc>
  <rcc rId="5152" sId="11" numFmtId="4">
    <nc r="H180">
      <v>0</v>
    </nc>
  </rcc>
  <rcc rId="5153" sId="11" numFmtId="4">
    <nc r="B181">
      <v>1</v>
    </nc>
  </rcc>
  <rcc rId="5154" sId="11" numFmtId="4">
    <nc r="C181">
      <v>12</v>
    </nc>
  </rcc>
  <rcc rId="5155" sId="11" numFmtId="4">
    <nc r="D181">
      <v>9</v>
    </nc>
  </rcc>
  <rcc rId="5156" sId="11" numFmtId="4">
    <nc r="E181">
      <v>12</v>
    </nc>
  </rcc>
  <rcc rId="5157" sId="11" numFmtId="4">
    <nc r="F181">
      <v>5</v>
    </nc>
  </rcc>
  <rcc rId="5158" sId="11" numFmtId="4">
    <nc r="G181">
      <v>3</v>
    </nc>
  </rcc>
  <rcc rId="5159" sId="11" numFmtId="4">
    <nc r="H181">
      <v>0</v>
    </nc>
  </rcc>
  <rcc rId="5160" sId="11" numFmtId="4">
    <nc r="B182">
      <v>1</v>
    </nc>
  </rcc>
  <rcc rId="5161" sId="11" numFmtId="4">
    <nc r="C182">
      <v>12</v>
    </nc>
  </rcc>
  <rcc rId="5162" sId="11" numFmtId="4">
    <nc r="D182">
      <v>8</v>
    </nc>
  </rcc>
  <rcc rId="5163" sId="11" numFmtId="4">
    <nc r="E182">
      <v>5</v>
    </nc>
  </rcc>
  <rcc rId="5164" sId="11" numFmtId="4">
    <nc r="F182">
      <v>8</v>
    </nc>
  </rcc>
  <rcc rId="5165" sId="11" numFmtId="4">
    <nc r="G182">
      <v>3</v>
    </nc>
  </rcc>
  <rcc rId="5166" sId="11" numFmtId="4">
    <nc r="H182">
      <v>1</v>
    </nc>
  </rcc>
  <rcc rId="5167" sId="11" numFmtId="4">
    <nc r="B183">
      <v>1</v>
    </nc>
  </rcc>
  <rcc rId="5168" sId="11" numFmtId="4">
    <nc r="C183">
      <v>48</v>
    </nc>
  </rcc>
  <rcc rId="5169" sId="11" numFmtId="4">
    <nc r="D183">
      <v>10</v>
    </nc>
  </rcc>
  <rcc rId="5170" sId="11" numFmtId="4">
    <nc r="E183">
      <v>8</v>
    </nc>
  </rcc>
  <rcc rId="5171" sId="11" numFmtId="4">
    <nc r="F183">
      <v>12</v>
    </nc>
  </rcc>
  <rcc rId="5172" sId="11" numFmtId="4">
    <nc r="G183">
      <v>0</v>
    </nc>
  </rcc>
  <rcc rId="5173" sId="11" numFmtId="4">
    <nc r="H183">
      <v>0</v>
    </nc>
  </rcc>
  <rcc rId="5174" sId="11" numFmtId="4">
    <nc r="B184">
      <v>1</v>
    </nc>
  </rcc>
  <rcc rId="5175" sId="11" numFmtId="4">
    <nc r="C184">
      <v>48</v>
    </nc>
  </rcc>
  <rcc rId="5176" sId="11" numFmtId="4">
    <nc r="D184">
      <v>9</v>
    </nc>
  </rcc>
  <rcc rId="5177" sId="11" numFmtId="4">
    <nc r="E184">
      <v>10</v>
    </nc>
  </rcc>
  <rcc rId="5178" sId="11" numFmtId="4">
    <nc r="F184">
      <v>7</v>
    </nc>
  </rcc>
  <rcc rId="5179" sId="11" numFmtId="4">
    <nc r="G184">
      <v>0</v>
    </nc>
  </rcc>
  <rcc rId="5180" sId="11" numFmtId="4">
    <nc r="H184">
      <v>0</v>
    </nc>
  </rcc>
  <rcc rId="5181" sId="11" numFmtId="4">
    <nc r="B185">
      <v>1</v>
    </nc>
  </rcc>
  <rcc rId="5182" sId="11" numFmtId="4">
    <nc r="C185">
      <v>36</v>
    </nc>
  </rcc>
  <rcc rId="5183" sId="11" numFmtId="4">
    <nc r="D185">
      <v>10</v>
    </nc>
  </rcc>
  <rcc rId="5184" sId="11" numFmtId="4">
    <nc r="E185">
      <v>19</v>
    </nc>
  </rcc>
  <rcc rId="5185" sId="11" numFmtId="4">
    <nc r="F185">
      <v>7</v>
    </nc>
  </rcc>
  <rcc rId="5186" sId="11" numFmtId="4">
    <nc r="G185">
      <v>10</v>
    </nc>
  </rcc>
  <rcc rId="5187" sId="11" numFmtId="4">
    <nc r="H185">
      <v>0</v>
    </nc>
  </rcc>
  <rcc rId="5188" sId="11" numFmtId="4">
    <nc r="B186">
      <v>1</v>
    </nc>
  </rcc>
  <rcc rId="5189" sId="11" numFmtId="4">
    <nc r="C186">
      <v>22</v>
    </nc>
  </rcc>
  <rcc rId="5190" sId="11" numFmtId="4">
    <nc r="D186">
      <v>10</v>
    </nc>
  </rcc>
  <rcc rId="5191" sId="11" numFmtId="4">
    <nc r="E186">
      <v>0</v>
    </nc>
  </rcc>
  <rcc rId="5192" sId="11" numFmtId="4">
    <nc r="F186">
      <v>14</v>
    </nc>
  </rcc>
  <rcc rId="5193" sId="11" numFmtId="4">
    <nc r="G186">
      <v>0</v>
    </nc>
  </rcc>
  <rcc rId="5194" sId="11" numFmtId="4">
    <nc r="H186">
      <v>0</v>
    </nc>
  </rcc>
  <rcc rId="5195" sId="11" numFmtId="4">
    <nc r="B187">
      <v>1</v>
    </nc>
  </rcc>
  <rcc rId="5196" sId="11" numFmtId="4">
    <nc r="C187">
      <v>22</v>
    </nc>
  </rcc>
  <rcc rId="5197" sId="11" numFmtId="4">
    <nc r="D187">
      <v>9</v>
    </nc>
  </rcc>
  <rcc rId="5198" sId="11" numFmtId="4">
    <nc r="E187">
      <v>1</v>
    </nc>
  </rcc>
  <rcc rId="5199" sId="11" numFmtId="4">
    <nc r="F187">
      <v>24</v>
    </nc>
  </rcc>
  <rcc rId="5200" sId="11" numFmtId="4">
    <nc r="G187">
      <v>0</v>
    </nc>
  </rcc>
  <rcc rId="5201" sId="11" numFmtId="4">
    <nc r="H187">
      <v>0</v>
    </nc>
  </rcc>
  <rcc rId="5202" sId="11" numFmtId="4">
    <nc r="B188">
      <v>1</v>
    </nc>
  </rcc>
  <rcc rId="5203" sId="11" numFmtId="4">
    <nc r="C188">
      <v>41</v>
    </nc>
  </rcc>
  <rcc rId="5204" sId="11" numFmtId="4">
    <nc r="D188">
      <v>10</v>
    </nc>
  </rcc>
  <rcc rId="5205" sId="11" numFmtId="4">
    <nc r="E188">
      <v>3</v>
    </nc>
  </rcc>
  <rcc rId="5206" sId="11" numFmtId="4">
    <nc r="F188">
      <v>1</v>
    </nc>
  </rcc>
  <rcc rId="5207" sId="11" numFmtId="4">
    <nc r="G188">
      <v>0</v>
    </nc>
  </rcc>
  <rcc rId="5208" sId="11" numFmtId="4">
    <nc r="H188">
      <v>0</v>
    </nc>
  </rcc>
  <rcc rId="5209" sId="11" numFmtId="4">
    <nc r="B189">
      <v>1</v>
    </nc>
  </rcc>
  <rcc rId="5210" sId="11" numFmtId="4">
    <nc r="C189">
      <v>21</v>
    </nc>
  </rcc>
</revisions>
</file>

<file path=xl/revisions/revisionLog59.xml><?xml version="1.0" encoding="utf-8"?>
<revisions xmlns="http://schemas.openxmlformats.org/spreadsheetml/2006/main" xmlns:r="http://schemas.openxmlformats.org/officeDocument/2006/relationships">
  <rcc rId="5211" sId="5" numFmtId="4">
    <nc r="B372">
      <v>13</v>
    </nc>
  </rcc>
  <rcc rId="5212" sId="5" numFmtId="4">
    <nc r="C372">
      <v>89</v>
    </nc>
  </rcc>
  <rcc rId="5213" sId="5" numFmtId="4">
    <nc r="D372">
      <v>11</v>
    </nc>
  </rcc>
  <rcc rId="5214" sId="5" numFmtId="4">
    <nc r="E372">
      <v>17</v>
    </nc>
  </rcc>
  <rcc rId="5215" sId="5" numFmtId="4">
    <nc r="F372">
      <v>6</v>
    </nc>
  </rcc>
  <rcc rId="5216" sId="5" numFmtId="4">
    <nc r="G372">
      <v>0</v>
    </nc>
  </rcc>
  <rcc rId="5217" sId="5" numFmtId="4">
    <nc r="B373">
      <v>13</v>
    </nc>
  </rcc>
  <rcc rId="5218" sId="5" numFmtId="4">
    <nc r="C373">
      <v>89</v>
    </nc>
  </rcc>
  <rcc rId="5219" sId="5" numFmtId="4">
    <nc r="D373">
      <v>10</v>
    </nc>
  </rcc>
  <rcc rId="5220" sId="5" numFmtId="4">
    <nc r="E373">
      <v>11</v>
    </nc>
  </rcc>
  <rcc rId="5221" sId="5" numFmtId="4">
    <nc r="F373">
      <v>13</v>
    </nc>
  </rcc>
  <rcc rId="5222" sId="5" numFmtId="4">
    <nc r="G373">
      <v>0</v>
    </nc>
  </rcc>
  <rcc rId="5223" sId="5" numFmtId="4">
    <nc r="B374">
      <v>13</v>
    </nc>
  </rcc>
  <rcc rId="5224" sId="5" numFmtId="4">
    <nc r="C374">
      <v>118</v>
    </nc>
  </rcc>
  <rcc rId="5225" sId="5" numFmtId="4">
    <nc r="D374">
      <v>10</v>
    </nc>
  </rcc>
  <rcc rId="5226" sId="5" numFmtId="4">
    <nc r="E374">
      <v>11</v>
    </nc>
  </rcc>
  <rcc rId="5227" sId="5" numFmtId="4">
    <nc r="F374">
      <v>9</v>
    </nc>
  </rcc>
  <rcc rId="5228" sId="5" numFmtId="4">
    <nc r="G374">
      <v>2</v>
    </nc>
  </rcc>
  <rcc rId="5229" sId="5" numFmtId="4">
    <nc r="B375">
      <v>13</v>
    </nc>
  </rcc>
  <rcc rId="5230" sId="5" numFmtId="4">
    <nc r="C375">
      <v>87</v>
    </nc>
  </rcc>
  <rcc rId="5231" sId="5" numFmtId="4">
    <nc r="D375">
      <v>10</v>
    </nc>
  </rcc>
  <rcc rId="5232" sId="5" numFmtId="4">
    <nc r="E375">
      <v>19</v>
    </nc>
  </rcc>
  <rcc rId="5233" sId="5" numFmtId="4">
    <nc r="F375">
      <v>1</v>
    </nc>
  </rcc>
  <rcc rId="5234" sId="5" numFmtId="4">
    <nc r="G375">
      <v>5</v>
    </nc>
  </rcc>
  <rcc rId="5235" sId="5" numFmtId="4">
    <nc r="B376">
      <v>13</v>
    </nc>
  </rcc>
  <rcc rId="5236" sId="5" numFmtId="4">
    <nc r="C376">
      <v>77</v>
    </nc>
  </rcc>
  <rcc rId="5237" sId="5" numFmtId="4">
    <nc r="D376">
      <v>10</v>
    </nc>
  </rcc>
  <rcc rId="5238" sId="5" numFmtId="4">
    <nc r="E376">
      <v>13</v>
    </nc>
  </rcc>
  <rcc rId="5239" sId="5" numFmtId="4">
    <nc r="F376">
      <v>6</v>
    </nc>
  </rcc>
  <rcc rId="5240" sId="5" numFmtId="4">
    <nc r="G376">
      <v>0</v>
    </nc>
  </rcc>
  <rcc rId="5241" sId="5" numFmtId="4">
    <nc r="B377">
      <v>13</v>
    </nc>
  </rcc>
  <rcc rId="5242" sId="5" numFmtId="4">
    <nc r="C377">
      <v>73</v>
    </nc>
  </rcc>
  <rcc rId="5243" sId="5" numFmtId="4">
    <nc r="D377">
      <v>10</v>
    </nc>
  </rcc>
  <rcc rId="5244" sId="5" numFmtId="4">
    <nc r="E377">
      <v>0</v>
    </nc>
  </rcc>
  <rcc rId="5245" sId="5" numFmtId="4">
    <nc r="F377">
      <v>4</v>
    </nc>
  </rcc>
  <rcc rId="5246" sId="5" numFmtId="4">
    <nc r="G377">
      <v>0</v>
    </nc>
  </rcc>
  <rcc rId="5247" sId="5" numFmtId="4">
    <nc r="B378">
      <v>13</v>
    </nc>
  </rcc>
  <rcc rId="5248" sId="5" numFmtId="4">
    <nc r="C378">
      <v>79</v>
    </nc>
  </rcc>
  <rcc rId="5249" sId="5" numFmtId="4">
    <nc r="D378">
      <v>2</v>
    </nc>
  </rcc>
  <rcc rId="5250" sId="5" numFmtId="4">
    <nc r="E378">
      <v>0</v>
    </nc>
  </rcc>
  <rcc rId="5251" sId="5" numFmtId="4">
    <nc r="F378">
      <v>5</v>
    </nc>
  </rcc>
  <rcc rId="5252" sId="5" numFmtId="4">
    <nc r="G378">
      <v>0</v>
    </nc>
  </rcc>
  <rcc rId="5253" sId="5" numFmtId="4">
    <nc r="B379">
      <v>13</v>
    </nc>
  </rcc>
  <rcc rId="5254" sId="5" numFmtId="4">
    <nc r="C379">
      <v>79</v>
    </nc>
  </rcc>
  <rcc rId="5255" sId="5" numFmtId="4">
    <nc r="D379">
      <v>3</v>
    </nc>
  </rcc>
  <rcc rId="5256" sId="5" numFmtId="4">
    <nc r="E379">
      <v>0</v>
    </nc>
  </rcc>
  <rcc rId="5257" sId="5" numFmtId="4">
    <nc r="F379">
      <v>10</v>
    </nc>
  </rcc>
  <rcc rId="5258" sId="5" numFmtId="4">
    <nc r="G379">
      <v>0</v>
    </nc>
  </rcc>
  <rcc rId="5259" sId="5" numFmtId="4">
    <nc r="B380">
      <v>13</v>
    </nc>
  </rcc>
  <rcc rId="5260" sId="5" numFmtId="4">
    <nc r="C380">
      <v>79</v>
    </nc>
  </rcc>
  <rcc rId="5261" sId="5" numFmtId="4">
    <nc r="D380">
      <v>4</v>
    </nc>
  </rcc>
  <rcc rId="5262" sId="5" numFmtId="4">
    <nc r="E380">
      <v>0</v>
    </nc>
  </rcc>
  <rcc rId="5263" sId="5" numFmtId="4">
    <nc r="F380">
      <v>9</v>
    </nc>
  </rcc>
  <rcc rId="5264" sId="5" numFmtId="4">
    <nc r="G380">
      <v>1</v>
    </nc>
  </rcc>
  <rcc rId="5265" sId="5" numFmtId="4">
    <nc r="B381">
      <v>13</v>
    </nc>
  </rcc>
  <rcc rId="5266" sId="5" numFmtId="4">
    <nc r="C381">
      <v>79</v>
    </nc>
  </rcc>
  <rcc rId="5267" sId="5" numFmtId="4">
    <nc r="D381">
      <v>5</v>
    </nc>
  </rcc>
  <rcc rId="5268" sId="5" numFmtId="4">
    <nc r="E381">
      <v>0</v>
    </nc>
  </rcc>
  <rcc rId="5269" sId="5" numFmtId="4">
    <nc r="F381">
      <v>11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>
  <rcc rId="5270" sId="5" numFmtId="4">
    <nc r="G381">
      <v>0</v>
    </nc>
  </rcc>
  <rcc rId="5271" sId="5" numFmtId="4">
    <nc r="B382">
      <v>13</v>
    </nc>
  </rcc>
  <rcc rId="5272" sId="5" numFmtId="4">
    <nc r="C382">
      <v>79</v>
    </nc>
  </rcc>
  <rcc rId="5273" sId="5" numFmtId="4">
    <nc r="D382">
      <v>6</v>
    </nc>
  </rcc>
  <rcc rId="5274" sId="5" numFmtId="4">
    <nc r="E382">
      <v>1</v>
    </nc>
  </rcc>
  <rcc rId="5275" sId="5" numFmtId="4">
    <nc r="F382">
      <v>17</v>
    </nc>
  </rcc>
  <rcc rId="5276" sId="5" numFmtId="4">
    <nc r="G382">
      <v>0</v>
    </nc>
  </rcc>
  <rcc rId="5277" sId="5" numFmtId="4">
    <nc r="B383">
      <v>13</v>
    </nc>
  </rcc>
  <rcc rId="5278" sId="5" numFmtId="4">
    <nc r="C383">
      <v>79</v>
    </nc>
  </rcc>
  <rcc rId="5279" sId="5" numFmtId="4">
    <nc r="D383">
      <v>7</v>
    </nc>
  </rcc>
  <rcc rId="5280" sId="5" numFmtId="4">
    <nc r="E383">
      <v>1</v>
    </nc>
  </rcc>
  <rcc rId="5281" sId="5" numFmtId="4">
    <nc r="F383">
      <v>9</v>
    </nc>
  </rcc>
  <rcc rId="5282" sId="5" numFmtId="4">
    <nc r="G383">
      <v>0</v>
    </nc>
  </rcc>
  <rcc rId="5283" sId="5" numFmtId="4">
    <nc r="B384">
      <v>13</v>
    </nc>
  </rcc>
  <rcc rId="5284" sId="5" numFmtId="4">
    <nc r="C384">
      <v>79</v>
    </nc>
  </rcc>
  <rcc rId="5285" sId="5" numFmtId="4">
    <nc r="D384">
      <v>8</v>
    </nc>
  </rcc>
  <rcc rId="5286" sId="5" numFmtId="4">
    <nc r="E384">
      <v>0</v>
    </nc>
  </rcc>
  <rcc rId="5287" sId="5" numFmtId="4">
    <nc r="F384">
      <v>13</v>
    </nc>
  </rcc>
  <rcc rId="5288" sId="5" numFmtId="4">
    <nc r="G384">
      <v>0</v>
    </nc>
  </rcc>
  <rcc rId="5289" sId="5" numFmtId="4">
    <nc r="B385">
      <v>13</v>
    </nc>
  </rcc>
  <rcc rId="5290" sId="5" numFmtId="4">
    <nc r="C385">
      <v>79</v>
    </nc>
  </rcc>
  <rcc rId="5291" sId="5" numFmtId="4">
    <nc r="D385">
      <v>9</v>
    </nc>
  </rcc>
  <rcc rId="5292" sId="5" numFmtId="4">
    <nc r="E385">
      <v>0</v>
    </nc>
  </rcc>
  <rcc rId="5293" sId="5" numFmtId="4">
    <nc r="F385">
      <v>8</v>
    </nc>
  </rcc>
  <rcc rId="5294" sId="5" numFmtId="4">
    <nc r="G385">
      <v>0</v>
    </nc>
  </rcc>
  <rcc rId="5295" sId="5" numFmtId="4">
    <nc r="B386">
      <v>13</v>
    </nc>
  </rcc>
  <rcc rId="5296" sId="5" numFmtId="4">
    <nc r="C386">
      <v>79</v>
    </nc>
  </rcc>
  <rcc rId="5297" sId="5" numFmtId="4">
    <nc r="D386">
      <v>10</v>
    </nc>
  </rcc>
  <rcc rId="5298" sId="5" numFmtId="4">
    <nc r="E386">
      <v>0</v>
    </nc>
  </rcc>
  <rcc rId="5299" sId="5" numFmtId="4">
    <nc r="F386">
      <v>11</v>
    </nc>
  </rcc>
  <rcc rId="5300" sId="5" numFmtId="4">
    <nc r="G386">
      <v>0</v>
    </nc>
  </rcc>
  <rcc rId="5301" sId="5" numFmtId="4">
    <nc r="B387">
      <v>13</v>
    </nc>
  </rcc>
  <rcc rId="5302" sId="5" numFmtId="4">
    <nc r="C387">
      <v>79</v>
    </nc>
  </rcc>
  <rcc rId="5303" sId="5" numFmtId="4">
    <nc r="D387">
      <v>11</v>
    </nc>
  </rcc>
  <rcc rId="5304" sId="5" numFmtId="4">
    <nc r="E387">
      <v>1</v>
    </nc>
  </rcc>
  <rcc rId="5305" sId="5" numFmtId="4">
    <nc r="F387">
      <v>10</v>
    </nc>
  </rcc>
  <rcc rId="5306" sId="5" numFmtId="4">
    <nc r="G387">
      <v>0</v>
    </nc>
  </rcc>
  <rcc rId="5307" sId="5" numFmtId="4">
    <nc r="B388">
      <v>13</v>
    </nc>
  </rcc>
  <rcc rId="5308" sId="5" numFmtId="4">
    <nc r="C388">
      <v>105</v>
    </nc>
  </rcc>
  <rcc rId="5309" sId="5" numFmtId="4">
    <nc r="D388">
      <v>8</v>
    </nc>
  </rcc>
  <rcc rId="5310" sId="5" numFmtId="4">
    <nc r="E388">
      <v>14</v>
    </nc>
  </rcc>
  <rcc rId="5311" sId="5" numFmtId="4">
    <nc r="F388">
      <v>5</v>
    </nc>
  </rcc>
  <rcc rId="5312" sId="5" numFmtId="4">
    <nc r="G388">
      <v>0</v>
    </nc>
  </rcc>
  <rcc rId="5313" sId="5" numFmtId="4">
    <nc r="B389">
      <v>13</v>
    </nc>
  </rcc>
  <rcc rId="5314" sId="5" numFmtId="4">
    <nc r="C389">
      <v>105</v>
    </nc>
  </rcc>
  <rcc rId="5315" sId="5" numFmtId="4">
    <nc r="D389">
      <v>9</v>
    </nc>
  </rcc>
  <rcc rId="5316" sId="5" numFmtId="4">
    <nc r="E389">
      <v>10</v>
    </nc>
  </rcc>
  <rcc rId="5317" sId="5" numFmtId="4">
    <nc r="F389">
      <v>4</v>
    </nc>
  </rcc>
  <rcc rId="5318" sId="5" numFmtId="4">
    <nc r="G389">
      <v>0</v>
    </nc>
  </rcc>
  <rcc rId="5319" sId="5" numFmtId="4">
    <nc r="B390">
      <v>13</v>
    </nc>
  </rcc>
  <rcc rId="5320" sId="5" numFmtId="4">
    <nc r="C390">
      <v>105</v>
    </nc>
  </rcc>
  <rcc rId="5321" sId="5" numFmtId="4">
    <nc r="D390">
      <v>10</v>
    </nc>
  </rcc>
  <rcc rId="5322" sId="5" numFmtId="4">
    <nc r="E390">
      <v>18</v>
    </nc>
  </rcc>
  <rcc rId="5323" sId="5" numFmtId="4">
    <nc r="F390">
      <v>12</v>
    </nc>
  </rcc>
  <rcc rId="5324" sId="5" numFmtId="4">
    <nc r="G390">
      <v>0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>
  <rcc rId="5325" sId="11" numFmtId="4">
    <nc r="D189">
      <v>10</v>
    </nc>
  </rcc>
  <rcc rId="5326" sId="11" numFmtId="4">
    <nc r="E189">
      <v>1</v>
    </nc>
  </rcc>
  <rcc rId="5327" sId="11" numFmtId="4">
    <nc r="F189">
      <v>19</v>
    </nc>
  </rcc>
  <rcc rId="5328" sId="11" numFmtId="4">
    <nc r="G189">
      <v>0</v>
    </nc>
  </rcc>
  <rcc rId="5329" sId="11" numFmtId="4">
    <nc r="H189">
      <v>0</v>
    </nc>
  </rcc>
  <rcc rId="5330" sId="11" numFmtId="4">
    <nc r="B190">
      <v>1</v>
    </nc>
  </rcc>
  <rcc rId="5331" sId="11" numFmtId="4">
    <nc r="C190">
      <v>27</v>
    </nc>
  </rcc>
  <rcc rId="5332" sId="11" numFmtId="4">
    <nc r="D190">
      <v>6</v>
    </nc>
  </rcc>
  <rcc rId="5333" sId="11" numFmtId="4">
    <nc r="E190">
      <v>45</v>
    </nc>
  </rcc>
  <rcc rId="5334" sId="11" numFmtId="4">
    <nc r="F190">
      <v>20</v>
    </nc>
  </rcc>
  <rcc rId="5335" sId="11" numFmtId="4">
    <nc r="G190">
      <v>0</v>
    </nc>
  </rcc>
  <rcc rId="5336" sId="11" numFmtId="4">
    <nc r="H190">
      <v>0</v>
    </nc>
  </rcc>
  <rcc rId="5337" sId="11" numFmtId="4">
    <nc r="B191">
      <v>1</v>
    </nc>
  </rcc>
  <rcc rId="5338" sId="11" numFmtId="4">
    <nc r="C191">
      <v>27</v>
    </nc>
  </rcc>
  <rcc rId="5339" sId="11" numFmtId="4">
    <nc r="D191">
      <v>8</v>
    </nc>
  </rcc>
  <rcc rId="5340" sId="11" numFmtId="4">
    <nc r="E191">
      <v>30</v>
    </nc>
  </rcc>
  <rcc rId="5341" sId="11" numFmtId="4">
    <nc r="F191">
      <v>15</v>
    </nc>
  </rcc>
  <rcc rId="5342" sId="11" numFmtId="4">
    <nc r="G191">
      <v>0</v>
    </nc>
  </rcc>
  <rcc rId="5343" sId="11" numFmtId="4">
    <nc r="H191">
      <v>0</v>
    </nc>
  </rcc>
  <rcc rId="5344" sId="11" numFmtId="4">
    <nc r="B192">
      <v>1</v>
    </nc>
  </rcc>
  <rcc rId="5345" sId="11" numFmtId="4">
    <nc r="C192">
      <v>27</v>
    </nc>
  </rcc>
  <rcc rId="5346" sId="11" numFmtId="4">
    <nc r="D192">
      <v>7</v>
    </nc>
  </rcc>
  <rcc rId="5347" sId="11" numFmtId="4">
    <nc r="E192">
      <v>25</v>
    </nc>
  </rcc>
  <rcc rId="5348" sId="11" numFmtId="4">
    <nc r="F192">
      <v>10</v>
    </nc>
  </rcc>
  <rcc rId="5349" sId="11" numFmtId="4">
    <nc r="G192">
      <v>0</v>
    </nc>
  </rcc>
  <rcc rId="5350" sId="11" numFmtId="4">
    <nc r="H192">
      <v>0</v>
    </nc>
  </rcc>
  <rcc rId="5351" sId="11" numFmtId="4">
    <nc r="B193">
      <v>1</v>
    </nc>
  </rcc>
  <rcc rId="5352" sId="11" numFmtId="4">
    <nc r="C193">
      <v>27</v>
    </nc>
  </rcc>
  <rcc rId="5353" sId="11" numFmtId="4">
    <nc r="D193">
      <v>9</v>
    </nc>
  </rcc>
  <rcc rId="5354" sId="11" numFmtId="4">
    <nc r="E193">
      <v>30</v>
    </nc>
  </rcc>
  <rcc rId="5355" sId="11" numFmtId="4">
    <nc r="F193">
      <v>10</v>
    </nc>
  </rcc>
  <rcc rId="5356" sId="11" numFmtId="4">
    <nc r="G193">
      <v>0</v>
    </nc>
  </rcc>
  <rcc rId="5357" sId="11" numFmtId="4">
    <nc r="H193">
      <v>0</v>
    </nc>
  </rcc>
  <rcc rId="5358" sId="11" numFmtId="4">
    <nc r="B194">
      <v>1</v>
    </nc>
  </rcc>
  <rcc rId="5359" sId="11" numFmtId="4">
    <nc r="C194">
      <v>45</v>
    </nc>
  </rcc>
  <rcc rId="5360" sId="11" numFmtId="4">
    <nc r="D194">
      <v>3</v>
    </nc>
  </rcc>
  <rcc rId="5361" sId="11" numFmtId="4">
    <nc r="E194">
      <v>14</v>
    </nc>
  </rcc>
  <rcc rId="5362" sId="11" numFmtId="4">
    <nc r="F194">
      <v>9</v>
    </nc>
  </rcc>
  <rcc rId="5363" sId="11" numFmtId="4">
    <nc r="G194">
      <v>2</v>
    </nc>
  </rcc>
  <rcc rId="5364" sId="11" numFmtId="4">
    <nc r="B195">
      <v>1</v>
    </nc>
  </rcc>
  <rcc rId="5365" sId="11" numFmtId="4">
    <nc r="H194">
      <v>0</v>
    </nc>
  </rcc>
  <rcc rId="5366" sId="11" numFmtId="4">
    <nc r="C195">
      <v>45</v>
    </nc>
  </rcc>
  <rcc rId="5367" sId="11" numFmtId="4">
    <nc r="D195">
      <v>4</v>
    </nc>
  </rcc>
  <rcc rId="5368" sId="11" numFmtId="4">
    <nc r="E195">
      <v>11</v>
    </nc>
  </rcc>
  <rcc rId="5369" sId="11" numFmtId="4">
    <nc r="F195">
      <v>7</v>
    </nc>
  </rcc>
  <rcc rId="5370" sId="11" numFmtId="4">
    <nc r="G195">
      <v>1</v>
    </nc>
  </rcc>
  <rcc rId="5371" sId="11" numFmtId="4">
    <nc r="H195">
      <v>0</v>
    </nc>
  </rcc>
  <rcc rId="5372" sId="11" numFmtId="4">
    <nc r="B196">
      <v>1</v>
    </nc>
  </rcc>
  <rcc rId="5373" sId="11" numFmtId="4">
    <nc r="C196">
      <v>45</v>
    </nc>
  </rcc>
  <rcc rId="5374" sId="11" numFmtId="4">
    <nc r="D196">
      <v>5</v>
    </nc>
  </rcc>
  <rcc rId="5375" sId="11" numFmtId="4">
    <nc r="E196">
      <v>15</v>
    </nc>
  </rcc>
  <rcc rId="5376" sId="11" numFmtId="4">
    <nc r="F196">
      <v>4</v>
    </nc>
  </rcc>
  <rcc rId="5377" sId="11" numFmtId="4">
    <nc r="G196">
      <v>1</v>
    </nc>
  </rcc>
  <rcc rId="5378" sId="11" numFmtId="4">
    <nc r="H196">
      <v>5</v>
    </nc>
  </rcc>
  <rcc rId="5379" sId="11" numFmtId="4">
    <nc r="B197">
      <v>1</v>
    </nc>
  </rcc>
  <rcc rId="5380" sId="11" numFmtId="4">
    <nc r="C197">
      <v>45</v>
    </nc>
  </rcc>
  <rcc rId="5381" sId="11" numFmtId="4">
    <nc r="D197">
      <v>6</v>
    </nc>
  </rcc>
  <rcc rId="5382" sId="11" numFmtId="4">
    <nc r="E197">
      <v>18</v>
    </nc>
  </rcc>
  <rcc rId="5383" sId="11" numFmtId="4">
    <nc r="F197">
      <v>7</v>
    </nc>
  </rcc>
  <rcc rId="5384" sId="11" numFmtId="4">
    <nc r="G197">
      <v>0</v>
    </nc>
  </rcc>
  <rcc rId="5385" sId="11" numFmtId="4">
    <nc r="H197">
      <v>0</v>
    </nc>
  </rcc>
  <rcc rId="5386" sId="11" numFmtId="4">
    <nc r="B198">
      <v>1</v>
    </nc>
  </rcc>
  <rcc rId="5387" sId="11" numFmtId="4">
    <nc r="C198">
      <v>45</v>
    </nc>
  </rcc>
  <rcc rId="5388" sId="11" numFmtId="4">
    <nc r="D198">
      <v>8</v>
    </nc>
  </rcc>
  <rcc rId="5389" sId="11" numFmtId="4">
    <nc r="E198">
      <v>17</v>
    </nc>
  </rcc>
  <rcc rId="5390" sId="11" numFmtId="4">
    <nc r="F198">
      <v>3</v>
    </nc>
  </rcc>
  <rcc rId="5391" sId="11" numFmtId="4">
    <nc r="G198">
      <v>2</v>
    </nc>
  </rcc>
  <rcc rId="5392" sId="11" numFmtId="4">
    <nc r="H198">
      <v>0</v>
    </nc>
  </rcc>
  <rcc rId="5393" sId="11" numFmtId="4">
    <nc r="B199">
      <v>1</v>
    </nc>
  </rcc>
  <rcc rId="5394" sId="11" numFmtId="4">
    <nc r="C199">
      <v>45</v>
    </nc>
  </rcc>
  <rcc rId="5395" sId="11" numFmtId="4">
    <nc r="D199">
      <v>7</v>
    </nc>
  </rcc>
  <rcc rId="5396" sId="11" numFmtId="4">
    <nc r="E199">
      <v>13</v>
    </nc>
  </rcc>
  <rcc rId="5397" sId="11" numFmtId="4">
    <nc r="F199">
      <v>4</v>
    </nc>
  </rcc>
  <rcc rId="5398" sId="11" numFmtId="4">
    <nc r="G199">
      <v>0</v>
    </nc>
  </rcc>
  <rcc rId="5399" sId="11" numFmtId="4">
    <nc r="H199">
      <v>0</v>
    </nc>
  </rcc>
  <rcc rId="5400" sId="11" numFmtId="4">
    <nc r="B200">
      <v>1</v>
    </nc>
  </rcc>
  <rcc rId="5401" sId="11" numFmtId="4">
    <nc r="C200">
      <v>45</v>
    </nc>
  </rcc>
  <rcc rId="5402" sId="11" numFmtId="4">
    <nc r="D200">
      <v>9</v>
    </nc>
  </rcc>
  <rcc rId="5403" sId="11" numFmtId="4">
    <nc r="E200">
      <v>6</v>
    </nc>
  </rcc>
  <rcc rId="5404" sId="11" numFmtId="4">
    <nc r="F200">
      <v>6</v>
    </nc>
  </rcc>
  <rcc rId="5405" sId="11" numFmtId="4">
    <nc r="G200">
      <v>0</v>
    </nc>
  </rcc>
  <rcc rId="5406" sId="11" numFmtId="4">
    <nc r="H200">
      <v>4</v>
    </nc>
  </rcc>
  <rcc rId="5407" sId="11" numFmtId="4">
    <nc r="B201">
      <v>1</v>
    </nc>
  </rcc>
  <rcc rId="5408" sId="11" numFmtId="4">
    <nc r="C201">
      <v>19</v>
    </nc>
  </rcc>
  <rcc rId="5409" sId="11" numFmtId="4">
    <nc r="D201">
      <v>9</v>
    </nc>
  </rcc>
  <rcc rId="5410" sId="11" numFmtId="4">
    <nc r="E201">
      <v>0</v>
    </nc>
  </rcc>
  <rcc rId="5411" sId="11" numFmtId="4">
    <nc r="F201">
      <v>10</v>
    </nc>
  </rcc>
  <rcc rId="5412" sId="11" numFmtId="4">
    <nc r="G201">
      <v>10</v>
    </nc>
  </rcc>
  <rcc rId="5413" sId="11" numFmtId="4">
    <nc r="H201">
      <v>1</v>
    </nc>
  </rcc>
  <rcc rId="5414" sId="11" numFmtId="4">
    <nc r="B202">
      <v>1</v>
    </nc>
  </rcc>
  <rcc rId="5415" sId="11" numFmtId="4">
    <nc r="C202">
      <v>15</v>
    </nc>
  </rcc>
  <rcc rId="5416" sId="11" numFmtId="4">
    <nc r="D202">
      <v>9</v>
    </nc>
  </rcc>
  <rcc rId="5417" sId="11" numFmtId="4">
    <nc r="E202">
      <v>0</v>
    </nc>
  </rcc>
  <rcc rId="5418" sId="11" numFmtId="4">
    <nc r="F202">
      <v>1</v>
    </nc>
  </rcc>
  <rcc rId="5419" sId="11" numFmtId="4">
    <nc r="G202">
      <v>0</v>
    </nc>
  </rcc>
  <rcc rId="5420" sId="11" numFmtId="4">
    <nc r="H202">
      <v>0</v>
    </nc>
  </rcc>
  <rcc rId="5421" sId="11" numFmtId="4">
    <nc r="B203">
      <v>1</v>
    </nc>
  </rcc>
  <rcc rId="5422" sId="11" numFmtId="4">
    <nc r="C203">
      <v>38</v>
    </nc>
  </rcc>
  <rcc rId="5423" sId="11" numFmtId="4">
    <nc r="D203">
      <v>10</v>
    </nc>
  </rcc>
  <rcc rId="5424" sId="11" numFmtId="4">
    <nc r="E203">
      <v>4</v>
    </nc>
  </rcc>
  <rcc rId="5425" sId="11" numFmtId="4">
    <nc r="F203">
      <v>22</v>
    </nc>
  </rcc>
  <rcc rId="5426" sId="11" numFmtId="4">
    <nc r="G203">
      <v>0</v>
    </nc>
  </rcc>
  <rcc rId="5427" sId="11" numFmtId="4">
    <nc r="H203">
      <v>0</v>
    </nc>
  </rcc>
  <rcc rId="5428" sId="11" numFmtId="4">
    <nc r="B204">
      <v>1</v>
    </nc>
  </rcc>
  <rcc rId="5429" sId="11" numFmtId="4">
    <nc r="C204">
      <v>8</v>
    </nc>
  </rcc>
  <rcc rId="5430" sId="11" numFmtId="4">
    <nc r="D204">
      <v>9</v>
    </nc>
  </rcc>
  <rcc rId="5431" sId="11" numFmtId="4">
    <nc r="E204">
      <v>2</v>
    </nc>
  </rcc>
  <rcc rId="5432" sId="11" numFmtId="4">
    <nc r="F204">
      <v>21</v>
    </nc>
  </rcc>
  <rcc rId="5433" sId="11" numFmtId="4">
    <nc r="G204">
      <v>0</v>
    </nc>
  </rcc>
  <rcc rId="5434" sId="11" numFmtId="4">
    <nc r="H204">
      <v>0</v>
    </nc>
  </rcc>
  <rcc rId="5435" sId="11" numFmtId="4">
    <nc r="B205">
      <v>1</v>
    </nc>
  </rcc>
  <rcc rId="5436" sId="11" numFmtId="4">
    <nc r="C205">
      <v>38</v>
    </nc>
  </rcc>
  <rcc rId="5437" sId="11" numFmtId="4">
    <nc r="D205">
      <v>8</v>
    </nc>
  </rcc>
  <rcc rId="5438" sId="11" numFmtId="4">
    <nc r="E205">
      <v>7</v>
    </nc>
  </rcc>
  <rcc rId="5439" sId="11" numFmtId="4">
    <nc r="F205">
      <v>42</v>
    </nc>
  </rcc>
  <rcc rId="5440" sId="11" numFmtId="4">
    <nc r="G205">
      <v>0</v>
    </nc>
  </rcc>
  <rcc rId="5441" sId="11" numFmtId="4">
    <nc r="H205">
      <v>0</v>
    </nc>
  </rcc>
  <rcc rId="5442" sId="11" numFmtId="4">
    <nc r="B206">
      <v>1</v>
    </nc>
  </rcc>
  <rcc rId="5443" sId="11" numFmtId="4">
    <nc r="C206">
      <v>38</v>
    </nc>
  </rcc>
  <rcc rId="5444" sId="11" numFmtId="4">
    <nc r="D206">
      <v>7</v>
    </nc>
  </rcc>
  <rcc rId="5445" sId="11" numFmtId="4">
    <nc r="E206">
      <v>2</v>
    </nc>
  </rcc>
  <rcc rId="5446" sId="11" numFmtId="4">
    <nc r="F206">
      <v>16</v>
    </nc>
  </rcc>
  <rcc rId="5447" sId="11" numFmtId="4">
    <nc r="G206">
      <v>0</v>
    </nc>
  </rcc>
  <rcc rId="5448" sId="11" numFmtId="4">
    <nc r="H206">
      <v>0</v>
    </nc>
  </rcc>
  <rcc rId="5449" sId="11" numFmtId="4">
    <nc r="B207">
      <v>1</v>
    </nc>
  </rcc>
  <rcc rId="5450" sId="11" numFmtId="4">
    <nc r="C207">
      <v>38</v>
    </nc>
  </rcc>
  <rcc rId="5451" sId="11" numFmtId="4">
    <nc r="D207">
      <v>6</v>
    </nc>
  </rcc>
  <rcc rId="5452" sId="11" numFmtId="4">
    <nc r="E207">
      <v>4</v>
    </nc>
  </rcc>
  <rcc rId="5453" sId="11" numFmtId="4">
    <nc r="F207">
      <v>36</v>
    </nc>
  </rcc>
  <rcc rId="5454" sId="11" numFmtId="4">
    <nc r="G207">
      <v>1</v>
    </nc>
  </rcc>
  <rcc rId="5455" sId="11" numFmtId="4">
    <nc r="H207">
      <v>2</v>
    </nc>
  </rcc>
  <rcc rId="5456" sId="11" numFmtId="4">
    <nc r="B208">
      <v>1</v>
    </nc>
  </rcc>
  <rcc rId="5457" sId="11" numFmtId="4">
    <nc r="C208">
      <v>38</v>
    </nc>
  </rcc>
  <rcc rId="5458" sId="11" numFmtId="4">
    <nc r="D208">
      <v>5</v>
    </nc>
  </rcc>
  <rcc rId="5459" sId="11" numFmtId="4">
    <nc r="E208">
      <v>2</v>
    </nc>
  </rcc>
  <rcc rId="5460" sId="11" numFmtId="4">
    <nc r="F208">
      <v>32</v>
    </nc>
  </rcc>
  <rcc rId="5461" sId="11" numFmtId="4">
    <nc r="G208">
      <v>1</v>
    </nc>
  </rcc>
  <rcc rId="5462" sId="11" numFmtId="4">
    <nc r="H208">
      <v>1</v>
    </nc>
  </rcc>
  <rcc rId="5463" sId="2" numFmtId="4">
    <nc r="B433">
      <v>1</v>
    </nc>
  </rcc>
  <rcc rId="5464" sId="2" numFmtId="4">
    <nc r="C433">
      <v>79</v>
    </nc>
  </rcc>
  <rcc rId="5465" sId="2" numFmtId="4">
    <nc r="D433">
      <v>4</v>
    </nc>
  </rcc>
  <rcc rId="5466" sId="2" numFmtId="4">
    <nc r="E433">
      <v>0</v>
    </nc>
  </rcc>
  <rcc rId="5467" sId="2" numFmtId="4">
    <nc r="F433">
      <v>9</v>
    </nc>
  </rcc>
  <rcc rId="5468" sId="2" numFmtId="4">
    <nc r="G433">
      <v>0</v>
    </nc>
  </rcc>
  <rcc rId="5469" sId="2" numFmtId="4">
    <nc r="H433">
      <v>0</v>
    </nc>
  </rcc>
  <rcc rId="5470" sId="2" numFmtId="4">
    <nc r="B434">
      <v>1</v>
    </nc>
  </rcc>
  <rcc rId="5471" sId="2" numFmtId="4">
    <nc r="C434">
      <v>79</v>
    </nc>
  </rcc>
  <rcc rId="5472" sId="2" numFmtId="4">
    <nc r="D434">
      <v>5</v>
    </nc>
  </rcc>
  <rcc rId="5473" sId="2" numFmtId="4">
    <nc r="E434">
      <v>0</v>
    </nc>
  </rcc>
  <rcc rId="5474" sId="2" numFmtId="4">
    <nc r="F434">
      <v>11</v>
    </nc>
  </rcc>
  <rcc rId="5475" sId="2" numFmtId="4">
    <nc r="G434">
      <v>0</v>
    </nc>
  </rcc>
  <rcc rId="5476" sId="2" numFmtId="4">
    <nc r="H434">
      <v>0</v>
    </nc>
  </rcc>
  <rcc rId="5477" sId="2" numFmtId="4">
    <nc r="B435">
      <v>1</v>
    </nc>
  </rcc>
  <rcc rId="5478" sId="2" numFmtId="4">
    <nc r="C435">
      <v>79</v>
    </nc>
  </rcc>
  <rcc rId="5479" sId="2" numFmtId="4">
    <nc r="D435">
      <v>6</v>
    </nc>
  </rcc>
  <rcc rId="5480" sId="2" numFmtId="4">
    <nc r="E435">
      <v>1</v>
    </nc>
  </rcc>
  <rcc rId="5481" sId="2" numFmtId="4">
    <nc r="F435">
      <v>17</v>
    </nc>
  </rcc>
  <rcc rId="5482" sId="2" numFmtId="4">
    <nc r="G435">
      <v>0</v>
    </nc>
  </rcc>
  <rcc rId="5483" sId="2" numFmtId="4">
    <nc r="H435">
      <v>0</v>
    </nc>
  </rcc>
  <rcc rId="5484" sId="2" numFmtId="4">
    <nc r="B436">
      <v>1</v>
    </nc>
  </rcc>
  <rcc rId="5485" sId="2" numFmtId="4">
    <nc r="C436">
      <v>79</v>
    </nc>
  </rcc>
  <rcc rId="5486" sId="2" numFmtId="4">
    <nc r="D436">
      <v>7</v>
    </nc>
  </rcc>
  <rcc rId="5487" sId="2" numFmtId="4">
    <nc r="E436">
      <v>0</v>
    </nc>
  </rcc>
  <rcc rId="5488" sId="2" numFmtId="4">
    <nc r="F436">
      <v>9</v>
    </nc>
  </rcc>
  <rcc rId="5489" sId="2" numFmtId="4">
    <nc r="G436">
      <v>0</v>
    </nc>
  </rcc>
  <rcc rId="5490" sId="2" numFmtId="4">
    <nc r="H436">
      <v>0</v>
    </nc>
  </rcc>
  <rcc rId="5491" sId="2" numFmtId="4">
    <nc r="B437">
      <v>1</v>
    </nc>
  </rcc>
  <rcc rId="5492" sId="2" numFmtId="4">
    <nc r="C437">
      <v>79</v>
    </nc>
  </rcc>
  <rcc rId="5493" sId="2" numFmtId="4">
    <nc r="D437">
      <v>8</v>
    </nc>
  </rcc>
  <rcc rId="5494" sId="2" numFmtId="4">
    <nc r="E437">
      <v>0</v>
    </nc>
  </rcc>
  <rcc rId="5495" sId="2" numFmtId="4">
    <nc r="F437">
      <v>13</v>
    </nc>
  </rcc>
  <rcc rId="5496" sId="2" numFmtId="4">
    <nc r="G437">
      <v>0</v>
    </nc>
  </rcc>
  <rcc rId="5497" sId="2" numFmtId="4">
    <nc r="H437">
      <v>0</v>
    </nc>
  </rcc>
  <rcc rId="5498" sId="2" numFmtId="4">
    <nc r="B438">
      <v>13</v>
    </nc>
  </rcc>
  <rcc rId="5499" sId="2" numFmtId="4">
    <nc r="C438">
      <v>105</v>
    </nc>
  </rcc>
  <rcc rId="5500" sId="2" numFmtId="4">
    <nc r="D438">
      <v>8</v>
    </nc>
  </rcc>
  <rcc rId="5501" sId="2" numFmtId="4">
    <nc r="E438">
      <v>14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>
  <rcc rId="5502" sId="2" numFmtId="4">
    <nc r="F438">
      <v>5</v>
    </nc>
  </rcc>
  <rcc rId="5503" sId="2" numFmtId="4">
    <nc r="G438">
      <v>0</v>
    </nc>
  </rcc>
  <rcc rId="5504" sId="2" numFmtId="4">
    <nc r="H438">
      <v>0</v>
    </nc>
  </rcc>
  <rcc rId="5505" sId="2" numFmtId="4">
    <nc r="B439">
      <v>13</v>
    </nc>
  </rcc>
  <rcc rId="5506" sId="2" numFmtId="4">
    <nc r="C439">
      <v>105</v>
    </nc>
  </rcc>
  <rcc rId="5507" sId="2" numFmtId="4">
    <nc r="D439">
      <v>10</v>
    </nc>
  </rcc>
  <rcc rId="5508" sId="2" numFmtId="4">
    <nc r="E439">
      <v>18</v>
    </nc>
  </rcc>
  <rcc rId="5509" sId="2" numFmtId="4">
    <nc r="F439">
      <v>12</v>
    </nc>
  </rcc>
  <rcc rId="5510" sId="2" numFmtId="4">
    <nc r="G439">
      <v>0</v>
    </nc>
  </rcc>
  <rcc rId="5511" sId="2" numFmtId="4">
    <nc r="H439">
      <v>0</v>
    </nc>
  </rcc>
  <rcc rId="5512" sId="2" numFmtId="4">
    <nc r="B440">
      <v>13</v>
    </nc>
  </rcc>
  <rcc rId="5513" sId="2" numFmtId="4">
    <nc r="C440">
      <v>105</v>
    </nc>
  </rcc>
  <rcc rId="5514" sId="2" numFmtId="4">
    <nc r="D440">
      <v>9</v>
    </nc>
  </rcc>
  <rcc rId="5515" sId="2" numFmtId="4">
    <nc r="E440">
      <v>10</v>
    </nc>
  </rcc>
  <rcc rId="5516" sId="2" numFmtId="4">
    <nc r="F440">
      <v>4</v>
    </nc>
  </rcc>
  <rcc rId="5517" sId="2" numFmtId="4">
    <nc r="G440">
      <v>0</v>
    </nc>
  </rcc>
  <rcc rId="5518" sId="2" numFmtId="4">
    <nc r="H440">
      <v>0</v>
    </nc>
  </rcc>
  <rcc rId="5519" sId="2" numFmtId="4">
    <nc r="B441">
      <v>1</v>
    </nc>
  </rcc>
  <rcc rId="5520" sId="2" numFmtId="4">
    <nc r="C441">
      <v>79</v>
    </nc>
  </rcc>
  <rcc rId="5521" sId="2" numFmtId="4">
    <nc r="D441">
      <v>11</v>
    </nc>
  </rcc>
  <rcc rId="5522" sId="2" numFmtId="4">
    <nc r="E441">
      <v>0</v>
    </nc>
  </rcc>
  <rcc rId="5523" sId="2" numFmtId="4">
    <nc r="F441">
      <v>11</v>
    </nc>
  </rcc>
  <rcc rId="5524" sId="2" numFmtId="4">
    <nc r="G441">
      <v>0</v>
    </nc>
  </rcc>
  <rcc rId="5525" sId="2" numFmtId="4">
    <nc r="H441">
      <v>0</v>
    </nc>
  </rcc>
  <rcc rId="5526" sId="2" numFmtId="4">
    <nc r="B442">
      <v>1</v>
    </nc>
  </rcc>
  <rcc rId="5527" sId="2" numFmtId="4">
    <nc r="C442">
      <v>79</v>
    </nc>
  </rcc>
  <rcc rId="5528" sId="2" numFmtId="4">
    <nc r="D442">
      <v>10</v>
    </nc>
  </rcc>
  <rcc rId="5529" sId="2" numFmtId="4">
    <nc r="E442">
      <v>0</v>
    </nc>
  </rcc>
  <rcc rId="5530" sId="2" numFmtId="4">
    <nc r="F442">
      <v>11</v>
    </nc>
  </rcc>
  <rcc rId="5531" sId="2" numFmtId="4">
    <nc r="G442">
      <v>0</v>
    </nc>
  </rcc>
  <rcc rId="5532" sId="2" numFmtId="4">
    <nc r="H442">
      <v>0</v>
    </nc>
  </rcc>
  <rcc rId="5533" sId="2" numFmtId="4">
    <nc r="B443">
      <v>1</v>
    </nc>
  </rcc>
  <rcc rId="5534" sId="2" numFmtId="4">
    <nc r="C443">
      <v>79</v>
    </nc>
  </rcc>
  <rcc rId="5535" sId="2" numFmtId="4">
    <nc r="D443">
      <v>9</v>
    </nc>
  </rcc>
  <rcc rId="5536" sId="2" numFmtId="4">
    <nc r="E443">
      <v>0</v>
    </nc>
  </rcc>
  <rcc rId="5537" sId="2" numFmtId="4">
    <nc r="F443">
      <v>8</v>
    </nc>
  </rcc>
  <rcc rId="5538" sId="2" numFmtId="4">
    <nc r="G443">
      <v>0</v>
    </nc>
  </rcc>
  <rcc rId="5539" sId="2" numFmtId="4">
    <nc r="H443">
      <v>0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>
  <rcc rId="5540" sId="5" numFmtId="4">
    <nc r="B391">
      <v>13</v>
    </nc>
  </rcc>
  <rcc rId="5541" sId="5" numFmtId="4">
    <nc r="C391">
      <v>112</v>
    </nc>
  </rcc>
  <rcc rId="5542" sId="5" numFmtId="4">
    <nc r="D391">
      <v>11</v>
    </nc>
  </rcc>
  <rcc rId="5543" sId="5" numFmtId="4">
    <nc r="E391">
      <v>25</v>
    </nc>
  </rcc>
  <rcc rId="5544" sId="5" numFmtId="4">
    <nc r="F391">
      <v>12</v>
    </nc>
  </rcc>
  <rcc rId="5545" sId="5" numFmtId="4">
    <nc r="G391">
      <v>0</v>
    </nc>
  </rcc>
  <rcc rId="5546" sId="5" numFmtId="4">
    <nc r="B392">
      <v>13</v>
    </nc>
  </rcc>
  <rcc rId="5547" sId="5" numFmtId="4">
    <nc r="C392">
      <v>77</v>
    </nc>
  </rcc>
  <rcc rId="5548" sId="5" numFmtId="4">
    <nc r="D392">
      <v>11</v>
    </nc>
  </rcc>
  <rcc rId="5549" sId="5" numFmtId="4">
    <nc r="E392">
      <v>15</v>
    </nc>
  </rcc>
  <rcc rId="5550" sId="5" numFmtId="4">
    <nc r="F392">
      <v>5</v>
    </nc>
  </rcc>
  <rcc rId="5551" sId="5" numFmtId="4">
    <nc r="G392">
      <v>1</v>
    </nc>
  </rcc>
  <rcc rId="5552" sId="5" numFmtId="4">
    <nc r="B393">
      <v>13</v>
    </nc>
  </rcc>
  <rcc rId="5553" sId="5" numFmtId="4">
    <nc r="C393">
      <v>66</v>
    </nc>
  </rcc>
  <rcc rId="5554" sId="5" numFmtId="4">
    <nc r="D393">
      <v>10</v>
    </nc>
  </rcc>
  <rcc rId="5555" sId="5" numFmtId="4">
    <nc r="E393">
      <v>3</v>
    </nc>
  </rcc>
  <rcc rId="5556" sId="5" numFmtId="4">
    <nc r="F393">
      <v>5</v>
    </nc>
  </rcc>
  <rcc rId="5557" sId="5" numFmtId="4">
    <nc r="G393">
      <v>0</v>
    </nc>
  </rcc>
  <rcc rId="5558" sId="5" numFmtId="4">
    <nc r="B394">
      <v>13</v>
    </nc>
  </rcc>
  <rcc rId="5559" sId="5" numFmtId="4">
    <nc r="C394">
      <v>66</v>
    </nc>
  </rcc>
  <rcc rId="5560" sId="5" numFmtId="4">
    <nc r="D394">
      <v>11</v>
    </nc>
  </rcc>
  <rcc rId="5561" sId="5" numFmtId="4">
    <nc r="E394">
      <v>7</v>
    </nc>
  </rcc>
  <rcc rId="5562" sId="5" numFmtId="4">
    <nc r="F394">
      <v>15</v>
    </nc>
  </rcc>
  <rcc rId="5563" sId="5" numFmtId="4">
    <nc r="G394">
      <v>1</v>
    </nc>
  </rcc>
  <rcc rId="5564" sId="5" numFmtId="4">
    <nc r="B395">
      <v>13</v>
    </nc>
  </rcc>
  <rcc rId="5565" sId="5" numFmtId="4">
    <nc r="C395">
      <v>104</v>
    </nc>
  </rcc>
  <rcc rId="5566" sId="5" numFmtId="4">
    <nc r="D395">
      <v>4</v>
    </nc>
  </rcc>
  <rcc rId="5567" sId="5" numFmtId="4">
    <nc r="E395">
      <v>1</v>
    </nc>
  </rcc>
  <rcc rId="5568" sId="5" numFmtId="4">
    <nc r="F395">
      <v>2</v>
    </nc>
  </rcc>
  <rcc rId="5569" sId="5" numFmtId="4">
    <nc r="G395">
      <v>0</v>
    </nc>
  </rcc>
  <rcc rId="5570" sId="5" numFmtId="4">
    <nc r="B396">
      <v>13</v>
    </nc>
  </rcc>
  <rcc rId="5571" sId="5" numFmtId="4">
    <nc r="C396">
      <v>104</v>
    </nc>
  </rcc>
  <rcc rId="5572" sId="5" numFmtId="4">
    <nc r="D396">
      <v>5</v>
    </nc>
  </rcc>
  <rcc rId="5573" sId="5" numFmtId="4">
    <nc r="E396">
      <v>7</v>
    </nc>
  </rcc>
  <rcc rId="5574" sId="5" numFmtId="4">
    <nc r="F396">
      <v>3</v>
    </nc>
  </rcc>
  <rcc rId="5575" sId="5" numFmtId="4">
    <nc r="G396">
      <v>0</v>
    </nc>
  </rcc>
  <rcc rId="5576" sId="5" numFmtId="4">
    <nc r="B397">
      <v>13</v>
    </nc>
  </rcc>
  <rcc rId="5577" sId="5" numFmtId="4">
    <nc r="C397">
      <v>104</v>
    </nc>
  </rcc>
  <rcc rId="5578" sId="5" numFmtId="4">
    <nc r="D397">
      <v>6</v>
    </nc>
  </rcc>
  <rcc rId="5579" sId="5" numFmtId="4">
    <nc r="E397">
      <v>14</v>
    </nc>
  </rcc>
  <rcc rId="5580" sId="5" numFmtId="4">
    <nc r="F397">
      <v>1</v>
    </nc>
  </rcc>
  <rcc rId="5581" sId="5" numFmtId="4">
    <nc r="G397">
      <v>0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>
  <rcc rId="5582" sId="2" numFmtId="4">
    <nc r="B444">
      <v>1</v>
    </nc>
  </rcc>
  <rcc rId="5583" sId="2" numFmtId="4">
    <nc r="C444">
      <v>66</v>
    </nc>
  </rcc>
  <rcc rId="5584" sId="2" numFmtId="4">
    <nc r="D444">
      <v>10</v>
    </nc>
  </rcc>
  <rcc rId="5585" sId="2" numFmtId="4">
    <nc r="E444">
      <v>3</v>
    </nc>
  </rcc>
  <rcc rId="5586" sId="2" numFmtId="4">
    <nc r="F444">
      <v>2</v>
    </nc>
  </rcc>
  <rcc rId="5587" sId="2" numFmtId="4">
    <nc r="G444">
      <v>1</v>
    </nc>
  </rcc>
  <rcc rId="5588" sId="2" numFmtId="4">
    <nc r="H444">
      <v>0</v>
    </nc>
  </rcc>
  <rcc rId="5589" sId="2" numFmtId="4">
    <nc r="B445">
      <v>1</v>
    </nc>
  </rcc>
  <rcc rId="5590" sId="2" numFmtId="4">
    <nc r="C445">
      <v>66</v>
    </nc>
  </rcc>
  <rcc rId="5591" sId="2" numFmtId="4">
    <nc r="D445">
      <v>11</v>
    </nc>
  </rcc>
  <rcc rId="5592" sId="2" numFmtId="4">
    <nc r="E445">
      <v>4</v>
    </nc>
  </rcc>
  <rcc rId="5593" sId="2" numFmtId="4">
    <nc r="F445">
      <v>2</v>
    </nc>
  </rcc>
  <rcc rId="5594" sId="2" numFmtId="4">
    <nc r="G445">
      <v>1</v>
    </nc>
  </rcc>
  <rcc rId="5595" sId="2" numFmtId="4">
    <nc r="H445">
      <v>0</v>
    </nc>
  </rcc>
  <rcc rId="5596" sId="2" numFmtId="4">
    <nc r="B446">
      <v>1</v>
    </nc>
  </rcc>
  <rcc rId="5597" sId="2" numFmtId="4">
    <nc r="C446">
      <v>112</v>
    </nc>
  </rcc>
  <rcc rId="5598" sId="2" numFmtId="4">
    <nc r="D446">
      <v>11</v>
    </nc>
  </rcc>
  <rcc rId="5599" sId="2" numFmtId="4">
    <nc r="E446">
      <v>25</v>
    </nc>
  </rcc>
  <rcc rId="5600" sId="2" numFmtId="4">
    <nc r="F446">
      <v>12</v>
    </nc>
  </rcc>
  <rcc rId="5601" sId="2" numFmtId="4">
    <nc r="G446">
      <v>0</v>
    </nc>
  </rcc>
  <rcc rId="5602" sId="2" numFmtId="4">
    <nc r="H446">
      <v>0</v>
    </nc>
  </rcc>
  <rcc rId="5603" sId="2" numFmtId="4">
    <nc r="B447">
      <v>1</v>
    </nc>
  </rcc>
  <rcc rId="5604" sId="2" numFmtId="4">
    <nc r="C447">
      <v>57</v>
    </nc>
  </rcc>
  <rcc rId="5605" sId="2" numFmtId="4">
    <nc r="D447">
      <v>4</v>
    </nc>
  </rcc>
  <rcc rId="5606" sId="2" numFmtId="4">
    <nc r="E447">
      <v>3</v>
    </nc>
  </rcc>
  <rcc rId="5607" sId="2" numFmtId="4">
    <nc r="F447">
      <v>0</v>
    </nc>
  </rcc>
  <rcc rId="5608" sId="2" numFmtId="4">
    <nc r="G447">
      <v>0</v>
    </nc>
  </rcc>
  <rcc rId="5609" sId="2" numFmtId="4">
    <nc r="H447">
      <v>0</v>
    </nc>
  </rcc>
  <rcc rId="5610" sId="2" numFmtId="4">
    <nc r="B448">
      <v>1</v>
    </nc>
  </rcc>
  <rcc rId="5611" sId="2" numFmtId="4">
    <nc r="C448">
      <v>57</v>
    </nc>
  </rcc>
  <rcc rId="5612" sId="2" numFmtId="4">
    <nc r="D448">
      <v>5</v>
    </nc>
  </rcc>
  <rcc rId="5613" sId="2" numFmtId="4">
    <nc r="E448">
      <v>3</v>
    </nc>
  </rcc>
  <rcc rId="5614" sId="2" numFmtId="4">
    <nc r="F448">
      <v>1</v>
    </nc>
  </rcc>
  <rcc rId="5615" sId="2" numFmtId="4">
    <nc r="G448">
      <v>0</v>
    </nc>
  </rcc>
  <rcc rId="5616" sId="2" numFmtId="4">
    <nc r="H448">
      <v>0</v>
    </nc>
  </rcc>
  <rcc rId="5617" sId="2" numFmtId="4">
    <nc r="B449">
      <v>1</v>
    </nc>
  </rcc>
  <rcc rId="5618" sId="2" numFmtId="4">
    <nc r="C449">
      <v>57</v>
    </nc>
  </rcc>
  <rcc rId="5619" sId="2" numFmtId="4">
    <nc r="D449">
      <v>6</v>
    </nc>
  </rcc>
  <rcc rId="5620" sId="2" numFmtId="4">
    <nc r="E449">
      <v>0</v>
    </nc>
  </rcc>
  <rcc rId="5621" sId="2" numFmtId="4">
    <nc r="F449">
      <v>1</v>
    </nc>
  </rcc>
  <rcc rId="5622" sId="2" numFmtId="4">
    <nc r="G449">
      <v>0</v>
    </nc>
  </rcc>
  <rcc rId="5623" sId="2" numFmtId="4">
    <nc r="H449">
      <v>0</v>
    </nc>
  </rcc>
  <rcc rId="5624" sId="2" numFmtId="4">
    <nc r="B450">
      <v>1</v>
    </nc>
  </rcc>
  <rcc rId="5625" sId="2" numFmtId="4">
    <nc r="C450">
      <v>57</v>
    </nc>
  </rcc>
  <rcc rId="5626" sId="2" numFmtId="4">
    <nc r="D450">
      <v>7</v>
    </nc>
  </rcc>
  <rcc rId="5627" sId="2" numFmtId="4">
    <nc r="E450">
      <v>0</v>
    </nc>
  </rcc>
  <rcc rId="5628" sId="2" numFmtId="4">
    <nc r="F450">
      <v>0</v>
    </nc>
  </rcc>
  <rcc rId="5629" sId="2" numFmtId="4">
    <nc r="G450">
      <v>0</v>
    </nc>
  </rcc>
  <rcc rId="5630" sId="2" numFmtId="4">
    <nc r="H450">
      <v>0</v>
    </nc>
  </rcc>
  <rcc rId="5631" sId="2" numFmtId="4">
    <nc r="B451">
      <v>1</v>
    </nc>
  </rcc>
  <rcc rId="5632" sId="2" numFmtId="4">
    <nc r="C451">
      <v>57</v>
    </nc>
  </rcc>
  <rcc rId="5633" sId="2" numFmtId="4">
    <nc r="D451">
      <v>8</v>
    </nc>
  </rcc>
  <rcc rId="5634" sId="2" numFmtId="4">
    <nc r="E451">
      <v>3</v>
    </nc>
  </rcc>
  <rcc rId="5635" sId="2" numFmtId="4">
    <nc r="F451">
      <v>2</v>
    </nc>
  </rcc>
  <rcc rId="5636" sId="2" numFmtId="4">
    <nc r="G451">
      <v>0</v>
    </nc>
  </rcc>
  <rcc rId="5637" sId="2" numFmtId="4">
    <nc r="H451">
      <v>0</v>
    </nc>
  </rcc>
  <rcc rId="5638" sId="2" numFmtId="4">
    <nc r="B452">
      <v>1</v>
    </nc>
  </rcc>
  <rcc rId="5639" sId="2" numFmtId="4">
    <nc r="C452">
      <v>57</v>
    </nc>
  </rcc>
  <rcc rId="5640" sId="2" numFmtId="4">
    <nc r="D452">
      <v>9</v>
    </nc>
  </rcc>
  <rcc rId="5641" sId="2" numFmtId="4">
    <nc r="E452">
      <v>5</v>
    </nc>
  </rcc>
  <rcc rId="5642" sId="2" numFmtId="4">
    <nc r="F452">
      <v>0</v>
    </nc>
  </rcc>
  <rcc rId="5643" sId="2" numFmtId="4">
    <nc r="G452">
      <v>0</v>
    </nc>
  </rcc>
  <rcc rId="5644" sId="2" numFmtId="4">
    <nc r="H452">
      <v>0</v>
    </nc>
  </rcc>
  <rcc rId="5645" sId="2" numFmtId="4">
    <nc r="B453">
      <v>1</v>
    </nc>
  </rcc>
  <rcc rId="5646" sId="2" numFmtId="4">
    <nc r="C453">
      <v>57</v>
    </nc>
  </rcc>
  <rcc rId="5647" sId="2" numFmtId="4">
    <nc r="D453">
      <v>10</v>
    </nc>
  </rcc>
  <rcc rId="5648" sId="2" numFmtId="4">
    <nc r="E453">
      <v>2</v>
    </nc>
  </rcc>
  <rcc rId="5649" sId="2" numFmtId="4">
    <nc r="F453">
      <v>4</v>
    </nc>
  </rcc>
  <rcc rId="5650" sId="2" numFmtId="4">
    <nc r="G453">
      <v>0</v>
    </nc>
  </rcc>
  <rcc rId="5651" sId="2" numFmtId="4">
    <nc r="H453">
      <v>0</v>
    </nc>
  </rcc>
  <rcc rId="5652" sId="2" numFmtId="4">
    <nc r="B454">
      <v>1</v>
    </nc>
  </rcc>
  <rcc rId="5653" sId="2" numFmtId="4">
    <nc r="C454">
      <v>57</v>
    </nc>
  </rcc>
  <rcc rId="5654" sId="2" numFmtId="4">
    <nc r="D454">
      <v>11</v>
    </nc>
  </rcc>
  <rcc rId="5655" sId="2" numFmtId="4">
    <nc r="E454">
      <v>3</v>
    </nc>
  </rcc>
  <rcc rId="5656" sId="2" numFmtId="4">
    <nc r="F454">
      <v>0</v>
    </nc>
  </rcc>
  <rcc rId="5657" sId="2" numFmtId="4">
    <nc r="G454">
      <v>0</v>
    </nc>
  </rcc>
  <rcc rId="5658" sId="2" numFmtId="4">
    <nc r="H454">
      <v>2</v>
    </nc>
  </rcc>
</revisions>
</file>

<file path=xl/revisions/revisionLog65.xml><?xml version="1.0" encoding="utf-8"?>
<revisions xmlns="http://schemas.openxmlformats.org/spreadsheetml/2006/main" xmlns:r="http://schemas.openxmlformats.org/officeDocument/2006/relationships">
  <rcc rId="5659" sId="2" numFmtId="4">
    <nc r="B455">
      <v>13</v>
    </nc>
  </rcc>
  <rcc rId="5660" sId="2" numFmtId="4">
    <nc r="C455">
      <v>104</v>
    </nc>
  </rcc>
  <rcc rId="5661" sId="2" numFmtId="4">
    <nc r="D455">
      <v>4</v>
    </nc>
  </rcc>
  <rcc rId="5662" sId="2" numFmtId="4">
    <nc r="E455">
      <v>1</v>
    </nc>
  </rcc>
  <rcc rId="5663" sId="2" numFmtId="4">
    <nc r="F455">
      <v>2</v>
    </nc>
  </rcc>
  <rcc rId="5664" sId="2" numFmtId="4">
    <nc r="G455">
      <v>0</v>
    </nc>
  </rcc>
  <rcc rId="5665" sId="2" numFmtId="4">
    <nc r="H455">
      <v>0</v>
    </nc>
  </rcc>
  <rcc rId="5666" sId="2" numFmtId="4">
    <nc r="B456">
      <v>13</v>
    </nc>
  </rcc>
  <rcc rId="5667" sId="2" numFmtId="4">
    <nc r="C456">
      <v>104</v>
    </nc>
  </rcc>
  <rcc rId="5668" sId="2" numFmtId="4">
    <nc r="D456">
      <v>5</v>
    </nc>
  </rcc>
  <rcc rId="5669" sId="2" numFmtId="4">
    <nc r="G456">
      <v>0</v>
    </nc>
  </rcc>
  <rcc rId="5670" sId="2" numFmtId="4">
    <nc r="E456">
      <v>7</v>
    </nc>
  </rcc>
  <rcc rId="5671" sId="2" numFmtId="4">
    <nc r="F456">
      <v>3</v>
    </nc>
  </rcc>
  <rcc rId="5672" sId="2" numFmtId="4">
    <nc r="H456">
      <v>0</v>
    </nc>
  </rcc>
  <rcc rId="5673" sId="2" numFmtId="4">
    <nc r="B457">
      <v>13</v>
    </nc>
  </rcc>
  <rcc rId="5674" sId="2" numFmtId="4">
    <nc r="C457">
      <v>104</v>
    </nc>
  </rcc>
  <rcc rId="5675" sId="2" numFmtId="4">
    <nc r="D457">
      <v>6</v>
    </nc>
  </rcc>
  <rcc rId="5676" sId="2" numFmtId="4">
    <nc r="E457">
      <v>14</v>
    </nc>
  </rcc>
  <rcc rId="5677" sId="2" numFmtId="4">
    <nc r="F457">
      <v>1</v>
    </nc>
  </rcc>
  <rcc rId="5678" sId="2" numFmtId="4">
    <nc r="G457">
      <v>0</v>
    </nc>
  </rcc>
  <rcc rId="5679" sId="2" numFmtId="4">
    <nc r="H457">
      <v>0</v>
    </nc>
  </rcc>
  <rcc rId="5680" sId="11" numFmtId="4">
    <nc r="B209">
      <v>1</v>
    </nc>
  </rcc>
  <rcc rId="5681" sId="11" numFmtId="4">
    <nc r="C209">
      <v>25</v>
    </nc>
  </rcc>
  <rcc rId="5682" sId="11" numFmtId="4">
    <nc r="D209">
      <v>11</v>
    </nc>
  </rcc>
  <rcc rId="5683" sId="11" numFmtId="4">
    <nc r="E209">
      <v>13</v>
    </nc>
  </rcc>
  <rcc rId="5684" sId="11" numFmtId="4">
    <nc r="F209">
      <v>3</v>
    </nc>
  </rcc>
  <rcc rId="5685" sId="11" numFmtId="4">
    <nc r="G209">
      <v>5</v>
    </nc>
  </rcc>
  <rcc rId="5686" sId="11" numFmtId="4">
    <nc r="H209">
      <v>0</v>
    </nc>
  </rcc>
  <rcc rId="5687" sId="11" numFmtId="4">
    <nc r="B210">
      <v>1</v>
    </nc>
  </rcc>
  <rcc rId="5688" sId="11" numFmtId="4">
    <nc r="C210">
      <v>21</v>
    </nc>
  </rcc>
  <rcc rId="5689" sId="11" numFmtId="4">
    <nc r="D210">
      <v>12</v>
    </nc>
  </rcc>
  <rcc rId="5690" sId="11" numFmtId="4">
    <nc r="E210">
      <v>0</v>
    </nc>
  </rcc>
  <rcc rId="5691" sId="11" numFmtId="4">
    <nc r="F210">
      <v>18</v>
    </nc>
  </rcc>
  <rcc rId="5692" sId="11" numFmtId="4">
    <nc r="G210">
      <v>0</v>
    </nc>
  </rcc>
  <rcc rId="5693" sId="11" numFmtId="4">
    <nc r="H210">
      <v>0</v>
    </nc>
  </rcc>
  <rcc rId="5694" sId="11" numFmtId="4">
    <nc r="B211">
      <v>1</v>
    </nc>
  </rcc>
  <rcc rId="5695" sId="11" numFmtId="4">
    <nc r="C211">
      <v>21</v>
    </nc>
  </rcc>
  <rcc rId="5696" sId="11" numFmtId="4">
    <nc r="D211">
      <v>11</v>
    </nc>
  </rcc>
  <rcc rId="5697" sId="11" numFmtId="4">
    <nc r="E211">
      <v>2</v>
    </nc>
  </rcc>
  <rcc rId="5698" sId="11" numFmtId="4">
    <nc r="F211">
      <v>30</v>
    </nc>
  </rcc>
  <rcc rId="5699" sId="11" numFmtId="4">
    <nc r="G211">
      <v>0</v>
    </nc>
  </rcc>
  <rcc rId="5700" sId="11" numFmtId="4">
    <nc r="H211">
      <v>0</v>
    </nc>
  </rcc>
  <rcc rId="5701" sId="11" numFmtId="4">
    <nc r="B212">
      <v>1</v>
    </nc>
  </rcc>
  <rcc rId="5702" sId="11" numFmtId="4">
    <nc r="C212">
      <v>57</v>
    </nc>
  </rcc>
  <rcc rId="5703" sId="11" numFmtId="4">
    <nc r="D212">
      <v>4</v>
    </nc>
  </rcc>
  <rcc rId="5704" sId="11" numFmtId="4">
    <nc r="E212">
      <v>3</v>
    </nc>
  </rcc>
  <rcc rId="5705" sId="11" numFmtId="4">
    <nc r="F212">
      <v>0</v>
    </nc>
  </rcc>
  <rcc rId="5706" sId="11" numFmtId="4">
    <nc r="G212">
      <v>0</v>
    </nc>
  </rcc>
  <rcc rId="5707" sId="11" numFmtId="4">
    <nc r="H212">
      <v>0</v>
    </nc>
  </rcc>
  <rcc rId="5708" sId="11" numFmtId="4">
    <nc r="B213">
      <v>1</v>
    </nc>
  </rcc>
  <rcc rId="5709" sId="11" numFmtId="4">
    <nc r="C213">
      <v>57</v>
    </nc>
  </rcc>
  <rcc rId="5710" sId="11" numFmtId="4">
    <nc r="D213">
      <v>5</v>
    </nc>
  </rcc>
  <rcc rId="5711" sId="11" numFmtId="4">
    <nc r="E213">
      <v>3</v>
    </nc>
  </rcc>
  <rcc rId="5712" sId="11" numFmtId="4">
    <nc r="F213">
      <v>1</v>
    </nc>
  </rcc>
  <rcc rId="5713" sId="11" numFmtId="4">
    <nc r="G213">
      <v>0</v>
    </nc>
  </rcc>
  <rcc rId="5714" sId="11" numFmtId="4">
    <nc r="H213">
      <v>0</v>
    </nc>
  </rcc>
  <rcc rId="5715" sId="11" numFmtId="4">
    <nc r="B214">
      <v>1</v>
    </nc>
  </rcc>
  <rcc rId="5716" sId="11" numFmtId="4">
    <nc r="C214">
      <v>57</v>
    </nc>
  </rcc>
  <rcc rId="5717" sId="11" numFmtId="4">
    <nc r="D214">
      <v>6</v>
    </nc>
  </rcc>
  <rcc rId="5718" sId="11" numFmtId="4">
    <nc r="E214">
      <v>0</v>
    </nc>
  </rcc>
  <rcc rId="5719" sId="11" numFmtId="4">
    <nc r="F214">
      <v>1</v>
    </nc>
  </rcc>
  <rcc rId="5720" sId="11" numFmtId="4">
    <nc r="G214">
      <v>0</v>
    </nc>
  </rcc>
  <rcc rId="5721" sId="11" numFmtId="4">
    <nc r="H214">
      <v>0</v>
    </nc>
  </rcc>
  <rcc rId="5722" sId="11" numFmtId="4">
    <nc r="B215">
      <v>1</v>
    </nc>
  </rcc>
  <rcc rId="5723" sId="11" numFmtId="4">
    <nc r="C215">
      <v>57</v>
    </nc>
  </rcc>
  <rcc rId="5724" sId="11" numFmtId="4">
    <nc r="D215">
      <v>7</v>
    </nc>
  </rcc>
  <rcc rId="5725" sId="11" numFmtId="4">
    <nc r="E215">
      <v>0</v>
    </nc>
  </rcc>
  <rcc rId="5726" sId="11" numFmtId="4">
    <nc r="F215">
      <v>0</v>
    </nc>
  </rcc>
  <rcc rId="5727" sId="11" numFmtId="4">
    <nc r="G215">
      <v>0</v>
    </nc>
  </rcc>
  <rcc rId="5728" sId="11" numFmtId="4">
    <nc r="H215">
      <v>0</v>
    </nc>
  </rcc>
  <rcc rId="5729" sId="11" numFmtId="4">
    <nc r="B216">
      <v>1</v>
    </nc>
  </rcc>
  <rcc rId="5730" sId="11" numFmtId="4">
    <nc r="C216">
      <v>57</v>
    </nc>
  </rcc>
  <rcc rId="5731" sId="11" numFmtId="4">
    <nc r="D216">
      <v>8</v>
    </nc>
  </rcc>
  <rcc rId="5732" sId="11" numFmtId="4">
    <nc r="E216">
      <v>3</v>
    </nc>
  </rcc>
  <rcc rId="5733" sId="11" numFmtId="4">
    <nc r="F216">
      <v>2</v>
    </nc>
  </rcc>
  <rcc rId="5734" sId="11" numFmtId="4">
    <nc r="G216">
      <v>0</v>
    </nc>
  </rcc>
  <rcc rId="5735" sId="11" numFmtId="4">
    <nc r="H216">
      <v>0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>
  <rcc rId="5736" sId="8" numFmtId="4">
    <nc r="B70">
      <v>23</v>
    </nc>
  </rcc>
  <rcc rId="5737" sId="8" numFmtId="4">
    <nc r="C70">
      <v>135</v>
    </nc>
  </rcc>
  <rcc rId="5738" sId="8" numFmtId="4">
    <nc r="D70">
      <v>11</v>
    </nc>
  </rcc>
  <rcc rId="5739" sId="8" numFmtId="4">
    <nc r="E70">
      <v>3</v>
    </nc>
  </rcc>
  <rcc rId="5740" sId="8" numFmtId="4">
    <nc r="F70">
      <v>6</v>
    </nc>
  </rcc>
  <rcc rId="5741" sId="8" numFmtId="4">
    <nc r="G70">
      <v>0</v>
    </nc>
  </rcc>
  <rcc rId="5742" sId="8" numFmtId="4">
    <nc r="B71">
      <v>23</v>
    </nc>
  </rcc>
  <rcc rId="5743" sId="8" numFmtId="4">
    <nc r="C71">
      <v>135</v>
    </nc>
  </rcc>
  <rcc rId="5744" sId="8" numFmtId="4">
    <nc r="D71">
      <v>12</v>
    </nc>
  </rcc>
  <rcc rId="5745" sId="8" numFmtId="4">
    <nc r="E71">
      <v>5</v>
    </nc>
  </rcc>
  <rcc rId="5746" sId="8" numFmtId="4">
    <nc r="F71">
      <v>9</v>
    </nc>
  </rcc>
  <rcc rId="5747" sId="8" numFmtId="4">
    <nc r="G71">
      <v>0</v>
    </nc>
  </rcc>
  <rcc rId="5748" sId="5">
    <oc r="I4" t="inlineStr">
      <is>
        <t>Libertador</t>
      </is>
    </oc>
    <nc r="I4">
      <v>13</v>
    </nc>
  </rcc>
  <rcc rId="5749" sId="5">
    <oc r="I5">
      <v>23</v>
    </oc>
    <nc r="I5">
      <v>123</v>
    </nc>
  </rcc>
  <rcc rId="5750" sId="5" numFmtId="4">
    <nc r="B398">
      <v>13</v>
    </nc>
  </rcc>
  <rcc rId="5751" sId="5" numFmtId="4">
    <nc r="C398">
      <v>123</v>
    </nc>
  </rcc>
  <rcc rId="5752" sId="5" numFmtId="4">
    <nc r="D398">
      <v>6</v>
    </nc>
  </rcc>
</revisions>
</file>

<file path=xl/revisions/revisionLog67.xml><?xml version="1.0" encoding="utf-8"?>
<revisions xmlns="http://schemas.openxmlformats.org/spreadsheetml/2006/main" xmlns:r="http://schemas.openxmlformats.org/officeDocument/2006/relationships">
  <rcc rId="5753" sId="11" numFmtId="4">
    <nc r="B217">
      <v>1</v>
    </nc>
  </rcc>
  <rcc rId="5754" sId="11" numFmtId="4">
    <nc r="C217">
      <v>57</v>
    </nc>
  </rcc>
  <rcc rId="5755" sId="11" numFmtId="4">
    <nc r="D217">
      <v>9</v>
    </nc>
  </rcc>
  <rcc rId="5756" sId="11" numFmtId="4">
    <nc r="E217">
      <v>5</v>
    </nc>
  </rcc>
  <rcc rId="5757" sId="11" numFmtId="4">
    <nc r="F217">
      <v>1</v>
    </nc>
  </rcc>
  <rcc rId="5758" sId="11" numFmtId="4">
    <nc r="G217">
      <v>0</v>
    </nc>
  </rcc>
  <rcc rId="5759" sId="11" numFmtId="4">
    <nc r="H217">
      <v>0</v>
    </nc>
  </rcc>
  <rcc rId="5760" sId="11" numFmtId="4">
    <nc r="B218">
      <v>1</v>
    </nc>
  </rcc>
  <rcc rId="5761" sId="11" numFmtId="4">
    <nc r="C218">
      <v>57</v>
    </nc>
  </rcc>
  <rcc rId="5762" sId="11" numFmtId="4">
    <nc r="D218">
      <v>10</v>
    </nc>
  </rcc>
  <rcc rId="5763" sId="11" numFmtId="4">
    <nc r="E218">
      <v>2</v>
    </nc>
  </rcc>
  <rcc rId="5764" sId="11" numFmtId="4">
    <nc r="F218">
      <v>4</v>
    </nc>
  </rcc>
  <rcc rId="5765" sId="11" numFmtId="4">
    <nc r="G218">
      <v>0</v>
    </nc>
  </rcc>
  <rcc rId="5766" sId="11" numFmtId="4">
    <nc r="H218">
      <v>0</v>
    </nc>
  </rcc>
  <rcc rId="5767" sId="11" numFmtId="4">
    <nc r="B219">
      <v>1</v>
    </nc>
  </rcc>
  <rcc rId="5768" sId="11" numFmtId="4">
    <nc r="C219">
      <v>57</v>
    </nc>
  </rcc>
  <rcc rId="5769" sId="11" numFmtId="4">
    <nc r="D219">
      <v>11</v>
    </nc>
  </rcc>
  <rcc rId="5770" sId="11" numFmtId="4">
    <nc r="E219">
      <v>3</v>
    </nc>
  </rcc>
  <rcc rId="5771" sId="11" numFmtId="4">
    <nc r="F219">
      <v>0</v>
    </nc>
  </rcc>
  <rcc rId="5772" sId="11" numFmtId="4">
    <nc r="G219">
      <v>0</v>
    </nc>
  </rcc>
  <rcc rId="5773" sId="11" numFmtId="4">
    <nc r="H219">
      <v>2</v>
    </nc>
  </rcc>
  <rcc rId="5774" sId="11" numFmtId="4">
    <nc r="B220">
      <v>1</v>
    </nc>
  </rcc>
  <rcc rId="5775" sId="11" numFmtId="4">
    <nc r="C220">
      <v>35</v>
    </nc>
  </rcc>
  <rcc rId="5776" sId="11" numFmtId="4">
    <nc r="D220">
      <v>11</v>
    </nc>
  </rcc>
  <rcc rId="5777" sId="11" numFmtId="4">
    <nc r="E220">
      <v>13</v>
    </nc>
  </rcc>
  <rcc rId="5778" sId="11" numFmtId="4">
    <nc r="F220">
      <v>12</v>
    </nc>
  </rcc>
  <rcc rId="5779" sId="11" numFmtId="4">
    <nc r="G220">
      <v>10</v>
    </nc>
  </rcc>
  <rcc rId="5780" sId="11" numFmtId="4">
    <nc r="H220">
      <v>0</v>
    </nc>
  </rcc>
  <rcc rId="5781" sId="11" numFmtId="4">
    <nc r="B221">
      <v>1</v>
    </nc>
  </rcc>
  <rcc rId="5782" sId="11" numFmtId="4">
    <nc r="C221">
      <v>49</v>
    </nc>
  </rcc>
  <rcc rId="5783" sId="11" numFmtId="4">
    <nc r="D221">
      <v>11</v>
    </nc>
  </rcc>
  <rcc rId="5784" sId="11" numFmtId="4">
    <nc r="E221">
      <v>4</v>
    </nc>
  </rcc>
  <rcc rId="5785" sId="11" numFmtId="4">
    <nc r="F221">
      <v>3</v>
    </nc>
  </rcc>
  <rcc rId="5786" sId="11" numFmtId="4">
    <nc r="G221">
      <v>1</v>
    </nc>
  </rcc>
  <rcc rId="5787" sId="11" numFmtId="4">
    <nc r="H221">
      <v>0</v>
    </nc>
  </rcc>
  <rcc rId="5788" sId="11" numFmtId="4">
    <nc r="B222">
      <v>1</v>
    </nc>
  </rcc>
  <rcc rId="5789" sId="11" numFmtId="4">
    <nc r="C222">
      <v>49</v>
    </nc>
  </rcc>
  <rcc rId="5790" sId="11" numFmtId="4">
    <nc r="D222">
      <v>12</v>
    </nc>
  </rcc>
  <rcc rId="5791" sId="11" numFmtId="4">
    <nc r="E222">
      <v>11</v>
    </nc>
  </rcc>
  <rcc rId="5792" sId="11" numFmtId="4">
    <nc r="F222">
      <v>0</v>
    </nc>
  </rcc>
  <rcc rId="5793" sId="11" numFmtId="4">
    <nc r="G222">
      <v>1</v>
    </nc>
  </rcc>
  <rcc rId="5794" sId="11" numFmtId="4">
    <nc r="H222">
      <v>1</v>
    </nc>
  </rcc>
</revisions>
</file>

<file path=xl/revisions/revisionLog68.xml><?xml version="1.0" encoding="utf-8"?>
<revisions xmlns="http://schemas.openxmlformats.org/spreadsheetml/2006/main" xmlns:r="http://schemas.openxmlformats.org/officeDocument/2006/relationships">
  <rcc rId="5795" sId="5" numFmtId="4">
    <nc r="E398">
      <v>17</v>
    </nc>
  </rcc>
  <rcc rId="5796" sId="5" numFmtId="4">
    <nc r="F398">
      <v>8</v>
    </nc>
  </rcc>
  <rcc rId="5797" sId="5" numFmtId="4">
    <nc r="G398">
      <v>0</v>
    </nc>
  </rcc>
  <rcc rId="5798" sId="5" numFmtId="4">
    <nc r="B399">
      <v>13</v>
    </nc>
  </rcc>
  <rcc rId="5799" sId="5" numFmtId="4">
    <nc r="C399">
      <v>123</v>
    </nc>
  </rcc>
  <rcc rId="5800" sId="5" numFmtId="4">
    <nc r="D399">
      <v>7</v>
    </nc>
  </rcc>
  <rcc rId="5801" sId="5" numFmtId="4">
    <nc r="E399">
      <v>13</v>
    </nc>
  </rcc>
  <rcc rId="5802" sId="5" numFmtId="4">
    <nc r="F399">
      <v>12</v>
    </nc>
  </rcc>
  <rcc rId="5803" sId="5" numFmtId="4">
    <nc r="G399">
      <v>0</v>
    </nc>
  </rcc>
  <rcc rId="5804" sId="5" numFmtId="4">
    <nc r="B400">
      <v>13</v>
    </nc>
  </rcc>
  <rcc rId="5805" sId="5" numFmtId="4">
    <nc r="C400">
      <v>123</v>
    </nc>
  </rcc>
  <rcc rId="5806" sId="5" numFmtId="4">
    <nc r="D400">
      <v>8</v>
    </nc>
  </rcc>
  <rcc rId="5807" sId="5" numFmtId="4">
    <nc r="E400">
      <v>8</v>
    </nc>
  </rcc>
  <rcc rId="5808" sId="5" numFmtId="4">
    <nc r="F400">
      <v>10</v>
    </nc>
  </rcc>
  <rcc rId="5809" sId="5" numFmtId="4">
    <nc r="G400">
      <v>0</v>
    </nc>
  </rcc>
  <rcc rId="5810" sId="5" numFmtId="4">
    <nc r="B401">
      <v>13</v>
    </nc>
  </rcc>
  <rcc rId="5811" sId="5" numFmtId="4">
    <nc r="C401">
      <v>123</v>
    </nc>
  </rcc>
  <rcc rId="5812" sId="5" numFmtId="4">
    <nc r="D401">
      <v>9</v>
    </nc>
  </rcc>
  <rcc rId="5813" sId="5" numFmtId="4">
    <nc r="E401">
      <v>19</v>
    </nc>
  </rcc>
  <rcc rId="5814" sId="5" numFmtId="4">
    <nc r="F401">
      <v>4</v>
    </nc>
  </rcc>
  <rcc rId="5815" sId="5" numFmtId="4">
    <nc r="G401">
      <v>0</v>
    </nc>
  </rcc>
  <rcc rId="5816" sId="5" numFmtId="4">
    <nc r="B402">
      <v>13</v>
    </nc>
  </rcc>
  <rcc rId="5817" sId="5" numFmtId="4">
    <nc r="C402">
      <v>123</v>
    </nc>
  </rcc>
  <rcc rId="5818" sId="5" numFmtId="4">
    <nc r="D402">
      <v>10</v>
    </nc>
  </rcc>
  <rcc rId="5819" sId="5" numFmtId="4">
    <nc r="E402">
      <v>0</v>
    </nc>
  </rcc>
  <rcc rId="5820" sId="5" numFmtId="4">
    <nc r="F402">
      <v>4</v>
    </nc>
  </rcc>
  <rcc rId="5821" sId="5" numFmtId="4">
    <nc r="G402">
      <v>0</v>
    </nc>
  </rcc>
  <rcc rId="5822" sId="5" numFmtId="4">
    <nc r="B403">
      <v>13</v>
    </nc>
  </rcc>
  <rcc rId="5823" sId="5" numFmtId="4">
    <nc r="C403">
      <v>123</v>
    </nc>
  </rcc>
  <rcc rId="5824" sId="5" numFmtId="4">
    <nc r="D403">
      <v>11</v>
    </nc>
  </rcc>
  <rcc rId="5825" sId="5" numFmtId="4">
    <nc r="E403">
      <v>8</v>
    </nc>
  </rcc>
  <rcc rId="5826" sId="5" numFmtId="4">
    <nc r="F403">
      <v>6</v>
    </nc>
  </rcc>
  <rcc rId="5827" sId="5" numFmtId="4">
    <nc r="G403">
      <v>0</v>
    </nc>
  </rcc>
  <rcc rId="5828" sId="5" numFmtId="4">
    <nc r="B404">
      <v>13</v>
    </nc>
  </rcc>
  <rcc rId="5829" sId="5" numFmtId="4">
    <nc r="C404">
      <v>123</v>
    </nc>
  </rcc>
  <rcc rId="5830" sId="5" numFmtId="4">
    <nc r="D404">
      <v>12</v>
    </nc>
  </rcc>
  <rcc rId="5831" sId="5" numFmtId="4">
    <nc r="E404">
      <v>15</v>
    </nc>
  </rcc>
  <rcc rId="5832" sId="5" numFmtId="4">
    <nc r="F404">
      <v>9</v>
    </nc>
  </rcc>
  <rcc rId="5833" sId="5" numFmtId="4">
    <nc r="G404">
      <v>0</v>
    </nc>
  </rcc>
  <rcc rId="5834" sId="5" numFmtId="4">
    <nc r="B405">
      <v>13</v>
    </nc>
  </rcc>
  <rcc rId="5835" sId="5" numFmtId="4">
    <nc r="C405">
      <v>123</v>
    </nc>
  </rcc>
  <rcc rId="5836" sId="5" numFmtId="4">
    <nc r="D405">
      <v>13</v>
    </nc>
  </rcc>
  <rcc rId="5837" sId="5" numFmtId="4">
    <nc r="E405">
      <v>10</v>
    </nc>
  </rcc>
  <rcc rId="5838" sId="5" numFmtId="4">
    <nc r="F405">
      <v>10</v>
    </nc>
  </rcc>
  <rcc rId="5839" sId="5" numFmtId="4">
    <nc r="G405">
      <v>0</v>
    </nc>
  </rcc>
  <rcc rId="5840" sId="5" numFmtId="4">
    <nc r="B406">
      <v>13</v>
    </nc>
  </rcc>
  <rcc rId="5841" sId="5" numFmtId="4">
    <nc r="C406">
      <v>76</v>
    </nc>
  </rcc>
  <rcc rId="5842" sId="5" numFmtId="4">
    <nc r="D406">
      <v>12</v>
    </nc>
  </rcc>
  <rcc rId="5843" sId="5" numFmtId="4">
    <nc r="E406">
      <v>16</v>
    </nc>
  </rcc>
  <rcc rId="5844" sId="5" numFmtId="4">
    <nc r="F406">
      <v>4</v>
    </nc>
  </rcc>
  <rcc rId="5845" sId="5" numFmtId="4">
    <nc r="G406">
      <v>3</v>
    </nc>
  </rcc>
  <rcc rId="5846" sId="5" numFmtId="4">
    <nc r="B407">
      <v>13</v>
    </nc>
  </rcc>
  <rcc rId="5847" sId="5" numFmtId="4">
    <nc r="C407">
      <v>76</v>
    </nc>
  </rcc>
  <rcc rId="5848" sId="5" numFmtId="4">
    <nc r="D407">
      <v>13</v>
    </nc>
  </rcc>
  <rcc rId="5849" sId="5" numFmtId="4">
    <nc r="E407">
      <v>15</v>
    </nc>
  </rcc>
  <rcc rId="5850" sId="5" numFmtId="4">
    <nc r="F407">
      <v>2</v>
    </nc>
  </rcc>
  <rcc rId="5851" sId="5" numFmtId="4">
    <nc r="G407">
      <v>2</v>
    </nc>
  </rcc>
  <rcc rId="5852" sId="5" numFmtId="4">
    <nc r="B408">
      <v>13</v>
    </nc>
  </rcc>
  <rcc rId="5853" sId="5" numFmtId="4">
    <nc r="C408">
      <v>116</v>
    </nc>
  </rcc>
  <rcc rId="5854" sId="5" numFmtId="4">
    <nc r="D408">
      <v>12</v>
    </nc>
  </rcc>
  <rcc rId="5855" sId="5" numFmtId="4">
    <nc r="E408">
      <v>11</v>
    </nc>
  </rcc>
  <rcc rId="5856" sId="5" numFmtId="4">
    <nc r="F408">
      <v>4</v>
    </nc>
  </rcc>
  <rcc rId="5857" sId="5" numFmtId="4">
    <nc r="G408">
      <v>0</v>
    </nc>
  </rcc>
  <rcc rId="5858" sId="5" numFmtId="4">
    <nc r="B409">
      <v>13</v>
    </nc>
  </rcc>
  <rcc rId="5859" sId="5" numFmtId="4">
    <nc r="C409">
      <v>116</v>
    </nc>
  </rcc>
  <rcc rId="5860" sId="5" numFmtId="4">
    <nc r="D409">
      <v>11</v>
    </nc>
  </rcc>
  <rcc rId="5861" sId="5" numFmtId="4">
    <nc r="E409">
      <v>0</v>
    </nc>
  </rcc>
  <rcc rId="5862" sId="5" numFmtId="4">
    <nc r="F409">
      <v>0</v>
    </nc>
  </rcc>
  <rcc rId="5863" sId="5" numFmtId="4">
    <nc r="G409">
      <v>0</v>
    </nc>
  </rcc>
  <rcc rId="5864" sId="5" numFmtId="4">
    <nc r="B410">
      <v>13</v>
    </nc>
  </rcc>
  <rcc rId="5865" sId="5" numFmtId="4">
    <nc r="C410">
      <v>115</v>
    </nc>
  </rcc>
  <rcc rId="5866" sId="5" numFmtId="4">
    <nc r="D410">
      <v>12</v>
    </nc>
  </rcc>
  <rcc rId="5867" sId="5" numFmtId="4">
    <nc r="E410">
      <v>0</v>
    </nc>
  </rcc>
  <rcc rId="5868" sId="5" numFmtId="4">
    <nc r="F410">
      <v>12</v>
    </nc>
  </rcc>
  <rcc rId="5869" sId="5" numFmtId="4">
    <nc r="G410">
      <v>0</v>
    </nc>
  </rcc>
  <rcc rId="5870" sId="5" numFmtId="4">
    <nc r="B411">
      <v>13</v>
    </nc>
  </rcc>
  <rcc rId="5871" sId="5" numFmtId="4">
    <nc r="C411">
      <v>115</v>
    </nc>
  </rcc>
  <rcc rId="5872" sId="5" numFmtId="4">
    <nc r="D411">
      <v>11</v>
    </nc>
  </rcc>
  <rcc rId="5873" sId="5" numFmtId="4">
    <nc r="E411">
      <v>2</v>
    </nc>
  </rcc>
  <rcc rId="5874" sId="5" numFmtId="4">
    <nc r="F411">
      <v>16</v>
    </nc>
  </rcc>
  <rcc rId="5875" sId="5" numFmtId="4">
    <nc r="G411">
      <v>0</v>
    </nc>
  </rcc>
  <rcc rId="5876" sId="5" numFmtId="4">
    <nc r="B412">
      <v>13</v>
    </nc>
  </rcc>
  <rcc rId="5877" sId="5" numFmtId="4">
    <nc r="C412">
      <v>96</v>
    </nc>
  </rcc>
  <rcc rId="5878" sId="5" numFmtId="4">
    <nc r="D412">
      <v>11</v>
    </nc>
  </rcc>
  <rcc rId="5879" sId="5" numFmtId="4">
    <nc r="E412">
      <v>4</v>
    </nc>
  </rcc>
  <rcc rId="5880" sId="5" numFmtId="4">
    <nc r="F412">
      <v>7</v>
    </nc>
  </rcc>
  <rcc rId="5881" sId="5" numFmtId="4">
    <nc r="G412">
      <v>0</v>
    </nc>
  </rcc>
  <rcc rId="5882" sId="5" numFmtId="4">
    <nc r="B413">
      <v>13</v>
    </nc>
  </rcc>
  <rcc rId="5883" sId="5" numFmtId="4">
    <nc r="C413">
      <v>89</v>
    </nc>
  </rcc>
  <rcc rId="5884" sId="5" numFmtId="4">
    <nc r="D413">
      <v>11</v>
    </nc>
  </rcc>
  <rcc rId="5885" sId="5" numFmtId="4">
    <nc r="E413">
      <v>17</v>
    </nc>
  </rcc>
  <rcc rId="5886" sId="5" numFmtId="4">
    <nc r="F413">
      <v>6</v>
    </nc>
  </rcc>
  <rcc rId="5887" sId="5" numFmtId="4">
    <nc r="G413">
      <v>0</v>
    </nc>
  </rcc>
  <rcc rId="5888" sId="5" numFmtId="4">
    <nc r="B414">
      <v>13</v>
    </nc>
  </rcc>
  <rcc rId="5889" sId="5" numFmtId="4">
    <nc r="C414">
      <v>114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>
  <rcc rId="5890" sId="2" numFmtId="4">
    <nc r="B458">
      <v>13</v>
    </nc>
  </rcc>
  <rcc rId="5891" sId="2" numFmtId="4">
    <nc r="C458">
      <v>44</v>
    </nc>
  </rcc>
  <rcc rId="5892" sId="2" numFmtId="4">
    <nc r="D458">
      <v>10</v>
    </nc>
  </rcc>
  <rcc rId="5893" sId="2" numFmtId="4">
    <nc r="E458">
      <v>7</v>
    </nc>
  </rcc>
  <rcc rId="5894" sId="2" numFmtId="4">
    <nc r="F458">
      <v>9</v>
    </nc>
  </rcc>
  <rcc rId="5895" sId="2" numFmtId="4">
    <nc r="G458">
      <v>0</v>
    </nc>
  </rcc>
  <rcc rId="5896" sId="2" numFmtId="4">
    <nc r="H458">
      <v>0</v>
    </nc>
  </rcc>
  <rcc rId="5897" sId="2" numFmtId="4">
    <nc r="B459">
      <v>13</v>
    </nc>
  </rcc>
  <rcc rId="5898" sId="2" numFmtId="4">
    <nc r="C459">
      <v>44</v>
    </nc>
  </rcc>
  <rcc rId="5899" sId="2" numFmtId="4">
    <nc r="D459">
      <v>11</v>
    </nc>
  </rcc>
  <rcc rId="5900" sId="2" numFmtId="4">
    <nc r="E459">
      <v>9</v>
    </nc>
  </rcc>
  <rcc rId="5901" sId="2" numFmtId="4">
    <nc r="F459">
      <v>7</v>
    </nc>
  </rcc>
  <rcc rId="5902" sId="2" numFmtId="4">
    <nc r="G459">
      <v>0</v>
    </nc>
  </rcc>
  <rcc rId="5903" sId="2" numFmtId="4">
    <nc r="H459">
      <v>0</v>
    </nc>
  </rcc>
  <rcc rId="5904" sId="2" numFmtId="4">
    <nc r="B460">
      <v>13</v>
    </nc>
  </rcc>
  <rcc rId="5905" sId="2" numFmtId="4">
    <nc r="C460">
      <v>44</v>
    </nc>
  </rcc>
  <rcc rId="5906" sId="2" numFmtId="4">
    <nc r="D460">
      <v>12</v>
    </nc>
  </rcc>
  <rcc rId="5907" sId="2" numFmtId="4">
    <nc r="E460">
      <v>6</v>
    </nc>
  </rcc>
  <rcc rId="5908" sId="2" numFmtId="4">
    <nc r="F460">
      <v>8</v>
    </nc>
  </rcc>
  <rcc rId="5909" sId="2" numFmtId="4">
    <nc r="G460">
      <v>0</v>
    </nc>
  </rcc>
  <rcc rId="5910" sId="2" numFmtId="4">
    <nc r="H460">
      <v>0</v>
    </nc>
  </rcc>
  <rcc rId="5911" sId="2" numFmtId="4">
    <nc r="B461">
      <v>13</v>
    </nc>
  </rcc>
  <rcc rId="5912" sId="2" numFmtId="4">
    <nc r="C461">
      <v>106</v>
    </nc>
  </rcc>
  <rcc rId="5913" sId="2" numFmtId="4">
    <nc r="D461">
      <v>11</v>
    </nc>
  </rcc>
  <rcc rId="5914" sId="2" numFmtId="4">
    <nc r="E461">
      <v>11</v>
    </nc>
  </rcc>
  <rcc rId="5915" sId="2" numFmtId="4">
    <nc r="F461">
      <v>8</v>
    </nc>
  </rcc>
  <rcc rId="5916" sId="2" numFmtId="4">
    <nc r="G461">
      <v>0</v>
    </nc>
  </rcc>
  <rcc rId="5917" sId="2" numFmtId="4">
    <nc r="H461">
      <v>0</v>
    </nc>
  </rcc>
  <rcc rId="5918" sId="2" numFmtId="4">
    <nc r="B462">
      <v>13</v>
    </nc>
  </rcc>
  <rcc rId="5919" sId="2" numFmtId="4">
    <nc r="C462">
      <v>106</v>
    </nc>
  </rcc>
  <rcc rId="5920" sId="2" numFmtId="4">
    <nc r="D462">
      <v>12</v>
    </nc>
  </rcc>
  <rcc rId="5921" sId="2" numFmtId="4">
    <nc r="E462">
      <v>9</v>
    </nc>
  </rcc>
  <rcc rId="5922" sId="2" numFmtId="4">
    <nc r="F462">
      <v>2</v>
    </nc>
  </rcc>
  <rcc rId="5923" sId="2" numFmtId="4">
    <nc r="G462">
      <v>0</v>
    </nc>
  </rcc>
  <rcc rId="5924" sId="2" numFmtId="4">
    <nc r="H462">
      <v>0</v>
    </nc>
  </rcc>
  <rcc rId="5925" sId="2" numFmtId="4">
    <nc r="B463">
      <v>13</v>
    </nc>
  </rcc>
  <rcc rId="5926" sId="2" numFmtId="4">
    <nc r="C463">
      <v>106</v>
    </nc>
  </rcc>
  <rcc rId="5927" sId="2" numFmtId="4">
    <nc r="D463">
      <v>13</v>
    </nc>
  </rcc>
  <rcc rId="5928" sId="2" numFmtId="4">
    <nc r="E463">
      <v>13</v>
    </nc>
  </rcc>
  <rcc rId="5929" sId="2" numFmtId="4">
    <nc r="F463">
      <v>13</v>
    </nc>
  </rcc>
  <rcc rId="5930" sId="2" numFmtId="4">
    <nc r="G463">
      <v>0</v>
    </nc>
  </rcc>
  <rcc rId="5931" sId="2" numFmtId="4">
    <nc r="H463">
      <v>0</v>
    </nc>
  </rcc>
  <rcc rId="5932" sId="2" numFmtId="4">
    <nc r="B464">
      <v>1</v>
    </nc>
  </rcc>
  <rcc rId="5933" sId="2" numFmtId="4">
    <nc r="C464">
      <v>35</v>
    </nc>
  </rcc>
  <rcc rId="5934" sId="2" numFmtId="4">
    <nc r="D464">
      <v>11</v>
    </nc>
  </rcc>
  <rcc rId="5935" sId="2" numFmtId="4">
    <nc r="E464">
      <v>18</v>
    </nc>
  </rcc>
  <rcc rId="5936" sId="2" numFmtId="4">
    <nc r="F464">
      <v>16</v>
    </nc>
  </rcc>
  <rcc rId="5937" sId="2" numFmtId="4">
    <nc r="G464">
      <v>0</v>
    </nc>
  </rcc>
  <rcc rId="5938" sId="2" numFmtId="4">
    <nc r="H464">
      <v>0</v>
    </nc>
  </rcc>
  <rcc rId="5939" sId="2" numFmtId="4">
    <nc r="B465">
      <v>13</v>
    </nc>
  </rcc>
  <rcc rId="5940" sId="2" numFmtId="4">
    <nc r="C465">
      <v>116</v>
    </nc>
  </rcc>
  <rcc rId="5941" sId="2" numFmtId="4">
    <nc r="D465">
      <v>12</v>
    </nc>
  </rcc>
  <rcc rId="5942" sId="2" numFmtId="4">
    <nc r="E465">
      <v>10</v>
    </nc>
  </rcc>
  <rcc rId="5943" sId="2" numFmtId="4">
    <nc r="F465">
      <v>15</v>
    </nc>
  </rcc>
  <rcc rId="5944" sId="2" numFmtId="4">
    <nc r="G465">
      <v>0</v>
    </nc>
  </rcc>
  <rcc rId="5945" sId="2" numFmtId="4">
    <nc r="H465">
      <v>0</v>
    </nc>
  </rcc>
  <rcc rId="5946" sId="2" numFmtId="4">
    <nc r="B466">
      <v>13</v>
    </nc>
  </rcc>
  <rcc rId="5947" sId="2" numFmtId="4">
    <nc r="C466">
      <v>116</v>
    </nc>
  </rcc>
  <rcc rId="5948" sId="2" numFmtId="4">
    <nc r="D466">
      <v>11</v>
    </nc>
  </rcc>
  <rcc rId="5949" sId="2" numFmtId="4">
    <nc r="E466">
      <v>0</v>
    </nc>
  </rcc>
  <rcc rId="5950" sId="2" numFmtId="4">
    <nc r="F466">
      <v>0</v>
    </nc>
  </rcc>
  <rcc rId="5951" sId="2" numFmtId="4">
    <nc r="G466">
      <v>0</v>
    </nc>
  </rcc>
  <rcc rId="5952" sId="2" numFmtId="4">
    <nc r="H466">
      <v>0</v>
    </nc>
  </rcc>
  <rcc rId="5953" sId="2" numFmtId="4">
    <nc r="B467">
      <v>13</v>
    </nc>
  </rcc>
  <rcc rId="5954" sId="2" numFmtId="4">
    <nc r="C467">
      <v>115</v>
    </nc>
  </rcc>
  <rcc rId="5955" sId="2" numFmtId="4">
    <nc r="D467">
      <v>12</v>
    </nc>
  </rcc>
  <rcc rId="5956" sId="2" numFmtId="4">
    <nc r="E467">
      <v>0</v>
    </nc>
  </rcc>
  <rcc rId="5957" sId="2" numFmtId="4">
    <nc r="F467">
      <v>12</v>
    </nc>
  </rcc>
  <rcc rId="5958" sId="2" numFmtId="4">
    <nc r="G467">
      <v>0</v>
    </nc>
  </rcc>
  <rcc rId="5959" sId="2" numFmtId="4">
    <nc r="H467">
      <v>0</v>
    </nc>
  </rcc>
  <rcc rId="5960" sId="2" numFmtId="4">
    <nc r="B468">
      <v>13</v>
    </nc>
  </rcc>
  <rcc rId="5961" sId="2" numFmtId="4">
    <nc r="C468">
      <v>115</v>
    </nc>
  </rcc>
  <rcc rId="5962" sId="2" numFmtId="4">
    <nc r="D468">
      <v>11</v>
    </nc>
  </rcc>
  <rcc rId="5963" sId="2" numFmtId="4">
    <nc r="E468">
      <v>2</v>
    </nc>
  </rcc>
  <rcc rId="5964" sId="2" numFmtId="4">
    <nc r="F468">
      <v>16</v>
    </nc>
  </rcc>
  <rcc rId="5965" sId="2" numFmtId="4">
    <nc r="G468">
      <v>0</v>
    </nc>
  </rcc>
  <rcc rId="5966" sId="2" numFmtId="4">
    <nc r="H468">
      <v>0</v>
    </nc>
  </rcc>
  <rcc rId="5967" sId="2" numFmtId="4">
    <nc r="B469">
      <v>1</v>
    </nc>
  </rcc>
  <rcc rId="5968" sId="2" numFmtId="4">
    <nc r="C469">
      <v>49</v>
    </nc>
  </rcc>
  <rcc rId="5969" sId="2" numFmtId="4">
    <nc r="D469">
      <v>12</v>
    </nc>
  </rcc>
  <rcc rId="5970" sId="2" numFmtId="4">
    <nc r="E469">
      <v>11</v>
    </nc>
  </rcc>
  <rcc rId="5971" sId="2" numFmtId="4">
    <nc r="F469">
      <v>0</v>
    </nc>
  </rcc>
  <rcc rId="5972" sId="2" numFmtId="4">
    <nc r="G469">
      <v>1</v>
    </nc>
  </rcc>
  <rcc rId="5973" sId="2" numFmtId="4">
    <nc r="H469">
      <v>0</v>
    </nc>
  </rcc>
  <rcc rId="5974" sId="2" numFmtId="4">
    <nc r="B470">
      <v>1</v>
    </nc>
  </rcc>
  <rcc rId="5975" sId="2" numFmtId="4">
    <nc r="C470">
      <v>49</v>
    </nc>
  </rcc>
  <rcc rId="5976" sId="2" numFmtId="4">
    <nc r="D470">
      <v>11</v>
    </nc>
  </rcc>
  <rcc rId="5977" sId="2" numFmtId="4">
    <nc r="E470">
      <v>4</v>
    </nc>
  </rcc>
  <rcc rId="5978" sId="2" numFmtId="4">
    <nc r="F470">
      <v>4</v>
    </nc>
  </rcc>
  <rcc rId="5979" sId="2" numFmtId="4">
    <nc r="G470">
      <v>0</v>
    </nc>
  </rcc>
  <rcc rId="5980" sId="2" numFmtId="4">
    <nc r="H470">
      <v>0</v>
    </nc>
  </rcc>
  <rcc rId="5981" sId="2" numFmtId="4">
    <nc r="B471">
      <v>1</v>
    </nc>
  </rcc>
  <rcc rId="5982" sId="2" numFmtId="4">
    <nc r="C471">
      <v>25</v>
    </nc>
  </rcc>
  <rcc rId="5983" sId="2" numFmtId="4">
    <nc r="D471">
      <v>11</v>
    </nc>
  </rcc>
  <rcc rId="5984" sId="2" numFmtId="4">
    <nc r="E471">
      <v>7</v>
    </nc>
  </rcc>
  <rcc rId="5985" sId="2" numFmtId="4">
    <nc r="F471">
      <v>0</v>
    </nc>
  </rcc>
  <rcc rId="5986" sId="2" numFmtId="4">
    <nc r="G471">
      <v>1</v>
    </nc>
  </rcc>
  <rcc rId="5987" sId="2" numFmtId="4">
    <nc r="H471">
      <v>0</v>
    </nc>
  </rcc>
  <rcc rId="5988" sId="2" numFmtId="4">
    <nc r="B472">
      <v>1</v>
    </nc>
  </rcc>
  <rcc rId="5989" sId="2" numFmtId="4">
    <nc r="C472">
      <v>114</v>
    </nc>
  </rcc>
  <rcc rId="5990" sId="2" numFmtId="4">
    <nc r="D472">
      <v>11</v>
    </nc>
  </rcc>
  <rcc rId="5991" sId="2" numFmtId="4">
    <nc r="E472">
      <v>18</v>
    </nc>
  </rcc>
  <rcc rId="5992" sId="2" numFmtId="4">
    <nc r="F472">
      <v>1</v>
    </nc>
  </rcc>
  <rcc rId="5993" sId="2" numFmtId="4">
    <nc r="G472">
      <v>4</v>
    </nc>
  </rcc>
  <rcc rId="5994" sId="2" numFmtId="4">
    <nc r="H472">
      <v>1</v>
    </nc>
  </rcc>
  <rcc rId="5995" sId="2" numFmtId="4">
    <nc r="B473">
      <v>1</v>
    </nc>
  </rcc>
  <rcc rId="5996" sId="2" numFmtId="4">
    <nc r="C473">
      <v>114</v>
    </nc>
  </rcc>
  <rcc rId="5997" sId="2" numFmtId="4">
    <nc r="D473">
      <v>12</v>
    </nc>
  </rcc>
  <rcc rId="5998" sId="2" numFmtId="4">
    <nc r="E473">
      <v>42</v>
    </nc>
  </rcc>
  <rcc rId="5999" sId="2" numFmtId="4">
    <nc r="F473">
      <v>6</v>
    </nc>
  </rcc>
  <rcc rId="6000" sId="2" numFmtId="4">
    <nc r="G473">
      <v>2</v>
    </nc>
  </rcc>
  <rcc rId="6001" sId="2" numFmtId="4">
    <nc r="H473">
      <v>3</v>
    </nc>
  </rcc>
  <rcc rId="6002" sId="2" numFmtId="4">
    <nc r="B474">
      <v>13</v>
    </nc>
  </rcc>
  <rcc rId="6003" sId="2" numFmtId="4">
    <nc r="C474">
      <v>21</v>
    </nc>
  </rcc>
  <rcc rId="6004" sId="2" numFmtId="4">
    <nc r="D474">
      <v>12</v>
    </nc>
  </rcc>
  <rcc rId="6005" sId="2" numFmtId="4">
    <nc r="E474">
      <v>0</v>
    </nc>
  </rcc>
  <rcc rId="6006" sId="2" numFmtId="4">
    <nc r="F474">
      <v>20</v>
    </nc>
  </rcc>
  <rcc rId="6007" sId="2" numFmtId="4">
    <nc r="G474">
      <v>0</v>
    </nc>
  </rcc>
  <rcc rId="6008" sId="2" numFmtId="4">
    <nc r="H474">
      <v>1</v>
    </nc>
  </rcc>
  <rcc rId="6009" sId="2" numFmtId="4">
    <nc r="B475">
      <v>13</v>
    </nc>
  </rcc>
  <rcc rId="6010" sId="2" numFmtId="4">
    <nc r="C475">
      <v>21</v>
    </nc>
  </rcc>
  <rcc rId="6011" sId="2" numFmtId="4">
    <nc r="D475">
      <v>11</v>
    </nc>
  </rcc>
  <rcc rId="6012" sId="2" numFmtId="4">
    <nc r="E475">
      <v>2</v>
    </nc>
  </rcc>
  <rcc rId="6013" sId="2" numFmtId="4">
    <nc r="F475">
      <v>31</v>
    </nc>
  </rcc>
  <rcc rId="6014" sId="2" numFmtId="4">
    <nc r="G475">
      <v>0</v>
    </nc>
  </rcc>
  <rcc rId="6015" sId="2" numFmtId="4">
    <nc r="H475">
      <v>0</v>
    </nc>
  </rcc>
  <rcc rId="6016" sId="2" numFmtId="4">
    <nc r="B476">
      <v>13</v>
    </nc>
  </rcc>
  <rcc rId="6017" sId="2" numFmtId="4">
    <nc r="C476">
      <v>3</v>
    </nc>
  </rcc>
  <rcc rId="6018" sId="2" numFmtId="4">
    <nc r="D476">
      <v>11</v>
    </nc>
  </rcc>
  <rcc rId="6019" sId="2" numFmtId="4">
    <nc r="E476">
      <v>20</v>
    </nc>
  </rcc>
  <rcc rId="6020" sId="2" numFmtId="4">
    <nc r="F476">
      <v>1</v>
    </nc>
  </rcc>
  <rcc rId="6021" sId="2" numFmtId="4">
    <nc r="G476">
      <v>0</v>
    </nc>
  </rcc>
  <rcc rId="6022" sId="2" numFmtId="4">
    <nc r="H476">
      <v>0</v>
    </nc>
  </rcc>
  <rcc rId="6023" sId="2" numFmtId="4">
    <nc r="B477">
      <v>13</v>
    </nc>
  </rcc>
  <rcc rId="6024" sId="2" numFmtId="4">
    <nc r="C477">
      <v>3</v>
    </nc>
  </rcc>
  <rcc rId="6025" sId="2" numFmtId="4">
    <nc r="D477">
      <v>12</v>
    </nc>
  </rcc>
  <rcc rId="6026" sId="2" numFmtId="4">
    <nc r="E477">
      <v>25</v>
    </nc>
  </rcc>
  <rcc rId="6027" sId="2" numFmtId="4">
    <nc r="F477">
      <v>4</v>
    </nc>
  </rcc>
  <rcc rId="6028" sId="2" numFmtId="4">
    <nc r="G477">
      <v>0</v>
    </nc>
  </rcc>
  <rcc rId="6029" sId="2" numFmtId="4">
    <nc r="H477">
      <v>0</v>
    </nc>
  </rcc>
  <rcc rId="6030" sId="2" numFmtId="4">
    <nc r="B478">
      <v>13</v>
    </nc>
  </rcc>
  <rcc rId="6031" sId="2" numFmtId="4">
    <nc r="C478">
      <v>34</v>
    </nc>
  </rcc>
  <rcc rId="6032" sId="2" numFmtId="4">
    <nc r="D478">
      <v>9</v>
    </nc>
  </rcc>
  <rcc rId="6033" sId="2" numFmtId="4">
    <nc r="E478">
      <v>15</v>
    </nc>
  </rcc>
  <rcc rId="6034" sId="2" numFmtId="4">
    <nc r="F478">
      <v>5</v>
    </nc>
  </rcc>
  <rcc rId="6035" sId="2" numFmtId="4">
    <nc r="G478">
      <v>0</v>
    </nc>
  </rcc>
  <rcc rId="6036" sId="2" numFmtId="4">
    <nc r="H478">
      <v>1</v>
    </nc>
  </rcc>
  <rcc rId="6037" sId="2" numFmtId="4">
    <nc r="B479">
      <v>13</v>
    </nc>
  </rcc>
  <rcc rId="6038" sId="2" numFmtId="4">
    <nc r="C479">
      <v>34</v>
    </nc>
  </rcc>
  <rcc rId="6039" sId="2" numFmtId="4">
    <nc r="D479">
      <v>10</v>
    </nc>
  </rcc>
  <rcc rId="6040" sId="2" numFmtId="4">
    <nc r="E479">
      <v>11</v>
    </nc>
  </rcc>
  <rcc rId="6041" sId="2" numFmtId="4">
    <nc r="F479">
      <v>13</v>
    </nc>
  </rcc>
  <rcc rId="6042" sId="2" numFmtId="4">
    <nc r="G479">
      <v>0</v>
    </nc>
  </rcc>
  <rcc rId="6043" sId="2" numFmtId="4">
    <nc r="H479">
      <v>4</v>
    </nc>
  </rcc>
  <rcc rId="6044" sId="2" numFmtId="4">
    <nc r="B480">
      <v>13</v>
    </nc>
  </rcc>
  <rcc rId="6045" sId="2" numFmtId="4">
    <nc r="C480">
      <v>34</v>
    </nc>
  </rcc>
  <rcc rId="6046" sId="2" numFmtId="4">
    <nc r="D480">
      <v>11</v>
    </nc>
  </rcc>
  <rcc rId="6047" sId="2" numFmtId="4">
    <nc r="E480">
      <v>8</v>
    </nc>
  </rcc>
  <rcc rId="6048" sId="2" numFmtId="4">
    <nc r="F480">
      <v>3</v>
    </nc>
  </rcc>
  <rcc rId="6049" sId="2" numFmtId="4">
    <nc r="G480">
      <v>0</v>
    </nc>
  </rcc>
  <rcc rId="6050" sId="2" numFmtId="4">
    <nc r="H480">
      <v>1</v>
    </nc>
  </rcc>
  <rcc rId="6051" sId="2" numFmtId="4">
    <nc r="B481">
      <v>13</v>
    </nc>
  </rcc>
  <rcc rId="6052" sId="2" numFmtId="4">
    <nc r="C481">
      <v>34</v>
    </nc>
  </rcc>
  <rcc rId="6053" sId="2" numFmtId="4">
    <nc r="D481">
      <v>12</v>
    </nc>
  </rcc>
  <rcc rId="6054" sId="2" numFmtId="4">
    <nc r="E481">
      <v>9</v>
    </nc>
  </rcc>
  <rcc rId="6055" sId="2" numFmtId="4">
    <nc r="F481">
      <v>1</v>
    </nc>
  </rcc>
  <rcc rId="6056" sId="2" numFmtId="4">
    <nc r="G481">
      <v>0</v>
    </nc>
  </rcc>
  <rcc rId="6057" sId="2" numFmtId="4">
    <nc r="H481">
      <v>0</v>
    </nc>
  </rcc>
  <rcc rId="6058" sId="2" numFmtId="4">
    <nc r="B482">
      <v>13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>
  <rcc rId="6059" sId="5" numFmtId="4">
    <nc r="D414">
      <v>11</v>
    </nc>
  </rcc>
  <rcc rId="6060" sId="5" numFmtId="4">
    <nc r="E414">
      <v>17</v>
    </nc>
  </rcc>
  <rcc rId="6061" sId="5" numFmtId="4">
    <nc r="F414">
      <v>2</v>
    </nc>
  </rcc>
  <rcc rId="6062" sId="5" numFmtId="4">
    <nc r="G414">
      <v>2</v>
    </nc>
  </rcc>
  <rcc rId="6063" sId="5" numFmtId="4">
    <nc r="B415">
      <v>13</v>
    </nc>
  </rcc>
  <rcc rId="6064" sId="5" numFmtId="4">
    <nc r="C415">
      <v>114</v>
    </nc>
  </rcc>
  <rcc rId="6065" sId="5" numFmtId="4">
    <nc r="D415">
      <v>12</v>
    </nc>
  </rcc>
  <rcc rId="6066" sId="5" numFmtId="4">
    <nc r="E415">
      <v>23</v>
    </nc>
  </rcc>
  <rcc rId="6067" sId="5" numFmtId="4">
    <nc r="F415">
      <v>7</v>
    </nc>
  </rcc>
  <rcc rId="6068" sId="5" numFmtId="4">
    <nc r="G415">
      <v>6</v>
    </nc>
  </rcc>
  <rcc rId="6069" sId="5" numFmtId="4">
    <nc r="B416">
      <v>13</v>
    </nc>
  </rcc>
  <rcc rId="6070" sId="5" numFmtId="4">
    <nc r="C416">
      <v>76</v>
    </nc>
  </rcc>
  <rcc rId="6071" sId="5" numFmtId="4">
    <nc r="D416">
      <v>11</v>
    </nc>
  </rcc>
  <rcc rId="6072" sId="5" numFmtId="4">
    <nc r="E416">
      <v>12</v>
    </nc>
  </rcc>
  <rcc rId="6073" sId="5" numFmtId="4">
    <nc r="F416">
      <v>5</v>
    </nc>
  </rcc>
  <rcc rId="6074" sId="5" numFmtId="4">
    <nc r="G416">
      <v>1</v>
    </nc>
  </rcc>
  <rcc rId="6075" sId="5" numFmtId="4">
    <nc r="B417">
      <v>13</v>
    </nc>
  </rcc>
  <rcc rId="6076" sId="5" numFmtId="4">
    <nc r="C417">
      <v>99</v>
    </nc>
  </rcc>
  <rcc rId="6077" sId="5" numFmtId="4">
    <nc r="D417">
      <v>11</v>
    </nc>
  </rcc>
  <rcc rId="6078" sId="5" numFmtId="4">
    <nc r="E417">
      <v>17</v>
    </nc>
  </rcc>
  <rcc rId="6079" sId="5" numFmtId="4">
    <nc r="F417">
      <v>7</v>
    </nc>
  </rcc>
  <rcc rId="6080" sId="5" numFmtId="4">
    <nc r="G417">
      <v>0</v>
    </nc>
  </rcc>
  <rcc rId="6081" sId="5" numFmtId="4">
    <nc r="B418">
      <v>13</v>
    </nc>
  </rcc>
  <rcc rId="6082" sId="5" numFmtId="4">
    <nc r="C418">
      <v>91</v>
    </nc>
  </rcc>
  <rcc rId="6083" sId="5" numFmtId="4">
    <nc r="D418">
      <v>10</v>
    </nc>
  </rcc>
  <rcc rId="6084" sId="5" numFmtId="4">
    <nc r="E418">
      <v>13</v>
    </nc>
  </rcc>
  <rcc rId="6085" sId="5" numFmtId="4">
    <nc r="F418">
      <v>12</v>
    </nc>
  </rcc>
  <rcc rId="6086" sId="5" numFmtId="4">
    <nc r="G418">
      <v>0</v>
    </nc>
  </rcc>
  <rcc rId="6087" sId="5" numFmtId="4">
    <nc r="B419">
      <v>13</v>
    </nc>
  </rcc>
  <rcc rId="6088" sId="5" numFmtId="4">
    <nc r="C419">
      <v>91</v>
    </nc>
  </rcc>
  <rcc rId="6089" sId="5" numFmtId="4">
    <nc r="D419">
      <v>9</v>
    </nc>
  </rcc>
  <rcc rId="6090" sId="5" numFmtId="4">
    <nc r="E419">
      <v>16</v>
    </nc>
  </rcc>
  <rcc rId="6091" sId="5" numFmtId="4">
    <nc r="F419">
      <v>8</v>
    </nc>
  </rcc>
  <rcc rId="6092" sId="5" numFmtId="4">
    <nc r="G419">
      <v>1</v>
    </nc>
  </rcc>
  <rcc rId="6093" sId="5" numFmtId="4">
    <nc r="B420">
      <v>13</v>
    </nc>
  </rcc>
  <rcc rId="6094" sId="5" numFmtId="4">
    <nc r="C420">
      <v>91</v>
    </nc>
  </rcc>
  <rcc rId="6095" sId="5" numFmtId="4">
    <nc r="D420">
      <v>8</v>
    </nc>
  </rcc>
  <rcc rId="6096" sId="5" numFmtId="4">
    <nc r="E420">
      <v>14</v>
    </nc>
  </rcc>
  <rcc rId="6097" sId="5" numFmtId="4">
    <nc r="F420">
      <v>10</v>
    </nc>
  </rcc>
  <rcc rId="6098" sId="5" numFmtId="4">
    <nc r="G420">
      <v>1</v>
    </nc>
  </rcc>
  <rcc rId="6099" sId="5" numFmtId="4">
    <nc r="B421">
      <v>13</v>
    </nc>
  </rcc>
  <rcc rId="6100" sId="5" numFmtId="4">
    <nc r="C421">
      <v>106</v>
    </nc>
  </rcc>
  <rcc rId="6101" sId="5" numFmtId="4">
    <nc r="D421">
      <v>11</v>
    </nc>
  </rcc>
  <rcc rId="6102" sId="5" numFmtId="4">
    <nc r="E421">
      <v>11</v>
    </nc>
  </rcc>
  <rcc rId="6103" sId="5" numFmtId="4">
    <nc r="F421">
      <v>6</v>
    </nc>
  </rcc>
  <rcc rId="6104" sId="5" numFmtId="4">
    <nc r="G421">
      <v>2</v>
    </nc>
  </rcc>
  <rcc rId="6105" sId="5" numFmtId="4">
    <nc r="B422">
      <v>13</v>
    </nc>
  </rcc>
  <rcc rId="6106" sId="5" numFmtId="4">
    <nc r="C422">
      <v>106</v>
    </nc>
  </rcc>
  <rcc rId="6107" sId="5" numFmtId="4">
    <nc r="D422">
      <v>12</v>
    </nc>
  </rcc>
  <rcc rId="6108" sId="5" numFmtId="4">
    <nc r="E422">
      <v>9</v>
    </nc>
  </rcc>
  <rcc rId="6109" sId="5" numFmtId="4">
    <nc r="F422">
      <v>2</v>
    </nc>
  </rcc>
  <rcc rId="6110" sId="5" numFmtId="4">
    <nc r="G422">
      <v>0</v>
    </nc>
  </rcc>
  <rcc rId="6111" sId="5" numFmtId="4">
    <nc r="B423">
      <v>13</v>
    </nc>
  </rcc>
  <rcc rId="6112" sId="5" numFmtId="4">
    <nc r="C423">
      <v>106</v>
    </nc>
  </rcc>
  <rcc rId="6113" sId="5" numFmtId="4">
    <nc r="D423">
      <v>13</v>
    </nc>
  </rcc>
  <rcc rId="6114" sId="5" numFmtId="4">
    <nc r="E423">
      <v>10</v>
    </nc>
  </rcc>
  <rcc rId="6115" sId="5" numFmtId="4">
    <nc r="F423">
      <v>10</v>
    </nc>
  </rcc>
  <rcc rId="6116" sId="5" numFmtId="4">
    <nc r="G423">
      <v>0</v>
    </nc>
  </rcc>
  <rcc rId="6117" sId="5" numFmtId="4">
    <nc r="B424">
      <v>13</v>
    </nc>
  </rcc>
  <rcc rId="6118" sId="5" numFmtId="4">
    <nc r="C424">
      <v>118</v>
    </nc>
  </rcc>
  <rcc rId="6119" sId="5" numFmtId="4">
    <nc r="D424">
      <v>11</v>
    </nc>
  </rcc>
  <rcc rId="6120" sId="5" numFmtId="4">
    <nc r="E424">
      <v>10</v>
    </nc>
  </rcc>
  <rcc rId="6121" sId="5" numFmtId="4">
    <nc r="F424">
      <v>7</v>
    </nc>
  </rcc>
  <rcc rId="6122" sId="5" numFmtId="4">
    <nc r="G424">
      <v>0</v>
    </nc>
  </rcc>
  <rcc rId="6123" sId="5" numFmtId="4">
    <nc r="B425">
      <v>13</v>
    </nc>
  </rcc>
  <rcc rId="6124" sId="5" numFmtId="4">
    <nc r="C425">
      <v>87</v>
    </nc>
  </rcc>
  <rcc rId="6125" sId="5" numFmtId="4">
    <nc r="D425">
      <v>12</v>
    </nc>
  </rcc>
  <rcc rId="6126" sId="5" numFmtId="4">
    <nc r="E425">
      <v>20</v>
    </nc>
  </rcc>
  <rcc rId="6127" sId="5" numFmtId="4">
    <nc r="F425">
      <v>1</v>
    </nc>
  </rcc>
  <rcc rId="6128" sId="5" numFmtId="4">
    <nc r="G425">
      <v>4</v>
    </nc>
  </rcc>
  <rcc rId="6129" sId="5" numFmtId="4">
    <nc r="B426">
      <v>13</v>
    </nc>
  </rcc>
  <rcc rId="6130" sId="5" numFmtId="4">
    <nc r="C426">
      <v>87</v>
    </nc>
  </rcc>
  <rcc rId="6131" sId="5" numFmtId="4">
    <nc r="D426">
      <v>11</v>
    </nc>
  </rcc>
  <rcc rId="6132" sId="5" numFmtId="4">
    <nc r="E426">
      <v>18</v>
    </nc>
  </rcc>
  <rcc rId="6133" sId="5" numFmtId="4">
    <nc r="F426">
      <v>2</v>
    </nc>
  </rcc>
  <rcc rId="6134" sId="5" numFmtId="4">
    <nc r="G426">
      <v>5</v>
    </nc>
  </rcc>
  <rcc rId="6135" sId="5" numFmtId="4">
    <nc r="B427">
      <v>13</v>
    </nc>
  </rcc>
  <rcc rId="6136" sId="5" numFmtId="4">
    <nc r="C427">
      <v>120</v>
    </nc>
  </rcc>
  <rcc rId="6137" sId="5" numFmtId="4">
    <nc r="D427">
      <v>13</v>
    </nc>
  </rcc>
  <rcc rId="6138" sId="5" numFmtId="4">
    <nc r="E427">
      <v>19</v>
    </nc>
  </rcc>
  <rcc rId="6139" sId="5" numFmtId="4">
    <nc r="F427">
      <v>6</v>
    </nc>
  </rcc>
  <rcc rId="6140" sId="5" numFmtId="4">
    <nc r="G427">
      <v>0</v>
    </nc>
  </rcc>
  <rcc rId="6141" sId="5" numFmtId="4">
    <nc r="B428">
      <v>13</v>
    </nc>
  </rcc>
  <rcc rId="6142" sId="5" numFmtId="4">
    <nc r="C428">
      <v>120</v>
    </nc>
  </rcc>
  <rcc rId="6143" sId="5" numFmtId="4">
    <nc r="D428">
      <v>12</v>
    </nc>
  </rcc>
  <rcc rId="6144" sId="5" numFmtId="4">
    <nc r="E428">
      <v>4</v>
    </nc>
  </rcc>
  <rcc rId="6145" sId="5" numFmtId="4">
    <nc r="F428">
      <v>21</v>
    </nc>
  </rcc>
  <rcc rId="6146" sId="5" numFmtId="4">
    <nc r="G428">
      <v>0</v>
    </nc>
  </rcc>
  <rcc rId="6147" sId="5" numFmtId="4">
    <nc r="B429">
      <v>13</v>
    </nc>
  </rcc>
  <rcc rId="6148" sId="5" numFmtId="4">
    <nc r="C429">
      <v>120</v>
    </nc>
  </rcc>
  <rcc rId="6149" sId="5" numFmtId="4">
    <nc r="D429">
      <v>11</v>
    </nc>
  </rcc>
  <rcc rId="6150" sId="5" numFmtId="4">
    <nc r="E429">
      <v>8</v>
    </nc>
  </rcc>
  <rcc rId="6151" sId="5" numFmtId="4">
    <nc r="F429">
      <v>17</v>
    </nc>
  </rcc>
  <rcc rId="6152" sId="5" numFmtId="4">
    <nc r="G429">
      <v>0</v>
    </nc>
  </rcc>
  <rcc rId="6153" sId="5" numFmtId="4">
    <nc r="B430">
      <v>13</v>
    </nc>
  </rcc>
  <rcc rId="6154" sId="5" numFmtId="4">
    <nc r="C430">
      <v>88</v>
    </nc>
  </rcc>
  <rcc rId="6155" sId="5" numFmtId="4">
    <nc r="D430">
      <v>11</v>
    </nc>
  </rcc>
  <rcc rId="6156" sId="5" numFmtId="4">
    <nc r="E430">
      <v>16</v>
    </nc>
  </rcc>
  <rcc rId="6157" sId="5" numFmtId="4">
    <nc r="F430">
      <v>0</v>
    </nc>
  </rcc>
  <rcc rId="6158" sId="5" numFmtId="4">
    <nc r="G430">
      <v>9</v>
    </nc>
  </rcc>
  <rcc rId="6159" sId="5" numFmtId="4">
    <nc r="B431">
      <v>13</v>
    </nc>
  </rcc>
  <rcc rId="6160" sId="5" numFmtId="4">
    <nc r="C431">
      <v>88</v>
    </nc>
  </rcc>
  <rcc rId="6161" sId="5" numFmtId="4">
    <nc r="D431">
      <v>12</v>
    </nc>
  </rcc>
  <rcc rId="6162" sId="5" numFmtId="4">
    <nc r="E431">
      <v>18</v>
    </nc>
  </rcc>
  <rcc rId="6163" sId="5" numFmtId="4">
    <nc r="F431">
      <v>2</v>
    </nc>
  </rcc>
  <rcc rId="6164" sId="5" numFmtId="4">
    <nc r="G431">
      <v>5</v>
    </nc>
  </rcc>
  <rcc rId="6165" sId="5" numFmtId="4">
    <nc r="B432">
      <v>13</v>
    </nc>
  </rcc>
  <rcc rId="6166" sId="5" numFmtId="4">
    <nc r="C432">
      <v>88</v>
    </nc>
  </rcc>
  <rcc rId="6167" sId="5" numFmtId="4">
    <nc r="D432">
      <v>13</v>
    </nc>
  </rcc>
  <rcc rId="6168" sId="5" numFmtId="4">
    <nc r="E432">
      <v>20</v>
    </nc>
  </rcc>
  <rcc rId="6169" sId="5" numFmtId="4">
    <nc r="F432">
      <v>3</v>
    </nc>
  </rcc>
  <rcc rId="6170" sId="5" numFmtId="4">
    <nc r="G432">
      <v>2</v>
    </nc>
  </rcc>
  <rcc rId="6171" sId="5" numFmtId="4">
    <nc r="B433">
      <v>13</v>
    </nc>
  </rcc>
  <rcc rId="6172" sId="5" numFmtId="4">
    <nc r="C433">
      <v>126</v>
    </nc>
  </rcc>
  <rcc rId="6173" sId="5" numFmtId="4">
    <nc r="D433">
      <v>11</v>
    </nc>
  </rcc>
  <rcc rId="6174" sId="5" numFmtId="4">
    <nc r="E433">
      <v>3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>
  <rcc rId="6175" sId="2" numFmtId="4">
    <oc r="B482">
      <v>13</v>
    </oc>
    <nc r="B482">
      <v>1</v>
    </nc>
  </rcc>
  <rcc rId="6176" sId="2" numFmtId="4">
    <nc r="C482">
      <v>48</v>
    </nc>
  </rcc>
  <rcc rId="6177" sId="2" numFmtId="4">
    <nc r="D482">
      <v>13</v>
    </nc>
  </rcc>
  <rcc rId="6178" sId="2" numFmtId="4">
    <nc r="E482">
      <v>4</v>
    </nc>
  </rcc>
  <rcc rId="6179" sId="2" numFmtId="4">
    <nc r="F482">
      <v>11</v>
    </nc>
  </rcc>
  <rcc rId="6180" sId="2" numFmtId="4">
    <nc r="G482">
      <v>0</v>
    </nc>
  </rcc>
  <rcc rId="6181" sId="2" numFmtId="4">
    <nc r="H482">
      <v>0</v>
    </nc>
  </rcc>
  <rcc rId="6182" sId="2" numFmtId="4">
    <nc r="B483">
      <v>1</v>
    </nc>
  </rcc>
  <rcc rId="6183" sId="2" numFmtId="4">
    <nc r="C483">
      <v>48</v>
    </nc>
  </rcc>
  <rcc rId="6184" sId="2" numFmtId="4">
    <nc r="D483">
      <v>12</v>
    </nc>
  </rcc>
  <rcc rId="6185" sId="2" numFmtId="4">
    <nc r="E483">
      <v>2</v>
    </nc>
  </rcc>
  <rcc rId="6186" sId="2" numFmtId="4">
    <nc r="F483">
      <v>10</v>
    </nc>
  </rcc>
  <rcc rId="6187" sId="2" numFmtId="4">
    <nc r="G483">
      <v>0</v>
    </nc>
  </rcc>
  <rcc rId="6188" sId="2" numFmtId="4">
    <nc r="H483">
      <v>0</v>
    </nc>
  </rcc>
  <rcc rId="6189" sId="2" numFmtId="4">
    <nc r="B484">
      <v>1</v>
    </nc>
  </rcc>
  <rcc rId="6190" sId="2" numFmtId="4">
    <nc r="C484">
      <v>48</v>
    </nc>
  </rcc>
  <rcc rId="6191" sId="2" numFmtId="4">
    <nc r="D484">
      <v>11</v>
    </nc>
  </rcc>
  <rcc rId="6192" sId="2" numFmtId="4">
    <nc r="E484">
      <v>3</v>
    </nc>
  </rcc>
  <rcc rId="6193" sId="2" numFmtId="4">
    <nc r="F484">
      <v>18</v>
    </nc>
  </rcc>
  <rcc rId="6194" sId="2" numFmtId="4">
    <nc r="G484">
      <v>0</v>
    </nc>
  </rcc>
  <rcc rId="6195" sId="2" numFmtId="4">
    <nc r="H484">
      <v>0</v>
    </nc>
  </rcc>
  <rcc rId="6196" sId="2" numFmtId="4">
    <nc r="B485">
      <v>13</v>
    </nc>
  </rcc>
  <rcc rId="6197" sId="2" numFmtId="4">
    <nc r="C485">
      <v>116</v>
    </nc>
  </rcc>
  <rcc rId="6198" sId="2" numFmtId="4">
    <nc r="D485">
      <v>13</v>
    </nc>
  </rcc>
  <rcc rId="6199" sId="2" numFmtId="4">
    <nc r="E485">
      <v>8</v>
    </nc>
  </rcc>
  <rcc rId="6200" sId="2" numFmtId="4">
    <nc r="F485">
      <v>0</v>
    </nc>
  </rcc>
  <rcc rId="6201" sId="2" numFmtId="4">
    <nc r="G485">
      <v>0</v>
    </nc>
  </rcc>
  <rcc rId="6202" sId="2" numFmtId="4">
    <nc r="H485">
      <v>0</v>
    </nc>
  </rcc>
  <rcc rId="6203" sId="2" numFmtId="4">
    <nc r="B486">
      <v>13</v>
    </nc>
  </rcc>
  <rcc rId="6204" sId="2" numFmtId="4">
    <nc r="C486">
      <v>115</v>
    </nc>
  </rcc>
  <rcc rId="6205" sId="2" numFmtId="4">
    <nc r="D486">
      <v>13</v>
    </nc>
  </rcc>
  <rcc rId="6206" sId="2" numFmtId="4">
    <nc r="E486">
      <v>0</v>
    </nc>
  </rcc>
  <rcc rId="6207" sId="2" numFmtId="4">
    <nc r="F486">
      <v>15</v>
    </nc>
  </rcc>
  <rcc rId="6208" sId="2" numFmtId="4">
    <nc r="G486">
      <v>0</v>
    </nc>
  </rcc>
  <rcc rId="6209" sId="2" numFmtId="4">
    <nc r="H486">
      <v>0</v>
    </nc>
  </rcc>
  <rcc rId="6210" sId="2" numFmtId="4">
    <nc r="B487">
      <v>1</v>
    </nc>
  </rcc>
  <rcc rId="6211" sId="2" numFmtId="4">
    <nc r="C487">
      <v>15</v>
    </nc>
  </rcc>
  <rcc rId="6212" sId="2" numFmtId="4">
    <nc r="D487">
      <v>11</v>
    </nc>
  </rcc>
  <rcc rId="6213" sId="2" numFmtId="4">
    <nc r="E487">
      <v>0</v>
    </nc>
  </rcc>
  <rcc rId="6214" sId="2" numFmtId="4">
    <nc r="F487">
      <v>3</v>
    </nc>
  </rcc>
  <rcc rId="6215" sId="2" numFmtId="4">
    <nc r="G487">
      <v>0</v>
    </nc>
  </rcc>
  <rcc rId="6216" sId="2" numFmtId="4">
    <nc r="H487">
      <v>0</v>
    </nc>
  </rcc>
  <rcc rId="6217" sId="2" numFmtId="4">
    <nc r="B488">
      <v>1</v>
    </nc>
  </rcc>
  <rcc rId="6218" sId="2" numFmtId="4">
    <nc r="C488">
      <v>15</v>
    </nc>
  </rcc>
  <rcc rId="6219" sId="2" numFmtId="4">
    <nc r="D488">
      <v>12</v>
    </nc>
  </rcc>
  <rcc rId="6220" sId="2" numFmtId="4">
    <nc r="E488">
      <v>2</v>
    </nc>
  </rcc>
  <rcc rId="6221" sId="2" numFmtId="4">
    <nc r="F488">
      <v>0</v>
    </nc>
  </rcc>
  <rcc rId="6222" sId="2" numFmtId="4">
    <nc r="G488">
      <v>0</v>
    </nc>
  </rcc>
  <rcc rId="6223" sId="2" numFmtId="4">
    <nc r="H488">
      <v>0</v>
    </nc>
  </rcc>
  <rcc rId="6224" sId="2" numFmtId="4">
    <nc r="B489">
      <v>13</v>
    </nc>
  </rcc>
  <rcc rId="6225" sId="2" numFmtId="4">
    <nc r="C489">
      <v>117</v>
    </nc>
  </rcc>
  <rcc rId="6226" sId="2" numFmtId="4">
    <nc r="D489">
      <v>12</v>
    </nc>
  </rcc>
  <rcc rId="6227" sId="2" numFmtId="4">
    <nc r="E489">
      <v>2</v>
    </nc>
  </rcc>
  <rcc rId="6228" sId="2" numFmtId="4">
    <nc r="F489">
      <v>15</v>
    </nc>
  </rcc>
  <rcc rId="6229" sId="2" numFmtId="4">
    <nc r="G489">
      <v>0</v>
    </nc>
  </rcc>
  <rcc rId="6230" sId="2" numFmtId="4">
    <nc r="H489">
      <v>0</v>
    </nc>
  </rcc>
  <rcc rId="6231" sId="2" numFmtId="4">
    <nc r="B490">
      <v>1</v>
    </nc>
  </rcc>
  <rcc rId="6232" sId="2" numFmtId="4">
    <nc r="C490">
      <v>104</v>
    </nc>
  </rcc>
  <rcc rId="6233" sId="2" numFmtId="4">
    <nc r="D490">
      <v>7</v>
    </nc>
  </rcc>
  <rcc rId="6234" sId="2" numFmtId="4">
    <nc r="E490">
      <v>6</v>
    </nc>
  </rcc>
  <rcc rId="6235" sId="2" numFmtId="4">
    <nc r="F490">
      <v>0</v>
    </nc>
  </rcc>
  <rcc rId="6236" sId="2" numFmtId="4">
    <nc r="G490">
      <v>0</v>
    </nc>
  </rcc>
  <rcc rId="6237" sId="2" numFmtId="4">
    <nc r="H490">
      <v>0</v>
    </nc>
  </rcc>
  <rcc rId="6238" sId="2" numFmtId="4">
    <nc r="B491">
      <v>1</v>
    </nc>
  </rcc>
  <rcc rId="6239" sId="2" numFmtId="4">
    <nc r="C491">
      <v>36</v>
    </nc>
  </rcc>
  <rcc rId="6240" sId="2" numFmtId="4">
    <nc r="D491">
      <v>11</v>
    </nc>
  </rcc>
  <rcc rId="6241" sId="2" numFmtId="4">
    <nc r="E491">
      <v>32</v>
    </nc>
  </rcc>
  <rcc rId="6242" sId="2" numFmtId="4">
    <nc r="F491">
      <v>17</v>
    </nc>
  </rcc>
  <rcc rId="6243" sId="2" numFmtId="4">
    <nc r="G491">
      <v>0</v>
    </nc>
  </rcc>
  <rcc rId="6244" sId="2" numFmtId="4">
    <nc r="H491">
      <v>0</v>
    </nc>
  </rcc>
  <rcc rId="6245" sId="2" numFmtId="4">
    <nc r="B492">
      <v>13</v>
    </nc>
  </rcc>
  <rcc rId="6246" sId="2" numFmtId="4">
    <nc r="C492">
      <v>36</v>
    </nc>
  </rcc>
  <rcc rId="6247" sId="2" numFmtId="4">
    <nc r="D492">
      <v>12</v>
    </nc>
  </rcc>
  <rcc rId="6248" sId="2" numFmtId="4">
    <nc r="E492">
      <v>23</v>
    </nc>
  </rcc>
  <rcc rId="6249" sId="2" numFmtId="4">
    <nc r="F492">
      <v>11</v>
    </nc>
  </rcc>
  <rcc rId="6250" sId="2" numFmtId="4">
    <nc r="G492">
      <v>0</v>
    </nc>
  </rcc>
  <rcc rId="6251" sId="2" numFmtId="4">
    <nc r="H492">
      <v>0</v>
    </nc>
  </rcc>
  <rcc rId="6252" sId="2" numFmtId="4">
    <nc r="B493">
      <v>13</v>
    </nc>
  </rcc>
  <rcc rId="6253" sId="2" numFmtId="4">
    <nc r="C493">
      <v>36</v>
    </nc>
  </rcc>
  <rcc rId="6254" sId="2" numFmtId="4">
    <nc r="D493">
      <v>13</v>
    </nc>
  </rcc>
  <rcc rId="6255" sId="2" numFmtId="4">
    <nc r="E493">
      <v>36</v>
    </nc>
  </rcc>
  <rcc rId="6256" sId="2" numFmtId="4">
    <nc r="F493">
      <v>22</v>
    </nc>
  </rcc>
  <rcc rId="6257" sId="2" numFmtId="4">
    <nc r="G493">
      <v>0</v>
    </nc>
  </rcc>
  <rcc rId="6258" sId="2" numFmtId="4">
    <nc r="H493">
      <v>0</v>
    </nc>
  </rcc>
  <rcc rId="6259" sId="2" numFmtId="4">
    <nc r="B494">
      <v>13</v>
    </nc>
  </rcc>
  <rcc rId="6260" sId="2" numFmtId="4">
    <nc r="C494">
      <v>62</v>
    </nc>
  </rcc>
  <rcc rId="6261" sId="2" numFmtId="4">
    <nc r="D494">
      <v>11</v>
    </nc>
  </rcc>
  <rcc rId="6262" sId="2" numFmtId="4">
    <nc r="E494">
      <v>6</v>
    </nc>
  </rcc>
  <rcc rId="6263" sId="2" numFmtId="4">
    <nc r="F494">
      <v>10</v>
    </nc>
  </rcc>
  <rcc rId="6264" sId="2" numFmtId="4">
    <nc r="G494">
      <v>0</v>
    </nc>
  </rcc>
  <rcc rId="6265" sId="2" numFmtId="4">
    <nc r="H494">
      <v>1</v>
    </nc>
  </rcc>
  <rcc rId="6266" sId="2" numFmtId="4">
    <nc r="B495">
      <v>13</v>
    </nc>
  </rcc>
  <rcc rId="6267" sId="2" numFmtId="4">
    <nc r="C495">
      <v>62</v>
    </nc>
  </rcc>
  <rcc rId="6268" sId="2" numFmtId="4">
    <nc r="E495">
      <v>6</v>
    </nc>
  </rcc>
  <rcc rId="6269" sId="2" numFmtId="4">
    <nc r="D495">
      <v>12</v>
    </nc>
  </rcc>
  <rcc rId="6270" sId="2" numFmtId="4">
    <nc r="F495">
      <v>11</v>
    </nc>
  </rcc>
  <rcc rId="6271" sId="2" numFmtId="4">
    <nc r="G495">
      <v>0</v>
    </nc>
  </rcc>
  <rcc rId="6272" sId="2" numFmtId="4">
    <nc r="H495">
      <v>1</v>
    </nc>
  </rcc>
  <rcc rId="6273" sId="2" numFmtId="4">
    <nc r="B496">
      <v>13</v>
    </nc>
  </rcc>
  <rcc rId="6274" sId="2" numFmtId="4">
    <nc r="C496">
      <v>62</v>
    </nc>
  </rcc>
  <rcc rId="6275" sId="2" numFmtId="4">
    <nc r="D496">
      <v>13</v>
    </nc>
  </rcc>
  <rcc rId="6276" sId="2" numFmtId="4">
    <nc r="E496">
      <v>5</v>
    </nc>
  </rcc>
  <rcc rId="6277" sId="2" numFmtId="4">
    <nc r="F496">
      <v>11</v>
    </nc>
  </rcc>
  <rcc rId="6278" sId="2" numFmtId="4">
    <nc r="G496">
      <v>0</v>
    </nc>
  </rcc>
  <rcc rId="6279" sId="2" numFmtId="4">
    <nc r="H496">
      <v>0</v>
    </nc>
  </rcc>
  <rcc rId="6280" sId="2" numFmtId="4">
    <nc r="B497">
      <v>1</v>
    </nc>
  </rcc>
  <rcc rId="6281" sId="2" numFmtId="4">
    <nc r="C497">
      <v>31</v>
    </nc>
  </rcc>
  <rcc rId="6282" sId="2" numFmtId="4">
    <nc r="D497">
      <v>14</v>
    </nc>
  </rcc>
  <rcc rId="6283" sId="2" numFmtId="4">
    <nc r="E497">
      <v>9</v>
    </nc>
  </rcc>
  <rcc rId="6284" sId="2" numFmtId="4">
    <nc r="F497">
      <v>12</v>
    </nc>
  </rcc>
  <rcc rId="6285" sId="2" numFmtId="4">
    <nc r="G497">
      <v>0</v>
    </nc>
  </rcc>
  <rcc rId="6286" sId="2" numFmtId="4">
    <nc r="H497">
      <v>2</v>
    </nc>
  </rcc>
  <rcc rId="6287" sId="2" numFmtId="4">
    <nc r="B498">
      <v>1</v>
    </nc>
  </rcc>
  <rcc rId="6288" sId="2" numFmtId="4">
    <nc r="C498">
      <v>31</v>
    </nc>
  </rcc>
  <rcc rId="6289" sId="2" numFmtId="4">
    <nc r="D498">
      <v>13</v>
    </nc>
  </rcc>
  <rcc rId="6290" sId="2" numFmtId="4">
    <nc r="E498">
      <v>6</v>
    </nc>
  </rcc>
  <rcc rId="6291" sId="2" numFmtId="4">
    <nc r="F498">
      <v>13</v>
    </nc>
  </rcc>
  <rcc rId="6292" sId="2" numFmtId="4">
    <nc r="G498">
      <v>0</v>
    </nc>
  </rcc>
  <rcc rId="6293" sId="2" numFmtId="4">
    <nc r="H498">
      <v>4</v>
    </nc>
  </rcc>
  <rcc rId="6294" sId="2" numFmtId="4">
    <nc r="B499">
      <v>1</v>
    </nc>
  </rcc>
  <rcc rId="6295" sId="2" numFmtId="4">
    <nc r="C499">
      <v>31</v>
    </nc>
  </rcc>
  <rcc rId="6296" sId="2" numFmtId="4">
    <nc r="D499">
      <v>8</v>
    </nc>
  </rcc>
  <rcc rId="6297" sId="2" numFmtId="4">
    <nc r="E499">
      <v>6</v>
    </nc>
  </rcc>
  <rcc rId="6298" sId="2" numFmtId="4">
    <nc r="F499">
      <v>10</v>
    </nc>
  </rcc>
  <rcc rId="6299" sId="2" numFmtId="4">
    <nc r="G499">
      <v>0</v>
    </nc>
  </rcc>
  <rcc rId="6300" sId="2" numFmtId="4">
    <nc r="H499">
      <v>3</v>
    </nc>
  </rcc>
  <rcc rId="6301" sId="2" numFmtId="4">
    <nc r="B500">
      <v>1</v>
    </nc>
  </rcc>
  <rcc rId="6302" sId="2" numFmtId="4">
    <nc r="C500">
      <v>31</v>
    </nc>
  </rcc>
  <rcc rId="6303" sId="2" numFmtId="4">
    <nc r="D500">
      <v>9</v>
    </nc>
  </rcc>
  <rcc rId="6304" sId="2" numFmtId="4">
    <nc r="E500">
      <v>4</v>
    </nc>
  </rcc>
  <rcc rId="6305" sId="2" numFmtId="4">
    <nc r="F500">
      <v>9</v>
    </nc>
  </rcc>
  <rcc rId="6306" sId="2" numFmtId="4">
    <nc r="G500">
      <v>0</v>
    </nc>
  </rcc>
  <rcc rId="6307" sId="2" numFmtId="4">
    <nc r="H500">
      <v>2</v>
    </nc>
  </rcc>
  <rcc rId="6308" sId="2" numFmtId="4">
    <nc r="B501">
      <v>1</v>
    </nc>
  </rcc>
  <rcc rId="6309" sId="2" numFmtId="4">
    <nc r="C501">
      <v>31</v>
    </nc>
  </rcc>
  <rcc rId="6310" sId="2" numFmtId="4">
    <nc r="D501">
      <v>10</v>
    </nc>
  </rcc>
  <rcc rId="6311" sId="2" numFmtId="4">
    <nc r="E501">
      <v>3</v>
    </nc>
  </rcc>
  <rcc rId="6312" sId="2" numFmtId="4">
    <nc r="F501">
      <v>12</v>
    </nc>
  </rcc>
  <rcc rId="6313" sId="2" numFmtId="4">
    <nc r="G501">
      <v>0</v>
    </nc>
  </rcc>
  <rcc rId="6314" sId="2" numFmtId="4">
    <nc r="H501">
      <v>3</v>
    </nc>
  </rcc>
  <rcc rId="6315" sId="2" numFmtId="4">
    <nc r="B502">
      <v>1</v>
    </nc>
  </rcc>
  <rcc rId="6316" sId="2" numFmtId="4">
    <nc r="C502">
      <v>31</v>
    </nc>
  </rcc>
  <rcc rId="6317" sId="2" numFmtId="4">
    <nc r="D502">
      <v>11</v>
    </nc>
  </rcc>
  <rcc rId="6318" sId="2" numFmtId="4">
    <nc r="E502">
      <v>5</v>
    </nc>
  </rcc>
  <rcc rId="6319" sId="2" numFmtId="4">
    <nc r="F502">
      <v>11</v>
    </nc>
  </rcc>
  <rcc rId="6320" sId="2" numFmtId="4">
    <nc r="G502">
      <v>0</v>
    </nc>
  </rcc>
  <rcc rId="6321" sId="2" numFmtId="4">
    <nc r="H502">
      <v>2</v>
    </nc>
  </rcc>
  <rcc rId="6322" sId="2" numFmtId="4">
    <nc r="B503">
      <v>1</v>
    </nc>
  </rcc>
  <rcc rId="6323" sId="2" numFmtId="4">
    <nc r="C503">
      <v>31</v>
    </nc>
  </rcc>
  <rcc rId="6324" sId="2" numFmtId="4">
    <nc r="D503">
      <v>12</v>
    </nc>
  </rcc>
  <rcc rId="6325" sId="2" numFmtId="4">
    <nc r="E503">
      <v>6</v>
    </nc>
  </rcc>
  <rcc rId="6326" sId="2" numFmtId="4">
    <nc r="F503">
      <v>10</v>
    </nc>
  </rcc>
  <rcc rId="6327" sId="2" numFmtId="4">
    <nc r="G503">
      <v>0</v>
    </nc>
  </rcc>
  <rcc rId="6328" sId="2" numFmtId="4">
    <nc r="H503">
      <v>2</v>
    </nc>
  </rcc>
  <rcc rId="6329" sId="2" numFmtId="4">
    <nc r="B504">
      <v>1</v>
    </nc>
  </rcc>
  <rcc rId="6330" sId="2" numFmtId="4">
    <nc r="C504">
      <v>31</v>
    </nc>
  </rcc>
  <rcc rId="6331" sId="2" numFmtId="4">
    <nc r="D504">
      <v>12</v>
    </nc>
  </rcc>
  <rcc rId="6332" sId="2" numFmtId="4">
    <nc r="E504">
      <v>11</v>
    </nc>
  </rcc>
  <rcc rId="6333" sId="2" numFmtId="4">
    <nc r="F504">
      <v>5</v>
    </nc>
  </rcc>
  <rcc rId="6334" sId="2" numFmtId="4">
    <nc r="G504">
      <v>0</v>
    </nc>
  </rcc>
  <rcc rId="6335" sId="2" numFmtId="4">
    <nc r="H504">
      <v>0</v>
    </nc>
  </rcc>
  <rcc rId="6336" sId="2" numFmtId="4">
    <nc r="B505">
      <v>1</v>
    </nc>
  </rcc>
  <rcc rId="6337" sId="2" numFmtId="4">
    <nc r="C505">
      <v>31</v>
    </nc>
  </rcc>
  <rcc rId="6338" sId="2" numFmtId="4">
    <nc r="D505">
      <v>11</v>
    </nc>
  </rcc>
  <rcc rId="6339" sId="2" numFmtId="4">
    <nc r="E505">
      <v>5</v>
    </nc>
  </rcc>
  <rcc rId="6340" sId="2" numFmtId="4">
    <nc r="F505">
      <v>1</v>
    </nc>
  </rcc>
  <rcc rId="6341" sId="2" numFmtId="4">
    <nc r="G505">
      <v>0</v>
    </nc>
  </rcc>
  <rcc rId="6342" sId="2" numFmtId="4">
    <nc r="H505">
      <v>2</v>
    </nc>
  </rcc>
  <rcc rId="6343" sId="2" numFmtId="4">
    <nc r="B506">
      <v>1</v>
    </nc>
  </rcc>
  <rcc rId="6344" sId="2" numFmtId="4">
    <nc r="C506">
      <v>31</v>
    </nc>
  </rcc>
  <rcc rId="6345" sId="2" numFmtId="4">
    <nc r="D506">
      <v>9</v>
    </nc>
  </rcc>
  <rcc rId="6346" sId="2" numFmtId="4">
    <nc r="E506">
      <v>8</v>
    </nc>
  </rcc>
  <rcc rId="6347" sId="2" numFmtId="4">
    <nc r="F506">
      <v>6</v>
    </nc>
  </rcc>
  <rcc rId="6348" sId="2" numFmtId="4">
    <nc r="G506">
      <v>0</v>
    </nc>
  </rcc>
  <rcc rId="6349" sId="2" numFmtId="4">
    <nc r="H506">
      <v>0</v>
    </nc>
  </rcc>
  <rcc rId="6350" sId="2" numFmtId="4">
    <nc r="B507">
      <v>1</v>
    </nc>
  </rcc>
  <rcc rId="6351" sId="2" numFmtId="4">
    <nc r="C507">
      <v>31</v>
    </nc>
  </rcc>
  <rcc rId="6352" sId="2" numFmtId="4">
    <nc r="D507">
      <v>10</v>
    </nc>
  </rcc>
  <rcc rId="6353" sId="2" numFmtId="4">
    <nc r="E507">
      <v>9</v>
    </nc>
  </rcc>
  <rcc rId="6354" sId="2" numFmtId="4">
    <nc r="F507">
      <v>6</v>
    </nc>
  </rcc>
</revisions>
</file>

<file path=xl/revisions/revisionLog72.xml><?xml version="1.0" encoding="utf-8"?>
<revisions xmlns="http://schemas.openxmlformats.org/spreadsheetml/2006/main" xmlns:r="http://schemas.openxmlformats.org/officeDocument/2006/relationships">
  <rcc rId="6355" sId="5" numFmtId="4">
    <nc r="F433">
      <v>7</v>
    </nc>
  </rcc>
  <rcc rId="6356" sId="5" numFmtId="4">
    <nc r="G433">
      <v>0</v>
    </nc>
  </rcc>
  <rcc rId="6357" sId="5" numFmtId="4">
    <nc r="B434">
      <v>13</v>
    </nc>
  </rcc>
  <rcc rId="6358" sId="5" numFmtId="4">
    <nc r="C434">
      <v>126</v>
    </nc>
  </rcc>
  <rcc rId="6359" sId="5" numFmtId="4">
    <nc r="D434">
      <v>12</v>
    </nc>
  </rcc>
  <rcc rId="6360" sId="5" numFmtId="4">
    <nc r="E434">
      <v>6</v>
    </nc>
  </rcc>
  <rcc rId="6361" sId="5" numFmtId="4">
    <nc r="F434">
      <v>4</v>
    </nc>
  </rcc>
  <rcc rId="6362" sId="5" numFmtId="4">
    <nc r="G434">
      <v>0</v>
    </nc>
  </rcc>
  <rcc rId="6363" sId="5" numFmtId="4">
    <nc r="B435">
      <v>13</v>
    </nc>
  </rcc>
  <rcc rId="6364" sId="5" numFmtId="4">
    <nc r="C435">
      <v>126</v>
    </nc>
  </rcc>
  <rcc rId="6365" sId="5" numFmtId="4">
    <nc r="D435">
      <v>13</v>
    </nc>
  </rcc>
  <rcc rId="6366" sId="5" numFmtId="4">
    <nc r="E435">
      <v>9</v>
    </nc>
  </rcc>
  <rcc rId="6367" sId="5" numFmtId="4">
    <nc r="F435">
      <v>7</v>
    </nc>
  </rcc>
  <rcc rId="6368" sId="5" numFmtId="4">
    <nc r="G435">
      <v>0</v>
    </nc>
  </rcc>
  <rcc rId="6369" sId="5" numFmtId="4">
    <nc r="B436">
      <v>13</v>
    </nc>
  </rcc>
  <rcc rId="6370" sId="5" numFmtId="4">
    <nc r="C436">
      <v>97</v>
    </nc>
  </rcc>
  <rcc rId="6371" sId="5" numFmtId="4">
    <nc r="D436">
      <v>11</v>
    </nc>
  </rcc>
  <rcc rId="6372" sId="5" numFmtId="4">
    <nc r="E436">
      <v>17</v>
    </nc>
  </rcc>
  <rcc rId="6373" sId="5" numFmtId="4">
    <nc r="F436">
      <v>5</v>
    </nc>
  </rcc>
  <rcc rId="6374" sId="5" numFmtId="4">
    <nc r="G436">
      <v>0</v>
    </nc>
  </rcc>
  <rcc rId="6375" sId="5" numFmtId="4">
    <nc r="B437">
      <v>13</v>
    </nc>
  </rcc>
  <rcc rId="6376" sId="5" numFmtId="4">
    <nc r="C437">
      <v>97</v>
    </nc>
  </rcc>
  <rcc rId="6377" sId="5" numFmtId="4">
    <nc r="D437">
      <v>12</v>
    </nc>
  </rcc>
  <rcc rId="6378" sId="5" numFmtId="4">
    <nc r="E437">
      <v>13</v>
    </nc>
  </rcc>
  <rcc rId="6379" sId="5" numFmtId="4">
    <nc r="F437">
      <v>2</v>
    </nc>
  </rcc>
  <rcc rId="6380" sId="5" numFmtId="4">
    <nc r="G437">
      <v>0</v>
    </nc>
  </rcc>
  <rcc rId="6381" sId="5" numFmtId="4">
    <nc r="B438">
      <v>13</v>
    </nc>
  </rcc>
  <rcc rId="6382" sId="5" numFmtId="4">
    <nc r="C438">
      <v>77</v>
    </nc>
  </rcc>
  <rcc rId="6383" sId="5" numFmtId="4">
    <nc r="D438">
      <v>12</v>
    </nc>
  </rcc>
  <rcc rId="6384" sId="5" numFmtId="4">
    <nc r="E438">
      <v>18</v>
    </nc>
  </rcc>
  <rcc rId="6385" sId="5" numFmtId="4">
    <nc r="F438">
      <v>5</v>
    </nc>
  </rcc>
  <rcc rId="6386" sId="5" numFmtId="4">
    <nc r="G438">
      <v>1</v>
    </nc>
  </rcc>
  <rcc rId="6387" sId="5" numFmtId="4">
    <nc r="B439">
      <v>13</v>
    </nc>
  </rcc>
  <rcc rId="6388" sId="5" numFmtId="4">
    <nc r="C439">
      <v>62</v>
    </nc>
  </rcc>
  <rcc rId="6389" sId="5" numFmtId="4">
    <nc r="D439">
      <v>13</v>
    </nc>
  </rcc>
  <rcc rId="6390" sId="5" numFmtId="4">
    <nc r="E439">
      <v>5</v>
    </nc>
  </rcc>
  <rcc rId="6391" sId="5" numFmtId="4">
    <nc r="F439">
      <v>11</v>
    </nc>
  </rcc>
  <rcc rId="6392" sId="5" numFmtId="4">
    <nc r="G439">
      <v>0</v>
    </nc>
  </rcc>
  <rcc rId="6393" sId="5" numFmtId="4">
    <nc r="B440">
      <v>13</v>
    </nc>
  </rcc>
  <rcc rId="6394" sId="5" numFmtId="4">
    <nc r="C440">
      <v>62</v>
    </nc>
  </rcc>
  <rcc rId="6395" sId="5" numFmtId="4">
    <nc r="D440">
      <v>12</v>
    </nc>
  </rcc>
  <rcc rId="6396" sId="5" numFmtId="4">
    <nc r="E440">
      <v>6</v>
    </nc>
  </rcc>
  <rcc rId="6397" sId="5" numFmtId="4">
    <nc r="F440">
      <v>12</v>
    </nc>
  </rcc>
  <rcc rId="6398" sId="5" numFmtId="4">
    <nc r="G440">
      <v>0</v>
    </nc>
  </rcc>
  <rcc rId="6399" sId="5" numFmtId="4">
    <nc r="B441">
      <v>13</v>
    </nc>
  </rcc>
  <rcc rId="6400" sId="5" numFmtId="4">
    <nc r="C441">
      <v>62</v>
    </nc>
  </rcc>
  <rcc rId="6401" sId="5" numFmtId="4">
    <nc r="D441">
      <v>11</v>
    </nc>
  </rcc>
  <rcc rId="6402" sId="5" numFmtId="4">
    <nc r="E441">
      <v>7</v>
    </nc>
  </rcc>
  <rcc rId="6403" sId="5" numFmtId="4">
    <nc r="F441">
      <v>10</v>
    </nc>
  </rcc>
  <rcc rId="6404" sId="5" numFmtId="4">
    <nc r="G441">
      <v>0</v>
    </nc>
  </rcc>
  <rcc rId="6405" sId="5" numFmtId="4">
    <nc r="B442">
      <v>13</v>
    </nc>
  </rcc>
  <rcc rId="6406" sId="5" numFmtId="4">
    <nc r="C442">
      <v>116</v>
    </nc>
  </rcc>
  <rcc rId="6407" sId="5" numFmtId="4">
    <nc r="D442">
      <v>13</v>
    </nc>
  </rcc>
  <rcc rId="6408" sId="5" numFmtId="4">
    <nc r="E442">
      <v>8</v>
    </nc>
  </rcc>
  <rcc rId="6409" sId="5" numFmtId="4">
    <nc r="F442">
      <v>0</v>
    </nc>
  </rcc>
  <rcc rId="6410" sId="5" numFmtId="4">
    <nc r="G442">
      <v>0</v>
    </nc>
  </rcc>
  <rcc rId="6411" sId="5" numFmtId="4">
    <nc r="B443">
      <v>13</v>
    </nc>
  </rcc>
  <rcc rId="6412" sId="5" numFmtId="4">
    <nc r="C443">
      <v>115</v>
    </nc>
  </rcc>
  <rcc rId="6413" sId="5" numFmtId="4">
    <nc r="D443">
      <v>13</v>
    </nc>
  </rcc>
  <rcc rId="6414" sId="5" numFmtId="4">
    <nc r="E443">
      <v>0</v>
    </nc>
  </rcc>
  <rcc rId="6415" sId="5" numFmtId="4">
    <nc r="F443">
      <v>15</v>
    </nc>
  </rcc>
  <rcc rId="6416" sId="5" numFmtId="4">
    <nc r="G443">
      <v>0</v>
    </nc>
  </rcc>
  <rcc rId="6417" sId="5" numFmtId="4">
    <nc r="B444">
      <v>13</v>
    </nc>
  </rcc>
  <rcc rId="6418" sId="5" numFmtId="4">
    <nc r="C444">
      <v>118</v>
    </nc>
  </rcc>
  <rcc rId="6419" sId="5" numFmtId="4">
    <nc r="D444">
      <v>12</v>
    </nc>
  </rcc>
  <rcc rId="6420" sId="5" numFmtId="4">
    <nc r="E444">
      <v>12</v>
    </nc>
  </rcc>
  <rcc rId="6421" sId="5" numFmtId="4">
    <nc r="F444">
      <v>6</v>
    </nc>
  </rcc>
  <rcc rId="6422" sId="5" numFmtId="4">
    <nc r="G444">
      <v>1</v>
    </nc>
  </rcc>
  <rcc rId="6423" sId="5" numFmtId="4">
    <nc r="B445">
      <v>13</v>
    </nc>
  </rcc>
  <rcc rId="6424" sId="5" numFmtId="4">
    <nc r="C445">
      <v>117</v>
    </nc>
  </rcc>
  <rcc rId="6425" sId="5" numFmtId="4">
    <nc r="D445">
      <v>12</v>
    </nc>
  </rcc>
  <rcc rId="6426" sId="5" numFmtId="4">
    <nc r="E445">
      <v>2</v>
    </nc>
  </rcc>
  <rcc rId="6427" sId="5" numFmtId="4">
    <nc r="F445">
      <v>20</v>
    </nc>
  </rcc>
  <rcc rId="6428" sId="5" numFmtId="4">
    <nc r="G445">
      <v>0</v>
    </nc>
  </rcc>
  <rcc rId="6429" sId="5" numFmtId="4">
    <nc r="B446">
      <v>13</v>
    </nc>
  </rcc>
  <rcc rId="6430" sId="5" numFmtId="4">
    <nc r="C446">
      <v>104</v>
    </nc>
  </rcc>
  <rcc rId="6431" sId="5" numFmtId="4">
    <nc r="D446">
      <v>8</v>
    </nc>
  </rcc>
  <rcc rId="6432" sId="5" numFmtId="4">
    <nc r="E446">
      <v>4</v>
    </nc>
  </rcc>
  <rcc rId="6433" sId="5" numFmtId="4">
    <nc r="F446">
      <v>1</v>
    </nc>
  </rcc>
  <rcc rId="6434" sId="5" numFmtId="4">
    <nc r="G446">
      <v>1</v>
    </nc>
  </rcc>
  <rcc rId="6435" sId="5" numFmtId="4">
    <nc r="B447">
      <v>13</v>
    </nc>
  </rcc>
  <rcc rId="6436" sId="5" numFmtId="4">
    <nc r="C447">
      <v>89</v>
    </nc>
  </rcc>
  <rcc rId="6437" sId="5" numFmtId="4">
    <nc r="D447">
      <v>12</v>
    </nc>
  </rcc>
  <rcc rId="6438" sId="5" numFmtId="4">
    <nc r="E447">
      <v>13</v>
    </nc>
  </rcc>
  <rcc rId="6439" sId="5" numFmtId="4">
    <nc r="F447">
      <v>7</v>
    </nc>
  </rcc>
  <rcc rId="6440" sId="5" numFmtId="4">
    <nc r="G447">
      <v>0</v>
    </nc>
  </rcc>
  <rcc rId="6441" sId="5" numFmtId="4">
    <nc r="B448">
      <v>13</v>
    </nc>
  </rcc>
  <rcc rId="6442" sId="5" numFmtId="4">
    <nc r="C448">
      <v>96</v>
    </nc>
  </rcc>
  <rcc rId="6443" sId="5" numFmtId="4">
    <nc r="D448">
      <v>11</v>
    </nc>
  </rcc>
  <rcc rId="6444" sId="5" numFmtId="4">
    <nc r="E448">
      <v>8</v>
    </nc>
  </rcc>
  <rcc rId="6445" sId="5" numFmtId="4">
    <nc r="F448">
      <v>5</v>
    </nc>
  </rcc>
  <rcc rId="6446" sId="5" numFmtId="4">
    <nc r="G448">
      <v>0</v>
    </nc>
  </rcc>
  <rcc rId="6447" sId="5" numFmtId="4">
    <nc r="B449">
      <v>13</v>
    </nc>
  </rcc>
  <rcc rId="6448" sId="5" numFmtId="4">
    <nc r="C449">
      <v>96</v>
    </nc>
  </rcc>
  <rcc rId="6449" sId="5" numFmtId="4">
    <nc r="D449">
      <v>12</v>
    </nc>
  </rcc>
  <rcc rId="6450" sId="5" numFmtId="4">
    <nc r="E449">
      <v>8</v>
    </nc>
  </rcc>
  <rcc rId="6451" sId="5" numFmtId="4">
    <nc r="F449">
      <v>8</v>
    </nc>
  </rcc>
  <rcc rId="6452" sId="5" numFmtId="4">
    <nc r="G449">
      <v>0</v>
    </nc>
  </rcc>
  <rcc rId="6453" sId="5" numFmtId="4">
    <nc r="B450">
      <v>13</v>
    </nc>
  </rcc>
  <rcc rId="6454" sId="5" numFmtId="4">
    <nc r="C450">
      <v>67</v>
    </nc>
  </rcc>
  <rcc rId="6455" sId="5" numFmtId="4">
    <nc r="D450">
      <v>10</v>
    </nc>
  </rcc>
  <rcc rId="6456" sId="5" numFmtId="4">
    <nc r="E450">
      <v>1</v>
    </nc>
  </rcc>
  <rcc rId="6457" sId="5" numFmtId="4">
    <nc r="F450">
      <v>17</v>
    </nc>
  </rcc>
  <rcc rId="6458" sId="5" numFmtId="4">
    <nc r="G450">
      <v>0</v>
    </nc>
  </rcc>
  <rcc rId="6459" sId="5" numFmtId="4">
    <nc r="B451">
      <v>13</v>
    </nc>
  </rcc>
  <rcc rId="6460" sId="5" numFmtId="4">
    <nc r="C451">
      <v>67</v>
    </nc>
  </rcc>
  <rcc rId="6461" sId="5" numFmtId="4">
    <nc r="D451">
      <v>11</v>
    </nc>
  </rcc>
  <rcc rId="6462" sId="5" numFmtId="4">
    <nc r="E451">
      <v>0</v>
    </nc>
  </rcc>
  <rcc rId="6463" sId="5" numFmtId="4">
    <nc r="F451">
      <v>6</v>
    </nc>
  </rcc>
  <rcc rId="6464" sId="5" numFmtId="4">
    <nc r="G451">
      <v>0</v>
    </nc>
  </rcc>
  <rcc rId="6465" sId="5" numFmtId="4">
    <nc r="B452">
      <v>13</v>
    </nc>
  </rcc>
  <rcc rId="6466" sId="5" numFmtId="4">
    <nc r="C452">
      <v>67</v>
    </nc>
  </rcc>
  <rcc rId="6467" sId="5" numFmtId="4">
    <nc r="D452">
      <v>13</v>
    </nc>
  </rcc>
  <rcc rId="6468" sId="5" numFmtId="4">
    <nc r="E452">
      <v>0</v>
    </nc>
  </rcc>
  <rcc rId="6469" sId="5" numFmtId="4">
    <nc r="F452">
      <v>12</v>
    </nc>
  </rcc>
  <rcc rId="6470" sId="5" numFmtId="4">
    <nc r="G452">
      <v>0</v>
    </nc>
  </rcc>
  <rcc rId="6471" sId="5" numFmtId="4">
    <nc r="B453">
      <v>13</v>
    </nc>
  </rcc>
  <rcc rId="6472" sId="5" numFmtId="4">
    <nc r="C453">
      <v>86</v>
    </nc>
  </rcc>
  <rcc rId="6473" sId="5" numFmtId="4">
    <nc r="D453">
      <v>12</v>
    </nc>
  </rcc>
  <rcc rId="6474" sId="5" numFmtId="4">
    <nc r="E453">
      <v>18</v>
    </nc>
  </rcc>
  <rcc rId="6475" sId="5" numFmtId="4">
    <nc r="F453">
      <v>3</v>
    </nc>
  </rcc>
  <rcc rId="6476" sId="5" numFmtId="4">
    <nc r="G453">
      <v>4</v>
    </nc>
  </rcc>
  <rcc rId="6477" sId="5" numFmtId="4">
    <nc r="B454">
      <v>13</v>
    </nc>
  </rcc>
  <rcc rId="6478" sId="5" numFmtId="4">
    <nc r="C454">
      <v>114</v>
    </nc>
  </rcc>
  <rcc rId="6479" sId="5" numFmtId="4">
    <nc r="D454">
      <v>14</v>
    </nc>
  </rcc>
  <rcc rId="6480" sId="5" numFmtId="4">
    <nc r="E454">
      <v>25</v>
    </nc>
  </rcc>
  <rcc rId="6481" sId="5" numFmtId="4">
    <nc r="F454">
      <v>11</v>
    </nc>
  </rcc>
  <rcc rId="6482" sId="5" numFmtId="4">
    <nc r="G454">
      <v>8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>
  <rcc rId="6483" sId="2" numFmtId="4">
    <nc r="G507">
      <v>0</v>
    </nc>
  </rcc>
  <rcc rId="6484" sId="2" numFmtId="4">
    <nc r="H507">
      <v>4</v>
    </nc>
  </rcc>
  <rcc rId="6485" sId="2" numFmtId="4">
    <nc r="B508">
      <v>13</v>
    </nc>
  </rcc>
  <rcc rId="6486" sId="2" numFmtId="4">
    <nc r="C508">
      <v>59</v>
    </nc>
  </rcc>
  <rcc rId="6487" sId="2" numFmtId="4">
    <nc r="D508">
      <v>11</v>
    </nc>
  </rcc>
  <rcc rId="6488" sId="2" numFmtId="4">
    <nc r="E508">
      <v>3</v>
    </nc>
  </rcc>
  <rcc rId="6489" sId="2" numFmtId="4">
    <nc r="F508">
      <v>1</v>
    </nc>
  </rcc>
  <rcc rId="6490" sId="2" numFmtId="4">
    <nc r="G508">
      <v>0</v>
    </nc>
  </rcc>
  <rcc rId="6491" sId="2" numFmtId="4">
    <nc r="H508">
      <v>0</v>
    </nc>
  </rcc>
  <rcc rId="6492" sId="2" numFmtId="4">
    <nc r="B509">
      <v>13</v>
    </nc>
  </rcc>
  <rcc rId="6493" sId="2" numFmtId="4">
    <nc r="C509">
      <v>59</v>
    </nc>
  </rcc>
  <rcc rId="6494" sId="2" numFmtId="4">
    <nc r="D509">
      <v>12</v>
    </nc>
  </rcc>
  <rcc rId="6495" sId="2" numFmtId="4">
    <nc r="E509">
      <v>5</v>
    </nc>
  </rcc>
  <rcc rId="6496" sId="2" numFmtId="4">
    <nc r="F509">
      <v>1</v>
    </nc>
  </rcc>
  <rcc rId="6497" sId="2" numFmtId="4">
    <nc r="G509">
      <v>0</v>
    </nc>
  </rcc>
  <rcc rId="6498" sId="2" numFmtId="4">
    <nc r="H509">
      <v>0</v>
    </nc>
  </rcc>
  <rcc rId="6499" sId="2" numFmtId="4">
    <nc r="B510">
      <v>13</v>
    </nc>
  </rcc>
  <rcc rId="6500" sId="2" numFmtId="4">
    <nc r="C510">
      <v>59</v>
    </nc>
  </rcc>
  <rcc rId="6501" sId="2" numFmtId="4">
    <nc r="D510">
      <v>13</v>
    </nc>
  </rcc>
  <rcc rId="6502" sId="2" numFmtId="4">
    <nc r="E510">
      <v>5</v>
    </nc>
  </rcc>
  <rcc rId="6503" sId="2" numFmtId="4">
    <nc r="F510">
      <v>4</v>
    </nc>
  </rcc>
  <rcc rId="6504" sId="2" numFmtId="4">
    <nc r="G510">
      <v>0</v>
    </nc>
  </rcc>
  <rcc rId="6505" sId="2" numFmtId="4">
    <nc r="H510">
      <v>0</v>
    </nc>
  </rcc>
  <rcc rId="6506" sId="2" numFmtId="4">
    <nc r="B511">
      <v>13</v>
    </nc>
  </rcc>
  <rcc rId="6507" sId="2" numFmtId="4">
    <nc r="C511">
      <v>59</v>
    </nc>
  </rcc>
  <rcc rId="6508" sId="2" numFmtId="4">
    <nc r="D511">
      <v>14</v>
    </nc>
  </rcc>
  <rcc rId="6509" sId="2" numFmtId="4">
    <nc r="E511">
      <v>3</v>
    </nc>
  </rcc>
  <rcc rId="6510" sId="2" numFmtId="4">
    <nc r="F511">
      <v>2</v>
    </nc>
  </rcc>
  <rcc rId="6511" sId="2" numFmtId="4">
    <nc r="G511">
      <v>0</v>
    </nc>
  </rcc>
  <rcc rId="6512" sId="2" numFmtId="4">
    <nc r="H511">
      <v>0</v>
    </nc>
  </rcc>
  <rcc rId="6513" sId="2" numFmtId="4">
    <nc r="B512">
      <v>13</v>
    </nc>
  </rcc>
  <rcc rId="6514" sId="2" numFmtId="4">
    <nc r="C512">
      <v>59</v>
    </nc>
  </rcc>
  <rcc rId="6515" sId="2" numFmtId="4">
    <nc r="D512">
      <v>15</v>
    </nc>
  </rcc>
  <rcc rId="6516" sId="2" numFmtId="4">
    <nc r="E512">
      <v>1</v>
    </nc>
  </rcc>
  <rcc rId="6517" sId="2" numFmtId="4">
    <nc r="F512">
      <v>3</v>
    </nc>
  </rcc>
  <rcc rId="6518" sId="2" numFmtId="4">
    <nc r="G512">
      <v>0</v>
    </nc>
  </rcc>
  <rcc rId="6519" sId="2" numFmtId="4">
    <nc r="H512">
      <v>0</v>
    </nc>
  </rcc>
  <rcc rId="6520" sId="2" numFmtId="4">
    <nc r="B513">
      <v>1</v>
    </nc>
  </rcc>
  <rcc rId="6521" sId="2" numFmtId="4">
    <nc r="C513">
      <v>22</v>
    </nc>
  </rcc>
  <rcc rId="6522" sId="2" numFmtId="4">
    <nc r="D513">
      <v>11</v>
    </nc>
  </rcc>
  <rcc rId="6523" sId="2" numFmtId="4">
    <nc r="E513">
      <v>2</v>
    </nc>
  </rcc>
  <rcc rId="6524" sId="2" numFmtId="4">
    <nc r="F513">
      <v>18</v>
    </nc>
  </rcc>
  <rcc rId="6525" sId="2" numFmtId="4">
    <nc r="G513">
      <v>0</v>
    </nc>
  </rcc>
  <rcc rId="6526" sId="2" numFmtId="4">
    <nc r="H513">
      <v>0</v>
    </nc>
  </rcc>
  <rcc rId="6527" sId="2" numFmtId="4">
    <nc r="B514">
      <v>1</v>
    </nc>
  </rcc>
  <rcc rId="6528" sId="2" numFmtId="4">
    <nc r="C514">
      <v>22</v>
    </nc>
  </rcc>
  <rcc rId="6529" sId="2" numFmtId="4">
    <nc r="D514">
      <v>12</v>
    </nc>
  </rcc>
  <rcc rId="6530" sId="2" numFmtId="4">
    <nc r="E514">
      <v>1</v>
    </nc>
  </rcc>
  <rcc rId="6531" sId="2" numFmtId="4">
    <nc r="F514">
      <v>22</v>
    </nc>
  </rcc>
  <rcc rId="6532" sId="2" numFmtId="4">
    <nc r="G514">
      <v>0</v>
    </nc>
  </rcc>
  <rcc rId="6533" sId="2" numFmtId="4">
    <nc r="H514">
      <v>0</v>
    </nc>
  </rcc>
  <rcc rId="6534" sId="2" numFmtId="4">
    <nc r="B515">
      <v>1</v>
    </nc>
  </rcc>
  <rcc rId="6535" sId="2" numFmtId="4">
    <nc r="C515">
      <v>22</v>
    </nc>
  </rcc>
  <rcc rId="6536" sId="2" numFmtId="4">
    <nc r="D515">
      <v>13</v>
    </nc>
  </rcc>
  <rcc rId="6537" sId="2" numFmtId="4">
    <nc r="E515">
      <v>0</v>
    </nc>
  </rcc>
  <rcc rId="6538" sId="2" numFmtId="4">
    <nc r="F515">
      <v>17</v>
    </nc>
  </rcc>
  <rcc rId="6539" sId="2" numFmtId="4">
    <nc r="G515">
      <v>0</v>
    </nc>
  </rcc>
  <rcc rId="6540" sId="2" numFmtId="4">
    <nc r="H515">
      <v>0</v>
    </nc>
  </rcc>
  <rcc rId="6541" sId="2" numFmtId="4">
    <nc r="B516">
      <v>13</v>
    </nc>
  </rcc>
  <rcc rId="6542" sId="2" numFmtId="4">
    <nc r="C516">
      <v>67</v>
    </nc>
  </rcc>
  <rcc rId="6543" sId="2" numFmtId="4">
    <nc r="D516">
      <v>13</v>
    </nc>
  </rcc>
  <rcc rId="6544" sId="2" numFmtId="4">
    <nc r="E516">
      <v>0</v>
    </nc>
  </rcc>
  <rcc rId="6545" sId="2" numFmtId="4">
    <nc r="F516">
      <v>12</v>
    </nc>
  </rcc>
  <rcc rId="6546" sId="2" numFmtId="4">
    <nc r="G516">
      <v>0</v>
    </nc>
  </rcc>
  <rcc rId="6547" sId="2" numFmtId="4">
    <nc r="H516">
      <v>0</v>
    </nc>
  </rcc>
  <rcc rId="6548" sId="2" numFmtId="4">
    <nc r="B517">
      <v>13</v>
    </nc>
  </rcc>
  <rcc rId="6549" sId="2" numFmtId="4">
    <nc r="C517">
      <v>67</v>
    </nc>
  </rcc>
  <rcc rId="6550" sId="2" numFmtId="4">
    <nc r="D517">
      <v>12</v>
    </nc>
  </rcc>
  <rcc rId="6551" sId="2" numFmtId="4">
    <nc r="E517">
      <v>2</v>
    </nc>
  </rcc>
  <rcc rId="6552" sId="2" numFmtId="4">
    <nc r="F517">
      <v>19</v>
    </nc>
  </rcc>
  <rcc rId="6553" sId="2" numFmtId="4">
    <nc r="G517">
      <v>0</v>
    </nc>
  </rcc>
  <rcc rId="6554" sId="2" numFmtId="4">
    <nc r="H517">
      <v>0</v>
    </nc>
  </rcc>
  <rcc rId="6555" sId="2" numFmtId="4">
    <nc r="B518">
      <v>13</v>
    </nc>
  </rcc>
  <rcc rId="6556" sId="2" numFmtId="4">
    <nc r="C518">
      <v>67</v>
    </nc>
  </rcc>
  <rcc rId="6557" sId="2" numFmtId="4">
    <nc r="D518">
      <v>11</v>
    </nc>
  </rcc>
  <rcc rId="6558" sId="2" numFmtId="4">
    <nc r="E518">
      <v>0</v>
    </nc>
  </rcc>
  <rcc rId="6559" sId="2" numFmtId="4">
    <nc r="F518">
      <v>6</v>
    </nc>
  </rcc>
  <rcc rId="6560" sId="2" numFmtId="4">
    <nc r="G518">
      <v>0</v>
    </nc>
  </rcc>
  <rcc rId="6561" sId="2" numFmtId="4">
    <nc r="H518">
      <v>0</v>
    </nc>
  </rcc>
  <rcc rId="6562" sId="2" numFmtId="4">
    <nc r="B519">
      <v>13</v>
    </nc>
  </rcc>
  <rcc rId="6563" sId="2" numFmtId="4">
    <nc r="C519">
      <v>67</v>
    </nc>
  </rcc>
  <rcc rId="6564" sId="2" numFmtId="4">
    <nc r="D519">
      <v>10</v>
    </nc>
  </rcc>
  <rcc rId="6565" sId="2" numFmtId="4">
    <nc r="E519">
      <v>1</v>
    </nc>
  </rcc>
  <rcc rId="6566" sId="2" numFmtId="4">
    <nc r="F519">
      <v>17</v>
    </nc>
  </rcc>
  <rcc rId="6567" sId="2" numFmtId="4">
    <nc r="G519">
      <v>0</v>
    </nc>
  </rcc>
  <rcc rId="6568" sId="2" numFmtId="4">
    <nc r="H519">
      <v>0</v>
    </nc>
  </rcc>
  <rcc rId="6569" sId="2" numFmtId="4">
    <nc r="B520">
      <v>13</v>
    </nc>
  </rcc>
  <rcc rId="6570" sId="2" numFmtId="4">
    <nc r="C520">
      <v>38</v>
    </nc>
  </rcc>
  <rcc rId="6571" sId="2" numFmtId="4">
    <nc r="D520">
      <v>11</v>
    </nc>
  </rcc>
  <rcc rId="6572" sId="2" numFmtId="4">
    <nc r="E520">
      <v>3</v>
    </nc>
  </rcc>
  <rcc rId="6573" sId="2" numFmtId="4">
    <nc r="F520">
      <v>31</v>
    </nc>
  </rcc>
  <rcc rId="6574" sId="2" numFmtId="4">
    <nc r="G520">
      <v>0</v>
    </nc>
  </rcc>
  <rcc rId="6575" sId="2" numFmtId="4">
    <nc r="H520">
      <v>0</v>
    </nc>
  </rcc>
  <rcc rId="6576" sId="2" numFmtId="4">
    <nc r="B521">
      <v>13</v>
    </nc>
  </rcc>
  <rcc rId="6577" sId="2" numFmtId="4">
    <nc r="C521">
      <v>38</v>
    </nc>
  </rcc>
  <rcc rId="6578" sId="2" numFmtId="4">
    <nc r="D521">
      <v>12</v>
    </nc>
  </rcc>
  <rcc rId="6579" sId="2" numFmtId="4">
    <nc r="E521">
      <v>4</v>
    </nc>
  </rcc>
  <rcc rId="6580" sId="2" numFmtId="4">
    <nc r="F521">
      <v>27</v>
    </nc>
  </rcc>
  <rcc rId="6581" sId="2" numFmtId="4">
    <nc r="G521">
      <v>1</v>
    </nc>
  </rcc>
  <rcc rId="6582" sId="2" numFmtId="4">
    <nc r="H521">
      <v>0</v>
    </nc>
  </rcc>
  <rcc rId="6583" sId="2" numFmtId="4">
    <nc r="B522">
      <v>1</v>
    </nc>
  </rcc>
  <rcc rId="6584" sId="2" numFmtId="4">
    <nc r="C522">
      <v>114</v>
    </nc>
  </rcc>
  <rcc rId="6585" sId="2" numFmtId="4">
    <nc r="D522">
      <v>12</v>
    </nc>
  </rcc>
  <rcc rId="6586" sId="2" numFmtId="4">
    <nc r="E522">
      <v>28</v>
    </nc>
  </rcc>
  <rcc rId="6587" sId="2" numFmtId="4">
    <nc r="F522">
      <v>12</v>
    </nc>
  </rcc>
  <rcc rId="6588" sId="2" numFmtId="4">
    <nc r="G522">
      <v>6</v>
    </nc>
  </rcc>
  <rcc rId="6589" sId="2" numFmtId="4">
    <nc r="H522">
      <v>3</v>
    </nc>
  </rcc>
  <rcc rId="6590" sId="2" numFmtId="4">
    <nc r="B523">
      <v>13</v>
    </nc>
  </rcc>
  <rcc rId="6591" sId="2" numFmtId="4">
    <nc r="C523">
      <v>51</v>
    </nc>
  </rcc>
  <rcc rId="6592" sId="2" numFmtId="4">
    <nc r="D523">
      <v>11</v>
    </nc>
  </rcc>
  <rcc rId="6593" sId="2" numFmtId="4">
    <nc r="E523">
      <v>3</v>
    </nc>
  </rcc>
  <rcc rId="6594" sId="2" numFmtId="4">
    <nc r="F523">
      <v>2</v>
    </nc>
  </rcc>
  <rcc rId="6595" sId="2" numFmtId="4">
    <nc r="G523">
      <v>0</v>
    </nc>
  </rcc>
  <rcc rId="6596" sId="2" numFmtId="4">
    <nc r="H523">
      <v>0</v>
    </nc>
  </rcc>
  <rcc rId="6597" sId="2" numFmtId="4">
    <nc r="B524">
      <v>13</v>
    </nc>
  </rcc>
  <rcc rId="6598" sId="2" numFmtId="4">
    <nc r="C524">
      <v>21</v>
    </nc>
  </rcc>
  <rcc rId="6599" sId="2" numFmtId="4">
    <nc r="D524">
      <v>12</v>
    </nc>
  </rcc>
  <rcc rId="6600" sId="2" numFmtId="4">
    <nc r="E524">
      <v>6</v>
    </nc>
  </rcc>
  <rcc rId="6601" sId="2" numFmtId="4">
    <nc r="F524">
      <v>1</v>
    </nc>
  </rcc>
  <rcc rId="6602" sId="2" numFmtId="4">
    <nc r="G524">
      <v>0</v>
    </nc>
  </rcc>
  <rcc rId="6603" sId="2" numFmtId="4">
    <nc r="H524">
      <v>0</v>
    </nc>
  </rcc>
  <rcc rId="6604" sId="2" numFmtId="4">
    <nc r="B525">
      <v>13</v>
    </nc>
  </rcc>
  <rcc rId="6605" sId="2" numFmtId="4">
    <nc r="C525">
      <v>51</v>
    </nc>
  </rcc>
  <rcc rId="6606" sId="2" numFmtId="4">
    <nc r="D525">
      <v>13</v>
    </nc>
  </rcc>
  <rcc rId="6607" sId="2" numFmtId="4">
    <nc r="E525">
      <v>2</v>
    </nc>
  </rcc>
  <rcc rId="6608" sId="2" numFmtId="4">
    <nc r="F525">
      <v>1</v>
    </nc>
  </rcc>
  <rcc rId="6609" sId="2" numFmtId="4">
    <nc r="G525">
      <v>0</v>
    </nc>
  </rcc>
  <rcc rId="6610" sId="2" numFmtId="4">
    <nc r="H525">
      <v>0</v>
    </nc>
  </rcc>
  <rcc rId="6611" sId="2" numFmtId="4">
    <nc r="B526">
      <v>1</v>
    </nc>
  </rcc>
  <rcc rId="6612" sId="2" numFmtId="4">
    <nc r="C526">
      <v>11</v>
    </nc>
  </rcc>
  <rcc rId="6613" sId="2" numFmtId="4">
    <nc r="D526">
      <v>9</v>
    </nc>
  </rcc>
  <rcc rId="6614" sId="2" numFmtId="4">
    <nc r="E526">
      <v>10</v>
    </nc>
  </rcc>
  <rcc rId="6615" sId="2" numFmtId="4">
    <nc r="F526">
      <v>4</v>
    </nc>
  </rcc>
  <rcc rId="6616" sId="2" numFmtId="4">
    <nc r="G526">
      <v>0</v>
    </nc>
  </rcc>
  <rcc rId="6617" sId="2" numFmtId="4">
    <nc r="H526">
      <v>1</v>
    </nc>
  </rcc>
  <rcc rId="6618" sId="2" numFmtId="4">
    <nc r="B527">
      <v>1</v>
    </nc>
  </rcc>
  <rcc rId="6619" sId="2" numFmtId="4">
    <nc r="C527">
      <v>11</v>
    </nc>
  </rcc>
  <rcc rId="6620" sId="2" numFmtId="4">
    <nc r="D527">
      <v>10</v>
    </nc>
  </rcc>
  <rcc rId="6621" sId="2" numFmtId="4">
    <nc r="E527">
      <v>7</v>
    </nc>
  </rcc>
  <rcc rId="6622" sId="2" numFmtId="4">
    <nc r="F527">
      <v>9</v>
    </nc>
  </rcc>
  <rcc rId="6623" sId="2" numFmtId="4">
    <nc r="G527">
      <v>0</v>
    </nc>
  </rcc>
  <rcc rId="6624" sId="2" numFmtId="4">
    <nc r="H527">
      <v>0</v>
    </nc>
  </rcc>
  <rcc rId="6625" sId="2" numFmtId="4">
    <nc r="B528">
      <v>1</v>
    </nc>
  </rcc>
  <rcc rId="6626" sId="2" numFmtId="4">
    <nc r="C528">
      <v>11</v>
    </nc>
  </rcc>
  <rcc rId="6627" sId="2" numFmtId="4">
    <nc r="D528">
      <v>12</v>
    </nc>
  </rcc>
  <rcc rId="6628" sId="2" numFmtId="4">
    <nc r="E528">
      <v>3</v>
    </nc>
  </rcc>
  <rcc rId="6629" sId="2" numFmtId="4">
    <nc r="F528">
      <v>5</v>
    </nc>
  </rcc>
  <rcc rId="6630" sId="2" numFmtId="4">
    <nc r="G528">
      <v>0</v>
    </nc>
  </rcc>
  <rcc rId="6631" sId="2" numFmtId="4">
    <nc r="H528">
      <v>0</v>
    </nc>
  </rcc>
  <rcc rId="6632" sId="2" numFmtId="4">
    <nc r="B529">
      <v>1</v>
    </nc>
  </rcc>
  <rcc rId="6633" sId="2" numFmtId="4">
    <nc r="C529">
      <v>11</v>
    </nc>
  </rcc>
  <rcc rId="6634" sId="2" numFmtId="4">
    <nc r="D529">
      <v>11</v>
    </nc>
  </rcc>
  <rcc rId="6635" sId="2" numFmtId="4">
    <nc r="E529">
      <v>6</v>
    </nc>
  </rcc>
  <rcc rId="6636" sId="2" numFmtId="4">
    <nc r="F529">
      <v>11</v>
    </nc>
  </rcc>
  <rcc rId="6637" sId="2" numFmtId="4">
    <nc r="G529">
      <v>0</v>
    </nc>
  </rcc>
  <rcc rId="6638" sId="2" numFmtId="4">
    <nc r="H529">
      <v>0</v>
    </nc>
  </rcc>
  <rcc rId="6639" sId="2" numFmtId="4">
    <nc r="B530">
      <v>1</v>
    </nc>
  </rcc>
  <rcc rId="6640" sId="2" numFmtId="4">
    <nc r="C530">
      <v>11</v>
    </nc>
  </rcc>
  <rcc rId="6641" sId="2" numFmtId="4">
    <nc r="D530">
      <v>13</v>
    </nc>
  </rcc>
  <rcc rId="6642" sId="2" numFmtId="4">
    <nc r="E530">
      <v>3</v>
    </nc>
  </rcc>
  <rcc rId="6643" sId="2" numFmtId="4">
    <nc r="F530">
      <v>8</v>
    </nc>
  </rcc>
  <rcc rId="6644" sId="2" numFmtId="4">
    <nc r="G530">
      <v>0</v>
    </nc>
  </rcc>
  <rcc rId="6645" sId="2" numFmtId="4">
    <nc r="H530">
      <v>0</v>
    </nc>
  </rcc>
  <rcc rId="6646" sId="2" numFmtId="4">
    <nc r="B531">
      <v>1</v>
    </nc>
  </rcc>
  <rcc rId="6647" sId="2" numFmtId="4">
    <nc r="C531">
      <v>11</v>
    </nc>
  </rcc>
  <rcc rId="6648" sId="2" numFmtId="4">
    <nc r="D531">
      <v>14</v>
    </nc>
  </rcc>
  <rcc rId="6649" sId="2" numFmtId="4">
    <nc r="E531">
      <v>6</v>
    </nc>
  </rcc>
  <rcc rId="6650" sId="2" numFmtId="4">
    <nc r="F531">
      <v>4</v>
    </nc>
  </rcc>
  <rcc rId="6651" sId="2" numFmtId="4">
    <nc r="G531">
      <v>0</v>
    </nc>
  </rcc>
  <rcc rId="6652" sId="2" numFmtId="4">
    <nc r="H531">
      <v>1</v>
    </nc>
  </rcc>
  <rcc rId="6653" sId="2" numFmtId="4">
    <nc r="B532">
      <v>1</v>
    </nc>
  </rcc>
  <rcc rId="6654" sId="2" numFmtId="4">
    <nc r="C532">
      <v>11</v>
    </nc>
  </rcc>
  <rcc rId="6655" sId="2" numFmtId="4">
    <nc r="D532">
      <v>15</v>
    </nc>
  </rcc>
  <rcc rId="6656" sId="2" numFmtId="4">
    <nc r="E532">
      <v>7</v>
    </nc>
  </rcc>
  <rcc rId="6657" sId="2" numFmtId="4">
    <nc r="F532">
      <v>7</v>
    </nc>
  </rcc>
  <rcc rId="6658" sId="2" numFmtId="4">
    <nc r="G532">
      <v>0</v>
    </nc>
  </rcc>
  <rcc rId="6659" sId="2" numFmtId="4">
    <nc r="H532">
      <v>2</v>
    </nc>
  </rcc>
  <rcc rId="6660" sId="11" numFmtId="4">
    <nc r="B223">
      <v>1</v>
    </nc>
  </rcc>
  <rcc rId="6661" sId="11" numFmtId="4">
    <nc r="C223">
      <v>34</v>
    </nc>
  </rcc>
  <rcc rId="6662" sId="11" numFmtId="4">
    <nc r="D223">
      <v>9</v>
    </nc>
  </rcc>
  <rcc rId="6663" sId="11" numFmtId="4">
    <nc r="E223">
      <v>15</v>
    </nc>
  </rcc>
  <rcc rId="6664" sId="11" numFmtId="4">
    <nc r="F223">
      <v>2</v>
    </nc>
  </rcc>
  <rcc rId="6665" sId="11" numFmtId="4">
    <nc r="G223">
      <v>3</v>
    </nc>
  </rcc>
  <rcc rId="6666" sId="11" numFmtId="4">
    <nc r="H223">
      <v>0</v>
    </nc>
  </rcc>
  <rcc rId="6667" sId="11" numFmtId="4">
    <nc r="B224">
      <v>1</v>
    </nc>
  </rcc>
</revisions>
</file>

<file path=xl/revisions/revisionLog74.xml><?xml version="1.0" encoding="utf-8"?>
<revisions xmlns="http://schemas.openxmlformats.org/spreadsheetml/2006/main" xmlns:r="http://schemas.openxmlformats.org/officeDocument/2006/relationships">
  <rcc rId="6668" sId="8" numFmtId="4">
    <nc r="B72">
      <v>23</v>
    </nc>
  </rcc>
  <rcc rId="6669" sId="8" numFmtId="4">
    <nc r="C72">
      <v>135</v>
    </nc>
  </rcc>
  <rcc rId="6670" sId="8" numFmtId="4">
    <nc r="D72">
      <v>13</v>
    </nc>
  </rcc>
  <rcc rId="6671" sId="8" numFmtId="4">
    <nc r="E72">
      <v>2</v>
    </nc>
  </rcc>
  <rcc rId="6672" sId="8" numFmtId="4">
    <nc r="F72">
      <v>2</v>
    </nc>
  </rcc>
  <rcc rId="6673" sId="8" numFmtId="4">
    <nc r="G72">
      <v>0</v>
    </nc>
  </rcc>
  <rcc rId="6674" sId="8" numFmtId="4">
    <nc r="B73">
      <v>23</v>
    </nc>
  </rcc>
  <rcc rId="6675" sId="8" numFmtId="4">
    <nc r="C73">
      <v>133</v>
    </nc>
  </rcc>
  <rcc rId="6676" sId="8" numFmtId="4">
    <nc r="F73">
      <v>0</v>
    </nc>
  </rcc>
  <rcc rId="6677" sId="8" numFmtId="4">
    <nc r="D73">
      <v>10</v>
    </nc>
  </rcc>
  <rcc rId="6678" sId="8" numFmtId="4">
    <nc r="E73">
      <v>2</v>
    </nc>
  </rcc>
  <rcc rId="6679" sId="8" numFmtId="4">
    <nc r="G73">
      <v>0</v>
    </nc>
  </rcc>
  <rcc rId="6680" sId="8" numFmtId="4">
    <nc r="B74">
      <v>23</v>
    </nc>
  </rcc>
  <rcc rId="6681" sId="8" numFmtId="4">
    <nc r="C74">
      <v>133</v>
    </nc>
  </rcc>
  <rcc rId="6682" sId="8" numFmtId="4">
    <nc r="D74">
      <v>12</v>
    </nc>
  </rcc>
  <rcc rId="6683" sId="8" numFmtId="4">
    <nc r="E74">
      <v>2</v>
    </nc>
  </rcc>
  <rcc rId="6684" sId="8" numFmtId="4">
    <nc r="F74">
      <v>0</v>
    </nc>
  </rcc>
  <rcc rId="6685" sId="8" numFmtId="4">
    <nc r="G74">
      <v>0</v>
    </nc>
  </rcc>
  <rcc rId="6686" sId="8" numFmtId="4">
    <nc r="B75">
      <v>23</v>
    </nc>
  </rcc>
  <rcc rId="6687" sId="8" numFmtId="4">
    <nc r="C75">
      <v>133</v>
    </nc>
  </rcc>
  <rcc rId="6688" sId="8" numFmtId="4">
    <nc r="D75">
      <v>13</v>
    </nc>
  </rcc>
  <rcc rId="6689" sId="8" numFmtId="4">
    <nc r="E75">
      <v>2</v>
    </nc>
  </rcc>
  <rcc rId="6690" sId="8" numFmtId="4">
    <nc r="F75">
      <v>0</v>
    </nc>
  </rcc>
  <rcc rId="6691" sId="8" numFmtId="4">
    <nc r="G75">
      <v>1</v>
    </nc>
  </rcc>
  <rcc rId="6692" sId="5" numFmtId="4">
    <nc r="B455">
      <v>13</v>
    </nc>
  </rcc>
  <rcc rId="6693" sId="5" numFmtId="4">
    <nc r="C455">
      <v>65</v>
    </nc>
  </rcc>
  <rcc rId="6694" sId="5" numFmtId="4">
    <nc r="D455">
      <v>13</v>
    </nc>
  </rcc>
  <rcc rId="6695" sId="5" numFmtId="4">
    <nc r="E455">
      <v>2</v>
    </nc>
  </rcc>
  <rcc rId="6696" sId="5" numFmtId="4">
    <nc r="F455">
      <v>4</v>
    </nc>
  </rcc>
  <rcc rId="6697" sId="5" numFmtId="4">
    <nc r="G455">
      <v>0</v>
    </nc>
  </rcc>
  <rcc rId="6698" sId="5" numFmtId="4">
    <nc r="B456">
      <v>13</v>
    </nc>
  </rcc>
  <rcc rId="6699" sId="5" numFmtId="4">
    <nc r="C456">
      <v>65</v>
    </nc>
  </rcc>
  <rcc rId="6700" sId="5" numFmtId="4">
    <nc r="D456">
      <v>12</v>
    </nc>
  </rcc>
  <rcc rId="6701" sId="5" numFmtId="4">
    <nc r="E456">
      <v>6</v>
    </nc>
  </rcc>
  <rcc rId="6702" sId="5" numFmtId="4">
    <nc r="F456">
      <v>14</v>
    </nc>
  </rcc>
  <rcc rId="6703" sId="5" numFmtId="4">
    <nc r="G456">
      <v>0</v>
    </nc>
  </rcc>
  <rcc rId="6704" sId="5" numFmtId="4">
    <nc r="B457">
      <v>13</v>
    </nc>
  </rcc>
  <rcc rId="6705" sId="5" numFmtId="4">
    <nc r="C457">
      <v>65</v>
    </nc>
  </rcc>
  <rcc rId="6706" sId="5" numFmtId="4">
    <nc r="D457">
      <v>11</v>
    </nc>
  </rcc>
  <rcc rId="6707" sId="5" numFmtId="4">
    <nc r="E457">
      <v>2</v>
    </nc>
  </rcc>
  <rcc rId="6708" sId="5" numFmtId="4">
    <nc r="F457">
      <v>11</v>
    </nc>
  </rcc>
  <rcc rId="6709" sId="5" numFmtId="4">
    <nc r="G457">
      <v>0</v>
    </nc>
  </rcc>
  <rcc rId="6710" sId="8" numFmtId="4">
    <nc r="B76">
      <v>23</v>
    </nc>
  </rcc>
  <rcc rId="6711" sId="8" numFmtId="4">
    <nc r="C76">
      <v>128</v>
    </nc>
  </rcc>
  <rcc rId="6712" sId="8" numFmtId="4">
    <nc r="D76">
      <v>8</v>
    </nc>
  </rcc>
  <rcc rId="6713" sId="8" numFmtId="4">
    <nc r="E76">
      <v>9</v>
    </nc>
  </rcc>
  <rcc rId="6714" sId="8" numFmtId="4">
    <nc r="F76">
      <v>1</v>
    </nc>
  </rcc>
  <rcc rId="6715" sId="8" numFmtId="4">
    <nc r="G76">
      <v>1</v>
    </nc>
  </rcc>
  <rcc rId="6716" sId="8" numFmtId="4">
    <nc r="B77">
      <v>23</v>
    </nc>
  </rcc>
  <rcc rId="6717" sId="8" numFmtId="4">
    <nc r="C77">
      <v>128</v>
    </nc>
  </rcc>
  <rcc rId="6718" sId="8" numFmtId="4">
    <nc r="D77">
      <v>9</v>
    </nc>
  </rcc>
  <rcc rId="6719" sId="8" numFmtId="4">
    <nc r="E77">
      <v>10</v>
    </nc>
  </rcc>
  <rcc rId="6720" sId="8" numFmtId="4">
    <nc r="F77">
      <v>2</v>
    </nc>
  </rcc>
  <rcc rId="6721" sId="8" numFmtId="4">
    <nc r="G77">
      <v>0</v>
    </nc>
  </rcc>
  <rcc rId="6722" sId="8" numFmtId="4">
    <nc r="B78">
      <v>23</v>
    </nc>
  </rcc>
  <rcc rId="6723" sId="8" numFmtId="4">
    <nc r="C78">
      <v>128</v>
    </nc>
  </rcc>
  <rcc rId="6724" sId="8" numFmtId="4">
    <nc r="D78">
      <v>10</v>
    </nc>
  </rcc>
  <rcc rId="6725" sId="8" numFmtId="4">
    <nc r="E78">
      <v>11</v>
    </nc>
  </rcc>
  <rcc rId="6726" sId="8" numFmtId="4">
    <nc r="F78">
      <v>3</v>
    </nc>
  </rcc>
  <rcc rId="6727" sId="8" numFmtId="4">
    <nc r="G78">
      <v>1</v>
    </nc>
  </rcc>
  <rcc rId="6728" sId="8" numFmtId="4">
    <nc r="B79">
      <v>23</v>
    </nc>
  </rcc>
  <rcc rId="6729" sId="8" numFmtId="4">
    <nc r="C79">
      <v>128</v>
    </nc>
  </rcc>
  <rcc rId="6730" sId="8" numFmtId="4">
    <nc r="D79">
      <v>11</v>
    </nc>
  </rcc>
  <rcc rId="6731" sId="8" numFmtId="4">
    <nc r="E79">
      <v>12</v>
    </nc>
  </rcc>
  <rcc rId="6732" sId="8" numFmtId="4">
    <nc r="F79">
      <v>2</v>
    </nc>
  </rcc>
  <rcc rId="6733" sId="8" numFmtId="4">
    <nc r="G79">
      <v>0</v>
    </nc>
  </rcc>
  <rcc rId="6734" sId="8" numFmtId="4">
    <nc r="B80">
      <v>23</v>
    </nc>
  </rcc>
  <rcc rId="6735" sId="8" numFmtId="4">
    <nc r="C80">
      <v>128</v>
    </nc>
  </rcc>
  <rcc rId="6736" sId="8" numFmtId="4">
    <nc r="D80">
      <v>12</v>
    </nc>
  </rcc>
  <rcc rId="6737" sId="8" numFmtId="4">
    <nc r="E80">
      <v>18</v>
    </nc>
  </rcc>
  <rcc rId="6738" sId="8" numFmtId="4">
    <nc r="F80">
      <v>4</v>
    </nc>
  </rcc>
  <rcc rId="6739" sId="8" numFmtId="4">
    <nc r="G80">
      <v>3</v>
    </nc>
  </rcc>
  <rcc rId="6740" sId="5" numFmtId="4">
    <nc r="B458">
      <v>13</v>
    </nc>
  </rcc>
  <rcc rId="6741" sId="5" numFmtId="4">
    <nc r="C458">
      <v>75</v>
    </nc>
  </rcc>
  <rcc rId="6742" sId="5" numFmtId="4">
    <nc r="D458">
      <v>6</v>
    </nc>
  </rcc>
  <rcc rId="6743" sId="5" numFmtId="4">
    <nc r="E458">
      <v>2</v>
    </nc>
  </rcc>
  <rcc rId="6744" sId="5" numFmtId="4">
    <nc r="F458">
      <v>7</v>
    </nc>
  </rcc>
  <rcc rId="6745" sId="5" numFmtId="4">
    <nc r="G458">
      <v>0</v>
    </nc>
  </rcc>
  <rcc rId="6746" sId="5" numFmtId="4">
    <nc r="B459">
      <v>13</v>
    </nc>
  </rcc>
  <rcc rId="6747" sId="5" numFmtId="4">
    <nc r="C459">
      <v>100</v>
    </nc>
  </rcc>
  <rcc rId="6748" sId="5" numFmtId="4">
    <nc r="D459">
      <v>11</v>
    </nc>
  </rcc>
  <rcc rId="6749" sId="5" numFmtId="4">
    <nc r="E459">
      <v>3</v>
    </nc>
  </rcc>
  <rcc rId="6750" sId="5" numFmtId="4">
    <nc r="F459">
      <v>1</v>
    </nc>
  </rcc>
  <rcc rId="6751" sId="5" numFmtId="4">
    <nc r="G459">
      <v>0</v>
    </nc>
  </rcc>
  <rcc rId="6752" sId="5" numFmtId="4">
    <nc r="B460">
      <v>13</v>
    </nc>
  </rcc>
  <rcc rId="6753" sId="5" numFmtId="4">
    <nc r="C460">
      <v>100</v>
    </nc>
  </rcc>
  <rcc rId="6754" sId="5" numFmtId="4">
    <nc r="D460">
      <v>13</v>
    </nc>
  </rcc>
  <rcc rId="6755" sId="5" numFmtId="4">
    <nc r="E460">
      <v>4</v>
    </nc>
  </rcc>
  <rcc rId="6756" sId="5" numFmtId="4">
    <nc r="F460">
      <v>2</v>
    </nc>
  </rcc>
  <rcc rId="6757" sId="5" numFmtId="4">
    <nc r="G460">
      <v>0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>
  <rcc rId="6758" sId="11" numFmtId="4">
    <nc r="C224">
      <v>34</v>
    </nc>
  </rcc>
  <rcc rId="6759" sId="11" numFmtId="4">
    <nc r="D224">
      <v>10</v>
    </nc>
  </rcc>
  <rcc rId="6760" sId="11" numFmtId="4">
    <nc r="E224">
      <v>11</v>
    </nc>
  </rcc>
  <rcc rId="6761" sId="11" numFmtId="4">
    <nc r="F224">
      <v>12</v>
    </nc>
  </rcc>
  <rcc rId="6762" sId="11" numFmtId="4">
    <nc r="G224">
      <v>1</v>
    </nc>
  </rcc>
  <rcc rId="6763" sId="11" numFmtId="4">
    <nc r="H224">
      <v>2</v>
    </nc>
  </rcc>
  <rcc rId="6764" sId="11" numFmtId="4">
    <nc r="B225">
      <v>1</v>
    </nc>
  </rcc>
  <rcc rId="6765" sId="11" numFmtId="4">
    <nc r="C225">
      <v>34</v>
    </nc>
  </rcc>
  <rcc rId="6766" sId="11" numFmtId="4">
    <nc r="D225">
      <v>11</v>
    </nc>
  </rcc>
  <rcc rId="6767" sId="11" numFmtId="4">
    <nc r="E225">
      <v>8</v>
    </nc>
  </rcc>
  <rcc rId="6768" sId="11" numFmtId="4">
    <nc r="F225">
      <v>13</v>
    </nc>
  </rcc>
  <rcc rId="6769" sId="11" numFmtId="4">
    <nc r="G225">
      <v>0</v>
    </nc>
  </rcc>
  <rcc rId="6770" sId="11" numFmtId="4">
    <nc r="H225">
      <v>1</v>
    </nc>
  </rcc>
  <rcc rId="6771" sId="11" numFmtId="4">
    <nc r="B226">
      <v>1</v>
    </nc>
  </rcc>
  <rcc rId="6772" sId="11" numFmtId="4">
    <nc r="C226">
      <v>34</v>
    </nc>
  </rcc>
  <rcc rId="6773" sId="11" numFmtId="4">
    <nc r="D226">
      <v>13</v>
    </nc>
  </rcc>
  <rcc rId="6774" sId="11" numFmtId="4">
    <nc r="E226">
      <v>8</v>
    </nc>
  </rcc>
  <rcc rId="6775" sId="11" numFmtId="4">
    <nc r="F226">
      <v>1</v>
    </nc>
  </rcc>
  <rcc rId="6776" sId="11" numFmtId="4">
    <nc r="G226">
      <v>0</v>
    </nc>
  </rcc>
  <rcc rId="6777" sId="11" numFmtId="4">
    <nc r="H226">
      <v>1</v>
    </nc>
  </rcc>
  <rcc rId="6778" sId="11" numFmtId="4">
    <nc r="B227">
      <v>1</v>
    </nc>
  </rcc>
  <rcc rId="6779" sId="11" numFmtId="4">
    <nc r="C227">
      <v>34</v>
    </nc>
  </rcc>
  <rcc rId="6780" sId="11" numFmtId="4">
    <nc r="D227">
      <v>12</v>
    </nc>
  </rcc>
  <rcc rId="6781" sId="11" numFmtId="4">
    <nc r="E227">
      <v>9</v>
    </nc>
  </rcc>
  <rcc rId="6782" sId="11" numFmtId="4">
    <nc r="F227">
      <v>0</v>
    </nc>
  </rcc>
  <rcc rId="6783" sId="11" numFmtId="4">
    <nc r="G227">
      <v>2</v>
    </nc>
  </rcc>
  <rcc rId="6784" sId="11" numFmtId="4">
    <nc r="H227">
      <v>0</v>
    </nc>
  </rcc>
  <rcc rId="6785" sId="11" numFmtId="4">
    <nc r="B228">
      <v>1</v>
    </nc>
  </rcc>
  <rcc rId="6786" sId="11" numFmtId="4">
    <nc r="C228">
      <v>48</v>
    </nc>
  </rcc>
  <rcc rId="6787" sId="11" numFmtId="4">
    <nc r="D228">
      <v>11</v>
    </nc>
  </rcc>
  <rcc rId="6788" sId="11" numFmtId="4">
    <nc r="E228">
      <v>3</v>
    </nc>
  </rcc>
  <rcc rId="6789" sId="11" numFmtId="4">
    <nc r="F228">
      <v>18</v>
    </nc>
  </rcc>
  <rcc rId="6790" sId="11" numFmtId="4">
    <nc r="G228">
      <v>0</v>
    </nc>
  </rcc>
  <rcc rId="6791" sId="11" numFmtId="4">
    <nc r="H228">
      <v>0</v>
    </nc>
  </rcc>
  <rcc rId="6792" sId="11" numFmtId="4">
    <nc r="B229">
      <v>1</v>
    </nc>
  </rcc>
  <rcc rId="6793" sId="11" numFmtId="4">
    <nc r="C229">
      <v>48</v>
    </nc>
  </rcc>
  <rcc rId="6794" sId="11" numFmtId="4">
    <nc r="D229">
      <v>13</v>
    </nc>
  </rcc>
  <rcc rId="6795" sId="11" numFmtId="4">
    <nc r="E229">
      <v>4</v>
    </nc>
  </rcc>
  <rcc rId="6796" sId="11" numFmtId="4">
    <nc r="F229">
      <v>11</v>
    </nc>
  </rcc>
  <rcc rId="6797" sId="11" numFmtId="4">
    <nc r="G229">
      <v>1</v>
    </nc>
  </rcc>
  <rcc rId="6798" sId="11" numFmtId="4">
    <nc r="H229">
      <v>0</v>
    </nc>
  </rcc>
  <rcc rId="6799" sId="11" numFmtId="4">
    <nc r="B230">
      <v>1</v>
    </nc>
  </rcc>
  <rcc rId="6800" sId="11" numFmtId="4">
    <nc r="C230">
      <v>48</v>
    </nc>
  </rcc>
  <rcc rId="6801" sId="11" numFmtId="4">
    <nc r="D230">
      <v>12</v>
    </nc>
  </rcc>
  <rcc rId="6802" sId="11" numFmtId="4">
    <nc r="E230">
      <v>4</v>
    </nc>
  </rcc>
  <rcc rId="6803" sId="11" numFmtId="4">
    <nc r="F230">
      <v>10</v>
    </nc>
  </rcc>
  <rcc rId="6804" sId="11" numFmtId="4">
    <nc r="G230">
      <v>0</v>
    </nc>
  </rcc>
  <rcc rId="6805" sId="11" numFmtId="4">
    <nc r="H230">
      <v>0</v>
    </nc>
  </rcc>
  <rcc rId="6806" sId="11" numFmtId="4">
    <nc r="B231">
      <v>1</v>
    </nc>
  </rcc>
  <rcc rId="6807" sId="11" numFmtId="4">
    <nc r="C231">
      <v>15</v>
    </nc>
  </rcc>
  <rcc rId="6808" sId="11" numFmtId="4">
    <nc r="D231">
      <v>11</v>
    </nc>
  </rcc>
  <rcc rId="6809" sId="11" numFmtId="4">
    <nc r="E231">
      <v>0</v>
    </nc>
  </rcc>
  <rcc rId="6810" sId="11" numFmtId="4">
    <nc r="F231">
      <v>3</v>
    </nc>
  </rcc>
  <rcc rId="6811" sId="11" numFmtId="4">
    <nc r="G231">
      <v>0</v>
    </nc>
  </rcc>
  <rcc rId="6812" sId="11" numFmtId="4">
    <nc r="H231">
      <v>0</v>
    </nc>
  </rcc>
  <rcc rId="6813" sId="11" numFmtId="4">
    <nc r="B232">
      <v>1</v>
    </nc>
  </rcc>
  <rcc rId="6814" sId="11" numFmtId="4">
    <nc r="C232">
      <v>15</v>
    </nc>
  </rcc>
  <rcc rId="6815" sId="11" numFmtId="4">
    <nc r="D232">
      <v>12</v>
    </nc>
  </rcc>
  <rcc rId="6816" sId="11" numFmtId="4">
    <nc r="E232">
      <v>2</v>
    </nc>
  </rcc>
  <rcc rId="6817" sId="11" numFmtId="4">
    <nc r="F232">
      <v>0</v>
    </nc>
  </rcc>
  <rcc rId="6818" sId="11" numFmtId="4">
    <nc r="G232">
      <v>0</v>
    </nc>
  </rcc>
  <rcc rId="6819" sId="11" numFmtId="4">
    <nc r="H232">
      <v>0</v>
    </nc>
  </rcc>
  <rcc rId="6820" sId="11" numFmtId="4">
    <nc r="B233">
      <v>1</v>
    </nc>
  </rcc>
  <rcc rId="6821" sId="11" numFmtId="4">
    <nc r="C233">
      <v>59</v>
    </nc>
  </rcc>
  <rcc rId="6822" sId="11" numFmtId="4">
    <nc r="D233">
      <v>15</v>
    </nc>
  </rcc>
  <rcc rId="6823" sId="11" numFmtId="4">
    <nc r="E233">
      <v>1</v>
    </nc>
  </rcc>
  <rcc rId="6824" sId="11" numFmtId="4">
    <nc r="F233">
      <v>2</v>
    </nc>
  </rcc>
  <rcc rId="6825" sId="11" numFmtId="4">
    <nc r="G233">
      <v>1</v>
    </nc>
  </rcc>
  <rcc rId="6826" sId="11" numFmtId="4">
    <nc r="H233">
      <v>0</v>
    </nc>
  </rcc>
  <rcc rId="6827" sId="11" numFmtId="4">
    <nc r="B234">
      <v>1</v>
    </nc>
  </rcc>
  <rcc rId="6828" sId="11" numFmtId="4">
    <nc r="C234">
      <v>59</v>
    </nc>
  </rcc>
  <rcc rId="6829" sId="11" numFmtId="4">
    <nc r="D234">
      <v>14</v>
    </nc>
  </rcc>
  <rcc rId="6830" sId="11" numFmtId="4">
    <nc r="E234">
      <v>0</v>
    </nc>
  </rcc>
  <rcc rId="6831" sId="11" numFmtId="4">
    <nc r="F234">
      <v>2</v>
    </nc>
  </rcc>
  <rcc rId="6832" sId="11" numFmtId="4">
    <nc r="G234">
      <v>1</v>
    </nc>
  </rcc>
  <rcc rId="6833" sId="11" numFmtId="4">
    <nc r="H234">
      <v>0</v>
    </nc>
  </rcc>
  <rcc rId="6834" sId="11" numFmtId="4">
    <nc r="B235">
      <v>1</v>
    </nc>
  </rcc>
  <rcc rId="6835" sId="11" numFmtId="4">
    <nc r="C235">
      <v>59</v>
    </nc>
  </rcc>
  <rcc rId="6836" sId="11" numFmtId="4">
    <nc r="D235">
      <v>13</v>
    </nc>
  </rcc>
  <rcc rId="6837" sId="11" numFmtId="4">
    <nc r="E235">
      <v>5</v>
    </nc>
  </rcc>
  <rcc rId="6838" sId="11" numFmtId="4">
    <nc r="F235">
      <v>4</v>
    </nc>
  </rcc>
  <rcc rId="6839" sId="11" numFmtId="4">
    <nc r="G235">
      <v>0</v>
    </nc>
  </rcc>
  <rcc rId="6840" sId="11" numFmtId="4">
    <nc r="H235">
      <v>0</v>
    </nc>
  </rcc>
  <rcc rId="6841" sId="11" numFmtId="4">
    <nc r="B236">
      <v>1</v>
    </nc>
  </rcc>
  <rcc rId="6842" sId="11" numFmtId="4">
    <nc r="C236">
      <v>59</v>
    </nc>
  </rcc>
  <rcc rId="6843" sId="11" numFmtId="4">
    <nc r="D236">
      <v>12</v>
    </nc>
  </rcc>
  <rcc rId="6844" sId="11" numFmtId="4">
    <nc r="E236">
      <v>5</v>
    </nc>
  </rcc>
  <rcc rId="6845" sId="11" numFmtId="4">
    <nc r="F236">
      <v>1</v>
    </nc>
  </rcc>
  <rcc rId="6846" sId="11" numFmtId="4">
    <nc r="G236">
      <v>0</v>
    </nc>
  </rcc>
  <rcc rId="6847" sId="11" numFmtId="4">
    <nc r="H236">
      <v>0</v>
    </nc>
  </rcc>
  <rcc rId="6848" sId="11" numFmtId="4">
    <nc r="B237">
      <v>1</v>
    </nc>
  </rcc>
  <rcc rId="6849" sId="11" numFmtId="4">
    <nc r="C237">
      <v>28</v>
    </nc>
  </rcc>
  <rcc rId="6850" sId="11" numFmtId="4">
    <nc r="D237">
      <v>11</v>
    </nc>
  </rcc>
  <rcc rId="6851" sId="11" numFmtId="4">
    <nc r="E237">
      <v>8</v>
    </nc>
  </rcc>
  <rcc rId="6852" sId="11" numFmtId="4">
    <nc r="F237">
      <v>14</v>
    </nc>
  </rcc>
  <rcc rId="6853" sId="11" numFmtId="4">
    <nc r="G237">
      <v>0</v>
    </nc>
  </rcc>
  <rcc rId="6854" sId="11" numFmtId="4">
    <nc r="H237">
      <v>2</v>
    </nc>
  </rcc>
  <rcc rId="6855" sId="11" numFmtId="4">
    <nc r="B238">
      <v>1</v>
    </nc>
  </rcc>
  <rcc rId="6856" sId="11" numFmtId="4">
    <nc r="C238">
      <v>51</v>
    </nc>
  </rcc>
  <rcc rId="6857" sId="11" numFmtId="4">
    <nc r="D238">
      <v>11</v>
    </nc>
  </rcc>
  <rcc rId="6858" sId="11" numFmtId="4">
    <nc r="E238">
      <v>2</v>
    </nc>
  </rcc>
  <rcc rId="6859" sId="11" numFmtId="4">
    <nc r="F238">
      <v>4</v>
    </nc>
  </rcc>
  <rcc rId="6860" sId="11" numFmtId="4">
    <nc r="G238">
      <v>0</v>
    </nc>
  </rcc>
  <rcc rId="6861" sId="11" numFmtId="4">
    <nc r="H238">
      <v>0</v>
    </nc>
  </rcc>
  <rcc rId="6862" sId="11" numFmtId="4">
    <nc r="B239">
      <v>1</v>
    </nc>
  </rcc>
  <rcc rId="6863" sId="11" numFmtId="4">
    <nc r="C239">
      <v>51</v>
    </nc>
  </rcc>
  <rcc rId="6864" sId="11" numFmtId="4">
    <nc r="D239">
      <v>12</v>
    </nc>
  </rcc>
  <rcc rId="6865" sId="11" numFmtId="4">
    <nc r="E239">
      <v>3</v>
    </nc>
  </rcc>
  <rcc rId="6866" sId="11" numFmtId="4">
    <nc r="F239">
      <v>2</v>
    </nc>
  </rcc>
  <rcc rId="6867" sId="11" numFmtId="4">
    <nc r="G239">
      <v>0</v>
    </nc>
  </rcc>
  <rcc rId="6868" sId="11" numFmtId="4">
    <nc r="H239">
      <v>0</v>
    </nc>
  </rcc>
  <rcc rId="6869" sId="11" numFmtId="4">
    <nc r="B240">
      <v>1</v>
    </nc>
  </rcc>
  <rcc rId="6870" sId="11" numFmtId="4">
    <nc r="C240">
      <v>51</v>
    </nc>
  </rcc>
  <rcc rId="6871" sId="11" numFmtId="4">
    <nc r="D240">
      <v>13</v>
    </nc>
  </rcc>
  <rcc rId="6872" sId="11" numFmtId="4">
    <nc r="E240">
      <v>13</v>
    </nc>
  </rcc>
  <rcc rId="6873" sId="11" numFmtId="4">
    <nc r="F240">
      <v>2</v>
    </nc>
  </rcc>
  <rcc rId="6874" sId="11" numFmtId="4">
    <nc r="G240">
      <v>0</v>
    </nc>
  </rcc>
  <rcc rId="6875" sId="11" numFmtId="4">
    <nc r="H240">
      <v>0</v>
    </nc>
  </rcc>
  <rcc rId="6876" sId="11" numFmtId="4">
    <nc r="B241">
      <v>1</v>
    </nc>
  </rcc>
  <rcc rId="6877" sId="11" numFmtId="4">
    <nc r="C241">
      <v>22</v>
    </nc>
  </rcc>
  <rcc rId="6878" sId="11" numFmtId="4">
    <nc r="D241">
      <v>11</v>
    </nc>
  </rcc>
  <rcc rId="6879" sId="11" numFmtId="4">
    <nc r="E241">
      <v>2</v>
    </nc>
  </rcc>
  <rcc rId="6880" sId="11" numFmtId="4">
    <nc r="F241">
      <v>18</v>
    </nc>
  </rcc>
  <rcc rId="6881" sId="11" numFmtId="4">
    <nc r="G241">
      <v>0</v>
    </nc>
  </rcc>
  <rcc rId="6882" sId="11" numFmtId="4">
    <nc r="H241">
      <v>0</v>
    </nc>
  </rcc>
  <rcc rId="6883" sId="11" numFmtId="4">
    <nc r="B242">
      <v>1</v>
    </nc>
  </rcc>
  <rcc rId="6884" sId="11" numFmtId="4">
    <nc r="C242">
      <v>22</v>
    </nc>
  </rcc>
  <rcc rId="6885" sId="11" numFmtId="4">
    <nc r="G242">
      <v>0</v>
    </nc>
  </rcc>
  <rcc rId="6886" sId="11" numFmtId="4">
    <nc r="D242">
      <v>12</v>
    </nc>
  </rcc>
  <rcc rId="6887" sId="11" numFmtId="4">
    <nc r="E242">
      <v>1</v>
    </nc>
  </rcc>
  <rcc rId="6888" sId="11" numFmtId="4">
    <nc r="F242">
      <v>22</v>
    </nc>
  </rcc>
  <rcc rId="6889" sId="11" numFmtId="4">
    <nc r="H242">
      <v>0</v>
    </nc>
  </rcc>
  <rcc rId="6890" sId="11" numFmtId="4">
    <nc r="B243">
      <v>1</v>
    </nc>
  </rcc>
  <rcc rId="6891" sId="11" numFmtId="4">
    <nc r="C243">
      <v>22</v>
    </nc>
  </rcc>
  <rcc rId="6892" sId="11" numFmtId="4">
    <nc r="D243">
      <v>13</v>
    </nc>
  </rcc>
  <rcc rId="6893" sId="11" numFmtId="4">
    <nc r="E243">
      <v>0</v>
    </nc>
  </rcc>
  <rcc rId="6894" sId="11" numFmtId="4">
    <nc r="F243">
      <v>17</v>
    </nc>
  </rcc>
  <rcc rId="6895" sId="11" numFmtId="4">
    <nc r="G243">
      <v>0</v>
    </nc>
  </rcc>
  <rcc rId="6896" sId="11" numFmtId="4">
    <nc r="H243">
      <v>0</v>
    </nc>
  </rcc>
  <rcc rId="6897" sId="11" numFmtId="4">
    <nc r="B244">
      <v>1</v>
    </nc>
  </rcc>
  <rcc rId="6898" sId="11" numFmtId="4">
    <nc r="C244">
      <v>38</v>
    </nc>
  </rcc>
  <rcc rId="6899" sId="11" numFmtId="4">
    <nc r="D244">
      <v>11</v>
    </nc>
  </rcc>
  <rcc rId="6900" sId="11" numFmtId="4">
    <nc r="E244">
      <v>3</v>
    </nc>
  </rcc>
  <rcc rId="6901" sId="11" numFmtId="4">
    <nc r="F244">
      <v>31</v>
    </nc>
  </rcc>
  <rcc rId="6902" sId="11" numFmtId="4">
    <nc r="G244">
      <v>0</v>
    </nc>
  </rcc>
  <rcc rId="6903" sId="11" numFmtId="4">
    <nc r="H244">
      <v>0</v>
    </nc>
  </rcc>
  <rcc rId="6904" sId="11" numFmtId="4">
    <nc r="B245">
      <v>1</v>
    </nc>
  </rcc>
  <rcc rId="6905" sId="11" numFmtId="4">
    <nc r="C245">
      <v>38</v>
    </nc>
  </rcc>
  <rcc rId="6906" sId="11" numFmtId="4">
    <nc r="D245">
      <v>12</v>
    </nc>
  </rcc>
  <rcc rId="6907" sId="11" numFmtId="4">
    <nc r="E245">
      <v>5</v>
    </nc>
  </rcc>
  <rcc rId="6908" sId="11" numFmtId="4">
    <nc r="F245">
      <v>24</v>
    </nc>
  </rcc>
  <rcc rId="6909" sId="11" numFmtId="4">
    <nc r="G245">
      <v>0</v>
    </nc>
  </rcc>
  <rcc rId="6910" sId="11" numFmtId="4">
    <nc r="H245">
      <v>0</v>
    </nc>
  </rcc>
  <rcc rId="6911" sId="11" numFmtId="4">
    <nc r="B246">
      <v>1</v>
    </nc>
  </rcc>
  <rcc rId="6912" sId="11" numFmtId="4">
    <nc r="C246">
      <v>59</v>
    </nc>
  </rcc>
  <rcc rId="6913" sId="11" numFmtId="4">
    <nc r="D246">
      <v>11</v>
    </nc>
  </rcc>
  <rcc rId="6914" sId="11" numFmtId="4">
    <nc r="E246">
      <v>3</v>
    </nc>
  </rcc>
  <rcc rId="6915" sId="11" numFmtId="4">
    <nc r="F246">
      <v>1</v>
    </nc>
  </rcc>
  <rcc rId="6916" sId="11" numFmtId="4">
    <nc r="G246">
      <v>0</v>
    </nc>
  </rcc>
  <rcc rId="6917" sId="11" numFmtId="4">
    <nc r="H246">
      <v>0</v>
    </nc>
  </rcc>
  <rcc rId="6918" sId="11" numFmtId="4">
    <nc r="B247">
      <v>1</v>
    </nc>
  </rcc>
  <rcc rId="6919" sId="11" numFmtId="4">
    <nc r="C247">
      <v>9</v>
    </nc>
  </rcc>
  <rcc rId="6920" sId="11" numFmtId="4">
    <nc r="D247">
      <v>10</v>
    </nc>
  </rcc>
  <rcc rId="6921" sId="11" numFmtId="4">
    <nc r="E247">
      <v>0</v>
    </nc>
  </rcc>
  <rcc rId="6922" sId="11" numFmtId="4">
    <nc r="F247">
      <v>25</v>
    </nc>
  </rcc>
  <rcc rId="6923" sId="11" numFmtId="4">
    <nc r="G247">
      <v>0</v>
    </nc>
  </rcc>
  <rcc rId="6924" sId="11" numFmtId="4">
    <nc r="H247">
      <v>0</v>
    </nc>
  </rcc>
  <rcc rId="6925" sId="11" numFmtId="4">
    <nc r="B248">
      <v>1</v>
    </nc>
  </rcc>
  <rcc rId="6926" sId="11" numFmtId="4">
    <nc r="C248">
      <v>9</v>
    </nc>
  </rcc>
  <rcc rId="6927" sId="11" numFmtId="4">
    <nc r="D248">
      <v>11</v>
    </nc>
  </rcc>
  <rcc rId="6928" sId="11" numFmtId="4">
    <nc r="E248">
      <v>8</v>
    </nc>
  </rcc>
  <rcc rId="6929" sId="11" numFmtId="4">
    <nc r="F248">
      <v>17</v>
    </nc>
  </rcc>
  <rcc rId="6930" sId="11" numFmtId="4">
    <nc r="G248">
      <v>0</v>
    </nc>
  </rcc>
  <rcc rId="6931" sId="11" numFmtId="4">
    <nc r="H248">
      <v>0</v>
    </nc>
  </rcc>
  <rcc rId="6932" sId="11" numFmtId="4">
    <nc r="B249">
      <v>1</v>
    </nc>
  </rcc>
  <rcc rId="6933" sId="11" numFmtId="4">
    <nc r="C249">
      <v>9</v>
    </nc>
  </rcc>
  <rcc rId="6934" sId="11" numFmtId="4">
    <nc r="D249">
      <v>12</v>
    </nc>
  </rcc>
  <rcc rId="6935" sId="11" numFmtId="4">
    <nc r="E249">
      <v>5</v>
    </nc>
  </rcc>
  <rcc rId="6936" sId="11" numFmtId="4">
    <nc r="F249">
      <v>20</v>
    </nc>
  </rcc>
  <rcc rId="6937" sId="11" numFmtId="4">
    <nc r="G249">
      <v>0</v>
    </nc>
  </rcc>
  <rcc rId="6938" sId="11" numFmtId="4">
    <nc r="H249">
      <v>0</v>
    </nc>
  </rcc>
  <rcc rId="6939" sId="11" numFmtId="4">
    <nc r="B250">
      <v>1</v>
    </nc>
  </rcc>
  <rcc rId="6940" sId="11" numFmtId="4">
    <nc r="C250">
      <v>27</v>
    </nc>
  </rcc>
  <rcc rId="6941" sId="11" numFmtId="4">
    <nc r="D250">
      <v>11</v>
    </nc>
  </rcc>
  <rcc rId="6942" sId="11" numFmtId="4">
    <nc r="E250">
      <v>20</v>
    </nc>
  </rcc>
  <rcc rId="6943" sId="11" numFmtId="4">
    <nc r="F250">
      <v>10</v>
    </nc>
  </rcc>
  <rcc rId="6944" sId="11" numFmtId="4">
    <nc r="G250">
      <v>0</v>
    </nc>
  </rcc>
  <rcc rId="6945" sId="11" numFmtId="4">
    <nc r="H250">
      <v>0</v>
    </nc>
  </rcc>
  <rcc rId="6946" sId="11" numFmtId="4">
    <nc r="B251">
      <v>1</v>
    </nc>
  </rcc>
  <rcc rId="6947" sId="11" numFmtId="4">
    <nc r="C251">
      <v>27</v>
    </nc>
  </rcc>
  <rcc rId="6948" sId="11" numFmtId="4">
    <nc r="D251">
      <v>10</v>
    </nc>
  </rcc>
  <rcc rId="6949" sId="11" numFmtId="4">
    <nc r="E251">
      <v>16</v>
    </nc>
  </rcc>
  <rcc rId="6950" sId="11" numFmtId="4">
    <nc r="F251">
      <v>8</v>
    </nc>
  </rcc>
  <rcc rId="6951" sId="11" numFmtId="4">
    <nc r="G251">
      <v>0</v>
    </nc>
  </rcc>
  <rcc rId="6952" sId="11" numFmtId="4">
    <nc r="H251">
      <v>0</v>
    </nc>
  </rcc>
  <rcc rId="6953" sId="11" numFmtId="4">
    <nc r="B252">
      <v>1</v>
    </nc>
  </rcc>
  <rcc rId="6954" sId="11" numFmtId="4">
    <nc r="C252">
      <v>35</v>
    </nc>
  </rcc>
  <rcc rId="6955" sId="11" numFmtId="4">
    <nc r="D252">
      <v>12</v>
    </nc>
  </rcc>
  <rcc rId="6956" sId="11" numFmtId="4">
    <nc r="E252">
      <v>17</v>
    </nc>
  </rcc>
  <rcc rId="6957" sId="11" numFmtId="4">
    <nc r="F252">
      <v>17</v>
    </nc>
  </rcc>
  <rcc rId="6958" sId="11" numFmtId="4">
    <nc r="G252">
      <v>15</v>
    </nc>
  </rcc>
  <rcc rId="6959" sId="11" numFmtId="4">
    <nc r="H252">
      <v>0</v>
    </nc>
  </rcc>
  <rcc rId="6960" sId="2" numFmtId="4">
    <nc r="B533">
      <v>1</v>
    </nc>
  </rcc>
  <rcc rId="6961" sId="2" numFmtId="4">
    <nc r="C533">
      <v>9</v>
    </nc>
  </rcc>
  <rcc rId="6962" sId="2" numFmtId="4">
    <nc r="D533">
      <v>10</v>
    </nc>
  </rcc>
  <rcc rId="6963" sId="2" numFmtId="4">
    <nc r="E533">
      <v>0</v>
    </nc>
  </rcc>
  <rcc rId="6964" sId="2" numFmtId="4">
    <nc r="F533">
      <v>25</v>
    </nc>
  </rcc>
  <rcc rId="6965" sId="2" numFmtId="4">
    <nc r="G533">
      <v>0</v>
    </nc>
  </rcc>
  <rcc rId="6966" sId="2" numFmtId="4">
    <nc r="H533">
      <v>0</v>
    </nc>
  </rcc>
  <rcc rId="6967" sId="2" numFmtId="4">
    <nc r="B534">
      <v>1</v>
    </nc>
  </rcc>
  <rcc rId="6968" sId="2" numFmtId="4">
    <nc r="C534">
      <v>9</v>
    </nc>
  </rcc>
  <rcc rId="6969" sId="2" numFmtId="4">
    <nc r="D534">
      <v>11</v>
    </nc>
  </rcc>
  <rcc rId="6970" sId="2" numFmtId="4">
    <nc r="E534">
      <v>8</v>
    </nc>
  </rcc>
  <rcc rId="6971" sId="2" numFmtId="4">
    <nc r="F534">
      <v>17</v>
    </nc>
  </rcc>
  <rcc rId="6972" sId="2" numFmtId="4">
    <nc r="G534">
      <v>0</v>
    </nc>
  </rcc>
  <rcc rId="6973" sId="2" numFmtId="4">
    <nc r="H534">
      <v>0</v>
    </nc>
  </rcc>
  <rcc rId="6974" sId="2" numFmtId="4">
    <nc r="B535">
      <v>1</v>
    </nc>
  </rcc>
  <rcc rId="6975" sId="2" numFmtId="4">
    <nc r="C535">
      <v>9</v>
    </nc>
  </rcc>
  <rcc rId="6976" sId="2" numFmtId="4">
    <nc r="D535">
      <v>12</v>
    </nc>
  </rcc>
  <rcc rId="6977" sId="2" numFmtId="4">
    <nc r="E535">
      <v>5</v>
    </nc>
  </rcc>
  <rcc rId="6978" sId="2" numFmtId="4">
    <nc r="F535">
      <v>20</v>
    </nc>
  </rcc>
  <rcc rId="6979" sId="2" numFmtId="4">
    <nc r="G535">
      <v>0</v>
    </nc>
  </rcc>
  <rcc rId="6980" sId="2" numFmtId="4">
    <nc r="H535">
      <v>0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>
  <rcc rId="6981" sId="5" numFmtId="4">
    <nc r="B461">
      <v>13</v>
    </nc>
  </rcc>
  <rcc rId="6982" sId="5" numFmtId="4">
    <nc r="C461">
      <v>64</v>
    </nc>
  </rcc>
  <rcc rId="6983" sId="5" numFmtId="4">
    <nc r="D461">
      <v>11</v>
    </nc>
  </rcc>
  <rcc rId="6984" sId="5" numFmtId="4">
    <nc r="E461">
      <v>9</v>
    </nc>
  </rcc>
  <rcc rId="6985" sId="5" numFmtId="4">
    <nc r="F461">
      <v>18</v>
    </nc>
  </rcc>
  <rcc rId="6986" sId="5" numFmtId="4">
    <nc r="G461">
      <v>0</v>
    </nc>
  </rcc>
  <rcc rId="6987" sId="5" numFmtId="4">
    <nc r="B462">
      <v>13</v>
    </nc>
  </rcc>
  <rcc rId="6988" sId="5" numFmtId="4">
    <nc r="C462">
      <v>73</v>
    </nc>
  </rcc>
  <rcc rId="6989" sId="5" numFmtId="4">
    <nc r="D462">
      <v>11</v>
    </nc>
  </rcc>
  <rcc rId="6990" sId="5" numFmtId="4">
    <nc r="E462">
      <v>1</v>
    </nc>
  </rcc>
  <rcc rId="6991" sId="5" numFmtId="4">
    <nc r="F462">
      <v>7</v>
    </nc>
  </rcc>
  <rcc rId="6992" sId="5" numFmtId="4">
    <nc r="G462">
      <v>0</v>
    </nc>
  </rcc>
  <rcc rId="6993" sId="5" numFmtId="4">
    <nc r="B463">
      <v>13</v>
    </nc>
  </rcc>
  <rcc rId="6994" sId="5" numFmtId="4">
    <nc r="C463">
      <v>73</v>
    </nc>
  </rcc>
  <rcc rId="6995" sId="5" numFmtId="4">
    <nc r="D463">
      <v>12</v>
    </nc>
  </rcc>
  <rcc rId="6996" sId="5" numFmtId="4">
    <nc r="E463">
      <v>0</v>
    </nc>
  </rcc>
  <rcc rId="6997" sId="5" numFmtId="4">
    <nc r="F463">
      <v>0</v>
    </nc>
  </rcc>
  <rcc rId="6998" sId="5" numFmtId="4">
    <nc r="G463">
      <v>0</v>
    </nc>
  </rcc>
  <rcc rId="6999" sId="5" numFmtId="4">
    <nc r="B464">
      <v>13</v>
    </nc>
  </rcc>
  <rcc rId="7000" sId="5" numFmtId="4">
    <nc r="C464">
      <v>73</v>
    </nc>
  </rcc>
  <rcc rId="7001" sId="5" numFmtId="4">
    <nc r="D464">
      <v>13</v>
    </nc>
  </rcc>
  <rcc rId="7002" sId="5" numFmtId="4">
    <nc r="E464">
      <v>0</v>
    </nc>
  </rcc>
  <rcc rId="7003" sId="5" numFmtId="4">
    <nc r="F464">
      <v>0</v>
    </nc>
  </rcc>
  <rcc rId="7004" sId="5" numFmtId="4">
    <nc r="G464">
      <v>0</v>
    </nc>
  </rcc>
  <rcc rId="7005" sId="5" numFmtId="4">
    <nc r="B465">
      <v>13</v>
    </nc>
  </rcc>
  <rcc rId="7006" sId="5" numFmtId="4">
    <nc r="C465">
      <v>95</v>
    </nc>
  </rcc>
  <rcc rId="7007" sId="5" numFmtId="4">
    <nc r="D465">
      <v>9</v>
    </nc>
  </rcc>
  <rcc rId="7008" sId="5" numFmtId="4">
    <nc r="E465">
      <v>18</v>
    </nc>
  </rcc>
  <rcc rId="7009" sId="5" numFmtId="4">
    <nc r="F465">
      <v>7</v>
    </nc>
  </rcc>
  <rcc rId="7010" sId="5" numFmtId="4">
    <nc r="G465">
      <v>0</v>
    </nc>
  </rcc>
  <rcc rId="7011" sId="5" numFmtId="4">
    <nc r="B466">
      <v>13</v>
    </nc>
  </rcc>
  <rcc rId="7012" sId="5" numFmtId="4">
    <nc r="C466">
      <v>95</v>
    </nc>
  </rcc>
  <rcc rId="7013" sId="5" numFmtId="4">
    <nc r="D466">
      <v>10</v>
    </nc>
  </rcc>
  <rcc rId="7014" sId="5" numFmtId="4">
    <nc r="E466">
      <v>21</v>
    </nc>
  </rcc>
  <rcc rId="7015" sId="5" numFmtId="4">
    <nc r="F466">
      <v>4</v>
    </nc>
  </rcc>
  <rcc rId="7016" sId="5" numFmtId="4">
    <nc r="G466">
      <v>0</v>
    </nc>
  </rcc>
  <rcc rId="7017" sId="5" numFmtId="4">
    <nc r="B467">
      <v>13</v>
    </nc>
  </rcc>
  <rcc rId="7018" sId="5" numFmtId="4">
    <nc r="C467">
      <v>95</v>
    </nc>
  </rcc>
  <rcc rId="7019" sId="5" numFmtId="4">
    <nc r="D467">
      <v>11</v>
    </nc>
  </rcc>
  <rcc rId="7020" sId="5" numFmtId="4">
    <nc r="E467">
      <v>19</v>
    </nc>
  </rcc>
  <rcc rId="7021" sId="5" numFmtId="4">
    <nc r="F467">
      <v>6</v>
    </nc>
  </rcc>
  <rcc rId="7022" sId="5" numFmtId="4">
    <nc r="G467">
      <v>0</v>
    </nc>
  </rcc>
  <rcc rId="7023" sId="5" numFmtId="4">
    <nc r="B468">
      <v>13</v>
    </nc>
  </rcc>
  <rcc rId="7024" sId="5" numFmtId="4">
    <nc r="C468">
      <v>95</v>
    </nc>
  </rcc>
  <rcc rId="7025" sId="5" numFmtId="4">
    <nc r="D468">
      <v>12</v>
    </nc>
  </rcc>
  <rcc rId="7026" sId="5" numFmtId="4">
    <nc r="E468">
      <v>23</v>
    </nc>
  </rcc>
  <rcc rId="7027" sId="5" numFmtId="4">
    <nc r="F468">
      <v>2</v>
    </nc>
  </rcc>
  <rcc rId="7028" sId="5" numFmtId="4">
    <nc r="G468">
      <v>0</v>
    </nc>
  </rcc>
  <rcc rId="7029" sId="5" numFmtId="4">
    <nc r="B469">
      <v>13</v>
    </nc>
  </rcc>
  <rcc rId="7030" sId="5" numFmtId="4">
    <nc r="C469">
      <v>95</v>
    </nc>
  </rcc>
  <rcc rId="7031" sId="5" numFmtId="4">
    <nc r="D469">
      <v>13</v>
    </nc>
  </rcc>
  <rcc rId="7032" sId="5" numFmtId="4">
    <nc r="E469">
      <v>20</v>
    </nc>
  </rcc>
  <rcc rId="7033" sId="5" numFmtId="4">
    <nc r="F469">
      <v>5</v>
    </nc>
  </rcc>
  <rcc rId="7034" sId="5" numFmtId="4">
    <nc r="G469">
      <v>0</v>
    </nc>
  </rcc>
  <rcc rId="7035" sId="5" numFmtId="4">
    <nc r="B470">
      <v>13</v>
    </nc>
  </rcc>
  <rcc rId="7036" sId="5" numFmtId="4">
    <nc r="C470">
      <v>105</v>
    </nc>
  </rcc>
  <rcc rId="7037" sId="5" numFmtId="4">
    <nc r="D470">
      <v>11</v>
    </nc>
  </rcc>
  <rcc rId="7038" sId="5" numFmtId="4">
    <nc r="E470">
      <v>16</v>
    </nc>
  </rcc>
  <rcc rId="7039" sId="5" numFmtId="4">
    <nc r="F470">
      <v>1</v>
    </nc>
  </rcc>
  <rcc rId="7040" sId="5" numFmtId="4">
    <nc r="G470">
      <v>0</v>
    </nc>
  </rcc>
  <rcc rId="7041" sId="5" numFmtId="4">
    <nc r="B471">
      <v>13</v>
    </nc>
  </rcc>
  <rcc rId="7042" sId="5" numFmtId="4">
    <nc r="C471">
      <v>105</v>
    </nc>
  </rcc>
  <rcc rId="7043" sId="5" numFmtId="4">
    <nc r="D471">
      <v>12</v>
    </nc>
  </rcc>
  <rcc rId="7044" sId="5" numFmtId="4">
    <nc r="E471">
      <v>19</v>
    </nc>
  </rcc>
  <rcc rId="7045" sId="5" numFmtId="4">
    <nc r="F471">
      <v>3</v>
    </nc>
  </rcc>
  <rcc rId="7046" sId="5" numFmtId="4">
    <nc r="G471">
      <v>0</v>
    </nc>
  </rcc>
  <rcc rId="7047" sId="5" numFmtId="4">
    <nc r="B472">
      <v>13</v>
    </nc>
  </rcc>
  <rcc rId="7048" sId="5" numFmtId="4">
    <nc r="C472">
      <v>105</v>
    </nc>
  </rcc>
  <rcc rId="7049" sId="5" numFmtId="4">
    <nc r="D472">
      <v>13</v>
    </nc>
  </rcc>
  <rcc rId="7050" sId="5" numFmtId="4">
    <nc r="E472">
      <v>8</v>
    </nc>
  </rcc>
  <rcc rId="7051" sId="5" numFmtId="4">
    <nc r="F472">
      <v>1</v>
    </nc>
  </rcc>
  <rcc rId="7052" sId="5" numFmtId="4">
    <nc r="G472">
      <v>0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>
  <rcc rId="7053" sId="2" numFmtId="4">
    <nc r="B536">
      <v>13</v>
    </nc>
  </rcc>
  <rcc rId="7054" sId="2" numFmtId="4">
    <nc r="C536">
      <v>27</v>
    </nc>
  </rcc>
  <rcc rId="7055" sId="2" numFmtId="4">
    <nc r="D536">
      <v>10</v>
    </nc>
  </rcc>
  <rcc rId="7056" sId="2" numFmtId="4">
    <nc r="E536">
      <v>16</v>
    </nc>
  </rcc>
  <rcc rId="7057" sId="2" numFmtId="4">
    <nc r="F536">
      <v>8</v>
    </nc>
  </rcc>
  <rcc rId="7058" sId="2" numFmtId="4">
    <nc r="G536">
      <v>0</v>
    </nc>
  </rcc>
  <rcc rId="7059" sId="2" numFmtId="4">
    <nc r="H536">
      <v>0</v>
    </nc>
  </rcc>
  <rcc rId="7060" sId="2" numFmtId="4">
    <nc r="B537">
      <v>13</v>
    </nc>
  </rcc>
  <rcc rId="7061" sId="2" numFmtId="4">
    <nc r="C537">
      <v>27</v>
    </nc>
  </rcc>
  <rcc rId="7062" sId="2" numFmtId="4">
    <nc r="D537">
      <v>11</v>
    </nc>
  </rcc>
  <rcc rId="7063" sId="2" numFmtId="4">
    <nc r="E537">
      <v>20</v>
    </nc>
  </rcc>
  <rcc rId="7064" sId="2" numFmtId="4">
    <nc r="F537">
      <v>10</v>
    </nc>
  </rcc>
  <rcc rId="7065" sId="2" numFmtId="4">
    <nc r="G537">
      <v>0</v>
    </nc>
  </rcc>
  <rcc rId="7066" sId="2" numFmtId="4">
    <nc r="H537">
      <v>0</v>
    </nc>
  </rcc>
  <rcc rId="7067" sId="2" numFmtId="4">
    <nc r="B538">
      <v>1</v>
    </nc>
  </rcc>
  <rcc rId="7068" sId="2" numFmtId="4">
    <nc r="C538">
      <v>35</v>
    </nc>
  </rcc>
  <rcc rId="7069" sId="2" numFmtId="4">
    <nc r="D538">
      <v>12</v>
    </nc>
  </rcc>
  <rcc rId="7070" sId="2" numFmtId="4">
    <nc r="E538">
      <v>22</v>
    </nc>
  </rcc>
  <rcc rId="7071" sId="2" numFmtId="4">
    <nc r="F538">
      <v>20</v>
    </nc>
  </rcc>
  <rcc rId="7072" sId="2" numFmtId="4">
    <nc r="G538">
      <v>17</v>
    </nc>
  </rcc>
  <rcc rId="7073" sId="2" numFmtId="4">
    <nc r="H538">
      <v>0</v>
    </nc>
  </rcc>
  <rcc rId="7074" sId="2" numFmtId="4">
    <nc r="B539">
      <v>13</v>
    </nc>
  </rcc>
  <rcc rId="7075" sId="2" numFmtId="4">
    <nc r="C539">
      <v>75</v>
    </nc>
  </rcc>
  <rcc rId="7076" sId="2" numFmtId="4">
    <nc r="D539">
      <v>6</v>
    </nc>
  </rcc>
  <rcc rId="7077" sId="2" numFmtId="4">
    <nc r="E539">
      <v>2</v>
    </nc>
  </rcc>
  <rcc rId="7078" sId="2" numFmtId="4">
    <nc r="F539">
      <v>7</v>
    </nc>
  </rcc>
  <rcc rId="7079" sId="2" numFmtId="4">
    <nc r="G539">
      <v>0</v>
    </nc>
  </rcc>
  <rcc rId="7080" sId="2" numFmtId="4">
    <nc r="H539">
      <v>0</v>
    </nc>
  </rcc>
  <rcc rId="7081" sId="2" numFmtId="4">
    <nc r="B540">
      <v>13</v>
    </nc>
  </rcc>
  <rcc rId="7082" sId="2" numFmtId="4">
    <nc r="C540">
      <v>65</v>
    </nc>
  </rcc>
  <rcc rId="7083" sId="2" numFmtId="4">
    <nc r="D540">
      <v>13</v>
    </nc>
  </rcc>
  <rcc rId="7084" sId="2" numFmtId="4">
    <nc r="E540">
      <v>2</v>
    </nc>
  </rcc>
  <rcc rId="7085" sId="2" numFmtId="4">
    <nc r="F540">
      <v>4</v>
    </nc>
  </rcc>
  <rcc rId="7086" sId="2" numFmtId="4">
    <nc r="G540">
      <v>0</v>
    </nc>
  </rcc>
  <rcc rId="7087" sId="2" numFmtId="4">
    <nc r="H540">
      <v>0</v>
    </nc>
  </rcc>
  <rcc rId="7088" sId="2" numFmtId="4">
    <nc r="B541">
      <v>13</v>
    </nc>
  </rcc>
  <rcc rId="7089" sId="2" numFmtId="4">
    <nc r="C541">
      <v>65</v>
    </nc>
  </rcc>
  <rcc rId="7090" sId="2" numFmtId="4">
    <nc r="D541">
      <v>12</v>
    </nc>
  </rcc>
  <rcc rId="7091" sId="2" numFmtId="4">
    <nc r="E541">
      <v>6</v>
    </nc>
  </rcc>
  <rcc rId="7092" sId="2" numFmtId="4">
    <nc r="F541">
      <v>14</v>
    </nc>
  </rcc>
  <rcc rId="7093" sId="2" numFmtId="4">
    <nc r="G541">
      <v>0</v>
    </nc>
  </rcc>
  <rcc rId="7094" sId="2" numFmtId="4">
    <nc r="H541">
      <v>1</v>
    </nc>
  </rcc>
  <rcc rId="7095" sId="2" numFmtId="4">
    <nc r="B542">
      <v>13</v>
    </nc>
  </rcc>
  <rcc rId="7096" sId="2" numFmtId="4">
    <nc r="C542">
      <v>65</v>
    </nc>
  </rcc>
  <rcc rId="7097" sId="2" numFmtId="4">
    <nc r="D542">
      <v>11</v>
    </nc>
  </rcc>
  <rcc rId="7098" sId="2" numFmtId="4">
    <nc r="E542">
      <v>2</v>
    </nc>
  </rcc>
  <rcc rId="7099" sId="2" numFmtId="4">
    <nc r="F542">
      <v>11</v>
    </nc>
  </rcc>
  <rcc rId="7100" sId="2" numFmtId="4">
    <nc r="G542">
      <v>0</v>
    </nc>
  </rcc>
  <rcc rId="7101" sId="2" numFmtId="4">
    <nc r="H542">
      <v>0</v>
    </nc>
  </rcc>
  <rcc rId="7102" sId="2" numFmtId="4">
    <nc r="B543">
      <v>13</v>
    </nc>
  </rcc>
  <rcc rId="7103" sId="2" numFmtId="4">
    <nc r="C543">
      <v>28</v>
    </nc>
  </rcc>
  <rcc rId="7104" sId="2" numFmtId="4">
    <nc r="D543">
      <v>11</v>
    </nc>
  </rcc>
  <rcc rId="7105" sId="2" numFmtId="4">
    <nc r="E543">
      <v>8</v>
    </nc>
  </rcc>
  <rcc rId="7106" sId="2" numFmtId="4">
    <nc r="F543">
      <v>16</v>
    </nc>
  </rcc>
  <rcc rId="7107" sId="2" numFmtId="4">
    <nc r="G543">
      <v>0</v>
    </nc>
  </rcc>
  <rcc rId="7108" sId="2" numFmtId="4">
    <nc r="H543">
      <v>0</v>
    </nc>
  </rcc>
  <rcc rId="7109" sId="2" numFmtId="4">
    <nc r="B544">
      <v>1</v>
    </nc>
  </rcc>
  <rcc rId="7110" sId="2" numFmtId="4">
    <nc r="C544">
      <v>33</v>
    </nc>
  </rcc>
  <rcc rId="7111" sId="2" numFmtId="4">
    <nc r="D544">
      <v>9</v>
    </nc>
  </rcc>
  <rcc rId="7112" sId="2" numFmtId="4">
    <nc r="E544">
      <v>6</v>
    </nc>
  </rcc>
  <rcc rId="7113" sId="2" numFmtId="4">
    <nc r="F544">
      <v>0</v>
    </nc>
  </rcc>
  <rcc rId="7114" sId="2" numFmtId="4">
    <nc r="G544">
      <v>0</v>
    </nc>
  </rcc>
  <rcc rId="7115" sId="2" numFmtId="4">
    <nc r="H544">
      <v>0</v>
    </nc>
  </rcc>
  <rcc rId="7116" sId="2" numFmtId="4">
    <nc r="B545">
      <v>1</v>
    </nc>
  </rcc>
  <rcc rId="7117" sId="2" numFmtId="4">
    <nc r="C545">
      <v>33</v>
    </nc>
  </rcc>
  <rcc rId="7118" sId="2" numFmtId="4">
    <nc r="D545">
      <v>10</v>
    </nc>
  </rcc>
  <rcc rId="7119" sId="2" numFmtId="4">
    <nc r="E545">
      <v>1</v>
    </nc>
  </rcc>
  <rcc rId="7120" sId="2" numFmtId="4">
    <nc r="F545">
      <v>1</v>
    </nc>
  </rcc>
  <rcc rId="7121" sId="2" numFmtId="4">
    <nc r="G545">
      <v>0</v>
    </nc>
  </rcc>
  <rcc rId="7122" sId="2" numFmtId="4">
    <nc r="H545">
      <v>0</v>
    </nc>
  </rcc>
  <rcc rId="7123" sId="2" numFmtId="4">
    <nc r="B546">
      <v>1</v>
    </nc>
  </rcc>
  <rcc rId="7124" sId="2" numFmtId="4">
    <nc r="C546">
      <v>33</v>
    </nc>
  </rcc>
  <rcc rId="7125" sId="2" numFmtId="4">
    <nc r="D546">
      <v>11</v>
    </nc>
  </rcc>
  <rcc rId="7126" sId="2" numFmtId="4">
    <nc r="E546">
      <v>12</v>
    </nc>
  </rcc>
  <rcc rId="7127" sId="2" numFmtId="4">
    <nc r="F546">
      <v>0</v>
    </nc>
  </rcc>
  <rcc rId="7128" sId="2" numFmtId="4">
    <nc r="G546">
      <v>0</v>
    </nc>
  </rcc>
  <rcc rId="7129" sId="2" numFmtId="4">
    <nc r="H546">
      <v>0</v>
    </nc>
  </rcc>
  <rcc rId="7130" sId="2" numFmtId="4">
    <nc r="B547">
      <v>1</v>
    </nc>
  </rcc>
  <rcc rId="7131" sId="2" numFmtId="4">
    <nc r="C547">
      <v>33</v>
    </nc>
  </rcc>
  <rcc rId="7132" sId="2" numFmtId="4">
    <nc r="D547">
      <v>12</v>
    </nc>
  </rcc>
  <rcc rId="7133" sId="2" numFmtId="4">
    <nc r="E547">
      <v>13</v>
    </nc>
  </rcc>
  <rcc rId="7134" sId="2" numFmtId="4">
    <nc r="F547">
      <v>2</v>
    </nc>
  </rcc>
  <rcc rId="7135" sId="2" numFmtId="4">
    <nc r="G547">
      <v>0</v>
    </nc>
  </rcc>
  <rcc rId="7136" sId="2" numFmtId="4">
    <nc r="H547">
      <v>0</v>
    </nc>
  </rcc>
  <rcc rId="7137" sId="2" numFmtId="4">
    <nc r="B548">
      <v>1</v>
    </nc>
  </rcc>
  <rcc rId="7138" sId="2" numFmtId="4">
    <nc r="C548">
      <v>33</v>
    </nc>
  </rcc>
  <rcc rId="7139" sId="2" numFmtId="4">
    <nc r="D548">
      <v>13</v>
    </nc>
  </rcc>
  <rcc rId="7140" sId="2" numFmtId="4">
    <nc r="E548">
      <v>18</v>
    </nc>
  </rcc>
  <rcc rId="7141" sId="2" numFmtId="4">
    <nc r="F548">
      <v>6</v>
    </nc>
  </rcc>
  <rcc rId="7142" sId="2" numFmtId="4">
    <nc r="G548">
      <v>0</v>
    </nc>
  </rcc>
  <rcc rId="7143" sId="2" numFmtId="4">
    <nc r="H548">
      <v>2</v>
    </nc>
  </rcc>
  <rcc rId="7144" sId="2" numFmtId="4">
    <nc r="B549">
      <v>1</v>
    </nc>
  </rcc>
  <rcc rId="7145" sId="2" numFmtId="4">
    <nc r="C549">
      <v>32</v>
    </nc>
  </rcc>
  <rcc rId="7146" sId="2" numFmtId="4">
    <nc r="D549">
      <v>9</v>
    </nc>
  </rcc>
  <rcc rId="7147" sId="2" numFmtId="4">
    <nc r="E549">
      <v>0</v>
    </nc>
  </rcc>
  <rcc rId="7148" sId="2" numFmtId="4">
    <nc r="F549">
      <v>25</v>
    </nc>
  </rcc>
  <rcc rId="7149" sId="2" numFmtId="4">
    <nc r="G549">
      <v>0</v>
    </nc>
  </rcc>
  <rcc rId="7150" sId="2" numFmtId="4">
    <nc r="H549">
      <v>0</v>
    </nc>
  </rcc>
  <rcc rId="7151" sId="2" numFmtId="4">
    <nc r="B550">
      <v>1</v>
    </nc>
  </rcc>
  <rcc rId="7152" sId="2" numFmtId="4">
    <nc r="C550">
      <v>32</v>
    </nc>
  </rcc>
  <rcc rId="7153" sId="2" numFmtId="4">
    <nc r="D550">
      <v>10</v>
    </nc>
  </rcc>
  <rcc rId="7154" sId="2" numFmtId="4">
    <nc r="E550">
      <v>1</v>
    </nc>
  </rcc>
  <rcc rId="7155" sId="2" numFmtId="4">
    <nc r="F550">
      <v>24</v>
    </nc>
  </rcc>
  <rcc rId="7156" sId="2" numFmtId="4">
    <nc r="G550">
      <v>0</v>
    </nc>
  </rcc>
  <rcc rId="7157" sId="2" numFmtId="4">
    <nc r="H550">
      <v>1</v>
    </nc>
  </rcc>
  <rcc rId="7158" sId="2" numFmtId="4">
    <nc r="B551">
      <v>1</v>
    </nc>
  </rcc>
  <rcc rId="7159" sId="2" numFmtId="4">
    <nc r="C551">
      <v>32</v>
    </nc>
  </rcc>
  <rcc rId="7160" sId="2" numFmtId="4">
    <nc r="D551">
      <v>11</v>
    </nc>
  </rcc>
  <rcc rId="7161" sId="2" numFmtId="4">
    <nc r="E551">
      <v>0</v>
    </nc>
  </rcc>
  <rcc rId="7162" sId="2" numFmtId="4">
    <nc r="F551">
      <v>25</v>
    </nc>
  </rcc>
  <rcc rId="7163" sId="2" numFmtId="4">
    <nc r="G551">
      <v>0</v>
    </nc>
  </rcc>
  <rcc rId="7164" sId="2" numFmtId="4">
    <nc r="H551">
      <v>0</v>
    </nc>
  </rcc>
  <rcc rId="7165" sId="2" numFmtId="4">
    <nc r="B552">
      <v>1</v>
    </nc>
  </rcc>
  <rcc rId="7166" sId="2" numFmtId="4">
    <nc r="C552">
      <v>32</v>
    </nc>
  </rcc>
  <rcc rId="7167" sId="2" numFmtId="4">
    <nc r="D552">
      <v>12</v>
    </nc>
  </rcc>
  <rcc rId="7168" sId="2" numFmtId="4">
    <nc r="E552">
      <v>2</v>
    </nc>
  </rcc>
  <rcc rId="7169" sId="2" numFmtId="4">
    <nc r="F552">
      <v>23</v>
    </nc>
  </rcc>
  <rcc rId="7170" sId="2" numFmtId="4">
    <nc r="G552">
      <v>0</v>
    </nc>
  </rcc>
  <rcc rId="7171" sId="2" numFmtId="4">
    <nc r="H552">
      <v>2</v>
    </nc>
  </rcc>
  <rcc rId="7172" sId="2" numFmtId="4">
    <nc r="B553">
      <v>1</v>
    </nc>
  </rcc>
  <rcc rId="7173" sId="2" numFmtId="4">
    <nc r="C553">
      <v>32</v>
    </nc>
  </rcc>
  <rcc rId="7174" sId="2" numFmtId="4">
    <nc r="D553">
      <v>13</v>
    </nc>
  </rcc>
  <rcc rId="7175" sId="2" numFmtId="4">
    <nc r="E553">
      <v>0</v>
    </nc>
  </rcc>
  <rcc rId="7176" sId="2" numFmtId="4">
    <nc r="F553">
      <v>25</v>
    </nc>
  </rcc>
  <rcc rId="7177" sId="2" numFmtId="4">
    <nc r="G553">
      <v>0</v>
    </nc>
  </rcc>
  <rcc rId="7178" sId="2" numFmtId="4">
    <nc r="H553">
      <v>0</v>
    </nc>
  </rcc>
  <rcc rId="7179" sId="2" numFmtId="4">
    <nc r="B554">
      <v>1</v>
    </nc>
  </rcc>
  <rcc rId="7180" sId="2" numFmtId="4">
    <nc r="C554">
      <v>32</v>
    </nc>
  </rcc>
  <rcc rId="7181" sId="2" numFmtId="4">
    <nc r="D554">
      <v>14</v>
    </nc>
  </rcc>
  <rcc rId="7182" sId="2" numFmtId="4">
    <nc r="E554">
      <v>4</v>
    </nc>
  </rcc>
  <rcc rId="7183" sId="2" numFmtId="4">
    <nc r="F554">
      <v>21</v>
    </nc>
  </rcc>
  <rcc rId="7184" sId="2" numFmtId="4">
    <nc r="G554">
      <v>0</v>
    </nc>
  </rcc>
  <rcc rId="7185" sId="2" numFmtId="4">
    <nc r="H554">
      <v>4</v>
    </nc>
  </rcc>
  <rcc rId="7186" sId="2" numFmtId="4">
    <nc r="B555">
      <v>13</v>
    </nc>
  </rcc>
  <rcc rId="7187" sId="2" numFmtId="4">
    <nc r="C555">
      <v>105</v>
    </nc>
  </rcc>
  <rcc rId="7188" sId="2" numFmtId="4">
    <nc r="D555">
      <v>11</v>
    </nc>
  </rcc>
  <rcc rId="7189" sId="2" numFmtId="4">
    <nc r="E555">
      <v>16</v>
    </nc>
  </rcc>
  <rcc rId="7190" sId="2" numFmtId="4">
    <nc r="F555">
      <v>1</v>
    </nc>
  </rcc>
  <rcc rId="7191" sId="2" numFmtId="4">
    <nc r="G555">
      <v>0</v>
    </nc>
  </rcc>
  <rcc rId="7192" sId="2" numFmtId="4">
    <nc r="H555">
      <v>0</v>
    </nc>
  </rcc>
  <rcc rId="7193" sId="2" numFmtId="4">
    <nc r="B556">
      <v>13</v>
    </nc>
  </rcc>
  <rcc rId="7194" sId="2" numFmtId="4">
    <nc r="C556">
      <v>105</v>
    </nc>
  </rcc>
  <rcc rId="7195" sId="2" numFmtId="4">
    <nc r="D556">
      <v>12</v>
    </nc>
  </rcc>
  <rcc rId="7196" sId="2" numFmtId="4">
    <nc r="E556">
      <v>19</v>
    </nc>
  </rcc>
  <rcc rId="7197" sId="2" numFmtId="4">
    <nc r="F556">
      <v>3</v>
    </nc>
  </rcc>
  <rcc rId="7198" sId="2" numFmtId="4">
    <nc r="G556">
      <v>0</v>
    </nc>
  </rcc>
  <rcc rId="7199" sId="2" numFmtId="4">
    <nc r="H556">
      <v>0</v>
    </nc>
  </rcc>
  <rcc rId="7200" sId="2" numFmtId="4">
    <nc r="B557">
      <v>13</v>
    </nc>
  </rcc>
  <rcc rId="7201" sId="2" numFmtId="4">
    <nc r="C557">
      <v>105</v>
    </nc>
  </rcc>
  <rcc rId="7202" sId="2" numFmtId="4">
    <nc r="D557">
      <v>13</v>
    </nc>
  </rcc>
  <rcc rId="7203" sId="2" numFmtId="4">
    <nc r="E557">
      <v>8</v>
    </nc>
  </rcc>
  <rcc rId="7204" sId="2" numFmtId="4">
    <nc r="F557">
      <v>1</v>
    </nc>
  </rcc>
  <rcc rId="7205" sId="2" numFmtId="4">
    <nc r="G557">
      <v>0</v>
    </nc>
  </rcc>
  <rcc rId="7206" sId="2" numFmtId="4">
    <nc r="H557">
      <v>0</v>
    </nc>
  </rcc>
  <rcc rId="7207" sId="2" numFmtId="4">
    <nc r="B558">
      <v>13</v>
    </nc>
  </rcc>
  <rcc rId="7208" sId="2" numFmtId="4">
    <nc r="C558">
      <v>8</v>
    </nc>
  </rcc>
  <rcc rId="7209" sId="2" numFmtId="4">
    <nc r="D558">
      <v>8</v>
    </nc>
  </rcc>
  <rcc rId="7210" sId="2" numFmtId="4">
    <nc r="E558">
      <v>9</v>
    </nc>
  </rcc>
  <rcc rId="7211" sId="2" numFmtId="4">
    <nc r="F558">
      <v>5</v>
    </nc>
  </rcc>
  <rcc rId="7212" sId="2" numFmtId="4">
    <nc r="G558">
      <v>0</v>
    </nc>
  </rcc>
  <rcc rId="7213" sId="2" numFmtId="4">
    <nc r="H558">
      <v>0</v>
    </nc>
  </rcc>
  <rcc rId="7214" sId="2" numFmtId="4">
    <nc r="B559">
      <v>13</v>
    </nc>
  </rcc>
  <rcc rId="7215" sId="2" numFmtId="4">
    <nc r="C559">
      <v>8</v>
    </nc>
  </rcc>
  <rcc rId="7216" sId="2" numFmtId="4">
    <nc r="D559">
      <v>9</v>
    </nc>
  </rcc>
  <rcc rId="7217" sId="2" numFmtId="4">
    <nc r="E559">
      <v>8</v>
    </nc>
  </rcc>
  <rcc rId="7218" sId="2" numFmtId="4">
    <nc r="F559">
      <v>6</v>
    </nc>
  </rcc>
  <rcc rId="7219" sId="2" numFmtId="4">
    <nc r="G559">
      <v>0</v>
    </nc>
  </rcc>
  <rcc rId="7220" sId="2" numFmtId="4">
    <nc r="H559">
      <v>0</v>
    </nc>
  </rcc>
</revisions>
</file>

<file path=xl/revisions/revisionLog78.xml><?xml version="1.0" encoding="utf-8"?>
<revisions xmlns="http://schemas.openxmlformats.org/spreadsheetml/2006/main" xmlns:r="http://schemas.openxmlformats.org/officeDocument/2006/relationships">
  <rcc rId="7221" sId="2" numFmtId="4">
    <nc r="B560">
      <v>13</v>
    </nc>
  </rcc>
  <rcc rId="7222" sId="2" numFmtId="4">
    <nc r="C560">
      <v>8</v>
    </nc>
  </rcc>
  <rcc rId="7223" sId="2" numFmtId="4">
    <nc r="D560">
      <v>10</v>
    </nc>
  </rcc>
  <rcc rId="7224" sId="2" numFmtId="4">
    <nc r="E560">
      <v>8</v>
    </nc>
  </rcc>
  <rcc rId="7225" sId="2" numFmtId="4">
    <nc r="F560">
      <v>4</v>
    </nc>
  </rcc>
  <rcc rId="7226" sId="2" numFmtId="4">
    <nc r="G560">
      <v>0</v>
    </nc>
  </rcc>
  <rcc rId="7227" sId="2" numFmtId="4">
    <nc r="H560">
      <v>0</v>
    </nc>
  </rcc>
  <rcc rId="7228" sId="2" numFmtId="4">
    <nc r="B561">
      <v>13</v>
    </nc>
  </rcc>
  <rcc rId="7229" sId="2" numFmtId="4">
    <nc r="C561">
      <v>8</v>
    </nc>
  </rcc>
  <rcc rId="7230" sId="2" numFmtId="4">
    <nc r="D561">
      <v>11</v>
    </nc>
  </rcc>
  <rcc rId="7231" sId="2" numFmtId="4">
    <nc r="E561">
      <v>11</v>
    </nc>
  </rcc>
  <rcc rId="7232" sId="2" numFmtId="4">
    <nc r="F561">
      <v>4</v>
    </nc>
  </rcc>
  <rcc rId="7233" sId="2" numFmtId="4">
    <nc r="G561">
      <v>0</v>
    </nc>
  </rcc>
  <rcc rId="7234" sId="2" numFmtId="4">
    <nc r="H561">
      <v>0</v>
    </nc>
  </rcc>
  <rcc rId="7235" sId="2" numFmtId="4">
    <nc r="B562">
      <v>13</v>
    </nc>
  </rcc>
  <rcc rId="7236" sId="2" numFmtId="4">
    <nc r="C562">
      <v>8</v>
    </nc>
  </rcc>
  <rcc rId="7237" sId="2" numFmtId="4">
    <nc r="D562">
      <v>12</v>
    </nc>
  </rcc>
  <rcc rId="7238" sId="2" numFmtId="4">
    <nc r="E562">
      <v>7</v>
    </nc>
  </rcc>
  <rcc rId="7239" sId="2" numFmtId="4">
    <nc r="F562">
      <v>8</v>
    </nc>
  </rcc>
  <rcc rId="7240" sId="2" numFmtId="4">
    <nc r="G562">
      <v>0</v>
    </nc>
  </rcc>
  <rcc rId="7241" sId="2" numFmtId="4">
    <nc r="H562">
      <v>0</v>
    </nc>
  </rcc>
  <rcc rId="7242" sId="2" numFmtId="4">
    <nc r="B563">
      <v>13</v>
    </nc>
  </rcc>
  <rcc rId="7243" sId="2" numFmtId="4">
    <nc r="C563">
      <v>24</v>
    </nc>
  </rcc>
  <rcc rId="7244" sId="2" numFmtId="4">
    <nc r="D563">
      <v>6</v>
    </nc>
  </rcc>
  <rcc rId="7245" sId="2" numFmtId="4">
    <nc r="E563">
      <v>1</v>
    </nc>
  </rcc>
  <rcc rId="7246" sId="2" numFmtId="4">
    <nc r="F563">
      <v>23</v>
    </nc>
  </rcc>
  <rcc rId="7247" sId="2" numFmtId="4">
    <nc r="G563">
      <v>0</v>
    </nc>
  </rcc>
  <rcc rId="7248" sId="2" numFmtId="4">
    <nc r="H563">
      <v>1</v>
    </nc>
  </rcc>
  <rcc rId="7249" sId="2" numFmtId="4">
    <nc r="B564">
      <v>13</v>
    </nc>
  </rcc>
  <rcc rId="7250" sId="2" numFmtId="4">
    <nc r="C564">
      <v>24</v>
    </nc>
  </rcc>
  <rcc rId="7251" sId="2" numFmtId="4">
    <nc r="D564">
      <v>7</v>
    </nc>
  </rcc>
  <rcc rId="7252" sId="2" numFmtId="4">
    <nc r="E564">
      <v>1</v>
    </nc>
  </rcc>
  <rcc rId="7253" sId="2" numFmtId="4">
    <nc r="F564">
      <v>24</v>
    </nc>
  </rcc>
  <rcc rId="7254" sId="2" numFmtId="4">
    <nc r="G564">
      <v>0</v>
    </nc>
  </rcc>
  <rcc rId="7255" sId="2" numFmtId="4">
    <nc r="H564">
      <v>0</v>
    </nc>
  </rcc>
  <rcc rId="7256" sId="2" numFmtId="4">
    <nc r="B565">
      <v>13</v>
    </nc>
  </rcc>
  <rcc rId="7257" sId="2" numFmtId="4">
    <nc r="C565">
      <v>24</v>
    </nc>
  </rcc>
  <rcc rId="7258" sId="2" numFmtId="4">
    <nc r="D565">
      <v>10</v>
    </nc>
  </rcc>
  <rcc rId="7259" sId="2" numFmtId="4">
    <nc r="E565">
      <v>3</v>
    </nc>
  </rcc>
  <rcc rId="7260" sId="2" numFmtId="4">
    <nc r="F565">
      <v>22</v>
    </nc>
  </rcc>
  <rcc rId="7261" sId="2" numFmtId="4">
    <nc r="G565">
      <v>0</v>
    </nc>
  </rcc>
  <rcc rId="7262" sId="2" numFmtId="4">
    <nc r="H565">
      <v>0</v>
    </nc>
  </rcc>
  <rcc rId="7263" sId="2" numFmtId="4">
    <nc r="B566">
      <v>13</v>
    </nc>
  </rcc>
  <rcc rId="7264" sId="2" numFmtId="4">
    <nc r="C566">
      <v>24</v>
    </nc>
  </rcc>
  <rcc rId="7265" sId="2" numFmtId="4">
    <nc r="D566">
      <v>11</v>
    </nc>
  </rcc>
  <rcc rId="7266" sId="2" numFmtId="4">
    <nc r="E566">
      <v>0</v>
    </nc>
  </rcc>
  <rcc rId="7267" sId="2" numFmtId="4">
    <nc r="F566">
      <v>15</v>
    </nc>
  </rcc>
  <rcc rId="7268" sId="2" numFmtId="4">
    <nc r="G566">
      <v>0</v>
    </nc>
  </rcc>
  <rcc rId="7269" sId="2" numFmtId="4">
    <nc r="H566">
      <v>0</v>
    </nc>
  </rcc>
  <rcc rId="7270" sId="2" numFmtId="4">
    <nc r="B567">
      <v>13</v>
    </nc>
  </rcc>
  <rcc rId="7271" sId="2" numFmtId="4">
    <nc r="C567">
      <v>24</v>
    </nc>
  </rcc>
  <rcc rId="7272" sId="2" numFmtId="4">
    <nc r="D567">
      <v>12</v>
    </nc>
  </rcc>
  <rcc rId="7273" sId="2" numFmtId="4">
    <nc r="E567">
      <v>1</v>
    </nc>
  </rcc>
  <rcc rId="7274" sId="2" numFmtId="4">
    <nc r="F567">
      <v>16</v>
    </nc>
  </rcc>
  <rcc rId="7275" sId="2" numFmtId="4">
    <nc r="G567">
      <v>0</v>
    </nc>
  </rcc>
  <rcc rId="7276" sId="2" numFmtId="4">
    <nc r="H567">
      <v>8</v>
    </nc>
  </rcc>
  <rcc rId="7277" sId="2" numFmtId="4">
    <nc r="B568">
      <v>13</v>
    </nc>
  </rcc>
  <rcc rId="7278" sId="2" numFmtId="4">
    <nc r="C568">
      <v>64</v>
    </nc>
  </rcc>
  <rcc rId="7279" sId="2" numFmtId="4">
    <nc r="D568">
      <v>11</v>
    </nc>
  </rcc>
  <rcc rId="7280" sId="2" numFmtId="4">
    <nc r="E568">
      <v>9</v>
    </nc>
  </rcc>
  <rcc rId="7281" sId="2" numFmtId="4">
    <nc r="F568">
      <v>9</v>
    </nc>
  </rcc>
  <rcc rId="7282" sId="2" numFmtId="4">
    <nc r="G568">
      <v>0</v>
    </nc>
  </rcc>
  <rcc rId="7283" sId="2" numFmtId="4">
    <nc r="H568">
      <v>0</v>
    </nc>
  </rcc>
  <rcc rId="7284" sId="2" numFmtId="4">
    <nc r="B569">
      <v>13</v>
    </nc>
  </rcc>
  <rcc rId="7285" sId="2" numFmtId="4">
    <nc r="C569">
      <v>64</v>
    </nc>
  </rcc>
  <rcc rId="7286" sId="2" numFmtId="4">
    <nc r="D569">
      <v>12</v>
    </nc>
  </rcc>
  <rcc rId="7287" sId="2" numFmtId="4">
    <nc r="E569">
      <v>4</v>
    </nc>
  </rcc>
  <rcc rId="7288" sId="2" numFmtId="4">
    <nc r="F569">
      <v>16</v>
    </nc>
  </rcc>
  <rcc rId="7289" sId="2" numFmtId="4">
    <nc r="G569">
      <v>2</v>
    </nc>
  </rcc>
  <rcc rId="7290" sId="2" numFmtId="4">
    <nc r="H569">
      <v>0</v>
    </nc>
  </rcc>
  <rcc rId="7291" sId="2" numFmtId="4">
    <nc r="B570">
      <v>13</v>
    </nc>
  </rcc>
  <rcc rId="7292" sId="2" numFmtId="4">
    <nc r="C570">
      <v>64</v>
    </nc>
  </rcc>
  <rcc rId="7293" sId="2" numFmtId="4">
    <nc r="D570">
      <v>13</v>
    </nc>
  </rcc>
  <rcc rId="7294" sId="2" numFmtId="4">
    <nc r="E570">
      <v>12</v>
    </nc>
  </rcc>
  <rcc rId="7295" sId="2" numFmtId="4">
    <nc r="F570">
      <v>13</v>
    </nc>
  </rcc>
  <rcc rId="7296" sId="2" numFmtId="4">
    <nc r="G570">
      <v>1</v>
    </nc>
  </rcc>
  <rcc rId="7297" sId="2" numFmtId="4">
    <nc r="H570">
      <v>0</v>
    </nc>
  </rcc>
  <rcc rId="7298" sId="2" numFmtId="4">
    <nc r="B571">
      <v>1</v>
    </nc>
  </rcc>
  <rcc rId="7299" sId="2" numFmtId="4">
    <nc r="C571">
      <v>73</v>
    </nc>
  </rcc>
  <rcc rId="7300" sId="2" numFmtId="4">
    <nc r="D571">
      <v>13</v>
    </nc>
  </rcc>
  <rcc rId="7301" sId="2" numFmtId="4">
    <nc r="E571">
      <v>0</v>
    </nc>
  </rcc>
  <rcc rId="7302" sId="2" numFmtId="4">
    <nc r="F571">
      <v>0</v>
    </nc>
  </rcc>
  <rcc rId="7303" sId="2" numFmtId="4">
    <nc r="G571">
      <v>0</v>
    </nc>
  </rcc>
  <rcc rId="7304" sId="2" numFmtId="4">
    <nc r="H571">
      <v>0</v>
    </nc>
  </rcc>
  <rcc rId="7305" sId="2" numFmtId="4">
    <nc r="B572">
      <v>13</v>
    </nc>
  </rcc>
  <rcc rId="7306" sId="2" numFmtId="4">
    <nc r="C572">
      <v>73</v>
    </nc>
  </rcc>
  <rcc rId="7307" sId="2" numFmtId="4">
    <nc r="D572">
      <v>12</v>
    </nc>
  </rcc>
  <rcc rId="7308" sId="2" numFmtId="4">
    <nc r="E572">
      <v>0</v>
    </nc>
  </rcc>
  <rcc rId="7309" sId="2" numFmtId="4">
    <nc r="F572">
      <v>0</v>
    </nc>
  </rcc>
  <rcc rId="7310" sId="2" numFmtId="4">
    <nc r="G572">
      <v>0</v>
    </nc>
  </rcc>
  <rcc rId="7311" sId="2" numFmtId="4">
    <nc r="H572">
      <v>0</v>
    </nc>
  </rcc>
  <rcc rId="7312" sId="2" numFmtId="4">
    <nc r="B573">
      <v>13</v>
    </nc>
  </rcc>
  <rcc rId="7313" sId="2" numFmtId="4">
    <nc r="C573">
      <v>73</v>
    </nc>
  </rcc>
  <rcc rId="7314" sId="2" numFmtId="4">
    <nc r="D573">
      <v>11</v>
    </nc>
  </rcc>
  <rcc rId="7315" sId="2" numFmtId="4">
    <nc r="E573">
      <v>1</v>
    </nc>
  </rcc>
  <rcc rId="7316" sId="2" numFmtId="4">
    <nc r="F573">
      <v>6</v>
    </nc>
  </rcc>
  <rcc rId="7317" sId="2" numFmtId="4">
    <nc r="G573">
      <v>0</v>
    </nc>
  </rcc>
  <rcc rId="7318" sId="2" numFmtId="4">
    <nc r="H573">
      <v>1</v>
    </nc>
  </rcc>
  <rcc rId="7319" sId="2" numFmtId="4">
    <nc r="B574">
      <v>13</v>
    </nc>
  </rcc>
  <rcc rId="7320" sId="2" numFmtId="4">
    <nc r="C574">
      <v>113</v>
    </nc>
  </rcc>
  <rcc rId="7321" sId="2" numFmtId="4">
    <nc r="D574">
      <v>12</v>
    </nc>
  </rcc>
  <rcc rId="7322" sId="2" numFmtId="4">
    <nc r="E574">
      <v>6</v>
    </nc>
  </rcc>
  <rcc rId="7323" sId="2" numFmtId="4">
    <nc r="F574">
      <v>2</v>
    </nc>
  </rcc>
  <rcc rId="7324" sId="2" numFmtId="4">
    <nc r="G574">
      <v>0</v>
    </nc>
  </rcc>
  <rcc rId="7325" sId="2" numFmtId="4">
    <nc r="H574">
      <v>0</v>
    </nc>
  </rcc>
  <rcc rId="7326" sId="2" numFmtId="4">
    <nc r="B575">
      <v>13</v>
    </nc>
  </rcc>
  <rcc rId="7327" sId="2" numFmtId="4">
    <nc r="C575">
      <v>113</v>
    </nc>
  </rcc>
  <rcc rId="7328" sId="2" numFmtId="4">
    <nc r="D575">
      <v>13</v>
    </nc>
  </rcc>
  <rcc rId="7329" sId="2" numFmtId="4">
    <nc r="E575">
      <v>4</v>
    </nc>
  </rcc>
  <rcc rId="7330" sId="2" numFmtId="4">
    <nc r="F575">
      <v>0</v>
    </nc>
  </rcc>
  <rcc rId="7331" sId="2" numFmtId="4">
    <nc r="G575">
      <v>0</v>
    </nc>
  </rcc>
  <rcc rId="7332" sId="2" numFmtId="4">
    <nc r="H575">
      <v>0</v>
    </nc>
  </rcc>
  <rcc rId="7333" sId="2" numFmtId="4">
    <nc r="B576">
      <v>1</v>
    </nc>
  </rcc>
  <rcc rId="7334" sId="2" numFmtId="4">
    <nc r="C576">
      <v>112</v>
    </nc>
  </rcc>
  <rcc rId="7335" sId="2" numFmtId="4">
    <nc r="D576">
      <v>12</v>
    </nc>
  </rcc>
  <rcc rId="7336" sId="2" numFmtId="4">
    <nc r="E576">
      <v>24</v>
    </nc>
  </rcc>
  <rcc rId="7337" sId="2" numFmtId="4">
    <nc r="F576">
      <v>17</v>
    </nc>
  </rcc>
  <rcc rId="7338" sId="2" numFmtId="4">
    <nc r="G576">
      <v>0</v>
    </nc>
  </rcc>
  <rcc rId="7339" sId="2" numFmtId="4">
    <nc r="H576">
      <v>0</v>
    </nc>
  </rcc>
  <rcc rId="7340" sId="2" numFmtId="4">
    <nc r="B577">
      <v>1</v>
    </nc>
  </rcc>
  <rcc rId="7341" sId="2" numFmtId="4">
    <nc r="C577">
      <v>25</v>
    </nc>
  </rcc>
  <rcc rId="7342" sId="2" numFmtId="4">
    <nc r="D577">
      <v>12</v>
    </nc>
  </rcc>
  <rcc rId="7343" sId="2" numFmtId="4">
    <nc r="E577">
      <v>12</v>
    </nc>
  </rcc>
  <rcc rId="7344" sId="2" numFmtId="4">
    <nc r="F577">
      <v>0</v>
    </nc>
  </rcc>
  <rcc rId="7345" sId="2" numFmtId="4">
    <nc r="G577">
      <v>1</v>
    </nc>
  </rcc>
  <rcc rId="7346" sId="2" numFmtId="4">
    <nc r="H577">
      <v>0</v>
    </nc>
  </rcc>
  <rcc rId="7347" sId="2" numFmtId="4">
    <nc r="B578">
      <v>13</v>
    </nc>
  </rcc>
  <rcc rId="7348" sId="2" numFmtId="4">
    <nc r="C578">
      <v>12</v>
    </nc>
  </rcc>
  <rcc rId="7349" sId="2" numFmtId="4">
    <nc r="D578">
      <v>8</v>
    </nc>
  </rcc>
  <rcc rId="7350" sId="2" numFmtId="4">
    <nc r="E578">
      <v>5</v>
    </nc>
  </rcc>
  <rcc rId="7351" sId="2" numFmtId="4">
    <nc r="F578">
      <v>8</v>
    </nc>
  </rcc>
  <rcc rId="7352" sId="2" numFmtId="4">
    <nc r="G578">
      <v>0</v>
    </nc>
  </rcc>
  <rcc rId="7353" sId="2" numFmtId="4">
    <nc r="H578">
      <v>4</v>
    </nc>
  </rcc>
  <rcc rId="7354" sId="2" numFmtId="4">
    <nc r="B579">
      <v>13</v>
    </nc>
  </rcc>
  <rcc rId="7355" sId="2" numFmtId="4">
    <nc r="C579">
      <v>12</v>
    </nc>
  </rcc>
  <rcc rId="7356" sId="2" numFmtId="4">
    <nc r="D579">
      <v>10</v>
    </nc>
  </rcc>
  <rcc rId="7357" sId="2" numFmtId="4">
    <nc r="E579">
      <v>12</v>
    </nc>
  </rcc>
  <rcc rId="7358" sId="2" numFmtId="4">
    <nc r="F579">
      <v>7</v>
    </nc>
  </rcc>
  <rcc rId="7359" sId="2" numFmtId="4">
    <nc r="G579">
      <v>0</v>
    </nc>
  </rcc>
  <rcc rId="7360" sId="2" numFmtId="4">
    <nc r="H579">
      <v>2</v>
    </nc>
  </rcc>
  <rcc rId="7361" sId="2" numFmtId="4">
    <nc r="B580">
      <v>13</v>
    </nc>
  </rcc>
  <rcc rId="7362" sId="2" numFmtId="4">
    <nc r="C580">
      <v>12</v>
    </nc>
  </rcc>
  <rcc rId="7363" sId="2" numFmtId="4">
    <nc r="D580">
      <v>9</v>
    </nc>
  </rcc>
  <rcc rId="7364" sId="2" numFmtId="4">
    <nc r="E580">
      <v>12</v>
    </nc>
  </rcc>
  <rcc rId="7365" sId="2" numFmtId="4">
    <nc r="F580">
      <v>7</v>
    </nc>
  </rcc>
  <rcc rId="7366" sId="2" numFmtId="4">
    <nc r="G580">
      <v>0</v>
    </nc>
  </rcc>
  <rcc rId="7367" sId="2" numFmtId="4">
    <nc r="H580">
      <v>2</v>
    </nc>
  </rcc>
  <rcc rId="7368" sId="2" numFmtId="4">
    <nc r="B581">
      <v>1</v>
    </nc>
  </rcc>
  <rcc rId="7369" sId="2" numFmtId="4">
    <nc r="C581">
      <v>2</v>
    </nc>
  </rcc>
  <rcc rId="7370" sId="2" numFmtId="4">
    <nc r="D581">
      <v>9</v>
    </nc>
  </rcc>
  <rcc rId="7371" sId="2" numFmtId="4">
    <nc r="E581">
      <v>7</v>
    </nc>
  </rcc>
  <rcc rId="7372" sId="2" numFmtId="4">
    <nc r="F581">
      <v>3</v>
    </nc>
  </rcc>
  <rcc rId="7373" sId="2" numFmtId="4">
    <nc r="G581">
      <v>0</v>
    </nc>
  </rcc>
  <rcc rId="7374" sId="2" numFmtId="4">
    <nc r="H581">
      <v>0</v>
    </nc>
  </rcc>
  <rcc rId="7375" sId="2" numFmtId="4">
    <nc r="B582">
      <v>1</v>
    </nc>
  </rcc>
  <rcc rId="7376" sId="2" numFmtId="4">
    <nc r="C582">
      <v>2</v>
    </nc>
  </rcc>
  <rcc rId="7377" sId="2" numFmtId="4">
    <nc r="D582">
      <v>10</v>
    </nc>
  </rcc>
  <rcc rId="7378" sId="2" numFmtId="4">
    <nc r="E582">
      <v>4</v>
    </nc>
  </rcc>
  <rcc rId="7379" sId="2" numFmtId="4">
    <nc r="F582">
      <v>4</v>
    </nc>
  </rcc>
  <rcc rId="7380" sId="2" numFmtId="4">
    <nc r="G582">
      <v>0</v>
    </nc>
  </rcc>
  <rcc rId="7381" sId="2" numFmtId="4">
    <nc r="H582">
      <v>2</v>
    </nc>
  </rcc>
  <rcc rId="7382" sId="2" numFmtId="4">
    <nc r="B583">
      <v>1</v>
    </nc>
  </rcc>
  <rcc rId="7383" sId="2" numFmtId="4">
    <nc r="C583">
      <v>2</v>
    </nc>
  </rcc>
  <rcc rId="7384" sId="2" numFmtId="4">
    <nc r="D583">
      <v>11</v>
    </nc>
  </rcc>
  <rcc rId="7385" sId="2" numFmtId="4">
    <nc r="E583">
      <v>6</v>
    </nc>
  </rcc>
  <rcc rId="7386" sId="2" numFmtId="4">
    <nc r="F583">
      <v>3</v>
    </nc>
  </rcc>
  <rcc rId="7387" sId="2" numFmtId="4">
    <nc r="G583">
      <v>0</v>
    </nc>
  </rcc>
  <rcc rId="7388" sId="2" numFmtId="4">
    <nc r="H583">
      <v>2</v>
    </nc>
  </rcc>
  <rcc rId="7389" sId="2" numFmtId="4">
    <nc r="B584">
      <v>1</v>
    </nc>
  </rcc>
  <rcc rId="7390" sId="2" numFmtId="4">
    <nc r="C584">
      <v>2</v>
    </nc>
  </rcc>
  <rcc rId="7391" sId="2" numFmtId="4">
    <nc r="D584">
      <v>12</v>
    </nc>
  </rcc>
  <rcc rId="7392" sId="2" numFmtId="4">
    <nc r="E584">
      <v>6</v>
    </nc>
  </rcc>
  <rcc rId="7393" sId="2" numFmtId="4">
    <nc r="F584">
      <v>2</v>
    </nc>
  </rcc>
  <rcc rId="7394" sId="2" numFmtId="4">
    <nc r="G584">
      <v>0</v>
    </nc>
  </rcc>
  <rcc rId="7395" sId="2" numFmtId="4">
    <nc r="H584">
      <v>0</v>
    </nc>
  </rcc>
  <rcc rId="7396" sId="2" numFmtId="4">
    <nc r="B585">
      <v>1</v>
    </nc>
  </rcc>
  <rcc rId="7397" sId="2" numFmtId="4">
    <nc r="C585">
      <v>2</v>
    </nc>
  </rcc>
  <rcc rId="7398" sId="2" numFmtId="4">
    <nc r="D585">
      <v>13</v>
    </nc>
  </rcc>
  <rcc rId="7399" sId="2" numFmtId="4">
    <nc r="E585">
      <v>6</v>
    </nc>
  </rcc>
  <rcc rId="7400" sId="2" numFmtId="4">
    <nc r="F585">
      <v>0</v>
    </nc>
  </rcc>
  <rcc rId="7401" sId="2" numFmtId="4">
    <nc r="G585">
      <v>0</v>
    </nc>
  </rcc>
  <rcc rId="7402" sId="2" numFmtId="4">
    <nc r="H585">
      <v>0</v>
    </nc>
  </rcc>
  <rcc rId="7403" sId="2" numFmtId="4">
    <nc r="B586">
      <v>13</v>
    </nc>
  </rcc>
  <rcc rId="7404" sId="2" numFmtId="4">
    <nc r="C586">
      <v>21</v>
    </nc>
  </rcc>
  <rcc rId="7405" sId="2" numFmtId="4">
    <nc r="D586">
      <v>13</v>
    </nc>
  </rcc>
  <rcc rId="7406" sId="2" numFmtId="4">
    <nc r="E586">
      <v>4</v>
    </nc>
  </rcc>
  <rcc rId="7407" sId="2" numFmtId="4">
    <nc r="F586">
      <v>30</v>
    </nc>
  </rcc>
  <rcc rId="7408" sId="2" numFmtId="4">
    <nc r="G586">
      <v>0</v>
    </nc>
  </rcc>
  <rcc rId="7409" sId="2" numFmtId="4">
    <nc r="H586">
      <v>0</v>
    </nc>
  </rcc>
  <rcc rId="7410" sId="11" numFmtId="4">
    <nc r="B253">
      <v>1</v>
    </nc>
  </rcc>
  <rcc rId="7411" sId="11" numFmtId="4">
    <nc r="C253">
      <v>21</v>
    </nc>
  </rcc>
  <rcc rId="7412" sId="11" numFmtId="4">
    <nc r="D253">
      <v>13</v>
    </nc>
  </rcc>
  <rcc rId="7413" sId="11" numFmtId="4">
    <nc r="E253">
      <v>2</v>
    </nc>
  </rcc>
  <rcc rId="7414" sId="11" numFmtId="4">
    <nc r="F253">
      <v>30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>
  <rcc rId="7415" sId="8" numFmtId="4">
    <nc r="B81">
      <v>23</v>
    </nc>
  </rcc>
  <rcc rId="7416" sId="8" numFmtId="4">
    <nc r="C81">
      <v>130</v>
    </nc>
  </rcc>
  <rcc rId="7417" sId="8" numFmtId="4">
    <nc r="D81">
      <v>12</v>
    </nc>
  </rcc>
  <rcc rId="7418" sId="8" numFmtId="4">
    <nc r="E81">
      <v>8</v>
    </nc>
  </rcc>
  <rcc rId="7419" sId="8" numFmtId="4">
    <nc r="F81">
      <v>5</v>
    </nc>
  </rcc>
  <rcc rId="7420" sId="8" numFmtId="4">
    <nc r="G81">
      <v>1</v>
    </nc>
  </rcc>
  <rcc rId="7421" sId="8" numFmtId="4">
    <nc r="B82">
      <v>23</v>
    </nc>
  </rcc>
  <rcc rId="7422" sId="8" numFmtId="4">
    <nc r="C82">
      <v>130</v>
    </nc>
  </rcc>
  <rcc rId="7423" sId="8" numFmtId="4">
    <nc r="D82">
      <v>13</v>
    </nc>
  </rcc>
  <rcc rId="7424" sId="8" numFmtId="4">
    <nc r="E82">
      <v>4</v>
    </nc>
  </rcc>
  <rcc rId="7425" sId="8" numFmtId="4">
    <nc r="F82">
      <v>2</v>
    </nc>
  </rcc>
  <rcc rId="7426" sId="8" numFmtId="4">
    <nc r="G82">
      <v>0</v>
    </nc>
  </rcc>
  <rcc rId="7427" sId="8" numFmtId="4">
    <nc r="B83">
      <v>23</v>
    </nc>
  </rcc>
  <rcc rId="7428" sId="8" numFmtId="4">
    <nc r="C83">
      <v>130</v>
    </nc>
  </rcc>
  <rcc rId="7429" sId="8" numFmtId="4">
    <nc r="D83">
      <v>14</v>
    </nc>
  </rcc>
  <rcc rId="7430" sId="8" numFmtId="4">
    <nc r="E83">
      <v>13</v>
    </nc>
  </rcc>
  <rcc rId="7431" sId="8" numFmtId="4">
    <nc r="F83">
      <v>3</v>
    </nc>
  </rcc>
  <rcc rId="7432" sId="8" numFmtId="4">
    <nc r="G83">
      <v>0</v>
    </nc>
  </rcc>
  <rcc rId="7433" sId="8" numFmtId="4">
    <nc r="B84">
      <v>23</v>
    </nc>
  </rcc>
  <rcc rId="7434" sId="8" numFmtId="4">
    <nc r="C84">
      <v>130</v>
    </nc>
  </rcc>
  <rcc rId="7435" sId="8" numFmtId="4">
    <nc r="D84">
      <v>10</v>
    </nc>
  </rcc>
  <rcc rId="7436" sId="8" numFmtId="4">
    <nc r="E84">
      <v>7</v>
    </nc>
  </rcc>
  <rcc rId="7437" sId="8" numFmtId="4">
    <nc r="F84">
      <v>8</v>
    </nc>
  </rcc>
  <rcc rId="7438" sId="8" numFmtId="4">
    <nc r="G84">
      <v>1</v>
    </nc>
  </rcc>
  <rcc rId="7439" sId="8" numFmtId="4">
    <nc r="B85">
      <v>23</v>
    </nc>
  </rcc>
  <rcc rId="7440" sId="8" numFmtId="4">
    <nc r="C85">
      <v>130</v>
    </nc>
  </rcc>
  <rcc rId="7441" sId="8" numFmtId="4">
    <nc r="D85">
      <v>11</v>
    </nc>
  </rcc>
  <rcc rId="7442" sId="8" numFmtId="4">
    <nc r="E85">
      <v>3</v>
    </nc>
  </rcc>
  <rcc rId="7443" sId="8" numFmtId="4">
    <nc r="F85">
      <v>4</v>
    </nc>
  </rcc>
  <rcc rId="7444" sId="8" numFmtId="4">
    <nc r="G85">
      <v>0</v>
    </nc>
  </rcc>
  <rcc rId="7445" sId="5" numFmtId="4">
    <nc r="B473">
      <v>13</v>
    </nc>
  </rcc>
  <rcc rId="7446" sId="5" numFmtId="4">
    <nc r="C473">
      <v>64</v>
    </nc>
  </rcc>
  <rcc rId="7447" sId="5" numFmtId="4">
    <nc r="D473">
      <v>13</v>
    </nc>
  </rcc>
  <rcc rId="7448" sId="5" numFmtId="4">
    <nc r="E473">
      <v>12</v>
    </nc>
  </rcc>
  <rcc rId="7449" sId="5" numFmtId="4">
    <nc r="F473">
      <v>13</v>
    </nc>
  </rcc>
  <rcc rId="7450" sId="5" numFmtId="4">
    <nc r="G473">
      <v>0</v>
    </nc>
  </rcc>
  <rcc rId="7451" sId="5" numFmtId="4">
    <nc r="B474">
      <v>13</v>
    </nc>
  </rcc>
  <rcc rId="7452" sId="5" numFmtId="4">
    <nc r="C474">
      <v>112</v>
    </nc>
  </rcc>
  <rcc rId="7453" sId="5" numFmtId="4">
    <nc r="D474">
      <v>12</v>
    </nc>
  </rcc>
  <rcc rId="7454" sId="5" numFmtId="4">
    <nc r="E474">
      <v>24</v>
    </nc>
  </rcc>
  <rcc rId="7455" sId="5" numFmtId="4">
    <nc r="F474">
      <v>17</v>
    </nc>
  </rcc>
  <rcc rId="7456" sId="5" numFmtId="4">
    <nc r="G474">
      <v>0</v>
    </nc>
  </rcc>
  <rcc rId="7457" sId="5" numFmtId="4">
    <nc r="B475">
      <v>13</v>
    </nc>
  </rcc>
  <rcc rId="7458" sId="5" numFmtId="4">
    <nc r="C475">
      <v>96</v>
    </nc>
  </rcc>
  <rcc rId="7459" sId="5" numFmtId="4">
    <nc r="D475">
      <v>13</v>
    </nc>
  </rcc>
  <rcc rId="7460" sId="5" numFmtId="4">
    <nc r="E475">
      <v>0</v>
    </nc>
  </rcc>
  <rcc rId="7461" sId="5" numFmtId="4">
    <nc r="F475">
      <v>6</v>
    </nc>
  </rcc>
  <rcc rId="7462" sId="5" numFmtId="4">
    <nc r="G475">
      <v>1</v>
    </nc>
  </rcc>
  <rcc rId="7463" sId="5" numFmtId="4">
    <nc r="B476">
      <v>13</v>
    </nc>
  </rcc>
  <rcc rId="7464" sId="5" numFmtId="4">
    <nc r="C476">
      <v>121</v>
    </nc>
  </rcc>
  <rcc rId="7465" sId="5" numFmtId="4">
    <nc r="D476">
      <v>12</v>
    </nc>
  </rcc>
  <rcc rId="7466" sId="5" numFmtId="4">
    <nc r="E476">
      <v>15</v>
    </nc>
  </rcc>
  <rcc rId="7467" sId="5" numFmtId="4">
    <nc r="F476">
      <v>22</v>
    </nc>
  </rcc>
  <rcc rId="7468" sId="5" numFmtId="4">
    <nc r="G476">
      <v>0</v>
    </nc>
  </rcc>
  <rcc rId="7469" sId="5" numFmtId="4">
    <nc r="B477">
      <v>13</v>
    </nc>
  </rcc>
  <rcc rId="7470" sId="5" numFmtId="4">
    <nc r="C477">
      <v>117</v>
    </nc>
  </rcc>
  <rcc rId="7471" sId="5" numFmtId="4">
    <nc r="D477">
      <v>13</v>
    </nc>
  </rcc>
  <rcc rId="7472" sId="5" numFmtId="4">
    <nc r="E477">
      <v>2</v>
    </nc>
  </rcc>
  <rcc rId="7473" sId="5" numFmtId="4">
    <nc r="F477">
      <v>11</v>
    </nc>
  </rcc>
  <rcc rId="7474" sId="5" numFmtId="4">
    <nc r="G477">
      <v>0</v>
    </nc>
  </rcc>
  <rcc rId="7475" sId="5" numFmtId="4">
    <nc r="B478">
      <v>13</v>
    </nc>
  </rcc>
  <rm rId="7476" sheetId="5" source="B479" destination="D480" sourceSheetId="5">
    <rfmt sheetId="5" sqref="D480" start="0" length="0">
      <dxf>
        <font>
          <sz val="14"/>
          <color auto="1"/>
          <name val="Arial"/>
          <scheme val="none"/>
        </font>
        <numFmt numFmtId="1" formatCode="0"/>
        <fill>
          <patternFill patternType="solid">
            <bgColor theme="6" tint="0.39997558519241921"/>
          </patternFill>
        </fill>
        <alignment horizontal="right" vertical="center" indent="2" relativeIndent="0" readingOrder="0"/>
        <border outline="0">
          <left style="medium">
            <color indexed="64"/>
          </left>
          <right style="medium">
            <color indexed="64"/>
          </right>
          <top style="dashed">
            <color indexed="64"/>
          </top>
          <bottom style="dashed">
            <color indexed="64"/>
          </bottom>
        </border>
        <protection locked="0"/>
      </dxf>
    </rfmt>
  </rm>
</revisions>
</file>

<file path=xl/revisions/revisionLog80.xml><?xml version="1.0" encoding="utf-8"?>
<revisions xmlns="http://schemas.openxmlformats.org/spreadsheetml/2006/main" xmlns:r="http://schemas.openxmlformats.org/officeDocument/2006/relationships">
  <rcc rId="7477" sId="11" numFmtId="4">
    <nc r="G253">
      <v>0</v>
    </nc>
  </rcc>
  <rcc rId="7478" sId="11" numFmtId="4">
    <nc r="H253">
      <v>0</v>
    </nc>
  </rcc>
  <rcc rId="7479" sId="11" numFmtId="4">
    <nc r="B254">
      <v>1</v>
    </nc>
  </rcc>
  <rcc rId="7480" sId="11" numFmtId="4">
    <nc r="C254">
      <v>2</v>
    </nc>
  </rcc>
  <rcc rId="7481" sId="11" numFmtId="4">
    <nc r="D254">
      <v>9</v>
    </nc>
  </rcc>
  <rcc rId="7482" sId="11" numFmtId="4">
    <nc r="E254">
      <v>6</v>
    </nc>
  </rcc>
  <rcc rId="7483" sId="11" numFmtId="4">
    <nc r="F254">
      <v>3</v>
    </nc>
  </rcc>
  <rcc rId="7484" sId="11" numFmtId="4">
    <nc r="G254">
      <v>1</v>
    </nc>
  </rcc>
  <rcc rId="7485" sId="11" numFmtId="4">
    <nc r="H254">
      <v>0</v>
    </nc>
  </rcc>
  <rcc rId="7486" sId="11" numFmtId="4">
    <nc r="B255">
      <v>1</v>
    </nc>
  </rcc>
  <rcc rId="7487" sId="11" numFmtId="4">
    <nc r="C255">
      <v>2</v>
    </nc>
  </rcc>
  <rcc rId="7488" sId="11" numFmtId="4">
    <nc r="D255">
      <v>10</v>
    </nc>
  </rcc>
  <rcc rId="7489" sId="11" numFmtId="4">
    <nc r="E255">
      <v>3</v>
    </nc>
  </rcc>
  <rcc rId="7490" sId="11" numFmtId="4">
    <nc r="F255">
      <v>3</v>
    </nc>
  </rcc>
  <rcc rId="7491" sId="11" numFmtId="4">
    <nc r="G255">
      <v>2</v>
    </nc>
  </rcc>
  <rcc rId="7492" sId="11" numFmtId="4">
    <nc r="H255">
      <v>0</v>
    </nc>
  </rcc>
  <rcc rId="7493" sId="11" numFmtId="4">
    <nc r="B256">
      <v>1</v>
    </nc>
  </rcc>
  <rcc rId="7494" sId="11" numFmtId="4">
    <nc r="C256">
      <v>2</v>
    </nc>
  </rcc>
  <rcc rId="7495" sId="11" numFmtId="4">
    <nc r="D256">
      <v>11</v>
    </nc>
  </rcc>
  <rcc rId="7496" sId="11" numFmtId="4">
    <nc r="E256">
      <v>5</v>
    </nc>
  </rcc>
  <rcc rId="7497" sId="11" numFmtId="4">
    <nc r="F256">
      <v>2</v>
    </nc>
  </rcc>
  <rcc rId="7498" sId="11" numFmtId="4">
    <nc r="G256">
      <v>0</v>
    </nc>
  </rcc>
  <rcc rId="7499" sId="11" numFmtId="4">
    <nc r="H256">
      <v>1</v>
    </nc>
  </rcc>
  <rcc rId="7500" sId="11" numFmtId="4">
    <nc r="B257">
      <v>1</v>
    </nc>
  </rcc>
  <rcc rId="7501" sId="11" numFmtId="4">
    <nc r="C257">
      <v>2</v>
    </nc>
  </rcc>
  <rcc rId="7502" sId="11" numFmtId="4">
    <nc r="D257">
      <v>12</v>
    </nc>
  </rcc>
  <rcc rId="7503" sId="11" numFmtId="4">
    <nc r="E257">
      <v>12</v>
    </nc>
  </rcc>
  <rcc rId="7504" sId="11" numFmtId="4">
    <nc r="F257">
      <v>5</v>
    </nc>
  </rcc>
  <rcc rId="7505" sId="11" numFmtId="4">
    <nc r="G257">
      <v>0</v>
    </nc>
  </rcc>
  <rcc rId="7506" sId="11" numFmtId="4">
    <nc r="H257">
      <v>0</v>
    </nc>
  </rcc>
  <rcc rId="7507" sId="11" numFmtId="4">
    <nc r="B258">
      <v>1</v>
    </nc>
  </rcc>
  <rcc rId="7508" sId="11" numFmtId="4">
    <nc r="C258">
      <v>2</v>
    </nc>
  </rcc>
  <rcc rId="7509" sId="11" numFmtId="4">
    <nc r="D258">
      <v>13</v>
    </nc>
  </rcc>
  <rcc rId="7510" sId="11" numFmtId="4">
    <nc r="E258">
      <v>6</v>
    </nc>
  </rcc>
  <rcc rId="7511" sId="11" numFmtId="4">
    <nc r="F258">
      <v>0</v>
    </nc>
  </rcc>
  <rcc rId="7512" sId="11" numFmtId="4">
    <nc r="G258">
      <v>0</v>
    </nc>
  </rcc>
  <rcc rId="7513" sId="11" numFmtId="4">
    <nc r="H258">
      <v>0</v>
    </nc>
  </rcc>
  <rcc rId="7514" sId="11" numFmtId="4">
    <nc r="B259">
      <v>1</v>
    </nc>
  </rcc>
  <rcc rId="7515" sId="11" numFmtId="4">
    <nc r="C259">
      <v>25</v>
    </nc>
  </rcc>
  <rcc rId="7516" sId="11" numFmtId="4">
    <nc r="D259">
      <v>12</v>
    </nc>
  </rcc>
  <rcc rId="7517" sId="11" numFmtId="4">
    <nc r="E259">
      <v>15</v>
    </nc>
  </rcc>
  <rcc rId="7518" sId="11" numFmtId="4">
    <nc r="F259">
      <v>2</v>
    </nc>
  </rcc>
  <rcc rId="7519" sId="11" numFmtId="4">
    <nc r="G259">
      <v>0</v>
    </nc>
  </rcc>
  <rcc rId="7520" sId="11" numFmtId="4">
    <nc r="H259">
      <v>0</v>
    </nc>
  </rcc>
  <rcc rId="7521" sId="11" numFmtId="4">
    <nc r="B260">
      <v>1</v>
    </nc>
  </rcc>
  <rcc rId="7522" sId="11" numFmtId="4">
    <nc r="C260">
      <v>12</v>
    </nc>
  </rcc>
  <rcc rId="7523" sId="11" numFmtId="4">
    <nc r="D260">
      <v>9</v>
    </nc>
  </rcc>
  <rcc rId="7524" sId="11" numFmtId="4">
    <nc r="E260">
      <v>12</v>
    </nc>
  </rcc>
  <rcc rId="7525" sId="11" numFmtId="4">
    <nc r="F260">
      <v>5</v>
    </nc>
  </rcc>
  <rcc rId="7526" sId="11" numFmtId="4">
    <nc r="G260">
      <v>3</v>
    </nc>
  </rcc>
  <rcc rId="7527" sId="11" numFmtId="4">
    <nc r="H260">
      <v>1</v>
    </nc>
  </rcc>
  <rcc rId="7528" sId="11" numFmtId="4">
    <nc r="B261">
      <v>1</v>
    </nc>
  </rcc>
  <rcc rId="7529" sId="11" numFmtId="4">
    <nc r="C261">
      <v>12</v>
    </nc>
  </rcc>
  <rcc rId="7530" sId="11" numFmtId="4">
    <nc r="D261">
      <v>10</v>
    </nc>
  </rcc>
  <rcc rId="7531" sId="11" numFmtId="4">
    <nc r="E261">
      <v>12</v>
    </nc>
  </rcc>
  <rcc rId="7532" sId="11" numFmtId="4">
    <nc r="F261">
      <v>8</v>
    </nc>
  </rcc>
  <rcc rId="7533" sId="11" numFmtId="4">
    <nc r="G261">
      <v>2</v>
    </nc>
  </rcc>
  <rcc rId="7534" sId="11" numFmtId="4">
    <nc r="H261">
      <v>0</v>
    </nc>
  </rcc>
  <rcc rId="7535" sId="11" numFmtId="4">
    <nc r="B262">
      <v>1</v>
    </nc>
  </rcc>
  <rcc rId="7536" sId="11" numFmtId="4">
    <nc r="C262">
      <v>12</v>
    </nc>
  </rcc>
  <rcc rId="7537" sId="11" numFmtId="4">
    <nc r="D262">
      <v>8</v>
    </nc>
  </rcc>
  <rcc rId="7538" sId="11" numFmtId="4">
    <nc r="E262">
      <v>5</v>
    </nc>
  </rcc>
  <rcc rId="7539" sId="11" numFmtId="4">
    <nc r="F262">
      <v>8</v>
    </nc>
  </rcc>
  <rcc rId="7540" sId="11" numFmtId="4">
    <nc r="G262">
      <v>3</v>
    </nc>
  </rcc>
  <rcc rId="7541" sId="11" numFmtId="4">
    <nc r="H262">
      <v>1</v>
    </nc>
  </rcc>
  <rcc rId="7542" sId="11" numFmtId="4">
    <nc r="B263">
      <v>1</v>
    </nc>
  </rcc>
  <rcc rId="7543" sId="11" numFmtId="4">
    <nc r="C263">
      <v>8</v>
    </nc>
  </rcc>
  <rcc rId="7544" sId="11" numFmtId="4">
    <nc r="D263">
      <v>9</v>
    </nc>
  </rcc>
  <rcc rId="7545" sId="11" numFmtId="4">
    <nc r="E263">
      <v>8</v>
    </nc>
  </rcc>
  <rcc rId="7546" sId="11" numFmtId="4">
    <nc r="F263">
      <v>6</v>
    </nc>
  </rcc>
  <rcc rId="7547" sId="11" numFmtId="4">
    <nc r="G263">
      <v>0</v>
    </nc>
  </rcc>
  <rcc rId="7548" sId="11" numFmtId="4">
    <nc r="H263">
      <v>0</v>
    </nc>
  </rcc>
  <rcc rId="7549" sId="11" numFmtId="4">
    <nc r="B264">
      <v>1</v>
    </nc>
  </rcc>
  <rcc rId="7550" sId="11" numFmtId="4">
    <nc r="C264">
      <v>8</v>
    </nc>
  </rcc>
  <rcc rId="7551" sId="11" numFmtId="4">
    <nc r="D264">
      <v>10</v>
    </nc>
  </rcc>
  <rcc rId="7552" sId="11" numFmtId="4">
    <nc r="E264">
      <v>8</v>
    </nc>
  </rcc>
  <rcc rId="7553" sId="11" numFmtId="4">
    <nc r="F264">
      <v>4</v>
    </nc>
  </rcc>
  <rcc rId="7554" sId="11" numFmtId="4">
    <nc r="G264">
      <v>0</v>
    </nc>
  </rcc>
  <rcc rId="7555" sId="11" numFmtId="4">
    <nc r="H264">
      <v>0</v>
    </nc>
  </rcc>
  <rcc rId="7556" sId="11" numFmtId="4">
    <nc r="B265">
      <v>1</v>
    </nc>
  </rcc>
  <rcc rId="7557" sId="11" numFmtId="4">
    <nc r="C265">
      <v>8</v>
    </nc>
  </rcc>
  <rcc rId="7558" sId="11" numFmtId="4">
    <nc r="D265">
      <v>11</v>
    </nc>
  </rcc>
  <rcc rId="7559" sId="11" numFmtId="4">
    <nc r="E265">
      <v>11</v>
    </nc>
  </rcc>
  <rcc rId="7560" sId="11" numFmtId="4">
    <nc r="F265">
      <v>4</v>
    </nc>
  </rcc>
  <rcc rId="7561" sId="11" numFmtId="4">
    <nc r="G265">
      <v>0</v>
    </nc>
  </rcc>
  <rcc rId="7562" sId="11" numFmtId="4">
    <nc r="H265">
      <v>0</v>
    </nc>
  </rcc>
  <rcc rId="7563" sId="11" numFmtId="4">
    <nc r="B266">
      <v>1</v>
    </nc>
  </rcc>
  <rcc rId="7564" sId="11" numFmtId="4">
    <nc r="C266">
      <v>8</v>
    </nc>
  </rcc>
  <rcc rId="7565" sId="11" numFmtId="4">
    <nc r="G266">
      <v>0</v>
    </nc>
  </rcc>
  <rcc rId="7566" sId="11" numFmtId="4">
    <nc r="D266">
      <v>12</v>
    </nc>
  </rcc>
  <rcc rId="7567" sId="11" numFmtId="4">
    <nc r="E266">
      <v>7</v>
    </nc>
  </rcc>
  <rcc rId="7568" sId="11" numFmtId="4">
    <nc r="F266">
      <v>8</v>
    </nc>
  </rcc>
  <rcc rId="7569" sId="11" numFmtId="4">
    <nc r="H266">
      <v>0</v>
    </nc>
  </rcc>
  <rcc rId="7570" sId="11" numFmtId="4">
    <nc r="B267">
      <v>1</v>
    </nc>
  </rcc>
  <rcc rId="7571" sId="11" numFmtId="4">
    <nc r="C267">
      <v>9</v>
    </nc>
  </rcc>
  <rcc rId="7572" sId="11" numFmtId="4">
    <nc r="D267">
      <v>8</v>
    </nc>
  </rcc>
  <rcc rId="7573" sId="11" numFmtId="4">
    <nc r="E267">
      <v>9</v>
    </nc>
  </rcc>
  <rcc rId="7574" sId="11" numFmtId="4">
    <nc r="F267">
      <v>5</v>
    </nc>
  </rcc>
  <rcc rId="7575" sId="11" numFmtId="4">
    <nc r="G267">
      <v>0</v>
    </nc>
  </rcc>
  <rcc rId="7576" sId="11" numFmtId="4">
    <nc r="H267">
      <v>0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>
  <rcc rId="7577" sId="5" numFmtId="4">
    <nc r="C478">
      <v>78</v>
    </nc>
  </rcc>
  <rcc rId="7578" sId="5" numFmtId="4">
    <nc r="D478">
      <v>11</v>
    </nc>
  </rcc>
  <rcc rId="7579" sId="5" numFmtId="4">
    <nc r="E478">
      <v>0</v>
    </nc>
  </rcc>
  <rcc rId="7580" sId="5" numFmtId="4">
    <nc r="F478">
      <v>25</v>
    </nc>
  </rcc>
  <rcc rId="7581" sId="5" numFmtId="4">
    <nc r="G478">
      <v>0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>
  <rcc rId="7582" sId="11" numFmtId="4">
    <nc r="B268">
      <v>1</v>
    </nc>
  </rcc>
  <rcc rId="7583" sId="11" numFmtId="4">
    <nc r="C268">
      <v>24</v>
    </nc>
  </rcc>
  <rcc rId="7584" sId="11" numFmtId="4">
    <nc r="D268">
      <v>12</v>
    </nc>
  </rcc>
  <rcc rId="7585" sId="11" numFmtId="4">
    <nc r="E268">
      <v>1</v>
    </nc>
  </rcc>
  <rcc rId="7586" sId="11" numFmtId="4">
    <nc r="F268">
      <v>15</v>
    </nc>
  </rcc>
  <rcc rId="7587" sId="11" numFmtId="4">
    <nc r="G268">
      <v>1</v>
    </nc>
  </rcc>
  <rcc rId="7588" sId="11" numFmtId="4">
    <nc r="H268">
      <v>0</v>
    </nc>
  </rcc>
  <rcc rId="7589" sId="11" numFmtId="4">
    <nc r="B269">
      <v>1</v>
    </nc>
  </rcc>
  <rcc rId="7590" sId="11" numFmtId="4">
    <nc r="C269">
      <v>24</v>
    </nc>
  </rcc>
  <rcc rId="7591" sId="11" numFmtId="4">
    <nc r="D269">
      <v>11</v>
    </nc>
  </rcc>
  <rcc rId="7592" sId="11" numFmtId="4">
    <nc r="E269">
      <v>0</v>
    </nc>
  </rcc>
  <rcc rId="7593" sId="11" numFmtId="4">
    <nc r="F269">
      <v>13</v>
    </nc>
  </rcc>
  <rcc rId="7594" sId="11" numFmtId="4">
    <nc r="G269">
      <v>1</v>
    </nc>
  </rcc>
  <rcc rId="7595" sId="11" numFmtId="4">
    <nc r="H269">
      <v>1</v>
    </nc>
  </rcc>
  <rcc rId="7596" sId="11" numFmtId="4">
    <nc r="B270">
      <v>1</v>
    </nc>
  </rcc>
  <rcc rId="7597" sId="11" numFmtId="4">
    <nc r="C270">
      <v>24</v>
    </nc>
  </rcc>
  <rcc rId="7598" sId="11" numFmtId="4">
    <nc r="D270">
      <v>10</v>
    </nc>
  </rcc>
  <rcc rId="7599" sId="11" numFmtId="4">
    <nc r="E270">
      <v>3</v>
    </nc>
  </rcc>
  <rcc rId="7600" sId="11" numFmtId="4">
    <nc r="F270">
      <v>20</v>
    </nc>
  </rcc>
  <rcc rId="7601" sId="11" numFmtId="4">
    <nc r="G270">
      <v>1</v>
    </nc>
  </rcc>
  <rcc rId="7602" sId="11" numFmtId="4">
    <nc r="H270">
      <v>0</v>
    </nc>
  </rcc>
  <rcc rId="7603" sId="11" numFmtId="4">
    <nc r="B271">
      <v>1</v>
    </nc>
  </rcc>
  <rcc rId="7604" sId="11" numFmtId="4">
    <nc r="C271">
      <v>24</v>
    </nc>
  </rcc>
  <rcc rId="7605" sId="11" numFmtId="4">
    <nc r="D271">
      <v>9</v>
    </nc>
  </rcc>
  <rcc rId="7606" sId="11" numFmtId="4">
    <nc r="E271">
      <v>1</v>
    </nc>
  </rcc>
  <rcc rId="7607" sId="11" numFmtId="4">
    <nc r="F271">
      <v>24</v>
    </nc>
  </rcc>
  <rcc rId="7608" sId="11" numFmtId="4">
    <nc r="G271">
      <v>0</v>
    </nc>
  </rcc>
  <rcc rId="7609" sId="11" numFmtId="4">
    <nc r="H271">
      <v>0</v>
    </nc>
  </rcc>
  <rcc rId="7610" sId="11" numFmtId="4">
    <nc r="B272">
      <v>1</v>
    </nc>
  </rcc>
  <rcc rId="7611" sId="11" numFmtId="4">
    <nc r="C272">
      <v>24</v>
    </nc>
  </rcc>
  <rcc rId="7612" sId="11" numFmtId="4">
    <nc r="D272">
      <v>7</v>
    </nc>
  </rcc>
  <rcc rId="7613" sId="11" numFmtId="4">
    <nc r="E272">
      <v>3</v>
    </nc>
  </rcc>
  <rcc rId="7614" sId="11" numFmtId="4">
    <nc r="F272">
      <v>20</v>
    </nc>
  </rcc>
  <rcc rId="7615" sId="11" numFmtId="4">
    <nc r="G272">
      <v>1</v>
    </nc>
  </rcc>
  <rcc rId="7616" sId="11" numFmtId="4">
    <nc r="H272">
      <v>1</v>
    </nc>
  </rcc>
  <rcc rId="7617" sId="11" numFmtId="4">
    <nc r="B273">
      <v>1</v>
    </nc>
  </rcc>
  <rcc rId="7618" sId="11" numFmtId="4">
    <nc r="C273">
      <v>24</v>
    </nc>
  </rcc>
  <rcc rId="7619" sId="11" numFmtId="4">
    <nc r="D273">
      <v>5</v>
    </nc>
  </rcc>
  <rcc rId="7620" sId="11" numFmtId="4">
    <nc r="E273">
      <v>1</v>
    </nc>
  </rcc>
  <rcc rId="7621" sId="11" numFmtId="4">
    <nc r="F273">
      <v>22</v>
    </nc>
  </rcc>
  <rcc rId="7622" sId="11" numFmtId="4">
    <nc r="G273">
      <v>1</v>
    </nc>
  </rcc>
  <rcc rId="7623" sId="11" numFmtId="4">
    <nc r="H273">
      <v>1</v>
    </nc>
  </rcc>
  <rcc rId="7624" sId="11" numFmtId="4">
    <nc r="B274">
      <v>1</v>
    </nc>
  </rcc>
  <rcc rId="7625" sId="11" numFmtId="4">
    <nc r="C274">
      <v>56</v>
    </nc>
  </rcc>
  <rcc rId="7626" sId="11" numFmtId="4">
    <nc r="D274">
      <v>12</v>
    </nc>
  </rcc>
  <rcc rId="7627" sId="11" numFmtId="4">
    <nc r="E274">
      <v>4</v>
    </nc>
  </rcc>
  <rcc rId="7628" sId="11" numFmtId="4">
    <nc r="F274">
      <v>4</v>
    </nc>
  </rcc>
  <rcc rId="7629" sId="11" numFmtId="4">
    <nc r="G274">
      <v>1</v>
    </nc>
  </rcc>
  <rcc rId="7630" sId="11" numFmtId="4">
    <nc r="H274">
      <v>1</v>
    </nc>
  </rcc>
  <rcc rId="7631" sId="11" numFmtId="4">
    <nc r="B275">
      <v>1</v>
    </nc>
  </rcc>
  <rcc rId="7632" sId="11" numFmtId="4">
    <nc r="C275">
      <v>56</v>
    </nc>
  </rcc>
  <rcc rId="7633" sId="11" numFmtId="4">
    <nc r="D275">
      <v>13</v>
    </nc>
  </rcc>
  <rcc rId="7634" sId="11" numFmtId="4">
    <nc r="E275">
      <v>2</v>
    </nc>
  </rcc>
  <rcc rId="7635" sId="11" numFmtId="4">
    <nc r="F275">
      <v>0</v>
    </nc>
  </rcc>
  <rcc rId="7636" sId="11" numFmtId="4">
    <nc r="G275">
      <v>0</v>
    </nc>
  </rcc>
  <rcc rId="7637" sId="11" numFmtId="4">
    <nc r="H275">
      <v>3</v>
    </nc>
  </rcc>
  <rcc rId="7638" sId="11" numFmtId="4">
    <nc r="B276">
      <v>1</v>
    </nc>
  </rcc>
  <rcc rId="7639" sId="11" numFmtId="4">
    <nc r="C276">
      <v>56</v>
    </nc>
  </rcc>
  <rcc rId="7640" sId="11" numFmtId="4">
    <nc r="D276">
      <v>14</v>
    </nc>
  </rcc>
  <rcc rId="7641" sId="11" numFmtId="4">
    <nc r="E276">
      <v>2</v>
    </nc>
  </rcc>
  <rcc rId="7642" sId="11" numFmtId="4">
    <nc r="F276">
      <v>0</v>
    </nc>
  </rcc>
  <rcc rId="7643" sId="11" numFmtId="4">
    <nc r="G276">
      <v>0</v>
    </nc>
  </rcc>
  <rcc rId="7644" sId="11" numFmtId="4">
    <nc r="H276">
      <v>0</v>
    </nc>
  </rcc>
  <rcc rId="7645" sId="11" numFmtId="4">
    <nc r="B277">
      <v>1</v>
    </nc>
  </rcc>
  <rcc rId="7646" sId="11" numFmtId="4">
    <nc r="C277">
      <v>56</v>
    </nc>
  </rcc>
  <rcc rId="7647" sId="11" numFmtId="4">
    <nc r="D277">
      <v>11</v>
    </nc>
  </rcc>
  <rcc rId="7648" sId="11" numFmtId="4">
    <nc r="E277">
      <v>5</v>
    </nc>
  </rcc>
  <rcc rId="7649" sId="11" numFmtId="4">
    <nc r="F277">
      <v>4</v>
    </nc>
  </rcc>
  <rcc rId="7650" sId="11" numFmtId="4">
    <nc r="G277">
      <v>3</v>
    </nc>
  </rcc>
  <rcc rId="7651" sId="11" numFmtId="4">
    <nc r="H277">
      <v>0</v>
    </nc>
  </rcc>
  <rcc rId="7652" sId="11" numFmtId="4">
    <nc r="B278">
      <v>1</v>
    </nc>
  </rcc>
  <rcc rId="7653" sId="11" numFmtId="4">
    <nc r="C278">
      <v>56</v>
    </nc>
  </rcc>
  <rcc rId="7654" sId="11" numFmtId="4">
    <nc r="D278">
      <v>10</v>
    </nc>
  </rcc>
  <rcc rId="7655" sId="11" numFmtId="4">
    <nc r="E278">
      <v>1</v>
    </nc>
  </rcc>
  <rcc rId="7656" sId="11" numFmtId="4">
    <nc r="F278">
      <v>1</v>
    </nc>
  </rcc>
  <rcc rId="7657" sId="11" numFmtId="4">
    <nc r="G278">
      <v>0</v>
    </nc>
  </rcc>
  <rcc rId="7658" sId="11" numFmtId="4">
    <nc r="H278">
      <v>3</v>
    </nc>
  </rcc>
  <rcc rId="7659" sId="11" numFmtId="4">
    <nc r="B279">
      <v>1</v>
    </nc>
  </rcc>
  <rcc rId="7660" sId="11" numFmtId="4">
    <nc r="C279">
      <v>56</v>
    </nc>
  </rcc>
  <rcc rId="7661" sId="11" numFmtId="4">
    <nc r="D279">
      <v>9</v>
    </nc>
  </rcc>
  <rcc rId="7662" sId="11" numFmtId="4">
    <nc r="G279">
      <v>0</v>
    </nc>
  </rcc>
  <rcc rId="7663" sId="11" numFmtId="4">
    <nc r="E279">
      <v>4</v>
    </nc>
  </rcc>
  <rcc rId="7664" sId="11" numFmtId="4">
    <nc r="F279">
      <v>5</v>
    </nc>
  </rcc>
  <rcc rId="7665" sId="11" numFmtId="4">
    <nc r="H279">
      <v>0</v>
    </nc>
  </rcc>
  <rcc rId="7666" sId="11" numFmtId="4">
    <nc r="B280">
      <v>1</v>
    </nc>
  </rcc>
  <rcc rId="7667" sId="11" numFmtId="4">
    <nc r="C280">
      <v>4</v>
    </nc>
  </rcc>
  <rcc rId="7668" sId="11" numFmtId="4">
    <nc r="D280">
      <v>9</v>
    </nc>
  </rcc>
  <rcc rId="7669" sId="11" numFmtId="4">
    <nc r="E280">
      <v>8</v>
    </nc>
  </rcc>
  <rcc rId="7670" sId="11" numFmtId="4">
    <nc r="F280">
      <v>6</v>
    </nc>
  </rcc>
  <rcc rId="7671" sId="11" numFmtId="4">
    <nc r="G280">
      <v>1</v>
    </nc>
  </rcc>
  <rcc rId="7672" sId="11" numFmtId="4">
    <nc r="H280">
      <v>1</v>
    </nc>
  </rcc>
  <rcc rId="7673" sId="11" numFmtId="4">
    <nc r="B281">
      <v>1</v>
    </nc>
  </rcc>
  <rcc rId="7674" sId="11" numFmtId="4">
    <nc r="C281">
      <v>4</v>
    </nc>
  </rcc>
  <rcc rId="7675" sId="11" numFmtId="4">
    <nc r="D281">
      <v>10</v>
    </nc>
  </rcc>
  <rcc rId="7676" sId="11" numFmtId="4">
    <nc r="E281">
      <v>7</v>
    </nc>
  </rcc>
  <rcc rId="7677" sId="11" numFmtId="4">
    <nc r="F281">
      <v>7</v>
    </nc>
  </rcc>
  <rcc rId="7678" sId="11" numFmtId="4">
    <nc r="G281">
      <v>1</v>
    </nc>
  </rcc>
  <rcc rId="7679" sId="11" numFmtId="4">
    <nc r="H281">
      <v>0</v>
    </nc>
  </rcc>
  <rcc rId="7680" sId="11" numFmtId="4">
    <nc r="B282">
      <v>1</v>
    </nc>
  </rcc>
  <rcc rId="7681" sId="11" numFmtId="4">
    <nc r="C282">
      <v>4</v>
    </nc>
  </rcc>
  <rcc rId="7682" sId="11" numFmtId="4">
    <nc r="D282">
      <v>11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>
  <rfmt sheetId="5" sqref="B479" start="0" length="0">
    <dxf>
      <font>
        <sz val="14"/>
        <color auto="1"/>
        <name val="Arial"/>
        <scheme val="none"/>
      </font>
      <numFmt numFmtId="1" formatCode="0"/>
      <fill>
        <patternFill patternType="solid">
          <bgColor theme="6" tint="0.39997558519241921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cc rId="7683" sId="5" numFmtId="4">
    <nc r="B479">
      <v>13</v>
    </nc>
  </rcc>
  <rcc rId="7684" sId="5" numFmtId="4">
    <nc r="C479">
      <v>109</v>
    </nc>
  </rcc>
  <rcc rId="7685" sId="5" numFmtId="4">
    <nc r="D479">
      <v>11</v>
    </nc>
  </rcc>
  <rcc rId="7686" sId="5" numFmtId="4">
    <nc r="E479">
      <v>23</v>
    </nc>
  </rcc>
  <rcc rId="7687" sId="5" numFmtId="4">
    <nc r="F479">
      <v>15</v>
    </nc>
  </rcc>
  <rcc rId="7688" sId="5" numFmtId="4">
    <nc r="G479">
      <v>0</v>
    </nc>
  </rcc>
  <rcc rId="7689" sId="5" numFmtId="4">
    <nc r="D481">
      <v>10</v>
    </nc>
  </rcc>
  <rcc rId="7690" sId="5" numFmtId="4">
    <nc r="C481">
      <v>109</v>
    </nc>
  </rcc>
  <rcc rId="7691" sId="5" numFmtId="4">
    <nc r="B481">
      <v>13</v>
    </nc>
  </rcc>
  <rcc rId="7692" sId="5" numFmtId="4">
    <nc r="E481">
      <v>22</v>
    </nc>
  </rcc>
  <rcc rId="7693" sId="5" numFmtId="4">
    <nc r="F481">
      <v>10</v>
    </nc>
  </rcc>
  <rcc rId="7694" sId="5" numFmtId="4">
    <nc r="G481">
      <v>0</v>
    </nc>
  </rcc>
  <rcc rId="7695" sId="5" numFmtId="4">
    <nc r="B480">
      <v>13</v>
    </nc>
  </rcc>
  <rcc rId="7696" sId="5" numFmtId="4">
    <nc r="C480">
      <v>78</v>
    </nc>
  </rcc>
  <rcc rId="7697" sId="5" numFmtId="4">
    <nc r="D480">
      <v>13</v>
    </nc>
  </rcc>
  <rcc rId="7698" sId="5" numFmtId="4">
    <nc r="E480">
      <v>0</v>
    </nc>
  </rcc>
  <rcc rId="7699" sId="5" numFmtId="4">
    <nc r="F480">
      <v>25</v>
    </nc>
  </rcc>
  <rcc rId="7700" sId="5" numFmtId="4">
    <nc r="G480">
      <v>0</v>
    </nc>
  </rcc>
  <rcc rId="7701" sId="5" numFmtId="4">
    <nc r="B482">
      <v>13</v>
    </nc>
  </rcc>
  <rcc rId="7702" sId="5" numFmtId="4">
    <nc r="C482">
      <v>78</v>
    </nc>
  </rcc>
  <rcc rId="7703" sId="5" numFmtId="4">
    <nc r="D482">
      <v>12</v>
    </nc>
  </rcc>
  <rcc rId="7704" sId="5" numFmtId="4">
    <nc r="E482">
      <v>0</v>
    </nc>
  </rcc>
  <rcc rId="7705" sId="5" numFmtId="4">
    <nc r="F482">
      <v>25</v>
    </nc>
  </rcc>
  <rcc rId="7706" sId="5" numFmtId="4">
    <nc r="G482">
      <v>0</v>
    </nc>
  </rcc>
  <rcc rId="7707" sId="5" numFmtId="4">
    <nc r="B483">
      <v>13</v>
    </nc>
  </rcc>
  <rcc rId="7708" sId="5" numFmtId="4">
    <nc r="C483">
      <v>109</v>
    </nc>
  </rcc>
  <rcc rId="7709" sId="5" numFmtId="4">
    <nc r="D483">
      <v>12</v>
    </nc>
  </rcc>
  <rcc rId="7710" sId="5" numFmtId="4">
    <nc r="E483">
      <v>21</v>
    </nc>
  </rcc>
  <rcc rId="7711" sId="5" numFmtId="4">
    <nc r="F483">
      <v>12</v>
    </nc>
  </rcc>
  <rcc rId="7712" sId="5" numFmtId="4">
    <nc r="G483">
      <v>0</v>
    </nc>
  </rcc>
  <rcc rId="7713" sId="5" numFmtId="4">
    <nc r="B484">
      <v>13</v>
    </nc>
  </rcc>
  <rcc rId="7714" sId="5" numFmtId="4">
    <nc r="C484">
      <v>109</v>
    </nc>
  </rcc>
  <rcc rId="7715" sId="5" numFmtId="4">
    <nc r="D484">
      <v>13</v>
    </nc>
  </rcc>
  <rcc rId="7716" sId="5" numFmtId="4">
    <nc r="E484">
      <v>20</v>
    </nc>
  </rcc>
  <rcc rId="7717" sId="5" numFmtId="4">
    <nc r="F484">
      <v>14</v>
    </nc>
  </rcc>
  <rcc rId="7718" sId="5" numFmtId="4">
    <nc r="G484">
      <v>0</v>
    </nc>
  </rcc>
  <rcc rId="7719" sId="5" numFmtId="4">
    <nc r="B485">
      <v>13</v>
    </nc>
  </rcc>
  <rcc rId="7720" sId="5" numFmtId="4">
    <nc r="C485">
      <v>95</v>
    </nc>
  </rcc>
  <rcc rId="7721" sId="5" numFmtId="4">
    <nc r="D485">
      <v>9</v>
    </nc>
  </rcc>
  <rcc rId="7722" sId="5" numFmtId="4">
    <nc r="E485">
      <v>13</v>
    </nc>
  </rcc>
  <rcc rId="7723" sId="5" numFmtId="4">
    <nc r="F485">
      <v>12</v>
    </nc>
  </rcc>
  <rcc rId="7724" sId="5" numFmtId="4">
    <nc r="G485">
      <v>0</v>
    </nc>
  </rcc>
  <rcc rId="7725" sId="5" numFmtId="4">
    <nc r="B486">
      <v>13</v>
    </nc>
  </rcc>
  <rcc rId="7726" sId="5" numFmtId="4">
    <nc r="C486">
      <v>95</v>
    </nc>
  </rcc>
  <rcc rId="7727" sId="5" numFmtId="4">
    <nc r="D486">
      <v>10</v>
    </nc>
  </rcc>
  <rcc rId="7728" sId="5" numFmtId="4">
    <nc r="E486">
      <v>17</v>
    </nc>
  </rcc>
  <rcc rId="7729" sId="5" numFmtId="4">
    <nc r="F486">
      <v>8</v>
    </nc>
  </rcc>
  <rcc rId="7730" sId="5" numFmtId="4">
    <nc r="G486">
      <v>0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>
  <rcc rId="7731" sId="11" numFmtId="4">
    <nc r="E282">
      <v>4</v>
    </nc>
  </rcc>
  <rcc rId="7732" sId="11" numFmtId="4">
    <nc r="F282">
      <v>5</v>
    </nc>
  </rcc>
  <rcc rId="7733" sId="11" numFmtId="4">
    <nc r="G282">
      <v>0</v>
    </nc>
  </rcc>
  <rcc rId="7734" sId="11" numFmtId="4">
    <nc r="H282">
      <v>0</v>
    </nc>
  </rcc>
  <rcc rId="7735" sId="11" numFmtId="4">
    <nc r="B283">
      <v>1</v>
    </nc>
  </rcc>
  <rcc rId="7736" sId="11" numFmtId="4">
    <nc r="C283">
      <v>4</v>
    </nc>
  </rcc>
  <rcc rId="7737" sId="11" numFmtId="4">
    <nc r="D283">
      <v>12</v>
    </nc>
  </rcc>
  <rcc rId="7738" sId="11" numFmtId="4">
    <nc r="E283">
      <v>3</v>
    </nc>
  </rcc>
  <rcc rId="7739" sId="11" numFmtId="4">
    <nc r="F283">
      <v>5</v>
    </nc>
  </rcc>
  <rcc rId="7740" sId="11" numFmtId="4">
    <nc r="G283">
      <v>5</v>
    </nc>
  </rcc>
  <rcc rId="7741" sId="11" numFmtId="4">
    <nc r="H283">
      <v>0</v>
    </nc>
  </rcc>
  <rcc rId="7742" sId="11" numFmtId="4">
    <nc r="B284">
      <v>1</v>
    </nc>
  </rcc>
  <rcc rId="7743" sId="11" numFmtId="4">
    <nc r="C284">
      <v>4</v>
    </nc>
  </rcc>
  <rcc rId="7744" sId="11" numFmtId="4">
    <nc r="D284">
      <v>13</v>
    </nc>
  </rcc>
  <rcc rId="7745" sId="11" numFmtId="4">
    <nc r="E284">
      <v>6</v>
    </nc>
  </rcc>
  <rcc rId="7746" sId="11" numFmtId="4">
    <nc r="F284">
      <v>5</v>
    </nc>
  </rcc>
  <rcc rId="7747" sId="11" numFmtId="4">
    <nc r="G284">
      <v>0</v>
    </nc>
  </rcc>
  <rcc rId="7748" sId="11" numFmtId="4">
    <nc r="H284">
      <v>0</v>
    </nc>
  </rcc>
  <rcc rId="7749" sId="11" numFmtId="4">
    <nc r="B285">
      <v>1</v>
    </nc>
  </rcc>
  <rcc rId="7750" sId="11" numFmtId="4">
    <nc r="C285">
      <v>4</v>
    </nc>
  </rcc>
  <rcc rId="7751" sId="11" numFmtId="4">
    <nc r="D285">
      <v>14</v>
    </nc>
  </rcc>
  <rcc rId="7752" sId="11" numFmtId="4">
    <nc r="E285">
      <v>7</v>
    </nc>
  </rcc>
  <rcc rId="7753" sId="11" numFmtId="4">
    <nc r="F285">
      <v>6</v>
    </nc>
  </rcc>
  <rcc rId="7754" sId="11" numFmtId="4">
    <nc r="G285">
      <v>0</v>
    </nc>
  </rcc>
  <rcc rId="7755" sId="11" numFmtId="4">
    <nc r="H285">
      <v>0</v>
    </nc>
  </rcc>
  <rcc rId="7756" sId="11" numFmtId="4">
    <nc r="B286">
      <v>1</v>
    </nc>
  </rcc>
  <rcc rId="7757" sId="11" numFmtId="4">
    <nc r="C286">
      <v>49</v>
    </nc>
  </rcc>
  <rcc rId="7758" sId="11" numFmtId="4">
    <nc r="D286">
      <v>13</v>
    </nc>
  </rcc>
  <rcc rId="7759" sId="11" numFmtId="4">
    <nc r="E286">
      <v>12</v>
    </nc>
  </rcc>
  <rcc rId="7760" sId="11" numFmtId="4">
    <nc r="F286">
      <v>2</v>
    </nc>
  </rcc>
  <rcc rId="7761" sId="11" numFmtId="4">
    <nc r="G286">
      <v>0</v>
    </nc>
  </rcc>
  <rcc rId="7762" sId="11" numFmtId="4">
    <nc r="H286">
      <v>0</v>
    </nc>
  </rcc>
  <rcc rId="7763" sId="11" numFmtId="4">
    <nc r="B287">
      <v>1</v>
    </nc>
  </rcc>
  <rcc rId="7764" sId="11" numFmtId="4">
    <nc r="C287">
      <v>44</v>
    </nc>
  </rcc>
  <rcc rId="7765" sId="11" numFmtId="4">
    <nc r="D287">
      <v>14</v>
    </nc>
  </rcc>
  <rcc rId="7766" sId="11" numFmtId="4">
    <nc r="E287">
      <v>5</v>
    </nc>
  </rcc>
  <rcc rId="7767" sId="11" numFmtId="4">
    <nc r="F287">
      <v>9</v>
    </nc>
  </rcc>
  <rcc rId="7768" sId="11" numFmtId="4">
    <nc r="G287">
      <v>1</v>
    </nc>
  </rcc>
  <rcc rId="7769" sId="11" numFmtId="4">
    <nc r="H287">
      <v>0</v>
    </nc>
  </rcc>
  <rcc rId="7770" sId="11" numFmtId="4">
    <nc r="B288">
      <v>1</v>
    </nc>
  </rcc>
  <rcc rId="7771" sId="11" numFmtId="4">
    <nc r="C288">
      <v>44</v>
    </nc>
  </rcc>
  <rcc rId="7772" sId="11" numFmtId="4">
    <nc r="G288">
      <v>0</v>
    </nc>
  </rcc>
  <rcc rId="7773" sId="11" numFmtId="4">
    <nc r="D288">
      <v>13</v>
    </nc>
  </rcc>
  <rcc rId="7774" sId="11" numFmtId="4">
    <nc r="E288">
      <v>4</v>
    </nc>
  </rcc>
  <rcc rId="7775" sId="11" numFmtId="4">
    <nc r="F288">
      <v>7</v>
    </nc>
  </rcc>
  <rcc rId="7776" sId="11" numFmtId="4">
    <nc r="H288">
      <v>0</v>
    </nc>
  </rcc>
  <rcc rId="7777" sId="11" numFmtId="4">
    <nc r="B289">
      <v>1</v>
    </nc>
  </rcc>
  <rcc rId="7778" sId="11" numFmtId="4">
    <nc r="C289">
      <v>19</v>
    </nc>
  </rcc>
  <rcc rId="7779" sId="11" numFmtId="4">
    <nc r="D289">
      <v>12</v>
    </nc>
  </rcc>
  <rcc rId="7780" sId="11" numFmtId="4">
    <nc r="E289">
      <v>0</v>
    </nc>
  </rcc>
  <rcc rId="7781" sId="11" numFmtId="4">
    <nc r="F289">
      <v>17</v>
    </nc>
  </rcc>
  <rcc rId="7782" sId="11" numFmtId="4">
    <nc r="G289">
      <v>0</v>
    </nc>
  </rcc>
  <rcc rId="7783" sId="11" numFmtId="4">
    <nc r="H289">
      <v>0</v>
    </nc>
  </rcc>
  <rcc rId="7784" sId="11" numFmtId="4">
    <nc r="B290">
      <v>1</v>
    </nc>
  </rcc>
  <rcc rId="7785" sId="11" numFmtId="4">
    <nc r="C290">
      <v>19</v>
    </nc>
  </rcc>
  <rcc rId="7786" sId="11" numFmtId="4">
    <nc r="D290">
      <v>13</v>
    </nc>
  </rcc>
  <rcc rId="7787" sId="11" numFmtId="4">
    <nc r="E290">
      <v>0</v>
    </nc>
  </rcc>
  <rcc rId="7788" sId="11" numFmtId="4">
    <nc r="F290">
      <v>14</v>
    </nc>
  </rcc>
  <rcc rId="7789" sId="11" numFmtId="4">
    <nc r="G290">
      <v>2</v>
    </nc>
  </rcc>
  <rcc rId="7790" sId="11" numFmtId="4">
    <nc r="H290">
      <v>0</v>
    </nc>
  </rcc>
  <rcc rId="7791" sId="11" numFmtId="4">
    <nc r="B291">
      <v>1</v>
    </nc>
  </rcc>
  <rcc rId="7792" sId="11" numFmtId="4">
    <nc r="C291">
      <v>19</v>
    </nc>
  </rcc>
  <rcc rId="7793" sId="11" numFmtId="4">
    <nc r="D291">
      <v>11</v>
    </nc>
  </rcc>
  <rcc rId="7794" sId="11" numFmtId="4">
    <nc r="E291">
      <v>0</v>
    </nc>
  </rcc>
  <rcc rId="7795" sId="11" numFmtId="4">
    <nc r="F291">
      <v>10</v>
    </nc>
  </rcc>
  <rcc rId="7796" sId="11" numFmtId="4">
    <nc r="G291">
      <v>0</v>
    </nc>
  </rcc>
  <rcc rId="7797" sId="11" numFmtId="4">
    <nc r="H291">
      <v>0</v>
    </nc>
  </rcc>
  <rcc rId="7798" sId="2" numFmtId="4">
    <nc r="B587">
      <v>1</v>
    </nc>
  </rcc>
  <rcc rId="7799" sId="2" numFmtId="4">
    <nc r="C587">
      <v>47</v>
    </nc>
  </rcc>
  <rcc rId="7800" sId="2" numFmtId="4">
    <nc r="D587">
      <v>9</v>
    </nc>
  </rcc>
  <rcc rId="7801" sId="2" numFmtId="4">
    <nc r="E587">
      <v>8</v>
    </nc>
  </rcc>
  <rcc rId="7802" sId="2" numFmtId="4">
    <nc r="F587">
      <v>6</v>
    </nc>
  </rcc>
  <rcc rId="7803" sId="2" numFmtId="4">
    <nc r="G587">
      <v>0</v>
    </nc>
  </rcc>
  <rcc rId="7804" sId="2" numFmtId="4">
    <nc r="H587">
      <v>3</v>
    </nc>
  </rcc>
  <rcc rId="7805" sId="2" numFmtId="4">
    <nc r="B588">
      <v>1</v>
    </nc>
  </rcc>
  <rcc rId="7806" sId="2" numFmtId="4">
    <nc r="C588">
      <v>47</v>
    </nc>
  </rcc>
  <rcc rId="7807" sId="2" numFmtId="4">
    <nc r="D588">
      <v>10</v>
    </nc>
  </rcc>
  <rcc rId="7808" sId="2" numFmtId="4">
    <nc r="E588">
      <v>7</v>
    </nc>
  </rcc>
  <rcc rId="7809" sId="2" numFmtId="4">
    <nc r="F588">
      <v>14</v>
    </nc>
  </rcc>
  <rcc rId="7810" sId="2" numFmtId="4">
    <nc r="G588">
      <v>0</v>
    </nc>
  </rcc>
  <rcc rId="7811" sId="2" numFmtId="4">
    <nc r="H588">
      <v>2</v>
    </nc>
  </rcc>
  <rcc rId="7812" sId="2" numFmtId="4">
    <nc r="B589">
      <v>1</v>
    </nc>
  </rcc>
  <rcc rId="7813" sId="2" numFmtId="4">
    <nc r="C589">
      <v>47</v>
    </nc>
  </rcc>
  <rcc rId="7814" sId="2" numFmtId="4">
    <nc r="D589">
      <v>11</v>
    </nc>
  </rcc>
  <rcc rId="7815" sId="2" numFmtId="4">
    <nc r="E589">
      <v>5</v>
    </nc>
  </rcc>
  <rcc rId="7816" sId="2" numFmtId="4">
    <nc r="F589">
      <v>13</v>
    </nc>
  </rcc>
  <rcc rId="7817" sId="2" numFmtId="4">
    <nc r="G589">
      <v>0</v>
    </nc>
  </rcc>
  <rcc rId="7818" sId="2" numFmtId="4">
    <nc r="H589">
      <v>1</v>
    </nc>
  </rcc>
  <rcc rId="7819" sId="2" numFmtId="4">
    <nc r="B590">
      <v>1</v>
    </nc>
  </rcc>
  <rcc rId="7820" sId="2" numFmtId="4">
    <nc r="C590">
      <v>47</v>
    </nc>
  </rcc>
  <rcc rId="7821" sId="2" numFmtId="4">
    <nc r="D590">
      <v>12</v>
    </nc>
  </rcc>
  <rcc rId="7822" sId="2" numFmtId="4">
    <nc r="E590">
      <v>6</v>
    </nc>
  </rcc>
  <rcc rId="7823" sId="2" numFmtId="4">
    <nc r="F590">
      <v>9</v>
    </nc>
  </rcc>
  <rcc rId="7824" sId="2" numFmtId="4">
    <nc r="G590">
      <v>0</v>
    </nc>
  </rcc>
  <rcc rId="7825" sId="2" numFmtId="4">
    <nc r="H590">
      <v>0</v>
    </nc>
  </rcc>
  <rcc rId="7826" sId="2" numFmtId="4">
    <nc r="B591">
      <v>1</v>
    </nc>
  </rcc>
  <rcc rId="7827" sId="2" numFmtId="4">
    <nc r="C591">
      <v>47</v>
    </nc>
  </rcc>
  <rcc rId="7828" sId="2" numFmtId="4">
    <nc r="D591">
      <v>13</v>
    </nc>
  </rcc>
  <rcc rId="7829" sId="2" numFmtId="4">
    <nc r="E591">
      <v>7</v>
    </nc>
  </rcc>
  <rcc rId="7830" sId="2" numFmtId="4">
    <nc r="F591">
      <v>11</v>
    </nc>
  </rcc>
  <rcc rId="7831" sId="2" numFmtId="4">
    <nc r="G591">
      <v>0</v>
    </nc>
  </rcc>
  <rcc rId="7832" sId="2" numFmtId="4">
    <nc r="H591">
      <v>1</v>
    </nc>
  </rcc>
  <rcc rId="7833" sId="2" numFmtId="4">
    <nc r="B592">
      <v>1</v>
    </nc>
  </rcc>
  <rcc rId="7834" sId="2" numFmtId="4">
    <nc r="C592">
      <v>47</v>
    </nc>
  </rcc>
  <rcc rId="7835" sId="2" numFmtId="4">
    <nc r="D592">
      <v>14</v>
    </nc>
  </rcc>
  <rcc rId="7836" sId="2" numFmtId="4">
    <nc r="E592">
      <v>10</v>
    </nc>
  </rcc>
  <rcc rId="7837" sId="2" numFmtId="4">
    <nc r="F592">
      <v>12</v>
    </nc>
  </rcc>
  <rcc rId="7838" sId="2" numFmtId="4">
    <nc r="G592">
      <v>0</v>
    </nc>
  </rcc>
  <rcc rId="7839" sId="2" numFmtId="4">
    <nc r="H592">
      <v>0</v>
    </nc>
  </rcc>
  <rcc rId="7840" sId="2" numFmtId="4">
    <nc r="B593">
      <v>1</v>
    </nc>
  </rcc>
  <rcc rId="7841" sId="2" numFmtId="4">
    <nc r="C593">
      <v>112</v>
    </nc>
  </rcc>
  <rcc rId="7842" sId="2" numFmtId="4">
    <nc r="D593">
      <v>13</v>
    </nc>
  </rcc>
  <rcc rId="7843" sId="2" numFmtId="4">
    <nc r="E593">
      <v>25</v>
    </nc>
  </rcc>
  <rcc rId="7844" sId="2" numFmtId="4">
    <nc r="F593">
      <v>10</v>
    </nc>
  </rcc>
  <rcc rId="7845" sId="2" numFmtId="4">
    <nc r="G593">
      <v>0</v>
    </nc>
  </rcc>
  <rcc rId="7846" sId="2" numFmtId="4">
    <nc r="H593">
      <v>0</v>
    </nc>
  </rcc>
  <rcc rId="7847" sId="2" numFmtId="4">
    <nc r="B594">
      <v>13</v>
    </nc>
  </rcc>
  <rcc rId="7848" sId="2" numFmtId="4">
    <nc r="C594">
      <v>111</v>
    </nc>
  </rcc>
  <rcc rId="7849" sId="2" numFmtId="4">
    <nc r="D594">
      <v>2</v>
    </nc>
  </rcc>
  <rcc rId="7850" sId="2" numFmtId="4">
    <nc r="E594">
      <v>22</v>
    </nc>
  </rcc>
  <rcc rId="7851" sId="2" numFmtId="4">
    <nc r="F594">
      <v>2</v>
    </nc>
  </rcc>
  <rcc rId="7852" sId="2" numFmtId="4">
    <nc r="G594">
      <v>0</v>
    </nc>
  </rcc>
  <rcc rId="7853" sId="2" numFmtId="4">
    <nc r="H594">
      <v>1</v>
    </nc>
  </rcc>
  <rcc rId="7854" sId="2" numFmtId="4">
    <nc r="B595">
      <v>13</v>
    </nc>
  </rcc>
  <rcc rId="7855" sId="2" numFmtId="4">
    <nc r="C595">
      <v>111</v>
    </nc>
  </rcc>
  <rcc rId="7856" sId="2" numFmtId="4">
    <nc r="D595">
      <v>3</v>
    </nc>
  </rcc>
  <rcc rId="7857" sId="2" numFmtId="4">
    <nc r="E595">
      <v>16</v>
    </nc>
  </rcc>
  <rcc rId="7858" sId="2" numFmtId="4">
    <nc r="F595">
      <v>0</v>
    </nc>
  </rcc>
  <rcc rId="7859" sId="2" numFmtId="4">
    <nc r="G595">
      <v>0</v>
    </nc>
  </rcc>
  <rcc rId="7860" sId="2" numFmtId="4">
    <nc r="H595">
      <v>0</v>
    </nc>
  </rcc>
  <rcc rId="7861" sId="2" numFmtId="4">
    <nc r="B596">
      <v>13</v>
    </nc>
  </rcc>
  <rcc rId="7862" sId="2" numFmtId="4">
    <nc r="D596">
      <v>4</v>
    </nc>
  </rcc>
  <rcc rId="7863" sId="2" numFmtId="4">
    <nc r="C596">
      <v>111</v>
    </nc>
  </rcc>
  <rcc rId="7864" sId="2" numFmtId="4">
    <nc r="E596">
      <v>17</v>
    </nc>
  </rcc>
  <rcc rId="7865" sId="2" numFmtId="4">
    <nc r="F596">
      <v>0</v>
    </nc>
  </rcc>
  <rcc rId="7866" sId="2" numFmtId="4">
    <nc r="G596">
      <v>0</v>
    </nc>
  </rcc>
  <rcc rId="7867" sId="2" numFmtId="4">
    <nc r="H596">
      <v>0</v>
    </nc>
  </rcc>
  <rcc rId="7868" sId="2" numFmtId="4">
    <nc r="B597">
      <v>13</v>
    </nc>
  </rcc>
  <rcc rId="7869" sId="2" numFmtId="4">
    <nc r="C597">
      <v>111</v>
    </nc>
  </rcc>
  <rcc rId="7870" sId="2" numFmtId="4">
    <nc r="D597">
      <v>5</v>
    </nc>
  </rcc>
  <rcc rId="7871" sId="2" numFmtId="4">
    <nc r="E597">
      <v>13</v>
    </nc>
  </rcc>
  <rcc rId="7872" sId="2" numFmtId="4">
    <nc r="F597">
      <v>5</v>
    </nc>
  </rcc>
  <rcc rId="7873" sId="2" numFmtId="4">
    <nc r="G597">
      <v>0</v>
    </nc>
  </rcc>
  <rcc rId="7874" sId="2" numFmtId="4">
    <nc r="H597">
      <v>0</v>
    </nc>
  </rcc>
  <rcc rId="7875" sId="2" numFmtId="4">
    <nc r="B598">
      <v>1</v>
    </nc>
  </rcc>
  <rcc rId="7876" sId="2" numFmtId="4">
    <nc r="C598">
      <v>49</v>
    </nc>
  </rcc>
  <rcc rId="7877" sId="2" numFmtId="4">
    <nc r="D598">
      <v>13</v>
    </nc>
  </rcc>
  <rcc rId="7878" sId="2" numFmtId="4">
    <nc r="E598">
      <v>12</v>
    </nc>
  </rcc>
  <rcc rId="7879" sId="2" numFmtId="4">
    <nc r="F598">
      <v>1</v>
    </nc>
  </rcc>
  <rcc rId="7880" sId="2" numFmtId="4">
    <nc r="G598">
      <v>1</v>
    </nc>
  </rcc>
  <rcc rId="7881" sId="2" numFmtId="4">
    <nc r="H598">
      <v>0</v>
    </nc>
  </rcc>
  <rcc rId="7882" sId="2" numFmtId="4">
    <nc r="B599">
      <v>13</v>
    </nc>
  </rcc>
  <rcc rId="7883" sId="2" numFmtId="4">
    <nc r="C599">
      <v>44</v>
    </nc>
  </rcc>
  <rcc rId="7884" sId="2" numFmtId="4">
    <nc r="D599">
      <v>13</v>
    </nc>
  </rcc>
  <rcc rId="7885" sId="2" numFmtId="4">
    <nc r="E599">
      <v>7</v>
    </nc>
  </rcc>
  <rcc rId="7886" sId="2" numFmtId="4">
    <nc r="F599">
      <v>14</v>
    </nc>
  </rcc>
  <rcc rId="7887" sId="2" numFmtId="4">
    <nc r="G599">
      <v>1</v>
    </nc>
  </rcc>
  <rcc rId="7888" sId="2" numFmtId="4">
    <nc r="H599">
      <v>0</v>
    </nc>
  </rcc>
  <rcc rId="7889" sId="2" numFmtId="4">
    <nc r="B600">
      <v>13</v>
    </nc>
  </rcc>
  <rcc rId="7890" sId="2" numFmtId="4">
    <nc r="C600">
      <v>44</v>
    </nc>
  </rcc>
  <rcc rId="7891" sId="2" numFmtId="4">
    <nc r="D600">
      <v>14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>
  <rcc rId="7892" sId="5" numFmtId="4">
    <nc r="B487">
      <v>13</v>
    </nc>
  </rcc>
  <rcc rId="7893" sId="5" numFmtId="4">
    <nc r="C487">
      <v>95</v>
    </nc>
  </rcc>
  <rcc rId="7894" sId="5" numFmtId="4">
    <nc r="D487">
      <v>11</v>
    </nc>
  </rcc>
  <rcc rId="7895" sId="5" numFmtId="4">
    <nc r="E487">
      <v>23</v>
    </nc>
  </rcc>
  <rcc rId="7896" sId="5" numFmtId="4">
    <nc r="F487">
      <v>2</v>
    </nc>
  </rcc>
  <rcc rId="7897" sId="5" numFmtId="4">
    <nc r="G487">
      <v>0</v>
    </nc>
  </rcc>
  <rcc rId="7898" sId="5" numFmtId="4">
    <nc r="B488">
      <v>13</v>
    </nc>
  </rcc>
  <rcc rId="7899" sId="5" numFmtId="4">
    <nc r="C488">
      <v>95</v>
    </nc>
  </rcc>
  <rcc rId="7900" sId="5" numFmtId="4">
    <nc r="D488">
      <v>12</v>
    </nc>
  </rcc>
  <rcc rId="7901" sId="5" numFmtId="4">
    <nc r="E488">
      <v>19</v>
    </nc>
  </rcc>
  <rcc rId="7902" sId="5" numFmtId="4">
    <nc r="F488">
      <v>16</v>
    </nc>
  </rcc>
  <rcc rId="7903" sId="5" numFmtId="4">
    <nc r="G488">
      <v>0</v>
    </nc>
  </rcc>
  <rcc rId="7904" sId="5" numFmtId="4">
    <nc r="B489">
      <v>13</v>
    </nc>
  </rcc>
  <rcc rId="7905" sId="5" numFmtId="4">
    <nc r="C489">
      <v>95</v>
    </nc>
  </rcc>
  <rcc rId="7906" sId="5" numFmtId="4">
    <nc r="D489">
      <v>13</v>
    </nc>
  </rcc>
  <rcc rId="7907" sId="5" numFmtId="4">
    <nc r="E489">
      <v>23</v>
    </nc>
  </rcc>
  <rcc rId="7908" sId="5" numFmtId="4">
    <nc r="F489">
      <v>1</v>
    </nc>
  </rcc>
  <rcc rId="7909" sId="5" numFmtId="4">
    <nc r="G489">
      <v>0</v>
    </nc>
  </rcc>
  <rcc rId="7910" sId="5" numFmtId="4">
    <nc r="B490">
      <v>13</v>
    </nc>
  </rcc>
  <rcc rId="7911" sId="5" numFmtId="4">
    <nc r="C490">
      <v>95</v>
    </nc>
  </rcc>
  <rcc rId="7912" sId="5" numFmtId="4">
    <nc r="D490">
      <v>14</v>
    </nc>
  </rcc>
  <rcc rId="7913" sId="5" numFmtId="4">
    <nc r="E490">
      <v>13</v>
    </nc>
  </rcc>
  <rcc rId="7914" sId="5" numFmtId="4">
    <nc r="F490">
      <v>12</v>
    </nc>
  </rcc>
  <rcc rId="7915" sId="5" numFmtId="4">
    <nc r="G490">
      <v>0</v>
    </nc>
  </rcc>
  <rcc rId="7916" sId="5" numFmtId="4">
    <nc r="B491">
      <v>13</v>
    </nc>
  </rcc>
  <rcc rId="7917" sId="5" numFmtId="4">
    <nc r="C491">
      <v>88</v>
    </nc>
  </rcc>
  <rcc rId="7918" sId="5" numFmtId="4">
    <nc r="D491">
      <v>13</v>
    </nc>
  </rcc>
  <rcc rId="7919" sId="5" numFmtId="4">
    <nc r="E491">
      <v>14</v>
    </nc>
  </rcc>
  <rcc rId="7920" sId="5" numFmtId="4">
    <nc r="F491">
      <v>9</v>
    </nc>
  </rcc>
  <rcc rId="7921" sId="5" numFmtId="4">
    <nc r="G491">
      <v>0</v>
    </nc>
  </rcc>
  <rcc rId="7922" sId="5" numFmtId="4">
    <nc r="B492">
      <v>13</v>
    </nc>
  </rcc>
  <rcc rId="7923" sId="5" numFmtId="4">
    <nc r="C492">
      <v>112</v>
    </nc>
  </rcc>
  <rcc rId="7924" sId="5" numFmtId="4">
    <nc r="D492">
      <v>13</v>
    </nc>
  </rcc>
  <rcc rId="7925" sId="5" numFmtId="4">
    <nc r="E492">
      <v>25</v>
    </nc>
  </rcc>
  <rcc rId="7926" sId="5" numFmtId="4">
    <nc r="F492">
      <v>10</v>
    </nc>
  </rcc>
  <rcc rId="7927" sId="5" numFmtId="4">
    <nc r="G492">
      <v>0</v>
    </nc>
  </rcc>
  <rcc rId="7928" sId="5" numFmtId="4">
    <nc r="B493">
      <v>13</v>
    </nc>
  </rcc>
  <rcc rId="7929" sId="5" numFmtId="4">
    <nc r="C493">
      <v>91</v>
    </nc>
  </rcc>
  <rcc rId="7930" sId="5" numFmtId="4">
    <nc r="D493">
      <v>11</v>
    </nc>
  </rcc>
  <rcc rId="7931" sId="5" numFmtId="4">
    <nc r="E493">
      <v>15</v>
    </nc>
  </rcc>
  <rcc rId="7932" sId="5" numFmtId="4">
    <nc r="F493">
      <v>8</v>
    </nc>
  </rcc>
  <rcc rId="7933" sId="5" numFmtId="4">
    <nc r="G493">
      <v>2</v>
    </nc>
  </rcc>
  <rcc rId="7934" sId="5" numFmtId="4">
    <nc r="B494">
      <v>13</v>
    </nc>
  </rcc>
  <rcc rId="7935" sId="5" numFmtId="4">
    <nc r="C494">
      <v>98</v>
    </nc>
  </rcc>
  <rcc rId="7936" sId="5" numFmtId="4">
    <nc r="D494">
      <v>11</v>
    </nc>
  </rcc>
  <rcc rId="7937" sId="5" numFmtId="4">
    <nc r="E494">
      <v>8</v>
    </nc>
  </rcc>
  <rcc rId="7938" sId="5" numFmtId="4">
    <nc r="F494">
      <v>11</v>
    </nc>
  </rcc>
  <rcc rId="7939" sId="5" numFmtId="4">
    <nc r="G494">
      <v>0</v>
    </nc>
  </rcc>
  <rcc rId="7940" sId="5" numFmtId="4">
    <nc r="B495">
      <v>13</v>
    </nc>
  </rcc>
  <rcc rId="7941" sId="5" numFmtId="4">
    <nc r="C495">
      <v>77</v>
    </nc>
  </rcc>
  <rcc rId="7942" sId="5" numFmtId="4">
    <nc r="D495">
      <v>13</v>
    </nc>
  </rcc>
  <rcc rId="7943" sId="5" numFmtId="4">
    <nc r="E495">
      <v>16</v>
    </nc>
  </rcc>
  <rcc rId="7944" sId="5" numFmtId="4">
    <nc r="F495">
      <v>9</v>
    </nc>
  </rcc>
  <rcc rId="7945" sId="5" numFmtId="4">
    <nc r="G495">
      <v>0</v>
    </nc>
  </rcc>
  <rcc rId="7946" sId="5" numFmtId="4">
    <nc r="B496">
      <v>13</v>
    </nc>
  </rcc>
  <rcc rId="7947" sId="5" numFmtId="4">
    <nc r="C496">
      <v>98</v>
    </nc>
  </rcc>
  <rcc rId="7948" sId="5" numFmtId="4">
    <nc r="D496">
      <v>12</v>
    </nc>
  </rcc>
  <rcc rId="7949" sId="5" numFmtId="4">
    <nc r="E496">
      <v>0</v>
    </nc>
  </rcc>
  <rcc rId="7950" sId="5" numFmtId="4">
    <nc r="F496">
      <v>0</v>
    </nc>
  </rcc>
  <rcc rId="7951" sId="5" numFmtId="4">
    <nc r="G496">
      <v>0</v>
    </nc>
  </rcc>
  <rcc rId="7952" sId="5" numFmtId="4">
    <nc r="B497">
      <v>13</v>
    </nc>
  </rcc>
  <rcc rId="7953" sId="5" numFmtId="4">
    <nc r="C497">
      <v>99</v>
    </nc>
  </rcc>
  <rcc rId="7954" sId="5" numFmtId="4">
    <nc r="D497">
      <v>13</v>
    </nc>
  </rcc>
  <rcc rId="7955" sId="5" numFmtId="4">
    <nc r="E497">
      <v>12</v>
    </nc>
  </rcc>
  <rcc rId="7956" sId="5" numFmtId="4">
    <nc r="F497">
      <v>9</v>
    </nc>
  </rcc>
  <rcc rId="7957" sId="5" numFmtId="4">
    <nc r="G497">
      <v>1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>
  <rcc rId="7962" sId="5">
    <oc r="I5">
      <v>123</v>
    </oc>
    <nc r="I5">
      <v>13</v>
    </nc>
  </rcc>
  <rcc rId="7963" sId="5" numFmtId="4">
    <nc r="B498">
      <v>13</v>
    </nc>
  </rcc>
  <rcc rId="7964" sId="5" numFmtId="4">
    <nc r="C498">
      <v>114</v>
    </nc>
  </rcc>
  <rcc rId="7965" sId="5" numFmtId="4">
    <nc r="D498">
      <v>14</v>
    </nc>
  </rcc>
  <rcc rId="7966" sId="5" numFmtId="4">
    <nc r="E498">
      <v>28</v>
    </nc>
  </rcc>
  <rcc rId="7967" sId="5" numFmtId="4">
    <nc r="F498">
      <v>9</v>
    </nc>
  </rcc>
  <rcc rId="7968" sId="5" numFmtId="4">
    <nc r="G498">
      <v>5</v>
    </nc>
  </rcc>
  <rcc rId="7969" sId="5" numFmtId="4">
    <nc r="B499">
      <v>13</v>
    </nc>
  </rcc>
  <rcc rId="7970" sId="5" numFmtId="4">
    <nc r="C499">
      <v>87</v>
    </nc>
  </rcc>
  <rcc rId="7971" sId="5" numFmtId="4">
    <nc r="D499">
      <v>13</v>
    </nc>
  </rcc>
  <rcc rId="7972" sId="5" numFmtId="4">
    <nc r="E499">
      <v>16</v>
    </nc>
  </rcc>
  <rcc rId="7973" sId="5" numFmtId="4">
    <nc r="F499">
      <v>3</v>
    </nc>
  </rcc>
  <rcc rId="7974" sId="5" numFmtId="4">
    <nc r="G499">
      <v>6</v>
    </nc>
  </rcc>
  <rcc rId="7975" sId="5" numFmtId="4">
    <nc r="B500">
      <v>13</v>
    </nc>
  </rcc>
  <rcc rId="7976" sId="5" numFmtId="4">
    <nc r="C500">
      <v>97</v>
    </nc>
  </rcc>
  <rcc rId="7977" sId="5" numFmtId="4">
    <nc r="D500">
      <v>14</v>
    </nc>
  </rcc>
  <rcc rId="7978" sId="5" numFmtId="4">
    <nc r="E500">
      <v>20</v>
    </nc>
  </rcc>
  <rcc rId="7979" sId="5" numFmtId="4">
    <nc r="F500">
      <v>5</v>
    </nc>
  </rcc>
  <rcc rId="7980" sId="5" numFmtId="4">
    <nc r="G500">
      <v>0</v>
    </nc>
  </rcc>
  <rcc rId="7981" sId="5" numFmtId="4">
    <nc r="B501">
      <v>13</v>
    </nc>
  </rcc>
  <rcc rId="7982" sId="5" numFmtId="4">
    <nc r="C501">
      <v>97</v>
    </nc>
  </rcc>
  <rcc rId="7983" sId="5" numFmtId="4">
    <nc r="D501">
      <v>13</v>
    </nc>
  </rcc>
  <rcc rId="7984" sId="5" numFmtId="4">
    <nc r="E501">
      <v>13</v>
    </nc>
  </rcc>
  <rcc rId="7985" sId="5" numFmtId="4">
    <nc r="F501">
      <v>1</v>
    </nc>
  </rcc>
  <rcc rId="7986" sId="5" numFmtId="4">
    <nc r="G501">
      <v>0</v>
    </nc>
  </rcc>
  <rcc rId="7987" sId="5" numFmtId="4">
    <nc r="B502">
      <v>13</v>
    </nc>
  </rcc>
  <rcc rId="7988" sId="5" numFmtId="4">
    <nc r="C502">
      <v>86</v>
    </nc>
  </rcc>
  <rcc rId="7989" sId="5" numFmtId="4">
    <nc r="D502">
      <v>13</v>
    </nc>
  </rcc>
  <rcc rId="7990" sId="5" numFmtId="4">
    <nc r="E502">
      <v>20</v>
    </nc>
  </rcc>
  <rcc rId="7991" sId="5" numFmtId="4">
    <nc r="F502">
      <v>2</v>
    </nc>
  </rcc>
  <rcc rId="7992" sId="5" numFmtId="4">
    <nc r="G502">
      <v>3</v>
    </nc>
  </rcc>
  <rcc rId="7993" sId="5" numFmtId="4">
    <nc r="B503">
      <v>13</v>
    </nc>
  </rcc>
  <rcc rId="7994" sId="5" numFmtId="4">
    <nc r="C503">
      <v>120</v>
    </nc>
  </rcc>
  <rcc rId="7995" sId="5" numFmtId="4">
    <nc r="D503">
      <v>15</v>
    </nc>
  </rcc>
  <rcc rId="7996" sId="5" numFmtId="4">
    <nc r="E503">
      <v>7</v>
    </nc>
  </rcc>
  <rcc rId="7997" sId="5" numFmtId="4">
    <nc r="F503">
      <v>18</v>
    </nc>
  </rcc>
  <rcc rId="7998" sId="5" numFmtId="4">
    <nc r="G503">
      <v>0</v>
    </nc>
  </rcc>
  <rcc rId="7999" sId="5" numFmtId="4">
    <nc r="B504">
      <v>13</v>
    </nc>
  </rcc>
  <rcc rId="8000" sId="5" numFmtId="4">
    <nc r="C504">
      <v>120</v>
    </nc>
  </rcc>
  <rcc rId="8001" sId="5" numFmtId="4">
    <nc r="D504">
      <v>14</v>
    </nc>
  </rcc>
  <rcc rId="8002" sId="5" numFmtId="4">
    <nc r="E504">
      <v>13</v>
    </nc>
  </rcc>
  <rcc rId="8003" sId="5" numFmtId="4">
    <nc r="F504">
      <v>12</v>
    </nc>
  </rcc>
  <rcc rId="8004" sId="5" numFmtId="4">
    <nc r="G504">
      <v>0</v>
    </nc>
  </rcc>
  <rcc rId="8005" sId="5" numFmtId="4">
    <nc r="B505">
      <v>13</v>
    </nc>
  </rcc>
  <rcc rId="8006" sId="5" numFmtId="4">
    <nc r="C505">
      <v>109</v>
    </nc>
  </rcc>
  <rcc rId="8007" sId="5" numFmtId="4">
    <nc r="D505">
      <v>14</v>
    </nc>
  </rcc>
  <rcc rId="8008" sId="5" numFmtId="4">
    <nc r="E505">
      <v>24</v>
    </nc>
  </rcc>
  <rcc rId="8009" sId="5" numFmtId="4">
    <nc r="F505">
      <v>13</v>
    </nc>
  </rcc>
  <rcc rId="8010" sId="5" numFmtId="4">
    <nc r="G505">
      <v>0</v>
    </nc>
  </rcc>
  <rcc rId="8011" sId="5" numFmtId="4">
    <nc r="B506">
      <v>13</v>
    </nc>
  </rcc>
  <rcc rId="8012" sId="5" numFmtId="4">
    <nc r="C506">
      <v>114</v>
    </nc>
  </rcc>
  <rcc rId="8013" sId="5" numFmtId="4">
    <nc r="D506">
      <v>13</v>
    </nc>
  </rcc>
  <rcc rId="8014" sId="5" numFmtId="4">
    <nc r="E506">
      <v>35</v>
    </nc>
  </rcc>
  <rcc rId="8015" sId="5" numFmtId="4">
    <nc r="F506">
      <v>11</v>
    </nc>
  </rcc>
  <rcc rId="8016" sId="5" numFmtId="4">
    <nc r="G506">
      <v>8</v>
    </nc>
  </rcc>
  <rcc rId="8017" sId="5" numFmtId="4">
    <nc r="B507">
      <v>13</v>
    </nc>
  </rcc>
  <rcc rId="8018" sId="5" numFmtId="4">
    <nc r="C507">
      <v>111</v>
    </nc>
  </rcc>
  <rcc rId="8019" sId="5" numFmtId="4">
    <nc r="D507">
      <v>2</v>
    </nc>
  </rcc>
  <rcc rId="8020" sId="5" numFmtId="4">
    <nc r="E507">
      <v>19</v>
    </nc>
  </rcc>
  <rcc rId="8021" sId="5" numFmtId="4">
    <nc r="F507">
      <v>3</v>
    </nc>
  </rcc>
  <rcc rId="8022" sId="5" numFmtId="4">
    <nc r="G507">
      <v>0</v>
    </nc>
  </rcc>
  <rcc rId="8023" sId="5" numFmtId="4">
    <nc r="B508">
      <v>13</v>
    </nc>
  </rcc>
  <rcc rId="8024" sId="5" numFmtId="4">
    <nc r="C508">
      <v>111</v>
    </nc>
  </rcc>
  <rcc rId="8025" sId="5" numFmtId="4">
    <nc r="D508">
      <v>3</v>
    </nc>
  </rcc>
  <rcc rId="8026" sId="5" numFmtId="4">
    <nc r="E508">
      <v>14</v>
    </nc>
  </rcc>
  <rcc rId="8027" sId="5" numFmtId="4">
    <nc r="F508">
      <v>0</v>
    </nc>
  </rcc>
  <rcc rId="8028" sId="5" numFmtId="4">
    <nc r="G508">
      <v>0</v>
    </nc>
  </rcc>
  <rcc rId="8029" sId="5" numFmtId="4">
    <nc r="B509">
      <v>13</v>
    </nc>
  </rcc>
  <rcc rId="8030" sId="5" numFmtId="4">
    <nc r="C509">
      <v>111</v>
    </nc>
  </rcc>
  <rcc rId="8031" sId="5" numFmtId="4">
    <nc r="D509">
      <v>4</v>
    </nc>
  </rcc>
  <rcc rId="8032" sId="5" numFmtId="4">
    <nc r="E509">
      <v>17</v>
    </nc>
  </rcc>
  <rcc rId="8033" sId="5" numFmtId="4">
    <nc r="F509">
      <v>2</v>
    </nc>
  </rcc>
  <rcc rId="8034" sId="5" numFmtId="4">
    <nc r="G509">
      <v>0</v>
    </nc>
  </rcc>
  <rcc rId="8035" sId="5" numFmtId="4">
    <nc r="B510">
      <v>13</v>
    </nc>
  </rcc>
  <rcc rId="8036" sId="5" numFmtId="4">
    <nc r="C510">
      <v>111</v>
    </nc>
  </rcc>
  <rcc rId="8037" sId="5" numFmtId="4">
    <nc r="D510">
      <v>5</v>
    </nc>
  </rcc>
  <rcc rId="8038" sId="5" numFmtId="4">
    <nc r="E510">
      <v>16</v>
    </nc>
  </rcc>
  <rcc rId="8039" sId="5" numFmtId="4">
    <nc r="F510">
      <v>0</v>
    </nc>
  </rcc>
  <rcc rId="8040" sId="5" numFmtId="4">
    <nc r="G510">
      <v>0</v>
    </nc>
  </rcc>
  <rcc rId="8041" sId="5" numFmtId="4">
    <nc r="B511">
      <v>13</v>
    </nc>
  </rcc>
  <rcc rId="8042" sId="5" numFmtId="4">
    <nc r="C511">
      <v>111</v>
    </nc>
  </rcc>
  <rcc rId="8043" sId="5" numFmtId="4">
    <nc r="D511">
      <v>6</v>
    </nc>
  </rcc>
  <rcc rId="8044" sId="5" numFmtId="4">
    <nc r="E511">
      <v>17</v>
    </nc>
  </rcc>
  <rcc rId="8045" sId="5" numFmtId="4">
    <nc r="F511">
      <v>2</v>
    </nc>
  </rcc>
  <rcc rId="8046" sId="5" numFmtId="4">
    <nc r="G511">
      <v>0</v>
    </nc>
  </rcc>
  <rcc rId="8047" sId="5" numFmtId="4">
    <nc r="B512">
      <v>13</v>
    </nc>
  </rcc>
  <rcc rId="8048" sId="5" numFmtId="4">
    <nc r="C512">
      <v>111</v>
    </nc>
  </rcc>
  <rcc rId="8049" sId="5" numFmtId="4">
    <nc r="D512">
      <v>12</v>
    </nc>
  </rcc>
  <rcc rId="8050" sId="5" numFmtId="4">
    <nc r="E512">
      <v>0</v>
    </nc>
  </rcc>
  <rcc rId="8051" sId="5" numFmtId="4">
    <nc r="F512">
      <v>0</v>
    </nc>
  </rcc>
  <rcc rId="8052" sId="5" numFmtId="4">
    <nc r="G512">
      <v>0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>
  <rcc rId="8053" sId="2" numFmtId="4">
    <nc r="E600">
      <v>8</v>
    </nc>
  </rcc>
  <rcc rId="8054" sId="2" numFmtId="4">
    <nc r="F600">
      <v>13</v>
    </nc>
  </rcc>
  <rcc rId="8055" sId="2" numFmtId="4">
    <nc r="G600">
      <v>0</v>
    </nc>
  </rcc>
  <rcc rId="8056" sId="2" numFmtId="4">
    <nc r="H600">
      <v>0</v>
    </nc>
  </rcc>
  <rcc rId="8057" sId="2" numFmtId="4">
    <nc r="B601">
      <v>1</v>
    </nc>
  </rcc>
  <rcc rId="8058" sId="2" numFmtId="4">
    <nc r="C601">
      <v>4</v>
    </nc>
  </rcc>
  <rcc rId="8059" sId="2" numFmtId="4">
    <nc r="D601">
      <v>9</v>
    </nc>
  </rcc>
  <rcc rId="8060" sId="2" numFmtId="4">
    <nc r="E601">
      <v>7</v>
    </nc>
  </rcc>
  <rcc rId="8061" sId="2" numFmtId="4">
    <nc r="F601">
      <v>7</v>
    </nc>
  </rcc>
  <rcc rId="8062" sId="2" numFmtId="4">
    <nc r="G601">
      <v>2</v>
    </nc>
  </rcc>
  <rcc rId="8063" sId="2" numFmtId="4">
    <nc r="H601">
      <v>0</v>
    </nc>
  </rcc>
  <rcc rId="8064" sId="2" numFmtId="4">
    <nc r="B602">
      <v>1</v>
    </nc>
  </rcc>
  <rcc rId="8065" sId="2" numFmtId="4">
    <nc r="C602">
      <v>4</v>
    </nc>
  </rcc>
  <rcc rId="8066" sId="2" numFmtId="4">
    <nc r="D602">
      <v>10</v>
    </nc>
  </rcc>
  <rcc rId="8067" sId="2" numFmtId="4">
    <nc r="E602">
      <v>6</v>
    </nc>
  </rcc>
  <rcc rId="8068" sId="2" numFmtId="4">
    <nc r="F602">
      <v>7</v>
    </nc>
  </rcc>
  <rcc rId="8069" sId="2" numFmtId="4">
    <nc r="G602">
      <v>0</v>
    </nc>
  </rcc>
  <rcc rId="8070" sId="2" numFmtId="4">
    <nc r="H602">
      <v>0</v>
    </nc>
  </rcc>
  <rcc rId="8071" sId="2" numFmtId="4">
    <nc r="B603">
      <v>1</v>
    </nc>
  </rcc>
  <rcc rId="8072" sId="2" numFmtId="4">
    <nc r="C603">
      <v>4</v>
    </nc>
  </rcc>
  <rcc rId="8073" sId="2" numFmtId="4">
    <nc r="D603">
      <v>11</v>
    </nc>
  </rcc>
  <rcc rId="8074" sId="2" numFmtId="4">
    <nc r="E603">
      <v>4</v>
    </nc>
  </rcc>
  <rcc rId="8075" sId="2" numFmtId="4">
    <nc r="F603">
      <v>5</v>
    </nc>
  </rcc>
  <rcc rId="8076" sId="2" numFmtId="4">
    <nc r="G603">
      <v>0</v>
    </nc>
  </rcc>
  <rcc rId="8077" sId="2" numFmtId="4">
    <nc r="H603">
      <v>0</v>
    </nc>
  </rcc>
  <rcc rId="8078" sId="2" numFmtId="4">
    <nc r="B604">
      <v>1</v>
    </nc>
  </rcc>
  <rcc rId="8079" sId="2" numFmtId="4">
    <nc r="C604">
      <v>4</v>
    </nc>
  </rcc>
  <rcc rId="8080" sId="2" numFmtId="4">
    <nc r="D604">
      <v>12</v>
    </nc>
  </rcc>
  <rcc rId="8081" sId="2" numFmtId="4">
    <nc r="E604">
      <v>5</v>
    </nc>
  </rcc>
  <rcc rId="8082" sId="2" numFmtId="4">
    <nc r="F604">
      <v>4</v>
    </nc>
  </rcc>
  <rcc rId="8083" sId="2" numFmtId="4">
    <nc r="G604">
      <v>1</v>
    </nc>
  </rcc>
  <rcc rId="8084" sId="2" numFmtId="4">
    <nc r="H604">
      <v>0</v>
    </nc>
  </rcc>
  <rcc rId="8085" sId="2" numFmtId="4">
    <nc r="B605">
      <v>1</v>
    </nc>
  </rcc>
  <rcc rId="8086" sId="2" numFmtId="4">
    <nc r="C605">
      <v>4</v>
    </nc>
  </rcc>
  <rcc rId="8087" sId="2" numFmtId="4">
    <nc r="D605">
      <v>13</v>
    </nc>
  </rcc>
  <rcc rId="8088" sId="2" numFmtId="4">
    <nc r="E605">
      <v>6</v>
    </nc>
  </rcc>
  <rcc rId="8089" sId="2" numFmtId="4">
    <nc r="F605">
      <v>5</v>
    </nc>
  </rcc>
  <rcc rId="8090" sId="2" numFmtId="4">
    <nc r="G605">
      <v>0</v>
    </nc>
  </rcc>
  <rcc rId="8091" sId="2" numFmtId="4">
    <nc r="H605">
      <v>0</v>
    </nc>
  </rcc>
  <rcc rId="8092" sId="2" numFmtId="4">
    <nc r="B606">
      <v>1</v>
    </nc>
  </rcc>
  <rcc rId="8093" sId="2" numFmtId="4">
    <nc r="C606">
      <v>4</v>
    </nc>
  </rcc>
  <rcc rId="8094" sId="2" numFmtId="4">
    <nc r="D606">
      <v>14</v>
    </nc>
  </rcc>
  <rcc rId="8095" sId="2" numFmtId="4">
    <nc r="E606">
      <v>7</v>
    </nc>
  </rcc>
  <rcc rId="8096" sId="2" numFmtId="4">
    <nc r="F606">
      <v>6</v>
    </nc>
  </rcc>
  <rcc rId="8097" sId="2" numFmtId="4">
    <nc r="G606">
      <v>1</v>
    </nc>
  </rcc>
  <rcc rId="8098" sId="2" numFmtId="4">
    <nc r="H606">
      <v>0</v>
    </nc>
  </rcc>
  <rcc rId="8099" sId="2" numFmtId="4">
    <nc r="B607">
      <v>13</v>
    </nc>
  </rcc>
  <rcc rId="8100" sId="2" numFmtId="4">
    <nc r="C607">
      <v>109</v>
    </nc>
  </rcc>
  <rcc rId="8101" sId="2" numFmtId="4">
    <nc r="D607">
      <v>12</v>
    </nc>
  </rcc>
  <rcc rId="8102" sId="2" numFmtId="4">
    <nc r="E607">
      <v>23</v>
    </nc>
  </rcc>
  <rcc rId="8103" sId="2" numFmtId="4">
    <nc r="F607">
      <v>9</v>
    </nc>
  </rcc>
  <rcc rId="8104" sId="2" numFmtId="4">
    <nc r="G607">
      <v>0</v>
    </nc>
  </rcc>
  <rcc rId="8105" sId="2" numFmtId="4">
    <nc r="H607">
      <v>0</v>
    </nc>
  </rcc>
  <rcc rId="8106" sId="2" numFmtId="4">
    <nc r="B608">
      <v>13</v>
    </nc>
  </rcc>
  <rcc rId="8107" sId="2" numFmtId="4">
    <nc r="C608">
      <v>109</v>
    </nc>
  </rcc>
  <rcc rId="8108" sId="2" numFmtId="4">
    <nc r="D608">
      <v>13</v>
    </nc>
  </rcc>
  <rcc rId="8109" sId="2" numFmtId="4">
    <nc r="E608">
      <v>24</v>
    </nc>
  </rcc>
  <rcc rId="8110" sId="2" numFmtId="4">
    <nc r="F608">
      <v>9</v>
    </nc>
  </rcc>
  <rcc rId="8111" sId="2" numFmtId="4">
    <nc r="G608">
      <v>0</v>
    </nc>
  </rcc>
  <rcc rId="8112" sId="2" numFmtId="4">
    <nc r="H608">
      <v>0</v>
    </nc>
  </rcc>
  <rcc rId="8113" sId="2" numFmtId="4">
    <nc r="B609">
      <v>13</v>
    </nc>
  </rcc>
  <rcc rId="8114" sId="2" numFmtId="4">
    <nc r="C609">
      <v>103</v>
    </nc>
  </rcc>
  <rcc rId="8115" sId="2" numFmtId="4">
    <nc r="D609">
      <v>11</v>
    </nc>
  </rcc>
  <rcc rId="8116" sId="2" numFmtId="4">
    <nc r="E609">
      <v>25</v>
    </nc>
  </rcc>
  <rcc rId="8117" sId="2" numFmtId="4">
    <nc r="F609">
      <v>8</v>
    </nc>
  </rcc>
  <rcc rId="8118" sId="2" numFmtId="4">
    <nc r="G609">
      <v>0</v>
    </nc>
  </rcc>
  <rcc rId="8119" sId="2" numFmtId="4">
    <nc r="H609">
      <v>0</v>
    </nc>
  </rcc>
  <rcc rId="8120" sId="2" numFmtId="4">
    <nc r="B610">
      <v>13</v>
    </nc>
  </rcc>
  <rcc rId="8121" sId="2" numFmtId="4">
    <nc r="C610">
      <v>109</v>
    </nc>
  </rcc>
  <rcc rId="8122" sId="2" numFmtId="4">
    <nc r="D610">
      <v>10</v>
    </nc>
  </rcc>
  <rcc rId="8123" sId="2" numFmtId="4">
    <nc r="E610">
      <v>16</v>
    </nc>
  </rcc>
  <rcc rId="8124" sId="2" numFmtId="4">
    <nc r="F610">
      <v>2</v>
    </nc>
  </rcc>
  <rcc rId="8125" sId="2" numFmtId="4">
    <nc r="G610">
      <v>0</v>
    </nc>
  </rcc>
  <rcc rId="8126" sId="2" numFmtId="4">
    <nc r="H610">
      <v>0</v>
    </nc>
  </rcc>
  <rcc rId="8127" sId="2" numFmtId="4">
    <nc r="B611">
      <v>13</v>
    </nc>
  </rcc>
  <rcc rId="8128" sId="2" numFmtId="4">
    <nc r="C611">
      <v>78</v>
    </nc>
  </rcc>
  <rcc rId="8129" sId="2" numFmtId="4">
    <nc r="D611">
      <v>12</v>
    </nc>
  </rcc>
  <rcc rId="8130" sId="2" numFmtId="4">
    <nc r="E611">
      <v>0</v>
    </nc>
  </rcc>
  <rcc rId="8131" sId="2" numFmtId="4">
    <nc r="F611">
      <v>25</v>
    </nc>
  </rcc>
  <rcc rId="8132" sId="2" numFmtId="4">
    <nc r="G611">
      <v>0</v>
    </nc>
  </rcc>
  <rcc rId="8133" sId="2" numFmtId="4">
    <nc r="H611">
      <v>0</v>
    </nc>
  </rcc>
  <rcc rId="8134" sId="2" numFmtId="4">
    <nc r="B612">
      <v>13</v>
    </nc>
  </rcc>
  <rcc rId="8135" sId="2" numFmtId="4">
    <nc r="C612">
      <v>78</v>
    </nc>
  </rcc>
  <rcc rId="8136" sId="2" numFmtId="4">
    <nc r="D612">
      <v>13</v>
    </nc>
  </rcc>
  <rcc rId="8137" sId="2" numFmtId="4">
    <nc r="E612">
      <v>0</v>
    </nc>
  </rcc>
  <rcc rId="8138" sId="2" numFmtId="4">
    <nc r="F612">
      <v>25</v>
    </nc>
  </rcc>
  <rcc rId="8139" sId="2" numFmtId="4">
    <nc r="G612">
      <v>0</v>
    </nc>
  </rcc>
  <rcc rId="8140" sId="2" numFmtId="4">
    <nc r="H612">
      <v>0</v>
    </nc>
  </rcc>
  <rcc rId="8141" sId="2" numFmtId="4">
    <nc r="B613">
      <v>13</v>
    </nc>
  </rcc>
  <rcc rId="8142" sId="2" numFmtId="4">
    <nc r="C613">
      <v>78</v>
    </nc>
  </rcc>
  <rcc rId="8143" sId="2" numFmtId="4">
    <nc r="D613">
      <v>11</v>
    </nc>
  </rcc>
  <rcc rId="8144" sId="2" numFmtId="4">
    <nc r="E613">
      <v>0</v>
    </nc>
  </rcc>
  <rcc rId="8145" sId="2" numFmtId="4">
    <nc r="F613">
      <v>25</v>
    </nc>
  </rcc>
  <rcc rId="8146" sId="2" numFmtId="4">
    <nc r="G613">
      <v>0</v>
    </nc>
  </rcc>
  <rcc rId="8147" sId="2" numFmtId="4">
    <nc r="H613">
      <v>0</v>
    </nc>
  </rcc>
  <rcc rId="8148" sId="2" numFmtId="4">
    <nc r="B614">
      <v>13</v>
    </nc>
  </rcc>
  <rcc rId="8149" sId="2" numFmtId="4">
    <nc r="C614">
      <v>56</v>
    </nc>
  </rcc>
  <rcc rId="8150" sId="2" numFmtId="4">
    <nc r="D614">
      <v>9</v>
    </nc>
  </rcc>
  <rcc rId="8151" sId="2" numFmtId="4">
    <nc r="E614">
      <v>5</v>
    </nc>
  </rcc>
  <rcc rId="8152" sId="2" numFmtId="4">
    <nc r="F614">
      <v>4</v>
    </nc>
  </rcc>
  <rcc rId="8153" sId="2" numFmtId="4">
    <nc r="G614">
      <v>0</v>
    </nc>
  </rcc>
  <rcc rId="8154" sId="2" numFmtId="4">
    <nc r="H614">
      <v>0</v>
    </nc>
  </rcc>
  <rcc rId="8155" sId="2" numFmtId="4">
    <nc r="B615">
      <v>13</v>
    </nc>
  </rcc>
  <rcc rId="8156" sId="2" numFmtId="4">
    <nc r="C615">
      <v>56</v>
    </nc>
  </rcc>
  <rcc rId="8157" sId="2" numFmtId="4">
    <nc r="D615">
      <v>10</v>
    </nc>
  </rcc>
  <rcc rId="8158" sId="2" numFmtId="4">
    <nc r="E615">
      <v>4</v>
    </nc>
  </rcc>
  <rcc rId="8159" sId="2" numFmtId="4">
    <nc r="F615">
      <v>1</v>
    </nc>
  </rcc>
  <rcc rId="8160" sId="2" numFmtId="4">
    <nc r="G615">
      <v>0</v>
    </nc>
  </rcc>
  <rcc rId="8161" sId="2" numFmtId="4">
    <nc r="H615">
      <v>0</v>
    </nc>
  </rcc>
  <rcc rId="8162" sId="2" numFmtId="4">
    <nc r="B616">
      <v>13</v>
    </nc>
  </rcc>
  <rcc rId="8163" sId="2" numFmtId="4">
    <nc r="C616">
      <v>56</v>
    </nc>
  </rcc>
  <rcc rId="8164" sId="2" numFmtId="4">
    <nc r="D616">
      <v>11</v>
    </nc>
  </rcc>
  <rcc rId="8165" sId="2" numFmtId="4">
    <nc r="E616">
      <v>4</v>
    </nc>
  </rcc>
  <rcc rId="8166" sId="2" numFmtId="4">
    <nc r="F616">
      <v>5</v>
    </nc>
  </rcc>
  <rcc rId="8167" sId="2" numFmtId="4">
    <nc r="G616">
      <v>0</v>
    </nc>
  </rcc>
  <rcc rId="8168" sId="2" numFmtId="4">
    <nc r="H616">
      <v>3</v>
    </nc>
  </rcc>
  <rcc rId="8169" sId="2" numFmtId="4">
    <nc r="B617">
      <v>13</v>
    </nc>
  </rcc>
  <rcc rId="8170" sId="2" numFmtId="4">
    <nc r="C617">
      <v>56</v>
    </nc>
  </rcc>
  <rcc rId="8171" sId="2" numFmtId="4">
    <nc r="D617">
      <v>12</v>
    </nc>
  </rcc>
  <rcc rId="8172" sId="2" numFmtId="4">
    <nc r="E617">
      <v>5</v>
    </nc>
  </rcc>
  <rcc rId="8173" sId="2" numFmtId="4">
    <nc r="F617">
      <v>4</v>
    </nc>
  </rcc>
  <rcc rId="8174" sId="2" numFmtId="4">
    <nc r="G617">
      <v>0</v>
    </nc>
  </rcc>
  <rcc rId="8175" sId="2" numFmtId="4">
    <nc r="H617">
      <v>5</v>
    </nc>
  </rcc>
  <rcc rId="8176" sId="2" numFmtId="4">
    <nc r="B618">
      <v>13</v>
    </nc>
  </rcc>
  <rcc rId="8177" sId="2" numFmtId="4">
    <nc r="C618">
      <v>56</v>
    </nc>
  </rcc>
  <rcc rId="8178" sId="2" numFmtId="4">
    <nc r="D618">
      <v>13</v>
    </nc>
  </rcc>
  <rcc rId="8179" sId="2" numFmtId="4">
    <nc r="E618">
      <v>3</v>
    </nc>
  </rcc>
  <rcc rId="8180" sId="2" numFmtId="4">
    <nc r="F618">
      <v>0</v>
    </nc>
  </rcc>
  <rcc rId="8181" sId="2" numFmtId="4">
    <nc r="G618">
      <v>0</v>
    </nc>
  </rcc>
  <rcc rId="8182" sId="2" numFmtId="4">
    <nc r="H618">
      <v>2</v>
    </nc>
  </rcc>
  <rcc rId="8183" sId="2" numFmtId="4">
    <nc r="B619">
      <v>13</v>
    </nc>
  </rcc>
  <rcc rId="8184" sId="2" numFmtId="4">
    <nc r="C619">
      <v>56</v>
    </nc>
  </rcc>
  <rcc rId="8185" sId="2" numFmtId="4">
    <nc r="D619">
      <v>14</v>
    </nc>
  </rcc>
  <rcc rId="8186" sId="2" numFmtId="4">
    <nc r="E619">
      <v>0</v>
    </nc>
  </rcc>
  <rcc rId="8187" sId="2" numFmtId="4">
    <nc r="F619">
      <v>0</v>
    </nc>
  </rcc>
  <rcc rId="8188" sId="2" numFmtId="4">
    <nc r="G619">
      <v>2</v>
    </nc>
  </rcc>
  <rcc rId="8189" sId="2" numFmtId="4">
    <nc r="H619">
      <v>0</v>
    </nc>
  </rcc>
  <rcc rId="8190" sId="2" numFmtId="4">
    <nc r="B620">
      <v>13</v>
    </nc>
  </rcc>
  <rcc rId="8191" sId="2" numFmtId="4">
    <nc r="C620">
      <v>19</v>
    </nc>
  </rcc>
  <rcc rId="8192" sId="2" numFmtId="4">
    <nc r="D620">
      <v>11</v>
    </nc>
  </rcc>
  <rcc rId="8193" sId="2" numFmtId="4">
    <nc r="E620">
      <v>1</v>
    </nc>
  </rcc>
  <rcc rId="8194" sId="2" numFmtId="4">
    <nc r="F620">
      <v>10</v>
    </nc>
  </rcc>
  <rcc rId="8195" sId="2" numFmtId="4">
    <nc r="G620">
      <v>0</v>
    </nc>
  </rcc>
  <rcc rId="8196" sId="2" numFmtId="4">
    <nc r="H620">
      <v>0</v>
    </nc>
  </rcc>
  <rcc rId="8197" sId="2" numFmtId="4">
    <nc r="B621">
      <v>13</v>
    </nc>
  </rcc>
  <rcc rId="8198" sId="2" numFmtId="4">
    <nc r="C621">
      <v>19</v>
    </nc>
  </rcc>
  <rcc rId="8199" sId="2" numFmtId="4">
    <nc r="D621">
      <v>12</v>
    </nc>
  </rcc>
  <rcc rId="8200" sId="2" numFmtId="4">
    <nc r="E621">
      <v>1</v>
    </nc>
  </rcc>
  <rcc rId="8201" sId="2" numFmtId="4">
    <nc r="F621">
      <v>17</v>
    </nc>
  </rcc>
  <rcc rId="8202" sId="2" numFmtId="4">
    <nc r="G621">
      <v>0</v>
    </nc>
  </rcc>
  <rcc rId="8203" sId="2" numFmtId="4">
    <nc r="H621">
      <v>0</v>
    </nc>
  </rcc>
  <rcc rId="8204" sId="2" numFmtId="4">
    <nc r="B622">
      <v>13</v>
    </nc>
  </rcc>
  <rcc rId="8205" sId="2" numFmtId="4">
    <nc r="C622">
      <v>19</v>
    </nc>
  </rcc>
  <rcc rId="8206" sId="2" numFmtId="4">
    <nc r="D622">
      <v>13</v>
    </nc>
  </rcc>
  <rcc rId="8207" sId="2" numFmtId="4">
    <nc r="E622">
      <v>1</v>
    </nc>
  </rcc>
  <rcc rId="8208" sId="2" numFmtId="4">
    <nc r="F622">
      <v>14</v>
    </nc>
  </rcc>
  <rcc rId="8209" sId="2" numFmtId="4">
    <nc r="G622">
      <v>0</v>
    </nc>
  </rcc>
  <rcc rId="8210" sId="2" numFmtId="4">
    <nc r="H622">
      <v>0</v>
    </nc>
  </rcc>
  <rcc rId="8211" sId="2" numFmtId="4">
    <nc r="B623">
      <v>13</v>
    </nc>
  </rcc>
  <rcc rId="8212" sId="2" numFmtId="4">
    <nc r="C623">
      <v>19</v>
    </nc>
  </rcc>
  <rcc rId="8213" sId="2" numFmtId="4">
    <nc r="D623">
      <v>14</v>
    </nc>
  </rcc>
  <rcc rId="8214" sId="2" numFmtId="4">
    <nc r="E623">
      <v>1</v>
    </nc>
  </rcc>
  <rcc rId="8215" sId="2" numFmtId="4">
    <nc r="F623">
      <v>20</v>
    </nc>
  </rcc>
  <rcc rId="8216" sId="2" numFmtId="4">
    <nc r="G623">
      <v>0</v>
    </nc>
  </rcc>
  <rcc rId="8217" sId="2" numFmtId="4">
    <nc r="H623">
      <v>0</v>
    </nc>
  </rcc>
  <rcc rId="8218" sId="2" numFmtId="4">
    <nc r="B624">
      <v>1</v>
    </nc>
  </rcc>
  <rcc rId="8219" sId="2" numFmtId="4">
    <nc r="C624">
      <v>111</v>
    </nc>
  </rcc>
  <rcc rId="8220" sId="2" numFmtId="4">
    <nc r="D624">
      <v>6</v>
    </nc>
  </rcc>
  <rcc rId="8221" sId="2" numFmtId="4">
    <nc r="E624">
      <v>15</v>
    </nc>
  </rcc>
  <rcc rId="8222" sId="2" numFmtId="4">
    <nc r="F624">
      <v>4</v>
    </nc>
  </rcc>
  <rcc rId="8223" sId="2" numFmtId="4">
    <nc r="G624">
      <v>0</v>
    </nc>
  </rcc>
  <rcc rId="8224" sId="2" numFmtId="4">
    <nc r="H624">
      <v>0</v>
    </nc>
  </rcc>
  <rcc rId="8225" sId="2" numFmtId="4">
    <nc r="B625">
      <v>1</v>
    </nc>
  </rcc>
  <rcc rId="8226" sId="2" numFmtId="4">
    <nc r="C625">
      <v>111</v>
    </nc>
  </rcc>
  <rcc rId="8227" sId="2" numFmtId="4">
    <nc r="D625">
      <v>7</v>
    </nc>
  </rcc>
  <rcc rId="8228" sId="2" numFmtId="4">
    <nc r="E625">
      <v>12</v>
    </nc>
  </rcc>
  <rcc rId="8229" sId="2" numFmtId="4">
    <nc r="F625">
      <v>0</v>
    </nc>
  </rcc>
  <rcc rId="8230" sId="2" numFmtId="4">
    <nc r="G625">
      <v>0</v>
    </nc>
  </rcc>
  <rcc rId="8231" sId="2" numFmtId="4">
    <nc r="H625">
      <v>0</v>
    </nc>
  </rcc>
  <rcc rId="8232" sId="2" numFmtId="4">
    <nc r="B626">
      <v>1</v>
    </nc>
  </rcc>
  <rcc rId="8233" sId="2" numFmtId="4">
    <nc r="C626">
      <v>111</v>
    </nc>
  </rcc>
  <rcc rId="8234" sId="2" numFmtId="4">
    <nc r="D626">
      <v>8</v>
    </nc>
  </rcc>
  <rcc rId="8235" sId="2" numFmtId="4">
    <nc r="E626">
      <v>12</v>
    </nc>
  </rcc>
  <rcc rId="8236" sId="2" numFmtId="4">
    <nc r="F626">
      <v>2</v>
    </nc>
  </rcc>
  <rcc rId="8237" sId="2" numFmtId="4">
    <nc r="G626">
      <v>0</v>
    </nc>
  </rcc>
  <rcc rId="8238" sId="2" numFmtId="4">
    <nc r="H626">
      <v>0</v>
    </nc>
  </rcc>
  <rcc rId="8239" sId="2" numFmtId="4">
    <nc r="B627">
      <v>1</v>
    </nc>
  </rcc>
  <rcc rId="8240" sId="2" numFmtId="4">
    <nc r="C627">
      <v>111</v>
    </nc>
  </rcc>
  <rcc rId="8241" sId="2" numFmtId="4">
    <nc r="D627">
      <v>9</v>
    </nc>
  </rcc>
  <rcc rId="8242" sId="2" numFmtId="4">
    <nc r="E627">
      <v>17</v>
    </nc>
  </rcc>
  <rcc rId="8243" sId="2" numFmtId="4">
    <nc r="F627">
      <v>4</v>
    </nc>
  </rcc>
  <rcc rId="8244" sId="2" numFmtId="4">
    <nc r="G627">
      <v>0</v>
    </nc>
  </rcc>
  <rcc rId="8245" sId="2" numFmtId="4">
    <nc r="H627">
      <v>0</v>
    </nc>
  </rcc>
  <rcc rId="8246" sId="2" numFmtId="4">
    <nc r="B628">
      <v>1</v>
    </nc>
  </rcc>
  <rcc rId="8247" sId="2" numFmtId="4">
    <nc r="C628">
      <v>111</v>
    </nc>
  </rcc>
  <rcc rId="8248" sId="2" numFmtId="4">
    <nc r="D628">
      <v>10</v>
    </nc>
  </rcc>
  <rcc rId="8249" sId="2" numFmtId="4">
    <nc r="E628">
      <v>22</v>
    </nc>
  </rcc>
  <rcc rId="8250" sId="2" numFmtId="4">
    <nc r="F628">
      <v>0</v>
    </nc>
  </rcc>
  <rcc rId="8251" sId="2" numFmtId="4">
    <nc r="G628">
      <v>0</v>
    </nc>
  </rcc>
  <rcc rId="8252" sId="2" numFmtId="4">
    <nc r="H628">
      <v>0</v>
    </nc>
  </rcc>
  <rcc rId="8253" sId="2" numFmtId="4">
    <nc r="B629">
      <v>1</v>
    </nc>
  </rcc>
  <rcc rId="8254" sId="2" numFmtId="4">
    <nc r="C629">
      <v>111</v>
    </nc>
  </rcc>
  <rcc rId="8255" sId="2" numFmtId="4">
    <nc r="D629">
      <v>11</v>
    </nc>
  </rcc>
  <rcc rId="8256" sId="2" numFmtId="4">
    <nc r="E629">
      <v>23</v>
    </nc>
  </rcc>
  <rcc rId="8257" sId="2" numFmtId="4">
    <nc r="F629">
      <v>3</v>
    </nc>
  </rcc>
  <rcc rId="8258" sId="2" numFmtId="4">
    <nc r="G629">
      <v>0</v>
    </nc>
  </rcc>
  <rcc rId="8259" sId="2" numFmtId="4">
    <nc r="H629">
      <v>0</v>
    </nc>
  </rcc>
  <rcc rId="8260" sId="2" numFmtId="4">
    <nc r="B630">
      <v>1</v>
    </nc>
  </rcc>
  <rcc rId="8261" sId="2" numFmtId="4">
    <nc r="C630">
      <v>111</v>
    </nc>
  </rcc>
  <rcc rId="8262" sId="2" numFmtId="4">
    <nc r="D630">
      <v>12</v>
    </nc>
  </rcc>
  <rcc rId="8263" sId="2" numFmtId="4">
    <nc r="E630">
      <v>20</v>
    </nc>
  </rcc>
  <rcc rId="8264" sId="2" numFmtId="4">
    <nc r="F630">
      <v>3</v>
    </nc>
  </rcc>
  <rcc rId="8265" sId="2" numFmtId="4">
    <nc r="G630">
      <v>0</v>
    </nc>
  </rcc>
  <rcc rId="8266" sId="2" numFmtId="4">
    <nc r="H630">
      <v>0</v>
    </nc>
  </rcc>
  <rcc rId="8267" sId="2" numFmtId="4">
    <nc r="B631">
      <v>1</v>
    </nc>
  </rcc>
  <rcc rId="8268" sId="2" numFmtId="4">
    <nc r="C631">
      <v>111</v>
    </nc>
  </rcc>
  <rcc rId="8269" sId="2" numFmtId="4">
    <nc r="D631">
      <v>13</v>
    </nc>
  </rcc>
  <rcc rId="8270" sId="2" numFmtId="4">
    <nc r="E631">
      <v>22</v>
    </nc>
  </rcc>
  <rcc rId="8271" sId="2" numFmtId="4">
    <nc r="F631">
      <v>1</v>
    </nc>
  </rcc>
  <rcc rId="8272" sId="2" numFmtId="4">
    <nc r="G631">
      <v>0</v>
    </nc>
  </rcc>
  <rcc rId="8273" sId="2" numFmtId="4">
    <nc r="H631">
      <v>0</v>
    </nc>
  </rcc>
  <rcc rId="8274" sId="2" numFmtId="4">
    <nc r="B632">
      <v>1</v>
    </nc>
  </rcc>
  <rcc rId="8275" sId="2" numFmtId="4">
    <nc r="C632">
      <v>111</v>
    </nc>
  </rcc>
  <rcc rId="8276" sId="2" numFmtId="4">
    <nc r="D632">
      <v>14</v>
    </nc>
  </rcc>
  <rcc rId="8277" sId="2" numFmtId="4">
    <nc r="E632">
      <v>18</v>
    </nc>
  </rcc>
  <rcc rId="8278" sId="2" numFmtId="4">
    <nc r="F632">
      <v>3</v>
    </nc>
  </rcc>
  <rcc rId="8279" sId="2" numFmtId="4">
    <nc r="G632">
      <v>0</v>
    </nc>
  </rcc>
  <rcc rId="8280" sId="2" numFmtId="4">
    <nc r="H632">
      <v>0</v>
    </nc>
  </rcc>
  <rcc rId="8281" sId="2" numFmtId="4">
    <nc r="B633">
      <v>13</v>
    </nc>
  </rcc>
  <rcc rId="8282" sId="2" numFmtId="4">
    <nc r="C633">
      <v>109</v>
    </nc>
  </rcc>
  <rcc rId="8283" sId="2" numFmtId="4">
    <nc r="D633">
      <v>14</v>
    </nc>
  </rcc>
  <rcc rId="8284" sId="2" numFmtId="4">
    <nc r="E633">
      <v>15</v>
    </nc>
  </rcc>
  <rcc rId="8285" sId="2" numFmtId="4">
    <nc r="F633">
      <v>2</v>
    </nc>
  </rcc>
  <rcc rId="8286" sId="2" numFmtId="4">
    <nc r="G633">
      <v>0</v>
    </nc>
  </rcc>
  <rcc rId="8287" sId="2" numFmtId="4">
    <nc r="H633">
      <v>0</v>
    </nc>
  </rcc>
  <rcc rId="8288" sId="2" numFmtId="4">
    <nc r="B634">
      <v>1</v>
    </nc>
  </rcc>
  <rcc rId="8289" sId="2" numFmtId="4">
    <nc r="C634">
      <v>114</v>
    </nc>
  </rcc>
  <rcc rId="8290" sId="2" numFmtId="4">
    <nc r="D634">
      <v>13</v>
    </nc>
  </rcc>
  <rcc rId="8291" sId="2" numFmtId="4">
    <nc r="E634">
      <v>30</v>
    </nc>
  </rcc>
  <rcc rId="8292" sId="2" numFmtId="4">
    <nc r="F634">
      <v>5</v>
    </nc>
  </rcc>
  <rcc rId="8293" sId="2" numFmtId="4">
    <nc r="G634">
      <v>2</v>
    </nc>
  </rcc>
  <rcc rId="8294" sId="2" numFmtId="4">
    <nc r="H634">
      <v>2</v>
    </nc>
  </rcc>
  <rcc rId="8295" sId="2" numFmtId="4">
    <nc r="B635">
      <v>1</v>
    </nc>
  </rcc>
  <rcc rId="8296" sId="2" numFmtId="4">
    <nc r="C635">
      <v>114</v>
    </nc>
  </rcc>
  <rcc rId="8297" sId="2" numFmtId="4">
    <nc r="D635">
      <v>14</v>
    </nc>
  </rcc>
  <rcc rId="8298" sId="2" numFmtId="4">
    <nc r="E635">
      <v>33</v>
    </nc>
  </rcc>
  <rcc rId="8299" sId="2" numFmtId="4">
    <nc r="F635">
      <v>6</v>
    </nc>
  </rcc>
  <rcc rId="8300" sId="2" numFmtId="4">
    <nc r="G635">
      <v>3</v>
    </nc>
  </rcc>
  <rcc rId="8301" sId="2" numFmtId="4">
    <nc r="H635">
      <v>2</v>
    </nc>
  </rcc>
  <rcc rId="8302" sId="2" numFmtId="4">
    <nc r="B636">
      <v>13</v>
    </nc>
  </rcc>
  <rcc rId="8303" sId="2" numFmtId="4">
    <nc r="C636">
      <v>23</v>
    </nc>
  </rcc>
  <rcc rId="8304" sId="2" numFmtId="4">
    <nc r="D636">
      <v>15</v>
    </nc>
  </rcc>
  <rcc rId="8305" sId="2" numFmtId="4">
    <nc r="E636">
      <v>8</v>
    </nc>
  </rcc>
  <rcc rId="8306" sId="2" numFmtId="4">
    <nc r="F636">
      <v>14</v>
    </nc>
  </rcc>
  <rcc rId="8307" sId="2" numFmtId="4">
    <nc r="G636">
      <v>0</v>
    </nc>
  </rcc>
  <rcc rId="8308" sId="2" numFmtId="4">
    <nc r="H636">
      <v>0</v>
    </nc>
  </rcc>
  <rcc rId="8309" sId="2" numFmtId="4">
    <nc r="B637">
      <v>13</v>
    </nc>
  </rcc>
  <rcc rId="8310" sId="2" numFmtId="4">
    <nc r="C637">
      <v>23</v>
    </nc>
  </rcc>
  <rcc rId="8311" sId="2" numFmtId="4">
    <nc r="D637">
      <v>10</v>
    </nc>
  </rcc>
  <rcc rId="8312" sId="2" numFmtId="4">
    <nc r="E637">
      <v>6</v>
    </nc>
  </rcc>
  <rcc rId="8313" sId="2" numFmtId="4">
    <nc r="F637">
      <v>14</v>
    </nc>
  </rcc>
  <rcc rId="8314" sId="2" numFmtId="4">
    <nc r="G637">
      <v>1</v>
    </nc>
  </rcc>
  <rcc rId="8315" sId="2" numFmtId="4">
    <nc r="H637">
      <v>0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>
  <rcc rId="8316" sId="5" numFmtId="4">
    <oc r="D512">
      <v>12</v>
    </oc>
    <nc r="D512">
      <v>7</v>
    </nc>
  </rcc>
  <rcc rId="8317" sId="5" numFmtId="4">
    <oc r="E512">
      <v>0</v>
    </oc>
    <nc r="E512">
      <v>12</v>
    </nc>
  </rcc>
  <rcc rId="8318" sId="5" numFmtId="4">
    <nc r="B513">
      <v>13</v>
    </nc>
  </rcc>
  <rcc rId="8319" sId="5" numFmtId="4">
    <nc r="C513">
      <v>111</v>
    </nc>
  </rcc>
  <rcc rId="8320" sId="5" numFmtId="4">
    <nc r="D513">
      <v>8</v>
    </nc>
  </rcc>
  <rcc rId="8321" sId="5" numFmtId="4">
    <nc r="E513">
      <v>15</v>
    </nc>
  </rcc>
  <rcc rId="8322" sId="5" numFmtId="4">
    <nc r="F513">
      <v>3</v>
    </nc>
  </rcc>
  <rcc rId="8323" sId="5" numFmtId="4">
    <nc r="G513">
      <v>0</v>
    </nc>
  </rcc>
  <rcc rId="8324" sId="5" numFmtId="4">
    <nc r="B514">
      <v>13</v>
    </nc>
  </rcc>
  <rcc rId="8325" sId="5" numFmtId="4">
    <nc r="C514">
      <v>111</v>
    </nc>
  </rcc>
  <rcc rId="8326" sId="5" numFmtId="4">
    <nc r="D514">
      <v>9</v>
    </nc>
  </rcc>
  <rcc rId="8327" sId="5" numFmtId="4">
    <nc r="E514">
      <v>12</v>
    </nc>
  </rcc>
  <rcc rId="8328" sId="5" numFmtId="4">
    <nc r="F514">
      <v>1</v>
    </nc>
  </rcc>
  <rcc rId="8329" sId="5" numFmtId="4">
    <nc r="G514">
      <v>0</v>
    </nc>
  </rcc>
  <rcc rId="8330" sId="5" numFmtId="4">
    <nc r="B515">
      <v>13</v>
    </nc>
  </rcc>
  <rcc rId="8331" sId="5" numFmtId="4">
    <nc r="C515">
      <v>111</v>
    </nc>
  </rcc>
  <rcc rId="8332" sId="5" numFmtId="4">
    <nc r="D515">
      <v>10</v>
    </nc>
  </rcc>
  <rcc rId="8333" sId="5" numFmtId="4">
    <nc r="E515">
      <v>18</v>
    </nc>
  </rcc>
  <rcc rId="8334" sId="5" numFmtId="4">
    <nc r="F515">
      <v>4</v>
    </nc>
  </rcc>
  <rcc rId="8335" sId="5" numFmtId="4">
    <nc r="G515">
      <v>0</v>
    </nc>
  </rcc>
  <rcc rId="8336" sId="5" numFmtId="4">
    <nc r="B516">
      <v>13</v>
    </nc>
  </rcc>
  <rcc rId="8337" sId="5" numFmtId="4">
    <nc r="C516">
      <v>111</v>
    </nc>
  </rcc>
  <rcc rId="8338" sId="5" numFmtId="4">
    <nc r="D516">
      <v>11</v>
    </nc>
  </rcc>
  <rcc rId="8339" sId="5" numFmtId="4">
    <nc r="E516">
      <v>15</v>
    </nc>
  </rcc>
  <rcc rId="8340" sId="5" numFmtId="4">
    <nc r="F516">
      <v>4</v>
    </nc>
  </rcc>
  <rcc rId="8341" sId="5" numFmtId="4">
    <nc r="G516">
      <v>0</v>
    </nc>
  </rcc>
  <rcc rId="8342" sId="5" numFmtId="4">
    <nc r="B517">
      <v>13</v>
    </nc>
  </rcc>
  <rcc rId="8343" sId="5" numFmtId="4">
    <nc r="C517">
      <v>111</v>
    </nc>
  </rcc>
  <rcc rId="8344" sId="5" numFmtId="4">
    <nc r="D517">
      <v>12</v>
    </nc>
  </rcc>
  <rcc rId="8345" sId="5" numFmtId="4">
    <nc r="E517">
      <v>13</v>
    </nc>
  </rcc>
  <rcc rId="8346" sId="5" numFmtId="4">
    <nc r="F517">
      <v>2</v>
    </nc>
  </rcc>
  <rcc rId="8347" sId="5" numFmtId="4">
    <nc r="G517">
      <v>0</v>
    </nc>
  </rcc>
  <rcc rId="8348" sId="5" numFmtId="4">
    <nc r="B518">
      <v>13</v>
    </nc>
  </rcc>
  <rcc rId="8349" sId="5" numFmtId="4">
    <nc r="C518">
      <v>111</v>
    </nc>
  </rcc>
  <rcc rId="8350" sId="5" numFmtId="4">
    <nc r="D518">
      <v>13</v>
    </nc>
  </rcc>
  <rcc rId="8351" sId="5" numFmtId="4">
    <nc r="E518">
      <v>18</v>
    </nc>
  </rcc>
  <rcc rId="8352" sId="5" numFmtId="4">
    <nc r="F518">
      <v>3</v>
    </nc>
  </rcc>
  <rcc rId="8353" sId="5" numFmtId="4">
    <nc r="G518">
      <v>0</v>
    </nc>
  </rcc>
  <rcc rId="8354" sId="5" numFmtId="4">
    <nc r="B519">
      <v>13</v>
    </nc>
  </rcc>
  <rcc rId="8355" sId="5" numFmtId="4">
    <nc r="C519">
      <v>111</v>
    </nc>
  </rcc>
  <rcc rId="8356" sId="5" numFmtId="4">
    <nc r="D519">
      <v>14</v>
    </nc>
  </rcc>
  <rcc rId="8357" sId="5" numFmtId="4">
    <nc r="E519">
      <v>22</v>
    </nc>
  </rcc>
  <rcc rId="8358" sId="5" numFmtId="4">
    <nc r="F519">
      <v>9</v>
    </nc>
  </rcc>
  <rcc rId="8359" sId="5" numFmtId="4">
    <nc r="G519">
      <v>0</v>
    </nc>
  </rcc>
  <rcc rId="8360" sId="5" numFmtId="4">
    <nc r="B520">
      <v>13</v>
    </nc>
  </rcc>
  <rcc rId="8361" sId="5" numFmtId="4">
    <nc r="C520">
      <v>125</v>
    </nc>
  </rcc>
  <rcc rId="8362" sId="5" numFmtId="4">
    <nc r="D520">
      <v>14</v>
    </nc>
  </rcc>
  <rcc rId="8363" sId="5" numFmtId="4">
    <nc r="E520">
      <v>14</v>
    </nc>
  </rcc>
  <rcc rId="8364" sId="5" numFmtId="4">
    <nc r="F520">
      <v>12</v>
    </nc>
  </rcc>
  <rcc rId="8365" sId="5" numFmtId="4">
    <nc r="G520">
      <v>0</v>
    </nc>
  </rcc>
  <rcc rId="8366" sId="5" numFmtId="4">
    <nc r="B521">
      <v>13</v>
    </nc>
  </rcc>
  <rcc rId="8367" sId="5" numFmtId="4">
    <nc r="C521">
      <v>125</v>
    </nc>
  </rcc>
  <rcc rId="8368" sId="5" numFmtId="4">
    <nc r="D521">
      <v>11</v>
    </nc>
  </rcc>
  <rcc rId="8369" sId="5" numFmtId="4">
    <nc r="E521">
      <v>15</v>
    </nc>
  </rcc>
  <rcc rId="8370" sId="5" numFmtId="4">
    <nc r="F521">
      <v>9</v>
    </nc>
  </rcc>
  <rcc rId="8371" sId="5" numFmtId="4">
    <nc r="G521">
      <v>0</v>
    </nc>
  </rcc>
  <rcc rId="8372" sId="5" numFmtId="4">
    <nc r="B522">
      <v>13</v>
    </nc>
  </rcc>
  <rcc rId="8373" sId="5" numFmtId="4">
    <nc r="C522">
      <v>125</v>
    </nc>
  </rcc>
  <rcc rId="8374" sId="5" numFmtId="4">
    <nc r="D522">
      <v>12</v>
    </nc>
  </rcc>
  <rcc rId="8375" sId="5" numFmtId="4">
    <nc r="E522">
      <v>15</v>
    </nc>
  </rcc>
  <rcc rId="8376" sId="5" numFmtId="4">
    <nc r="F522">
      <v>16</v>
    </nc>
  </rcc>
  <rcc rId="8377" sId="5" numFmtId="4">
    <nc r="G522">
      <v>0</v>
    </nc>
  </rcc>
  <rcc rId="8378" sId="5" numFmtId="4">
    <nc r="B523">
      <v>13</v>
    </nc>
  </rcc>
  <rcc rId="8379" sId="5" numFmtId="4">
    <nc r="C523">
      <v>119</v>
    </nc>
  </rcc>
  <rcc rId="8380" sId="5" numFmtId="4">
    <nc r="D523">
      <v>9</v>
    </nc>
  </rcc>
  <rcc rId="8381" sId="5" numFmtId="4">
    <nc r="E523">
      <v>11</v>
    </nc>
  </rcc>
  <rcc rId="8382" sId="5" numFmtId="4">
    <nc r="F523">
      <v>14</v>
    </nc>
  </rcc>
  <rcc rId="8383" sId="5" numFmtId="4">
    <nc r="G523">
      <v>0</v>
    </nc>
  </rcc>
  <rcc rId="8384" sId="5" numFmtId="4">
    <nc r="B524">
      <v>13</v>
    </nc>
  </rcc>
  <rcc rId="8385" sId="5" numFmtId="4">
    <nc r="C524">
      <v>119</v>
    </nc>
  </rcc>
  <rcc rId="8386" sId="5" numFmtId="4">
    <nc r="D524">
      <v>10</v>
    </nc>
  </rcc>
  <rcc rId="8387" sId="5" numFmtId="4">
    <nc r="E524">
      <v>13</v>
    </nc>
  </rcc>
  <rcc rId="8388" sId="5" numFmtId="4">
    <nc r="F524">
      <v>12</v>
    </nc>
  </rcc>
  <rcc rId="8389" sId="5" numFmtId="4">
    <nc r="G524">
      <v>0</v>
    </nc>
  </rcc>
  <rcc rId="8390" sId="5" numFmtId="4">
    <nc r="B525">
      <v>13</v>
    </nc>
  </rcc>
  <rcc rId="8391" sId="5" numFmtId="4">
    <nc r="C525">
      <v>119</v>
    </nc>
  </rcc>
  <rcc rId="8392" sId="5" numFmtId="4">
    <nc r="D525">
      <v>11</v>
    </nc>
  </rcc>
  <rcc rId="8393" sId="5" numFmtId="4">
    <nc r="E525">
      <v>16</v>
    </nc>
  </rcc>
  <rcc rId="8394" sId="5" numFmtId="4">
    <nc r="F525">
      <v>9</v>
    </nc>
  </rcc>
  <rcc rId="8395" sId="5" numFmtId="4">
    <nc r="G525">
      <v>0</v>
    </nc>
  </rcc>
  <rcc rId="8396" sId="5" numFmtId="4">
    <nc r="B526">
      <v>13</v>
    </nc>
  </rcc>
  <rcc rId="8397" sId="5" numFmtId="4">
    <nc r="C526">
      <v>119</v>
    </nc>
  </rcc>
  <rcc rId="8398" sId="5" numFmtId="4">
    <nc r="D526">
      <v>12</v>
    </nc>
  </rcc>
  <rcc rId="8399" sId="5" numFmtId="4">
    <nc r="E526">
      <v>19</v>
    </nc>
  </rcc>
  <rcc rId="8400" sId="5" numFmtId="4">
    <nc r="F526">
      <v>6</v>
    </nc>
  </rcc>
  <rcc rId="8401" sId="5" numFmtId="4">
    <nc r="G526">
      <v>0</v>
    </nc>
  </rcc>
  <rcc rId="8402" sId="5" numFmtId="4">
    <nc r="B527">
      <v>13</v>
    </nc>
  </rcc>
  <rcc rId="8403" sId="5" numFmtId="4">
    <nc r="C527">
      <v>119</v>
    </nc>
  </rcc>
  <rcc rId="8404" sId="5" numFmtId="4">
    <nc r="D527">
      <v>13</v>
    </nc>
  </rcc>
  <rcc rId="8405" sId="5" numFmtId="4">
    <nc r="E527">
      <v>10</v>
    </nc>
  </rcc>
  <rcc rId="8406" sId="5" numFmtId="4">
    <nc r="F527">
      <v>15</v>
    </nc>
  </rcc>
  <rcc rId="8407" sId="5" numFmtId="4">
    <nc r="G527">
      <v>0</v>
    </nc>
  </rcc>
  <rcc rId="8408" sId="5" numFmtId="4">
    <nc r="B528">
      <v>13</v>
    </nc>
  </rcc>
  <rcc rId="8409" sId="5" numFmtId="4">
    <nc r="C528">
      <v>119</v>
    </nc>
  </rcc>
  <rcc rId="8410" sId="5" numFmtId="4">
    <nc r="D528">
      <v>14</v>
    </nc>
  </rcc>
  <rcc rId="8411" sId="5" numFmtId="4">
    <nc r="E528">
      <v>8</v>
    </nc>
  </rcc>
  <rcc rId="8412" sId="5" numFmtId="4">
    <nc r="F528">
      <v>17</v>
    </nc>
  </rcc>
  <rcc rId="8413" sId="5" numFmtId="4">
    <nc r="G528">
      <v>0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>
  <rcc rId="8414" sId="2" numFmtId="4">
    <nc r="B638">
      <v>13</v>
    </nc>
  </rcc>
  <rcc rId="8415" sId="2" numFmtId="4">
    <nc r="C638">
      <v>23</v>
    </nc>
  </rcc>
  <rcc rId="8416" sId="2" numFmtId="4">
    <nc r="D638">
      <v>11</v>
    </nc>
  </rcc>
  <rcc rId="8417" sId="2" numFmtId="4">
    <nc r="E638">
      <v>6</v>
    </nc>
  </rcc>
  <rcc rId="8418" sId="2" numFmtId="4">
    <nc r="F638">
      <v>10</v>
    </nc>
  </rcc>
  <rcc rId="8419" sId="2" numFmtId="4">
    <nc r="G638">
      <v>1</v>
    </nc>
  </rcc>
  <rcc rId="8420" sId="2" numFmtId="4">
    <nc r="H638">
      <v>0</v>
    </nc>
  </rcc>
  <rcc rId="8421" sId="2" numFmtId="4">
    <nc r="B639">
      <v>13</v>
    </nc>
  </rcc>
  <rcc rId="8422" sId="2" numFmtId="4">
    <nc r="C639">
      <v>23</v>
    </nc>
  </rcc>
  <rcc rId="8423" sId="2" numFmtId="4">
    <nc r="D639">
      <v>12</v>
    </nc>
  </rcc>
  <rcc rId="8424" sId="2" numFmtId="4">
    <nc r="E639">
      <v>7</v>
    </nc>
  </rcc>
  <rcc rId="8425" sId="2" numFmtId="4">
    <nc r="F639">
      <v>14</v>
    </nc>
  </rcc>
  <rcc rId="8426" sId="2" numFmtId="4">
    <nc r="G639">
      <v>0</v>
    </nc>
  </rcc>
  <rcc rId="8427" sId="2" numFmtId="4">
    <nc r="H639">
      <v>0</v>
    </nc>
  </rcc>
  <rcc rId="8428" sId="2" numFmtId="4">
    <nc r="B640">
      <v>13</v>
    </nc>
  </rcc>
  <rcc rId="8429" sId="2" numFmtId="4">
    <nc r="C640">
      <v>23</v>
    </nc>
  </rcc>
  <rcc rId="8430" sId="2" numFmtId="4">
    <nc r="D640">
      <v>13</v>
    </nc>
  </rcc>
  <rcc rId="8431" sId="2" numFmtId="4">
    <nc r="E640">
      <v>8</v>
    </nc>
  </rcc>
  <rcc rId="8432" sId="2" numFmtId="4">
    <nc r="F640">
      <v>15</v>
    </nc>
  </rcc>
  <rcc rId="8433" sId="2" numFmtId="4">
    <nc r="G640">
      <v>0</v>
    </nc>
  </rcc>
  <rcc rId="8434" sId="2" numFmtId="4">
    <nc r="H640">
      <v>0</v>
    </nc>
  </rcc>
  <rcc rId="8435" sId="2" numFmtId="4">
    <nc r="B641">
      <v>13</v>
    </nc>
  </rcc>
  <rcc rId="8436" sId="2" numFmtId="4">
    <nc r="C641">
      <v>23</v>
    </nc>
  </rcc>
  <rcc rId="8437" sId="2" numFmtId="4">
    <nc r="D641">
      <v>14</v>
    </nc>
  </rcc>
  <rcc rId="8438" sId="2" numFmtId="4">
    <nc r="E641">
      <v>6</v>
    </nc>
  </rcc>
  <rcc rId="8439" sId="2" numFmtId="4">
    <nc r="F641">
      <v>13</v>
    </nc>
  </rcc>
  <rcc rId="8440" sId="2" numFmtId="4">
    <nc r="G641">
      <v>1</v>
    </nc>
  </rcc>
  <rcc rId="8441" sId="2" numFmtId="4">
    <nc r="H641">
      <v>0</v>
    </nc>
  </rcc>
  <rcc rId="8442" sId="2" numFmtId="4">
    <nc r="B642">
      <v>13</v>
    </nc>
  </rcc>
  <rcc rId="8443" sId="2" numFmtId="4">
    <nc r="C642">
      <v>12</v>
    </nc>
  </rcc>
  <rcc rId="8444" sId="2" numFmtId="4">
    <nc r="D642">
      <v>8</v>
    </nc>
  </rcc>
  <rcc rId="8445" sId="2" numFmtId="4">
    <nc r="E642">
      <v>5</v>
    </nc>
  </rcc>
  <rcc rId="8446" sId="2" numFmtId="4">
    <nc r="F642">
      <v>8</v>
    </nc>
  </rcc>
  <rcc rId="8447" sId="2" numFmtId="4">
    <nc r="G642">
      <v>0</v>
    </nc>
  </rcc>
  <rcc rId="8448" sId="2" numFmtId="4">
    <nc r="H642">
      <v>4</v>
    </nc>
  </rcc>
  <rcc rId="8449" sId="2" numFmtId="4">
    <nc r="B643">
      <v>13</v>
    </nc>
  </rcc>
  <rcc rId="8450" sId="2" numFmtId="4">
    <nc r="C643">
      <v>12</v>
    </nc>
  </rcc>
  <rcc rId="8451" sId="2" numFmtId="4">
    <nc r="D643">
      <v>9</v>
    </nc>
  </rcc>
  <rcc rId="8452" sId="2" numFmtId="4">
    <nc r="E643">
      <v>12</v>
    </nc>
  </rcc>
  <rcc rId="8453" sId="2" numFmtId="4">
    <nc r="F643">
      <v>7</v>
    </nc>
  </rcc>
  <rcc rId="8454" sId="2" numFmtId="4">
    <nc r="G643">
      <v>0</v>
    </nc>
  </rcc>
  <rcc rId="8455" sId="2" numFmtId="4">
    <nc r="H643">
      <v>2</v>
    </nc>
  </rcc>
  <rcc rId="8456" sId="2" numFmtId="4">
    <nc r="B644">
      <v>13</v>
    </nc>
  </rcc>
  <rcc rId="8457" sId="2" numFmtId="4">
    <nc r="C644">
      <v>12</v>
    </nc>
  </rcc>
  <rcc rId="8458" sId="2" numFmtId="4">
    <nc r="D644">
      <v>10</v>
    </nc>
  </rcc>
  <rcc rId="8459" sId="2" numFmtId="4">
    <nc r="E644">
      <v>12</v>
    </nc>
  </rcc>
  <rcc rId="8460" sId="2" numFmtId="4">
    <nc r="F644">
      <v>6</v>
    </nc>
  </rcc>
  <rcc rId="8461" sId="2" numFmtId="4">
    <nc r="G644">
      <v>0</v>
    </nc>
  </rcc>
  <rcc rId="8462" sId="2" numFmtId="4">
    <nc r="H644">
      <v>2</v>
    </nc>
  </rcc>
  <rcc rId="8463" sId="2" numFmtId="4">
    <nc r="B645">
      <v>13</v>
    </nc>
  </rcc>
  <rcc rId="8464" sId="2" numFmtId="4">
    <nc r="C645">
      <v>12</v>
    </nc>
  </rcc>
  <rcc rId="8465" sId="2" numFmtId="4">
    <nc r="D645">
      <v>11</v>
    </nc>
  </rcc>
  <rcc rId="8466" sId="2" numFmtId="4">
    <nc r="E645">
      <v>13</v>
    </nc>
  </rcc>
  <rcc rId="8467" sId="2" numFmtId="4">
    <nc r="F645">
      <v>7</v>
    </nc>
  </rcc>
  <rcc rId="8468" sId="2" numFmtId="4">
    <nc r="G645">
      <v>0</v>
    </nc>
  </rcc>
  <rcc rId="8469" sId="2" numFmtId="4">
    <nc r="H645">
      <v>5</v>
    </nc>
  </rcc>
  <rcc rId="8470" sId="2" numFmtId="4">
    <nc r="B646">
      <v>13</v>
    </nc>
  </rcc>
  <rcc rId="8471" sId="2" numFmtId="4">
    <nc r="C646">
      <v>12</v>
    </nc>
  </rcc>
  <rcc rId="8472" sId="2" numFmtId="4">
    <nc r="D646">
      <v>12</v>
    </nc>
  </rcc>
  <rcc rId="8473" sId="2" numFmtId="4">
    <nc r="E646">
      <v>7</v>
    </nc>
  </rcc>
  <rcc rId="8474" sId="2" numFmtId="4">
    <nc r="F646">
      <v>5</v>
    </nc>
  </rcc>
  <rcc rId="8475" sId="2" numFmtId="4">
    <nc r="G646">
      <v>0</v>
    </nc>
  </rcc>
  <rcc rId="8476" sId="2" numFmtId="4">
    <nc r="H646">
      <v>5</v>
    </nc>
  </rcc>
  <rcc rId="8477" sId="2" numFmtId="4">
    <nc r="B647">
      <v>1</v>
    </nc>
  </rcc>
  <rcc rId="8478" sId="2" numFmtId="4">
    <nc r="C647">
      <v>12</v>
    </nc>
  </rcc>
  <rcc rId="8479" sId="2" numFmtId="4">
    <nc r="D647">
      <v>13</v>
    </nc>
  </rcc>
  <rcc rId="8480" sId="2" numFmtId="4">
    <nc r="E647">
      <v>9</v>
    </nc>
  </rcc>
  <rcc rId="8481" sId="2" numFmtId="4">
    <nc r="F647">
      <v>7</v>
    </nc>
  </rcc>
  <rcc rId="8482" sId="2" numFmtId="4">
    <nc r="G647">
      <v>0</v>
    </nc>
  </rcc>
  <rcc rId="8483" sId="2" numFmtId="4">
    <nc r="H647">
      <v>2</v>
    </nc>
  </rcc>
  <rcc rId="8484" sId="2" numFmtId="4">
    <nc r="B648">
      <v>1</v>
    </nc>
  </rcc>
  <rcc rId="8485" sId="2" numFmtId="4">
    <nc r="C648">
      <v>12</v>
    </nc>
  </rcc>
  <rcc rId="8486" sId="2" numFmtId="4">
    <nc r="D648">
      <v>14</v>
    </nc>
  </rcc>
  <rcc rId="8487" sId="2" numFmtId="4">
    <nc r="E648">
      <v>6</v>
    </nc>
  </rcc>
  <rcc rId="8488" sId="2" numFmtId="4">
    <nc r="F648">
      <v>9</v>
    </nc>
  </rcc>
  <rcc rId="8489" sId="2" numFmtId="4">
    <nc r="G648">
      <v>0</v>
    </nc>
  </rcc>
  <rcc rId="8490" sId="2" numFmtId="4">
    <nc r="H648">
      <v>4</v>
    </nc>
  </rcc>
  <rcc rId="8491" sId="2" numFmtId="4">
    <nc r="B649">
      <v>13</v>
    </nc>
  </rcc>
  <rcc rId="8492" sId="2" numFmtId="4">
    <nc r="C649">
      <v>115</v>
    </nc>
  </rcc>
  <rcc rId="8493" sId="2" numFmtId="4">
    <nc r="D649">
      <v>14</v>
    </nc>
  </rcc>
  <rcc rId="8494" sId="2" numFmtId="4">
    <nc r="E649">
      <v>0</v>
    </nc>
  </rcc>
  <rcc rId="8495" sId="2" numFmtId="4">
    <nc r="F649">
      <v>15</v>
    </nc>
  </rcc>
  <rcc rId="8496" sId="2" numFmtId="4">
    <nc r="G649">
      <v>0</v>
    </nc>
  </rcc>
  <rcc rId="8497" sId="2" numFmtId="4">
    <nc r="H649">
      <v>0</v>
    </nc>
  </rcc>
  <rcc rId="8498" sId="2" numFmtId="4">
    <nc r="B650">
      <v>1</v>
    </nc>
  </rcc>
  <rcc rId="8499" sId="2" numFmtId="4">
    <nc r="C650">
      <v>15</v>
    </nc>
  </rcc>
  <rcc rId="8500" sId="2" numFmtId="4">
    <nc r="D650">
      <v>13</v>
    </nc>
  </rcc>
  <rcc rId="8501" sId="2" numFmtId="4">
    <nc r="E650">
      <v>0</v>
    </nc>
  </rcc>
  <rcc rId="8502" sId="2" numFmtId="4">
    <nc r="F650">
      <v>1</v>
    </nc>
  </rcc>
  <rcc rId="8503" sId="2" numFmtId="4">
    <nc r="G650">
      <v>1</v>
    </nc>
  </rcc>
  <rcc rId="8504" sId="2" numFmtId="4">
    <nc r="H650">
      <v>0</v>
    </nc>
  </rcc>
  <rcc rId="8505" sId="2" numFmtId="4">
    <nc r="B651">
      <v>1</v>
    </nc>
  </rcc>
  <rcc rId="8506" sId="2" numFmtId="4">
    <nc r="C651">
      <v>15</v>
    </nc>
  </rcc>
  <rcc rId="8507" sId="2" numFmtId="4">
    <nc r="D651">
      <v>14</v>
    </nc>
  </rcc>
  <rcc rId="8508" sId="2" numFmtId="4">
    <nc r="E651">
      <v>2</v>
    </nc>
  </rcc>
  <rcc rId="8509" sId="2" numFmtId="4">
    <nc r="F651">
      <v>0</v>
    </nc>
  </rcc>
  <rcc rId="8510" sId="2" numFmtId="4">
    <nc r="G651">
      <v>0</v>
    </nc>
  </rcc>
  <rcc rId="8511" sId="2" numFmtId="4">
    <nc r="H651">
      <v>0</v>
    </nc>
  </rcc>
  <rcc rId="8512" sId="2" numFmtId="4">
    <nc r="B652">
      <v>13</v>
    </nc>
  </rcc>
  <rcc rId="8513" sId="2" numFmtId="4">
    <nc r="C652">
      <v>67</v>
    </nc>
  </rcc>
  <rcc rId="8514" sId="2" numFmtId="4">
    <nc r="D652">
      <v>15</v>
    </nc>
  </rcc>
  <rcc rId="8515" sId="2" numFmtId="4">
    <nc r="E652">
      <v>0</v>
    </nc>
  </rcc>
  <rcc rId="8516" sId="2" numFmtId="4">
    <nc r="F652">
      <v>70</v>
    </nc>
  </rcc>
  <rcc rId="8517" sId="2" numFmtId="4">
    <nc r="G652">
      <v>0</v>
    </nc>
  </rcc>
  <rcc rId="8518" sId="2" numFmtId="4">
    <nc r="H652">
      <v>0</v>
    </nc>
  </rcc>
  <rcc rId="8519" sId="2" numFmtId="4">
    <nc r="B653">
      <v>13</v>
    </nc>
  </rcc>
  <rcc rId="8520" sId="2" numFmtId="4">
    <nc r="C653">
      <v>78</v>
    </nc>
  </rcc>
  <rcc rId="8521" sId="2" numFmtId="4">
    <nc r="D653">
      <v>14</v>
    </nc>
  </rcc>
  <rcc rId="8522" sId="2" numFmtId="4">
    <nc r="E653">
      <v>0</v>
    </nc>
  </rcc>
  <rcc rId="8523" sId="2" numFmtId="4">
    <nc r="F653">
      <v>25</v>
    </nc>
  </rcc>
  <rcc rId="8524" sId="2" numFmtId="4">
    <nc r="G653">
      <v>0</v>
    </nc>
  </rcc>
  <rcc rId="8525" sId="2" numFmtId="4">
    <nc r="H653">
      <v>0</v>
    </nc>
  </rcc>
  <rcc rId="8526" sId="2" numFmtId="4">
    <nc r="B654">
      <v>1</v>
    </nc>
  </rcc>
  <rcc rId="8527" sId="2" numFmtId="4">
    <nc r="C654">
      <v>25</v>
    </nc>
  </rcc>
  <rcc rId="8528" sId="2" numFmtId="4">
    <nc r="D654">
      <v>13</v>
    </nc>
  </rcc>
  <rcc rId="8529" sId="2" numFmtId="4">
    <nc r="E654">
      <v>10</v>
    </nc>
  </rcc>
  <rcc rId="8530" sId="2" numFmtId="4">
    <nc r="F654">
      <v>3</v>
    </nc>
  </rcc>
  <rcc rId="8531" sId="2" numFmtId="4">
    <nc r="G654">
      <v>0</v>
    </nc>
  </rcc>
  <rcc rId="8532" sId="2" numFmtId="4">
    <nc r="H654">
      <v>0</v>
    </nc>
  </rcc>
</revisions>
</file>

<file path=xl/revisions/revisionLog90.xml><?xml version="1.0" encoding="utf-8"?>
<revisions xmlns="http://schemas.openxmlformats.org/spreadsheetml/2006/main" xmlns:r="http://schemas.openxmlformats.org/officeDocument/2006/relationships">
  <rcc rId="8533" sId="5" numFmtId="4">
    <nc r="B529">
      <v>13</v>
    </nc>
  </rcc>
  <rcc rId="8534" sId="5" numFmtId="4">
    <nc r="C529">
      <v>119</v>
    </nc>
  </rcc>
  <rcc rId="8535" sId="5" numFmtId="4">
    <nc r="D529">
      <v>15</v>
    </nc>
  </rcc>
  <rcc rId="8536" sId="5" numFmtId="4">
    <nc r="E529">
      <v>11</v>
    </nc>
  </rcc>
  <rcc rId="8537" sId="5" numFmtId="4">
    <nc r="F529">
      <v>13</v>
    </nc>
  </rcc>
  <rcc rId="8538" sId="5" numFmtId="4">
    <nc r="G529">
      <v>1</v>
    </nc>
  </rcc>
  <rcc rId="8539" sId="5" numFmtId="4">
    <nc r="B530">
      <v>13</v>
    </nc>
  </rcc>
  <rcc rId="8540" sId="5" numFmtId="4">
    <nc r="C530">
      <v>88</v>
    </nc>
  </rcc>
  <rcc rId="8541" sId="5" numFmtId="4">
    <nc r="D530">
      <v>14</v>
    </nc>
  </rcc>
  <rcc rId="8542" sId="5" numFmtId="4">
    <nc r="E530">
      <v>22</v>
    </nc>
  </rcc>
  <rcc rId="8543" sId="5" numFmtId="4">
    <nc r="F530">
      <v>2</v>
    </nc>
  </rcc>
  <rcc rId="8544" sId="5" numFmtId="4">
    <nc r="G530">
      <v>2</v>
    </nc>
  </rcc>
  <rcc rId="8545" sId="5" numFmtId="4">
    <nc r="B531">
      <v>13</v>
    </nc>
  </rcc>
  <rcc rId="8546" sId="5" numFmtId="4">
    <nc r="C531">
      <v>118</v>
    </nc>
  </rcc>
  <rcc rId="8547" sId="5" numFmtId="4">
    <nc r="D531">
      <v>13</v>
    </nc>
  </rcc>
  <rcc rId="8548" sId="5" numFmtId="4">
    <nc r="E531">
      <v>13</v>
    </nc>
  </rcc>
  <rcc rId="8549" sId="5" numFmtId="4">
    <nc r="F531">
      <v>9</v>
    </nc>
  </rcc>
  <rcc rId="8550" sId="5" numFmtId="4">
    <nc r="G531">
      <v>0</v>
    </nc>
  </rcc>
  <rcc rId="8551" sId="5" numFmtId="4">
    <nc r="B532">
      <v>13</v>
    </nc>
  </rcc>
  <rcc rId="8552" sId="5" numFmtId="4">
    <nc r="C532">
      <v>118</v>
    </nc>
  </rcc>
  <rcc rId="8553" sId="5" numFmtId="4">
    <nc r="D532">
      <v>14</v>
    </nc>
  </rcc>
  <rcc rId="8554" sId="5" numFmtId="4">
    <nc r="E532">
      <v>8</v>
    </nc>
  </rcc>
  <rcc rId="8555" sId="5" numFmtId="4">
    <nc r="F532">
      <v>7</v>
    </nc>
  </rcc>
  <rcc rId="8556" sId="5" numFmtId="4">
    <nc r="G532">
      <v>3</v>
    </nc>
  </rcc>
  <rcc rId="8557" sId="5" numFmtId="4">
    <nc r="B533">
      <v>13</v>
    </nc>
  </rcc>
  <rcc rId="8558" sId="5" numFmtId="4">
    <nc r="C533">
      <v>115</v>
    </nc>
  </rcc>
  <rcc rId="8559" sId="5" numFmtId="4">
    <nc r="D533">
      <v>14</v>
    </nc>
  </rcc>
  <rcc rId="8560" sId="5" numFmtId="4">
    <nc r="E533">
      <v>0</v>
    </nc>
  </rcc>
  <rcc rId="8561" sId="5" numFmtId="4">
    <nc r="F533">
      <v>15</v>
    </nc>
  </rcc>
  <rcc rId="8562" sId="5" numFmtId="4">
    <nc r="G533">
      <v>0</v>
    </nc>
  </rcc>
  <rcc rId="8563" sId="5" numFmtId="4">
    <nc r="B534">
      <v>13</v>
    </nc>
  </rcc>
  <rcc rId="8564" sId="5" numFmtId="4">
    <nc r="C534">
      <v>67</v>
    </nc>
  </rcc>
  <rcc rId="8565" sId="5" numFmtId="4">
    <nc r="D534">
      <v>15</v>
    </nc>
  </rcc>
  <rcc rId="8566" sId="5" numFmtId="4">
    <nc r="E534">
      <v>0</v>
    </nc>
  </rcc>
  <rcc rId="8567" sId="5" numFmtId="4">
    <nc r="F534">
      <v>70</v>
    </nc>
  </rcc>
  <rcc rId="8568" sId="5" numFmtId="4">
    <nc r="G534">
      <v>0</v>
    </nc>
  </rcc>
  <rcc rId="8569" sId="5" numFmtId="4">
    <nc r="B535">
      <v>13</v>
    </nc>
  </rcc>
  <rcc rId="8570" sId="5" numFmtId="4">
    <nc r="C535">
      <v>67</v>
    </nc>
  </rcc>
  <rcc rId="8571" sId="5" numFmtId="4">
    <nc r="D535">
      <v>14</v>
    </nc>
  </rcc>
  <rcc rId="8572" sId="5" numFmtId="4">
    <nc r="E535">
      <v>0</v>
    </nc>
  </rcc>
  <rcc rId="8573" sId="5" numFmtId="4">
    <nc r="F535">
      <v>25</v>
    </nc>
  </rcc>
  <rcc rId="8574" sId="5" numFmtId="4">
    <nc r="G535">
      <v>0</v>
    </nc>
  </rcc>
  <rcc rId="8575" sId="5" numFmtId="4">
    <nc r="B536">
      <v>13</v>
    </nc>
  </rcc>
  <rcc rId="8576" sId="5" numFmtId="4">
    <nc r="C536">
      <v>67</v>
    </nc>
  </rcc>
  <rcc rId="8577" sId="5" numFmtId="4">
    <nc r="D536">
      <v>14</v>
    </nc>
  </rcc>
  <rcc rId="8578" sId="5" numFmtId="4">
    <nc r="E536">
      <v>0</v>
    </nc>
  </rcc>
  <rcc rId="8579" sId="5" numFmtId="4">
    <nc r="F536">
      <v>25</v>
    </nc>
  </rcc>
  <rcc rId="8580" sId="5" numFmtId="4">
    <nc r="G536">
      <v>0</v>
    </nc>
  </rcc>
  <rcc rId="8581" sId="5" numFmtId="4">
    <nc r="B537">
      <v>13</v>
    </nc>
  </rcc>
  <rcc rId="8582" sId="5" numFmtId="4">
    <nc r="C537">
      <v>78</v>
    </nc>
  </rcc>
  <rcc rId="8583" sId="5" numFmtId="4">
    <nc r="D537">
      <v>14</v>
    </nc>
  </rcc>
  <rcc rId="8584" sId="5" numFmtId="4">
    <nc r="E537">
      <v>0</v>
    </nc>
  </rcc>
  <rcc rId="8585" sId="5" numFmtId="4">
    <nc r="F537">
      <v>25</v>
    </nc>
  </rcc>
  <rcc rId="8586" sId="5" numFmtId="4">
    <nc r="G537">
      <v>0</v>
    </nc>
  </rcc>
  <rcc rId="8587" sId="5" numFmtId="4">
    <nc r="B538">
      <v>13</v>
    </nc>
  </rcc>
  <rcc rId="8588" sId="5" numFmtId="4">
    <nc r="C538">
      <v>61</v>
    </nc>
  </rcc>
  <rcc rId="8589" sId="5" numFmtId="4">
    <nc r="D538">
      <v>10</v>
    </nc>
  </rcc>
  <rcc rId="8590" sId="5" numFmtId="4">
    <nc r="E538">
      <v>8</v>
    </nc>
  </rcc>
  <rcc rId="8591" sId="5" numFmtId="4">
    <nc r="F538">
      <v>16</v>
    </nc>
  </rcc>
  <rcc rId="8592" sId="5" numFmtId="4">
    <nc r="G538">
      <v>0</v>
    </nc>
  </rcc>
  <rcc rId="8593" sId="5" numFmtId="4">
    <nc r="B539">
      <v>13</v>
    </nc>
  </rcc>
  <rcc rId="8594" sId="5" numFmtId="4">
    <nc r="C539">
      <v>61</v>
    </nc>
  </rcc>
  <rcc rId="8595" sId="5" numFmtId="4">
    <nc r="D539">
      <v>11</v>
    </nc>
  </rcc>
  <rcc rId="8596" sId="5" numFmtId="4">
    <nc r="E539">
      <v>1</v>
    </nc>
  </rcc>
  <rcc rId="8597" sId="5" numFmtId="4">
    <nc r="F539">
      <v>9</v>
    </nc>
  </rcc>
  <rcc rId="8598" sId="5" numFmtId="4">
    <nc r="G539">
      <v>0</v>
    </nc>
  </rcc>
  <rcc rId="8599" sId="5" numFmtId="4">
    <nc r="B540">
      <v>13</v>
    </nc>
  </rcc>
  <rcc rId="8600" sId="5" numFmtId="4">
    <nc r="C540">
      <v>61</v>
    </nc>
  </rcc>
  <rcc rId="8601" sId="5" numFmtId="4">
    <nc r="D540">
      <v>12</v>
    </nc>
  </rcc>
  <rcc rId="8602" sId="5" numFmtId="4">
    <nc r="E540">
      <v>4</v>
    </nc>
  </rcc>
  <rcc rId="8603" sId="5" numFmtId="4">
    <nc r="F540">
      <v>18</v>
    </nc>
  </rcc>
  <rcc rId="8604" sId="5" numFmtId="4">
    <nc r="G540">
      <v>0</v>
    </nc>
  </rcc>
  <rcc rId="8605" sId="5" numFmtId="4">
    <nc r="B541">
      <v>13</v>
    </nc>
  </rcc>
  <rcc rId="8606" sId="5" numFmtId="4">
    <nc r="C541">
      <v>61</v>
    </nc>
  </rcc>
  <rcc rId="8607" sId="5" numFmtId="4">
    <nc r="D541">
      <v>13</v>
    </nc>
  </rcc>
  <rcc rId="8608" sId="5" numFmtId="4">
    <nc r="E541">
      <v>12</v>
    </nc>
  </rcc>
  <rcc rId="8609" sId="5" numFmtId="4">
    <nc r="F541">
      <v>13</v>
    </nc>
  </rcc>
  <rcc rId="8610" sId="5" numFmtId="4">
    <nc r="G541">
      <v>0</v>
    </nc>
  </rcc>
  <rcc rId="8611" sId="5" numFmtId="4">
    <nc r="B542">
      <v>13</v>
    </nc>
  </rcc>
  <rcc rId="8612" sId="5" numFmtId="4">
    <nc r="C542">
      <v>61</v>
    </nc>
  </rcc>
  <rcc rId="8613" sId="5" numFmtId="4">
    <nc r="D542">
      <v>14</v>
    </nc>
  </rcc>
  <rcc rId="8614" sId="5" numFmtId="4">
    <nc r="E542">
      <v>8</v>
    </nc>
  </rcc>
  <rcc rId="8615" sId="5" numFmtId="4">
    <nc r="F542">
      <v>15</v>
    </nc>
  </rcc>
  <rcc rId="8616" sId="5" numFmtId="4">
    <nc r="G542">
      <v>0</v>
    </nc>
  </rcc>
</revisions>
</file>

<file path=xl/revisions/revisionLog91.xml><?xml version="1.0" encoding="utf-8"?>
<revisions xmlns="http://schemas.openxmlformats.org/spreadsheetml/2006/main" xmlns:r="http://schemas.openxmlformats.org/officeDocument/2006/relationships">
  <rcc rId="8617" sId="2" numFmtId="4">
    <nc r="B655">
      <v>1</v>
    </nc>
  </rcc>
  <rcc rId="8618" sId="2" numFmtId="4">
    <nc r="C655">
      <v>61</v>
    </nc>
  </rcc>
  <rcc rId="8619" sId="2" numFmtId="4">
    <nc r="D655">
      <v>10</v>
    </nc>
  </rcc>
  <rcc rId="8620" sId="2" numFmtId="4">
    <nc r="E655">
      <v>8</v>
    </nc>
  </rcc>
  <rcc rId="8621" sId="2" numFmtId="4">
    <nc r="F655">
      <v>17</v>
    </nc>
  </rcc>
  <rcc rId="8622" sId="2" numFmtId="4">
    <nc r="G655">
      <v>0</v>
    </nc>
  </rcc>
  <rcc rId="8623" sId="2" numFmtId="4">
    <nc r="H655">
      <v>1</v>
    </nc>
  </rcc>
  <rcc rId="8624" sId="2" numFmtId="4">
    <nc r="B656">
      <v>1</v>
    </nc>
  </rcc>
  <rcc rId="8625" sId="2" numFmtId="4">
    <nc r="C656">
      <v>61</v>
    </nc>
  </rcc>
  <rcc rId="8626" sId="2" numFmtId="4">
    <nc r="D656">
      <v>11</v>
    </nc>
  </rcc>
  <rcc rId="8627" sId="2" numFmtId="4">
    <nc r="E656">
      <v>1</v>
    </nc>
  </rcc>
  <rcc rId="8628" sId="2" numFmtId="4">
    <nc r="F656">
      <v>9</v>
    </nc>
  </rcc>
  <rcc rId="8629" sId="2" numFmtId="4">
    <nc r="G656">
      <v>0</v>
    </nc>
  </rcc>
  <rcc rId="8630" sId="2" numFmtId="4">
    <nc r="H656">
      <v>0</v>
    </nc>
  </rcc>
  <rcc rId="8631" sId="2" numFmtId="4">
    <nc r="B657">
      <v>1</v>
    </nc>
  </rcc>
  <rcc rId="8632" sId="2" numFmtId="4">
    <nc r="C657">
      <v>61</v>
    </nc>
  </rcc>
  <rcc rId="8633" sId="2" numFmtId="4">
    <nc r="D657">
      <v>12</v>
    </nc>
  </rcc>
  <rcc rId="8634" sId="2" numFmtId="4">
    <nc r="E657">
      <v>4</v>
    </nc>
  </rcc>
  <rcc rId="8635" sId="2" numFmtId="4">
    <nc r="F657">
      <v>16</v>
    </nc>
  </rcc>
  <rcc rId="8636" sId="2" numFmtId="4">
    <nc r="G657">
      <v>0</v>
    </nc>
  </rcc>
  <rcc rId="8637" sId="2" numFmtId="4">
    <nc r="H657">
      <v>2</v>
    </nc>
  </rcc>
  <rcc rId="8638" sId="2" numFmtId="4">
    <nc r="B658">
      <v>1</v>
    </nc>
  </rcc>
  <rcc rId="8639" sId="2" numFmtId="4">
    <nc r="C658">
      <v>61</v>
    </nc>
  </rcc>
  <rcc rId="8640" sId="2" numFmtId="4">
    <nc r="D658">
      <v>13</v>
    </nc>
  </rcc>
  <rcc rId="8641" sId="2" numFmtId="4">
    <nc r="E658">
      <v>12</v>
    </nc>
  </rcc>
  <rcc rId="8642" sId="2" numFmtId="4">
    <nc r="F658">
      <v>13</v>
    </nc>
  </rcc>
  <rcc rId="8643" sId="2" numFmtId="4">
    <nc r="G658">
      <v>0</v>
    </nc>
  </rcc>
  <rcc rId="8644" sId="2" numFmtId="4">
    <nc r="H658">
      <v>0</v>
    </nc>
  </rcc>
  <rcc rId="8645" sId="2" numFmtId="4">
    <nc r="B659">
      <v>1</v>
    </nc>
  </rcc>
  <rcc rId="8646" sId="2" numFmtId="4">
    <nc r="C659">
      <v>61</v>
    </nc>
  </rcc>
  <rcc rId="8647" sId="2" numFmtId="4">
    <nc r="D659">
      <v>14</v>
    </nc>
  </rcc>
  <rcc rId="8648" sId="2" numFmtId="4">
    <nc r="E659">
      <v>8</v>
    </nc>
  </rcc>
  <rcc rId="8649" sId="2" numFmtId="4">
    <nc r="F659">
      <v>13</v>
    </nc>
  </rcc>
  <rcc rId="8650" sId="2" numFmtId="4">
    <nc r="G659">
      <v>0</v>
    </nc>
  </rcc>
  <rcc rId="8651" sId="2" numFmtId="4">
    <nc r="H659">
      <v>2</v>
    </nc>
  </rcc>
  <rcc rId="8652" sId="2" numFmtId="4">
    <nc r="B660">
      <v>1</v>
    </nc>
  </rcc>
  <rcc rId="8653" sId="2" numFmtId="4">
    <nc r="C660">
      <v>46</v>
    </nc>
  </rcc>
  <rcc rId="8654" sId="2" numFmtId="4">
    <nc r="D660">
      <v>10</v>
    </nc>
  </rcc>
  <rcc rId="8655" sId="2" numFmtId="4">
    <nc r="E660">
      <v>0</v>
    </nc>
  </rcc>
  <rcc rId="8656" sId="2" numFmtId="4">
    <nc r="F660">
      <v>2</v>
    </nc>
  </rcc>
  <rcc rId="8657" sId="2" numFmtId="4">
    <nc r="G660">
      <v>0</v>
    </nc>
  </rcc>
  <rcc rId="8658" sId="2" numFmtId="4">
    <nc r="H660">
      <v>0</v>
    </nc>
  </rcc>
  <rcc rId="8659" sId="2" numFmtId="4">
    <nc r="B661">
      <v>1</v>
    </nc>
  </rcc>
  <rcc rId="8660" sId="2" numFmtId="4">
    <nc r="C661">
      <v>46</v>
    </nc>
  </rcc>
  <rcc rId="8661" sId="2" numFmtId="4">
    <nc r="D661">
      <v>11</v>
    </nc>
  </rcc>
  <rcc rId="8662" sId="2" numFmtId="4">
    <nc r="E661">
      <v>0</v>
    </nc>
  </rcc>
  <rcc rId="8663" sId="2" numFmtId="4">
    <nc r="F661">
      <v>4</v>
    </nc>
  </rcc>
  <rcc rId="8664" sId="2" numFmtId="4">
    <nc r="G661">
      <v>0</v>
    </nc>
  </rcc>
  <rcc rId="8665" sId="2" numFmtId="4">
    <nc r="H661">
      <v>0</v>
    </nc>
  </rcc>
  <rcc rId="8666" sId="2" numFmtId="4">
    <nc r="B662">
      <v>1</v>
    </nc>
  </rcc>
  <rcc rId="8667" sId="2" numFmtId="4">
    <nc r="C662">
      <v>46</v>
    </nc>
  </rcc>
  <rcc rId="8668" sId="2" numFmtId="4">
    <nc r="D662">
      <v>12</v>
    </nc>
  </rcc>
  <rcc rId="8669" sId="2" numFmtId="4">
    <nc r="E662">
      <v>3</v>
    </nc>
  </rcc>
  <rcc rId="8670" sId="2" numFmtId="4">
    <nc r="F662">
      <v>2</v>
    </nc>
  </rcc>
  <rcc rId="8671" sId="2" numFmtId="4">
    <nc r="G662">
      <v>0</v>
    </nc>
  </rcc>
  <rcc rId="8672" sId="2" numFmtId="4">
    <nc r="H662">
      <v>0</v>
    </nc>
  </rcc>
  <rcc rId="8673" sId="2" numFmtId="4">
    <nc r="B663">
      <v>1</v>
    </nc>
  </rcc>
  <rcc rId="8674" sId="2" numFmtId="4">
    <nc r="C663">
      <v>46</v>
    </nc>
  </rcc>
  <rcc rId="8675" sId="2" numFmtId="4">
    <nc r="D663">
      <v>13</v>
    </nc>
  </rcc>
  <rcc rId="8676" sId="2" numFmtId="4">
    <nc r="E663">
      <v>0</v>
    </nc>
  </rcc>
  <rcc rId="8677" sId="2" numFmtId="4">
    <nc r="F663">
      <v>0</v>
    </nc>
  </rcc>
  <rcc rId="8678" sId="2" numFmtId="4">
    <nc r="G663">
      <v>0</v>
    </nc>
  </rcc>
  <rcc rId="8679" sId="2" numFmtId="4">
    <nc r="H663">
      <v>0</v>
    </nc>
  </rcc>
  <rcc rId="8680" sId="2" numFmtId="4">
    <nc r="B664">
      <v>1</v>
    </nc>
  </rcc>
  <rcc rId="8681" sId="2" numFmtId="4">
    <nc r="C664">
      <v>46</v>
    </nc>
  </rcc>
  <rcc rId="8682" sId="2" numFmtId="4">
    <nc r="D664">
      <v>14</v>
    </nc>
  </rcc>
  <rcc rId="8683" sId="2" numFmtId="4">
    <nc r="E664">
      <v>1</v>
    </nc>
  </rcc>
  <rcc rId="8684" sId="2" numFmtId="4">
    <nc r="F664">
      <v>0</v>
    </nc>
  </rcc>
  <rcc rId="8685" sId="2" numFmtId="4">
    <nc r="G664">
      <v>0</v>
    </nc>
  </rcc>
  <rcc rId="8686" sId="2" numFmtId="4">
    <nc r="H664">
      <v>0</v>
    </nc>
  </rcc>
  <rcc rId="8687" sId="2" numFmtId="4">
    <nc r="B665">
      <v>13</v>
    </nc>
  </rcc>
  <rcc rId="8688" sId="2" numFmtId="4">
    <nc r="C665">
      <v>45</v>
    </nc>
  </rcc>
  <rcc rId="8689" sId="2" numFmtId="4">
    <nc r="D665">
      <v>10</v>
    </nc>
  </rcc>
  <rcc rId="8690" sId="2" numFmtId="4">
    <nc r="E665">
      <v>19</v>
    </nc>
  </rcc>
  <rcc rId="8691" sId="2" numFmtId="4">
    <nc r="F665">
      <v>2</v>
    </nc>
  </rcc>
  <rcc rId="8692" sId="2" numFmtId="4">
    <nc r="G665">
      <v>0</v>
    </nc>
  </rcc>
  <rcc rId="8693" sId="2" numFmtId="4">
    <nc r="H665">
      <v>0</v>
    </nc>
  </rcc>
  <rcc rId="8694" sId="2" numFmtId="4">
    <nc r="B666">
      <v>13</v>
    </nc>
  </rcc>
  <rcc rId="8695" sId="2" numFmtId="4">
    <nc r="C666">
      <v>45</v>
    </nc>
  </rcc>
  <rcc rId="8696" sId="2" numFmtId="4">
    <nc r="D666">
      <v>11</v>
    </nc>
  </rcc>
  <rcc rId="8697" sId="2" numFmtId="4">
    <nc r="E666">
      <v>14</v>
    </nc>
  </rcc>
  <rcc rId="8698" sId="2" numFmtId="4">
    <nc r="F666">
      <v>5</v>
    </nc>
  </rcc>
  <rcc rId="8699" sId="2" numFmtId="4">
    <nc r="G666">
      <v>0</v>
    </nc>
  </rcc>
  <rcc rId="8700" sId="2" numFmtId="4">
    <nc r="H666">
      <v>0</v>
    </nc>
  </rcc>
  <rcc rId="8701" sId="2" numFmtId="4">
    <nc r="B667">
      <v>13</v>
    </nc>
  </rcc>
  <rcc rId="8702" sId="2" numFmtId="4">
    <nc r="C667">
      <v>45</v>
    </nc>
  </rcc>
  <rcc rId="8703" sId="2" numFmtId="4">
    <nc r="D667">
      <v>12</v>
    </nc>
  </rcc>
  <rcc rId="8704" sId="2" numFmtId="4">
    <nc r="E667">
      <v>8</v>
    </nc>
  </rcc>
  <rcc rId="8705" sId="2" numFmtId="4">
    <nc r="F667">
      <v>1</v>
    </nc>
  </rcc>
  <rcc rId="8706" sId="2" numFmtId="4">
    <nc r="H667">
      <v>7</v>
    </nc>
  </rcc>
  <rcc rId="8707" sId="2" numFmtId="4">
    <nc r="G667">
      <v>0</v>
    </nc>
  </rcc>
  <rcc rId="8708" sId="2" numFmtId="4">
    <nc r="B668">
      <v>13</v>
    </nc>
  </rcc>
  <rcc rId="8709" sId="2" numFmtId="4">
    <nc r="C668">
      <v>45</v>
    </nc>
  </rcc>
  <rcc rId="8710" sId="2" numFmtId="4">
    <nc r="D668">
      <v>13</v>
    </nc>
  </rcc>
  <rcc rId="8711" sId="2" numFmtId="4">
    <nc r="E668">
      <v>10</v>
    </nc>
  </rcc>
  <rcc rId="8712" sId="2" numFmtId="4">
    <nc r="F668">
      <v>8</v>
    </nc>
  </rcc>
  <rcc rId="8713" sId="2" numFmtId="4">
    <nc r="G668">
      <v>0</v>
    </nc>
  </rcc>
  <rcc rId="8714" sId="2" numFmtId="4">
    <nc r="H668">
      <v>3</v>
    </nc>
  </rcc>
  <rcc rId="8715" sId="2" numFmtId="4">
    <nc r="B669">
      <v>13</v>
    </nc>
  </rcc>
  <rcc rId="8716" sId="2" numFmtId="4">
    <nc r="C669">
      <v>45</v>
    </nc>
  </rcc>
  <rcc rId="8717" sId="2" numFmtId="4">
    <nc r="D669">
      <v>14</v>
    </nc>
  </rcc>
  <rcc rId="8718" sId="2" numFmtId="4">
    <nc r="E669">
      <v>7</v>
    </nc>
  </rcc>
  <rcc rId="8719" sId="2" numFmtId="4">
    <nc r="F669">
      <v>9</v>
    </nc>
  </rcc>
  <rcc rId="8720" sId="2" numFmtId="4">
    <nc r="G669">
      <v>0</v>
    </nc>
  </rcc>
  <rcc rId="8721" sId="2" numFmtId="4">
    <nc r="H669">
      <v>1</v>
    </nc>
  </rcc>
  <rcc rId="8722" sId="2" numFmtId="4">
    <nc r="B670">
      <v>1</v>
    </nc>
  </rcc>
  <rcc rId="8723" sId="2" numFmtId="4">
    <nc r="C670">
      <v>35</v>
    </nc>
  </rcc>
  <rcc rId="8724" sId="2" numFmtId="4">
    <nc r="D670">
      <v>13</v>
    </nc>
  </rcc>
  <rcc rId="8725" sId="2" numFmtId="4">
    <nc r="E670">
      <v>20</v>
    </nc>
  </rcc>
  <rcc rId="8726" sId="2" numFmtId="4">
    <nc r="F670">
      <v>19</v>
    </nc>
  </rcc>
  <rcc rId="8727" sId="2" numFmtId="4">
    <nc r="G670">
      <v>0</v>
    </nc>
  </rcc>
  <rcc rId="8728" sId="2" numFmtId="4">
    <nc r="H670">
      <v>0</v>
    </nc>
  </rcc>
  <rcc rId="8729" sId="2" numFmtId="4">
    <nc r="B671">
      <v>1</v>
    </nc>
  </rcc>
  <rcc rId="8730" sId="2" numFmtId="4">
    <nc r="C671">
      <v>35</v>
    </nc>
  </rcc>
  <rcc rId="8731" sId="2" numFmtId="4">
    <nc r="D671">
      <v>14</v>
    </nc>
  </rcc>
  <rcc rId="8732" sId="2" numFmtId="4">
    <nc r="E671">
      <v>15</v>
    </nc>
  </rcc>
  <rcc rId="8733" sId="2" numFmtId="4">
    <nc r="F671">
      <v>13</v>
    </nc>
  </rcc>
  <rcc rId="8734" sId="2" numFmtId="4">
    <nc r="G671">
      <v>15</v>
    </nc>
  </rcc>
  <rcc rId="8735" sId="2" numFmtId="4">
    <nc r="H671">
      <v>0</v>
    </nc>
  </rcc>
  <rcc rId="8736" sId="2" numFmtId="4">
    <nc r="B672">
      <v>1</v>
    </nc>
  </rcc>
  <rcc rId="8737" sId="2" numFmtId="4">
    <nc r="C672">
      <v>51</v>
    </nc>
  </rcc>
  <rcc rId="8738" sId="2" numFmtId="4">
    <nc r="D672">
      <v>14</v>
    </nc>
  </rcc>
  <rcc rId="8739" sId="2" numFmtId="4">
    <nc r="E672">
      <v>7</v>
    </nc>
  </rcc>
  <rcc rId="8740" sId="2" numFmtId="4">
    <nc r="F672">
      <v>1</v>
    </nc>
  </rcc>
  <rcc rId="8741" sId="2" numFmtId="4">
    <nc r="G672">
      <v>0</v>
    </nc>
  </rcc>
  <rcc rId="8742" sId="2" numFmtId="4">
    <nc r="H672">
      <v>0</v>
    </nc>
  </rcc>
  <rcc rId="8743" sId="2" numFmtId="4">
    <nc r="B673">
      <v>1</v>
    </nc>
  </rcc>
  <rcc rId="8744" sId="2" numFmtId="4">
    <nc r="C673">
      <v>53</v>
    </nc>
  </rcc>
  <rcc rId="8745" sId="2" numFmtId="4">
    <nc r="D673">
      <v>9</v>
    </nc>
  </rcc>
  <rcc rId="8746" sId="2" numFmtId="4">
    <nc r="E673">
      <v>7</v>
    </nc>
  </rcc>
  <rcc rId="8747" sId="2" numFmtId="4">
    <nc r="F673">
      <v>4</v>
    </nc>
  </rcc>
  <rcc rId="8748" sId="2" numFmtId="4">
    <nc r="G673">
      <v>0</v>
    </nc>
  </rcc>
  <rcc rId="8749" sId="2" numFmtId="4">
    <nc r="H673">
      <v>0</v>
    </nc>
  </rcc>
  <rcc rId="8750" sId="2" numFmtId="4">
    <nc r="B674">
      <v>1</v>
    </nc>
  </rcc>
  <rcc rId="8751" sId="2" numFmtId="4">
    <nc r="C674">
      <v>53</v>
    </nc>
  </rcc>
  <rcc rId="8752" sId="2" numFmtId="4">
    <nc r="D674">
      <v>10</v>
    </nc>
  </rcc>
  <rcc rId="8753" sId="2" numFmtId="4">
    <nc r="E674">
      <v>8</v>
    </nc>
  </rcc>
  <rcc rId="8754" sId="2" numFmtId="4">
    <nc r="F674">
      <v>1</v>
    </nc>
  </rcc>
  <rcc rId="8755" sId="2" numFmtId="4">
    <nc r="G674">
      <v>0</v>
    </nc>
  </rcc>
  <rcc rId="8756" sId="2" numFmtId="4">
    <nc r="H674">
      <v>1</v>
    </nc>
  </rcc>
  <rcc rId="8757" sId="2" numFmtId="4">
    <nc r="B675">
      <v>1</v>
    </nc>
  </rcc>
  <rcc rId="8758" sId="2" numFmtId="4">
    <nc r="C675">
      <v>53</v>
    </nc>
  </rcc>
  <rcc rId="8759" sId="2" numFmtId="4">
    <nc r="D675">
      <v>11</v>
    </nc>
  </rcc>
  <rcc rId="8760" sId="2" numFmtId="4">
    <nc r="E675">
      <v>9</v>
    </nc>
  </rcc>
  <rcc rId="8761" sId="2" numFmtId="4">
    <nc r="F675">
      <v>6</v>
    </nc>
  </rcc>
  <rcc rId="8762" sId="2" numFmtId="4">
    <nc r="G675">
      <v>0</v>
    </nc>
  </rcc>
  <rcc rId="8763" sId="2" numFmtId="4">
    <nc r="H675">
      <v>0</v>
    </nc>
  </rcc>
  <rcc rId="8764" sId="2" numFmtId="4">
    <nc r="B676">
      <v>1</v>
    </nc>
  </rcc>
  <rcc rId="8765" sId="2" numFmtId="4">
    <nc r="C676">
      <v>53</v>
    </nc>
  </rcc>
  <rcc rId="8766" sId="2" numFmtId="4">
    <nc r="D676">
      <v>12</v>
    </nc>
  </rcc>
  <rcc rId="8767" sId="2" numFmtId="4">
    <nc r="E676">
      <v>12</v>
    </nc>
  </rcc>
  <rcc rId="8768" sId="2" numFmtId="4">
    <nc r="F676">
      <v>1</v>
    </nc>
  </rcc>
  <rcc rId="8769" sId="2" numFmtId="4">
    <nc r="G676">
      <v>0</v>
    </nc>
  </rcc>
  <rcc rId="8770" sId="2" numFmtId="4">
    <nc r="H676">
      <v>0</v>
    </nc>
  </rcc>
  <rcc rId="8771" sId="2" numFmtId="4">
    <nc r="B677">
      <v>1</v>
    </nc>
  </rcc>
  <rcc rId="8772" sId="2" numFmtId="4">
    <nc r="C677">
      <v>53</v>
    </nc>
  </rcc>
  <rcc rId="8773" sId="2" numFmtId="4">
    <nc r="D677">
      <v>13</v>
    </nc>
  </rcc>
  <rcc rId="8774" sId="2" numFmtId="4">
    <nc r="E677">
      <v>11</v>
    </nc>
  </rcc>
  <rcc rId="8775" sId="2" numFmtId="4">
    <nc r="F677">
      <v>3</v>
    </nc>
  </rcc>
  <rcc rId="8776" sId="2" numFmtId="4">
    <nc r="G677">
      <v>0</v>
    </nc>
  </rcc>
  <rcc rId="8777" sId="2" numFmtId="4">
    <nc r="H677">
      <v>0</v>
    </nc>
  </rcc>
  <rcc rId="8778" sId="2" numFmtId="4">
    <nc r="B678">
      <v>1</v>
    </nc>
  </rcc>
  <rcc rId="8779" sId="2" numFmtId="4">
    <nc r="C678">
      <v>53</v>
    </nc>
  </rcc>
  <rcc rId="8780" sId="2" numFmtId="4">
    <nc r="D678">
      <v>14</v>
    </nc>
  </rcc>
  <rcc rId="8781" sId="2" numFmtId="4">
    <nc r="E678">
      <v>12</v>
    </nc>
  </rcc>
  <rcc rId="8782" sId="2" numFmtId="4">
    <nc r="F678">
      <v>6</v>
    </nc>
  </rcc>
  <rcc rId="8783" sId="2" numFmtId="4">
    <nc r="G678">
      <v>0</v>
    </nc>
  </rcc>
  <rcc rId="8784" sId="2" numFmtId="4">
    <nc r="H678">
      <v>0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>
  <rcc rId="8792" sId="5" numFmtId="4">
    <nc r="B543">
      <v>13</v>
    </nc>
  </rcc>
  <rcc rId="8793" sId="5" numFmtId="4">
    <nc r="C543">
      <v>70</v>
    </nc>
  </rcc>
  <rcc rId="8794" sId="5" numFmtId="4">
    <nc r="D543">
      <v>15</v>
    </nc>
  </rcc>
  <rcc rId="8795" sId="5" numFmtId="4">
    <nc r="E543">
      <v>11</v>
    </nc>
  </rcc>
  <rcc rId="8796" sId="5" numFmtId="4">
    <nc r="F543">
      <v>10</v>
    </nc>
  </rcc>
  <rcc rId="8797" sId="5" numFmtId="4">
    <nc r="G543">
      <v>0</v>
    </nc>
  </rcc>
  <rcc rId="8798" sId="5" numFmtId="4">
    <nc r="B544">
      <v>13</v>
    </nc>
  </rcc>
  <rcc rId="8799" sId="5" numFmtId="4">
    <nc r="C544">
      <v>90</v>
    </nc>
  </rcc>
  <rcc rId="8800" sId="5" numFmtId="4">
    <nc r="D544">
      <v>11</v>
    </nc>
  </rcc>
  <rcc rId="8801" sId="5" numFmtId="4">
    <nc r="E544">
      <v>4</v>
    </nc>
  </rcc>
  <rcc rId="8802" sId="5" numFmtId="4">
    <nc r="F544">
      <v>20</v>
    </nc>
  </rcc>
  <rcc rId="8803" sId="5" numFmtId="4">
    <nc r="G544">
      <v>1</v>
    </nc>
  </rcc>
  <rcc rId="8804" sId="5" numFmtId="4">
    <nc r="B545">
      <v>13</v>
    </nc>
  </rcc>
  <rcc rId="8805" sId="5" numFmtId="4">
    <nc r="C545">
      <v>90</v>
    </nc>
  </rcc>
  <rcc rId="8806" sId="5" numFmtId="4">
    <nc r="D545">
      <v>12</v>
    </nc>
  </rcc>
  <rcc rId="8807" sId="5" numFmtId="4">
    <nc r="E545">
      <v>10</v>
    </nc>
  </rcc>
  <rcc rId="8808" sId="5" numFmtId="4">
    <nc r="F545">
      <v>15</v>
    </nc>
  </rcc>
  <rcc rId="8809" sId="5" numFmtId="4">
    <nc r="G545">
      <v>0</v>
    </nc>
  </rcc>
  <rcc rId="8810" sId="5" numFmtId="4">
    <nc r="B546">
      <v>13</v>
    </nc>
  </rcc>
  <rcc rId="8811" sId="5" numFmtId="4">
    <nc r="C546">
      <v>90</v>
    </nc>
  </rcc>
  <rcc rId="8812" sId="5" numFmtId="4">
    <nc r="D546">
      <v>13</v>
    </nc>
  </rcc>
  <rcc rId="8813" sId="5" numFmtId="4">
    <nc r="E546">
      <v>12</v>
    </nc>
  </rcc>
  <rcc rId="8814" sId="5" numFmtId="4">
    <nc r="F546">
      <v>13</v>
    </nc>
  </rcc>
  <rcc rId="8815" sId="5" numFmtId="4">
    <nc r="G546">
      <v>0</v>
    </nc>
  </rcc>
  <rcc rId="8816" sId="5" numFmtId="4">
    <nc r="B547">
      <v>13</v>
    </nc>
  </rcc>
  <rcc rId="8817" sId="5" numFmtId="4">
    <nc r="C547">
      <v>90</v>
    </nc>
  </rcc>
  <rcc rId="8818" sId="5" numFmtId="4">
    <nc r="D547">
      <v>14</v>
    </nc>
  </rcc>
  <rcc rId="8819" sId="5" numFmtId="4">
    <nc r="E547">
      <v>20</v>
    </nc>
  </rcc>
  <rcc rId="8820" sId="5" numFmtId="4">
    <nc r="F547">
      <v>5</v>
    </nc>
  </rcc>
  <rcc rId="8821" sId="5" numFmtId="4">
    <nc r="G547">
      <v>0</v>
    </nc>
  </rcc>
  <rcc rId="8822" sId="5" numFmtId="4">
    <nc r="B548">
      <v>13</v>
    </nc>
  </rcc>
  <rcc rId="8823" sId="5" numFmtId="4">
    <nc r="C548">
      <v>90</v>
    </nc>
  </rcc>
  <rcc rId="8824" sId="5" numFmtId="4">
    <nc r="D548">
      <v>15</v>
    </nc>
  </rcc>
  <rcc rId="8825" sId="5" numFmtId="4">
    <nc r="E548">
      <v>13</v>
    </nc>
  </rcc>
  <rcc rId="8826" sId="5" numFmtId="4">
    <nc r="F548">
      <v>12</v>
    </nc>
  </rcc>
  <rcc rId="8827" sId="5" numFmtId="4">
    <nc r="G548">
      <v>0</v>
    </nc>
  </rcc>
  <rcc rId="8828" sId="5" numFmtId="4">
    <nc r="B549">
      <v>13</v>
    </nc>
  </rcc>
  <rcc rId="8829" sId="5" numFmtId="4">
    <nc r="C549">
      <v>90</v>
    </nc>
  </rcc>
  <rcc rId="8830" sId="5" numFmtId="4">
    <nc r="D549">
      <v>16</v>
    </nc>
  </rcc>
  <rcc rId="8831" sId="5" numFmtId="4">
    <nc r="E549">
      <v>20</v>
    </nc>
  </rcc>
  <rcc rId="8832" sId="5" numFmtId="4">
    <nc r="F549">
      <v>5</v>
    </nc>
  </rcc>
  <rcc rId="8833" sId="5" numFmtId="4">
    <nc r="G549">
      <v>0</v>
    </nc>
  </rcc>
  <rcc rId="8834" sId="5" numFmtId="4">
    <nc r="B550">
      <v>13</v>
    </nc>
  </rcc>
  <rcc rId="8835" sId="5" numFmtId="4">
    <nc r="C550">
      <v>90</v>
    </nc>
  </rcc>
  <rcc rId="8836" sId="5" numFmtId="4">
    <nc r="D550">
      <v>17</v>
    </nc>
  </rcc>
  <rcc rId="8837" sId="5" numFmtId="4">
    <nc r="E550">
      <v>15</v>
    </nc>
  </rcc>
  <rcc rId="8838" sId="5" numFmtId="4">
    <nc r="F550">
      <v>10</v>
    </nc>
  </rcc>
  <rcc rId="8839" sId="5" numFmtId="4">
    <nc r="G550">
      <v>0</v>
    </nc>
  </rcc>
</revisions>
</file>

<file path=xl/revisions/revisionLog93.xml><?xml version="1.0" encoding="utf-8"?>
<revisions xmlns="http://schemas.openxmlformats.org/spreadsheetml/2006/main" xmlns:r="http://schemas.openxmlformats.org/officeDocument/2006/relationships">
  <rcc rId="8842" sId="11" numFmtId="4">
    <nc r="B292">
      <v>1</v>
    </nc>
  </rcc>
  <rcc rId="8843" sId="11" numFmtId="4">
    <nc r="C292">
      <v>54</v>
    </nc>
  </rcc>
  <rcc rId="8844" sId="11" numFmtId="4">
    <nc r="D292">
      <v>10</v>
    </nc>
  </rcc>
  <rcc rId="8845" sId="11" numFmtId="4">
    <nc r="E292">
      <v>1</v>
    </nc>
  </rcc>
  <rcc rId="8846" sId="11" numFmtId="4">
    <nc r="F292">
      <v>0</v>
    </nc>
  </rcc>
  <rcc rId="8847" sId="11" numFmtId="4">
    <nc r="G292">
      <v>1</v>
    </nc>
  </rcc>
  <rcc rId="8848" sId="11" numFmtId="4">
    <nc r="H292">
      <v>0</v>
    </nc>
  </rcc>
  <rcc rId="8849" sId="11" numFmtId="4">
    <nc r="B293">
      <v>1</v>
    </nc>
  </rcc>
  <rcc rId="8850" sId="11" numFmtId="4">
    <nc r="C293">
      <v>54</v>
    </nc>
  </rcc>
  <rcc rId="8851" sId="11" numFmtId="4">
    <nc r="D293">
      <v>11</v>
    </nc>
  </rcc>
  <rcc rId="8852" sId="11" numFmtId="4">
    <nc r="E293">
      <v>3</v>
    </nc>
  </rcc>
  <rcc rId="8853" sId="11" numFmtId="4">
    <nc r="F293">
      <v>0</v>
    </nc>
  </rcc>
  <rcc rId="8854" sId="11" numFmtId="4">
    <nc r="G293">
      <v>0</v>
    </nc>
  </rcc>
  <rcc rId="8855" sId="11" numFmtId="4">
    <nc r="H293">
      <v>1</v>
    </nc>
  </rcc>
  <rcc rId="8856" sId="11" numFmtId="4">
    <nc r="B294">
      <v>1</v>
    </nc>
  </rcc>
  <rcc rId="8857" sId="11" numFmtId="4">
    <nc r="C294">
      <v>54</v>
    </nc>
  </rcc>
  <rcc rId="8858" sId="11" numFmtId="4">
    <nc r="D294">
      <v>12</v>
    </nc>
  </rcc>
  <rcc rId="8859" sId="11" numFmtId="4">
    <nc r="E294">
      <v>4</v>
    </nc>
  </rcc>
  <rcc rId="8860" sId="11" numFmtId="4">
    <nc r="F294">
      <v>1</v>
    </nc>
  </rcc>
  <rcc rId="8861" sId="11" numFmtId="4">
    <nc r="G294">
      <v>0</v>
    </nc>
  </rcc>
  <rcc rId="8862" sId="11" numFmtId="4">
    <nc r="H294">
      <v>1</v>
    </nc>
  </rcc>
  <rcc rId="8863" sId="11" numFmtId="4">
    <nc r="B295">
      <v>1</v>
    </nc>
  </rcc>
  <rcc rId="8864" sId="11" numFmtId="4">
    <nc r="C295">
      <v>54</v>
    </nc>
  </rcc>
  <rcc rId="8865" sId="11" numFmtId="4">
    <nc r="D295">
      <v>13</v>
    </nc>
  </rcc>
  <rcc rId="8866" sId="11" numFmtId="4">
    <nc r="E295">
      <v>4</v>
    </nc>
  </rcc>
  <rcc rId="8867" sId="11" numFmtId="4">
    <nc r="F295">
      <v>2</v>
    </nc>
  </rcc>
  <rcc rId="8868" sId="11" numFmtId="4">
    <nc r="G295">
      <v>0</v>
    </nc>
  </rcc>
  <rcc rId="8869" sId="11" numFmtId="4">
    <nc r="H295">
      <v>0</v>
    </nc>
  </rcc>
  <rcc rId="8870" sId="11" numFmtId="4">
    <nc r="B296">
      <v>1</v>
    </nc>
  </rcc>
  <rcc rId="8871" sId="11" numFmtId="4">
    <nc r="C296">
      <v>54</v>
    </nc>
  </rcc>
  <rcc rId="8872" sId="11" numFmtId="4">
    <nc r="D296">
      <v>14</v>
    </nc>
  </rcc>
  <rcc rId="8873" sId="11" numFmtId="4">
    <nc r="E296">
      <v>1</v>
    </nc>
  </rcc>
  <rcc rId="8874" sId="11" numFmtId="4">
    <nc r="F296">
      <v>3</v>
    </nc>
  </rcc>
  <rcc rId="8875" sId="11" numFmtId="4">
    <nc r="G296">
      <v>0</v>
    </nc>
  </rcc>
  <rcc rId="8876" sId="11" numFmtId="4">
    <nc r="H296">
      <v>0</v>
    </nc>
  </rcc>
  <rcc rId="8877" sId="11" numFmtId="4">
    <nc r="B297">
      <v>1</v>
    </nc>
  </rcc>
  <rcc rId="8878" sId="11" numFmtId="4">
    <nc r="C297">
      <v>54</v>
    </nc>
  </rcc>
  <rcc rId="8879" sId="11" numFmtId="4">
    <nc r="D297">
      <v>15</v>
    </nc>
  </rcc>
  <rcc rId="8880" sId="11" numFmtId="4">
    <nc r="E297">
      <v>2</v>
    </nc>
  </rcc>
  <rcc rId="8881" sId="11" numFmtId="4">
    <nc r="F297">
      <v>0</v>
    </nc>
  </rcc>
  <rcc rId="8882" sId="11" numFmtId="4">
    <nc r="G297">
      <v>0</v>
    </nc>
  </rcc>
  <rcc rId="8883" sId="11" numFmtId="4">
    <nc r="H297">
      <v>1</v>
    </nc>
  </rcc>
  <rcc rId="8884" sId="11" numFmtId="4">
    <nc r="B298">
      <v>1</v>
    </nc>
  </rcc>
  <rcc rId="8885" sId="11" numFmtId="4">
    <nc r="C298">
      <v>35</v>
    </nc>
  </rcc>
  <rcc rId="8886" sId="11" numFmtId="4">
    <nc r="D298">
      <v>14</v>
    </nc>
  </rcc>
  <rcc rId="8887" sId="11" numFmtId="4">
    <nc r="E298">
      <v>13</v>
    </nc>
  </rcc>
  <rcc rId="8888" sId="11" numFmtId="4">
    <nc r="F298">
      <v>13</v>
    </nc>
  </rcc>
  <rcc rId="8889" sId="11" numFmtId="4">
    <nc r="G298">
      <v>12</v>
    </nc>
  </rcc>
  <rcc rId="8890" sId="11" numFmtId="4">
    <nc r="H298">
      <v>0</v>
    </nc>
  </rcc>
  <rcc rId="8891" sId="11" numFmtId="4">
    <nc r="B299">
      <v>1</v>
    </nc>
  </rcc>
  <rcc rId="8892" sId="11" numFmtId="4">
    <nc r="C299">
      <v>35</v>
    </nc>
  </rcc>
  <rcc rId="8893" sId="11" numFmtId="4">
    <nc r="D299">
      <v>13</v>
    </nc>
  </rcc>
  <rcc rId="8894" sId="11" numFmtId="4">
    <nc r="E299">
      <v>18</v>
    </nc>
  </rcc>
  <rcc rId="8895" sId="11" numFmtId="4">
    <nc r="F299">
      <v>15</v>
    </nc>
  </rcc>
  <rcc rId="8896" sId="11" numFmtId="4">
    <nc r="G299">
      <v>12</v>
    </nc>
  </rcc>
  <rcc rId="8897" sId="11" numFmtId="4">
    <nc r="H299">
      <v>0</v>
    </nc>
  </rcc>
  <rcc rId="8898" sId="11" numFmtId="4">
    <nc r="B300">
      <v>1</v>
    </nc>
  </rcc>
  <rcc rId="8899" sId="11" numFmtId="4">
    <nc r="C300">
      <v>51</v>
    </nc>
  </rcc>
  <rcc rId="8900" sId="11" numFmtId="4">
    <nc r="D300">
      <v>14</v>
    </nc>
  </rcc>
  <rcc rId="8901" sId="11" numFmtId="4">
    <nc r="E300">
      <v>7</v>
    </nc>
  </rcc>
  <rcc rId="8902" sId="11" numFmtId="4">
    <nc r="F300">
      <v>1</v>
    </nc>
  </rcc>
  <rcc rId="8903" sId="11" numFmtId="4">
    <nc r="G300">
      <v>0</v>
    </nc>
  </rcc>
  <rcc rId="8904" sId="11" numFmtId="4">
    <nc r="H300">
      <v>0</v>
    </nc>
  </rcc>
  <rcc rId="8905" sId="11" numFmtId="4">
    <nc r="B301">
      <v>1</v>
    </nc>
  </rcc>
  <rcc rId="8906" sId="11" numFmtId="4">
    <nc r="C301">
      <v>45</v>
    </nc>
  </rcc>
  <rcc rId="8907" sId="11" numFmtId="4">
    <nc r="D301">
      <v>10</v>
    </nc>
  </rcc>
  <rcc rId="8908" sId="11" numFmtId="4">
    <nc r="E301">
      <v>19</v>
    </nc>
  </rcc>
  <rcc rId="8909" sId="11" numFmtId="4">
    <nc r="F301">
      <v>2</v>
    </nc>
  </rcc>
  <rcc rId="8910" sId="11" numFmtId="4">
    <nc r="G301">
      <v>0</v>
    </nc>
  </rcc>
  <rcc rId="8911" sId="11" numFmtId="4">
    <nc r="H301">
      <v>0</v>
    </nc>
  </rcc>
  <rcc rId="8912" sId="11" numFmtId="4">
    <nc r="B302">
      <v>1</v>
    </nc>
  </rcc>
  <rcc rId="8913" sId="11" numFmtId="4">
    <nc r="C302">
      <v>45</v>
    </nc>
  </rcc>
  <rcc rId="8914" sId="11" numFmtId="4">
    <nc r="D302">
      <v>11</v>
    </nc>
  </rcc>
  <rcc rId="8915" sId="11" numFmtId="4">
    <nc r="E302">
      <v>14</v>
    </nc>
  </rcc>
  <rcc rId="8916" sId="11" numFmtId="4">
    <nc r="F302">
      <v>5</v>
    </nc>
  </rcc>
  <rcc rId="8917" sId="11" numFmtId="4">
    <nc r="G302">
      <v>0</v>
    </nc>
  </rcc>
  <rcc rId="8918" sId="11" numFmtId="4">
    <nc r="H302">
      <v>0</v>
    </nc>
  </rcc>
  <rcc rId="8919" sId="11" numFmtId="4">
    <nc r="B303">
      <v>1</v>
    </nc>
  </rcc>
  <rcc rId="8920" sId="11" numFmtId="4">
    <nc r="C303">
      <v>45</v>
    </nc>
  </rcc>
</revisions>
</file>

<file path=xl/revisions/revisionLog94.xml><?xml version="1.0" encoding="utf-8"?>
<revisions xmlns="http://schemas.openxmlformats.org/spreadsheetml/2006/main" xmlns:r="http://schemas.openxmlformats.org/officeDocument/2006/relationships">
  <rcc rId="8921" sId="11" numFmtId="4">
    <nc r="D303">
      <v>12</v>
    </nc>
  </rcc>
  <rcc rId="8922" sId="11" numFmtId="4">
    <nc r="E303">
      <v>8</v>
    </nc>
  </rcc>
  <rcc rId="8923" sId="11" numFmtId="4">
    <nc r="F303">
      <v>1</v>
    </nc>
  </rcc>
  <rcc rId="8924" sId="11" numFmtId="4">
    <nc r="G303">
      <v>0</v>
    </nc>
  </rcc>
  <rcc rId="8925" sId="11" numFmtId="4">
    <nc r="H303">
      <v>7</v>
    </nc>
  </rcc>
  <rcc rId="8926" sId="11" numFmtId="4">
    <nc r="B304">
      <v>1</v>
    </nc>
  </rcc>
  <rcc rId="8927" sId="11" numFmtId="4">
    <nc r="C304">
      <v>45</v>
    </nc>
  </rcc>
  <rcc rId="8928" sId="11" numFmtId="4">
    <nc r="D304">
      <v>13</v>
    </nc>
  </rcc>
  <rcc rId="8929" sId="11" numFmtId="4">
    <nc r="E304">
      <v>10</v>
    </nc>
  </rcc>
  <rcc rId="8930" sId="11" numFmtId="4">
    <nc r="F304">
      <v>8</v>
    </nc>
  </rcc>
  <rcc rId="8931" sId="11" numFmtId="4">
    <nc r="G304">
      <v>0</v>
    </nc>
  </rcc>
  <rcc rId="8932" sId="11" numFmtId="4">
    <nc r="H304">
      <v>3</v>
    </nc>
  </rcc>
  <rcc rId="8933" sId="11" numFmtId="4">
    <nc r="B305">
      <v>1</v>
    </nc>
  </rcc>
  <rcc rId="8934" sId="11" numFmtId="4">
    <nc r="C305">
      <v>45</v>
    </nc>
  </rcc>
  <rcc rId="8935" sId="11" numFmtId="4">
    <nc r="D305">
      <v>14</v>
    </nc>
  </rcc>
  <rcc rId="8936" sId="11" numFmtId="4">
    <nc r="E305">
      <v>7</v>
    </nc>
  </rcc>
  <rcc rId="8937" sId="11" numFmtId="4">
    <nc r="F305">
      <v>9</v>
    </nc>
  </rcc>
  <rcc rId="8938" sId="11" numFmtId="4">
    <nc r="G305">
      <v>0</v>
    </nc>
  </rcc>
  <rcc rId="8939" sId="11" numFmtId="4">
    <nc r="H305">
      <v>1</v>
    </nc>
  </rcc>
  <rcc rId="8940" sId="11" numFmtId="4">
    <nc r="B306">
      <v>1</v>
    </nc>
  </rcc>
  <rcc rId="8941" sId="11" numFmtId="4">
    <nc r="C306">
      <v>15</v>
    </nc>
  </rcc>
  <rcc rId="8942" sId="11" numFmtId="4">
    <nc r="D306">
      <v>13</v>
    </nc>
  </rcc>
  <rcc rId="8943" sId="11" numFmtId="4">
    <nc r="E306">
      <v>0</v>
    </nc>
  </rcc>
  <rcc rId="8944" sId="11" numFmtId="4">
    <nc r="F306">
      <v>1</v>
    </nc>
  </rcc>
  <rcc rId="8945" sId="11" numFmtId="4">
    <nc r="G306">
      <v>0</v>
    </nc>
  </rcc>
  <rcc rId="8946" sId="11" numFmtId="4">
    <nc r="H306">
      <v>1</v>
    </nc>
  </rcc>
  <rcc rId="8947" sId="11" numFmtId="4">
    <nc r="B307">
      <v>1</v>
    </nc>
  </rcc>
  <rcc rId="8948" sId="11" numFmtId="4">
    <nc r="C307">
      <v>15</v>
    </nc>
  </rcc>
  <rcc rId="8949" sId="11" numFmtId="4">
    <nc r="D307">
      <v>14</v>
    </nc>
  </rcc>
  <rcc rId="8950" sId="11" numFmtId="4">
    <nc r="E307">
      <v>2</v>
    </nc>
  </rcc>
  <rcc rId="8951" sId="11" numFmtId="4">
    <nc r="F307">
      <v>0</v>
    </nc>
  </rcc>
  <rcc rId="8952" sId="11" numFmtId="4">
    <nc r="G307">
      <v>0</v>
    </nc>
  </rcc>
  <rcc rId="8953" sId="11" numFmtId="4">
    <nc r="H307">
      <v>0</v>
    </nc>
  </rcc>
  <rcc rId="8954" sId="11" numFmtId="4">
    <nc r="B308">
      <v>1</v>
    </nc>
  </rcc>
  <rcc rId="8955" sId="11" numFmtId="4">
    <nc r="C308">
      <v>25</v>
    </nc>
  </rcc>
  <rcc rId="8956" sId="11" numFmtId="4">
    <nc r="D308">
      <v>13</v>
    </nc>
  </rcc>
  <rcc rId="8957" sId="11" numFmtId="4">
    <nc r="E308">
      <v>20</v>
    </nc>
  </rcc>
  <rcc rId="8958" sId="11" numFmtId="4">
    <nc r="F308">
      <v>4</v>
    </nc>
  </rcc>
  <rcc rId="8959" sId="11" numFmtId="4">
    <nc r="G308">
      <v>0</v>
    </nc>
  </rcc>
  <rcc rId="8960" sId="11" numFmtId="4">
    <nc r="H308">
      <v>0</v>
    </nc>
  </rcc>
  <rcc rId="8961" sId="11" numFmtId="4">
    <nc r="B309">
      <v>1</v>
    </nc>
  </rcc>
  <rcc rId="8962" sId="11" numFmtId="4">
    <nc r="C309">
      <v>12</v>
    </nc>
  </rcc>
  <rcc rId="8963" sId="11" numFmtId="4">
    <nc r="D309">
      <v>8</v>
    </nc>
  </rcc>
  <rcc rId="8964" sId="11" numFmtId="4">
    <nc r="E309">
      <v>5</v>
    </nc>
  </rcc>
  <rcc rId="8965" sId="11" numFmtId="4">
    <nc r="F309">
      <v>8</v>
    </nc>
  </rcc>
  <rcc rId="8966" sId="11" numFmtId="4">
    <nc r="G309">
      <v>3</v>
    </nc>
  </rcc>
  <rcc rId="8967" sId="11" numFmtId="4">
    <nc r="H309">
      <v>1</v>
    </nc>
  </rcc>
  <rcc rId="8968" sId="11" numFmtId="4">
    <nc r="B310">
      <v>1</v>
    </nc>
  </rcc>
  <rcc rId="8969" sId="11" numFmtId="4">
    <nc r="C310">
      <v>12</v>
    </nc>
  </rcc>
  <rcc rId="8970" sId="11" numFmtId="4">
    <nc r="D310">
      <v>9</v>
    </nc>
  </rcc>
  <rcc rId="8971" sId="11" numFmtId="4">
    <nc r="E310">
      <v>12</v>
    </nc>
  </rcc>
  <rcc rId="8972" sId="11" numFmtId="4">
    <nc r="F310">
      <v>5</v>
    </nc>
  </rcc>
  <rcc rId="8973" sId="11" numFmtId="4">
    <nc r="G310">
      <v>3</v>
    </nc>
  </rcc>
  <rcc rId="8974" sId="11" numFmtId="4">
    <nc r="H310">
      <v>0</v>
    </nc>
  </rcc>
  <rcc rId="8975" sId="11" numFmtId="4">
    <nc r="B311">
      <v>1</v>
    </nc>
  </rcc>
  <rcc rId="8976" sId="11" numFmtId="4">
    <nc r="C311">
      <v>12</v>
    </nc>
  </rcc>
  <rcc rId="8977" sId="11" numFmtId="4">
    <nc r="D311">
      <v>10</v>
    </nc>
  </rcc>
  <rcc rId="8978" sId="11" numFmtId="4">
    <nc r="E311">
      <v>12</v>
    </nc>
  </rcc>
  <rcc rId="8979" sId="11" numFmtId="4">
    <nc r="F311">
      <v>8</v>
    </nc>
  </rcc>
  <rcc rId="8980" sId="11" numFmtId="4">
    <nc r="G311">
      <v>2</v>
    </nc>
  </rcc>
  <rcc rId="8981" sId="11" numFmtId="4">
    <nc r="H311">
      <v>0</v>
    </nc>
  </rcc>
  <rcc rId="8982" sId="11" numFmtId="4">
    <nc r="B312">
      <v>1</v>
    </nc>
  </rcc>
  <rcc rId="8983" sId="11" numFmtId="4">
    <nc r="C312">
      <v>12</v>
    </nc>
  </rcc>
  <rcc rId="8984" sId="11" numFmtId="4">
    <nc r="D312">
      <v>11</v>
    </nc>
  </rcc>
  <rcc rId="8985" sId="11" numFmtId="4">
    <nc r="E312">
      <v>13</v>
    </nc>
  </rcc>
  <rcc rId="8986" sId="11" numFmtId="4">
    <nc r="F312">
      <v>9</v>
    </nc>
  </rcc>
  <rcc rId="8987" sId="11" numFmtId="4">
    <nc r="G312">
      <v>3</v>
    </nc>
  </rcc>
  <rcc rId="8988" sId="11" numFmtId="4">
    <nc r="H312">
      <v>0</v>
    </nc>
  </rcc>
  <rcc rId="8989" sId="11" numFmtId="4">
    <nc r="B313">
      <v>1</v>
    </nc>
  </rcc>
  <rcc rId="8990" sId="11" numFmtId="4">
    <nc r="C313">
      <v>12</v>
    </nc>
  </rcc>
  <rcc rId="8991" sId="11" numFmtId="4">
    <nc r="D313">
      <v>12</v>
    </nc>
  </rcc>
  <rcc rId="8992" sId="11" numFmtId="4">
    <nc r="E313">
      <v>7</v>
    </nc>
  </rcc>
  <rcc rId="8993" sId="11" numFmtId="4">
    <nc r="F313">
      <v>6</v>
    </nc>
  </rcc>
  <rcc rId="8994" sId="11" numFmtId="4">
    <nc r="G313">
      <v>1</v>
    </nc>
  </rcc>
  <rcc rId="8995" sId="11" numFmtId="4">
    <nc r="H313">
      <v>3</v>
    </nc>
  </rcc>
  <rcc rId="8996" sId="11" numFmtId="4">
    <nc r="B314">
      <v>1</v>
    </nc>
  </rcc>
  <rcc rId="8997" sId="11" numFmtId="4">
    <nc r="C314">
      <v>12</v>
    </nc>
  </rcc>
  <rcc rId="8998" sId="11" numFmtId="4">
    <nc r="D314">
      <v>13</v>
    </nc>
  </rcc>
  <rcc rId="8999" sId="11" numFmtId="4">
    <nc r="E314">
      <v>9</v>
    </nc>
  </rcc>
  <rcc rId="9000" sId="11" numFmtId="4">
    <nc r="F314">
      <v>5</v>
    </nc>
  </rcc>
  <rcc rId="9001" sId="11" numFmtId="4">
    <nc r="G314">
      <v>2</v>
    </nc>
  </rcc>
  <rcc rId="9002" sId="11" numFmtId="4">
    <nc r="H314">
      <v>3</v>
    </nc>
  </rcc>
  <rcc rId="9003" sId="11" numFmtId="4">
    <nc r="B315">
      <v>1</v>
    </nc>
  </rcc>
  <rcc rId="9004" sId="11" numFmtId="4">
    <nc r="C315">
      <v>12</v>
    </nc>
  </rcc>
  <rcc rId="9005" sId="11" numFmtId="4">
    <nc r="D315">
      <v>14</v>
    </nc>
  </rcc>
  <rcc rId="9006" sId="11" numFmtId="4">
    <nc r="E315">
      <v>6</v>
    </nc>
  </rcc>
  <rcc rId="9007" sId="11" numFmtId="4">
    <nc r="F315">
      <v>7</v>
    </nc>
  </rcc>
  <rcc rId="9008" sId="11" numFmtId="4">
    <nc r="G315">
      <v>2</v>
    </nc>
  </rcc>
  <rcc rId="9009" sId="11" numFmtId="4">
    <nc r="H315">
      <v>2</v>
    </nc>
  </rcc>
  <rcc rId="9010" sId="11" numFmtId="4">
    <nc r="B316">
      <v>1</v>
    </nc>
  </rcc>
  <rcc rId="9011" sId="11" numFmtId="4">
    <nc r="C316">
      <v>23</v>
    </nc>
  </rcc>
  <rcc rId="9012" sId="11" numFmtId="4">
    <nc r="D316">
      <v>11</v>
    </nc>
  </rcc>
  <rcc rId="9013" sId="11" numFmtId="4">
    <nc r="E316">
      <v>7</v>
    </nc>
  </rcc>
  <rcc rId="9014" sId="11" numFmtId="4">
    <nc r="F316">
      <v>14</v>
    </nc>
  </rcc>
  <rcc rId="9015" sId="11" numFmtId="4">
    <nc r="G316">
      <v>0</v>
    </nc>
  </rcc>
  <rcc rId="9016" sId="11" numFmtId="4">
    <nc r="H316">
      <v>0</v>
    </nc>
  </rcc>
  <rcc rId="9017" sId="11" numFmtId="4">
    <nc r="B317">
      <v>1</v>
    </nc>
  </rcc>
  <rcc rId="9018" sId="11" numFmtId="4">
    <nc r="C317">
      <v>23</v>
    </nc>
  </rcc>
  <rcc rId="9019" sId="11" numFmtId="4">
    <nc r="D317">
      <v>10</v>
    </nc>
  </rcc>
  <rcc rId="9020" sId="11" numFmtId="4">
    <nc r="E317">
      <v>6</v>
    </nc>
  </rcc>
  <rcc rId="9021" sId="11" numFmtId="4">
    <nc r="F317">
      <v>13</v>
    </nc>
  </rcc>
  <rcc rId="9022" sId="11" numFmtId="4">
    <nc r="G317">
      <v>2</v>
    </nc>
  </rcc>
  <rcc rId="9023" sId="11" numFmtId="4">
    <nc r="H317">
      <v>0</v>
    </nc>
  </rcc>
  <rcc rId="9024" sId="11" numFmtId="4">
    <nc r="B318">
      <v>1</v>
    </nc>
  </rcc>
  <rcc rId="9025" sId="11" numFmtId="4">
    <nc r="C318">
      <v>23</v>
    </nc>
  </rcc>
  <rcc rId="9026" sId="11" numFmtId="4">
    <nc r="D318">
      <v>12</v>
    </nc>
  </rcc>
  <rcc rId="9027" sId="11" numFmtId="4">
    <nc r="E318">
      <v>8</v>
    </nc>
  </rcc>
  <rcc rId="9028" sId="11" numFmtId="4">
    <nc r="F318">
      <v>14</v>
    </nc>
  </rcc>
  <rcc rId="9029" sId="11" numFmtId="4">
    <nc r="G318">
      <v>1</v>
    </nc>
  </rcc>
  <rcc rId="9030" sId="11" numFmtId="4">
    <nc r="H318">
      <v>0</v>
    </nc>
  </rcc>
  <rcc rId="9031" sId="11" numFmtId="4">
    <nc r="B319">
      <v>1</v>
    </nc>
  </rcc>
  <rcc rId="9032" sId="11" numFmtId="4">
    <nc r="C319">
      <v>23</v>
    </nc>
  </rcc>
  <rcc rId="9033" sId="11" numFmtId="4">
    <nc r="D319">
      <v>13</v>
    </nc>
  </rcc>
  <rcc rId="9034" sId="11" numFmtId="4">
    <nc r="E319">
      <v>6</v>
    </nc>
  </rcc>
  <rcc rId="9035" sId="11" numFmtId="4">
    <nc r="F319">
      <v>14</v>
    </nc>
  </rcc>
  <rcc rId="9036" sId="11" numFmtId="4">
    <nc r="G319">
      <v>0</v>
    </nc>
  </rcc>
  <rcc rId="9037" sId="11" numFmtId="4">
    <nc r="H319">
      <v>0</v>
    </nc>
  </rcc>
  <rcc rId="9038" sId="11" numFmtId="4">
    <nc r="B320">
      <v>1</v>
    </nc>
  </rcc>
  <rcc rId="9039" sId="11" numFmtId="4">
    <nc r="C320">
      <v>23</v>
    </nc>
  </rcc>
  <rcc rId="9040" sId="11" numFmtId="4">
    <nc r="D320">
      <v>14</v>
    </nc>
  </rcc>
  <rcc rId="9041" sId="11" numFmtId="4">
    <nc r="E320">
      <v>9</v>
    </nc>
  </rcc>
  <rcc rId="9042" sId="11" numFmtId="4">
    <nc r="F320">
      <v>13</v>
    </nc>
  </rcc>
  <rcc rId="9043" sId="11" numFmtId="4">
    <nc r="G320">
      <v>0</v>
    </nc>
  </rcc>
  <rcc rId="9044" sId="11" numFmtId="4">
    <nc r="H320">
      <v>0</v>
    </nc>
  </rcc>
  <rcc rId="9045" sId="11" numFmtId="4">
    <nc r="B321">
      <v>1</v>
    </nc>
  </rcc>
  <rcc rId="9046" sId="11" numFmtId="4">
    <nc r="C321">
      <v>23</v>
    </nc>
  </rcc>
  <rcc rId="9047" sId="11" numFmtId="4">
    <nc r="D321">
      <v>15</v>
    </nc>
  </rcc>
  <rcc rId="9048" sId="11" numFmtId="4">
    <nc r="E321">
      <v>11</v>
    </nc>
  </rcc>
  <rcc rId="9049" sId="11" numFmtId="4">
    <nc r="F321">
      <v>14</v>
    </nc>
  </rcc>
  <rcc rId="9050" sId="11" numFmtId="4">
    <nc r="G321">
      <v>1</v>
    </nc>
  </rcc>
  <rcc rId="9051" sId="11" numFmtId="4">
    <nc r="H321">
      <v>0</v>
    </nc>
  </rcc>
  <rcc rId="9052" sId="11" numFmtId="4">
    <nc r="B322">
      <v>1</v>
    </nc>
  </rcc>
  <rcc rId="9053" sId="11" numFmtId="4">
    <nc r="C322">
      <v>38</v>
    </nc>
  </rcc>
  <rcc rId="9054" sId="11" numFmtId="4">
    <nc r="D322">
      <v>13</v>
    </nc>
  </rcc>
  <rcc rId="9055" sId="11" numFmtId="4">
    <nc r="E322">
      <v>10</v>
    </nc>
  </rcc>
  <rcc rId="9056" sId="11" numFmtId="4">
    <nc r="F322">
      <v>21</v>
    </nc>
  </rcc>
  <rcc rId="9057" sId="11" numFmtId="4">
    <nc r="G322">
      <v>0</v>
    </nc>
  </rcc>
  <rcc rId="9058" sId="11" numFmtId="4">
    <nc r="H322">
      <v>0</v>
    </nc>
  </rcc>
  <rcc rId="9059" sId="11" numFmtId="4">
    <nc r="B323">
      <v>1</v>
    </nc>
  </rcc>
  <rcc rId="9060" sId="11" numFmtId="4">
    <nc r="C323">
      <v>38</v>
    </nc>
  </rcc>
  <rcc rId="9061" sId="11" numFmtId="4">
    <nc r="D323">
      <v>14</v>
    </nc>
  </rcc>
  <rcc rId="9062" sId="11" numFmtId="4">
    <nc r="E323">
      <v>6</v>
    </nc>
  </rcc>
  <rcc rId="9063" sId="11" numFmtId="4">
    <nc r="F323">
      <v>19</v>
    </nc>
  </rcc>
  <rcc rId="9064" sId="11" numFmtId="4">
    <nc r="G323">
      <v>0</v>
    </nc>
  </rcc>
  <rcc rId="9065" sId="11" numFmtId="4">
    <nc r="H323">
      <v>0</v>
    </nc>
  </rcc>
  <rcc rId="9066" sId="11" numFmtId="4">
    <nc r="B324">
      <v>1</v>
    </nc>
  </rcc>
  <rcc rId="9067" sId="11" numFmtId="4">
    <nc r="C324">
      <v>38</v>
    </nc>
  </rcc>
  <rcc rId="9068" sId="11" numFmtId="4">
    <nc r="D324">
      <v>15</v>
    </nc>
  </rcc>
  <rcc rId="9069" sId="11" numFmtId="4">
    <nc r="E324">
      <v>4</v>
    </nc>
  </rcc>
  <rcc rId="9070" sId="11" numFmtId="4">
    <nc r="F324">
      <v>12</v>
    </nc>
  </rcc>
  <rcc rId="9071" sId="11" numFmtId="4">
    <nc r="G324">
      <v>0</v>
    </nc>
  </rcc>
  <rcc rId="9072" sId="11" numFmtId="4">
    <nc r="H324">
      <v>0</v>
    </nc>
  </rcc>
  <rcc rId="9073" sId="11" numFmtId="4">
    <nc r="B325">
      <v>1</v>
    </nc>
  </rcc>
  <rcc rId="9074" sId="11" numFmtId="4">
    <nc r="C325">
      <v>38</v>
    </nc>
  </rcc>
  <rcc rId="9075" sId="11" numFmtId="4">
    <nc r="D325">
      <v>16</v>
    </nc>
  </rcc>
  <rcc rId="9076" sId="11" numFmtId="4">
    <nc r="E325">
      <v>2</v>
    </nc>
  </rcc>
  <rcc rId="9077" sId="11" numFmtId="4">
    <nc r="F325">
      <v>5</v>
    </nc>
  </rcc>
  <rcc rId="9078" sId="11" numFmtId="4">
    <nc r="G325">
      <v>0</v>
    </nc>
  </rcc>
  <rcc rId="9079" sId="11" numFmtId="4">
    <nc r="H325">
      <v>0</v>
    </nc>
  </rcc>
  <rcc rId="9080" sId="11" numFmtId="4">
    <nc r="B326">
      <v>1</v>
    </nc>
  </rcc>
  <rcc rId="9081" sId="11" numFmtId="4">
    <nc r="C326">
      <v>2</v>
    </nc>
  </rcc>
  <rcc rId="9082" sId="11" numFmtId="4">
    <nc r="D326">
      <v>14</v>
    </nc>
  </rcc>
  <rcc rId="9083" sId="11" numFmtId="4">
    <nc r="E326">
      <v>11</v>
    </nc>
  </rcc>
  <rcc rId="9084" sId="11" numFmtId="4">
    <nc r="F326">
      <v>1</v>
    </nc>
  </rcc>
  <rcc rId="9085" sId="11" numFmtId="4">
    <nc r="G326">
      <v>0</v>
    </nc>
  </rcc>
  <rcc rId="9086" sId="11" numFmtId="4">
    <nc r="H326">
      <v>0</v>
    </nc>
  </rcc>
  <rcc rId="9087" sId="11" numFmtId="4">
    <nc r="B327">
      <v>1</v>
    </nc>
  </rcc>
  <rcc rId="9088" sId="11" numFmtId="4">
    <nc r="C327">
      <v>22</v>
    </nc>
  </rcc>
  <rcc rId="9089" sId="11" numFmtId="4">
    <nc r="D327">
      <v>14</v>
    </nc>
  </rcc>
  <rcc rId="9090" sId="11" numFmtId="4">
    <nc r="E327">
      <v>2</v>
    </nc>
  </rcc>
  <rcc rId="9091" sId="11" numFmtId="4">
    <nc r="F327">
      <v>14</v>
    </nc>
  </rcc>
  <rcc rId="9092" sId="11" numFmtId="4">
    <nc r="G327">
      <v>0</v>
    </nc>
  </rcc>
  <rcc rId="9093" sId="11" numFmtId="4">
    <nc r="H327">
      <v>0</v>
    </nc>
  </rcc>
  <rcc rId="9094" sId="11" numFmtId="4">
    <nc r="B328">
      <v>1</v>
    </nc>
  </rcc>
  <rcc rId="9095" sId="11" numFmtId="4">
    <nc r="C328">
      <v>25</v>
    </nc>
  </rcc>
  <rcc rId="9096" sId="11" numFmtId="4">
    <nc r="D328">
      <v>14</v>
    </nc>
  </rcc>
  <rcc rId="9097" sId="11" numFmtId="4">
    <nc r="E328">
      <v>12</v>
    </nc>
  </rcc>
  <rcc rId="9098" sId="11" numFmtId="4">
    <nc r="F328">
      <v>1</v>
    </nc>
  </rcc>
  <rcc rId="9099" sId="11" numFmtId="4">
    <nc r="G328">
      <v>1</v>
    </nc>
  </rcc>
  <rcc rId="9100" sId="11" numFmtId="4">
    <nc r="H328">
      <v>0</v>
    </nc>
  </rcc>
  <rcc rId="9101" sId="11" numFmtId="4">
    <nc r="B329">
      <v>1</v>
    </nc>
  </rcc>
  <rcc rId="9102" sId="11" numFmtId="4">
    <nc r="C329">
      <v>22</v>
    </nc>
  </rcc>
  <rcc rId="9103" sId="11" numFmtId="4">
    <nc r="D329">
      <v>15</v>
    </nc>
  </rcc>
  <rcc rId="9104" sId="11" numFmtId="4">
    <nc r="E329">
      <v>3</v>
    </nc>
  </rcc>
  <rcc rId="9105" sId="11" numFmtId="4">
    <nc r="F329">
      <v>7</v>
    </nc>
  </rcc>
  <rcc rId="9106" sId="11" numFmtId="4">
    <nc r="G329">
      <v>0</v>
    </nc>
  </rcc>
  <rcc rId="9107" sId="11" numFmtId="4">
    <nc r="H329">
      <v>0</v>
    </nc>
  </rcc>
  <rcc rId="9108" sId="11" numFmtId="4">
    <nc r="B330">
      <v>1</v>
    </nc>
  </rcc>
  <rcc rId="9109" sId="11" numFmtId="4">
    <nc r="C330">
      <v>9</v>
    </nc>
  </rcc>
  <rcc rId="9110" sId="11" numFmtId="4">
    <nc r="D330">
      <v>13</v>
    </nc>
  </rcc>
  <rcc rId="9111" sId="11" numFmtId="4">
    <nc r="E330">
      <v>5</v>
    </nc>
  </rcc>
  <rcc rId="9112" sId="11" numFmtId="4">
    <nc r="F330">
      <v>20</v>
    </nc>
  </rcc>
  <rcc rId="9113" sId="11" numFmtId="4">
    <nc r="G330">
      <v>0</v>
    </nc>
  </rcc>
  <rcc rId="9114" sId="11" numFmtId="4">
    <nc r="H330">
      <v>0</v>
    </nc>
  </rcc>
  <rcc rId="9115" sId="11" numFmtId="4">
    <nc r="B331">
      <v>1</v>
    </nc>
  </rcc>
  <rcc rId="9116" sId="11" numFmtId="4">
    <nc r="C331">
      <v>9</v>
    </nc>
  </rcc>
  <rcc rId="9117" sId="11" numFmtId="4">
    <nc r="D331">
      <v>13</v>
    </nc>
  </rcc>
  <rcc rId="9118" sId="11" numFmtId="4">
    <nc r="E331">
      <v>4</v>
    </nc>
  </rcc>
  <rcc rId="9119" sId="11" numFmtId="4">
    <nc r="F331">
      <v>20</v>
    </nc>
  </rcc>
  <rcc rId="9120" sId="11" numFmtId="4">
    <nc r="G331">
      <v>1</v>
    </nc>
  </rcc>
  <rcc rId="9121" sId="11" numFmtId="4">
    <nc r="H331">
      <v>0</v>
    </nc>
  </rcc>
  <rcc rId="9122" sId="11" numFmtId="4">
    <nc r="B332">
      <v>1</v>
    </nc>
  </rcc>
  <rcc rId="9123" sId="11" numFmtId="4">
    <nc r="C332">
      <v>9</v>
    </nc>
  </rcc>
  <rcc rId="9124" sId="11" numFmtId="4">
    <nc r="D332">
      <v>14</v>
    </nc>
  </rcc>
  <rcc rId="9125" sId="11" numFmtId="4">
    <nc r="E332">
      <v>4</v>
    </nc>
  </rcc>
  <rcc rId="9126" sId="11" numFmtId="4">
    <nc r="F332">
      <v>19</v>
    </nc>
  </rcc>
  <rcc rId="9127" sId="11" numFmtId="4">
    <nc r="G332">
      <v>0</v>
    </nc>
  </rcc>
  <rcc rId="9128" sId="11" numFmtId="4">
    <nc r="H332">
      <v>0</v>
    </nc>
  </rcc>
  <rcc rId="9129" sId="11" numFmtId="4">
    <nc r="B333">
      <v>1</v>
    </nc>
  </rcc>
  <rcc rId="9130" sId="11" numFmtId="4">
    <nc r="C333">
      <v>9</v>
    </nc>
  </rcc>
  <rcc rId="9131" sId="11" numFmtId="4">
    <nc r="D333">
      <v>14</v>
    </nc>
  </rcc>
  <rcc rId="9132" sId="11" numFmtId="4">
    <nc r="E333">
      <v>4</v>
    </nc>
  </rcc>
  <rcc rId="9133" sId="11" numFmtId="4">
    <nc r="F333">
      <v>19</v>
    </nc>
  </rcc>
  <rcc rId="9134" sId="11" numFmtId="4">
    <nc r="G333">
      <v>0</v>
    </nc>
  </rcc>
  <rcc rId="9135" sId="11" numFmtId="4">
    <nc r="H333">
      <v>0</v>
    </nc>
  </rcc>
  <rcc rId="9136" sId="11" numFmtId="4">
    <nc r="B334">
      <v>1</v>
    </nc>
  </rcc>
  <rcc rId="9137" sId="11" numFmtId="4">
    <nc r="C334">
      <v>27</v>
    </nc>
  </rcc>
  <rcc rId="9138" sId="11" numFmtId="4">
    <nc r="E334">
      <v>30</v>
    </nc>
  </rcc>
  <rcc rId="9139" sId="11" numFmtId="4">
    <nc r="F334">
      <v>8</v>
    </nc>
  </rcc>
  <rcc rId="9140" sId="11" numFmtId="4">
    <nc r="G334">
      <v>0</v>
    </nc>
  </rcc>
  <rcc rId="9141" sId="11" numFmtId="4">
    <nc r="H334">
      <v>1</v>
    </nc>
  </rcc>
  <rcc rId="9142" sId="11" numFmtId="4">
    <nc r="D334">
      <v>13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>
  <rcc rId="9143" sId="11" numFmtId="4">
    <oc r="D334">
      <v>13</v>
    </oc>
    <nc r="D334">
      <v>12</v>
    </nc>
  </rcc>
  <rcc rId="9144" sId="11" numFmtId="4">
    <oc r="H334">
      <v>1</v>
    </oc>
    <nc r="H334">
      <v>0</v>
    </nc>
  </rcc>
  <rcc rId="9145" sId="11" numFmtId="4">
    <nc r="B335">
      <v>1</v>
    </nc>
  </rcc>
  <rcc rId="9146" sId="11" numFmtId="4">
    <nc r="C335">
      <v>27</v>
    </nc>
  </rcc>
  <rcc rId="9147" sId="11" numFmtId="4">
    <nc r="D335">
      <v>13</v>
    </nc>
  </rcc>
  <rcc rId="9148" sId="11" numFmtId="4">
    <nc r="E335">
      <v>30</v>
    </nc>
  </rcc>
  <rcc rId="9149" sId="11" numFmtId="4">
    <nc r="F335">
      <v>10</v>
    </nc>
  </rcc>
  <rcc rId="9150" sId="11" numFmtId="4">
    <nc r="G335">
      <v>0</v>
    </nc>
  </rcc>
  <rcc rId="9151" sId="11" numFmtId="4">
    <nc r="H335">
      <v>0</v>
    </nc>
  </rcc>
  <rcc rId="9152" sId="11" numFmtId="4">
    <nc r="B336">
      <v>1</v>
    </nc>
  </rcc>
  <rcc rId="9153" sId="11" numFmtId="4">
    <nc r="C336">
      <v>27</v>
    </nc>
  </rcc>
  <rcc rId="9154" sId="11" numFmtId="4">
    <nc r="D336">
      <v>14</v>
    </nc>
  </rcc>
  <rcc rId="9155" sId="11" numFmtId="4">
    <nc r="E336">
      <v>25</v>
    </nc>
  </rcc>
  <rcc rId="9156" sId="11" numFmtId="4">
    <nc r="F336">
      <v>10</v>
    </nc>
  </rcc>
  <rcc rId="9157" sId="11" numFmtId="4">
    <nc r="G336">
      <v>0</v>
    </nc>
  </rcc>
  <rcc rId="9158" sId="11" numFmtId="4">
    <nc r="H336">
      <v>0</v>
    </nc>
  </rcc>
  <rcc rId="9159" sId="11" numFmtId="4">
    <nc r="B337">
      <v>1</v>
    </nc>
  </rcc>
  <rcc rId="9160" sId="11" numFmtId="4">
    <nc r="C337">
      <v>15</v>
    </nc>
  </rcc>
  <rcc rId="9161" sId="11" numFmtId="4">
    <nc r="D337">
      <v>13</v>
    </nc>
  </rcc>
  <rcc rId="9162" sId="11" numFmtId="4">
    <nc r="E337">
      <v>0</v>
    </nc>
  </rcc>
  <rcc rId="9163" sId="11" numFmtId="4">
    <nc r="F337">
      <v>1</v>
    </nc>
  </rcc>
  <rcc rId="9164" sId="11" numFmtId="4">
    <nc r="G337">
      <v>0</v>
    </nc>
  </rcc>
  <rcc rId="9165" sId="11" numFmtId="4">
    <nc r="H337">
      <v>0</v>
    </nc>
  </rcc>
  <rcc rId="9166" sId="11" numFmtId="4">
    <nc r="B338">
      <v>1</v>
    </nc>
  </rcc>
  <rcc rId="9167" sId="11" numFmtId="4">
    <nc r="C338">
      <v>15</v>
    </nc>
  </rcc>
  <rcc rId="9168" sId="11" numFmtId="4">
    <nc r="D338">
      <v>14</v>
    </nc>
  </rcc>
  <rcc rId="9169" sId="11" numFmtId="4">
    <nc r="E338">
      <v>2</v>
    </nc>
  </rcc>
  <rcc rId="9170" sId="11" numFmtId="4">
    <nc r="F338">
      <v>0</v>
    </nc>
  </rcc>
  <rcc rId="9171" sId="11" numFmtId="4">
    <nc r="G338">
      <v>0</v>
    </nc>
  </rcc>
  <rcc rId="9172" sId="11" numFmtId="4">
    <nc r="H338">
      <v>0</v>
    </nc>
  </rcc>
  <rcc rId="9173" sId="11" numFmtId="4">
    <nc r="B339">
      <v>1</v>
    </nc>
  </rcc>
  <rcc rId="9174" sId="11" numFmtId="4">
    <nc r="C339">
      <v>21</v>
    </nc>
  </rcc>
  <rcc rId="9175" sId="11" numFmtId="4">
    <nc r="D339">
      <v>15</v>
    </nc>
  </rcc>
  <rcc rId="9176" sId="11" numFmtId="4">
    <nc r="E339">
      <v>2</v>
    </nc>
  </rcc>
  <rcc rId="9177" sId="11" numFmtId="4">
    <nc r="F339">
      <v>25</v>
    </nc>
  </rcc>
  <rcc rId="9178" sId="11" numFmtId="4">
    <nc r="G339">
      <v>2</v>
    </nc>
  </rcc>
  <rcc rId="9179" sId="11" numFmtId="4">
    <nc r="H339">
      <v>0</v>
    </nc>
  </rcc>
  <rcc rId="9180" sId="11" numFmtId="4">
    <nc r="B340">
      <v>1</v>
    </nc>
  </rcc>
  <rcc rId="9181" sId="11" numFmtId="4">
    <nc r="C340">
      <v>21</v>
    </nc>
  </rcc>
  <rcc rId="9182" sId="11" numFmtId="4">
    <nc r="D340">
      <v>14</v>
    </nc>
  </rcc>
  <rcc rId="9183" sId="11" numFmtId="4">
    <nc r="E340">
      <v>1</v>
    </nc>
  </rcc>
  <rcc rId="9184" sId="11" numFmtId="4">
    <nc r="F340">
      <v>21</v>
    </nc>
  </rcc>
  <rcc rId="9185" sId="11" numFmtId="4">
    <nc r="G340">
      <v>0</v>
    </nc>
  </rcc>
  <rcc rId="9186" sId="11" numFmtId="4">
    <nc r="H340">
      <v>2</v>
    </nc>
  </rcc>
  <rcc rId="9187" sId="11" numFmtId="4">
    <nc r="B341">
      <v>1</v>
    </nc>
  </rcc>
  <rcc rId="9188" sId="11" numFmtId="4">
    <nc r="C341">
      <v>49</v>
    </nc>
  </rcc>
  <rcc rId="9189" sId="11" numFmtId="4">
    <nc r="D341">
      <v>14</v>
    </nc>
  </rcc>
  <rcc rId="9190" sId="11" numFmtId="4">
    <nc r="E341">
      <v>10</v>
    </nc>
  </rcc>
  <rcc rId="9191" sId="11" numFmtId="4">
    <nc r="F341">
      <v>4</v>
    </nc>
  </rcc>
  <rcc rId="9192" sId="11" numFmtId="4">
    <nc r="G341">
      <v>0</v>
    </nc>
  </rcc>
  <rcc rId="9193" sId="11" numFmtId="4">
    <nc r="H341">
      <v>0</v>
    </nc>
  </rcc>
  <rcc rId="9194" sId="11" numFmtId="4">
    <nc r="B342">
      <v>1</v>
    </nc>
  </rcc>
  <rcc rId="9195" sId="11" numFmtId="4">
    <nc r="C342">
      <v>41</v>
    </nc>
  </rcc>
  <rcc rId="9196" sId="11" numFmtId="4">
    <nc r="D342">
      <v>11</v>
    </nc>
  </rcc>
  <rcc rId="9197" sId="11" numFmtId="4">
    <nc r="E342">
      <v>8</v>
    </nc>
  </rcc>
  <rcc rId="9198" sId="11" numFmtId="4">
    <nc r="F342">
      <v>2</v>
    </nc>
  </rcc>
  <rcc rId="9199" sId="11" numFmtId="4">
    <nc r="G342">
      <v>0</v>
    </nc>
  </rcc>
  <rcc rId="9200" sId="11" numFmtId="4">
    <nc r="H342">
      <v>0</v>
    </nc>
  </rcc>
  <rcc rId="9201" sId="11" numFmtId="4">
    <nc r="B343">
      <v>1</v>
    </nc>
  </rcc>
  <rcc rId="9202" sId="11" numFmtId="4">
    <nc r="C343">
      <v>4</v>
    </nc>
  </rcc>
  <rcc rId="9203" sId="11" numFmtId="4">
    <nc r="D343">
      <v>12</v>
    </nc>
  </rcc>
  <rcc rId="9204" sId="11" numFmtId="4">
    <nc r="E343">
      <v>8</v>
    </nc>
  </rcc>
  <rcc rId="9205" sId="11" numFmtId="4">
    <nc r="F343">
      <v>1</v>
    </nc>
  </rcc>
  <rcc rId="9206" sId="11" numFmtId="4">
    <nc r="G343">
      <v>0</v>
    </nc>
  </rcc>
  <rcc rId="9207" sId="11" numFmtId="4">
    <nc r="H343">
      <v>0</v>
    </nc>
  </rcc>
  <rcc rId="9208" sId="11" numFmtId="4">
    <nc r="B344">
      <v>1</v>
    </nc>
  </rcc>
  <rcc rId="9209" sId="11" numFmtId="4">
    <nc r="C344">
      <v>41</v>
    </nc>
  </rcc>
  <rcc rId="9210" sId="11" numFmtId="4">
    <nc r="D344">
      <v>13</v>
    </nc>
  </rcc>
  <rcc rId="9211" sId="11" numFmtId="4">
    <nc r="E344">
      <v>13</v>
    </nc>
  </rcc>
  <rcc rId="9212" sId="11" numFmtId="4">
    <nc r="F344">
      <v>4</v>
    </nc>
  </rcc>
  <rcc rId="9213" sId="11" numFmtId="4">
    <nc r="G344">
      <v>0</v>
    </nc>
  </rcc>
  <rcc rId="9214" sId="11" numFmtId="4">
    <nc r="H344">
      <v>0</v>
    </nc>
  </rcc>
  <rcc rId="9215" sId="11" numFmtId="4">
    <nc r="B345">
      <v>1</v>
    </nc>
  </rcc>
  <rcc rId="9216" sId="11" numFmtId="4">
    <nc r="C345">
      <v>34</v>
    </nc>
  </rcc>
  <rcc rId="9217" sId="11" numFmtId="4">
    <nc r="D345">
      <v>15</v>
    </nc>
  </rcc>
  <rcc rId="9218" sId="11" numFmtId="4">
    <nc r="E345">
      <v>10</v>
    </nc>
  </rcc>
  <rcc rId="9219" sId="11" numFmtId="4">
    <nc r="F345">
      <v>2</v>
    </nc>
  </rcc>
  <rcc rId="9220" sId="11" numFmtId="4">
    <nc r="G345">
      <v>3</v>
    </nc>
  </rcc>
  <rcc rId="9221" sId="11" numFmtId="4">
    <nc r="H345">
      <v>0</v>
    </nc>
  </rcc>
  <rcc rId="9222" sId="11" numFmtId="4">
    <nc r="B346">
      <v>1</v>
    </nc>
  </rcc>
  <rcc rId="9223" sId="11" numFmtId="4">
    <nc r="C346">
      <v>36</v>
    </nc>
  </rcc>
  <rcc rId="9224" sId="11" numFmtId="4">
    <nc r="D346">
      <v>14</v>
    </nc>
  </rcc>
  <rcc rId="9225" sId="11" numFmtId="4">
    <nc r="E346">
      <v>13</v>
    </nc>
  </rcc>
  <rcc rId="9226" sId="11" numFmtId="4">
    <nc r="F346">
      <v>3</v>
    </nc>
  </rcc>
  <rcc rId="9227" sId="11" numFmtId="4">
    <nc r="G346">
      <v>0</v>
    </nc>
  </rcc>
  <rcc rId="9228" sId="11" numFmtId="4">
    <nc r="H346">
      <v>0</v>
    </nc>
  </rcc>
  <rcc rId="9229" sId="11" numFmtId="4">
    <nc r="B347">
      <v>1</v>
    </nc>
  </rcc>
  <rcc rId="9230" sId="11" numFmtId="4">
    <nc r="C347">
      <v>36</v>
    </nc>
  </rcc>
  <rcc rId="9231" sId="11" numFmtId="4">
    <nc r="D347">
      <v>15</v>
    </nc>
  </rcc>
  <rcc rId="9232" sId="11" numFmtId="4">
    <nc r="E347">
      <v>16</v>
    </nc>
  </rcc>
  <rcc rId="9233" sId="11" numFmtId="4">
    <nc r="F347">
      <v>7</v>
    </nc>
  </rcc>
  <rcc rId="9234" sId="11" numFmtId="4">
    <nc r="G347">
      <v>0</v>
    </nc>
  </rcc>
  <rcc rId="9235" sId="11" numFmtId="4">
    <nc r="H347">
      <v>0</v>
    </nc>
  </rcc>
  <rcc rId="9236" sId="11" numFmtId="4">
    <nc r="B348">
      <v>1</v>
    </nc>
  </rcc>
  <rcc rId="9237" sId="11" numFmtId="4">
    <nc r="C348">
      <v>12</v>
    </nc>
  </rcc>
  <rcc rId="9238" sId="11" numFmtId="4">
    <nc r="D348">
      <v>15</v>
    </nc>
  </rcc>
  <rcc rId="9239" sId="11" numFmtId="4">
    <nc r="E348">
      <v>11</v>
    </nc>
  </rcc>
  <rcc rId="9240" sId="11" numFmtId="4">
    <nc r="F348">
      <v>8</v>
    </nc>
  </rcc>
  <rcc rId="9241" sId="11" numFmtId="4">
    <nc r="G348">
      <v>0</v>
    </nc>
  </rcc>
  <rcc rId="9242" sId="11" numFmtId="4">
    <nc r="H348">
      <v>0</v>
    </nc>
  </rcc>
  <rcc rId="9243" sId="11" numFmtId="4">
    <nc r="B349">
      <v>1</v>
    </nc>
  </rcc>
  <rcc rId="9244" sId="11" numFmtId="4">
    <nc r="C349">
      <v>34</v>
    </nc>
  </rcc>
  <rcc rId="9245" sId="11" numFmtId="4">
    <nc r="D349">
      <v>15</v>
    </nc>
  </rcc>
  <rcc rId="9246" sId="11" numFmtId="4">
    <nc r="E349">
      <v>9</v>
    </nc>
  </rcc>
  <rcc rId="9247" sId="11" numFmtId="4">
    <nc r="F349">
      <v>1</v>
    </nc>
  </rcc>
  <rcc rId="9248" sId="11" numFmtId="4">
    <nc r="G349">
      <v>2</v>
    </nc>
  </rcc>
  <rcc rId="9249" sId="11" numFmtId="4">
    <nc r="H349">
      <v>1</v>
    </nc>
  </rcc>
  <rcc rId="9250" sId="11" numFmtId="4">
    <nc r="B350">
      <v>1</v>
    </nc>
  </rcc>
  <rcc rId="9251" sId="11" numFmtId="4">
    <nc r="C350">
      <v>34</v>
    </nc>
  </rcc>
  <rcc rId="9252" sId="11" numFmtId="4">
    <nc r="D350">
      <v>14</v>
    </nc>
  </rcc>
  <rcc rId="9253" sId="11" numFmtId="4">
    <nc r="E350">
      <v>7</v>
    </nc>
  </rcc>
  <rcc rId="9254" sId="11" numFmtId="4">
    <nc r="F350">
      <v>0</v>
    </nc>
  </rcc>
  <rcc rId="9255" sId="11" numFmtId="4">
    <nc r="G350">
      <v>1</v>
    </nc>
  </rcc>
  <rcc rId="9256" sId="11" numFmtId="4">
    <nc r="H350">
      <v>0</v>
    </nc>
  </rcc>
  <rcc rId="9257" sId="11" numFmtId="4">
    <nc r="B351">
      <v>1</v>
    </nc>
  </rcc>
  <rcc rId="9258" sId="11" numFmtId="4">
    <nc r="C351">
      <v>59</v>
    </nc>
  </rcc>
  <rcc rId="9259" sId="11" numFmtId="4">
    <nc r="D351">
      <v>15</v>
    </nc>
  </rcc>
  <rcc rId="9260" sId="11" numFmtId="4">
    <nc r="E351">
      <v>3</v>
    </nc>
  </rcc>
  <rcc rId="9261" sId="11" numFmtId="4">
    <nc r="F351">
      <v>3</v>
    </nc>
  </rcc>
  <rcc rId="9262" sId="11" numFmtId="4">
    <nc r="G351">
      <v>0</v>
    </nc>
  </rcc>
  <rcc rId="9263" sId="11" numFmtId="4">
    <nc r="H351">
      <v>0</v>
    </nc>
  </rcc>
  <rcc rId="9264" sId="11" numFmtId="4">
    <nc r="B352">
      <v>1</v>
    </nc>
  </rcc>
  <rcc rId="9265" sId="11" numFmtId="4">
    <nc r="C352">
      <v>59</v>
    </nc>
  </rcc>
  <rcc rId="9266" sId="11" numFmtId="4">
    <nc r="D352">
      <v>14</v>
    </nc>
  </rcc>
  <rcc rId="9267" sId="11" numFmtId="4">
    <nc r="E352">
      <v>2</v>
    </nc>
  </rcc>
  <rcc rId="9268" sId="11" numFmtId="4">
    <nc r="F352">
      <v>4</v>
    </nc>
  </rcc>
  <rcc rId="9269" sId="11" numFmtId="4">
    <nc r="G352">
      <v>0</v>
    </nc>
  </rcc>
  <rcc rId="9270" sId="11" numFmtId="4">
    <nc r="H352">
      <v>0</v>
    </nc>
  </rcc>
  <rcc rId="9271" sId="11" numFmtId="4">
    <nc r="B353">
      <v>1</v>
    </nc>
  </rcc>
  <rcc rId="9272" sId="11" numFmtId="4">
    <nc r="C353">
      <v>28</v>
    </nc>
  </rcc>
  <rcc rId="9273" sId="11" numFmtId="4">
    <nc r="D353">
      <v>14</v>
    </nc>
  </rcc>
  <rcc rId="9274" sId="11" numFmtId="4">
    <nc r="E353">
      <v>12</v>
    </nc>
  </rcc>
  <rcc rId="9275" sId="11" numFmtId="4">
    <nc r="F353">
      <v>8</v>
    </nc>
  </rcc>
  <rcc rId="9276" sId="11" numFmtId="4">
    <nc r="G353">
      <v>0</v>
    </nc>
  </rcc>
  <rcc rId="9277" sId="11" numFmtId="4">
    <nc r="H353">
      <v>0</v>
    </nc>
  </rcc>
  <rcc rId="9278" sId="11" numFmtId="4">
    <nc r="B354">
      <v>1</v>
    </nc>
  </rcc>
  <rcc rId="9279" sId="11" numFmtId="4">
    <nc r="C354">
      <v>28</v>
    </nc>
  </rcc>
  <rcc rId="9280" sId="11" numFmtId="4">
    <nc r="D354">
      <v>13</v>
    </nc>
  </rcc>
  <rcc rId="9281" sId="11" numFmtId="4">
    <nc r="E354">
      <v>10</v>
    </nc>
  </rcc>
  <rcc rId="9282" sId="11" numFmtId="4">
    <nc r="F354">
      <v>2</v>
    </nc>
  </rcc>
  <rcc rId="9283" sId="11" numFmtId="4">
    <nc r="G354">
      <v>1</v>
    </nc>
  </rcc>
  <rcc rId="9284" sId="11" numFmtId="4">
    <nc r="H354">
      <v>0</v>
    </nc>
  </rcc>
  <rcc rId="9285" sId="11" numFmtId="4">
    <nc r="B355">
      <v>1</v>
    </nc>
  </rcc>
  <rcc rId="9286" sId="11" numFmtId="4">
    <nc r="C355">
      <v>19</v>
    </nc>
  </rcc>
  <rcc rId="9287" sId="11" numFmtId="4">
    <nc r="D355">
      <v>15</v>
    </nc>
  </rcc>
  <rcc rId="9288" sId="11" numFmtId="4">
    <nc r="E355">
      <v>0</v>
    </nc>
  </rcc>
  <rcc rId="9289" sId="11" numFmtId="4">
    <nc r="F355">
      <v>10</v>
    </nc>
  </rcc>
  <rcc rId="9290" sId="11" numFmtId="4">
    <nc r="G355">
      <v>0</v>
    </nc>
  </rcc>
  <rcc rId="9291" sId="11" numFmtId="4">
    <nc r="H355">
      <v>0</v>
    </nc>
  </rcc>
  <rcc rId="9292" sId="2" numFmtId="4">
    <nc r="B680">
      <v>13</v>
    </nc>
  </rcc>
  <rcc rId="9293" sId="2" numFmtId="4">
    <nc r="C680">
      <v>73</v>
    </nc>
  </rcc>
  <rcc rId="9294" sId="2" numFmtId="4">
    <nc r="D680">
      <v>15</v>
    </nc>
  </rcc>
  <rcc rId="9295" sId="2" numFmtId="4">
    <nc r="E680">
      <v>1</v>
    </nc>
  </rcc>
  <rcc rId="9296" sId="2" numFmtId="4">
    <nc r="F680">
      <v>3</v>
    </nc>
  </rcc>
  <rcc rId="9297" sId="2" numFmtId="4">
    <nc r="G680">
      <v>0</v>
    </nc>
  </rcc>
  <rcc rId="9298" sId="2" numFmtId="4">
    <nc r="H680">
      <v>0</v>
    </nc>
  </rcc>
  <rcc rId="9299" sId="2" numFmtId="4">
    <nc r="B681">
      <v>1</v>
    </nc>
  </rcc>
  <rcc rId="9300" sId="2" numFmtId="4">
    <nc r="C681">
      <v>61</v>
    </nc>
  </rcc>
  <rcc rId="9301" sId="2" numFmtId="4">
    <nc r="D681">
      <v>15</v>
    </nc>
  </rcc>
  <rcc rId="9302" sId="2" numFmtId="4">
    <nc r="E681">
      <v>7</v>
    </nc>
  </rcc>
  <rcc rId="9303" sId="2" numFmtId="4">
    <nc r="F681">
      <v>17</v>
    </nc>
  </rcc>
  <rcc rId="9304" sId="2" numFmtId="4">
    <nc r="G681">
      <v>0</v>
    </nc>
  </rcc>
  <rcc rId="9305" sId="2" numFmtId="4">
    <nc r="H681">
      <v>0</v>
    </nc>
  </rcc>
  <rcc rId="9306" sId="2" numFmtId="4">
    <nc r="B682">
      <v>1</v>
    </nc>
  </rcc>
  <rcc rId="9307" sId="2" numFmtId="4">
    <nc r="C682">
      <v>30</v>
    </nc>
  </rcc>
  <rcc rId="9308" sId="2" numFmtId="4">
    <nc r="D682">
      <v>4</v>
    </nc>
  </rcc>
  <rcc rId="9309" sId="2" numFmtId="4">
    <nc r="E682">
      <v>10</v>
    </nc>
  </rcc>
  <rcc rId="9310" sId="2" numFmtId="4">
    <nc r="F682">
      <v>6</v>
    </nc>
  </rcc>
  <rcc rId="9311" sId="2" numFmtId="4">
    <nc r="G682">
      <v>0</v>
    </nc>
  </rcc>
  <rcc rId="9312" sId="2" numFmtId="4">
    <nc r="H682">
      <v>2</v>
    </nc>
  </rcc>
  <rcc rId="9313" sId="2" numFmtId="4">
    <nc r="B683">
      <v>1</v>
    </nc>
  </rcc>
  <rcc rId="9314" sId="2" numFmtId="4">
    <nc r="C683">
      <v>30</v>
    </nc>
  </rcc>
  <rcc rId="9315" sId="2" numFmtId="4">
    <nc r="D683">
      <v>5</v>
    </nc>
  </rcc>
  <rcc rId="9316" sId="2" numFmtId="4">
    <nc r="E683">
      <v>17</v>
    </nc>
  </rcc>
  <rcc rId="9317" sId="2" numFmtId="4">
    <nc r="F683">
      <v>3</v>
    </nc>
  </rcc>
  <rcc rId="9318" sId="2" numFmtId="4">
    <nc r="G683">
      <v>0</v>
    </nc>
  </rcc>
  <rcc rId="9319" sId="2" numFmtId="4">
    <nc r="H683">
      <v>3</v>
    </nc>
  </rcc>
  <rcc rId="9320" sId="2" numFmtId="4">
    <nc r="B684">
      <v>1</v>
    </nc>
  </rcc>
  <rcc rId="9321" sId="2" numFmtId="4">
    <nc r="C684">
      <v>30</v>
    </nc>
  </rcc>
  <rcc rId="9322" sId="2" numFmtId="4">
    <nc r="D684">
      <v>6</v>
    </nc>
  </rcc>
  <rcc rId="9323" sId="2" numFmtId="4">
    <nc r="E684">
      <v>22</v>
    </nc>
  </rcc>
  <rcc rId="9324" sId="2" numFmtId="4">
    <nc r="F684">
      <v>0</v>
    </nc>
  </rcc>
  <rcc rId="9325" sId="2" numFmtId="4">
    <nc r="G684">
      <v>0</v>
    </nc>
  </rcc>
  <rcc rId="9326" sId="2" numFmtId="4">
    <nc r="H684">
      <v>11</v>
    </nc>
  </rcc>
  <rcc rId="9327" sId="2" numFmtId="4">
    <nc r="B685">
      <v>1</v>
    </nc>
  </rcc>
  <rcc rId="9328" sId="2" numFmtId="4">
    <nc r="C685">
      <v>30</v>
    </nc>
  </rcc>
  <rcc rId="9329" sId="2" numFmtId="4">
    <nc r="D685">
      <v>7</v>
    </nc>
  </rcc>
  <rcc rId="9330" sId="2" numFmtId="4">
    <nc r="E685">
      <v>20</v>
    </nc>
  </rcc>
  <rcc rId="9331" sId="2" numFmtId="4">
    <nc r="F685">
      <v>3</v>
    </nc>
  </rcc>
  <rcc rId="9332" sId="2" numFmtId="4">
    <nc r="G685">
      <v>0</v>
    </nc>
  </rcc>
  <rcc rId="9333" sId="2" numFmtId="4">
    <nc r="H685">
      <v>0</v>
    </nc>
  </rcc>
  <rcc rId="9334" sId="2" numFmtId="4">
    <nc r="B686">
      <v>1</v>
    </nc>
  </rcc>
  <rcc rId="9335" sId="2" numFmtId="4">
    <nc r="C686">
      <v>30</v>
    </nc>
  </rcc>
  <rcc rId="9336" sId="2" numFmtId="4">
    <nc r="D686">
      <v>8</v>
    </nc>
  </rcc>
  <rcc rId="9337" sId="2" numFmtId="4">
    <nc r="E686">
      <v>11</v>
    </nc>
  </rcc>
  <rcc rId="9338" sId="2" numFmtId="4">
    <nc r="F686">
      <v>3</v>
    </nc>
  </rcc>
  <rcc rId="9339" sId="2" numFmtId="4">
    <nc r="G686">
      <v>0</v>
    </nc>
  </rcc>
  <rcc rId="9340" sId="2" numFmtId="4">
    <nc r="H686">
      <v>0</v>
    </nc>
  </rcc>
  <rcc rId="9341" sId="2" numFmtId="4">
    <nc r="B687">
      <v>1</v>
    </nc>
  </rcc>
  <rcc rId="9342" sId="2" numFmtId="4">
    <nc r="C687">
      <v>30</v>
    </nc>
  </rcc>
  <rcc rId="9343" sId="2" numFmtId="4">
    <nc r="D687">
      <v>9</v>
    </nc>
  </rcc>
  <rcc rId="9344" sId="2" numFmtId="4">
    <nc r="E687">
      <v>22</v>
    </nc>
  </rcc>
  <rcc rId="9345" sId="2" numFmtId="4">
    <nc r="F687">
      <v>2</v>
    </nc>
  </rcc>
  <rcc rId="9346" sId="2" numFmtId="4">
    <nc r="G687">
      <v>0</v>
    </nc>
  </rcc>
  <rcc rId="9347" sId="2" numFmtId="4">
    <nc r="H687">
      <v>0</v>
    </nc>
  </rcc>
  <rcc rId="9348" sId="2" numFmtId="4">
    <nc r="B688">
      <v>1</v>
    </nc>
  </rcc>
  <rcc rId="9349" sId="2" numFmtId="4">
    <nc r="C688">
      <v>30</v>
    </nc>
  </rcc>
  <rcc rId="9350" sId="2" numFmtId="4">
    <nc r="D688">
      <v>10</v>
    </nc>
  </rcc>
  <rcc rId="9351" sId="2" numFmtId="4">
    <nc r="E688">
      <v>12</v>
    </nc>
  </rcc>
  <rcc rId="9352" sId="2" numFmtId="4">
    <nc r="F688">
      <v>4</v>
    </nc>
  </rcc>
  <rcc rId="9353" sId="2" numFmtId="4">
    <nc r="G688">
      <v>0</v>
    </nc>
  </rcc>
  <rcc rId="9354" sId="2" numFmtId="4">
    <nc r="H688">
      <v>0</v>
    </nc>
  </rcc>
  <rcc rId="9355" sId="2" numFmtId="4">
    <nc r="B689">
      <v>1</v>
    </nc>
  </rcc>
  <rcc rId="9356" sId="2" numFmtId="4">
    <nc r="C689">
      <v>30</v>
    </nc>
  </rcc>
  <rcc rId="9357" sId="2" numFmtId="4">
    <nc r="D689">
      <v>11</v>
    </nc>
  </rcc>
  <rcc rId="9358" sId="2" numFmtId="4">
    <nc r="E689">
      <v>10</v>
    </nc>
  </rcc>
  <rcc rId="9359" sId="2" numFmtId="4">
    <nc r="F689">
      <v>3</v>
    </nc>
  </rcc>
  <rcc rId="9360" sId="2" numFmtId="4">
    <nc r="G689">
      <v>0</v>
    </nc>
  </rcc>
  <rcc rId="9361" sId="2" numFmtId="4">
    <nc r="H689">
      <v>6</v>
    </nc>
  </rcc>
</revisions>
</file>

<file path=xl/revisions/revisionLog96.xml><?xml version="1.0" encoding="utf-8"?>
<revisions xmlns="http://schemas.openxmlformats.org/spreadsheetml/2006/main" xmlns:r="http://schemas.openxmlformats.org/officeDocument/2006/relationships">
  <rcc rId="9362" sId="2" numFmtId="4">
    <nc r="B690">
      <v>1</v>
    </nc>
  </rcc>
  <rcc rId="9363" sId="2" numFmtId="4">
    <nc r="C690">
      <v>30</v>
    </nc>
  </rcc>
  <rcc rId="9364" sId="2" numFmtId="4">
    <nc r="D690">
      <v>12</v>
    </nc>
  </rcc>
  <rcc rId="9365" sId="2" numFmtId="4">
    <nc r="E690">
      <v>6</v>
    </nc>
  </rcc>
  <rcc rId="9366" sId="2" numFmtId="4">
    <nc r="F690">
      <v>9</v>
    </nc>
  </rcc>
  <rcc rId="9367" sId="2" numFmtId="4">
    <nc r="G690">
      <v>0</v>
    </nc>
  </rcc>
  <rcc rId="9368" sId="2" numFmtId="4">
    <nc r="H690">
      <v>2</v>
    </nc>
  </rcc>
  <rcc rId="9369" sId="2" numFmtId="4">
    <nc r="B691">
      <v>1</v>
    </nc>
  </rcc>
  <rcc rId="9370" sId="2" numFmtId="4">
    <nc r="C691">
      <v>30</v>
    </nc>
  </rcc>
  <rcc rId="9371" sId="2" numFmtId="4">
    <nc r="D691">
      <v>13</v>
    </nc>
  </rcc>
  <rcc rId="9372" sId="2" numFmtId="4">
    <nc r="E691">
      <v>13</v>
    </nc>
  </rcc>
  <rcc rId="9373" sId="2" numFmtId="4">
    <nc r="F691">
      <v>4</v>
    </nc>
  </rcc>
  <rcc rId="9374" sId="2" numFmtId="4">
    <nc r="G691">
      <v>0</v>
    </nc>
  </rcc>
  <rcc rId="9375" sId="2" numFmtId="4">
    <nc r="H691">
      <v>0</v>
    </nc>
  </rcc>
  <rcc rId="9376" sId="2" numFmtId="4">
    <nc r="B692">
      <v>1</v>
    </nc>
  </rcc>
  <rcc rId="9377" sId="2" numFmtId="4">
    <nc r="C692">
      <v>30</v>
    </nc>
  </rcc>
  <rcc rId="9378" sId="2" numFmtId="4">
    <nc r="D692">
      <v>14</v>
    </nc>
  </rcc>
  <rcc rId="9379" sId="2" numFmtId="4">
    <nc r="E692">
      <v>25</v>
    </nc>
  </rcc>
  <rcc rId="9380" sId="2" numFmtId="4">
    <nc r="F692">
      <v>0</v>
    </nc>
  </rcc>
  <rcc rId="9381" sId="2" numFmtId="4">
    <nc r="G692">
      <v>0</v>
    </nc>
  </rcc>
  <rcc rId="9382" sId="2" numFmtId="4">
    <nc r="H692">
      <v>0</v>
    </nc>
  </rcc>
  <rcc rId="9383" sId="2" numFmtId="4">
    <nc r="B693">
      <v>1</v>
    </nc>
  </rcc>
  <rcc rId="9384" sId="2" numFmtId="4">
    <nc r="C693">
      <v>30</v>
    </nc>
  </rcc>
  <rcc rId="9385" sId="2" numFmtId="4">
    <nc r="D693">
      <v>14</v>
    </nc>
  </rcc>
  <rcc rId="9386" sId="2" numFmtId="4">
    <nc r="E693">
      <v>25</v>
    </nc>
  </rcc>
  <rcc rId="9387" sId="2" numFmtId="4">
    <nc r="F693">
      <v>0</v>
    </nc>
  </rcc>
  <rcc rId="9388" sId="2" numFmtId="4">
    <nc r="G693">
      <v>0</v>
    </nc>
  </rcc>
  <rcc rId="9389" sId="2" numFmtId="4">
    <nc r="H693">
      <v>1</v>
    </nc>
  </rcc>
  <rcc rId="9390" sId="2" numFmtId="4">
    <nc r="B694">
      <v>1</v>
    </nc>
  </rcc>
  <rcc rId="9391" sId="2" numFmtId="4">
    <nc r="C694">
      <v>30</v>
    </nc>
  </rcc>
  <rcc rId="9392" sId="2" numFmtId="4">
    <nc r="D694">
      <v>15</v>
    </nc>
  </rcc>
  <rcc rId="9393" sId="2" numFmtId="4">
    <nc r="E694">
      <v>11</v>
    </nc>
  </rcc>
  <rcc rId="9394" sId="2" numFmtId="4">
    <nc r="F694">
      <v>3</v>
    </nc>
  </rcc>
  <rcc rId="9395" sId="2" numFmtId="4">
    <nc r="G694">
      <v>0</v>
    </nc>
  </rcc>
  <rcc rId="9396" sId="2" numFmtId="4">
    <nc r="H694">
      <v>4</v>
    </nc>
  </rcc>
  <rcc rId="9397" sId="2" numFmtId="4">
    <nc r="B695">
      <v>1</v>
    </nc>
  </rcc>
  <rcc rId="9398" sId="2" numFmtId="4">
    <nc r="C695">
      <v>34</v>
    </nc>
  </rcc>
  <rcc rId="9399" sId="2" numFmtId="4">
    <nc r="D695">
      <v>15</v>
    </nc>
  </rcc>
  <rcc rId="9400" sId="2" numFmtId="4">
    <nc r="E695">
      <v>9</v>
    </nc>
  </rcc>
  <rcc rId="9401" sId="2" numFmtId="4">
    <nc r="F695">
      <v>9</v>
    </nc>
  </rcc>
  <rcc rId="9402" sId="2" numFmtId="4">
    <nc r="G695">
      <v>3</v>
    </nc>
  </rcc>
  <rcc rId="9403" sId="2" numFmtId="4">
    <nc r="H695">
      <v>0</v>
    </nc>
  </rcc>
  <rcc rId="9404" sId="2" numFmtId="4">
    <nc r="B696">
      <v>1</v>
    </nc>
  </rcc>
  <rcc rId="9405" sId="2" numFmtId="4">
    <nc r="C696">
      <v>34</v>
    </nc>
  </rcc>
  <rcc rId="9406" sId="2" numFmtId="4">
    <nc r="D696">
      <v>15</v>
    </nc>
  </rcc>
  <rcc rId="9407" sId="2" numFmtId="4">
    <nc r="E696">
      <v>9</v>
    </nc>
  </rcc>
  <rcc rId="9408" sId="2" numFmtId="4">
    <nc r="F696">
      <v>3</v>
    </nc>
  </rcc>
  <rcc rId="9409" sId="2" numFmtId="4">
    <nc r="G696">
      <v>0</v>
    </nc>
  </rcc>
  <rcc rId="9410" sId="2" numFmtId="4">
    <nc r="H696">
      <v>1</v>
    </nc>
  </rcc>
  <rcc rId="9411" sId="2" numFmtId="4">
    <nc r="B697">
      <v>1</v>
    </nc>
  </rcc>
  <rcc rId="9412" sId="2" numFmtId="4">
    <nc r="C697">
      <v>117</v>
    </nc>
  </rcc>
  <rcc rId="9413" sId="2" numFmtId="4">
    <nc r="D697">
      <v>14</v>
    </nc>
  </rcc>
  <rcc rId="9414" sId="2" numFmtId="4">
    <nc r="E697">
      <v>2</v>
    </nc>
  </rcc>
  <rcc rId="9415" sId="2" numFmtId="4">
    <nc r="F697">
      <v>15</v>
    </nc>
  </rcc>
  <rcc rId="9416" sId="2" numFmtId="4">
    <nc r="G697">
      <v>0</v>
    </nc>
  </rcc>
  <rcc rId="9417" sId="2" numFmtId="4">
    <nc r="H697">
      <v>0</v>
    </nc>
  </rcc>
  <rcc rId="9418" sId="2" numFmtId="4">
    <nc r="B698">
      <v>1</v>
    </nc>
  </rcc>
  <rcc rId="9419" sId="2" numFmtId="4">
    <nc r="C698">
      <v>117</v>
    </nc>
  </rcc>
  <rcc rId="9420" sId="2" numFmtId="4">
    <nc r="D698">
      <v>15</v>
    </nc>
  </rcc>
  <rcc rId="9421" sId="2" numFmtId="4">
    <nc r="E698">
      <v>4</v>
    </nc>
  </rcc>
  <rcc rId="9422" sId="2" numFmtId="4">
    <nc r="F698">
      <v>12</v>
    </nc>
  </rcc>
  <rcc rId="9423" sId="2" numFmtId="4">
    <nc r="G698">
      <v>0</v>
    </nc>
  </rcc>
  <rcc rId="9424" sId="2" numFmtId="4">
    <nc r="H698">
      <v>0</v>
    </nc>
  </rcc>
  <rcc rId="9425" sId="2" numFmtId="4">
    <nc r="B699">
      <v>1</v>
    </nc>
  </rcc>
  <rcc rId="9426" sId="2" numFmtId="4">
    <nc r="C699">
      <v>36</v>
    </nc>
  </rcc>
  <rcc rId="9427" sId="2" numFmtId="4">
    <nc r="D699">
      <v>14</v>
    </nc>
  </rcc>
  <rcc rId="9428" sId="2" numFmtId="4">
    <nc r="E699">
      <v>36</v>
    </nc>
  </rcc>
  <rcc rId="9429" sId="2" numFmtId="4">
    <nc r="F699">
      <v>12</v>
    </nc>
  </rcc>
  <rcc rId="9430" sId="2" numFmtId="4">
    <nc r="G699">
      <v>0</v>
    </nc>
  </rcc>
  <rcc rId="9431" sId="2" numFmtId="4">
    <nc r="H699">
      <v>0</v>
    </nc>
  </rcc>
  <rcc rId="9432" sId="2" numFmtId="4">
    <nc r="B700">
      <v>1</v>
    </nc>
  </rcc>
  <rcc rId="9433" sId="2" numFmtId="4">
    <nc r="C700">
      <v>36</v>
    </nc>
  </rcc>
  <rcc rId="9434" sId="2" numFmtId="4">
    <nc r="D700">
      <v>15</v>
    </nc>
  </rcc>
  <rcc rId="9435" sId="2" numFmtId="4">
    <nc r="E700">
      <v>22</v>
    </nc>
  </rcc>
  <rcc rId="9436" sId="2" numFmtId="4">
    <nc r="F700">
      <v>8</v>
    </nc>
  </rcc>
  <rcc rId="9437" sId="2" numFmtId="4">
    <nc r="G700">
      <v>0</v>
    </nc>
  </rcc>
  <rcc rId="9438" sId="2" numFmtId="4">
    <nc r="H700">
      <v>0</v>
    </nc>
  </rcc>
  <rcc rId="9439" sId="2" numFmtId="4">
    <nc r="B701">
      <v>13</v>
    </nc>
  </rcc>
  <rcc rId="9440" sId="2" numFmtId="4">
    <nc r="C701">
      <v>116</v>
    </nc>
  </rcc>
  <rcc rId="9441" sId="2" numFmtId="4">
    <nc r="D701">
      <v>14</v>
    </nc>
  </rcc>
  <rcc rId="9442" sId="2" numFmtId="4">
    <nc r="E701">
      <v>6</v>
    </nc>
  </rcc>
  <rcc rId="9443" sId="2" numFmtId="4">
    <nc r="F701">
      <v>4</v>
    </nc>
  </rcc>
  <rcc rId="9444" sId="2" numFmtId="4">
    <nc r="G701">
      <v>0</v>
    </nc>
  </rcc>
  <rcc rId="9445" sId="2" numFmtId="4">
    <nc r="H701">
      <v>0</v>
    </nc>
  </rcc>
  <rcc rId="9446" sId="2" numFmtId="4">
    <nc r="B702">
      <v>13</v>
    </nc>
  </rcc>
  <rcc rId="9447" sId="2" numFmtId="4">
    <nc r="C702">
      <v>116</v>
    </nc>
  </rcc>
  <rcc rId="9448" sId="2" numFmtId="4">
    <nc r="D702">
      <v>15</v>
    </nc>
  </rcc>
  <rcc rId="9449" sId="2" numFmtId="4">
    <nc r="E702">
      <v>10</v>
    </nc>
  </rcc>
  <rcc rId="9450" sId="2" numFmtId="4">
    <nc r="F702">
      <v>5</v>
    </nc>
  </rcc>
  <rcc rId="9451" sId="2" numFmtId="4">
    <nc r="G702">
      <v>0</v>
    </nc>
  </rcc>
  <rcc rId="9452" sId="2" numFmtId="4">
    <nc r="H702">
      <v>0</v>
    </nc>
  </rcc>
  <rcc rId="9453" sId="2" numFmtId="4">
    <nc r="B703">
      <v>1</v>
    </nc>
  </rcc>
  <rcc rId="9454" sId="2" numFmtId="4">
    <nc r="C703">
      <v>53</v>
    </nc>
  </rcc>
  <rcc rId="9455" sId="2" numFmtId="4">
    <nc r="D703">
      <v>9</v>
    </nc>
  </rcc>
  <rcc rId="9456" sId="2" numFmtId="4">
    <nc r="E703">
      <v>0</v>
    </nc>
  </rcc>
  <rcc rId="9457" sId="2" numFmtId="4">
    <nc r="F703">
      <v>0</v>
    </nc>
  </rcc>
  <rcc rId="9458" sId="2" numFmtId="4">
    <nc r="G703">
      <v>0</v>
    </nc>
  </rcc>
  <rcc rId="9459" sId="2" numFmtId="4">
    <nc r="H703">
      <v>0</v>
    </nc>
  </rcc>
  <rcc rId="9460" sId="2" numFmtId="4">
    <nc r="B704">
      <v>1</v>
    </nc>
  </rcc>
  <rcc rId="9461" sId="2" numFmtId="4">
    <nc r="C704">
      <v>53</v>
    </nc>
  </rcc>
  <rcc rId="9462" sId="2" numFmtId="4">
    <nc r="D704">
      <v>10</v>
    </nc>
  </rcc>
  <rcc rId="9463" sId="2" numFmtId="4">
    <nc r="E704">
      <v>0</v>
    </nc>
  </rcc>
  <rcc rId="9464" sId="2" numFmtId="4">
    <nc r="F704">
      <v>0</v>
    </nc>
  </rcc>
  <rcc rId="9465" sId="2" numFmtId="4">
    <nc r="G704">
      <v>0</v>
    </nc>
  </rcc>
  <rcc rId="9466" sId="2" numFmtId="4">
    <nc r="H704">
      <v>0</v>
    </nc>
  </rcc>
  <rcc rId="9467" sId="2" numFmtId="4">
    <nc r="B705">
      <v>1</v>
    </nc>
  </rcc>
  <rcc rId="9468" sId="2" numFmtId="4">
    <nc r="C705">
      <v>53</v>
    </nc>
  </rcc>
  <rcc rId="9469" sId="2" numFmtId="4">
    <nc r="D705">
      <v>11</v>
    </nc>
  </rcc>
  <rcc rId="9470" sId="2" numFmtId="4">
    <nc r="E705">
      <v>4</v>
    </nc>
  </rcc>
  <rcc rId="9471" sId="2" numFmtId="4">
    <nc r="F705">
      <v>2</v>
    </nc>
  </rcc>
  <rcc rId="9472" sId="2" numFmtId="4">
    <nc r="G705">
      <v>0</v>
    </nc>
  </rcc>
  <rcc rId="9473" sId="2" numFmtId="4">
    <nc r="H705">
      <v>1</v>
    </nc>
  </rcc>
  <rcc rId="9474" sId="2" numFmtId="4">
    <nc r="B706">
      <v>1</v>
    </nc>
  </rcc>
  <rcc rId="9475" sId="2" numFmtId="4">
    <nc r="C706">
      <v>53</v>
    </nc>
  </rcc>
  <rcc rId="9476" sId="2" numFmtId="4">
    <nc r="D706">
      <v>12</v>
    </nc>
  </rcc>
  <rcc rId="9477" sId="2" numFmtId="4">
    <nc r="E706">
      <v>3</v>
    </nc>
  </rcc>
  <rcc rId="9478" sId="2" numFmtId="4">
    <nc r="F706">
      <v>0</v>
    </nc>
  </rcc>
  <rcc rId="9479" sId="2" numFmtId="4">
    <nc r="G706">
      <v>0</v>
    </nc>
  </rcc>
  <rcc rId="9480" sId="2" numFmtId="4">
    <nc r="H706">
      <v>11</v>
    </nc>
  </rcc>
  <rcc rId="9481" sId="2" numFmtId="4">
    <nc r="B707">
      <v>1</v>
    </nc>
  </rcc>
  <rcc rId="9482" sId="2" numFmtId="4">
    <nc r="C707">
      <v>53</v>
    </nc>
  </rcc>
  <rcc rId="9483" sId="2" numFmtId="4">
    <nc r="D707">
      <v>12</v>
    </nc>
  </rcc>
  <rcc rId="9484" sId="2" numFmtId="4">
    <nc r="E707">
      <v>3</v>
    </nc>
  </rcc>
  <rcc rId="9485" sId="2" numFmtId="4">
    <nc r="F707">
      <v>0</v>
    </nc>
  </rcc>
  <rcc rId="9486" sId="2" numFmtId="4">
    <nc r="G707">
      <v>0</v>
    </nc>
  </rcc>
  <rcc rId="9487" sId="2" numFmtId="4">
    <nc r="H707">
      <v>1</v>
    </nc>
  </rcc>
  <rcc rId="9488" sId="2" numFmtId="4">
    <nc r="B708">
      <v>1</v>
    </nc>
  </rcc>
  <rcc rId="9489" sId="2" numFmtId="4">
    <nc r="C708">
      <v>53</v>
    </nc>
  </rcc>
  <rcc rId="9490" sId="2" numFmtId="4">
    <nc r="D708">
      <v>13</v>
    </nc>
  </rcc>
  <rcc rId="9491" sId="2" numFmtId="4">
    <nc r="E708">
      <v>1</v>
    </nc>
  </rcc>
  <rcc rId="9492" sId="2" numFmtId="4">
    <nc r="F708">
      <v>10</v>
    </nc>
  </rcc>
  <rcc rId="9493" sId="2" numFmtId="4">
    <nc r="G708">
      <v>0</v>
    </nc>
  </rcc>
  <rcc rId="9494" sId="2" numFmtId="4">
    <nc r="H708">
      <v>0</v>
    </nc>
  </rcc>
  <rcc rId="9495" sId="2" numFmtId="4">
    <nc r="B709">
      <v>1</v>
    </nc>
  </rcc>
  <rcc rId="9496" sId="2" numFmtId="4">
    <nc r="C709">
      <v>53</v>
    </nc>
  </rcc>
  <rcc rId="9497" sId="2" numFmtId="4">
    <nc r="D709">
      <v>14</v>
    </nc>
  </rcc>
  <rcc rId="9498" sId="2" numFmtId="4">
    <nc r="E709">
      <v>0</v>
    </nc>
  </rcc>
  <rcc rId="9499" sId="2" numFmtId="4">
    <nc r="F709">
      <v>2</v>
    </nc>
  </rcc>
  <rcc rId="9500" sId="2" numFmtId="4">
    <nc r="G709">
      <v>0</v>
    </nc>
  </rcc>
  <rcc rId="9501" sId="2" numFmtId="4">
    <nc r="H709">
      <v>0</v>
    </nc>
  </rcc>
  <rcc rId="9502" sId="2" numFmtId="4">
    <nc r="B710">
      <v>1</v>
    </nc>
  </rcc>
  <rcc rId="9503" sId="2" numFmtId="4">
    <nc r="C710">
      <v>12</v>
    </nc>
  </rcc>
  <rcc rId="9504" sId="2" numFmtId="4">
    <nc r="D710">
      <v>15</v>
    </nc>
  </rcc>
  <rcc rId="9505" sId="2" numFmtId="4">
    <nc r="E710">
      <v>11</v>
    </nc>
  </rcc>
  <rcc rId="9506" sId="2" numFmtId="4">
    <nc r="F710">
      <v>6</v>
    </nc>
  </rcc>
  <rcc rId="9507" sId="2" numFmtId="4">
    <nc r="G710">
      <v>0</v>
    </nc>
  </rcc>
  <rcc rId="9508" sId="2" numFmtId="4">
    <nc r="H710">
      <v>2</v>
    </nc>
  </rcc>
  <rcc rId="9509" sId="2" numFmtId="4">
    <nc r="B711">
      <v>1</v>
    </nc>
  </rcc>
  <rcc rId="9510" sId="2" numFmtId="4">
    <nc r="C711">
      <v>34</v>
    </nc>
  </rcc>
  <rcc rId="9511" sId="2" numFmtId="4">
    <nc r="D711">
      <v>15</v>
    </nc>
  </rcc>
  <rcc rId="9512" sId="2" numFmtId="4">
    <nc r="E711">
      <v>8</v>
    </nc>
  </rcc>
  <rcc rId="9513" sId="2" numFmtId="4">
    <nc r="F711">
      <v>4</v>
    </nc>
  </rcc>
  <rcc rId="9514" sId="2" numFmtId="4">
    <nc r="G711">
      <v>0</v>
    </nc>
  </rcc>
  <rcc rId="9515" sId="2" numFmtId="4">
    <nc r="H711">
      <v>0</v>
    </nc>
  </rcc>
  <rcc rId="9516" sId="2" numFmtId="4">
    <nc r="B712">
      <v>1</v>
    </nc>
  </rcc>
  <rcc rId="9517" sId="2" numFmtId="4">
    <nc r="C712">
      <v>34</v>
    </nc>
  </rcc>
  <rcc rId="9518" sId="2" numFmtId="4">
    <nc r="D712">
      <v>14</v>
    </nc>
  </rcc>
  <rcc rId="9519" sId="2" numFmtId="4">
    <nc r="E712">
      <v>6</v>
    </nc>
  </rcc>
  <rcc rId="9520" sId="2" numFmtId="4">
    <nc r="F712">
      <v>1</v>
    </nc>
  </rcc>
  <rcc rId="9521" sId="2" numFmtId="4">
    <nc r="G712">
      <v>0</v>
    </nc>
  </rcc>
  <rcc rId="9522" sId="2" numFmtId="4">
    <nc r="H712">
      <v>0</v>
    </nc>
  </rcc>
  <rcc rId="9523" sId="2" numFmtId="4">
    <nc r="B713">
      <v>1</v>
    </nc>
  </rcc>
  <rcc rId="9524" sId="2" numFmtId="4">
    <nc r="C713">
      <v>59</v>
    </nc>
  </rcc>
  <rcc rId="9525" sId="2" numFmtId="4">
    <nc r="D713">
      <v>14</v>
    </nc>
  </rcc>
  <rcc rId="9526" sId="2" numFmtId="4">
    <nc r="E713">
      <v>2</v>
    </nc>
  </rcc>
  <rcc rId="9527" sId="2" numFmtId="4">
    <nc r="F713">
      <v>4</v>
    </nc>
  </rcc>
  <rcc rId="9528" sId="2" numFmtId="4">
    <nc r="G713">
      <v>0</v>
    </nc>
  </rcc>
  <rcc rId="9529" sId="2" numFmtId="4">
    <nc r="H713">
      <v>0</v>
    </nc>
  </rcc>
  <rcc rId="9530" sId="2" numFmtId="4">
    <nc r="B714">
      <v>1</v>
    </nc>
  </rcc>
  <rcc rId="9531" sId="2" numFmtId="4">
    <nc r="C714">
      <v>59</v>
    </nc>
  </rcc>
  <rcc rId="9532" sId="2" numFmtId="4">
    <nc r="D714">
      <v>15</v>
    </nc>
  </rcc>
  <rcc rId="9533" sId="2" numFmtId="4">
    <nc r="E714">
      <v>3</v>
    </nc>
  </rcc>
  <rcc rId="9534" sId="2" numFmtId="4">
    <nc r="F714">
      <v>3</v>
    </nc>
  </rcc>
  <rcc rId="9535" sId="2" numFmtId="4">
    <nc r="G714">
      <v>0</v>
    </nc>
  </rcc>
  <rcc rId="9536" sId="2" numFmtId="4">
    <nc r="H714">
      <v>0</v>
    </nc>
  </rcc>
  <rcc rId="9537" sId="2" numFmtId="4">
    <nc r="B715">
      <v>1</v>
    </nc>
  </rcc>
  <rcc rId="9538" sId="2" numFmtId="4">
    <nc r="C715">
      <v>28</v>
    </nc>
  </rcc>
  <rcc rId="9539" sId="2" numFmtId="4">
    <nc r="D715">
      <v>14</v>
    </nc>
  </rcc>
  <rcc rId="9540" sId="2" numFmtId="4">
    <nc r="E715">
      <v>12</v>
    </nc>
  </rcc>
  <rcc rId="9541" sId="2" numFmtId="4">
    <nc r="F715">
      <v>7</v>
    </nc>
  </rcc>
  <rcc rId="9542" sId="2" numFmtId="4">
    <nc r="G715">
      <v>0</v>
    </nc>
  </rcc>
  <rcc rId="9543" sId="2" numFmtId="4">
    <nc r="H715">
      <v>0</v>
    </nc>
  </rcc>
  <rcc rId="9544" sId="2" numFmtId="4">
    <nc r="B716">
      <v>1</v>
    </nc>
  </rcc>
  <rcc rId="9545" sId="2" numFmtId="4">
    <nc r="C716">
      <v>28</v>
    </nc>
  </rcc>
  <rcc rId="9546" sId="2" numFmtId="4">
    <nc r="D716">
      <v>13</v>
    </nc>
  </rcc>
  <rcc rId="9547" sId="2" numFmtId="4">
    <nc r="E716">
      <v>10</v>
    </nc>
  </rcc>
  <rcc rId="9548" sId="2" numFmtId="4">
    <nc r="F716">
      <v>3</v>
    </nc>
  </rcc>
  <rcc rId="9549" sId="2" numFmtId="4">
    <nc r="G716">
      <v>0</v>
    </nc>
  </rcc>
  <rcc rId="9550" sId="2" numFmtId="4">
    <nc r="H716">
      <v>0</v>
    </nc>
  </rcc>
  <rcc rId="9551" sId="2" numFmtId="4">
    <nc r="B717">
      <v>1</v>
    </nc>
  </rcc>
  <rcc rId="9552" sId="2" numFmtId="4">
    <nc r="C717">
      <v>19</v>
    </nc>
  </rcc>
  <rcc rId="9553" sId="2" numFmtId="4">
    <nc r="D717">
      <v>15</v>
    </nc>
  </rcc>
  <rcc rId="9554" sId="2" numFmtId="4">
    <nc r="E717">
      <v>3</v>
    </nc>
  </rcc>
  <rcc rId="9555" sId="2" numFmtId="4">
    <nc r="F717">
      <v>7</v>
    </nc>
  </rcc>
  <rcc rId="9556" sId="2" numFmtId="4">
    <nc r="G717">
      <v>0</v>
    </nc>
  </rcc>
  <rcc rId="9557" sId="2" numFmtId="4">
    <nc r="H717">
      <v>0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>
  <rcv guid="{2387E3E5-DC3A-4E55-B9FB-E509729F4507}" action="delete"/>
  <rdn rId="0" localSheetId="3" customView="1" name="Z_2387E3E5_DC3A_4E55_B9FB_E509729F4507_.wvu.PrintArea" hidden="1" oldHidden="1">
    <formula>'GA Mayor'!$A$1:$K$22</formula>
  </rdn>
  <rdn rId="0" localSheetId="6" customView="1" name="Z_2387E3E5_DC3A_4E55_B9FB_E509729F4507_.wvu.PrintArea" hidden="1" oldHidden="1">
    <formula>GMiranda!$A$1:$K$25</formula>
  </rdn>
  <rdn rId="0" localSheetId="9" customView="1" name="Z_2387E3E5_DC3A_4E55_B9FB_E509729F4507_.wvu.PrintArea" hidden="1" oldHidden="1">
    <formula>GVargas!$A$1:$K$23</formula>
  </rdn>
  <rdn rId="0" localSheetId="12" customView="1" name="Z_2387E3E5_DC3A_4E55_B9FB_E509729F4507_.wvu.PrintArea" hidden="1" oldHidden="1">
    <formula>GLibertador!$A$1:$K$25</formula>
  </rdn>
  <rcv guid="{2387E3E5-DC3A-4E55-B9FB-E509729F4507}" action="add"/>
</revisions>
</file>

<file path=xl/revisions/revisionLog121.xml><?xml version="1.0" encoding="utf-8"?>
<revisions xmlns="http://schemas.openxmlformats.org/spreadsheetml/2006/main" xmlns:r="http://schemas.openxmlformats.org/officeDocument/2006/relationships">
  <rcc rId="8785" sId="2" numFmtId="4">
    <nc r="B679">
      <v>1</v>
    </nc>
  </rcc>
  <rcc rId="8786" sId="2" numFmtId="4">
    <nc r="C679">
      <v>53</v>
    </nc>
  </rcc>
  <rcc rId="8787" sId="2" numFmtId="4">
    <nc r="D679">
      <v>15</v>
    </nc>
  </rcc>
  <rcc rId="8788" sId="2" numFmtId="4">
    <nc r="E679">
      <v>4</v>
    </nc>
  </rcc>
  <rcc rId="8789" sId="2" numFmtId="4">
    <nc r="F679">
      <v>3</v>
    </nc>
  </rcc>
  <rcc rId="8790" sId="2" numFmtId="4">
    <nc r="G679">
      <v>0</v>
    </nc>
  </rcc>
  <rcc rId="8791" sId="2" numFmtId="4">
    <nc r="H679">
      <v>0</v>
    </nc>
  </rcc>
  <rcv guid="{E8E9C221-0224-4E73-8F39-1821F41C5BD3}" action="delete"/>
  <rcv guid="{E8E9C221-0224-4E73-8F39-1821F41C5BD3}" action="add"/>
</revisions>
</file>

<file path=xl/revisions/revisionLog151.xml><?xml version="1.0" encoding="utf-8"?>
<revisions xmlns="http://schemas.openxmlformats.org/spreadsheetml/2006/main" xmlns:r="http://schemas.openxmlformats.org/officeDocument/2006/relationships">
  <rcc rId="934" sId="2" numFmtId="4">
    <nc r="B151">
      <v>13</v>
    </nc>
  </rcc>
  <rcc rId="935" sId="2" numFmtId="4">
    <nc r="C151">
      <v>109</v>
    </nc>
  </rcc>
  <rcc rId="936" sId="2" numFmtId="4">
    <nc r="D151">
      <v>4</v>
    </nc>
  </rcc>
  <rcc rId="937" sId="2" numFmtId="4">
    <nc r="E151">
      <v>18</v>
    </nc>
  </rcc>
  <rcc rId="938" sId="2" numFmtId="4">
    <nc r="F151">
      <v>4</v>
    </nc>
  </rcc>
  <rcc rId="939" sId="2" numFmtId="4">
    <nc r="G151">
      <v>0</v>
    </nc>
  </rcc>
  <rcc rId="940" sId="2" numFmtId="4">
    <nc r="H151">
      <v>0</v>
    </nc>
  </rcc>
  <rcc rId="941" sId="2" numFmtId="4">
    <nc r="B152">
      <v>13</v>
    </nc>
  </rcc>
  <rcc rId="942" sId="2" numFmtId="4">
    <nc r="C152">
      <v>109</v>
    </nc>
  </rcc>
  <rcc rId="943" sId="2" numFmtId="4">
    <nc r="D152">
      <v>3</v>
    </nc>
  </rcc>
  <rcc rId="944" sId="2" numFmtId="4">
    <nc r="E152">
      <v>15</v>
    </nc>
  </rcc>
  <rcc rId="945" sId="2" numFmtId="4">
    <nc r="F152">
      <v>7</v>
    </nc>
  </rcc>
  <rcc rId="946" sId="2" numFmtId="4">
    <nc r="G152">
      <v>0</v>
    </nc>
  </rcc>
  <rcc rId="947" sId="2" numFmtId="4">
    <nc r="H152">
      <v>0</v>
    </nc>
  </rcc>
  <rcc rId="948" sId="2" numFmtId="4">
    <nc r="B153">
      <v>13</v>
    </nc>
  </rcc>
  <rcc rId="949" sId="2" numFmtId="4">
    <nc r="C153">
      <v>109</v>
    </nc>
  </rcc>
  <rcc rId="950" sId="2" numFmtId="4">
    <nc r="D153">
      <v>2</v>
    </nc>
  </rcc>
  <rcc rId="951" sId="2" numFmtId="4">
    <nc r="E153">
      <v>3</v>
    </nc>
  </rcc>
  <rcc rId="952" sId="2" numFmtId="4">
    <nc r="F153">
      <v>5</v>
    </nc>
  </rcc>
  <rcc rId="953" sId="2" numFmtId="4">
    <nc r="G153">
      <v>0</v>
    </nc>
  </rcc>
  <rcc rId="954" sId="2" numFmtId="4">
    <nc r="H153">
      <v>0</v>
    </nc>
  </rcc>
  <rcc rId="955" sId="2" numFmtId="4">
    <nc r="B154">
      <v>13</v>
    </nc>
  </rcc>
  <rcc rId="956" sId="2" numFmtId="4">
    <nc r="C154">
      <v>114</v>
    </nc>
  </rcc>
  <rcc rId="957" sId="2" numFmtId="4">
    <nc r="D154">
      <v>5</v>
    </nc>
  </rcc>
  <rcc rId="958" sId="2" numFmtId="4">
    <nc r="E154">
      <v>11</v>
    </nc>
  </rcc>
  <rcc rId="959" sId="2" numFmtId="4">
    <nc r="F154">
      <v>3</v>
    </nc>
  </rcc>
  <rcc rId="960" sId="2" numFmtId="4">
    <nc r="G154">
      <v>4</v>
    </nc>
  </rcc>
  <rcc rId="961" sId="2" numFmtId="4">
    <nc r="H154">
      <v>4</v>
    </nc>
  </rcc>
  <rcc rId="962" sId="2" numFmtId="4">
    <nc r="B155">
      <v>1</v>
    </nc>
  </rcc>
  <rcc rId="963" sId="2" numFmtId="4">
    <nc r="C155">
      <v>27</v>
    </nc>
  </rcc>
  <rcc rId="964" sId="2" numFmtId="4">
    <nc r="D155">
      <v>1</v>
    </nc>
  </rcc>
  <rcc rId="965" sId="2" numFmtId="4">
    <nc r="E155">
      <v>45</v>
    </nc>
  </rcc>
  <rcc rId="966" sId="2" numFmtId="4">
    <nc r="F155">
      <v>15</v>
    </nc>
  </rcc>
  <rcc rId="967" sId="2" numFmtId="4">
    <nc r="G155">
      <v>0</v>
    </nc>
  </rcc>
  <rcc rId="968" sId="2" numFmtId="4">
    <nc r="H155">
      <v>1</v>
    </nc>
  </rcc>
  <rcc rId="969" sId="2" numFmtId="4">
    <nc r="B156">
      <v>13</v>
    </nc>
  </rcc>
  <rcc rId="970" sId="2" numFmtId="4">
    <nc r="C156">
      <v>102</v>
    </nc>
  </rcc>
  <rcc rId="971" sId="2" numFmtId="4">
    <nc r="D156">
      <v>3</v>
    </nc>
  </rcc>
  <rcc rId="972" sId="2" numFmtId="4">
    <nc r="E156">
      <v>5</v>
    </nc>
  </rcc>
  <rcc rId="973" sId="2" numFmtId="4">
    <nc r="F156">
      <v>10</v>
    </nc>
  </rcc>
  <rcc rId="974" sId="2" numFmtId="4">
    <nc r="G156">
      <v>0</v>
    </nc>
  </rcc>
  <rcc rId="975" sId="2" numFmtId="4">
    <nc r="H156">
      <v>0</v>
    </nc>
  </rcc>
  <rcc rId="976" sId="2" numFmtId="4">
    <nc r="B157">
      <v>13</v>
    </nc>
  </rcc>
  <rcc rId="977" sId="2" numFmtId="4">
    <nc r="C157">
      <v>102</v>
    </nc>
  </rcc>
  <rcc rId="978" sId="2" numFmtId="4">
    <nc r="D157">
      <v>3</v>
    </nc>
  </rcc>
  <rcc rId="979" sId="2" numFmtId="4">
    <nc r="E157">
      <v>10</v>
    </nc>
  </rcc>
  <rcc rId="980" sId="2" numFmtId="4">
    <nc r="F157">
      <v>7</v>
    </nc>
  </rcc>
  <rcc rId="981" sId="2" numFmtId="4">
    <nc r="G157">
      <v>3</v>
    </nc>
  </rcc>
  <rcc rId="982" sId="2" numFmtId="4">
    <nc r="H157">
      <v>0</v>
    </nc>
  </rcc>
  <rcc rId="983" sId="2" numFmtId="4">
    <nc r="B158">
      <v>13</v>
    </nc>
  </rcc>
  <rcc rId="984" sId="2" numFmtId="4">
    <nc r="C158">
      <v>102</v>
    </nc>
  </rcc>
  <rcc rId="985" sId="2" numFmtId="4">
    <nc r="D158">
      <v>2</v>
    </nc>
  </rcc>
  <rcc rId="986" sId="2" numFmtId="4">
    <nc r="E158">
      <v>4</v>
    </nc>
  </rcc>
  <rcc rId="987" sId="2" numFmtId="4">
    <nc r="F158">
      <v>8</v>
    </nc>
  </rcc>
  <rcc rId="988" sId="2" numFmtId="4">
    <nc r="G158">
      <v>0</v>
    </nc>
  </rcc>
  <rcc rId="989" sId="2" numFmtId="4">
    <nc r="H158">
      <v>0</v>
    </nc>
  </rcc>
  <rcc rId="990" sId="2" numFmtId="4">
    <nc r="B159">
      <v>13</v>
    </nc>
  </rcc>
  <rcc rId="991" sId="2" numFmtId="4">
    <nc r="C159">
      <v>47</v>
    </nc>
  </rcc>
  <rcc rId="992" sId="2" numFmtId="4">
    <nc r="D159">
      <v>3</v>
    </nc>
  </rcc>
  <rcc rId="993" sId="2" numFmtId="4">
    <nc r="E159">
      <v>8</v>
    </nc>
  </rcc>
  <rcc rId="994" sId="2" numFmtId="4">
    <nc r="F159">
      <v>8</v>
    </nc>
  </rcc>
  <rcc rId="995" sId="2" numFmtId="4">
    <nc r="G159">
      <v>0</v>
    </nc>
  </rcc>
  <rcc rId="996" sId="2" numFmtId="4">
    <nc r="H159">
      <v>1</v>
    </nc>
  </rcc>
  <rcc rId="997" sId="2" numFmtId="4">
    <nc r="B160">
      <v>13</v>
    </nc>
  </rcc>
  <rcc rId="998" sId="2" numFmtId="4">
    <nc r="C160">
      <v>47</v>
    </nc>
  </rcc>
  <rcc rId="999" sId="2" numFmtId="4">
    <nc r="D160">
      <v>4</v>
    </nc>
  </rcc>
  <rcc rId="1000" sId="2" numFmtId="4">
    <nc r="E160">
      <v>10</v>
    </nc>
  </rcc>
  <rcc rId="1001" sId="2" numFmtId="4">
    <nc r="F160">
      <v>4</v>
    </nc>
  </rcc>
  <rcc rId="1002" sId="2" numFmtId="4">
    <nc r="G160">
      <v>0</v>
    </nc>
  </rcc>
  <rcc rId="1003" sId="2" numFmtId="4">
    <nc r="H160">
      <v>0</v>
    </nc>
  </rcc>
  <rcc rId="1004" sId="2" numFmtId="4">
    <nc r="B161">
      <v>13</v>
    </nc>
  </rcc>
  <rcc rId="1005" sId="2" numFmtId="4">
    <nc r="C161">
      <v>11</v>
    </nc>
  </rcc>
  <rcc rId="1006" sId="2" numFmtId="4">
    <nc r="D161">
      <v>1</v>
    </nc>
  </rcc>
  <rcc rId="1007" sId="2" numFmtId="4">
    <nc r="E161">
      <v>2</v>
    </nc>
  </rcc>
  <rcc rId="1008" sId="2" numFmtId="4">
    <nc r="F161">
      <v>11</v>
    </nc>
  </rcc>
  <rcc rId="1009" sId="2" numFmtId="4">
    <nc r="G161">
      <v>0</v>
    </nc>
  </rcc>
  <rcc rId="1010" sId="2" numFmtId="4">
    <nc r="H161">
      <v>0</v>
    </nc>
  </rcc>
  <rcc rId="1011" sId="2" numFmtId="4">
    <nc r="B162">
      <v>13</v>
    </nc>
  </rcc>
  <rcc rId="1012" sId="2" numFmtId="4">
    <nc r="C162">
      <v>11</v>
    </nc>
  </rcc>
  <rcc rId="1013" sId="2" numFmtId="4">
    <nc r="D162">
      <v>2</v>
    </nc>
  </rcc>
  <rcc rId="1014" sId="2" numFmtId="4">
    <nc r="E162">
      <v>4</v>
    </nc>
  </rcc>
  <rcc rId="1015" sId="2" numFmtId="4">
    <nc r="F162">
      <v>9</v>
    </nc>
  </rcc>
  <rcc rId="1016" sId="2" numFmtId="4">
    <nc r="G162">
      <v>0</v>
    </nc>
  </rcc>
  <rcc rId="1017" sId="2" numFmtId="4">
    <nc r="H162">
      <v>0</v>
    </nc>
  </rcc>
  <rcc rId="1018" sId="2" numFmtId="4">
    <nc r="B163">
      <v>13</v>
    </nc>
  </rcc>
  <rcc rId="1019" sId="2" numFmtId="4">
    <nc r="C163">
      <v>62</v>
    </nc>
  </rcc>
  <rcc rId="1020" sId="2" numFmtId="4">
    <nc r="D163">
      <v>4</v>
    </nc>
  </rcc>
  <rcc rId="1021" sId="2" numFmtId="4">
    <nc r="E163">
      <v>8</v>
    </nc>
  </rcc>
  <rcc rId="1022" sId="2" numFmtId="4">
    <nc r="F163">
      <v>12</v>
    </nc>
  </rcc>
  <rcc rId="1023" sId="2" numFmtId="4">
    <nc r="G163">
      <v>0</v>
    </nc>
  </rcc>
  <rcc rId="1024" sId="2" numFmtId="4">
    <nc r="H163">
      <v>0</v>
    </nc>
  </rcc>
  <rcc rId="1025" sId="2" numFmtId="4">
    <nc r="B164">
      <v>13</v>
    </nc>
  </rcc>
  <rcc rId="1026" sId="2" numFmtId="4">
    <nc r="C164">
      <v>62</v>
    </nc>
  </rcc>
  <rcc rId="1027" sId="2" numFmtId="4">
    <nc r="D164">
      <v>3</v>
    </nc>
  </rcc>
  <rcc rId="1028" sId="2" numFmtId="4">
    <nc r="E164">
      <v>6</v>
    </nc>
  </rcc>
  <rcc rId="1029" sId="2" numFmtId="4">
    <nc r="F164">
      <v>14</v>
    </nc>
  </rcc>
  <rcc rId="1030" sId="2" numFmtId="4">
    <nc r="G164">
      <v>0</v>
    </nc>
  </rcc>
  <rcc rId="1031" sId="2" numFmtId="4">
    <nc r="H164">
      <v>0</v>
    </nc>
  </rcc>
  <rcc rId="1032" sId="2" numFmtId="4">
    <nc r="B165">
      <v>13</v>
    </nc>
  </rcc>
  <rcc rId="1033" sId="2" numFmtId="4">
    <nc r="C165">
      <v>62</v>
    </nc>
  </rcc>
  <rcc rId="1034" sId="2" numFmtId="4">
    <nc r="D165">
      <v>1</v>
    </nc>
  </rcc>
  <rcc rId="1035" sId="2" numFmtId="4">
    <nc r="E165">
      <v>4</v>
    </nc>
  </rcc>
  <rcc rId="1036" sId="2" numFmtId="4">
    <nc r="F165">
      <v>12</v>
    </nc>
  </rcc>
  <rcc rId="1037" sId="2" numFmtId="4">
    <nc r="G165">
      <v>0</v>
    </nc>
  </rcc>
  <rcc rId="1038" sId="2" numFmtId="4">
    <nc r="H165">
      <v>0</v>
    </nc>
  </rcc>
  <rcc rId="1039" sId="2" numFmtId="4">
    <nc r="B166">
      <v>13</v>
    </nc>
  </rcc>
  <rcc rId="1040" sId="2" numFmtId="4">
    <nc r="C166">
      <v>21</v>
    </nc>
  </rcc>
  <rcc rId="1041" sId="2" numFmtId="4">
    <nc r="D166">
      <v>5</v>
    </nc>
  </rcc>
  <rcc rId="1042" sId="2" numFmtId="4">
    <nc r="E166">
      <v>0</v>
    </nc>
  </rcc>
  <rcc rId="1043" sId="2" numFmtId="4">
    <nc r="F166">
      <v>28</v>
    </nc>
  </rcc>
  <rcc rId="1044" sId="2" numFmtId="4">
    <nc r="G166">
      <v>0</v>
    </nc>
  </rcc>
  <rcc rId="1045" sId="2" numFmtId="4">
    <nc r="H166">
      <v>0</v>
    </nc>
  </rcc>
</revisions>
</file>

<file path=xl/revisions/revisionLog1211.xml><?xml version="1.0" encoding="utf-8"?>
<revisions xmlns="http://schemas.openxmlformats.org/spreadsheetml/2006/main" xmlns:r="http://schemas.openxmlformats.org/officeDocument/2006/relationships">
  <rcc rId="687" sId="5" numFmtId="4">
    <nc r="C150">
      <v>95</v>
    </nc>
  </rcc>
  <rcc rId="688" sId="5" numFmtId="4">
    <nc r="D150">
      <v>5</v>
    </nc>
  </rcc>
  <rcc rId="689" sId="5" numFmtId="4">
    <nc r="E150">
      <v>20</v>
    </nc>
  </rcc>
  <rcc rId="690" sId="5" numFmtId="4">
    <nc r="F150">
      <v>5</v>
    </nc>
  </rcc>
  <rcc rId="691" sId="5" numFmtId="4">
    <nc r="G150">
      <v>0</v>
    </nc>
  </rcc>
  <rcc rId="692" sId="5" numFmtId="4">
    <nc r="B151">
      <v>13</v>
    </nc>
  </rcc>
  <rcc rId="693" sId="5" numFmtId="4">
    <nc r="C151">
      <v>95</v>
    </nc>
  </rcc>
  <rcc rId="694" sId="5" numFmtId="4">
    <nc r="D151">
      <v>6</v>
    </nc>
  </rcc>
  <rcc rId="695" sId="5" numFmtId="4">
    <nc r="E151">
      <v>16</v>
    </nc>
  </rcc>
  <rcc rId="696" sId="5" numFmtId="4">
    <nc r="F151">
      <v>14</v>
    </nc>
  </rcc>
  <rcc rId="697" sId="5" numFmtId="4">
    <nc r="G151">
      <v>0</v>
    </nc>
  </rcc>
  <rcc rId="698" sId="5" numFmtId="4">
    <nc r="B152">
      <v>13</v>
    </nc>
  </rcc>
  <rcc rId="699" sId="5" numFmtId="4">
    <nc r="C152">
      <v>86</v>
    </nc>
  </rcc>
  <rcc rId="700" sId="5" numFmtId="4">
    <nc r="D152">
      <v>6</v>
    </nc>
  </rcc>
  <rcc rId="701" sId="5" numFmtId="4">
    <nc r="E152">
      <v>15</v>
    </nc>
  </rcc>
  <rcc rId="702" sId="5" numFmtId="4">
    <nc r="F152">
      <v>4</v>
    </nc>
  </rcc>
  <rcc rId="703" sId="5" numFmtId="4">
    <nc r="G152">
      <v>6</v>
    </nc>
  </rcc>
  <rcc rId="704" sId="5" numFmtId="4">
    <nc r="B153">
      <v>13</v>
    </nc>
  </rcc>
  <rcc rId="705" sId="5" numFmtId="4">
    <nc r="C153">
      <v>96</v>
    </nc>
  </rcc>
  <rcc rId="706" sId="5" numFmtId="4">
    <nc r="D153">
      <v>7</v>
    </nc>
  </rcc>
  <rcc rId="707" sId="5" numFmtId="4">
    <nc r="E153">
      <v>2</v>
    </nc>
  </rcc>
  <rcc rId="708" sId="5" numFmtId="4">
    <nc r="F153">
      <v>5</v>
    </nc>
  </rcc>
  <rcc rId="709" sId="5" numFmtId="4">
    <nc r="G153">
      <v>0</v>
    </nc>
  </rcc>
  <rcc rId="710" sId="5" numFmtId="4">
    <nc r="B154">
      <v>13</v>
    </nc>
  </rcc>
  <rcc rId="711" sId="5" numFmtId="4">
    <nc r="C154">
      <v>96</v>
    </nc>
  </rcc>
  <rcc rId="712" sId="5" numFmtId="4">
    <nc r="D154">
      <v>6</v>
    </nc>
  </rcc>
  <rcc rId="713" sId="5" numFmtId="4">
    <nc r="E154">
      <v>3</v>
    </nc>
  </rcc>
  <rcc rId="714" sId="5" numFmtId="4">
    <nc r="F154">
      <v>8</v>
    </nc>
  </rcc>
  <rcc rId="715" sId="5" numFmtId="4">
    <nc r="G154">
      <v>0</v>
    </nc>
  </rcc>
  <rcc rId="716" sId="5" numFmtId="4">
    <nc r="B155">
      <v>13</v>
    </nc>
  </rcc>
  <rcc rId="717" sId="5" numFmtId="4">
    <nc r="C155">
      <v>100</v>
    </nc>
  </rcc>
  <rcc rId="718" sId="5" numFmtId="4">
    <nc r="D155">
      <v>7</v>
    </nc>
  </rcc>
  <rcc rId="719" sId="5" numFmtId="4">
    <nc r="E155">
      <v>4</v>
    </nc>
  </rcc>
  <rcc rId="720" sId="5" numFmtId="4">
    <nc r="F155">
      <v>3</v>
    </nc>
  </rcc>
  <rcc rId="721" sId="5" numFmtId="4">
    <nc r="G155">
      <v>0</v>
    </nc>
  </rcc>
  <rcc rId="722" sId="5" numFmtId="4">
    <nc r="B156">
      <v>13</v>
    </nc>
  </rcc>
  <rcc rId="723" sId="5" numFmtId="4">
    <nc r="C156">
      <v>100</v>
    </nc>
  </rcc>
  <rcc rId="724" sId="5" numFmtId="4">
    <nc r="D156">
      <v>6</v>
    </nc>
  </rcc>
  <rcc rId="725" sId="5" numFmtId="4">
    <nc r="E156">
      <v>4</v>
    </nc>
  </rcc>
  <rcc rId="726" sId="5" numFmtId="4">
    <nc r="F156">
      <v>0</v>
    </nc>
  </rcc>
  <rcc rId="727" sId="5" numFmtId="4">
    <nc r="G156">
      <v>0</v>
    </nc>
  </rcc>
  <rcc rId="728" sId="5" numFmtId="4">
    <nc r="B157">
      <v>13</v>
    </nc>
  </rcc>
  <rcc rId="729" sId="5" numFmtId="4">
    <nc r="C157">
      <v>117</v>
    </nc>
  </rcc>
  <rcc rId="730" sId="5" numFmtId="4">
    <nc r="D157">
      <v>7</v>
    </nc>
  </rcc>
  <rcc rId="731" sId="5" numFmtId="4">
    <nc r="E157">
      <v>1</v>
    </nc>
  </rcc>
  <rcc rId="732" sId="5" numFmtId="4">
    <nc r="F157">
      <v>22</v>
    </nc>
  </rcc>
  <rcc rId="733" sId="5" numFmtId="4">
    <nc r="G157">
      <v>0</v>
    </nc>
  </rcc>
  <rcc rId="734" sId="5" numFmtId="4">
    <nc r="B158">
      <v>13</v>
    </nc>
  </rcc>
  <rcc rId="735" sId="5" numFmtId="4">
    <nc r="C158">
      <v>78</v>
    </nc>
  </rcc>
  <rcc rId="736" sId="5" numFmtId="4">
    <nc r="D158">
      <v>1</v>
    </nc>
  </rcc>
  <rcc rId="737" sId="5" numFmtId="4">
    <nc r="E158">
      <v>0</v>
    </nc>
  </rcc>
  <rcc rId="738" sId="5" numFmtId="4">
    <nc r="F158">
      <v>25</v>
    </nc>
  </rcc>
  <rcc rId="739" sId="5" numFmtId="4">
    <nc r="G158">
      <v>0</v>
    </nc>
  </rcc>
  <rcc rId="740" sId="5" numFmtId="4">
    <nc r="B159">
      <v>13</v>
    </nc>
  </rcc>
  <rcc rId="741" sId="5" numFmtId="4">
    <nc r="C159">
      <v>78</v>
    </nc>
  </rcc>
  <rcc rId="742" sId="5" numFmtId="4">
    <nc r="D159">
      <v>2</v>
    </nc>
  </rcc>
  <rcc rId="743" sId="5" numFmtId="4">
    <nc r="E159">
      <v>0</v>
    </nc>
  </rcc>
  <rcc rId="744" sId="5" numFmtId="4">
    <nc r="F159">
      <v>25</v>
    </nc>
  </rcc>
  <rcc rId="745" sId="5" numFmtId="4">
    <nc r="G159">
      <v>0</v>
    </nc>
  </rcc>
  <rcc rId="746" sId="5" numFmtId="4">
    <nc r="B160">
      <v>13</v>
    </nc>
  </rcc>
  <rcc rId="747" sId="5" numFmtId="4">
    <nc r="C160">
      <v>78</v>
    </nc>
  </rcc>
  <rcc rId="748" sId="5" numFmtId="4">
    <nc r="D160">
      <v>3</v>
    </nc>
  </rcc>
  <rcc rId="749" sId="5" numFmtId="4">
    <nc r="E160">
      <v>5</v>
    </nc>
  </rcc>
  <rcc rId="750" sId="5" numFmtId="4">
    <nc r="F160">
      <v>20</v>
    </nc>
  </rcc>
  <rcc rId="751" sId="5" numFmtId="4">
    <nc r="G160">
      <v>0</v>
    </nc>
  </rcc>
  <rcc rId="752" sId="5" numFmtId="4">
    <nc r="B161">
      <v>13</v>
    </nc>
  </rcc>
  <rcc rId="753" sId="5" numFmtId="4">
    <nc r="C161">
      <v>78</v>
    </nc>
  </rcc>
  <rcc rId="754" sId="5" numFmtId="4">
    <nc r="D161">
      <v>4</v>
    </nc>
  </rcc>
  <rcc rId="755" sId="5" numFmtId="4">
    <nc r="E161">
      <v>1</v>
    </nc>
  </rcc>
  <rcc rId="756" sId="5" numFmtId="4">
    <nc r="F161">
      <v>24</v>
    </nc>
  </rcc>
  <rcc rId="757" sId="5" numFmtId="4">
    <nc r="G161">
      <v>0</v>
    </nc>
  </rcc>
  <rcc rId="758" sId="5" numFmtId="4">
    <nc r="B162">
      <v>13</v>
    </nc>
  </rcc>
  <rcc rId="759" sId="5" numFmtId="4">
    <nc r="C162">
      <v>78</v>
    </nc>
  </rcc>
  <rcc rId="760" sId="5" numFmtId="4">
    <nc r="D162">
      <v>5</v>
    </nc>
  </rcc>
  <rcc rId="761" sId="5" numFmtId="4">
    <nc r="E162">
      <v>2</v>
    </nc>
  </rcc>
  <rcc rId="762" sId="5" numFmtId="4">
    <nc r="F162">
      <v>23</v>
    </nc>
  </rcc>
  <rcc rId="763" sId="5" numFmtId="4">
    <nc r="G162">
      <v>0</v>
    </nc>
  </rcc>
  <rcc rId="764" sId="5" numFmtId="4">
    <nc r="B163">
      <v>13</v>
    </nc>
  </rcc>
  <rcc rId="765" sId="5" numFmtId="4">
    <nc r="C163">
      <v>78</v>
    </nc>
  </rcc>
  <rcc rId="766" sId="5" numFmtId="4">
    <nc r="D163">
      <v>6</v>
    </nc>
  </rcc>
  <rcc rId="767" sId="5" numFmtId="4">
    <nc r="E163">
      <v>0</v>
    </nc>
  </rcc>
  <rcc rId="768" sId="5" numFmtId="4">
    <nc r="F163">
      <v>25</v>
    </nc>
  </rcc>
  <rcc rId="769" sId="5" numFmtId="4">
    <nc r="G163">
      <v>0</v>
    </nc>
  </rcc>
  <rcc rId="770" sId="5" numFmtId="4">
    <nc r="B164">
      <v>13</v>
    </nc>
  </rcc>
  <rcc rId="771" sId="5" numFmtId="4">
    <nc r="C164">
      <v>78</v>
    </nc>
  </rcc>
  <rcc rId="772" sId="5" numFmtId="4">
    <nc r="D164">
      <v>7</v>
    </nc>
  </rcc>
  <rcc rId="773" sId="5" numFmtId="4">
    <nc r="E164">
      <v>0</v>
    </nc>
  </rcc>
</revisions>
</file>

<file path=xl/revisions/userNames.xml><?xml version="1.0" encoding="utf-8"?>
<users xmlns="http://schemas.openxmlformats.org/spreadsheetml/2006/main" xmlns:r="http://schemas.openxmlformats.org/officeDocument/2006/relationships" count="2">
  <userInfo guid="{B6E8575E-0846-442B-A5C1-939EB79F84F4}" name="PLM" id="-844044908" dateTime="2008-11-23T10:33:56"/>
  <userInfo guid="{324D7F27-7C37-4979-B0DE-3E36F45CAEC0}" name="PLM" id="-844061000" dateTime="2008-11-23T10:51:00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N20"/>
  <sheetViews>
    <sheetView showGridLines="0" showRowColHeaders="0" workbookViewId="0">
      <selection activeCell="E13" sqref="E13"/>
    </sheetView>
  </sheetViews>
  <sheetFormatPr baseColWidth="10" defaultColWidth="11.5703125" defaultRowHeight="12.75"/>
  <cols>
    <col min="1" max="16384" width="11.5703125" style="14"/>
  </cols>
  <sheetData>
    <row r="1" spans="3:14" ht="30" customHeight="1"/>
    <row r="2" spans="3:14" ht="30" customHeight="1"/>
    <row r="3" spans="3:14" ht="30" customHeight="1"/>
    <row r="4" spans="3:14" ht="30" customHeight="1"/>
    <row r="6" spans="3:14" ht="42" customHeight="1"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</row>
    <row r="7" spans="3:14" s="85" customFormat="1" ht="42" customHeight="1">
      <c r="C7" s="165" t="s">
        <v>5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</row>
    <row r="8" spans="3:14" s="38" customFormat="1"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</row>
    <row r="9" spans="3:14" s="38" customFormat="1" ht="27.75">
      <c r="C9" s="110"/>
      <c r="D9" s="164" t="s">
        <v>11</v>
      </c>
      <c r="E9" s="164"/>
      <c r="F9" s="164"/>
      <c r="G9" s="164"/>
      <c r="H9" s="164"/>
      <c r="I9" s="164"/>
      <c r="J9" s="164"/>
      <c r="K9" s="164"/>
      <c r="L9" s="164"/>
      <c r="M9" s="110"/>
    </row>
    <row r="10" spans="3:14" s="38" customFormat="1" ht="36" customHeight="1">
      <c r="C10" s="110"/>
      <c r="D10" s="111"/>
      <c r="E10" s="111"/>
      <c r="F10" s="111"/>
      <c r="G10" s="111"/>
      <c r="H10" s="111"/>
      <c r="I10" s="111"/>
      <c r="J10" s="111"/>
      <c r="K10" s="111"/>
      <c r="L10" s="111"/>
      <c r="M10" s="112"/>
      <c r="N10" s="83"/>
    </row>
    <row r="11" spans="3:14" s="40" customFormat="1" ht="27" customHeight="1">
      <c r="C11" s="113"/>
      <c r="D11" s="111"/>
      <c r="E11" s="114" t="s">
        <v>21</v>
      </c>
      <c r="F11" s="114"/>
      <c r="G11" s="114"/>
      <c r="H11" s="114" t="s">
        <v>22</v>
      </c>
      <c r="I11" s="114"/>
      <c r="J11" s="114"/>
      <c r="K11" s="114" t="s">
        <v>23</v>
      </c>
      <c r="L11" s="114"/>
      <c r="M11" s="115"/>
      <c r="N11" s="84"/>
    </row>
    <row r="12" spans="3:14" s="40" customFormat="1" ht="17.25" customHeight="1">
      <c r="C12" s="113"/>
      <c r="D12" s="111"/>
      <c r="E12" s="114"/>
      <c r="F12" s="111"/>
      <c r="G12" s="111"/>
      <c r="H12" s="111"/>
      <c r="I12" s="111"/>
      <c r="J12" s="111"/>
      <c r="K12" s="111"/>
      <c r="L12" s="111"/>
      <c r="M12" s="115"/>
      <c r="N12" s="84"/>
    </row>
    <row r="13" spans="3:14" s="40" customFormat="1" ht="24.6" customHeight="1">
      <c r="C13" s="113"/>
      <c r="D13" s="111"/>
      <c r="E13" s="114" t="s">
        <v>12</v>
      </c>
      <c r="F13" s="114"/>
      <c r="G13" s="114"/>
      <c r="H13" s="114" t="s">
        <v>13</v>
      </c>
      <c r="I13" s="114"/>
      <c r="J13" s="114"/>
      <c r="K13" s="114" t="s">
        <v>14</v>
      </c>
      <c r="L13" s="111"/>
      <c r="M13" s="115"/>
      <c r="N13" s="84"/>
    </row>
    <row r="14" spans="3:14" s="40" customFormat="1" ht="17.25" customHeight="1">
      <c r="C14" s="113"/>
      <c r="D14" s="111"/>
      <c r="E14" s="114"/>
      <c r="F14" s="114"/>
      <c r="G14" s="114"/>
      <c r="H14" s="114"/>
      <c r="I14" s="114"/>
      <c r="J14" s="114"/>
      <c r="K14" s="114"/>
      <c r="L14" s="111"/>
      <c r="M14" s="115"/>
      <c r="N14" s="84"/>
    </row>
    <row r="15" spans="3:14" s="40" customFormat="1" ht="24.6" customHeight="1">
      <c r="C15" s="113"/>
      <c r="D15" s="111"/>
      <c r="E15" s="114" t="s">
        <v>15</v>
      </c>
      <c r="F15" s="114"/>
      <c r="G15" s="114"/>
      <c r="H15" s="114" t="s">
        <v>16</v>
      </c>
      <c r="I15" s="114"/>
      <c r="J15" s="114"/>
      <c r="K15" s="114" t="s">
        <v>17</v>
      </c>
      <c r="L15" s="111"/>
      <c r="M15" s="115"/>
      <c r="N15" s="84"/>
    </row>
    <row r="16" spans="3:14" s="40" customFormat="1" ht="17.25" customHeight="1">
      <c r="C16" s="113"/>
      <c r="D16" s="111"/>
      <c r="E16" s="114"/>
      <c r="F16" s="114"/>
      <c r="G16" s="114"/>
      <c r="H16" s="114"/>
      <c r="I16" s="114"/>
      <c r="J16" s="114"/>
      <c r="K16" s="114"/>
      <c r="L16" s="111"/>
      <c r="M16" s="115"/>
      <c r="N16" s="84"/>
    </row>
    <row r="17" spans="3:14" s="40" customFormat="1" ht="24.6" customHeight="1">
      <c r="C17" s="113"/>
      <c r="D17" s="111"/>
      <c r="E17" s="114" t="s">
        <v>18</v>
      </c>
      <c r="F17" s="114"/>
      <c r="G17" s="114"/>
      <c r="H17" s="114" t="s">
        <v>19</v>
      </c>
      <c r="I17" s="114"/>
      <c r="J17" s="114"/>
      <c r="K17" s="114" t="s">
        <v>20</v>
      </c>
      <c r="L17" s="111"/>
      <c r="M17" s="115"/>
      <c r="N17" s="84"/>
    </row>
    <row r="18" spans="3:14" s="38" customFormat="1" ht="24.6" customHeight="1">
      <c r="C18" s="41"/>
      <c r="E18" s="39"/>
      <c r="F18" s="39"/>
    </row>
    <row r="19" spans="3:14" s="38" customFormat="1" ht="24.6" customHeight="1">
      <c r="C19" s="39"/>
      <c r="E19" s="39"/>
    </row>
    <row r="20" spans="3:14" ht="24.6" customHeight="1"/>
  </sheetData>
  <customSheetViews>
    <customSheetView guid="{2387E3E5-DC3A-4E55-B9FB-E509729F4507}" showGridLines="0" showRowCol="0">
      <pageMargins left="0.7" right="0.7" top="0.75" bottom="0.75" header="0.3" footer="0.3"/>
      <pageSetup paperSize="9" orientation="portrait" horizontalDpi="0" verticalDpi="0" r:id="rId1"/>
    </customSheetView>
    <customSheetView guid="{E8E9C221-0224-4E73-8F39-1821F41C5BD3}" showGridLines="0" showRowCol="0">
      <selection activeCell="E13" sqref="E13"/>
      <pageMargins left="0.7" right="0.7" top="0.75" bottom="0.75" header="0.3" footer="0.3"/>
      <pageSetup paperSize="9" orientation="portrait" horizontalDpi="0" verticalDpi="0" r:id="rId2"/>
    </customSheetView>
  </customSheetViews>
  <mergeCells count="2">
    <mergeCell ref="D9:L9"/>
    <mergeCell ref="C7:M7"/>
  </mergeCells>
  <hyperlinks>
    <hyperlink ref="E13" location="Miranda!A1" display="Transcripción Miranda"/>
    <hyperlink ref="E15" location="Vargas!A1" display="Transcripción Vargas"/>
    <hyperlink ref="E11" location="'A Mayor'!A1" display="Transcripción Alcaldía Mayor"/>
    <hyperlink ref="H11" location="'CA Mayor'!A1" display="Supervisor Alcaldía Mayor"/>
    <hyperlink ref="H13" location="CMiranda!A1" display="Supervisor de Miranda"/>
    <hyperlink ref="H15" location="CVargas!A1" display="Supervisor de Vargas"/>
    <hyperlink ref="K11" location="'GA Mayor'!A1" display="Gráficos de Alcaldía Mayor"/>
    <hyperlink ref="K13" location="GMiranda!A1" display="Gráficos de Miranda"/>
    <hyperlink ref="K15" location="GVargas!A1" display="Gráficos de Vargas"/>
    <hyperlink ref="E17" location="Libertador!A1" display="Transcripción Libertador"/>
    <hyperlink ref="H17" location="CLibertador!A1" display="Supervisor de Libertador"/>
    <hyperlink ref="K17" location="GLibertador!A1" display="Gráficos de Libertador"/>
  </hyperlinks>
  <pageMargins left="0.7" right="0.7" top="0.75" bottom="0.75" header="0.3" footer="0.3"/>
  <pageSetup paperSize="9" orientation="portrait" horizontalDpi="0" verticalDpi="0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B1:AA1889"/>
  <sheetViews>
    <sheetView showGridLines="0" showRowColHeaders="0" workbookViewId="0">
      <pane ySplit="8" topLeftCell="A231" activePane="bottomLeft" state="frozen"/>
      <selection pane="bottomLeft" activeCell="I5" sqref="I5"/>
    </sheetView>
  </sheetViews>
  <sheetFormatPr baseColWidth="10" defaultRowHeight="12.75"/>
  <cols>
    <col min="1" max="1" width="42.7109375" customWidth="1"/>
    <col min="2" max="12" width="13.7109375" customWidth="1"/>
    <col min="13" max="13" width="13.85546875" style="23" customWidth="1"/>
    <col min="14" max="15" width="13.7109375" style="23" customWidth="1"/>
    <col min="16" max="35" width="13.7109375" customWidth="1"/>
  </cols>
  <sheetData>
    <row r="1" spans="2:27" s="14" customFormat="1">
      <c r="J1" s="120"/>
      <c r="M1" s="28"/>
      <c r="N1" s="28"/>
      <c r="O1" s="28"/>
    </row>
    <row r="2" spans="2:27" s="14" customFormat="1">
      <c r="H2" s="86"/>
      <c r="I2" s="156" t="s">
        <v>8</v>
      </c>
      <c r="M2" s="28"/>
      <c r="N2" s="28"/>
      <c r="O2" s="28"/>
      <c r="P2" s="66" t="s">
        <v>51</v>
      </c>
      <c r="Q2" s="67">
        <f>R9</f>
        <v>0.4465108624094799</v>
      </c>
    </row>
    <row r="3" spans="2:27" s="14" customFormat="1">
      <c r="H3" s="86"/>
      <c r="I3" s="156" t="s">
        <v>48</v>
      </c>
      <c r="M3" s="28"/>
      <c r="N3" s="28"/>
      <c r="O3" s="28"/>
      <c r="P3" s="66" t="s">
        <v>52</v>
      </c>
      <c r="Q3" s="67">
        <f>U9</f>
        <v>0.50255102040816324</v>
      </c>
      <c r="R3" s="64"/>
    </row>
    <row r="4" spans="2:27" s="14" customFormat="1">
      <c r="H4" s="86"/>
      <c r="I4" s="156" t="s">
        <v>49</v>
      </c>
      <c r="M4" s="28"/>
      <c r="N4" s="28"/>
      <c r="O4" s="28"/>
      <c r="P4" s="66" t="s">
        <v>53</v>
      </c>
      <c r="Q4" s="67">
        <f>X9</f>
        <v>2.0572745227123108E-2</v>
      </c>
      <c r="R4" s="64"/>
    </row>
    <row r="5" spans="2:27" s="14" customFormat="1">
      <c r="H5" s="86"/>
      <c r="I5" s="156" t="s">
        <v>50</v>
      </c>
      <c r="M5" s="28"/>
      <c r="N5" s="28"/>
      <c r="O5" s="28"/>
      <c r="P5" s="68" t="s">
        <v>4</v>
      </c>
      <c r="Q5" s="67">
        <f>AA9</f>
        <v>3.0365371955233707E-2</v>
      </c>
      <c r="R5" s="64"/>
    </row>
    <row r="6" spans="2:27" s="14" customFormat="1" ht="33">
      <c r="B6" s="139">
        <v>1</v>
      </c>
      <c r="C6" s="139">
        <v>13</v>
      </c>
      <c r="D6" s="18" t="s">
        <v>24</v>
      </c>
      <c r="E6" s="15"/>
      <c r="F6" s="15"/>
      <c r="G6" s="15"/>
      <c r="H6" s="15"/>
      <c r="J6" s="15"/>
      <c r="M6" s="28"/>
      <c r="N6" s="28"/>
      <c r="O6" s="28"/>
      <c r="R6" s="65"/>
    </row>
    <row r="7" spans="2:27" ht="13.5" thickBot="1"/>
    <row r="8" spans="2:27" ht="34.5" customHeight="1" thickBot="1">
      <c r="B8" s="52" t="s">
        <v>1</v>
      </c>
      <c r="C8" s="53" t="s">
        <v>2</v>
      </c>
      <c r="D8" s="52" t="s">
        <v>0</v>
      </c>
      <c r="E8" s="54" t="s">
        <v>51</v>
      </c>
      <c r="F8" s="54" t="s">
        <v>52</v>
      </c>
      <c r="G8" s="54" t="s">
        <v>53</v>
      </c>
      <c r="H8" s="52" t="s">
        <v>4</v>
      </c>
      <c r="M8" s="12" t="s">
        <v>54</v>
      </c>
      <c r="P8" s="168" t="s">
        <v>51</v>
      </c>
      <c r="Q8" s="169"/>
      <c r="R8" s="170"/>
      <c r="S8" s="168" t="s">
        <v>52</v>
      </c>
      <c r="T8" s="169"/>
      <c r="U8" s="170"/>
      <c r="V8" s="168" t="s">
        <v>53</v>
      </c>
      <c r="W8" s="169"/>
      <c r="X8" s="170"/>
      <c r="Y8" s="168" t="s">
        <v>4</v>
      </c>
      <c r="Z8" s="169"/>
      <c r="AA8" s="170"/>
    </row>
    <row r="9" spans="2:27" ht="18">
      <c r="B9" s="138">
        <v>13</v>
      </c>
      <c r="C9" s="138">
        <v>17</v>
      </c>
      <c r="D9" s="138">
        <v>1</v>
      </c>
      <c r="E9" s="138">
        <v>10</v>
      </c>
      <c r="F9" s="138">
        <v>3</v>
      </c>
      <c r="G9" s="138">
        <v>0</v>
      </c>
      <c r="H9" s="140">
        <v>6</v>
      </c>
      <c r="M9" s="23">
        <v>1</v>
      </c>
      <c r="N9" s="166" t="s">
        <v>0</v>
      </c>
      <c r="O9" s="167"/>
      <c r="P9" s="34">
        <f>SUM(Aristobulo_Izturiz)</f>
        <v>5426</v>
      </c>
      <c r="Q9" s="35">
        <f>P9</f>
        <v>5426</v>
      </c>
      <c r="R9" s="36">
        <f>P9/($P$9+$S$9+$V$9+$Y$9)</f>
        <v>0.4465108624094799</v>
      </c>
      <c r="S9" s="34">
        <f>SUM(Antonio_Ledezma)</f>
        <v>6107</v>
      </c>
      <c r="T9" s="35">
        <f>S9</f>
        <v>6107</v>
      </c>
      <c r="U9" s="36">
        <f>S9/($P$9+$S$9+$V$9+$Y$9)</f>
        <v>0.50255102040816324</v>
      </c>
      <c r="V9" s="34">
        <f>SUM(Augusto_Uribe)</f>
        <v>250</v>
      </c>
      <c r="W9" s="35">
        <f>V9</f>
        <v>250</v>
      </c>
      <c r="X9" s="36">
        <f>V9/($P$9+$S$9+$V$9+$Y$9)</f>
        <v>2.0572745227123108E-2</v>
      </c>
      <c r="Y9" s="34">
        <f>SUM(OtroAM)</f>
        <v>369</v>
      </c>
      <c r="Z9" s="35">
        <f>Y9</f>
        <v>369</v>
      </c>
      <c r="AA9" s="37">
        <f>Y9/($P$9+$S$9+$V$9+$Y$9)</f>
        <v>3.0365371955233707E-2</v>
      </c>
    </row>
    <row r="10" spans="2:27" ht="18">
      <c r="B10" s="55">
        <v>13</v>
      </c>
      <c r="C10" s="55">
        <v>4</v>
      </c>
      <c r="D10" s="55">
        <v>1</v>
      </c>
      <c r="E10" s="55">
        <v>3</v>
      </c>
      <c r="F10" s="55">
        <v>4</v>
      </c>
      <c r="G10" s="55">
        <v>0</v>
      </c>
      <c r="H10" s="141">
        <v>0</v>
      </c>
      <c r="L10" s="23"/>
      <c r="M10" s="23">
        <v>1</v>
      </c>
      <c r="N10" s="104">
        <v>0.3125</v>
      </c>
      <c r="O10" s="2">
        <v>1</v>
      </c>
      <c r="P10" s="4">
        <f t="shared" ref="P10:P29" si="0">SUMIF(TurnoAM,$O10,Aristobulo_Izturiz)</f>
        <v>157</v>
      </c>
      <c r="Q10" s="5">
        <f>P10</f>
        <v>157</v>
      </c>
      <c r="R10" s="10">
        <f>IF(P10&lt;&gt;0,Q10/($Q10+$T10+$W10+$Z10),LOOKUP(2121,$R$3:$R$6))</f>
        <v>0.33404255319148934</v>
      </c>
      <c r="S10" s="4">
        <f t="shared" ref="S10:S29" si="1">SUMIF(TurnoAM,$O10,Antonio_Ledezma)</f>
        <v>278</v>
      </c>
      <c r="T10" s="5">
        <f>S10</f>
        <v>278</v>
      </c>
      <c r="U10" s="10">
        <f>IF(S10&lt;&gt;0,T10/($Q10+$T10+$W10+$Z10),LOOKUP(2121,$R$3:$R$6))</f>
        <v>0.59148936170212763</v>
      </c>
      <c r="V10" s="4">
        <f t="shared" ref="V10:V29" si="2">SUMIF(TurnoAM,$O10,Augusto_Uribe)</f>
        <v>9</v>
      </c>
      <c r="W10" s="5">
        <f>V10</f>
        <v>9</v>
      </c>
      <c r="X10" s="10">
        <f>IF(V10&lt;&gt;0,W10/($Q10+$T10+$W10+$Z10),LOOKUP(2121,$R$3:$R$6))</f>
        <v>1.9148936170212766E-2</v>
      </c>
      <c r="Y10" s="4">
        <f t="shared" ref="Y10:Y29" si="3">SUMIF(TurnoAM,$O10,OtroAM)</f>
        <v>26</v>
      </c>
      <c r="Z10" s="5">
        <f>Y10</f>
        <v>26</v>
      </c>
      <c r="AA10" s="3">
        <f>IF(Y10&lt;&gt;0,Z10/($Q10+$T10+$W10+$Z10),LOOKUP(2121,$R$3:$R$6))</f>
        <v>5.5319148936170209E-2</v>
      </c>
    </row>
    <row r="11" spans="2:27" ht="18">
      <c r="B11" s="55">
        <v>13</v>
      </c>
      <c r="C11" s="55">
        <v>24</v>
      </c>
      <c r="D11" s="55">
        <v>1</v>
      </c>
      <c r="E11" s="55">
        <v>2</v>
      </c>
      <c r="F11" s="55">
        <v>16</v>
      </c>
      <c r="G11" s="55">
        <v>0</v>
      </c>
      <c r="H11" s="141">
        <v>0</v>
      </c>
      <c r="L11" s="23"/>
      <c r="M11" s="23">
        <v>1</v>
      </c>
      <c r="N11" s="104">
        <v>0.33333333333333298</v>
      </c>
      <c r="O11" s="2">
        <v>2</v>
      </c>
      <c r="P11" s="4">
        <f t="shared" si="0"/>
        <v>288</v>
      </c>
      <c r="Q11" s="5">
        <f>Q10+P11</f>
        <v>445</v>
      </c>
      <c r="R11" s="10">
        <f t="shared" ref="R11:R29" si="4">IF(P11&lt;&gt;0,Q11/($Q11+$T11+$W11+$Z11),LOOKUP(2121,$R$3:$R$6))</f>
        <v>0.38628472222222221</v>
      </c>
      <c r="S11" s="4">
        <f t="shared" si="1"/>
        <v>352</v>
      </c>
      <c r="T11" s="5">
        <f>T10+S11</f>
        <v>630</v>
      </c>
      <c r="U11" s="10">
        <f t="shared" ref="U11:U29" si="5">IF(S11&lt;&gt;0,T11/($Q11+$T11+$W11+$Z11),LOOKUP(2121,$R$3:$R$6))</f>
        <v>0.546875</v>
      </c>
      <c r="V11" s="4">
        <f t="shared" si="2"/>
        <v>31</v>
      </c>
      <c r="W11" s="5">
        <f>W10+V11</f>
        <v>40</v>
      </c>
      <c r="X11" s="10">
        <f t="shared" ref="X11:X29" si="6">IF(V11&lt;&gt;0,W11/($Q11+$T11+$W11+$Z11),LOOKUP(2121,$R$3:$R$6))</f>
        <v>3.4722222222222224E-2</v>
      </c>
      <c r="Y11" s="4">
        <f t="shared" si="3"/>
        <v>11</v>
      </c>
      <c r="Z11" s="5">
        <f>Z10+Y11</f>
        <v>37</v>
      </c>
      <c r="AA11" s="3">
        <f t="shared" ref="AA11:AA29" si="7">IF(Y11&lt;&gt;0,Z11/($Q11+$T11+$W11+$Z11),LOOKUP(2121,$R$3:$R$6))</f>
        <v>3.2118055555555552E-2</v>
      </c>
    </row>
    <row r="12" spans="2:27" ht="18">
      <c r="B12" s="55">
        <v>13</v>
      </c>
      <c r="C12" s="55">
        <v>21</v>
      </c>
      <c r="D12" s="55">
        <v>2</v>
      </c>
      <c r="E12" s="55">
        <v>1</v>
      </c>
      <c r="F12" s="55">
        <v>21</v>
      </c>
      <c r="G12" s="55">
        <v>0</v>
      </c>
      <c r="H12" s="141">
        <v>0</v>
      </c>
      <c r="L12" s="23"/>
      <c r="M12" s="23">
        <v>1</v>
      </c>
      <c r="N12" s="104">
        <v>0.35416666666666702</v>
      </c>
      <c r="O12" s="2">
        <v>3</v>
      </c>
      <c r="P12" s="4">
        <f t="shared" si="0"/>
        <v>359</v>
      </c>
      <c r="Q12" s="5">
        <f t="shared" ref="Q12:Q29" si="8">Q11+P12</f>
        <v>804</v>
      </c>
      <c r="R12" s="10">
        <f t="shared" si="4"/>
        <v>0.39315403422982886</v>
      </c>
      <c r="S12" s="4">
        <f t="shared" si="1"/>
        <v>499</v>
      </c>
      <c r="T12" s="5">
        <f t="shared" ref="T12:T29" si="9">T11+S12</f>
        <v>1129</v>
      </c>
      <c r="U12" s="10">
        <f t="shared" si="5"/>
        <v>0.55207823960880198</v>
      </c>
      <c r="V12" s="4">
        <f t="shared" si="2"/>
        <v>13</v>
      </c>
      <c r="W12" s="5">
        <f t="shared" ref="W12:W29" si="10">W11+V12</f>
        <v>53</v>
      </c>
      <c r="X12" s="10">
        <f t="shared" si="6"/>
        <v>2.591687041564792E-2</v>
      </c>
      <c r="Y12" s="4">
        <f t="shared" si="3"/>
        <v>22</v>
      </c>
      <c r="Z12" s="5">
        <f t="shared" ref="Z12:Z29" si="11">Z11+Y12</f>
        <v>59</v>
      </c>
      <c r="AA12" s="3">
        <f t="shared" si="7"/>
        <v>2.8850855745721271E-2</v>
      </c>
    </row>
    <row r="13" spans="2:27" ht="18">
      <c r="B13" s="55">
        <v>13</v>
      </c>
      <c r="C13" s="55">
        <v>49</v>
      </c>
      <c r="D13" s="55">
        <v>1</v>
      </c>
      <c r="E13" s="55">
        <v>4</v>
      </c>
      <c r="F13" s="55">
        <v>3</v>
      </c>
      <c r="G13" s="55">
        <v>0</v>
      </c>
      <c r="H13" s="141">
        <v>0</v>
      </c>
      <c r="L13" s="23"/>
      <c r="M13" s="23">
        <v>1</v>
      </c>
      <c r="N13" s="104">
        <v>0.375</v>
      </c>
      <c r="O13" s="2">
        <v>4</v>
      </c>
      <c r="P13" s="4">
        <f t="shared" si="0"/>
        <v>328</v>
      </c>
      <c r="Q13" s="5">
        <f t="shared" si="8"/>
        <v>1132</v>
      </c>
      <c r="R13" s="10">
        <f t="shared" si="4"/>
        <v>0.40213143872113677</v>
      </c>
      <c r="S13" s="4">
        <f t="shared" si="1"/>
        <v>419</v>
      </c>
      <c r="T13" s="5">
        <f t="shared" si="9"/>
        <v>1548</v>
      </c>
      <c r="U13" s="10">
        <f t="shared" si="5"/>
        <v>0.54991119005328593</v>
      </c>
      <c r="V13" s="4">
        <f t="shared" si="2"/>
        <v>8</v>
      </c>
      <c r="W13" s="5">
        <f t="shared" si="10"/>
        <v>61</v>
      </c>
      <c r="X13" s="10">
        <f t="shared" si="6"/>
        <v>2.16696269982238E-2</v>
      </c>
      <c r="Y13" s="4">
        <f t="shared" si="3"/>
        <v>15</v>
      </c>
      <c r="Z13" s="5">
        <f t="shared" si="11"/>
        <v>74</v>
      </c>
      <c r="AA13" s="3">
        <f t="shared" si="7"/>
        <v>2.6287744227353464E-2</v>
      </c>
    </row>
    <row r="14" spans="2:27" ht="18">
      <c r="B14" s="55">
        <v>13</v>
      </c>
      <c r="C14" s="55">
        <v>46</v>
      </c>
      <c r="D14" s="55">
        <v>1</v>
      </c>
      <c r="E14" s="55">
        <v>3</v>
      </c>
      <c r="F14" s="55">
        <v>0</v>
      </c>
      <c r="G14" s="55">
        <v>0</v>
      </c>
      <c r="H14" s="141">
        <v>0</v>
      </c>
      <c r="L14" s="23"/>
      <c r="M14" s="23">
        <v>1</v>
      </c>
      <c r="N14" s="104">
        <v>0.39583333333333298</v>
      </c>
      <c r="O14" s="2">
        <v>5</v>
      </c>
      <c r="P14" s="4">
        <f t="shared" si="0"/>
        <v>395</v>
      </c>
      <c r="Q14" s="5">
        <f t="shared" si="8"/>
        <v>1527</v>
      </c>
      <c r="R14" s="10">
        <f t="shared" si="4"/>
        <v>0.42019812878370943</v>
      </c>
      <c r="S14" s="4">
        <f t="shared" si="1"/>
        <v>392</v>
      </c>
      <c r="T14" s="5">
        <f t="shared" si="9"/>
        <v>1940</v>
      </c>
      <c r="U14" s="10">
        <f t="shared" si="5"/>
        <v>0.53384700055035772</v>
      </c>
      <c r="V14" s="4">
        <f t="shared" si="2"/>
        <v>12</v>
      </c>
      <c r="W14" s="5">
        <f t="shared" si="10"/>
        <v>73</v>
      </c>
      <c r="X14" s="10">
        <f t="shared" si="6"/>
        <v>2.0088057237204183E-2</v>
      </c>
      <c r="Y14" s="4">
        <f t="shared" si="3"/>
        <v>20</v>
      </c>
      <c r="Z14" s="5">
        <f t="shared" si="11"/>
        <v>94</v>
      </c>
      <c r="AA14" s="3">
        <f t="shared" si="7"/>
        <v>2.5866813428728673E-2</v>
      </c>
    </row>
    <row r="15" spans="2:27" ht="18">
      <c r="B15" s="55">
        <v>13</v>
      </c>
      <c r="C15" s="55">
        <v>25</v>
      </c>
      <c r="D15" s="55">
        <v>1</v>
      </c>
      <c r="E15" s="55">
        <v>5</v>
      </c>
      <c r="F15" s="55">
        <v>1</v>
      </c>
      <c r="G15" s="55">
        <v>0</v>
      </c>
      <c r="H15" s="141">
        <v>0</v>
      </c>
      <c r="L15" s="23"/>
      <c r="M15" s="23">
        <v>1</v>
      </c>
      <c r="N15" s="104">
        <v>0.41666666666666702</v>
      </c>
      <c r="O15" s="2">
        <v>6</v>
      </c>
      <c r="P15" s="4">
        <f t="shared" si="0"/>
        <v>458</v>
      </c>
      <c r="Q15" s="5">
        <f t="shared" si="8"/>
        <v>1985</v>
      </c>
      <c r="R15" s="10">
        <f t="shared" si="4"/>
        <v>0.43077256944444442</v>
      </c>
      <c r="S15" s="4">
        <f t="shared" si="1"/>
        <v>473</v>
      </c>
      <c r="T15" s="5">
        <f t="shared" si="9"/>
        <v>2413</v>
      </c>
      <c r="U15" s="10">
        <f t="shared" si="5"/>
        <v>0.52365451388888884</v>
      </c>
      <c r="V15" s="4">
        <f t="shared" si="2"/>
        <v>8</v>
      </c>
      <c r="W15" s="5">
        <f t="shared" si="10"/>
        <v>81</v>
      </c>
      <c r="X15" s="10">
        <f t="shared" si="6"/>
        <v>1.7578125E-2</v>
      </c>
      <c r="Y15" s="4">
        <f t="shared" si="3"/>
        <v>35</v>
      </c>
      <c r="Z15" s="5">
        <f t="shared" si="11"/>
        <v>129</v>
      </c>
      <c r="AA15" s="3">
        <f t="shared" si="7"/>
        <v>2.7994791666666668E-2</v>
      </c>
    </row>
    <row r="16" spans="2:27" ht="18">
      <c r="B16" s="55">
        <v>13</v>
      </c>
      <c r="C16" s="55">
        <v>39</v>
      </c>
      <c r="D16" s="55">
        <v>1</v>
      </c>
      <c r="E16" s="55">
        <v>8</v>
      </c>
      <c r="F16" s="55">
        <v>12</v>
      </c>
      <c r="G16" s="55">
        <v>0</v>
      </c>
      <c r="H16" s="141">
        <v>5</v>
      </c>
      <c r="L16" s="23"/>
      <c r="M16" s="23">
        <v>1</v>
      </c>
      <c r="N16" s="104">
        <v>0.4375</v>
      </c>
      <c r="O16" s="2">
        <v>7</v>
      </c>
      <c r="P16" s="4">
        <f t="shared" si="0"/>
        <v>368</v>
      </c>
      <c r="Q16" s="5">
        <f t="shared" si="8"/>
        <v>2353</v>
      </c>
      <c r="R16" s="10">
        <f t="shared" si="4"/>
        <v>0.4354182087342709</v>
      </c>
      <c r="S16" s="4">
        <f t="shared" si="1"/>
        <v>398</v>
      </c>
      <c r="T16" s="5">
        <f t="shared" si="9"/>
        <v>2811</v>
      </c>
      <c r="U16" s="10">
        <f t="shared" si="5"/>
        <v>0.52017024426350855</v>
      </c>
      <c r="V16" s="4">
        <f t="shared" si="2"/>
        <v>19</v>
      </c>
      <c r="W16" s="5">
        <f t="shared" si="10"/>
        <v>100</v>
      </c>
      <c r="X16" s="10">
        <f t="shared" si="6"/>
        <v>1.8504811250925242E-2</v>
      </c>
      <c r="Y16" s="4">
        <f t="shared" si="3"/>
        <v>11</v>
      </c>
      <c r="Z16" s="5">
        <f t="shared" si="11"/>
        <v>140</v>
      </c>
      <c r="AA16" s="3">
        <f t="shared" si="7"/>
        <v>2.5906735751295335E-2</v>
      </c>
    </row>
    <row r="17" spans="2:27" ht="18">
      <c r="B17" s="55">
        <v>13</v>
      </c>
      <c r="C17" s="55">
        <v>19</v>
      </c>
      <c r="D17" s="55">
        <v>1</v>
      </c>
      <c r="E17" s="55">
        <v>0</v>
      </c>
      <c r="F17" s="55">
        <v>1</v>
      </c>
      <c r="G17" s="55">
        <v>0</v>
      </c>
      <c r="H17" s="141">
        <v>0</v>
      </c>
      <c r="L17" s="23"/>
      <c r="M17" s="23">
        <v>1</v>
      </c>
      <c r="N17" s="104">
        <v>0.45833333333333298</v>
      </c>
      <c r="O17" s="2">
        <v>8</v>
      </c>
      <c r="P17" s="4">
        <f t="shared" si="0"/>
        <v>473</v>
      </c>
      <c r="Q17" s="5">
        <f t="shared" si="8"/>
        <v>2826</v>
      </c>
      <c r="R17" s="10">
        <f t="shared" si="4"/>
        <v>0.43671766342141866</v>
      </c>
      <c r="S17" s="4">
        <f t="shared" si="1"/>
        <v>510</v>
      </c>
      <c r="T17" s="5">
        <f t="shared" si="9"/>
        <v>3321</v>
      </c>
      <c r="U17" s="10">
        <f t="shared" si="5"/>
        <v>0.51321279554937416</v>
      </c>
      <c r="V17" s="4">
        <f t="shared" si="2"/>
        <v>43</v>
      </c>
      <c r="W17" s="5">
        <f t="shared" si="10"/>
        <v>143</v>
      </c>
      <c r="X17" s="10">
        <f t="shared" si="6"/>
        <v>2.2098593725853811E-2</v>
      </c>
      <c r="Y17" s="4">
        <f t="shared" si="3"/>
        <v>41</v>
      </c>
      <c r="Z17" s="5">
        <f t="shared" si="11"/>
        <v>181</v>
      </c>
      <c r="AA17" s="3">
        <f t="shared" si="7"/>
        <v>2.7970947303353422E-2</v>
      </c>
    </row>
    <row r="18" spans="2:27" ht="18">
      <c r="B18" s="55">
        <v>13</v>
      </c>
      <c r="C18" s="55">
        <v>4</v>
      </c>
      <c r="D18" s="55">
        <v>3</v>
      </c>
      <c r="E18" s="55">
        <v>4</v>
      </c>
      <c r="F18" s="55">
        <v>6</v>
      </c>
      <c r="G18" s="55">
        <v>0</v>
      </c>
      <c r="H18" s="141">
        <v>1</v>
      </c>
      <c r="L18" s="23"/>
      <c r="M18" s="23">
        <v>1</v>
      </c>
      <c r="N18" s="104">
        <v>0.47916666666666702</v>
      </c>
      <c r="O18" s="2">
        <v>9</v>
      </c>
      <c r="P18" s="4">
        <f t="shared" si="0"/>
        <v>518</v>
      </c>
      <c r="Q18" s="5">
        <f t="shared" si="8"/>
        <v>3344</v>
      </c>
      <c r="R18" s="10">
        <f t="shared" si="4"/>
        <v>0.44344251425540382</v>
      </c>
      <c r="S18" s="4">
        <f t="shared" si="1"/>
        <v>494</v>
      </c>
      <c r="T18" s="5">
        <f t="shared" si="9"/>
        <v>3815</v>
      </c>
      <c r="U18" s="10">
        <f t="shared" si="5"/>
        <v>0.5059010741280997</v>
      </c>
      <c r="V18" s="4">
        <f t="shared" si="2"/>
        <v>22</v>
      </c>
      <c r="W18" s="5">
        <f t="shared" si="10"/>
        <v>165</v>
      </c>
      <c r="X18" s="10">
        <f t="shared" si="6"/>
        <v>2.1880387216549529E-2</v>
      </c>
      <c r="Y18" s="4">
        <f t="shared" si="3"/>
        <v>36</v>
      </c>
      <c r="Z18" s="5">
        <f t="shared" si="11"/>
        <v>217</v>
      </c>
      <c r="AA18" s="3">
        <f t="shared" si="7"/>
        <v>2.8776024399946958E-2</v>
      </c>
    </row>
    <row r="19" spans="2:27" ht="18">
      <c r="B19" s="55">
        <v>13</v>
      </c>
      <c r="C19" s="55">
        <v>113</v>
      </c>
      <c r="D19" s="55">
        <v>1</v>
      </c>
      <c r="E19" s="55">
        <v>5</v>
      </c>
      <c r="F19" s="55">
        <v>2</v>
      </c>
      <c r="G19" s="55">
        <v>0</v>
      </c>
      <c r="H19" s="141">
        <v>0</v>
      </c>
      <c r="L19" s="23"/>
      <c r="M19" s="23">
        <v>1</v>
      </c>
      <c r="N19" s="104">
        <v>0.5</v>
      </c>
      <c r="O19" s="2">
        <v>10</v>
      </c>
      <c r="P19" s="4">
        <f t="shared" si="0"/>
        <v>414</v>
      </c>
      <c r="Q19" s="5">
        <f t="shared" si="8"/>
        <v>3758</v>
      </c>
      <c r="R19" s="10">
        <f t="shared" si="4"/>
        <v>0.44170192759755522</v>
      </c>
      <c r="S19" s="4">
        <f t="shared" si="1"/>
        <v>509</v>
      </c>
      <c r="T19" s="5">
        <f t="shared" si="9"/>
        <v>4324</v>
      </c>
      <c r="U19" s="10">
        <f t="shared" si="5"/>
        <v>0.50822755054066759</v>
      </c>
      <c r="V19" s="4">
        <f t="shared" si="2"/>
        <v>16</v>
      </c>
      <c r="W19" s="5">
        <f t="shared" si="10"/>
        <v>181</v>
      </c>
      <c r="X19" s="10">
        <f t="shared" si="6"/>
        <v>2.1274094969440528E-2</v>
      </c>
      <c r="Y19" s="4">
        <f t="shared" si="3"/>
        <v>28</v>
      </c>
      <c r="Z19" s="5">
        <f t="shared" si="11"/>
        <v>245</v>
      </c>
      <c r="AA19" s="3">
        <f t="shared" si="7"/>
        <v>2.8796426892336625E-2</v>
      </c>
    </row>
    <row r="20" spans="2:27" ht="18">
      <c r="B20" s="55">
        <v>13</v>
      </c>
      <c r="C20" s="55">
        <v>104</v>
      </c>
      <c r="D20" s="55">
        <v>2</v>
      </c>
      <c r="E20" s="55">
        <v>3</v>
      </c>
      <c r="F20" s="55">
        <v>2</v>
      </c>
      <c r="G20" s="55">
        <v>0</v>
      </c>
      <c r="H20" s="141">
        <v>0</v>
      </c>
      <c r="L20" s="23"/>
      <c r="M20" s="23">
        <v>1</v>
      </c>
      <c r="N20" s="104">
        <v>0.52083333333333304</v>
      </c>
      <c r="O20" s="2">
        <v>11</v>
      </c>
      <c r="P20" s="4">
        <f t="shared" si="0"/>
        <v>428</v>
      </c>
      <c r="Q20" s="5">
        <f t="shared" si="8"/>
        <v>4186</v>
      </c>
      <c r="R20" s="10">
        <f t="shared" si="4"/>
        <v>0.44244794419194589</v>
      </c>
      <c r="S20" s="4">
        <f t="shared" si="1"/>
        <v>490</v>
      </c>
      <c r="T20" s="5">
        <f t="shared" si="9"/>
        <v>4814</v>
      </c>
      <c r="U20" s="10">
        <f t="shared" si="5"/>
        <v>0.50882570552795692</v>
      </c>
      <c r="V20" s="4">
        <f t="shared" si="2"/>
        <v>7</v>
      </c>
      <c r="W20" s="5">
        <f t="shared" si="10"/>
        <v>188</v>
      </c>
      <c r="X20" s="10">
        <f t="shared" si="6"/>
        <v>1.9871049571926858E-2</v>
      </c>
      <c r="Y20" s="4">
        <f t="shared" si="3"/>
        <v>28</v>
      </c>
      <c r="Z20" s="5">
        <f t="shared" si="11"/>
        <v>273</v>
      </c>
      <c r="AA20" s="3">
        <f t="shared" si="7"/>
        <v>2.8855300708170384E-2</v>
      </c>
    </row>
    <row r="21" spans="2:27" ht="18">
      <c r="B21" s="55">
        <v>13</v>
      </c>
      <c r="C21" s="55">
        <v>66</v>
      </c>
      <c r="D21" s="55">
        <v>2</v>
      </c>
      <c r="E21" s="55">
        <v>20</v>
      </c>
      <c r="F21" s="55">
        <v>9</v>
      </c>
      <c r="G21" s="55">
        <v>0</v>
      </c>
      <c r="H21" s="141">
        <v>0</v>
      </c>
      <c r="M21" s="23">
        <v>1</v>
      </c>
      <c r="N21" s="104">
        <v>4.1666666666666664E-2</v>
      </c>
      <c r="O21" s="2">
        <v>12</v>
      </c>
      <c r="P21" s="4">
        <f t="shared" si="0"/>
        <v>453</v>
      </c>
      <c r="Q21" s="5">
        <f t="shared" si="8"/>
        <v>4639</v>
      </c>
      <c r="R21" s="10">
        <f t="shared" si="4"/>
        <v>0.44273716358083604</v>
      </c>
      <c r="S21" s="4">
        <f t="shared" si="1"/>
        <v>479</v>
      </c>
      <c r="T21" s="5">
        <f t="shared" si="9"/>
        <v>5293</v>
      </c>
      <c r="U21" s="10">
        <f t="shared" si="5"/>
        <v>0.50515365527772471</v>
      </c>
      <c r="V21" s="4">
        <f t="shared" si="2"/>
        <v>31</v>
      </c>
      <c r="W21" s="5">
        <f t="shared" si="10"/>
        <v>219</v>
      </c>
      <c r="X21" s="10">
        <f t="shared" si="6"/>
        <v>2.0900935292994846E-2</v>
      </c>
      <c r="Y21" s="4">
        <f t="shared" si="3"/>
        <v>54</v>
      </c>
      <c r="Z21" s="5">
        <f t="shared" si="11"/>
        <v>327</v>
      </c>
      <c r="AA21" s="3">
        <f t="shared" si="7"/>
        <v>3.1208245848444359E-2</v>
      </c>
    </row>
    <row r="22" spans="2:27" ht="18">
      <c r="B22" s="55">
        <v>13</v>
      </c>
      <c r="C22" s="55">
        <v>113</v>
      </c>
      <c r="D22" s="55">
        <v>2</v>
      </c>
      <c r="E22" s="55">
        <v>5</v>
      </c>
      <c r="F22" s="55">
        <v>0</v>
      </c>
      <c r="G22" s="55">
        <v>0</v>
      </c>
      <c r="H22" s="141">
        <v>0</v>
      </c>
      <c r="M22" s="23">
        <v>1</v>
      </c>
      <c r="N22" s="104">
        <v>6.25E-2</v>
      </c>
      <c r="O22" s="2">
        <v>13</v>
      </c>
      <c r="P22" s="4">
        <f t="shared" si="0"/>
        <v>377</v>
      </c>
      <c r="Q22" s="5">
        <f t="shared" si="8"/>
        <v>5016</v>
      </c>
      <c r="R22" s="10">
        <f t="shared" si="4"/>
        <v>0.4453125</v>
      </c>
      <c r="S22" s="4">
        <f t="shared" si="1"/>
        <v>387</v>
      </c>
      <c r="T22" s="5">
        <f t="shared" si="9"/>
        <v>5680</v>
      </c>
      <c r="U22" s="10">
        <f t="shared" si="5"/>
        <v>0.50426136363636365</v>
      </c>
      <c r="V22" s="4">
        <f t="shared" si="2"/>
        <v>6</v>
      </c>
      <c r="W22" s="5">
        <f t="shared" si="10"/>
        <v>225</v>
      </c>
      <c r="X22" s="10">
        <f t="shared" si="6"/>
        <v>1.9975142045454544E-2</v>
      </c>
      <c r="Y22" s="4">
        <f t="shared" si="3"/>
        <v>16</v>
      </c>
      <c r="Z22" s="5">
        <f t="shared" si="11"/>
        <v>343</v>
      </c>
      <c r="AA22" s="3">
        <f t="shared" si="7"/>
        <v>3.045099431818182E-2</v>
      </c>
    </row>
    <row r="23" spans="2:27" ht="18">
      <c r="B23" s="55">
        <v>13</v>
      </c>
      <c r="C23" s="55">
        <v>62</v>
      </c>
      <c r="D23" s="55">
        <v>2</v>
      </c>
      <c r="E23" s="55">
        <v>3</v>
      </c>
      <c r="F23" s="55">
        <v>11</v>
      </c>
      <c r="G23" s="55">
        <v>0</v>
      </c>
      <c r="H23" s="141">
        <v>0</v>
      </c>
      <c r="M23" s="23">
        <v>1</v>
      </c>
      <c r="N23" s="104">
        <v>8.3333333333333329E-2</v>
      </c>
      <c r="O23" s="2">
        <v>14</v>
      </c>
      <c r="P23" s="4">
        <f t="shared" si="0"/>
        <v>292</v>
      </c>
      <c r="Q23" s="5">
        <f t="shared" si="8"/>
        <v>5308</v>
      </c>
      <c r="R23" s="10">
        <f t="shared" si="4"/>
        <v>0.44812157028281974</v>
      </c>
      <c r="S23" s="4">
        <f t="shared" si="1"/>
        <v>250</v>
      </c>
      <c r="T23" s="5">
        <f t="shared" si="9"/>
        <v>5930</v>
      </c>
      <c r="U23" s="10">
        <f t="shared" si="5"/>
        <v>0.50063317855635292</v>
      </c>
      <c r="V23" s="4">
        <f t="shared" si="2"/>
        <v>22</v>
      </c>
      <c r="W23" s="5">
        <f t="shared" si="10"/>
        <v>247</v>
      </c>
      <c r="X23" s="10">
        <f t="shared" si="6"/>
        <v>2.0852680455888561E-2</v>
      </c>
      <c r="Y23" s="4">
        <f t="shared" si="3"/>
        <v>17</v>
      </c>
      <c r="Z23" s="5">
        <f t="shared" si="11"/>
        <v>360</v>
      </c>
      <c r="AA23" s="3">
        <f t="shared" si="7"/>
        <v>3.0392570704938792E-2</v>
      </c>
    </row>
    <row r="24" spans="2:27" ht="18">
      <c r="B24" s="55">
        <v>13</v>
      </c>
      <c r="C24" s="55">
        <v>4</v>
      </c>
      <c r="D24" s="55">
        <v>3</v>
      </c>
      <c r="E24" s="55">
        <v>4</v>
      </c>
      <c r="F24" s="55">
        <v>6</v>
      </c>
      <c r="G24" s="55">
        <v>0</v>
      </c>
      <c r="H24" s="141">
        <v>1</v>
      </c>
      <c r="M24" s="23">
        <v>1</v>
      </c>
      <c r="N24" s="104">
        <v>0.104166666666667</v>
      </c>
      <c r="O24" s="2">
        <v>15</v>
      </c>
      <c r="P24" s="4">
        <f t="shared" si="0"/>
        <v>118</v>
      </c>
      <c r="Q24" s="5">
        <f t="shared" si="8"/>
        <v>5426</v>
      </c>
      <c r="R24" s="10">
        <f t="shared" si="4"/>
        <v>0.4465108624094799</v>
      </c>
      <c r="S24" s="4">
        <f t="shared" si="1"/>
        <v>177</v>
      </c>
      <c r="T24" s="5">
        <f t="shared" si="9"/>
        <v>6107</v>
      </c>
      <c r="U24" s="10">
        <f t="shared" si="5"/>
        <v>0.50255102040816324</v>
      </c>
      <c r="V24" s="4">
        <f t="shared" si="2"/>
        <v>3</v>
      </c>
      <c r="W24" s="5">
        <f t="shared" si="10"/>
        <v>250</v>
      </c>
      <c r="X24" s="10">
        <f t="shared" si="6"/>
        <v>2.0572745227123108E-2</v>
      </c>
      <c r="Y24" s="4">
        <f t="shared" si="3"/>
        <v>9</v>
      </c>
      <c r="Z24" s="5">
        <f t="shared" si="11"/>
        <v>369</v>
      </c>
      <c r="AA24" s="3">
        <f t="shared" si="7"/>
        <v>3.0365371955233707E-2</v>
      </c>
    </row>
    <row r="25" spans="2:27" ht="18">
      <c r="B25" s="55">
        <v>13</v>
      </c>
      <c r="C25" s="55">
        <v>24</v>
      </c>
      <c r="D25" s="55">
        <v>5</v>
      </c>
      <c r="E25" s="55">
        <v>2</v>
      </c>
      <c r="F25" s="55">
        <v>22</v>
      </c>
      <c r="G25" s="55">
        <v>0</v>
      </c>
      <c r="H25" s="141">
        <v>1</v>
      </c>
      <c r="M25" s="23">
        <v>1</v>
      </c>
      <c r="N25" s="104">
        <v>0.125</v>
      </c>
      <c r="O25" s="2">
        <v>16</v>
      </c>
      <c r="P25" s="4">
        <f t="shared" si="0"/>
        <v>0</v>
      </c>
      <c r="Q25" s="5">
        <f t="shared" si="8"/>
        <v>5426</v>
      </c>
      <c r="R25" s="10" t="e">
        <f t="shared" si="4"/>
        <v>#N/A</v>
      </c>
      <c r="S25" s="4">
        <f t="shared" si="1"/>
        <v>0</v>
      </c>
      <c r="T25" s="5">
        <f t="shared" si="9"/>
        <v>6107</v>
      </c>
      <c r="U25" s="10" t="e">
        <f t="shared" si="5"/>
        <v>#N/A</v>
      </c>
      <c r="V25" s="4">
        <f t="shared" si="2"/>
        <v>0</v>
      </c>
      <c r="W25" s="5">
        <f t="shared" si="10"/>
        <v>250</v>
      </c>
      <c r="X25" s="10" t="e">
        <f t="shared" si="6"/>
        <v>#N/A</v>
      </c>
      <c r="Y25" s="4">
        <f t="shared" si="3"/>
        <v>0</v>
      </c>
      <c r="Z25" s="5">
        <f t="shared" si="11"/>
        <v>369</v>
      </c>
      <c r="AA25" s="3" t="e">
        <f t="shared" si="7"/>
        <v>#N/A</v>
      </c>
    </row>
    <row r="26" spans="2:27" ht="18">
      <c r="B26" s="55">
        <v>13</v>
      </c>
      <c r="C26" s="55">
        <v>24</v>
      </c>
      <c r="D26" s="55">
        <v>4</v>
      </c>
      <c r="E26" s="55">
        <v>2</v>
      </c>
      <c r="F26" s="55">
        <v>23</v>
      </c>
      <c r="G26" s="55">
        <v>0</v>
      </c>
      <c r="H26" s="141">
        <v>0</v>
      </c>
      <c r="M26" s="23">
        <v>1</v>
      </c>
      <c r="N26" s="104">
        <v>0.14583333333333301</v>
      </c>
      <c r="O26" s="2">
        <v>17</v>
      </c>
      <c r="P26" s="4">
        <f t="shared" si="0"/>
        <v>0</v>
      </c>
      <c r="Q26" s="5">
        <f t="shared" si="8"/>
        <v>5426</v>
      </c>
      <c r="R26" s="10" t="e">
        <f t="shared" si="4"/>
        <v>#N/A</v>
      </c>
      <c r="S26" s="4">
        <f t="shared" si="1"/>
        <v>0</v>
      </c>
      <c r="T26" s="5">
        <f t="shared" si="9"/>
        <v>6107</v>
      </c>
      <c r="U26" s="10" t="e">
        <f t="shared" si="5"/>
        <v>#N/A</v>
      </c>
      <c r="V26" s="4">
        <f t="shared" si="2"/>
        <v>0</v>
      </c>
      <c r="W26" s="5">
        <f t="shared" si="10"/>
        <v>250</v>
      </c>
      <c r="X26" s="10" t="e">
        <f t="shared" si="6"/>
        <v>#N/A</v>
      </c>
      <c r="Y26" s="4">
        <f t="shared" si="3"/>
        <v>0</v>
      </c>
      <c r="Z26" s="5">
        <f t="shared" si="11"/>
        <v>369</v>
      </c>
      <c r="AA26" s="3" t="e">
        <f t="shared" si="7"/>
        <v>#N/A</v>
      </c>
    </row>
    <row r="27" spans="2:27" ht="18">
      <c r="B27" s="55">
        <v>13</v>
      </c>
      <c r="C27" s="55">
        <v>24</v>
      </c>
      <c r="D27" s="55">
        <v>3</v>
      </c>
      <c r="E27" s="55">
        <v>1</v>
      </c>
      <c r="F27" s="55">
        <v>9</v>
      </c>
      <c r="G27" s="55">
        <v>0</v>
      </c>
      <c r="H27" s="141">
        <v>0</v>
      </c>
      <c r="M27" s="23">
        <v>1</v>
      </c>
      <c r="N27" s="104">
        <v>0.16666666666666599</v>
      </c>
      <c r="O27" s="2">
        <v>18</v>
      </c>
      <c r="P27" s="4">
        <f t="shared" si="0"/>
        <v>0</v>
      </c>
      <c r="Q27" s="5">
        <f t="shared" si="8"/>
        <v>5426</v>
      </c>
      <c r="R27" s="10" t="e">
        <f t="shared" si="4"/>
        <v>#N/A</v>
      </c>
      <c r="S27" s="4">
        <f t="shared" si="1"/>
        <v>0</v>
      </c>
      <c r="T27" s="5">
        <f t="shared" si="9"/>
        <v>6107</v>
      </c>
      <c r="U27" s="10" t="e">
        <f t="shared" si="5"/>
        <v>#N/A</v>
      </c>
      <c r="V27" s="4">
        <f t="shared" si="2"/>
        <v>0</v>
      </c>
      <c r="W27" s="5">
        <f t="shared" si="10"/>
        <v>250</v>
      </c>
      <c r="X27" s="10" t="e">
        <f t="shared" si="6"/>
        <v>#N/A</v>
      </c>
      <c r="Y27" s="4">
        <f t="shared" si="3"/>
        <v>0</v>
      </c>
      <c r="Z27" s="5">
        <f t="shared" si="11"/>
        <v>369</v>
      </c>
      <c r="AA27" s="3" t="e">
        <f t="shared" si="7"/>
        <v>#N/A</v>
      </c>
    </row>
    <row r="28" spans="2:27" ht="18">
      <c r="B28" s="55">
        <v>13</v>
      </c>
      <c r="C28" s="55">
        <v>49</v>
      </c>
      <c r="D28" s="55">
        <v>2</v>
      </c>
      <c r="E28" s="55">
        <v>5</v>
      </c>
      <c r="F28" s="55">
        <v>4</v>
      </c>
      <c r="G28" s="55">
        <v>0</v>
      </c>
      <c r="H28" s="141">
        <v>0</v>
      </c>
      <c r="M28" s="23">
        <v>1</v>
      </c>
      <c r="N28" s="104">
        <v>0.187499999999999</v>
      </c>
      <c r="O28" s="2">
        <v>19</v>
      </c>
      <c r="P28" s="4">
        <f t="shared" si="0"/>
        <v>0</v>
      </c>
      <c r="Q28" s="5">
        <f t="shared" si="8"/>
        <v>5426</v>
      </c>
      <c r="R28" s="10" t="e">
        <f t="shared" si="4"/>
        <v>#N/A</v>
      </c>
      <c r="S28" s="4">
        <f t="shared" si="1"/>
        <v>0</v>
      </c>
      <c r="T28" s="5">
        <f t="shared" si="9"/>
        <v>6107</v>
      </c>
      <c r="U28" s="10" t="e">
        <f t="shared" si="5"/>
        <v>#N/A</v>
      </c>
      <c r="V28" s="4">
        <f t="shared" si="2"/>
        <v>0</v>
      </c>
      <c r="W28" s="5">
        <f t="shared" si="10"/>
        <v>250</v>
      </c>
      <c r="X28" s="10" t="e">
        <f t="shared" si="6"/>
        <v>#N/A</v>
      </c>
      <c r="Y28" s="4">
        <f t="shared" si="3"/>
        <v>0</v>
      </c>
      <c r="Z28" s="5">
        <f t="shared" si="11"/>
        <v>369</v>
      </c>
      <c r="AA28" s="3" t="e">
        <f t="shared" si="7"/>
        <v>#N/A</v>
      </c>
    </row>
    <row r="29" spans="2:27" ht="18.75" thickBot="1">
      <c r="B29" s="55">
        <v>1</v>
      </c>
      <c r="C29" s="55">
        <v>44</v>
      </c>
      <c r="D29" s="55">
        <v>2</v>
      </c>
      <c r="E29" s="55">
        <v>5</v>
      </c>
      <c r="F29" s="55">
        <v>8</v>
      </c>
      <c r="G29" s="55">
        <v>0</v>
      </c>
      <c r="H29" s="141">
        <v>2</v>
      </c>
      <c r="M29" s="23">
        <v>1</v>
      </c>
      <c r="N29" s="104">
        <v>0.20833333333333201</v>
      </c>
      <c r="O29" s="2">
        <v>20</v>
      </c>
      <c r="P29" s="7">
        <f t="shared" si="0"/>
        <v>0</v>
      </c>
      <c r="Q29" s="8">
        <f t="shared" si="8"/>
        <v>5426</v>
      </c>
      <c r="R29" s="11" t="e">
        <f t="shared" si="4"/>
        <v>#N/A</v>
      </c>
      <c r="S29" s="7">
        <f t="shared" si="1"/>
        <v>0</v>
      </c>
      <c r="T29" s="8">
        <f t="shared" si="9"/>
        <v>6107</v>
      </c>
      <c r="U29" s="11" t="e">
        <f t="shared" si="5"/>
        <v>#N/A</v>
      </c>
      <c r="V29" s="7">
        <f t="shared" si="2"/>
        <v>0</v>
      </c>
      <c r="W29" s="8">
        <f t="shared" si="10"/>
        <v>250</v>
      </c>
      <c r="X29" s="11" t="e">
        <f t="shared" si="6"/>
        <v>#N/A</v>
      </c>
      <c r="Y29" s="7">
        <f t="shared" si="3"/>
        <v>0</v>
      </c>
      <c r="Z29" s="8">
        <f t="shared" si="11"/>
        <v>369</v>
      </c>
      <c r="AA29" s="9" t="e">
        <f t="shared" si="7"/>
        <v>#N/A</v>
      </c>
    </row>
    <row r="30" spans="2:27" ht="18">
      <c r="B30" s="55">
        <v>1</v>
      </c>
      <c r="C30" s="55">
        <v>44</v>
      </c>
      <c r="D30" s="55">
        <v>1</v>
      </c>
      <c r="E30" s="55">
        <v>3</v>
      </c>
      <c r="F30" s="55">
        <v>7</v>
      </c>
      <c r="G30" s="55">
        <v>0</v>
      </c>
      <c r="H30" s="141">
        <v>0</v>
      </c>
      <c r="M30" s="23">
        <v>1</v>
      </c>
    </row>
    <row r="31" spans="2:27" ht="18">
      <c r="B31" s="55">
        <v>13</v>
      </c>
      <c r="C31" s="55">
        <v>45</v>
      </c>
      <c r="D31" s="55">
        <v>2</v>
      </c>
      <c r="E31" s="55">
        <v>16</v>
      </c>
      <c r="F31" s="55">
        <v>7</v>
      </c>
      <c r="G31" s="55">
        <v>1</v>
      </c>
      <c r="H31" s="141">
        <v>0</v>
      </c>
      <c r="M31" s="23">
        <v>1</v>
      </c>
    </row>
    <row r="32" spans="2:27" ht="18">
      <c r="B32" s="55">
        <v>13</v>
      </c>
      <c r="C32" s="55">
        <v>45</v>
      </c>
      <c r="D32" s="55">
        <v>2</v>
      </c>
      <c r="E32" s="55">
        <v>16</v>
      </c>
      <c r="F32" s="55">
        <v>7</v>
      </c>
      <c r="G32" s="55">
        <v>1</v>
      </c>
      <c r="H32" s="141">
        <v>0</v>
      </c>
      <c r="M32" s="23">
        <v>1</v>
      </c>
      <c r="O32" s="23">
        <v>1</v>
      </c>
    </row>
    <row r="33" spans="2:15" ht="18">
      <c r="B33" s="55">
        <v>13</v>
      </c>
      <c r="C33" s="55">
        <v>45</v>
      </c>
      <c r="D33" s="55">
        <v>1</v>
      </c>
      <c r="E33" s="55">
        <v>8</v>
      </c>
      <c r="F33" s="55">
        <v>9</v>
      </c>
      <c r="G33" s="55">
        <v>4</v>
      </c>
      <c r="H33" s="141">
        <v>4</v>
      </c>
      <c r="M33" s="23">
        <v>1</v>
      </c>
      <c r="O33" s="23">
        <v>2</v>
      </c>
    </row>
    <row r="34" spans="2:15" ht="18">
      <c r="B34" s="55">
        <v>13</v>
      </c>
      <c r="C34" s="55">
        <v>30</v>
      </c>
      <c r="D34" s="55">
        <v>3</v>
      </c>
      <c r="E34" s="55">
        <v>15</v>
      </c>
      <c r="F34" s="55">
        <v>8</v>
      </c>
      <c r="G34" s="55">
        <v>0</v>
      </c>
      <c r="H34" s="141">
        <v>0</v>
      </c>
      <c r="M34" s="23">
        <v>1</v>
      </c>
      <c r="O34" s="23">
        <v>3</v>
      </c>
    </row>
    <row r="35" spans="2:15" ht="18">
      <c r="B35" s="55">
        <v>13</v>
      </c>
      <c r="C35" s="55">
        <v>30</v>
      </c>
      <c r="D35" s="55">
        <v>2</v>
      </c>
      <c r="E35" s="55">
        <v>3</v>
      </c>
      <c r="F35" s="55">
        <v>1</v>
      </c>
      <c r="G35" s="55">
        <v>0</v>
      </c>
      <c r="H35" s="141">
        <v>0</v>
      </c>
      <c r="M35" s="23">
        <v>1</v>
      </c>
      <c r="O35" s="23">
        <v>4</v>
      </c>
    </row>
    <row r="36" spans="2:15" ht="18">
      <c r="B36" s="55">
        <v>13</v>
      </c>
      <c r="C36" s="55">
        <v>79</v>
      </c>
      <c r="D36" s="55">
        <v>1</v>
      </c>
      <c r="E36" s="55">
        <v>0</v>
      </c>
      <c r="F36" s="55">
        <v>6</v>
      </c>
      <c r="G36" s="55">
        <v>0</v>
      </c>
      <c r="H36" s="141">
        <v>0</v>
      </c>
      <c r="M36" s="23">
        <v>1</v>
      </c>
      <c r="O36" s="23">
        <v>5</v>
      </c>
    </row>
    <row r="37" spans="2:15" ht="18">
      <c r="B37" s="55">
        <v>13</v>
      </c>
      <c r="C37" s="55">
        <v>55</v>
      </c>
      <c r="D37" s="55">
        <v>4</v>
      </c>
      <c r="E37" s="55">
        <v>2</v>
      </c>
      <c r="F37" s="55">
        <v>1</v>
      </c>
      <c r="G37" s="55">
        <v>0</v>
      </c>
      <c r="H37" s="141">
        <v>0</v>
      </c>
      <c r="M37" s="23">
        <v>1</v>
      </c>
      <c r="O37" s="23">
        <v>6</v>
      </c>
    </row>
    <row r="38" spans="2:15" ht="18">
      <c r="B38" s="55">
        <v>13</v>
      </c>
      <c r="C38" s="55">
        <v>79</v>
      </c>
      <c r="D38" s="55">
        <v>2</v>
      </c>
      <c r="E38" s="55">
        <v>0</v>
      </c>
      <c r="F38" s="55">
        <v>10</v>
      </c>
      <c r="G38" s="55">
        <v>0</v>
      </c>
      <c r="H38" s="141">
        <v>0</v>
      </c>
      <c r="M38" s="23">
        <v>1</v>
      </c>
      <c r="O38" s="23">
        <v>7</v>
      </c>
    </row>
    <row r="39" spans="2:15" ht="18">
      <c r="B39" s="55">
        <v>13</v>
      </c>
      <c r="C39" s="55">
        <v>49</v>
      </c>
      <c r="D39" s="55">
        <v>3</v>
      </c>
      <c r="E39" s="55">
        <v>8</v>
      </c>
      <c r="F39" s="55">
        <v>7</v>
      </c>
      <c r="G39" s="55">
        <v>0</v>
      </c>
      <c r="H39" s="141">
        <v>0</v>
      </c>
      <c r="M39" s="23">
        <v>1</v>
      </c>
      <c r="O39" s="23">
        <v>8</v>
      </c>
    </row>
    <row r="40" spans="2:15" ht="18">
      <c r="B40" s="55">
        <v>13</v>
      </c>
      <c r="C40" s="55">
        <v>112</v>
      </c>
      <c r="D40" s="55">
        <v>2</v>
      </c>
      <c r="E40" s="55">
        <v>25</v>
      </c>
      <c r="F40" s="55">
        <v>5</v>
      </c>
      <c r="G40" s="55">
        <v>0</v>
      </c>
      <c r="H40" s="141">
        <v>0</v>
      </c>
      <c r="M40" s="23">
        <v>1</v>
      </c>
      <c r="O40" s="23">
        <v>9</v>
      </c>
    </row>
    <row r="41" spans="2:15" ht="18">
      <c r="B41" s="55">
        <v>13</v>
      </c>
      <c r="C41" s="55">
        <v>20</v>
      </c>
      <c r="D41" s="55">
        <v>1</v>
      </c>
      <c r="E41" s="55">
        <v>1</v>
      </c>
      <c r="F41" s="55">
        <v>2</v>
      </c>
      <c r="G41" s="55">
        <v>0</v>
      </c>
      <c r="H41" s="141">
        <v>2</v>
      </c>
      <c r="M41" s="23">
        <v>1</v>
      </c>
      <c r="O41" s="23">
        <v>10</v>
      </c>
    </row>
    <row r="42" spans="2:15" ht="18">
      <c r="B42" s="55">
        <v>13</v>
      </c>
      <c r="C42" s="55">
        <v>31</v>
      </c>
      <c r="D42" s="55">
        <v>2</v>
      </c>
      <c r="E42" s="55">
        <v>11</v>
      </c>
      <c r="F42" s="55">
        <v>3</v>
      </c>
      <c r="G42" s="55">
        <v>0</v>
      </c>
      <c r="H42" s="141">
        <v>0</v>
      </c>
      <c r="M42" s="23">
        <v>1</v>
      </c>
      <c r="O42" s="23">
        <v>11</v>
      </c>
    </row>
    <row r="43" spans="2:15" ht="18">
      <c r="B43" s="55">
        <v>13</v>
      </c>
      <c r="C43" s="55">
        <v>51</v>
      </c>
      <c r="D43" s="55">
        <v>2</v>
      </c>
      <c r="E43" s="55">
        <v>4</v>
      </c>
      <c r="F43" s="55">
        <v>1</v>
      </c>
      <c r="G43" s="55">
        <v>0</v>
      </c>
      <c r="H43" s="141">
        <v>1</v>
      </c>
      <c r="M43" s="23">
        <v>1</v>
      </c>
      <c r="O43" s="23">
        <v>12</v>
      </c>
    </row>
    <row r="44" spans="2:15" ht="18">
      <c r="B44" s="55">
        <v>13</v>
      </c>
      <c r="C44" s="55">
        <v>34</v>
      </c>
      <c r="D44" s="55">
        <v>1</v>
      </c>
      <c r="E44" s="55">
        <v>4</v>
      </c>
      <c r="F44" s="55">
        <v>0</v>
      </c>
      <c r="G44" s="55">
        <v>0</v>
      </c>
      <c r="H44" s="141">
        <v>0</v>
      </c>
      <c r="M44" s="23">
        <v>1</v>
      </c>
      <c r="O44" s="23">
        <v>13</v>
      </c>
    </row>
    <row r="45" spans="2:15" ht="18">
      <c r="B45" s="55">
        <v>13</v>
      </c>
      <c r="C45" s="55">
        <v>34</v>
      </c>
      <c r="D45" s="55">
        <v>3</v>
      </c>
      <c r="E45" s="55">
        <v>15</v>
      </c>
      <c r="F45" s="55">
        <v>5</v>
      </c>
      <c r="G45" s="55">
        <v>0</v>
      </c>
      <c r="H45" s="141">
        <v>0</v>
      </c>
      <c r="M45" s="23">
        <v>1</v>
      </c>
      <c r="O45" s="23">
        <v>14</v>
      </c>
    </row>
    <row r="46" spans="2:15" ht="18">
      <c r="B46" s="55">
        <v>13</v>
      </c>
      <c r="C46" s="55">
        <v>34</v>
      </c>
      <c r="D46" s="55">
        <v>2</v>
      </c>
      <c r="E46" s="55">
        <v>10</v>
      </c>
      <c r="F46" s="55">
        <v>7</v>
      </c>
      <c r="G46" s="55">
        <v>0</v>
      </c>
      <c r="H46" s="141">
        <v>0</v>
      </c>
      <c r="M46" s="23">
        <v>1</v>
      </c>
      <c r="O46" s="23">
        <v>15</v>
      </c>
    </row>
    <row r="47" spans="2:15" ht="18">
      <c r="B47" s="55">
        <v>13</v>
      </c>
      <c r="C47" s="55">
        <v>59</v>
      </c>
      <c r="D47" s="55">
        <v>2</v>
      </c>
      <c r="E47" s="55">
        <v>2</v>
      </c>
      <c r="F47" s="55">
        <v>1</v>
      </c>
      <c r="G47" s="55">
        <v>0</v>
      </c>
      <c r="H47" s="141">
        <v>0</v>
      </c>
      <c r="M47" s="23">
        <v>1</v>
      </c>
      <c r="O47" s="23">
        <v>16</v>
      </c>
    </row>
    <row r="48" spans="2:15" ht="18">
      <c r="B48" s="55">
        <v>13</v>
      </c>
      <c r="C48" s="55">
        <v>35</v>
      </c>
      <c r="D48" s="55">
        <v>1</v>
      </c>
      <c r="E48" s="55">
        <v>10</v>
      </c>
      <c r="F48" s="55">
        <v>5</v>
      </c>
      <c r="G48" s="55">
        <v>0</v>
      </c>
      <c r="H48" s="141">
        <v>0</v>
      </c>
      <c r="M48" s="23">
        <v>1</v>
      </c>
      <c r="O48" s="23">
        <v>17</v>
      </c>
    </row>
    <row r="49" spans="2:15" ht="18">
      <c r="B49" s="55">
        <v>13</v>
      </c>
      <c r="C49" s="55">
        <v>67</v>
      </c>
      <c r="D49" s="55">
        <v>3</v>
      </c>
      <c r="E49" s="55">
        <v>0</v>
      </c>
      <c r="F49" s="55">
        <v>28</v>
      </c>
      <c r="G49" s="55">
        <v>0</v>
      </c>
      <c r="H49" s="141">
        <v>0</v>
      </c>
      <c r="M49" s="23">
        <v>1</v>
      </c>
      <c r="O49" s="23">
        <v>18</v>
      </c>
    </row>
    <row r="50" spans="2:15" ht="18">
      <c r="B50" s="55">
        <v>13</v>
      </c>
      <c r="C50" s="55">
        <v>67</v>
      </c>
      <c r="D50" s="55">
        <v>2</v>
      </c>
      <c r="E50" s="55">
        <v>0</v>
      </c>
      <c r="F50" s="55">
        <v>25</v>
      </c>
      <c r="G50" s="55">
        <v>0</v>
      </c>
      <c r="H50" s="141">
        <v>0</v>
      </c>
      <c r="M50" s="23">
        <v>1</v>
      </c>
      <c r="O50" s="23">
        <v>19</v>
      </c>
    </row>
    <row r="51" spans="2:15" ht="18">
      <c r="B51" s="55">
        <v>13</v>
      </c>
      <c r="C51" s="55">
        <v>67</v>
      </c>
      <c r="D51" s="55">
        <v>1</v>
      </c>
      <c r="E51" s="55">
        <v>0</v>
      </c>
      <c r="F51" s="55">
        <v>14</v>
      </c>
      <c r="G51" s="55">
        <v>0</v>
      </c>
      <c r="H51" s="141">
        <v>0</v>
      </c>
      <c r="M51" s="23">
        <v>1</v>
      </c>
      <c r="O51" s="23">
        <v>20</v>
      </c>
    </row>
    <row r="52" spans="2:15" ht="18">
      <c r="B52" s="55">
        <v>13</v>
      </c>
      <c r="C52" s="55">
        <v>15</v>
      </c>
      <c r="D52" s="55">
        <v>3</v>
      </c>
      <c r="E52" s="55">
        <v>3</v>
      </c>
      <c r="F52" s="55">
        <v>2</v>
      </c>
      <c r="G52" s="55">
        <v>0</v>
      </c>
      <c r="H52" s="141">
        <v>1</v>
      </c>
      <c r="M52" s="23">
        <v>1</v>
      </c>
      <c r="O52" s="23">
        <v>21</v>
      </c>
    </row>
    <row r="53" spans="2:15" ht="18">
      <c r="B53" s="55">
        <v>13</v>
      </c>
      <c r="C53" s="55">
        <v>105</v>
      </c>
      <c r="D53" s="55">
        <v>1</v>
      </c>
      <c r="E53" s="55">
        <v>8</v>
      </c>
      <c r="F53" s="55">
        <v>13</v>
      </c>
      <c r="G53" s="55">
        <v>0</v>
      </c>
      <c r="H53" s="141">
        <v>0</v>
      </c>
      <c r="M53" s="23">
        <v>1</v>
      </c>
      <c r="O53" s="23">
        <v>22</v>
      </c>
    </row>
    <row r="54" spans="2:15" ht="18">
      <c r="B54" s="55">
        <v>13</v>
      </c>
      <c r="C54" s="55">
        <v>8</v>
      </c>
      <c r="D54" s="55">
        <v>1</v>
      </c>
      <c r="E54" s="55">
        <v>2</v>
      </c>
      <c r="F54" s="55">
        <v>1</v>
      </c>
      <c r="G54" s="55">
        <v>0</v>
      </c>
      <c r="H54" s="141">
        <v>0</v>
      </c>
      <c r="M54" s="23">
        <v>1</v>
      </c>
      <c r="O54" s="23">
        <v>23</v>
      </c>
    </row>
    <row r="55" spans="2:15" ht="18">
      <c r="B55" s="55">
        <v>13</v>
      </c>
      <c r="C55" s="55">
        <v>38</v>
      </c>
      <c r="D55" s="55">
        <v>2</v>
      </c>
      <c r="E55" s="55">
        <v>1</v>
      </c>
      <c r="F55" s="55">
        <v>10</v>
      </c>
      <c r="G55" s="55">
        <v>1</v>
      </c>
      <c r="H55" s="141">
        <v>0</v>
      </c>
      <c r="M55" s="23">
        <v>1</v>
      </c>
      <c r="O55" s="23">
        <v>24</v>
      </c>
    </row>
    <row r="56" spans="2:15" ht="18">
      <c r="B56" s="55">
        <v>13</v>
      </c>
      <c r="C56" s="55">
        <v>56</v>
      </c>
      <c r="D56" s="55">
        <v>2</v>
      </c>
      <c r="E56" s="55">
        <v>4</v>
      </c>
      <c r="F56" s="55">
        <v>3</v>
      </c>
      <c r="G56" s="55">
        <v>0</v>
      </c>
      <c r="H56" s="141">
        <v>0</v>
      </c>
      <c r="M56" s="23">
        <v>1</v>
      </c>
      <c r="O56" s="23">
        <v>25</v>
      </c>
    </row>
    <row r="57" spans="2:15" ht="18">
      <c r="B57" s="55">
        <v>13</v>
      </c>
      <c r="C57" s="55">
        <v>101</v>
      </c>
      <c r="D57" s="55">
        <v>4</v>
      </c>
      <c r="E57" s="55">
        <v>4</v>
      </c>
      <c r="F57" s="55">
        <v>11</v>
      </c>
      <c r="G57" s="55">
        <v>0</v>
      </c>
      <c r="H57" s="141">
        <v>0</v>
      </c>
      <c r="M57" s="23">
        <v>1</v>
      </c>
      <c r="O57" s="23">
        <v>26</v>
      </c>
    </row>
    <row r="58" spans="2:15" ht="18">
      <c r="B58" s="55">
        <v>1</v>
      </c>
      <c r="C58" s="55">
        <v>23</v>
      </c>
      <c r="D58" s="55">
        <v>3</v>
      </c>
      <c r="E58" s="55">
        <v>5</v>
      </c>
      <c r="F58" s="55">
        <v>11</v>
      </c>
      <c r="G58" s="55">
        <v>0</v>
      </c>
      <c r="H58" s="141">
        <v>0</v>
      </c>
      <c r="M58" s="23">
        <v>1</v>
      </c>
      <c r="O58" s="23">
        <v>27</v>
      </c>
    </row>
    <row r="59" spans="2:15" ht="18">
      <c r="B59" s="55">
        <v>13</v>
      </c>
      <c r="C59" s="55">
        <v>33</v>
      </c>
      <c r="D59" s="55">
        <v>3</v>
      </c>
      <c r="E59" s="55">
        <v>2</v>
      </c>
      <c r="F59" s="55">
        <v>23</v>
      </c>
      <c r="G59" s="55">
        <v>0</v>
      </c>
      <c r="H59" s="141">
        <v>1</v>
      </c>
      <c r="M59" s="23">
        <v>1</v>
      </c>
      <c r="O59" s="23">
        <v>28</v>
      </c>
    </row>
    <row r="60" spans="2:15" ht="18">
      <c r="B60" s="55">
        <v>13</v>
      </c>
      <c r="C60" s="55">
        <v>33</v>
      </c>
      <c r="D60" s="55">
        <v>2</v>
      </c>
      <c r="E60" s="55">
        <v>1</v>
      </c>
      <c r="F60" s="55">
        <v>24</v>
      </c>
      <c r="G60" s="55">
        <v>0</v>
      </c>
      <c r="H60" s="141">
        <v>0</v>
      </c>
      <c r="M60" s="23">
        <v>1</v>
      </c>
      <c r="O60" s="23">
        <v>29</v>
      </c>
    </row>
    <row r="61" spans="2:15" ht="18">
      <c r="B61" s="55">
        <v>13</v>
      </c>
      <c r="C61" s="55">
        <v>33</v>
      </c>
      <c r="D61" s="55">
        <v>4</v>
      </c>
      <c r="E61" s="55">
        <v>0</v>
      </c>
      <c r="F61" s="55">
        <v>23</v>
      </c>
      <c r="G61" s="55">
        <v>0</v>
      </c>
      <c r="H61" s="141">
        <v>0</v>
      </c>
      <c r="M61" s="23">
        <v>1</v>
      </c>
      <c r="O61" s="23">
        <v>30</v>
      </c>
    </row>
    <row r="62" spans="2:15" ht="18">
      <c r="B62" s="55">
        <v>13</v>
      </c>
      <c r="C62" s="55">
        <v>66</v>
      </c>
      <c r="D62" s="55">
        <v>2</v>
      </c>
      <c r="E62" s="55">
        <v>0</v>
      </c>
      <c r="F62" s="55">
        <v>3</v>
      </c>
      <c r="G62" s="55">
        <v>0</v>
      </c>
      <c r="H62" s="141">
        <v>0</v>
      </c>
      <c r="M62" s="23">
        <v>1</v>
      </c>
      <c r="O62" s="23">
        <v>31</v>
      </c>
    </row>
    <row r="63" spans="2:15" ht="18">
      <c r="B63" s="55">
        <v>13</v>
      </c>
      <c r="C63" s="55">
        <v>28</v>
      </c>
      <c r="D63" s="55">
        <v>2</v>
      </c>
      <c r="E63" s="55">
        <v>4</v>
      </c>
      <c r="F63" s="55">
        <v>4</v>
      </c>
      <c r="G63" s="55">
        <v>0</v>
      </c>
      <c r="H63" s="141">
        <v>2</v>
      </c>
      <c r="M63" s="23">
        <v>1</v>
      </c>
      <c r="O63" s="23">
        <v>32</v>
      </c>
    </row>
    <row r="64" spans="2:15" ht="18">
      <c r="B64" s="55">
        <v>13</v>
      </c>
      <c r="C64" s="55">
        <v>12</v>
      </c>
      <c r="D64" s="55">
        <v>5</v>
      </c>
      <c r="E64" s="55">
        <v>4</v>
      </c>
      <c r="F64" s="55">
        <v>9</v>
      </c>
      <c r="G64" s="55">
        <v>0</v>
      </c>
      <c r="H64" s="141">
        <v>0</v>
      </c>
      <c r="M64" s="23">
        <v>1</v>
      </c>
      <c r="O64" s="23">
        <v>33</v>
      </c>
    </row>
    <row r="65" spans="2:15" ht="18">
      <c r="B65" s="55">
        <v>13</v>
      </c>
      <c r="C65" s="55">
        <v>12</v>
      </c>
      <c r="D65" s="55">
        <v>3</v>
      </c>
      <c r="E65" s="55">
        <v>6</v>
      </c>
      <c r="F65" s="55">
        <v>5</v>
      </c>
      <c r="G65" s="55">
        <v>0</v>
      </c>
      <c r="H65" s="141">
        <v>1</v>
      </c>
      <c r="M65" s="23">
        <v>1</v>
      </c>
      <c r="O65" s="23">
        <v>34</v>
      </c>
    </row>
    <row r="66" spans="2:15" ht="18">
      <c r="B66" s="55">
        <v>13</v>
      </c>
      <c r="C66" s="55">
        <v>66</v>
      </c>
      <c r="D66" s="55">
        <v>3</v>
      </c>
      <c r="E66" s="55">
        <v>0</v>
      </c>
      <c r="F66" s="55">
        <v>1</v>
      </c>
      <c r="G66" s="55">
        <v>0</v>
      </c>
      <c r="H66" s="141">
        <v>0</v>
      </c>
      <c r="M66" s="23">
        <v>1</v>
      </c>
      <c r="O66" s="23">
        <v>35</v>
      </c>
    </row>
    <row r="67" spans="2:15" ht="18">
      <c r="B67" s="55">
        <v>13</v>
      </c>
      <c r="C67" s="55">
        <v>66</v>
      </c>
      <c r="D67" s="55">
        <v>4</v>
      </c>
      <c r="E67" s="55">
        <v>1</v>
      </c>
      <c r="F67" s="55">
        <v>0</v>
      </c>
      <c r="G67" s="55">
        <v>0</v>
      </c>
      <c r="H67" s="141">
        <v>0</v>
      </c>
      <c r="M67" s="23">
        <v>1</v>
      </c>
      <c r="O67" s="23">
        <v>36</v>
      </c>
    </row>
    <row r="68" spans="2:15" ht="18">
      <c r="B68" s="55">
        <v>13</v>
      </c>
      <c r="C68" s="55">
        <v>66</v>
      </c>
      <c r="D68" s="55">
        <v>5</v>
      </c>
      <c r="E68" s="55">
        <v>0</v>
      </c>
      <c r="F68" s="55">
        <v>2</v>
      </c>
      <c r="G68" s="55">
        <v>0</v>
      </c>
      <c r="H68" s="141">
        <v>0</v>
      </c>
      <c r="M68" s="23">
        <v>1</v>
      </c>
      <c r="O68" s="23">
        <v>37</v>
      </c>
    </row>
    <row r="69" spans="2:15" ht="18">
      <c r="B69" s="55">
        <v>13</v>
      </c>
      <c r="C69" s="55">
        <v>41</v>
      </c>
      <c r="D69" s="55">
        <v>3</v>
      </c>
      <c r="E69" s="55">
        <v>4</v>
      </c>
      <c r="F69" s="55">
        <v>5</v>
      </c>
      <c r="G69" s="55">
        <v>0</v>
      </c>
      <c r="H69" s="141">
        <v>0</v>
      </c>
      <c r="M69" s="23">
        <v>1</v>
      </c>
      <c r="O69" s="23">
        <v>38</v>
      </c>
    </row>
    <row r="70" spans="2:15" ht="18">
      <c r="B70" s="55">
        <v>13</v>
      </c>
      <c r="C70" s="55">
        <v>112</v>
      </c>
      <c r="D70" s="55">
        <v>4</v>
      </c>
      <c r="E70" s="55">
        <v>25</v>
      </c>
      <c r="F70" s="55">
        <v>4</v>
      </c>
      <c r="G70" s="55">
        <v>0</v>
      </c>
      <c r="H70" s="141">
        <v>0</v>
      </c>
      <c r="M70" s="23">
        <v>1</v>
      </c>
      <c r="O70" s="23">
        <v>39</v>
      </c>
    </row>
    <row r="71" spans="2:15" ht="18">
      <c r="B71" s="55">
        <v>13</v>
      </c>
      <c r="C71" s="55">
        <v>37</v>
      </c>
      <c r="D71" s="55">
        <v>2</v>
      </c>
      <c r="E71" s="55">
        <v>9</v>
      </c>
      <c r="F71" s="55">
        <v>15</v>
      </c>
      <c r="G71" s="55">
        <v>0</v>
      </c>
      <c r="H71" s="141">
        <v>1</v>
      </c>
      <c r="M71" s="23">
        <v>1</v>
      </c>
      <c r="O71" s="23">
        <v>40</v>
      </c>
    </row>
    <row r="72" spans="2:15" ht="18">
      <c r="B72" s="55">
        <v>13</v>
      </c>
      <c r="C72" s="55">
        <v>37</v>
      </c>
      <c r="D72" s="55">
        <v>1</v>
      </c>
      <c r="E72" s="55">
        <v>8</v>
      </c>
      <c r="F72" s="55">
        <v>15</v>
      </c>
      <c r="G72" s="55">
        <v>2</v>
      </c>
      <c r="H72" s="141">
        <v>0</v>
      </c>
      <c r="M72" s="23">
        <v>1</v>
      </c>
      <c r="O72" s="23">
        <v>41</v>
      </c>
    </row>
    <row r="73" spans="2:15" ht="18">
      <c r="B73" s="55">
        <v>13</v>
      </c>
      <c r="C73" s="55">
        <v>54</v>
      </c>
      <c r="D73" s="55">
        <v>3</v>
      </c>
      <c r="E73" s="55">
        <v>4</v>
      </c>
      <c r="F73" s="55">
        <v>0</v>
      </c>
      <c r="G73" s="55">
        <v>0</v>
      </c>
      <c r="H73" s="141">
        <v>0</v>
      </c>
      <c r="M73" s="23">
        <v>1</v>
      </c>
      <c r="O73" s="23">
        <v>42</v>
      </c>
    </row>
    <row r="74" spans="2:15" ht="18">
      <c r="B74" s="55">
        <v>1</v>
      </c>
      <c r="C74" s="55">
        <v>61</v>
      </c>
      <c r="D74" s="55">
        <v>3</v>
      </c>
      <c r="E74" s="55">
        <v>4</v>
      </c>
      <c r="F74" s="55">
        <v>17</v>
      </c>
      <c r="G74" s="55">
        <v>0</v>
      </c>
      <c r="H74" s="141">
        <v>0</v>
      </c>
      <c r="M74" s="23">
        <v>1</v>
      </c>
      <c r="O74" s="23">
        <v>43</v>
      </c>
    </row>
    <row r="75" spans="2:15" ht="18">
      <c r="B75" s="55">
        <v>13</v>
      </c>
      <c r="C75" s="55">
        <v>46</v>
      </c>
      <c r="D75" s="55">
        <v>2</v>
      </c>
      <c r="E75" s="55">
        <v>0</v>
      </c>
      <c r="F75" s="55">
        <v>2</v>
      </c>
      <c r="G75" s="55">
        <v>0</v>
      </c>
      <c r="H75" s="141">
        <v>0</v>
      </c>
      <c r="M75" s="23">
        <v>1</v>
      </c>
      <c r="O75" s="23">
        <v>44</v>
      </c>
    </row>
    <row r="76" spans="2:15" ht="18">
      <c r="B76" s="55">
        <v>13</v>
      </c>
      <c r="C76" s="55">
        <v>53</v>
      </c>
      <c r="D76" s="55">
        <v>3</v>
      </c>
      <c r="E76" s="55">
        <v>1</v>
      </c>
      <c r="F76" s="55">
        <v>0</v>
      </c>
      <c r="G76" s="55">
        <v>0</v>
      </c>
      <c r="H76" s="141">
        <v>0</v>
      </c>
      <c r="M76" s="23">
        <v>1</v>
      </c>
      <c r="O76" s="23">
        <v>45</v>
      </c>
    </row>
    <row r="77" spans="2:15" ht="18">
      <c r="B77" s="55">
        <v>13</v>
      </c>
      <c r="C77" s="55">
        <v>53</v>
      </c>
      <c r="D77" s="55">
        <v>2</v>
      </c>
      <c r="E77" s="55">
        <v>3</v>
      </c>
      <c r="F77" s="55">
        <v>2</v>
      </c>
      <c r="G77" s="55">
        <v>3</v>
      </c>
      <c r="H77" s="141">
        <v>2</v>
      </c>
      <c r="M77" s="23">
        <v>1</v>
      </c>
      <c r="O77" s="23">
        <v>46</v>
      </c>
    </row>
    <row r="78" spans="2:15" ht="18">
      <c r="B78" s="55">
        <v>13</v>
      </c>
      <c r="C78" s="55">
        <v>102</v>
      </c>
      <c r="D78" s="55">
        <v>1</v>
      </c>
      <c r="E78" s="55">
        <v>5</v>
      </c>
      <c r="F78" s="55">
        <v>6</v>
      </c>
      <c r="G78" s="55">
        <v>2</v>
      </c>
      <c r="H78" s="141">
        <v>2</v>
      </c>
      <c r="M78" s="23">
        <v>1</v>
      </c>
      <c r="O78" s="23">
        <v>47</v>
      </c>
    </row>
    <row r="79" spans="2:15" ht="18">
      <c r="B79" s="55">
        <v>13</v>
      </c>
      <c r="C79" s="55">
        <v>49</v>
      </c>
      <c r="D79" s="55">
        <v>5</v>
      </c>
      <c r="E79" s="55">
        <v>7</v>
      </c>
      <c r="F79" s="55">
        <v>11</v>
      </c>
      <c r="G79" s="55">
        <v>0</v>
      </c>
      <c r="H79" s="141">
        <v>0</v>
      </c>
      <c r="M79" s="23">
        <v>1</v>
      </c>
      <c r="O79" s="23">
        <v>48</v>
      </c>
    </row>
    <row r="80" spans="2:15" ht="18">
      <c r="B80" s="55">
        <v>13</v>
      </c>
      <c r="C80" s="55">
        <v>36</v>
      </c>
      <c r="D80" s="55">
        <v>4</v>
      </c>
      <c r="E80" s="55">
        <v>11</v>
      </c>
      <c r="F80" s="55">
        <v>6</v>
      </c>
      <c r="G80" s="55">
        <v>0</v>
      </c>
      <c r="H80" s="141">
        <v>0</v>
      </c>
      <c r="M80" s="23">
        <v>1</v>
      </c>
      <c r="O80" s="23">
        <v>49</v>
      </c>
    </row>
    <row r="81" spans="2:15" ht="18">
      <c r="B81" s="55">
        <v>13</v>
      </c>
      <c r="C81" s="55">
        <v>36</v>
      </c>
      <c r="D81" s="55">
        <v>3</v>
      </c>
      <c r="E81" s="55">
        <v>8</v>
      </c>
      <c r="F81" s="55">
        <v>3</v>
      </c>
      <c r="G81" s="55">
        <v>0</v>
      </c>
      <c r="H81" s="141">
        <v>0</v>
      </c>
      <c r="M81" s="23">
        <v>1</v>
      </c>
      <c r="O81" s="23">
        <v>50</v>
      </c>
    </row>
    <row r="82" spans="2:15" ht="18">
      <c r="B82" s="55">
        <v>13</v>
      </c>
      <c r="C82" s="55">
        <v>51</v>
      </c>
      <c r="D82" s="55">
        <v>4</v>
      </c>
      <c r="E82" s="55">
        <v>2</v>
      </c>
      <c r="F82" s="55">
        <v>1</v>
      </c>
      <c r="G82" s="55">
        <v>0</v>
      </c>
      <c r="H82" s="141">
        <v>0</v>
      </c>
      <c r="M82" s="23">
        <v>1</v>
      </c>
      <c r="O82" s="23">
        <v>51</v>
      </c>
    </row>
    <row r="83" spans="2:15" ht="18">
      <c r="B83" s="55">
        <v>13</v>
      </c>
      <c r="C83" s="55">
        <v>36</v>
      </c>
      <c r="D83" s="55">
        <v>2</v>
      </c>
      <c r="E83" s="55">
        <v>22</v>
      </c>
      <c r="F83" s="55">
        <v>3</v>
      </c>
      <c r="G83" s="55">
        <v>0</v>
      </c>
      <c r="H83" s="141">
        <v>0</v>
      </c>
      <c r="M83" s="23">
        <v>1</v>
      </c>
      <c r="O83" s="23">
        <v>52</v>
      </c>
    </row>
    <row r="84" spans="2:15" ht="18">
      <c r="B84" s="55">
        <v>13</v>
      </c>
      <c r="C84" s="55">
        <v>31</v>
      </c>
      <c r="D84" s="55">
        <v>3</v>
      </c>
      <c r="E84" s="55">
        <v>5</v>
      </c>
      <c r="F84" s="55">
        <v>3</v>
      </c>
      <c r="G84" s="55">
        <v>0</v>
      </c>
      <c r="H84" s="141">
        <v>0</v>
      </c>
      <c r="M84" s="23">
        <v>1</v>
      </c>
      <c r="O84" s="23">
        <v>53</v>
      </c>
    </row>
    <row r="85" spans="2:15" ht="18">
      <c r="B85" s="55">
        <v>13</v>
      </c>
      <c r="C85" s="55">
        <v>38</v>
      </c>
      <c r="D85" s="55">
        <v>3</v>
      </c>
      <c r="E85" s="55">
        <v>1</v>
      </c>
      <c r="F85" s="55">
        <v>10</v>
      </c>
      <c r="G85" s="55">
        <v>0</v>
      </c>
      <c r="H85" s="141">
        <v>0</v>
      </c>
      <c r="M85" s="23">
        <v>1</v>
      </c>
      <c r="O85" s="23">
        <v>54</v>
      </c>
    </row>
    <row r="86" spans="2:15" ht="18">
      <c r="B86" s="55">
        <v>13</v>
      </c>
      <c r="C86" s="55">
        <v>73</v>
      </c>
      <c r="D86" s="55">
        <v>5</v>
      </c>
      <c r="E86" s="55">
        <v>1</v>
      </c>
      <c r="F86" s="55">
        <v>4</v>
      </c>
      <c r="G86" s="55">
        <v>0</v>
      </c>
      <c r="H86" s="141">
        <v>0</v>
      </c>
      <c r="M86" s="23">
        <v>1</v>
      </c>
      <c r="O86" s="23">
        <v>55</v>
      </c>
    </row>
    <row r="87" spans="2:15" ht="18">
      <c r="B87" s="55">
        <v>13</v>
      </c>
      <c r="C87" s="55">
        <v>75</v>
      </c>
      <c r="D87" s="55">
        <v>1</v>
      </c>
      <c r="E87" s="55">
        <v>2</v>
      </c>
      <c r="F87" s="55">
        <v>23</v>
      </c>
      <c r="G87" s="55">
        <v>0</v>
      </c>
      <c r="H87" s="141">
        <v>0</v>
      </c>
      <c r="M87" s="23">
        <v>1</v>
      </c>
      <c r="O87" s="23">
        <v>56</v>
      </c>
    </row>
    <row r="88" spans="2:15" ht="18">
      <c r="B88" s="55">
        <v>13</v>
      </c>
      <c r="C88" s="55">
        <v>53</v>
      </c>
      <c r="D88" s="55">
        <v>6</v>
      </c>
      <c r="E88" s="55">
        <v>4</v>
      </c>
      <c r="F88" s="55">
        <v>2</v>
      </c>
      <c r="G88" s="55">
        <v>0</v>
      </c>
      <c r="H88" s="141">
        <v>0</v>
      </c>
      <c r="M88" s="23">
        <v>1</v>
      </c>
      <c r="O88" s="23">
        <v>57</v>
      </c>
    </row>
    <row r="89" spans="2:15" ht="18">
      <c r="B89" s="55">
        <v>13</v>
      </c>
      <c r="C89" s="55">
        <v>75</v>
      </c>
      <c r="D89" s="55">
        <v>2</v>
      </c>
      <c r="E89" s="55">
        <v>1</v>
      </c>
      <c r="F89" s="55">
        <v>24</v>
      </c>
      <c r="G89" s="55">
        <v>0</v>
      </c>
      <c r="H89" s="141">
        <v>0</v>
      </c>
      <c r="M89" s="23">
        <v>1</v>
      </c>
      <c r="O89" s="23">
        <v>58</v>
      </c>
    </row>
    <row r="90" spans="2:15" ht="18">
      <c r="B90" s="55">
        <v>13</v>
      </c>
      <c r="C90" s="55">
        <v>105</v>
      </c>
      <c r="D90" s="55">
        <v>2</v>
      </c>
      <c r="E90" s="55">
        <v>13</v>
      </c>
      <c r="F90" s="55">
        <v>3</v>
      </c>
      <c r="G90" s="55">
        <v>0</v>
      </c>
      <c r="H90" s="141">
        <v>0</v>
      </c>
      <c r="M90" s="23">
        <v>1</v>
      </c>
      <c r="O90" s="23">
        <v>59</v>
      </c>
    </row>
    <row r="91" spans="2:15" ht="18">
      <c r="B91" s="55">
        <v>13</v>
      </c>
      <c r="C91" s="55">
        <v>73</v>
      </c>
      <c r="D91" s="55">
        <v>4</v>
      </c>
      <c r="E91" s="55">
        <v>0</v>
      </c>
      <c r="F91" s="55">
        <v>4</v>
      </c>
      <c r="G91" s="55">
        <v>0</v>
      </c>
      <c r="H91" s="141">
        <v>0</v>
      </c>
      <c r="M91" s="23">
        <v>1</v>
      </c>
      <c r="O91" s="23">
        <v>61</v>
      </c>
    </row>
    <row r="92" spans="2:15" ht="18">
      <c r="B92" s="55">
        <v>13</v>
      </c>
      <c r="C92" s="55">
        <v>73</v>
      </c>
      <c r="D92" s="55">
        <v>3</v>
      </c>
      <c r="E92" s="55">
        <v>1</v>
      </c>
      <c r="F92" s="55">
        <v>2</v>
      </c>
      <c r="G92" s="55">
        <v>0</v>
      </c>
      <c r="H92" s="141">
        <v>0</v>
      </c>
      <c r="M92" s="23">
        <v>1</v>
      </c>
      <c r="O92" s="23">
        <v>62</v>
      </c>
    </row>
    <row r="93" spans="2:15" ht="18">
      <c r="B93" s="55">
        <v>1</v>
      </c>
      <c r="C93" s="55">
        <v>20</v>
      </c>
      <c r="D93" s="55">
        <v>5</v>
      </c>
      <c r="E93" s="55">
        <v>3</v>
      </c>
      <c r="F93" s="55">
        <v>9</v>
      </c>
      <c r="G93" s="55">
        <v>0</v>
      </c>
      <c r="H93" s="141">
        <v>0</v>
      </c>
      <c r="M93" s="23">
        <v>1</v>
      </c>
      <c r="O93" s="23">
        <v>63</v>
      </c>
    </row>
    <row r="94" spans="2:15" ht="18">
      <c r="B94" s="55">
        <v>13</v>
      </c>
      <c r="C94" s="55">
        <v>20</v>
      </c>
      <c r="D94" s="55">
        <v>4</v>
      </c>
      <c r="E94" s="55">
        <v>2</v>
      </c>
      <c r="F94" s="55">
        <v>5</v>
      </c>
      <c r="G94" s="55">
        <v>0</v>
      </c>
      <c r="H94" s="141">
        <v>0</v>
      </c>
      <c r="M94" s="23">
        <v>1</v>
      </c>
      <c r="O94" s="23">
        <v>64</v>
      </c>
    </row>
    <row r="95" spans="2:15" ht="18">
      <c r="B95" s="55">
        <v>13</v>
      </c>
      <c r="C95" s="55">
        <v>31</v>
      </c>
      <c r="D95" s="55">
        <v>6</v>
      </c>
      <c r="E95" s="55">
        <v>7</v>
      </c>
      <c r="F95" s="55">
        <v>4</v>
      </c>
      <c r="G95" s="55">
        <v>0</v>
      </c>
      <c r="H95" s="141">
        <v>0</v>
      </c>
      <c r="M95" s="23">
        <v>1</v>
      </c>
      <c r="O95" s="23">
        <v>65</v>
      </c>
    </row>
    <row r="96" spans="2:15" ht="18">
      <c r="B96" s="55">
        <v>13</v>
      </c>
      <c r="C96" s="55">
        <v>31</v>
      </c>
      <c r="D96" s="55">
        <v>5</v>
      </c>
      <c r="E96" s="55">
        <v>5</v>
      </c>
      <c r="F96" s="55">
        <v>2</v>
      </c>
      <c r="G96" s="55">
        <v>0</v>
      </c>
      <c r="H96" s="141">
        <v>0</v>
      </c>
      <c r="M96" s="23">
        <v>1</v>
      </c>
      <c r="O96" s="23">
        <v>66</v>
      </c>
    </row>
    <row r="97" spans="2:15" ht="18">
      <c r="B97" s="55">
        <v>13</v>
      </c>
      <c r="C97" s="55">
        <v>35</v>
      </c>
      <c r="D97" s="55">
        <v>3</v>
      </c>
      <c r="E97" s="55">
        <v>15</v>
      </c>
      <c r="F97" s="55">
        <v>10</v>
      </c>
      <c r="G97" s="55">
        <v>0</v>
      </c>
      <c r="H97" s="141">
        <v>0</v>
      </c>
      <c r="M97" s="23">
        <v>1</v>
      </c>
      <c r="O97" s="23">
        <v>67</v>
      </c>
    </row>
    <row r="98" spans="2:15" ht="18">
      <c r="B98" s="55">
        <v>13</v>
      </c>
      <c r="C98" s="55">
        <v>46</v>
      </c>
      <c r="D98" s="55">
        <v>5</v>
      </c>
      <c r="E98" s="55">
        <v>0</v>
      </c>
      <c r="F98" s="55">
        <v>1</v>
      </c>
      <c r="G98" s="55">
        <v>0</v>
      </c>
      <c r="H98" s="141">
        <v>0</v>
      </c>
      <c r="M98" s="23">
        <v>1</v>
      </c>
      <c r="O98" s="23">
        <v>68</v>
      </c>
    </row>
    <row r="99" spans="2:15" ht="18">
      <c r="B99" s="55">
        <v>13</v>
      </c>
      <c r="C99" s="55">
        <v>46</v>
      </c>
      <c r="D99" s="55">
        <v>4</v>
      </c>
      <c r="E99" s="55">
        <v>0</v>
      </c>
      <c r="F99" s="55">
        <v>2</v>
      </c>
      <c r="G99" s="55">
        <v>0</v>
      </c>
      <c r="H99" s="141">
        <v>0</v>
      </c>
      <c r="M99" s="23">
        <v>1</v>
      </c>
      <c r="O99" s="23">
        <v>69</v>
      </c>
    </row>
    <row r="100" spans="2:15" ht="18">
      <c r="B100" s="55">
        <v>13</v>
      </c>
      <c r="C100" s="55">
        <v>61</v>
      </c>
      <c r="D100" s="55">
        <v>5</v>
      </c>
      <c r="E100" s="55">
        <v>2</v>
      </c>
      <c r="F100" s="55">
        <v>20</v>
      </c>
      <c r="G100" s="55">
        <v>0</v>
      </c>
      <c r="H100" s="141">
        <v>0</v>
      </c>
      <c r="M100" s="23">
        <v>1</v>
      </c>
      <c r="O100" s="23">
        <v>73</v>
      </c>
    </row>
    <row r="101" spans="2:15" ht="18">
      <c r="B101" s="55">
        <v>13</v>
      </c>
      <c r="C101" s="55">
        <v>61</v>
      </c>
      <c r="D101" s="55">
        <v>6</v>
      </c>
      <c r="E101" s="55">
        <v>4</v>
      </c>
      <c r="F101" s="55">
        <v>21</v>
      </c>
      <c r="G101" s="55">
        <v>0</v>
      </c>
      <c r="H101" s="141">
        <v>0</v>
      </c>
      <c r="M101" s="23">
        <v>1</v>
      </c>
      <c r="O101" s="23">
        <v>74</v>
      </c>
    </row>
    <row r="102" spans="2:15" ht="18">
      <c r="B102" s="55">
        <v>13</v>
      </c>
      <c r="C102" s="55">
        <v>25</v>
      </c>
      <c r="D102" s="55">
        <v>4</v>
      </c>
      <c r="E102" s="55">
        <v>5</v>
      </c>
      <c r="F102" s="55">
        <v>0</v>
      </c>
      <c r="G102" s="55">
        <v>0</v>
      </c>
      <c r="H102" s="141">
        <v>0</v>
      </c>
      <c r="M102" s="23">
        <v>1</v>
      </c>
      <c r="O102" s="23">
        <v>75</v>
      </c>
    </row>
    <row r="103" spans="2:15" ht="18">
      <c r="B103" s="55">
        <v>13</v>
      </c>
      <c r="C103" s="55">
        <v>35</v>
      </c>
      <c r="D103" s="55">
        <v>2</v>
      </c>
      <c r="E103" s="55">
        <v>12</v>
      </c>
      <c r="F103" s="55">
        <v>9</v>
      </c>
      <c r="G103" s="55">
        <v>0</v>
      </c>
      <c r="H103" s="141">
        <v>0</v>
      </c>
      <c r="M103" s="23">
        <v>1</v>
      </c>
      <c r="O103" s="23">
        <v>78</v>
      </c>
    </row>
    <row r="104" spans="2:15" ht="18">
      <c r="B104" s="55">
        <v>13</v>
      </c>
      <c r="C104" s="55">
        <v>15</v>
      </c>
      <c r="D104" s="55">
        <v>4</v>
      </c>
      <c r="E104" s="55">
        <v>2</v>
      </c>
      <c r="F104" s="55">
        <v>0</v>
      </c>
      <c r="G104" s="55">
        <v>0</v>
      </c>
      <c r="H104" s="141">
        <v>0</v>
      </c>
      <c r="M104" s="23">
        <v>1</v>
      </c>
      <c r="O104" s="23">
        <v>79</v>
      </c>
    </row>
    <row r="105" spans="2:15" ht="18">
      <c r="B105" s="55">
        <v>13</v>
      </c>
      <c r="C105" s="55">
        <v>15</v>
      </c>
      <c r="D105" s="55">
        <v>5</v>
      </c>
      <c r="E105" s="55">
        <v>2</v>
      </c>
      <c r="F105" s="55">
        <v>0</v>
      </c>
      <c r="G105" s="55">
        <v>0</v>
      </c>
      <c r="H105" s="141">
        <v>0</v>
      </c>
      <c r="M105" s="23">
        <v>1</v>
      </c>
      <c r="O105" s="23">
        <v>101</v>
      </c>
    </row>
    <row r="106" spans="2:15" ht="18">
      <c r="B106" s="55">
        <v>13</v>
      </c>
      <c r="C106" s="55">
        <v>16</v>
      </c>
      <c r="D106" s="55">
        <v>3</v>
      </c>
      <c r="E106" s="55">
        <v>3</v>
      </c>
      <c r="F106" s="55">
        <v>4</v>
      </c>
      <c r="G106" s="55">
        <v>0</v>
      </c>
      <c r="H106" s="141">
        <v>0</v>
      </c>
      <c r="M106" s="23">
        <v>1</v>
      </c>
      <c r="O106" s="23">
        <v>102</v>
      </c>
    </row>
    <row r="107" spans="2:15" ht="18">
      <c r="B107" s="55">
        <v>13</v>
      </c>
      <c r="C107" s="55">
        <v>16</v>
      </c>
      <c r="D107" s="55">
        <v>2</v>
      </c>
      <c r="E107" s="55">
        <v>12</v>
      </c>
      <c r="F107" s="55">
        <v>11</v>
      </c>
      <c r="G107" s="55">
        <v>0</v>
      </c>
      <c r="H107" s="141">
        <v>0</v>
      </c>
      <c r="M107" s="23">
        <v>1</v>
      </c>
      <c r="O107" s="23">
        <v>103</v>
      </c>
    </row>
    <row r="108" spans="2:15" ht="18">
      <c r="B108" s="55">
        <v>13</v>
      </c>
      <c r="C108" s="55">
        <v>19</v>
      </c>
      <c r="D108" s="55">
        <v>4</v>
      </c>
      <c r="E108" s="55">
        <v>5</v>
      </c>
      <c r="F108" s="55">
        <v>6</v>
      </c>
      <c r="G108" s="55">
        <v>0</v>
      </c>
      <c r="H108" s="141">
        <v>0</v>
      </c>
      <c r="M108" s="23">
        <v>1</v>
      </c>
      <c r="O108" s="23">
        <v>104</v>
      </c>
    </row>
    <row r="109" spans="2:15" ht="18">
      <c r="B109" s="55">
        <v>13</v>
      </c>
      <c r="C109" s="55">
        <v>19</v>
      </c>
      <c r="D109" s="55">
        <v>5</v>
      </c>
      <c r="E109" s="55">
        <v>5</v>
      </c>
      <c r="F109" s="55">
        <v>8</v>
      </c>
      <c r="G109" s="55">
        <v>0</v>
      </c>
      <c r="H109" s="141">
        <v>0</v>
      </c>
      <c r="M109" s="23">
        <v>1</v>
      </c>
      <c r="O109" s="23">
        <v>105</v>
      </c>
    </row>
    <row r="110" spans="2:15" ht="18">
      <c r="B110" s="55">
        <v>13</v>
      </c>
      <c r="C110" s="55">
        <v>13</v>
      </c>
      <c r="D110" s="55">
        <v>1</v>
      </c>
      <c r="E110" s="55">
        <v>3</v>
      </c>
      <c r="F110" s="55">
        <v>7</v>
      </c>
      <c r="G110" s="55">
        <v>0</v>
      </c>
      <c r="H110" s="141">
        <v>1</v>
      </c>
      <c r="M110" s="23">
        <v>1</v>
      </c>
      <c r="O110" s="23">
        <v>106</v>
      </c>
    </row>
    <row r="111" spans="2:15" ht="18">
      <c r="B111" s="55">
        <v>1</v>
      </c>
      <c r="C111" s="55">
        <v>22</v>
      </c>
      <c r="D111" s="55">
        <v>1</v>
      </c>
      <c r="E111" s="55">
        <v>0</v>
      </c>
      <c r="F111" s="55">
        <v>10</v>
      </c>
      <c r="G111" s="55">
        <v>0</v>
      </c>
      <c r="H111" s="141">
        <v>0</v>
      </c>
      <c r="M111" s="23">
        <v>1</v>
      </c>
      <c r="O111" s="23">
        <v>107</v>
      </c>
    </row>
    <row r="112" spans="2:15" ht="18">
      <c r="B112" s="55">
        <v>1</v>
      </c>
      <c r="C112" s="55">
        <v>22</v>
      </c>
      <c r="D112" s="55">
        <v>3</v>
      </c>
      <c r="E112" s="55">
        <v>1</v>
      </c>
      <c r="F112" s="55">
        <v>9</v>
      </c>
      <c r="G112" s="55">
        <v>0</v>
      </c>
      <c r="H112" s="141">
        <v>0</v>
      </c>
      <c r="M112" s="23">
        <v>1</v>
      </c>
      <c r="O112" s="23">
        <v>108</v>
      </c>
    </row>
    <row r="113" spans="2:15" ht="18">
      <c r="B113" s="55">
        <v>1</v>
      </c>
      <c r="C113" s="55">
        <v>22</v>
      </c>
      <c r="D113" s="55">
        <v>4</v>
      </c>
      <c r="E113" s="55">
        <v>1</v>
      </c>
      <c r="F113" s="55">
        <v>10</v>
      </c>
      <c r="G113" s="55">
        <v>0</v>
      </c>
      <c r="H113" s="141">
        <v>0</v>
      </c>
      <c r="M113" s="23">
        <v>1</v>
      </c>
      <c r="O113" s="23">
        <v>109</v>
      </c>
    </row>
    <row r="114" spans="2:15" ht="18">
      <c r="B114" s="55">
        <v>1</v>
      </c>
      <c r="C114" s="55">
        <v>22</v>
      </c>
      <c r="D114" s="55">
        <v>2</v>
      </c>
      <c r="E114" s="55">
        <v>1</v>
      </c>
      <c r="F114" s="55">
        <v>13</v>
      </c>
      <c r="G114" s="55">
        <v>0</v>
      </c>
      <c r="H114" s="141">
        <v>0</v>
      </c>
      <c r="M114" s="23">
        <v>1</v>
      </c>
      <c r="O114" s="23">
        <v>110</v>
      </c>
    </row>
    <row r="115" spans="2:15" ht="18">
      <c r="B115" s="55">
        <v>1</v>
      </c>
      <c r="C115" s="55">
        <v>3</v>
      </c>
      <c r="D115" s="55">
        <v>6</v>
      </c>
      <c r="E115" s="55">
        <v>12</v>
      </c>
      <c r="F115" s="55">
        <v>3</v>
      </c>
      <c r="G115" s="55">
        <v>0</v>
      </c>
      <c r="H115" s="141">
        <v>0</v>
      </c>
      <c r="M115" s="23">
        <v>1</v>
      </c>
      <c r="O115" s="23">
        <v>111</v>
      </c>
    </row>
    <row r="116" spans="2:15" ht="18">
      <c r="B116" s="55">
        <v>13</v>
      </c>
      <c r="C116" s="55">
        <v>5</v>
      </c>
      <c r="D116" s="55">
        <v>1</v>
      </c>
      <c r="E116" s="55">
        <v>5</v>
      </c>
      <c r="F116" s="55">
        <v>0</v>
      </c>
      <c r="G116" s="55">
        <v>0</v>
      </c>
      <c r="H116" s="141">
        <v>5</v>
      </c>
      <c r="M116" s="23">
        <v>1</v>
      </c>
      <c r="O116" s="23">
        <v>112</v>
      </c>
    </row>
    <row r="117" spans="2:15" ht="18">
      <c r="B117" s="55">
        <v>1</v>
      </c>
      <c r="C117" s="55">
        <v>3</v>
      </c>
      <c r="D117" s="55">
        <v>4</v>
      </c>
      <c r="E117" s="55">
        <v>6</v>
      </c>
      <c r="F117" s="55">
        <v>4</v>
      </c>
      <c r="G117" s="55">
        <v>0</v>
      </c>
      <c r="H117" s="141">
        <v>2</v>
      </c>
      <c r="M117" s="23">
        <v>1</v>
      </c>
      <c r="O117" s="23">
        <v>113</v>
      </c>
    </row>
    <row r="118" spans="2:15" ht="18">
      <c r="B118" s="55">
        <v>1</v>
      </c>
      <c r="C118" s="55">
        <v>3</v>
      </c>
      <c r="D118" s="55">
        <v>3</v>
      </c>
      <c r="E118" s="55">
        <v>5</v>
      </c>
      <c r="F118" s="55">
        <v>2</v>
      </c>
      <c r="G118" s="55">
        <v>0</v>
      </c>
      <c r="H118" s="141">
        <v>4</v>
      </c>
      <c r="M118" s="23">
        <v>1</v>
      </c>
      <c r="O118" s="23">
        <v>114</v>
      </c>
    </row>
    <row r="119" spans="2:15" ht="18">
      <c r="B119" s="55">
        <v>13</v>
      </c>
      <c r="C119" s="55">
        <v>115</v>
      </c>
      <c r="D119" s="55">
        <v>4</v>
      </c>
      <c r="E119" s="55">
        <v>0</v>
      </c>
      <c r="F119" s="55">
        <v>18</v>
      </c>
      <c r="G119" s="55">
        <v>0</v>
      </c>
      <c r="H119" s="141">
        <v>0</v>
      </c>
      <c r="M119" s="23">
        <v>1</v>
      </c>
      <c r="O119" s="23">
        <v>115</v>
      </c>
    </row>
    <row r="120" spans="2:15" ht="18">
      <c r="B120" s="55">
        <v>13</v>
      </c>
      <c r="C120" s="55">
        <v>115</v>
      </c>
      <c r="D120" s="55">
        <v>3</v>
      </c>
      <c r="E120" s="55">
        <v>0</v>
      </c>
      <c r="F120" s="55">
        <v>20</v>
      </c>
      <c r="G120" s="55">
        <v>0</v>
      </c>
      <c r="H120" s="141">
        <v>0</v>
      </c>
      <c r="M120" s="23">
        <v>1</v>
      </c>
      <c r="O120" s="23">
        <v>116</v>
      </c>
    </row>
    <row r="121" spans="2:15" ht="18">
      <c r="B121" s="55">
        <v>13</v>
      </c>
      <c r="C121" s="55">
        <v>115</v>
      </c>
      <c r="D121" s="55">
        <v>2</v>
      </c>
      <c r="E121" s="55">
        <v>0</v>
      </c>
      <c r="F121" s="55">
        <v>11</v>
      </c>
      <c r="G121" s="55">
        <v>0</v>
      </c>
      <c r="H121" s="141">
        <v>0</v>
      </c>
      <c r="M121" s="23">
        <v>1</v>
      </c>
      <c r="O121" s="23">
        <v>117</v>
      </c>
    </row>
    <row r="122" spans="2:15" ht="18">
      <c r="B122" s="55">
        <v>13</v>
      </c>
      <c r="C122" s="55">
        <v>25</v>
      </c>
      <c r="D122" s="55">
        <v>5</v>
      </c>
      <c r="E122" s="55">
        <v>18</v>
      </c>
      <c r="F122" s="55">
        <v>0</v>
      </c>
      <c r="G122" s="55">
        <v>4</v>
      </c>
      <c r="H122" s="141">
        <v>0</v>
      </c>
      <c r="M122" s="23">
        <v>1</v>
      </c>
    </row>
    <row r="123" spans="2:15" ht="18">
      <c r="B123" s="55">
        <v>13</v>
      </c>
      <c r="C123" s="55">
        <v>115</v>
      </c>
      <c r="D123" s="55">
        <v>1</v>
      </c>
      <c r="E123" s="55">
        <v>0</v>
      </c>
      <c r="F123" s="55">
        <v>11</v>
      </c>
      <c r="G123" s="55">
        <v>0</v>
      </c>
      <c r="H123" s="141">
        <v>0</v>
      </c>
      <c r="M123" s="23">
        <v>1</v>
      </c>
    </row>
    <row r="124" spans="2:15" ht="18">
      <c r="B124" s="55">
        <v>13</v>
      </c>
      <c r="C124" s="55">
        <v>78</v>
      </c>
      <c r="D124" s="55">
        <v>4</v>
      </c>
      <c r="E124" s="55">
        <v>2</v>
      </c>
      <c r="F124" s="55">
        <v>23</v>
      </c>
      <c r="G124" s="55">
        <v>0</v>
      </c>
      <c r="H124" s="141">
        <v>0</v>
      </c>
      <c r="M124" s="23">
        <v>1</v>
      </c>
    </row>
    <row r="125" spans="2:15" ht="18">
      <c r="B125" s="55">
        <v>13</v>
      </c>
      <c r="C125" s="55">
        <v>78</v>
      </c>
      <c r="D125" s="55">
        <v>2</v>
      </c>
      <c r="E125" s="55">
        <v>1</v>
      </c>
      <c r="F125" s="55">
        <v>24</v>
      </c>
      <c r="G125" s="55">
        <v>0</v>
      </c>
      <c r="H125" s="141">
        <v>0</v>
      </c>
      <c r="M125" s="23">
        <v>1</v>
      </c>
    </row>
    <row r="126" spans="2:15" ht="18">
      <c r="B126" s="55">
        <v>13</v>
      </c>
      <c r="C126" s="55">
        <v>78</v>
      </c>
      <c r="D126" s="55">
        <v>3</v>
      </c>
      <c r="E126" s="55">
        <v>8</v>
      </c>
      <c r="F126" s="55">
        <v>22</v>
      </c>
      <c r="G126" s="55">
        <v>0</v>
      </c>
      <c r="H126" s="141">
        <v>0</v>
      </c>
      <c r="M126" s="23">
        <v>1</v>
      </c>
    </row>
    <row r="127" spans="2:15" ht="18">
      <c r="B127" s="55">
        <v>13</v>
      </c>
      <c r="C127" s="55">
        <v>78</v>
      </c>
      <c r="D127" s="55">
        <v>1</v>
      </c>
      <c r="E127" s="55">
        <v>0</v>
      </c>
      <c r="F127" s="55">
        <v>25</v>
      </c>
      <c r="G127" s="55">
        <v>0</v>
      </c>
      <c r="H127" s="141">
        <v>0</v>
      </c>
      <c r="M127" s="23">
        <v>1</v>
      </c>
    </row>
    <row r="128" spans="2:15" ht="18">
      <c r="B128" s="55">
        <v>13</v>
      </c>
      <c r="C128" s="55">
        <v>64</v>
      </c>
      <c r="D128" s="55">
        <v>5</v>
      </c>
      <c r="E128" s="55">
        <v>17</v>
      </c>
      <c r="F128" s="55">
        <v>2</v>
      </c>
      <c r="G128" s="55">
        <v>0</v>
      </c>
      <c r="H128" s="141">
        <v>0</v>
      </c>
      <c r="M128" s="23">
        <v>1</v>
      </c>
    </row>
    <row r="129" spans="2:13" ht="18">
      <c r="B129" s="55">
        <v>13</v>
      </c>
      <c r="C129" s="55">
        <v>64</v>
      </c>
      <c r="D129" s="55">
        <v>4</v>
      </c>
      <c r="E129" s="55">
        <v>1</v>
      </c>
      <c r="F129" s="55">
        <v>19</v>
      </c>
      <c r="G129" s="55">
        <v>0</v>
      </c>
      <c r="H129" s="141">
        <v>0</v>
      </c>
      <c r="M129" s="23">
        <v>1</v>
      </c>
    </row>
    <row r="130" spans="2:13" ht="18">
      <c r="B130" s="55">
        <v>13</v>
      </c>
      <c r="C130" s="55">
        <v>64</v>
      </c>
      <c r="D130" s="55">
        <v>3</v>
      </c>
      <c r="E130" s="55">
        <v>0</v>
      </c>
      <c r="F130" s="55">
        <v>0</v>
      </c>
      <c r="G130" s="55">
        <v>0</v>
      </c>
      <c r="H130" s="141">
        <v>0</v>
      </c>
      <c r="M130" s="23">
        <v>1</v>
      </c>
    </row>
    <row r="131" spans="2:13" ht="18">
      <c r="B131" s="55">
        <v>13</v>
      </c>
      <c r="C131" s="55">
        <v>64</v>
      </c>
      <c r="D131" s="55">
        <v>2</v>
      </c>
      <c r="E131" s="55">
        <v>0</v>
      </c>
      <c r="F131" s="55">
        <v>0</v>
      </c>
      <c r="G131" s="55">
        <v>0</v>
      </c>
      <c r="H131" s="141">
        <v>0</v>
      </c>
      <c r="M131" s="23">
        <v>1</v>
      </c>
    </row>
    <row r="132" spans="2:13" ht="18">
      <c r="B132" s="55">
        <v>13</v>
      </c>
      <c r="C132" s="55">
        <v>64</v>
      </c>
      <c r="D132" s="55">
        <v>1</v>
      </c>
      <c r="E132" s="55">
        <v>0</v>
      </c>
      <c r="F132" s="55">
        <v>0</v>
      </c>
      <c r="G132" s="55">
        <v>0</v>
      </c>
      <c r="H132" s="141">
        <v>0</v>
      </c>
      <c r="M132" s="23">
        <v>1</v>
      </c>
    </row>
    <row r="133" spans="2:13" ht="18">
      <c r="B133" s="55">
        <v>13</v>
      </c>
      <c r="C133" s="55">
        <v>27</v>
      </c>
      <c r="D133" s="55">
        <v>2</v>
      </c>
      <c r="E133" s="55">
        <v>25</v>
      </c>
      <c r="F133" s="55">
        <v>15</v>
      </c>
      <c r="G133" s="55">
        <v>25</v>
      </c>
      <c r="H133" s="141">
        <v>0</v>
      </c>
      <c r="M133" s="23">
        <v>1</v>
      </c>
    </row>
    <row r="134" spans="2:13" ht="18">
      <c r="B134" s="55">
        <v>13</v>
      </c>
      <c r="C134" s="55">
        <v>21</v>
      </c>
      <c r="D134" s="55">
        <v>4</v>
      </c>
      <c r="E134" s="55">
        <v>4</v>
      </c>
      <c r="F134" s="55">
        <v>29</v>
      </c>
      <c r="G134" s="55">
        <v>0</v>
      </c>
      <c r="H134" s="141">
        <v>1</v>
      </c>
      <c r="M134" s="23">
        <v>1</v>
      </c>
    </row>
    <row r="135" spans="2:13" ht="18">
      <c r="B135" s="55">
        <v>13</v>
      </c>
      <c r="C135" s="55">
        <v>21</v>
      </c>
      <c r="D135" s="55">
        <v>3</v>
      </c>
      <c r="E135" s="55">
        <v>1</v>
      </c>
      <c r="F135" s="55">
        <v>21</v>
      </c>
      <c r="G135" s="55">
        <v>0</v>
      </c>
      <c r="H135" s="141">
        <v>0</v>
      </c>
      <c r="M135" s="23">
        <v>1</v>
      </c>
    </row>
    <row r="136" spans="2:13" ht="18">
      <c r="B136" s="55">
        <v>13</v>
      </c>
      <c r="C136" s="55">
        <v>61</v>
      </c>
      <c r="D136" s="55">
        <v>2</v>
      </c>
      <c r="E136" s="55">
        <v>5</v>
      </c>
      <c r="F136" s="55">
        <v>13</v>
      </c>
      <c r="G136" s="55">
        <v>0</v>
      </c>
      <c r="H136" s="141">
        <v>0</v>
      </c>
      <c r="M136" s="23">
        <v>1</v>
      </c>
    </row>
    <row r="137" spans="2:13" ht="18">
      <c r="B137" s="55">
        <v>13</v>
      </c>
      <c r="C137" s="55">
        <v>11</v>
      </c>
      <c r="D137" s="55">
        <v>5</v>
      </c>
      <c r="E137" s="55">
        <v>5</v>
      </c>
      <c r="F137" s="55">
        <v>9</v>
      </c>
      <c r="G137" s="55">
        <v>0</v>
      </c>
      <c r="H137" s="141">
        <v>0</v>
      </c>
      <c r="M137" s="23">
        <v>1</v>
      </c>
    </row>
    <row r="138" spans="2:13" ht="18">
      <c r="B138" s="55">
        <v>13</v>
      </c>
      <c r="C138" s="55">
        <v>11</v>
      </c>
      <c r="D138" s="55">
        <v>4</v>
      </c>
      <c r="E138" s="55">
        <v>9</v>
      </c>
      <c r="F138" s="55">
        <v>16</v>
      </c>
      <c r="G138" s="55">
        <v>0</v>
      </c>
      <c r="H138" s="141">
        <v>1</v>
      </c>
      <c r="M138" s="23">
        <v>1</v>
      </c>
    </row>
    <row r="139" spans="2:13" ht="18">
      <c r="B139" s="55">
        <v>13</v>
      </c>
      <c r="C139" s="55">
        <v>11</v>
      </c>
      <c r="D139" s="55">
        <v>3</v>
      </c>
      <c r="E139" s="55">
        <v>4</v>
      </c>
      <c r="F139" s="55">
        <v>2</v>
      </c>
      <c r="G139" s="55">
        <v>0</v>
      </c>
      <c r="H139" s="141">
        <v>9</v>
      </c>
      <c r="M139" s="23">
        <v>1</v>
      </c>
    </row>
    <row r="140" spans="2:13" ht="18">
      <c r="B140" s="55">
        <v>13</v>
      </c>
      <c r="C140" s="55">
        <v>114</v>
      </c>
      <c r="D140" s="55">
        <v>3</v>
      </c>
      <c r="E140" s="55">
        <v>20</v>
      </c>
      <c r="F140" s="55">
        <v>4</v>
      </c>
      <c r="G140" s="55">
        <v>7</v>
      </c>
      <c r="H140" s="141">
        <v>0</v>
      </c>
      <c r="M140" s="23">
        <v>1</v>
      </c>
    </row>
    <row r="141" spans="2:13" ht="18">
      <c r="B141" s="55">
        <v>13</v>
      </c>
      <c r="C141" s="55">
        <v>114</v>
      </c>
      <c r="D141" s="55">
        <v>3</v>
      </c>
      <c r="E141" s="55">
        <v>4</v>
      </c>
      <c r="F141" s="55">
        <v>18</v>
      </c>
      <c r="G141" s="55">
        <v>2</v>
      </c>
      <c r="H141" s="141">
        <v>1</v>
      </c>
      <c r="M141" s="23">
        <v>1</v>
      </c>
    </row>
    <row r="142" spans="2:13" ht="18">
      <c r="B142" s="55">
        <v>13</v>
      </c>
      <c r="C142" s="55">
        <v>25</v>
      </c>
      <c r="D142" s="55">
        <v>3</v>
      </c>
      <c r="E142" s="55">
        <v>5</v>
      </c>
      <c r="F142" s="55">
        <v>0</v>
      </c>
      <c r="G142" s="55">
        <v>0</v>
      </c>
      <c r="H142" s="141">
        <v>0</v>
      </c>
      <c r="M142" s="23">
        <v>1</v>
      </c>
    </row>
    <row r="143" spans="2:13" ht="18">
      <c r="B143" s="55">
        <v>13</v>
      </c>
      <c r="C143" s="55">
        <v>10</v>
      </c>
      <c r="D143" s="55">
        <v>4</v>
      </c>
      <c r="E143" s="55">
        <v>1</v>
      </c>
      <c r="F143" s="55">
        <v>5</v>
      </c>
      <c r="G143" s="55">
        <v>0</v>
      </c>
      <c r="H143" s="141">
        <v>0</v>
      </c>
      <c r="M143" s="23">
        <v>1</v>
      </c>
    </row>
    <row r="144" spans="2:13" ht="18">
      <c r="B144" s="55">
        <v>13</v>
      </c>
      <c r="C144" s="55">
        <v>58</v>
      </c>
      <c r="D144" s="55">
        <v>3</v>
      </c>
      <c r="E144" s="55">
        <v>2</v>
      </c>
      <c r="F144" s="55">
        <v>2</v>
      </c>
      <c r="G144" s="55">
        <v>0</v>
      </c>
      <c r="H144" s="141">
        <v>0</v>
      </c>
      <c r="M144" s="23">
        <v>1</v>
      </c>
    </row>
    <row r="145" spans="2:13" ht="18">
      <c r="B145" s="55">
        <v>13</v>
      </c>
      <c r="C145" s="55">
        <v>58</v>
      </c>
      <c r="D145" s="55">
        <v>2</v>
      </c>
      <c r="E145" s="55">
        <v>2</v>
      </c>
      <c r="F145" s="55">
        <v>2</v>
      </c>
      <c r="G145" s="55">
        <v>0</v>
      </c>
      <c r="H145" s="141">
        <v>0</v>
      </c>
      <c r="M145" s="23">
        <v>1</v>
      </c>
    </row>
    <row r="146" spans="2:13" ht="18">
      <c r="B146" s="55">
        <v>13</v>
      </c>
      <c r="C146" s="55">
        <v>58</v>
      </c>
      <c r="D146" s="55">
        <v>1</v>
      </c>
      <c r="E146" s="55">
        <v>4</v>
      </c>
      <c r="F146" s="55">
        <v>5</v>
      </c>
      <c r="G146" s="55">
        <v>0</v>
      </c>
      <c r="H146" s="141">
        <v>0</v>
      </c>
      <c r="M146" s="23">
        <v>1</v>
      </c>
    </row>
    <row r="147" spans="2:13" ht="18">
      <c r="B147" s="55">
        <v>13</v>
      </c>
      <c r="C147" s="55">
        <v>49</v>
      </c>
      <c r="D147" s="55">
        <v>4</v>
      </c>
      <c r="E147" s="55">
        <v>14</v>
      </c>
      <c r="F147" s="55">
        <v>6</v>
      </c>
      <c r="G147" s="55">
        <v>1</v>
      </c>
      <c r="H147" s="141">
        <v>0</v>
      </c>
      <c r="M147" s="23">
        <v>1</v>
      </c>
    </row>
    <row r="148" spans="2:13" ht="18">
      <c r="B148" s="55">
        <v>13</v>
      </c>
      <c r="C148" s="55">
        <v>49</v>
      </c>
      <c r="D148" s="55">
        <v>3</v>
      </c>
      <c r="E148" s="55">
        <v>8</v>
      </c>
      <c r="F148" s="55">
        <v>7</v>
      </c>
      <c r="G148" s="55">
        <v>0</v>
      </c>
      <c r="H148" s="141">
        <v>0</v>
      </c>
      <c r="M148" s="23">
        <v>1</v>
      </c>
    </row>
    <row r="149" spans="2:13" ht="18">
      <c r="B149" s="55">
        <v>13</v>
      </c>
      <c r="C149" s="55">
        <v>109</v>
      </c>
      <c r="D149" s="55">
        <v>6</v>
      </c>
      <c r="E149" s="55">
        <v>16</v>
      </c>
      <c r="F149" s="55">
        <v>2</v>
      </c>
      <c r="G149" s="55">
        <v>0</v>
      </c>
      <c r="H149" s="141">
        <v>0</v>
      </c>
      <c r="M149" s="23">
        <v>1</v>
      </c>
    </row>
    <row r="150" spans="2:13" ht="18">
      <c r="B150" s="55">
        <v>13</v>
      </c>
      <c r="C150" s="55">
        <v>109</v>
      </c>
      <c r="D150" s="55">
        <v>5</v>
      </c>
      <c r="E150" s="55">
        <v>16</v>
      </c>
      <c r="F150" s="55">
        <v>0</v>
      </c>
      <c r="G150" s="55">
        <v>0</v>
      </c>
      <c r="H150" s="141">
        <v>0</v>
      </c>
      <c r="M150" s="23">
        <v>1</v>
      </c>
    </row>
    <row r="151" spans="2:13" ht="18">
      <c r="B151" s="55">
        <v>13</v>
      </c>
      <c r="C151" s="55">
        <v>109</v>
      </c>
      <c r="D151" s="55">
        <v>4</v>
      </c>
      <c r="E151" s="55">
        <v>18</v>
      </c>
      <c r="F151" s="55">
        <v>4</v>
      </c>
      <c r="G151" s="55">
        <v>0</v>
      </c>
      <c r="H151" s="141">
        <v>0</v>
      </c>
      <c r="M151" s="23">
        <v>1</v>
      </c>
    </row>
    <row r="152" spans="2:13" ht="18">
      <c r="B152" s="55">
        <v>13</v>
      </c>
      <c r="C152" s="55">
        <v>109</v>
      </c>
      <c r="D152" s="55">
        <v>3</v>
      </c>
      <c r="E152" s="55">
        <v>15</v>
      </c>
      <c r="F152" s="55">
        <v>7</v>
      </c>
      <c r="G152" s="55">
        <v>0</v>
      </c>
      <c r="H152" s="141">
        <v>0</v>
      </c>
      <c r="M152" s="23">
        <v>1</v>
      </c>
    </row>
    <row r="153" spans="2:13" ht="18">
      <c r="B153" s="55">
        <v>13</v>
      </c>
      <c r="C153" s="55">
        <v>109</v>
      </c>
      <c r="D153" s="55">
        <v>2</v>
      </c>
      <c r="E153" s="55">
        <v>3</v>
      </c>
      <c r="F153" s="55">
        <v>5</v>
      </c>
      <c r="G153" s="55">
        <v>0</v>
      </c>
      <c r="H153" s="141">
        <v>0</v>
      </c>
      <c r="M153" s="23">
        <v>1</v>
      </c>
    </row>
    <row r="154" spans="2:13" ht="18">
      <c r="B154" s="55">
        <v>13</v>
      </c>
      <c r="C154" s="55">
        <v>114</v>
      </c>
      <c r="D154" s="55">
        <v>5</v>
      </c>
      <c r="E154" s="55">
        <v>11</v>
      </c>
      <c r="F154" s="55">
        <v>3</v>
      </c>
      <c r="G154" s="55">
        <v>4</v>
      </c>
      <c r="H154" s="141">
        <v>4</v>
      </c>
      <c r="M154" s="23">
        <v>1</v>
      </c>
    </row>
    <row r="155" spans="2:13" ht="18">
      <c r="B155" s="55">
        <v>1</v>
      </c>
      <c r="C155" s="55">
        <v>27</v>
      </c>
      <c r="D155" s="55">
        <v>1</v>
      </c>
      <c r="E155" s="55">
        <v>45</v>
      </c>
      <c r="F155" s="55">
        <v>15</v>
      </c>
      <c r="G155" s="55">
        <v>0</v>
      </c>
      <c r="H155" s="141">
        <v>1</v>
      </c>
      <c r="M155" s="23">
        <v>1</v>
      </c>
    </row>
    <row r="156" spans="2:13" ht="18">
      <c r="B156" s="55">
        <v>13</v>
      </c>
      <c r="C156" s="55">
        <v>102</v>
      </c>
      <c r="D156" s="55">
        <v>3</v>
      </c>
      <c r="E156" s="55">
        <v>5</v>
      </c>
      <c r="F156" s="55">
        <v>10</v>
      </c>
      <c r="G156" s="55">
        <v>0</v>
      </c>
      <c r="H156" s="141">
        <v>0</v>
      </c>
      <c r="M156" s="23">
        <v>1</v>
      </c>
    </row>
    <row r="157" spans="2:13" ht="18">
      <c r="B157" s="55">
        <v>13</v>
      </c>
      <c r="C157" s="55">
        <v>102</v>
      </c>
      <c r="D157" s="55">
        <v>3</v>
      </c>
      <c r="E157" s="55">
        <v>10</v>
      </c>
      <c r="F157" s="55">
        <v>7</v>
      </c>
      <c r="G157" s="55">
        <v>3</v>
      </c>
      <c r="H157" s="141">
        <v>0</v>
      </c>
      <c r="M157" s="23">
        <v>1</v>
      </c>
    </row>
    <row r="158" spans="2:13" ht="18">
      <c r="B158" s="55">
        <v>13</v>
      </c>
      <c r="C158" s="55">
        <v>102</v>
      </c>
      <c r="D158" s="55">
        <v>2</v>
      </c>
      <c r="E158" s="55">
        <v>4</v>
      </c>
      <c r="F158" s="55">
        <v>8</v>
      </c>
      <c r="G158" s="55">
        <v>0</v>
      </c>
      <c r="H158" s="141">
        <v>0</v>
      </c>
      <c r="M158" s="23">
        <v>1</v>
      </c>
    </row>
    <row r="159" spans="2:13" ht="18">
      <c r="B159" s="55">
        <v>13</v>
      </c>
      <c r="C159" s="55">
        <v>47</v>
      </c>
      <c r="D159" s="55">
        <v>3</v>
      </c>
      <c r="E159" s="55">
        <v>8</v>
      </c>
      <c r="F159" s="55">
        <v>8</v>
      </c>
      <c r="G159" s="55">
        <v>0</v>
      </c>
      <c r="H159" s="141">
        <v>1</v>
      </c>
      <c r="M159" s="23">
        <v>1</v>
      </c>
    </row>
    <row r="160" spans="2:13" ht="18">
      <c r="B160" s="55">
        <v>13</v>
      </c>
      <c r="C160" s="55">
        <v>47</v>
      </c>
      <c r="D160" s="55">
        <v>4</v>
      </c>
      <c r="E160" s="55">
        <v>10</v>
      </c>
      <c r="F160" s="55">
        <v>4</v>
      </c>
      <c r="G160" s="55">
        <v>0</v>
      </c>
      <c r="H160" s="141">
        <v>0</v>
      </c>
      <c r="M160" s="23">
        <v>1</v>
      </c>
    </row>
    <row r="161" spans="2:13" ht="18">
      <c r="B161" s="55">
        <v>13</v>
      </c>
      <c r="C161" s="55">
        <v>11</v>
      </c>
      <c r="D161" s="55">
        <v>1</v>
      </c>
      <c r="E161" s="55">
        <v>2</v>
      </c>
      <c r="F161" s="55">
        <v>11</v>
      </c>
      <c r="G161" s="55">
        <v>0</v>
      </c>
      <c r="H161" s="141">
        <v>0</v>
      </c>
      <c r="M161" s="23">
        <v>1</v>
      </c>
    </row>
    <row r="162" spans="2:13" ht="18">
      <c r="B162" s="55">
        <v>13</v>
      </c>
      <c r="C162" s="55">
        <v>11</v>
      </c>
      <c r="D162" s="55">
        <v>2</v>
      </c>
      <c r="E162" s="55">
        <v>4</v>
      </c>
      <c r="F162" s="55">
        <v>9</v>
      </c>
      <c r="G162" s="55">
        <v>0</v>
      </c>
      <c r="H162" s="141">
        <v>0</v>
      </c>
      <c r="M162" s="23">
        <v>1</v>
      </c>
    </row>
    <row r="163" spans="2:13" ht="18">
      <c r="B163" s="55">
        <v>13</v>
      </c>
      <c r="C163" s="55">
        <v>62</v>
      </c>
      <c r="D163" s="55">
        <v>4</v>
      </c>
      <c r="E163" s="55">
        <v>8</v>
      </c>
      <c r="F163" s="55">
        <v>12</v>
      </c>
      <c r="G163" s="55">
        <v>0</v>
      </c>
      <c r="H163" s="141">
        <v>0</v>
      </c>
      <c r="M163" s="23">
        <v>1</v>
      </c>
    </row>
    <row r="164" spans="2:13" ht="18">
      <c r="B164" s="55">
        <v>13</v>
      </c>
      <c r="C164" s="55">
        <v>62</v>
      </c>
      <c r="D164" s="55">
        <v>3</v>
      </c>
      <c r="E164" s="55">
        <v>6</v>
      </c>
      <c r="F164" s="55">
        <v>14</v>
      </c>
      <c r="G164" s="55">
        <v>0</v>
      </c>
      <c r="H164" s="141">
        <v>0</v>
      </c>
      <c r="M164" s="23">
        <v>1</v>
      </c>
    </row>
    <row r="165" spans="2:13" ht="18">
      <c r="B165" s="55">
        <v>13</v>
      </c>
      <c r="C165" s="55">
        <v>62</v>
      </c>
      <c r="D165" s="55">
        <v>1</v>
      </c>
      <c r="E165" s="55">
        <v>4</v>
      </c>
      <c r="F165" s="55">
        <v>12</v>
      </c>
      <c r="G165" s="55">
        <v>0</v>
      </c>
      <c r="H165" s="141">
        <v>0</v>
      </c>
      <c r="M165" s="23">
        <v>1</v>
      </c>
    </row>
    <row r="166" spans="2:13" ht="18">
      <c r="B166" s="55">
        <v>13</v>
      </c>
      <c r="C166" s="55">
        <v>21</v>
      </c>
      <c r="D166" s="55">
        <v>5</v>
      </c>
      <c r="E166" s="55">
        <v>0</v>
      </c>
      <c r="F166" s="55">
        <v>28</v>
      </c>
      <c r="G166" s="55">
        <v>0</v>
      </c>
      <c r="H166" s="141">
        <v>0</v>
      </c>
      <c r="M166" s="23">
        <v>1</v>
      </c>
    </row>
    <row r="167" spans="2:13" ht="18">
      <c r="B167" s="55">
        <v>1</v>
      </c>
      <c r="C167" s="55">
        <v>2</v>
      </c>
      <c r="D167" s="55">
        <v>2</v>
      </c>
      <c r="E167" s="55">
        <v>3</v>
      </c>
      <c r="F167" s="55">
        <v>2</v>
      </c>
      <c r="G167" s="55">
        <v>0</v>
      </c>
      <c r="H167" s="141">
        <v>2</v>
      </c>
      <c r="M167" s="23">
        <v>1</v>
      </c>
    </row>
    <row r="168" spans="2:13" ht="18">
      <c r="B168" s="55">
        <v>1</v>
      </c>
      <c r="C168" s="55">
        <v>2</v>
      </c>
      <c r="D168" s="55">
        <v>8</v>
      </c>
      <c r="E168" s="55">
        <v>15</v>
      </c>
      <c r="F168" s="55">
        <v>0</v>
      </c>
      <c r="G168" s="55">
        <v>0</v>
      </c>
      <c r="H168" s="141">
        <v>2</v>
      </c>
      <c r="M168" s="23">
        <v>1</v>
      </c>
    </row>
    <row r="169" spans="2:13" ht="18">
      <c r="B169" s="55">
        <v>1</v>
      </c>
      <c r="C169" s="55">
        <v>2</v>
      </c>
      <c r="D169" s="55">
        <v>7</v>
      </c>
      <c r="E169" s="55">
        <v>23</v>
      </c>
      <c r="F169" s="55">
        <v>2</v>
      </c>
      <c r="G169" s="55">
        <v>0</v>
      </c>
      <c r="H169" s="141">
        <v>0</v>
      </c>
      <c r="M169" s="23">
        <v>1</v>
      </c>
    </row>
    <row r="170" spans="2:13" ht="18">
      <c r="B170" s="55">
        <v>1</v>
      </c>
      <c r="C170" s="55">
        <v>2</v>
      </c>
      <c r="D170" s="55">
        <v>6</v>
      </c>
      <c r="E170" s="55">
        <v>9</v>
      </c>
      <c r="F170" s="55">
        <v>7</v>
      </c>
      <c r="G170" s="55">
        <v>0</v>
      </c>
      <c r="H170" s="141">
        <v>6</v>
      </c>
      <c r="M170" s="23">
        <v>1</v>
      </c>
    </row>
    <row r="171" spans="2:13" ht="18">
      <c r="B171" s="55">
        <v>1</v>
      </c>
      <c r="C171" s="55">
        <v>2</v>
      </c>
      <c r="D171" s="55">
        <v>5</v>
      </c>
      <c r="E171" s="55">
        <v>3</v>
      </c>
      <c r="F171" s="55">
        <v>4</v>
      </c>
      <c r="G171" s="55">
        <v>0</v>
      </c>
      <c r="H171" s="141">
        <v>1</v>
      </c>
      <c r="M171" s="23">
        <v>1</v>
      </c>
    </row>
    <row r="172" spans="2:13" ht="18">
      <c r="B172" s="55">
        <v>1</v>
      </c>
      <c r="C172" s="55">
        <v>2</v>
      </c>
      <c r="D172" s="55">
        <v>4</v>
      </c>
      <c r="E172" s="55">
        <v>4</v>
      </c>
      <c r="F172" s="55">
        <v>2</v>
      </c>
      <c r="G172" s="55">
        <v>0</v>
      </c>
      <c r="H172" s="141">
        <v>4</v>
      </c>
      <c r="M172" s="23">
        <v>1</v>
      </c>
    </row>
    <row r="173" spans="2:13" ht="18">
      <c r="B173" s="55">
        <v>1</v>
      </c>
      <c r="C173" s="55">
        <v>2</v>
      </c>
      <c r="D173" s="55">
        <v>3</v>
      </c>
      <c r="E173" s="55">
        <v>4</v>
      </c>
      <c r="F173" s="55">
        <v>3</v>
      </c>
      <c r="G173" s="55">
        <v>0</v>
      </c>
      <c r="H173" s="141">
        <v>0</v>
      </c>
      <c r="M173" s="23">
        <v>1</v>
      </c>
    </row>
    <row r="174" spans="2:13" ht="18">
      <c r="B174" s="55">
        <v>1</v>
      </c>
      <c r="C174" s="55">
        <v>22</v>
      </c>
      <c r="D174" s="55">
        <v>8</v>
      </c>
      <c r="E174" s="55">
        <v>2</v>
      </c>
      <c r="F174" s="55">
        <v>23</v>
      </c>
      <c r="G174" s="55">
        <v>0</v>
      </c>
      <c r="H174" s="141">
        <v>0</v>
      </c>
      <c r="M174" s="23">
        <v>1</v>
      </c>
    </row>
    <row r="175" spans="2:13" ht="18">
      <c r="B175" s="55">
        <v>1</v>
      </c>
      <c r="C175" s="55">
        <v>22</v>
      </c>
      <c r="D175" s="55">
        <v>7</v>
      </c>
      <c r="E175" s="55">
        <v>0</v>
      </c>
      <c r="F175" s="55">
        <v>23</v>
      </c>
      <c r="G175" s="55">
        <v>0</v>
      </c>
      <c r="H175" s="141">
        <v>0</v>
      </c>
      <c r="M175" s="23">
        <v>1</v>
      </c>
    </row>
    <row r="176" spans="2:13" ht="18">
      <c r="B176" s="55">
        <v>1</v>
      </c>
      <c r="C176" s="55">
        <v>22</v>
      </c>
      <c r="D176" s="55">
        <v>6</v>
      </c>
      <c r="E176" s="55">
        <v>1</v>
      </c>
      <c r="F176" s="55">
        <v>13</v>
      </c>
      <c r="G176" s="55">
        <v>0</v>
      </c>
      <c r="H176" s="141">
        <v>0</v>
      </c>
      <c r="M176" s="23">
        <v>1</v>
      </c>
    </row>
    <row r="177" spans="2:13" ht="18">
      <c r="B177" s="55">
        <v>1</v>
      </c>
      <c r="C177" s="55">
        <v>22</v>
      </c>
      <c r="D177" s="55">
        <v>5</v>
      </c>
      <c r="E177" s="55">
        <v>1</v>
      </c>
      <c r="F177" s="55">
        <v>10</v>
      </c>
      <c r="G177" s="55">
        <v>0</v>
      </c>
      <c r="H177" s="141">
        <v>0</v>
      </c>
      <c r="M177" s="23">
        <v>1</v>
      </c>
    </row>
    <row r="178" spans="2:13" ht="18">
      <c r="B178" s="55">
        <v>13</v>
      </c>
      <c r="C178" s="55">
        <v>102</v>
      </c>
      <c r="D178" s="55">
        <v>6</v>
      </c>
      <c r="E178" s="55">
        <v>4</v>
      </c>
      <c r="F178" s="55">
        <v>7</v>
      </c>
      <c r="G178" s="55">
        <v>0</v>
      </c>
      <c r="H178" s="141">
        <v>0</v>
      </c>
      <c r="M178" s="23">
        <v>1</v>
      </c>
    </row>
    <row r="179" spans="2:13" ht="18">
      <c r="B179" s="55">
        <v>13</v>
      </c>
      <c r="C179" s="55">
        <v>102</v>
      </c>
      <c r="D179" s="55">
        <v>7</v>
      </c>
      <c r="E179" s="55">
        <v>3</v>
      </c>
      <c r="F179" s="55">
        <v>8</v>
      </c>
      <c r="G179" s="55">
        <v>2</v>
      </c>
      <c r="H179" s="141">
        <v>0</v>
      </c>
      <c r="M179" s="23">
        <v>1</v>
      </c>
    </row>
    <row r="180" spans="2:13" ht="18">
      <c r="B180" s="55">
        <v>13</v>
      </c>
      <c r="C180" s="55">
        <v>102</v>
      </c>
      <c r="D180" s="55">
        <v>7</v>
      </c>
      <c r="E180" s="55">
        <v>3</v>
      </c>
      <c r="F180" s="55">
        <v>8</v>
      </c>
      <c r="G180" s="55">
        <v>2</v>
      </c>
      <c r="H180" s="141">
        <v>0</v>
      </c>
      <c r="M180" s="23">
        <v>1</v>
      </c>
    </row>
    <row r="181" spans="2:13" ht="18">
      <c r="B181" s="55">
        <v>13</v>
      </c>
      <c r="C181" s="55">
        <v>102</v>
      </c>
      <c r="D181" s="55">
        <v>5</v>
      </c>
      <c r="E181" s="55">
        <v>5</v>
      </c>
      <c r="F181" s="55">
        <v>7</v>
      </c>
      <c r="G181" s="55">
        <v>0</v>
      </c>
      <c r="H181" s="141">
        <v>0</v>
      </c>
      <c r="M181" s="23">
        <v>1</v>
      </c>
    </row>
    <row r="182" spans="2:13" ht="18">
      <c r="B182" s="55">
        <v>13</v>
      </c>
      <c r="C182" s="55">
        <v>41</v>
      </c>
      <c r="D182" s="55">
        <v>6</v>
      </c>
      <c r="E182" s="55">
        <v>11</v>
      </c>
      <c r="F182" s="55">
        <v>5</v>
      </c>
      <c r="G182" s="55">
        <v>0</v>
      </c>
      <c r="H182" s="141">
        <v>0</v>
      </c>
      <c r="M182" s="23">
        <v>1</v>
      </c>
    </row>
    <row r="183" spans="2:13" ht="18">
      <c r="B183" s="55">
        <v>13</v>
      </c>
      <c r="C183" s="55">
        <v>75</v>
      </c>
      <c r="D183" s="55">
        <v>3</v>
      </c>
      <c r="E183" s="55">
        <v>2</v>
      </c>
      <c r="F183" s="55">
        <v>23</v>
      </c>
      <c r="G183" s="55">
        <v>0</v>
      </c>
      <c r="H183" s="141">
        <v>0</v>
      </c>
      <c r="M183" s="23">
        <v>1</v>
      </c>
    </row>
    <row r="184" spans="2:13" ht="18">
      <c r="B184" s="55">
        <v>13</v>
      </c>
      <c r="C184" s="55">
        <v>36</v>
      </c>
      <c r="D184" s="55">
        <v>6</v>
      </c>
      <c r="E184" s="55">
        <v>18</v>
      </c>
      <c r="F184" s="55">
        <v>9</v>
      </c>
      <c r="G184" s="55">
        <v>0</v>
      </c>
      <c r="H184" s="141">
        <v>0</v>
      </c>
      <c r="M184" s="23">
        <v>1</v>
      </c>
    </row>
    <row r="185" spans="2:13" ht="18">
      <c r="B185" s="55">
        <v>13</v>
      </c>
      <c r="C185" s="55">
        <v>116</v>
      </c>
      <c r="D185" s="55">
        <v>7</v>
      </c>
      <c r="E185" s="55">
        <v>15</v>
      </c>
      <c r="F185" s="55">
        <v>0</v>
      </c>
      <c r="G185" s="55">
        <v>0</v>
      </c>
      <c r="H185" s="141">
        <v>0</v>
      </c>
      <c r="M185" s="23">
        <v>1</v>
      </c>
    </row>
    <row r="186" spans="2:13" ht="18">
      <c r="B186" s="55">
        <v>1</v>
      </c>
      <c r="C186" s="55">
        <v>67</v>
      </c>
      <c r="D186" s="55">
        <v>7</v>
      </c>
      <c r="E186" s="55">
        <v>0</v>
      </c>
      <c r="F186" s="55">
        <v>10</v>
      </c>
      <c r="G186" s="55">
        <v>0</v>
      </c>
      <c r="H186" s="141">
        <v>0</v>
      </c>
      <c r="M186" s="23">
        <v>1</v>
      </c>
    </row>
    <row r="187" spans="2:13" ht="18">
      <c r="B187" s="55">
        <v>1</v>
      </c>
      <c r="C187" s="55">
        <v>67</v>
      </c>
      <c r="D187" s="55">
        <v>6</v>
      </c>
      <c r="E187" s="55">
        <v>0</v>
      </c>
      <c r="F187" s="55">
        <v>31</v>
      </c>
      <c r="G187" s="55">
        <v>0</v>
      </c>
      <c r="H187" s="141">
        <v>0</v>
      </c>
      <c r="M187" s="23">
        <v>1</v>
      </c>
    </row>
    <row r="188" spans="2:13" ht="18">
      <c r="B188" s="55">
        <v>1</v>
      </c>
      <c r="C188" s="55">
        <v>67</v>
      </c>
      <c r="D188" s="55">
        <v>5</v>
      </c>
      <c r="E188" s="55">
        <v>0</v>
      </c>
      <c r="F188" s="55">
        <v>28</v>
      </c>
      <c r="G188" s="55">
        <v>0</v>
      </c>
      <c r="H188" s="141">
        <v>0</v>
      </c>
      <c r="M188" s="23">
        <v>1</v>
      </c>
    </row>
    <row r="189" spans="2:13" ht="18">
      <c r="B189" s="55">
        <v>1</v>
      </c>
      <c r="C189" s="55">
        <v>39</v>
      </c>
      <c r="D189" s="55">
        <v>3</v>
      </c>
      <c r="E189" s="55">
        <v>8</v>
      </c>
      <c r="F189" s="55">
        <v>15</v>
      </c>
      <c r="G189" s="55">
        <v>0</v>
      </c>
      <c r="H189" s="141">
        <v>2</v>
      </c>
      <c r="M189" s="23">
        <v>1</v>
      </c>
    </row>
    <row r="190" spans="2:13" ht="18">
      <c r="B190" s="55">
        <v>1</v>
      </c>
      <c r="C190" s="55">
        <v>61</v>
      </c>
      <c r="D190" s="55">
        <v>7</v>
      </c>
      <c r="E190" s="55">
        <v>3</v>
      </c>
      <c r="F190" s="55">
        <v>19</v>
      </c>
      <c r="G190" s="55">
        <v>0</v>
      </c>
      <c r="H190" s="141">
        <v>2</v>
      </c>
      <c r="M190" s="23">
        <v>1</v>
      </c>
    </row>
    <row r="191" spans="2:13" ht="18">
      <c r="B191" s="55">
        <v>13</v>
      </c>
      <c r="C191" s="55">
        <v>49</v>
      </c>
      <c r="D191" s="55">
        <v>6</v>
      </c>
      <c r="E191" s="55">
        <v>15</v>
      </c>
      <c r="F191" s="55">
        <v>8</v>
      </c>
      <c r="G191" s="55">
        <v>0</v>
      </c>
      <c r="H191" s="141">
        <v>0</v>
      </c>
      <c r="M191" s="23">
        <v>1</v>
      </c>
    </row>
    <row r="192" spans="2:13" ht="18">
      <c r="B192" s="55">
        <v>1</v>
      </c>
      <c r="C192" s="55">
        <v>69</v>
      </c>
      <c r="D192" s="55">
        <v>7</v>
      </c>
      <c r="E192" s="55">
        <v>3</v>
      </c>
      <c r="F192" s="55">
        <v>12</v>
      </c>
      <c r="G192" s="55">
        <v>0</v>
      </c>
      <c r="H192" s="141">
        <v>0</v>
      </c>
      <c r="M192" s="23">
        <v>1</v>
      </c>
    </row>
    <row r="193" spans="2:13" ht="18">
      <c r="B193" s="55">
        <v>1</v>
      </c>
      <c r="C193" s="55">
        <v>64</v>
      </c>
      <c r="D193" s="55">
        <v>6</v>
      </c>
      <c r="E193" s="55">
        <v>15</v>
      </c>
      <c r="F193" s="55">
        <v>8</v>
      </c>
      <c r="G193" s="55">
        <v>0</v>
      </c>
      <c r="H193" s="141">
        <v>0</v>
      </c>
      <c r="M193" s="23">
        <v>1</v>
      </c>
    </row>
    <row r="194" spans="2:13" ht="18">
      <c r="B194" s="55">
        <v>1</v>
      </c>
      <c r="C194" s="55">
        <v>64</v>
      </c>
      <c r="D194" s="55">
        <v>5</v>
      </c>
      <c r="E194" s="55">
        <v>17</v>
      </c>
      <c r="F194" s="55">
        <v>2</v>
      </c>
      <c r="G194" s="55">
        <v>0</v>
      </c>
      <c r="H194" s="141">
        <v>0</v>
      </c>
      <c r="M194" s="23">
        <v>1</v>
      </c>
    </row>
    <row r="195" spans="2:13" ht="18">
      <c r="B195" s="55">
        <v>1</v>
      </c>
      <c r="C195" s="55">
        <v>48</v>
      </c>
      <c r="D195" s="55">
        <v>7</v>
      </c>
      <c r="E195" s="55">
        <v>5</v>
      </c>
      <c r="F195" s="55">
        <v>20</v>
      </c>
      <c r="G195" s="55">
        <v>0</v>
      </c>
      <c r="H195" s="141">
        <v>0</v>
      </c>
      <c r="M195" s="23">
        <v>1</v>
      </c>
    </row>
    <row r="196" spans="2:13" ht="18">
      <c r="B196" s="55">
        <v>1</v>
      </c>
      <c r="C196" s="55">
        <v>48</v>
      </c>
      <c r="D196" s="55">
        <v>6</v>
      </c>
      <c r="E196" s="55">
        <v>10</v>
      </c>
      <c r="F196" s="55">
        <v>20</v>
      </c>
      <c r="G196" s="55">
        <v>0</v>
      </c>
      <c r="H196" s="141">
        <v>0</v>
      </c>
      <c r="M196" s="23">
        <v>1</v>
      </c>
    </row>
    <row r="197" spans="2:13" ht="18">
      <c r="B197" s="55">
        <v>1</v>
      </c>
      <c r="C197" s="55">
        <v>48</v>
      </c>
      <c r="D197" s="55">
        <v>6</v>
      </c>
      <c r="E197" s="55">
        <v>10</v>
      </c>
      <c r="F197" s="55">
        <v>20</v>
      </c>
      <c r="G197" s="55">
        <v>0</v>
      </c>
      <c r="H197" s="141">
        <v>0</v>
      </c>
      <c r="M197" s="23">
        <v>1</v>
      </c>
    </row>
    <row r="198" spans="2:13" ht="18">
      <c r="B198" s="55">
        <v>1</v>
      </c>
      <c r="C198" s="55">
        <v>48</v>
      </c>
      <c r="D198" s="55">
        <v>5</v>
      </c>
      <c r="E198" s="55">
        <v>8</v>
      </c>
      <c r="F198" s="55">
        <v>10</v>
      </c>
      <c r="G198" s="55">
        <v>0</v>
      </c>
      <c r="H198" s="141">
        <v>0</v>
      </c>
      <c r="M198" s="23">
        <v>1</v>
      </c>
    </row>
    <row r="199" spans="2:13" ht="18">
      <c r="B199" s="55">
        <v>1</v>
      </c>
      <c r="C199" s="55">
        <v>48</v>
      </c>
      <c r="D199" s="55">
        <v>4</v>
      </c>
      <c r="E199" s="55">
        <v>10</v>
      </c>
      <c r="F199" s="55">
        <v>10</v>
      </c>
      <c r="G199" s="55">
        <v>0</v>
      </c>
      <c r="H199" s="141">
        <v>0</v>
      </c>
      <c r="M199" s="23">
        <v>1</v>
      </c>
    </row>
    <row r="200" spans="2:13" ht="18">
      <c r="B200" s="55">
        <v>1</v>
      </c>
      <c r="C200" s="55">
        <v>48</v>
      </c>
      <c r="D200" s="55">
        <v>3</v>
      </c>
      <c r="E200" s="55">
        <v>0</v>
      </c>
      <c r="F200" s="55">
        <v>0</v>
      </c>
      <c r="G200" s="55">
        <v>0</v>
      </c>
      <c r="H200" s="141">
        <v>0</v>
      </c>
      <c r="M200" s="23">
        <v>1</v>
      </c>
    </row>
    <row r="201" spans="2:13" ht="18">
      <c r="B201" s="55">
        <v>1</v>
      </c>
      <c r="C201" s="55">
        <v>48</v>
      </c>
      <c r="D201" s="55">
        <v>2</v>
      </c>
      <c r="E201" s="55">
        <v>0</v>
      </c>
      <c r="F201" s="55">
        <v>0</v>
      </c>
      <c r="G201" s="55">
        <v>0</v>
      </c>
      <c r="H201" s="141">
        <v>0</v>
      </c>
      <c r="M201" s="23">
        <v>1</v>
      </c>
    </row>
    <row r="202" spans="2:13" ht="18">
      <c r="B202" s="55">
        <v>1</v>
      </c>
      <c r="C202" s="55">
        <v>48</v>
      </c>
      <c r="D202" s="55">
        <v>1</v>
      </c>
      <c r="E202" s="55">
        <v>0</v>
      </c>
      <c r="F202" s="55">
        <v>0</v>
      </c>
      <c r="G202" s="55">
        <v>0</v>
      </c>
      <c r="H202" s="141">
        <v>0</v>
      </c>
      <c r="M202" s="23">
        <v>1</v>
      </c>
    </row>
    <row r="203" spans="2:13" ht="18">
      <c r="B203" s="55">
        <v>13</v>
      </c>
      <c r="C203" s="55">
        <v>51</v>
      </c>
      <c r="D203" s="55">
        <v>6</v>
      </c>
      <c r="E203" s="55">
        <v>1</v>
      </c>
      <c r="F203" s="55">
        <v>0</v>
      </c>
      <c r="G203" s="55">
        <v>0</v>
      </c>
      <c r="H203" s="141">
        <v>0</v>
      </c>
      <c r="M203" s="23">
        <v>1</v>
      </c>
    </row>
    <row r="204" spans="2:13" ht="18">
      <c r="B204" s="55">
        <v>13</v>
      </c>
      <c r="C204" s="55">
        <v>27</v>
      </c>
      <c r="D204" s="55">
        <v>3</v>
      </c>
      <c r="E204" s="55">
        <v>25</v>
      </c>
      <c r="F204" s="55">
        <v>15</v>
      </c>
      <c r="G204" s="55">
        <v>0</v>
      </c>
      <c r="H204" s="141">
        <v>0</v>
      </c>
      <c r="M204" s="23">
        <v>1</v>
      </c>
    </row>
    <row r="205" spans="2:13" ht="18">
      <c r="B205" s="55">
        <v>13</v>
      </c>
      <c r="C205" s="55">
        <v>66</v>
      </c>
      <c r="D205" s="55">
        <v>6</v>
      </c>
      <c r="E205" s="55">
        <v>5</v>
      </c>
      <c r="F205" s="55">
        <v>10</v>
      </c>
      <c r="G205" s="55">
        <v>0</v>
      </c>
      <c r="H205" s="141">
        <v>0</v>
      </c>
      <c r="M205" s="23">
        <v>1</v>
      </c>
    </row>
    <row r="206" spans="2:13" ht="18">
      <c r="B206" s="55">
        <v>13</v>
      </c>
      <c r="C206" s="55">
        <v>66</v>
      </c>
      <c r="D206" s="55">
        <v>7</v>
      </c>
      <c r="E206" s="55">
        <v>10</v>
      </c>
      <c r="F206" s="55">
        <v>10</v>
      </c>
      <c r="G206" s="55">
        <v>0</v>
      </c>
      <c r="H206" s="141">
        <v>3</v>
      </c>
      <c r="M206" s="23">
        <v>1</v>
      </c>
    </row>
    <row r="207" spans="2:13" ht="18">
      <c r="B207" s="55">
        <v>13</v>
      </c>
      <c r="C207" s="55">
        <v>21</v>
      </c>
      <c r="D207" s="55">
        <v>6</v>
      </c>
      <c r="E207" s="55">
        <v>2</v>
      </c>
      <c r="F207" s="55">
        <v>23</v>
      </c>
      <c r="G207" s="55">
        <v>0</v>
      </c>
      <c r="H207" s="141">
        <v>0</v>
      </c>
      <c r="M207" s="23">
        <v>1</v>
      </c>
    </row>
    <row r="208" spans="2:13" ht="18">
      <c r="B208" s="55">
        <v>13</v>
      </c>
      <c r="C208" s="55">
        <v>21</v>
      </c>
      <c r="D208" s="55">
        <v>7</v>
      </c>
      <c r="E208" s="55">
        <v>2</v>
      </c>
      <c r="F208" s="55">
        <v>20</v>
      </c>
      <c r="G208" s="55">
        <v>0</v>
      </c>
      <c r="H208" s="141">
        <v>0</v>
      </c>
      <c r="M208" s="23">
        <v>1</v>
      </c>
    </row>
    <row r="209" spans="2:13" ht="18">
      <c r="B209" s="55">
        <v>1</v>
      </c>
      <c r="C209" s="55">
        <v>27</v>
      </c>
      <c r="D209" s="55">
        <v>6</v>
      </c>
      <c r="E209" s="55">
        <v>20</v>
      </c>
      <c r="F209" s="55">
        <v>15</v>
      </c>
      <c r="G209" s="55">
        <v>0</v>
      </c>
      <c r="H209" s="141">
        <v>0</v>
      </c>
      <c r="M209" s="23">
        <v>1</v>
      </c>
    </row>
    <row r="210" spans="2:13" ht="18">
      <c r="B210" s="55">
        <v>1</v>
      </c>
      <c r="C210" s="55">
        <v>27</v>
      </c>
      <c r="D210" s="55">
        <v>5</v>
      </c>
      <c r="E210" s="55">
        <v>45</v>
      </c>
      <c r="F210" s="55">
        <v>15</v>
      </c>
      <c r="G210" s="55">
        <v>0</v>
      </c>
      <c r="H210" s="141">
        <v>0</v>
      </c>
      <c r="M210" s="23">
        <v>1</v>
      </c>
    </row>
    <row r="211" spans="2:13" ht="18">
      <c r="B211" s="55">
        <v>1</v>
      </c>
      <c r="C211" s="55">
        <v>27</v>
      </c>
      <c r="D211" s="55">
        <v>4</v>
      </c>
      <c r="E211" s="55">
        <v>15</v>
      </c>
      <c r="F211" s="55">
        <v>10</v>
      </c>
      <c r="G211" s="55">
        <v>0</v>
      </c>
      <c r="H211" s="141">
        <v>0</v>
      </c>
      <c r="M211" s="23">
        <v>1</v>
      </c>
    </row>
    <row r="212" spans="2:13" ht="18">
      <c r="B212" s="55">
        <v>1</v>
      </c>
      <c r="C212" s="55">
        <v>47</v>
      </c>
      <c r="D212" s="55">
        <v>7</v>
      </c>
      <c r="E212" s="55">
        <v>11</v>
      </c>
      <c r="F212" s="55">
        <v>7</v>
      </c>
      <c r="G212" s="55">
        <v>0</v>
      </c>
      <c r="H212" s="141">
        <v>2</v>
      </c>
      <c r="M212" s="23">
        <v>1</v>
      </c>
    </row>
    <row r="213" spans="2:13" ht="18">
      <c r="B213" s="55">
        <v>1</v>
      </c>
      <c r="C213" s="55">
        <v>16</v>
      </c>
      <c r="D213" s="55">
        <v>6</v>
      </c>
      <c r="E213" s="55">
        <v>4</v>
      </c>
      <c r="F213" s="55">
        <v>0</v>
      </c>
      <c r="G213" s="55">
        <v>0</v>
      </c>
      <c r="H213" s="141">
        <v>0</v>
      </c>
      <c r="M213" s="23">
        <v>1</v>
      </c>
    </row>
    <row r="214" spans="2:13" ht="18">
      <c r="B214" s="55">
        <v>1</v>
      </c>
      <c r="C214" s="55">
        <v>16</v>
      </c>
      <c r="D214" s="55">
        <v>5</v>
      </c>
      <c r="E214" s="55">
        <v>4</v>
      </c>
      <c r="F214" s="55">
        <v>0</v>
      </c>
      <c r="G214" s="55">
        <v>0</v>
      </c>
      <c r="H214" s="141">
        <v>0</v>
      </c>
      <c r="M214" s="23">
        <v>1</v>
      </c>
    </row>
    <row r="215" spans="2:13" ht="18">
      <c r="B215" s="55">
        <v>1</v>
      </c>
      <c r="C215" s="55">
        <v>69</v>
      </c>
      <c r="D215" s="55">
        <v>4</v>
      </c>
      <c r="E215" s="55">
        <v>0</v>
      </c>
      <c r="F215" s="55">
        <v>25</v>
      </c>
      <c r="G215" s="55">
        <v>0</v>
      </c>
      <c r="H215" s="141">
        <v>0</v>
      </c>
      <c r="M215" s="23">
        <v>1</v>
      </c>
    </row>
    <row r="216" spans="2:13" ht="18">
      <c r="B216" s="55">
        <v>1</v>
      </c>
      <c r="C216" s="55">
        <v>69</v>
      </c>
      <c r="D216" s="55">
        <v>3</v>
      </c>
      <c r="E216" s="55">
        <v>1</v>
      </c>
      <c r="F216" s="55">
        <v>24</v>
      </c>
      <c r="G216" s="55">
        <v>0</v>
      </c>
      <c r="H216" s="141">
        <v>0</v>
      </c>
      <c r="M216" s="23">
        <v>1</v>
      </c>
    </row>
    <row r="217" spans="2:13" ht="18">
      <c r="B217" s="55">
        <v>1</v>
      </c>
      <c r="C217" s="55">
        <v>69</v>
      </c>
      <c r="D217" s="55">
        <v>2</v>
      </c>
      <c r="E217" s="55">
        <v>2</v>
      </c>
      <c r="F217" s="55">
        <v>3</v>
      </c>
      <c r="G217" s="55">
        <v>0</v>
      </c>
      <c r="H217" s="141">
        <v>0</v>
      </c>
      <c r="M217" s="23">
        <v>1</v>
      </c>
    </row>
    <row r="218" spans="2:13" ht="18">
      <c r="B218" s="55">
        <v>1</v>
      </c>
      <c r="C218" s="55">
        <v>69</v>
      </c>
      <c r="D218" s="55">
        <v>1</v>
      </c>
      <c r="E218" s="55">
        <v>0</v>
      </c>
      <c r="F218" s="55">
        <v>25</v>
      </c>
      <c r="G218" s="55">
        <v>0</v>
      </c>
      <c r="H218" s="141">
        <v>0</v>
      </c>
      <c r="M218" s="23">
        <v>1</v>
      </c>
    </row>
    <row r="219" spans="2:13" ht="18">
      <c r="B219" s="55">
        <v>13</v>
      </c>
      <c r="C219" s="55">
        <v>25</v>
      </c>
      <c r="D219" s="55">
        <v>6</v>
      </c>
      <c r="E219" s="55">
        <v>15</v>
      </c>
      <c r="F219" s="55">
        <v>12</v>
      </c>
      <c r="G219" s="55">
        <v>0</v>
      </c>
      <c r="H219" s="141">
        <v>0</v>
      </c>
      <c r="M219" s="23">
        <v>1</v>
      </c>
    </row>
    <row r="220" spans="2:13" ht="18">
      <c r="B220" s="55">
        <v>13</v>
      </c>
      <c r="C220" s="55">
        <v>65</v>
      </c>
      <c r="D220" s="55">
        <v>3</v>
      </c>
      <c r="E220" s="55">
        <v>9</v>
      </c>
      <c r="F220" s="55">
        <v>13</v>
      </c>
      <c r="G220" s="55">
        <v>0</v>
      </c>
      <c r="H220" s="141">
        <v>0</v>
      </c>
      <c r="M220" s="23">
        <v>1</v>
      </c>
    </row>
    <row r="221" spans="2:13" ht="18">
      <c r="B221" s="55">
        <v>13</v>
      </c>
      <c r="C221" s="55">
        <v>28</v>
      </c>
      <c r="D221" s="55">
        <v>5</v>
      </c>
      <c r="E221" s="55">
        <v>4</v>
      </c>
      <c r="F221" s="55">
        <v>3</v>
      </c>
      <c r="G221" s="55">
        <v>0</v>
      </c>
      <c r="H221" s="141">
        <v>1</v>
      </c>
      <c r="M221" s="23">
        <v>1</v>
      </c>
    </row>
    <row r="222" spans="2:13" ht="18">
      <c r="B222" s="55">
        <v>13</v>
      </c>
      <c r="C222" s="55">
        <v>65</v>
      </c>
      <c r="D222" s="55">
        <v>4</v>
      </c>
      <c r="E222" s="55">
        <v>4</v>
      </c>
      <c r="F222" s="55">
        <v>10</v>
      </c>
      <c r="G222" s="55">
        <v>0</v>
      </c>
      <c r="H222" s="141">
        <v>0</v>
      </c>
      <c r="M222" s="23">
        <v>1</v>
      </c>
    </row>
    <row r="223" spans="2:13" ht="18">
      <c r="B223" s="55">
        <v>13</v>
      </c>
      <c r="C223" s="55">
        <v>15</v>
      </c>
      <c r="D223" s="55">
        <v>6</v>
      </c>
      <c r="E223" s="55">
        <v>1</v>
      </c>
      <c r="F223" s="55">
        <v>0</v>
      </c>
      <c r="G223" s="55">
        <v>0</v>
      </c>
      <c r="H223" s="141">
        <v>0</v>
      </c>
      <c r="M223" s="23">
        <v>1</v>
      </c>
    </row>
    <row r="224" spans="2:13" ht="18">
      <c r="B224" s="55">
        <v>13</v>
      </c>
      <c r="C224" s="55">
        <v>47</v>
      </c>
      <c r="D224" s="55">
        <v>6</v>
      </c>
      <c r="E224" s="55">
        <v>6</v>
      </c>
      <c r="F224" s="55">
        <v>14</v>
      </c>
      <c r="G224" s="55">
        <v>0</v>
      </c>
      <c r="H224" s="141">
        <v>1</v>
      </c>
      <c r="M224" s="23">
        <v>1</v>
      </c>
    </row>
    <row r="225" spans="2:13" ht="18">
      <c r="B225" s="55">
        <v>13</v>
      </c>
      <c r="C225" s="55">
        <v>47</v>
      </c>
      <c r="D225" s="55">
        <v>5</v>
      </c>
      <c r="E225" s="55">
        <v>7</v>
      </c>
      <c r="F225" s="55">
        <v>10</v>
      </c>
      <c r="G225" s="55">
        <v>0</v>
      </c>
      <c r="H225" s="141">
        <v>1</v>
      </c>
      <c r="M225" s="23">
        <v>1</v>
      </c>
    </row>
    <row r="226" spans="2:13" ht="18">
      <c r="B226" s="55">
        <v>13</v>
      </c>
      <c r="C226" s="55">
        <v>47</v>
      </c>
      <c r="D226" s="55">
        <v>4</v>
      </c>
      <c r="E226" s="55">
        <v>10</v>
      </c>
      <c r="F226" s="55">
        <v>4</v>
      </c>
      <c r="G226" s="55">
        <v>0</v>
      </c>
      <c r="H226" s="141">
        <v>0</v>
      </c>
      <c r="M226" s="23">
        <v>1</v>
      </c>
    </row>
    <row r="227" spans="2:13" ht="18">
      <c r="B227" s="55">
        <v>13</v>
      </c>
      <c r="C227" s="55">
        <v>58</v>
      </c>
      <c r="D227" s="55">
        <v>5</v>
      </c>
      <c r="E227" s="55">
        <v>2</v>
      </c>
      <c r="F227" s="55">
        <v>2</v>
      </c>
      <c r="G227" s="55">
        <v>0</v>
      </c>
      <c r="H227" s="141">
        <v>0</v>
      </c>
      <c r="M227" s="23">
        <v>1</v>
      </c>
    </row>
    <row r="228" spans="2:13" ht="18">
      <c r="B228" s="55">
        <v>13</v>
      </c>
      <c r="C228" s="55">
        <v>105</v>
      </c>
      <c r="D228" s="55">
        <v>6</v>
      </c>
      <c r="E228" s="55">
        <v>7</v>
      </c>
      <c r="F228" s="55">
        <v>1</v>
      </c>
      <c r="G228" s="55">
        <v>0</v>
      </c>
      <c r="H228" s="141">
        <v>0</v>
      </c>
      <c r="M228" s="23">
        <v>1</v>
      </c>
    </row>
    <row r="229" spans="2:13" ht="18">
      <c r="B229" s="55">
        <v>13</v>
      </c>
      <c r="C229" s="55">
        <v>105</v>
      </c>
      <c r="D229" s="55">
        <v>3</v>
      </c>
      <c r="E229" s="55"/>
      <c r="F229" s="55">
        <v>1</v>
      </c>
      <c r="G229" s="55">
        <v>0</v>
      </c>
      <c r="H229" s="141">
        <v>0</v>
      </c>
      <c r="M229" s="23">
        <v>1</v>
      </c>
    </row>
    <row r="230" spans="2:13" ht="18">
      <c r="B230" s="55">
        <v>13</v>
      </c>
      <c r="C230" s="55">
        <v>105</v>
      </c>
      <c r="D230" s="55">
        <v>4</v>
      </c>
      <c r="E230" s="55">
        <v>7</v>
      </c>
      <c r="F230" s="55">
        <v>1</v>
      </c>
      <c r="G230" s="55">
        <v>0</v>
      </c>
      <c r="H230" s="141">
        <v>0</v>
      </c>
      <c r="M230" s="23">
        <v>1</v>
      </c>
    </row>
    <row r="231" spans="2:13" ht="18">
      <c r="B231" s="55">
        <v>13</v>
      </c>
      <c r="C231" s="55">
        <v>106</v>
      </c>
      <c r="D231" s="55">
        <v>9</v>
      </c>
      <c r="E231" s="55">
        <v>10</v>
      </c>
      <c r="F231" s="55">
        <v>1</v>
      </c>
      <c r="G231" s="55">
        <v>0</v>
      </c>
      <c r="H231" s="141">
        <v>0</v>
      </c>
      <c r="M231" s="23">
        <v>1</v>
      </c>
    </row>
    <row r="232" spans="2:13" ht="18">
      <c r="B232" s="55">
        <v>1</v>
      </c>
      <c r="C232" s="55">
        <v>46</v>
      </c>
      <c r="D232" s="55">
        <v>9</v>
      </c>
      <c r="E232" s="55">
        <v>2</v>
      </c>
      <c r="F232" s="55">
        <v>1</v>
      </c>
      <c r="G232" s="55">
        <v>0</v>
      </c>
      <c r="H232" s="141">
        <v>0</v>
      </c>
      <c r="M232" s="23">
        <v>1</v>
      </c>
    </row>
    <row r="233" spans="2:13" ht="18">
      <c r="B233" s="55">
        <v>1</v>
      </c>
      <c r="C233" s="55">
        <v>46</v>
      </c>
      <c r="D233" s="55">
        <v>6</v>
      </c>
      <c r="E233" s="55">
        <v>0</v>
      </c>
      <c r="F233" s="55">
        <v>3</v>
      </c>
      <c r="G233" s="55">
        <v>0</v>
      </c>
      <c r="H233" s="141">
        <v>0</v>
      </c>
      <c r="M233" s="23">
        <v>1</v>
      </c>
    </row>
    <row r="234" spans="2:13" ht="18">
      <c r="B234" s="55">
        <v>1</v>
      </c>
      <c r="C234" s="55">
        <v>46</v>
      </c>
      <c r="D234" s="55">
        <v>7</v>
      </c>
      <c r="E234" s="55">
        <v>0</v>
      </c>
      <c r="F234" s="55">
        <v>1</v>
      </c>
      <c r="G234" s="55">
        <v>0</v>
      </c>
      <c r="H234" s="141">
        <v>0</v>
      </c>
      <c r="M234" s="23">
        <v>1</v>
      </c>
    </row>
    <row r="235" spans="2:13" ht="18">
      <c r="B235" s="55">
        <v>1</v>
      </c>
      <c r="C235" s="55">
        <v>46</v>
      </c>
      <c r="D235" s="55">
        <v>8</v>
      </c>
      <c r="E235" s="55">
        <v>3</v>
      </c>
      <c r="F235" s="55">
        <v>1</v>
      </c>
      <c r="G235" s="55">
        <v>0</v>
      </c>
      <c r="H235" s="141">
        <v>0</v>
      </c>
      <c r="M235" s="23">
        <v>1</v>
      </c>
    </row>
    <row r="236" spans="2:13" ht="18">
      <c r="B236" s="55">
        <v>1</v>
      </c>
      <c r="C236" s="55">
        <v>33</v>
      </c>
      <c r="D236" s="55">
        <v>7</v>
      </c>
      <c r="E236" s="55">
        <v>2</v>
      </c>
      <c r="F236" s="55">
        <v>6</v>
      </c>
      <c r="G236" s="55">
        <v>0</v>
      </c>
      <c r="H236" s="141">
        <v>1</v>
      </c>
      <c r="M236" s="23">
        <v>1</v>
      </c>
    </row>
    <row r="237" spans="2:13" ht="18">
      <c r="B237" s="55">
        <v>13</v>
      </c>
      <c r="C237" s="55">
        <v>19</v>
      </c>
      <c r="D237" s="55">
        <v>6</v>
      </c>
      <c r="E237" s="55">
        <v>0</v>
      </c>
      <c r="F237" s="55">
        <v>8</v>
      </c>
      <c r="G237" s="55">
        <v>0</v>
      </c>
      <c r="H237" s="141">
        <v>0</v>
      </c>
      <c r="M237" s="23">
        <v>1</v>
      </c>
    </row>
    <row r="238" spans="2:13" ht="18">
      <c r="B238" s="55">
        <v>13</v>
      </c>
      <c r="C238" s="55">
        <v>19</v>
      </c>
      <c r="D238" s="55">
        <v>7</v>
      </c>
      <c r="E238" s="55">
        <v>1</v>
      </c>
      <c r="F238" s="55">
        <v>14</v>
      </c>
      <c r="G238" s="55">
        <v>0</v>
      </c>
      <c r="H238" s="141">
        <v>0</v>
      </c>
      <c r="M238" s="23">
        <v>1</v>
      </c>
    </row>
    <row r="239" spans="2:13" ht="18">
      <c r="B239" s="55">
        <v>13</v>
      </c>
      <c r="C239" s="55">
        <v>19</v>
      </c>
      <c r="D239" s="55">
        <v>8</v>
      </c>
      <c r="E239" s="55">
        <v>1</v>
      </c>
      <c r="F239" s="55">
        <v>18</v>
      </c>
      <c r="G239" s="55">
        <v>0</v>
      </c>
      <c r="H239" s="141">
        <v>0</v>
      </c>
      <c r="M239" s="23">
        <v>1</v>
      </c>
    </row>
    <row r="240" spans="2:13" ht="18">
      <c r="B240" s="55">
        <v>13</v>
      </c>
      <c r="C240" s="55">
        <v>117</v>
      </c>
      <c r="D240" s="55">
        <v>8</v>
      </c>
      <c r="E240" s="55">
        <v>4</v>
      </c>
      <c r="F240" s="55">
        <v>20</v>
      </c>
      <c r="G240" s="55">
        <v>0</v>
      </c>
      <c r="H240" s="141">
        <v>0</v>
      </c>
      <c r="M240" s="23">
        <v>1</v>
      </c>
    </row>
    <row r="241" spans="2:13" ht="18">
      <c r="B241" s="55">
        <v>13</v>
      </c>
      <c r="C241" s="55">
        <v>67</v>
      </c>
      <c r="D241" s="55">
        <v>8</v>
      </c>
      <c r="E241" s="55">
        <v>0</v>
      </c>
      <c r="F241" s="55">
        <v>10</v>
      </c>
      <c r="G241" s="55">
        <v>0</v>
      </c>
      <c r="H241" s="141">
        <v>0</v>
      </c>
      <c r="M241" s="23">
        <v>1</v>
      </c>
    </row>
    <row r="242" spans="2:13" ht="18">
      <c r="B242" s="55">
        <v>13</v>
      </c>
      <c r="C242" s="55">
        <v>75</v>
      </c>
      <c r="D242" s="55">
        <v>4</v>
      </c>
      <c r="E242" s="55">
        <v>4</v>
      </c>
      <c r="F242" s="55">
        <v>21</v>
      </c>
      <c r="G242" s="55">
        <v>0</v>
      </c>
      <c r="H242" s="141">
        <v>0</v>
      </c>
      <c r="M242" s="23">
        <v>1</v>
      </c>
    </row>
    <row r="243" spans="2:13" ht="18">
      <c r="B243" s="55">
        <v>1</v>
      </c>
      <c r="C243" s="55">
        <v>53</v>
      </c>
      <c r="D243" s="55">
        <v>8</v>
      </c>
      <c r="E243" s="55">
        <v>12</v>
      </c>
      <c r="F243" s="55">
        <v>9</v>
      </c>
      <c r="G243" s="55">
        <v>0</v>
      </c>
      <c r="H243" s="141">
        <v>1</v>
      </c>
      <c r="M243" s="23">
        <v>1</v>
      </c>
    </row>
    <row r="244" spans="2:13" ht="18">
      <c r="B244" s="55">
        <v>1</v>
      </c>
      <c r="C244" s="55">
        <v>53</v>
      </c>
      <c r="D244" s="55">
        <v>7</v>
      </c>
      <c r="E244" s="55">
        <v>5</v>
      </c>
      <c r="F244" s="55">
        <v>1</v>
      </c>
      <c r="G244" s="55">
        <v>0</v>
      </c>
      <c r="H244" s="141">
        <v>0</v>
      </c>
      <c r="M244" s="23">
        <v>1</v>
      </c>
    </row>
    <row r="245" spans="2:13" ht="18">
      <c r="B245" s="55">
        <v>13</v>
      </c>
      <c r="C245" s="55">
        <v>73</v>
      </c>
      <c r="D245" s="55">
        <v>8</v>
      </c>
      <c r="E245" s="55">
        <v>1</v>
      </c>
      <c r="F245" s="55">
        <v>6</v>
      </c>
      <c r="G245" s="55">
        <v>0</v>
      </c>
      <c r="H245" s="141">
        <v>0</v>
      </c>
      <c r="M245" s="23">
        <v>1</v>
      </c>
    </row>
    <row r="246" spans="2:13" ht="18">
      <c r="B246" s="55">
        <v>13</v>
      </c>
      <c r="C246" s="55">
        <v>73</v>
      </c>
      <c r="D246" s="55">
        <v>6</v>
      </c>
      <c r="E246" s="55">
        <v>0</v>
      </c>
      <c r="F246" s="55">
        <v>3</v>
      </c>
      <c r="G246" s="55">
        <v>0</v>
      </c>
      <c r="H246" s="141">
        <v>0</v>
      </c>
      <c r="M246" s="23">
        <v>1</v>
      </c>
    </row>
    <row r="247" spans="2:13" ht="18">
      <c r="B247" s="55">
        <v>13</v>
      </c>
      <c r="C247" s="55">
        <v>73</v>
      </c>
      <c r="D247" s="55">
        <v>7</v>
      </c>
      <c r="E247" s="55">
        <v>0</v>
      </c>
      <c r="F247" s="55">
        <v>5</v>
      </c>
      <c r="G247" s="55">
        <v>0</v>
      </c>
      <c r="H247" s="141">
        <v>0</v>
      </c>
      <c r="M247" s="23">
        <v>1</v>
      </c>
    </row>
    <row r="248" spans="2:13" ht="18">
      <c r="B248" s="55">
        <v>13</v>
      </c>
      <c r="C248" s="55">
        <v>115</v>
      </c>
      <c r="D248" s="55">
        <v>7</v>
      </c>
      <c r="E248" s="55">
        <v>0</v>
      </c>
      <c r="F248" s="55">
        <v>15</v>
      </c>
      <c r="G248" s="55">
        <v>0</v>
      </c>
      <c r="H248" s="141">
        <v>0</v>
      </c>
      <c r="M248" s="23">
        <v>1</v>
      </c>
    </row>
    <row r="249" spans="2:13" ht="18">
      <c r="B249" s="55">
        <v>13</v>
      </c>
      <c r="C249" s="55">
        <v>115</v>
      </c>
      <c r="D249" s="55">
        <v>6</v>
      </c>
      <c r="E249" s="55">
        <v>0</v>
      </c>
      <c r="F249" s="55">
        <v>17</v>
      </c>
      <c r="G249" s="55">
        <v>0</v>
      </c>
      <c r="H249" s="141">
        <v>0</v>
      </c>
      <c r="M249" s="23">
        <v>1</v>
      </c>
    </row>
    <row r="250" spans="2:13" ht="18">
      <c r="B250" s="55">
        <v>13</v>
      </c>
      <c r="C250" s="55">
        <v>115</v>
      </c>
      <c r="D250" s="55">
        <v>5</v>
      </c>
      <c r="E250" s="55">
        <v>0</v>
      </c>
      <c r="F250" s="55">
        <v>22</v>
      </c>
      <c r="G250" s="55">
        <v>0</v>
      </c>
      <c r="H250" s="141">
        <v>0</v>
      </c>
      <c r="M250" s="23">
        <v>1</v>
      </c>
    </row>
    <row r="251" spans="2:13" ht="18">
      <c r="B251" s="55">
        <v>13</v>
      </c>
      <c r="C251" s="55">
        <v>38</v>
      </c>
      <c r="D251" s="55">
        <v>4</v>
      </c>
      <c r="E251" s="55">
        <v>3</v>
      </c>
      <c r="F251" s="55">
        <v>26</v>
      </c>
      <c r="G251" s="55">
        <v>1</v>
      </c>
      <c r="H251" s="141">
        <v>1</v>
      </c>
      <c r="M251" s="23">
        <v>1</v>
      </c>
    </row>
    <row r="252" spans="2:13" ht="18">
      <c r="B252" s="55">
        <v>1</v>
      </c>
      <c r="C252" s="55">
        <v>30</v>
      </c>
      <c r="D252" s="55">
        <v>4</v>
      </c>
      <c r="E252" s="55">
        <v>10</v>
      </c>
      <c r="F252" s="55">
        <v>6</v>
      </c>
      <c r="G252" s="55">
        <v>0</v>
      </c>
      <c r="H252" s="141">
        <v>2</v>
      </c>
      <c r="M252" s="23">
        <v>1</v>
      </c>
    </row>
    <row r="253" spans="2:13" ht="18">
      <c r="B253" s="55">
        <v>1</v>
      </c>
      <c r="C253" s="55">
        <v>30</v>
      </c>
      <c r="D253" s="55">
        <v>5</v>
      </c>
      <c r="E253" s="55">
        <v>17</v>
      </c>
      <c r="F253" s="55">
        <v>3</v>
      </c>
      <c r="G253" s="55">
        <v>0</v>
      </c>
      <c r="H253" s="141">
        <v>3</v>
      </c>
      <c r="M253" s="23">
        <v>1</v>
      </c>
    </row>
    <row r="254" spans="2:13" ht="18">
      <c r="B254" s="55">
        <v>1</v>
      </c>
      <c r="C254" s="55">
        <v>30</v>
      </c>
      <c r="D254" s="55">
        <v>6</v>
      </c>
      <c r="E254" s="55">
        <v>22</v>
      </c>
      <c r="F254" s="55">
        <v>0</v>
      </c>
      <c r="G254" s="55">
        <v>0</v>
      </c>
      <c r="H254" s="141">
        <v>1</v>
      </c>
      <c r="M254" s="23">
        <v>1</v>
      </c>
    </row>
    <row r="255" spans="2:13" ht="18">
      <c r="B255" s="55">
        <v>13</v>
      </c>
      <c r="C255" s="55">
        <v>106</v>
      </c>
      <c r="D255" s="55">
        <v>8</v>
      </c>
      <c r="E255" s="55">
        <v>8</v>
      </c>
      <c r="F255" s="55">
        <v>6</v>
      </c>
      <c r="G255" s="55">
        <v>0</v>
      </c>
      <c r="H255" s="141">
        <v>0</v>
      </c>
      <c r="M255" s="23">
        <v>1</v>
      </c>
    </row>
    <row r="256" spans="2:13" ht="18">
      <c r="B256" s="55">
        <v>13</v>
      </c>
      <c r="C256" s="55">
        <v>106</v>
      </c>
      <c r="D256" s="55">
        <v>7</v>
      </c>
      <c r="E256" s="55">
        <v>12</v>
      </c>
      <c r="F256" s="55">
        <v>0</v>
      </c>
      <c r="G256" s="55">
        <v>0</v>
      </c>
      <c r="H256" s="141">
        <v>0</v>
      </c>
      <c r="M256" s="23">
        <v>1</v>
      </c>
    </row>
    <row r="257" spans="2:13" ht="18">
      <c r="B257" s="55">
        <v>13</v>
      </c>
      <c r="C257" s="55">
        <v>106</v>
      </c>
      <c r="D257" s="55">
        <v>6</v>
      </c>
      <c r="E257" s="55">
        <v>15</v>
      </c>
      <c r="F257" s="55">
        <v>3</v>
      </c>
      <c r="G257" s="55">
        <v>0</v>
      </c>
      <c r="H257" s="141">
        <v>0</v>
      </c>
      <c r="M257" s="23">
        <v>1</v>
      </c>
    </row>
    <row r="258" spans="2:13" ht="18">
      <c r="B258" s="55">
        <v>13</v>
      </c>
      <c r="C258" s="55">
        <v>106</v>
      </c>
      <c r="D258" s="55">
        <v>5</v>
      </c>
      <c r="E258" s="55">
        <v>25</v>
      </c>
      <c r="F258" s="55">
        <v>0</v>
      </c>
      <c r="G258" s="55">
        <v>0</v>
      </c>
      <c r="H258" s="141">
        <v>0</v>
      </c>
      <c r="M258" s="23">
        <v>1</v>
      </c>
    </row>
    <row r="259" spans="2:13" ht="18">
      <c r="B259" s="55">
        <v>13</v>
      </c>
      <c r="C259" s="55">
        <v>106</v>
      </c>
      <c r="D259" s="55">
        <v>4</v>
      </c>
      <c r="E259" s="55">
        <v>19</v>
      </c>
      <c r="F259" s="55">
        <v>1</v>
      </c>
      <c r="G259" s="55">
        <v>0</v>
      </c>
      <c r="H259" s="141">
        <v>0</v>
      </c>
      <c r="M259" s="23">
        <v>1</v>
      </c>
    </row>
    <row r="260" spans="2:13" ht="18">
      <c r="B260" s="55">
        <v>13</v>
      </c>
      <c r="C260" s="55">
        <v>106</v>
      </c>
      <c r="D260" s="55">
        <v>3</v>
      </c>
      <c r="E260" s="55">
        <v>17</v>
      </c>
      <c r="F260" s="55">
        <v>2</v>
      </c>
      <c r="G260" s="55">
        <v>0</v>
      </c>
      <c r="H260" s="141">
        <v>0</v>
      </c>
      <c r="M260" s="23">
        <v>1</v>
      </c>
    </row>
    <row r="261" spans="2:13" ht="18">
      <c r="B261" s="55">
        <v>13</v>
      </c>
      <c r="C261" s="55">
        <v>15</v>
      </c>
      <c r="D261" s="55">
        <v>7</v>
      </c>
      <c r="E261" s="55">
        <v>0</v>
      </c>
      <c r="F261" s="55">
        <v>3</v>
      </c>
      <c r="G261" s="55">
        <v>0</v>
      </c>
      <c r="H261" s="141">
        <v>0</v>
      </c>
      <c r="M261" s="23">
        <v>1</v>
      </c>
    </row>
    <row r="262" spans="2:13" ht="18">
      <c r="B262" s="55">
        <v>13</v>
      </c>
      <c r="C262" s="55">
        <v>35</v>
      </c>
      <c r="D262" s="55">
        <v>7</v>
      </c>
      <c r="E262" s="55">
        <v>14</v>
      </c>
      <c r="F262" s="55">
        <v>10</v>
      </c>
      <c r="G262" s="55">
        <v>0</v>
      </c>
      <c r="H262" s="141">
        <v>0</v>
      </c>
      <c r="M262" s="23">
        <v>1</v>
      </c>
    </row>
    <row r="263" spans="2:13" ht="18">
      <c r="B263" s="55">
        <v>13</v>
      </c>
      <c r="C263" s="55">
        <v>114</v>
      </c>
      <c r="D263" s="55">
        <v>7</v>
      </c>
      <c r="E263" s="55">
        <v>25</v>
      </c>
      <c r="F263" s="55">
        <v>5</v>
      </c>
      <c r="G263" s="55">
        <v>10</v>
      </c>
      <c r="H263" s="141">
        <v>0</v>
      </c>
      <c r="M263" s="23">
        <v>1</v>
      </c>
    </row>
    <row r="264" spans="2:13" ht="18">
      <c r="B264" s="55">
        <v>1</v>
      </c>
      <c r="C264" s="55">
        <v>31</v>
      </c>
      <c r="D264" s="55">
        <v>4</v>
      </c>
      <c r="E264" s="55">
        <v>5</v>
      </c>
      <c r="F264" s="55">
        <v>5</v>
      </c>
      <c r="G264" s="55">
        <v>0</v>
      </c>
      <c r="H264" s="141">
        <v>0</v>
      </c>
      <c r="M264" s="23">
        <v>1</v>
      </c>
    </row>
    <row r="265" spans="2:13" ht="18">
      <c r="B265" s="55">
        <v>1</v>
      </c>
      <c r="C265" s="55">
        <v>13</v>
      </c>
      <c r="D265" s="55">
        <v>9</v>
      </c>
      <c r="E265" s="55">
        <v>10</v>
      </c>
      <c r="F265" s="55">
        <v>1</v>
      </c>
      <c r="G265" s="55">
        <v>0</v>
      </c>
      <c r="H265" s="141">
        <v>1</v>
      </c>
      <c r="M265" s="23">
        <v>1</v>
      </c>
    </row>
    <row r="266" spans="2:13" ht="18">
      <c r="B266" s="55">
        <v>1</v>
      </c>
      <c r="C266" s="55">
        <v>13</v>
      </c>
      <c r="D266" s="55">
        <v>8</v>
      </c>
      <c r="E266" s="55">
        <v>2</v>
      </c>
      <c r="F266" s="55">
        <v>1</v>
      </c>
      <c r="G266" s="55">
        <v>0</v>
      </c>
      <c r="H266" s="141">
        <v>0</v>
      </c>
      <c r="M266" s="23">
        <v>1</v>
      </c>
    </row>
    <row r="267" spans="2:13" ht="18">
      <c r="B267" s="55">
        <v>1</v>
      </c>
      <c r="C267" s="55">
        <v>24</v>
      </c>
      <c r="D267" s="55">
        <v>7</v>
      </c>
      <c r="E267" s="55">
        <v>3</v>
      </c>
      <c r="F267" s="55">
        <v>20</v>
      </c>
      <c r="G267" s="55">
        <v>0</v>
      </c>
      <c r="H267" s="141">
        <v>2</v>
      </c>
      <c r="M267" s="23">
        <v>1</v>
      </c>
    </row>
    <row r="268" spans="2:13" ht="18">
      <c r="B268" s="55">
        <v>13</v>
      </c>
      <c r="C268" s="55">
        <v>37</v>
      </c>
      <c r="D268" s="55">
        <v>4</v>
      </c>
      <c r="E268" s="55">
        <v>5</v>
      </c>
      <c r="F268" s="55">
        <v>18</v>
      </c>
      <c r="G268" s="55">
        <v>1</v>
      </c>
      <c r="H268" s="141">
        <v>0</v>
      </c>
      <c r="M268" s="23">
        <v>1</v>
      </c>
    </row>
    <row r="269" spans="2:13" ht="18">
      <c r="B269" s="55">
        <v>13</v>
      </c>
      <c r="C269" s="55">
        <v>37</v>
      </c>
      <c r="D269" s="55">
        <v>3</v>
      </c>
      <c r="E269" s="55">
        <v>4</v>
      </c>
      <c r="F269" s="55">
        <v>19</v>
      </c>
      <c r="G269" s="55">
        <v>1</v>
      </c>
      <c r="H269" s="141">
        <v>0</v>
      </c>
      <c r="M269" s="23">
        <v>1</v>
      </c>
    </row>
    <row r="270" spans="2:13" ht="18">
      <c r="B270" s="55">
        <v>13</v>
      </c>
      <c r="C270" s="55">
        <v>34</v>
      </c>
      <c r="D270" s="55">
        <v>7</v>
      </c>
      <c r="E270" s="55">
        <v>10</v>
      </c>
      <c r="F270" s="55">
        <v>3</v>
      </c>
      <c r="G270" s="55">
        <v>0</v>
      </c>
      <c r="H270" s="141">
        <v>0</v>
      </c>
      <c r="M270" s="23">
        <v>1</v>
      </c>
    </row>
    <row r="271" spans="2:13" ht="18">
      <c r="B271" s="55">
        <v>13</v>
      </c>
      <c r="C271" s="55">
        <v>34</v>
      </c>
      <c r="D271" s="55">
        <v>8</v>
      </c>
      <c r="E271" s="55">
        <v>25</v>
      </c>
      <c r="F271" s="55">
        <v>11</v>
      </c>
      <c r="G271" s="55">
        <v>0</v>
      </c>
      <c r="H271" s="141">
        <v>0</v>
      </c>
      <c r="M271" s="23">
        <v>1</v>
      </c>
    </row>
    <row r="272" spans="2:13" ht="18">
      <c r="B272" s="55">
        <v>1</v>
      </c>
      <c r="C272" s="55">
        <v>4</v>
      </c>
      <c r="D272" s="55">
        <v>7</v>
      </c>
      <c r="E272" s="55">
        <v>8</v>
      </c>
      <c r="F272" s="55">
        <v>7</v>
      </c>
      <c r="G272" s="55">
        <v>0</v>
      </c>
      <c r="H272" s="141">
        <v>0</v>
      </c>
      <c r="M272" s="23">
        <v>1</v>
      </c>
    </row>
    <row r="273" spans="2:13" ht="18">
      <c r="B273" s="55">
        <v>1</v>
      </c>
      <c r="C273" s="55">
        <v>4</v>
      </c>
      <c r="D273" s="55">
        <v>8</v>
      </c>
      <c r="E273" s="55">
        <v>6</v>
      </c>
      <c r="F273" s="55">
        <v>7</v>
      </c>
      <c r="G273" s="55">
        <v>0</v>
      </c>
      <c r="H273" s="141">
        <v>3</v>
      </c>
      <c r="M273" s="23">
        <v>1</v>
      </c>
    </row>
    <row r="274" spans="2:13" ht="18">
      <c r="B274" s="55">
        <v>1</v>
      </c>
      <c r="C274" s="55">
        <v>4</v>
      </c>
      <c r="D274" s="55">
        <v>6</v>
      </c>
      <c r="E274" s="55">
        <v>5</v>
      </c>
      <c r="F274" s="55">
        <v>6</v>
      </c>
      <c r="G274" s="55">
        <v>0</v>
      </c>
      <c r="H274" s="141">
        <v>0</v>
      </c>
      <c r="M274" s="23">
        <v>1</v>
      </c>
    </row>
    <row r="275" spans="2:13" ht="18">
      <c r="B275" s="55">
        <v>1</v>
      </c>
      <c r="C275" s="55">
        <v>4</v>
      </c>
      <c r="D275" s="55">
        <v>5</v>
      </c>
      <c r="E275" s="55">
        <v>6</v>
      </c>
      <c r="F275" s="55">
        <v>12</v>
      </c>
      <c r="G275" s="55">
        <v>0</v>
      </c>
      <c r="H275" s="141">
        <v>0</v>
      </c>
      <c r="M275" s="23">
        <v>1</v>
      </c>
    </row>
    <row r="276" spans="2:13" ht="18">
      <c r="B276" s="55">
        <v>1</v>
      </c>
      <c r="C276" s="55">
        <v>4</v>
      </c>
      <c r="D276" s="55">
        <v>4</v>
      </c>
      <c r="E276" s="55">
        <v>15</v>
      </c>
      <c r="F276" s="55">
        <v>14</v>
      </c>
      <c r="G276" s="55">
        <v>0</v>
      </c>
      <c r="H276" s="141">
        <v>1</v>
      </c>
      <c r="M276" s="23">
        <v>1</v>
      </c>
    </row>
    <row r="277" spans="2:13" ht="18">
      <c r="B277" s="55">
        <v>13</v>
      </c>
      <c r="C277" s="55">
        <v>112</v>
      </c>
      <c r="D277" s="55">
        <v>7</v>
      </c>
      <c r="E277" s="55">
        <v>25</v>
      </c>
      <c r="F277" s="55">
        <v>6</v>
      </c>
      <c r="G277" s="55">
        <v>0</v>
      </c>
      <c r="H277" s="141">
        <v>0</v>
      </c>
      <c r="M277" s="23">
        <v>1</v>
      </c>
    </row>
    <row r="278" spans="2:13" ht="18">
      <c r="B278" s="55">
        <v>13</v>
      </c>
      <c r="C278" s="55">
        <v>25</v>
      </c>
      <c r="D278" s="55">
        <v>7</v>
      </c>
      <c r="E278" s="55">
        <v>7</v>
      </c>
      <c r="F278" s="55">
        <v>0</v>
      </c>
      <c r="G278" s="55">
        <v>0</v>
      </c>
      <c r="H278" s="141">
        <v>0</v>
      </c>
      <c r="M278" s="23">
        <v>1</v>
      </c>
    </row>
    <row r="279" spans="2:13" ht="18">
      <c r="B279" s="55">
        <v>13</v>
      </c>
      <c r="C279" s="55">
        <v>114</v>
      </c>
      <c r="D279" s="55">
        <v>6</v>
      </c>
      <c r="E279" s="55">
        <v>25</v>
      </c>
      <c r="F279" s="55">
        <v>12</v>
      </c>
      <c r="G279" s="55">
        <v>6</v>
      </c>
      <c r="H279" s="141">
        <v>0</v>
      </c>
      <c r="M279" s="23">
        <v>1</v>
      </c>
    </row>
    <row r="280" spans="2:13" ht="18">
      <c r="B280" s="55">
        <v>13</v>
      </c>
      <c r="C280" s="55">
        <v>9</v>
      </c>
      <c r="D280" s="55">
        <v>6</v>
      </c>
      <c r="E280" s="55">
        <v>3</v>
      </c>
      <c r="F280" s="55">
        <v>22</v>
      </c>
      <c r="G280" s="55">
        <v>0</v>
      </c>
      <c r="H280" s="141">
        <v>13</v>
      </c>
      <c r="M280" s="23">
        <v>1</v>
      </c>
    </row>
    <row r="281" spans="2:13" ht="18">
      <c r="B281" s="55">
        <v>13</v>
      </c>
      <c r="C281" s="55">
        <v>49</v>
      </c>
      <c r="D281" s="55">
        <v>7</v>
      </c>
      <c r="E281" s="55">
        <v>9</v>
      </c>
      <c r="F281" s="55">
        <v>1</v>
      </c>
      <c r="G281" s="55">
        <v>0</v>
      </c>
      <c r="H281" s="141">
        <v>0</v>
      </c>
      <c r="M281" s="23">
        <v>1</v>
      </c>
    </row>
    <row r="282" spans="2:13" ht="18">
      <c r="B282" s="55">
        <v>1</v>
      </c>
      <c r="C282" s="55">
        <v>3</v>
      </c>
      <c r="D282" s="55">
        <v>8</v>
      </c>
      <c r="E282" s="55">
        <v>18</v>
      </c>
      <c r="F282" s="55">
        <v>5</v>
      </c>
      <c r="G282" s="55">
        <v>0</v>
      </c>
      <c r="H282" s="141">
        <v>0</v>
      </c>
      <c r="M282" s="23">
        <v>1</v>
      </c>
    </row>
    <row r="283" spans="2:13" ht="18">
      <c r="B283" s="55">
        <v>1</v>
      </c>
      <c r="C283" s="55">
        <v>3</v>
      </c>
      <c r="D283" s="55">
        <v>7</v>
      </c>
      <c r="E283" s="55">
        <v>15</v>
      </c>
      <c r="F283" s="55">
        <v>7</v>
      </c>
      <c r="G283" s="55">
        <v>0</v>
      </c>
      <c r="H283" s="141">
        <v>0</v>
      </c>
      <c r="M283" s="23">
        <v>1</v>
      </c>
    </row>
    <row r="284" spans="2:13" ht="18">
      <c r="B284" s="55">
        <v>13</v>
      </c>
      <c r="C284" s="55">
        <v>51</v>
      </c>
      <c r="D284" s="55">
        <v>7</v>
      </c>
      <c r="E284" s="55">
        <v>6</v>
      </c>
      <c r="F284" s="55">
        <v>2</v>
      </c>
      <c r="G284" s="55">
        <v>0</v>
      </c>
      <c r="H284" s="141">
        <v>0</v>
      </c>
      <c r="M284" s="23">
        <v>1</v>
      </c>
    </row>
    <row r="285" spans="2:13" ht="18">
      <c r="B285" s="55">
        <v>13</v>
      </c>
      <c r="C285" s="55">
        <v>41</v>
      </c>
      <c r="D285" s="55">
        <v>7</v>
      </c>
      <c r="E285" s="55">
        <v>3</v>
      </c>
      <c r="F285" s="55">
        <v>12</v>
      </c>
      <c r="G285" s="55">
        <v>0</v>
      </c>
      <c r="H285" s="141">
        <v>0</v>
      </c>
      <c r="M285" s="23">
        <v>1</v>
      </c>
    </row>
    <row r="286" spans="2:13" ht="18">
      <c r="B286" s="55">
        <v>13</v>
      </c>
      <c r="C286" s="55">
        <v>114</v>
      </c>
      <c r="D286" s="55">
        <v>8</v>
      </c>
      <c r="E286" s="55">
        <v>25</v>
      </c>
      <c r="F286" s="55">
        <v>10</v>
      </c>
      <c r="G286" s="55">
        <v>6</v>
      </c>
      <c r="H286" s="141">
        <v>4</v>
      </c>
      <c r="M286" s="23">
        <v>1</v>
      </c>
    </row>
    <row r="287" spans="2:13" ht="18">
      <c r="B287" s="55">
        <v>13</v>
      </c>
      <c r="C287" s="55">
        <v>35</v>
      </c>
      <c r="D287" s="55">
        <v>8</v>
      </c>
      <c r="E287" s="55">
        <v>19</v>
      </c>
      <c r="F287" s="55">
        <v>16</v>
      </c>
      <c r="G287" s="55">
        <v>0</v>
      </c>
      <c r="H287" s="141">
        <v>0</v>
      </c>
      <c r="M287" s="23">
        <v>1</v>
      </c>
    </row>
    <row r="288" spans="2:13" ht="18">
      <c r="B288" s="55">
        <v>13</v>
      </c>
      <c r="C288" s="55">
        <v>116</v>
      </c>
      <c r="D288" s="55">
        <v>8</v>
      </c>
      <c r="E288" s="55">
        <v>20</v>
      </c>
      <c r="F288" s="55">
        <v>5</v>
      </c>
      <c r="G288" s="55">
        <v>0</v>
      </c>
      <c r="H288" s="141">
        <v>0</v>
      </c>
      <c r="M288" s="23">
        <v>1</v>
      </c>
    </row>
    <row r="289" spans="2:13" ht="18">
      <c r="B289" s="55">
        <v>13</v>
      </c>
      <c r="C289" s="55">
        <v>116</v>
      </c>
      <c r="D289" s="55">
        <v>9</v>
      </c>
      <c r="E289" s="55">
        <v>25</v>
      </c>
      <c r="F289" s="55">
        <v>0</v>
      </c>
      <c r="G289" s="55">
        <v>0</v>
      </c>
      <c r="H289" s="141">
        <v>0</v>
      </c>
      <c r="M289" s="23">
        <v>1</v>
      </c>
    </row>
    <row r="290" spans="2:13" ht="18">
      <c r="B290" s="55">
        <v>13</v>
      </c>
      <c r="C290" s="55">
        <v>109</v>
      </c>
      <c r="D290" s="55">
        <v>9</v>
      </c>
      <c r="E290" s="55">
        <v>18</v>
      </c>
      <c r="F290" s="55">
        <v>3</v>
      </c>
      <c r="G290" s="55">
        <v>0</v>
      </c>
      <c r="H290" s="141">
        <v>0</v>
      </c>
      <c r="M290" s="23">
        <v>1</v>
      </c>
    </row>
    <row r="291" spans="2:13" ht="18">
      <c r="B291" s="55">
        <v>13</v>
      </c>
      <c r="C291" s="55">
        <v>109</v>
      </c>
      <c r="D291" s="55">
        <v>8</v>
      </c>
      <c r="E291" s="55">
        <v>15</v>
      </c>
      <c r="F291" s="55">
        <v>9</v>
      </c>
      <c r="G291" s="55">
        <v>0</v>
      </c>
      <c r="H291" s="141">
        <v>0</v>
      </c>
      <c r="M291" s="23">
        <v>1</v>
      </c>
    </row>
    <row r="292" spans="2:13" ht="18">
      <c r="B292" s="55">
        <v>1</v>
      </c>
      <c r="C292" s="55">
        <v>48</v>
      </c>
      <c r="D292" s="55">
        <v>8</v>
      </c>
      <c r="E292" s="55">
        <v>5</v>
      </c>
      <c r="F292" s="55">
        <v>15</v>
      </c>
      <c r="G292" s="55">
        <v>0</v>
      </c>
      <c r="H292" s="141">
        <v>0</v>
      </c>
      <c r="M292" s="23">
        <v>1</v>
      </c>
    </row>
    <row r="293" spans="2:13" ht="18">
      <c r="B293" s="55">
        <v>13</v>
      </c>
      <c r="C293" s="55">
        <v>49</v>
      </c>
      <c r="D293" s="55">
        <v>5</v>
      </c>
      <c r="E293" s="55">
        <v>11</v>
      </c>
      <c r="F293" s="55">
        <v>4</v>
      </c>
      <c r="G293" s="55">
        <v>0</v>
      </c>
      <c r="H293" s="141">
        <v>0</v>
      </c>
      <c r="M293" s="23">
        <v>1</v>
      </c>
    </row>
    <row r="294" spans="2:13" ht="18">
      <c r="B294" s="55">
        <v>13</v>
      </c>
      <c r="C294" s="55">
        <v>112</v>
      </c>
      <c r="D294" s="55">
        <v>8</v>
      </c>
      <c r="E294" s="55">
        <v>25</v>
      </c>
      <c r="F294" s="55">
        <v>5</v>
      </c>
      <c r="G294" s="55">
        <v>0</v>
      </c>
      <c r="H294" s="141">
        <v>0</v>
      </c>
      <c r="M294" s="23">
        <v>1</v>
      </c>
    </row>
    <row r="295" spans="2:13" ht="18">
      <c r="B295" s="55">
        <v>13</v>
      </c>
      <c r="C295" s="55">
        <v>25</v>
      </c>
      <c r="D295" s="55">
        <v>8</v>
      </c>
      <c r="E295" s="55">
        <v>14</v>
      </c>
      <c r="F295" s="55">
        <v>0</v>
      </c>
      <c r="G295" s="55">
        <v>5</v>
      </c>
      <c r="H295" s="141">
        <v>0</v>
      </c>
      <c r="M295" s="23">
        <v>1</v>
      </c>
    </row>
    <row r="296" spans="2:13" ht="18">
      <c r="B296" s="55">
        <v>13</v>
      </c>
      <c r="C296" s="55">
        <v>56</v>
      </c>
      <c r="D296" s="55">
        <v>7</v>
      </c>
      <c r="E296" s="55">
        <v>3</v>
      </c>
      <c r="F296" s="55">
        <v>1</v>
      </c>
      <c r="G296" s="55">
        <v>0</v>
      </c>
      <c r="H296" s="141">
        <v>1</v>
      </c>
      <c r="M296" s="23">
        <v>1</v>
      </c>
    </row>
    <row r="297" spans="2:13" ht="18">
      <c r="B297" s="55">
        <v>13</v>
      </c>
      <c r="C297" s="55">
        <v>56</v>
      </c>
      <c r="D297" s="55">
        <v>8</v>
      </c>
      <c r="E297" s="55">
        <v>5</v>
      </c>
      <c r="F297" s="55">
        <v>4</v>
      </c>
      <c r="G297" s="55">
        <v>0</v>
      </c>
      <c r="H297" s="141">
        <v>0</v>
      </c>
      <c r="M297" s="23">
        <v>1</v>
      </c>
    </row>
    <row r="298" spans="2:13" ht="18">
      <c r="B298" s="55">
        <v>13</v>
      </c>
      <c r="C298" s="55">
        <v>117</v>
      </c>
      <c r="D298" s="55">
        <v>9</v>
      </c>
      <c r="E298" s="55">
        <v>2</v>
      </c>
      <c r="F298" s="55">
        <v>23</v>
      </c>
      <c r="G298" s="55">
        <v>0</v>
      </c>
      <c r="H298" s="141">
        <v>0</v>
      </c>
      <c r="M298" s="23">
        <v>1</v>
      </c>
    </row>
    <row r="299" spans="2:13" ht="18">
      <c r="B299" s="55">
        <v>13</v>
      </c>
      <c r="C299" s="55">
        <v>62</v>
      </c>
      <c r="D299" s="55">
        <v>9</v>
      </c>
      <c r="E299" s="55">
        <v>2</v>
      </c>
      <c r="F299" s="55">
        <v>8</v>
      </c>
      <c r="G299" s="55">
        <v>0</v>
      </c>
      <c r="H299" s="141">
        <v>1</v>
      </c>
      <c r="M299" s="23">
        <v>1</v>
      </c>
    </row>
    <row r="300" spans="2:13" ht="18">
      <c r="B300" s="55">
        <v>13</v>
      </c>
      <c r="C300" s="55">
        <v>62</v>
      </c>
      <c r="D300" s="55">
        <v>8</v>
      </c>
      <c r="E300" s="55">
        <v>2</v>
      </c>
      <c r="F300" s="55">
        <v>14</v>
      </c>
      <c r="G300" s="55">
        <v>0</v>
      </c>
      <c r="H300" s="141">
        <v>0</v>
      </c>
      <c r="M300" s="23">
        <v>1</v>
      </c>
    </row>
    <row r="301" spans="2:13" ht="18">
      <c r="B301" s="55">
        <v>13</v>
      </c>
      <c r="C301" s="55">
        <v>62</v>
      </c>
      <c r="D301" s="55">
        <v>7</v>
      </c>
      <c r="E301" s="55">
        <v>4</v>
      </c>
      <c r="F301" s="55">
        <v>17</v>
      </c>
      <c r="G301" s="55">
        <v>0</v>
      </c>
      <c r="H301" s="141">
        <v>0</v>
      </c>
      <c r="M301" s="23">
        <v>1</v>
      </c>
    </row>
    <row r="302" spans="2:13" ht="18">
      <c r="B302" s="55">
        <v>13</v>
      </c>
      <c r="C302" s="55">
        <v>21</v>
      </c>
      <c r="D302" s="55">
        <v>8</v>
      </c>
      <c r="E302" s="55">
        <v>1</v>
      </c>
      <c r="F302" s="55">
        <v>23</v>
      </c>
      <c r="G302" s="55">
        <v>0</v>
      </c>
      <c r="H302" s="141">
        <v>0</v>
      </c>
      <c r="M302" s="23">
        <v>1</v>
      </c>
    </row>
    <row r="303" spans="2:13" ht="18">
      <c r="B303" s="55">
        <v>1</v>
      </c>
      <c r="C303" s="55">
        <v>61</v>
      </c>
      <c r="D303" s="55">
        <v>9</v>
      </c>
      <c r="E303" s="55">
        <v>2</v>
      </c>
      <c r="F303" s="55">
        <v>8</v>
      </c>
      <c r="G303" s="55">
        <v>0</v>
      </c>
      <c r="H303" s="141">
        <v>0</v>
      </c>
      <c r="M303" s="23">
        <v>1</v>
      </c>
    </row>
    <row r="304" spans="2:13" ht="18">
      <c r="B304" s="55">
        <v>1</v>
      </c>
      <c r="C304" s="55">
        <v>61</v>
      </c>
      <c r="D304" s="55">
        <v>9</v>
      </c>
      <c r="E304" s="55">
        <v>6</v>
      </c>
      <c r="F304" s="55">
        <v>4</v>
      </c>
      <c r="G304" s="55">
        <v>0</v>
      </c>
      <c r="H304" s="141">
        <v>1</v>
      </c>
      <c r="M304" s="23">
        <v>1</v>
      </c>
    </row>
    <row r="305" spans="2:13" ht="18">
      <c r="B305" s="55">
        <v>13</v>
      </c>
      <c r="C305" s="55">
        <v>105</v>
      </c>
      <c r="D305" s="55">
        <v>6</v>
      </c>
      <c r="E305" s="55">
        <v>5</v>
      </c>
      <c r="F305" s="55">
        <v>0</v>
      </c>
      <c r="G305" s="55">
        <v>0</v>
      </c>
      <c r="H305" s="141">
        <v>0</v>
      </c>
      <c r="M305" s="23">
        <v>1</v>
      </c>
    </row>
    <row r="306" spans="2:13" ht="18">
      <c r="B306" s="55">
        <v>13</v>
      </c>
      <c r="C306" s="55">
        <v>105</v>
      </c>
      <c r="D306" s="55">
        <v>5</v>
      </c>
      <c r="E306" s="55">
        <v>14</v>
      </c>
      <c r="F306" s="55">
        <v>5</v>
      </c>
      <c r="G306" s="55">
        <v>0</v>
      </c>
      <c r="H306" s="141">
        <v>0</v>
      </c>
      <c r="M306" s="23">
        <v>1</v>
      </c>
    </row>
    <row r="307" spans="2:13" ht="18">
      <c r="B307" s="55">
        <v>13</v>
      </c>
      <c r="C307" s="55">
        <v>105</v>
      </c>
      <c r="D307" s="55">
        <v>7</v>
      </c>
      <c r="E307" s="55">
        <v>10</v>
      </c>
      <c r="F307" s="55">
        <v>4</v>
      </c>
      <c r="G307" s="55">
        <v>0</v>
      </c>
      <c r="H307" s="141">
        <v>0</v>
      </c>
      <c r="M307" s="23">
        <v>1</v>
      </c>
    </row>
    <row r="308" spans="2:13" ht="18">
      <c r="B308" s="55">
        <v>13</v>
      </c>
      <c r="C308" s="55">
        <v>54</v>
      </c>
      <c r="D308" s="55">
        <v>8</v>
      </c>
      <c r="E308" s="55">
        <v>3</v>
      </c>
      <c r="F308" s="55">
        <v>0</v>
      </c>
      <c r="G308" s="55">
        <v>1</v>
      </c>
      <c r="H308" s="141">
        <v>0</v>
      </c>
      <c r="M308" s="23">
        <v>1</v>
      </c>
    </row>
    <row r="309" spans="2:13" ht="18">
      <c r="B309" s="55">
        <v>13</v>
      </c>
      <c r="C309" s="55">
        <v>54</v>
      </c>
      <c r="D309" s="55">
        <v>9</v>
      </c>
      <c r="E309" s="55">
        <v>4</v>
      </c>
      <c r="F309" s="55">
        <v>5</v>
      </c>
      <c r="G309" s="55">
        <v>2</v>
      </c>
      <c r="H309" s="141">
        <v>0</v>
      </c>
      <c r="M309" s="23">
        <v>1</v>
      </c>
    </row>
    <row r="310" spans="2:13" ht="18">
      <c r="B310" s="55">
        <v>13</v>
      </c>
      <c r="C310" s="55">
        <v>15</v>
      </c>
      <c r="D310" s="55">
        <v>8</v>
      </c>
      <c r="E310" s="55">
        <v>3</v>
      </c>
      <c r="F310" s="55">
        <v>1</v>
      </c>
      <c r="G310" s="55">
        <v>0</v>
      </c>
      <c r="H310" s="141">
        <v>0</v>
      </c>
      <c r="M310" s="23">
        <v>1</v>
      </c>
    </row>
    <row r="311" spans="2:13" ht="18">
      <c r="B311" s="55">
        <v>13</v>
      </c>
      <c r="C311" s="55">
        <v>106</v>
      </c>
      <c r="D311" s="55">
        <v>3</v>
      </c>
      <c r="E311" s="55">
        <v>17</v>
      </c>
      <c r="F311" s="55">
        <v>2</v>
      </c>
      <c r="G311" s="55">
        <v>0</v>
      </c>
      <c r="H311" s="141">
        <v>0</v>
      </c>
      <c r="M311" s="23">
        <v>1</v>
      </c>
    </row>
    <row r="312" spans="2:13" ht="18">
      <c r="B312" s="55">
        <v>13</v>
      </c>
      <c r="C312" s="55">
        <v>106</v>
      </c>
      <c r="D312" s="55">
        <v>9</v>
      </c>
      <c r="E312" s="55">
        <v>10</v>
      </c>
      <c r="F312" s="55">
        <v>1</v>
      </c>
      <c r="G312" s="55">
        <v>0</v>
      </c>
      <c r="H312" s="141">
        <v>0</v>
      </c>
      <c r="M312" s="23">
        <v>1</v>
      </c>
    </row>
    <row r="313" spans="2:13" ht="18">
      <c r="B313" s="55">
        <v>13</v>
      </c>
      <c r="C313" s="55">
        <v>106</v>
      </c>
      <c r="D313" s="55">
        <v>4</v>
      </c>
      <c r="E313" s="55">
        <v>19</v>
      </c>
      <c r="F313" s="55">
        <v>1</v>
      </c>
      <c r="G313" s="55">
        <v>0</v>
      </c>
      <c r="H313" s="141">
        <v>0</v>
      </c>
      <c r="M313" s="23">
        <v>1</v>
      </c>
    </row>
    <row r="314" spans="2:13" ht="18">
      <c r="B314" s="55">
        <v>13</v>
      </c>
      <c r="C314" s="55">
        <v>106</v>
      </c>
      <c r="D314" s="55">
        <v>5</v>
      </c>
      <c r="E314" s="55">
        <v>25</v>
      </c>
      <c r="F314" s="55">
        <v>0</v>
      </c>
      <c r="G314" s="55">
        <v>0</v>
      </c>
      <c r="H314" s="141">
        <v>0</v>
      </c>
      <c r="M314" s="23">
        <v>1</v>
      </c>
    </row>
    <row r="315" spans="2:13" ht="18">
      <c r="B315" s="55">
        <v>13</v>
      </c>
      <c r="C315" s="55">
        <v>106</v>
      </c>
      <c r="D315" s="55">
        <v>6</v>
      </c>
      <c r="E315" s="55">
        <v>15</v>
      </c>
      <c r="F315" s="55">
        <v>3</v>
      </c>
      <c r="G315" s="55">
        <v>0</v>
      </c>
      <c r="H315" s="141">
        <v>0</v>
      </c>
      <c r="M315" s="23">
        <v>1</v>
      </c>
    </row>
    <row r="316" spans="2:13" ht="18">
      <c r="B316" s="55">
        <v>13</v>
      </c>
      <c r="C316" s="55">
        <v>106</v>
      </c>
      <c r="D316" s="55">
        <v>7</v>
      </c>
      <c r="E316" s="55">
        <v>13</v>
      </c>
      <c r="F316" s="55">
        <v>0</v>
      </c>
      <c r="G316" s="55">
        <v>0</v>
      </c>
      <c r="H316" s="141">
        <v>0</v>
      </c>
      <c r="M316" s="23">
        <v>1</v>
      </c>
    </row>
    <row r="317" spans="2:13" ht="18">
      <c r="B317" s="55">
        <v>13</v>
      </c>
      <c r="C317" s="55">
        <v>106</v>
      </c>
      <c r="D317" s="55">
        <v>8</v>
      </c>
      <c r="E317" s="55">
        <v>8</v>
      </c>
      <c r="F317" s="55">
        <v>3</v>
      </c>
      <c r="G317" s="55">
        <v>0</v>
      </c>
      <c r="H317" s="141">
        <v>0</v>
      </c>
      <c r="M317" s="23">
        <v>1</v>
      </c>
    </row>
    <row r="318" spans="2:13" ht="18">
      <c r="B318" s="55">
        <v>1</v>
      </c>
      <c r="C318" s="55">
        <v>3</v>
      </c>
      <c r="D318" s="55">
        <v>9</v>
      </c>
      <c r="E318" s="55">
        <v>15</v>
      </c>
      <c r="F318" s="55">
        <v>5</v>
      </c>
      <c r="G318" s="55">
        <v>0</v>
      </c>
      <c r="H318" s="141">
        <v>3</v>
      </c>
      <c r="M318" s="23">
        <v>1</v>
      </c>
    </row>
    <row r="319" spans="2:13" ht="18">
      <c r="B319" s="55">
        <v>1</v>
      </c>
      <c r="C319" s="55">
        <v>3</v>
      </c>
      <c r="D319" s="55">
        <v>10</v>
      </c>
      <c r="E319" s="55">
        <v>10</v>
      </c>
      <c r="F319" s="55">
        <v>6</v>
      </c>
      <c r="G319" s="55">
        <v>0</v>
      </c>
      <c r="H319" s="141">
        <v>0</v>
      </c>
      <c r="M319" s="23">
        <v>1</v>
      </c>
    </row>
    <row r="320" spans="2:13" ht="18">
      <c r="B320" s="55">
        <v>13</v>
      </c>
      <c r="C320" s="55">
        <v>41</v>
      </c>
      <c r="D320" s="55">
        <v>8</v>
      </c>
      <c r="E320" s="55">
        <v>2</v>
      </c>
      <c r="F320" s="55">
        <v>1</v>
      </c>
      <c r="G320" s="55">
        <v>0</v>
      </c>
      <c r="H320" s="141">
        <v>0</v>
      </c>
      <c r="M320" s="23">
        <v>1</v>
      </c>
    </row>
    <row r="321" spans="2:13" ht="18">
      <c r="B321" s="55">
        <v>13</v>
      </c>
      <c r="C321" s="55">
        <v>113</v>
      </c>
      <c r="D321" s="55">
        <v>9</v>
      </c>
      <c r="E321" s="55">
        <v>6</v>
      </c>
      <c r="F321" s="55">
        <v>2</v>
      </c>
      <c r="G321" s="55">
        <v>0</v>
      </c>
      <c r="H321" s="141">
        <v>0</v>
      </c>
      <c r="M321" s="23">
        <v>1</v>
      </c>
    </row>
    <row r="322" spans="2:13" ht="18">
      <c r="B322" s="55">
        <v>13</v>
      </c>
      <c r="C322" s="55">
        <v>113</v>
      </c>
      <c r="D322" s="55">
        <v>8</v>
      </c>
      <c r="E322" s="55">
        <v>7</v>
      </c>
      <c r="F322" s="55">
        <v>0</v>
      </c>
      <c r="G322" s="55">
        <v>0</v>
      </c>
      <c r="H322" s="141">
        <v>0</v>
      </c>
      <c r="M322" s="23">
        <v>1</v>
      </c>
    </row>
    <row r="323" spans="2:13" ht="18">
      <c r="B323" s="55">
        <v>13</v>
      </c>
      <c r="C323" s="55">
        <v>64</v>
      </c>
      <c r="D323" s="55">
        <v>8</v>
      </c>
      <c r="E323" s="55">
        <v>17</v>
      </c>
      <c r="F323" s="55">
        <v>3</v>
      </c>
      <c r="G323" s="55">
        <v>0</v>
      </c>
      <c r="H323" s="141">
        <v>1</v>
      </c>
      <c r="M323" s="23">
        <v>1</v>
      </c>
    </row>
    <row r="324" spans="2:13" ht="18">
      <c r="B324" s="55">
        <v>13</v>
      </c>
      <c r="C324" s="55">
        <v>112</v>
      </c>
      <c r="D324" s="55">
        <v>3</v>
      </c>
      <c r="E324" s="55">
        <v>25</v>
      </c>
      <c r="F324" s="55">
        <v>8</v>
      </c>
      <c r="G324" s="55">
        <v>0</v>
      </c>
      <c r="H324" s="141">
        <v>0</v>
      </c>
      <c r="M324" s="23">
        <v>1</v>
      </c>
    </row>
    <row r="325" spans="2:13" ht="18">
      <c r="B325" s="55">
        <v>13</v>
      </c>
      <c r="C325" s="55">
        <v>51</v>
      </c>
      <c r="D325" s="55">
        <v>8</v>
      </c>
      <c r="E325" s="55">
        <v>6</v>
      </c>
      <c r="F325" s="55">
        <v>2</v>
      </c>
      <c r="G325" s="55">
        <v>0</v>
      </c>
      <c r="H325" s="141">
        <v>0</v>
      </c>
      <c r="M325" s="23">
        <v>1</v>
      </c>
    </row>
    <row r="326" spans="2:13" ht="18">
      <c r="B326" s="55">
        <v>13</v>
      </c>
      <c r="C326" s="55">
        <v>51</v>
      </c>
      <c r="D326" s="55">
        <v>9</v>
      </c>
      <c r="E326" s="55">
        <v>9</v>
      </c>
      <c r="F326" s="55">
        <v>1</v>
      </c>
      <c r="G326" s="55">
        <v>0</v>
      </c>
      <c r="H326" s="141">
        <v>0</v>
      </c>
      <c r="M326" s="23">
        <v>1</v>
      </c>
    </row>
    <row r="327" spans="2:13" ht="18">
      <c r="B327" s="55">
        <v>13</v>
      </c>
      <c r="C327" s="55">
        <v>51</v>
      </c>
      <c r="D327" s="55">
        <v>10</v>
      </c>
      <c r="E327" s="55">
        <v>6</v>
      </c>
      <c r="F327" s="55">
        <v>1</v>
      </c>
      <c r="G327" s="55">
        <v>0</v>
      </c>
      <c r="H327" s="141">
        <v>0</v>
      </c>
      <c r="M327" s="23">
        <v>1</v>
      </c>
    </row>
    <row r="328" spans="2:13" ht="18">
      <c r="B328" s="55">
        <v>13</v>
      </c>
      <c r="C328" s="55">
        <v>21</v>
      </c>
      <c r="D328" s="55">
        <v>10</v>
      </c>
      <c r="E328" s="55">
        <v>1</v>
      </c>
      <c r="F328" s="55">
        <v>18</v>
      </c>
      <c r="G328" s="55">
        <v>0</v>
      </c>
      <c r="H328" s="141">
        <v>0</v>
      </c>
      <c r="M328" s="23">
        <v>1</v>
      </c>
    </row>
    <row r="329" spans="2:13" ht="18">
      <c r="B329" s="55">
        <v>13</v>
      </c>
      <c r="C329" s="55">
        <v>27</v>
      </c>
      <c r="D329" s="55">
        <v>6</v>
      </c>
      <c r="E329" s="55">
        <v>55</v>
      </c>
      <c r="F329" s="55">
        <v>20</v>
      </c>
      <c r="G329" s="55">
        <v>0</v>
      </c>
      <c r="H329" s="141">
        <v>0</v>
      </c>
      <c r="M329" s="23">
        <v>1</v>
      </c>
    </row>
    <row r="330" spans="2:13" ht="18">
      <c r="B330" s="55">
        <v>13</v>
      </c>
      <c r="C330" s="55">
        <v>27</v>
      </c>
      <c r="D330" s="55">
        <v>7</v>
      </c>
      <c r="E330" s="55">
        <v>20</v>
      </c>
      <c r="F330" s="55">
        <v>15</v>
      </c>
      <c r="G330" s="55">
        <v>0</v>
      </c>
      <c r="H330" s="141">
        <v>0</v>
      </c>
      <c r="M330" s="23">
        <v>1</v>
      </c>
    </row>
    <row r="331" spans="2:13" ht="18">
      <c r="B331" s="55">
        <v>13</v>
      </c>
      <c r="C331" s="55">
        <v>27</v>
      </c>
      <c r="D331" s="55">
        <v>8</v>
      </c>
      <c r="E331" s="55">
        <v>25</v>
      </c>
      <c r="F331" s="55">
        <v>10</v>
      </c>
      <c r="G331" s="55">
        <v>0</v>
      </c>
      <c r="H331" s="141">
        <v>0</v>
      </c>
      <c r="M331" s="23">
        <v>1</v>
      </c>
    </row>
    <row r="332" spans="2:13" ht="18">
      <c r="B332" s="55">
        <v>13</v>
      </c>
      <c r="C332" s="55">
        <v>27</v>
      </c>
      <c r="D332" s="55">
        <v>9</v>
      </c>
      <c r="E332" s="55">
        <v>30</v>
      </c>
      <c r="F332" s="55">
        <v>10</v>
      </c>
      <c r="G332" s="55">
        <v>0</v>
      </c>
      <c r="H332" s="141">
        <v>0</v>
      </c>
      <c r="M332" s="23">
        <v>1</v>
      </c>
    </row>
    <row r="333" spans="2:13" ht="18">
      <c r="B333" s="55">
        <v>13</v>
      </c>
      <c r="C333" s="55">
        <v>62</v>
      </c>
      <c r="D333" s="55">
        <v>10</v>
      </c>
      <c r="E333" s="55">
        <v>4</v>
      </c>
      <c r="F333" s="55">
        <v>9</v>
      </c>
      <c r="G333" s="55">
        <v>0</v>
      </c>
      <c r="H333" s="141">
        <v>0</v>
      </c>
      <c r="M333" s="23">
        <v>1</v>
      </c>
    </row>
    <row r="334" spans="2:13" ht="18">
      <c r="B334" s="55">
        <v>13</v>
      </c>
      <c r="C334" s="55">
        <v>106</v>
      </c>
      <c r="D334" s="55">
        <v>10</v>
      </c>
      <c r="E334" s="55">
        <v>5</v>
      </c>
      <c r="F334" s="55">
        <v>5</v>
      </c>
      <c r="G334" s="55">
        <v>0</v>
      </c>
      <c r="H334" s="141">
        <v>0</v>
      </c>
      <c r="M334" s="23">
        <v>1</v>
      </c>
    </row>
    <row r="335" spans="2:13" ht="18">
      <c r="B335" s="55">
        <v>13</v>
      </c>
      <c r="C335" s="55">
        <v>12</v>
      </c>
      <c r="D335" s="55">
        <v>4</v>
      </c>
      <c r="E335" s="55">
        <v>6</v>
      </c>
      <c r="F335" s="55">
        <v>5</v>
      </c>
      <c r="G335" s="55">
        <v>0</v>
      </c>
      <c r="H335" s="141">
        <v>0</v>
      </c>
      <c r="M335" s="23">
        <v>1</v>
      </c>
    </row>
    <row r="336" spans="2:13" ht="18">
      <c r="B336" s="55">
        <v>13</v>
      </c>
      <c r="C336" s="55">
        <v>28</v>
      </c>
      <c r="D336" s="55">
        <v>9</v>
      </c>
      <c r="E336" s="55">
        <v>7</v>
      </c>
      <c r="F336" s="55">
        <v>15</v>
      </c>
      <c r="G336" s="55">
        <v>0</v>
      </c>
      <c r="H336" s="141">
        <v>5</v>
      </c>
      <c r="M336" s="23">
        <v>1</v>
      </c>
    </row>
    <row r="337" spans="2:13" ht="18">
      <c r="B337" s="55">
        <v>13</v>
      </c>
      <c r="C337" s="55">
        <v>28</v>
      </c>
      <c r="D337" s="55">
        <v>8</v>
      </c>
      <c r="E337" s="55">
        <v>6</v>
      </c>
      <c r="F337" s="55">
        <v>15</v>
      </c>
      <c r="G337" s="55">
        <v>0</v>
      </c>
      <c r="H337" s="141">
        <v>3</v>
      </c>
      <c r="M337" s="23">
        <v>1</v>
      </c>
    </row>
    <row r="338" spans="2:13" ht="18">
      <c r="B338" s="55">
        <v>13</v>
      </c>
      <c r="C338" s="55">
        <v>28</v>
      </c>
      <c r="D338" s="55">
        <v>7</v>
      </c>
      <c r="E338" s="55">
        <v>9</v>
      </c>
      <c r="F338" s="55">
        <v>5</v>
      </c>
      <c r="G338" s="55">
        <v>0</v>
      </c>
      <c r="H338" s="141">
        <v>0</v>
      </c>
      <c r="M338" s="23">
        <v>1</v>
      </c>
    </row>
    <row r="339" spans="2:13" ht="18">
      <c r="B339" s="55">
        <v>13</v>
      </c>
      <c r="C339" s="55">
        <v>116</v>
      </c>
      <c r="D339" s="55">
        <v>10</v>
      </c>
      <c r="E339" s="55">
        <v>21</v>
      </c>
      <c r="F339" s="55">
        <v>0</v>
      </c>
      <c r="G339" s="55">
        <v>8</v>
      </c>
      <c r="H339" s="141">
        <v>0</v>
      </c>
      <c r="M339" s="23">
        <v>1</v>
      </c>
    </row>
    <row r="340" spans="2:13" ht="18">
      <c r="B340" s="55">
        <v>1</v>
      </c>
      <c r="C340" s="55">
        <v>9</v>
      </c>
      <c r="D340" s="55">
        <v>9</v>
      </c>
      <c r="E340" s="55">
        <v>6</v>
      </c>
      <c r="F340" s="55">
        <v>19</v>
      </c>
      <c r="G340" s="55">
        <v>0</v>
      </c>
      <c r="H340" s="141">
        <v>0</v>
      </c>
      <c r="M340" s="23">
        <v>1</v>
      </c>
    </row>
    <row r="341" spans="2:13" ht="18">
      <c r="B341" s="55">
        <v>13</v>
      </c>
      <c r="C341" s="55">
        <v>43</v>
      </c>
      <c r="D341" s="55">
        <v>3</v>
      </c>
      <c r="E341" s="55">
        <v>0</v>
      </c>
      <c r="F341" s="55">
        <v>17</v>
      </c>
      <c r="G341" s="55">
        <v>0</v>
      </c>
      <c r="H341" s="141">
        <v>0</v>
      </c>
      <c r="M341" s="23">
        <v>1</v>
      </c>
    </row>
    <row r="342" spans="2:13" ht="18">
      <c r="B342" s="55">
        <v>13</v>
      </c>
      <c r="C342" s="55">
        <v>43</v>
      </c>
      <c r="D342" s="55">
        <v>2</v>
      </c>
      <c r="E342" s="55">
        <v>5</v>
      </c>
      <c r="F342" s="55">
        <v>10</v>
      </c>
      <c r="G342" s="55">
        <v>0</v>
      </c>
      <c r="H342" s="141">
        <v>0</v>
      </c>
      <c r="M342" s="23">
        <v>1</v>
      </c>
    </row>
    <row r="343" spans="2:13" ht="18">
      <c r="B343" s="55">
        <v>13</v>
      </c>
      <c r="C343" s="55">
        <v>43</v>
      </c>
      <c r="D343" s="55">
        <v>1</v>
      </c>
      <c r="E343" s="55">
        <v>3</v>
      </c>
      <c r="F343" s="55">
        <v>14</v>
      </c>
      <c r="G343" s="55">
        <v>1</v>
      </c>
      <c r="H343" s="141">
        <v>0</v>
      </c>
      <c r="M343" s="23">
        <v>1</v>
      </c>
    </row>
    <row r="344" spans="2:13" ht="18">
      <c r="B344" s="55">
        <v>1</v>
      </c>
      <c r="C344" s="55">
        <v>38</v>
      </c>
      <c r="D344" s="55">
        <v>3</v>
      </c>
      <c r="E344" s="55">
        <v>1</v>
      </c>
      <c r="F344" s="55">
        <v>10</v>
      </c>
      <c r="G344" s="55">
        <v>0</v>
      </c>
      <c r="H344" s="141">
        <v>0</v>
      </c>
      <c r="M344" s="23">
        <v>1</v>
      </c>
    </row>
    <row r="345" spans="2:13" ht="18">
      <c r="B345" s="55">
        <v>1</v>
      </c>
      <c r="C345" s="55">
        <v>25</v>
      </c>
      <c r="D345" s="55">
        <v>5</v>
      </c>
      <c r="E345" s="55">
        <v>17</v>
      </c>
      <c r="F345" s="55">
        <v>2</v>
      </c>
      <c r="G345" s="55">
        <v>1</v>
      </c>
      <c r="H345" s="141">
        <v>0</v>
      </c>
      <c r="M345" s="23">
        <v>1</v>
      </c>
    </row>
    <row r="346" spans="2:13" ht="18">
      <c r="B346" s="55">
        <v>1</v>
      </c>
      <c r="C346" s="55">
        <v>49</v>
      </c>
      <c r="D346" s="55">
        <v>5</v>
      </c>
      <c r="E346" s="55">
        <v>8</v>
      </c>
      <c r="F346" s="55">
        <v>9</v>
      </c>
      <c r="G346" s="55">
        <v>3</v>
      </c>
      <c r="H346" s="141">
        <v>0</v>
      </c>
      <c r="M346" s="23">
        <v>1</v>
      </c>
    </row>
    <row r="347" spans="2:13" ht="18">
      <c r="B347" s="55">
        <v>1</v>
      </c>
      <c r="C347" s="55">
        <v>25</v>
      </c>
      <c r="D347" s="55">
        <v>4</v>
      </c>
      <c r="E347" s="55">
        <v>15</v>
      </c>
      <c r="F347" s="55">
        <v>0</v>
      </c>
      <c r="G347" s="55">
        <v>5</v>
      </c>
      <c r="H347" s="141">
        <v>0</v>
      </c>
      <c r="M347" s="23">
        <v>1</v>
      </c>
    </row>
    <row r="348" spans="2:13" ht="18">
      <c r="B348" s="55">
        <v>1</v>
      </c>
      <c r="C348" s="55">
        <v>43</v>
      </c>
      <c r="D348" s="55">
        <v>10</v>
      </c>
      <c r="E348" s="55">
        <v>3</v>
      </c>
      <c r="F348" s="55">
        <v>11</v>
      </c>
      <c r="G348" s="55">
        <v>3</v>
      </c>
      <c r="H348" s="141">
        <v>0</v>
      </c>
      <c r="M348" s="23">
        <v>1</v>
      </c>
    </row>
    <row r="349" spans="2:13" ht="18">
      <c r="B349" s="55">
        <v>1</v>
      </c>
      <c r="C349" s="55">
        <v>43</v>
      </c>
      <c r="D349" s="55">
        <v>9</v>
      </c>
      <c r="E349" s="55">
        <v>9</v>
      </c>
      <c r="F349" s="55">
        <v>18</v>
      </c>
      <c r="G349" s="55">
        <v>0</v>
      </c>
      <c r="H349" s="141">
        <v>0</v>
      </c>
      <c r="M349" s="23">
        <v>1</v>
      </c>
    </row>
    <row r="350" spans="2:13" ht="18">
      <c r="B350" s="55">
        <v>13</v>
      </c>
      <c r="C350" s="55">
        <v>43</v>
      </c>
      <c r="D350" s="55">
        <v>8</v>
      </c>
      <c r="E350" s="55">
        <v>4</v>
      </c>
      <c r="F350" s="55">
        <v>8</v>
      </c>
      <c r="G350" s="55">
        <v>4</v>
      </c>
      <c r="H350" s="141">
        <v>4</v>
      </c>
      <c r="M350" s="23">
        <v>1</v>
      </c>
    </row>
    <row r="351" spans="2:13" ht="18">
      <c r="B351" s="55">
        <v>13</v>
      </c>
      <c r="C351" s="55">
        <v>35</v>
      </c>
      <c r="D351" s="55">
        <v>9</v>
      </c>
      <c r="E351" s="55">
        <v>10</v>
      </c>
      <c r="F351" s="55">
        <v>7</v>
      </c>
      <c r="G351" s="55">
        <v>0</v>
      </c>
      <c r="H351" s="141">
        <v>0</v>
      </c>
      <c r="M351" s="23">
        <v>1</v>
      </c>
    </row>
    <row r="352" spans="2:13" ht="18">
      <c r="B352" s="55">
        <v>1</v>
      </c>
      <c r="C352" s="55">
        <v>114</v>
      </c>
      <c r="D352" s="55">
        <v>9</v>
      </c>
      <c r="E352" s="55">
        <v>25</v>
      </c>
      <c r="F352" s="55">
        <v>3</v>
      </c>
      <c r="G352" s="55">
        <v>2</v>
      </c>
      <c r="H352" s="141">
        <v>2</v>
      </c>
      <c r="M352" s="23">
        <v>1</v>
      </c>
    </row>
    <row r="353" spans="2:13" ht="18">
      <c r="B353" s="55">
        <v>13</v>
      </c>
      <c r="C353" s="55">
        <v>41</v>
      </c>
      <c r="D353" s="55">
        <v>9</v>
      </c>
      <c r="E353" s="55">
        <v>3</v>
      </c>
      <c r="F353" s="55">
        <v>0</v>
      </c>
      <c r="G353" s="55">
        <v>0</v>
      </c>
      <c r="H353" s="141">
        <v>0</v>
      </c>
      <c r="M353" s="23">
        <v>1</v>
      </c>
    </row>
    <row r="354" spans="2:13" ht="18">
      <c r="B354" s="55">
        <v>13</v>
      </c>
      <c r="C354" s="55">
        <v>78</v>
      </c>
      <c r="D354" s="55">
        <v>8</v>
      </c>
      <c r="E354" s="55">
        <v>0</v>
      </c>
      <c r="F354" s="55">
        <v>20</v>
      </c>
      <c r="G354" s="55">
        <v>0</v>
      </c>
      <c r="H354" s="141">
        <v>0</v>
      </c>
      <c r="M354" s="23">
        <v>1</v>
      </c>
    </row>
    <row r="355" spans="2:13" ht="18">
      <c r="B355" s="55">
        <v>13</v>
      </c>
      <c r="C355" s="55">
        <v>78</v>
      </c>
      <c r="D355" s="55">
        <v>9</v>
      </c>
      <c r="E355" s="55">
        <v>0</v>
      </c>
      <c r="F355" s="55">
        <v>22</v>
      </c>
      <c r="G355" s="55">
        <v>3</v>
      </c>
      <c r="H355" s="141">
        <v>0</v>
      </c>
      <c r="M355" s="23">
        <v>1</v>
      </c>
    </row>
    <row r="356" spans="2:13" ht="18">
      <c r="B356" s="55">
        <v>13</v>
      </c>
      <c r="C356" s="55">
        <v>73</v>
      </c>
      <c r="D356" s="55">
        <v>9</v>
      </c>
      <c r="E356" s="55">
        <v>0</v>
      </c>
      <c r="F356" s="55">
        <v>5</v>
      </c>
      <c r="G356" s="55">
        <v>0</v>
      </c>
      <c r="H356" s="141">
        <v>0</v>
      </c>
      <c r="M356" s="23">
        <v>1</v>
      </c>
    </row>
    <row r="357" spans="2:13" ht="18">
      <c r="B357" s="55">
        <v>13</v>
      </c>
      <c r="C357" s="55">
        <v>34</v>
      </c>
      <c r="D357" s="55">
        <v>9</v>
      </c>
      <c r="E357" s="55">
        <v>15</v>
      </c>
      <c r="F357" s="55">
        <v>5</v>
      </c>
      <c r="G357" s="55">
        <v>0</v>
      </c>
      <c r="H357" s="141">
        <v>1</v>
      </c>
      <c r="M357" s="23">
        <v>1</v>
      </c>
    </row>
    <row r="358" spans="2:13" ht="18">
      <c r="B358" s="55">
        <v>13</v>
      </c>
      <c r="C358" s="55">
        <v>34</v>
      </c>
      <c r="D358" s="55">
        <v>8</v>
      </c>
      <c r="E358" s="55">
        <v>11</v>
      </c>
      <c r="F358" s="55">
        <v>13</v>
      </c>
      <c r="G358" s="55">
        <v>0</v>
      </c>
      <c r="H358" s="141">
        <v>4</v>
      </c>
      <c r="M358" s="23">
        <v>1</v>
      </c>
    </row>
    <row r="359" spans="2:13" ht="18">
      <c r="B359" s="55">
        <v>13</v>
      </c>
      <c r="C359" s="55">
        <v>59</v>
      </c>
      <c r="D359" s="55">
        <v>9</v>
      </c>
      <c r="E359" s="55">
        <v>3</v>
      </c>
      <c r="F359" s="55">
        <v>1</v>
      </c>
      <c r="G359" s="55">
        <v>0</v>
      </c>
      <c r="H359" s="141">
        <v>0</v>
      </c>
      <c r="M359" s="23">
        <v>1</v>
      </c>
    </row>
    <row r="360" spans="2:13" ht="18">
      <c r="B360" s="55">
        <v>13</v>
      </c>
      <c r="C360" s="55">
        <v>59</v>
      </c>
      <c r="D360" s="55">
        <v>8</v>
      </c>
      <c r="E360" s="55">
        <v>5</v>
      </c>
      <c r="F360" s="55">
        <v>1</v>
      </c>
      <c r="G360" s="55">
        <v>0</v>
      </c>
      <c r="H360" s="141">
        <v>0</v>
      </c>
      <c r="M360" s="23">
        <v>1</v>
      </c>
    </row>
    <row r="361" spans="2:13" ht="18">
      <c r="B361" s="55">
        <v>1</v>
      </c>
      <c r="C361" s="55">
        <v>25</v>
      </c>
      <c r="D361" s="55">
        <v>9</v>
      </c>
      <c r="E361" s="55">
        <v>12</v>
      </c>
      <c r="F361" s="55">
        <v>8</v>
      </c>
      <c r="G361" s="55">
        <v>0</v>
      </c>
      <c r="H361" s="141">
        <v>0</v>
      </c>
      <c r="M361" s="23">
        <v>1</v>
      </c>
    </row>
    <row r="362" spans="2:13" ht="18">
      <c r="B362" s="55">
        <v>13</v>
      </c>
      <c r="C362" s="55">
        <v>44</v>
      </c>
      <c r="D362" s="55">
        <v>6</v>
      </c>
      <c r="E362" s="55">
        <v>6</v>
      </c>
      <c r="F362" s="55">
        <v>1</v>
      </c>
      <c r="G362" s="55">
        <v>0</v>
      </c>
      <c r="H362" s="141">
        <v>0</v>
      </c>
      <c r="M362" s="23">
        <v>1</v>
      </c>
    </row>
    <row r="363" spans="2:13" ht="18">
      <c r="B363" s="55">
        <v>13</v>
      </c>
      <c r="C363" s="55">
        <v>44</v>
      </c>
      <c r="D363" s="55">
        <v>7</v>
      </c>
      <c r="E363" s="55">
        <v>11</v>
      </c>
      <c r="F363" s="55">
        <v>4</v>
      </c>
      <c r="G363" s="55">
        <v>0</v>
      </c>
      <c r="H363" s="141">
        <v>0</v>
      </c>
      <c r="M363" s="23">
        <v>1</v>
      </c>
    </row>
    <row r="364" spans="2:13" ht="18">
      <c r="B364" s="55">
        <v>13</v>
      </c>
      <c r="C364" s="55">
        <v>44</v>
      </c>
      <c r="D364" s="55">
        <v>8</v>
      </c>
      <c r="E364" s="55">
        <v>8</v>
      </c>
      <c r="F364" s="55">
        <v>9</v>
      </c>
      <c r="G364" s="55">
        <v>0</v>
      </c>
      <c r="H364" s="141">
        <v>0</v>
      </c>
      <c r="M364" s="23">
        <v>1</v>
      </c>
    </row>
    <row r="365" spans="2:13" ht="18">
      <c r="B365" s="55">
        <v>13</v>
      </c>
      <c r="C365" s="55">
        <v>44</v>
      </c>
      <c r="D365" s="55">
        <v>9</v>
      </c>
      <c r="E365" s="55">
        <v>2</v>
      </c>
      <c r="F365" s="55">
        <v>9</v>
      </c>
      <c r="G365" s="55">
        <v>0</v>
      </c>
      <c r="H365" s="141">
        <v>0</v>
      </c>
      <c r="M365" s="23">
        <v>1</v>
      </c>
    </row>
    <row r="366" spans="2:13" ht="18">
      <c r="B366" s="55">
        <v>13</v>
      </c>
      <c r="C366" s="55">
        <v>21</v>
      </c>
      <c r="D366" s="55">
        <v>9</v>
      </c>
      <c r="E366" s="55">
        <v>4</v>
      </c>
      <c r="F366" s="55">
        <v>25</v>
      </c>
      <c r="G366" s="55">
        <v>0</v>
      </c>
      <c r="H366" s="141">
        <v>0</v>
      </c>
      <c r="M366" s="23">
        <v>1</v>
      </c>
    </row>
    <row r="367" spans="2:13" ht="18">
      <c r="B367" s="55">
        <v>13</v>
      </c>
      <c r="C367" s="55">
        <v>36</v>
      </c>
      <c r="D367" s="55">
        <v>7</v>
      </c>
      <c r="E367" s="55">
        <v>14</v>
      </c>
      <c r="F367" s="55">
        <v>11</v>
      </c>
      <c r="G367" s="55">
        <v>5</v>
      </c>
      <c r="H367" s="141">
        <v>0</v>
      </c>
      <c r="M367" s="23">
        <v>1</v>
      </c>
    </row>
    <row r="368" spans="2:13" ht="18">
      <c r="B368" s="55">
        <v>13</v>
      </c>
      <c r="C368" s="55">
        <v>36</v>
      </c>
      <c r="D368" s="55">
        <v>8</v>
      </c>
      <c r="E368" s="55">
        <v>22</v>
      </c>
      <c r="F368" s="55">
        <v>4</v>
      </c>
      <c r="G368" s="55">
        <v>19</v>
      </c>
      <c r="H368" s="141">
        <v>0</v>
      </c>
      <c r="M368" s="23">
        <v>1</v>
      </c>
    </row>
    <row r="369" spans="2:13" ht="18">
      <c r="B369" s="55">
        <v>13</v>
      </c>
      <c r="C369" s="55">
        <v>36</v>
      </c>
      <c r="D369" s="55">
        <v>9</v>
      </c>
      <c r="E369" s="55">
        <v>11</v>
      </c>
      <c r="F369" s="55">
        <v>6</v>
      </c>
      <c r="G369" s="55">
        <v>3</v>
      </c>
      <c r="H369" s="141">
        <v>0</v>
      </c>
      <c r="M369" s="23">
        <v>1</v>
      </c>
    </row>
    <row r="370" spans="2:13" ht="18">
      <c r="B370" s="55">
        <v>1</v>
      </c>
      <c r="C370" s="55">
        <v>112</v>
      </c>
      <c r="D370" s="55">
        <v>9</v>
      </c>
      <c r="E370" s="55">
        <v>23</v>
      </c>
      <c r="F370" s="55">
        <v>4</v>
      </c>
      <c r="G370" s="55">
        <v>0</v>
      </c>
      <c r="H370" s="141">
        <v>0</v>
      </c>
      <c r="M370" s="23">
        <v>1</v>
      </c>
    </row>
    <row r="371" spans="2:13" ht="18">
      <c r="B371" s="55">
        <v>13</v>
      </c>
      <c r="C371" s="55">
        <v>49</v>
      </c>
      <c r="D371" s="55">
        <v>9</v>
      </c>
      <c r="E371" s="55">
        <v>8</v>
      </c>
      <c r="F371" s="55">
        <v>7</v>
      </c>
      <c r="G371" s="55">
        <v>0</v>
      </c>
      <c r="H371" s="141">
        <v>0</v>
      </c>
      <c r="M371" s="23">
        <v>1</v>
      </c>
    </row>
    <row r="372" spans="2:13" ht="18">
      <c r="B372" s="55">
        <v>13</v>
      </c>
      <c r="C372" s="55">
        <v>101</v>
      </c>
      <c r="D372" s="55">
        <v>8</v>
      </c>
      <c r="E372" s="55">
        <v>1</v>
      </c>
      <c r="F372" s="55">
        <v>5</v>
      </c>
      <c r="G372" s="55">
        <v>0</v>
      </c>
      <c r="H372" s="141">
        <v>0</v>
      </c>
      <c r="M372" s="23">
        <v>1</v>
      </c>
    </row>
    <row r="373" spans="2:13" ht="18">
      <c r="B373" s="55">
        <v>13</v>
      </c>
      <c r="C373" s="55">
        <v>101</v>
      </c>
      <c r="D373" s="55">
        <v>7</v>
      </c>
      <c r="E373" s="55">
        <v>7</v>
      </c>
      <c r="F373" s="55">
        <v>8</v>
      </c>
      <c r="G373" s="55">
        <v>0</v>
      </c>
      <c r="H373" s="141">
        <v>0</v>
      </c>
      <c r="M373" s="23">
        <v>1</v>
      </c>
    </row>
    <row r="374" spans="2:13" ht="18">
      <c r="B374" s="55">
        <v>13</v>
      </c>
      <c r="C374" s="55">
        <v>37</v>
      </c>
      <c r="D374" s="55">
        <v>5</v>
      </c>
      <c r="E374" s="55">
        <v>10</v>
      </c>
      <c r="F374" s="55">
        <v>14</v>
      </c>
      <c r="G374" s="55">
        <v>0</v>
      </c>
      <c r="H374" s="141">
        <v>0</v>
      </c>
      <c r="M374" s="23">
        <v>1</v>
      </c>
    </row>
    <row r="375" spans="2:13" ht="18">
      <c r="B375" s="55">
        <v>13</v>
      </c>
      <c r="C375" s="55">
        <v>23</v>
      </c>
      <c r="D375" s="55">
        <v>5</v>
      </c>
      <c r="E375" s="55">
        <v>6</v>
      </c>
      <c r="F375" s="55">
        <v>10</v>
      </c>
      <c r="G375" s="55">
        <v>0</v>
      </c>
      <c r="H375" s="141">
        <v>0</v>
      </c>
      <c r="M375" s="23">
        <v>1</v>
      </c>
    </row>
    <row r="376" spans="2:13" ht="18">
      <c r="B376" s="55">
        <v>13</v>
      </c>
      <c r="C376" s="55">
        <v>23</v>
      </c>
      <c r="D376" s="55">
        <v>6</v>
      </c>
      <c r="E376" s="55">
        <v>7</v>
      </c>
      <c r="F376" s="55">
        <v>12</v>
      </c>
      <c r="G376" s="55">
        <v>0</v>
      </c>
      <c r="H376" s="141">
        <v>1</v>
      </c>
      <c r="M376" s="23">
        <v>1</v>
      </c>
    </row>
    <row r="377" spans="2:13" ht="18">
      <c r="B377" s="55">
        <v>13</v>
      </c>
      <c r="C377" s="55">
        <v>23</v>
      </c>
      <c r="D377" s="55">
        <v>8</v>
      </c>
      <c r="E377" s="55">
        <v>6</v>
      </c>
      <c r="F377" s="55">
        <v>14</v>
      </c>
      <c r="G377" s="55">
        <v>1</v>
      </c>
      <c r="H377" s="141">
        <v>1</v>
      </c>
      <c r="M377" s="23">
        <v>1</v>
      </c>
    </row>
    <row r="378" spans="2:13" ht="18">
      <c r="B378" s="55">
        <v>13</v>
      </c>
      <c r="C378" s="55">
        <v>23</v>
      </c>
      <c r="D378" s="55">
        <v>9</v>
      </c>
      <c r="E378" s="55">
        <v>10</v>
      </c>
      <c r="F378" s="55">
        <v>15</v>
      </c>
      <c r="G378" s="55">
        <v>2</v>
      </c>
      <c r="H378" s="141">
        <v>0</v>
      </c>
      <c r="M378" s="23">
        <v>1</v>
      </c>
    </row>
    <row r="379" spans="2:13" ht="18">
      <c r="B379" s="55">
        <v>1</v>
      </c>
      <c r="C379" s="55">
        <v>47</v>
      </c>
      <c r="D379" s="55">
        <v>5</v>
      </c>
      <c r="E379" s="55">
        <v>3</v>
      </c>
      <c r="F379" s="55">
        <v>3</v>
      </c>
      <c r="G379" s="55">
        <v>0</v>
      </c>
      <c r="H379" s="141">
        <v>0</v>
      </c>
      <c r="M379" s="23">
        <v>1</v>
      </c>
    </row>
    <row r="380" spans="2:13" ht="18">
      <c r="B380" s="55">
        <v>13</v>
      </c>
      <c r="C380" s="55">
        <v>66</v>
      </c>
      <c r="D380" s="55">
        <v>8</v>
      </c>
      <c r="E380" s="55">
        <v>11</v>
      </c>
      <c r="F380" s="55">
        <v>13</v>
      </c>
      <c r="G380" s="55">
        <v>5</v>
      </c>
      <c r="H380" s="141">
        <v>0</v>
      </c>
      <c r="M380" s="23">
        <v>1</v>
      </c>
    </row>
    <row r="381" spans="2:13" ht="18">
      <c r="B381" s="55">
        <v>13</v>
      </c>
      <c r="C381" s="55">
        <v>9</v>
      </c>
      <c r="D381" s="55">
        <v>3</v>
      </c>
      <c r="E381" s="55">
        <v>5</v>
      </c>
      <c r="F381" s="55">
        <v>20</v>
      </c>
      <c r="G381" s="55">
        <v>0</v>
      </c>
      <c r="H381" s="141">
        <v>0</v>
      </c>
      <c r="M381" s="23">
        <v>1</v>
      </c>
    </row>
    <row r="382" spans="2:13" ht="18">
      <c r="B382" s="55">
        <v>13</v>
      </c>
      <c r="C382" s="55">
        <v>9</v>
      </c>
      <c r="D382" s="55">
        <v>8</v>
      </c>
      <c r="E382" s="55">
        <v>6</v>
      </c>
      <c r="F382" s="55">
        <v>19</v>
      </c>
      <c r="G382" s="55">
        <v>0</v>
      </c>
      <c r="H382" s="141">
        <v>0</v>
      </c>
      <c r="M382" s="23">
        <v>1</v>
      </c>
    </row>
    <row r="383" spans="2:13" ht="18">
      <c r="B383" s="55">
        <v>13</v>
      </c>
      <c r="C383" s="55">
        <v>115</v>
      </c>
      <c r="D383" s="55">
        <v>10</v>
      </c>
      <c r="E383" s="55">
        <v>0</v>
      </c>
      <c r="F383" s="55">
        <v>15</v>
      </c>
      <c r="G383" s="55">
        <v>0</v>
      </c>
      <c r="H383" s="141">
        <v>0</v>
      </c>
      <c r="M383" s="23">
        <v>1</v>
      </c>
    </row>
    <row r="384" spans="2:13" ht="18">
      <c r="B384" s="55">
        <v>13</v>
      </c>
      <c r="C384" s="55">
        <v>115</v>
      </c>
      <c r="D384" s="55">
        <v>9</v>
      </c>
      <c r="E384" s="55">
        <v>0</v>
      </c>
      <c r="F384" s="55">
        <v>25</v>
      </c>
      <c r="G384" s="55">
        <v>0</v>
      </c>
      <c r="H384" s="141">
        <v>0</v>
      </c>
      <c r="M384" s="23">
        <v>1</v>
      </c>
    </row>
    <row r="385" spans="2:13" ht="18">
      <c r="B385" s="55">
        <v>13</v>
      </c>
      <c r="C385" s="55">
        <v>75</v>
      </c>
      <c r="D385" s="55">
        <v>5</v>
      </c>
      <c r="E385" s="55">
        <v>0</v>
      </c>
      <c r="F385" s="55">
        <v>25</v>
      </c>
      <c r="G385" s="55">
        <v>0</v>
      </c>
      <c r="H385" s="141">
        <v>0</v>
      </c>
      <c r="M385" s="23">
        <v>1</v>
      </c>
    </row>
    <row r="386" spans="2:13" ht="18">
      <c r="B386" s="55">
        <v>13</v>
      </c>
      <c r="C386" s="55">
        <v>12</v>
      </c>
      <c r="D386" s="55">
        <v>9</v>
      </c>
      <c r="E386" s="55">
        <v>12</v>
      </c>
      <c r="F386" s="55">
        <v>7</v>
      </c>
      <c r="G386" s="55">
        <v>0</v>
      </c>
      <c r="H386" s="141">
        <v>2</v>
      </c>
      <c r="M386" s="23">
        <v>1</v>
      </c>
    </row>
    <row r="387" spans="2:13" ht="18">
      <c r="B387" s="55">
        <v>13</v>
      </c>
      <c r="C387" s="55">
        <v>12</v>
      </c>
      <c r="D387" s="55">
        <v>8</v>
      </c>
      <c r="E387" s="55">
        <v>5</v>
      </c>
      <c r="F387" s="55">
        <v>8</v>
      </c>
      <c r="G387" s="55">
        <v>0</v>
      </c>
      <c r="H387" s="141">
        <v>4</v>
      </c>
      <c r="M387" s="23">
        <v>1</v>
      </c>
    </row>
    <row r="388" spans="2:13" ht="18">
      <c r="B388" s="55">
        <v>13</v>
      </c>
      <c r="C388" s="55">
        <v>112</v>
      </c>
      <c r="D388" s="55">
        <v>9</v>
      </c>
      <c r="E388" s="55">
        <v>25</v>
      </c>
      <c r="F388" s="55">
        <v>10</v>
      </c>
      <c r="G388" s="55">
        <v>6</v>
      </c>
      <c r="H388" s="141">
        <v>4</v>
      </c>
      <c r="M388" s="23">
        <v>1</v>
      </c>
    </row>
    <row r="389" spans="2:13" ht="18">
      <c r="B389" s="55">
        <v>13</v>
      </c>
      <c r="C389" s="55">
        <v>12</v>
      </c>
      <c r="D389" s="55">
        <v>10</v>
      </c>
      <c r="E389" s="55">
        <v>12</v>
      </c>
      <c r="F389" s="55">
        <v>6</v>
      </c>
      <c r="G389" s="55">
        <v>0</v>
      </c>
      <c r="H389" s="141">
        <v>2</v>
      </c>
      <c r="M389" s="23">
        <v>1</v>
      </c>
    </row>
    <row r="390" spans="2:13" ht="18">
      <c r="B390" s="55">
        <v>1</v>
      </c>
      <c r="C390" s="55">
        <v>48</v>
      </c>
      <c r="D390" s="55">
        <v>10</v>
      </c>
      <c r="E390" s="55">
        <v>11</v>
      </c>
      <c r="F390" s="55">
        <v>12</v>
      </c>
      <c r="G390" s="55">
        <v>0</v>
      </c>
      <c r="H390" s="141">
        <v>0</v>
      </c>
      <c r="M390" s="23">
        <v>1</v>
      </c>
    </row>
    <row r="391" spans="2:13" ht="18">
      <c r="B391" s="55">
        <v>1</v>
      </c>
      <c r="C391" s="55">
        <v>48</v>
      </c>
      <c r="D391" s="55">
        <v>9</v>
      </c>
      <c r="E391" s="55">
        <v>10</v>
      </c>
      <c r="F391" s="55">
        <v>7</v>
      </c>
      <c r="G391" s="55">
        <v>0</v>
      </c>
      <c r="H391" s="141">
        <v>0</v>
      </c>
      <c r="M391" s="23">
        <v>1</v>
      </c>
    </row>
    <row r="392" spans="2:13" ht="18">
      <c r="B392" s="55">
        <v>1</v>
      </c>
      <c r="C392" s="55">
        <v>29</v>
      </c>
      <c r="D392" s="55">
        <v>6</v>
      </c>
      <c r="E392" s="55">
        <v>18</v>
      </c>
      <c r="F392" s="55">
        <v>12</v>
      </c>
      <c r="G392" s="55">
        <v>0</v>
      </c>
      <c r="H392" s="141">
        <v>0</v>
      </c>
      <c r="M392" s="23">
        <v>1</v>
      </c>
    </row>
    <row r="393" spans="2:13" ht="18">
      <c r="B393" s="55">
        <v>13</v>
      </c>
      <c r="C393" s="55">
        <v>67</v>
      </c>
      <c r="D393" s="55">
        <v>9</v>
      </c>
      <c r="E393" s="55">
        <v>0</v>
      </c>
      <c r="F393" s="55">
        <v>10</v>
      </c>
      <c r="G393" s="55">
        <v>0</v>
      </c>
      <c r="H393" s="141">
        <v>0</v>
      </c>
      <c r="M393" s="23">
        <v>1</v>
      </c>
    </row>
    <row r="394" spans="2:13" ht="18">
      <c r="B394" s="55">
        <v>13</v>
      </c>
      <c r="C394" s="55">
        <v>117</v>
      </c>
      <c r="D394" s="55">
        <v>10</v>
      </c>
      <c r="E394" s="55">
        <v>2</v>
      </c>
      <c r="F394" s="55">
        <v>20</v>
      </c>
      <c r="G394" s="55">
        <v>0</v>
      </c>
      <c r="H394" s="141">
        <v>0</v>
      </c>
      <c r="M394" s="23">
        <v>1</v>
      </c>
    </row>
    <row r="395" spans="2:13" ht="18">
      <c r="B395" s="55">
        <v>13</v>
      </c>
      <c r="C395" s="55">
        <v>117</v>
      </c>
      <c r="D395" s="55">
        <v>11</v>
      </c>
      <c r="E395" s="55">
        <v>5</v>
      </c>
      <c r="F395" s="55">
        <v>15</v>
      </c>
      <c r="G395" s="55">
        <v>0</v>
      </c>
      <c r="H395" s="141">
        <v>0</v>
      </c>
      <c r="M395" s="23">
        <v>1</v>
      </c>
    </row>
    <row r="396" spans="2:13" ht="18">
      <c r="B396" s="55">
        <v>13</v>
      </c>
      <c r="C396" s="55">
        <v>36</v>
      </c>
      <c r="D396" s="55">
        <v>10</v>
      </c>
      <c r="E396" s="55">
        <v>22</v>
      </c>
      <c r="F396" s="55">
        <v>11</v>
      </c>
      <c r="G396" s="55">
        <v>0</v>
      </c>
      <c r="H396" s="141">
        <v>0</v>
      </c>
      <c r="M396" s="23">
        <v>1</v>
      </c>
    </row>
    <row r="397" spans="2:13" ht="18">
      <c r="B397" s="55">
        <v>13</v>
      </c>
      <c r="C397" s="55">
        <v>78</v>
      </c>
      <c r="D397" s="55">
        <v>10</v>
      </c>
      <c r="E397" s="55">
        <v>0</v>
      </c>
      <c r="F397" s="55">
        <v>25</v>
      </c>
      <c r="G397" s="55">
        <v>0</v>
      </c>
      <c r="H397" s="141">
        <v>0</v>
      </c>
      <c r="M397" s="23">
        <v>1</v>
      </c>
    </row>
    <row r="398" spans="2:13" ht="18">
      <c r="B398" s="55">
        <v>1</v>
      </c>
      <c r="C398" s="55">
        <v>22</v>
      </c>
      <c r="D398" s="55">
        <v>10</v>
      </c>
      <c r="E398" s="55">
        <v>0</v>
      </c>
      <c r="F398" s="55">
        <v>14</v>
      </c>
      <c r="G398" s="55">
        <v>0</v>
      </c>
      <c r="H398" s="141">
        <v>0</v>
      </c>
      <c r="M398" s="23">
        <v>1</v>
      </c>
    </row>
    <row r="399" spans="2:13" ht="18">
      <c r="B399" s="55">
        <v>1</v>
      </c>
      <c r="C399" s="55">
        <v>22</v>
      </c>
      <c r="D399" s="55">
        <v>9</v>
      </c>
      <c r="E399" s="55">
        <v>1</v>
      </c>
      <c r="F399" s="55">
        <v>24</v>
      </c>
      <c r="G399" s="55">
        <v>0</v>
      </c>
      <c r="H399" s="141">
        <v>0</v>
      </c>
      <c r="M399" s="23">
        <v>1</v>
      </c>
    </row>
    <row r="400" spans="2:13" ht="18">
      <c r="B400" s="55">
        <v>13</v>
      </c>
      <c r="C400" s="55">
        <v>41</v>
      </c>
      <c r="D400" s="55">
        <v>10</v>
      </c>
      <c r="E400" s="55">
        <v>3</v>
      </c>
      <c r="F400" s="55">
        <v>3</v>
      </c>
      <c r="G400" s="55">
        <v>0</v>
      </c>
      <c r="H400" s="141">
        <v>0</v>
      </c>
      <c r="M400" s="23">
        <v>1</v>
      </c>
    </row>
    <row r="401" spans="2:13" ht="18">
      <c r="B401" s="55">
        <v>1</v>
      </c>
      <c r="C401" s="55">
        <v>45</v>
      </c>
      <c r="D401" s="55">
        <v>3</v>
      </c>
      <c r="E401" s="55">
        <v>14</v>
      </c>
      <c r="F401" s="55">
        <v>9</v>
      </c>
      <c r="G401" s="55">
        <v>0</v>
      </c>
      <c r="H401" s="141">
        <v>0</v>
      </c>
      <c r="M401" s="23">
        <v>1</v>
      </c>
    </row>
    <row r="402" spans="2:13" ht="18">
      <c r="B402" s="55">
        <v>1</v>
      </c>
      <c r="C402" s="55">
        <v>45</v>
      </c>
      <c r="D402" s="55">
        <v>5</v>
      </c>
      <c r="E402" s="55">
        <v>15</v>
      </c>
      <c r="F402" s="55">
        <v>4</v>
      </c>
      <c r="G402" s="55">
        <v>0</v>
      </c>
      <c r="H402" s="141">
        <v>5</v>
      </c>
      <c r="M402" s="23">
        <v>1</v>
      </c>
    </row>
    <row r="403" spans="2:13" ht="18">
      <c r="B403" s="55">
        <v>1</v>
      </c>
      <c r="C403" s="55">
        <v>45</v>
      </c>
      <c r="D403" s="55">
        <v>6</v>
      </c>
      <c r="E403" s="55">
        <v>18</v>
      </c>
      <c r="F403" s="55">
        <v>7</v>
      </c>
      <c r="G403" s="55">
        <v>0</v>
      </c>
      <c r="H403" s="141">
        <v>0</v>
      </c>
      <c r="M403" s="23">
        <v>1</v>
      </c>
    </row>
    <row r="404" spans="2:13" ht="18">
      <c r="B404" s="55">
        <v>1</v>
      </c>
      <c r="C404" s="55">
        <v>45</v>
      </c>
      <c r="D404" s="55">
        <v>7</v>
      </c>
      <c r="E404" s="55">
        <v>13</v>
      </c>
      <c r="F404" s="55">
        <v>4</v>
      </c>
      <c r="G404" s="55">
        <v>0</v>
      </c>
      <c r="H404" s="141">
        <v>0</v>
      </c>
      <c r="M404" s="23">
        <v>1</v>
      </c>
    </row>
    <row r="405" spans="2:13" ht="18">
      <c r="B405" s="55">
        <v>1</v>
      </c>
      <c r="C405" s="55">
        <v>45</v>
      </c>
      <c r="D405" s="55">
        <v>8</v>
      </c>
      <c r="E405" s="55">
        <v>17</v>
      </c>
      <c r="F405" s="55">
        <v>3</v>
      </c>
      <c r="G405" s="55">
        <v>0</v>
      </c>
      <c r="H405" s="141">
        <v>2</v>
      </c>
      <c r="M405" s="23">
        <v>1</v>
      </c>
    </row>
    <row r="406" spans="2:13" ht="18">
      <c r="B406" s="55">
        <v>1</v>
      </c>
      <c r="C406" s="55">
        <v>45</v>
      </c>
      <c r="D406" s="55">
        <v>9</v>
      </c>
      <c r="E406" s="55">
        <v>6</v>
      </c>
      <c r="F406" s="55">
        <v>6</v>
      </c>
      <c r="G406" s="55">
        <v>0</v>
      </c>
      <c r="H406" s="141">
        <v>4</v>
      </c>
      <c r="M406" s="23">
        <v>1</v>
      </c>
    </row>
    <row r="407" spans="2:13" ht="18">
      <c r="B407" s="55">
        <v>1</v>
      </c>
      <c r="C407" s="55">
        <v>45</v>
      </c>
      <c r="D407" s="55">
        <v>4</v>
      </c>
      <c r="E407" s="55">
        <v>11</v>
      </c>
      <c r="F407" s="55">
        <v>7</v>
      </c>
      <c r="G407" s="55">
        <v>0</v>
      </c>
      <c r="H407" s="141">
        <v>1</v>
      </c>
      <c r="M407" s="23">
        <v>1</v>
      </c>
    </row>
    <row r="408" spans="2:13" ht="18">
      <c r="B408" s="55">
        <v>13</v>
      </c>
      <c r="C408" s="55">
        <v>69</v>
      </c>
      <c r="D408" s="55">
        <v>5</v>
      </c>
      <c r="E408" s="55">
        <v>2</v>
      </c>
      <c r="F408" s="55">
        <v>3</v>
      </c>
      <c r="G408" s="55">
        <v>0</v>
      </c>
      <c r="H408" s="141">
        <v>0</v>
      </c>
      <c r="M408" s="23">
        <v>1</v>
      </c>
    </row>
    <row r="409" spans="2:13" ht="18">
      <c r="B409" s="55">
        <v>13</v>
      </c>
      <c r="C409" s="55">
        <v>69</v>
      </c>
      <c r="D409" s="55">
        <v>7</v>
      </c>
      <c r="E409" s="55">
        <v>0</v>
      </c>
      <c r="F409" s="55">
        <v>20</v>
      </c>
      <c r="G409" s="55">
        <v>0</v>
      </c>
      <c r="H409" s="141">
        <v>0</v>
      </c>
      <c r="M409" s="23">
        <v>1</v>
      </c>
    </row>
    <row r="410" spans="2:13" ht="18">
      <c r="B410" s="55">
        <v>13</v>
      </c>
      <c r="C410" s="55">
        <v>69</v>
      </c>
      <c r="D410" s="55">
        <v>6</v>
      </c>
      <c r="E410" s="55">
        <v>1</v>
      </c>
      <c r="F410" s="55">
        <v>4</v>
      </c>
      <c r="G410" s="55">
        <v>0</v>
      </c>
      <c r="H410" s="141">
        <v>0</v>
      </c>
      <c r="M410" s="23">
        <v>1</v>
      </c>
    </row>
    <row r="411" spans="2:13" ht="18">
      <c r="B411" s="55">
        <v>13</v>
      </c>
      <c r="C411" s="55">
        <v>69</v>
      </c>
      <c r="D411" s="55">
        <v>8</v>
      </c>
      <c r="E411" s="55">
        <v>1</v>
      </c>
      <c r="F411" s="55">
        <v>25</v>
      </c>
      <c r="G411" s="55">
        <v>0</v>
      </c>
      <c r="H411" s="141">
        <v>0</v>
      </c>
      <c r="M411" s="23">
        <v>1</v>
      </c>
    </row>
    <row r="412" spans="2:13" ht="18">
      <c r="B412" s="55">
        <v>13</v>
      </c>
      <c r="C412" s="55">
        <v>38</v>
      </c>
      <c r="D412" s="55">
        <v>10</v>
      </c>
      <c r="E412" s="55">
        <v>3</v>
      </c>
      <c r="F412" s="55">
        <v>31</v>
      </c>
      <c r="G412" s="55">
        <v>0</v>
      </c>
      <c r="H412" s="141">
        <v>0</v>
      </c>
      <c r="M412" s="23">
        <v>1</v>
      </c>
    </row>
    <row r="413" spans="2:13" ht="18">
      <c r="B413" s="55">
        <v>13</v>
      </c>
      <c r="C413" s="55">
        <v>19</v>
      </c>
      <c r="D413" s="55">
        <v>10</v>
      </c>
      <c r="E413" s="55">
        <v>1</v>
      </c>
      <c r="F413" s="55">
        <v>13</v>
      </c>
      <c r="G413" s="55">
        <v>0</v>
      </c>
      <c r="H413" s="141">
        <v>0</v>
      </c>
      <c r="M413" s="23">
        <v>1</v>
      </c>
    </row>
    <row r="414" spans="2:13" ht="18">
      <c r="B414" s="55">
        <v>13</v>
      </c>
      <c r="C414" s="55">
        <v>19</v>
      </c>
      <c r="D414" s="55">
        <v>9</v>
      </c>
      <c r="E414" s="55">
        <v>0</v>
      </c>
      <c r="F414" s="55">
        <v>10</v>
      </c>
      <c r="G414" s="55">
        <v>0</v>
      </c>
      <c r="H414" s="141">
        <v>0</v>
      </c>
      <c r="M414" s="23">
        <v>1</v>
      </c>
    </row>
    <row r="415" spans="2:13" ht="18">
      <c r="B415" s="55">
        <v>1</v>
      </c>
      <c r="C415" s="55">
        <v>66</v>
      </c>
      <c r="D415" s="55">
        <v>8</v>
      </c>
      <c r="E415" s="55">
        <v>0</v>
      </c>
      <c r="F415" s="55">
        <v>20</v>
      </c>
      <c r="G415" s="55">
        <v>1</v>
      </c>
      <c r="H415" s="141">
        <v>1</v>
      </c>
      <c r="M415" s="23">
        <v>1</v>
      </c>
    </row>
    <row r="416" spans="2:13" ht="18">
      <c r="B416" s="55">
        <v>1</v>
      </c>
      <c r="C416" s="55">
        <v>15</v>
      </c>
      <c r="D416" s="55">
        <v>9</v>
      </c>
      <c r="E416" s="55">
        <v>0</v>
      </c>
      <c r="F416" s="55">
        <v>1</v>
      </c>
      <c r="G416" s="55">
        <v>0</v>
      </c>
      <c r="H416" s="141">
        <v>0</v>
      </c>
      <c r="M416" s="23">
        <v>1</v>
      </c>
    </row>
    <row r="417" spans="2:13" ht="18">
      <c r="B417" s="55">
        <v>1</v>
      </c>
      <c r="C417" s="55">
        <v>49</v>
      </c>
      <c r="D417" s="55">
        <v>10</v>
      </c>
      <c r="E417" s="55">
        <v>10</v>
      </c>
      <c r="F417" s="55">
        <v>6</v>
      </c>
      <c r="G417" s="55">
        <v>1</v>
      </c>
      <c r="H417" s="141">
        <v>0</v>
      </c>
      <c r="M417" s="23">
        <v>1</v>
      </c>
    </row>
    <row r="418" spans="2:13" ht="18">
      <c r="B418" s="55">
        <v>1</v>
      </c>
      <c r="C418" s="55">
        <v>112</v>
      </c>
      <c r="D418" s="55">
        <v>10</v>
      </c>
      <c r="E418" s="55">
        <v>25</v>
      </c>
      <c r="F418" s="55">
        <v>6</v>
      </c>
      <c r="G418" s="55">
        <v>0</v>
      </c>
      <c r="H418" s="141">
        <v>0</v>
      </c>
      <c r="M418" s="23">
        <v>1</v>
      </c>
    </row>
    <row r="419" spans="2:13" ht="18">
      <c r="B419" s="55">
        <v>1</v>
      </c>
      <c r="C419" s="55">
        <v>25</v>
      </c>
      <c r="D419" s="55">
        <v>10</v>
      </c>
      <c r="E419" s="55">
        <v>7</v>
      </c>
      <c r="F419" s="55">
        <v>0</v>
      </c>
      <c r="G419" s="55">
        <v>1</v>
      </c>
      <c r="H419" s="141">
        <v>0</v>
      </c>
      <c r="M419" s="23">
        <v>1</v>
      </c>
    </row>
    <row r="420" spans="2:13" ht="18">
      <c r="B420" s="55">
        <v>1</v>
      </c>
      <c r="C420" s="55">
        <v>114</v>
      </c>
      <c r="D420" s="55">
        <v>10</v>
      </c>
      <c r="E420" s="55">
        <v>25</v>
      </c>
      <c r="F420" s="55">
        <v>2</v>
      </c>
      <c r="G420" s="55">
        <v>1</v>
      </c>
      <c r="H420" s="141">
        <v>2</v>
      </c>
      <c r="M420" s="23">
        <v>1</v>
      </c>
    </row>
    <row r="421" spans="2:13" ht="18">
      <c r="B421" s="55">
        <v>13</v>
      </c>
      <c r="C421" s="55">
        <v>64</v>
      </c>
      <c r="D421" s="55">
        <v>10</v>
      </c>
      <c r="E421" s="55">
        <v>0</v>
      </c>
      <c r="F421" s="55">
        <v>20</v>
      </c>
      <c r="G421" s="55">
        <v>0</v>
      </c>
      <c r="H421" s="141">
        <v>1</v>
      </c>
      <c r="M421" s="23">
        <v>1</v>
      </c>
    </row>
    <row r="422" spans="2:13" ht="18">
      <c r="B422" s="55">
        <v>13</v>
      </c>
      <c r="C422" s="55">
        <v>64</v>
      </c>
      <c r="D422" s="55">
        <v>9</v>
      </c>
      <c r="E422" s="55">
        <v>0</v>
      </c>
      <c r="F422" s="55">
        <v>22</v>
      </c>
      <c r="G422" s="55">
        <v>0</v>
      </c>
      <c r="H422" s="141">
        <v>1</v>
      </c>
      <c r="M422" s="23">
        <v>1</v>
      </c>
    </row>
    <row r="423" spans="2:13" ht="18">
      <c r="B423" s="55">
        <v>13</v>
      </c>
      <c r="C423" s="55">
        <v>113</v>
      </c>
      <c r="D423" s="55">
        <v>11</v>
      </c>
      <c r="E423" s="55">
        <v>12</v>
      </c>
      <c r="F423" s="55">
        <v>2</v>
      </c>
      <c r="G423" s="55">
        <v>0</v>
      </c>
      <c r="H423" s="141">
        <v>0</v>
      </c>
      <c r="M423" s="23">
        <v>1</v>
      </c>
    </row>
    <row r="424" spans="2:13" ht="18">
      <c r="B424" s="55">
        <v>13</v>
      </c>
      <c r="C424" s="55">
        <v>113</v>
      </c>
      <c r="D424" s="55">
        <v>10</v>
      </c>
      <c r="E424" s="55">
        <v>5</v>
      </c>
      <c r="F424" s="55">
        <v>1</v>
      </c>
      <c r="G424" s="55">
        <v>0</v>
      </c>
      <c r="H424" s="141">
        <v>0</v>
      </c>
      <c r="M424" s="23">
        <v>1</v>
      </c>
    </row>
    <row r="425" spans="2:13" ht="18">
      <c r="B425" s="55">
        <v>1</v>
      </c>
      <c r="C425" s="55">
        <v>35</v>
      </c>
      <c r="D425" s="55">
        <v>10</v>
      </c>
      <c r="E425" s="55">
        <v>12</v>
      </c>
      <c r="F425" s="55">
        <v>11</v>
      </c>
      <c r="G425" s="55">
        <v>0</v>
      </c>
      <c r="H425" s="141">
        <v>0</v>
      </c>
      <c r="M425" s="23">
        <v>1</v>
      </c>
    </row>
    <row r="426" spans="2:13" ht="18">
      <c r="B426" s="55">
        <v>13</v>
      </c>
      <c r="C426" s="55">
        <v>37</v>
      </c>
      <c r="D426" s="55">
        <v>6</v>
      </c>
      <c r="E426" s="55">
        <v>7</v>
      </c>
      <c r="F426" s="55">
        <v>16</v>
      </c>
      <c r="G426" s="55">
        <v>1</v>
      </c>
      <c r="H426" s="141">
        <v>1</v>
      </c>
      <c r="M426" s="23">
        <v>1</v>
      </c>
    </row>
    <row r="427" spans="2:13" ht="18">
      <c r="B427" s="55">
        <v>13</v>
      </c>
      <c r="C427" s="55">
        <v>73</v>
      </c>
      <c r="D427" s="55">
        <v>10</v>
      </c>
      <c r="E427" s="55">
        <v>0</v>
      </c>
      <c r="F427" s="55">
        <v>3</v>
      </c>
      <c r="G427" s="55">
        <v>0</v>
      </c>
      <c r="H427" s="141">
        <v>1</v>
      </c>
      <c r="M427" s="23">
        <v>1</v>
      </c>
    </row>
    <row r="428" spans="2:13" ht="18">
      <c r="B428" s="55">
        <v>13</v>
      </c>
      <c r="C428" s="55">
        <v>38</v>
      </c>
      <c r="D428" s="55">
        <v>9</v>
      </c>
      <c r="E428" s="55">
        <v>2</v>
      </c>
      <c r="F428" s="55">
        <v>19</v>
      </c>
      <c r="G428" s="55">
        <v>2</v>
      </c>
      <c r="H428" s="141">
        <v>0</v>
      </c>
      <c r="M428" s="23">
        <v>1</v>
      </c>
    </row>
    <row r="429" spans="2:13" ht="18">
      <c r="B429" s="55">
        <v>13</v>
      </c>
      <c r="C429" s="55">
        <v>38</v>
      </c>
      <c r="D429" s="55">
        <v>8</v>
      </c>
      <c r="E429" s="55">
        <v>6</v>
      </c>
      <c r="F429" s="55">
        <v>39</v>
      </c>
      <c r="G429" s="55">
        <v>1</v>
      </c>
      <c r="H429" s="141">
        <v>0</v>
      </c>
      <c r="M429" s="23">
        <v>1</v>
      </c>
    </row>
    <row r="430" spans="2:13" ht="18">
      <c r="B430" s="55">
        <v>13</v>
      </c>
      <c r="C430" s="55">
        <v>38</v>
      </c>
      <c r="D430" s="55">
        <v>7</v>
      </c>
      <c r="E430" s="55">
        <v>2</v>
      </c>
      <c r="F430" s="55">
        <v>16</v>
      </c>
      <c r="G430" s="55">
        <v>0</v>
      </c>
      <c r="H430" s="141">
        <v>0</v>
      </c>
      <c r="M430" s="23">
        <v>1</v>
      </c>
    </row>
    <row r="431" spans="2:13" ht="18">
      <c r="B431" s="55">
        <v>13</v>
      </c>
      <c r="C431" s="55">
        <v>38</v>
      </c>
      <c r="D431" s="55">
        <v>6</v>
      </c>
      <c r="E431" s="55">
        <v>4</v>
      </c>
      <c r="F431" s="55">
        <v>36</v>
      </c>
      <c r="G431" s="55">
        <v>1</v>
      </c>
      <c r="H431" s="141">
        <v>0</v>
      </c>
      <c r="M431" s="23">
        <v>1</v>
      </c>
    </row>
    <row r="432" spans="2:13" ht="18">
      <c r="B432" s="55">
        <v>13</v>
      </c>
      <c r="C432" s="55">
        <v>38</v>
      </c>
      <c r="D432" s="55">
        <v>5</v>
      </c>
      <c r="E432" s="55">
        <v>2</v>
      </c>
      <c r="F432" s="55">
        <v>32</v>
      </c>
      <c r="G432" s="55">
        <v>0</v>
      </c>
      <c r="H432" s="141">
        <v>1</v>
      </c>
      <c r="M432" s="23">
        <v>1</v>
      </c>
    </row>
    <row r="433" spans="2:13" ht="18">
      <c r="B433" s="55">
        <v>1</v>
      </c>
      <c r="C433" s="55">
        <v>79</v>
      </c>
      <c r="D433" s="55">
        <v>4</v>
      </c>
      <c r="E433" s="55">
        <v>0</v>
      </c>
      <c r="F433" s="55">
        <v>9</v>
      </c>
      <c r="G433" s="55">
        <v>0</v>
      </c>
      <c r="H433" s="141">
        <v>0</v>
      </c>
      <c r="M433" s="23">
        <v>1</v>
      </c>
    </row>
    <row r="434" spans="2:13" ht="18">
      <c r="B434" s="55">
        <v>1</v>
      </c>
      <c r="C434" s="55">
        <v>79</v>
      </c>
      <c r="D434" s="55">
        <v>5</v>
      </c>
      <c r="E434" s="55">
        <v>0</v>
      </c>
      <c r="F434" s="55">
        <v>11</v>
      </c>
      <c r="G434" s="55">
        <v>0</v>
      </c>
      <c r="H434" s="141">
        <v>0</v>
      </c>
      <c r="M434" s="23">
        <v>1</v>
      </c>
    </row>
    <row r="435" spans="2:13" ht="18">
      <c r="B435" s="55">
        <v>1</v>
      </c>
      <c r="C435" s="55">
        <v>79</v>
      </c>
      <c r="D435" s="55">
        <v>6</v>
      </c>
      <c r="E435" s="55">
        <v>1</v>
      </c>
      <c r="F435" s="55">
        <v>17</v>
      </c>
      <c r="G435" s="55">
        <v>0</v>
      </c>
      <c r="H435" s="141">
        <v>0</v>
      </c>
      <c r="M435" s="23">
        <v>1</v>
      </c>
    </row>
    <row r="436" spans="2:13" ht="18">
      <c r="B436" s="55">
        <v>1</v>
      </c>
      <c r="C436" s="55">
        <v>79</v>
      </c>
      <c r="D436" s="55">
        <v>7</v>
      </c>
      <c r="E436" s="55">
        <v>0</v>
      </c>
      <c r="F436" s="55">
        <v>9</v>
      </c>
      <c r="G436" s="55">
        <v>0</v>
      </c>
      <c r="H436" s="141">
        <v>0</v>
      </c>
      <c r="M436" s="23">
        <v>1</v>
      </c>
    </row>
    <row r="437" spans="2:13" ht="18">
      <c r="B437" s="55">
        <v>1</v>
      </c>
      <c r="C437" s="55">
        <v>79</v>
      </c>
      <c r="D437" s="55">
        <v>8</v>
      </c>
      <c r="E437" s="55">
        <v>0</v>
      </c>
      <c r="F437" s="55">
        <v>13</v>
      </c>
      <c r="G437" s="55">
        <v>0</v>
      </c>
      <c r="H437" s="141">
        <v>0</v>
      </c>
      <c r="M437" s="23">
        <v>1</v>
      </c>
    </row>
    <row r="438" spans="2:13" ht="18">
      <c r="B438" s="55">
        <v>13</v>
      </c>
      <c r="C438" s="55">
        <v>105</v>
      </c>
      <c r="D438" s="55">
        <v>8</v>
      </c>
      <c r="E438" s="55">
        <v>14</v>
      </c>
      <c r="F438" s="55">
        <v>5</v>
      </c>
      <c r="G438" s="55">
        <v>0</v>
      </c>
      <c r="H438" s="141">
        <v>0</v>
      </c>
      <c r="M438" s="23">
        <v>1</v>
      </c>
    </row>
    <row r="439" spans="2:13" ht="18">
      <c r="B439" s="55">
        <v>13</v>
      </c>
      <c r="C439" s="55">
        <v>105</v>
      </c>
      <c r="D439" s="55">
        <v>10</v>
      </c>
      <c r="E439" s="55">
        <v>18</v>
      </c>
      <c r="F439" s="55">
        <v>12</v>
      </c>
      <c r="G439" s="55">
        <v>0</v>
      </c>
      <c r="H439" s="141">
        <v>0</v>
      </c>
      <c r="M439" s="23">
        <v>1</v>
      </c>
    </row>
    <row r="440" spans="2:13" ht="18">
      <c r="B440" s="55">
        <v>13</v>
      </c>
      <c r="C440" s="55">
        <v>105</v>
      </c>
      <c r="D440" s="55">
        <v>9</v>
      </c>
      <c r="E440" s="55">
        <v>10</v>
      </c>
      <c r="F440" s="55">
        <v>4</v>
      </c>
      <c r="G440" s="55">
        <v>0</v>
      </c>
      <c r="H440" s="141">
        <v>0</v>
      </c>
      <c r="M440" s="23">
        <v>1</v>
      </c>
    </row>
    <row r="441" spans="2:13" ht="18">
      <c r="B441" s="55">
        <v>1</v>
      </c>
      <c r="C441" s="55">
        <v>79</v>
      </c>
      <c r="D441" s="55">
        <v>11</v>
      </c>
      <c r="E441" s="55">
        <v>0</v>
      </c>
      <c r="F441" s="55">
        <v>11</v>
      </c>
      <c r="G441" s="55">
        <v>0</v>
      </c>
      <c r="H441" s="141">
        <v>0</v>
      </c>
      <c r="M441" s="23">
        <v>1</v>
      </c>
    </row>
    <row r="442" spans="2:13" ht="18">
      <c r="B442" s="55">
        <v>1</v>
      </c>
      <c r="C442" s="55">
        <v>79</v>
      </c>
      <c r="D442" s="55">
        <v>10</v>
      </c>
      <c r="E442" s="55">
        <v>0</v>
      </c>
      <c r="F442" s="55">
        <v>11</v>
      </c>
      <c r="G442" s="55">
        <v>0</v>
      </c>
      <c r="H442" s="141">
        <v>0</v>
      </c>
      <c r="M442" s="23">
        <v>1</v>
      </c>
    </row>
    <row r="443" spans="2:13" ht="18">
      <c r="B443" s="55">
        <v>1</v>
      </c>
      <c r="C443" s="55">
        <v>79</v>
      </c>
      <c r="D443" s="55">
        <v>9</v>
      </c>
      <c r="E443" s="55">
        <v>0</v>
      </c>
      <c r="F443" s="55">
        <v>8</v>
      </c>
      <c r="G443" s="55">
        <v>0</v>
      </c>
      <c r="H443" s="141">
        <v>0</v>
      </c>
      <c r="M443" s="23">
        <v>1</v>
      </c>
    </row>
    <row r="444" spans="2:13" ht="18">
      <c r="B444" s="55">
        <v>1</v>
      </c>
      <c r="C444" s="55">
        <v>66</v>
      </c>
      <c r="D444" s="55">
        <v>10</v>
      </c>
      <c r="E444" s="55">
        <v>3</v>
      </c>
      <c r="F444" s="55">
        <v>2</v>
      </c>
      <c r="G444" s="55">
        <v>1</v>
      </c>
      <c r="H444" s="141">
        <v>0</v>
      </c>
      <c r="M444" s="23">
        <v>1</v>
      </c>
    </row>
    <row r="445" spans="2:13" ht="18">
      <c r="B445" s="55">
        <v>1</v>
      </c>
      <c r="C445" s="55">
        <v>66</v>
      </c>
      <c r="D445" s="55">
        <v>11</v>
      </c>
      <c r="E445" s="55">
        <v>4</v>
      </c>
      <c r="F445" s="55">
        <v>2</v>
      </c>
      <c r="G445" s="55">
        <v>1</v>
      </c>
      <c r="H445" s="141">
        <v>0</v>
      </c>
      <c r="M445" s="23">
        <v>1</v>
      </c>
    </row>
    <row r="446" spans="2:13" ht="18">
      <c r="B446" s="55">
        <v>1</v>
      </c>
      <c r="C446" s="55">
        <v>112</v>
      </c>
      <c r="D446" s="55">
        <v>11</v>
      </c>
      <c r="E446" s="55">
        <v>25</v>
      </c>
      <c r="F446" s="55">
        <v>12</v>
      </c>
      <c r="G446" s="55">
        <v>0</v>
      </c>
      <c r="H446" s="141">
        <v>0</v>
      </c>
      <c r="M446" s="23">
        <v>1</v>
      </c>
    </row>
    <row r="447" spans="2:13" ht="18">
      <c r="B447" s="55">
        <v>1</v>
      </c>
      <c r="C447" s="55">
        <v>57</v>
      </c>
      <c r="D447" s="55">
        <v>4</v>
      </c>
      <c r="E447" s="55">
        <v>3</v>
      </c>
      <c r="F447" s="55">
        <v>0</v>
      </c>
      <c r="G447" s="55">
        <v>0</v>
      </c>
      <c r="H447" s="141">
        <v>0</v>
      </c>
      <c r="M447" s="23">
        <v>1</v>
      </c>
    </row>
    <row r="448" spans="2:13" ht="18">
      <c r="B448" s="55">
        <v>1</v>
      </c>
      <c r="C448" s="55">
        <v>57</v>
      </c>
      <c r="D448" s="55">
        <v>5</v>
      </c>
      <c r="E448" s="55">
        <v>3</v>
      </c>
      <c r="F448" s="55">
        <v>1</v>
      </c>
      <c r="G448" s="55">
        <v>0</v>
      </c>
      <c r="H448" s="141">
        <v>0</v>
      </c>
      <c r="M448" s="23">
        <v>1</v>
      </c>
    </row>
    <row r="449" spans="2:13" ht="18">
      <c r="B449" s="55">
        <v>1</v>
      </c>
      <c r="C449" s="55">
        <v>57</v>
      </c>
      <c r="D449" s="55">
        <v>6</v>
      </c>
      <c r="E449" s="55">
        <v>0</v>
      </c>
      <c r="F449" s="55">
        <v>1</v>
      </c>
      <c r="G449" s="55">
        <v>0</v>
      </c>
      <c r="H449" s="141">
        <v>0</v>
      </c>
      <c r="M449" s="23">
        <v>1</v>
      </c>
    </row>
    <row r="450" spans="2:13" ht="18">
      <c r="B450" s="55">
        <v>1</v>
      </c>
      <c r="C450" s="55">
        <v>57</v>
      </c>
      <c r="D450" s="55">
        <v>7</v>
      </c>
      <c r="E450" s="55">
        <v>0</v>
      </c>
      <c r="F450" s="55">
        <v>0</v>
      </c>
      <c r="G450" s="55">
        <v>0</v>
      </c>
      <c r="H450" s="141">
        <v>0</v>
      </c>
      <c r="M450" s="23">
        <v>1</v>
      </c>
    </row>
    <row r="451" spans="2:13" ht="18">
      <c r="B451" s="55">
        <v>1</v>
      </c>
      <c r="C451" s="55">
        <v>57</v>
      </c>
      <c r="D451" s="55">
        <v>8</v>
      </c>
      <c r="E451" s="55">
        <v>3</v>
      </c>
      <c r="F451" s="55">
        <v>2</v>
      </c>
      <c r="G451" s="55">
        <v>0</v>
      </c>
      <c r="H451" s="141">
        <v>0</v>
      </c>
      <c r="M451" s="23">
        <v>1</v>
      </c>
    </row>
    <row r="452" spans="2:13" ht="18">
      <c r="B452" s="55">
        <v>1</v>
      </c>
      <c r="C452" s="55">
        <v>57</v>
      </c>
      <c r="D452" s="55">
        <v>9</v>
      </c>
      <c r="E452" s="55">
        <v>5</v>
      </c>
      <c r="F452" s="55">
        <v>0</v>
      </c>
      <c r="G452" s="55">
        <v>0</v>
      </c>
      <c r="H452" s="141">
        <v>0</v>
      </c>
      <c r="M452" s="23">
        <v>1</v>
      </c>
    </row>
    <row r="453" spans="2:13" ht="18">
      <c r="B453" s="55">
        <v>1</v>
      </c>
      <c r="C453" s="55">
        <v>57</v>
      </c>
      <c r="D453" s="55">
        <v>10</v>
      </c>
      <c r="E453" s="55">
        <v>2</v>
      </c>
      <c r="F453" s="55">
        <v>4</v>
      </c>
      <c r="G453" s="55">
        <v>0</v>
      </c>
      <c r="H453" s="141">
        <v>0</v>
      </c>
      <c r="M453" s="23">
        <v>1</v>
      </c>
    </row>
    <row r="454" spans="2:13" ht="18">
      <c r="B454" s="55">
        <v>1</v>
      </c>
      <c r="C454" s="55">
        <v>57</v>
      </c>
      <c r="D454" s="55">
        <v>11</v>
      </c>
      <c r="E454" s="55">
        <v>3</v>
      </c>
      <c r="F454" s="55">
        <v>0</v>
      </c>
      <c r="G454" s="55">
        <v>0</v>
      </c>
      <c r="H454" s="141">
        <v>2</v>
      </c>
      <c r="M454" s="23">
        <v>1</v>
      </c>
    </row>
    <row r="455" spans="2:13" ht="18">
      <c r="B455" s="55">
        <v>13</v>
      </c>
      <c r="C455" s="55">
        <v>104</v>
      </c>
      <c r="D455" s="55">
        <v>4</v>
      </c>
      <c r="E455" s="55">
        <v>1</v>
      </c>
      <c r="F455" s="55">
        <v>2</v>
      </c>
      <c r="G455" s="55">
        <v>0</v>
      </c>
      <c r="H455" s="141">
        <v>0</v>
      </c>
      <c r="M455" s="23">
        <v>1</v>
      </c>
    </row>
    <row r="456" spans="2:13" ht="18">
      <c r="B456" s="55">
        <v>13</v>
      </c>
      <c r="C456" s="55">
        <v>104</v>
      </c>
      <c r="D456" s="55">
        <v>5</v>
      </c>
      <c r="E456" s="55">
        <v>7</v>
      </c>
      <c r="F456" s="55">
        <v>3</v>
      </c>
      <c r="G456" s="55">
        <v>0</v>
      </c>
      <c r="H456" s="141">
        <v>0</v>
      </c>
      <c r="M456" s="23">
        <v>1</v>
      </c>
    </row>
    <row r="457" spans="2:13" ht="18">
      <c r="B457" s="55">
        <v>13</v>
      </c>
      <c r="C457" s="55">
        <v>104</v>
      </c>
      <c r="D457" s="55">
        <v>6</v>
      </c>
      <c r="E457" s="55">
        <v>14</v>
      </c>
      <c r="F457" s="55">
        <v>1</v>
      </c>
      <c r="G457" s="55">
        <v>0</v>
      </c>
      <c r="H457" s="141">
        <v>0</v>
      </c>
      <c r="M457" s="23">
        <v>1</v>
      </c>
    </row>
    <row r="458" spans="2:13" ht="18">
      <c r="B458" s="55">
        <v>13</v>
      </c>
      <c r="C458" s="55">
        <v>44</v>
      </c>
      <c r="D458" s="55">
        <v>10</v>
      </c>
      <c r="E458" s="55">
        <v>7</v>
      </c>
      <c r="F458" s="55">
        <v>9</v>
      </c>
      <c r="G458" s="55">
        <v>0</v>
      </c>
      <c r="H458" s="141">
        <v>0</v>
      </c>
      <c r="M458" s="23">
        <v>1</v>
      </c>
    </row>
    <row r="459" spans="2:13" ht="18">
      <c r="B459" s="55">
        <v>13</v>
      </c>
      <c r="C459" s="55">
        <v>44</v>
      </c>
      <c r="D459" s="55">
        <v>11</v>
      </c>
      <c r="E459" s="55">
        <v>9</v>
      </c>
      <c r="F459" s="55">
        <v>7</v>
      </c>
      <c r="G459" s="55">
        <v>0</v>
      </c>
      <c r="H459" s="141">
        <v>0</v>
      </c>
      <c r="M459" s="23">
        <v>1</v>
      </c>
    </row>
    <row r="460" spans="2:13" ht="18">
      <c r="B460" s="55">
        <v>13</v>
      </c>
      <c r="C460" s="55">
        <v>44</v>
      </c>
      <c r="D460" s="55">
        <v>12</v>
      </c>
      <c r="E460" s="55">
        <v>6</v>
      </c>
      <c r="F460" s="55">
        <v>8</v>
      </c>
      <c r="G460" s="55">
        <v>0</v>
      </c>
      <c r="H460" s="141">
        <v>0</v>
      </c>
      <c r="M460" s="23">
        <v>1</v>
      </c>
    </row>
    <row r="461" spans="2:13" ht="18">
      <c r="B461" s="55">
        <v>13</v>
      </c>
      <c r="C461" s="55">
        <v>106</v>
      </c>
      <c r="D461" s="55">
        <v>11</v>
      </c>
      <c r="E461" s="55">
        <v>11</v>
      </c>
      <c r="F461" s="55">
        <v>8</v>
      </c>
      <c r="G461" s="55">
        <v>0</v>
      </c>
      <c r="H461" s="141">
        <v>0</v>
      </c>
      <c r="M461" s="23">
        <v>1</v>
      </c>
    </row>
    <row r="462" spans="2:13" ht="18">
      <c r="B462" s="55">
        <v>13</v>
      </c>
      <c r="C462" s="55">
        <v>106</v>
      </c>
      <c r="D462" s="55">
        <v>12</v>
      </c>
      <c r="E462" s="55">
        <v>9</v>
      </c>
      <c r="F462" s="55">
        <v>2</v>
      </c>
      <c r="G462" s="55">
        <v>0</v>
      </c>
      <c r="H462" s="141">
        <v>0</v>
      </c>
      <c r="M462" s="23">
        <v>1</v>
      </c>
    </row>
    <row r="463" spans="2:13" ht="18">
      <c r="B463" s="55">
        <v>13</v>
      </c>
      <c r="C463" s="55">
        <v>106</v>
      </c>
      <c r="D463" s="55">
        <v>13</v>
      </c>
      <c r="E463" s="55">
        <v>13</v>
      </c>
      <c r="F463" s="55">
        <v>13</v>
      </c>
      <c r="G463" s="55">
        <v>0</v>
      </c>
      <c r="H463" s="141">
        <v>0</v>
      </c>
      <c r="M463" s="23">
        <v>1</v>
      </c>
    </row>
    <row r="464" spans="2:13" ht="18">
      <c r="B464" s="55">
        <v>1</v>
      </c>
      <c r="C464" s="55">
        <v>35</v>
      </c>
      <c r="D464" s="55">
        <v>11</v>
      </c>
      <c r="E464" s="55">
        <v>18</v>
      </c>
      <c r="F464" s="55">
        <v>16</v>
      </c>
      <c r="G464" s="55">
        <v>0</v>
      </c>
      <c r="H464" s="141">
        <v>0</v>
      </c>
      <c r="M464" s="23">
        <v>1</v>
      </c>
    </row>
    <row r="465" spans="2:13" ht="18">
      <c r="B465" s="55">
        <v>13</v>
      </c>
      <c r="C465" s="55">
        <v>116</v>
      </c>
      <c r="D465" s="55">
        <v>12</v>
      </c>
      <c r="E465" s="55">
        <v>10</v>
      </c>
      <c r="F465" s="55">
        <v>15</v>
      </c>
      <c r="G465" s="55">
        <v>0</v>
      </c>
      <c r="H465" s="141">
        <v>0</v>
      </c>
      <c r="M465" s="23">
        <v>1</v>
      </c>
    </row>
    <row r="466" spans="2:13" ht="18">
      <c r="B466" s="55">
        <v>13</v>
      </c>
      <c r="C466" s="55">
        <v>116</v>
      </c>
      <c r="D466" s="55">
        <v>11</v>
      </c>
      <c r="E466" s="55">
        <v>0</v>
      </c>
      <c r="F466" s="55">
        <v>0</v>
      </c>
      <c r="G466" s="55">
        <v>0</v>
      </c>
      <c r="H466" s="141">
        <v>0</v>
      </c>
      <c r="M466" s="23">
        <v>1</v>
      </c>
    </row>
    <row r="467" spans="2:13" ht="18">
      <c r="B467" s="55">
        <v>13</v>
      </c>
      <c r="C467" s="55">
        <v>115</v>
      </c>
      <c r="D467" s="55">
        <v>12</v>
      </c>
      <c r="E467" s="55">
        <v>0</v>
      </c>
      <c r="F467" s="55">
        <v>12</v>
      </c>
      <c r="G467" s="55">
        <v>0</v>
      </c>
      <c r="H467" s="141">
        <v>0</v>
      </c>
      <c r="M467" s="23">
        <v>1</v>
      </c>
    </row>
    <row r="468" spans="2:13" ht="18">
      <c r="B468" s="55">
        <v>13</v>
      </c>
      <c r="C468" s="55">
        <v>115</v>
      </c>
      <c r="D468" s="55">
        <v>11</v>
      </c>
      <c r="E468" s="55">
        <v>2</v>
      </c>
      <c r="F468" s="55">
        <v>16</v>
      </c>
      <c r="G468" s="55">
        <v>0</v>
      </c>
      <c r="H468" s="141">
        <v>0</v>
      </c>
      <c r="M468" s="23">
        <v>1</v>
      </c>
    </row>
    <row r="469" spans="2:13" ht="18">
      <c r="B469" s="55">
        <v>1</v>
      </c>
      <c r="C469" s="55">
        <v>49</v>
      </c>
      <c r="D469" s="55">
        <v>12</v>
      </c>
      <c r="E469" s="55">
        <v>11</v>
      </c>
      <c r="F469" s="55">
        <v>0</v>
      </c>
      <c r="G469" s="55">
        <v>1</v>
      </c>
      <c r="H469" s="141">
        <v>0</v>
      </c>
      <c r="M469" s="23">
        <v>1</v>
      </c>
    </row>
    <row r="470" spans="2:13" ht="18">
      <c r="B470" s="55">
        <v>1</v>
      </c>
      <c r="C470" s="55">
        <v>49</v>
      </c>
      <c r="D470" s="55">
        <v>11</v>
      </c>
      <c r="E470" s="55">
        <v>4</v>
      </c>
      <c r="F470" s="55">
        <v>4</v>
      </c>
      <c r="G470" s="55">
        <v>0</v>
      </c>
      <c r="H470" s="141">
        <v>0</v>
      </c>
      <c r="M470" s="23">
        <v>1</v>
      </c>
    </row>
    <row r="471" spans="2:13" ht="18">
      <c r="B471" s="55">
        <v>1</v>
      </c>
      <c r="C471" s="55">
        <v>25</v>
      </c>
      <c r="D471" s="55">
        <v>11</v>
      </c>
      <c r="E471" s="55">
        <v>7</v>
      </c>
      <c r="F471" s="55">
        <v>0</v>
      </c>
      <c r="G471" s="55">
        <v>1</v>
      </c>
      <c r="H471" s="141">
        <v>0</v>
      </c>
      <c r="M471" s="23">
        <v>1</v>
      </c>
    </row>
    <row r="472" spans="2:13" ht="18">
      <c r="B472" s="55">
        <v>1</v>
      </c>
      <c r="C472" s="55">
        <v>114</v>
      </c>
      <c r="D472" s="55">
        <v>11</v>
      </c>
      <c r="E472" s="55">
        <v>18</v>
      </c>
      <c r="F472" s="55">
        <v>1</v>
      </c>
      <c r="G472" s="55">
        <v>4</v>
      </c>
      <c r="H472" s="141">
        <v>1</v>
      </c>
      <c r="M472" s="23">
        <v>1</v>
      </c>
    </row>
    <row r="473" spans="2:13" ht="18">
      <c r="B473" s="55">
        <v>1</v>
      </c>
      <c r="C473" s="55">
        <v>114</v>
      </c>
      <c r="D473" s="55">
        <v>12</v>
      </c>
      <c r="E473" s="55">
        <v>42</v>
      </c>
      <c r="F473" s="55">
        <v>6</v>
      </c>
      <c r="G473" s="55">
        <v>2</v>
      </c>
      <c r="H473" s="141">
        <v>3</v>
      </c>
      <c r="M473" s="23">
        <v>1</v>
      </c>
    </row>
    <row r="474" spans="2:13" ht="18">
      <c r="B474" s="55">
        <v>13</v>
      </c>
      <c r="C474" s="55">
        <v>21</v>
      </c>
      <c r="D474" s="55">
        <v>12</v>
      </c>
      <c r="E474" s="55">
        <v>0</v>
      </c>
      <c r="F474" s="55">
        <v>20</v>
      </c>
      <c r="G474" s="55">
        <v>0</v>
      </c>
      <c r="H474" s="141">
        <v>1</v>
      </c>
      <c r="M474" s="23">
        <v>1</v>
      </c>
    </row>
    <row r="475" spans="2:13" ht="18">
      <c r="B475" s="55">
        <v>13</v>
      </c>
      <c r="C475" s="55">
        <v>21</v>
      </c>
      <c r="D475" s="55">
        <v>11</v>
      </c>
      <c r="E475" s="55">
        <v>2</v>
      </c>
      <c r="F475" s="55">
        <v>31</v>
      </c>
      <c r="G475" s="55">
        <v>0</v>
      </c>
      <c r="H475" s="141">
        <v>0</v>
      </c>
      <c r="M475" s="23">
        <v>1</v>
      </c>
    </row>
    <row r="476" spans="2:13" ht="18">
      <c r="B476" s="55">
        <v>13</v>
      </c>
      <c r="C476" s="55">
        <v>3</v>
      </c>
      <c r="D476" s="55">
        <v>11</v>
      </c>
      <c r="E476" s="55">
        <v>20</v>
      </c>
      <c r="F476" s="55">
        <v>1</v>
      </c>
      <c r="G476" s="55">
        <v>0</v>
      </c>
      <c r="H476" s="141">
        <v>0</v>
      </c>
      <c r="M476" s="23">
        <v>1</v>
      </c>
    </row>
    <row r="477" spans="2:13" ht="18">
      <c r="B477" s="55">
        <v>13</v>
      </c>
      <c r="C477" s="55">
        <v>3</v>
      </c>
      <c r="D477" s="55">
        <v>12</v>
      </c>
      <c r="E477" s="55">
        <v>25</v>
      </c>
      <c r="F477" s="55">
        <v>4</v>
      </c>
      <c r="G477" s="55">
        <v>0</v>
      </c>
      <c r="H477" s="141">
        <v>0</v>
      </c>
      <c r="M477" s="23">
        <v>1</v>
      </c>
    </row>
    <row r="478" spans="2:13" ht="18">
      <c r="B478" s="55">
        <v>13</v>
      </c>
      <c r="C478" s="55">
        <v>34</v>
      </c>
      <c r="D478" s="55">
        <v>9</v>
      </c>
      <c r="E478" s="55">
        <v>15</v>
      </c>
      <c r="F478" s="55">
        <v>5</v>
      </c>
      <c r="G478" s="55">
        <v>0</v>
      </c>
      <c r="H478" s="141">
        <v>1</v>
      </c>
      <c r="M478" s="23">
        <v>1</v>
      </c>
    </row>
    <row r="479" spans="2:13" ht="18">
      <c r="B479" s="55">
        <v>13</v>
      </c>
      <c r="C479" s="55">
        <v>34</v>
      </c>
      <c r="D479" s="55">
        <v>10</v>
      </c>
      <c r="E479" s="55">
        <v>11</v>
      </c>
      <c r="F479" s="55">
        <v>13</v>
      </c>
      <c r="G479" s="55">
        <v>0</v>
      </c>
      <c r="H479" s="141">
        <v>4</v>
      </c>
      <c r="M479" s="23">
        <v>1</v>
      </c>
    </row>
    <row r="480" spans="2:13" ht="18">
      <c r="B480" s="55">
        <v>13</v>
      </c>
      <c r="C480" s="55">
        <v>34</v>
      </c>
      <c r="D480" s="55">
        <v>11</v>
      </c>
      <c r="E480" s="55">
        <v>8</v>
      </c>
      <c r="F480" s="55">
        <v>3</v>
      </c>
      <c r="G480" s="55">
        <v>0</v>
      </c>
      <c r="H480" s="141">
        <v>1</v>
      </c>
      <c r="M480" s="23">
        <v>1</v>
      </c>
    </row>
    <row r="481" spans="2:13" ht="18">
      <c r="B481" s="55">
        <v>13</v>
      </c>
      <c r="C481" s="55">
        <v>34</v>
      </c>
      <c r="D481" s="55">
        <v>12</v>
      </c>
      <c r="E481" s="55">
        <v>9</v>
      </c>
      <c r="F481" s="55">
        <v>1</v>
      </c>
      <c r="G481" s="55">
        <v>0</v>
      </c>
      <c r="H481" s="141">
        <v>0</v>
      </c>
      <c r="M481" s="23">
        <v>1</v>
      </c>
    </row>
    <row r="482" spans="2:13" ht="18">
      <c r="B482" s="55">
        <v>1</v>
      </c>
      <c r="C482" s="55">
        <v>48</v>
      </c>
      <c r="D482" s="55">
        <v>13</v>
      </c>
      <c r="E482" s="55">
        <v>4</v>
      </c>
      <c r="F482" s="55">
        <v>11</v>
      </c>
      <c r="G482" s="55">
        <v>0</v>
      </c>
      <c r="H482" s="141">
        <v>0</v>
      </c>
      <c r="M482" s="23">
        <v>1</v>
      </c>
    </row>
    <row r="483" spans="2:13" ht="18">
      <c r="B483" s="55">
        <v>1</v>
      </c>
      <c r="C483" s="55">
        <v>48</v>
      </c>
      <c r="D483" s="55">
        <v>12</v>
      </c>
      <c r="E483" s="55">
        <v>2</v>
      </c>
      <c r="F483" s="55">
        <v>10</v>
      </c>
      <c r="G483" s="55">
        <v>0</v>
      </c>
      <c r="H483" s="141">
        <v>0</v>
      </c>
      <c r="M483" s="23">
        <v>1</v>
      </c>
    </row>
    <row r="484" spans="2:13" ht="18">
      <c r="B484" s="55">
        <v>1</v>
      </c>
      <c r="C484" s="55">
        <v>48</v>
      </c>
      <c r="D484" s="55">
        <v>11</v>
      </c>
      <c r="E484" s="55">
        <v>3</v>
      </c>
      <c r="F484" s="55">
        <v>18</v>
      </c>
      <c r="G484" s="55">
        <v>0</v>
      </c>
      <c r="H484" s="141">
        <v>0</v>
      </c>
      <c r="M484" s="23">
        <v>1</v>
      </c>
    </row>
    <row r="485" spans="2:13" ht="18">
      <c r="B485" s="55">
        <v>13</v>
      </c>
      <c r="C485" s="55">
        <v>116</v>
      </c>
      <c r="D485" s="55">
        <v>13</v>
      </c>
      <c r="E485" s="55">
        <v>8</v>
      </c>
      <c r="F485" s="55">
        <v>0</v>
      </c>
      <c r="G485" s="55">
        <v>0</v>
      </c>
      <c r="H485" s="141">
        <v>0</v>
      </c>
      <c r="M485" s="23">
        <v>1</v>
      </c>
    </row>
    <row r="486" spans="2:13" ht="18">
      <c r="B486" s="55">
        <v>13</v>
      </c>
      <c r="C486" s="55">
        <v>115</v>
      </c>
      <c r="D486" s="55">
        <v>13</v>
      </c>
      <c r="E486" s="55">
        <v>0</v>
      </c>
      <c r="F486" s="55">
        <v>15</v>
      </c>
      <c r="G486" s="55">
        <v>0</v>
      </c>
      <c r="H486" s="141">
        <v>0</v>
      </c>
      <c r="M486" s="23">
        <v>1</v>
      </c>
    </row>
    <row r="487" spans="2:13" ht="18">
      <c r="B487" s="55">
        <v>1</v>
      </c>
      <c r="C487" s="55">
        <v>15</v>
      </c>
      <c r="D487" s="55">
        <v>11</v>
      </c>
      <c r="E487" s="55">
        <v>0</v>
      </c>
      <c r="F487" s="55">
        <v>3</v>
      </c>
      <c r="G487" s="55">
        <v>0</v>
      </c>
      <c r="H487" s="141">
        <v>0</v>
      </c>
      <c r="M487" s="23">
        <v>1</v>
      </c>
    </row>
    <row r="488" spans="2:13" ht="18">
      <c r="B488" s="55">
        <v>1</v>
      </c>
      <c r="C488" s="55">
        <v>15</v>
      </c>
      <c r="D488" s="55">
        <v>12</v>
      </c>
      <c r="E488" s="55">
        <v>2</v>
      </c>
      <c r="F488" s="55">
        <v>0</v>
      </c>
      <c r="G488" s="55">
        <v>0</v>
      </c>
      <c r="H488" s="141">
        <v>0</v>
      </c>
      <c r="M488" s="23">
        <v>1</v>
      </c>
    </row>
    <row r="489" spans="2:13" ht="18">
      <c r="B489" s="55">
        <v>13</v>
      </c>
      <c r="C489" s="55">
        <v>117</v>
      </c>
      <c r="D489" s="55">
        <v>12</v>
      </c>
      <c r="E489" s="55">
        <v>2</v>
      </c>
      <c r="F489" s="55">
        <v>15</v>
      </c>
      <c r="G489" s="55">
        <v>0</v>
      </c>
      <c r="H489" s="141">
        <v>0</v>
      </c>
      <c r="M489" s="23">
        <v>1</v>
      </c>
    </row>
    <row r="490" spans="2:13" ht="18">
      <c r="B490" s="55">
        <v>1</v>
      </c>
      <c r="C490" s="55">
        <v>104</v>
      </c>
      <c r="D490" s="55">
        <v>7</v>
      </c>
      <c r="E490" s="55">
        <v>6</v>
      </c>
      <c r="F490" s="55">
        <v>0</v>
      </c>
      <c r="G490" s="55">
        <v>0</v>
      </c>
      <c r="H490" s="141">
        <v>0</v>
      </c>
      <c r="M490" s="23">
        <v>1</v>
      </c>
    </row>
    <row r="491" spans="2:13" ht="18">
      <c r="B491" s="55">
        <v>1</v>
      </c>
      <c r="C491" s="55">
        <v>36</v>
      </c>
      <c r="D491" s="55">
        <v>11</v>
      </c>
      <c r="E491" s="55">
        <v>32</v>
      </c>
      <c r="F491" s="55">
        <v>17</v>
      </c>
      <c r="G491" s="55">
        <v>0</v>
      </c>
      <c r="H491" s="141">
        <v>0</v>
      </c>
      <c r="M491" s="23">
        <v>1</v>
      </c>
    </row>
    <row r="492" spans="2:13" ht="18">
      <c r="B492" s="55">
        <v>13</v>
      </c>
      <c r="C492" s="55">
        <v>36</v>
      </c>
      <c r="D492" s="55">
        <v>12</v>
      </c>
      <c r="E492" s="55">
        <v>23</v>
      </c>
      <c r="F492" s="55">
        <v>11</v>
      </c>
      <c r="G492" s="55">
        <v>0</v>
      </c>
      <c r="H492" s="141">
        <v>0</v>
      </c>
      <c r="M492" s="23">
        <v>1</v>
      </c>
    </row>
    <row r="493" spans="2:13" ht="18">
      <c r="B493" s="55">
        <v>13</v>
      </c>
      <c r="C493" s="55">
        <v>36</v>
      </c>
      <c r="D493" s="55">
        <v>13</v>
      </c>
      <c r="E493" s="55">
        <v>36</v>
      </c>
      <c r="F493" s="55">
        <v>22</v>
      </c>
      <c r="G493" s="55">
        <v>0</v>
      </c>
      <c r="H493" s="141">
        <v>0</v>
      </c>
      <c r="M493" s="23">
        <v>1</v>
      </c>
    </row>
    <row r="494" spans="2:13" ht="18">
      <c r="B494" s="55">
        <v>13</v>
      </c>
      <c r="C494" s="55">
        <v>62</v>
      </c>
      <c r="D494" s="55">
        <v>11</v>
      </c>
      <c r="E494" s="55">
        <v>6</v>
      </c>
      <c r="F494" s="55">
        <v>10</v>
      </c>
      <c r="G494" s="55">
        <v>0</v>
      </c>
      <c r="H494" s="141">
        <v>1</v>
      </c>
      <c r="M494" s="23">
        <v>1</v>
      </c>
    </row>
    <row r="495" spans="2:13" ht="18">
      <c r="B495" s="55">
        <v>13</v>
      </c>
      <c r="C495" s="55">
        <v>62</v>
      </c>
      <c r="D495" s="55">
        <v>12</v>
      </c>
      <c r="E495" s="55">
        <v>6</v>
      </c>
      <c r="F495" s="55">
        <v>11</v>
      </c>
      <c r="G495" s="55">
        <v>0</v>
      </c>
      <c r="H495" s="141">
        <v>1</v>
      </c>
      <c r="M495" s="23">
        <v>1</v>
      </c>
    </row>
    <row r="496" spans="2:13" ht="18">
      <c r="B496" s="55">
        <v>13</v>
      </c>
      <c r="C496" s="55">
        <v>62</v>
      </c>
      <c r="D496" s="55">
        <v>13</v>
      </c>
      <c r="E496" s="55">
        <v>5</v>
      </c>
      <c r="F496" s="55">
        <v>11</v>
      </c>
      <c r="G496" s="55">
        <v>0</v>
      </c>
      <c r="H496" s="141">
        <v>0</v>
      </c>
      <c r="M496" s="23">
        <v>1</v>
      </c>
    </row>
    <row r="497" spans="2:13" ht="18">
      <c r="B497" s="55">
        <v>1</v>
      </c>
      <c r="C497" s="55">
        <v>31</v>
      </c>
      <c r="D497" s="55">
        <v>14</v>
      </c>
      <c r="E497" s="55">
        <v>9</v>
      </c>
      <c r="F497" s="55">
        <v>12</v>
      </c>
      <c r="G497" s="55">
        <v>0</v>
      </c>
      <c r="H497" s="141">
        <v>2</v>
      </c>
      <c r="M497" s="23">
        <v>1</v>
      </c>
    </row>
    <row r="498" spans="2:13" ht="18">
      <c r="B498" s="55">
        <v>1</v>
      </c>
      <c r="C498" s="55">
        <v>31</v>
      </c>
      <c r="D498" s="55">
        <v>13</v>
      </c>
      <c r="E498" s="55">
        <v>6</v>
      </c>
      <c r="F498" s="55">
        <v>13</v>
      </c>
      <c r="G498" s="55">
        <v>0</v>
      </c>
      <c r="H498" s="141">
        <v>4</v>
      </c>
      <c r="M498" s="23">
        <v>1</v>
      </c>
    </row>
    <row r="499" spans="2:13" ht="18">
      <c r="B499" s="55">
        <v>1</v>
      </c>
      <c r="C499" s="55">
        <v>31</v>
      </c>
      <c r="D499" s="55">
        <v>8</v>
      </c>
      <c r="E499" s="55">
        <v>6</v>
      </c>
      <c r="F499" s="55">
        <v>10</v>
      </c>
      <c r="G499" s="55">
        <v>0</v>
      </c>
      <c r="H499" s="141">
        <v>3</v>
      </c>
      <c r="M499" s="23">
        <v>1</v>
      </c>
    </row>
    <row r="500" spans="2:13" ht="18">
      <c r="B500" s="55">
        <v>1</v>
      </c>
      <c r="C500" s="55">
        <v>31</v>
      </c>
      <c r="D500" s="55">
        <v>9</v>
      </c>
      <c r="E500" s="55">
        <v>4</v>
      </c>
      <c r="F500" s="55">
        <v>9</v>
      </c>
      <c r="G500" s="55">
        <v>0</v>
      </c>
      <c r="H500" s="141">
        <v>2</v>
      </c>
      <c r="M500" s="23">
        <v>1</v>
      </c>
    </row>
    <row r="501" spans="2:13" ht="18">
      <c r="B501" s="55">
        <v>1</v>
      </c>
      <c r="C501" s="55">
        <v>31</v>
      </c>
      <c r="D501" s="55">
        <v>10</v>
      </c>
      <c r="E501" s="55">
        <v>3</v>
      </c>
      <c r="F501" s="55">
        <v>12</v>
      </c>
      <c r="G501" s="55">
        <v>0</v>
      </c>
      <c r="H501" s="141">
        <v>3</v>
      </c>
      <c r="M501" s="23">
        <v>1</v>
      </c>
    </row>
    <row r="502" spans="2:13" ht="18">
      <c r="B502" s="55">
        <v>1</v>
      </c>
      <c r="C502" s="55">
        <v>31</v>
      </c>
      <c r="D502" s="55">
        <v>11</v>
      </c>
      <c r="E502" s="55">
        <v>5</v>
      </c>
      <c r="F502" s="55">
        <v>11</v>
      </c>
      <c r="G502" s="55">
        <v>0</v>
      </c>
      <c r="H502" s="141">
        <v>2</v>
      </c>
      <c r="M502" s="23">
        <v>1</v>
      </c>
    </row>
    <row r="503" spans="2:13" ht="18">
      <c r="B503" s="55">
        <v>1</v>
      </c>
      <c r="C503" s="55">
        <v>31</v>
      </c>
      <c r="D503" s="55">
        <v>12</v>
      </c>
      <c r="E503" s="55">
        <v>6</v>
      </c>
      <c r="F503" s="55">
        <v>10</v>
      </c>
      <c r="G503" s="55">
        <v>0</v>
      </c>
      <c r="H503" s="141">
        <v>2</v>
      </c>
      <c r="M503" s="23">
        <v>1</v>
      </c>
    </row>
    <row r="504" spans="2:13" ht="18">
      <c r="B504" s="55">
        <v>1</v>
      </c>
      <c r="C504" s="55">
        <v>31</v>
      </c>
      <c r="D504" s="55">
        <v>12</v>
      </c>
      <c r="E504" s="55">
        <v>11</v>
      </c>
      <c r="F504" s="55">
        <v>5</v>
      </c>
      <c r="G504" s="55">
        <v>0</v>
      </c>
      <c r="H504" s="141">
        <v>0</v>
      </c>
      <c r="M504" s="23">
        <v>1</v>
      </c>
    </row>
    <row r="505" spans="2:13" ht="18">
      <c r="B505" s="55">
        <v>1</v>
      </c>
      <c r="C505" s="55">
        <v>31</v>
      </c>
      <c r="D505" s="55">
        <v>11</v>
      </c>
      <c r="E505" s="55">
        <v>5</v>
      </c>
      <c r="F505" s="55">
        <v>1</v>
      </c>
      <c r="G505" s="55">
        <v>0</v>
      </c>
      <c r="H505" s="141">
        <v>2</v>
      </c>
      <c r="M505" s="23">
        <v>1</v>
      </c>
    </row>
    <row r="506" spans="2:13" ht="18">
      <c r="B506" s="55">
        <v>1</v>
      </c>
      <c r="C506" s="55">
        <v>31</v>
      </c>
      <c r="D506" s="55">
        <v>9</v>
      </c>
      <c r="E506" s="55">
        <v>8</v>
      </c>
      <c r="F506" s="55">
        <v>6</v>
      </c>
      <c r="G506" s="55">
        <v>0</v>
      </c>
      <c r="H506" s="141">
        <v>0</v>
      </c>
      <c r="M506" s="23">
        <v>1</v>
      </c>
    </row>
    <row r="507" spans="2:13" ht="18">
      <c r="B507" s="55">
        <v>1</v>
      </c>
      <c r="C507" s="55">
        <v>31</v>
      </c>
      <c r="D507" s="55">
        <v>10</v>
      </c>
      <c r="E507" s="55">
        <v>9</v>
      </c>
      <c r="F507" s="55">
        <v>6</v>
      </c>
      <c r="G507" s="55">
        <v>0</v>
      </c>
      <c r="H507" s="141">
        <v>4</v>
      </c>
      <c r="M507" s="23">
        <v>1</v>
      </c>
    </row>
    <row r="508" spans="2:13" ht="18">
      <c r="B508" s="55">
        <v>13</v>
      </c>
      <c r="C508" s="55">
        <v>59</v>
      </c>
      <c r="D508" s="55">
        <v>11</v>
      </c>
      <c r="E508" s="55">
        <v>3</v>
      </c>
      <c r="F508" s="55">
        <v>1</v>
      </c>
      <c r="G508" s="55">
        <v>0</v>
      </c>
      <c r="H508" s="141">
        <v>0</v>
      </c>
      <c r="M508" s="23">
        <v>1</v>
      </c>
    </row>
    <row r="509" spans="2:13" ht="18">
      <c r="B509" s="55">
        <v>13</v>
      </c>
      <c r="C509" s="55">
        <v>59</v>
      </c>
      <c r="D509" s="55">
        <v>12</v>
      </c>
      <c r="E509" s="55">
        <v>5</v>
      </c>
      <c r="F509" s="55">
        <v>1</v>
      </c>
      <c r="G509" s="55">
        <v>0</v>
      </c>
      <c r="H509" s="141">
        <v>0</v>
      </c>
      <c r="M509" s="23">
        <v>1</v>
      </c>
    </row>
    <row r="510" spans="2:13" ht="18">
      <c r="B510" s="55">
        <v>13</v>
      </c>
      <c r="C510" s="55">
        <v>59</v>
      </c>
      <c r="D510" s="55">
        <v>13</v>
      </c>
      <c r="E510" s="55">
        <v>5</v>
      </c>
      <c r="F510" s="55">
        <v>4</v>
      </c>
      <c r="G510" s="55">
        <v>0</v>
      </c>
      <c r="H510" s="141">
        <v>0</v>
      </c>
      <c r="M510" s="23">
        <v>1</v>
      </c>
    </row>
    <row r="511" spans="2:13" ht="18">
      <c r="B511" s="55">
        <v>13</v>
      </c>
      <c r="C511" s="55">
        <v>59</v>
      </c>
      <c r="D511" s="55">
        <v>14</v>
      </c>
      <c r="E511" s="55">
        <v>3</v>
      </c>
      <c r="F511" s="55">
        <v>2</v>
      </c>
      <c r="G511" s="55">
        <v>0</v>
      </c>
      <c r="H511" s="141">
        <v>0</v>
      </c>
      <c r="M511" s="23">
        <v>1</v>
      </c>
    </row>
    <row r="512" spans="2:13" ht="18">
      <c r="B512" s="55">
        <v>13</v>
      </c>
      <c r="C512" s="55">
        <v>59</v>
      </c>
      <c r="D512" s="55">
        <v>15</v>
      </c>
      <c r="E512" s="55">
        <v>1</v>
      </c>
      <c r="F512" s="55">
        <v>3</v>
      </c>
      <c r="G512" s="55">
        <v>0</v>
      </c>
      <c r="H512" s="141">
        <v>0</v>
      </c>
      <c r="M512" s="23">
        <v>1</v>
      </c>
    </row>
    <row r="513" spans="2:13" ht="18">
      <c r="B513" s="55">
        <v>1</v>
      </c>
      <c r="C513" s="55">
        <v>22</v>
      </c>
      <c r="D513" s="55">
        <v>11</v>
      </c>
      <c r="E513" s="55">
        <v>2</v>
      </c>
      <c r="F513" s="55">
        <v>18</v>
      </c>
      <c r="G513" s="55">
        <v>0</v>
      </c>
      <c r="H513" s="141">
        <v>0</v>
      </c>
      <c r="M513" s="23">
        <v>1</v>
      </c>
    </row>
    <row r="514" spans="2:13" ht="18">
      <c r="B514" s="55">
        <v>1</v>
      </c>
      <c r="C514" s="55">
        <v>22</v>
      </c>
      <c r="D514" s="55">
        <v>12</v>
      </c>
      <c r="E514" s="55">
        <v>1</v>
      </c>
      <c r="F514" s="55">
        <v>22</v>
      </c>
      <c r="G514" s="55">
        <v>0</v>
      </c>
      <c r="H514" s="141">
        <v>0</v>
      </c>
      <c r="M514" s="23">
        <v>1</v>
      </c>
    </row>
    <row r="515" spans="2:13" ht="18">
      <c r="B515" s="55">
        <v>1</v>
      </c>
      <c r="C515" s="55">
        <v>22</v>
      </c>
      <c r="D515" s="55">
        <v>13</v>
      </c>
      <c r="E515" s="55">
        <v>0</v>
      </c>
      <c r="F515" s="55">
        <v>17</v>
      </c>
      <c r="G515" s="55">
        <v>0</v>
      </c>
      <c r="H515" s="141">
        <v>0</v>
      </c>
      <c r="M515" s="23">
        <v>1</v>
      </c>
    </row>
    <row r="516" spans="2:13" ht="18">
      <c r="B516" s="55">
        <v>13</v>
      </c>
      <c r="C516" s="55">
        <v>67</v>
      </c>
      <c r="D516" s="55">
        <v>13</v>
      </c>
      <c r="E516" s="55">
        <v>0</v>
      </c>
      <c r="F516" s="55">
        <v>12</v>
      </c>
      <c r="G516" s="55">
        <v>0</v>
      </c>
      <c r="H516" s="141">
        <v>0</v>
      </c>
      <c r="M516" s="23">
        <v>1</v>
      </c>
    </row>
    <row r="517" spans="2:13" ht="18">
      <c r="B517" s="55">
        <v>13</v>
      </c>
      <c r="C517" s="55">
        <v>67</v>
      </c>
      <c r="D517" s="55">
        <v>12</v>
      </c>
      <c r="E517" s="55">
        <v>2</v>
      </c>
      <c r="F517" s="55">
        <v>19</v>
      </c>
      <c r="G517" s="55">
        <v>0</v>
      </c>
      <c r="H517" s="141">
        <v>0</v>
      </c>
      <c r="M517" s="23">
        <v>1</v>
      </c>
    </row>
    <row r="518" spans="2:13" ht="18">
      <c r="B518" s="55">
        <v>13</v>
      </c>
      <c r="C518" s="55">
        <v>67</v>
      </c>
      <c r="D518" s="55">
        <v>11</v>
      </c>
      <c r="E518" s="55">
        <v>0</v>
      </c>
      <c r="F518" s="55">
        <v>6</v>
      </c>
      <c r="G518" s="55">
        <v>0</v>
      </c>
      <c r="H518" s="141">
        <v>0</v>
      </c>
      <c r="M518" s="23">
        <v>1</v>
      </c>
    </row>
    <row r="519" spans="2:13" ht="18">
      <c r="B519" s="55">
        <v>13</v>
      </c>
      <c r="C519" s="55">
        <v>67</v>
      </c>
      <c r="D519" s="55">
        <v>10</v>
      </c>
      <c r="E519" s="55">
        <v>1</v>
      </c>
      <c r="F519" s="55">
        <v>17</v>
      </c>
      <c r="G519" s="55">
        <v>0</v>
      </c>
      <c r="H519" s="141">
        <v>0</v>
      </c>
      <c r="M519" s="23">
        <v>1</v>
      </c>
    </row>
    <row r="520" spans="2:13" ht="18">
      <c r="B520" s="55">
        <v>13</v>
      </c>
      <c r="C520" s="55">
        <v>38</v>
      </c>
      <c r="D520" s="55">
        <v>11</v>
      </c>
      <c r="E520" s="55">
        <v>3</v>
      </c>
      <c r="F520" s="55">
        <v>31</v>
      </c>
      <c r="G520" s="55">
        <v>0</v>
      </c>
      <c r="H520" s="141">
        <v>0</v>
      </c>
      <c r="M520" s="23">
        <v>1</v>
      </c>
    </row>
    <row r="521" spans="2:13" ht="18">
      <c r="B521" s="55">
        <v>13</v>
      </c>
      <c r="C521" s="55">
        <v>38</v>
      </c>
      <c r="D521" s="55">
        <v>12</v>
      </c>
      <c r="E521" s="55">
        <v>4</v>
      </c>
      <c r="F521" s="55">
        <v>27</v>
      </c>
      <c r="G521" s="55">
        <v>1</v>
      </c>
      <c r="H521" s="141">
        <v>0</v>
      </c>
      <c r="M521" s="23">
        <v>1</v>
      </c>
    </row>
    <row r="522" spans="2:13" ht="18">
      <c r="B522" s="55">
        <v>1</v>
      </c>
      <c r="C522" s="55">
        <v>114</v>
      </c>
      <c r="D522" s="55">
        <v>12</v>
      </c>
      <c r="E522" s="55">
        <v>28</v>
      </c>
      <c r="F522" s="55">
        <v>12</v>
      </c>
      <c r="G522" s="55">
        <v>6</v>
      </c>
      <c r="H522" s="141">
        <v>3</v>
      </c>
      <c r="M522" s="23">
        <v>1</v>
      </c>
    </row>
    <row r="523" spans="2:13" ht="18">
      <c r="B523" s="55">
        <v>13</v>
      </c>
      <c r="C523" s="55">
        <v>51</v>
      </c>
      <c r="D523" s="55">
        <v>11</v>
      </c>
      <c r="E523" s="55">
        <v>3</v>
      </c>
      <c r="F523" s="55">
        <v>2</v>
      </c>
      <c r="G523" s="55">
        <v>0</v>
      </c>
      <c r="H523" s="141">
        <v>0</v>
      </c>
      <c r="M523" s="23">
        <v>1</v>
      </c>
    </row>
    <row r="524" spans="2:13" ht="18">
      <c r="B524" s="55">
        <v>13</v>
      </c>
      <c r="C524" s="55">
        <v>21</v>
      </c>
      <c r="D524" s="55">
        <v>12</v>
      </c>
      <c r="E524" s="55">
        <v>6</v>
      </c>
      <c r="F524" s="55">
        <v>1</v>
      </c>
      <c r="G524" s="55">
        <v>0</v>
      </c>
      <c r="H524" s="141">
        <v>0</v>
      </c>
      <c r="M524" s="23">
        <v>1</v>
      </c>
    </row>
    <row r="525" spans="2:13" ht="18">
      <c r="B525" s="55">
        <v>13</v>
      </c>
      <c r="C525" s="55">
        <v>51</v>
      </c>
      <c r="D525" s="55">
        <v>13</v>
      </c>
      <c r="E525" s="55">
        <v>2</v>
      </c>
      <c r="F525" s="55">
        <v>1</v>
      </c>
      <c r="G525" s="55">
        <v>0</v>
      </c>
      <c r="H525" s="141">
        <v>0</v>
      </c>
      <c r="M525" s="23">
        <v>1</v>
      </c>
    </row>
    <row r="526" spans="2:13" ht="18">
      <c r="B526" s="55">
        <v>1</v>
      </c>
      <c r="C526" s="55">
        <v>11</v>
      </c>
      <c r="D526" s="55">
        <v>9</v>
      </c>
      <c r="E526" s="55">
        <v>10</v>
      </c>
      <c r="F526" s="55">
        <v>4</v>
      </c>
      <c r="G526" s="55">
        <v>0</v>
      </c>
      <c r="H526" s="141">
        <v>1</v>
      </c>
      <c r="M526" s="23">
        <v>1</v>
      </c>
    </row>
    <row r="527" spans="2:13" ht="18">
      <c r="B527" s="55">
        <v>1</v>
      </c>
      <c r="C527" s="55">
        <v>11</v>
      </c>
      <c r="D527" s="55">
        <v>10</v>
      </c>
      <c r="E527" s="55">
        <v>7</v>
      </c>
      <c r="F527" s="55">
        <v>9</v>
      </c>
      <c r="G527" s="55">
        <v>0</v>
      </c>
      <c r="H527" s="141">
        <v>0</v>
      </c>
      <c r="M527" s="23">
        <v>1</v>
      </c>
    </row>
    <row r="528" spans="2:13" ht="18">
      <c r="B528" s="55">
        <v>1</v>
      </c>
      <c r="C528" s="55">
        <v>11</v>
      </c>
      <c r="D528" s="55">
        <v>12</v>
      </c>
      <c r="E528" s="55">
        <v>3</v>
      </c>
      <c r="F528" s="55">
        <v>5</v>
      </c>
      <c r="G528" s="55">
        <v>0</v>
      </c>
      <c r="H528" s="141">
        <v>0</v>
      </c>
      <c r="M528" s="23">
        <v>1</v>
      </c>
    </row>
    <row r="529" spans="2:13" ht="18">
      <c r="B529" s="55">
        <v>1</v>
      </c>
      <c r="C529" s="55">
        <v>11</v>
      </c>
      <c r="D529" s="55">
        <v>11</v>
      </c>
      <c r="E529" s="55">
        <v>6</v>
      </c>
      <c r="F529" s="55">
        <v>11</v>
      </c>
      <c r="G529" s="55">
        <v>0</v>
      </c>
      <c r="H529" s="141">
        <v>0</v>
      </c>
      <c r="M529" s="23">
        <v>1</v>
      </c>
    </row>
    <row r="530" spans="2:13" ht="18">
      <c r="B530" s="55">
        <v>1</v>
      </c>
      <c r="C530" s="55">
        <v>11</v>
      </c>
      <c r="D530" s="55">
        <v>13</v>
      </c>
      <c r="E530" s="55">
        <v>3</v>
      </c>
      <c r="F530" s="55">
        <v>8</v>
      </c>
      <c r="G530" s="55">
        <v>0</v>
      </c>
      <c r="H530" s="141">
        <v>0</v>
      </c>
      <c r="M530" s="23">
        <v>1</v>
      </c>
    </row>
    <row r="531" spans="2:13" ht="18">
      <c r="B531" s="55">
        <v>1</v>
      </c>
      <c r="C531" s="55">
        <v>11</v>
      </c>
      <c r="D531" s="55">
        <v>14</v>
      </c>
      <c r="E531" s="55">
        <v>6</v>
      </c>
      <c r="F531" s="55">
        <v>4</v>
      </c>
      <c r="G531" s="55">
        <v>0</v>
      </c>
      <c r="H531" s="141">
        <v>1</v>
      </c>
      <c r="M531" s="23">
        <v>1</v>
      </c>
    </row>
    <row r="532" spans="2:13" ht="18">
      <c r="B532" s="55">
        <v>1</v>
      </c>
      <c r="C532" s="55">
        <v>11</v>
      </c>
      <c r="D532" s="55">
        <v>15</v>
      </c>
      <c r="E532" s="55">
        <v>7</v>
      </c>
      <c r="F532" s="55">
        <v>7</v>
      </c>
      <c r="G532" s="55">
        <v>0</v>
      </c>
      <c r="H532" s="141">
        <v>2</v>
      </c>
      <c r="M532" s="23">
        <v>1</v>
      </c>
    </row>
    <row r="533" spans="2:13" ht="18">
      <c r="B533" s="55">
        <v>1</v>
      </c>
      <c r="C533" s="55">
        <v>9</v>
      </c>
      <c r="D533" s="55">
        <v>10</v>
      </c>
      <c r="E533" s="55">
        <v>0</v>
      </c>
      <c r="F533" s="55">
        <v>25</v>
      </c>
      <c r="G533" s="55">
        <v>0</v>
      </c>
      <c r="H533" s="141">
        <v>0</v>
      </c>
      <c r="M533" s="23">
        <v>1</v>
      </c>
    </row>
    <row r="534" spans="2:13" ht="18">
      <c r="B534" s="55">
        <v>1</v>
      </c>
      <c r="C534" s="55">
        <v>9</v>
      </c>
      <c r="D534" s="55">
        <v>11</v>
      </c>
      <c r="E534" s="55">
        <v>8</v>
      </c>
      <c r="F534" s="55">
        <v>17</v>
      </c>
      <c r="G534" s="55">
        <v>0</v>
      </c>
      <c r="H534" s="141">
        <v>0</v>
      </c>
      <c r="M534" s="23">
        <v>1</v>
      </c>
    </row>
    <row r="535" spans="2:13" ht="18">
      <c r="B535" s="55">
        <v>1</v>
      </c>
      <c r="C535" s="55">
        <v>9</v>
      </c>
      <c r="D535" s="55">
        <v>12</v>
      </c>
      <c r="E535" s="55">
        <v>5</v>
      </c>
      <c r="F535" s="55">
        <v>20</v>
      </c>
      <c r="G535" s="55">
        <v>0</v>
      </c>
      <c r="H535" s="141">
        <v>0</v>
      </c>
      <c r="M535" s="23">
        <v>1</v>
      </c>
    </row>
    <row r="536" spans="2:13" ht="18">
      <c r="B536" s="55">
        <v>13</v>
      </c>
      <c r="C536" s="55">
        <v>27</v>
      </c>
      <c r="D536" s="55">
        <v>10</v>
      </c>
      <c r="E536" s="55">
        <v>16</v>
      </c>
      <c r="F536" s="55">
        <v>8</v>
      </c>
      <c r="G536" s="55">
        <v>0</v>
      </c>
      <c r="H536" s="141">
        <v>0</v>
      </c>
      <c r="M536" s="23">
        <v>1</v>
      </c>
    </row>
    <row r="537" spans="2:13" ht="18">
      <c r="B537" s="55">
        <v>13</v>
      </c>
      <c r="C537" s="55">
        <v>27</v>
      </c>
      <c r="D537" s="55">
        <v>11</v>
      </c>
      <c r="E537" s="55">
        <v>20</v>
      </c>
      <c r="F537" s="55">
        <v>10</v>
      </c>
      <c r="G537" s="55">
        <v>0</v>
      </c>
      <c r="H537" s="141">
        <v>0</v>
      </c>
      <c r="M537" s="23">
        <v>1</v>
      </c>
    </row>
    <row r="538" spans="2:13" ht="18">
      <c r="B538" s="55">
        <v>1</v>
      </c>
      <c r="C538" s="55">
        <v>35</v>
      </c>
      <c r="D538" s="55">
        <v>12</v>
      </c>
      <c r="E538" s="55">
        <v>22</v>
      </c>
      <c r="F538" s="55">
        <v>20</v>
      </c>
      <c r="G538" s="55">
        <v>17</v>
      </c>
      <c r="H538" s="141">
        <v>0</v>
      </c>
      <c r="M538" s="23">
        <v>1</v>
      </c>
    </row>
    <row r="539" spans="2:13" ht="18">
      <c r="B539" s="55">
        <v>13</v>
      </c>
      <c r="C539" s="55">
        <v>75</v>
      </c>
      <c r="D539" s="55">
        <v>6</v>
      </c>
      <c r="E539" s="55">
        <v>2</v>
      </c>
      <c r="F539" s="55">
        <v>7</v>
      </c>
      <c r="G539" s="55">
        <v>0</v>
      </c>
      <c r="H539" s="141">
        <v>0</v>
      </c>
      <c r="M539" s="23">
        <v>1</v>
      </c>
    </row>
    <row r="540" spans="2:13" ht="18">
      <c r="B540" s="55">
        <v>13</v>
      </c>
      <c r="C540" s="55">
        <v>65</v>
      </c>
      <c r="D540" s="55">
        <v>13</v>
      </c>
      <c r="E540" s="55">
        <v>2</v>
      </c>
      <c r="F540" s="55">
        <v>4</v>
      </c>
      <c r="G540" s="55">
        <v>0</v>
      </c>
      <c r="H540" s="141">
        <v>0</v>
      </c>
      <c r="M540" s="23">
        <v>1</v>
      </c>
    </row>
    <row r="541" spans="2:13" ht="18">
      <c r="B541" s="55">
        <v>13</v>
      </c>
      <c r="C541" s="55">
        <v>65</v>
      </c>
      <c r="D541" s="55">
        <v>12</v>
      </c>
      <c r="E541" s="55">
        <v>6</v>
      </c>
      <c r="F541" s="55">
        <v>14</v>
      </c>
      <c r="G541" s="55">
        <v>0</v>
      </c>
      <c r="H541" s="141">
        <v>1</v>
      </c>
      <c r="M541" s="23">
        <v>1</v>
      </c>
    </row>
    <row r="542" spans="2:13" ht="18">
      <c r="B542" s="55">
        <v>13</v>
      </c>
      <c r="C542" s="55">
        <v>65</v>
      </c>
      <c r="D542" s="55">
        <v>11</v>
      </c>
      <c r="E542" s="55">
        <v>2</v>
      </c>
      <c r="F542" s="55">
        <v>11</v>
      </c>
      <c r="G542" s="55">
        <v>0</v>
      </c>
      <c r="H542" s="141">
        <v>0</v>
      </c>
      <c r="M542" s="23">
        <v>1</v>
      </c>
    </row>
    <row r="543" spans="2:13" ht="18">
      <c r="B543" s="55">
        <v>13</v>
      </c>
      <c r="C543" s="55">
        <v>28</v>
      </c>
      <c r="D543" s="55">
        <v>11</v>
      </c>
      <c r="E543" s="55">
        <v>8</v>
      </c>
      <c r="F543" s="55">
        <v>16</v>
      </c>
      <c r="G543" s="55">
        <v>0</v>
      </c>
      <c r="H543" s="141">
        <v>0</v>
      </c>
      <c r="M543" s="23">
        <v>1</v>
      </c>
    </row>
    <row r="544" spans="2:13" ht="18">
      <c r="B544" s="55">
        <v>1</v>
      </c>
      <c r="C544" s="55">
        <v>33</v>
      </c>
      <c r="D544" s="55">
        <v>9</v>
      </c>
      <c r="E544" s="55">
        <v>6</v>
      </c>
      <c r="F544" s="55">
        <v>0</v>
      </c>
      <c r="G544" s="55">
        <v>0</v>
      </c>
      <c r="H544" s="141">
        <v>0</v>
      </c>
      <c r="M544" s="23">
        <v>1</v>
      </c>
    </row>
    <row r="545" spans="2:13" ht="18">
      <c r="B545" s="55">
        <v>1</v>
      </c>
      <c r="C545" s="55">
        <v>33</v>
      </c>
      <c r="D545" s="55">
        <v>10</v>
      </c>
      <c r="E545" s="55">
        <v>1</v>
      </c>
      <c r="F545" s="55">
        <v>1</v>
      </c>
      <c r="G545" s="55">
        <v>0</v>
      </c>
      <c r="H545" s="141">
        <v>0</v>
      </c>
      <c r="M545" s="23">
        <v>1</v>
      </c>
    </row>
    <row r="546" spans="2:13" ht="18">
      <c r="B546" s="55">
        <v>1</v>
      </c>
      <c r="C546" s="55">
        <v>33</v>
      </c>
      <c r="D546" s="55">
        <v>11</v>
      </c>
      <c r="E546" s="55">
        <v>12</v>
      </c>
      <c r="F546" s="55">
        <v>0</v>
      </c>
      <c r="G546" s="55">
        <v>0</v>
      </c>
      <c r="H546" s="141">
        <v>0</v>
      </c>
      <c r="M546" s="23">
        <v>1</v>
      </c>
    </row>
    <row r="547" spans="2:13" ht="18">
      <c r="B547" s="55">
        <v>1</v>
      </c>
      <c r="C547" s="55">
        <v>33</v>
      </c>
      <c r="D547" s="55">
        <v>12</v>
      </c>
      <c r="E547" s="55">
        <v>13</v>
      </c>
      <c r="F547" s="55">
        <v>2</v>
      </c>
      <c r="G547" s="55">
        <v>0</v>
      </c>
      <c r="H547" s="141">
        <v>0</v>
      </c>
      <c r="M547" s="23">
        <v>1</v>
      </c>
    </row>
    <row r="548" spans="2:13" ht="18">
      <c r="B548" s="55">
        <v>1</v>
      </c>
      <c r="C548" s="55">
        <v>33</v>
      </c>
      <c r="D548" s="55">
        <v>13</v>
      </c>
      <c r="E548" s="55">
        <v>18</v>
      </c>
      <c r="F548" s="55">
        <v>6</v>
      </c>
      <c r="G548" s="55">
        <v>0</v>
      </c>
      <c r="H548" s="141">
        <v>2</v>
      </c>
      <c r="M548" s="23">
        <v>1</v>
      </c>
    </row>
    <row r="549" spans="2:13" ht="18">
      <c r="B549" s="55">
        <v>1</v>
      </c>
      <c r="C549" s="55">
        <v>32</v>
      </c>
      <c r="D549" s="55">
        <v>9</v>
      </c>
      <c r="E549" s="55">
        <v>0</v>
      </c>
      <c r="F549" s="55">
        <v>25</v>
      </c>
      <c r="G549" s="55">
        <v>0</v>
      </c>
      <c r="H549" s="141">
        <v>0</v>
      </c>
      <c r="M549" s="23">
        <v>1</v>
      </c>
    </row>
    <row r="550" spans="2:13" ht="18">
      <c r="B550" s="55">
        <v>1</v>
      </c>
      <c r="C550" s="55">
        <v>32</v>
      </c>
      <c r="D550" s="55">
        <v>10</v>
      </c>
      <c r="E550" s="55">
        <v>1</v>
      </c>
      <c r="F550" s="55">
        <v>24</v>
      </c>
      <c r="G550" s="55">
        <v>0</v>
      </c>
      <c r="H550" s="141">
        <v>1</v>
      </c>
      <c r="M550" s="23">
        <v>1</v>
      </c>
    </row>
    <row r="551" spans="2:13" ht="18">
      <c r="B551" s="55">
        <v>1</v>
      </c>
      <c r="C551" s="55">
        <v>32</v>
      </c>
      <c r="D551" s="55">
        <v>11</v>
      </c>
      <c r="E551" s="55">
        <v>0</v>
      </c>
      <c r="F551" s="55">
        <v>25</v>
      </c>
      <c r="G551" s="55">
        <v>0</v>
      </c>
      <c r="H551" s="141">
        <v>0</v>
      </c>
      <c r="M551" s="23">
        <v>1</v>
      </c>
    </row>
    <row r="552" spans="2:13" ht="18">
      <c r="B552" s="55">
        <v>1</v>
      </c>
      <c r="C552" s="55">
        <v>32</v>
      </c>
      <c r="D552" s="55">
        <v>12</v>
      </c>
      <c r="E552" s="55">
        <v>2</v>
      </c>
      <c r="F552" s="55">
        <v>23</v>
      </c>
      <c r="G552" s="55">
        <v>0</v>
      </c>
      <c r="H552" s="141">
        <v>2</v>
      </c>
      <c r="M552" s="23">
        <v>1</v>
      </c>
    </row>
    <row r="553" spans="2:13" ht="18">
      <c r="B553" s="55">
        <v>1</v>
      </c>
      <c r="C553" s="55">
        <v>32</v>
      </c>
      <c r="D553" s="55">
        <v>13</v>
      </c>
      <c r="E553" s="55">
        <v>0</v>
      </c>
      <c r="F553" s="55">
        <v>25</v>
      </c>
      <c r="G553" s="55">
        <v>0</v>
      </c>
      <c r="H553" s="141">
        <v>0</v>
      </c>
      <c r="M553" s="23">
        <v>1</v>
      </c>
    </row>
    <row r="554" spans="2:13" ht="18">
      <c r="B554" s="55">
        <v>1</v>
      </c>
      <c r="C554" s="55">
        <v>32</v>
      </c>
      <c r="D554" s="55">
        <v>14</v>
      </c>
      <c r="E554" s="55">
        <v>4</v>
      </c>
      <c r="F554" s="55">
        <v>21</v>
      </c>
      <c r="G554" s="55">
        <v>0</v>
      </c>
      <c r="H554" s="141">
        <v>4</v>
      </c>
      <c r="M554" s="23">
        <v>1</v>
      </c>
    </row>
    <row r="555" spans="2:13" ht="18">
      <c r="B555" s="55">
        <v>13</v>
      </c>
      <c r="C555" s="55">
        <v>105</v>
      </c>
      <c r="D555" s="55">
        <v>11</v>
      </c>
      <c r="E555" s="55">
        <v>16</v>
      </c>
      <c r="F555" s="55">
        <v>1</v>
      </c>
      <c r="G555" s="55">
        <v>0</v>
      </c>
      <c r="H555" s="141">
        <v>0</v>
      </c>
      <c r="M555" s="23">
        <v>1</v>
      </c>
    </row>
    <row r="556" spans="2:13" ht="18">
      <c r="B556" s="55">
        <v>13</v>
      </c>
      <c r="C556" s="55">
        <v>105</v>
      </c>
      <c r="D556" s="55">
        <v>12</v>
      </c>
      <c r="E556" s="55">
        <v>19</v>
      </c>
      <c r="F556" s="55">
        <v>3</v>
      </c>
      <c r="G556" s="55">
        <v>0</v>
      </c>
      <c r="H556" s="141">
        <v>0</v>
      </c>
      <c r="M556" s="23">
        <v>1</v>
      </c>
    </row>
    <row r="557" spans="2:13" ht="18">
      <c r="B557" s="55">
        <v>13</v>
      </c>
      <c r="C557" s="55">
        <v>105</v>
      </c>
      <c r="D557" s="55">
        <v>13</v>
      </c>
      <c r="E557" s="55">
        <v>8</v>
      </c>
      <c r="F557" s="55">
        <v>1</v>
      </c>
      <c r="G557" s="55">
        <v>0</v>
      </c>
      <c r="H557" s="141">
        <v>0</v>
      </c>
      <c r="M557" s="23">
        <v>1</v>
      </c>
    </row>
    <row r="558" spans="2:13" ht="18">
      <c r="B558" s="55">
        <v>13</v>
      </c>
      <c r="C558" s="55">
        <v>8</v>
      </c>
      <c r="D558" s="55">
        <v>8</v>
      </c>
      <c r="E558" s="55">
        <v>9</v>
      </c>
      <c r="F558" s="55">
        <v>5</v>
      </c>
      <c r="G558" s="55">
        <v>0</v>
      </c>
      <c r="H558" s="141">
        <v>0</v>
      </c>
      <c r="M558" s="23">
        <v>1</v>
      </c>
    </row>
    <row r="559" spans="2:13" ht="18">
      <c r="B559" s="55">
        <v>13</v>
      </c>
      <c r="C559" s="55">
        <v>8</v>
      </c>
      <c r="D559" s="55">
        <v>9</v>
      </c>
      <c r="E559" s="55">
        <v>8</v>
      </c>
      <c r="F559" s="55">
        <v>6</v>
      </c>
      <c r="G559" s="55">
        <v>0</v>
      </c>
      <c r="H559" s="141">
        <v>0</v>
      </c>
      <c r="M559" s="23">
        <v>1</v>
      </c>
    </row>
    <row r="560" spans="2:13" ht="18">
      <c r="B560" s="55">
        <v>13</v>
      </c>
      <c r="C560" s="55">
        <v>8</v>
      </c>
      <c r="D560" s="55">
        <v>10</v>
      </c>
      <c r="E560" s="55">
        <v>8</v>
      </c>
      <c r="F560" s="55">
        <v>4</v>
      </c>
      <c r="G560" s="55">
        <v>0</v>
      </c>
      <c r="H560" s="141">
        <v>0</v>
      </c>
      <c r="M560" s="23">
        <v>1</v>
      </c>
    </row>
    <row r="561" spans="2:13" ht="18">
      <c r="B561" s="55">
        <v>13</v>
      </c>
      <c r="C561" s="55">
        <v>8</v>
      </c>
      <c r="D561" s="55">
        <v>11</v>
      </c>
      <c r="E561" s="55">
        <v>11</v>
      </c>
      <c r="F561" s="55">
        <v>4</v>
      </c>
      <c r="G561" s="55">
        <v>0</v>
      </c>
      <c r="H561" s="141">
        <v>0</v>
      </c>
      <c r="M561" s="23">
        <v>1</v>
      </c>
    </row>
    <row r="562" spans="2:13" ht="18">
      <c r="B562" s="55">
        <v>13</v>
      </c>
      <c r="C562" s="55">
        <v>8</v>
      </c>
      <c r="D562" s="55">
        <v>12</v>
      </c>
      <c r="E562" s="55">
        <v>7</v>
      </c>
      <c r="F562" s="55">
        <v>8</v>
      </c>
      <c r="G562" s="55">
        <v>0</v>
      </c>
      <c r="H562" s="141">
        <v>0</v>
      </c>
      <c r="M562" s="23">
        <v>1</v>
      </c>
    </row>
    <row r="563" spans="2:13" ht="18">
      <c r="B563" s="55">
        <v>13</v>
      </c>
      <c r="C563" s="55">
        <v>24</v>
      </c>
      <c r="D563" s="55">
        <v>6</v>
      </c>
      <c r="E563" s="55">
        <v>1</v>
      </c>
      <c r="F563" s="55">
        <v>23</v>
      </c>
      <c r="G563" s="55">
        <v>0</v>
      </c>
      <c r="H563" s="141">
        <v>1</v>
      </c>
      <c r="M563" s="23">
        <v>1</v>
      </c>
    </row>
    <row r="564" spans="2:13" ht="18">
      <c r="B564" s="55">
        <v>13</v>
      </c>
      <c r="C564" s="55">
        <v>24</v>
      </c>
      <c r="D564" s="55">
        <v>7</v>
      </c>
      <c r="E564" s="55">
        <v>1</v>
      </c>
      <c r="F564" s="55">
        <v>24</v>
      </c>
      <c r="G564" s="55">
        <v>0</v>
      </c>
      <c r="H564" s="141">
        <v>0</v>
      </c>
      <c r="M564" s="23">
        <v>1</v>
      </c>
    </row>
    <row r="565" spans="2:13" ht="18">
      <c r="B565" s="55">
        <v>13</v>
      </c>
      <c r="C565" s="55">
        <v>24</v>
      </c>
      <c r="D565" s="55">
        <v>10</v>
      </c>
      <c r="E565" s="55">
        <v>3</v>
      </c>
      <c r="F565" s="55">
        <v>22</v>
      </c>
      <c r="G565" s="55">
        <v>0</v>
      </c>
      <c r="H565" s="141">
        <v>0</v>
      </c>
      <c r="M565" s="23">
        <v>1</v>
      </c>
    </row>
    <row r="566" spans="2:13" ht="18">
      <c r="B566" s="55">
        <v>13</v>
      </c>
      <c r="C566" s="55">
        <v>24</v>
      </c>
      <c r="D566" s="55">
        <v>11</v>
      </c>
      <c r="E566" s="55">
        <v>0</v>
      </c>
      <c r="F566" s="55">
        <v>15</v>
      </c>
      <c r="G566" s="55">
        <v>0</v>
      </c>
      <c r="H566" s="141">
        <v>0</v>
      </c>
      <c r="M566" s="23">
        <v>1</v>
      </c>
    </row>
    <row r="567" spans="2:13" ht="18">
      <c r="B567" s="55">
        <v>13</v>
      </c>
      <c r="C567" s="55">
        <v>24</v>
      </c>
      <c r="D567" s="55">
        <v>12</v>
      </c>
      <c r="E567" s="55">
        <v>1</v>
      </c>
      <c r="F567" s="55">
        <v>16</v>
      </c>
      <c r="G567" s="55">
        <v>0</v>
      </c>
      <c r="H567" s="141">
        <v>8</v>
      </c>
      <c r="M567" s="23">
        <v>1</v>
      </c>
    </row>
    <row r="568" spans="2:13" ht="18">
      <c r="B568" s="55">
        <v>13</v>
      </c>
      <c r="C568" s="55">
        <v>64</v>
      </c>
      <c r="D568" s="55">
        <v>11</v>
      </c>
      <c r="E568" s="55">
        <v>9</v>
      </c>
      <c r="F568" s="55">
        <v>9</v>
      </c>
      <c r="G568" s="55">
        <v>0</v>
      </c>
      <c r="H568" s="141">
        <v>0</v>
      </c>
      <c r="M568" s="23">
        <v>1</v>
      </c>
    </row>
    <row r="569" spans="2:13" ht="18">
      <c r="B569" s="55">
        <v>13</v>
      </c>
      <c r="C569" s="55">
        <v>64</v>
      </c>
      <c r="D569" s="55">
        <v>12</v>
      </c>
      <c r="E569" s="55">
        <v>4</v>
      </c>
      <c r="F569" s="55">
        <v>16</v>
      </c>
      <c r="G569" s="55">
        <v>2</v>
      </c>
      <c r="H569" s="141">
        <v>0</v>
      </c>
      <c r="M569" s="23">
        <v>1</v>
      </c>
    </row>
    <row r="570" spans="2:13" ht="18">
      <c r="B570" s="55">
        <v>13</v>
      </c>
      <c r="C570" s="55">
        <v>64</v>
      </c>
      <c r="D570" s="55">
        <v>13</v>
      </c>
      <c r="E570" s="55">
        <v>12</v>
      </c>
      <c r="F570" s="55">
        <v>13</v>
      </c>
      <c r="G570" s="55">
        <v>1</v>
      </c>
      <c r="H570" s="141">
        <v>0</v>
      </c>
      <c r="M570" s="23">
        <v>1</v>
      </c>
    </row>
    <row r="571" spans="2:13" ht="18">
      <c r="B571" s="55">
        <v>1</v>
      </c>
      <c r="C571" s="55">
        <v>73</v>
      </c>
      <c r="D571" s="55">
        <v>13</v>
      </c>
      <c r="E571" s="55">
        <v>0</v>
      </c>
      <c r="F571" s="55">
        <v>0</v>
      </c>
      <c r="G571" s="55">
        <v>0</v>
      </c>
      <c r="H571" s="141">
        <v>0</v>
      </c>
      <c r="M571" s="23">
        <v>1</v>
      </c>
    </row>
    <row r="572" spans="2:13" ht="18">
      <c r="B572" s="55">
        <v>13</v>
      </c>
      <c r="C572" s="55">
        <v>73</v>
      </c>
      <c r="D572" s="55">
        <v>12</v>
      </c>
      <c r="E572" s="55">
        <v>0</v>
      </c>
      <c r="F572" s="55">
        <v>0</v>
      </c>
      <c r="G572" s="55">
        <v>0</v>
      </c>
      <c r="H572" s="141">
        <v>0</v>
      </c>
      <c r="M572" s="23">
        <v>1</v>
      </c>
    </row>
    <row r="573" spans="2:13" ht="18">
      <c r="B573" s="55">
        <v>13</v>
      </c>
      <c r="C573" s="55">
        <v>73</v>
      </c>
      <c r="D573" s="55">
        <v>11</v>
      </c>
      <c r="E573" s="55">
        <v>1</v>
      </c>
      <c r="F573" s="55">
        <v>6</v>
      </c>
      <c r="G573" s="55">
        <v>0</v>
      </c>
      <c r="H573" s="141">
        <v>1</v>
      </c>
      <c r="M573" s="23">
        <v>1</v>
      </c>
    </row>
    <row r="574" spans="2:13" ht="18">
      <c r="B574" s="55">
        <v>13</v>
      </c>
      <c r="C574" s="55">
        <v>113</v>
      </c>
      <c r="D574" s="55">
        <v>12</v>
      </c>
      <c r="E574" s="55">
        <v>6</v>
      </c>
      <c r="F574" s="55">
        <v>2</v>
      </c>
      <c r="G574" s="55">
        <v>0</v>
      </c>
      <c r="H574" s="141">
        <v>0</v>
      </c>
      <c r="M574" s="23">
        <v>1</v>
      </c>
    </row>
    <row r="575" spans="2:13" ht="18">
      <c r="B575" s="55">
        <v>13</v>
      </c>
      <c r="C575" s="55">
        <v>113</v>
      </c>
      <c r="D575" s="55">
        <v>13</v>
      </c>
      <c r="E575" s="55">
        <v>4</v>
      </c>
      <c r="F575" s="55">
        <v>0</v>
      </c>
      <c r="G575" s="55">
        <v>0</v>
      </c>
      <c r="H575" s="141">
        <v>0</v>
      </c>
      <c r="M575" s="23">
        <v>1</v>
      </c>
    </row>
    <row r="576" spans="2:13" ht="18">
      <c r="B576" s="55">
        <v>1</v>
      </c>
      <c r="C576" s="55">
        <v>112</v>
      </c>
      <c r="D576" s="55">
        <v>12</v>
      </c>
      <c r="E576" s="55">
        <v>24</v>
      </c>
      <c r="F576" s="55">
        <v>17</v>
      </c>
      <c r="G576" s="55">
        <v>0</v>
      </c>
      <c r="H576" s="141">
        <v>0</v>
      </c>
      <c r="M576" s="23">
        <v>1</v>
      </c>
    </row>
    <row r="577" spans="2:13" ht="18">
      <c r="B577" s="55">
        <v>1</v>
      </c>
      <c r="C577" s="55">
        <v>25</v>
      </c>
      <c r="D577" s="55">
        <v>12</v>
      </c>
      <c r="E577" s="55">
        <v>12</v>
      </c>
      <c r="F577" s="55">
        <v>0</v>
      </c>
      <c r="G577" s="55">
        <v>1</v>
      </c>
      <c r="H577" s="141">
        <v>0</v>
      </c>
      <c r="M577" s="23">
        <v>1</v>
      </c>
    </row>
    <row r="578" spans="2:13" ht="18">
      <c r="B578" s="55">
        <v>13</v>
      </c>
      <c r="C578" s="55">
        <v>12</v>
      </c>
      <c r="D578" s="55">
        <v>8</v>
      </c>
      <c r="E578" s="55">
        <v>5</v>
      </c>
      <c r="F578" s="55">
        <v>8</v>
      </c>
      <c r="G578" s="55">
        <v>0</v>
      </c>
      <c r="H578" s="141">
        <v>4</v>
      </c>
      <c r="M578" s="23">
        <v>1</v>
      </c>
    </row>
    <row r="579" spans="2:13" ht="18">
      <c r="B579" s="55">
        <v>13</v>
      </c>
      <c r="C579" s="55">
        <v>12</v>
      </c>
      <c r="D579" s="55">
        <v>10</v>
      </c>
      <c r="E579" s="55">
        <v>12</v>
      </c>
      <c r="F579" s="55">
        <v>7</v>
      </c>
      <c r="G579" s="55">
        <v>0</v>
      </c>
      <c r="H579" s="141">
        <v>2</v>
      </c>
      <c r="M579" s="23">
        <v>1</v>
      </c>
    </row>
    <row r="580" spans="2:13" ht="18">
      <c r="B580" s="55">
        <v>13</v>
      </c>
      <c r="C580" s="55">
        <v>12</v>
      </c>
      <c r="D580" s="55">
        <v>9</v>
      </c>
      <c r="E580" s="55">
        <v>12</v>
      </c>
      <c r="F580" s="55">
        <v>7</v>
      </c>
      <c r="G580" s="55">
        <v>0</v>
      </c>
      <c r="H580" s="141">
        <v>2</v>
      </c>
      <c r="M580" s="23">
        <v>1</v>
      </c>
    </row>
    <row r="581" spans="2:13" ht="18">
      <c r="B581" s="55">
        <v>1</v>
      </c>
      <c r="C581" s="55">
        <v>2</v>
      </c>
      <c r="D581" s="55">
        <v>9</v>
      </c>
      <c r="E581" s="55">
        <v>7</v>
      </c>
      <c r="F581" s="55">
        <v>3</v>
      </c>
      <c r="G581" s="55">
        <v>0</v>
      </c>
      <c r="H581" s="141">
        <v>0</v>
      </c>
      <c r="M581" s="23">
        <v>1</v>
      </c>
    </row>
    <row r="582" spans="2:13" ht="18">
      <c r="B582" s="55">
        <v>1</v>
      </c>
      <c r="C582" s="55">
        <v>2</v>
      </c>
      <c r="D582" s="55">
        <v>10</v>
      </c>
      <c r="E582" s="55">
        <v>4</v>
      </c>
      <c r="F582" s="55">
        <v>4</v>
      </c>
      <c r="G582" s="55">
        <v>0</v>
      </c>
      <c r="H582" s="141">
        <v>2</v>
      </c>
      <c r="M582" s="23">
        <v>1</v>
      </c>
    </row>
    <row r="583" spans="2:13" ht="18">
      <c r="B583" s="55">
        <v>1</v>
      </c>
      <c r="C583" s="55">
        <v>2</v>
      </c>
      <c r="D583" s="55">
        <v>11</v>
      </c>
      <c r="E583" s="55">
        <v>6</v>
      </c>
      <c r="F583" s="55">
        <v>3</v>
      </c>
      <c r="G583" s="55">
        <v>0</v>
      </c>
      <c r="H583" s="141">
        <v>2</v>
      </c>
      <c r="M583" s="23">
        <v>1</v>
      </c>
    </row>
    <row r="584" spans="2:13" ht="18">
      <c r="B584" s="55">
        <v>1</v>
      </c>
      <c r="C584" s="55">
        <v>2</v>
      </c>
      <c r="D584" s="55">
        <v>12</v>
      </c>
      <c r="E584" s="55">
        <v>6</v>
      </c>
      <c r="F584" s="55">
        <v>2</v>
      </c>
      <c r="G584" s="55">
        <v>0</v>
      </c>
      <c r="H584" s="141">
        <v>0</v>
      </c>
      <c r="M584" s="23">
        <v>1</v>
      </c>
    </row>
    <row r="585" spans="2:13" ht="18">
      <c r="B585" s="55">
        <v>1</v>
      </c>
      <c r="C585" s="55">
        <v>2</v>
      </c>
      <c r="D585" s="55">
        <v>13</v>
      </c>
      <c r="E585" s="55">
        <v>6</v>
      </c>
      <c r="F585" s="55">
        <v>0</v>
      </c>
      <c r="G585" s="55">
        <v>0</v>
      </c>
      <c r="H585" s="141">
        <v>0</v>
      </c>
      <c r="M585" s="23">
        <v>1</v>
      </c>
    </row>
    <row r="586" spans="2:13" ht="18">
      <c r="B586" s="55">
        <v>13</v>
      </c>
      <c r="C586" s="55">
        <v>21</v>
      </c>
      <c r="D586" s="55">
        <v>13</v>
      </c>
      <c r="E586" s="55">
        <v>4</v>
      </c>
      <c r="F586" s="55">
        <v>30</v>
      </c>
      <c r="G586" s="55">
        <v>0</v>
      </c>
      <c r="H586" s="141">
        <v>0</v>
      </c>
      <c r="M586" s="23">
        <v>1</v>
      </c>
    </row>
    <row r="587" spans="2:13" ht="18">
      <c r="B587" s="55">
        <v>1</v>
      </c>
      <c r="C587" s="55">
        <v>47</v>
      </c>
      <c r="D587" s="55">
        <v>9</v>
      </c>
      <c r="E587" s="55">
        <v>8</v>
      </c>
      <c r="F587" s="55">
        <v>6</v>
      </c>
      <c r="G587" s="55">
        <v>0</v>
      </c>
      <c r="H587" s="141">
        <v>3</v>
      </c>
      <c r="M587" s="23">
        <v>1</v>
      </c>
    </row>
    <row r="588" spans="2:13" ht="18">
      <c r="B588" s="55">
        <v>1</v>
      </c>
      <c r="C588" s="55">
        <v>47</v>
      </c>
      <c r="D588" s="55">
        <v>10</v>
      </c>
      <c r="E588" s="55">
        <v>7</v>
      </c>
      <c r="F588" s="55">
        <v>14</v>
      </c>
      <c r="G588" s="55">
        <v>0</v>
      </c>
      <c r="H588" s="141">
        <v>2</v>
      </c>
      <c r="M588" s="23">
        <v>1</v>
      </c>
    </row>
    <row r="589" spans="2:13" ht="18">
      <c r="B589" s="55">
        <v>1</v>
      </c>
      <c r="C589" s="55">
        <v>47</v>
      </c>
      <c r="D589" s="55">
        <v>11</v>
      </c>
      <c r="E589" s="55">
        <v>5</v>
      </c>
      <c r="F589" s="55">
        <v>13</v>
      </c>
      <c r="G589" s="55">
        <v>0</v>
      </c>
      <c r="H589" s="141">
        <v>1</v>
      </c>
      <c r="M589" s="23">
        <v>1</v>
      </c>
    </row>
    <row r="590" spans="2:13" ht="18">
      <c r="B590" s="55">
        <v>1</v>
      </c>
      <c r="C590" s="55">
        <v>47</v>
      </c>
      <c r="D590" s="55">
        <v>12</v>
      </c>
      <c r="E590" s="55">
        <v>6</v>
      </c>
      <c r="F590" s="55">
        <v>9</v>
      </c>
      <c r="G590" s="55">
        <v>0</v>
      </c>
      <c r="H590" s="141">
        <v>0</v>
      </c>
      <c r="M590" s="23">
        <v>1</v>
      </c>
    </row>
    <row r="591" spans="2:13" ht="18">
      <c r="B591" s="55">
        <v>1</v>
      </c>
      <c r="C591" s="55">
        <v>47</v>
      </c>
      <c r="D591" s="55">
        <v>13</v>
      </c>
      <c r="E591" s="55">
        <v>7</v>
      </c>
      <c r="F591" s="55">
        <v>11</v>
      </c>
      <c r="G591" s="55">
        <v>0</v>
      </c>
      <c r="H591" s="141">
        <v>1</v>
      </c>
      <c r="M591" s="23">
        <v>1</v>
      </c>
    </row>
    <row r="592" spans="2:13" ht="18">
      <c r="B592" s="55">
        <v>1</v>
      </c>
      <c r="C592" s="55">
        <v>47</v>
      </c>
      <c r="D592" s="55">
        <v>14</v>
      </c>
      <c r="E592" s="55">
        <v>10</v>
      </c>
      <c r="F592" s="55">
        <v>12</v>
      </c>
      <c r="G592" s="55">
        <v>0</v>
      </c>
      <c r="H592" s="141">
        <v>0</v>
      </c>
      <c r="M592" s="23">
        <v>1</v>
      </c>
    </row>
    <row r="593" spans="2:13" ht="18">
      <c r="B593" s="55">
        <v>1</v>
      </c>
      <c r="C593" s="55">
        <v>112</v>
      </c>
      <c r="D593" s="55">
        <v>13</v>
      </c>
      <c r="E593" s="55">
        <v>25</v>
      </c>
      <c r="F593" s="55">
        <v>10</v>
      </c>
      <c r="G593" s="55">
        <v>0</v>
      </c>
      <c r="H593" s="141">
        <v>0</v>
      </c>
      <c r="M593" s="23">
        <v>1</v>
      </c>
    </row>
    <row r="594" spans="2:13" ht="18">
      <c r="B594" s="55">
        <v>13</v>
      </c>
      <c r="C594" s="55">
        <v>111</v>
      </c>
      <c r="D594" s="55">
        <v>2</v>
      </c>
      <c r="E594" s="55">
        <v>22</v>
      </c>
      <c r="F594" s="55">
        <v>2</v>
      </c>
      <c r="G594" s="55">
        <v>0</v>
      </c>
      <c r="H594" s="141">
        <v>1</v>
      </c>
      <c r="M594" s="23">
        <v>1</v>
      </c>
    </row>
    <row r="595" spans="2:13" ht="18">
      <c r="B595" s="55">
        <v>13</v>
      </c>
      <c r="C595" s="55">
        <v>111</v>
      </c>
      <c r="D595" s="55">
        <v>3</v>
      </c>
      <c r="E595" s="55">
        <v>16</v>
      </c>
      <c r="F595" s="55">
        <v>0</v>
      </c>
      <c r="G595" s="55">
        <v>0</v>
      </c>
      <c r="H595" s="141">
        <v>0</v>
      </c>
      <c r="M595" s="23">
        <v>1</v>
      </c>
    </row>
    <row r="596" spans="2:13" ht="18">
      <c r="B596" s="55">
        <v>13</v>
      </c>
      <c r="C596" s="55">
        <v>111</v>
      </c>
      <c r="D596" s="55">
        <v>4</v>
      </c>
      <c r="E596" s="55">
        <v>17</v>
      </c>
      <c r="F596" s="55">
        <v>0</v>
      </c>
      <c r="G596" s="55">
        <v>0</v>
      </c>
      <c r="H596" s="141">
        <v>0</v>
      </c>
      <c r="M596" s="23">
        <v>1</v>
      </c>
    </row>
    <row r="597" spans="2:13" ht="18">
      <c r="B597" s="55">
        <v>13</v>
      </c>
      <c r="C597" s="55">
        <v>111</v>
      </c>
      <c r="D597" s="55">
        <v>5</v>
      </c>
      <c r="E597" s="55">
        <v>13</v>
      </c>
      <c r="F597" s="55">
        <v>5</v>
      </c>
      <c r="G597" s="55">
        <v>0</v>
      </c>
      <c r="H597" s="141">
        <v>0</v>
      </c>
      <c r="M597" s="23">
        <v>1</v>
      </c>
    </row>
    <row r="598" spans="2:13" ht="18">
      <c r="B598" s="55">
        <v>1</v>
      </c>
      <c r="C598" s="55">
        <v>49</v>
      </c>
      <c r="D598" s="55">
        <v>13</v>
      </c>
      <c r="E598" s="55">
        <v>12</v>
      </c>
      <c r="F598" s="55">
        <v>1</v>
      </c>
      <c r="G598" s="55">
        <v>1</v>
      </c>
      <c r="H598" s="141">
        <v>0</v>
      </c>
      <c r="M598" s="23">
        <v>1</v>
      </c>
    </row>
    <row r="599" spans="2:13" ht="18">
      <c r="B599" s="55">
        <v>13</v>
      </c>
      <c r="C599" s="55">
        <v>44</v>
      </c>
      <c r="D599" s="55">
        <v>13</v>
      </c>
      <c r="E599" s="55">
        <v>7</v>
      </c>
      <c r="F599" s="55">
        <v>14</v>
      </c>
      <c r="G599" s="55">
        <v>1</v>
      </c>
      <c r="H599" s="141">
        <v>0</v>
      </c>
      <c r="M599" s="23">
        <v>1</v>
      </c>
    </row>
    <row r="600" spans="2:13" ht="18">
      <c r="B600" s="55">
        <v>13</v>
      </c>
      <c r="C600" s="55">
        <v>44</v>
      </c>
      <c r="D600" s="55">
        <v>14</v>
      </c>
      <c r="E600" s="55">
        <v>8</v>
      </c>
      <c r="F600" s="55">
        <v>13</v>
      </c>
      <c r="G600" s="55">
        <v>0</v>
      </c>
      <c r="H600" s="141">
        <v>0</v>
      </c>
      <c r="M600" s="23">
        <v>1</v>
      </c>
    </row>
    <row r="601" spans="2:13" ht="18">
      <c r="B601" s="55">
        <v>1</v>
      </c>
      <c r="C601" s="55">
        <v>4</v>
      </c>
      <c r="D601" s="55">
        <v>9</v>
      </c>
      <c r="E601" s="55">
        <v>7</v>
      </c>
      <c r="F601" s="55">
        <v>7</v>
      </c>
      <c r="G601" s="55">
        <v>2</v>
      </c>
      <c r="H601" s="141">
        <v>0</v>
      </c>
      <c r="M601" s="23">
        <v>1</v>
      </c>
    </row>
    <row r="602" spans="2:13" ht="18">
      <c r="B602" s="55">
        <v>1</v>
      </c>
      <c r="C602" s="55">
        <v>4</v>
      </c>
      <c r="D602" s="55">
        <v>10</v>
      </c>
      <c r="E602" s="55">
        <v>6</v>
      </c>
      <c r="F602" s="55">
        <v>7</v>
      </c>
      <c r="G602" s="55">
        <v>0</v>
      </c>
      <c r="H602" s="141">
        <v>0</v>
      </c>
      <c r="M602" s="23">
        <v>1</v>
      </c>
    </row>
    <row r="603" spans="2:13" ht="18">
      <c r="B603" s="55">
        <v>1</v>
      </c>
      <c r="C603" s="55">
        <v>4</v>
      </c>
      <c r="D603" s="55">
        <v>11</v>
      </c>
      <c r="E603" s="55">
        <v>4</v>
      </c>
      <c r="F603" s="55">
        <v>5</v>
      </c>
      <c r="G603" s="55">
        <v>0</v>
      </c>
      <c r="H603" s="141">
        <v>0</v>
      </c>
      <c r="M603" s="23">
        <v>1</v>
      </c>
    </row>
    <row r="604" spans="2:13" ht="18">
      <c r="B604" s="55">
        <v>1</v>
      </c>
      <c r="C604" s="55">
        <v>4</v>
      </c>
      <c r="D604" s="55">
        <v>12</v>
      </c>
      <c r="E604" s="55">
        <v>5</v>
      </c>
      <c r="F604" s="55">
        <v>4</v>
      </c>
      <c r="G604" s="55">
        <v>1</v>
      </c>
      <c r="H604" s="141">
        <v>0</v>
      </c>
      <c r="M604" s="23">
        <v>1</v>
      </c>
    </row>
    <row r="605" spans="2:13" ht="18">
      <c r="B605" s="55">
        <v>1</v>
      </c>
      <c r="C605" s="55">
        <v>4</v>
      </c>
      <c r="D605" s="55">
        <v>13</v>
      </c>
      <c r="E605" s="55">
        <v>6</v>
      </c>
      <c r="F605" s="55">
        <v>5</v>
      </c>
      <c r="G605" s="55">
        <v>0</v>
      </c>
      <c r="H605" s="141">
        <v>0</v>
      </c>
      <c r="M605" s="23">
        <v>1</v>
      </c>
    </row>
    <row r="606" spans="2:13" ht="18">
      <c r="B606" s="55">
        <v>1</v>
      </c>
      <c r="C606" s="55">
        <v>4</v>
      </c>
      <c r="D606" s="55">
        <v>14</v>
      </c>
      <c r="E606" s="55">
        <v>7</v>
      </c>
      <c r="F606" s="55">
        <v>6</v>
      </c>
      <c r="G606" s="55">
        <v>1</v>
      </c>
      <c r="H606" s="141">
        <v>0</v>
      </c>
      <c r="M606" s="23">
        <v>1</v>
      </c>
    </row>
    <row r="607" spans="2:13" ht="18">
      <c r="B607" s="55">
        <v>13</v>
      </c>
      <c r="C607" s="55">
        <v>109</v>
      </c>
      <c r="D607" s="55">
        <v>12</v>
      </c>
      <c r="E607" s="55">
        <v>23</v>
      </c>
      <c r="F607" s="55">
        <v>9</v>
      </c>
      <c r="G607" s="55">
        <v>0</v>
      </c>
      <c r="H607" s="141">
        <v>0</v>
      </c>
      <c r="M607" s="23">
        <v>1</v>
      </c>
    </row>
    <row r="608" spans="2:13" ht="18">
      <c r="B608" s="55">
        <v>13</v>
      </c>
      <c r="C608" s="55">
        <v>109</v>
      </c>
      <c r="D608" s="55">
        <v>13</v>
      </c>
      <c r="E608" s="55">
        <v>24</v>
      </c>
      <c r="F608" s="55">
        <v>9</v>
      </c>
      <c r="G608" s="55">
        <v>0</v>
      </c>
      <c r="H608" s="141">
        <v>0</v>
      </c>
      <c r="M608" s="23">
        <v>1</v>
      </c>
    </row>
    <row r="609" spans="2:13" ht="18">
      <c r="B609" s="55">
        <v>13</v>
      </c>
      <c r="C609" s="55">
        <v>103</v>
      </c>
      <c r="D609" s="55">
        <v>11</v>
      </c>
      <c r="E609" s="55">
        <v>25</v>
      </c>
      <c r="F609" s="55">
        <v>8</v>
      </c>
      <c r="G609" s="55">
        <v>0</v>
      </c>
      <c r="H609" s="141">
        <v>0</v>
      </c>
      <c r="M609" s="23">
        <v>1</v>
      </c>
    </row>
    <row r="610" spans="2:13" ht="18">
      <c r="B610" s="55">
        <v>13</v>
      </c>
      <c r="C610" s="55">
        <v>109</v>
      </c>
      <c r="D610" s="55">
        <v>10</v>
      </c>
      <c r="E610" s="55">
        <v>16</v>
      </c>
      <c r="F610" s="55">
        <v>2</v>
      </c>
      <c r="G610" s="55">
        <v>0</v>
      </c>
      <c r="H610" s="141">
        <v>0</v>
      </c>
      <c r="M610" s="23">
        <v>1</v>
      </c>
    </row>
    <row r="611" spans="2:13" ht="18">
      <c r="B611" s="55">
        <v>13</v>
      </c>
      <c r="C611" s="55">
        <v>78</v>
      </c>
      <c r="D611" s="55">
        <v>12</v>
      </c>
      <c r="E611" s="55">
        <v>0</v>
      </c>
      <c r="F611" s="55">
        <v>25</v>
      </c>
      <c r="G611" s="55">
        <v>0</v>
      </c>
      <c r="H611" s="141">
        <v>0</v>
      </c>
      <c r="M611" s="23">
        <v>1</v>
      </c>
    </row>
    <row r="612" spans="2:13" ht="18">
      <c r="B612" s="55">
        <v>13</v>
      </c>
      <c r="C612" s="55">
        <v>78</v>
      </c>
      <c r="D612" s="55">
        <v>13</v>
      </c>
      <c r="E612" s="55">
        <v>0</v>
      </c>
      <c r="F612" s="55">
        <v>25</v>
      </c>
      <c r="G612" s="55">
        <v>0</v>
      </c>
      <c r="H612" s="141">
        <v>0</v>
      </c>
      <c r="M612" s="23">
        <v>1</v>
      </c>
    </row>
    <row r="613" spans="2:13" ht="18">
      <c r="B613" s="55">
        <v>13</v>
      </c>
      <c r="C613" s="55">
        <v>78</v>
      </c>
      <c r="D613" s="55">
        <v>11</v>
      </c>
      <c r="E613" s="55">
        <v>0</v>
      </c>
      <c r="F613" s="55">
        <v>25</v>
      </c>
      <c r="G613" s="55">
        <v>0</v>
      </c>
      <c r="H613" s="141">
        <v>0</v>
      </c>
      <c r="M613" s="23">
        <v>1</v>
      </c>
    </row>
    <row r="614" spans="2:13" ht="18">
      <c r="B614" s="55">
        <v>13</v>
      </c>
      <c r="C614" s="55">
        <v>56</v>
      </c>
      <c r="D614" s="55">
        <v>9</v>
      </c>
      <c r="E614" s="55">
        <v>5</v>
      </c>
      <c r="F614" s="55">
        <v>4</v>
      </c>
      <c r="G614" s="55">
        <v>0</v>
      </c>
      <c r="H614" s="141">
        <v>0</v>
      </c>
      <c r="M614" s="23">
        <v>1</v>
      </c>
    </row>
    <row r="615" spans="2:13" ht="18">
      <c r="B615" s="55">
        <v>13</v>
      </c>
      <c r="C615" s="55">
        <v>56</v>
      </c>
      <c r="D615" s="55">
        <v>10</v>
      </c>
      <c r="E615" s="55">
        <v>4</v>
      </c>
      <c r="F615" s="55">
        <v>1</v>
      </c>
      <c r="G615" s="55">
        <v>0</v>
      </c>
      <c r="H615" s="141">
        <v>0</v>
      </c>
      <c r="M615" s="23">
        <v>1</v>
      </c>
    </row>
    <row r="616" spans="2:13" ht="18">
      <c r="B616" s="55">
        <v>13</v>
      </c>
      <c r="C616" s="55">
        <v>56</v>
      </c>
      <c r="D616" s="55">
        <v>11</v>
      </c>
      <c r="E616" s="55">
        <v>4</v>
      </c>
      <c r="F616" s="55">
        <v>5</v>
      </c>
      <c r="G616" s="55">
        <v>0</v>
      </c>
      <c r="H616" s="141">
        <v>3</v>
      </c>
      <c r="M616" s="23">
        <v>1</v>
      </c>
    </row>
    <row r="617" spans="2:13" ht="18">
      <c r="B617" s="55">
        <v>13</v>
      </c>
      <c r="C617" s="55">
        <v>56</v>
      </c>
      <c r="D617" s="55">
        <v>12</v>
      </c>
      <c r="E617" s="55">
        <v>5</v>
      </c>
      <c r="F617" s="55">
        <v>4</v>
      </c>
      <c r="G617" s="55">
        <v>0</v>
      </c>
      <c r="H617" s="141">
        <v>5</v>
      </c>
      <c r="M617" s="23">
        <v>1</v>
      </c>
    </row>
    <row r="618" spans="2:13" ht="18">
      <c r="B618" s="55">
        <v>13</v>
      </c>
      <c r="C618" s="55">
        <v>56</v>
      </c>
      <c r="D618" s="55">
        <v>13</v>
      </c>
      <c r="E618" s="55">
        <v>3</v>
      </c>
      <c r="F618" s="55">
        <v>0</v>
      </c>
      <c r="G618" s="55">
        <v>0</v>
      </c>
      <c r="H618" s="141">
        <v>2</v>
      </c>
      <c r="M618" s="23">
        <v>1</v>
      </c>
    </row>
    <row r="619" spans="2:13" ht="18">
      <c r="B619" s="55">
        <v>13</v>
      </c>
      <c r="C619" s="55">
        <v>56</v>
      </c>
      <c r="D619" s="55">
        <v>14</v>
      </c>
      <c r="E619" s="55">
        <v>0</v>
      </c>
      <c r="F619" s="55">
        <v>0</v>
      </c>
      <c r="G619" s="55">
        <v>2</v>
      </c>
      <c r="H619" s="141">
        <v>0</v>
      </c>
      <c r="M619" s="23">
        <v>1</v>
      </c>
    </row>
    <row r="620" spans="2:13" ht="18">
      <c r="B620" s="55">
        <v>13</v>
      </c>
      <c r="C620" s="55">
        <v>19</v>
      </c>
      <c r="D620" s="55">
        <v>11</v>
      </c>
      <c r="E620" s="55">
        <v>1</v>
      </c>
      <c r="F620" s="55">
        <v>10</v>
      </c>
      <c r="G620" s="55">
        <v>0</v>
      </c>
      <c r="H620" s="141">
        <v>0</v>
      </c>
      <c r="M620" s="23">
        <v>1</v>
      </c>
    </row>
    <row r="621" spans="2:13" ht="18">
      <c r="B621" s="55">
        <v>13</v>
      </c>
      <c r="C621" s="55">
        <v>19</v>
      </c>
      <c r="D621" s="55">
        <v>12</v>
      </c>
      <c r="E621" s="55">
        <v>1</v>
      </c>
      <c r="F621" s="55">
        <v>17</v>
      </c>
      <c r="G621" s="55">
        <v>0</v>
      </c>
      <c r="H621" s="141">
        <v>0</v>
      </c>
      <c r="M621" s="23">
        <v>1</v>
      </c>
    </row>
    <row r="622" spans="2:13" ht="18">
      <c r="B622" s="55">
        <v>13</v>
      </c>
      <c r="C622" s="55">
        <v>19</v>
      </c>
      <c r="D622" s="55">
        <v>13</v>
      </c>
      <c r="E622" s="55">
        <v>1</v>
      </c>
      <c r="F622" s="55">
        <v>14</v>
      </c>
      <c r="G622" s="55">
        <v>0</v>
      </c>
      <c r="H622" s="141">
        <v>0</v>
      </c>
      <c r="M622" s="23">
        <v>1</v>
      </c>
    </row>
    <row r="623" spans="2:13" ht="18">
      <c r="B623" s="55">
        <v>13</v>
      </c>
      <c r="C623" s="55">
        <v>19</v>
      </c>
      <c r="D623" s="55">
        <v>14</v>
      </c>
      <c r="E623" s="55">
        <v>1</v>
      </c>
      <c r="F623" s="55">
        <v>20</v>
      </c>
      <c r="G623" s="55">
        <v>0</v>
      </c>
      <c r="H623" s="141">
        <v>0</v>
      </c>
      <c r="M623" s="23">
        <v>1</v>
      </c>
    </row>
    <row r="624" spans="2:13" ht="18">
      <c r="B624" s="55">
        <v>1</v>
      </c>
      <c r="C624" s="55">
        <v>111</v>
      </c>
      <c r="D624" s="55">
        <v>6</v>
      </c>
      <c r="E624" s="55">
        <v>15</v>
      </c>
      <c r="F624" s="55">
        <v>4</v>
      </c>
      <c r="G624" s="55">
        <v>0</v>
      </c>
      <c r="H624" s="141">
        <v>0</v>
      </c>
      <c r="M624" s="23">
        <v>1</v>
      </c>
    </row>
    <row r="625" spans="2:13" ht="18">
      <c r="B625" s="55">
        <v>1</v>
      </c>
      <c r="C625" s="55">
        <v>111</v>
      </c>
      <c r="D625" s="55">
        <v>7</v>
      </c>
      <c r="E625" s="55">
        <v>12</v>
      </c>
      <c r="F625" s="55">
        <v>0</v>
      </c>
      <c r="G625" s="55">
        <v>0</v>
      </c>
      <c r="H625" s="141">
        <v>0</v>
      </c>
      <c r="M625" s="23">
        <v>1</v>
      </c>
    </row>
    <row r="626" spans="2:13" ht="18">
      <c r="B626" s="55">
        <v>1</v>
      </c>
      <c r="C626" s="55">
        <v>111</v>
      </c>
      <c r="D626" s="55">
        <v>8</v>
      </c>
      <c r="E626" s="55">
        <v>12</v>
      </c>
      <c r="F626" s="55">
        <v>2</v>
      </c>
      <c r="G626" s="55">
        <v>0</v>
      </c>
      <c r="H626" s="141">
        <v>0</v>
      </c>
      <c r="M626" s="23">
        <v>1</v>
      </c>
    </row>
    <row r="627" spans="2:13" ht="18">
      <c r="B627" s="55">
        <v>1</v>
      </c>
      <c r="C627" s="55">
        <v>111</v>
      </c>
      <c r="D627" s="55">
        <v>9</v>
      </c>
      <c r="E627" s="55">
        <v>17</v>
      </c>
      <c r="F627" s="55">
        <v>4</v>
      </c>
      <c r="G627" s="55">
        <v>0</v>
      </c>
      <c r="H627" s="141">
        <v>0</v>
      </c>
      <c r="M627" s="23">
        <v>1</v>
      </c>
    </row>
    <row r="628" spans="2:13" ht="18">
      <c r="B628" s="55">
        <v>1</v>
      </c>
      <c r="C628" s="55">
        <v>111</v>
      </c>
      <c r="D628" s="55">
        <v>10</v>
      </c>
      <c r="E628" s="55">
        <v>22</v>
      </c>
      <c r="F628" s="55">
        <v>0</v>
      </c>
      <c r="G628" s="55">
        <v>0</v>
      </c>
      <c r="H628" s="141">
        <v>0</v>
      </c>
      <c r="M628" s="23">
        <v>1</v>
      </c>
    </row>
    <row r="629" spans="2:13" ht="18">
      <c r="B629" s="55">
        <v>1</v>
      </c>
      <c r="C629" s="55">
        <v>111</v>
      </c>
      <c r="D629" s="55">
        <v>11</v>
      </c>
      <c r="E629" s="55">
        <v>23</v>
      </c>
      <c r="F629" s="55">
        <v>3</v>
      </c>
      <c r="G629" s="55">
        <v>0</v>
      </c>
      <c r="H629" s="141">
        <v>0</v>
      </c>
      <c r="M629" s="23">
        <v>1</v>
      </c>
    </row>
    <row r="630" spans="2:13" ht="18">
      <c r="B630" s="55">
        <v>1</v>
      </c>
      <c r="C630" s="55">
        <v>111</v>
      </c>
      <c r="D630" s="55">
        <v>12</v>
      </c>
      <c r="E630" s="55">
        <v>20</v>
      </c>
      <c r="F630" s="55">
        <v>3</v>
      </c>
      <c r="G630" s="55">
        <v>0</v>
      </c>
      <c r="H630" s="141">
        <v>0</v>
      </c>
      <c r="M630" s="23">
        <v>1</v>
      </c>
    </row>
    <row r="631" spans="2:13" ht="18">
      <c r="B631" s="55">
        <v>1</v>
      </c>
      <c r="C631" s="55">
        <v>111</v>
      </c>
      <c r="D631" s="55">
        <v>13</v>
      </c>
      <c r="E631" s="55">
        <v>22</v>
      </c>
      <c r="F631" s="55">
        <v>1</v>
      </c>
      <c r="G631" s="55">
        <v>0</v>
      </c>
      <c r="H631" s="141">
        <v>0</v>
      </c>
      <c r="M631" s="23">
        <v>1</v>
      </c>
    </row>
    <row r="632" spans="2:13" ht="18">
      <c r="B632" s="55">
        <v>1</v>
      </c>
      <c r="C632" s="55">
        <v>111</v>
      </c>
      <c r="D632" s="55">
        <v>14</v>
      </c>
      <c r="E632" s="55">
        <v>18</v>
      </c>
      <c r="F632" s="55">
        <v>3</v>
      </c>
      <c r="G632" s="55">
        <v>0</v>
      </c>
      <c r="H632" s="141">
        <v>0</v>
      </c>
      <c r="M632" s="23">
        <v>1</v>
      </c>
    </row>
    <row r="633" spans="2:13" ht="18">
      <c r="B633" s="55">
        <v>13</v>
      </c>
      <c r="C633" s="55">
        <v>109</v>
      </c>
      <c r="D633" s="55">
        <v>14</v>
      </c>
      <c r="E633" s="55">
        <v>15</v>
      </c>
      <c r="F633" s="55">
        <v>2</v>
      </c>
      <c r="G633" s="55">
        <v>0</v>
      </c>
      <c r="H633" s="141">
        <v>0</v>
      </c>
      <c r="M633" s="23">
        <v>1</v>
      </c>
    </row>
    <row r="634" spans="2:13" ht="18">
      <c r="B634" s="55">
        <v>1</v>
      </c>
      <c r="C634" s="55">
        <v>114</v>
      </c>
      <c r="D634" s="55">
        <v>13</v>
      </c>
      <c r="E634" s="55">
        <v>30</v>
      </c>
      <c r="F634" s="55">
        <v>5</v>
      </c>
      <c r="G634" s="55">
        <v>2</v>
      </c>
      <c r="H634" s="141">
        <v>2</v>
      </c>
      <c r="M634" s="23">
        <v>1</v>
      </c>
    </row>
    <row r="635" spans="2:13" ht="18">
      <c r="B635" s="55">
        <v>1</v>
      </c>
      <c r="C635" s="55">
        <v>114</v>
      </c>
      <c r="D635" s="55">
        <v>14</v>
      </c>
      <c r="E635" s="55">
        <v>33</v>
      </c>
      <c r="F635" s="55">
        <v>6</v>
      </c>
      <c r="G635" s="55">
        <v>3</v>
      </c>
      <c r="H635" s="141">
        <v>2</v>
      </c>
      <c r="M635" s="23">
        <v>1</v>
      </c>
    </row>
    <row r="636" spans="2:13" ht="18">
      <c r="B636" s="55">
        <v>13</v>
      </c>
      <c r="C636" s="55">
        <v>23</v>
      </c>
      <c r="D636" s="55">
        <v>15</v>
      </c>
      <c r="E636" s="55">
        <v>8</v>
      </c>
      <c r="F636" s="55">
        <v>14</v>
      </c>
      <c r="G636" s="55">
        <v>0</v>
      </c>
      <c r="H636" s="141">
        <v>0</v>
      </c>
      <c r="M636" s="23">
        <v>1</v>
      </c>
    </row>
    <row r="637" spans="2:13" ht="18">
      <c r="B637" s="55">
        <v>13</v>
      </c>
      <c r="C637" s="55">
        <v>23</v>
      </c>
      <c r="D637" s="55">
        <v>10</v>
      </c>
      <c r="E637" s="55">
        <v>6</v>
      </c>
      <c r="F637" s="55">
        <v>14</v>
      </c>
      <c r="G637" s="55">
        <v>1</v>
      </c>
      <c r="H637" s="141">
        <v>0</v>
      </c>
      <c r="M637" s="23">
        <v>1</v>
      </c>
    </row>
    <row r="638" spans="2:13" ht="18">
      <c r="B638" s="55">
        <v>13</v>
      </c>
      <c r="C638" s="55">
        <v>23</v>
      </c>
      <c r="D638" s="55">
        <v>11</v>
      </c>
      <c r="E638" s="55">
        <v>6</v>
      </c>
      <c r="F638" s="55">
        <v>10</v>
      </c>
      <c r="G638" s="55">
        <v>1</v>
      </c>
      <c r="H638" s="141">
        <v>0</v>
      </c>
      <c r="M638" s="23">
        <v>1</v>
      </c>
    </row>
    <row r="639" spans="2:13" ht="18">
      <c r="B639" s="55">
        <v>13</v>
      </c>
      <c r="C639" s="55">
        <v>23</v>
      </c>
      <c r="D639" s="55">
        <v>12</v>
      </c>
      <c r="E639" s="55">
        <v>7</v>
      </c>
      <c r="F639" s="55">
        <v>14</v>
      </c>
      <c r="G639" s="55">
        <v>0</v>
      </c>
      <c r="H639" s="141">
        <v>0</v>
      </c>
      <c r="M639" s="23">
        <v>1</v>
      </c>
    </row>
    <row r="640" spans="2:13" ht="18">
      <c r="B640" s="55">
        <v>13</v>
      </c>
      <c r="C640" s="55">
        <v>23</v>
      </c>
      <c r="D640" s="55">
        <v>13</v>
      </c>
      <c r="E640" s="55">
        <v>8</v>
      </c>
      <c r="F640" s="55">
        <v>15</v>
      </c>
      <c r="G640" s="55">
        <v>0</v>
      </c>
      <c r="H640" s="141">
        <v>0</v>
      </c>
      <c r="M640" s="23">
        <v>1</v>
      </c>
    </row>
    <row r="641" spans="2:13" ht="18">
      <c r="B641" s="55">
        <v>13</v>
      </c>
      <c r="C641" s="55">
        <v>23</v>
      </c>
      <c r="D641" s="55">
        <v>14</v>
      </c>
      <c r="E641" s="55">
        <v>6</v>
      </c>
      <c r="F641" s="55">
        <v>13</v>
      </c>
      <c r="G641" s="55">
        <v>1</v>
      </c>
      <c r="H641" s="141">
        <v>0</v>
      </c>
      <c r="M641" s="23">
        <v>1</v>
      </c>
    </row>
    <row r="642" spans="2:13" ht="18">
      <c r="B642" s="55">
        <v>13</v>
      </c>
      <c r="C642" s="55">
        <v>12</v>
      </c>
      <c r="D642" s="55">
        <v>8</v>
      </c>
      <c r="E642" s="55">
        <v>5</v>
      </c>
      <c r="F642" s="55">
        <v>8</v>
      </c>
      <c r="G642" s="55">
        <v>0</v>
      </c>
      <c r="H642" s="141">
        <v>4</v>
      </c>
      <c r="M642" s="23">
        <v>1</v>
      </c>
    </row>
    <row r="643" spans="2:13" ht="18">
      <c r="B643" s="55">
        <v>13</v>
      </c>
      <c r="C643" s="55">
        <v>12</v>
      </c>
      <c r="D643" s="55">
        <v>9</v>
      </c>
      <c r="E643" s="55">
        <v>12</v>
      </c>
      <c r="F643" s="55">
        <v>7</v>
      </c>
      <c r="G643" s="55">
        <v>0</v>
      </c>
      <c r="H643" s="141">
        <v>2</v>
      </c>
      <c r="M643" s="23">
        <v>1</v>
      </c>
    </row>
    <row r="644" spans="2:13" ht="18">
      <c r="B644" s="55">
        <v>13</v>
      </c>
      <c r="C644" s="55">
        <v>12</v>
      </c>
      <c r="D644" s="55">
        <v>10</v>
      </c>
      <c r="E644" s="55">
        <v>12</v>
      </c>
      <c r="F644" s="55">
        <v>6</v>
      </c>
      <c r="G644" s="55">
        <v>0</v>
      </c>
      <c r="H644" s="141">
        <v>2</v>
      </c>
      <c r="M644" s="23">
        <v>1</v>
      </c>
    </row>
    <row r="645" spans="2:13" ht="18">
      <c r="B645" s="55">
        <v>13</v>
      </c>
      <c r="C645" s="55">
        <v>12</v>
      </c>
      <c r="D645" s="55">
        <v>11</v>
      </c>
      <c r="E645" s="55">
        <v>13</v>
      </c>
      <c r="F645" s="55">
        <v>7</v>
      </c>
      <c r="G645" s="55">
        <v>0</v>
      </c>
      <c r="H645" s="141">
        <v>5</v>
      </c>
      <c r="M645" s="23">
        <v>1</v>
      </c>
    </row>
    <row r="646" spans="2:13" ht="18">
      <c r="B646" s="55">
        <v>13</v>
      </c>
      <c r="C646" s="55">
        <v>12</v>
      </c>
      <c r="D646" s="55">
        <v>12</v>
      </c>
      <c r="E646" s="55">
        <v>7</v>
      </c>
      <c r="F646" s="55">
        <v>5</v>
      </c>
      <c r="G646" s="55">
        <v>0</v>
      </c>
      <c r="H646" s="141">
        <v>5</v>
      </c>
      <c r="M646" s="23">
        <v>1</v>
      </c>
    </row>
    <row r="647" spans="2:13" ht="18">
      <c r="B647" s="55">
        <v>1</v>
      </c>
      <c r="C647" s="55">
        <v>12</v>
      </c>
      <c r="D647" s="55">
        <v>13</v>
      </c>
      <c r="E647" s="55">
        <v>9</v>
      </c>
      <c r="F647" s="55">
        <v>7</v>
      </c>
      <c r="G647" s="55">
        <v>0</v>
      </c>
      <c r="H647" s="141">
        <v>2</v>
      </c>
      <c r="M647" s="23">
        <v>1</v>
      </c>
    </row>
    <row r="648" spans="2:13" ht="18">
      <c r="B648" s="55">
        <v>1</v>
      </c>
      <c r="C648" s="55">
        <v>12</v>
      </c>
      <c r="D648" s="55">
        <v>14</v>
      </c>
      <c r="E648" s="55">
        <v>6</v>
      </c>
      <c r="F648" s="55">
        <v>9</v>
      </c>
      <c r="G648" s="55">
        <v>0</v>
      </c>
      <c r="H648" s="141">
        <v>4</v>
      </c>
      <c r="M648" s="23">
        <v>1</v>
      </c>
    </row>
    <row r="649" spans="2:13" ht="18">
      <c r="B649" s="55">
        <v>13</v>
      </c>
      <c r="C649" s="55">
        <v>115</v>
      </c>
      <c r="D649" s="55">
        <v>14</v>
      </c>
      <c r="E649" s="55">
        <v>0</v>
      </c>
      <c r="F649" s="55">
        <v>15</v>
      </c>
      <c r="G649" s="55">
        <v>0</v>
      </c>
      <c r="H649" s="141">
        <v>0</v>
      </c>
      <c r="M649" s="23">
        <v>1</v>
      </c>
    </row>
    <row r="650" spans="2:13" ht="18">
      <c r="B650" s="55">
        <v>1</v>
      </c>
      <c r="C650" s="55">
        <v>15</v>
      </c>
      <c r="D650" s="55">
        <v>13</v>
      </c>
      <c r="E650" s="55">
        <v>0</v>
      </c>
      <c r="F650" s="55">
        <v>1</v>
      </c>
      <c r="G650" s="55">
        <v>1</v>
      </c>
      <c r="H650" s="141">
        <v>0</v>
      </c>
      <c r="M650" s="23">
        <v>1</v>
      </c>
    </row>
    <row r="651" spans="2:13" ht="18">
      <c r="B651" s="55">
        <v>1</v>
      </c>
      <c r="C651" s="55">
        <v>15</v>
      </c>
      <c r="D651" s="55">
        <v>14</v>
      </c>
      <c r="E651" s="55">
        <v>2</v>
      </c>
      <c r="F651" s="55">
        <v>0</v>
      </c>
      <c r="G651" s="55">
        <v>0</v>
      </c>
      <c r="H651" s="141">
        <v>0</v>
      </c>
      <c r="M651" s="23">
        <v>1</v>
      </c>
    </row>
    <row r="652" spans="2:13" ht="18">
      <c r="B652" s="55">
        <v>13</v>
      </c>
      <c r="C652" s="55">
        <v>67</v>
      </c>
      <c r="D652" s="55">
        <v>15</v>
      </c>
      <c r="E652" s="55">
        <v>0</v>
      </c>
      <c r="F652" s="55">
        <v>70</v>
      </c>
      <c r="G652" s="55">
        <v>0</v>
      </c>
      <c r="H652" s="141">
        <v>0</v>
      </c>
      <c r="M652" s="23">
        <v>1</v>
      </c>
    </row>
    <row r="653" spans="2:13" ht="18">
      <c r="B653" s="55">
        <v>13</v>
      </c>
      <c r="C653" s="55">
        <v>78</v>
      </c>
      <c r="D653" s="55">
        <v>14</v>
      </c>
      <c r="E653" s="55">
        <v>0</v>
      </c>
      <c r="F653" s="55">
        <v>25</v>
      </c>
      <c r="G653" s="55">
        <v>0</v>
      </c>
      <c r="H653" s="141">
        <v>0</v>
      </c>
      <c r="M653" s="23">
        <v>1</v>
      </c>
    </row>
    <row r="654" spans="2:13" ht="18">
      <c r="B654" s="55">
        <v>1</v>
      </c>
      <c r="C654" s="55">
        <v>25</v>
      </c>
      <c r="D654" s="55">
        <v>13</v>
      </c>
      <c r="E654" s="55">
        <v>10</v>
      </c>
      <c r="F654" s="55">
        <v>3</v>
      </c>
      <c r="G654" s="55">
        <v>0</v>
      </c>
      <c r="H654" s="141">
        <v>0</v>
      </c>
      <c r="M654" s="23">
        <v>1</v>
      </c>
    </row>
    <row r="655" spans="2:13" ht="18">
      <c r="B655" s="55">
        <v>1</v>
      </c>
      <c r="C655" s="55">
        <v>61</v>
      </c>
      <c r="D655" s="55">
        <v>10</v>
      </c>
      <c r="E655" s="55">
        <v>8</v>
      </c>
      <c r="F655" s="55">
        <v>17</v>
      </c>
      <c r="G655" s="55">
        <v>0</v>
      </c>
      <c r="H655" s="141">
        <v>1</v>
      </c>
      <c r="M655" s="23">
        <v>1</v>
      </c>
    </row>
    <row r="656" spans="2:13" ht="18">
      <c r="B656" s="55">
        <v>1</v>
      </c>
      <c r="C656" s="55">
        <v>61</v>
      </c>
      <c r="D656" s="55">
        <v>11</v>
      </c>
      <c r="E656" s="55">
        <v>1</v>
      </c>
      <c r="F656" s="55">
        <v>9</v>
      </c>
      <c r="G656" s="55">
        <v>0</v>
      </c>
      <c r="H656" s="141">
        <v>0</v>
      </c>
      <c r="M656" s="23">
        <v>1</v>
      </c>
    </row>
    <row r="657" spans="2:13" ht="18">
      <c r="B657" s="55">
        <v>1</v>
      </c>
      <c r="C657" s="55">
        <v>61</v>
      </c>
      <c r="D657" s="55">
        <v>12</v>
      </c>
      <c r="E657" s="55">
        <v>4</v>
      </c>
      <c r="F657" s="55">
        <v>16</v>
      </c>
      <c r="G657" s="55">
        <v>0</v>
      </c>
      <c r="H657" s="141">
        <v>2</v>
      </c>
      <c r="M657" s="23">
        <v>1</v>
      </c>
    </row>
    <row r="658" spans="2:13" ht="18">
      <c r="B658" s="55">
        <v>1</v>
      </c>
      <c r="C658" s="55">
        <v>61</v>
      </c>
      <c r="D658" s="55">
        <v>13</v>
      </c>
      <c r="E658" s="55">
        <v>12</v>
      </c>
      <c r="F658" s="55">
        <v>13</v>
      </c>
      <c r="G658" s="55">
        <v>0</v>
      </c>
      <c r="H658" s="141">
        <v>0</v>
      </c>
      <c r="M658" s="23">
        <v>1</v>
      </c>
    </row>
    <row r="659" spans="2:13" ht="18">
      <c r="B659" s="55">
        <v>1</v>
      </c>
      <c r="C659" s="55">
        <v>61</v>
      </c>
      <c r="D659" s="55">
        <v>14</v>
      </c>
      <c r="E659" s="55">
        <v>8</v>
      </c>
      <c r="F659" s="55">
        <v>13</v>
      </c>
      <c r="G659" s="55">
        <v>0</v>
      </c>
      <c r="H659" s="141">
        <v>2</v>
      </c>
      <c r="M659" s="23">
        <v>1</v>
      </c>
    </row>
    <row r="660" spans="2:13" ht="18">
      <c r="B660" s="55">
        <v>1</v>
      </c>
      <c r="C660" s="55">
        <v>46</v>
      </c>
      <c r="D660" s="55">
        <v>10</v>
      </c>
      <c r="E660" s="55">
        <v>0</v>
      </c>
      <c r="F660" s="55">
        <v>2</v>
      </c>
      <c r="G660" s="55">
        <v>0</v>
      </c>
      <c r="H660" s="141">
        <v>0</v>
      </c>
      <c r="M660" s="23">
        <v>1</v>
      </c>
    </row>
    <row r="661" spans="2:13" ht="18">
      <c r="B661" s="55">
        <v>1</v>
      </c>
      <c r="C661" s="55">
        <v>46</v>
      </c>
      <c r="D661" s="55">
        <v>11</v>
      </c>
      <c r="E661" s="55">
        <v>0</v>
      </c>
      <c r="F661" s="55">
        <v>4</v>
      </c>
      <c r="G661" s="55">
        <v>0</v>
      </c>
      <c r="H661" s="141">
        <v>0</v>
      </c>
      <c r="M661" s="23">
        <v>1</v>
      </c>
    </row>
    <row r="662" spans="2:13" ht="18">
      <c r="B662" s="55">
        <v>1</v>
      </c>
      <c r="C662" s="55">
        <v>46</v>
      </c>
      <c r="D662" s="55">
        <v>12</v>
      </c>
      <c r="E662" s="55">
        <v>3</v>
      </c>
      <c r="F662" s="55">
        <v>2</v>
      </c>
      <c r="G662" s="55">
        <v>0</v>
      </c>
      <c r="H662" s="141">
        <v>0</v>
      </c>
      <c r="M662" s="23">
        <v>1</v>
      </c>
    </row>
    <row r="663" spans="2:13" ht="18">
      <c r="B663" s="55">
        <v>1</v>
      </c>
      <c r="C663" s="55">
        <v>46</v>
      </c>
      <c r="D663" s="55">
        <v>13</v>
      </c>
      <c r="E663" s="55">
        <v>0</v>
      </c>
      <c r="F663" s="55">
        <v>0</v>
      </c>
      <c r="G663" s="55">
        <v>0</v>
      </c>
      <c r="H663" s="141">
        <v>0</v>
      </c>
      <c r="M663" s="23">
        <v>1</v>
      </c>
    </row>
    <row r="664" spans="2:13" ht="18">
      <c r="B664" s="55">
        <v>1</v>
      </c>
      <c r="C664" s="55">
        <v>46</v>
      </c>
      <c r="D664" s="55">
        <v>14</v>
      </c>
      <c r="E664" s="55">
        <v>1</v>
      </c>
      <c r="F664" s="55">
        <v>0</v>
      </c>
      <c r="G664" s="55">
        <v>0</v>
      </c>
      <c r="H664" s="141">
        <v>0</v>
      </c>
      <c r="M664" s="23">
        <v>1</v>
      </c>
    </row>
    <row r="665" spans="2:13" ht="18">
      <c r="B665" s="55">
        <v>13</v>
      </c>
      <c r="C665" s="55">
        <v>45</v>
      </c>
      <c r="D665" s="55">
        <v>10</v>
      </c>
      <c r="E665" s="55">
        <v>19</v>
      </c>
      <c r="F665" s="55">
        <v>2</v>
      </c>
      <c r="G665" s="55">
        <v>0</v>
      </c>
      <c r="H665" s="141">
        <v>0</v>
      </c>
      <c r="M665" s="23">
        <v>1</v>
      </c>
    </row>
    <row r="666" spans="2:13" ht="18">
      <c r="B666" s="55">
        <v>13</v>
      </c>
      <c r="C666" s="55">
        <v>45</v>
      </c>
      <c r="D666" s="55">
        <v>11</v>
      </c>
      <c r="E666" s="55">
        <v>14</v>
      </c>
      <c r="F666" s="55">
        <v>5</v>
      </c>
      <c r="G666" s="55">
        <v>0</v>
      </c>
      <c r="H666" s="141">
        <v>0</v>
      </c>
      <c r="M666" s="23">
        <v>1</v>
      </c>
    </row>
    <row r="667" spans="2:13" ht="18">
      <c r="B667" s="55">
        <v>13</v>
      </c>
      <c r="C667" s="55">
        <v>45</v>
      </c>
      <c r="D667" s="55">
        <v>12</v>
      </c>
      <c r="E667" s="55">
        <v>8</v>
      </c>
      <c r="F667" s="55">
        <v>1</v>
      </c>
      <c r="G667" s="55">
        <v>0</v>
      </c>
      <c r="H667" s="141">
        <v>7</v>
      </c>
      <c r="M667" s="23">
        <v>1</v>
      </c>
    </row>
    <row r="668" spans="2:13" ht="18">
      <c r="B668" s="55">
        <v>13</v>
      </c>
      <c r="C668" s="55">
        <v>45</v>
      </c>
      <c r="D668" s="55">
        <v>13</v>
      </c>
      <c r="E668" s="55">
        <v>10</v>
      </c>
      <c r="F668" s="55">
        <v>8</v>
      </c>
      <c r="G668" s="55">
        <v>0</v>
      </c>
      <c r="H668" s="141">
        <v>3</v>
      </c>
      <c r="M668" s="23">
        <v>1</v>
      </c>
    </row>
    <row r="669" spans="2:13" ht="18">
      <c r="B669" s="55">
        <v>13</v>
      </c>
      <c r="C669" s="55">
        <v>45</v>
      </c>
      <c r="D669" s="55">
        <v>14</v>
      </c>
      <c r="E669" s="55">
        <v>7</v>
      </c>
      <c r="F669" s="55">
        <v>9</v>
      </c>
      <c r="G669" s="55">
        <v>0</v>
      </c>
      <c r="H669" s="141">
        <v>1</v>
      </c>
      <c r="M669" s="23">
        <v>1</v>
      </c>
    </row>
    <row r="670" spans="2:13" ht="18">
      <c r="B670" s="55">
        <v>1</v>
      </c>
      <c r="C670" s="55">
        <v>35</v>
      </c>
      <c r="D670" s="55">
        <v>13</v>
      </c>
      <c r="E670" s="55">
        <v>20</v>
      </c>
      <c r="F670" s="55">
        <v>19</v>
      </c>
      <c r="G670" s="55">
        <v>0</v>
      </c>
      <c r="H670" s="141">
        <v>0</v>
      </c>
      <c r="M670" s="23">
        <v>1</v>
      </c>
    </row>
    <row r="671" spans="2:13" ht="18">
      <c r="B671" s="55">
        <v>1</v>
      </c>
      <c r="C671" s="55">
        <v>35</v>
      </c>
      <c r="D671" s="55">
        <v>14</v>
      </c>
      <c r="E671" s="55">
        <v>15</v>
      </c>
      <c r="F671" s="55">
        <v>13</v>
      </c>
      <c r="G671" s="55">
        <v>15</v>
      </c>
      <c r="H671" s="141">
        <v>0</v>
      </c>
      <c r="M671" s="23">
        <v>1</v>
      </c>
    </row>
    <row r="672" spans="2:13" ht="18">
      <c r="B672" s="55">
        <v>1</v>
      </c>
      <c r="C672" s="55">
        <v>51</v>
      </c>
      <c r="D672" s="55">
        <v>14</v>
      </c>
      <c r="E672" s="55">
        <v>7</v>
      </c>
      <c r="F672" s="55">
        <v>1</v>
      </c>
      <c r="G672" s="55">
        <v>0</v>
      </c>
      <c r="H672" s="141">
        <v>0</v>
      </c>
      <c r="M672" s="23">
        <v>1</v>
      </c>
    </row>
    <row r="673" spans="2:13" ht="18">
      <c r="B673" s="55">
        <v>1</v>
      </c>
      <c r="C673" s="55">
        <v>53</v>
      </c>
      <c r="D673" s="55">
        <v>9</v>
      </c>
      <c r="E673" s="55">
        <v>7</v>
      </c>
      <c r="F673" s="55">
        <v>4</v>
      </c>
      <c r="G673" s="55">
        <v>0</v>
      </c>
      <c r="H673" s="141">
        <v>0</v>
      </c>
      <c r="M673" s="23">
        <v>1</v>
      </c>
    </row>
    <row r="674" spans="2:13" ht="18">
      <c r="B674" s="55">
        <v>1</v>
      </c>
      <c r="C674" s="55">
        <v>53</v>
      </c>
      <c r="D674" s="55">
        <v>10</v>
      </c>
      <c r="E674" s="55">
        <v>8</v>
      </c>
      <c r="F674" s="55">
        <v>1</v>
      </c>
      <c r="G674" s="55">
        <v>0</v>
      </c>
      <c r="H674" s="141">
        <v>1</v>
      </c>
      <c r="M674" s="23">
        <v>1</v>
      </c>
    </row>
    <row r="675" spans="2:13" ht="18">
      <c r="B675" s="55">
        <v>1</v>
      </c>
      <c r="C675" s="55">
        <v>53</v>
      </c>
      <c r="D675" s="55">
        <v>11</v>
      </c>
      <c r="E675" s="55">
        <v>9</v>
      </c>
      <c r="F675" s="55">
        <v>6</v>
      </c>
      <c r="G675" s="55">
        <v>0</v>
      </c>
      <c r="H675" s="141">
        <v>0</v>
      </c>
      <c r="M675" s="23">
        <v>1</v>
      </c>
    </row>
    <row r="676" spans="2:13" ht="18">
      <c r="B676" s="55">
        <v>1</v>
      </c>
      <c r="C676" s="55">
        <v>53</v>
      </c>
      <c r="D676" s="55">
        <v>12</v>
      </c>
      <c r="E676" s="55">
        <v>12</v>
      </c>
      <c r="F676" s="55">
        <v>1</v>
      </c>
      <c r="G676" s="55">
        <v>0</v>
      </c>
      <c r="H676" s="141">
        <v>0</v>
      </c>
      <c r="M676" s="23">
        <v>1</v>
      </c>
    </row>
    <row r="677" spans="2:13" ht="18">
      <c r="B677" s="55">
        <v>1</v>
      </c>
      <c r="C677" s="55">
        <v>53</v>
      </c>
      <c r="D677" s="55">
        <v>13</v>
      </c>
      <c r="E677" s="55">
        <v>11</v>
      </c>
      <c r="F677" s="55">
        <v>3</v>
      </c>
      <c r="G677" s="55">
        <v>0</v>
      </c>
      <c r="H677" s="141">
        <v>0</v>
      </c>
      <c r="M677" s="23">
        <v>1</v>
      </c>
    </row>
    <row r="678" spans="2:13" ht="18">
      <c r="B678" s="55">
        <v>1</v>
      </c>
      <c r="C678" s="55">
        <v>53</v>
      </c>
      <c r="D678" s="55">
        <v>14</v>
      </c>
      <c r="E678" s="55">
        <v>12</v>
      </c>
      <c r="F678" s="55">
        <v>6</v>
      </c>
      <c r="G678" s="55">
        <v>0</v>
      </c>
      <c r="H678" s="141">
        <v>0</v>
      </c>
      <c r="M678" s="23">
        <v>1</v>
      </c>
    </row>
    <row r="679" spans="2:13" ht="18">
      <c r="B679" s="55">
        <v>1</v>
      </c>
      <c r="C679" s="55">
        <v>53</v>
      </c>
      <c r="D679" s="55">
        <v>15</v>
      </c>
      <c r="E679" s="55">
        <v>4</v>
      </c>
      <c r="F679" s="55">
        <v>3</v>
      </c>
      <c r="G679" s="55">
        <v>0</v>
      </c>
      <c r="H679" s="141">
        <v>0</v>
      </c>
      <c r="M679" s="23">
        <v>1</v>
      </c>
    </row>
    <row r="680" spans="2:13" ht="18">
      <c r="B680" s="55">
        <v>13</v>
      </c>
      <c r="C680" s="55">
        <v>73</v>
      </c>
      <c r="D680" s="55">
        <v>15</v>
      </c>
      <c r="E680" s="55">
        <v>1</v>
      </c>
      <c r="F680" s="55">
        <v>3</v>
      </c>
      <c r="G680" s="55">
        <v>0</v>
      </c>
      <c r="H680" s="141">
        <v>0</v>
      </c>
      <c r="M680" s="23">
        <v>1</v>
      </c>
    </row>
    <row r="681" spans="2:13" ht="18">
      <c r="B681" s="55">
        <v>1</v>
      </c>
      <c r="C681" s="55">
        <v>61</v>
      </c>
      <c r="D681" s="55">
        <v>15</v>
      </c>
      <c r="E681" s="55">
        <v>7</v>
      </c>
      <c r="F681" s="55">
        <v>17</v>
      </c>
      <c r="G681" s="55">
        <v>0</v>
      </c>
      <c r="H681" s="141">
        <v>0</v>
      </c>
      <c r="M681" s="23">
        <v>1</v>
      </c>
    </row>
    <row r="682" spans="2:13" ht="18">
      <c r="B682" s="55">
        <v>1</v>
      </c>
      <c r="C682" s="55">
        <v>30</v>
      </c>
      <c r="D682" s="55">
        <v>4</v>
      </c>
      <c r="E682" s="55">
        <v>10</v>
      </c>
      <c r="F682" s="55">
        <v>6</v>
      </c>
      <c r="G682" s="55">
        <v>0</v>
      </c>
      <c r="H682" s="141">
        <v>2</v>
      </c>
      <c r="M682" s="23">
        <v>1</v>
      </c>
    </row>
    <row r="683" spans="2:13" ht="18">
      <c r="B683" s="55">
        <v>1</v>
      </c>
      <c r="C683" s="55">
        <v>30</v>
      </c>
      <c r="D683" s="55">
        <v>5</v>
      </c>
      <c r="E683" s="55">
        <v>17</v>
      </c>
      <c r="F683" s="55">
        <v>3</v>
      </c>
      <c r="G683" s="55">
        <v>0</v>
      </c>
      <c r="H683" s="141">
        <v>3</v>
      </c>
      <c r="M683" s="23">
        <v>1</v>
      </c>
    </row>
    <row r="684" spans="2:13" ht="18">
      <c r="B684" s="55">
        <v>1</v>
      </c>
      <c r="C684" s="55">
        <v>30</v>
      </c>
      <c r="D684" s="55">
        <v>6</v>
      </c>
      <c r="E684" s="55">
        <v>22</v>
      </c>
      <c r="F684" s="55">
        <v>0</v>
      </c>
      <c r="G684" s="55">
        <v>0</v>
      </c>
      <c r="H684" s="141">
        <v>11</v>
      </c>
      <c r="M684" s="23">
        <v>1</v>
      </c>
    </row>
    <row r="685" spans="2:13" ht="18">
      <c r="B685" s="55">
        <v>1</v>
      </c>
      <c r="C685" s="55">
        <v>30</v>
      </c>
      <c r="D685" s="55">
        <v>7</v>
      </c>
      <c r="E685" s="55">
        <v>20</v>
      </c>
      <c r="F685" s="55">
        <v>3</v>
      </c>
      <c r="G685" s="55">
        <v>0</v>
      </c>
      <c r="H685" s="141">
        <v>0</v>
      </c>
      <c r="M685" s="23">
        <v>1</v>
      </c>
    </row>
    <row r="686" spans="2:13" ht="18">
      <c r="B686" s="55">
        <v>1</v>
      </c>
      <c r="C686" s="55">
        <v>30</v>
      </c>
      <c r="D686" s="55">
        <v>8</v>
      </c>
      <c r="E686" s="55">
        <v>11</v>
      </c>
      <c r="F686" s="55">
        <v>3</v>
      </c>
      <c r="G686" s="55">
        <v>0</v>
      </c>
      <c r="H686" s="141">
        <v>0</v>
      </c>
      <c r="M686" s="23">
        <v>1</v>
      </c>
    </row>
    <row r="687" spans="2:13" ht="18">
      <c r="B687" s="55">
        <v>1</v>
      </c>
      <c r="C687" s="55">
        <v>30</v>
      </c>
      <c r="D687" s="55">
        <v>9</v>
      </c>
      <c r="E687" s="55">
        <v>22</v>
      </c>
      <c r="F687" s="55">
        <v>2</v>
      </c>
      <c r="G687" s="55">
        <v>0</v>
      </c>
      <c r="H687" s="141">
        <v>0</v>
      </c>
      <c r="M687" s="23">
        <v>1</v>
      </c>
    </row>
    <row r="688" spans="2:13" ht="18">
      <c r="B688" s="55">
        <v>1</v>
      </c>
      <c r="C688" s="55">
        <v>30</v>
      </c>
      <c r="D688" s="55">
        <v>10</v>
      </c>
      <c r="E688" s="55">
        <v>12</v>
      </c>
      <c r="F688" s="55">
        <v>4</v>
      </c>
      <c r="G688" s="55">
        <v>0</v>
      </c>
      <c r="H688" s="141">
        <v>0</v>
      </c>
      <c r="M688" s="23">
        <v>1</v>
      </c>
    </row>
    <row r="689" spans="2:13" ht="18">
      <c r="B689" s="55">
        <v>1</v>
      </c>
      <c r="C689" s="55">
        <v>30</v>
      </c>
      <c r="D689" s="55">
        <v>11</v>
      </c>
      <c r="E689" s="55">
        <v>10</v>
      </c>
      <c r="F689" s="55">
        <v>3</v>
      </c>
      <c r="G689" s="55">
        <v>0</v>
      </c>
      <c r="H689" s="141">
        <v>6</v>
      </c>
      <c r="M689" s="23">
        <v>1</v>
      </c>
    </row>
    <row r="690" spans="2:13" ht="18">
      <c r="B690" s="55">
        <v>1</v>
      </c>
      <c r="C690" s="55">
        <v>30</v>
      </c>
      <c r="D690" s="55">
        <v>12</v>
      </c>
      <c r="E690" s="55">
        <v>6</v>
      </c>
      <c r="F690" s="55">
        <v>9</v>
      </c>
      <c r="G690" s="55">
        <v>0</v>
      </c>
      <c r="H690" s="141">
        <v>2</v>
      </c>
      <c r="M690" s="23">
        <v>1</v>
      </c>
    </row>
    <row r="691" spans="2:13" ht="18">
      <c r="B691" s="55">
        <v>1</v>
      </c>
      <c r="C691" s="55">
        <v>30</v>
      </c>
      <c r="D691" s="55">
        <v>13</v>
      </c>
      <c r="E691" s="55">
        <v>13</v>
      </c>
      <c r="F691" s="55">
        <v>4</v>
      </c>
      <c r="G691" s="55">
        <v>0</v>
      </c>
      <c r="H691" s="141">
        <v>0</v>
      </c>
      <c r="M691" s="23">
        <v>1</v>
      </c>
    </row>
    <row r="692" spans="2:13" ht="18">
      <c r="B692" s="55">
        <v>1</v>
      </c>
      <c r="C692" s="55">
        <v>30</v>
      </c>
      <c r="D692" s="55">
        <v>14</v>
      </c>
      <c r="E692" s="55">
        <v>25</v>
      </c>
      <c r="F692" s="55">
        <v>0</v>
      </c>
      <c r="G692" s="55">
        <v>0</v>
      </c>
      <c r="H692" s="141">
        <v>0</v>
      </c>
      <c r="M692" s="23">
        <v>1</v>
      </c>
    </row>
    <row r="693" spans="2:13" ht="18">
      <c r="B693" s="55">
        <v>1</v>
      </c>
      <c r="C693" s="55">
        <v>30</v>
      </c>
      <c r="D693" s="55">
        <v>14</v>
      </c>
      <c r="E693" s="55">
        <v>25</v>
      </c>
      <c r="F693" s="55">
        <v>0</v>
      </c>
      <c r="G693" s="55">
        <v>0</v>
      </c>
      <c r="H693" s="141">
        <v>1</v>
      </c>
      <c r="M693" s="23">
        <v>1</v>
      </c>
    </row>
    <row r="694" spans="2:13" ht="18">
      <c r="B694" s="55">
        <v>1</v>
      </c>
      <c r="C694" s="55">
        <v>30</v>
      </c>
      <c r="D694" s="55">
        <v>15</v>
      </c>
      <c r="E694" s="55">
        <v>11</v>
      </c>
      <c r="F694" s="55">
        <v>3</v>
      </c>
      <c r="G694" s="55">
        <v>0</v>
      </c>
      <c r="H694" s="141">
        <v>4</v>
      </c>
      <c r="M694" s="23">
        <v>1</v>
      </c>
    </row>
    <row r="695" spans="2:13" ht="18">
      <c r="B695" s="55">
        <v>1</v>
      </c>
      <c r="C695" s="55">
        <v>34</v>
      </c>
      <c r="D695" s="55">
        <v>15</v>
      </c>
      <c r="E695" s="55">
        <v>9</v>
      </c>
      <c r="F695" s="55">
        <v>9</v>
      </c>
      <c r="G695" s="55">
        <v>3</v>
      </c>
      <c r="H695" s="141">
        <v>0</v>
      </c>
      <c r="M695" s="23">
        <v>1</v>
      </c>
    </row>
    <row r="696" spans="2:13" ht="18">
      <c r="B696" s="55">
        <v>1</v>
      </c>
      <c r="C696" s="55">
        <v>34</v>
      </c>
      <c r="D696" s="55">
        <v>15</v>
      </c>
      <c r="E696" s="55">
        <v>9</v>
      </c>
      <c r="F696" s="55">
        <v>3</v>
      </c>
      <c r="G696" s="55">
        <v>0</v>
      </c>
      <c r="H696" s="141">
        <v>1</v>
      </c>
      <c r="M696" s="23">
        <v>1</v>
      </c>
    </row>
    <row r="697" spans="2:13" ht="18">
      <c r="B697" s="55">
        <v>1</v>
      </c>
      <c r="C697" s="55">
        <v>117</v>
      </c>
      <c r="D697" s="55">
        <v>14</v>
      </c>
      <c r="E697" s="55">
        <v>2</v>
      </c>
      <c r="F697" s="55">
        <v>15</v>
      </c>
      <c r="G697" s="55">
        <v>0</v>
      </c>
      <c r="H697" s="141">
        <v>0</v>
      </c>
      <c r="M697" s="23">
        <v>1</v>
      </c>
    </row>
    <row r="698" spans="2:13" ht="18">
      <c r="B698" s="55">
        <v>1</v>
      </c>
      <c r="C698" s="55">
        <v>117</v>
      </c>
      <c r="D698" s="55">
        <v>15</v>
      </c>
      <c r="E698" s="55">
        <v>4</v>
      </c>
      <c r="F698" s="55">
        <v>12</v>
      </c>
      <c r="G698" s="55">
        <v>0</v>
      </c>
      <c r="H698" s="141">
        <v>0</v>
      </c>
      <c r="M698" s="23">
        <v>1</v>
      </c>
    </row>
    <row r="699" spans="2:13" ht="18">
      <c r="B699" s="55">
        <v>1</v>
      </c>
      <c r="C699" s="55">
        <v>36</v>
      </c>
      <c r="D699" s="55">
        <v>14</v>
      </c>
      <c r="E699" s="55">
        <v>36</v>
      </c>
      <c r="F699" s="55">
        <v>12</v>
      </c>
      <c r="G699" s="55">
        <v>0</v>
      </c>
      <c r="H699" s="141">
        <v>0</v>
      </c>
      <c r="M699" s="23">
        <v>1</v>
      </c>
    </row>
    <row r="700" spans="2:13" ht="18">
      <c r="B700" s="55">
        <v>1</v>
      </c>
      <c r="C700" s="55">
        <v>36</v>
      </c>
      <c r="D700" s="55">
        <v>15</v>
      </c>
      <c r="E700" s="55">
        <v>22</v>
      </c>
      <c r="F700" s="55">
        <v>8</v>
      </c>
      <c r="G700" s="55">
        <v>0</v>
      </c>
      <c r="H700" s="141">
        <v>0</v>
      </c>
      <c r="M700" s="23">
        <v>1</v>
      </c>
    </row>
    <row r="701" spans="2:13" ht="18">
      <c r="B701" s="55">
        <v>13</v>
      </c>
      <c r="C701" s="55">
        <v>116</v>
      </c>
      <c r="D701" s="55">
        <v>14</v>
      </c>
      <c r="E701" s="55">
        <v>6</v>
      </c>
      <c r="F701" s="55">
        <v>4</v>
      </c>
      <c r="G701" s="55">
        <v>0</v>
      </c>
      <c r="H701" s="141">
        <v>0</v>
      </c>
      <c r="M701" s="23">
        <v>1</v>
      </c>
    </row>
    <row r="702" spans="2:13" ht="18">
      <c r="B702" s="55">
        <v>13</v>
      </c>
      <c r="C702" s="55">
        <v>116</v>
      </c>
      <c r="D702" s="55">
        <v>15</v>
      </c>
      <c r="E702" s="55">
        <v>10</v>
      </c>
      <c r="F702" s="55">
        <v>5</v>
      </c>
      <c r="G702" s="55">
        <v>0</v>
      </c>
      <c r="H702" s="141">
        <v>0</v>
      </c>
      <c r="M702" s="23">
        <v>1</v>
      </c>
    </row>
    <row r="703" spans="2:13" ht="18">
      <c r="B703" s="55">
        <v>1</v>
      </c>
      <c r="C703" s="55">
        <v>53</v>
      </c>
      <c r="D703" s="55">
        <v>9</v>
      </c>
      <c r="E703" s="55">
        <v>0</v>
      </c>
      <c r="F703" s="55">
        <v>0</v>
      </c>
      <c r="G703" s="55">
        <v>0</v>
      </c>
      <c r="H703" s="141">
        <v>0</v>
      </c>
      <c r="M703" s="23">
        <v>1</v>
      </c>
    </row>
    <row r="704" spans="2:13" ht="18">
      <c r="B704" s="55">
        <v>1</v>
      </c>
      <c r="C704" s="55">
        <v>53</v>
      </c>
      <c r="D704" s="55">
        <v>10</v>
      </c>
      <c r="E704" s="55">
        <v>0</v>
      </c>
      <c r="F704" s="55">
        <v>0</v>
      </c>
      <c r="G704" s="55">
        <v>0</v>
      </c>
      <c r="H704" s="141">
        <v>0</v>
      </c>
      <c r="M704" s="23">
        <v>1</v>
      </c>
    </row>
    <row r="705" spans="2:13" ht="18">
      <c r="B705" s="55">
        <v>1</v>
      </c>
      <c r="C705" s="55">
        <v>53</v>
      </c>
      <c r="D705" s="55">
        <v>11</v>
      </c>
      <c r="E705" s="55">
        <v>4</v>
      </c>
      <c r="F705" s="55">
        <v>2</v>
      </c>
      <c r="G705" s="55">
        <v>0</v>
      </c>
      <c r="H705" s="141">
        <v>1</v>
      </c>
      <c r="M705" s="23">
        <v>1</v>
      </c>
    </row>
    <row r="706" spans="2:13" ht="18">
      <c r="B706" s="55">
        <v>1</v>
      </c>
      <c r="C706" s="55">
        <v>53</v>
      </c>
      <c r="D706" s="55">
        <v>12</v>
      </c>
      <c r="E706" s="55">
        <v>3</v>
      </c>
      <c r="F706" s="55">
        <v>0</v>
      </c>
      <c r="G706" s="55">
        <v>0</v>
      </c>
      <c r="H706" s="141">
        <v>11</v>
      </c>
      <c r="M706" s="23">
        <v>1</v>
      </c>
    </row>
    <row r="707" spans="2:13" ht="18">
      <c r="B707" s="55">
        <v>1</v>
      </c>
      <c r="C707" s="55">
        <v>53</v>
      </c>
      <c r="D707" s="55">
        <v>12</v>
      </c>
      <c r="E707" s="55">
        <v>3</v>
      </c>
      <c r="F707" s="55">
        <v>0</v>
      </c>
      <c r="G707" s="55">
        <v>0</v>
      </c>
      <c r="H707" s="141">
        <v>1</v>
      </c>
      <c r="M707" s="23">
        <v>1</v>
      </c>
    </row>
    <row r="708" spans="2:13" ht="18">
      <c r="B708" s="55">
        <v>1</v>
      </c>
      <c r="C708" s="55">
        <v>53</v>
      </c>
      <c r="D708" s="55">
        <v>13</v>
      </c>
      <c r="E708" s="55">
        <v>1</v>
      </c>
      <c r="F708" s="55">
        <v>10</v>
      </c>
      <c r="G708" s="55">
        <v>0</v>
      </c>
      <c r="H708" s="141">
        <v>0</v>
      </c>
      <c r="M708" s="23">
        <v>1</v>
      </c>
    </row>
    <row r="709" spans="2:13" ht="18">
      <c r="B709" s="55">
        <v>1</v>
      </c>
      <c r="C709" s="55">
        <v>53</v>
      </c>
      <c r="D709" s="55">
        <v>14</v>
      </c>
      <c r="E709" s="55">
        <v>0</v>
      </c>
      <c r="F709" s="55">
        <v>2</v>
      </c>
      <c r="G709" s="55">
        <v>0</v>
      </c>
      <c r="H709" s="141">
        <v>0</v>
      </c>
      <c r="M709" s="23">
        <v>1</v>
      </c>
    </row>
    <row r="710" spans="2:13" ht="18">
      <c r="B710" s="55">
        <v>1</v>
      </c>
      <c r="C710" s="55">
        <v>12</v>
      </c>
      <c r="D710" s="55">
        <v>15</v>
      </c>
      <c r="E710" s="55">
        <v>11</v>
      </c>
      <c r="F710" s="55">
        <v>6</v>
      </c>
      <c r="G710" s="55">
        <v>0</v>
      </c>
      <c r="H710" s="141">
        <v>2</v>
      </c>
      <c r="M710" s="23">
        <v>1</v>
      </c>
    </row>
    <row r="711" spans="2:13" ht="18">
      <c r="B711" s="55">
        <v>1</v>
      </c>
      <c r="C711" s="55">
        <v>34</v>
      </c>
      <c r="D711" s="55">
        <v>15</v>
      </c>
      <c r="E711" s="55">
        <v>8</v>
      </c>
      <c r="F711" s="55">
        <v>4</v>
      </c>
      <c r="G711" s="55">
        <v>0</v>
      </c>
      <c r="H711" s="141">
        <v>0</v>
      </c>
      <c r="M711" s="23">
        <v>1</v>
      </c>
    </row>
    <row r="712" spans="2:13" ht="18">
      <c r="B712" s="55">
        <v>1</v>
      </c>
      <c r="C712" s="55">
        <v>34</v>
      </c>
      <c r="D712" s="55">
        <v>14</v>
      </c>
      <c r="E712" s="55">
        <v>6</v>
      </c>
      <c r="F712" s="55">
        <v>1</v>
      </c>
      <c r="G712" s="55">
        <v>0</v>
      </c>
      <c r="H712" s="141">
        <v>0</v>
      </c>
      <c r="M712" s="23">
        <v>1</v>
      </c>
    </row>
    <row r="713" spans="2:13" ht="18">
      <c r="B713" s="55">
        <v>1</v>
      </c>
      <c r="C713" s="55">
        <v>59</v>
      </c>
      <c r="D713" s="55">
        <v>14</v>
      </c>
      <c r="E713" s="55">
        <v>2</v>
      </c>
      <c r="F713" s="55">
        <v>4</v>
      </c>
      <c r="G713" s="55">
        <v>0</v>
      </c>
      <c r="H713" s="141">
        <v>0</v>
      </c>
      <c r="M713" s="23">
        <v>1</v>
      </c>
    </row>
    <row r="714" spans="2:13" ht="18">
      <c r="B714" s="55">
        <v>1</v>
      </c>
      <c r="C714" s="55">
        <v>59</v>
      </c>
      <c r="D714" s="55">
        <v>15</v>
      </c>
      <c r="E714" s="55">
        <v>3</v>
      </c>
      <c r="F714" s="55">
        <v>3</v>
      </c>
      <c r="G714" s="55">
        <v>0</v>
      </c>
      <c r="H714" s="141">
        <v>0</v>
      </c>
      <c r="M714" s="23">
        <v>1</v>
      </c>
    </row>
    <row r="715" spans="2:13" ht="18">
      <c r="B715" s="55">
        <v>1</v>
      </c>
      <c r="C715" s="55">
        <v>28</v>
      </c>
      <c r="D715" s="55">
        <v>14</v>
      </c>
      <c r="E715" s="55">
        <v>12</v>
      </c>
      <c r="F715" s="55">
        <v>7</v>
      </c>
      <c r="G715" s="55">
        <v>0</v>
      </c>
      <c r="H715" s="141">
        <v>0</v>
      </c>
      <c r="M715" s="23">
        <v>1</v>
      </c>
    </row>
    <row r="716" spans="2:13" ht="18">
      <c r="B716" s="55">
        <v>1</v>
      </c>
      <c r="C716" s="55">
        <v>28</v>
      </c>
      <c r="D716" s="55">
        <v>13</v>
      </c>
      <c r="E716" s="55">
        <v>10</v>
      </c>
      <c r="F716" s="55">
        <v>3</v>
      </c>
      <c r="G716" s="55">
        <v>0</v>
      </c>
      <c r="H716" s="141">
        <v>0</v>
      </c>
      <c r="M716" s="23">
        <v>1</v>
      </c>
    </row>
    <row r="717" spans="2:13" ht="18">
      <c r="B717" s="55">
        <v>1</v>
      </c>
      <c r="C717" s="55">
        <v>19</v>
      </c>
      <c r="D717" s="55">
        <v>15</v>
      </c>
      <c r="E717" s="55">
        <v>3</v>
      </c>
      <c r="F717" s="55">
        <v>7</v>
      </c>
      <c r="G717" s="55">
        <v>0</v>
      </c>
      <c r="H717" s="141">
        <v>0</v>
      </c>
      <c r="M717" s="23">
        <v>1</v>
      </c>
    </row>
    <row r="718" spans="2:13" ht="18">
      <c r="B718" s="55"/>
      <c r="C718" s="55"/>
      <c r="D718" s="55"/>
      <c r="E718" s="55"/>
      <c r="F718" s="55"/>
      <c r="G718" s="55"/>
      <c r="H718" s="141"/>
      <c r="M718" s="23">
        <v>1</v>
      </c>
    </row>
    <row r="719" spans="2:13" ht="18">
      <c r="B719" s="55"/>
      <c r="C719" s="55"/>
      <c r="D719" s="55"/>
      <c r="E719" s="55"/>
      <c r="F719" s="55"/>
      <c r="G719" s="55"/>
      <c r="H719" s="141"/>
      <c r="M719" s="23">
        <v>1</v>
      </c>
    </row>
    <row r="720" spans="2:13" ht="18">
      <c r="B720" s="55"/>
      <c r="C720" s="55"/>
      <c r="D720" s="55"/>
      <c r="E720" s="55"/>
      <c r="F720" s="55"/>
      <c r="G720" s="55"/>
      <c r="H720" s="141"/>
      <c r="M720" s="23">
        <v>1</v>
      </c>
    </row>
    <row r="721" spans="2:13" ht="18">
      <c r="B721" s="55"/>
      <c r="C721" s="55"/>
      <c r="D721" s="55"/>
      <c r="E721" s="55"/>
      <c r="F721" s="55"/>
      <c r="G721" s="55"/>
      <c r="H721" s="141"/>
      <c r="M721" s="23">
        <v>1</v>
      </c>
    </row>
    <row r="722" spans="2:13" ht="18">
      <c r="B722" s="55"/>
      <c r="C722" s="55"/>
      <c r="D722" s="55"/>
      <c r="E722" s="55"/>
      <c r="F722" s="55"/>
      <c r="G722" s="55"/>
      <c r="H722" s="141"/>
      <c r="M722" s="23">
        <v>1</v>
      </c>
    </row>
    <row r="723" spans="2:13" ht="18">
      <c r="B723" s="55"/>
      <c r="C723" s="55"/>
      <c r="D723" s="55"/>
      <c r="E723" s="55"/>
      <c r="F723" s="55"/>
      <c r="G723" s="55"/>
      <c r="H723" s="141"/>
      <c r="M723" s="23">
        <v>1</v>
      </c>
    </row>
    <row r="724" spans="2:13" ht="18">
      <c r="B724" s="55"/>
      <c r="C724" s="55"/>
      <c r="D724" s="55"/>
      <c r="E724" s="55"/>
      <c r="F724" s="55"/>
      <c r="G724" s="55"/>
      <c r="H724" s="141"/>
      <c r="M724" s="23">
        <v>1</v>
      </c>
    </row>
    <row r="725" spans="2:13" ht="18">
      <c r="B725" s="55"/>
      <c r="C725" s="55"/>
      <c r="D725" s="55"/>
      <c r="E725" s="55"/>
      <c r="F725" s="55"/>
      <c r="G725" s="55"/>
      <c r="H725" s="141"/>
      <c r="M725" s="23">
        <v>1</v>
      </c>
    </row>
    <row r="726" spans="2:13" ht="18">
      <c r="B726" s="55"/>
      <c r="C726" s="55"/>
      <c r="D726" s="55"/>
      <c r="E726" s="55"/>
      <c r="F726" s="55"/>
      <c r="G726" s="55"/>
      <c r="H726" s="141"/>
      <c r="M726" s="23">
        <v>1</v>
      </c>
    </row>
    <row r="727" spans="2:13" ht="18">
      <c r="B727" s="55"/>
      <c r="C727" s="55"/>
      <c r="D727" s="55"/>
      <c r="E727" s="55"/>
      <c r="F727" s="55"/>
      <c r="G727" s="55"/>
      <c r="H727" s="141"/>
      <c r="M727" s="23">
        <v>1</v>
      </c>
    </row>
    <row r="728" spans="2:13" ht="18">
      <c r="B728" s="55"/>
      <c r="C728" s="55"/>
      <c r="D728" s="55"/>
      <c r="E728" s="55"/>
      <c r="F728" s="55"/>
      <c r="G728" s="55"/>
      <c r="H728" s="141"/>
      <c r="M728" s="23">
        <v>1</v>
      </c>
    </row>
    <row r="729" spans="2:13" ht="18">
      <c r="B729" s="55"/>
      <c r="C729" s="55"/>
      <c r="D729" s="55"/>
      <c r="E729" s="55"/>
      <c r="F729" s="55"/>
      <c r="G729" s="55"/>
      <c r="H729" s="141"/>
      <c r="M729" s="23">
        <v>1</v>
      </c>
    </row>
    <row r="730" spans="2:13" ht="18">
      <c r="B730" s="55"/>
      <c r="C730" s="55"/>
      <c r="D730" s="55"/>
      <c r="E730" s="55"/>
      <c r="F730" s="55"/>
      <c r="G730" s="55"/>
      <c r="H730" s="141"/>
      <c r="M730" s="23">
        <v>1</v>
      </c>
    </row>
    <row r="731" spans="2:13" ht="18">
      <c r="B731" s="55"/>
      <c r="C731" s="55"/>
      <c r="D731" s="55"/>
      <c r="E731" s="55"/>
      <c r="F731" s="55"/>
      <c r="G731" s="55"/>
      <c r="H731" s="141"/>
      <c r="M731" s="23">
        <v>1</v>
      </c>
    </row>
    <row r="732" spans="2:13" ht="18">
      <c r="B732" s="55"/>
      <c r="C732" s="55"/>
      <c r="D732" s="55"/>
      <c r="E732" s="55"/>
      <c r="F732" s="55"/>
      <c r="G732" s="55"/>
      <c r="H732" s="141"/>
      <c r="M732" s="23">
        <v>1</v>
      </c>
    </row>
    <row r="733" spans="2:13" ht="18">
      <c r="B733" s="55"/>
      <c r="C733" s="55"/>
      <c r="D733" s="55"/>
      <c r="E733" s="55"/>
      <c r="F733" s="55"/>
      <c r="G733" s="55"/>
      <c r="H733" s="141"/>
      <c r="M733" s="23">
        <v>1</v>
      </c>
    </row>
    <row r="734" spans="2:13" ht="18">
      <c r="B734" s="55"/>
      <c r="C734" s="55"/>
      <c r="D734" s="55"/>
      <c r="E734" s="55"/>
      <c r="F734" s="55"/>
      <c r="G734" s="55"/>
      <c r="H734" s="141"/>
      <c r="M734" s="23">
        <v>1</v>
      </c>
    </row>
    <row r="735" spans="2:13" ht="18">
      <c r="B735" s="55"/>
      <c r="C735" s="55"/>
      <c r="D735" s="55"/>
      <c r="E735" s="55"/>
      <c r="F735" s="55"/>
      <c r="G735" s="55"/>
      <c r="H735" s="141"/>
      <c r="M735" s="23">
        <v>1</v>
      </c>
    </row>
    <row r="736" spans="2:13" ht="18">
      <c r="B736" s="55"/>
      <c r="C736" s="55"/>
      <c r="D736" s="55"/>
      <c r="E736" s="55"/>
      <c r="F736" s="55"/>
      <c r="G736" s="55"/>
      <c r="H736" s="141"/>
      <c r="M736" s="23">
        <v>1</v>
      </c>
    </row>
    <row r="737" spans="2:13" ht="18">
      <c r="B737" s="55"/>
      <c r="C737" s="55"/>
      <c r="D737" s="55"/>
      <c r="E737" s="55"/>
      <c r="F737" s="55"/>
      <c r="G737" s="55"/>
      <c r="H737" s="141"/>
      <c r="M737" s="23">
        <v>1</v>
      </c>
    </row>
    <row r="738" spans="2:13" ht="18">
      <c r="B738" s="55"/>
      <c r="C738" s="55"/>
      <c r="D738" s="55"/>
      <c r="E738" s="55"/>
      <c r="F738" s="55"/>
      <c r="G738" s="55"/>
      <c r="H738" s="141"/>
      <c r="M738" s="23">
        <v>1</v>
      </c>
    </row>
    <row r="739" spans="2:13" ht="18">
      <c r="B739" s="55"/>
      <c r="C739" s="55"/>
      <c r="D739" s="55"/>
      <c r="E739" s="55"/>
      <c r="F739" s="55"/>
      <c r="G739" s="55"/>
      <c r="H739" s="141"/>
      <c r="M739" s="23">
        <v>1</v>
      </c>
    </row>
    <row r="740" spans="2:13" ht="18">
      <c r="B740" s="55"/>
      <c r="C740" s="55"/>
      <c r="D740" s="55"/>
      <c r="E740" s="55"/>
      <c r="F740" s="55"/>
      <c r="G740" s="55"/>
      <c r="H740" s="141"/>
      <c r="M740" s="23">
        <v>1</v>
      </c>
    </row>
    <row r="741" spans="2:13" ht="18">
      <c r="B741" s="55"/>
      <c r="C741" s="55"/>
      <c r="D741" s="55"/>
      <c r="E741" s="55"/>
      <c r="F741" s="55"/>
      <c r="G741" s="55"/>
      <c r="H741" s="141"/>
      <c r="M741" s="23">
        <v>1</v>
      </c>
    </row>
    <row r="742" spans="2:13" ht="18">
      <c r="B742" s="55"/>
      <c r="C742" s="55"/>
      <c r="D742" s="55"/>
      <c r="E742" s="55"/>
      <c r="F742" s="55"/>
      <c r="G742" s="55"/>
      <c r="H742" s="141"/>
      <c r="M742" s="23">
        <v>1</v>
      </c>
    </row>
    <row r="743" spans="2:13" ht="18">
      <c r="B743" s="55"/>
      <c r="C743" s="55"/>
      <c r="D743" s="55"/>
      <c r="E743" s="55"/>
      <c r="F743" s="55"/>
      <c r="G743" s="55"/>
      <c r="H743" s="141"/>
      <c r="M743" s="23">
        <v>1</v>
      </c>
    </row>
    <row r="744" spans="2:13" ht="18">
      <c r="B744" s="55"/>
      <c r="C744" s="55"/>
      <c r="D744" s="55"/>
      <c r="E744" s="55"/>
      <c r="F744" s="55"/>
      <c r="G744" s="55"/>
      <c r="H744" s="141"/>
      <c r="M744" s="23">
        <v>1</v>
      </c>
    </row>
    <row r="745" spans="2:13" ht="18">
      <c r="B745" s="55"/>
      <c r="C745" s="55"/>
      <c r="D745" s="55"/>
      <c r="E745" s="55"/>
      <c r="F745" s="55"/>
      <c r="G745" s="55"/>
      <c r="H745" s="141"/>
      <c r="M745" s="23">
        <v>1</v>
      </c>
    </row>
    <row r="746" spans="2:13" ht="18">
      <c r="B746" s="55"/>
      <c r="C746" s="55"/>
      <c r="D746" s="55"/>
      <c r="E746" s="55"/>
      <c r="F746" s="55"/>
      <c r="G746" s="55"/>
      <c r="H746" s="141"/>
      <c r="M746" s="23">
        <v>1</v>
      </c>
    </row>
    <row r="747" spans="2:13" ht="18">
      <c r="B747" s="55"/>
      <c r="C747" s="55"/>
      <c r="D747" s="55"/>
      <c r="E747" s="55"/>
      <c r="F747" s="55"/>
      <c r="G747" s="55"/>
      <c r="H747" s="141"/>
      <c r="M747" s="23">
        <v>1</v>
      </c>
    </row>
    <row r="748" spans="2:13" ht="18">
      <c r="B748" s="55"/>
      <c r="C748" s="55"/>
      <c r="D748" s="55"/>
      <c r="E748" s="55"/>
      <c r="F748" s="55"/>
      <c r="G748" s="55"/>
      <c r="H748" s="141"/>
      <c r="M748" s="23">
        <v>1</v>
      </c>
    </row>
    <row r="749" spans="2:13" ht="18">
      <c r="B749" s="55"/>
      <c r="C749" s="55"/>
      <c r="D749" s="55"/>
      <c r="E749" s="55"/>
      <c r="F749" s="55"/>
      <c r="G749" s="55"/>
      <c r="H749" s="141"/>
      <c r="M749" s="23">
        <v>1</v>
      </c>
    </row>
    <row r="750" spans="2:13" ht="18">
      <c r="B750" s="55"/>
      <c r="C750" s="55"/>
      <c r="D750" s="55"/>
      <c r="E750" s="55"/>
      <c r="F750" s="55"/>
      <c r="G750" s="55"/>
      <c r="H750" s="141"/>
      <c r="M750" s="23">
        <v>1</v>
      </c>
    </row>
    <row r="751" spans="2:13" ht="18">
      <c r="B751" s="55"/>
      <c r="C751" s="55"/>
      <c r="D751" s="55"/>
      <c r="E751" s="55"/>
      <c r="F751" s="55"/>
      <c r="G751" s="55"/>
      <c r="H751" s="141"/>
      <c r="M751" s="23">
        <v>1</v>
      </c>
    </row>
    <row r="752" spans="2:13" ht="18">
      <c r="B752" s="55"/>
      <c r="C752" s="55"/>
      <c r="D752" s="55"/>
      <c r="E752" s="55"/>
      <c r="F752" s="55"/>
      <c r="G752" s="55"/>
      <c r="H752" s="141"/>
      <c r="M752" s="23">
        <v>1</v>
      </c>
    </row>
    <row r="753" spans="2:13" ht="18">
      <c r="B753" s="55"/>
      <c r="C753" s="55"/>
      <c r="D753" s="55"/>
      <c r="E753" s="55"/>
      <c r="F753" s="55"/>
      <c r="G753" s="55"/>
      <c r="H753" s="141"/>
      <c r="M753" s="23">
        <v>1</v>
      </c>
    </row>
    <row r="754" spans="2:13" ht="18">
      <c r="B754" s="55"/>
      <c r="C754" s="55"/>
      <c r="D754" s="55"/>
      <c r="E754" s="55"/>
      <c r="F754" s="55"/>
      <c r="G754" s="55"/>
      <c r="H754" s="141"/>
      <c r="M754" s="23">
        <v>1</v>
      </c>
    </row>
    <row r="755" spans="2:13" ht="18">
      <c r="B755" s="55"/>
      <c r="C755" s="55"/>
      <c r="D755" s="55"/>
      <c r="E755" s="55"/>
      <c r="F755" s="55"/>
      <c r="G755" s="55"/>
      <c r="H755" s="141"/>
      <c r="M755" s="23">
        <v>1</v>
      </c>
    </row>
    <row r="756" spans="2:13" ht="18">
      <c r="B756" s="55"/>
      <c r="C756" s="55"/>
      <c r="D756" s="55"/>
      <c r="E756" s="55"/>
      <c r="F756" s="55"/>
      <c r="G756" s="55"/>
      <c r="H756" s="141"/>
      <c r="M756" s="23">
        <v>1</v>
      </c>
    </row>
    <row r="757" spans="2:13" ht="18">
      <c r="B757" s="55"/>
      <c r="C757" s="55"/>
      <c r="D757" s="55"/>
      <c r="E757" s="55"/>
      <c r="F757" s="55"/>
      <c r="G757" s="55"/>
      <c r="H757" s="141"/>
      <c r="M757" s="23">
        <v>1</v>
      </c>
    </row>
    <row r="758" spans="2:13" ht="18">
      <c r="B758" s="55"/>
      <c r="C758" s="55"/>
      <c r="D758" s="55"/>
      <c r="E758" s="55"/>
      <c r="F758" s="55"/>
      <c r="G758" s="55"/>
      <c r="H758" s="141"/>
      <c r="M758" s="23">
        <v>1</v>
      </c>
    </row>
    <row r="759" spans="2:13" ht="18">
      <c r="B759" s="55"/>
      <c r="C759" s="55"/>
      <c r="D759" s="55"/>
      <c r="E759" s="55"/>
      <c r="F759" s="55"/>
      <c r="G759" s="55"/>
      <c r="H759" s="141"/>
      <c r="M759" s="23">
        <v>1</v>
      </c>
    </row>
    <row r="760" spans="2:13" ht="18">
      <c r="B760" s="55"/>
      <c r="C760" s="55"/>
      <c r="D760" s="55"/>
      <c r="E760" s="55"/>
      <c r="F760" s="55"/>
      <c r="G760" s="55"/>
      <c r="H760" s="141"/>
      <c r="M760" s="23">
        <v>1</v>
      </c>
    </row>
    <row r="761" spans="2:13" ht="18">
      <c r="B761" s="55"/>
      <c r="C761" s="55"/>
      <c r="D761" s="55"/>
      <c r="E761" s="55"/>
      <c r="F761" s="55"/>
      <c r="G761" s="55"/>
      <c r="H761" s="141"/>
      <c r="M761" s="23">
        <v>1</v>
      </c>
    </row>
    <row r="762" spans="2:13" ht="18">
      <c r="B762" s="55"/>
      <c r="C762" s="55"/>
      <c r="D762" s="55"/>
      <c r="E762" s="55"/>
      <c r="F762" s="55"/>
      <c r="G762" s="55"/>
      <c r="H762" s="141"/>
      <c r="M762" s="23">
        <v>1</v>
      </c>
    </row>
    <row r="763" spans="2:13" ht="18">
      <c r="B763" s="55"/>
      <c r="C763" s="55"/>
      <c r="D763" s="55"/>
      <c r="E763" s="55"/>
      <c r="F763" s="55"/>
      <c r="G763" s="55"/>
      <c r="H763" s="141"/>
      <c r="M763" s="23">
        <v>1</v>
      </c>
    </row>
    <row r="764" spans="2:13" ht="18">
      <c r="B764" s="55"/>
      <c r="C764" s="55"/>
      <c r="D764" s="55"/>
      <c r="E764" s="55"/>
      <c r="F764" s="55"/>
      <c r="G764" s="55"/>
      <c r="H764" s="141"/>
      <c r="M764" s="23">
        <v>1</v>
      </c>
    </row>
    <row r="765" spans="2:13" ht="18">
      <c r="B765" s="55"/>
      <c r="C765" s="55"/>
      <c r="D765" s="55"/>
      <c r="E765" s="55"/>
      <c r="F765" s="55"/>
      <c r="G765" s="55"/>
      <c r="H765" s="141"/>
      <c r="M765" s="23">
        <v>1</v>
      </c>
    </row>
    <row r="766" spans="2:13" ht="18">
      <c r="B766" s="55"/>
      <c r="C766" s="55"/>
      <c r="D766" s="55"/>
      <c r="E766" s="55"/>
      <c r="F766" s="55"/>
      <c r="G766" s="55"/>
      <c r="H766" s="141"/>
      <c r="M766" s="23">
        <v>1</v>
      </c>
    </row>
    <row r="767" spans="2:13" ht="18">
      <c r="B767" s="55"/>
      <c r="C767" s="55"/>
      <c r="D767" s="55"/>
      <c r="E767" s="55"/>
      <c r="F767" s="55"/>
      <c r="G767" s="55"/>
      <c r="H767" s="141"/>
      <c r="M767" s="23">
        <v>1</v>
      </c>
    </row>
    <row r="768" spans="2:13" ht="18">
      <c r="B768" s="55"/>
      <c r="C768" s="55"/>
      <c r="D768" s="55"/>
      <c r="E768" s="55"/>
      <c r="F768" s="55"/>
      <c r="G768" s="55"/>
      <c r="H768" s="141"/>
      <c r="M768" s="23">
        <v>1</v>
      </c>
    </row>
    <row r="769" spans="2:13" ht="18">
      <c r="B769" s="55"/>
      <c r="C769" s="55"/>
      <c r="D769" s="55"/>
      <c r="E769" s="55"/>
      <c r="F769" s="55"/>
      <c r="G769" s="55"/>
      <c r="H769" s="141"/>
      <c r="M769" s="23">
        <v>1</v>
      </c>
    </row>
    <row r="770" spans="2:13" ht="18">
      <c r="B770" s="55"/>
      <c r="C770" s="55"/>
      <c r="D770" s="55"/>
      <c r="E770" s="55"/>
      <c r="F770" s="55"/>
      <c r="G770" s="55"/>
      <c r="H770" s="141"/>
      <c r="M770" s="23">
        <v>1</v>
      </c>
    </row>
    <row r="771" spans="2:13" ht="18">
      <c r="B771" s="55"/>
      <c r="C771" s="55"/>
      <c r="D771" s="55"/>
      <c r="E771" s="55"/>
      <c r="F771" s="55"/>
      <c r="G771" s="55"/>
      <c r="H771" s="141"/>
      <c r="M771" s="23">
        <v>1</v>
      </c>
    </row>
    <row r="772" spans="2:13" ht="18">
      <c r="B772" s="55"/>
      <c r="C772" s="55"/>
      <c r="D772" s="55"/>
      <c r="E772" s="55"/>
      <c r="F772" s="55"/>
      <c r="G772" s="55"/>
      <c r="H772" s="141"/>
      <c r="M772" s="23">
        <v>1</v>
      </c>
    </row>
    <row r="773" spans="2:13" ht="18">
      <c r="B773" s="55"/>
      <c r="C773" s="55"/>
      <c r="D773" s="55"/>
      <c r="E773" s="55"/>
      <c r="F773" s="55"/>
      <c r="G773" s="55"/>
      <c r="H773" s="141"/>
      <c r="M773" s="23">
        <v>1</v>
      </c>
    </row>
    <row r="774" spans="2:13" ht="18">
      <c r="B774" s="55"/>
      <c r="C774" s="55"/>
      <c r="D774" s="55"/>
      <c r="E774" s="55"/>
      <c r="F774" s="55"/>
      <c r="G774" s="55"/>
      <c r="H774" s="141"/>
      <c r="M774" s="23">
        <v>1</v>
      </c>
    </row>
    <row r="775" spans="2:13" ht="18">
      <c r="B775" s="55"/>
      <c r="C775" s="55"/>
      <c r="D775" s="55"/>
      <c r="E775" s="55"/>
      <c r="F775" s="55"/>
      <c r="G775" s="55"/>
      <c r="H775" s="141"/>
      <c r="M775" s="23">
        <v>1</v>
      </c>
    </row>
    <row r="776" spans="2:13" ht="18">
      <c r="B776" s="55"/>
      <c r="C776" s="55"/>
      <c r="D776" s="55"/>
      <c r="E776" s="55"/>
      <c r="F776" s="55"/>
      <c r="G776" s="55"/>
      <c r="H776" s="141"/>
      <c r="M776" s="23">
        <v>1</v>
      </c>
    </row>
    <row r="777" spans="2:13" ht="18">
      <c r="B777" s="55"/>
      <c r="C777" s="55"/>
      <c r="D777" s="55"/>
      <c r="E777" s="55"/>
      <c r="F777" s="55"/>
      <c r="G777" s="55"/>
      <c r="H777" s="141"/>
      <c r="M777" s="23">
        <v>1</v>
      </c>
    </row>
    <row r="778" spans="2:13" ht="18">
      <c r="B778" s="55"/>
      <c r="C778" s="55"/>
      <c r="D778" s="55"/>
      <c r="E778" s="55"/>
      <c r="F778" s="55"/>
      <c r="G778" s="55"/>
      <c r="H778" s="141"/>
      <c r="M778" s="23">
        <v>1</v>
      </c>
    </row>
    <row r="779" spans="2:13" ht="18">
      <c r="B779" s="55"/>
      <c r="C779" s="55"/>
      <c r="D779" s="55"/>
      <c r="E779" s="55"/>
      <c r="F779" s="55"/>
      <c r="G779" s="55"/>
      <c r="H779" s="141"/>
      <c r="M779" s="23">
        <v>1</v>
      </c>
    </row>
    <row r="780" spans="2:13" ht="18">
      <c r="B780" s="55"/>
      <c r="C780" s="55"/>
      <c r="D780" s="55"/>
      <c r="E780" s="55"/>
      <c r="F780" s="55"/>
      <c r="G780" s="55"/>
      <c r="H780" s="141"/>
      <c r="M780" s="23">
        <v>1</v>
      </c>
    </row>
    <row r="781" spans="2:13" ht="18">
      <c r="B781" s="55"/>
      <c r="C781" s="55"/>
      <c r="D781" s="55"/>
      <c r="E781" s="55"/>
      <c r="F781" s="55"/>
      <c r="G781" s="55"/>
      <c r="H781" s="141"/>
      <c r="M781" s="23">
        <v>1</v>
      </c>
    </row>
    <row r="782" spans="2:13" ht="18">
      <c r="B782" s="55"/>
      <c r="C782" s="55"/>
      <c r="D782" s="55"/>
      <c r="E782" s="55"/>
      <c r="F782" s="55"/>
      <c r="G782" s="55"/>
      <c r="H782" s="141"/>
      <c r="M782" s="23">
        <v>1</v>
      </c>
    </row>
    <row r="783" spans="2:13" ht="18">
      <c r="B783" s="55"/>
      <c r="C783" s="55"/>
      <c r="D783" s="55"/>
      <c r="E783" s="55"/>
      <c r="F783" s="55"/>
      <c r="G783" s="55"/>
      <c r="H783" s="141"/>
      <c r="M783" s="23">
        <v>1</v>
      </c>
    </row>
    <row r="784" spans="2:13" ht="18">
      <c r="B784" s="55"/>
      <c r="C784" s="55"/>
      <c r="D784" s="55"/>
      <c r="E784" s="55"/>
      <c r="F784" s="55"/>
      <c r="G784" s="55"/>
      <c r="H784" s="141"/>
      <c r="M784" s="23">
        <v>1</v>
      </c>
    </row>
    <row r="785" spans="2:13" ht="18">
      <c r="B785" s="55"/>
      <c r="C785" s="55"/>
      <c r="D785" s="55"/>
      <c r="E785" s="55"/>
      <c r="F785" s="55"/>
      <c r="G785" s="55"/>
      <c r="H785" s="141"/>
      <c r="M785" s="23">
        <v>1</v>
      </c>
    </row>
    <row r="786" spans="2:13" ht="18">
      <c r="B786" s="55"/>
      <c r="C786" s="55"/>
      <c r="D786" s="55"/>
      <c r="E786" s="55"/>
      <c r="F786" s="55"/>
      <c r="G786" s="55"/>
      <c r="H786" s="141"/>
      <c r="M786" s="23">
        <v>1</v>
      </c>
    </row>
    <row r="787" spans="2:13" ht="18">
      <c r="B787" s="55"/>
      <c r="C787" s="55"/>
      <c r="D787" s="55"/>
      <c r="E787" s="55"/>
      <c r="F787" s="55"/>
      <c r="G787" s="55"/>
      <c r="H787" s="141"/>
      <c r="M787" s="23">
        <v>1</v>
      </c>
    </row>
    <row r="788" spans="2:13" ht="18">
      <c r="B788" s="55"/>
      <c r="C788" s="55"/>
      <c r="D788" s="55"/>
      <c r="E788" s="55"/>
      <c r="F788" s="55"/>
      <c r="G788" s="55"/>
      <c r="H788" s="141"/>
      <c r="M788" s="23">
        <v>1</v>
      </c>
    </row>
    <row r="789" spans="2:13" ht="18">
      <c r="B789" s="55"/>
      <c r="C789" s="55"/>
      <c r="D789" s="55"/>
      <c r="E789" s="55"/>
      <c r="F789" s="55"/>
      <c r="G789" s="55"/>
      <c r="H789" s="141"/>
      <c r="M789" s="23">
        <v>1</v>
      </c>
    </row>
    <row r="790" spans="2:13" ht="18">
      <c r="B790" s="55"/>
      <c r="C790" s="55"/>
      <c r="D790" s="55"/>
      <c r="E790" s="55"/>
      <c r="F790" s="55"/>
      <c r="G790" s="55"/>
      <c r="H790" s="141"/>
      <c r="M790" s="23">
        <v>1</v>
      </c>
    </row>
    <row r="791" spans="2:13" ht="18">
      <c r="B791" s="55"/>
      <c r="C791" s="55"/>
      <c r="D791" s="55"/>
      <c r="E791" s="55"/>
      <c r="F791" s="55"/>
      <c r="G791" s="55"/>
      <c r="H791" s="141"/>
      <c r="M791" s="23">
        <v>1</v>
      </c>
    </row>
    <row r="792" spans="2:13" ht="18">
      <c r="B792" s="55"/>
      <c r="C792" s="55"/>
      <c r="D792" s="55"/>
      <c r="E792" s="55"/>
      <c r="F792" s="55"/>
      <c r="G792" s="55"/>
      <c r="H792" s="141"/>
      <c r="M792" s="23">
        <v>1</v>
      </c>
    </row>
    <row r="793" spans="2:13" ht="18">
      <c r="B793" s="55"/>
      <c r="C793" s="55"/>
      <c r="D793" s="55"/>
      <c r="E793" s="55"/>
      <c r="F793" s="55"/>
      <c r="G793" s="55"/>
      <c r="H793" s="141"/>
      <c r="M793" s="23">
        <v>1</v>
      </c>
    </row>
    <row r="794" spans="2:13" ht="18">
      <c r="B794" s="55"/>
      <c r="C794" s="55"/>
      <c r="D794" s="55"/>
      <c r="E794" s="55"/>
      <c r="F794" s="55"/>
      <c r="G794" s="55"/>
      <c r="H794" s="141"/>
      <c r="M794" s="23">
        <v>1</v>
      </c>
    </row>
    <row r="795" spans="2:13" ht="18">
      <c r="B795" s="55"/>
      <c r="C795" s="55"/>
      <c r="D795" s="55"/>
      <c r="E795" s="55"/>
      <c r="F795" s="55"/>
      <c r="G795" s="55"/>
      <c r="H795" s="141"/>
      <c r="M795" s="23">
        <v>1</v>
      </c>
    </row>
    <row r="796" spans="2:13" ht="18">
      <c r="B796" s="55"/>
      <c r="C796" s="55"/>
      <c r="D796" s="55"/>
      <c r="E796" s="55"/>
      <c r="F796" s="55"/>
      <c r="G796" s="55"/>
      <c r="H796" s="141"/>
      <c r="M796" s="23">
        <v>1</v>
      </c>
    </row>
    <row r="797" spans="2:13" ht="18">
      <c r="B797" s="55"/>
      <c r="C797" s="55"/>
      <c r="D797" s="55"/>
      <c r="E797" s="55"/>
      <c r="F797" s="55"/>
      <c r="G797" s="55"/>
      <c r="H797" s="141"/>
      <c r="M797" s="23">
        <v>1</v>
      </c>
    </row>
    <row r="798" spans="2:13" ht="18">
      <c r="B798" s="55"/>
      <c r="C798" s="55"/>
      <c r="D798" s="55"/>
      <c r="E798" s="55"/>
      <c r="F798" s="55"/>
      <c r="G798" s="55"/>
      <c r="H798" s="141"/>
      <c r="M798" s="23">
        <v>1</v>
      </c>
    </row>
    <row r="799" spans="2:13" ht="18">
      <c r="B799" s="55"/>
      <c r="C799" s="55"/>
      <c r="D799" s="55"/>
      <c r="E799" s="55"/>
      <c r="F799" s="55"/>
      <c r="G799" s="55"/>
      <c r="H799" s="141"/>
      <c r="M799" s="23">
        <v>1</v>
      </c>
    </row>
    <row r="800" spans="2:13" ht="18">
      <c r="B800" s="55"/>
      <c r="C800" s="55"/>
      <c r="D800" s="55"/>
      <c r="E800" s="55"/>
      <c r="F800" s="55"/>
      <c r="G800" s="55"/>
      <c r="H800" s="141"/>
      <c r="M800" s="23">
        <v>1</v>
      </c>
    </row>
    <row r="801" spans="2:13" ht="18">
      <c r="B801" s="55"/>
      <c r="C801" s="55"/>
      <c r="D801" s="55"/>
      <c r="E801" s="55"/>
      <c r="F801" s="55"/>
      <c r="G801" s="55"/>
      <c r="H801" s="141"/>
      <c r="M801" s="23">
        <v>1</v>
      </c>
    </row>
    <row r="802" spans="2:13" ht="18">
      <c r="B802" s="55"/>
      <c r="C802" s="55"/>
      <c r="D802" s="55"/>
      <c r="E802" s="55"/>
      <c r="F802" s="55"/>
      <c r="G802" s="55"/>
      <c r="H802" s="141"/>
      <c r="M802" s="23">
        <v>1</v>
      </c>
    </row>
    <row r="803" spans="2:13" ht="18">
      <c r="B803" s="55"/>
      <c r="C803" s="55"/>
      <c r="D803" s="55"/>
      <c r="E803" s="55"/>
      <c r="F803" s="55"/>
      <c r="G803" s="55"/>
      <c r="H803" s="141"/>
      <c r="M803" s="23">
        <v>1</v>
      </c>
    </row>
    <row r="804" spans="2:13" ht="18">
      <c r="B804" s="55"/>
      <c r="C804" s="55"/>
      <c r="D804" s="55"/>
      <c r="E804" s="55"/>
      <c r="F804" s="55"/>
      <c r="G804" s="55"/>
      <c r="H804" s="141"/>
      <c r="M804" s="23">
        <v>1</v>
      </c>
    </row>
    <row r="805" spans="2:13" ht="18">
      <c r="B805" s="55"/>
      <c r="C805" s="55"/>
      <c r="D805" s="55"/>
      <c r="E805" s="55"/>
      <c r="F805" s="55"/>
      <c r="G805" s="55"/>
      <c r="H805" s="141"/>
      <c r="M805" s="23">
        <v>1</v>
      </c>
    </row>
    <row r="806" spans="2:13" ht="18">
      <c r="B806" s="55"/>
      <c r="C806" s="55"/>
      <c r="D806" s="55"/>
      <c r="E806" s="55"/>
      <c r="F806" s="55"/>
      <c r="G806" s="55"/>
      <c r="H806" s="141"/>
      <c r="M806" s="23">
        <v>1</v>
      </c>
    </row>
    <row r="807" spans="2:13" ht="18">
      <c r="B807" s="55"/>
      <c r="C807" s="55"/>
      <c r="D807" s="55"/>
      <c r="E807" s="55"/>
      <c r="F807" s="55"/>
      <c r="G807" s="55"/>
      <c r="H807" s="141"/>
      <c r="M807" s="23">
        <v>1</v>
      </c>
    </row>
    <row r="808" spans="2:13" ht="18">
      <c r="B808" s="55"/>
      <c r="C808" s="55"/>
      <c r="D808" s="55"/>
      <c r="E808" s="55"/>
      <c r="F808" s="55"/>
      <c r="G808" s="55"/>
      <c r="H808" s="141"/>
      <c r="M808" s="23">
        <v>1</v>
      </c>
    </row>
    <row r="809" spans="2:13" ht="18">
      <c r="B809" s="55"/>
      <c r="C809" s="55"/>
      <c r="D809" s="55"/>
      <c r="E809" s="55"/>
      <c r="F809" s="55"/>
      <c r="G809" s="55"/>
      <c r="H809" s="141"/>
      <c r="M809" s="23">
        <v>1</v>
      </c>
    </row>
    <row r="810" spans="2:13" ht="18">
      <c r="B810" s="55"/>
      <c r="C810" s="55"/>
      <c r="D810" s="55"/>
      <c r="E810" s="55"/>
      <c r="F810" s="55"/>
      <c r="G810" s="55"/>
      <c r="H810" s="141"/>
      <c r="M810" s="23">
        <v>1</v>
      </c>
    </row>
    <row r="811" spans="2:13" ht="18">
      <c r="B811" s="55"/>
      <c r="C811" s="55"/>
      <c r="D811" s="55"/>
      <c r="E811" s="55"/>
      <c r="F811" s="55"/>
      <c r="G811" s="55"/>
      <c r="H811" s="141"/>
      <c r="M811" s="23">
        <v>1</v>
      </c>
    </row>
    <row r="812" spans="2:13" ht="18">
      <c r="B812" s="55"/>
      <c r="C812" s="55"/>
      <c r="D812" s="55"/>
      <c r="E812" s="55"/>
      <c r="F812" s="55"/>
      <c r="G812" s="55"/>
      <c r="H812" s="141"/>
      <c r="M812" s="23">
        <v>1</v>
      </c>
    </row>
    <row r="813" spans="2:13" ht="18">
      <c r="B813" s="55"/>
      <c r="C813" s="55"/>
      <c r="D813" s="55"/>
      <c r="E813" s="55"/>
      <c r="F813" s="55"/>
      <c r="G813" s="55"/>
      <c r="H813" s="141"/>
      <c r="M813" s="23">
        <v>1</v>
      </c>
    </row>
    <row r="814" spans="2:13" ht="18">
      <c r="B814" s="55"/>
      <c r="C814" s="55"/>
      <c r="D814" s="55"/>
      <c r="E814" s="55"/>
      <c r="F814" s="55"/>
      <c r="G814" s="55"/>
      <c r="H814" s="141"/>
      <c r="M814" s="23">
        <v>1</v>
      </c>
    </row>
    <row r="815" spans="2:13" ht="18">
      <c r="B815" s="55"/>
      <c r="C815" s="55"/>
      <c r="D815" s="55"/>
      <c r="E815" s="55"/>
      <c r="F815" s="55"/>
      <c r="G815" s="55"/>
      <c r="H815" s="141"/>
      <c r="M815" s="23">
        <v>1</v>
      </c>
    </row>
    <row r="816" spans="2:13" ht="18">
      <c r="B816" s="55"/>
      <c r="C816" s="55"/>
      <c r="D816" s="55"/>
      <c r="E816" s="55"/>
      <c r="F816" s="55"/>
      <c r="G816" s="55"/>
      <c r="H816" s="141"/>
      <c r="M816" s="23">
        <v>1</v>
      </c>
    </row>
    <row r="817" spans="2:13" ht="18">
      <c r="B817" s="55"/>
      <c r="C817" s="55"/>
      <c r="D817" s="55"/>
      <c r="E817" s="55"/>
      <c r="F817" s="55"/>
      <c r="G817" s="55"/>
      <c r="H817" s="141"/>
      <c r="M817" s="23">
        <v>1</v>
      </c>
    </row>
    <row r="818" spans="2:13" ht="18">
      <c r="B818" s="55"/>
      <c r="C818" s="55"/>
      <c r="D818" s="55"/>
      <c r="E818" s="55"/>
      <c r="F818" s="55"/>
      <c r="G818" s="55"/>
      <c r="H818" s="141"/>
      <c r="M818" s="23">
        <v>1</v>
      </c>
    </row>
    <row r="819" spans="2:13" ht="18">
      <c r="B819" s="55"/>
      <c r="C819" s="55"/>
      <c r="D819" s="55"/>
      <c r="E819" s="55"/>
      <c r="F819" s="55"/>
      <c r="G819" s="55"/>
      <c r="H819" s="141"/>
      <c r="M819" s="23">
        <v>1</v>
      </c>
    </row>
    <row r="820" spans="2:13" ht="18">
      <c r="B820" s="55"/>
      <c r="C820" s="55"/>
      <c r="D820" s="55"/>
      <c r="E820" s="55"/>
      <c r="F820" s="55"/>
      <c r="G820" s="55"/>
      <c r="H820" s="141"/>
      <c r="M820" s="23">
        <v>1</v>
      </c>
    </row>
    <row r="821" spans="2:13" ht="18">
      <c r="B821" s="55"/>
      <c r="C821" s="55"/>
      <c r="D821" s="55"/>
      <c r="E821" s="55"/>
      <c r="F821" s="55"/>
      <c r="G821" s="55"/>
      <c r="H821" s="141"/>
      <c r="M821" s="23">
        <v>1</v>
      </c>
    </row>
    <row r="822" spans="2:13" ht="18">
      <c r="B822" s="55"/>
      <c r="C822" s="55"/>
      <c r="D822" s="55"/>
      <c r="E822" s="55"/>
      <c r="F822" s="55"/>
      <c r="G822" s="55"/>
      <c r="H822" s="141"/>
      <c r="M822" s="23">
        <v>1</v>
      </c>
    </row>
    <row r="823" spans="2:13" ht="18">
      <c r="B823" s="55"/>
      <c r="C823" s="55"/>
      <c r="D823" s="55"/>
      <c r="E823" s="55"/>
      <c r="F823" s="55"/>
      <c r="G823" s="55"/>
      <c r="H823" s="141"/>
      <c r="M823" s="23">
        <v>1</v>
      </c>
    </row>
    <row r="824" spans="2:13" ht="18">
      <c r="B824" s="55"/>
      <c r="C824" s="55"/>
      <c r="D824" s="55"/>
      <c r="E824" s="55"/>
      <c r="F824" s="55"/>
      <c r="G824" s="55"/>
      <c r="H824" s="141"/>
      <c r="M824" s="23">
        <v>1</v>
      </c>
    </row>
    <row r="825" spans="2:13" ht="18">
      <c r="B825" s="55"/>
      <c r="C825" s="55"/>
      <c r="D825" s="55"/>
      <c r="E825" s="55"/>
      <c r="F825" s="55"/>
      <c r="G825" s="55"/>
      <c r="H825" s="141"/>
      <c r="M825" s="23">
        <v>1</v>
      </c>
    </row>
    <row r="826" spans="2:13" ht="18">
      <c r="B826" s="55"/>
      <c r="C826" s="55"/>
      <c r="D826" s="55"/>
      <c r="E826" s="55"/>
      <c r="F826" s="55"/>
      <c r="G826" s="55"/>
      <c r="H826" s="141"/>
      <c r="M826" s="23">
        <v>1</v>
      </c>
    </row>
    <row r="827" spans="2:13" ht="18">
      <c r="B827" s="55"/>
      <c r="C827" s="55"/>
      <c r="D827" s="55"/>
      <c r="E827" s="55"/>
      <c r="F827" s="55"/>
      <c r="G827" s="55"/>
      <c r="H827" s="141"/>
      <c r="M827" s="23">
        <v>1</v>
      </c>
    </row>
    <row r="828" spans="2:13" ht="18">
      <c r="B828" s="55"/>
      <c r="C828" s="55"/>
      <c r="D828" s="55"/>
      <c r="E828" s="55"/>
      <c r="F828" s="55"/>
      <c r="G828" s="55"/>
      <c r="H828" s="141"/>
      <c r="M828" s="23">
        <v>1</v>
      </c>
    </row>
    <row r="829" spans="2:13" ht="18">
      <c r="B829" s="55"/>
      <c r="C829" s="55"/>
      <c r="D829" s="55"/>
      <c r="E829" s="55"/>
      <c r="F829" s="55"/>
      <c r="G829" s="55"/>
      <c r="H829" s="141"/>
      <c r="M829" s="23">
        <v>1</v>
      </c>
    </row>
    <row r="830" spans="2:13" ht="18">
      <c r="B830" s="55"/>
      <c r="C830" s="55"/>
      <c r="D830" s="55"/>
      <c r="E830" s="55"/>
      <c r="F830" s="55"/>
      <c r="G830" s="55"/>
      <c r="H830" s="141"/>
      <c r="M830" s="23">
        <v>1</v>
      </c>
    </row>
    <row r="831" spans="2:13" ht="18">
      <c r="B831" s="55"/>
      <c r="C831" s="55"/>
      <c r="D831" s="55"/>
      <c r="E831" s="55"/>
      <c r="F831" s="55"/>
      <c r="G831" s="55"/>
      <c r="H831" s="141"/>
      <c r="M831" s="23">
        <v>1</v>
      </c>
    </row>
    <row r="832" spans="2:13" ht="18">
      <c r="B832" s="55"/>
      <c r="C832" s="55"/>
      <c r="D832" s="55"/>
      <c r="E832" s="55"/>
      <c r="F832" s="55"/>
      <c r="G832" s="55"/>
      <c r="H832" s="141"/>
      <c r="M832" s="23">
        <v>1</v>
      </c>
    </row>
    <row r="833" spans="2:13" ht="18">
      <c r="B833" s="55"/>
      <c r="C833" s="55"/>
      <c r="D833" s="55"/>
      <c r="E833" s="55"/>
      <c r="F833" s="55"/>
      <c r="G833" s="55"/>
      <c r="H833" s="141"/>
      <c r="M833" s="23">
        <v>1</v>
      </c>
    </row>
    <row r="834" spans="2:13" ht="18">
      <c r="B834" s="55"/>
      <c r="C834" s="55"/>
      <c r="D834" s="55"/>
      <c r="E834" s="55"/>
      <c r="F834" s="55"/>
      <c r="G834" s="55"/>
      <c r="H834" s="141"/>
      <c r="M834" s="23">
        <v>1</v>
      </c>
    </row>
    <row r="835" spans="2:13" ht="18">
      <c r="B835" s="55"/>
      <c r="C835" s="55"/>
      <c r="D835" s="55"/>
      <c r="E835" s="55"/>
      <c r="F835" s="55"/>
      <c r="G835" s="55"/>
      <c r="H835" s="141"/>
      <c r="M835" s="23">
        <v>1</v>
      </c>
    </row>
    <row r="836" spans="2:13" ht="18">
      <c r="B836" s="55"/>
      <c r="C836" s="55"/>
      <c r="D836" s="55"/>
      <c r="E836" s="55"/>
      <c r="F836" s="55"/>
      <c r="G836" s="55"/>
      <c r="H836" s="141"/>
      <c r="M836" s="23">
        <v>1</v>
      </c>
    </row>
    <row r="837" spans="2:13" ht="18">
      <c r="B837" s="55"/>
      <c r="C837" s="55"/>
      <c r="D837" s="55"/>
      <c r="E837" s="55"/>
      <c r="F837" s="55"/>
      <c r="G837" s="55"/>
      <c r="H837" s="141"/>
      <c r="M837" s="23">
        <v>1</v>
      </c>
    </row>
    <row r="838" spans="2:13" ht="18">
      <c r="B838" s="55"/>
      <c r="C838" s="55"/>
      <c r="D838" s="55"/>
      <c r="E838" s="55"/>
      <c r="F838" s="55"/>
      <c r="G838" s="55"/>
      <c r="H838" s="141"/>
      <c r="M838" s="23">
        <v>1</v>
      </c>
    </row>
    <row r="839" spans="2:13" ht="18">
      <c r="B839" s="55"/>
      <c r="C839" s="55"/>
      <c r="D839" s="55"/>
      <c r="E839" s="55"/>
      <c r="F839" s="55"/>
      <c r="G839" s="55"/>
      <c r="H839" s="141"/>
      <c r="M839" s="23">
        <v>1</v>
      </c>
    </row>
    <row r="840" spans="2:13" ht="18">
      <c r="B840" s="55"/>
      <c r="C840" s="55"/>
      <c r="D840" s="55"/>
      <c r="E840" s="55"/>
      <c r="F840" s="55"/>
      <c r="G840" s="55"/>
      <c r="H840" s="141"/>
      <c r="M840" s="23">
        <v>1</v>
      </c>
    </row>
    <row r="841" spans="2:13" ht="18">
      <c r="B841" s="55"/>
      <c r="C841" s="55"/>
      <c r="D841" s="55"/>
      <c r="E841" s="55"/>
      <c r="F841" s="55"/>
      <c r="G841" s="55"/>
      <c r="H841" s="141"/>
      <c r="M841" s="23">
        <v>1</v>
      </c>
    </row>
    <row r="842" spans="2:13" ht="18">
      <c r="B842" s="55"/>
      <c r="C842" s="55"/>
      <c r="D842" s="55"/>
      <c r="E842" s="55"/>
      <c r="F842" s="55"/>
      <c r="G842" s="55"/>
      <c r="H842" s="141"/>
      <c r="M842" s="23">
        <v>1</v>
      </c>
    </row>
    <row r="843" spans="2:13" ht="18">
      <c r="B843" s="55"/>
      <c r="C843" s="55"/>
      <c r="D843" s="55"/>
      <c r="E843" s="55"/>
      <c r="F843" s="55"/>
      <c r="G843" s="55"/>
      <c r="H843" s="141"/>
      <c r="M843" s="23">
        <v>1</v>
      </c>
    </row>
    <row r="844" spans="2:13" ht="18">
      <c r="B844" s="55"/>
      <c r="C844" s="55"/>
      <c r="D844" s="55"/>
      <c r="E844" s="55"/>
      <c r="F844" s="55"/>
      <c r="G844" s="55"/>
      <c r="H844" s="141"/>
      <c r="M844" s="23">
        <v>1</v>
      </c>
    </row>
    <row r="845" spans="2:13" ht="18">
      <c r="B845" s="55"/>
      <c r="C845" s="55"/>
      <c r="D845" s="55"/>
      <c r="E845" s="55"/>
      <c r="F845" s="55"/>
      <c r="G845" s="55"/>
      <c r="H845" s="141"/>
      <c r="M845" s="23">
        <v>1</v>
      </c>
    </row>
    <row r="846" spans="2:13" ht="18">
      <c r="B846" s="55"/>
      <c r="C846" s="55"/>
      <c r="D846" s="55"/>
      <c r="E846" s="55"/>
      <c r="F846" s="55"/>
      <c r="G846" s="55"/>
      <c r="H846" s="141"/>
      <c r="M846" s="23">
        <v>1</v>
      </c>
    </row>
    <row r="847" spans="2:13" ht="18">
      <c r="B847" s="55"/>
      <c r="C847" s="55"/>
      <c r="D847" s="55"/>
      <c r="E847" s="55"/>
      <c r="F847" s="55"/>
      <c r="G847" s="55"/>
      <c r="H847" s="141"/>
      <c r="M847" s="23">
        <v>1</v>
      </c>
    </row>
    <row r="848" spans="2:13" ht="18">
      <c r="B848" s="55"/>
      <c r="C848" s="55"/>
      <c r="D848" s="55"/>
      <c r="E848" s="55"/>
      <c r="F848" s="55"/>
      <c r="G848" s="55"/>
      <c r="H848" s="141"/>
      <c r="M848" s="23">
        <v>1</v>
      </c>
    </row>
    <row r="849" spans="2:13" ht="18">
      <c r="B849" s="55"/>
      <c r="C849" s="55"/>
      <c r="D849" s="55"/>
      <c r="E849" s="55"/>
      <c r="F849" s="55"/>
      <c r="G849" s="55"/>
      <c r="H849" s="141"/>
      <c r="M849" s="23">
        <v>1</v>
      </c>
    </row>
    <row r="850" spans="2:13" ht="18">
      <c r="B850" s="55"/>
      <c r="C850" s="55"/>
      <c r="D850" s="55"/>
      <c r="E850" s="55"/>
      <c r="F850" s="55"/>
      <c r="G850" s="55"/>
      <c r="H850" s="141"/>
      <c r="M850" s="23">
        <v>1</v>
      </c>
    </row>
    <row r="851" spans="2:13" ht="18">
      <c r="B851" s="55"/>
      <c r="C851" s="55"/>
      <c r="D851" s="55"/>
      <c r="E851" s="55"/>
      <c r="F851" s="55"/>
      <c r="G851" s="55"/>
      <c r="H851" s="141"/>
      <c r="M851" s="23">
        <v>1</v>
      </c>
    </row>
    <row r="852" spans="2:13" ht="18">
      <c r="B852" s="55"/>
      <c r="C852" s="55"/>
      <c r="D852" s="55"/>
      <c r="E852" s="55"/>
      <c r="F852" s="55"/>
      <c r="G852" s="55"/>
      <c r="H852" s="141"/>
      <c r="M852" s="23">
        <v>1</v>
      </c>
    </row>
    <row r="853" spans="2:13" ht="18">
      <c r="B853" s="55"/>
      <c r="C853" s="55"/>
      <c r="D853" s="55"/>
      <c r="E853" s="55"/>
      <c r="F853" s="55"/>
      <c r="G853" s="55"/>
      <c r="H853" s="141"/>
      <c r="M853" s="23">
        <v>1</v>
      </c>
    </row>
    <row r="854" spans="2:13" ht="18">
      <c r="B854" s="55"/>
      <c r="C854" s="55"/>
      <c r="D854" s="55"/>
      <c r="E854" s="55"/>
      <c r="F854" s="55"/>
      <c r="G854" s="55"/>
      <c r="H854" s="141"/>
      <c r="M854" s="23">
        <v>1</v>
      </c>
    </row>
    <row r="855" spans="2:13" ht="18">
      <c r="B855" s="55"/>
      <c r="C855" s="55"/>
      <c r="D855" s="55"/>
      <c r="E855" s="55"/>
      <c r="F855" s="55"/>
      <c r="G855" s="55"/>
      <c r="H855" s="141"/>
      <c r="M855" s="23">
        <v>1</v>
      </c>
    </row>
    <row r="856" spans="2:13" ht="18">
      <c r="B856" s="55"/>
      <c r="C856" s="55"/>
      <c r="D856" s="55"/>
      <c r="E856" s="55"/>
      <c r="F856" s="55"/>
      <c r="G856" s="55"/>
      <c r="H856" s="141"/>
      <c r="M856" s="23">
        <v>1</v>
      </c>
    </row>
    <row r="857" spans="2:13" ht="18">
      <c r="B857" s="55"/>
      <c r="C857" s="55"/>
      <c r="D857" s="55"/>
      <c r="E857" s="55"/>
      <c r="F857" s="55"/>
      <c r="G857" s="55"/>
      <c r="H857" s="141"/>
      <c r="M857" s="23">
        <v>1</v>
      </c>
    </row>
    <row r="858" spans="2:13" ht="18">
      <c r="B858" s="55"/>
      <c r="C858" s="55"/>
      <c r="D858" s="55"/>
      <c r="E858" s="55"/>
      <c r="F858" s="55"/>
      <c r="G858" s="55"/>
      <c r="H858" s="141"/>
      <c r="M858" s="23">
        <v>1</v>
      </c>
    </row>
    <row r="859" spans="2:13" ht="18">
      <c r="B859" s="55"/>
      <c r="C859" s="55"/>
      <c r="D859" s="55"/>
      <c r="E859" s="55"/>
      <c r="F859" s="55"/>
      <c r="G859" s="55"/>
      <c r="H859" s="141"/>
      <c r="M859" s="23">
        <v>1</v>
      </c>
    </row>
    <row r="860" spans="2:13" ht="18">
      <c r="B860" s="55"/>
      <c r="C860" s="55"/>
      <c r="D860" s="55"/>
      <c r="E860" s="55"/>
      <c r="F860" s="55"/>
      <c r="G860" s="55"/>
      <c r="H860" s="141"/>
      <c r="M860" s="23">
        <v>1</v>
      </c>
    </row>
    <row r="861" spans="2:13" ht="18">
      <c r="B861" s="55"/>
      <c r="C861" s="55"/>
      <c r="D861" s="55"/>
      <c r="E861" s="55"/>
      <c r="F861" s="55"/>
      <c r="G861" s="55"/>
      <c r="H861" s="141"/>
      <c r="M861" s="23">
        <v>1</v>
      </c>
    </row>
    <row r="862" spans="2:13" ht="18">
      <c r="B862" s="55"/>
      <c r="C862" s="55"/>
      <c r="D862" s="55"/>
      <c r="E862" s="55"/>
      <c r="F862" s="55"/>
      <c r="G862" s="55"/>
      <c r="H862" s="141"/>
      <c r="M862" s="23">
        <v>1</v>
      </c>
    </row>
    <row r="863" spans="2:13" ht="18">
      <c r="B863" s="55"/>
      <c r="C863" s="55"/>
      <c r="D863" s="55"/>
      <c r="E863" s="55"/>
      <c r="F863" s="55"/>
      <c r="G863" s="55"/>
      <c r="H863" s="141"/>
      <c r="M863" s="23">
        <v>1</v>
      </c>
    </row>
    <row r="864" spans="2:13" ht="18">
      <c r="B864" s="55"/>
      <c r="C864" s="55"/>
      <c r="D864" s="55"/>
      <c r="E864" s="55"/>
      <c r="F864" s="55"/>
      <c r="G864" s="55"/>
      <c r="H864" s="141"/>
      <c r="M864" s="23">
        <v>1</v>
      </c>
    </row>
    <row r="865" spans="2:13" ht="18">
      <c r="B865" s="55"/>
      <c r="C865" s="55"/>
      <c r="D865" s="55"/>
      <c r="E865" s="55"/>
      <c r="F865" s="55"/>
      <c r="G865" s="55"/>
      <c r="H865" s="141"/>
      <c r="M865" s="23">
        <v>1</v>
      </c>
    </row>
    <row r="866" spans="2:13" ht="18">
      <c r="B866" s="55"/>
      <c r="C866" s="55"/>
      <c r="D866" s="55"/>
      <c r="E866" s="55"/>
      <c r="F866" s="55"/>
      <c r="G866" s="55"/>
      <c r="H866" s="141"/>
      <c r="M866" s="23">
        <v>1</v>
      </c>
    </row>
    <row r="867" spans="2:13" ht="18">
      <c r="B867" s="55"/>
      <c r="C867" s="55"/>
      <c r="D867" s="55"/>
      <c r="E867" s="55"/>
      <c r="F867" s="55"/>
      <c r="G867" s="55"/>
      <c r="H867" s="141"/>
      <c r="M867" s="23">
        <v>1</v>
      </c>
    </row>
    <row r="868" spans="2:13" ht="18">
      <c r="B868" s="55"/>
      <c r="C868" s="55"/>
      <c r="D868" s="55"/>
      <c r="E868" s="55"/>
      <c r="F868" s="55"/>
      <c r="G868" s="55"/>
      <c r="H868" s="141"/>
      <c r="M868" s="23">
        <v>1</v>
      </c>
    </row>
    <row r="869" spans="2:13" ht="18">
      <c r="B869" s="55"/>
      <c r="C869" s="55"/>
      <c r="D869" s="55"/>
      <c r="E869" s="55"/>
      <c r="F869" s="55"/>
      <c r="G869" s="55"/>
      <c r="H869" s="141"/>
      <c r="M869" s="23">
        <v>1</v>
      </c>
    </row>
    <row r="870" spans="2:13" ht="18">
      <c r="B870" s="55"/>
      <c r="C870" s="55"/>
      <c r="D870" s="55"/>
      <c r="E870" s="55"/>
      <c r="F870" s="55"/>
      <c r="G870" s="55"/>
      <c r="H870" s="141"/>
      <c r="M870" s="23">
        <v>1</v>
      </c>
    </row>
    <row r="871" spans="2:13" ht="18">
      <c r="B871" s="55"/>
      <c r="C871" s="55"/>
      <c r="D871" s="55"/>
      <c r="E871" s="55"/>
      <c r="F871" s="55"/>
      <c r="G871" s="55"/>
      <c r="H871" s="141"/>
      <c r="M871" s="23">
        <v>1</v>
      </c>
    </row>
    <row r="872" spans="2:13" ht="18">
      <c r="B872" s="55"/>
      <c r="C872" s="55"/>
      <c r="D872" s="55"/>
      <c r="E872" s="55"/>
      <c r="F872" s="55"/>
      <c r="G872" s="55"/>
      <c r="H872" s="141"/>
      <c r="M872" s="23">
        <v>1</v>
      </c>
    </row>
    <row r="873" spans="2:13" ht="18">
      <c r="B873" s="55"/>
      <c r="C873" s="55"/>
      <c r="D873" s="55"/>
      <c r="E873" s="55"/>
      <c r="F873" s="55"/>
      <c r="G873" s="55"/>
      <c r="H873" s="141"/>
      <c r="M873" s="23">
        <v>1</v>
      </c>
    </row>
    <row r="874" spans="2:13" ht="18">
      <c r="B874" s="55"/>
      <c r="C874" s="55"/>
      <c r="D874" s="55"/>
      <c r="E874" s="55"/>
      <c r="F874" s="55"/>
      <c r="G874" s="55"/>
      <c r="H874" s="141"/>
      <c r="M874" s="23">
        <v>1</v>
      </c>
    </row>
    <row r="875" spans="2:13" ht="18">
      <c r="B875" s="55"/>
      <c r="C875" s="55"/>
      <c r="D875" s="55"/>
      <c r="E875" s="55"/>
      <c r="F875" s="55"/>
      <c r="G875" s="55"/>
      <c r="H875" s="141"/>
      <c r="M875" s="23">
        <v>1</v>
      </c>
    </row>
    <row r="876" spans="2:13" ht="18">
      <c r="B876" s="55"/>
      <c r="C876" s="55"/>
      <c r="D876" s="55"/>
      <c r="E876" s="55"/>
      <c r="F876" s="55"/>
      <c r="G876" s="55"/>
      <c r="H876" s="141"/>
      <c r="M876" s="23">
        <v>1</v>
      </c>
    </row>
    <row r="877" spans="2:13" ht="18">
      <c r="B877" s="55"/>
      <c r="C877" s="55"/>
      <c r="D877" s="55"/>
      <c r="E877" s="55"/>
      <c r="F877" s="55"/>
      <c r="G877" s="55"/>
      <c r="H877" s="141"/>
      <c r="M877" s="23">
        <v>1</v>
      </c>
    </row>
    <row r="878" spans="2:13" ht="18">
      <c r="B878" s="55"/>
      <c r="C878" s="55"/>
      <c r="D878" s="55"/>
      <c r="E878" s="55"/>
      <c r="F878" s="55"/>
      <c r="G878" s="55"/>
      <c r="H878" s="141"/>
      <c r="M878" s="23">
        <v>1</v>
      </c>
    </row>
    <row r="879" spans="2:13" ht="18">
      <c r="B879" s="55"/>
      <c r="C879" s="55"/>
      <c r="D879" s="55"/>
      <c r="E879" s="55"/>
      <c r="F879" s="55"/>
      <c r="G879" s="55"/>
      <c r="H879" s="141"/>
      <c r="M879" s="23">
        <v>1</v>
      </c>
    </row>
    <row r="880" spans="2:13" ht="18">
      <c r="B880" s="55"/>
      <c r="C880" s="55"/>
      <c r="D880" s="55"/>
      <c r="E880" s="55"/>
      <c r="F880" s="55"/>
      <c r="G880" s="55"/>
      <c r="H880" s="141"/>
      <c r="M880" s="23">
        <v>1</v>
      </c>
    </row>
    <row r="881" spans="2:13" ht="18">
      <c r="B881" s="55"/>
      <c r="C881" s="55"/>
      <c r="D881" s="55"/>
      <c r="E881" s="55"/>
      <c r="F881" s="55"/>
      <c r="G881" s="55"/>
      <c r="H881" s="141"/>
      <c r="M881" s="23">
        <v>1</v>
      </c>
    </row>
    <row r="882" spans="2:13" ht="18">
      <c r="B882" s="55"/>
      <c r="C882" s="55"/>
      <c r="D882" s="55"/>
      <c r="E882" s="55"/>
      <c r="F882" s="55"/>
      <c r="G882" s="55"/>
      <c r="H882" s="141"/>
      <c r="M882" s="23">
        <v>1</v>
      </c>
    </row>
    <row r="883" spans="2:13" ht="18">
      <c r="B883" s="55"/>
      <c r="C883" s="55"/>
      <c r="D883" s="55"/>
      <c r="E883" s="55"/>
      <c r="F883" s="55"/>
      <c r="G883" s="55"/>
      <c r="H883" s="141"/>
      <c r="M883" s="23">
        <v>1</v>
      </c>
    </row>
    <row r="884" spans="2:13" ht="18">
      <c r="B884" s="55"/>
      <c r="C884" s="55"/>
      <c r="D884" s="55"/>
      <c r="E884" s="55"/>
      <c r="F884" s="55"/>
      <c r="G884" s="55"/>
      <c r="H884" s="141"/>
      <c r="M884" s="23">
        <v>1</v>
      </c>
    </row>
    <row r="885" spans="2:13" ht="18">
      <c r="B885" s="55"/>
      <c r="C885" s="55"/>
      <c r="D885" s="55"/>
      <c r="E885" s="55"/>
      <c r="F885" s="55"/>
      <c r="G885" s="55"/>
      <c r="H885" s="141"/>
      <c r="M885" s="23">
        <v>1</v>
      </c>
    </row>
    <row r="886" spans="2:13" ht="18">
      <c r="B886" s="55"/>
      <c r="C886" s="55"/>
      <c r="D886" s="55"/>
      <c r="E886" s="55"/>
      <c r="F886" s="55"/>
      <c r="G886" s="55"/>
      <c r="H886" s="141"/>
      <c r="M886" s="23">
        <v>1</v>
      </c>
    </row>
    <row r="887" spans="2:13" ht="18">
      <c r="B887" s="55"/>
      <c r="C887" s="55"/>
      <c r="D887" s="55"/>
      <c r="E887" s="55"/>
      <c r="F887" s="55"/>
      <c r="G887" s="55"/>
      <c r="H887" s="141"/>
      <c r="M887" s="23">
        <v>1</v>
      </c>
    </row>
    <row r="888" spans="2:13" ht="18">
      <c r="B888" s="55"/>
      <c r="C888" s="55"/>
      <c r="D888" s="55"/>
      <c r="E888" s="55"/>
      <c r="F888" s="55"/>
      <c r="G888" s="55"/>
      <c r="H888" s="141"/>
      <c r="M888" s="23">
        <v>1</v>
      </c>
    </row>
    <row r="889" spans="2:13" ht="18">
      <c r="B889" s="55"/>
      <c r="C889" s="55"/>
      <c r="D889" s="55"/>
      <c r="E889" s="55"/>
      <c r="F889" s="55"/>
      <c r="G889" s="55"/>
      <c r="H889" s="141"/>
      <c r="M889" s="23">
        <v>1</v>
      </c>
    </row>
    <row r="890" spans="2:13" ht="18">
      <c r="B890" s="55"/>
      <c r="C890" s="55"/>
      <c r="D890" s="55"/>
      <c r="E890" s="55"/>
      <c r="F890" s="55"/>
      <c r="G890" s="55"/>
      <c r="H890" s="141"/>
      <c r="M890" s="23">
        <v>1</v>
      </c>
    </row>
    <row r="891" spans="2:13" ht="18">
      <c r="B891" s="55"/>
      <c r="C891" s="55"/>
      <c r="D891" s="55"/>
      <c r="E891" s="55"/>
      <c r="F891" s="55"/>
      <c r="G891" s="55"/>
      <c r="H891" s="141"/>
      <c r="M891" s="23">
        <v>1</v>
      </c>
    </row>
    <row r="892" spans="2:13" ht="18">
      <c r="B892" s="55"/>
      <c r="C892" s="55"/>
      <c r="D892" s="55"/>
      <c r="E892" s="55"/>
      <c r="F892" s="55"/>
      <c r="G892" s="55"/>
      <c r="H892" s="141"/>
      <c r="M892" s="23">
        <v>1</v>
      </c>
    </row>
    <row r="893" spans="2:13" ht="18">
      <c r="B893" s="55"/>
      <c r="C893" s="55"/>
      <c r="D893" s="55"/>
      <c r="E893" s="55"/>
      <c r="F893" s="55"/>
      <c r="G893" s="55"/>
      <c r="H893" s="141"/>
      <c r="M893" s="23">
        <v>1</v>
      </c>
    </row>
    <row r="894" spans="2:13" ht="18">
      <c r="B894" s="55"/>
      <c r="C894" s="55"/>
      <c r="D894" s="55"/>
      <c r="E894" s="55"/>
      <c r="F894" s="55"/>
      <c r="G894" s="55"/>
      <c r="H894" s="141"/>
      <c r="M894" s="23">
        <v>1</v>
      </c>
    </row>
    <row r="895" spans="2:13" ht="18">
      <c r="B895" s="55"/>
      <c r="C895" s="55"/>
      <c r="D895" s="55"/>
      <c r="E895" s="55"/>
      <c r="F895" s="55"/>
      <c r="G895" s="55"/>
      <c r="H895" s="141"/>
      <c r="M895" s="23">
        <v>1</v>
      </c>
    </row>
    <row r="896" spans="2:13" ht="18">
      <c r="B896" s="55"/>
      <c r="C896" s="55"/>
      <c r="D896" s="55"/>
      <c r="E896" s="55"/>
      <c r="F896" s="55"/>
      <c r="G896" s="55"/>
      <c r="H896" s="141"/>
      <c r="M896" s="23">
        <v>1</v>
      </c>
    </row>
    <row r="897" spans="2:13" ht="18">
      <c r="B897" s="55"/>
      <c r="C897" s="55"/>
      <c r="D897" s="55"/>
      <c r="E897" s="55"/>
      <c r="F897" s="55"/>
      <c r="G897" s="55"/>
      <c r="H897" s="141"/>
      <c r="M897" s="23">
        <v>1</v>
      </c>
    </row>
    <row r="898" spans="2:13" ht="18">
      <c r="B898" s="55"/>
      <c r="C898" s="55"/>
      <c r="D898" s="55"/>
      <c r="E898" s="55"/>
      <c r="F898" s="55"/>
      <c r="G898" s="55"/>
      <c r="H898" s="141"/>
      <c r="M898" s="23">
        <v>1</v>
      </c>
    </row>
    <row r="899" spans="2:13" ht="18">
      <c r="B899" s="55"/>
      <c r="C899" s="55"/>
      <c r="D899" s="55"/>
      <c r="E899" s="55"/>
      <c r="F899" s="55"/>
      <c r="G899" s="55"/>
      <c r="H899" s="141"/>
      <c r="M899" s="23">
        <v>1</v>
      </c>
    </row>
    <row r="900" spans="2:13" ht="18">
      <c r="B900" s="55"/>
      <c r="C900" s="55"/>
      <c r="D900" s="55"/>
      <c r="E900" s="55"/>
      <c r="F900" s="55"/>
      <c r="G900" s="55"/>
      <c r="H900" s="141"/>
      <c r="M900" s="23">
        <v>1</v>
      </c>
    </row>
    <row r="901" spans="2:13" ht="18">
      <c r="B901" s="55"/>
      <c r="C901" s="55"/>
      <c r="D901" s="55"/>
      <c r="E901" s="55"/>
      <c r="F901" s="55"/>
      <c r="G901" s="55"/>
      <c r="H901" s="141"/>
      <c r="M901" s="23">
        <v>1</v>
      </c>
    </row>
    <row r="902" spans="2:13" ht="18">
      <c r="B902" s="55"/>
      <c r="C902" s="55"/>
      <c r="D902" s="55"/>
      <c r="E902" s="55"/>
      <c r="F902" s="55"/>
      <c r="G902" s="55"/>
      <c r="H902" s="141"/>
      <c r="M902" s="23">
        <v>1</v>
      </c>
    </row>
    <row r="903" spans="2:13" ht="18">
      <c r="B903" s="55"/>
      <c r="C903" s="55"/>
      <c r="D903" s="55"/>
      <c r="E903" s="55"/>
      <c r="F903" s="55"/>
      <c r="G903" s="55"/>
      <c r="H903" s="141"/>
      <c r="M903" s="23">
        <v>1</v>
      </c>
    </row>
    <row r="904" spans="2:13" ht="18">
      <c r="B904" s="55"/>
      <c r="C904" s="55"/>
      <c r="D904" s="55"/>
      <c r="E904" s="55"/>
      <c r="F904" s="55"/>
      <c r="G904" s="55"/>
      <c r="H904" s="141"/>
      <c r="M904" s="23">
        <v>1</v>
      </c>
    </row>
    <row r="905" spans="2:13" ht="18">
      <c r="B905" s="55"/>
      <c r="C905" s="55"/>
      <c r="D905" s="55"/>
      <c r="E905" s="55"/>
      <c r="F905" s="55"/>
      <c r="G905" s="55"/>
      <c r="H905" s="141"/>
      <c r="M905" s="23">
        <v>1</v>
      </c>
    </row>
    <row r="906" spans="2:13" ht="18">
      <c r="B906" s="55"/>
      <c r="C906" s="55"/>
      <c r="D906" s="55"/>
      <c r="E906" s="55"/>
      <c r="F906" s="55"/>
      <c r="G906" s="55"/>
      <c r="H906" s="141"/>
      <c r="M906" s="23">
        <v>1</v>
      </c>
    </row>
    <row r="907" spans="2:13" ht="18">
      <c r="B907" s="55"/>
      <c r="C907" s="55"/>
      <c r="D907" s="55"/>
      <c r="E907" s="55"/>
      <c r="F907" s="55"/>
      <c r="G907" s="55"/>
      <c r="H907" s="141"/>
      <c r="M907" s="23">
        <v>1</v>
      </c>
    </row>
    <row r="908" spans="2:13" ht="18">
      <c r="B908" s="55"/>
      <c r="C908" s="55"/>
      <c r="D908" s="55"/>
      <c r="E908" s="55"/>
      <c r="F908" s="55"/>
      <c r="G908" s="55"/>
      <c r="H908" s="141"/>
      <c r="M908" s="23">
        <v>1</v>
      </c>
    </row>
    <row r="909" spans="2:13" ht="18">
      <c r="B909" s="55"/>
      <c r="C909" s="55"/>
      <c r="D909" s="55"/>
      <c r="E909" s="55"/>
      <c r="F909" s="55"/>
      <c r="G909" s="55"/>
      <c r="H909" s="141"/>
      <c r="M909" s="23">
        <v>1</v>
      </c>
    </row>
    <row r="910" spans="2:13" ht="18">
      <c r="B910" s="55"/>
      <c r="C910" s="55"/>
      <c r="D910" s="55"/>
      <c r="E910" s="55"/>
      <c r="F910" s="55"/>
      <c r="G910" s="55"/>
      <c r="H910" s="141"/>
      <c r="M910" s="23">
        <v>1</v>
      </c>
    </row>
    <row r="911" spans="2:13" ht="18">
      <c r="B911" s="55"/>
      <c r="C911" s="55"/>
      <c r="D911" s="55"/>
      <c r="E911" s="55"/>
      <c r="F911" s="55"/>
      <c r="G911" s="55"/>
      <c r="H911" s="141"/>
      <c r="M911" s="23">
        <v>1</v>
      </c>
    </row>
    <row r="912" spans="2:13" ht="18">
      <c r="B912" s="55"/>
      <c r="C912" s="55"/>
      <c r="D912" s="55"/>
      <c r="E912" s="55"/>
      <c r="F912" s="55"/>
      <c r="G912" s="55"/>
      <c r="H912" s="141"/>
      <c r="M912" s="23">
        <v>1</v>
      </c>
    </row>
    <row r="913" spans="2:13" ht="18">
      <c r="B913" s="55"/>
      <c r="C913" s="55"/>
      <c r="D913" s="55"/>
      <c r="E913" s="55"/>
      <c r="F913" s="55"/>
      <c r="G913" s="55"/>
      <c r="H913" s="141"/>
      <c r="M913" s="23">
        <v>1</v>
      </c>
    </row>
    <row r="914" spans="2:13" ht="18">
      <c r="B914" s="55"/>
      <c r="C914" s="55"/>
      <c r="D914" s="55"/>
      <c r="E914" s="55"/>
      <c r="F914" s="55"/>
      <c r="G914" s="55"/>
      <c r="H914" s="141"/>
      <c r="M914" s="23">
        <v>1</v>
      </c>
    </row>
    <row r="915" spans="2:13" ht="18">
      <c r="B915" s="55"/>
      <c r="C915" s="55"/>
      <c r="D915" s="55"/>
      <c r="E915" s="55"/>
      <c r="F915" s="55"/>
      <c r="G915" s="55"/>
      <c r="H915" s="141"/>
      <c r="M915" s="23">
        <v>1</v>
      </c>
    </row>
    <row r="916" spans="2:13" ht="18">
      <c r="B916" s="55"/>
      <c r="C916" s="55"/>
      <c r="D916" s="55"/>
      <c r="E916" s="55"/>
      <c r="F916" s="55"/>
      <c r="G916" s="55"/>
      <c r="H916" s="141"/>
      <c r="M916" s="23">
        <v>1</v>
      </c>
    </row>
    <row r="917" spans="2:13" ht="18">
      <c r="B917" s="55"/>
      <c r="C917" s="55"/>
      <c r="D917" s="55"/>
      <c r="E917" s="55"/>
      <c r="F917" s="55"/>
      <c r="G917" s="55"/>
      <c r="H917" s="141"/>
      <c r="M917" s="23">
        <v>1</v>
      </c>
    </row>
    <row r="918" spans="2:13" ht="18">
      <c r="B918" s="55"/>
      <c r="C918" s="55"/>
      <c r="D918" s="55"/>
      <c r="E918" s="55"/>
      <c r="F918" s="55"/>
      <c r="G918" s="55"/>
      <c r="H918" s="141"/>
      <c r="M918" s="23">
        <v>1</v>
      </c>
    </row>
    <row r="919" spans="2:13" ht="18">
      <c r="B919" s="55"/>
      <c r="C919" s="55"/>
      <c r="D919" s="55"/>
      <c r="E919" s="55"/>
      <c r="F919" s="55"/>
      <c r="G919" s="55"/>
      <c r="H919" s="141"/>
      <c r="M919" s="23">
        <v>1</v>
      </c>
    </row>
    <row r="920" spans="2:13" ht="18">
      <c r="B920" s="55"/>
      <c r="C920" s="55"/>
      <c r="D920" s="55"/>
      <c r="E920" s="55"/>
      <c r="F920" s="55"/>
      <c r="G920" s="55"/>
      <c r="H920" s="141"/>
      <c r="M920" s="23">
        <v>1</v>
      </c>
    </row>
    <row r="921" spans="2:13" ht="18">
      <c r="B921" s="55"/>
      <c r="C921" s="55"/>
      <c r="D921" s="55"/>
      <c r="E921" s="55"/>
      <c r="F921" s="55"/>
      <c r="G921" s="55"/>
      <c r="H921" s="141"/>
      <c r="M921" s="23">
        <v>1</v>
      </c>
    </row>
    <row r="922" spans="2:13" ht="18">
      <c r="B922" s="55"/>
      <c r="C922" s="55"/>
      <c r="D922" s="55"/>
      <c r="E922" s="55"/>
      <c r="F922" s="55"/>
      <c r="G922" s="55"/>
      <c r="H922" s="141"/>
      <c r="M922" s="23">
        <v>1</v>
      </c>
    </row>
    <row r="923" spans="2:13" ht="18">
      <c r="B923" s="55"/>
      <c r="C923" s="55"/>
      <c r="D923" s="55"/>
      <c r="E923" s="55"/>
      <c r="F923" s="55"/>
      <c r="G923" s="55"/>
      <c r="H923" s="141"/>
      <c r="M923" s="23">
        <v>1</v>
      </c>
    </row>
    <row r="924" spans="2:13" ht="18">
      <c r="B924" s="55"/>
      <c r="C924" s="55"/>
      <c r="D924" s="55"/>
      <c r="E924" s="55"/>
      <c r="F924" s="55"/>
      <c r="G924" s="55"/>
      <c r="H924" s="141"/>
      <c r="M924" s="23">
        <v>1</v>
      </c>
    </row>
    <row r="925" spans="2:13" ht="18">
      <c r="B925" s="55"/>
      <c r="C925" s="55"/>
      <c r="D925" s="55"/>
      <c r="E925" s="55"/>
      <c r="F925" s="55"/>
      <c r="G925" s="55"/>
      <c r="H925" s="141"/>
      <c r="M925" s="23">
        <v>1</v>
      </c>
    </row>
    <row r="926" spans="2:13" ht="18">
      <c r="B926" s="55"/>
      <c r="C926" s="55"/>
      <c r="D926" s="55"/>
      <c r="E926" s="55"/>
      <c r="F926" s="55"/>
      <c r="G926" s="55"/>
      <c r="H926" s="141"/>
      <c r="M926" s="23">
        <v>1</v>
      </c>
    </row>
    <row r="927" spans="2:13" ht="18">
      <c r="B927" s="55"/>
      <c r="C927" s="55"/>
      <c r="D927" s="55"/>
      <c r="E927" s="55"/>
      <c r="F927" s="55"/>
      <c r="G927" s="55"/>
      <c r="H927" s="141"/>
      <c r="M927" s="23">
        <v>1</v>
      </c>
    </row>
    <row r="928" spans="2:13" ht="18">
      <c r="B928" s="55"/>
      <c r="C928" s="55"/>
      <c r="D928" s="55"/>
      <c r="E928" s="55"/>
      <c r="F928" s="55"/>
      <c r="G928" s="55"/>
      <c r="H928" s="141"/>
      <c r="M928" s="23">
        <v>1</v>
      </c>
    </row>
    <row r="929" spans="2:13" ht="18">
      <c r="B929" s="55"/>
      <c r="C929" s="55"/>
      <c r="D929" s="55"/>
      <c r="E929" s="55"/>
      <c r="F929" s="55"/>
      <c r="G929" s="55"/>
      <c r="H929" s="141"/>
      <c r="M929" s="23">
        <v>1</v>
      </c>
    </row>
    <row r="930" spans="2:13" ht="18">
      <c r="B930" s="55"/>
      <c r="C930" s="55"/>
      <c r="D930" s="55"/>
      <c r="E930" s="55"/>
      <c r="F930" s="55"/>
      <c r="G930" s="55"/>
      <c r="H930" s="141"/>
      <c r="M930" s="23">
        <v>1</v>
      </c>
    </row>
    <row r="931" spans="2:13" ht="18">
      <c r="B931" s="55"/>
      <c r="C931" s="55"/>
      <c r="D931" s="55"/>
      <c r="E931" s="55"/>
      <c r="F931" s="55"/>
      <c r="G931" s="55"/>
      <c r="H931" s="141"/>
      <c r="M931" s="23">
        <v>1</v>
      </c>
    </row>
    <row r="932" spans="2:13" ht="18">
      <c r="B932" s="55"/>
      <c r="C932" s="55"/>
      <c r="D932" s="55"/>
      <c r="E932" s="55"/>
      <c r="F932" s="55"/>
      <c r="G932" s="55"/>
      <c r="H932" s="141"/>
      <c r="M932" s="23">
        <v>1</v>
      </c>
    </row>
    <row r="933" spans="2:13" ht="18">
      <c r="B933" s="55"/>
      <c r="C933" s="55"/>
      <c r="D933" s="55"/>
      <c r="E933" s="55"/>
      <c r="F933" s="55"/>
      <c r="G933" s="55"/>
      <c r="H933" s="141"/>
      <c r="M933" s="23">
        <v>1</v>
      </c>
    </row>
    <row r="934" spans="2:13" ht="18">
      <c r="B934" s="55"/>
      <c r="C934" s="55"/>
      <c r="D934" s="55"/>
      <c r="E934" s="55"/>
      <c r="F934" s="55"/>
      <c r="G934" s="55"/>
      <c r="H934" s="141"/>
      <c r="M934" s="23">
        <v>1</v>
      </c>
    </row>
    <row r="935" spans="2:13" ht="18">
      <c r="B935" s="55"/>
      <c r="C935" s="55"/>
      <c r="D935" s="55"/>
      <c r="E935" s="55"/>
      <c r="F935" s="55"/>
      <c r="G935" s="55"/>
      <c r="H935" s="141"/>
      <c r="M935" s="23">
        <v>1</v>
      </c>
    </row>
    <row r="936" spans="2:13" ht="18">
      <c r="B936" s="55"/>
      <c r="C936" s="55"/>
      <c r="D936" s="55"/>
      <c r="E936" s="55"/>
      <c r="F936" s="55"/>
      <c r="G936" s="55"/>
      <c r="H936" s="141"/>
      <c r="M936" s="23">
        <v>1</v>
      </c>
    </row>
    <row r="937" spans="2:13" ht="18">
      <c r="B937" s="55"/>
      <c r="C937" s="55"/>
      <c r="D937" s="55"/>
      <c r="E937" s="55"/>
      <c r="F937" s="55"/>
      <c r="G937" s="55"/>
      <c r="H937" s="141"/>
      <c r="M937" s="23">
        <v>1</v>
      </c>
    </row>
    <row r="938" spans="2:13" ht="18">
      <c r="B938" s="55"/>
      <c r="C938" s="55"/>
      <c r="D938" s="55"/>
      <c r="E938" s="55"/>
      <c r="F938" s="55"/>
      <c r="G938" s="55"/>
      <c r="H938" s="141"/>
      <c r="M938" s="23">
        <v>1</v>
      </c>
    </row>
    <row r="939" spans="2:13" ht="18">
      <c r="B939" s="55"/>
      <c r="C939" s="55"/>
      <c r="D939" s="55"/>
      <c r="E939" s="55"/>
      <c r="F939" s="55"/>
      <c r="G939" s="55"/>
      <c r="H939" s="141"/>
      <c r="M939" s="23">
        <v>1</v>
      </c>
    </row>
    <row r="940" spans="2:13" ht="18">
      <c r="B940" s="55"/>
      <c r="C940" s="55"/>
      <c r="D940" s="55"/>
      <c r="E940" s="55"/>
      <c r="F940" s="55"/>
      <c r="G940" s="55"/>
      <c r="H940" s="141"/>
      <c r="M940" s="23">
        <v>1</v>
      </c>
    </row>
    <row r="941" spans="2:13" ht="18">
      <c r="B941" s="55"/>
      <c r="C941" s="55"/>
      <c r="D941" s="55"/>
      <c r="E941" s="55"/>
      <c r="F941" s="55"/>
      <c r="G941" s="55"/>
      <c r="H941" s="141"/>
      <c r="M941" s="23">
        <v>1</v>
      </c>
    </row>
    <row r="942" spans="2:13" ht="18">
      <c r="B942" s="55"/>
      <c r="C942" s="55"/>
      <c r="D942" s="55"/>
      <c r="E942" s="55"/>
      <c r="F942" s="55"/>
      <c r="G942" s="55"/>
      <c r="H942" s="141"/>
      <c r="M942" s="23">
        <v>1</v>
      </c>
    </row>
    <row r="943" spans="2:13" ht="18">
      <c r="B943" s="55"/>
      <c r="C943" s="55"/>
      <c r="D943" s="55"/>
      <c r="E943" s="55"/>
      <c r="F943" s="55"/>
      <c r="G943" s="55"/>
      <c r="H943" s="141"/>
      <c r="M943" s="23">
        <v>1</v>
      </c>
    </row>
    <row r="944" spans="2:13" ht="18">
      <c r="B944" s="55"/>
      <c r="C944" s="55"/>
      <c r="D944" s="55"/>
      <c r="E944" s="55"/>
      <c r="F944" s="55"/>
      <c r="G944" s="55"/>
      <c r="H944" s="141"/>
      <c r="M944" s="23">
        <v>1</v>
      </c>
    </row>
    <row r="945" spans="2:13" ht="18">
      <c r="B945" s="55"/>
      <c r="C945" s="55"/>
      <c r="D945" s="55"/>
      <c r="E945" s="55"/>
      <c r="F945" s="55"/>
      <c r="G945" s="55"/>
      <c r="H945" s="141"/>
      <c r="M945" s="23">
        <v>1</v>
      </c>
    </row>
    <row r="946" spans="2:13" ht="18">
      <c r="B946" s="55"/>
      <c r="C946" s="55"/>
      <c r="D946" s="55"/>
      <c r="E946" s="55"/>
      <c r="F946" s="55"/>
      <c r="G946" s="55"/>
      <c r="H946" s="141"/>
      <c r="M946" s="23">
        <v>1</v>
      </c>
    </row>
    <row r="947" spans="2:13" ht="18">
      <c r="B947" s="55"/>
      <c r="C947" s="55"/>
      <c r="D947" s="55"/>
      <c r="E947" s="55"/>
      <c r="F947" s="55"/>
      <c r="G947" s="55"/>
      <c r="H947" s="141"/>
      <c r="M947" s="23">
        <v>1</v>
      </c>
    </row>
    <row r="948" spans="2:13" ht="18">
      <c r="B948" s="55"/>
      <c r="C948" s="55"/>
      <c r="D948" s="55"/>
      <c r="E948" s="55"/>
      <c r="F948" s="55"/>
      <c r="G948" s="55"/>
      <c r="H948" s="141"/>
      <c r="M948" s="23">
        <v>1</v>
      </c>
    </row>
    <row r="949" spans="2:13" ht="18">
      <c r="B949" s="55"/>
      <c r="C949" s="55"/>
      <c r="D949" s="55"/>
      <c r="E949" s="55"/>
      <c r="F949" s="55"/>
      <c r="G949" s="55"/>
      <c r="H949" s="141"/>
      <c r="M949" s="23">
        <v>1</v>
      </c>
    </row>
    <row r="950" spans="2:13" ht="18">
      <c r="B950" s="55"/>
      <c r="C950" s="55"/>
      <c r="D950" s="55"/>
      <c r="E950" s="55"/>
      <c r="F950" s="55"/>
      <c r="G950" s="55"/>
      <c r="H950" s="141"/>
      <c r="M950" s="23">
        <v>1</v>
      </c>
    </row>
    <row r="951" spans="2:13" ht="18">
      <c r="B951" s="55"/>
      <c r="C951" s="55"/>
      <c r="D951" s="55"/>
      <c r="E951" s="55"/>
      <c r="F951" s="55"/>
      <c r="G951" s="55"/>
      <c r="H951" s="141"/>
      <c r="M951" s="23">
        <v>1</v>
      </c>
    </row>
    <row r="952" spans="2:13" ht="18">
      <c r="B952" s="55"/>
      <c r="C952" s="55"/>
      <c r="D952" s="55"/>
      <c r="E952" s="55"/>
      <c r="F952" s="55"/>
      <c r="G952" s="55"/>
      <c r="H952" s="141"/>
      <c r="M952" s="23">
        <v>1</v>
      </c>
    </row>
    <row r="953" spans="2:13" ht="18">
      <c r="B953" s="55"/>
      <c r="C953" s="55"/>
      <c r="D953" s="55"/>
      <c r="E953" s="55"/>
      <c r="F953" s="55"/>
      <c r="G953" s="55"/>
      <c r="H953" s="141"/>
      <c r="M953" s="23">
        <v>1</v>
      </c>
    </row>
    <row r="954" spans="2:13" ht="18">
      <c r="B954" s="55"/>
      <c r="C954" s="55"/>
      <c r="D954" s="55"/>
      <c r="E954" s="55"/>
      <c r="F954" s="55"/>
      <c r="G954" s="55"/>
      <c r="H954" s="141"/>
      <c r="M954" s="23">
        <v>1</v>
      </c>
    </row>
    <row r="955" spans="2:13" ht="18">
      <c r="B955" s="55"/>
      <c r="C955" s="55"/>
      <c r="D955" s="55"/>
      <c r="E955" s="55"/>
      <c r="F955" s="55"/>
      <c r="G955" s="55"/>
      <c r="H955" s="141"/>
      <c r="M955" s="23">
        <v>1</v>
      </c>
    </row>
    <row r="956" spans="2:13" ht="18">
      <c r="B956" s="55"/>
      <c r="C956" s="55"/>
      <c r="D956" s="55"/>
      <c r="E956" s="55"/>
      <c r="F956" s="55"/>
      <c r="G956" s="55"/>
      <c r="H956" s="141"/>
      <c r="M956" s="23">
        <v>1</v>
      </c>
    </row>
    <row r="957" spans="2:13" ht="18">
      <c r="B957" s="55"/>
      <c r="C957" s="55"/>
      <c r="D957" s="55"/>
      <c r="E957" s="55"/>
      <c r="F957" s="55"/>
      <c r="G957" s="55"/>
      <c r="H957" s="141"/>
      <c r="M957" s="23">
        <v>1</v>
      </c>
    </row>
    <row r="958" spans="2:13" ht="18">
      <c r="B958" s="55"/>
      <c r="C958" s="55"/>
      <c r="D958" s="55"/>
      <c r="E958" s="55"/>
      <c r="F958" s="55"/>
      <c r="G958" s="55"/>
      <c r="H958" s="141"/>
      <c r="M958" s="23">
        <v>1</v>
      </c>
    </row>
    <row r="959" spans="2:13" ht="18">
      <c r="B959" s="55"/>
      <c r="C959" s="55"/>
      <c r="D959" s="55"/>
      <c r="E959" s="55"/>
      <c r="F959" s="55"/>
      <c r="G959" s="55"/>
      <c r="H959" s="141"/>
      <c r="M959" s="23">
        <v>1</v>
      </c>
    </row>
    <row r="960" spans="2:13" ht="18">
      <c r="B960" s="55"/>
      <c r="C960" s="55"/>
      <c r="D960" s="55"/>
      <c r="E960" s="55"/>
      <c r="F960" s="55"/>
      <c r="G960" s="55"/>
      <c r="H960" s="141"/>
      <c r="M960" s="23">
        <v>1</v>
      </c>
    </row>
    <row r="961" spans="2:13" ht="18">
      <c r="B961" s="55"/>
      <c r="C961" s="55"/>
      <c r="D961" s="55"/>
      <c r="E961" s="55"/>
      <c r="F961" s="55"/>
      <c r="G961" s="55"/>
      <c r="H961" s="141"/>
      <c r="M961" s="23">
        <v>1</v>
      </c>
    </row>
    <row r="962" spans="2:13" ht="18">
      <c r="B962" s="55"/>
      <c r="C962" s="55"/>
      <c r="D962" s="55"/>
      <c r="E962" s="55"/>
      <c r="F962" s="55"/>
      <c r="G962" s="55"/>
      <c r="H962" s="141"/>
      <c r="M962" s="23">
        <v>1</v>
      </c>
    </row>
    <row r="963" spans="2:13" ht="18">
      <c r="B963" s="55"/>
      <c r="C963" s="55"/>
      <c r="D963" s="55"/>
      <c r="E963" s="55"/>
      <c r="F963" s="55"/>
      <c r="G963" s="55"/>
      <c r="H963" s="141"/>
      <c r="M963" s="23">
        <v>1</v>
      </c>
    </row>
    <row r="964" spans="2:13" ht="18">
      <c r="B964" s="55"/>
      <c r="C964" s="55"/>
      <c r="D964" s="55"/>
      <c r="E964" s="55"/>
      <c r="F964" s="55"/>
      <c r="G964" s="55"/>
      <c r="H964" s="141"/>
      <c r="M964" s="23">
        <v>1</v>
      </c>
    </row>
    <row r="965" spans="2:13" ht="18">
      <c r="B965" s="55"/>
      <c r="C965" s="55"/>
      <c r="D965" s="55"/>
      <c r="E965" s="55"/>
      <c r="F965" s="55"/>
      <c r="G965" s="55"/>
      <c r="H965" s="141"/>
      <c r="M965" s="23">
        <v>1</v>
      </c>
    </row>
    <row r="966" spans="2:13" ht="18">
      <c r="B966" s="55"/>
      <c r="C966" s="55"/>
      <c r="D966" s="55"/>
      <c r="E966" s="55"/>
      <c r="F966" s="55"/>
      <c r="G966" s="55"/>
      <c r="H966" s="141"/>
      <c r="M966" s="23">
        <v>1</v>
      </c>
    </row>
    <row r="967" spans="2:13" ht="18">
      <c r="B967" s="55"/>
      <c r="C967" s="55"/>
      <c r="D967" s="55"/>
      <c r="E967" s="55"/>
      <c r="F967" s="55"/>
      <c r="G967" s="55"/>
      <c r="H967" s="141"/>
      <c r="M967" s="23">
        <v>1</v>
      </c>
    </row>
    <row r="968" spans="2:13" ht="18">
      <c r="B968" s="55"/>
      <c r="C968" s="55"/>
      <c r="D968" s="55"/>
      <c r="E968" s="55"/>
      <c r="F968" s="55"/>
      <c r="G968" s="55"/>
      <c r="H968" s="141"/>
      <c r="M968" s="23">
        <v>1</v>
      </c>
    </row>
    <row r="969" spans="2:13" ht="18">
      <c r="B969" s="55"/>
      <c r="C969" s="55"/>
      <c r="D969" s="55"/>
      <c r="E969" s="55"/>
      <c r="F969" s="55"/>
      <c r="G969" s="55"/>
      <c r="H969" s="141"/>
      <c r="M969" s="23">
        <v>1</v>
      </c>
    </row>
    <row r="970" spans="2:13" ht="18">
      <c r="B970" s="55"/>
      <c r="C970" s="55"/>
      <c r="D970" s="55"/>
      <c r="E970" s="55"/>
      <c r="F970" s="55"/>
      <c r="G970" s="55"/>
      <c r="H970" s="141"/>
      <c r="M970" s="23">
        <v>1</v>
      </c>
    </row>
    <row r="971" spans="2:13" ht="18">
      <c r="B971" s="55"/>
      <c r="C971" s="55"/>
      <c r="D971" s="55"/>
      <c r="E971" s="55"/>
      <c r="F971" s="55"/>
      <c r="G971" s="55"/>
      <c r="H971" s="141"/>
      <c r="M971" s="23">
        <v>1</v>
      </c>
    </row>
    <row r="972" spans="2:13" ht="18">
      <c r="B972" s="55"/>
      <c r="C972" s="55"/>
      <c r="D972" s="55"/>
      <c r="E972" s="55"/>
      <c r="F972" s="55"/>
      <c r="G972" s="55"/>
      <c r="H972" s="141"/>
      <c r="M972" s="23">
        <v>1</v>
      </c>
    </row>
    <row r="973" spans="2:13" ht="18">
      <c r="B973" s="55"/>
      <c r="C973" s="55"/>
      <c r="D973" s="55"/>
      <c r="E973" s="55"/>
      <c r="F973" s="55"/>
      <c r="G973" s="55"/>
      <c r="H973" s="141"/>
      <c r="M973" s="23">
        <v>1</v>
      </c>
    </row>
    <row r="974" spans="2:13" ht="18">
      <c r="B974" s="55"/>
      <c r="C974" s="55"/>
      <c r="D974" s="55"/>
      <c r="E974" s="55"/>
      <c r="F974" s="55"/>
      <c r="G974" s="55"/>
      <c r="H974" s="141"/>
      <c r="M974" s="23">
        <v>1</v>
      </c>
    </row>
    <row r="975" spans="2:13" ht="18">
      <c r="B975" s="55"/>
      <c r="C975" s="55"/>
      <c r="D975" s="55"/>
      <c r="E975" s="55"/>
      <c r="F975" s="55"/>
      <c r="G975" s="55"/>
      <c r="H975" s="141"/>
      <c r="M975" s="23">
        <v>1</v>
      </c>
    </row>
    <row r="976" spans="2:13" ht="18">
      <c r="B976" s="55"/>
      <c r="C976" s="55"/>
      <c r="D976" s="55"/>
      <c r="E976" s="55"/>
      <c r="F976" s="55"/>
      <c r="G976" s="55"/>
      <c r="H976" s="141"/>
      <c r="M976" s="23">
        <v>1</v>
      </c>
    </row>
    <row r="977" spans="2:13" ht="18">
      <c r="B977" s="55"/>
      <c r="C977" s="55"/>
      <c r="D977" s="55"/>
      <c r="E977" s="55"/>
      <c r="F977" s="55"/>
      <c r="G977" s="55"/>
      <c r="H977" s="141"/>
      <c r="M977" s="23">
        <v>1</v>
      </c>
    </row>
    <row r="978" spans="2:13" ht="18">
      <c r="B978" s="55"/>
      <c r="C978" s="55"/>
      <c r="D978" s="55"/>
      <c r="E978" s="55"/>
      <c r="F978" s="55"/>
      <c r="G978" s="55"/>
      <c r="H978" s="141"/>
      <c r="M978" s="23">
        <v>1</v>
      </c>
    </row>
    <row r="979" spans="2:13" ht="18">
      <c r="B979" s="55"/>
      <c r="C979" s="55"/>
      <c r="D979" s="55"/>
      <c r="E979" s="55"/>
      <c r="F979" s="55"/>
      <c r="G979" s="55"/>
      <c r="H979" s="141"/>
      <c r="M979" s="23">
        <v>1</v>
      </c>
    </row>
    <row r="980" spans="2:13" ht="18">
      <c r="B980" s="55"/>
      <c r="C980" s="55"/>
      <c r="D980" s="55"/>
      <c r="E980" s="55"/>
      <c r="F980" s="55"/>
      <c r="G980" s="55"/>
      <c r="H980" s="141"/>
      <c r="M980" s="23">
        <v>1</v>
      </c>
    </row>
    <row r="981" spans="2:13" ht="18">
      <c r="B981" s="55"/>
      <c r="C981" s="55"/>
      <c r="D981" s="55"/>
      <c r="E981" s="55"/>
      <c r="F981" s="55"/>
      <c r="G981" s="55"/>
      <c r="H981" s="141"/>
      <c r="M981" s="23">
        <v>1</v>
      </c>
    </row>
    <row r="982" spans="2:13" ht="18">
      <c r="B982" s="55"/>
      <c r="C982" s="55"/>
      <c r="D982" s="55"/>
      <c r="E982" s="55"/>
      <c r="F982" s="55"/>
      <c r="G982" s="55"/>
      <c r="H982" s="141"/>
      <c r="M982" s="23">
        <v>1</v>
      </c>
    </row>
    <row r="983" spans="2:13" ht="18">
      <c r="B983" s="55"/>
      <c r="C983" s="55"/>
      <c r="D983" s="55"/>
      <c r="E983" s="55"/>
      <c r="F983" s="55"/>
      <c r="G983" s="55"/>
      <c r="H983" s="141"/>
      <c r="M983" s="23">
        <v>1</v>
      </c>
    </row>
    <row r="984" spans="2:13" ht="18">
      <c r="B984" s="55"/>
      <c r="C984" s="55"/>
      <c r="D984" s="55"/>
      <c r="E984" s="55"/>
      <c r="F984" s="55"/>
      <c r="G984" s="55"/>
      <c r="H984" s="141"/>
      <c r="M984" s="23">
        <v>1</v>
      </c>
    </row>
    <row r="985" spans="2:13" ht="18">
      <c r="B985" s="55"/>
      <c r="C985" s="55"/>
      <c r="D985" s="55"/>
      <c r="E985" s="55"/>
      <c r="F985" s="55"/>
      <c r="G985" s="55"/>
      <c r="H985" s="141"/>
      <c r="M985" s="23">
        <v>1</v>
      </c>
    </row>
    <row r="986" spans="2:13" ht="18">
      <c r="B986" s="55"/>
      <c r="C986" s="55"/>
      <c r="D986" s="55"/>
      <c r="E986" s="55"/>
      <c r="F986" s="55"/>
      <c r="G986" s="55"/>
      <c r="H986" s="141"/>
      <c r="M986" s="23">
        <v>1</v>
      </c>
    </row>
    <row r="987" spans="2:13" ht="18">
      <c r="B987" s="55"/>
      <c r="C987" s="55"/>
      <c r="D987" s="55"/>
      <c r="E987" s="55"/>
      <c r="F987" s="55"/>
      <c r="G987" s="55"/>
      <c r="H987" s="141"/>
      <c r="M987" s="23">
        <v>1</v>
      </c>
    </row>
    <row r="988" spans="2:13" ht="18">
      <c r="B988" s="55"/>
      <c r="C988" s="55"/>
      <c r="D988" s="55"/>
      <c r="E988" s="55"/>
      <c r="F988" s="55"/>
      <c r="G988" s="55"/>
      <c r="H988" s="141"/>
      <c r="M988" s="23">
        <v>1</v>
      </c>
    </row>
    <row r="989" spans="2:13" ht="18">
      <c r="B989" s="55"/>
      <c r="C989" s="55"/>
      <c r="D989" s="55"/>
      <c r="E989" s="55"/>
      <c r="F989" s="55"/>
      <c r="G989" s="55"/>
      <c r="H989" s="141"/>
      <c r="M989" s="23">
        <v>1</v>
      </c>
    </row>
    <row r="990" spans="2:13" ht="18">
      <c r="B990" s="55"/>
      <c r="C990" s="55"/>
      <c r="D990" s="55"/>
      <c r="E990" s="55"/>
      <c r="F990" s="55"/>
      <c r="G990" s="55"/>
      <c r="H990" s="141"/>
      <c r="M990" s="23">
        <v>1</v>
      </c>
    </row>
    <row r="991" spans="2:13" ht="18">
      <c r="B991" s="55"/>
      <c r="C991" s="55"/>
      <c r="D991" s="55"/>
      <c r="E991" s="55"/>
      <c r="F991" s="55"/>
      <c r="G991" s="55"/>
      <c r="H991" s="141"/>
      <c r="M991" s="23">
        <v>1</v>
      </c>
    </row>
    <row r="992" spans="2:13" ht="18">
      <c r="B992" s="55"/>
      <c r="C992" s="55"/>
      <c r="D992" s="55"/>
      <c r="E992" s="55"/>
      <c r="F992" s="55"/>
      <c r="G992" s="55"/>
      <c r="H992" s="141"/>
      <c r="M992" s="23">
        <v>1</v>
      </c>
    </row>
    <row r="993" spans="2:13" ht="18">
      <c r="B993" s="55"/>
      <c r="C993" s="55"/>
      <c r="D993" s="55"/>
      <c r="E993" s="55"/>
      <c r="F993" s="55"/>
      <c r="G993" s="55"/>
      <c r="H993" s="141"/>
      <c r="M993" s="23">
        <v>1</v>
      </c>
    </row>
    <row r="994" spans="2:13" ht="18">
      <c r="B994" s="55"/>
      <c r="C994" s="55"/>
      <c r="D994" s="55"/>
      <c r="E994" s="55"/>
      <c r="F994" s="55"/>
      <c r="G994" s="55"/>
      <c r="H994" s="141"/>
      <c r="M994" s="23">
        <v>1</v>
      </c>
    </row>
    <row r="995" spans="2:13" ht="18">
      <c r="B995" s="55"/>
      <c r="C995" s="55"/>
      <c r="D995" s="55"/>
      <c r="E995" s="55"/>
      <c r="F995" s="55"/>
      <c r="G995" s="55"/>
      <c r="H995" s="141"/>
      <c r="M995" s="23">
        <v>1</v>
      </c>
    </row>
    <row r="996" spans="2:13" ht="18">
      <c r="B996" s="55"/>
      <c r="C996" s="55"/>
      <c r="D996" s="55"/>
      <c r="E996" s="55"/>
      <c r="F996" s="55"/>
      <c r="G996" s="55"/>
      <c r="H996" s="141"/>
      <c r="M996" s="23">
        <v>1</v>
      </c>
    </row>
    <row r="997" spans="2:13" ht="18">
      <c r="B997" s="55"/>
      <c r="C997" s="55"/>
      <c r="D997" s="55"/>
      <c r="E997" s="55"/>
      <c r="F997" s="55"/>
      <c r="G997" s="55"/>
      <c r="H997" s="141"/>
      <c r="M997" s="23">
        <v>1</v>
      </c>
    </row>
    <row r="998" spans="2:13" ht="18">
      <c r="B998" s="55"/>
      <c r="C998" s="55"/>
      <c r="D998" s="55"/>
      <c r="E998" s="55"/>
      <c r="F998" s="55"/>
      <c r="G998" s="55"/>
      <c r="H998" s="141"/>
      <c r="M998" s="23">
        <v>1</v>
      </c>
    </row>
    <row r="999" spans="2:13" ht="18">
      <c r="B999" s="55"/>
      <c r="C999" s="55"/>
      <c r="D999" s="55"/>
      <c r="E999" s="55"/>
      <c r="F999" s="55"/>
      <c r="G999" s="55"/>
      <c r="H999" s="141"/>
      <c r="M999" s="23">
        <v>1</v>
      </c>
    </row>
    <row r="1000" spans="2:13" ht="18">
      <c r="B1000" s="55"/>
      <c r="C1000" s="55"/>
      <c r="D1000" s="55"/>
      <c r="E1000" s="55"/>
      <c r="F1000" s="55"/>
      <c r="G1000" s="55"/>
      <c r="H1000" s="141"/>
      <c r="M1000" s="23">
        <v>1</v>
      </c>
    </row>
    <row r="1001" spans="2:13" ht="18">
      <c r="B1001" s="55"/>
      <c r="C1001" s="55"/>
      <c r="D1001" s="55"/>
      <c r="E1001" s="55"/>
      <c r="F1001" s="55"/>
      <c r="G1001" s="55"/>
      <c r="H1001" s="141"/>
      <c r="M1001" s="23">
        <v>1</v>
      </c>
    </row>
    <row r="1002" spans="2:13" ht="18">
      <c r="B1002" s="55"/>
      <c r="C1002" s="55"/>
      <c r="D1002" s="55"/>
      <c r="E1002" s="55"/>
      <c r="F1002" s="55"/>
      <c r="G1002" s="55"/>
      <c r="H1002" s="141"/>
      <c r="M1002" s="23">
        <v>1</v>
      </c>
    </row>
    <row r="1003" spans="2:13" ht="18">
      <c r="B1003" s="55"/>
      <c r="C1003" s="55"/>
      <c r="D1003" s="55"/>
      <c r="E1003" s="55"/>
      <c r="F1003" s="55"/>
      <c r="G1003" s="55"/>
      <c r="H1003" s="141"/>
      <c r="M1003" s="23">
        <v>1</v>
      </c>
    </row>
    <row r="1004" spans="2:13" ht="18">
      <c r="B1004" s="55"/>
      <c r="C1004" s="55"/>
      <c r="D1004" s="55"/>
      <c r="E1004" s="55"/>
      <c r="F1004" s="55"/>
      <c r="G1004" s="55"/>
      <c r="H1004" s="141"/>
      <c r="M1004" s="23">
        <v>1</v>
      </c>
    </row>
    <row r="1005" spans="2:13" ht="18">
      <c r="B1005" s="55"/>
      <c r="C1005" s="55"/>
      <c r="D1005" s="55"/>
      <c r="E1005" s="55"/>
      <c r="F1005" s="55"/>
      <c r="G1005" s="55"/>
      <c r="H1005" s="141"/>
      <c r="M1005" s="23">
        <v>1</v>
      </c>
    </row>
    <row r="1006" spans="2:13" ht="18">
      <c r="B1006" s="55"/>
      <c r="C1006" s="55"/>
      <c r="D1006" s="55"/>
      <c r="E1006" s="55"/>
      <c r="F1006" s="55"/>
      <c r="G1006" s="55"/>
      <c r="H1006" s="141"/>
      <c r="M1006" s="23">
        <v>1</v>
      </c>
    </row>
    <row r="1007" spans="2:13" ht="18">
      <c r="B1007" s="55"/>
      <c r="C1007" s="55"/>
      <c r="D1007" s="55"/>
      <c r="E1007" s="55"/>
      <c r="F1007" s="55"/>
      <c r="G1007" s="55"/>
      <c r="H1007" s="141"/>
      <c r="M1007" s="23">
        <v>1</v>
      </c>
    </row>
    <row r="1008" spans="2:13" ht="18">
      <c r="B1008" s="55"/>
      <c r="C1008" s="55"/>
      <c r="D1008" s="55"/>
      <c r="E1008" s="55"/>
      <c r="F1008" s="55"/>
      <c r="G1008" s="55"/>
      <c r="H1008" s="141"/>
      <c r="M1008" s="23">
        <v>1</v>
      </c>
    </row>
    <row r="1009" spans="2:13" ht="18">
      <c r="B1009" s="55"/>
      <c r="C1009" s="55"/>
      <c r="D1009" s="55"/>
      <c r="E1009" s="55"/>
      <c r="F1009" s="55"/>
      <c r="G1009" s="55"/>
      <c r="H1009" s="141"/>
      <c r="M1009" s="23">
        <v>1</v>
      </c>
    </row>
    <row r="1010" spans="2:13" ht="18">
      <c r="B1010" s="55"/>
      <c r="C1010" s="55"/>
      <c r="D1010" s="55"/>
      <c r="E1010" s="55"/>
      <c r="F1010" s="55"/>
      <c r="G1010" s="55"/>
      <c r="H1010" s="141"/>
      <c r="M1010" s="23">
        <v>1</v>
      </c>
    </row>
    <row r="1011" spans="2:13" ht="18">
      <c r="B1011" s="55"/>
      <c r="C1011" s="55"/>
      <c r="D1011" s="55"/>
      <c r="E1011" s="55"/>
      <c r="F1011" s="55"/>
      <c r="G1011" s="55"/>
      <c r="H1011" s="141"/>
      <c r="M1011" s="23">
        <v>1</v>
      </c>
    </row>
    <row r="1012" spans="2:13" ht="18">
      <c r="B1012" s="55"/>
      <c r="C1012" s="55"/>
      <c r="D1012" s="55"/>
      <c r="E1012" s="55"/>
      <c r="F1012" s="55"/>
      <c r="G1012" s="55"/>
      <c r="H1012" s="141"/>
      <c r="M1012" s="23">
        <v>1</v>
      </c>
    </row>
    <row r="1013" spans="2:13" ht="18">
      <c r="B1013" s="55"/>
      <c r="C1013" s="55"/>
      <c r="D1013" s="55"/>
      <c r="E1013" s="55"/>
      <c r="F1013" s="55"/>
      <c r="G1013" s="55"/>
      <c r="H1013" s="141"/>
      <c r="M1013" s="23">
        <v>1</v>
      </c>
    </row>
    <row r="1014" spans="2:13" ht="18">
      <c r="B1014" s="55"/>
      <c r="C1014" s="55"/>
      <c r="D1014" s="55"/>
      <c r="E1014" s="55"/>
      <c r="F1014" s="55"/>
      <c r="G1014" s="55"/>
      <c r="H1014" s="141"/>
      <c r="M1014" s="23">
        <v>1</v>
      </c>
    </row>
    <row r="1015" spans="2:13" ht="18">
      <c r="B1015" s="55"/>
      <c r="C1015" s="55"/>
      <c r="D1015" s="55"/>
      <c r="E1015" s="55"/>
      <c r="F1015" s="55"/>
      <c r="G1015" s="55"/>
      <c r="H1015" s="141"/>
      <c r="M1015" s="23">
        <v>1</v>
      </c>
    </row>
    <row r="1016" spans="2:13" ht="18">
      <c r="B1016" s="55"/>
      <c r="C1016" s="55"/>
      <c r="D1016" s="55"/>
      <c r="E1016" s="55"/>
      <c r="F1016" s="55"/>
      <c r="G1016" s="55"/>
      <c r="H1016" s="141"/>
      <c r="M1016" s="23">
        <v>1</v>
      </c>
    </row>
    <row r="1017" spans="2:13" ht="18">
      <c r="B1017" s="55"/>
      <c r="C1017" s="55"/>
      <c r="D1017" s="55"/>
      <c r="E1017" s="55"/>
      <c r="F1017" s="55"/>
      <c r="G1017" s="55"/>
      <c r="H1017" s="141"/>
      <c r="M1017" s="23">
        <v>1</v>
      </c>
    </row>
    <row r="1018" spans="2:13" ht="18">
      <c r="B1018" s="55"/>
      <c r="C1018" s="55"/>
      <c r="D1018" s="55"/>
      <c r="E1018" s="55"/>
      <c r="F1018" s="55"/>
      <c r="G1018" s="55"/>
      <c r="H1018" s="141"/>
      <c r="M1018" s="23">
        <v>1</v>
      </c>
    </row>
    <row r="1019" spans="2:13" ht="18">
      <c r="B1019" s="55"/>
      <c r="C1019" s="55"/>
      <c r="D1019" s="55"/>
      <c r="E1019" s="55"/>
      <c r="F1019" s="55"/>
      <c r="G1019" s="55"/>
      <c r="H1019" s="141"/>
      <c r="M1019" s="23">
        <v>1</v>
      </c>
    </row>
    <row r="1020" spans="2:13" ht="18">
      <c r="B1020" s="55"/>
      <c r="C1020" s="55"/>
      <c r="D1020" s="55"/>
      <c r="E1020" s="55"/>
      <c r="F1020" s="55"/>
      <c r="G1020" s="55"/>
      <c r="H1020" s="141"/>
      <c r="M1020" s="23">
        <v>1</v>
      </c>
    </row>
    <row r="1021" spans="2:13" ht="18">
      <c r="B1021" s="55"/>
      <c r="C1021" s="55"/>
      <c r="D1021" s="55"/>
      <c r="E1021" s="55"/>
      <c r="F1021" s="55"/>
      <c r="G1021" s="55"/>
      <c r="H1021" s="141"/>
      <c r="M1021" s="23">
        <v>1</v>
      </c>
    </row>
    <row r="1022" spans="2:13" ht="18">
      <c r="B1022" s="55"/>
      <c r="C1022" s="55"/>
      <c r="D1022" s="55"/>
      <c r="E1022" s="55"/>
      <c r="F1022" s="55"/>
      <c r="G1022" s="55"/>
      <c r="H1022" s="141"/>
      <c r="M1022" s="23">
        <v>1</v>
      </c>
    </row>
    <row r="1023" spans="2:13" ht="18">
      <c r="B1023" s="55"/>
      <c r="C1023" s="55"/>
      <c r="D1023" s="55"/>
      <c r="E1023" s="55"/>
      <c r="F1023" s="55"/>
      <c r="G1023" s="55"/>
      <c r="H1023" s="141"/>
      <c r="M1023" s="23">
        <v>1</v>
      </c>
    </row>
    <row r="1024" spans="2:13" ht="18">
      <c r="B1024" s="55"/>
      <c r="C1024" s="55"/>
      <c r="D1024" s="55"/>
      <c r="E1024" s="55"/>
      <c r="F1024" s="55"/>
      <c r="G1024" s="55"/>
      <c r="H1024" s="141"/>
      <c r="M1024" s="23">
        <v>1</v>
      </c>
    </row>
    <row r="1025" spans="2:13" ht="18">
      <c r="B1025" s="55"/>
      <c r="C1025" s="55"/>
      <c r="D1025" s="55"/>
      <c r="E1025" s="55"/>
      <c r="F1025" s="55"/>
      <c r="G1025" s="55"/>
      <c r="H1025" s="141"/>
      <c r="M1025" s="23">
        <v>1</v>
      </c>
    </row>
    <row r="1026" spans="2:13" ht="18">
      <c r="B1026" s="55"/>
      <c r="C1026" s="55"/>
      <c r="D1026" s="55"/>
      <c r="E1026" s="55"/>
      <c r="F1026" s="55"/>
      <c r="G1026" s="55"/>
      <c r="H1026" s="141"/>
      <c r="M1026" s="23">
        <v>1</v>
      </c>
    </row>
    <row r="1027" spans="2:13" ht="18">
      <c r="B1027" s="55"/>
      <c r="C1027" s="55"/>
      <c r="D1027" s="55"/>
      <c r="E1027" s="55"/>
      <c r="F1027" s="55"/>
      <c r="G1027" s="55"/>
      <c r="H1027" s="141"/>
      <c r="M1027" s="23">
        <v>1</v>
      </c>
    </row>
    <row r="1028" spans="2:13" ht="18">
      <c r="B1028" s="55"/>
      <c r="C1028" s="55"/>
      <c r="D1028" s="55"/>
      <c r="E1028" s="55"/>
      <c r="F1028" s="55"/>
      <c r="G1028" s="55"/>
      <c r="H1028" s="141"/>
      <c r="M1028" s="23">
        <v>1</v>
      </c>
    </row>
    <row r="1029" spans="2:13" ht="18">
      <c r="B1029" s="55"/>
      <c r="C1029" s="55"/>
      <c r="D1029" s="55"/>
      <c r="E1029" s="55"/>
      <c r="F1029" s="55"/>
      <c r="G1029" s="55"/>
      <c r="H1029" s="141"/>
      <c r="M1029" s="23">
        <v>1</v>
      </c>
    </row>
    <row r="1030" spans="2:13" ht="18">
      <c r="B1030" s="55"/>
      <c r="C1030" s="55"/>
      <c r="D1030" s="55"/>
      <c r="E1030" s="55"/>
      <c r="F1030" s="55"/>
      <c r="G1030" s="55"/>
      <c r="H1030" s="141"/>
      <c r="M1030" s="23">
        <v>1</v>
      </c>
    </row>
    <row r="1031" spans="2:13" ht="18">
      <c r="B1031" s="55"/>
      <c r="C1031" s="55"/>
      <c r="D1031" s="55"/>
      <c r="E1031" s="55"/>
      <c r="F1031" s="55"/>
      <c r="G1031" s="55"/>
      <c r="H1031" s="141"/>
      <c r="M1031" s="23">
        <v>1</v>
      </c>
    </row>
    <row r="1032" spans="2:13" ht="18">
      <c r="B1032" s="55"/>
      <c r="C1032" s="55"/>
      <c r="D1032" s="55"/>
      <c r="E1032" s="55"/>
      <c r="F1032" s="55"/>
      <c r="G1032" s="55"/>
      <c r="H1032" s="141"/>
      <c r="M1032" s="23">
        <v>1</v>
      </c>
    </row>
    <row r="1033" spans="2:13" ht="18">
      <c r="B1033" s="55"/>
      <c r="C1033" s="55"/>
      <c r="D1033" s="55"/>
      <c r="E1033" s="55"/>
      <c r="F1033" s="55"/>
      <c r="G1033" s="55"/>
      <c r="H1033" s="141"/>
      <c r="M1033" s="23">
        <v>1</v>
      </c>
    </row>
    <row r="1034" spans="2:13" ht="18">
      <c r="B1034" s="55"/>
      <c r="C1034" s="55"/>
      <c r="D1034" s="55"/>
      <c r="E1034" s="55"/>
      <c r="F1034" s="55"/>
      <c r="G1034" s="55"/>
      <c r="H1034" s="141"/>
      <c r="M1034" s="23">
        <v>1</v>
      </c>
    </row>
    <row r="1035" spans="2:13" ht="18">
      <c r="B1035" s="55"/>
      <c r="C1035" s="55"/>
      <c r="D1035" s="55"/>
      <c r="E1035" s="55"/>
      <c r="F1035" s="55"/>
      <c r="G1035" s="55"/>
      <c r="H1035" s="141"/>
      <c r="M1035" s="23">
        <v>1</v>
      </c>
    </row>
    <row r="1036" spans="2:13" ht="18">
      <c r="B1036" s="55"/>
      <c r="C1036" s="55"/>
      <c r="D1036" s="55"/>
      <c r="E1036" s="55"/>
      <c r="F1036" s="55"/>
      <c r="G1036" s="55"/>
      <c r="H1036" s="141"/>
      <c r="M1036" s="23">
        <v>1</v>
      </c>
    </row>
    <row r="1037" spans="2:13" ht="18">
      <c r="B1037" s="55"/>
      <c r="C1037" s="55"/>
      <c r="D1037" s="55"/>
      <c r="E1037" s="55"/>
      <c r="F1037" s="55"/>
      <c r="G1037" s="55"/>
      <c r="H1037" s="141"/>
      <c r="M1037" s="23">
        <v>1</v>
      </c>
    </row>
    <row r="1038" spans="2:13" ht="18">
      <c r="B1038" s="55"/>
      <c r="C1038" s="55"/>
      <c r="D1038" s="55"/>
      <c r="E1038" s="55"/>
      <c r="F1038" s="55"/>
      <c r="G1038" s="55"/>
      <c r="H1038" s="141"/>
      <c r="M1038" s="23">
        <v>1</v>
      </c>
    </row>
    <row r="1039" spans="2:13" ht="18">
      <c r="B1039" s="55"/>
      <c r="C1039" s="55"/>
      <c r="D1039" s="55"/>
      <c r="E1039" s="55"/>
      <c r="F1039" s="55"/>
      <c r="G1039" s="55"/>
      <c r="H1039" s="141"/>
      <c r="M1039" s="23">
        <v>1</v>
      </c>
    </row>
    <row r="1040" spans="2:13" ht="18">
      <c r="B1040" s="55"/>
      <c r="C1040" s="55"/>
      <c r="D1040" s="55"/>
      <c r="E1040" s="55"/>
      <c r="F1040" s="55"/>
      <c r="G1040" s="55"/>
      <c r="H1040" s="141"/>
      <c r="M1040" s="23">
        <v>1</v>
      </c>
    </row>
    <row r="1041" spans="2:13" ht="18">
      <c r="B1041" s="55"/>
      <c r="C1041" s="55"/>
      <c r="D1041" s="55"/>
      <c r="E1041" s="55"/>
      <c r="F1041" s="55"/>
      <c r="G1041" s="55"/>
      <c r="H1041" s="141"/>
      <c r="M1041" s="23">
        <v>1</v>
      </c>
    </row>
    <row r="1042" spans="2:13" ht="18">
      <c r="B1042" s="55"/>
      <c r="C1042" s="55"/>
      <c r="D1042" s="55"/>
      <c r="E1042" s="55"/>
      <c r="F1042" s="55"/>
      <c r="G1042" s="55"/>
      <c r="H1042" s="141"/>
      <c r="M1042" s="23">
        <v>1</v>
      </c>
    </row>
    <row r="1043" spans="2:13" ht="18">
      <c r="B1043" s="55"/>
      <c r="C1043" s="55"/>
      <c r="D1043" s="55"/>
      <c r="E1043" s="55"/>
      <c r="F1043" s="55"/>
      <c r="G1043" s="55"/>
      <c r="H1043" s="141"/>
      <c r="M1043" s="23">
        <v>1</v>
      </c>
    </row>
    <row r="1044" spans="2:13" ht="18">
      <c r="B1044" s="55"/>
      <c r="C1044" s="55"/>
      <c r="D1044" s="55"/>
      <c r="E1044" s="55"/>
      <c r="F1044" s="55"/>
      <c r="G1044" s="55"/>
      <c r="H1044" s="141"/>
      <c r="M1044" s="23">
        <v>1</v>
      </c>
    </row>
    <row r="1045" spans="2:13" ht="18">
      <c r="B1045" s="55"/>
      <c r="C1045" s="55"/>
      <c r="D1045" s="55"/>
      <c r="E1045" s="55"/>
      <c r="F1045" s="55"/>
      <c r="G1045" s="55"/>
      <c r="H1045" s="141"/>
      <c r="M1045" s="23">
        <v>1</v>
      </c>
    </row>
    <row r="1046" spans="2:13" ht="18">
      <c r="B1046" s="55"/>
      <c r="C1046" s="55"/>
      <c r="D1046" s="55"/>
      <c r="E1046" s="55"/>
      <c r="F1046" s="55"/>
      <c r="G1046" s="55"/>
      <c r="H1046" s="141"/>
      <c r="M1046" s="23">
        <v>1</v>
      </c>
    </row>
    <row r="1047" spans="2:13" ht="18">
      <c r="B1047" s="55"/>
      <c r="C1047" s="55"/>
      <c r="D1047" s="55"/>
      <c r="E1047" s="55"/>
      <c r="F1047" s="55"/>
      <c r="G1047" s="55"/>
      <c r="H1047" s="141"/>
      <c r="M1047" s="23">
        <v>1</v>
      </c>
    </row>
    <row r="1048" spans="2:13" ht="18">
      <c r="B1048" s="55"/>
      <c r="C1048" s="55"/>
      <c r="D1048" s="55"/>
      <c r="E1048" s="55"/>
      <c r="F1048" s="55"/>
      <c r="G1048" s="55"/>
      <c r="H1048" s="141"/>
      <c r="M1048" s="23">
        <v>1</v>
      </c>
    </row>
    <row r="1049" spans="2:13" ht="18">
      <c r="B1049" s="55"/>
      <c r="C1049" s="55"/>
      <c r="D1049" s="55"/>
      <c r="E1049" s="55"/>
      <c r="F1049" s="55"/>
      <c r="G1049" s="55"/>
      <c r="H1049" s="141"/>
      <c r="M1049" s="23">
        <v>1</v>
      </c>
    </row>
    <row r="1050" spans="2:13" ht="18">
      <c r="B1050" s="55"/>
      <c r="C1050" s="55"/>
      <c r="D1050" s="55"/>
      <c r="E1050" s="55"/>
      <c r="F1050" s="55"/>
      <c r="G1050" s="55"/>
      <c r="H1050" s="141"/>
      <c r="M1050" s="23">
        <v>1</v>
      </c>
    </row>
    <row r="1051" spans="2:13" ht="18">
      <c r="B1051" s="55"/>
      <c r="C1051" s="55"/>
      <c r="D1051" s="55"/>
      <c r="E1051" s="55"/>
      <c r="F1051" s="55"/>
      <c r="G1051" s="55"/>
      <c r="H1051" s="141"/>
      <c r="M1051" s="23">
        <v>1</v>
      </c>
    </row>
    <row r="1052" spans="2:13" ht="18">
      <c r="B1052" s="55"/>
      <c r="C1052" s="55"/>
      <c r="D1052" s="55"/>
      <c r="E1052" s="55"/>
      <c r="F1052" s="55"/>
      <c r="G1052" s="55"/>
      <c r="H1052" s="141"/>
      <c r="M1052" s="23">
        <v>1</v>
      </c>
    </row>
    <row r="1053" spans="2:13" ht="18">
      <c r="B1053" s="55"/>
      <c r="C1053" s="55"/>
      <c r="D1053" s="55"/>
      <c r="E1053" s="55"/>
      <c r="F1053" s="55"/>
      <c r="G1053" s="55"/>
      <c r="H1053" s="141"/>
      <c r="M1053" s="23">
        <v>1</v>
      </c>
    </row>
    <row r="1054" spans="2:13" ht="18">
      <c r="B1054" s="55"/>
      <c r="C1054" s="55"/>
      <c r="D1054" s="55"/>
      <c r="E1054" s="55"/>
      <c r="F1054" s="55"/>
      <c r="G1054" s="55"/>
      <c r="H1054" s="141"/>
      <c r="M1054" s="23">
        <v>1</v>
      </c>
    </row>
    <row r="1055" spans="2:13" ht="18">
      <c r="B1055" s="55"/>
      <c r="C1055" s="55"/>
      <c r="D1055" s="55"/>
      <c r="E1055" s="55"/>
      <c r="F1055" s="55"/>
      <c r="G1055" s="55"/>
      <c r="H1055" s="141"/>
      <c r="M1055" s="23">
        <v>1</v>
      </c>
    </row>
    <row r="1056" spans="2:13" ht="18">
      <c r="B1056" s="55"/>
      <c r="C1056" s="55"/>
      <c r="D1056" s="55"/>
      <c r="E1056" s="55"/>
      <c r="F1056" s="55"/>
      <c r="G1056" s="55"/>
      <c r="H1056" s="141"/>
      <c r="M1056" s="23">
        <v>1</v>
      </c>
    </row>
    <row r="1057" spans="2:13" ht="18">
      <c r="B1057" s="55"/>
      <c r="C1057" s="55"/>
      <c r="D1057" s="55"/>
      <c r="E1057" s="55"/>
      <c r="F1057" s="55"/>
      <c r="G1057" s="55"/>
      <c r="H1057" s="141"/>
      <c r="M1057" s="23">
        <v>1</v>
      </c>
    </row>
    <row r="1058" spans="2:13" ht="18">
      <c r="B1058" s="55"/>
      <c r="C1058" s="55"/>
      <c r="D1058" s="55"/>
      <c r="E1058" s="55"/>
      <c r="F1058" s="55"/>
      <c r="G1058" s="55"/>
      <c r="H1058" s="141"/>
      <c r="M1058" s="23">
        <v>1</v>
      </c>
    </row>
    <row r="1059" spans="2:13" ht="18">
      <c r="B1059" s="55"/>
      <c r="C1059" s="55"/>
      <c r="D1059" s="55"/>
      <c r="E1059" s="55"/>
      <c r="F1059" s="55"/>
      <c r="G1059" s="55"/>
      <c r="H1059" s="141"/>
      <c r="M1059" s="23">
        <v>1</v>
      </c>
    </row>
    <row r="1060" spans="2:13" ht="18">
      <c r="B1060" s="55"/>
      <c r="C1060" s="55"/>
      <c r="D1060" s="55"/>
      <c r="E1060" s="55"/>
      <c r="F1060" s="55"/>
      <c r="G1060" s="55"/>
      <c r="H1060" s="141"/>
      <c r="M1060" s="23">
        <v>1</v>
      </c>
    </row>
    <row r="1061" spans="2:13" ht="18">
      <c r="B1061" s="55"/>
      <c r="C1061" s="55"/>
      <c r="D1061" s="55"/>
      <c r="E1061" s="55"/>
      <c r="F1061" s="55"/>
      <c r="G1061" s="55"/>
      <c r="H1061" s="141"/>
      <c r="M1061" s="23">
        <v>1</v>
      </c>
    </row>
    <row r="1062" spans="2:13" ht="18">
      <c r="B1062" s="55"/>
      <c r="C1062" s="55"/>
      <c r="D1062" s="55"/>
      <c r="E1062" s="55"/>
      <c r="F1062" s="55"/>
      <c r="G1062" s="55"/>
      <c r="H1062" s="141"/>
      <c r="M1062" s="23">
        <v>1</v>
      </c>
    </row>
    <row r="1063" spans="2:13" ht="18">
      <c r="B1063" s="55"/>
      <c r="C1063" s="55"/>
      <c r="D1063" s="55"/>
      <c r="E1063" s="55"/>
      <c r="F1063" s="55"/>
      <c r="G1063" s="55"/>
      <c r="H1063" s="141"/>
      <c r="M1063" s="23">
        <v>1</v>
      </c>
    </row>
    <row r="1064" spans="2:13" ht="18">
      <c r="B1064" s="55"/>
      <c r="C1064" s="55"/>
      <c r="D1064" s="55"/>
      <c r="E1064" s="55"/>
      <c r="F1064" s="55"/>
      <c r="G1064" s="55"/>
      <c r="H1064" s="141"/>
      <c r="M1064" s="23">
        <v>1</v>
      </c>
    </row>
    <row r="1065" spans="2:13" ht="18">
      <c r="B1065" s="55"/>
      <c r="C1065" s="55"/>
      <c r="D1065" s="55"/>
      <c r="E1065" s="55"/>
      <c r="F1065" s="55"/>
      <c r="G1065" s="55"/>
      <c r="H1065" s="141"/>
      <c r="M1065" s="23">
        <v>1</v>
      </c>
    </row>
    <row r="1066" spans="2:13" ht="18">
      <c r="B1066" s="55"/>
      <c r="C1066" s="55"/>
      <c r="D1066" s="55"/>
      <c r="E1066" s="55"/>
      <c r="F1066" s="55"/>
      <c r="G1066" s="55"/>
      <c r="H1066" s="141"/>
      <c r="M1066" s="23">
        <v>1</v>
      </c>
    </row>
    <row r="1067" spans="2:13" ht="18">
      <c r="B1067" s="55"/>
      <c r="C1067" s="55"/>
      <c r="D1067" s="55"/>
      <c r="E1067" s="55"/>
      <c r="F1067" s="55"/>
      <c r="G1067" s="55"/>
      <c r="H1067" s="141"/>
      <c r="M1067" s="23">
        <v>1</v>
      </c>
    </row>
    <row r="1068" spans="2:13" ht="18">
      <c r="B1068" s="55"/>
      <c r="C1068" s="55"/>
      <c r="D1068" s="55"/>
      <c r="E1068" s="55"/>
      <c r="F1068" s="55"/>
      <c r="G1068" s="55"/>
      <c r="H1068" s="141"/>
      <c r="M1068" s="23">
        <v>1</v>
      </c>
    </row>
    <row r="1069" spans="2:13" ht="18">
      <c r="B1069" s="55"/>
      <c r="C1069" s="55"/>
      <c r="D1069" s="55"/>
      <c r="E1069" s="55"/>
      <c r="F1069" s="55"/>
      <c r="G1069" s="55"/>
      <c r="H1069" s="141"/>
      <c r="M1069" s="23">
        <v>1</v>
      </c>
    </row>
    <row r="1070" spans="2:13" ht="18">
      <c r="B1070" s="55"/>
      <c r="C1070" s="55"/>
      <c r="D1070" s="55"/>
      <c r="E1070" s="55"/>
      <c r="F1070" s="55"/>
      <c r="G1070" s="55"/>
      <c r="H1070" s="141"/>
      <c r="M1070" s="23">
        <v>1</v>
      </c>
    </row>
    <row r="1071" spans="2:13" ht="18">
      <c r="B1071" s="55"/>
      <c r="C1071" s="55"/>
      <c r="D1071" s="55"/>
      <c r="E1071" s="55"/>
      <c r="F1071" s="55"/>
      <c r="G1071" s="55"/>
      <c r="H1071" s="141"/>
      <c r="M1071" s="23">
        <v>1</v>
      </c>
    </row>
    <row r="1072" spans="2:13" ht="18">
      <c r="B1072" s="55"/>
      <c r="C1072" s="55"/>
      <c r="D1072" s="55"/>
      <c r="E1072" s="55"/>
      <c r="F1072" s="55"/>
      <c r="G1072" s="55"/>
      <c r="H1072" s="141"/>
      <c r="M1072" s="23">
        <v>1</v>
      </c>
    </row>
    <row r="1073" spans="2:13" ht="18">
      <c r="B1073" s="55"/>
      <c r="C1073" s="55"/>
      <c r="D1073" s="55"/>
      <c r="E1073" s="55"/>
      <c r="F1073" s="55"/>
      <c r="G1073" s="55"/>
      <c r="H1073" s="141"/>
      <c r="M1073" s="23">
        <v>1</v>
      </c>
    </row>
    <row r="1074" spans="2:13" ht="18">
      <c r="B1074" s="55"/>
      <c r="C1074" s="55"/>
      <c r="D1074" s="55"/>
      <c r="E1074" s="55"/>
      <c r="F1074" s="55"/>
      <c r="G1074" s="55"/>
      <c r="H1074" s="141"/>
      <c r="M1074" s="23">
        <v>1</v>
      </c>
    </row>
    <row r="1075" spans="2:13" ht="18">
      <c r="B1075" s="55"/>
      <c r="C1075" s="55"/>
      <c r="D1075" s="55"/>
      <c r="E1075" s="55"/>
      <c r="F1075" s="55"/>
      <c r="G1075" s="55"/>
      <c r="H1075" s="141"/>
      <c r="M1075" s="23">
        <v>1</v>
      </c>
    </row>
    <row r="1076" spans="2:13" ht="18">
      <c r="B1076" s="55"/>
      <c r="C1076" s="55"/>
      <c r="D1076" s="55"/>
      <c r="E1076" s="55"/>
      <c r="F1076" s="55"/>
      <c r="G1076" s="55"/>
      <c r="H1076" s="141"/>
      <c r="M1076" s="23">
        <v>1</v>
      </c>
    </row>
    <row r="1077" spans="2:13" ht="18">
      <c r="B1077" s="55"/>
      <c r="C1077" s="55"/>
      <c r="D1077" s="55"/>
      <c r="E1077" s="55"/>
      <c r="F1077" s="55"/>
      <c r="G1077" s="55"/>
      <c r="H1077" s="141"/>
      <c r="M1077" s="23">
        <v>1</v>
      </c>
    </row>
    <row r="1078" spans="2:13" ht="18">
      <c r="B1078" s="55"/>
      <c r="C1078" s="55"/>
      <c r="D1078" s="55"/>
      <c r="E1078" s="55"/>
      <c r="F1078" s="55"/>
      <c r="G1078" s="55"/>
      <c r="H1078" s="141"/>
      <c r="M1078" s="23">
        <v>1</v>
      </c>
    </row>
    <row r="1079" spans="2:13" ht="18">
      <c r="B1079" s="55"/>
      <c r="C1079" s="55"/>
      <c r="D1079" s="55"/>
      <c r="E1079" s="55"/>
      <c r="F1079" s="55"/>
      <c r="G1079" s="55"/>
      <c r="H1079" s="141"/>
      <c r="M1079" s="23">
        <v>1</v>
      </c>
    </row>
    <row r="1080" spans="2:13" ht="18">
      <c r="B1080" s="55"/>
      <c r="C1080" s="55"/>
      <c r="D1080" s="55"/>
      <c r="E1080" s="55"/>
      <c r="F1080" s="55"/>
      <c r="G1080" s="55"/>
      <c r="H1080" s="141"/>
      <c r="M1080" s="23">
        <v>1</v>
      </c>
    </row>
    <row r="1081" spans="2:13" ht="18">
      <c r="B1081" s="55"/>
      <c r="C1081" s="55"/>
      <c r="D1081" s="55"/>
      <c r="E1081" s="55"/>
      <c r="F1081" s="55"/>
      <c r="G1081" s="55"/>
      <c r="H1081" s="141"/>
      <c r="M1081" s="23">
        <v>1</v>
      </c>
    </row>
    <row r="1082" spans="2:13" ht="18">
      <c r="B1082" s="55"/>
      <c r="C1082" s="55"/>
      <c r="D1082" s="55"/>
      <c r="E1082" s="55"/>
      <c r="F1082" s="55"/>
      <c r="G1082" s="55"/>
      <c r="H1082" s="141"/>
      <c r="M1082" s="23">
        <v>1</v>
      </c>
    </row>
    <row r="1083" spans="2:13" ht="18">
      <c r="B1083" s="55"/>
      <c r="C1083" s="55"/>
      <c r="D1083" s="55"/>
      <c r="E1083" s="55"/>
      <c r="F1083" s="55"/>
      <c r="G1083" s="55"/>
      <c r="H1083" s="141"/>
      <c r="M1083" s="23">
        <v>1</v>
      </c>
    </row>
    <row r="1084" spans="2:13" ht="18">
      <c r="B1084" s="55"/>
      <c r="C1084" s="55"/>
      <c r="D1084" s="55"/>
      <c r="E1084" s="55"/>
      <c r="F1084" s="55"/>
      <c r="G1084" s="55"/>
      <c r="H1084" s="141"/>
      <c r="M1084" s="23">
        <v>1</v>
      </c>
    </row>
    <row r="1085" spans="2:13" ht="18">
      <c r="B1085" s="55"/>
      <c r="C1085" s="55"/>
      <c r="D1085" s="55"/>
      <c r="E1085" s="55"/>
      <c r="F1085" s="55"/>
      <c r="G1085" s="55"/>
      <c r="H1085" s="141"/>
      <c r="M1085" s="23">
        <v>1</v>
      </c>
    </row>
    <row r="1086" spans="2:13" ht="18">
      <c r="B1086" s="55"/>
      <c r="C1086" s="55"/>
      <c r="D1086" s="55"/>
      <c r="E1086" s="55"/>
      <c r="F1086" s="55"/>
      <c r="G1086" s="55"/>
      <c r="H1086" s="141"/>
      <c r="M1086" s="23">
        <v>1</v>
      </c>
    </row>
    <row r="1087" spans="2:13" ht="18">
      <c r="B1087" s="55"/>
      <c r="C1087" s="55"/>
      <c r="D1087" s="55"/>
      <c r="E1087" s="55"/>
      <c r="F1087" s="55"/>
      <c r="G1087" s="55"/>
      <c r="H1087" s="141"/>
      <c r="M1087" s="23">
        <v>1</v>
      </c>
    </row>
    <row r="1088" spans="2:13" ht="18">
      <c r="B1088" s="55"/>
      <c r="C1088" s="55"/>
      <c r="D1088" s="55"/>
      <c r="E1088" s="55"/>
      <c r="F1088" s="55"/>
      <c r="G1088" s="55"/>
      <c r="H1088" s="141"/>
      <c r="M1088" s="23">
        <v>1</v>
      </c>
    </row>
    <row r="1089" spans="2:13" ht="18">
      <c r="B1089" s="55"/>
      <c r="C1089" s="55"/>
      <c r="D1089" s="55"/>
      <c r="E1089" s="55"/>
      <c r="F1089" s="55"/>
      <c r="G1089" s="55"/>
      <c r="H1089" s="141"/>
      <c r="M1089" s="23">
        <v>1</v>
      </c>
    </row>
    <row r="1090" spans="2:13" ht="18">
      <c r="B1090" s="55"/>
      <c r="C1090" s="55"/>
      <c r="D1090" s="55"/>
      <c r="E1090" s="55"/>
      <c r="F1090" s="55"/>
      <c r="G1090" s="55"/>
      <c r="H1090" s="141"/>
      <c r="M1090" s="23">
        <v>1</v>
      </c>
    </row>
    <row r="1091" spans="2:13" ht="18">
      <c r="B1091" s="55"/>
      <c r="C1091" s="55"/>
      <c r="D1091" s="55"/>
      <c r="E1091" s="55"/>
      <c r="F1091" s="55"/>
      <c r="G1091" s="55"/>
      <c r="H1091" s="141"/>
      <c r="M1091" s="23">
        <v>1</v>
      </c>
    </row>
    <row r="1092" spans="2:13" ht="18">
      <c r="B1092" s="55"/>
      <c r="C1092" s="55"/>
      <c r="D1092" s="55"/>
      <c r="E1092" s="55"/>
      <c r="F1092" s="55"/>
      <c r="G1092" s="55"/>
      <c r="H1092" s="141"/>
      <c r="M1092" s="23">
        <v>1</v>
      </c>
    </row>
    <row r="1093" spans="2:13" ht="18">
      <c r="B1093" s="55"/>
      <c r="C1093" s="55"/>
      <c r="D1093" s="55"/>
      <c r="E1093" s="55"/>
      <c r="F1093" s="55"/>
      <c r="G1093" s="55"/>
      <c r="H1093" s="141"/>
      <c r="M1093" s="23">
        <v>1</v>
      </c>
    </row>
    <row r="1094" spans="2:13" ht="18">
      <c r="B1094" s="55"/>
      <c r="C1094" s="55"/>
      <c r="D1094" s="55"/>
      <c r="E1094" s="55"/>
      <c r="F1094" s="55"/>
      <c r="G1094" s="55"/>
      <c r="H1094" s="141"/>
      <c r="M1094" s="23">
        <v>1</v>
      </c>
    </row>
    <row r="1095" spans="2:13" ht="18">
      <c r="B1095" s="55"/>
      <c r="C1095" s="55"/>
      <c r="D1095" s="55"/>
      <c r="E1095" s="55"/>
      <c r="F1095" s="55"/>
      <c r="G1095" s="55"/>
      <c r="H1095" s="141"/>
      <c r="M1095" s="23">
        <v>1</v>
      </c>
    </row>
    <row r="1096" spans="2:13" ht="18">
      <c r="B1096" s="55"/>
      <c r="C1096" s="55"/>
      <c r="D1096" s="55"/>
      <c r="E1096" s="55"/>
      <c r="F1096" s="55"/>
      <c r="G1096" s="55"/>
      <c r="H1096" s="141"/>
      <c r="M1096" s="23">
        <v>1</v>
      </c>
    </row>
    <row r="1097" spans="2:13" ht="18">
      <c r="B1097" s="55"/>
      <c r="C1097" s="55"/>
      <c r="D1097" s="55"/>
      <c r="E1097" s="55"/>
      <c r="F1097" s="55"/>
      <c r="G1097" s="55"/>
      <c r="H1097" s="141"/>
      <c r="M1097" s="23">
        <v>1</v>
      </c>
    </row>
    <row r="1098" spans="2:13" ht="18">
      <c r="B1098" s="55"/>
      <c r="C1098" s="55"/>
      <c r="D1098" s="55"/>
      <c r="E1098" s="55"/>
      <c r="F1098" s="55"/>
      <c r="G1098" s="55"/>
      <c r="H1098" s="141"/>
      <c r="M1098" s="23">
        <v>1</v>
      </c>
    </row>
    <row r="1099" spans="2:13" ht="18">
      <c r="B1099" s="55"/>
      <c r="C1099" s="55"/>
      <c r="D1099" s="55"/>
      <c r="E1099" s="55"/>
      <c r="F1099" s="55"/>
      <c r="G1099" s="55"/>
      <c r="H1099" s="141"/>
      <c r="M1099" s="23">
        <v>1</v>
      </c>
    </row>
    <row r="1100" spans="2:13" ht="18">
      <c r="B1100" s="55"/>
      <c r="C1100" s="55"/>
      <c r="D1100" s="55"/>
      <c r="E1100" s="55"/>
      <c r="F1100" s="55"/>
      <c r="G1100" s="55"/>
      <c r="H1100" s="141"/>
      <c r="M1100" s="23">
        <v>1</v>
      </c>
    </row>
    <row r="1101" spans="2:13" ht="18">
      <c r="B1101" s="55"/>
      <c r="C1101" s="55"/>
      <c r="D1101" s="55"/>
      <c r="E1101" s="55"/>
      <c r="F1101" s="55"/>
      <c r="G1101" s="55"/>
      <c r="H1101" s="141"/>
      <c r="M1101" s="23">
        <v>1</v>
      </c>
    </row>
    <row r="1102" spans="2:13" ht="18">
      <c r="B1102" s="55"/>
      <c r="C1102" s="55"/>
      <c r="D1102" s="55"/>
      <c r="E1102" s="55"/>
      <c r="F1102" s="55"/>
      <c r="G1102" s="55"/>
      <c r="H1102" s="141"/>
      <c r="M1102" s="23">
        <v>1</v>
      </c>
    </row>
    <row r="1103" spans="2:13" ht="18">
      <c r="B1103" s="55"/>
      <c r="C1103" s="55"/>
      <c r="D1103" s="55"/>
      <c r="E1103" s="55"/>
      <c r="F1103" s="55"/>
      <c r="G1103" s="55"/>
      <c r="H1103" s="141"/>
      <c r="M1103" s="23">
        <v>1</v>
      </c>
    </row>
    <row r="1104" spans="2:13" ht="18">
      <c r="B1104" s="55"/>
      <c r="C1104" s="55"/>
      <c r="D1104" s="55"/>
      <c r="E1104" s="55"/>
      <c r="F1104" s="55"/>
      <c r="G1104" s="55"/>
      <c r="H1104" s="141"/>
      <c r="M1104" s="23">
        <v>1</v>
      </c>
    </row>
    <row r="1105" spans="2:13" ht="18">
      <c r="B1105" s="55"/>
      <c r="C1105" s="55"/>
      <c r="D1105" s="55"/>
      <c r="E1105" s="55"/>
      <c r="F1105" s="55"/>
      <c r="G1105" s="55"/>
      <c r="H1105" s="141"/>
      <c r="M1105" s="23">
        <v>1</v>
      </c>
    </row>
    <row r="1106" spans="2:13" ht="18">
      <c r="B1106" s="55"/>
      <c r="C1106" s="55"/>
      <c r="D1106" s="55"/>
      <c r="E1106" s="55"/>
      <c r="F1106" s="55"/>
      <c r="G1106" s="55"/>
      <c r="H1106" s="141"/>
      <c r="M1106" s="23">
        <v>1</v>
      </c>
    </row>
    <row r="1107" spans="2:13" ht="18">
      <c r="B1107" s="55"/>
      <c r="C1107" s="55"/>
      <c r="D1107" s="55"/>
      <c r="E1107" s="55"/>
      <c r="F1107" s="55"/>
      <c r="G1107" s="55"/>
      <c r="H1107" s="141"/>
      <c r="M1107" s="23">
        <v>1</v>
      </c>
    </row>
    <row r="1108" spans="2:13" ht="18">
      <c r="B1108" s="55"/>
      <c r="C1108" s="55"/>
      <c r="D1108" s="55"/>
      <c r="E1108" s="55"/>
      <c r="F1108" s="55"/>
      <c r="G1108" s="55"/>
      <c r="H1108" s="141"/>
      <c r="M1108" s="23">
        <v>1</v>
      </c>
    </row>
    <row r="1109" spans="2:13" ht="18">
      <c r="B1109" s="55"/>
      <c r="C1109" s="55"/>
      <c r="D1109" s="55"/>
      <c r="E1109" s="55"/>
      <c r="F1109" s="55"/>
      <c r="G1109" s="55"/>
      <c r="H1109" s="141"/>
      <c r="M1109" s="23">
        <v>1</v>
      </c>
    </row>
    <row r="1110" spans="2:13" ht="18">
      <c r="B1110" s="55"/>
      <c r="C1110" s="55"/>
      <c r="D1110" s="55"/>
      <c r="E1110" s="55"/>
      <c r="F1110" s="55"/>
      <c r="G1110" s="55"/>
      <c r="H1110" s="141"/>
      <c r="M1110" s="23">
        <v>1</v>
      </c>
    </row>
    <row r="1111" spans="2:13" ht="18">
      <c r="B1111" s="55"/>
      <c r="C1111" s="55"/>
      <c r="D1111" s="55"/>
      <c r="E1111" s="55"/>
      <c r="F1111" s="55"/>
      <c r="G1111" s="55"/>
      <c r="H1111" s="141"/>
      <c r="M1111" s="23">
        <v>1</v>
      </c>
    </row>
    <row r="1112" spans="2:13" ht="18">
      <c r="B1112" s="55"/>
      <c r="C1112" s="55"/>
      <c r="D1112" s="55"/>
      <c r="E1112" s="55"/>
      <c r="F1112" s="55"/>
      <c r="G1112" s="55"/>
      <c r="H1112" s="141"/>
      <c r="M1112" s="23">
        <v>1</v>
      </c>
    </row>
    <row r="1113" spans="2:13" ht="18">
      <c r="B1113" s="55"/>
      <c r="C1113" s="55"/>
      <c r="D1113" s="55"/>
      <c r="E1113" s="55"/>
      <c r="F1113" s="55"/>
      <c r="G1113" s="55"/>
      <c r="H1113" s="141"/>
      <c r="M1113" s="23">
        <v>1</v>
      </c>
    </row>
    <row r="1114" spans="2:13" ht="18">
      <c r="B1114" s="55"/>
      <c r="C1114" s="55"/>
      <c r="D1114" s="55"/>
      <c r="E1114" s="55"/>
      <c r="F1114" s="55"/>
      <c r="G1114" s="55"/>
      <c r="H1114" s="141"/>
      <c r="M1114" s="23">
        <v>1</v>
      </c>
    </row>
    <row r="1115" spans="2:13" ht="18">
      <c r="B1115" s="55"/>
      <c r="C1115" s="55"/>
      <c r="D1115" s="55"/>
      <c r="E1115" s="55"/>
      <c r="F1115" s="55"/>
      <c r="G1115" s="55"/>
      <c r="H1115" s="141"/>
      <c r="M1115" s="23">
        <v>1</v>
      </c>
    </row>
    <row r="1116" spans="2:13" ht="18">
      <c r="B1116" s="55"/>
      <c r="C1116" s="55"/>
      <c r="D1116" s="55"/>
      <c r="E1116" s="55"/>
      <c r="F1116" s="55"/>
      <c r="G1116" s="55"/>
      <c r="H1116" s="141"/>
      <c r="M1116" s="23">
        <v>1</v>
      </c>
    </row>
    <row r="1117" spans="2:13" ht="18">
      <c r="B1117" s="55"/>
      <c r="C1117" s="55"/>
      <c r="D1117" s="55"/>
      <c r="E1117" s="55"/>
      <c r="F1117" s="55"/>
      <c r="G1117" s="55"/>
      <c r="H1117" s="141"/>
      <c r="M1117" s="23">
        <v>1</v>
      </c>
    </row>
    <row r="1118" spans="2:13" ht="18">
      <c r="B1118" s="55"/>
      <c r="C1118" s="55"/>
      <c r="D1118" s="55"/>
      <c r="E1118" s="55"/>
      <c r="F1118" s="55"/>
      <c r="G1118" s="55"/>
      <c r="H1118" s="141"/>
      <c r="M1118" s="23">
        <v>1</v>
      </c>
    </row>
    <row r="1119" spans="2:13" ht="18">
      <c r="B1119" s="55"/>
      <c r="C1119" s="55"/>
      <c r="D1119" s="55"/>
      <c r="E1119" s="55"/>
      <c r="F1119" s="55"/>
      <c r="G1119" s="55"/>
      <c r="H1119" s="141"/>
      <c r="M1119" s="23">
        <v>1</v>
      </c>
    </row>
    <row r="1120" spans="2:13" ht="18">
      <c r="B1120" s="55"/>
      <c r="C1120" s="55"/>
      <c r="D1120" s="55"/>
      <c r="E1120" s="55"/>
      <c r="F1120" s="55"/>
      <c r="G1120" s="55"/>
      <c r="H1120" s="141"/>
      <c r="M1120" s="23">
        <v>1</v>
      </c>
    </row>
    <row r="1121" spans="2:13" ht="18">
      <c r="B1121" s="55"/>
      <c r="C1121" s="55"/>
      <c r="D1121" s="55"/>
      <c r="E1121" s="55"/>
      <c r="F1121" s="55"/>
      <c r="G1121" s="55"/>
      <c r="H1121" s="141"/>
      <c r="M1121" s="23">
        <v>1</v>
      </c>
    </row>
    <row r="1122" spans="2:13" ht="18">
      <c r="B1122" s="55"/>
      <c r="C1122" s="55"/>
      <c r="D1122" s="55"/>
      <c r="E1122" s="55"/>
      <c r="F1122" s="55"/>
      <c r="G1122" s="55"/>
      <c r="H1122" s="141"/>
      <c r="M1122" s="23">
        <v>1</v>
      </c>
    </row>
    <row r="1123" spans="2:13" ht="18">
      <c r="B1123" s="55"/>
      <c r="C1123" s="55"/>
      <c r="D1123" s="55"/>
      <c r="E1123" s="55"/>
      <c r="F1123" s="55"/>
      <c r="G1123" s="55"/>
      <c r="H1123" s="141"/>
      <c r="M1123" s="23">
        <v>1</v>
      </c>
    </row>
    <row r="1124" spans="2:13" ht="18">
      <c r="B1124" s="55"/>
      <c r="C1124" s="55"/>
      <c r="D1124" s="55"/>
      <c r="E1124" s="55"/>
      <c r="F1124" s="55"/>
      <c r="G1124" s="55"/>
      <c r="H1124" s="141"/>
      <c r="M1124" s="23">
        <v>1</v>
      </c>
    </row>
    <row r="1125" spans="2:13" ht="18">
      <c r="B1125" s="55"/>
      <c r="C1125" s="55"/>
      <c r="D1125" s="55"/>
      <c r="E1125" s="55"/>
      <c r="F1125" s="55"/>
      <c r="G1125" s="55"/>
      <c r="H1125" s="141"/>
      <c r="M1125" s="23">
        <v>1</v>
      </c>
    </row>
    <row r="1126" spans="2:13" ht="18">
      <c r="B1126" s="55"/>
      <c r="C1126" s="55"/>
      <c r="D1126" s="55"/>
      <c r="E1126" s="55"/>
      <c r="F1126" s="55"/>
      <c r="G1126" s="55"/>
      <c r="H1126" s="141"/>
      <c r="M1126" s="23">
        <v>1</v>
      </c>
    </row>
    <row r="1127" spans="2:13" ht="18">
      <c r="B1127" s="55"/>
      <c r="C1127" s="55"/>
      <c r="D1127" s="55"/>
      <c r="E1127" s="55"/>
      <c r="F1127" s="55"/>
      <c r="G1127" s="55"/>
      <c r="H1127" s="141"/>
      <c r="M1127" s="23">
        <v>1</v>
      </c>
    </row>
    <row r="1128" spans="2:13" ht="18">
      <c r="B1128" s="55"/>
      <c r="C1128" s="55"/>
      <c r="D1128" s="55"/>
      <c r="E1128" s="55"/>
      <c r="F1128" s="55"/>
      <c r="G1128" s="55"/>
      <c r="H1128" s="141"/>
      <c r="M1128" s="23">
        <v>1</v>
      </c>
    </row>
    <row r="1129" spans="2:13" ht="18">
      <c r="B1129" s="55"/>
      <c r="C1129" s="55"/>
      <c r="D1129" s="55"/>
      <c r="E1129" s="55"/>
      <c r="F1129" s="55"/>
      <c r="G1129" s="55"/>
      <c r="H1129" s="141"/>
      <c r="M1129" s="23">
        <v>1</v>
      </c>
    </row>
    <row r="1130" spans="2:13" ht="18">
      <c r="B1130" s="55"/>
      <c r="C1130" s="55"/>
      <c r="D1130" s="55"/>
      <c r="E1130" s="55"/>
      <c r="F1130" s="55"/>
      <c r="G1130" s="55"/>
      <c r="H1130" s="141"/>
      <c r="M1130" s="23">
        <v>1</v>
      </c>
    </row>
    <row r="1131" spans="2:13" ht="18">
      <c r="B1131" s="55"/>
      <c r="C1131" s="55"/>
      <c r="D1131" s="55"/>
      <c r="E1131" s="55"/>
      <c r="F1131" s="55"/>
      <c r="G1131" s="55"/>
      <c r="H1131" s="141"/>
      <c r="M1131" s="23">
        <v>1</v>
      </c>
    </row>
    <row r="1132" spans="2:13" ht="18">
      <c r="B1132" s="55"/>
      <c r="C1132" s="55"/>
      <c r="D1132" s="55"/>
      <c r="E1132" s="55"/>
      <c r="F1132" s="55"/>
      <c r="G1132" s="55"/>
      <c r="H1132" s="141"/>
      <c r="M1132" s="23">
        <v>1</v>
      </c>
    </row>
    <row r="1133" spans="2:13" ht="18">
      <c r="B1133" s="55"/>
      <c r="C1133" s="55"/>
      <c r="D1133" s="55"/>
      <c r="E1133" s="55"/>
      <c r="F1133" s="55"/>
      <c r="G1133" s="55"/>
      <c r="H1133" s="141"/>
      <c r="M1133" s="23">
        <v>1</v>
      </c>
    </row>
    <row r="1134" spans="2:13" ht="18">
      <c r="B1134" s="55"/>
      <c r="C1134" s="55"/>
      <c r="D1134" s="55"/>
      <c r="E1134" s="55"/>
      <c r="F1134" s="55"/>
      <c r="G1134" s="55"/>
      <c r="H1134" s="141"/>
      <c r="M1134" s="23">
        <v>1</v>
      </c>
    </row>
    <row r="1135" spans="2:13" ht="18">
      <c r="B1135" s="55"/>
      <c r="C1135" s="55"/>
      <c r="D1135" s="55"/>
      <c r="E1135" s="55"/>
      <c r="F1135" s="55"/>
      <c r="G1135" s="55"/>
      <c r="H1135" s="141"/>
      <c r="M1135" s="23">
        <v>1</v>
      </c>
    </row>
    <row r="1136" spans="2:13" ht="18">
      <c r="B1136" s="55"/>
      <c r="C1136" s="55"/>
      <c r="D1136" s="55"/>
      <c r="E1136" s="55"/>
      <c r="F1136" s="55"/>
      <c r="G1136" s="55"/>
      <c r="H1136" s="141"/>
      <c r="M1136" s="23">
        <v>1</v>
      </c>
    </row>
    <row r="1137" spans="2:13" ht="18">
      <c r="B1137" s="55"/>
      <c r="C1137" s="55"/>
      <c r="D1137" s="55"/>
      <c r="E1137" s="55"/>
      <c r="F1137" s="55"/>
      <c r="G1137" s="55"/>
      <c r="H1137" s="141"/>
      <c r="M1137" s="23">
        <v>1</v>
      </c>
    </row>
    <row r="1138" spans="2:13" ht="18">
      <c r="B1138" s="55"/>
      <c r="C1138" s="55"/>
      <c r="D1138" s="55"/>
      <c r="E1138" s="55"/>
      <c r="F1138" s="55"/>
      <c r="G1138" s="55"/>
      <c r="H1138" s="141"/>
      <c r="M1138" s="23">
        <v>1</v>
      </c>
    </row>
    <row r="1139" spans="2:13" ht="18">
      <c r="B1139" s="55"/>
      <c r="C1139" s="55"/>
      <c r="D1139" s="55"/>
      <c r="E1139" s="55"/>
      <c r="F1139" s="55"/>
      <c r="G1139" s="55"/>
      <c r="H1139" s="141"/>
      <c r="M1139" s="23">
        <v>1</v>
      </c>
    </row>
    <row r="1140" spans="2:13" ht="18">
      <c r="B1140" s="55"/>
      <c r="C1140" s="55"/>
      <c r="D1140" s="55"/>
      <c r="E1140" s="55"/>
      <c r="F1140" s="55"/>
      <c r="G1140" s="55"/>
      <c r="H1140" s="141"/>
      <c r="M1140" s="23">
        <v>1</v>
      </c>
    </row>
    <row r="1141" spans="2:13" ht="18">
      <c r="B1141" s="55"/>
      <c r="C1141" s="55"/>
      <c r="D1141" s="55"/>
      <c r="E1141" s="55"/>
      <c r="F1141" s="55"/>
      <c r="G1141" s="55"/>
      <c r="H1141" s="141"/>
      <c r="M1141" s="23">
        <v>1</v>
      </c>
    </row>
    <row r="1142" spans="2:13" ht="18">
      <c r="B1142" s="55"/>
      <c r="C1142" s="55"/>
      <c r="D1142" s="55"/>
      <c r="E1142" s="55"/>
      <c r="F1142" s="55"/>
      <c r="G1142" s="55"/>
      <c r="H1142" s="141"/>
      <c r="M1142" s="23">
        <v>1</v>
      </c>
    </row>
    <row r="1143" spans="2:13" ht="18">
      <c r="B1143" s="55"/>
      <c r="C1143" s="55"/>
      <c r="D1143" s="55"/>
      <c r="E1143" s="55"/>
      <c r="F1143" s="55"/>
      <c r="G1143" s="55"/>
      <c r="H1143" s="141"/>
      <c r="M1143" s="23">
        <v>1</v>
      </c>
    </row>
    <row r="1144" spans="2:13" ht="18">
      <c r="B1144" s="55"/>
      <c r="C1144" s="55"/>
      <c r="D1144" s="55"/>
      <c r="E1144" s="55"/>
      <c r="F1144" s="55"/>
      <c r="G1144" s="55"/>
      <c r="H1144" s="141"/>
      <c r="M1144" s="23">
        <v>1</v>
      </c>
    </row>
    <row r="1145" spans="2:13" ht="18">
      <c r="B1145" s="55"/>
      <c r="C1145" s="55"/>
      <c r="D1145" s="55"/>
      <c r="E1145" s="55"/>
      <c r="F1145" s="55"/>
      <c r="G1145" s="55"/>
      <c r="H1145" s="141"/>
      <c r="M1145" s="23">
        <v>1</v>
      </c>
    </row>
    <row r="1146" spans="2:13" ht="18">
      <c r="B1146" s="55"/>
      <c r="C1146" s="55"/>
      <c r="D1146" s="55"/>
      <c r="E1146" s="55"/>
      <c r="F1146" s="55"/>
      <c r="G1146" s="55"/>
      <c r="H1146" s="141"/>
      <c r="M1146" s="23">
        <v>1</v>
      </c>
    </row>
    <row r="1147" spans="2:13" ht="18">
      <c r="B1147" s="55"/>
      <c r="C1147" s="55"/>
      <c r="D1147" s="55"/>
      <c r="E1147" s="55"/>
      <c r="F1147" s="55"/>
      <c r="G1147" s="55"/>
      <c r="H1147" s="141"/>
      <c r="M1147" s="23">
        <v>1</v>
      </c>
    </row>
    <row r="1148" spans="2:13" ht="18">
      <c r="B1148" s="55"/>
      <c r="C1148" s="55"/>
      <c r="D1148" s="55"/>
      <c r="E1148" s="55"/>
      <c r="F1148" s="55"/>
      <c r="G1148" s="55"/>
      <c r="H1148" s="141"/>
      <c r="M1148" s="23">
        <v>1</v>
      </c>
    </row>
    <row r="1149" spans="2:13" ht="18">
      <c r="B1149" s="55"/>
      <c r="C1149" s="55"/>
      <c r="D1149" s="55"/>
      <c r="E1149" s="55"/>
      <c r="F1149" s="55"/>
      <c r="G1149" s="55"/>
      <c r="H1149" s="141"/>
      <c r="M1149" s="23">
        <v>1</v>
      </c>
    </row>
    <row r="1150" spans="2:13" ht="18">
      <c r="B1150" s="55"/>
      <c r="C1150" s="55"/>
      <c r="D1150" s="55"/>
      <c r="E1150" s="55"/>
      <c r="F1150" s="55"/>
      <c r="G1150" s="55"/>
      <c r="H1150" s="141"/>
      <c r="M1150" s="23">
        <v>1</v>
      </c>
    </row>
    <row r="1151" spans="2:13" ht="18">
      <c r="B1151" s="55"/>
      <c r="C1151" s="55"/>
      <c r="D1151" s="55"/>
      <c r="E1151" s="55"/>
      <c r="F1151" s="55"/>
      <c r="G1151" s="55"/>
      <c r="H1151" s="141"/>
      <c r="M1151" s="23">
        <v>1</v>
      </c>
    </row>
    <row r="1152" spans="2:13" ht="18">
      <c r="B1152" s="55"/>
      <c r="C1152" s="55"/>
      <c r="D1152" s="55"/>
      <c r="E1152" s="55"/>
      <c r="F1152" s="55"/>
      <c r="G1152" s="55"/>
      <c r="H1152" s="141"/>
      <c r="M1152" s="23">
        <v>1</v>
      </c>
    </row>
    <row r="1153" spans="2:13" ht="18">
      <c r="B1153" s="55"/>
      <c r="C1153" s="55"/>
      <c r="D1153" s="55"/>
      <c r="E1153" s="55"/>
      <c r="F1153" s="55"/>
      <c r="G1153" s="55"/>
      <c r="H1153" s="141"/>
      <c r="M1153" s="23">
        <v>1</v>
      </c>
    </row>
    <row r="1154" spans="2:13" ht="18">
      <c r="B1154" s="55"/>
      <c r="C1154" s="55"/>
      <c r="D1154" s="55"/>
      <c r="E1154" s="55"/>
      <c r="F1154" s="55"/>
      <c r="G1154" s="55"/>
      <c r="H1154" s="141"/>
      <c r="M1154" s="23">
        <v>1</v>
      </c>
    </row>
    <row r="1155" spans="2:13" ht="18">
      <c r="B1155" s="55"/>
      <c r="C1155" s="55"/>
      <c r="D1155" s="55"/>
      <c r="E1155" s="55"/>
      <c r="F1155" s="55"/>
      <c r="G1155" s="55"/>
      <c r="H1155" s="141"/>
      <c r="M1155" s="23">
        <v>1</v>
      </c>
    </row>
    <row r="1156" spans="2:13" ht="18">
      <c r="B1156" s="55"/>
      <c r="C1156" s="55"/>
      <c r="D1156" s="55"/>
      <c r="E1156" s="55"/>
      <c r="F1156" s="55"/>
      <c r="G1156" s="55"/>
      <c r="H1156" s="141"/>
      <c r="M1156" s="23">
        <v>1</v>
      </c>
    </row>
    <row r="1157" spans="2:13" ht="18">
      <c r="B1157" s="55"/>
      <c r="C1157" s="55"/>
      <c r="D1157" s="55"/>
      <c r="E1157" s="55"/>
      <c r="F1157" s="55"/>
      <c r="G1157" s="55"/>
      <c r="H1157" s="141"/>
      <c r="M1157" s="23">
        <v>1</v>
      </c>
    </row>
    <row r="1158" spans="2:13" ht="18">
      <c r="B1158" s="55"/>
      <c r="C1158" s="55"/>
      <c r="D1158" s="55"/>
      <c r="E1158" s="55"/>
      <c r="F1158" s="55"/>
      <c r="G1158" s="55"/>
      <c r="H1158" s="141"/>
      <c r="M1158" s="23">
        <v>1</v>
      </c>
    </row>
    <row r="1159" spans="2:13" ht="18">
      <c r="B1159" s="55"/>
      <c r="C1159" s="55"/>
      <c r="D1159" s="55"/>
      <c r="E1159" s="55"/>
      <c r="F1159" s="55"/>
      <c r="G1159" s="55"/>
      <c r="H1159" s="141"/>
      <c r="M1159" s="23">
        <v>1</v>
      </c>
    </row>
    <row r="1160" spans="2:13" ht="18">
      <c r="B1160" s="55"/>
      <c r="C1160" s="55"/>
      <c r="D1160" s="55"/>
      <c r="E1160" s="55"/>
      <c r="F1160" s="55"/>
      <c r="G1160" s="55"/>
      <c r="H1160" s="141"/>
      <c r="M1160" s="23">
        <v>1</v>
      </c>
    </row>
    <row r="1161" spans="2:13" ht="18">
      <c r="B1161" s="55"/>
      <c r="C1161" s="55"/>
      <c r="D1161" s="55"/>
      <c r="E1161" s="55"/>
      <c r="F1161" s="55"/>
      <c r="G1161" s="55"/>
      <c r="H1161" s="141"/>
      <c r="M1161" s="23">
        <v>1</v>
      </c>
    </row>
    <row r="1162" spans="2:13" ht="18">
      <c r="B1162" s="55"/>
      <c r="C1162" s="55"/>
      <c r="D1162" s="55"/>
      <c r="E1162" s="55"/>
      <c r="F1162" s="55"/>
      <c r="G1162" s="55"/>
      <c r="H1162" s="141"/>
      <c r="M1162" s="23">
        <v>1</v>
      </c>
    </row>
    <row r="1163" spans="2:13" ht="18">
      <c r="B1163" s="55"/>
      <c r="C1163" s="55"/>
      <c r="D1163" s="55"/>
      <c r="E1163" s="55"/>
      <c r="F1163" s="55"/>
      <c r="G1163" s="55"/>
      <c r="H1163" s="141"/>
      <c r="M1163" s="23">
        <v>1</v>
      </c>
    </row>
    <row r="1164" spans="2:13" ht="18">
      <c r="B1164" s="55"/>
      <c r="C1164" s="55"/>
      <c r="D1164" s="55"/>
      <c r="E1164" s="55"/>
      <c r="F1164" s="55"/>
      <c r="G1164" s="55"/>
      <c r="H1164" s="141"/>
      <c r="M1164" s="23">
        <v>1</v>
      </c>
    </row>
    <row r="1165" spans="2:13" ht="18">
      <c r="B1165" s="55"/>
      <c r="C1165" s="55"/>
      <c r="D1165" s="55"/>
      <c r="E1165" s="55"/>
      <c r="F1165" s="55"/>
      <c r="G1165" s="55"/>
      <c r="H1165" s="141"/>
      <c r="M1165" s="23">
        <v>1</v>
      </c>
    </row>
    <row r="1166" spans="2:13" ht="18">
      <c r="B1166" s="55"/>
      <c r="C1166" s="55"/>
      <c r="D1166" s="55"/>
      <c r="E1166" s="55"/>
      <c r="F1166" s="55"/>
      <c r="G1166" s="55"/>
      <c r="H1166" s="141"/>
      <c r="M1166" s="23">
        <v>1</v>
      </c>
    </row>
    <row r="1167" spans="2:13" ht="18">
      <c r="B1167" s="55"/>
      <c r="C1167" s="55"/>
      <c r="D1167" s="55"/>
      <c r="E1167" s="55"/>
      <c r="F1167" s="55"/>
      <c r="G1167" s="55"/>
      <c r="H1167" s="141"/>
      <c r="M1167" s="23">
        <v>1</v>
      </c>
    </row>
    <row r="1168" spans="2:13" ht="18">
      <c r="B1168" s="55"/>
      <c r="C1168" s="55"/>
      <c r="D1168" s="55"/>
      <c r="E1168" s="55"/>
      <c r="F1168" s="55"/>
      <c r="G1168" s="55"/>
      <c r="H1168" s="141"/>
      <c r="M1168" s="23">
        <v>1</v>
      </c>
    </row>
    <row r="1169" spans="2:13" ht="18">
      <c r="B1169" s="55"/>
      <c r="C1169" s="55"/>
      <c r="D1169" s="55"/>
      <c r="E1169" s="55"/>
      <c r="F1169" s="55"/>
      <c r="G1169" s="55"/>
      <c r="H1169" s="141"/>
      <c r="M1169" s="23">
        <v>1</v>
      </c>
    </row>
    <row r="1170" spans="2:13" ht="18">
      <c r="B1170" s="55"/>
      <c r="C1170" s="55"/>
      <c r="D1170" s="55"/>
      <c r="E1170" s="55"/>
      <c r="F1170" s="55"/>
      <c r="G1170" s="55"/>
      <c r="H1170" s="141"/>
      <c r="M1170" s="23">
        <v>1</v>
      </c>
    </row>
    <row r="1171" spans="2:13" ht="18">
      <c r="B1171" s="55"/>
      <c r="C1171" s="55"/>
      <c r="D1171" s="55"/>
      <c r="E1171" s="55"/>
      <c r="F1171" s="55"/>
      <c r="G1171" s="55"/>
      <c r="H1171" s="141"/>
      <c r="M1171" s="23">
        <v>1</v>
      </c>
    </row>
    <row r="1172" spans="2:13" ht="18">
      <c r="B1172" s="55"/>
      <c r="C1172" s="55"/>
      <c r="D1172" s="55"/>
      <c r="E1172" s="55"/>
      <c r="F1172" s="55"/>
      <c r="G1172" s="55"/>
      <c r="H1172" s="141"/>
      <c r="M1172" s="23">
        <v>1</v>
      </c>
    </row>
    <row r="1173" spans="2:13" ht="18">
      <c r="B1173" s="55"/>
      <c r="C1173" s="55"/>
      <c r="D1173" s="55"/>
      <c r="E1173" s="55"/>
      <c r="F1173" s="55"/>
      <c r="G1173" s="55"/>
      <c r="H1173" s="141"/>
      <c r="M1173" s="23">
        <v>1</v>
      </c>
    </row>
    <row r="1174" spans="2:13" ht="18">
      <c r="B1174" s="55"/>
      <c r="C1174" s="55"/>
      <c r="D1174" s="55"/>
      <c r="E1174" s="55"/>
      <c r="F1174" s="55"/>
      <c r="G1174" s="55"/>
      <c r="H1174" s="141"/>
      <c r="M1174" s="23">
        <v>1</v>
      </c>
    </row>
    <row r="1175" spans="2:13" ht="18">
      <c r="B1175" s="55"/>
      <c r="C1175" s="55"/>
      <c r="D1175" s="55"/>
      <c r="E1175" s="55"/>
      <c r="F1175" s="55"/>
      <c r="G1175" s="55"/>
      <c r="H1175" s="141"/>
      <c r="M1175" s="23">
        <v>1</v>
      </c>
    </row>
    <row r="1176" spans="2:13" ht="18">
      <c r="B1176" s="55"/>
      <c r="C1176" s="55"/>
      <c r="D1176" s="55"/>
      <c r="E1176" s="55"/>
      <c r="F1176" s="55"/>
      <c r="G1176" s="55"/>
      <c r="H1176" s="141"/>
      <c r="M1176" s="23">
        <v>1</v>
      </c>
    </row>
    <row r="1177" spans="2:13" ht="18">
      <c r="B1177" s="55"/>
      <c r="C1177" s="55"/>
      <c r="D1177" s="55"/>
      <c r="E1177" s="55"/>
      <c r="F1177" s="55"/>
      <c r="G1177" s="55"/>
      <c r="H1177" s="141"/>
      <c r="M1177" s="23">
        <v>1</v>
      </c>
    </row>
    <row r="1178" spans="2:13" ht="18">
      <c r="B1178" s="55"/>
      <c r="C1178" s="55"/>
      <c r="D1178" s="55"/>
      <c r="E1178" s="55"/>
      <c r="F1178" s="55"/>
      <c r="G1178" s="55"/>
      <c r="H1178" s="141"/>
      <c r="M1178" s="23">
        <v>1</v>
      </c>
    </row>
    <row r="1179" spans="2:13" ht="18">
      <c r="B1179" s="55"/>
      <c r="C1179" s="55"/>
      <c r="D1179" s="55"/>
      <c r="E1179" s="55"/>
      <c r="F1179" s="55"/>
      <c r="G1179" s="55"/>
      <c r="H1179" s="141"/>
      <c r="M1179" s="23">
        <v>1</v>
      </c>
    </row>
    <row r="1180" spans="2:13" ht="18">
      <c r="B1180" s="55"/>
      <c r="C1180" s="55"/>
      <c r="D1180" s="55"/>
      <c r="E1180" s="55"/>
      <c r="F1180" s="55"/>
      <c r="G1180" s="55"/>
      <c r="H1180" s="141"/>
      <c r="M1180" s="23">
        <v>1</v>
      </c>
    </row>
    <row r="1181" spans="2:13" ht="18">
      <c r="B1181" s="55"/>
      <c r="C1181" s="55"/>
      <c r="D1181" s="55"/>
      <c r="E1181" s="55"/>
      <c r="F1181" s="55"/>
      <c r="G1181" s="55"/>
      <c r="H1181" s="141"/>
      <c r="M1181" s="23">
        <v>1</v>
      </c>
    </row>
    <row r="1182" spans="2:13" ht="18">
      <c r="B1182" s="55"/>
      <c r="C1182" s="55"/>
      <c r="D1182" s="55"/>
      <c r="E1182" s="55"/>
      <c r="F1182" s="55"/>
      <c r="G1182" s="55"/>
      <c r="H1182" s="141"/>
      <c r="M1182" s="23">
        <v>1</v>
      </c>
    </row>
    <row r="1183" spans="2:13" ht="18">
      <c r="B1183" s="55"/>
      <c r="C1183" s="55"/>
      <c r="D1183" s="55"/>
      <c r="E1183" s="55"/>
      <c r="F1183" s="55"/>
      <c r="G1183" s="55"/>
      <c r="H1183" s="141"/>
      <c r="M1183" s="23">
        <v>1</v>
      </c>
    </row>
    <row r="1184" spans="2:13" ht="18">
      <c r="B1184" s="55"/>
      <c r="C1184" s="55"/>
      <c r="D1184" s="55"/>
      <c r="E1184" s="55"/>
      <c r="F1184" s="55"/>
      <c r="G1184" s="55"/>
      <c r="H1184" s="141"/>
      <c r="M1184" s="23">
        <v>1</v>
      </c>
    </row>
    <row r="1185" spans="2:13" ht="18">
      <c r="B1185" s="55"/>
      <c r="C1185" s="55"/>
      <c r="D1185" s="55"/>
      <c r="E1185" s="55"/>
      <c r="F1185" s="55"/>
      <c r="G1185" s="55"/>
      <c r="H1185" s="141"/>
      <c r="M1185" s="23">
        <v>1</v>
      </c>
    </row>
    <row r="1186" spans="2:13" ht="18">
      <c r="B1186" s="55"/>
      <c r="C1186" s="55"/>
      <c r="D1186" s="55"/>
      <c r="E1186" s="55"/>
      <c r="F1186" s="55"/>
      <c r="G1186" s="55"/>
      <c r="H1186" s="141"/>
      <c r="M1186" s="23">
        <v>1</v>
      </c>
    </row>
    <row r="1187" spans="2:13" ht="18">
      <c r="B1187" s="55"/>
      <c r="C1187" s="55"/>
      <c r="D1187" s="55"/>
      <c r="E1187" s="55"/>
      <c r="F1187" s="55"/>
      <c r="G1187" s="55"/>
      <c r="H1187" s="141"/>
      <c r="M1187" s="23">
        <v>1</v>
      </c>
    </row>
    <row r="1188" spans="2:13" ht="18">
      <c r="B1188" s="55"/>
      <c r="C1188" s="55"/>
      <c r="D1188" s="55"/>
      <c r="E1188" s="55"/>
      <c r="F1188" s="55"/>
      <c r="G1188" s="55"/>
      <c r="H1188" s="141"/>
      <c r="M1188" s="23">
        <v>1</v>
      </c>
    </row>
    <row r="1189" spans="2:13" ht="18">
      <c r="B1189" s="55"/>
      <c r="C1189" s="55"/>
      <c r="D1189" s="55"/>
      <c r="E1189" s="55"/>
      <c r="F1189" s="55"/>
      <c r="G1189" s="55"/>
      <c r="H1189" s="141"/>
      <c r="M1189" s="23">
        <v>1</v>
      </c>
    </row>
    <row r="1190" spans="2:13" ht="18">
      <c r="B1190" s="55"/>
      <c r="C1190" s="55"/>
      <c r="D1190" s="55"/>
      <c r="E1190" s="55"/>
      <c r="F1190" s="55"/>
      <c r="G1190" s="55"/>
      <c r="H1190" s="141"/>
      <c r="M1190" s="23">
        <v>1</v>
      </c>
    </row>
    <row r="1191" spans="2:13" ht="18">
      <c r="B1191" s="55"/>
      <c r="C1191" s="55"/>
      <c r="D1191" s="55"/>
      <c r="E1191" s="55"/>
      <c r="F1191" s="55"/>
      <c r="G1191" s="55"/>
      <c r="H1191" s="141"/>
      <c r="M1191" s="23">
        <v>1</v>
      </c>
    </row>
    <row r="1192" spans="2:13" ht="18">
      <c r="B1192" s="55"/>
      <c r="C1192" s="55"/>
      <c r="D1192" s="55"/>
      <c r="E1192" s="55"/>
      <c r="F1192" s="55"/>
      <c r="G1192" s="55"/>
      <c r="H1192" s="141"/>
      <c r="M1192" s="23">
        <v>1</v>
      </c>
    </row>
    <row r="1193" spans="2:13" ht="18">
      <c r="B1193" s="55"/>
      <c r="C1193" s="55"/>
      <c r="D1193" s="55"/>
      <c r="E1193" s="55"/>
      <c r="F1193" s="55"/>
      <c r="G1193" s="55"/>
      <c r="H1193" s="141"/>
      <c r="M1193" s="23">
        <v>1</v>
      </c>
    </row>
    <row r="1194" spans="2:13" ht="18">
      <c r="B1194" s="55"/>
      <c r="C1194" s="55"/>
      <c r="D1194" s="55"/>
      <c r="E1194" s="55"/>
      <c r="F1194" s="55"/>
      <c r="G1194" s="55"/>
      <c r="H1194" s="141"/>
      <c r="M1194" s="23">
        <v>1</v>
      </c>
    </row>
    <row r="1195" spans="2:13" ht="18">
      <c r="B1195" s="55"/>
      <c r="C1195" s="55"/>
      <c r="D1195" s="55"/>
      <c r="E1195" s="55"/>
      <c r="F1195" s="55"/>
      <c r="G1195" s="55"/>
      <c r="H1195" s="141"/>
      <c r="M1195" s="23">
        <v>1</v>
      </c>
    </row>
    <row r="1196" spans="2:13" ht="18">
      <c r="B1196" s="55"/>
      <c r="C1196" s="55"/>
      <c r="D1196" s="55"/>
      <c r="E1196" s="55"/>
      <c r="F1196" s="55"/>
      <c r="G1196" s="55"/>
      <c r="H1196" s="141"/>
      <c r="M1196" s="23">
        <v>1</v>
      </c>
    </row>
    <row r="1197" spans="2:13" ht="18">
      <c r="B1197" s="55"/>
      <c r="C1197" s="55"/>
      <c r="D1197" s="55"/>
      <c r="E1197" s="55"/>
      <c r="F1197" s="55"/>
      <c r="G1197" s="55"/>
      <c r="H1197" s="141"/>
      <c r="M1197" s="23">
        <v>1</v>
      </c>
    </row>
    <row r="1198" spans="2:13" ht="18">
      <c r="B1198" s="55"/>
      <c r="C1198" s="55"/>
      <c r="D1198" s="55"/>
      <c r="E1198" s="55"/>
      <c r="F1198" s="55"/>
      <c r="G1198" s="55"/>
      <c r="H1198" s="141"/>
      <c r="M1198" s="23">
        <v>1</v>
      </c>
    </row>
    <row r="1199" spans="2:13" ht="18">
      <c r="B1199" s="55"/>
      <c r="C1199" s="55"/>
      <c r="D1199" s="55"/>
      <c r="E1199" s="55"/>
      <c r="F1199" s="55"/>
      <c r="G1199" s="55"/>
      <c r="H1199" s="141"/>
      <c r="M1199" s="23">
        <v>1</v>
      </c>
    </row>
    <row r="1200" spans="2:13" ht="18">
      <c r="B1200" s="55"/>
      <c r="C1200" s="55"/>
      <c r="D1200" s="55"/>
      <c r="E1200" s="55"/>
      <c r="F1200" s="55"/>
      <c r="G1200" s="55"/>
      <c r="H1200" s="141"/>
      <c r="M1200" s="23">
        <v>1</v>
      </c>
    </row>
    <row r="1201" spans="2:13" ht="18">
      <c r="B1201" s="55"/>
      <c r="C1201" s="55"/>
      <c r="D1201" s="55"/>
      <c r="E1201" s="55"/>
      <c r="F1201" s="55"/>
      <c r="G1201" s="55"/>
      <c r="H1201" s="141"/>
      <c r="M1201" s="23">
        <v>1</v>
      </c>
    </row>
    <row r="1202" spans="2:13" ht="18">
      <c r="B1202" s="55"/>
      <c r="C1202" s="55"/>
      <c r="D1202" s="55"/>
      <c r="E1202" s="55"/>
      <c r="F1202" s="55"/>
      <c r="G1202" s="55"/>
      <c r="H1202" s="141"/>
      <c r="M1202" s="23">
        <v>1</v>
      </c>
    </row>
    <row r="1203" spans="2:13" ht="18">
      <c r="B1203" s="55"/>
      <c r="C1203" s="55"/>
      <c r="D1203" s="55"/>
      <c r="E1203" s="55"/>
      <c r="F1203" s="55"/>
      <c r="G1203" s="55"/>
      <c r="H1203" s="141"/>
      <c r="M1203" s="23">
        <v>1</v>
      </c>
    </row>
    <row r="1204" spans="2:13" ht="18">
      <c r="B1204" s="55"/>
      <c r="C1204" s="55"/>
      <c r="D1204" s="55"/>
      <c r="E1204" s="55"/>
      <c r="F1204" s="55"/>
      <c r="G1204" s="55"/>
      <c r="H1204" s="141"/>
      <c r="M1204" s="23">
        <v>1</v>
      </c>
    </row>
    <row r="1205" spans="2:13" ht="18">
      <c r="B1205" s="55"/>
      <c r="C1205" s="55"/>
      <c r="D1205" s="55"/>
      <c r="E1205" s="55"/>
      <c r="F1205" s="55"/>
      <c r="G1205" s="55"/>
      <c r="H1205" s="141"/>
      <c r="M1205" s="23">
        <v>1</v>
      </c>
    </row>
    <row r="1206" spans="2:13" ht="18">
      <c r="B1206" s="55"/>
      <c r="C1206" s="55"/>
      <c r="D1206" s="55"/>
      <c r="E1206" s="55"/>
      <c r="F1206" s="55"/>
      <c r="G1206" s="55"/>
      <c r="H1206" s="141"/>
      <c r="M1206" s="23">
        <v>1</v>
      </c>
    </row>
    <row r="1207" spans="2:13" ht="18">
      <c r="B1207" s="55"/>
      <c r="C1207" s="55"/>
      <c r="D1207" s="55"/>
      <c r="E1207" s="55"/>
      <c r="F1207" s="55"/>
      <c r="G1207" s="55"/>
      <c r="H1207" s="141"/>
      <c r="M1207" s="23">
        <v>1</v>
      </c>
    </row>
    <row r="1208" spans="2:13" ht="18">
      <c r="B1208" s="55"/>
      <c r="C1208" s="55"/>
      <c r="D1208" s="55"/>
      <c r="E1208" s="55"/>
      <c r="F1208" s="55"/>
      <c r="G1208" s="55"/>
      <c r="H1208" s="141"/>
      <c r="M1208" s="23">
        <v>1</v>
      </c>
    </row>
    <row r="1209" spans="2:13" ht="18">
      <c r="B1209" s="55"/>
      <c r="C1209" s="55"/>
      <c r="D1209" s="55"/>
      <c r="E1209" s="55"/>
      <c r="F1209" s="55"/>
      <c r="G1209" s="55"/>
      <c r="H1209" s="141"/>
      <c r="M1209" s="23">
        <v>1</v>
      </c>
    </row>
    <row r="1210" spans="2:13" ht="18">
      <c r="B1210" s="55"/>
      <c r="C1210" s="55"/>
      <c r="D1210" s="55"/>
      <c r="E1210" s="55"/>
      <c r="F1210" s="55"/>
      <c r="G1210" s="55"/>
      <c r="H1210" s="141"/>
      <c r="M1210" s="23">
        <v>1</v>
      </c>
    </row>
    <row r="1211" spans="2:13" ht="18">
      <c r="B1211" s="55"/>
      <c r="C1211" s="55"/>
      <c r="D1211" s="55"/>
      <c r="E1211" s="55"/>
      <c r="F1211" s="55"/>
      <c r="G1211" s="55"/>
      <c r="H1211" s="141"/>
      <c r="M1211" s="23">
        <v>1</v>
      </c>
    </row>
    <row r="1212" spans="2:13" ht="18">
      <c r="B1212" s="55"/>
      <c r="C1212" s="55"/>
      <c r="D1212" s="55"/>
      <c r="E1212" s="55"/>
      <c r="F1212" s="55"/>
      <c r="G1212" s="55"/>
      <c r="H1212" s="141"/>
      <c r="M1212" s="23">
        <v>1</v>
      </c>
    </row>
    <row r="1213" spans="2:13" ht="18">
      <c r="B1213" s="55"/>
      <c r="C1213" s="55"/>
      <c r="D1213" s="55"/>
      <c r="E1213" s="55"/>
      <c r="F1213" s="55"/>
      <c r="G1213" s="55"/>
      <c r="H1213" s="141"/>
      <c r="M1213" s="23">
        <v>1</v>
      </c>
    </row>
    <row r="1214" spans="2:13" ht="18">
      <c r="B1214" s="55"/>
      <c r="C1214" s="55"/>
      <c r="D1214" s="55"/>
      <c r="E1214" s="55"/>
      <c r="F1214" s="55"/>
      <c r="G1214" s="55"/>
      <c r="H1214" s="141"/>
      <c r="M1214" s="23">
        <v>1</v>
      </c>
    </row>
    <row r="1215" spans="2:13" ht="18">
      <c r="B1215" s="55"/>
      <c r="C1215" s="55"/>
      <c r="D1215" s="55"/>
      <c r="E1215" s="55"/>
      <c r="F1215" s="55"/>
      <c r="G1215" s="55"/>
      <c r="H1215" s="141"/>
      <c r="M1215" s="23">
        <v>1</v>
      </c>
    </row>
    <row r="1216" spans="2:13" ht="18">
      <c r="B1216" s="55"/>
      <c r="C1216" s="55"/>
      <c r="D1216" s="55"/>
      <c r="E1216" s="55"/>
      <c r="F1216" s="55"/>
      <c r="G1216" s="55"/>
      <c r="H1216" s="141"/>
      <c r="M1216" s="23">
        <v>1</v>
      </c>
    </row>
    <row r="1217" spans="2:13" ht="18">
      <c r="B1217" s="55"/>
      <c r="C1217" s="55"/>
      <c r="D1217" s="55"/>
      <c r="E1217" s="55"/>
      <c r="F1217" s="55"/>
      <c r="G1217" s="55"/>
      <c r="H1217" s="141"/>
      <c r="M1217" s="23">
        <v>1</v>
      </c>
    </row>
    <row r="1218" spans="2:13" ht="18">
      <c r="B1218" s="55"/>
      <c r="C1218" s="55"/>
      <c r="D1218" s="55"/>
      <c r="E1218" s="55"/>
      <c r="F1218" s="55"/>
      <c r="G1218" s="55"/>
      <c r="H1218" s="141"/>
      <c r="M1218" s="23">
        <v>1</v>
      </c>
    </row>
    <row r="1219" spans="2:13" ht="18">
      <c r="B1219" s="55"/>
      <c r="C1219" s="55"/>
      <c r="D1219" s="55"/>
      <c r="E1219" s="55"/>
      <c r="F1219" s="55"/>
      <c r="G1219" s="55"/>
      <c r="H1219" s="141"/>
      <c r="M1219" s="23">
        <v>1</v>
      </c>
    </row>
    <row r="1220" spans="2:13" ht="18">
      <c r="B1220" s="55"/>
      <c r="C1220" s="55"/>
      <c r="D1220" s="55"/>
      <c r="E1220" s="55"/>
      <c r="F1220" s="55"/>
      <c r="G1220" s="55"/>
      <c r="H1220" s="141"/>
      <c r="M1220" s="23">
        <v>1</v>
      </c>
    </row>
    <row r="1221" spans="2:13" ht="18">
      <c r="B1221" s="55"/>
      <c r="C1221" s="55"/>
      <c r="D1221" s="55"/>
      <c r="E1221" s="55"/>
      <c r="F1221" s="55"/>
      <c r="G1221" s="55"/>
      <c r="H1221" s="141"/>
      <c r="M1221" s="23">
        <v>1</v>
      </c>
    </row>
    <row r="1222" spans="2:13" ht="18">
      <c r="B1222" s="55"/>
      <c r="C1222" s="55"/>
      <c r="D1222" s="55"/>
      <c r="E1222" s="55"/>
      <c r="F1222" s="55"/>
      <c r="G1222" s="55"/>
      <c r="H1222" s="141"/>
      <c r="M1222" s="23">
        <v>1</v>
      </c>
    </row>
    <row r="1223" spans="2:13" ht="18">
      <c r="B1223" s="55"/>
      <c r="C1223" s="55"/>
      <c r="D1223" s="55"/>
      <c r="E1223" s="55"/>
      <c r="F1223" s="55"/>
      <c r="G1223" s="55"/>
      <c r="H1223" s="141"/>
      <c r="M1223" s="23">
        <v>1</v>
      </c>
    </row>
    <row r="1224" spans="2:13" ht="18">
      <c r="B1224" s="55"/>
      <c r="C1224" s="55"/>
      <c r="D1224" s="55"/>
      <c r="E1224" s="55"/>
      <c r="F1224" s="55"/>
      <c r="G1224" s="55"/>
      <c r="H1224" s="141"/>
      <c r="M1224" s="23">
        <v>1</v>
      </c>
    </row>
    <row r="1225" spans="2:13" ht="18">
      <c r="B1225" s="55"/>
      <c r="C1225" s="55"/>
      <c r="D1225" s="55"/>
      <c r="E1225" s="55"/>
      <c r="F1225" s="55"/>
      <c r="G1225" s="55"/>
      <c r="H1225" s="141"/>
      <c r="M1225" s="23">
        <v>1</v>
      </c>
    </row>
    <row r="1226" spans="2:13" ht="18">
      <c r="B1226" s="55"/>
      <c r="C1226" s="55"/>
      <c r="D1226" s="55"/>
      <c r="E1226" s="55"/>
      <c r="F1226" s="55"/>
      <c r="G1226" s="55"/>
      <c r="H1226" s="141"/>
      <c r="M1226" s="23">
        <v>1</v>
      </c>
    </row>
    <row r="1227" spans="2:13" ht="18">
      <c r="B1227" s="55"/>
      <c r="C1227" s="55"/>
      <c r="D1227" s="55"/>
      <c r="E1227" s="55"/>
      <c r="F1227" s="55"/>
      <c r="G1227" s="55"/>
      <c r="H1227" s="141"/>
      <c r="M1227" s="23">
        <v>1</v>
      </c>
    </row>
    <row r="1228" spans="2:13" ht="18">
      <c r="B1228" s="55"/>
      <c r="C1228" s="55"/>
      <c r="D1228" s="55"/>
      <c r="E1228" s="55"/>
      <c r="F1228" s="55"/>
      <c r="G1228" s="55"/>
      <c r="H1228" s="141"/>
      <c r="M1228" s="23">
        <v>1</v>
      </c>
    </row>
    <row r="1229" spans="2:13" ht="18">
      <c r="B1229" s="55"/>
      <c r="C1229" s="55"/>
      <c r="D1229" s="55"/>
      <c r="E1229" s="55"/>
      <c r="F1229" s="55"/>
      <c r="G1229" s="55"/>
      <c r="H1229" s="141"/>
      <c r="M1229" s="23">
        <v>1</v>
      </c>
    </row>
    <row r="1230" spans="2:13" ht="18">
      <c r="B1230" s="55"/>
      <c r="C1230" s="55"/>
      <c r="D1230" s="55"/>
      <c r="E1230" s="55"/>
      <c r="F1230" s="55"/>
      <c r="G1230" s="55"/>
      <c r="H1230" s="141"/>
      <c r="M1230" s="23">
        <v>1</v>
      </c>
    </row>
    <row r="1231" spans="2:13" ht="18">
      <c r="B1231" s="55"/>
      <c r="C1231" s="55"/>
      <c r="D1231" s="55"/>
      <c r="E1231" s="55"/>
      <c r="F1231" s="55"/>
      <c r="G1231" s="55"/>
      <c r="H1231" s="141"/>
      <c r="M1231" s="23">
        <v>1</v>
      </c>
    </row>
    <row r="1232" spans="2:13" ht="18">
      <c r="B1232" s="55"/>
      <c r="C1232" s="55"/>
      <c r="D1232" s="55"/>
      <c r="E1232" s="55"/>
      <c r="F1232" s="55"/>
      <c r="G1232" s="55"/>
      <c r="H1232" s="141"/>
      <c r="M1232" s="23">
        <v>1</v>
      </c>
    </row>
    <row r="1233" spans="2:13" ht="18">
      <c r="B1233" s="55"/>
      <c r="C1233" s="55"/>
      <c r="D1233" s="55"/>
      <c r="E1233" s="55"/>
      <c r="F1233" s="55"/>
      <c r="G1233" s="55"/>
      <c r="H1233" s="141"/>
      <c r="M1233" s="23">
        <v>1</v>
      </c>
    </row>
    <row r="1234" spans="2:13" ht="18">
      <c r="B1234" s="55"/>
      <c r="C1234" s="55"/>
      <c r="D1234" s="55"/>
      <c r="E1234" s="55"/>
      <c r="F1234" s="55"/>
      <c r="G1234" s="55"/>
      <c r="H1234" s="141"/>
      <c r="M1234" s="23">
        <v>1</v>
      </c>
    </row>
    <row r="1235" spans="2:13" ht="18">
      <c r="B1235" s="55"/>
      <c r="C1235" s="55"/>
      <c r="D1235" s="55"/>
      <c r="E1235" s="55"/>
      <c r="F1235" s="55"/>
      <c r="G1235" s="55"/>
      <c r="H1235" s="141"/>
      <c r="M1235" s="23">
        <v>1</v>
      </c>
    </row>
    <row r="1236" spans="2:13" ht="18">
      <c r="B1236" s="55"/>
      <c r="C1236" s="55"/>
      <c r="D1236" s="55"/>
      <c r="E1236" s="55"/>
      <c r="F1236" s="55"/>
      <c r="G1236" s="55"/>
      <c r="H1236" s="141"/>
      <c r="M1236" s="23">
        <v>1</v>
      </c>
    </row>
    <row r="1237" spans="2:13" ht="18">
      <c r="B1237" s="55"/>
      <c r="C1237" s="55"/>
      <c r="D1237" s="55"/>
      <c r="E1237" s="55"/>
      <c r="F1237" s="55"/>
      <c r="G1237" s="55"/>
      <c r="H1237" s="141"/>
      <c r="M1237" s="23">
        <v>1</v>
      </c>
    </row>
    <row r="1238" spans="2:13" ht="18">
      <c r="B1238" s="55"/>
      <c r="C1238" s="55"/>
      <c r="D1238" s="55"/>
      <c r="E1238" s="55"/>
      <c r="F1238" s="55"/>
      <c r="G1238" s="55"/>
      <c r="H1238" s="141"/>
      <c r="M1238" s="23">
        <v>1</v>
      </c>
    </row>
    <row r="1239" spans="2:13" ht="18">
      <c r="B1239" s="55"/>
      <c r="C1239" s="55"/>
      <c r="D1239" s="55"/>
      <c r="E1239" s="55"/>
      <c r="F1239" s="55"/>
      <c r="G1239" s="55"/>
      <c r="H1239" s="141"/>
      <c r="M1239" s="23">
        <v>1</v>
      </c>
    </row>
    <row r="1240" spans="2:13" ht="18">
      <c r="B1240" s="55"/>
      <c r="C1240" s="55"/>
      <c r="D1240" s="55"/>
      <c r="E1240" s="55"/>
      <c r="F1240" s="55"/>
      <c r="G1240" s="55"/>
      <c r="H1240" s="141"/>
      <c r="M1240" s="23">
        <v>1</v>
      </c>
    </row>
    <row r="1241" spans="2:13" ht="18">
      <c r="B1241" s="55"/>
      <c r="C1241" s="55"/>
      <c r="D1241" s="55"/>
      <c r="E1241" s="55"/>
      <c r="F1241" s="55"/>
      <c r="G1241" s="55"/>
      <c r="H1241" s="141"/>
      <c r="M1241" s="23">
        <v>1</v>
      </c>
    </row>
    <row r="1242" spans="2:13" ht="18">
      <c r="B1242" s="55"/>
      <c r="C1242" s="55"/>
      <c r="D1242" s="55"/>
      <c r="E1242" s="55"/>
      <c r="F1242" s="55"/>
      <c r="G1242" s="55"/>
      <c r="H1242" s="141"/>
      <c r="M1242" s="23">
        <v>1</v>
      </c>
    </row>
    <row r="1243" spans="2:13" ht="18">
      <c r="B1243" s="55"/>
      <c r="C1243" s="55"/>
      <c r="D1243" s="55"/>
      <c r="E1243" s="55"/>
      <c r="F1243" s="55"/>
      <c r="G1243" s="55"/>
      <c r="H1243" s="141"/>
      <c r="M1243" s="23">
        <v>1</v>
      </c>
    </row>
    <row r="1244" spans="2:13" ht="18">
      <c r="B1244" s="55"/>
      <c r="C1244" s="55"/>
      <c r="D1244" s="55"/>
      <c r="E1244" s="55"/>
      <c r="F1244" s="55"/>
      <c r="G1244" s="55"/>
      <c r="H1244" s="141"/>
      <c r="M1244" s="23">
        <v>1</v>
      </c>
    </row>
    <row r="1245" spans="2:13" ht="18">
      <c r="B1245" s="55"/>
      <c r="C1245" s="55"/>
      <c r="D1245" s="55"/>
      <c r="E1245" s="55"/>
      <c r="F1245" s="55"/>
      <c r="G1245" s="55"/>
      <c r="H1245" s="141"/>
      <c r="M1245" s="23">
        <v>1</v>
      </c>
    </row>
    <row r="1246" spans="2:13" ht="18">
      <c r="B1246" s="55"/>
      <c r="C1246" s="55"/>
      <c r="D1246" s="55"/>
      <c r="E1246" s="55"/>
      <c r="F1246" s="55"/>
      <c r="G1246" s="55"/>
      <c r="H1246" s="141"/>
      <c r="M1246" s="23">
        <v>1</v>
      </c>
    </row>
    <row r="1247" spans="2:13" ht="18">
      <c r="B1247" s="55"/>
      <c r="C1247" s="55"/>
      <c r="D1247" s="55"/>
      <c r="E1247" s="55"/>
      <c r="F1247" s="55"/>
      <c r="G1247" s="55"/>
      <c r="H1247" s="141"/>
      <c r="M1247" s="23">
        <v>1</v>
      </c>
    </row>
    <row r="1248" spans="2:13" ht="18">
      <c r="B1248" s="55"/>
      <c r="C1248" s="55"/>
      <c r="D1248" s="55"/>
      <c r="E1248" s="55"/>
      <c r="F1248" s="55"/>
      <c r="G1248" s="55"/>
      <c r="H1248" s="141"/>
      <c r="M1248" s="23">
        <v>1</v>
      </c>
    </row>
    <row r="1249" spans="2:13" ht="18">
      <c r="B1249" s="55"/>
      <c r="C1249" s="55"/>
      <c r="D1249" s="55"/>
      <c r="E1249" s="55"/>
      <c r="F1249" s="55"/>
      <c r="G1249" s="55"/>
      <c r="H1249" s="141"/>
      <c r="M1249" s="23">
        <v>1</v>
      </c>
    </row>
    <row r="1250" spans="2:13" ht="18">
      <c r="B1250" s="55"/>
      <c r="C1250" s="55"/>
      <c r="D1250" s="55"/>
      <c r="E1250" s="55"/>
      <c r="F1250" s="55"/>
      <c r="G1250" s="55"/>
      <c r="H1250" s="141"/>
      <c r="M1250" s="23">
        <v>1</v>
      </c>
    </row>
    <row r="1251" spans="2:13" ht="18">
      <c r="B1251" s="55"/>
      <c r="C1251" s="55"/>
      <c r="D1251" s="55"/>
      <c r="E1251" s="55"/>
      <c r="F1251" s="55"/>
      <c r="G1251" s="55"/>
      <c r="H1251" s="141"/>
      <c r="M1251" s="23">
        <v>1</v>
      </c>
    </row>
    <row r="1252" spans="2:13" ht="18">
      <c r="B1252" s="55"/>
      <c r="C1252" s="55"/>
      <c r="D1252" s="55"/>
      <c r="E1252" s="55"/>
      <c r="F1252" s="55"/>
      <c r="G1252" s="55"/>
      <c r="H1252" s="141"/>
      <c r="M1252" s="23">
        <v>1</v>
      </c>
    </row>
    <row r="1253" spans="2:13" ht="18">
      <c r="B1253" s="55"/>
      <c r="C1253" s="55"/>
      <c r="D1253" s="55"/>
      <c r="E1253" s="55"/>
      <c r="F1253" s="55"/>
      <c r="G1253" s="55"/>
      <c r="H1253" s="141"/>
      <c r="M1253" s="23">
        <v>1</v>
      </c>
    </row>
    <row r="1254" spans="2:13" ht="18">
      <c r="B1254" s="55"/>
      <c r="C1254" s="55"/>
      <c r="D1254" s="55"/>
      <c r="E1254" s="55"/>
      <c r="F1254" s="55"/>
      <c r="G1254" s="55"/>
      <c r="H1254" s="141"/>
      <c r="M1254" s="23">
        <v>1</v>
      </c>
    </row>
    <row r="1255" spans="2:13" ht="18">
      <c r="B1255" s="55"/>
      <c r="C1255" s="55"/>
      <c r="D1255" s="55"/>
      <c r="E1255" s="55"/>
      <c r="F1255" s="55"/>
      <c r="G1255" s="55"/>
      <c r="H1255" s="141"/>
      <c r="M1255" s="23">
        <v>1</v>
      </c>
    </row>
    <row r="1256" spans="2:13" ht="18">
      <c r="B1256" s="55"/>
      <c r="C1256" s="55"/>
      <c r="D1256" s="55"/>
      <c r="E1256" s="55"/>
      <c r="F1256" s="55"/>
      <c r="G1256" s="55"/>
      <c r="H1256" s="141"/>
      <c r="M1256" s="23">
        <v>1</v>
      </c>
    </row>
    <row r="1257" spans="2:13" ht="18">
      <c r="B1257" s="55"/>
      <c r="C1257" s="55"/>
      <c r="D1257" s="55"/>
      <c r="E1257" s="55"/>
      <c r="F1257" s="55"/>
      <c r="G1257" s="55"/>
      <c r="H1257" s="141"/>
      <c r="M1257" s="23">
        <v>1</v>
      </c>
    </row>
    <row r="1258" spans="2:13" ht="18">
      <c r="B1258" s="55"/>
      <c r="C1258" s="55"/>
      <c r="D1258" s="55"/>
      <c r="E1258" s="55"/>
      <c r="F1258" s="55"/>
      <c r="G1258" s="55"/>
      <c r="H1258" s="141"/>
      <c r="M1258" s="23">
        <v>1</v>
      </c>
    </row>
    <row r="1259" spans="2:13" ht="18">
      <c r="B1259" s="55"/>
      <c r="C1259" s="55"/>
      <c r="D1259" s="55"/>
      <c r="E1259" s="55"/>
      <c r="F1259" s="55"/>
      <c r="G1259" s="55"/>
      <c r="H1259" s="141"/>
      <c r="M1259" s="23">
        <v>1</v>
      </c>
    </row>
    <row r="1260" spans="2:13" ht="18">
      <c r="B1260" s="55"/>
      <c r="C1260" s="55"/>
      <c r="D1260" s="55"/>
      <c r="E1260" s="55"/>
      <c r="F1260" s="55"/>
      <c r="G1260" s="55"/>
      <c r="H1260" s="141"/>
      <c r="M1260" s="23">
        <v>1</v>
      </c>
    </row>
    <row r="1261" spans="2:13" ht="18">
      <c r="B1261" s="55"/>
      <c r="C1261" s="55"/>
      <c r="D1261" s="55"/>
      <c r="E1261" s="55"/>
      <c r="F1261" s="55"/>
      <c r="G1261" s="55"/>
      <c r="H1261" s="141"/>
      <c r="M1261" s="23">
        <v>1</v>
      </c>
    </row>
    <row r="1262" spans="2:13" ht="18">
      <c r="B1262" s="55"/>
      <c r="C1262" s="55"/>
      <c r="D1262" s="55"/>
      <c r="E1262" s="55"/>
      <c r="F1262" s="55"/>
      <c r="G1262" s="55"/>
      <c r="H1262" s="141"/>
      <c r="M1262" s="23">
        <v>1</v>
      </c>
    </row>
    <row r="1263" spans="2:13" ht="18">
      <c r="B1263" s="55"/>
      <c r="C1263" s="55"/>
      <c r="D1263" s="55"/>
      <c r="E1263" s="55"/>
      <c r="F1263" s="55"/>
      <c r="G1263" s="55"/>
      <c r="H1263" s="141"/>
      <c r="M1263" s="23">
        <v>1</v>
      </c>
    </row>
    <row r="1264" spans="2:13" ht="18">
      <c r="B1264" s="55"/>
      <c r="C1264" s="55"/>
      <c r="D1264" s="55"/>
      <c r="E1264" s="55"/>
      <c r="F1264" s="55"/>
      <c r="G1264" s="55"/>
      <c r="H1264" s="141"/>
      <c r="M1264" s="23">
        <v>1</v>
      </c>
    </row>
    <row r="1265" spans="2:13" ht="18">
      <c r="B1265" s="55"/>
      <c r="C1265" s="55"/>
      <c r="D1265" s="55"/>
      <c r="E1265" s="55"/>
      <c r="F1265" s="55"/>
      <c r="G1265" s="55"/>
      <c r="H1265" s="141"/>
      <c r="M1265" s="23">
        <v>1</v>
      </c>
    </row>
    <row r="1266" spans="2:13" ht="18">
      <c r="B1266" s="55"/>
      <c r="C1266" s="55"/>
      <c r="D1266" s="55"/>
      <c r="E1266" s="55"/>
      <c r="F1266" s="55"/>
      <c r="G1266" s="55"/>
      <c r="H1266" s="141"/>
      <c r="M1266" s="23">
        <v>1</v>
      </c>
    </row>
    <row r="1267" spans="2:13" ht="18">
      <c r="B1267" s="55"/>
      <c r="C1267" s="55"/>
      <c r="D1267" s="55"/>
      <c r="E1267" s="55"/>
      <c r="F1267" s="55"/>
      <c r="G1267" s="55"/>
      <c r="H1267" s="141"/>
      <c r="M1267" s="23">
        <v>1</v>
      </c>
    </row>
    <row r="1268" spans="2:13" ht="18">
      <c r="B1268" s="55"/>
      <c r="C1268" s="55"/>
      <c r="D1268" s="55"/>
      <c r="E1268" s="55"/>
      <c r="F1268" s="55"/>
      <c r="G1268" s="55"/>
      <c r="H1268" s="141"/>
      <c r="M1268" s="23">
        <v>1</v>
      </c>
    </row>
    <row r="1269" spans="2:13" ht="18">
      <c r="B1269" s="55"/>
      <c r="C1269" s="55"/>
      <c r="D1269" s="55"/>
      <c r="E1269" s="55"/>
      <c r="F1269" s="55"/>
      <c r="G1269" s="55"/>
      <c r="H1269" s="141"/>
      <c r="M1269" s="23">
        <v>1</v>
      </c>
    </row>
    <row r="1270" spans="2:13" ht="18">
      <c r="B1270" s="55"/>
      <c r="C1270" s="55"/>
      <c r="D1270" s="55"/>
      <c r="E1270" s="55"/>
      <c r="F1270" s="55"/>
      <c r="G1270" s="55"/>
      <c r="H1270" s="141"/>
      <c r="M1270" s="23">
        <v>1</v>
      </c>
    </row>
    <row r="1271" spans="2:13" ht="18">
      <c r="B1271" s="55"/>
      <c r="C1271" s="55"/>
      <c r="D1271" s="55"/>
      <c r="E1271" s="55"/>
      <c r="F1271" s="55"/>
      <c r="G1271" s="55"/>
      <c r="H1271" s="141"/>
      <c r="M1271" s="23">
        <v>1</v>
      </c>
    </row>
    <row r="1272" spans="2:13" ht="18">
      <c r="B1272" s="55"/>
      <c r="C1272" s="55"/>
      <c r="D1272" s="55"/>
      <c r="E1272" s="55"/>
      <c r="F1272" s="55"/>
      <c r="G1272" s="55"/>
      <c r="H1272" s="141"/>
      <c r="M1272" s="23">
        <v>1</v>
      </c>
    </row>
    <row r="1273" spans="2:13" ht="18">
      <c r="B1273" s="55"/>
      <c r="C1273" s="55"/>
      <c r="D1273" s="55"/>
      <c r="E1273" s="55"/>
      <c r="F1273" s="55"/>
      <c r="G1273" s="55"/>
      <c r="H1273" s="141"/>
      <c r="M1273" s="23">
        <v>1</v>
      </c>
    </row>
    <row r="1274" spans="2:13" ht="18">
      <c r="B1274" s="55"/>
      <c r="C1274" s="55"/>
      <c r="D1274" s="55"/>
      <c r="E1274" s="55"/>
      <c r="F1274" s="55"/>
      <c r="G1274" s="55"/>
      <c r="H1274" s="141"/>
      <c r="M1274" s="23">
        <v>1</v>
      </c>
    </row>
    <row r="1275" spans="2:13" ht="18">
      <c r="B1275" s="55"/>
      <c r="C1275" s="55"/>
      <c r="D1275" s="55"/>
      <c r="E1275" s="55"/>
      <c r="F1275" s="55"/>
      <c r="G1275" s="55"/>
      <c r="H1275" s="141"/>
      <c r="M1275" s="23">
        <v>1</v>
      </c>
    </row>
    <row r="1276" spans="2:13" ht="18">
      <c r="B1276" s="55"/>
      <c r="C1276" s="55"/>
      <c r="D1276" s="55"/>
      <c r="E1276" s="55"/>
      <c r="F1276" s="55"/>
      <c r="G1276" s="55"/>
      <c r="H1276" s="141"/>
      <c r="M1276" s="23">
        <v>1</v>
      </c>
    </row>
    <row r="1277" spans="2:13" ht="18">
      <c r="B1277" s="55"/>
      <c r="C1277" s="55"/>
      <c r="D1277" s="55"/>
      <c r="E1277" s="55"/>
      <c r="F1277" s="55"/>
      <c r="G1277" s="55"/>
      <c r="H1277" s="141"/>
      <c r="M1277" s="23">
        <v>1</v>
      </c>
    </row>
    <row r="1278" spans="2:13" ht="18">
      <c r="B1278" s="55"/>
      <c r="C1278" s="55"/>
      <c r="D1278" s="55"/>
      <c r="E1278" s="55"/>
      <c r="F1278" s="55"/>
      <c r="G1278" s="55"/>
      <c r="H1278" s="141"/>
      <c r="M1278" s="23">
        <v>1</v>
      </c>
    </row>
    <row r="1279" spans="2:13" ht="18">
      <c r="B1279" s="55"/>
      <c r="C1279" s="55"/>
      <c r="D1279" s="55"/>
      <c r="E1279" s="55"/>
      <c r="F1279" s="55"/>
      <c r="G1279" s="55"/>
      <c r="H1279" s="141"/>
      <c r="M1279" s="23">
        <v>1</v>
      </c>
    </row>
    <row r="1280" spans="2:13" ht="18">
      <c r="B1280" s="55"/>
      <c r="C1280" s="55"/>
      <c r="D1280" s="55"/>
      <c r="E1280" s="55"/>
      <c r="F1280" s="55"/>
      <c r="G1280" s="55"/>
      <c r="H1280" s="141"/>
      <c r="M1280" s="23">
        <v>1</v>
      </c>
    </row>
    <row r="1281" spans="2:13" ht="18">
      <c r="B1281" s="55"/>
      <c r="C1281" s="55"/>
      <c r="D1281" s="55"/>
      <c r="E1281" s="55"/>
      <c r="F1281" s="55"/>
      <c r="G1281" s="55"/>
      <c r="H1281" s="141"/>
      <c r="M1281" s="23">
        <v>1</v>
      </c>
    </row>
    <row r="1282" spans="2:13" ht="18">
      <c r="B1282" s="55"/>
      <c r="C1282" s="55"/>
      <c r="D1282" s="55"/>
      <c r="E1282" s="55"/>
      <c r="F1282" s="55"/>
      <c r="G1282" s="55"/>
      <c r="H1282" s="141"/>
      <c r="M1282" s="23">
        <v>1</v>
      </c>
    </row>
    <row r="1283" spans="2:13" ht="18">
      <c r="B1283" s="55"/>
      <c r="C1283" s="55"/>
      <c r="D1283" s="55"/>
      <c r="E1283" s="55"/>
      <c r="F1283" s="55"/>
      <c r="G1283" s="55"/>
      <c r="H1283" s="141"/>
      <c r="M1283" s="23">
        <v>1</v>
      </c>
    </row>
    <row r="1284" spans="2:13" ht="18">
      <c r="B1284" s="55"/>
      <c r="C1284" s="55"/>
      <c r="D1284" s="55"/>
      <c r="E1284" s="55"/>
      <c r="F1284" s="55"/>
      <c r="G1284" s="55"/>
      <c r="H1284" s="141"/>
      <c r="M1284" s="23">
        <v>1</v>
      </c>
    </row>
    <row r="1285" spans="2:13" ht="18">
      <c r="B1285" s="55"/>
      <c r="C1285" s="55"/>
      <c r="D1285" s="55"/>
      <c r="E1285" s="55"/>
      <c r="F1285" s="55"/>
      <c r="G1285" s="55"/>
      <c r="H1285" s="141"/>
      <c r="M1285" s="23">
        <v>1</v>
      </c>
    </row>
    <row r="1286" spans="2:13" ht="18">
      <c r="B1286" s="55"/>
      <c r="C1286" s="55"/>
      <c r="D1286" s="55"/>
      <c r="E1286" s="55"/>
      <c r="F1286" s="55"/>
      <c r="G1286" s="55"/>
      <c r="H1286" s="141"/>
      <c r="M1286" s="23">
        <v>1</v>
      </c>
    </row>
    <row r="1287" spans="2:13" ht="18">
      <c r="B1287" s="55"/>
      <c r="C1287" s="55"/>
      <c r="D1287" s="55"/>
      <c r="E1287" s="55"/>
      <c r="F1287" s="55"/>
      <c r="G1287" s="55"/>
      <c r="H1287" s="141"/>
      <c r="M1287" s="23">
        <v>1</v>
      </c>
    </row>
    <row r="1288" spans="2:13" ht="18">
      <c r="B1288" s="55"/>
      <c r="C1288" s="55"/>
      <c r="D1288" s="55"/>
      <c r="E1288" s="55"/>
      <c r="F1288" s="55"/>
      <c r="G1288" s="55"/>
      <c r="H1288" s="141"/>
      <c r="M1288" s="23">
        <v>1</v>
      </c>
    </row>
    <row r="1289" spans="2:13" ht="18">
      <c r="B1289" s="55"/>
      <c r="C1289" s="55"/>
      <c r="D1289" s="55"/>
      <c r="E1289" s="55"/>
      <c r="F1289" s="55"/>
      <c r="G1289" s="55"/>
      <c r="H1289" s="141"/>
      <c r="M1289" s="23">
        <v>1</v>
      </c>
    </row>
    <row r="1290" spans="2:13" ht="18">
      <c r="B1290" s="55"/>
      <c r="C1290" s="55"/>
      <c r="D1290" s="55"/>
      <c r="E1290" s="55"/>
      <c r="F1290" s="55"/>
      <c r="G1290" s="55"/>
      <c r="H1290" s="141"/>
      <c r="M1290" s="23">
        <v>1</v>
      </c>
    </row>
    <row r="1291" spans="2:13" ht="18">
      <c r="B1291" s="55"/>
      <c r="C1291" s="55"/>
      <c r="D1291" s="55"/>
      <c r="E1291" s="55"/>
      <c r="F1291" s="55"/>
      <c r="G1291" s="55"/>
      <c r="H1291" s="141"/>
      <c r="M1291" s="23">
        <v>1</v>
      </c>
    </row>
    <row r="1292" spans="2:13" ht="18">
      <c r="B1292" s="55"/>
      <c r="C1292" s="55"/>
      <c r="D1292" s="55"/>
      <c r="E1292" s="55"/>
      <c r="F1292" s="55"/>
      <c r="G1292" s="55"/>
      <c r="H1292" s="141"/>
      <c r="M1292" s="23">
        <v>1</v>
      </c>
    </row>
    <row r="1293" spans="2:13" ht="18">
      <c r="B1293" s="55"/>
      <c r="C1293" s="55"/>
      <c r="D1293" s="55"/>
      <c r="E1293" s="55"/>
      <c r="F1293" s="55"/>
      <c r="G1293" s="55"/>
      <c r="H1293" s="141"/>
      <c r="M1293" s="23">
        <v>1</v>
      </c>
    </row>
    <row r="1294" spans="2:13" ht="18">
      <c r="B1294" s="55"/>
      <c r="C1294" s="55"/>
      <c r="D1294" s="55"/>
      <c r="E1294" s="55"/>
      <c r="F1294" s="55"/>
      <c r="G1294" s="55"/>
      <c r="H1294" s="141"/>
      <c r="M1294" s="23">
        <v>1</v>
      </c>
    </row>
    <row r="1295" spans="2:13" ht="18">
      <c r="B1295" s="55"/>
      <c r="C1295" s="55"/>
      <c r="D1295" s="55"/>
      <c r="E1295" s="55"/>
      <c r="F1295" s="55"/>
      <c r="G1295" s="55"/>
      <c r="H1295" s="141"/>
      <c r="M1295" s="23">
        <v>1</v>
      </c>
    </row>
    <row r="1296" spans="2:13" ht="18">
      <c r="B1296" s="55"/>
      <c r="C1296" s="55"/>
      <c r="D1296" s="55"/>
      <c r="E1296" s="55"/>
      <c r="F1296" s="55"/>
      <c r="G1296" s="55"/>
      <c r="H1296" s="141"/>
      <c r="M1296" s="23">
        <v>1</v>
      </c>
    </row>
    <row r="1297" spans="2:13" ht="18">
      <c r="B1297" s="55"/>
      <c r="C1297" s="55"/>
      <c r="D1297" s="55"/>
      <c r="E1297" s="55"/>
      <c r="F1297" s="55"/>
      <c r="G1297" s="55"/>
      <c r="H1297" s="141"/>
      <c r="M1297" s="23">
        <v>1</v>
      </c>
    </row>
    <row r="1298" spans="2:13" ht="18">
      <c r="B1298" s="55"/>
      <c r="C1298" s="55"/>
      <c r="D1298" s="55"/>
      <c r="E1298" s="55"/>
      <c r="F1298" s="55"/>
      <c r="G1298" s="55"/>
      <c r="H1298" s="141"/>
      <c r="M1298" s="23">
        <v>1</v>
      </c>
    </row>
    <row r="1299" spans="2:13" ht="18">
      <c r="B1299" s="55"/>
      <c r="C1299" s="55"/>
      <c r="D1299" s="55"/>
      <c r="E1299" s="55"/>
      <c r="F1299" s="55"/>
      <c r="G1299" s="55"/>
      <c r="H1299" s="141"/>
      <c r="M1299" s="23">
        <v>1</v>
      </c>
    </row>
    <row r="1300" spans="2:13" ht="18">
      <c r="B1300" s="55"/>
      <c r="C1300" s="55"/>
      <c r="D1300" s="55"/>
      <c r="E1300" s="55"/>
      <c r="F1300" s="55"/>
      <c r="G1300" s="55"/>
      <c r="H1300" s="141"/>
      <c r="M1300" s="23">
        <v>1</v>
      </c>
    </row>
    <row r="1301" spans="2:13" ht="18">
      <c r="B1301" s="55"/>
      <c r="C1301" s="55"/>
      <c r="D1301" s="55"/>
      <c r="E1301" s="55"/>
      <c r="F1301" s="55"/>
      <c r="G1301" s="55"/>
      <c r="H1301" s="141"/>
      <c r="M1301" s="23">
        <v>1</v>
      </c>
    </row>
    <row r="1302" spans="2:13" ht="18">
      <c r="B1302" s="55"/>
      <c r="C1302" s="55"/>
      <c r="D1302" s="55"/>
      <c r="E1302" s="55"/>
      <c r="F1302" s="55"/>
      <c r="G1302" s="55"/>
      <c r="H1302" s="141"/>
      <c r="M1302" s="23">
        <v>1</v>
      </c>
    </row>
    <row r="1303" spans="2:13" ht="18">
      <c r="B1303" s="55"/>
      <c r="C1303" s="55"/>
      <c r="D1303" s="55"/>
      <c r="E1303" s="55"/>
      <c r="F1303" s="55"/>
      <c r="G1303" s="55"/>
      <c r="H1303" s="141"/>
      <c r="M1303" s="23">
        <v>1</v>
      </c>
    </row>
    <row r="1304" spans="2:13" ht="18">
      <c r="B1304" s="55"/>
      <c r="C1304" s="55"/>
      <c r="D1304" s="55"/>
      <c r="E1304" s="55"/>
      <c r="F1304" s="55"/>
      <c r="G1304" s="55"/>
      <c r="H1304" s="141"/>
      <c r="M1304" s="23">
        <v>1</v>
      </c>
    </row>
    <row r="1305" spans="2:13" ht="18">
      <c r="B1305" s="55"/>
      <c r="C1305" s="55"/>
      <c r="D1305" s="55"/>
      <c r="E1305" s="55"/>
      <c r="F1305" s="55"/>
      <c r="G1305" s="55"/>
      <c r="H1305" s="141"/>
      <c r="M1305" s="23">
        <v>1</v>
      </c>
    </row>
    <row r="1306" spans="2:13" ht="18">
      <c r="B1306" s="55"/>
      <c r="C1306" s="55"/>
      <c r="D1306" s="55"/>
      <c r="E1306" s="55"/>
      <c r="F1306" s="55"/>
      <c r="G1306" s="55"/>
      <c r="H1306" s="141"/>
      <c r="M1306" s="23">
        <v>1</v>
      </c>
    </row>
    <row r="1307" spans="2:13" ht="18">
      <c r="B1307" s="55"/>
      <c r="C1307" s="55"/>
      <c r="D1307" s="55"/>
      <c r="E1307" s="55"/>
      <c r="F1307" s="55"/>
      <c r="G1307" s="55"/>
      <c r="H1307" s="141"/>
      <c r="M1307" s="23">
        <v>1</v>
      </c>
    </row>
    <row r="1308" spans="2:13" ht="18">
      <c r="B1308" s="55"/>
      <c r="C1308" s="55"/>
      <c r="D1308" s="55"/>
      <c r="E1308" s="55"/>
      <c r="F1308" s="55"/>
      <c r="G1308" s="55"/>
      <c r="H1308" s="141"/>
      <c r="M1308" s="23">
        <v>1</v>
      </c>
    </row>
    <row r="1309" spans="2:13" ht="18">
      <c r="B1309" s="55"/>
      <c r="C1309" s="55"/>
      <c r="D1309" s="55"/>
      <c r="E1309" s="55"/>
      <c r="F1309" s="55"/>
      <c r="G1309" s="55"/>
      <c r="H1309" s="141"/>
      <c r="M1309" s="23">
        <v>1</v>
      </c>
    </row>
    <row r="1310" spans="2:13" ht="18">
      <c r="B1310" s="55"/>
      <c r="C1310" s="55"/>
      <c r="D1310" s="55"/>
      <c r="E1310" s="55"/>
      <c r="F1310" s="55"/>
      <c r="G1310" s="55"/>
      <c r="H1310" s="141"/>
      <c r="M1310" s="23">
        <v>1</v>
      </c>
    </row>
    <row r="1311" spans="2:13" ht="18">
      <c r="B1311" s="55"/>
      <c r="C1311" s="55"/>
      <c r="D1311" s="55"/>
      <c r="E1311" s="55"/>
      <c r="F1311" s="55"/>
      <c r="G1311" s="55"/>
      <c r="H1311" s="141"/>
      <c r="M1311" s="23">
        <v>1</v>
      </c>
    </row>
    <row r="1312" spans="2:13" ht="18">
      <c r="B1312" s="55"/>
      <c r="C1312" s="55"/>
      <c r="D1312" s="55"/>
      <c r="E1312" s="55"/>
      <c r="F1312" s="55"/>
      <c r="G1312" s="55"/>
      <c r="H1312" s="141"/>
      <c r="M1312" s="23">
        <v>1</v>
      </c>
    </row>
    <row r="1313" spans="2:13" ht="18">
      <c r="B1313" s="55"/>
      <c r="C1313" s="55"/>
      <c r="D1313" s="55"/>
      <c r="E1313" s="55"/>
      <c r="F1313" s="55"/>
      <c r="G1313" s="55"/>
      <c r="H1313" s="141"/>
      <c r="M1313" s="23">
        <v>1</v>
      </c>
    </row>
    <row r="1314" spans="2:13" ht="18">
      <c r="B1314" s="55"/>
      <c r="C1314" s="55"/>
      <c r="D1314" s="55"/>
      <c r="E1314" s="55"/>
      <c r="F1314" s="55"/>
      <c r="G1314" s="55"/>
      <c r="H1314" s="141"/>
      <c r="M1314" s="23">
        <v>1</v>
      </c>
    </row>
    <row r="1315" spans="2:13" ht="18">
      <c r="B1315" s="55"/>
      <c r="C1315" s="55"/>
      <c r="D1315" s="55"/>
      <c r="E1315" s="55"/>
      <c r="F1315" s="55"/>
      <c r="G1315" s="55"/>
      <c r="H1315" s="141"/>
      <c r="M1315" s="23">
        <v>1</v>
      </c>
    </row>
    <row r="1316" spans="2:13" ht="18">
      <c r="B1316" s="55"/>
      <c r="C1316" s="55"/>
      <c r="D1316" s="55"/>
      <c r="E1316" s="55"/>
      <c r="F1316" s="55"/>
      <c r="G1316" s="55"/>
      <c r="H1316" s="141"/>
      <c r="M1316" s="23">
        <v>1</v>
      </c>
    </row>
    <row r="1317" spans="2:13" ht="18">
      <c r="B1317" s="55"/>
      <c r="C1317" s="55"/>
      <c r="D1317" s="55"/>
      <c r="E1317" s="55"/>
      <c r="F1317" s="55"/>
      <c r="G1317" s="55"/>
      <c r="H1317" s="141"/>
      <c r="M1317" s="23">
        <v>1</v>
      </c>
    </row>
    <row r="1318" spans="2:13" ht="18">
      <c r="B1318" s="55"/>
      <c r="C1318" s="55"/>
      <c r="D1318" s="55"/>
      <c r="E1318" s="55"/>
      <c r="F1318" s="55"/>
      <c r="G1318" s="55"/>
      <c r="H1318" s="141"/>
      <c r="M1318" s="23">
        <v>1</v>
      </c>
    </row>
    <row r="1319" spans="2:13" ht="18">
      <c r="B1319" s="55"/>
      <c r="C1319" s="55"/>
      <c r="D1319" s="55"/>
      <c r="E1319" s="55"/>
      <c r="F1319" s="55"/>
      <c r="G1319" s="55"/>
      <c r="H1319" s="141"/>
      <c r="M1319" s="23">
        <v>1</v>
      </c>
    </row>
    <row r="1320" spans="2:13" ht="18">
      <c r="B1320" s="55"/>
      <c r="C1320" s="55"/>
      <c r="D1320" s="55"/>
      <c r="E1320" s="55"/>
      <c r="F1320" s="55"/>
      <c r="G1320" s="55"/>
      <c r="H1320" s="141"/>
      <c r="M1320" s="23">
        <v>1</v>
      </c>
    </row>
    <row r="1321" spans="2:13" ht="18">
      <c r="B1321" s="55"/>
      <c r="C1321" s="55"/>
      <c r="D1321" s="55"/>
      <c r="E1321" s="55"/>
      <c r="F1321" s="55"/>
      <c r="G1321" s="55"/>
      <c r="H1321" s="141"/>
      <c r="M1321" s="23">
        <v>1</v>
      </c>
    </row>
    <row r="1322" spans="2:13" ht="18">
      <c r="B1322" s="55"/>
      <c r="C1322" s="55"/>
      <c r="D1322" s="55"/>
      <c r="E1322" s="55"/>
      <c r="F1322" s="55"/>
      <c r="G1322" s="55"/>
      <c r="H1322" s="141"/>
      <c r="M1322" s="23">
        <v>1</v>
      </c>
    </row>
    <row r="1323" spans="2:13" ht="18">
      <c r="B1323" s="55"/>
      <c r="C1323" s="55"/>
      <c r="D1323" s="55"/>
      <c r="E1323" s="55"/>
      <c r="F1323" s="55"/>
      <c r="G1323" s="55"/>
      <c r="H1323" s="141"/>
      <c r="M1323" s="23">
        <v>1</v>
      </c>
    </row>
    <row r="1324" spans="2:13" ht="18">
      <c r="B1324" s="55"/>
      <c r="C1324" s="55"/>
      <c r="D1324" s="55"/>
      <c r="E1324" s="55"/>
      <c r="F1324" s="55"/>
      <c r="G1324" s="55"/>
      <c r="H1324" s="141"/>
      <c r="M1324" s="23">
        <v>1</v>
      </c>
    </row>
    <row r="1325" spans="2:13" ht="18">
      <c r="B1325" s="55"/>
      <c r="C1325" s="55"/>
      <c r="D1325" s="55"/>
      <c r="E1325" s="55"/>
      <c r="F1325" s="55"/>
      <c r="G1325" s="55"/>
      <c r="H1325" s="141"/>
      <c r="M1325" s="23">
        <v>1</v>
      </c>
    </row>
    <row r="1326" spans="2:13" ht="18">
      <c r="B1326" s="55"/>
      <c r="C1326" s="55"/>
      <c r="D1326" s="55"/>
      <c r="E1326" s="55"/>
      <c r="F1326" s="55"/>
      <c r="G1326" s="55"/>
      <c r="H1326" s="141"/>
      <c r="M1326" s="23">
        <v>1</v>
      </c>
    </row>
    <row r="1327" spans="2:13" ht="18">
      <c r="B1327" s="55"/>
      <c r="C1327" s="55"/>
      <c r="D1327" s="55"/>
      <c r="E1327" s="55"/>
      <c r="F1327" s="55"/>
      <c r="G1327" s="55"/>
      <c r="H1327" s="141"/>
      <c r="M1327" s="23">
        <v>1</v>
      </c>
    </row>
    <row r="1328" spans="2:13" ht="18">
      <c r="B1328" s="55"/>
      <c r="C1328" s="55"/>
      <c r="D1328" s="55"/>
      <c r="E1328" s="55"/>
      <c r="F1328" s="55"/>
      <c r="G1328" s="55"/>
      <c r="H1328" s="141"/>
      <c r="M1328" s="23">
        <v>1</v>
      </c>
    </row>
    <row r="1329" spans="2:13" ht="18">
      <c r="B1329" s="55"/>
      <c r="C1329" s="55"/>
      <c r="D1329" s="55"/>
      <c r="E1329" s="55"/>
      <c r="F1329" s="55"/>
      <c r="G1329" s="55"/>
      <c r="H1329" s="141"/>
      <c r="M1329" s="23">
        <v>1</v>
      </c>
    </row>
    <row r="1330" spans="2:13" ht="18">
      <c r="B1330" s="55"/>
      <c r="C1330" s="55"/>
      <c r="D1330" s="55"/>
      <c r="E1330" s="55"/>
      <c r="F1330" s="55"/>
      <c r="G1330" s="55"/>
      <c r="H1330" s="141"/>
      <c r="M1330" s="23">
        <v>1</v>
      </c>
    </row>
    <row r="1331" spans="2:13" ht="18">
      <c r="B1331" s="55"/>
      <c r="C1331" s="55"/>
      <c r="D1331" s="55"/>
      <c r="E1331" s="55"/>
      <c r="F1331" s="55"/>
      <c r="G1331" s="55"/>
      <c r="H1331" s="141"/>
      <c r="M1331" s="23">
        <v>1</v>
      </c>
    </row>
    <row r="1332" spans="2:13" ht="18">
      <c r="B1332" s="55"/>
      <c r="C1332" s="55"/>
      <c r="D1332" s="55"/>
      <c r="E1332" s="55"/>
      <c r="F1332" s="55"/>
      <c r="G1332" s="55"/>
      <c r="H1332" s="141"/>
      <c r="M1332" s="23">
        <v>1</v>
      </c>
    </row>
    <row r="1333" spans="2:13" ht="18">
      <c r="B1333" s="55"/>
      <c r="C1333" s="55"/>
      <c r="D1333" s="55"/>
      <c r="E1333" s="55"/>
      <c r="F1333" s="55"/>
      <c r="G1333" s="55"/>
      <c r="H1333" s="141"/>
      <c r="M1333" s="23">
        <v>1</v>
      </c>
    </row>
    <row r="1334" spans="2:13" ht="18">
      <c r="B1334" s="55"/>
      <c r="C1334" s="55"/>
      <c r="D1334" s="55"/>
      <c r="E1334" s="55"/>
      <c r="F1334" s="55"/>
      <c r="G1334" s="55"/>
      <c r="H1334" s="141"/>
      <c r="M1334" s="23">
        <v>1</v>
      </c>
    </row>
    <row r="1335" spans="2:13" ht="18">
      <c r="B1335" s="55"/>
      <c r="C1335" s="55"/>
      <c r="D1335" s="55"/>
      <c r="E1335" s="55"/>
      <c r="F1335" s="55"/>
      <c r="G1335" s="55"/>
      <c r="H1335" s="141"/>
      <c r="M1335" s="23">
        <v>1</v>
      </c>
    </row>
    <row r="1336" spans="2:13" ht="18">
      <c r="B1336" s="55"/>
      <c r="C1336" s="55"/>
      <c r="D1336" s="55"/>
      <c r="E1336" s="55"/>
      <c r="F1336" s="55"/>
      <c r="G1336" s="55"/>
      <c r="H1336" s="141"/>
      <c r="M1336" s="23">
        <v>1</v>
      </c>
    </row>
    <row r="1337" spans="2:13" ht="18">
      <c r="B1337" s="55"/>
      <c r="C1337" s="55"/>
      <c r="D1337" s="55"/>
      <c r="E1337" s="55"/>
      <c r="F1337" s="55"/>
      <c r="G1337" s="55"/>
      <c r="H1337" s="141"/>
      <c r="M1337" s="23">
        <v>1</v>
      </c>
    </row>
    <row r="1338" spans="2:13" ht="18">
      <c r="B1338" s="55"/>
      <c r="C1338" s="55"/>
      <c r="D1338" s="55"/>
      <c r="E1338" s="55"/>
      <c r="F1338" s="55"/>
      <c r="G1338" s="55"/>
      <c r="H1338" s="141"/>
      <c r="M1338" s="23">
        <v>1</v>
      </c>
    </row>
    <row r="1339" spans="2:13" ht="18">
      <c r="B1339" s="55"/>
      <c r="C1339" s="55"/>
      <c r="D1339" s="55"/>
      <c r="E1339" s="55"/>
      <c r="F1339" s="55"/>
      <c r="G1339" s="55"/>
      <c r="H1339" s="141"/>
      <c r="M1339" s="23">
        <v>1</v>
      </c>
    </row>
    <row r="1340" spans="2:13" ht="18">
      <c r="B1340" s="55"/>
      <c r="C1340" s="55"/>
      <c r="D1340" s="55"/>
      <c r="E1340" s="55"/>
      <c r="F1340" s="55"/>
      <c r="G1340" s="55"/>
      <c r="H1340" s="141"/>
      <c r="M1340" s="23">
        <v>1</v>
      </c>
    </row>
    <row r="1341" spans="2:13" ht="18">
      <c r="B1341" s="55"/>
      <c r="C1341" s="55"/>
      <c r="D1341" s="55"/>
      <c r="E1341" s="55"/>
      <c r="F1341" s="55"/>
      <c r="G1341" s="55"/>
      <c r="H1341" s="141"/>
      <c r="M1341" s="23">
        <v>1</v>
      </c>
    </row>
    <row r="1342" spans="2:13" ht="18">
      <c r="B1342" s="55"/>
      <c r="C1342" s="55"/>
      <c r="D1342" s="55"/>
      <c r="E1342" s="55"/>
      <c r="F1342" s="55"/>
      <c r="G1342" s="55"/>
      <c r="H1342" s="141"/>
      <c r="M1342" s="23">
        <v>1</v>
      </c>
    </row>
    <row r="1343" spans="2:13" ht="18">
      <c r="B1343" s="55"/>
      <c r="C1343" s="55"/>
      <c r="D1343" s="55"/>
      <c r="E1343" s="55"/>
      <c r="F1343" s="55"/>
      <c r="G1343" s="55"/>
      <c r="H1343" s="141"/>
      <c r="M1343" s="23">
        <v>1</v>
      </c>
    </row>
    <row r="1344" spans="2:13" ht="18">
      <c r="B1344" s="55"/>
      <c r="C1344" s="55"/>
      <c r="D1344" s="55"/>
      <c r="E1344" s="55"/>
      <c r="F1344" s="55"/>
      <c r="G1344" s="55"/>
      <c r="H1344" s="141"/>
      <c r="M1344" s="23">
        <v>1</v>
      </c>
    </row>
    <row r="1345" spans="2:13" ht="18">
      <c r="B1345" s="55"/>
      <c r="C1345" s="55"/>
      <c r="D1345" s="55"/>
      <c r="E1345" s="55"/>
      <c r="F1345" s="55"/>
      <c r="G1345" s="55"/>
      <c r="H1345" s="141"/>
      <c r="M1345" s="23">
        <v>1</v>
      </c>
    </row>
    <row r="1346" spans="2:13" ht="18">
      <c r="B1346" s="55"/>
      <c r="C1346" s="55"/>
      <c r="D1346" s="55"/>
      <c r="E1346" s="55"/>
      <c r="F1346" s="55"/>
      <c r="G1346" s="55"/>
      <c r="H1346" s="141"/>
      <c r="M1346" s="23">
        <v>1</v>
      </c>
    </row>
    <row r="1347" spans="2:13" ht="18">
      <c r="B1347" s="55"/>
      <c r="C1347" s="55"/>
      <c r="D1347" s="55"/>
      <c r="E1347" s="55"/>
      <c r="F1347" s="55"/>
      <c r="G1347" s="55"/>
      <c r="H1347" s="141"/>
      <c r="M1347" s="23">
        <v>1</v>
      </c>
    </row>
    <row r="1348" spans="2:13" ht="18">
      <c r="B1348" s="55"/>
      <c r="C1348" s="55"/>
      <c r="D1348" s="55"/>
      <c r="E1348" s="55"/>
      <c r="F1348" s="55"/>
      <c r="G1348" s="55"/>
      <c r="H1348" s="141"/>
      <c r="M1348" s="23">
        <v>1</v>
      </c>
    </row>
    <row r="1349" spans="2:13" ht="18">
      <c r="B1349" s="55"/>
      <c r="C1349" s="55"/>
      <c r="D1349" s="55"/>
      <c r="E1349" s="55"/>
      <c r="F1349" s="55"/>
      <c r="G1349" s="55"/>
      <c r="H1349" s="141"/>
      <c r="M1349" s="23">
        <v>1</v>
      </c>
    </row>
    <row r="1350" spans="2:13" ht="18">
      <c r="B1350" s="55"/>
      <c r="C1350" s="55"/>
      <c r="D1350" s="55"/>
      <c r="E1350" s="55"/>
      <c r="F1350" s="55"/>
      <c r="G1350" s="55"/>
      <c r="H1350" s="141"/>
      <c r="M1350" s="23">
        <v>1</v>
      </c>
    </row>
    <row r="1351" spans="2:13" ht="18">
      <c r="B1351" s="55"/>
      <c r="C1351" s="55"/>
      <c r="D1351" s="55"/>
      <c r="E1351" s="55"/>
      <c r="F1351" s="55"/>
      <c r="G1351" s="55"/>
      <c r="H1351" s="141"/>
      <c r="M1351" s="23">
        <v>1</v>
      </c>
    </row>
    <row r="1352" spans="2:13" ht="18">
      <c r="B1352" s="55"/>
      <c r="C1352" s="55"/>
      <c r="D1352" s="55"/>
      <c r="E1352" s="55"/>
      <c r="F1352" s="55"/>
      <c r="G1352" s="55"/>
      <c r="H1352" s="141"/>
      <c r="M1352" s="23">
        <v>1</v>
      </c>
    </row>
    <row r="1353" spans="2:13" ht="18">
      <c r="B1353" s="55"/>
      <c r="C1353" s="55"/>
      <c r="D1353" s="55"/>
      <c r="E1353" s="55"/>
      <c r="F1353" s="55"/>
      <c r="G1353" s="55"/>
      <c r="H1353" s="141"/>
      <c r="M1353" s="23">
        <v>1</v>
      </c>
    </row>
    <row r="1354" spans="2:13" ht="18">
      <c r="B1354" s="55"/>
      <c r="C1354" s="55"/>
      <c r="D1354" s="55"/>
      <c r="E1354" s="55"/>
      <c r="F1354" s="55"/>
      <c r="G1354" s="55"/>
      <c r="H1354" s="141"/>
      <c r="M1354" s="23">
        <v>1</v>
      </c>
    </row>
    <row r="1355" spans="2:13" ht="18">
      <c r="B1355" s="55"/>
      <c r="C1355" s="55"/>
      <c r="D1355" s="55"/>
      <c r="E1355" s="55"/>
      <c r="F1355" s="55"/>
      <c r="G1355" s="55"/>
      <c r="H1355" s="141"/>
      <c r="M1355" s="23">
        <v>1</v>
      </c>
    </row>
    <row r="1356" spans="2:13" ht="18">
      <c r="B1356" s="55"/>
      <c r="C1356" s="55"/>
      <c r="D1356" s="55"/>
      <c r="E1356" s="55"/>
      <c r="F1356" s="55"/>
      <c r="G1356" s="55"/>
      <c r="H1356" s="141"/>
      <c r="M1356" s="23">
        <v>1</v>
      </c>
    </row>
    <row r="1357" spans="2:13" ht="18">
      <c r="B1357" s="55"/>
      <c r="C1357" s="55"/>
      <c r="D1357" s="55"/>
      <c r="E1357" s="55"/>
      <c r="F1357" s="55"/>
      <c r="G1357" s="55"/>
      <c r="H1357" s="141"/>
      <c r="M1357" s="23">
        <v>1</v>
      </c>
    </row>
    <row r="1358" spans="2:13" ht="18">
      <c r="B1358" s="55"/>
      <c r="C1358" s="55"/>
      <c r="D1358" s="55"/>
      <c r="E1358" s="55"/>
      <c r="F1358" s="55"/>
      <c r="G1358" s="55"/>
      <c r="H1358" s="141"/>
      <c r="M1358" s="23">
        <v>1</v>
      </c>
    </row>
    <row r="1359" spans="2:13" ht="18">
      <c r="B1359" s="55"/>
      <c r="C1359" s="55"/>
      <c r="D1359" s="55"/>
      <c r="E1359" s="55"/>
      <c r="F1359" s="55"/>
      <c r="G1359" s="55"/>
      <c r="H1359" s="141"/>
      <c r="M1359" s="23">
        <v>1</v>
      </c>
    </row>
    <row r="1360" spans="2:13" ht="18">
      <c r="B1360" s="55"/>
      <c r="C1360" s="55"/>
      <c r="D1360" s="55"/>
      <c r="E1360" s="55"/>
      <c r="F1360" s="55"/>
      <c r="G1360" s="55"/>
      <c r="H1360" s="141"/>
      <c r="M1360" s="23">
        <v>1</v>
      </c>
    </row>
    <row r="1361" spans="2:13" ht="18">
      <c r="B1361" s="55"/>
      <c r="C1361" s="55"/>
      <c r="D1361" s="55"/>
      <c r="E1361" s="55"/>
      <c r="F1361" s="55"/>
      <c r="G1361" s="55"/>
      <c r="H1361" s="141"/>
      <c r="M1361" s="23">
        <v>1</v>
      </c>
    </row>
    <row r="1362" spans="2:13" ht="18">
      <c r="B1362" s="55"/>
      <c r="C1362" s="55"/>
      <c r="D1362" s="55"/>
      <c r="E1362" s="55"/>
      <c r="F1362" s="55"/>
      <c r="G1362" s="55"/>
      <c r="H1362" s="141"/>
      <c r="M1362" s="23">
        <v>1</v>
      </c>
    </row>
    <row r="1363" spans="2:13" ht="18">
      <c r="B1363" s="55"/>
      <c r="C1363" s="55"/>
      <c r="D1363" s="55"/>
      <c r="E1363" s="55"/>
      <c r="F1363" s="55"/>
      <c r="G1363" s="55"/>
      <c r="H1363" s="141"/>
      <c r="M1363" s="23">
        <v>1</v>
      </c>
    </row>
    <row r="1364" spans="2:13" ht="18">
      <c r="B1364" s="55"/>
      <c r="C1364" s="55"/>
      <c r="D1364" s="55"/>
      <c r="E1364" s="55"/>
      <c r="F1364" s="55"/>
      <c r="G1364" s="55"/>
      <c r="H1364" s="141"/>
      <c r="M1364" s="23">
        <v>1</v>
      </c>
    </row>
    <row r="1365" spans="2:13" ht="18">
      <c r="B1365" s="55"/>
      <c r="C1365" s="55"/>
      <c r="D1365" s="55"/>
      <c r="E1365" s="55"/>
      <c r="F1365" s="55"/>
      <c r="G1365" s="55"/>
      <c r="H1365" s="141"/>
      <c r="M1365" s="23">
        <v>1</v>
      </c>
    </row>
    <row r="1366" spans="2:13" ht="18">
      <c r="B1366" s="55"/>
      <c r="C1366" s="55"/>
      <c r="D1366" s="55"/>
      <c r="E1366" s="55"/>
      <c r="F1366" s="55"/>
      <c r="G1366" s="55"/>
      <c r="H1366" s="141"/>
      <c r="M1366" s="23">
        <v>1</v>
      </c>
    </row>
    <row r="1367" spans="2:13" ht="18">
      <c r="B1367" s="55"/>
      <c r="C1367" s="55"/>
      <c r="D1367" s="55"/>
      <c r="E1367" s="55"/>
      <c r="F1367" s="55"/>
      <c r="G1367" s="55"/>
      <c r="H1367" s="141"/>
      <c r="M1367" s="23">
        <v>1</v>
      </c>
    </row>
    <row r="1368" spans="2:13" ht="18">
      <c r="B1368" s="55"/>
      <c r="C1368" s="55"/>
      <c r="D1368" s="55"/>
      <c r="E1368" s="55"/>
      <c r="F1368" s="55"/>
      <c r="G1368" s="55"/>
      <c r="H1368" s="141"/>
      <c r="M1368" s="23">
        <v>1</v>
      </c>
    </row>
    <row r="1369" spans="2:13" ht="18">
      <c r="B1369" s="55"/>
      <c r="C1369" s="55"/>
      <c r="D1369" s="55"/>
      <c r="E1369" s="55"/>
      <c r="F1369" s="55"/>
      <c r="G1369" s="55"/>
      <c r="H1369" s="141"/>
      <c r="M1369" s="23">
        <v>1</v>
      </c>
    </row>
    <row r="1370" spans="2:13" ht="18">
      <c r="B1370" s="55"/>
      <c r="C1370" s="55"/>
      <c r="D1370" s="55"/>
      <c r="E1370" s="55"/>
      <c r="F1370" s="55"/>
      <c r="G1370" s="55"/>
      <c r="H1370" s="141"/>
      <c r="M1370" s="23">
        <v>1</v>
      </c>
    </row>
    <row r="1371" spans="2:13" ht="18">
      <c r="B1371" s="55"/>
      <c r="C1371" s="55"/>
      <c r="D1371" s="55"/>
      <c r="E1371" s="55"/>
      <c r="F1371" s="55"/>
      <c r="G1371" s="55"/>
      <c r="H1371" s="141"/>
      <c r="M1371" s="23">
        <v>1</v>
      </c>
    </row>
    <row r="1372" spans="2:13" ht="18">
      <c r="B1372" s="55"/>
      <c r="C1372" s="55"/>
      <c r="D1372" s="55"/>
      <c r="E1372" s="55"/>
      <c r="F1372" s="55"/>
      <c r="G1372" s="55"/>
      <c r="H1372" s="141"/>
      <c r="M1372" s="23">
        <v>1</v>
      </c>
    </row>
    <row r="1373" spans="2:13" ht="18">
      <c r="B1373" s="55"/>
      <c r="C1373" s="55"/>
      <c r="D1373" s="55"/>
      <c r="E1373" s="55"/>
      <c r="F1373" s="55"/>
      <c r="G1373" s="55"/>
      <c r="H1373" s="141"/>
      <c r="M1373" s="23">
        <v>1</v>
      </c>
    </row>
    <row r="1374" spans="2:13" ht="18">
      <c r="B1374" s="55"/>
      <c r="C1374" s="55"/>
      <c r="D1374" s="55"/>
      <c r="E1374" s="55"/>
      <c r="F1374" s="55"/>
      <c r="G1374" s="55"/>
      <c r="H1374" s="141"/>
      <c r="M1374" s="23">
        <v>1</v>
      </c>
    </row>
    <row r="1375" spans="2:13" ht="18">
      <c r="B1375" s="55"/>
      <c r="C1375" s="55"/>
      <c r="D1375" s="55"/>
      <c r="E1375" s="55"/>
      <c r="F1375" s="55"/>
      <c r="G1375" s="55"/>
      <c r="H1375" s="141"/>
      <c r="M1375" s="23">
        <v>1</v>
      </c>
    </row>
    <row r="1376" spans="2:13" ht="18">
      <c r="B1376" s="55"/>
      <c r="C1376" s="55"/>
      <c r="D1376" s="55"/>
      <c r="E1376" s="55"/>
      <c r="F1376" s="55"/>
      <c r="G1376" s="55"/>
      <c r="H1376" s="141"/>
      <c r="M1376" s="23">
        <v>1</v>
      </c>
    </row>
    <row r="1377" spans="2:13" ht="18">
      <c r="B1377" s="55"/>
      <c r="C1377" s="55"/>
      <c r="D1377" s="55"/>
      <c r="E1377" s="55"/>
      <c r="F1377" s="55"/>
      <c r="G1377" s="55"/>
      <c r="H1377" s="141"/>
      <c r="M1377" s="23">
        <v>1</v>
      </c>
    </row>
    <row r="1378" spans="2:13" ht="18">
      <c r="B1378" s="55"/>
      <c r="C1378" s="55"/>
      <c r="D1378" s="55"/>
      <c r="E1378" s="55"/>
      <c r="F1378" s="55"/>
      <c r="G1378" s="55"/>
      <c r="H1378" s="141"/>
      <c r="M1378" s="23">
        <v>1</v>
      </c>
    </row>
    <row r="1379" spans="2:13" ht="18">
      <c r="B1379" s="55"/>
      <c r="C1379" s="55"/>
      <c r="D1379" s="55"/>
      <c r="E1379" s="55"/>
      <c r="F1379" s="55"/>
      <c r="G1379" s="55"/>
      <c r="H1379" s="141"/>
      <c r="M1379" s="23">
        <v>1</v>
      </c>
    </row>
    <row r="1380" spans="2:13" ht="18">
      <c r="B1380" s="55"/>
      <c r="C1380" s="55"/>
      <c r="D1380" s="55"/>
      <c r="E1380" s="55"/>
      <c r="F1380" s="55"/>
      <c r="G1380" s="55"/>
      <c r="H1380" s="141"/>
      <c r="M1380" s="23">
        <v>1</v>
      </c>
    </row>
    <row r="1381" spans="2:13" ht="18">
      <c r="B1381" s="55"/>
      <c r="C1381" s="55"/>
      <c r="D1381" s="55"/>
      <c r="E1381" s="55"/>
      <c r="F1381" s="55"/>
      <c r="G1381" s="55"/>
      <c r="H1381" s="141"/>
      <c r="M1381" s="23">
        <v>1</v>
      </c>
    </row>
    <row r="1382" spans="2:13" ht="18">
      <c r="B1382" s="55"/>
      <c r="C1382" s="55"/>
      <c r="D1382" s="55"/>
      <c r="E1382" s="55"/>
      <c r="F1382" s="55"/>
      <c r="G1382" s="55"/>
      <c r="H1382" s="141"/>
      <c r="M1382" s="23">
        <v>1</v>
      </c>
    </row>
    <row r="1383" spans="2:13" ht="18">
      <c r="B1383" s="55"/>
      <c r="C1383" s="55"/>
      <c r="D1383" s="55"/>
      <c r="E1383" s="55"/>
      <c r="F1383" s="55"/>
      <c r="G1383" s="55"/>
      <c r="H1383" s="141"/>
      <c r="M1383" s="23">
        <v>1</v>
      </c>
    </row>
    <row r="1384" spans="2:13" ht="18">
      <c r="B1384" s="55"/>
      <c r="C1384" s="55"/>
      <c r="D1384" s="55"/>
      <c r="E1384" s="55"/>
      <c r="F1384" s="55"/>
      <c r="G1384" s="55"/>
      <c r="H1384" s="141"/>
      <c r="M1384" s="23">
        <v>1</v>
      </c>
    </row>
    <row r="1385" spans="2:13" ht="18">
      <c r="B1385" s="55"/>
      <c r="C1385" s="55"/>
      <c r="D1385" s="55"/>
      <c r="E1385" s="55"/>
      <c r="F1385" s="55"/>
      <c r="G1385" s="55"/>
      <c r="H1385" s="141"/>
      <c r="M1385" s="23">
        <v>1</v>
      </c>
    </row>
    <row r="1386" spans="2:13" ht="18">
      <c r="B1386" s="55"/>
      <c r="C1386" s="55"/>
      <c r="D1386" s="55"/>
      <c r="E1386" s="55"/>
      <c r="F1386" s="55"/>
      <c r="G1386" s="55"/>
      <c r="H1386" s="141"/>
      <c r="M1386" s="23">
        <v>1</v>
      </c>
    </row>
    <row r="1387" spans="2:13" ht="18">
      <c r="B1387" s="55"/>
      <c r="C1387" s="55"/>
      <c r="D1387" s="55"/>
      <c r="E1387" s="55"/>
      <c r="F1387" s="55"/>
      <c r="G1387" s="55"/>
      <c r="H1387" s="141"/>
      <c r="M1387" s="23">
        <v>1</v>
      </c>
    </row>
    <row r="1388" spans="2:13" ht="18">
      <c r="B1388" s="55"/>
      <c r="C1388" s="55"/>
      <c r="D1388" s="55"/>
      <c r="E1388" s="55"/>
      <c r="F1388" s="55"/>
      <c r="G1388" s="55"/>
      <c r="H1388" s="141"/>
      <c r="M1388" s="23">
        <v>1</v>
      </c>
    </row>
    <row r="1389" spans="2:13" ht="18">
      <c r="B1389" s="55"/>
      <c r="C1389" s="55"/>
      <c r="D1389" s="55"/>
      <c r="E1389" s="55"/>
      <c r="F1389" s="55"/>
      <c r="G1389" s="55"/>
      <c r="H1389" s="141"/>
      <c r="M1389" s="23">
        <v>1</v>
      </c>
    </row>
    <row r="1390" spans="2:13" ht="18">
      <c r="B1390" s="55"/>
      <c r="C1390" s="55"/>
      <c r="D1390" s="55"/>
      <c r="E1390" s="55"/>
      <c r="F1390" s="55"/>
      <c r="G1390" s="55"/>
      <c r="H1390" s="141"/>
      <c r="M1390" s="23">
        <v>1</v>
      </c>
    </row>
    <row r="1391" spans="2:13" ht="18">
      <c r="B1391" s="55"/>
      <c r="C1391" s="55"/>
      <c r="D1391" s="55"/>
      <c r="E1391" s="55"/>
      <c r="F1391" s="55"/>
      <c r="G1391" s="55"/>
      <c r="H1391" s="141"/>
      <c r="M1391" s="23">
        <v>1</v>
      </c>
    </row>
    <row r="1392" spans="2:13" ht="18">
      <c r="B1392" s="55"/>
      <c r="C1392" s="55"/>
      <c r="D1392" s="55"/>
      <c r="E1392" s="55"/>
      <c r="F1392" s="55"/>
      <c r="G1392" s="55"/>
      <c r="H1392" s="141"/>
      <c r="M1392" s="23">
        <v>1</v>
      </c>
    </row>
    <row r="1393" spans="2:13" ht="18">
      <c r="B1393" s="55"/>
      <c r="C1393" s="55"/>
      <c r="D1393" s="55"/>
      <c r="E1393" s="55"/>
      <c r="F1393" s="55"/>
      <c r="G1393" s="55"/>
      <c r="H1393" s="141"/>
      <c r="M1393" s="23">
        <v>1</v>
      </c>
    </row>
    <row r="1394" spans="2:13" ht="18">
      <c r="B1394" s="55"/>
      <c r="C1394" s="55"/>
      <c r="D1394" s="55"/>
      <c r="E1394" s="55"/>
      <c r="F1394" s="55"/>
      <c r="G1394" s="55"/>
      <c r="H1394" s="141"/>
      <c r="M1394" s="23">
        <v>1</v>
      </c>
    </row>
    <row r="1395" spans="2:13" ht="18">
      <c r="B1395" s="55"/>
      <c r="C1395" s="55"/>
      <c r="D1395" s="55"/>
      <c r="E1395" s="55"/>
      <c r="F1395" s="55"/>
      <c r="G1395" s="55"/>
      <c r="H1395" s="141"/>
      <c r="M1395" s="23">
        <v>1</v>
      </c>
    </row>
    <row r="1396" spans="2:13" ht="18">
      <c r="B1396" s="55"/>
      <c r="C1396" s="55"/>
      <c r="D1396" s="55"/>
      <c r="E1396" s="55"/>
      <c r="F1396" s="55"/>
      <c r="G1396" s="55"/>
      <c r="H1396" s="141"/>
      <c r="M1396" s="23">
        <v>1</v>
      </c>
    </row>
    <row r="1397" spans="2:13" ht="18">
      <c r="B1397" s="55"/>
      <c r="C1397" s="55"/>
      <c r="D1397" s="55"/>
      <c r="E1397" s="55"/>
      <c r="F1397" s="55"/>
      <c r="G1397" s="55"/>
      <c r="H1397" s="141"/>
      <c r="M1397" s="23">
        <v>1</v>
      </c>
    </row>
    <row r="1398" spans="2:13" ht="18">
      <c r="B1398" s="55"/>
      <c r="C1398" s="55"/>
      <c r="D1398" s="55"/>
      <c r="E1398" s="55"/>
      <c r="F1398" s="55"/>
      <c r="G1398" s="55"/>
      <c r="H1398" s="141"/>
      <c r="M1398" s="23">
        <v>1</v>
      </c>
    </row>
    <row r="1399" spans="2:13" ht="18">
      <c r="B1399" s="55"/>
      <c r="C1399" s="55"/>
      <c r="D1399" s="55"/>
      <c r="E1399" s="55"/>
      <c r="F1399" s="55"/>
      <c r="G1399" s="55"/>
      <c r="H1399" s="141"/>
      <c r="M1399" s="23">
        <v>1</v>
      </c>
    </row>
    <row r="1400" spans="2:13" ht="18">
      <c r="B1400" s="55"/>
      <c r="C1400" s="55"/>
      <c r="D1400" s="55"/>
      <c r="E1400" s="55"/>
      <c r="F1400" s="55"/>
      <c r="G1400" s="55"/>
      <c r="H1400" s="141"/>
      <c r="M1400" s="23">
        <v>1</v>
      </c>
    </row>
    <row r="1401" spans="2:13" ht="18">
      <c r="B1401" s="55"/>
      <c r="C1401" s="55"/>
      <c r="D1401" s="55"/>
      <c r="E1401" s="55"/>
      <c r="F1401" s="55"/>
      <c r="G1401" s="55"/>
      <c r="H1401" s="141"/>
      <c r="M1401" s="23">
        <v>1</v>
      </c>
    </row>
    <row r="1402" spans="2:13" ht="18">
      <c r="B1402" s="55"/>
      <c r="C1402" s="55"/>
      <c r="D1402" s="55"/>
      <c r="E1402" s="55"/>
      <c r="F1402" s="55"/>
      <c r="G1402" s="55"/>
      <c r="H1402" s="141"/>
      <c r="M1402" s="23">
        <v>1</v>
      </c>
    </row>
    <row r="1403" spans="2:13" ht="18">
      <c r="B1403" s="55"/>
      <c r="C1403" s="55"/>
      <c r="D1403" s="55"/>
      <c r="E1403" s="55"/>
      <c r="F1403" s="55"/>
      <c r="G1403" s="55"/>
      <c r="H1403" s="141"/>
      <c r="M1403" s="23">
        <v>1</v>
      </c>
    </row>
    <row r="1404" spans="2:13" ht="18">
      <c r="B1404" s="55"/>
      <c r="C1404" s="55"/>
      <c r="D1404" s="55"/>
      <c r="E1404" s="55"/>
      <c r="F1404" s="55"/>
      <c r="G1404" s="55"/>
      <c r="H1404" s="141"/>
      <c r="M1404" s="23">
        <v>1</v>
      </c>
    </row>
    <row r="1405" spans="2:13" ht="18">
      <c r="B1405" s="55"/>
      <c r="C1405" s="55"/>
      <c r="D1405" s="55"/>
      <c r="E1405" s="55"/>
      <c r="F1405" s="55"/>
      <c r="G1405" s="55"/>
      <c r="H1405" s="141"/>
      <c r="M1405" s="23">
        <v>1</v>
      </c>
    </row>
    <row r="1406" spans="2:13" ht="18">
      <c r="B1406" s="55"/>
      <c r="C1406" s="55"/>
      <c r="D1406" s="55"/>
      <c r="E1406" s="55"/>
      <c r="F1406" s="55"/>
      <c r="G1406" s="55"/>
      <c r="H1406" s="141"/>
      <c r="M1406" s="23">
        <v>1</v>
      </c>
    </row>
    <row r="1407" spans="2:13" ht="18">
      <c r="B1407" s="55"/>
      <c r="C1407" s="55"/>
      <c r="D1407" s="55"/>
      <c r="E1407" s="55"/>
      <c r="F1407" s="55"/>
      <c r="G1407" s="55"/>
      <c r="H1407" s="141"/>
      <c r="M1407" s="23">
        <v>1</v>
      </c>
    </row>
    <row r="1408" spans="2:13" ht="18">
      <c r="B1408" s="55"/>
      <c r="C1408" s="55"/>
      <c r="D1408" s="55"/>
      <c r="E1408" s="55"/>
      <c r="F1408" s="55"/>
      <c r="G1408" s="55"/>
      <c r="H1408" s="141"/>
      <c r="M1408" s="23">
        <v>1</v>
      </c>
    </row>
    <row r="1409" spans="2:13" ht="18">
      <c r="B1409" s="55"/>
      <c r="C1409" s="55"/>
      <c r="D1409" s="55"/>
      <c r="E1409" s="55"/>
      <c r="F1409" s="55"/>
      <c r="G1409" s="55"/>
      <c r="H1409" s="141"/>
      <c r="M1409" s="23">
        <v>1</v>
      </c>
    </row>
    <row r="1410" spans="2:13" ht="18">
      <c r="B1410" s="55"/>
      <c r="C1410" s="55"/>
      <c r="D1410" s="55"/>
      <c r="E1410" s="55"/>
      <c r="F1410" s="55"/>
      <c r="G1410" s="55"/>
      <c r="H1410" s="141"/>
      <c r="M1410" s="23">
        <v>1</v>
      </c>
    </row>
    <row r="1411" spans="2:13" ht="18">
      <c r="B1411" s="55"/>
      <c r="C1411" s="55"/>
      <c r="D1411" s="55"/>
      <c r="E1411" s="55"/>
      <c r="F1411" s="55"/>
      <c r="G1411" s="55"/>
      <c r="H1411" s="141"/>
      <c r="M1411" s="23">
        <v>1</v>
      </c>
    </row>
    <row r="1412" spans="2:13" ht="18">
      <c r="B1412" s="55"/>
      <c r="C1412" s="55"/>
      <c r="D1412" s="55"/>
      <c r="E1412" s="55"/>
      <c r="F1412" s="55"/>
      <c r="G1412" s="55"/>
      <c r="H1412" s="141"/>
      <c r="M1412" s="23">
        <v>1</v>
      </c>
    </row>
    <row r="1413" spans="2:13" ht="18">
      <c r="B1413" s="55"/>
      <c r="C1413" s="55"/>
      <c r="D1413" s="55"/>
      <c r="E1413" s="55"/>
      <c r="F1413" s="55"/>
      <c r="G1413" s="55"/>
      <c r="H1413" s="141"/>
      <c r="M1413" s="23">
        <v>1</v>
      </c>
    </row>
    <row r="1414" spans="2:13" ht="18">
      <c r="B1414" s="55"/>
      <c r="C1414" s="55"/>
      <c r="D1414" s="55"/>
      <c r="E1414" s="55"/>
      <c r="F1414" s="55"/>
      <c r="G1414" s="55"/>
      <c r="H1414" s="141"/>
      <c r="M1414" s="23">
        <v>1</v>
      </c>
    </row>
    <row r="1415" spans="2:13" ht="18">
      <c r="B1415" s="55"/>
      <c r="C1415" s="55"/>
      <c r="D1415" s="55"/>
      <c r="E1415" s="55"/>
      <c r="F1415" s="55"/>
      <c r="G1415" s="55"/>
      <c r="H1415" s="141"/>
      <c r="M1415" s="23">
        <v>1</v>
      </c>
    </row>
    <row r="1416" spans="2:13" ht="18">
      <c r="B1416" s="55"/>
      <c r="C1416" s="55"/>
      <c r="D1416" s="55"/>
      <c r="E1416" s="55"/>
      <c r="F1416" s="55"/>
      <c r="G1416" s="55"/>
      <c r="H1416" s="141"/>
      <c r="M1416" s="23">
        <v>1</v>
      </c>
    </row>
    <row r="1417" spans="2:13" ht="18">
      <c r="B1417" s="55"/>
      <c r="C1417" s="55"/>
      <c r="D1417" s="55"/>
      <c r="E1417" s="55"/>
      <c r="F1417" s="55"/>
      <c r="G1417" s="55"/>
      <c r="H1417" s="141"/>
      <c r="M1417" s="23">
        <v>1</v>
      </c>
    </row>
    <row r="1418" spans="2:13" ht="18">
      <c r="B1418" s="55"/>
      <c r="C1418" s="55"/>
      <c r="D1418" s="55"/>
      <c r="E1418" s="55"/>
      <c r="F1418" s="55"/>
      <c r="G1418" s="55"/>
      <c r="H1418" s="141"/>
      <c r="M1418" s="23">
        <v>1</v>
      </c>
    </row>
    <row r="1419" spans="2:13" ht="18">
      <c r="B1419" s="55"/>
      <c r="C1419" s="55"/>
      <c r="D1419" s="55"/>
      <c r="E1419" s="55"/>
      <c r="F1419" s="55"/>
      <c r="G1419" s="55"/>
      <c r="H1419" s="141"/>
      <c r="M1419" s="23">
        <v>1</v>
      </c>
    </row>
    <row r="1420" spans="2:13" ht="18">
      <c r="B1420" s="55"/>
      <c r="C1420" s="55"/>
      <c r="D1420" s="55"/>
      <c r="E1420" s="55"/>
      <c r="F1420" s="55"/>
      <c r="G1420" s="55"/>
      <c r="H1420" s="141"/>
      <c r="M1420" s="23">
        <v>1</v>
      </c>
    </row>
    <row r="1421" spans="2:13" ht="18">
      <c r="B1421" s="55"/>
      <c r="C1421" s="55"/>
      <c r="D1421" s="55"/>
      <c r="E1421" s="55"/>
      <c r="F1421" s="55"/>
      <c r="G1421" s="55"/>
      <c r="H1421" s="141"/>
      <c r="M1421" s="23">
        <v>1</v>
      </c>
    </row>
    <row r="1422" spans="2:13" ht="18">
      <c r="B1422" s="55"/>
      <c r="C1422" s="55"/>
      <c r="D1422" s="55"/>
      <c r="E1422" s="55"/>
      <c r="F1422" s="55"/>
      <c r="G1422" s="55"/>
      <c r="H1422" s="141"/>
      <c r="M1422" s="23">
        <v>1</v>
      </c>
    </row>
    <row r="1423" spans="2:13" ht="18">
      <c r="B1423" s="55"/>
      <c r="C1423" s="55"/>
      <c r="D1423" s="55"/>
      <c r="E1423" s="55"/>
      <c r="F1423" s="55"/>
      <c r="G1423" s="55"/>
      <c r="H1423" s="141"/>
      <c r="M1423" s="23">
        <v>1</v>
      </c>
    </row>
    <row r="1424" spans="2:13" ht="18">
      <c r="B1424" s="55"/>
      <c r="C1424" s="55"/>
      <c r="D1424" s="55"/>
      <c r="E1424" s="55"/>
      <c r="F1424" s="55"/>
      <c r="G1424" s="55"/>
      <c r="H1424" s="141"/>
      <c r="M1424" s="23">
        <v>1</v>
      </c>
    </row>
    <row r="1425" spans="2:13" ht="18">
      <c r="B1425" s="55"/>
      <c r="C1425" s="55"/>
      <c r="D1425" s="55"/>
      <c r="E1425" s="55"/>
      <c r="F1425" s="55"/>
      <c r="G1425" s="55"/>
      <c r="H1425" s="141"/>
      <c r="M1425" s="23">
        <v>1</v>
      </c>
    </row>
    <row r="1426" spans="2:13" ht="18">
      <c r="B1426" s="55"/>
      <c r="C1426" s="55"/>
      <c r="D1426" s="55"/>
      <c r="E1426" s="55"/>
      <c r="F1426" s="55"/>
      <c r="G1426" s="55"/>
      <c r="H1426" s="141"/>
      <c r="M1426" s="23">
        <v>1</v>
      </c>
    </row>
    <row r="1427" spans="2:13" ht="18">
      <c r="B1427" s="55"/>
      <c r="C1427" s="55"/>
      <c r="D1427" s="55"/>
      <c r="E1427" s="55"/>
      <c r="F1427" s="55"/>
      <c r="G1427" s="55"/>
      <c r="H1427" s="141"/>
      <c r="M1427" s="23">
        <v>1</v>
      </c>
    </row>
    <row r="1428" spans="2:13" ht="18">
      <c r="B1428" s="55"/>
      <c r="C1428" s="55"/>
      <c r="D1428" s="55"/>
      <c r="E1428" s="55"/>
      <c r="F1428" s="55"/>
      <c r="G1428" s="55"/>
      <c r="H1428" s="141"/>
      <c r="M1428" s="23">
        <v>1</v>
      </c>
    </row>
    <row r="1429" spans="2:13" ht="18">
      <c r="B1429" s="55"/>
      <c r="C1429" s="55"/>
      <c r="D1429" s="55"/>
      <c r="E1429" s="55"/>
      <c r="F1429" s="55"/>
      <c r="G1429" s="55"/>
      <c r="H1429" s="141"/>
      <c r="M1429" s="23">
        <v>1</v>
      </c>
    </row>
    <row r="1430" spans="2:13" ht="18">
      <c r="B1430" s="55"/>
      <c r="C1430" s="55"/>
      <c r="D1430" s="55"/>
      <c r="E1430" s="55"/>
      <c r="F1430" s="55"/>
      <c r="G1430" s="55"/>
      <c r="H1430" s="141"/>
      <c r="M1430" s="23">
        <v>1</v>
      </c>
    </row>
    <row r="1431" spans="2:13" ht="18">
      <c r="B1431" s="55"/>
      <c r="C1431" s="55"/>
      <c r="D1431" s="55"/>
      <c r="E1431" s="55"/>
      <c r="F1431" s="55"/>
      <c r="G1431" s="55"/>
      <c r="H1431" s="141"/>
      <c r="M1431" s="23">
        <v>1</v>
      </c>
    </row>
    <row r="1432" spans="2:13" ht="18">
      <c r="B1432" s="55"/>
      <c r="C1432" s="55"/>
      <c r="D1432" s="55"/>
      <c r="E1432" s="55"/>
      <c r="F1432" s="55"/>
      <c r="G1432" s="55"/>
      <c r="H1432" s="141"/>
      <c r="M1432" s="23">
        <v>1</v>
      </c>
    </row>
    <row r="1433" spans="2:13" ht="18">
      <c r="B1433" s="55"/>
      <c r="C1433" s="55"/>
      <c r="D1433" s="55"/>
      <c r="E1433" s="55"/>
      <c r="F1433" s="55"/>
      <c r="G1433" s="55"/>
      <c r="H1433" s="141"/>
      <c r="M1433" s="23">
        <v>1</v>
      </c>
    </row>
    <row r="1434" spans="2:13" ht="18">
      <c r="B1434" s="55"/>
      <c r="C1434" s="55"/>
      <c r="D1434" s="55"/>
      <c r="E1434" s="55"/>
      <c r="F1434" s="55"/>
      <c r="G1434" s="55"/>
      <c r="H1434" s="141"/>
      <c r="M1434" s="23">
        <v>1</v>
      </c>
    </row>
    <row r="1435" spans="2:13" ht="18">
      <c r="B1435" s="55"/>
      <c r="C1435" s="55"/>
      <c r="D1435" s="55"/>
      <c r="E1435" s="55"/>
      <c r="F1435" s="55"/>
      <c r="G1435" s="55"/>
      <c r="H1435" s="141"/>
      <c r="M1435" s="23">
        <v>1</v>
      </c>
    </row>
    <row r="1436" spans="2:13" ht="18">
      <c r="B1436" s="55"/>
      <c r="C1436" s="55"/>
      <c r="D1436" s="55"/>
      <c r="E1436" s="55"/>
      <c r="F1436" s="55"/>
      <c r="G1436" s="55"/>
      <c r="H1436" s="141"/>
      <c r="M1436" s="23">
        <v>1</v>
      </c>
    </row>
    <row r="1437" spans="2:13" ht="18">
      <c r="B1437" s="55"/>
      <c r="C1437" s="55"/>
      <c r="D1437" s="55"/>
      <c r="E1437" s="55"/>
      <c r="F1437" s="55"/>
      <c r="G1437" s="55"/>
      <c r="H1437" s="141"/>
      <c r="M1437" s="23">
        <v>1</v>
      </c>
    </row>
    <row r="1438" spans="2:13" ht="18">
      <c r="B1438" s="55"/>
      <c r="C1438" s="55"/>
      <c r="D1438" s="55"/>
      <c r="E1438" s="55"/>
      <c r="F1438" s="55"/>
      <c r="G1438" s="55"/>
      <c r="H1438" s="141"/>
      <c r="M1438" s="23">
        <v>1</v>
      </c>
    </row>
    <row r="1439" spans="2:13" ht="18">
      <c r="B1439" s="55"/>
      <c r="C1439" s="55"/>
      <c r="D1439" s="55"/>
      <c r="E1439" s="55"/>
      <c r="F1439" s="55"/>
      <c r="G1439" s="55"/>
      <c r="H1439" s="141"/>
      <c r="M1439" s="23">
        <v>1</v>
      </c>
    </row>
    <row r="1440" spans="2:13" ht="18">
      <c r="B1440" s="55"/>
      <c r="C1440" s="55"/>
      <c r="D1440" s="55"/>
      <c r="E1440" s="55"/>
      <c r="F1440" s="55"/>
      <c r="G1440" s="55"/>
      <c r="H1440" s="141"/>
      <c r="M1440" s="23">
        <v>1</v>
      </c>
    </row>
    <row r="1441" spans="2:13" ht="18">
      <c r="B1441" s="55"/>
      <c r="C1441" s="55"/>
      <c r="D1441" s="55"/>
      <c r="E1441" s="55"/>
      <c r="F1441" s="55"/>
      <c r="G1441" s="55"/>
      <c r="H1441" s="141"/>
      <c r="M1441" s="23">
        <v>1</v>
      </c>
    </row>
    <row r="1442" spans="2:13" ht="18">
      <c r="B1442" s="55"/>
      <c r="C1442" s="55"/>
      <c r="D1442" s="55"/>
      <c r="E1442" s="55"/>
      <c r="F1442" s="55"/>
      <c r="G1442" s="55"/>
      <c r="H1442" s="141"/>
      <c r="M1442" s="23">
        <v>1</v>
      </c>
    </row>
    <row r="1443" spans="2:13" ht="18">
      <c r="B1443" s="55"/>
      <c r="C1443" s="55"/>
      <c r="D1443" s="55"/>
      <c r="E1443" s="55"/>
      <c r="F1443" s="55"/>
      <c r="G1443" s="55"/>
      <c r="H1443" s="141"/>
      <c r="M1443" s="23">
        <v>1</v>
      </c>
    </row>
    <row r="1444" spans="2:13" ht="18">
      <c r="B1444" s="55"/>
      <c r="C1444" s="55"/>
      <c r="D1444" s="55"/>
      <c r="E1444" s="55"/>
      <c r="F1444" s="55"/>
      <c r="G1444" s="55"/>
      <c r="H1444" s="141"/>
      <c r="M1444" s="23">
        <v>1</v>
      </c>
    </row>
    <row r="1445" spans="2:13" ht="18">
      <c r="B1445" s="55"/>
      <c r="C1445" s="55"/>
      <c r="D1445" s="55"/>
      <c r="E1445" s="55"/>
      <c r="F1445" s="55"/>
      <c r="G1445" s="55"/>
      <c r="H1445" s="141"/>
      <c r="M1445" s="23">
        <v>1</v>
      </c>
    </row>
    <row r="1446" spans="2:13" ht="18">
      <c r="B1446" s="55"/>
      <c r="C1446" s="55"/>
      <c r="D1446" s="55"/>
      <c r="E1446" s="55"/>
      <c r="F1446" s="55"/>
      <c r="G1446" s="55"/>
      <c r="H1446" s="141"/>
      <c r="M1446" s="23">
        <v>1</v>
      </c>
    </row>
    <row r="1447" spans="2:13" ht="18">
      <c r="B1447" s="55"/>
      <c r="C1447" s="55"/>
      <c r="D1447" s="55"/>
      <c r="E1447" s="55"/>
      <c r="F1447" s="55"/>
      <c r="G1447" s="55"/>
      <c r="H1447" s="141"/>
      <c r="M1447" s="23">
        <v>1</v>
      </c>
    </row>
    <row r="1448" spans="2:13" ht="18">
      <c r="B1448" s="55"/>
      <c r="C1448" s="55"/>
      <c r="D1448" s="55"/>
      <c r="E1448" s="55"/>
      <c r="F1448" s="55"/>
      <c r="G1448" s="55"/>
      <c r="H1448" s="141"/>
      <c r="M1448" s="23">
        <v>1</v>
      </c>
    </row>
    <row r="1449" spans="2:13" ht="18">
      <c r="B1449" s="55"/>
      <c r="C1449" s="55"/>
      <c r="D1449" s="55"/>
      <c r="E1449" s="55"/>
      <c r="F1449" s="55"/>
      <c r="G1449" s="55"/>
      <c r="H1449" s="141"/>
      <c r="M1449" s="23">
        <v>1</v>
      </c>
    </row>
    <row r="1450" spans="2:13" ht="18">
      <c r="B1450" s="55"/>
      <c r="C1450" s="55"/>
      <c r="D1450" s="55"/>
      <c r="E1450" s="55"/>
      <c r="F1450" s="55"/>
      <c r="G1450" s="55"/>
      <c r="H1450" s="141"/>
      <c r="M1450" s="23">
        <v>1</v>
      </c>
    </row>
    <row r="1451" spans="2:13" ht="18">
      <c r="B1451" s="55"/>
      <c r="C1451" s="55"/>
      <c r="D1451" s="55"/>
      <c r="E1451" s="55"/>
      <c r="F1451" s="55"/>
      <c r="G1451" s="55"/>
      <c r="H1451" s="141"/>
      <c r="M1451" s="23">
        <v>1</v>
      </c>
    </row>
    <row r="1452" spans="2:13" ht="18">
      <c r="B1452" s="55"/>
      <c r="C1452" s="55"/>
      <c r="D1452" s="55"/>
      <c r="E1452" s="55"/>
      <c r="F1452" s="55"/>
      <c r="G1452" s="55"/>
      <c r="H1452" s="141"/>
      <c r="M1452" s="23">
        <v>1</v>
      </c>
    </row>
    <row r="1453" spans="2:13" ht="18">
      <c r="B1453" s="55"/>
      <c r="C1453" s="55"/>
      <c r="D1453" s="55"/>
      <c r="E1453" s="55"/>
      <c r="F1453" s="55"/>
      <c r="G1453" s="55"/>
      <c r="H1453" s="141"/>
      <c r="M1453" s="23">
        <v>1</v>
      </c>
    </row>
    <row r="1454" spans="2:13" ht="18">
      <c r="B1454" s="55"/>
      <c r="C1454" s="55"/>
      <c r="D1454" s="55"/>
      <c r="E1454" s="55"/>
      <c r="F1454" s="55"/>
      <c r="G1454" s="55"/>
      <c r="H1454" s="141"/>
      <c r="M1454" s="23">
        <v>1</v>
      </c>
    </row>
    <row r="1455" spans="2:13" ht="18">
      <c r="B1455" s="55"/>
      <c r="C1455" s="55"/>
      <c r="D1455" s="55"/>
      <c r="E1455" s="55"/>
      <c r="F1455" s="55"/>
      <c r="G1455" s="55"/>
      <c r="H1455" s="141"/>
      <c r="M1455" s="23">
        <v>1</v>
      </c>
    </row>
    <row r="1456" spans="2:13" ht="18">
      <c r="B1456" s="55"/>
      <c r="C1456" s="55"/>
      <c r="D1456" s="55"/>
      <c r="E1456" s="55"/>
      <c r="F1456" s="55"/>
      <c r="G1456" s="55"/>
      <c r="H1456" s="141"/>
      <c r="M1456" s="23">
        <v>1</v>
      </c>
    </row>
    <row r="1457" spans="2:13" ht="18">
      <c r="B1457" s="55"/>
      <c r="C1457" s="55"/>
      <c r="D1457" s="55"/>
      <c r="E1457" s="55"/>
      <c r="F1457" s="55"/>
      <c r="G1457" s="55"/>
      <c r="H1457" s="141"/>
      <c r="M1457" s="23">
        <v>1</v>
      </c>
    </row>
    <row r="1458" spans="2:13" ht="18">
      <c r="B1458" s="55"/>
      <c r="C1458" s="55"/>
      <c r="D1458" s="55"/>
      <c r="E1458" s="55"/>
      <c r="F1458" s="55"/>
      <c r="G1458" s="55"/>
      <c r="H1458" s="141"/>
      <c r="M1458" s="23">
        <v>1</v>
      </c>
    </row>
    <row r="1459" spans="2:13" ht="18">
      <c r="B1459" s="55"/>
      <c r="C1459" s="55"/>
      <c r="D1459" s="55"/>
      <c r="E1459" s="55"/>
      <c r="F1459" s="55"/>
      <c r="G1459" s="55"/>
      <c r="H1459" s="141"/>
      <c r="M1459" s="23">
        <v>1</v>
      </c>
    </row>
    <row r="1460" spans="2:13" ht="18">
      <c r="B1460" s="55"/>
      <c r="C1460" s="55"/>
      <c r="D1460" s="55"/>
      <c r="E1460" s="55"/>
      <c r="F1460" s="55"/>
      <c r="G1460" s="55"/>
      <c r="H1460" s="141"/>
      <c r="M1460" s="23">
        <v>1</v>
      </c>
    </row>
    <row r="1461" spans="2:13" ht="18">
      <c r="B1461" s="55"/>
      <c r="C1461" s="55"/>
      <c r="D1461" s="55"/>
      <c r="E1461" s="55"/>
      <c r="F1461" s="55"/>
      <c r="G1461" s="55"/>
      <c r="H1461" s="141"/>
      <c r="M1461" s="23">
        <v>1</v>
      </c>
    </row>
    <row r="1462" spans="2:13" ht="18">
      <c r="B1462" s="55"/>
      <c r="C1462" s="55"/>
      <c r="D1462" s="55"/>
      <c r="E1462" s="55"/>
      <c r="F1462" s="55"/>
      <c r="G1462" s="55"/>
      <c r="H1462" s="141"/>
      <c r="M1462" s="23">
        <v>1</v>
      </c>
    </row>
    <row r="1463" spans="2:13" ht="18">
      <c r="B1463" s="55"/>
      <c r="C1463" s="55"/>
      <c r="D1463" s="55"/>
      <c r="E1463" s="55"/>
      <c r="F1463" s="55"/>
      <c r="G1463" s="55"/>
      <c r="H1463" s="141"/>
      <c r="M1463" s="23">
        <v>1</v>
      </c>
    </row>
    <row r="1464" spans="2:13" ht="18">
      <c r="B1464" s="55"/>
      <c r="C1464" s="55"/>
      <c r="D1464" s="55"/>
      <c r="E1464" s="55"/>
      <c r="F1464" s="55"/>
      <c r="G1464" s="55"/>
      <c r="H1464" s="141"/>
      <c r="M1464" s="23">
        <v>1</v>
      </c>
    </row>
    <row r="1465" spans="2:13" ht="18">
      <c r="B1465" s="55"/>
      <c r="C1465" s="55"/>
      <c r="D1465" s="55"/>
      <c r="E1465" s="55"/>
      <c r="F1465" s="55"/>
      <c r="G1465" s="55"/>
      <c r="H1465" s="141"/>
      <c r="M1465" s="23">
        <v>1</v>
      </c>
    </row>
    <row r="1466" spans="2:13" ht="18">
      <c r="B1466" s="55"/>
      <c r="C1466" s="55"/>
      <c r="D1466" s="55"/>
      <c r="E1466" s="55"/>
      <c r="F1466" s="55"/>
      <c r="G1466" s="55"/>
      <c r="H1466" s="141"/>
      <c r="M1466" s="23">
        <v>1</v>
      </c>
    </row>
    <row r="1467" spans="2:13" ht="18">
      <c r="B1467" s="55"/>
      <c r="C1467" s="55"/>
      <c r="D1467" s="55"/>
      <c r="E1467" s="55"/>
      <c r="F1467" s="55"/>
      <c r="G1467" s="55"/>
      <c r="H1467" s="141"/>
      <c r="M1467" s="23">
        <v>1</v>
      </c>
    </row>
    <row r="1468" spans="2:13" ht="18">
      <c r="B1468" s="55"/>
      <c r="C1468" s="55"/>
      <c r="D1468" s="55"/>
      <c r="E1468" s="55"/>
      <c r="F1468" s="55"/>
      <c r="G1468" s="55"/>
      <c r="H1468" s="141"/>
      <c r="M1468" s="23">
        <v>1</v>
      </c>
    </row>
    <row r="1469" spans="2:13" ht="18">
      <c r="B1469" s="55"/>
      <c r="C1469" s="55"/>
      <c r="D1469" s="55"/>
      <c r="E1469" s="55"/>
      <c r="F1469" s="55"/>
      <c r="G1469" s="55"/>
      <c r="H1469" s="141"/>
      <c r="M1469" s="23">
        <v>1</v>
      </c>
    </row>
    <row r="1470" spans="2:13" ht="18">
      <c r="B1470" s="55"/>
      <c r="C1470" s="55"/>
      <c r="D1470" s="55"/>
      <c r="E1470" s="55"/>
      <c r="F1470" s="55"/>
      <c r="G1470" s="55"/>
      <c r="H1470" s="141"/>
      <c r="M1470" s="23">
        <v>1</v>
      </c>
    </row>
    <row r="1471" spans="2:13" ht="18">
      <c r="B1471" s="55"/>
      <c r="C1471" s="55"/>
      <c r="D1471" s="55"/>
      <c r="E1471" s="55"/>
      <c r="F1471" s="55"/>
      <c r="G1471" s="55"/>
      <c r="H1471" s="141"/>
      <c r="M1471" s="23">
        <v>1</v>
      </c>
    </row>
    <row r="1472" spans="2:13" ht="18">
      <c r="B1472" s="55"/>
      <c r="C1472" s="55"/>
      <c r="D1472" s="55"/>
      <c r="E1472" s="55"/>
      <c r="F1472" s="55"/>
      <c r="G1472" s="55"/>
      <c r="H1472" s="141"/>
      <c r="M1472" s="23">
        <v>1</v>
      </c>
    </row>
    <row r="1473" spans="2:13" ht="18">
      <c r="B1473" s="55"/>
      <c r="C1473" s="55"/>
      <c r="D1473" s="55"/>
      <c r="E1473" s="55"/>
      <c r="F1473" s="55"/>
      <c r="G1473" s="55"/>
      <c r="H1473" s="141"/>
      <c r="M1473" s="23">
        <v>1</v>
      </c>
    </row>
    <row r="1474" spans="2:13" ht="18">
      <c r="B1474" s="55"/>
      <c r="C1474" s="55"/>
      <c r="D1474" s="55"/>
      <c r="E1474" s="55"/>
      <c r="F1474" s="55"/>
      <c r="G1474" s="55"/>
      <c r="H1474" s="141"/>
      <c r="M1474" s="23">
        <v>1</v>
      </c>
    </row>
    <row r="1475" spans="2:13" ht="18">
      <c r="B1475" s="55"/>
      <c r="C1475" s="55"/>
      <c r="D1475" s="55"/>
      <c r="E1475" s="55"/>
      <c r="F1475" s="55"/>
      <c r="G1475" s="55"/>
      <c r="H1475" s="141"/>
      <c r="M1475" s="23">
        <v>1</v>
      </c>
    </row>
    <row r="1476" spans="2:13" ht="18">
      <c r="B1476" s="55"/>
      <c r="C1476" s="55"/>
      <c r="D1476" s="55"/>
      <c r="E1476" s="55"/>
      <c r="F1476" s="55"/>
      <c r="G1476" s="55"/>
      <c r="H1476" s="141"/>
      <c r="M1476" s="23">
        <v>1</v>
      </c>
    </row>
    <row r="1477" spans="2:13" ht="18">
      <c r="B1477" s="55"/>
      <c r="C1477" s="55"/>
      <c r="D1477" s="55"/>
      <c r="E1477" s="55"/>
      <c r="F1477" s="55"/>
      <c r="G1477" s="55"/>
      <c r="H1477" s="141"/>
      <c r="M1477" s="23">
        <v>1</v>
      </c>
    </row>
    <row r="1478" spans="2:13" ht="18">
      <c r="B1478" s="55"/>
      <c r="C1478" s="55"/>
      <c r="D1478" s="55"/>
      <c r="E1478" s="55"/>
      <c r="F1478" s="55"/>
      <c r="G1478" s="55"/>
      <c r="H1478" s="141"/>
      <c r="M1478" s="23">
        <v>1</v>
      </c>
    </row>
    <row r="1479" spans="2:13" ht="18">
      <c r="B1479" s="55"/>
      <c r="C1479" s="55"/>
      <c r="D1479" s="55"/>
      <c r="E1479" s="55"/>
      <c r="F1479" s="55"/>
      <c r="G1479" s="55"/>
      <c r="H1479" s="141"/>
      <c r="M1479" s="23">
        <v>1</v>
      </c>
    </row>
    <row r="1480" spans="2:13" ht="18">
      <c r="B1480" s="55"/>
      <c r="C1480" s="55"/>
      <c r="D1480" s="55"/>
      <c r="E1480" s="55"/>
      <c r="F1480" s="55"/>
      <c r="G1480" s="55"/>
      <c r="H1480" s="141"/>
      <c r="M1480" s="23">
        <v>1</v>
      </c>
    </row>
    <row r="1481" spans="2:13" ht="18">
      <c r="B1481" s="55"/>
      <c r="C1481" s="55"/>
      <c r="D1481" s="55"/>
      <c r="E1481" s="55"/>
      <c r="F1481" s="55"/>
      <c r="G1481" s="55"/>
      <c r="H1481" s="141"/>
      <c r="M1481" s="23">
        <v>1</v>
      </c>
    </row>
    <row r="1482" spans="2:13" ht="18">
      <c r="B1482" s="55"/>
      <c r="C1482" s="55"/>
      <c r="D1482" s="55"/>
      <c r="E1482" s="55"/>
      <c r="F1482" s="55"/>
      <c r="G1482" s="55"/>
      <c r="H1482" s="141"/>
      <c r="M1482" s="23">
        <v>1</v>
      </c>
    </row>
    <row r="1483" spans="2:13" ht="18">
      <c r="B1483" s="55"/>
      <c r="C1483" s="55"/>
      <c r="D1483" s="55"/>
      <c r="E1483" s="55"/>
      <c r="F1483" s="55"/>
      <c r="G1483" s="55"/>
      <c r="H1483" s="141"/>
      <c r="M1483" s="23">
        <v>1</v>
      </c>
    </row>
    <row r="1484" spans="2:13" ht="18">
      <c r="B1484" s="55"/>
      <c r="C1484" s="55"/>
      <c r="D1484" s="55"/>
      <c r="E1484" s="55"/>
      <c r="F1484" s="55"/>
      <c r="G1484" s="55"/>
      <c r="H1484" s="141"/>
      <c r="M1484" s="23">
        <v>1</v>
      </c>
    </row>
    <row r="1485" spans="2:13" ht="18">
      <c r="B1485" s="55"/>
      <c r="C1485" s="55"/>
      <c r="D1485" s="55"/>
      <c r="E1485" s="55"/>
      <c r="F1485" s="55"/>
      <c r="G1485" s="55"/>
      <c r="H1485" s="141"/>
      <c r="M1485" s="23">
        <v>1</v>
      </c>
    </row>
    <row r="1486" spans="2:13" ht="18">
      <c r="B1486" s="55"/>
      <c r="C1486" s="55"/>
      <c r="D1486" s="55"/>
      <c r="E1486" s="55"/>
      <c r="F1486" s="55"/>
      <c r="G1486" s="55"/>
      <c r="H1486" s="141"/>
      <c r="M1486" s="23">
        <v>1</v>
      </c>
    </row>
    <row r="1487" spans="2:13" ht="18">
      <c r="B1487" s="55"/>
      <c r="C1487" s="55"/>
      <c r="D1487" s="55"/>
      <c r="E1487" s="55"/>
      <c r="F1487" s="55"/>
      <c r="G1487" s="55"/>
      <c r="H1487" s="141"/>
      <c r="M1487" s="23">
        <v>1</v>
      </c>
    </row>
    <row r="1488" spans="2:13" ht="18">
      <c r="B1488" s="55"/>
      <c r="C1488" s="55"/>
      <c r="D1488" s="55"/>
      <c r="E1488" s="55"/>
      <c r="F1488" s="55"/>
      <c r="G1488" s="55"/>
      <c r="H1488" s="141"/>
      <c r="M1488" s="23">
        <v>1</v>
      </c>
    </row>
    <row r="1489" spans="2:13" ht="18">
      <c r="B1489" s="55"/>
      <c r="C1489" s="55"/>
      <c r="D1489" s="55"/>
      <c r="E1489" s="55"/>
      <c r="F1489" s="55"/>
      <c r="G1489" s="55"/>
      <c r="H1489" s="141"/>
      <c r="M1489" s="23">
        <v>1</v>
      </c>
    </row>
    <row r="1490" spans="2:13" ht="18">
      <c r="B1490" s="55"/>
      <c r="C1490" s="55"/>
      <c r="D1490" s="55"/>
      <c r="E1490" s="55"/>
      <c r="F1490" s="55"/>
      <c r="G1490" s="55"/>
      <c r="H1490" s="141"/>
      <c r="M1490" s="23">
        <v>1</v>
      </c>
    </row>
    <row r="1491" spans="2:13" ht="18">
      <c r="B1491" s="55"/>
      <c r="C1491" s="55"/>
      <c r="D1491" s="55"/>
      <c r="E1491" s="55"/>
      <c r="F1491" s="55"/>
      <c r="G1491" s="55"/>
      <c r="H1491" s="141"/>
      <c r="M1491" s="23">
        <v>1</v>
      </c>
    </row>
    <row r="1492" spans="2:13" ht="18">
      <c r="B1492" s="55"/>
      <c r="C1492" s="55"/>
      <c r="D1492" s="55"/>
      <c r="E1492" s="55"/>
      <c r="F1492" s="55"/>
      <c r="G1492" s="55"/>
      <c r="H1492" s="141"/>
      <c r="M1492" s="23">
        <v>1</v>
      </c>
    </row>
    <row r="1493" spans="2:13" ht="18">
      <c r="B1493" s="55"/>
      <c r="C1493" s="55"/>
      <c r="D1493" s="55"/>
      <c r="E1493" s="55"/>
      <c r="F1493" s="55"/>
      <c r="G1493" s="55"/>
      <c r="H1493" s="141"/>
      <c r="M1493" s="23">
        <v>1</v>
      </c>
    </row>
    <row r="1494" spans="2:13" ht="18">
      <c r="B1494" s="55"/>
      <c r="C1494" s="55"/>
      <c r="D1494" s="55"/>
      <c r="E1494" s="55"/>
      <c r="F1494" s="55"/>
      <c r="G1494" s="55"/>
      <c r="H1494" s="141"/>
      <c r="M1494" s="23">
        <v>1</v>
      </c>
    </row>
    <row r="1495" spans="2:13" ht="18">
      <c r="B1495" s="55"/>
      <c r="C1495" s="55"/>
      <c r="D1495" s="55"/>
      <c r="E1495" s="55"/>
      <c r="F1495" s="55"/>
      <c r="G1495" s="55"/>
      <c r="H1495" s="141"/>
      <c r="M1495" s="23">
        <v>1</v>
      </c>
    </row>
    <row r="1496" spans="2:13" ht="18">
      <c r="B1496" s="55"/>
      <c r="C1496" s="55"/>
      <c r="D1496" s="55"/>
      <c r="E1496" s="55"/>
      <c r="F1496" s="55"/>
      <c r="G1496" s="55"/>
      <c r="H1496" s="141"/>
      <c r="M1496" s="23">
        <v>1</v>
      </c>
    </row>
    <row r="1497" spans="2:13" ht="18">
      <c r="B1497" s="55"/>
      <c r="C1497" s="55"/>
      <c r="D1497" s="55"/>
      <c r="E1497" s="55"/>
      <c r="F1497" s="55"/>
      <c r="G1497" s="55"/>
      <c r="H1497" s="141"/>
      <c r="M1497" s="23">
        <v>1</v>
      </c>
    </row>
    <row r="1498" spans="2:13" ht="18">
      <c r="B1498" s="55"/>
      <c r="C1498" s="55"/>
      <c r="D1498" s="55"/>
      <c r="E1498" s="55"/>
      <c r="F1498" s="55"/>
      <c r="G1498" s="55"/>
      <c r="H1498" s="141"/>
      <c r="M1498" s="23">
        <v>1</v>
      </c>
    </row>
    <row r="1499" spans="2:13" ht="18">
      <c r="B1499" s="55"/>
      <c r="C1499" s="55"/>
      <c r="D1499" s="55"/>
      <c r="E1499" s="55"/>
      <c r="F1499" s="55"/>
      <c r="G1499" s="55"/>
      <c r="H1499" s="141"/>
      <c r="M1499" s="23">
        <v>1</v>
      </c>
    </row>
    <row r="1500" spans="2:13" ht="18">
      <c r="B1500" s="55"/>
      <c r="C1500" s="55"/>
      <c r="D1500" s="55"/>
      <c r="E1500" s="55"/>
      <c r="F1500" s="55"/>
      <c r="G1500" s="55"/>
      <c r="H1500" s="141"/>
      <c r="M1500" s="23">
        <v>1</v>
      </c>
    </row>
    <row r="1501" spans="2:13" ht="18">
      <c r="B1501" s="55"/>
      <c r="C1501" s="55"/>
      <c r="D1501" s="55"/>
      <c r="E1501" s="55"/>
      <c r="F1501" s="55"/>
      <c r="G1501" s="55"/>
      <c r="H1501" s="141"/>
      <c r="M1501" s="23">
        <v>1</v>
      </c>
    </row>
    <row r="1502" spans="2:13" ht="18">
      <c r="B1502" s="55"/>
      <c r="C1502" s="55"/>
      <c r="D1502" s="55"/>
      <c r="E1502" s="55"/>
      <c r="F1502" s="55"/>
      <c r="G1502" s="55"/>
      <c r="H1502" s="141"/>
      <c r="M1502" s="23">
        <v>1</v>
      </c>
    </row>
    <row r="1503" spans="2:13" ht="18">
      <c r="B1503" s="55"/>
      <c r="C1503" s="55"/>
      <c r="D1503" s="55"/>
      <c r="E1503" s="55"/>
      <c r="F1503" s="55"/>
      <c r="G1503" s="55"/>
      <c r="H1503" s="141"/>
      <c r="M1503" s="23">
        <v>1</v>
      </c>
    </row>
    <row r="1504" spans="2:13" ht="18">
      <c r="B1504" s="55"/>
      <c r="C1504" s="55"/>
      <c r="D1504" s="55"/>
      <c r="E1504" s="55"/>
      <c r="F1504" s="55"/>
      <c r="G1504" s="55"/>
      <c r="H1504" s="141"/>
      <c r="M1504" s="23">
        <v>1</v>
      </c>
    </row>
    <row r="1505" spans="2:13" ht="18">
      <c r="B1505" s="55"/>
      <c r="C1505" s="55"/>
      <c r="D1505" s="55"/>
      <c r="E1505" s="55"/>
      <c r="F1505" s="55"/>
      <c r="G1505" s="55"/>
      <c r="H1505" s="141"/>
      <c r="M1505" s="23">
        <v>1</v>
      </c>
    </row>
    <row r="1506" spans="2:13" ht="18">
      <c r="B1506" s="55"/>
      <c r="C1506" s="55"/>
      <c r="D1506" s="55"/>
      <c r="E1506" s="55"/>
      <c r="F1506" s="55"/>
      <c r="G1506" s="55"/>
      <c r="H1506" s="141"/>
      <c r="M1506" s="23">
        <v>1</v>
      </c>
    </row>
    <row r="1507" spans="2:13" ht="18">
      <c r="B1507" s="55"/>
      <c r="C1507" s="55"/>
      <c r="D1507" s="55"/>
      <c r="E1507" s="55"/>
      <c r="F1507" s="55"/>
      <c r="G1507" s="55"/>
      <c r="H1507" s="141"/>
      <c r="M1507" s="23">
        <v>1</v>
      </c>
    </row>
    <row r="1508" spans="2:13" ht="18">
      <c r="B1508" s="55"/>
      <c r="C1508" s="55"/>
      <c r="D1508" s="55"/>
      <c r="E1508" s="55"/>
      <c r="F1508" s="55"/>
      <c r="G1508" s="55"/>
      <c r="H1508" s="141"/>
      <c r="M1508" s="23">
        <v>1</v>
      </c>
    </row>
    <row r="1509" spans="2:13" ht="18">
      <c r="B1509" s="55"/>
      <c r="C1509" s="55"/>
      <c r="D1509" s="55"/>
      <c r="E1509" s="55"/>
      <c r="F1509" s="55"/>
      <c r="G1509" s="55"/>
      <c r="H1509" s="141"/>
      <c r="M1509" s="23">
        <v>1</v>
      </c>
    </row>
    <row r="1510" spans="2:13" ht="18">
      <c r="B1510" s="55"/>
      <c r="C1510" s="55"/>
      <c r="D1510" s="55"/>
      <c r="E1510" s="55"/>
      <c r="F1510" s="55"/>
      <c r="G1510" s="55"/>
      <c r="H1510" s="141"/>
      <c r="M1510" s="23">
        <v>1</v>
      </c>
    </row>
    <row r="1511" spans="2:13" ht="18">
      <c r="B1511" s="55"/>
      <c r="C1511" s="55"/>
      <c r="D1511" s="55"/>
      <c r="E1511" s="55"/>
      <c r="F1511" s="55"/>
      <c r="G1511" s="55"/>
      <c r="H1511" s="141"/>
      <c r="M1511" s="23">
        <v>1</v>
      </c>
    </row>
    <row r="1512" spans="2:13" ht="18">
      <c r="B1512" s="55"/>
      <c r="C1512" s="55"/>
      <c r="D1512" s="55"/>
      <c r="E1512" s="55"/>
      <c r="F1512" s="55"/>
      <c r="G1512" s="55"/>
      <c r="H1512" s="141"/>
      <c r="M1512" s="23">
        <v>1</v>
      </c>
    </row>
    <row r="1513" spans="2:13" ht="18">
      <c r="B1513" s="55"/>
      <c r="C1513" s="55"/>
      <c r="D1513" s="55"/>
      <c r="E1513" s="55"/>
      <c r="F1513" s="55"/>
      <c r="G1513" s="55"/>
      <c r="H1513" s="141"/>
      <c r="M1513" s="23">
        <v>1</v>
      </c>
    </row>
    <row r="1514" spans="2:13" ht="18">
      <c r="B1514" s="55"/>
      <c r="C1514" s="55"/>
      <c r="D1514" s="55"/>
      <c r="E1514" s="55"/>
      <c r="F1514" s="55"/>
      <c r="G1514" s="55"/>
      <c r="H1514" s="141"/>
      <c r="M1514" s="23">
        <v>1</v>
      </c>
    </row>
    <row r="1515" spans="2:13" ht="18">
      <c r="B1515" s="55"/>
      <c r="C1515" s="55"/>
      <c r="D1515" s="55"/>
      <c r="E1515" s="55"/>
      <c r="F1515" s="55"/>
      <c r="G1515" s="55"/>
      <c r="H1515" s="141"/>
      <c r="M1515" s="23">
        <v>1</v>
      </c>
    </row>
    <row r="1516" spans="2:13" ht="18">
      <c r="B1516" s="55"/>
      <c r="C1516" s="55"/>
      <c r="D1516" s="55"/>
      <c r="E1516" s="55"/>
      <c r="F1516" s="55"/>
      <c r="G1516" s="55"/>
      <c r="H1516" s="141"/>
      <c r="M1516" s="23">
        <v>1</v>
      </c>
    </row>
    <row r="1517" spans="2:13" ht="18">
      <c r="B1517" s="55"/>
      <c r="C1517" s="55"/>
      <c r="D1517" s="55"/>
      <c r="E1517" s="55"/>
      <c r="F1517" s="55"/>
      <c r="G1517" s="55"/>
      <c r="H1517" s="141"/>
      <c r="M1517" s="23">
        <v>1</v>
      </c>
    </row>
    <row r="1518" spans="2:13" ht="18">
      <c r="B1518" s="55"/>
      <c r="C1518" s="55"/>
      <c r="D1518" s="55"/>
      <c r="E1518" s="55"/>
      <c r="F1518" s="55"/>
      <c r="G1518" s="55"/>
      <c r="H1518" s="141"/>
      <c r="M1518" s="23">
        <v>1</v>
      </c>
    </row>
    <row r="1519" spans="2:13" ht="18">
      <c r="B1519" s="55"/>
      <c r="C1519" s="55"/>
      <c r="D1519" s="55"/>
      <c r="E1519" s="55"/>
      <c r="F1519" s="55"/>
      <c r="G1519" s="55"/>
      <c r="H1519" s="141"/>
      <c r="M1519" s="23">
        <v>1</v>
      </c>
    </row>
    <row r="1520" spans="2:13" ht="18">
      <c r="B1520" s="55"/>
      <c r="C1520" s="55"/>
      <c r="D1520" s="55"/>
      <c r="E1520" s="55"/>
      <c r="F1520" s="55"/>
      <c r="G1520" s="55"/>
      <c r="H1520" s="141"/>
      <c r="M1520" s="23">
        <v>1</v>
      </c>
    </row>
    <row r="1521" spans="2:13" ht="18">
      <c r="B1521" s="55"/>
      <c r="C1521" s="55"/>
      <c r="D1521" s="55"/>
      <c r="E1521" s="55"/>
      <c r="F1521" s="55"/>
      <c r="G1521" s="55"/>
      <c r="H1521" s="141"/>
      <c r="M1521" s="23">
        <v>1</v>
      </c>
    </row>
    <row r="1522" spans="2:13" ht="18">
      <c r="B1522" s="55"/>
      <c r="C1522" s="55"/>
      <c r="D1522" s="55"/>
      <c r="E1522" s="55"/>
      <c r="F1522" s="55"/>
      <c r="G1522" s="55"/>
      <c r="H1522" s="141"/>
      <c r="M1522" s="23">
        <v>1</v>
      </c>
    </row>
    <row r="1523" spans="2:13" ht="18">
      <c r="B1523" s="55"/>
      <c r="C1523" s="55"/>
      <c r="D1523" s="55"/>
      <c r="E1523" s="55"/>
      <c r="F1523" s="55"/>
      <c r="G1523" s="55"/>
      <c r="H1523" s="141"/>
      <c r="M1523" s="23">
        <v>1</v>
      </c>
    </row>
    <row r="1524" spans="2:13" ht="18">
      <c r="B1524" s="55"/>
      <c r="C1524" s="55"/>
      <c r="D1524" s="55"/>
      <c r="E1524" s="55"/>
      <c r="F1524" s="55"/>
      <c r="G1524" s="55"/>
      <c r="H1524" s="141"/>
      <c r="M1524" s="23">
        <v>1</v>
      </c>
    </row>
    <row r="1525" spans="2:13" ht="18">
      <c r="B1525" s="55"/>
      <c r="C1525" s="55"/>
      <c r="D1525" s="55"/>
      <c r="E1525" s="55"/>
      <c r="F1525" s="55"/>
      <c r="G1525" s="55"/>
      <c r="H1525" s="141"/>
      <c r="M1525" s="23">
        <v>1</v>
      </c>
    </row>
    <row r="1526" spans="2:13" ht="18">
      <c r="B1526" s="55"/>
      <c r="C1526" s="55"/>
      <c r="D1526" s="55"/>
      <c r="E1526" s="55"/>
      <c r="F1526" s="55"/>
      <c r="G1526" s="55"/>
      <c r="H1526" s="141"/>
      <c r="M1526" s="23">
        <v>1</v>
      </c>
    </row>
    <row r="1527" spans="2:13" ht="18">
      <c r="B1527" s="55"/>
      <c r="C1527" s="55"/>
      <c r="D1527" s="55"/>
      <c r="E1527" s="55"/>
      <c r="F1527" s="55"/>
      <c r="G1527" s="55"/>
      <c r="H1527" s="141"/>
      <c r="M1527" s="23">
        <v>1</v>
      </c>
    </row>
    <row r="1528" spans="2:13" ht="18">
      <c r="B1528" s="55"/>
      <c r="C1528" s="55"/>
      <c r="D1528" s="55"/>
      <c r="E1528" s="55"/>
      <c r="F1528" s="55"/>
      <c r="G1528" s="55"/>
      <c r="H1528" s="141"/>
      <c r="M1528" s="23">
        <v>1</v>
      </c>
    </row>
    <row r="1529" spans="2:13" ht="18">
      <c r="B1529" s="55"/>
      <c r="C1529" s="55"/>
      <c r="D1529" s="55"/>
      <c r="E1529" s="55"/>
      <c r="F1529" s="55"/>
      <c r="G1529" s="55"/>
      <c r="H1529" s="141"/>
      <c r="M1529" s="23">
        <v>1</v>
      </c>
    </row>
    <row r="1530" spans="2:13" ht="18">
      <c r="B1530" s="55"/>
      <c r="C1530" s="55"/>
      <c r="D1530" s="55"/>
      <c r="E1530" s="55"/>
      <c r="F1530" s="55"/>
      <c r="G1530" s="55"/>
      <c r="H1530" s="141"/>
      <c r="M1530" s="23">
        <v>1</v>
      </c>
    </row>
    <row r="1531" spans="2:13" ht="18">
      <c r="B1531" s="55"/>
      <c r="C1531" s="55"/>
      <c r="D1531" s="55"/>
      <c r="E1531" s="55"/>
      <c r="F1531" s="55"/>
      <c r="G1531" s="55"/>
      <c r="H1531" s="141"/>
      <c r="M1531" s="23">
        <v>1</v>
      </c>
    </row>
    <row r="1532" spans="2:13" ht="18">
      <c r="B1532" s="55"/>
      <c r="C1532" s="55"/>
      <c r="D1532" s="55"/>
      <c r="E1532" s="55"/>
      <c r="F1532" s="55"/>
      <c r="G1532" s="55"/>
      <c r="H1532" s="141"/>
      <c r="M1532" s="23">
        <v>1</v>
      </c>
    </row>
    <row r="1533" spans="2:13" ht="18">
      <c r="B1533" s="55"/>
      <c r="C1533" s="55"/>
      <c r="D1533" s="55"/>
      <c r="E1533" s="55"/>
      <c r="F1533" s="55"/>
      <c r="G1533" s="55"/>
      <c r="H1533" s="141"/>
      <c r="M1533" s="23">
        <v>1</v>
      </c>
    </row>
    <row r="1534" spans="2:13" ht="18">
      <c r="B1534" s="55"/>
      <c r="C1534" s="55"/>
      <c r="D1534" s="55"/>
      <c r="E1534" s="55"/>
      <c r="F1534" s="55"/>
      <c r="G1534" s="55"/>
      <c r="H1534" s="141"/>
      <c r="M1534" s="23">
        <v>1</v>
      </c>
    </row>
    <row r="1535" spans="2:13" ht="18">
      <c r="B1535" s="55"/>
      <c r="C1535" s="55"/>
      <c r="D1535" s="55"/>
      <c r="E1535" s="55"/>
      <c r="F1535" s="55"/>
      <c r="G1535" s="55"/>
      <c r="H1535" s="141"/>
      <c r="M1535" s="23">
        <v>1</v>
      </c>
    </row>
    <row r="1536" spans="2:13" ht="18">
      <c r="B1536" s="55"/>
      <c r="C1536" s="55"/>
      <c r="D1536" s="55"/>
      <c r="E1536" s="55"/>
      <c r="F1536" s="55"/>
      <c r="G1536" s="55"/>
      <c r="H1536" s="141"/>
      <c r="M1536" s="23">
        <v>1</v>
      </c>
    </row>
    <row r="1537" spans="2:13" ht="18">
      <c r="B1537" s="55"/>
      <c r="C1537" s="55"/>
      <c r="D1537" s="55"/>
      <c r="E1537" s="55"/>
      <c r="F1537" s="55"/>
      <c r="G1537" s="55"/>
      <c r="H1537" s="141"/>
      <c r="M1537" s="23">
        <v>1</v>
      </c>
    </row>
    <row r="1538" spans="2:13" ht="18">
      <c r="B1538" s="55"/>
      <c r="C1538" s="55"/>
      <c r="D1538" s="55"/>
      <c r="E1538" s="55"/>
      <c r="F1538" s="55"/>
      <c r="G1538" s="55"/>
      <c r="H1538" s="141"/>
      <c r="M1538" s="23">
        <v>1</v>
      </c>
    </row>
    <row r="1539" spans="2:13" ht="18">
      <c r="B1539" s="55"/>
      <c r="C1539" s="55"/>
      <c r="D1539" s="55"/>
      <c r="E1539" s="55"/>
      <c r="F1539" s="55"/>
      <c r="G1539" s="55"/>
      <c r="H1539" s="141"/>
      <c r="M1539" s="23">
        <v>1</v>
      </c>
    </row>
    <row r="1540" spans="2:13" ht="18">
      <c r="B1540" s="55"/>
      <c r="C1540" s="55"/>
      <c r="D1540" s="55"/>
      <c r="E1540" s="55"/>
      <c r="F1540" s="55"/>
      <c r="G1540" s="55"/>
      <c r="H1540" s="141"/>
      <c r="M1540" s="23">
        <v>1</v>
      </c>
    </row>
    <row r="1541" spans="2:13" ht="18">
      <c r="B1541" s="55"/>
      <c r="C1541" s="55"/>
      <c r="D1541" s="55"/>
      <c r="E1541" s="55"/>
      <c r="F1541" s="55"/>
      <c r="G1541" s="55"/>
      <c r="H1541" s="141"/>
      <c r="M1541" s="23">
        <v>1</v>
      </c>
    </row>
    <row r="1542" spans="2:13" ht="18">
      <c r="B1542" s="55"/>
      <c r="C1542" s="55"/>
      <c r="D1542" s="55"/>
      <c r="E1542" s="55"/>
      <c r="F1542" s="55"/>
      <c r="G1542" s="55"/>
      <c r="H1542" s="141"/>
      <c r="M1542" s="23">
        <v>1</v>
      </c>
    </row>
    <row r="1543" spans="2:13" ht="18">
      <c r="B1543" s="55"/>
      <c r="C1543" s="55"/>
      <c r="D1543" s="55"/>
      <c r="E1543" s="55"/>
      <c r="F1543" s="55"/>
      <c r="G1543" s="55"/>
      <c r="H1543" s="141"/>
      <c r="M1543" s="23">
        <v>1</v>
      </c>
    </row>
    <row r="1544" spans="2:13" ht="18">
      <c r="B1544" s="55"/>
      <c r="C1544" s="55"/>
      <c r="D1544" s="55"/>
      <c r="E1544" s="55"/>
      <c r="F1544" s="55"/>
      <c r="G1544" s="55"/>
      <c r="H1544" s="141"/>
      <c r="M1544" s="23">
        <v>1</v>
      </c>
    </row>
    <row r="1545" spans="2:13" ht="18">
      <c r="B1545" s="55"/>
      <c r="C1545" s="55"/>
      <c r="D1545" s="55"/>
      <c r="E1545" s="55"/>
      <c r="F1545" s="55"/>
      <c r="G1545" s="55"/>
      <c r="H1545" s="141"/>
      <c r="M1545" s="23">
        <v>1</v>
      </c>
    </row>
    <row r="1546" spans="2:13" ht="18">
      <c r="B1546" s="55"/>
      <c r="C1546" s="55"/>
      <c r="D1546" s="55"/>
      <c r="E1546" s="55"/>
      <c r="F1546" s="55"/>
      <c r="G1546" s="55"/>
      <c r="H1546" s="141"/>
      <c r="M1546" s="23">
        <v>1</v>
      </c>
    </row>
    <row r="1547" spans="2:13" ht="18">
      <c r="B1547" s="55"/>
      <c r="C1547" s="55"/>
      <c r="D1547" s="55"/>
      <c r="E1547" s="55"/>
      <c r="F1547" s="55"/>
      <c r="G1547" s="55"/>
      <c r="H1547" s="141"/>
      <c r="M1547" s="23">
        <v>1</v>
      </c>
    </row>
    <row r="1548" spans="2:13" ht="18">
      <c r="B1548" s="55"/>
      <c r="C1548" s="55"/>
      <c r="D1548" s="55"/>
      <c r="E1548" s="55"/>
      <c r="F1548" s="55"/>
      <c r="G1548" s="55"/>
      <c r="H1548" s="141"/>
      <c r="M1548" s="23">
        <v>1</v>
      </c>
    </row>
    <row r="1549" spans="2:13" ht="18">
      <c r="B1549" s="55"/>
      <c r="C1549" s="55"/>
      <c r="D1549" s="55"/>
      <c r="E1549" s="55"/>
      <c r="F1549" s="55"/>
      <c r="G1549" s="55"/>
      <c r="H1549" s="141"/>
      <c r="M1549" s="23">
        <v>1</v>
      </c>
    </row>
    <row r="1550" spans="2:13" ht="18">
      <c r="B1550" s="55"/>
      <c r="C1550" s="55"/>
      <c r="D1550" s="55"/>
      <c r="E1550" s="55"/>
      <c r="F1550" s="55"/>
      <c r="G1550" s="55"/>
      <c r="H1550" s="141"/>
      <c r="M1550" s="23">
        <v>1</v>
      </c>
    </row>
    <row r="1551" spans="2:13" ht="18">
      <c r="B1551" s="55"/>
      <c r="C1551" s="55"/>
      <c r="D1551" s="55"/>
      <c r="E1551" s="55"/>
      <c r="F1551" s="55"/>
      <c r="G1551" s="55"/>
      <c r="H1551" s="141"/>
      <c r="M1551" s="23">
        <v>1</v>
      </c>
    </row>
    <row r="1552" spans="2:13" ht="18">
      <c r="B1552" s="55"/>
      <c r="C1552" s="55"/>
      <c r="D1552" s="55"/>
      <c r="E1552" s="55"/>
      <c r="F1552" s="55"/>
      <c r="G1552" s="55"/>
      <c r="H1552" s="141"/>
      <c r="M1552" s="23">
        <v>1</v>
      </c>
    </row>
    <row r="1553" spans="2:13" ht="18">
      <c r="B1553" s="55"/>
      <c r="C1553" s="55"/>
      <c r="D1553" s="55"/>
      <c r="E1553" s="55"/>
      <c r="F1553" s="55"/>
      <c r="G1553" s="55"/>
      <c r="H1553" s="141"/>
      <c r="M1553" s="23">
        <v>1</v>
      </c>
    </row>
    <row r="1554" spans="2:13" ht="18">
      <c r="B1554" s="55"/>
      <c r="C1554" s="55"/>
      <c r="D1554" s="55"/>
      <c r="E1554" s="55"/>
      <c r="F1554" s="55"/>
      <c r="G1554" s="55"/>
      <c r="H1554" s="141"/>
      <c r="M1554" s="23">
        <v>1</v>
      </c>
    </row>
    <row r="1555" spans="2:13" ht="18">
      <c r="B1555" s="55"/>
      <c r="C1555" s="55"/>
      <c r="D1555" s="55"/>
      <c r="E1555" s="55"/>
      <c r="F1555" s="55"/>
      <c r="G1555" s="55"/>
      <c r="H1555" s="141"/>
      <c r="M1555" s="23">
        <v>1</v>
      </c>
    </row>
    <row r="1556" spans="2:13" ht="18">
      <c r="B1556" s="55"/>
      <c r="C1556" s="55"/>
      <c r="D1556" s="55"/>
      <c r="E1556" s="55"/>
      <c r="F1556" s="55"/>
      <c r="G1556" s="55"/>
      <c r="H1556" s="141"/>
      <c r="M1556" s="23">
        <v>1</v>
      </c>
    </row>
    <row r="1557" spans="2:13" ht="18">
      <c r="B1557" s="55"/>
      <c r="C1557" s="55"/>
      <c r="D1557" s="55"/>
      <c r="E1557" s="55"/>
      <c r="F1557" s="55"/>
      <c r="G1557" s="55"/>
      <c r="H1557" s="141"/>
      <c r="M1557" s="23">
        <v>1</v>
      </c>
    </row>
    <row r="1558" spans="2:13" ht="18">
      <c r="B1558" s="55"/>
      <c r="C1558" s="55"/>
      <c r="D1558" s="55"/>
      <c r="E1558" s="55"/>
      <c r="F1558" s="55"/>
      <c r="G1558" s="55"/>
      <c r="H1558" s="141"/>
      <c r="M1558" s="23">
        <v>1</v>
      </c>
    </row>
    <row r="1559" spans="2:13" ht="18">
      <c r="B1559" s="55"/>
      <c r="C1559" s="55"/>
      <c r="D1559" s="55"/>
      <c r="E1559" s="55"/>
      <c r="F1559" s="55"/>
      <c r="G1559" s="55"/>
      <c r="H1559" s="141"/>
      <c r="M1559" s="23">
        <v>1</v>
      </c>
    </row>
    <row r="1560" spans="2:13" ht="18">
      <c r="B1560" s="55"/>
      <c r="C1560" s="55"/>
      <c r="D1560" s="55"/>
      <c r="E1560" s="55"/>
      <c r="F1560" s="55"/>
      <c r="G1560" s="55"/>
      <c r="H1560" s="141"/>
      <c r="M1560" s="23">
        <v>1</v>
      </c>
    </row>
    <row r="1561" spans="2:13" ht="18">
      <c r="B1561" s="55"/>
      <c r="C1561" s="55"/>
      <c r="D1561" s="55"/>
      <c r="E1561" s="55"/>
      <c r="F1561" s="55"/>
      <c r="G1561" s="55"/>
      <c r="H1561" s="141"/>
      <c r="M1561" s="23">
        <v>1</v>
      </c>
    </row>
    <row r="1562" spans="2:13" ht="18">
      <c r="B1562" s="55"/>
      <c r="C1562" s="55"/>
      <c r="D1562" s="55"/>
      <c r="E1562" s="55"/>
      <c r="F1562" s="55"/>
      <c r="G1562" s="55"/>
      <c r="H1562" s="141"/>
      <c r="M1562" s="23">
        <v>1</v>
      </c>
    </row>
    <row r="1563" spans="2:13" ht="18">
      <c r="B1563" s="55"/>
      <c r="C1563" s="55"/>
      <c r="D1563" s="55"/>
      <c r="E1563" s="55"/>
      <c r="F1563" s="55"/>
      <c r="G1563" s="55"/>
      <c r="H1563" s="141"/>
      <c r="M1563" s="23">
        <v>1</v>
      </c>
    </row>
    <row r="1564" spans="2:13" ht="18">
      <c r="B1564" s="55"/>
      <c r="C1564" s="55"/>
      <c r="D1564" s="55"/>
      <c r="E1564" s="55"/>
      <c r="F1564" s="55"/>
      <c r="G1564" s="55"/>
      <c r="H1564" s="141"/>
      <c r="M1564" s="23">
        <v>1</v>
      </c>
    </row>
    <row r="1565" spans="2:13" ht="18">
      <c r="B1565" s="55"/>
      <c r="C1565" s="55"/>
      <c r="D1565" s="55"/>
      <c r="E1565" s="55"/>
      <c r="F1565" s="55"/>
      <c r="G1565" s="55"/>
      <c r="H1565" s="141"/>
      <c r="M1565" s="23">
        <v>1</v>
      </c>
    </row>
    <row r="1566" spans="2:13" ht="18">
      <c r="B1566" s="55"/>
      <c r="C1566" s="55"/>
      <c r="D1566" s="55"/>
      <c r="E1566" s="55"/>
      <c r="F1566" s="55"/>
      <c r="G1566" s="55"/>
      <c r="H1566" s="141"/>
      <c r="M1566" s="23">
        <v>1</v>
      </c>
    </row>
    <row r="1567" spans="2:13" ht="18">
      <c r="B1567" s="55"/>
      <c r="C1567" s="55"/>
      <c r="D1567" s="55"/>
      <c r="E1567" s="55"/>
      <c r="F1567" s="55"/>
      <c r="G1567" s="55"/>
      <c r="H1567" s="141"/>
      <c r="M1567" s="23">
        <v>1</v>
      </c>
    </row>
    <row r="1568" spans="2:13" ht="18">
      <c r="B1568" s="55"/>
      <c r="C1568" s="55"/>
      <c r="D1568" s="55"/>
      <c r="E1568" s="55"/>
      <c r="F1568" s="55"/>
      <c r="G1568" s="55"/>
      <c r="H1568" s="141"/>
      <c r="M1568" s="23">
        <v>1</v>
      </c>
    </row>
    <row r="1569" spans="2:13" ht="18">
      <c r="B1569" s="55"/>
      <c r="C1569" s="55"/>
      <c r="D1569" s="55"/>
      <c r="E1569" s="55"/>
      <c r="F1569" s="55"/>
      <c r="G1569" s="55"/>
      <c r="H1569" s="141"/>
      <c r="M1569" s="23">
        <v>1</v>
      </c>
    </row>
    <row r="1570" spans="2:13" ht="18">
      <c r="B1570" s="55"/>
      <c r="C1570" s="55"/>
      <c r="D1570" s="55"/>
      <c r="E1570" s="55"/>
      <c r="F1570" s="55"/>
      <c r="G1570" s="55"/>
      <c r="H1570" s="141"/>
      <c r="M1570" s="23">
        <v>1</v>
      </c>
    </row>
    <row r="1571" spans="2:13" ht="18">
      <c r="B1571" s="55"/>
      <c r="C1571" s="55"/>
      <c r="D1571" s="55"/>
      <c r="E1571" s="55"/>
      <c r="F1571" s="55"/>
      <c r="G1571" s="55"/>
      <c r="H1571" s="141"/>
      <c r="M1571" s="23">
        <v>1</v>
      </c>
    </row>
    <row r="1572" spans="2:13" ht="18">
      <c r="B1572" s="55"/>
      <c r="C1572" s="55"/>
      <c r="D1572" s="55"/>
      <c r="E1572" s="55"/>
      <c r="F1572" s="55"/>
      <c r="G1572" s="55"/>
      <c r="H1572" s="141"/>
      <c r="M1572" s="23">
        <v>1</v>
      </c>
    </row>
    <row r="1573" spans="2:13" ht="18">
      <c r="B1573" s="55"/>
      <c r="C1573" s="55"/>
      <c r="D1573" s="55"/>
      <c r="E1573" s="55"/>
      <c r="F1573" s="55"/>
      <c r="G1573" s="55"/>
      <c r="H1573" s="141"/>
      <c r="M1573" s="23">
        <v>1</v>
      </c>
    </row>
    <row r="1574" spans="2:13" ht="18">
      <c r="B1574" s="55"/>
      <c r="C1574" s="55"/>
      <c r="D1574" s="55"/>
      <c r="E1574" s="55"/>
      <c r="F1574" s="55"/>
      <c r="G1574" s="55"/>
      <c r="H1574" s="141"/>
      <c r="M1574" s="23">
        <v>1</v>
      </c>
    </row>
    <row r="1575" spans="2:13" ht="18">
      <c r="B1575" s="55"/>
      <c r="C1575" s="55"/>
      <c r="D1575" s="55"/>
      <c r="E1575" s="55"/>
      <c r="F1575" s="55"/>
      <c r="G1575" s="55"/>
      <c r="H1575" s="141"/>
      <c r="M1575" s="23">
        <v>1</v>
      </c>
    </row>
    <row r="1576" spans="2:13" ht="18">
      <c r="B1576" s="55"/>
      <c r="C1576" s="55"/>
      <c r="D1576" s="55"/>
      <c r="E1576" s="55"/>
      <c r="F1576" s="55"/>
      <c r="G1576" s="55"/>
      <c r="H1576" s="141"/>
      <c r="M1576" s="23">
        <v>1</v>
      </c>
    </row>
    <row r="1577" spans="2:13" ht="18">
      <c r="B1577" s="55"/>
      <c r="C1577" s="55"/>
      <c r="D1577" s="55"/>
      <c r="E1577" s="55"/>
      <c r="F1577" s="55"/>
      <c r="G1577" s="55"/>
      <c r="H1577" s="141"/>
      <c r="M1577" s="23">
        <v>1</v>
      </c>
    </row>
    <row r="1578" spans="2:13" ht="18">
      <c r="B1578" s="55"/>
      <c r="C1578" s="55"/>
      <c r="D1578" s="55"/>
      <c r="E1578" s="55"/>
      <c r="F1578" s="55"/>
      <c r="G1578" s="55"/>
      <c r="H1578" s="141"/>
      <c r="M1578" s="23">
        <v>1</v>
      </c>
    </row>
    <row r="1579" spans="2:13" ht="18">
      <c r="B1579" s="55"/>
      <c r="C1579" s="55"/>
      <c r="D1579" s="55"/>
      <c r="E1579" s="55"/>
      <c r="F1579" s="55"/>
      <c r="G1579" s="55"/>
      <c r="H1579" s="141"/>
      <c r="M1579" s="23">
        <v>1</v>
      </c>
    </row>
    <row r="1580" spans="2:13" ht="18">
      <c r="B1580" s="55"/>
      <c r="C1580" s="55"/>
      <c r="D1580" s="55"/>
      <c r="E1580" s="55"/>
      <c r="F1580" s="55"/>
      <c r="G1580" s="55"/>
      <c r="H1580" s="141"/>
      <c r="M1580" s="23">
        <v>1</v>
      </c>
    </row>
    <row r="1581" spans="2:13" ht="18">
      <c r="B1581" s="55"/>
      <c r="C1581" s="55"/>
      <c r="D1581" s="55"/>
      <c r="E1581" s="55"/>
      <c r="F1581" s="55"/>
      <c r="G1581" s="55"/>
      <c r="H1581" s="141"/>
      <c r="M1581" s="23">
        <v>1</v>
      </c>
    </row>
    <row r="1582" spans="2:13" ht="18">
      <c r="B1582" s="55"/>
      <c r="C1582" s="55"/>
      <c r="D1582" s="55"/>
      <c r="E1582" s="55"/>
      <c r="F1582" s="55"/>
      <c r="G1582" s="55"/>
      <c r="H1582" s="141"/>
      <c r="M1582" s="23">
        <v>1</v>
      </c>
    </row>
    <row r="1583" spans="2:13" ht="18">
      <c r="B1583" s="55"/>
      <c r="C1583" s="55"/>
      <c r="D1583" s="55"/>
      <c r="E1583" s="55"/>
      <c r="F1583" s="55"/>
      <c r="G1583" s="55"/>
      <c r="H1583" s="141"/>
      <c r="M1583" s="23">
        <v>1</v>
      </c>
    </row>
    <row r="1584" spans="2:13" ht="18">
      <c r="B1584" s="55"/>
      <c r="C1584" s="55"/>
      <c r="D1584" s="55"/>
      <c r="E1584" s="55"/>
      <c r="F1584" s="55"/>
      <c r="G1584" s="55"/>
      <c r="H1584" s="141"/>
      <c r="M1584" s="23">
        <v>1</v>
      </c>
    </row>
    <row r="1585" spans="2:13" ht="18">
      <c r="B1585" s="55"/>
      <c r="C1585" s="55"/>
      <c r="D1585" s="55"/>
      <c r="E1585" s="55"/>
      <c r="F1585" s="55"/>
      <c r="G1585" s="55"/>
      <c r="H1585" s="141"/>
      <c r="M1585" s="23">
        <v>1</v>
      </c>
    </row>
    <row r="1586" spans="2:13" ht="18">
      <c r="B1586" s="55"/>
      <c r="C1586" s="55"/>
      <c r="D1586" s="55"/>
      <c r="E1586" s="55"/>
      <c r="F1586" s="55"/>
      <c r="G1586" s="55"/>
      <c r="H1586" s="141"/>
      <c r="M1586" s="23">
        <v>1</v>
      </c>
    </row>
    <row r="1587" spans="2:13" ht="18">
      <c r="B1587" s="55"/>
      <c r="C1587" s="55"/>
      <c r="D1587" s="55"/>
      <c r="E1587" s="55"/>
      <c r="F1587" s="55"/>
      <c r="G1587" s="55"/>
      <c r="H1587" s="141"/>
      <c r="M1587" s="23">
        <v>1</v>
      </c>
    </row>
    <row r="1588" spans="2:13" ht="18">
      <c r="B1588" s="55"/>
      <c r="C1588" s="55"/>
      <c r="D1588" s="55"/>
      <c r="E1588" s="55"/>
      <c r="F1588" s="55"/>
      <c r="G1588" s="55"/>
      <c r="H1588" s="141"/>
      <c r="M1588" s="23">
        <v>1</v>
      </c>
    </row>
    <row r="1589" spans="2:13" ht="18">
      <c r="B1589" s="55"/>
      <c r="C1589" s="55"/>
      <c r="D1589" s="55"/>
      <c r="E1589" s="55"/>
      <c r="F1589" s="55"/>
      <c r="G1589" s="55"/>
      <c r="H1589" s="141"/>
      <c r="M1589" s="23">
        <v>1</v>
      </c>
    </row>
    <row r="1590" spans="2:13" ht="18">
      <c r="B1590" s="55"/>
      <c r="C1590" s="55"/>
      <c r="D1590" s="55"/>
      <c r="E1590" s="55"/>
      <c r="F1590" s="55"/>
      <c r="G1590" s="55"/>
      <c r="H1590" s="141"/>
      <c r="M1590" s="23">
        <v>1</v>
      </c>
    </row>
    <row r="1591" spans="2:13" ht="18">
      <c r="B1591" s="55"/>
      <c r="C1591" s="55"/>
      <c r="D1591" s="55"/>
      <c r="E1591" s="55"/>
      <c r="F1591" s="55"/>
      <c r="G1591" s="55"/>
      <c r="H1591" s="141"/>
      <c r="M1591" s="23">
        <v>1</v>
      </c>
    </row>
    <row r="1592" spans="2:13" ht="18">
      <c r="B1592" s="55"/>
      <c r="C1592" s="55"/>
      <c r="D1592" s="55"/>
      <c r="E1592" s="55"/>
      <c r="F1592" s="55"/>
      <c r="G1592" s="55"/>
      <c r="H1592" s="141"/>
      <c r="M1592" s="23">
        <v>1</v>
      </c>
    </row>
    <row r="1593" spans="2:13" ht="18">
      <c r="B1593" s="55"/>
      <c r="C1593" s="55"/>
      <c r="D1593" s="55"/>
      <c r="E1593" s="55"/>
      <c r="F1593" s="55"/>
      <c r="G1593" s="55"/>
      <c r="H1593" s="141"/>
      <c r="M1593" s="23">
        <v>1</v>
      </c>
    </row>
    <row r="1594" spans="2:13" ht="18">
      <c r="B1594" s="55"/>
      <c r="C1594" s="55"/>
      <c r="D1594" s="55"/>
      <c r="E1594" s="55"/>
      <c r="F1594" s="55"/>
      <c r="G1594" s="55"/>
      <c r="H1594" s="141"/>
      <c r="M1594" s="23">
        <v>1</v>
      </c>
    </row>
    <row r="1595" spans="2:13" ht="18">
      <c r="B1595" s="55"/>
      <c r="C1595" s="55"/>
      <c r="D1595" s="55"/>
      <c r="E1595" s="55"/>
      <c r="F1595" s="55"/>
      <c r="G1595" s="55"/>
      <c r="H1595" s="141"/>
      <c r="M1595" s="23">
        <v>1</v>
      </c>
    </row>
    <row r="1596" spans="2:13" ht="18">
      <c r="B1596" s="55"/>
      <c r="C1596" s="55"/>
      <c r="D1596" s="55"/>
      <c r="E1596" s="55"/>
      <c r="F1596" s="55"/>
      <c r="G1596" s="55"/>
      <c r="H1596" s="141"/>
      <c r="M1596" s="23">
        <v>1</v>
      </c>
    </row>
    <row r="1597" spans="2:13" ht="18">
      <c r="B1597" s="55"/>
      <c r="C1597" s="55"/>
      <c r="D1597" s="55"/>
      <c r="E1597" s="55"/>
      <c r="F1597" s="55"/>
      <c r="G1597" s="55"/>
      <c r="H1597" s="141"/>
      <c r="M1597" s="23">
        <v>1</v>
      </c>
    </row>
    <row r="1598" spans="2:13" ht="18">
      <c r="B1598" s="55"/>
      <c r="C1598" s="55"/>
      <c r="D1598" s="55"/>
      <c r="E1598" s="55"/>
      <c r="F1598" s="55"/>
      <c r="G1598" s="55"/>
      <c r="H1598" s="141"/>
      <c r="M1598" s="23">
        <v>1</v>
      </c>
    </row>
    <row r="1599" spans="2:13" ht="18">
      <c r="B1599" s="55"/>
      <c r="C1599" s="55"/>
      <c r="D1599" s="55"/>
      <c r="E1599" s="55"/>
      <c r="F1599" s="55"/>
      <c r="G1599" s="55"/>
      <c r="H1599" s="141"/>
      <c r="M1599" s="23">
        <v>1</v>
      </c>
    </row>
    <row r="1600" spans="2:13" ht="18">
      <c r="B1600" s="55"/>
      <c r="C1600" s="55"/>
      <c r="D1600" s="55"/>
      <c r="E1600" s="55"/>
      <c r="F1600" s="55"/>
      <c r="G1600" s="55"/>
      <c r="H1600" s="141"/>
      <c r="M1600" s="23">
        <v>1</v>
      </c>
    </row>
    <row r="1601" spans="2:13" ht="18">
      <c r="B1601" s="55"/>
      <c r="C1601" s="55"/>
      <c r="D1601" s="55"/>
      <c r="E1601" s="55"/>
      <c r="F1601" s="55"/>
      <c r="G1601" s="55"/>
      <c r="H1601" s="141"/>
      <c r="M1601" s="23">
        <v>1</v>
      </c>
    </row>
    <row r="1602" spans="2:13" ht="18">
      <c r="B1602" s="55"/>
      <c r="C1602" s="55"/>
      <c r="D1602" s="55"/>
      <c r="E1602" s="55"/>
      <c r="F1602" s="55"/>
      <c r="G1602" s="55"/>
      <c r="H1602" s="141"/>
      <c r="M1602" s="23">
        <v>1</v>
      </c>
    </row>
    <row r="1603" spans="2:13" ht="18">
      <c r="B1603" s="55"/>
      <c r="C1603" s="55"/>
      <c r="D1603" s="55"/>
      <c r="E1603" s="55"/>
      <c r="F1603" s="55"/>
      <c r="G1603" s="55"/>
      <c r="H1603" s="141"/>
      <c r="M1603" s="23">
        <v>1</v>
      </c>
    </row>
    <row r="1604" spans="2:13" ht="18">
      <c r="B1604" s="55"/>
      <c r="C1604" s="55"/>
      <c r="D1604" s="55"/>
      <c r="E1604" s="55"/>
      <c r="F1604" s="55"/>
      <c r="G1604" s="55"/>
      <c r="H1604" s="141"/>
      <c r="M1604" s="23">
        <v>1</v>
      </c>
    </row>
    <row r="1605" spans="2:13" ht="18">
      <c r="B1605" s="55"/>
      <c r="C1605" s="55"/>
      <c r="D1605" s="55"/>
      <c r="E1605" s="55"/>
      <c r="F1605" s="55"/>
      <c r="G1605" s="55"/>
      <c r="H1605" s="141"/>
      <c r="M1605" s="23">
        <v>1</v>
      </c>
    </row>
    <row r="1606" spans="2:13" ht="18">
      <c r="B1606" s="55"/>
      <c r="C1606" s="55"/>
      <c r="D1606" s="55"/>
      <c r="E1606" s="55"/>
      <c r="F1606" s="55"/>
      <c r="G1606" s="55"/>
      <c r="H1606" s="141"/>
      <c r="M1606" s="23">
        <v>1</v>
      </c>
    </row>
    <row r="1607" spans="2:13" ht="18">
      <c r="B1607" s="55"/>
      <c r="C1607" s="55"/>
      <c r="D1607" s="55"/>
      <c r="E1607" s="55"/>
      <c r="F1607" s="55"/>
      <c r="G1607" s="55"/>
      <c r="H1607" s="141"/>
      <c r="M1607" s="23">
        <v>1</v>
      </c>
    </row>
    <row r="1608" spans="2:13" ht="18">
      <c r="B1608" s="55"/>
      <c r="C1608" s="55"/>
      <c r="D1608" s="55"/>
      <c r="E1608" s="55"/>
      <c r="F1608" s="55"/>
      <c r="G1608" s="55"/>
      <c r="H1608" s="141"/>
      <c r="M1608" s="23">
        <v>1</v>
      </c>
    </row>
    <row r="1609" spans="2:13" ht="18">
      <c r="B1609" s="55"/>
      <c r="C1609" s="55"/>
      <c r="D1609" s="55"/>
      <c r="E1609" s="55"/>
      <c r="F1609" s="55"/>
      <c r="G1609" s="55"/>
      <c r="H1609" s="141"/>
      <c r="M1609" s="23">
        <v>1</v>
      </c>
    </row>
    <row r="1610" spans="2:13" ht="18">
      <c r="B1610" s="55"/>
      <c r="C1610" s="55"/>
      <c r="D1610" s="55"/>
      <c r="E1610" s="55"/>
      <c r="F1610" s="55"/>
      <c r="G1610" s="55"/>
      <c r="H1610" s="141"/>
      <c r="M1610" s="23">
        <v>1</v>
      </c>
    </row>
    <row r="1611" spans="2:13" ht="18">
      <c r="B1611" s="55"/>
      <c r="C1611" s="55"/>
      <c r="D1611" s="55"/>
      <c r="E1611" s="55"/>
      <c r="F1611" s="55"/>
      <c r="G1611" s="55"/>
      <c r="H1611" s="141"/>
      <c r="M1611" s="23">
        <v>1</v>
      </c>
    </row>
    <row r="1612" spans="2:13" ht="18">
      <c r="B1612" s="55"/>
      <c r="C1612" s="55"/>
      <c r="D1612" s="55"/>
      <c r="E1612" s="55"/>
      <c r="F1612" s="55"/>
      <c r="G1612" s="55"/>
      <c r="H1612" s="141"/>
      <c r="M1612" s="23">
        <v>1</v>
      </c>
    </row>
    <row r="1613" spans="2:13" ht="18">
      <c r="B1613" s="55"/>
      <c r="C1613" s="55"/>
      <c r="D1613" s="55"/>
      <c r="E1613" s="55"/>
      <c r="F1613" s="55"/>
      <c r="G1613" s="55"/>
      <c r="H1613" s="141"/>
      <c r="M1613" s="23">
        <v>1</v>
      </c>
    </row>
    <row r="1614" spans="2:13" ht="18">
      <c r="B1614" s="55"/>
      <c r="C1614" s="55"/>
      <c r="D1614" s="55"/>
      <c r="E1614" s="55"/>
      <c r="F1614" s="55"/>
      <c r="G1614" s="55"/>
      <c r="H1614" s="141"/>
      <c r="M1614" s="23">
        <v>1</v>
      </c>
    </row>
    <row r="1615" spans="2:13" ht="18">
      <c r="B1615" s="55"/>
      <c r="C1615" s="55"/>
      <c r="D1615" s="55"/>
      <c r="E1615" s="55"/>
      <c r="F1615" s="55"/>
      <c r="G1615" s="55"/>
      <c r="H1615" s="141"/>
      <c r="M1615" s="23">
        <v>1</v>
      </c>
    </row>
    <row r="1616" spans="2:13" ht="18">
      <c r="B1616" s="55"/>
      <c r="C1616" s="55"/>
      <c r="D1616" s="55"/>
      <c r="E1616" s="55"/>
      <c r="F1616" s="55"/>
      <c r="G1616" s="55"/>
      <c r="H1616" s="141"/>
      <c r="M1616" s="23">
        <v>1</v>
      </c>
    </row>
    <row r="1617" spans="2:13" ht="18">
      <c r="B1617" s="55"/>
      <c r="C1617" s="55"/>
      <c r="D1617" s="55"/>
      <c r="E1617" s="55"/>
      <c r="F1617" s="55"/>
      <c r="G1617" s="55"/>
      <c r="H1617" s="141"/>
      <c r="M1617" s="23">
        <v>1</v>
      </c>
    </row>
    <row r="1618" spans="2:13" ht="18">
      <c r="B1618" s="55"/>
      <c r="C1618" s="55"/>
      <c r="D1618" s="55"/>
      <c r="E1618" s="55"/>
      <c r="F1618" s="55"/>
      <c r="G1618" s="55"/>
      <c r="H1618" s="141"/>
      <c r="M1618" s="23">
        <v>1</v>
      </c>
    </row>
    <row r="1619" spans="2:13" ht="18">
      <c r="B1619" s="55"/>
      <c r="C1619" s="55"/>
      <c r="D1619" s="55"/>
      <c r="E1619" s="55"/>
      <c r="F1619" s="55"/>
      <c r="G1619" s="55"/>
      <c r="H1619" s="141"/>
      <c r="M1619" s="23">
        <v>1</v>
      </c>
    </row>
    <row r="1620" spans="2:13" ht="18">
      <c r="B1620" s="55"/>
      <c r="C1620" s="55"/>
      <c r="D1620" s="55"/>
      <c r="E1620" s="55"/>
      <c r="F1620" s="55"/>
      <c r="G1620" s="55"/>
      <c r="H1620" s="141"/>
      <c r="M1620" s="23">
        <v>1</v>
      </c>
    </row>
    <row r="1621" spans="2:13" ht="18">
      <c r="B1621" s="55"/>
      <c r="C1621" s="55"/>
      <c r="D1621" s="55"/>
      <c r="E1621" s="55"/>
      <c r="F1621" s="55"/>
      <c r="G1621" s="55"/>
      <c r="H1621" s="141"/>
      <c r="M1621" s="23">
        <v>1</v>
      </c>
    </row>
    <row r="1622" spans="2:13" ht="18">
      <c r="B1622" s="55"/>
      <c r="C1622" s="55"/>
      <c r="D1622" s="55"/>
      <c r="E1622" s="55"/>
      <c r="F1622" s="55"/>
      <c r="G1622" s="55"/>
      <c r="H1622" s="141"/>
      <c r="M1622" s="23">
        <v>1</v>
      </c>
    </row>
    <row r="1623" spans="2:13" ht="18">
      <c r="B1623" s="55"/>
      <c r="C1623" s="55"/>
      <c r="D1623" s="55"/>
      <c r="E1623" s="55"/>
      <c r="F1623" s="55"/>
      <c r="G1623" s="55"/>
      <c r="H1623" s="141"/>
      <c r="M1623" s="23">
        <v>1</v>
      </c>
    </row>
    <row r="1624" spans="2:13" ht="18">
      <c r="B1624" s="55"/>
      <c r="C1624" s="55"/>
      <c r="D1624" s="55"/>
      <c r="E1624" s="55"/>
      <c r="F1624" s="55"/>
      <c r="G1624" s="55"/>
      <c r="H1624" s="141"/>
      <c r="M1624" s="23">
        <v>1</v>
      </c>
    </row>
    <row r="1625" spans="2:13" ht="18">
      <c r="B1625" s="55"/>
      <c r="C1625" s="55"/>
      <c r="D1625" s="55"/>
      <c r="E1625" s="55"/>
      <c r="F1625" s="55"/>
      <c r="G1625" s="55"/>
      <c r="H1625" s="141"/>
      <c r="M1625" s="23">
        <v>1</v>
      </c>
    </row>
    <row r="1626" spans="2:13" ht="18">
      <c r="B1626" s="55"/>
      <c r="C1626" s="55"/>
      <c r="D1626" s="55"/>
      <c r="E1626" s="55"/>
      <c r="F1626" s="55"/>
      <c r="G1626" s="55"/>
      <c r="H1626" s="141"/>
      <c r="M1626" s="23">
        <v>1</v>
      </c>
    </row>
    <row r="1627" spans="2:13" ht="18">
      <c r="B1627" s="55"/>
      <c r="C1627" s="55"/>
      <c r="D1627" s="55"/>
      <c r="E1627" s="55"/>
      <c r="F1627" s="55"/>
      <c r="G1627" s="55"/>
      <c r="H1627" s="141"/>
      <c r="M1627" s="23">
        <v>1</v>
      </c>
    </row>
    <row r="1628" spans="2:13" ht="18">
      <c r="B1628" s="55"/>
      <c r="C1628" s="55"/>
      <c r="D1628" s="55"/>
      <c r="E1628" s="55"/>
      <c r="F1628" s="55"/>
      <c r="G1628" s="55"/>
      <c r="H1628" s="141"/>
      <c r="M1628" s="23">
        <v>1</v>
      </c>
    </row>
    <row r="1629" spans="2:13" ht="18">
      <c r="B1629" s="55"/>
      <c r="C1629" s="55"/>
      <c r="D1629" s="55"/>
      <c r="E1629" s="55"/>
      <c r="F1629" s="55"/>
      <c r="G1629" s="55"/>
      <c r="H1629" s="141"/>
      <c r="M1629" s="23">
        <v>1</v>
      </c>
    </row>
    <row r="1630" spans="2:13" ht="18">
      <c r="B1630" s="55"/>
      <c r="C1630" s="55"/>
      <c r="D1630" s="55"/>
      <c r="E1630" s="55"/>
      <c r="F1630" s="55"/>
      <c r="G1630" s="55"/>
      <c r="H1630" s="141"/>
      <c r="M1630" s="23">
        <v>1</v>
      </c>
    </row>
    <row r="1631" spans="2:13" ht="18">
      <c r="B1631" s="55"/>
      <c r="C1631" s="55"/>
      <c r="D1631" s="55"/>
      <c r="E1631" s="55"/>
      <c r="F1631" s="55"/>
      <c r="G1631" s="55"/>
      <c r="H1631" s="141"/>
      <c r="M1631" s="23">
        <v>1</v>
      </c>
    </row>
    <row r="1632" spans="2:13" ht="18">
      <c r="B1632" s="55"/>
      <c r="C1632" s="55"/>
      <c r="D1632" s="55"/>
      <c r="E1632" s="55"/>
      <c r="F1632" s="55"/>
      <c r="G1632" s="55"/>
      <c r="H1632" s="141"/>
      <c r="M1632" s="23">
        <v>1</v>
      </c>
    </row>
    <row r="1633" spans="2:13" ht="18">
      <c r="B1633" s="55"/>
      <c r="C1633" s="55"/>
      <c r="D1633" s="55"/>
      <c r="E1633" s="55"/>
      <c r="F1633" s="55"/>
      <c r="G1633" s="55"/>
      <c r="H1633" s="141"/>
      <c r="M1633" s="23">
        <v>1</v>
      </c>
    </row>
    <row r="1634" spans="2:13" ht="18">
      <c r="B1634" s="55"/>
      <c r="C1634" s="55"/>
      <c r="D1634" s="55"/>
      <c r="E1634" s="55"/>
      <c r="F1634" s="55"/>
      <c r="G1634" s="55"/>
      <c r="H1634" s="141"/>
      <c r="M1634" s="23">
        <v>1</v>
      </c>
    </row>
    <row r="1635" spans="2:13" ht="18">
      <c r="B1635" s="55"/>
      <c r="C1635" s="55"/>
      <c r="D1635" s="55"/>
      <c r="E1635" s="55"/>
      <c r="F1635" s="55"/>
      <c r="G1635" s="55"/>
      <c r="H1635" s="141"/>
      <c r="M1635" s="23">
        <v>1</v>
      </c>
    </row>
    <row r="1636" spans="2:13" ht="18">
      <c r="B1636" s="55"/>
      <c r="C1636" s="55"/>
      <c r="D1636" s="55"/>
      <c r="E1636" s="55"/>
      <c r="F1636" s="55"/>
      <c r="G1636" s="55"/>
      <c r="H1636" s="141"/>
      <c r="M1636" s="23">
        <v>1</v>
      </c>
    </row>
    <row r="1637" spans="2:13" ht="18">
      <c r="B1637" s="55"/>
      <c r="C1637" s="55"/>
      <c r="D1637" s="55"/>
      <c r="E1637" s="55"/>
      <c r="F1637" s="55"/>
      <c r="G1637" s="55"/>
      <c r="H1637" s="141"/>
      <c r="M1637" s="23">
        <v>1</v>
      </c>
    </row>
    <row r="1638" spans="2:13" ht="18">
      <c r="B1638" s="55"/>
      <c r="C1638" s="55"/>
      <c r="D1638" s="55"/>
      <c r="E1638" s="55"/>
      <c r="F1638" s="55"/>
      <c r="G1638" s="55"/>
      <c r="H1638" s="141"/>
      <c r="M1638" s="23">
        <v>1</v>
      </c>
    </row>
    <row r="1639" spans="2:13" ht="18">
      <c r="B1639" s="55"/>
      <c r="C1639" s="55"/>
      <c r="D1639" s="55"/>
      <c r="E1639" s="55"/>
      <c r="F1639" s="55"/>
      <c r="G1639" s="55"/>
      <c r="H1639" s="141"/>
      <c r="M1639" s="23">
        <v>1</v>
      </c>
    </row>
    <row r="1640" spans="2:13" ht="18">
      <c r="B1640" s="55"/>
      <c r="C1640" s="55"/>
      <c r="D1640" s="55"/>
      <c r="E1640" s="55"/>
      <c r="F1640" s="55"/>
      <c r="G1640" s="55"/>
      <c r="H1640" s="141"/>
      <c r="M1640" s="23">
        <v>1</v>
      </c>
    </row>
    <row r="1641" spans="2:13" ht="18">
      <c r="B1641" s="55"/>
      <c r="C1641" s="55"/>
      <c r="D1641" s="55"/>
      <c r="E1641" s="55"/>
      <c r="F1641" s="55"/>
      <c r="G1641" s="55"/>
      <c r="H1641" s="141"/>
      <c r="M1641" s="23">
        <v>1</v>
      </c>
    </row>
    <row r="1642" spans="2:13" ht="18">
      <c r="B1642" s="55"/>
      <c r="C1642" s="55"/>
      <c r="D1642" s="55"/>
      <c r="E1642" s="55"/>
      <c r="F1642" s="55"/>
      <c r="G1642" s="55"/>
      <c r="H1642" s="141"/>
      <c r="M1642" s="23">
        <v>1</v>
      </c>
    </row>
    <row r="1643" spans="2:13" ht="18">
      <c r="B1643" s="55"/>
      <c r="C1643" s="55"/>
      <c r="D1643" s="55"/>
      <c r="E1643" s="55"/>
      <c r="F1643" s="55"/>
      <c r="G1643" s="55"/>
      <c r="H1643" s="141"/>
      <c r="M1643" s="23">
        <v>1</v>
      </c>
    </row>
    <row r="1644" spans="2:13" ht="18">
      <c r="B1644" s="55"/>
      <c r="C1644" s="55"/>
      <c r="D1644" s="55"/>
      <c r="E1644" s="55"/>
      <c r="F1644" s="55"/>
      <c r="G1644" s="55"/>
      <c r="H1644" s="141"/>
      <c r="M1644" s="23">
        <v>1</v>
      </c>
    </row>
    <row r="1645" spans="2:13" ht="18">
      <c r="B1645" s="55"/>
      <c r="C1645" s="55"/>
      <c r="D1645" s="55"/>
      <c r="E1645" s="55"/>
      <c r="F1645" s="55"/>
      <c r="G1645" s="55"/>
      <c r="H1645" s="141"/>
      <c r="M1645" s="23">
        <v>1</v>
      </c>
    </row>
    <row r="1646" spans="2:13" ht="18">
      <c r="B1646" s="55"/>
      <c r="C1646" s="55"/>
      <c r="D1646" s="55"/>
      <c r="E1646" s="55"/>
      <c r="F1646" s="55"/>
      <c r="G1646" s="55"/>
      <c r="H1646" s="141"/>
      <c r="M1646" s="23">
        <v>1</v>
      </c>
    </row>
    <row r="1647" spans="2:13" ht="18">
      <c r="B1647" s="55"/>
      <c r="C1647" s="55"/>
      <c r="D1647" s="55"/>
      <c r="E1647" s="55"/>
      <c r="F1647" s="55"/>
      <c r="G1647" s="55"/>
      <c r="H1647" s="141"/>
      <c r="M1647" s="23">
        <v>1</v>
      </c>
    </row>
    <row r="1648" spans="2:13" ht="18">
      <c r="B1648" s="55"/>
      <c r="C1648" s="55"/>
      <c r="D1648" s="55"/>
      <c r="E1648" s="55"/>
      <c r="F1648" s="55"/>
      <c r="G1648" s="55"/>
      <c r="H1648" s="141"/>
      <c r="M1648" s="23">
        <v>1</v>
      </c>
    </row>
    <row r="1649" spans="2:13" ht="18">
      <c r="B1649" s="55"/>
      <c r="C1649" s="55"/>
      <c r="D1649" s="55"/>
      <c r="E1649" s="55"/>
      <c r="F1649" s="55"/>
      <c r="G1649" s="55"/>
      <c r="H1649" s="141"/>
      <c r="M1649" s="23">
        <v>1</v>
      </c>
    </row>
    <row r="1650" spans="2:13" ht="18">
      <c r="B1650" s="55"/>
      <c r="C1650" s="55"/>
      <c r="D1650" s="55"/>
      <c r="E1650" s="55"/>
      <c r="F1650" s="55"/>
      <c r="G1650" s="55"/>
      <c r="H1650" s="141"/>
      <c r="M1650" s="23">
        <v>1</v>
      </c>
    </row>
    <row r="1651" spans="2:13" ht="18">
      <c r="B1651" s="55"/>
      <c r="C1651" s="55"/>
      <c r="D1651" s="55"/>
      <c r="E1651" s="55"/>
      <c r="F1651" s="55"/>
      <c r="G1651" s="55"/>
      <c r="H1651" s="141"/>
      <c r="M1651" s="23">
        <v>1</v>
      </c>
    </row>
    <row r="1652" spans="2:13" ht="18">
      <c r="B1652" s="55"/>
      <c r="C1652" s="55"/>
      <c r="D1652" s="55"/>
      <c r="E1652" s="55"/>
      <c r="F1652" s="55"/>
      <c r="G1652" s="55"/>
      <c r="H1652" s="141"/>
      <c r="M1652" s="23">
        <v>1</v>
      </c>
    </row>
    <row r="1653" spans="2:13" ht="18">
      <c r="B1653" s="55"/>
      <c r="C1653" s="55"/>
      <c r="D1653" s="55"/>
      <c r="E1653" s="55"/>
      <c r="F1653" s="55"/>
      <c r="G1653" s="55"/>
      <c r="H1653" s="141"/>
      <c r="M1653" s="23">
        <v>1</v>
      </c>
    </row>
    <row r="1654" spans="2:13" ht="18">
      <c r="B1654" s="55"/>
      <c r="C1654" s="55"/>
      <c r="D1654" s="55"/>
      <c r="E1654" s="55"/>
      <c r="F1654" s="55"/>
      <c r="G1654" s="55"/>
      <c r="H1654" s="141"/>
      <c r="M1654" s="23">
        <v>1</v>
      </c>
    </row>
    <row r="1655" spans="2:13" ht="18">
      <c r="B1655" s="55"/>
      <c r="C1655" s="55"/>
      <c r="D1655" s="55"/>
      <c r="E1655" s="55"/>
      <c r="F1655" s="55"/>
      <c r="G1655" s="55"/>
      <c r="H1655" s="141"/>
      <c r="M1655" s="23">
        <v>1</v>
      </c>
    </row>
    <row r="1656" spans="2:13" ht="18">
      <c r="B1656" s="55"/>
      <c r="C1656" s="55"/>
      <c r="D1656" s="55"/>
      <c r="E1656" s="55"/>
      <c r="F1656" s="55"/>
      <c r="G1656" s="55"/>
      <c r="H1656" s="141"/>
      <c r="M1656" s="23">
        <v>1</v>
      </c>
    </row>
    <row r="1657" spans="2:13" ht="18">
      <c r="B1657" s="55"/>
      <c r="C1657" s="55"/>
      <c r="D1657" s="55"/>
      <c r="E1657" s="55"/>
      <c r="F1657" s="55"/>
      <c r="G1657" s="55"/>
      <c r="H1657" s="141"/>
      <c r="M1657" s="23">
        <v>1</v>
      </c>
    </row>
    <row r="1658" spans="2:13" ht="18">
      <c r="B1658" s="55"/>
      <c r="C1658" s="55"/>
      <c r="D1658" s="55"/>
      <c r="E1658" s="55"/>
      <c r="F1658" s="55"/>
      <c r="G1658" s="55"/>
      <c r="H1658" s="141"/>
      <c r="M1658" s="23">
        <v>1</v>
      </c>
    </row>
    <row r="1659" spans="2:13" ht="18">
      <c r="B1659" s="55"/>
      <c r="C1659" s="55"/>
      <c r="D1659" s="55"/>
      <c r="E1659" s="55"/>
      <c r="F1659" s="55"/>
      <c r="G1659" s="55"/>
      <c r="H1659" s="141"/>
      <c r="M1659" s="23">
        <v>1</v>
      </c>
    </row>
    <row r="1660" spans="2:13" ht="18">
      <c r="B1660" s="55"/>
      <c r="C1660" s="55"/>
      <c r="D1660" s="55"/>
      <c r="E1660" s="55"/>
      <c r="F1660" s="55"/>
      <c r="G1660" s="55"/>
      <c r="H1660" s="141"/>
      <c r="M1660" s="23">
        <v>1</v>
      </c>
    </row>
    <row r="1661" spans="2:13" ht="18">
      <c r="B1661" s="55"/>
      <c r="C1661" s="55"/>
      <c r="D1661" s="55"/>
      <c r="E1661" s="55"/>
      <c r="F1661" s="55"/>
      <c r="G1661" s="55"/>
      <c r="H1661" s="141"/>
      <c r="M1661" s="23">
        <v>1</v>
      </c>
    </row>
    <row r="1662" spans="2:13" ht="18">
      <c r="B1662" s="55"/>
      <c r="C1662" s="55"/>
      <c r="D1662" s="55"/>
      <c r="E1662" s="55"/>
      <c r="F1662" s="55"/>
      <c r="G1662" s="55"/>
      <c r="H1662" s="141"/>
      <c r="M1662" s="23">
        <v>1</v>
      </c>
    </row>
    <row r="1663" spans="2:13" ht="18">
      <c r="B1663" s="55"/>
      <c r="C1663" s="55"/>
      <c r="D1663" s="55"/>
      <c r="E1663" s="55"/>
      <c r="F1663" s="55"/>
      <c r="G1663" s="55"/>
      <c r="H1663" s="141"/>
      <c r="M1663" s="23">
        <v>1</v>
      </c>
    </row>
    <row r="1664" spans="2:13" ht="18">
      <c r="B1664" s="55"/>
      <c r="C1664" s="55"/>
      <c r="D1664" s="55"/>
      <c r="E1664" s="55"/>
      <c r="F1664" s="55"/>
      <c r="G1664" s="55"/>
      <c r="H1664" s="141"/>
      <c r="M1664" s="23">
        <v>1</v>
      </c>
    </row>
    <row r="1665" spans="2:13" ht="18">
      <c r="B1665" s="55"/>
      <c r="C1665" s="55"/>
      <c r="D1665" s="55"/>
      <c r="E1665" s="55"/>
      <c r="F1665" s="55"/>
      <c r="G1665" s="55"/>
      <c r="H1665" s="141"/>
      <c r="M1665" s="23">
        <v>1</v>
      </c>
    </row>
    <row r="1666" spans="2:13" ht="18">
      <c r="B1666" s="55"/>
      <c r="C1666" s="55"/>
      <c r="D1666" s="55"/>
      <c r="E1666" s="55"/>
      <c r="F1666" s="55"/>
      <c r="G1666" s="55"/>
      <c r="H1666" s="141"/>
      <c r="M1666" s="23">
        <v>1</v>
      </c>
    </row>
    <row r="1667" spans="2:13" ht="18">
      <c r="B1667" s="55"/>
      <c r="C1667" s="55"/>
      <c r="D1667" s="55"/>
      <c r="E1667" s="55"/>
      <c r="F1667" s="55"/>
      <c r="G1667" s="55"/>
      <c r="H1667" s="141"/>
      <c r="M1667" s="23">
        <v>1</v>
      </c>
    </row>
    <row r="1668" spans="2:13" ht="18">
      <c r="B1668" s="55"/>
      <c r="C1668" s="55"/>
      <c r="D1668" s="55"/>
      <c r="E1668" s="55"/>
      <c r="F1668" s="55"/>
      <c r="G1668" s="55"/>
      <c r="H1668" s="141"/>
      <c r="M1668" s="23">
        <v>1</v>
      </c>
    </row>
    <row r="1669" spans="2:13" ht="18">
      <c r="B1669" s="55"/>
      <c r="C1669" s="55"/>
      <c r="D1669" s="55"/>
      <c r="E1669" s="55"/>
      <c r="F1669" s="55"/>
      <c r="G1669" s="55"/>
      <c r="H1669" s="141"/>
      <c r="M1669" s="23">
        <v>1</v>
      </c>
    </row>
    <row r="1670" spans="2:13" ht="18">
      <c r="B1670" s="55"/>
      <c r="C1670" s="55"/>
      <c r="D1670" s="55"/>
      <c r="E1670" s="55"/>
      <c r="F1670" s="55"/>
      <c r="G1670" s="55"/>
      <c r="H1670" s="141"/>
      <c r="M1670" s="23">
        <v>1</v>
      </c>
    </row>
    <row r="1671" spans="2:13" ht="18">
      <c r="B1671" s="55"/>
      <c r="C1671" s="55"/>
      <c r="D1671" s="55"/>
      <c r="E1671" s="55"/>
      <c r="F1671" s="55"/>
      <c r="G1671" s="55"/>
      <c r="H1671" s="141"/>
      <c r="M1671" s="23">
        <v>1</v>
      </c>
    </row>
    <row r="1672" spans="2:13" ht="18">
      <c r="B1672" s="55"/>
      <c r="C1672" s="55"/>
      <c r="D1672" s="55"/>
      <c r="E1672" s="55"/>
      <c r="F1672" s="55"/>
      <c r="G1672" s="55"/>
      <c r="H1672" s="141"/>
      <c r="M1672" s="23">
        <v>1</v>
      </c>
    </row>
    <row r="1673" spans="2:13" ht="18">
      <c r="B1673" s="55"/>
      <c r="C1673" s="55"/>
      <c r="D1673" s="55"/>
      <c r="E1673" s="55"/>
      <c r="F1673" s="55"/>
      <c r="G1673" s="55"/>
      <c r="H1673" s="141"/>
      <c r="M1673" s="23">
        <v>1</v>
      </c>
    </row>
    <row r="1674" spans="2:13" ht="18">
      <c r="B1674" s="55"/>
      <c r="C1674" s="55"/>
      <c r="D1674" s="55"/>
      <c r="E1674" s="55"/>
      <c r="F1674" s="55"/>
      <c r="G1674" s="55"/>
      <c r="H1674" s="141"/>
      <c r="M1674" s="23">
        <v>1</v>
      </c>
    </row>
    <row r="1675" spans="2:13" ht="18">
      <c r="B1675" s="55"/>
      <c r="C1675" s="55"/>
      <c r="D1675" s="55"/>
      <c r="E1675" s="55"/>
      <c r="F1675" s="55"/>
      <c r="G1675" s="55"/>
      <c r="H1675" s="141"/>
      <c r="M1675" s="23">
        <v>1</v>
      </c>
    </row>
    <row r="1676" spans="2:13" ht="18">
      <c r="B1676" s="55"/>
      <c r="C1676" s="55"/>
      <c r="D1676" s="55"/>
      <c r="E1676" s="55"/>
      <c r="F1676" s="55"/>
      <c r="G1676" s="55"/>
      <c r="H1676" s="141"/>
      <c r="M1676" s="23">
        <v>1</v>
      </c>
    </row>
    <row r="1677" spans="2:13" ht="18">
      <c r="B1677" s="55"/>
      <c r="C1677" s="55"/>
      <c r="D1677" s="55"/>
      <c r="E1677" s="55"/>
      <c r="F1677" s="55"/>
      <c r="G1677" s="55"/>
      <c r="H1677" s="141"/>
      <c r="M1677" s="23">
        <v>1</v>
      </c>
    </row>
    <row r="1678" spans="2:13" ht="18">
      <c r="B1678" s="55"/>
      <c r="C1678" s="55"/>
      <c r="D1678" s="55"/>
      <c r="E1678" s="55"/>
      <c r="F1678" s="55"/>
      <c r="G1678" s="55"/>
      <c r="H1678" s="141"/>
      <c r="M1678" s="23">
        <v>1</v>
      </c>
    </row>
    <row r="1679" spans="2:13" ht="18">
      <c r="B1679" s="55"/>
      <c r="C1679" s="55"/>
      <c r="D1679" s="55"/>
      <c r="E1679" s="55"/>
      <c r="F1679" s="55"/>
      <c r="G1679" s="55"/>
      <c r="H1679" s="141"/>
      <c r="M1679" s="23">
        <v>1</v>
      </c>
    </row>
    <row r="1680" spans="2:13" ht="18">
      <c r="B1680" s="55"/>
      <c r="C1680" s="55"/>
      <c r="D1680" s="55"/>
      <c r="E1680" s="55"/>
      <c r="F1680" s="55"/>
      <c r="G1680" s="55"/>
      <c r="H1680" s="141"/>
      <c r="M1680" s="23">
        <v>1</v>
      </c>
    </row>
    <row r="1681" spans="2:13" ht="18">
      <c r="B1681" s="55"/>
      <c r="C1681" s="55"/>
      <c r="D1681" s="55"/>
      <c r="E1681" s="55"/>
      <c r="F1681" s="55"/>
      <c r="G1681" s="55"/>
      <c r="H1681" s="141"/>
      <c r="M1681" s="23">
        <v>1</v>
      </c>
    </row>
    <row r="1682" spans="2:13" ht="18">
      <c r="B1682" s="55"/>
      <c r="C1682" s="55"/>
      <c r="D1682" s="55"/>
      <c r="E1682" s="55"/>
      <c r="F1682" s="55"/>
      <c r="G1682" s="55"/>
      <c r="H1682" s="141"/>
      <c r="M1682" s="23">
        <v>1</v>
      </c>
    </row>
    <row r="1683" spans="2:13" ht="18">
      <c r="B1683" s="55"/>
      <c r="C1683" s="55"/>
      <c r="D1683" s="55"/>
      <c r="E1683" s="55"/>
      <c r="F1683" s="55"/>
      <c r="G1683" s="55"/>
      <c r="H1683" s="141"/>
      <c r="M1683" s="23">
        <v>1</v>
      </c>
    </row>
    <row r="1684" spans="2:13" ht="18">
      <c r="B1684" s="55"/>
      <c r="C1684" s="55"/>
      <c r="D1684" s="55"/>
      <c r="E1684" s="55"/>
      <c r="F1684" s="55"/>
      <c r="G1684" s="55"/>
      <c r="H1684" s="141"/>
      <c r="M1684" s="23">
        <v>1</v>
      </c>
    </row>
    <row r="1685" spans="2:13" ht="18">
      <c r="B1685" s="55"/>
      <c r="C1685" s="55"/>
      <c r="D1685" s="55"/>
      <c r="E1685" s="55"/>
      <c r="F1685" s="55"/>
      <c r="G1685" s="55"/>
      <c r="H1685" s="141"/>
      <c r="M1685" s="23">
        <v>1</v>
      </c>
    </row>
    <row r="1686" spans="2:13" ht="18">
      <c r="B1686" s="55"/>
      <c r="C1686" s="55"/>
      <c r="D1686" s="55"/>
      <c r="E1686" s="55"/>
      <c r="F1686" s="55"/>
      <c r="G1686" s="55"/>
      <c r="H1686" s="141"/>
      <c r="M1686" s="23">
        <v>1</v>
      </c>
    </row>
    <row r="1687" spans="2:13" ht="18">
      <c r="B1687" s="55"/>
      <c r="C1687" s="55"/>
      <c r="D1687" s="55"/>
      <c r="E1687" s="55"/>
      <c r="F1687" s="55"/>
      <c r="G1687" s="55"/>
      <c r="H1687" s="141"/>
      <c r="M1687" s="23">
        <v>1</v>
      </c>
    </row>
    <row r="1688" spans="2:13" ht="18">
      <c r="B1688" s="55"/>
      <c r="C1688" s="55"/>
      <c r="D1688" s="55"/>
      <c r="E1688" s="55"/>
      <c r="F1688" s="55"/>
      <c r="G1688" s="55"/>
      <c r="H1688" s="141"/>
      <c r="M1688" s="23">
        <v>1</v>
      </c>
    </row>
    <row r="1689" spans="2:13" ht="18">
      <c r="B1689" s="55"/>
      <c r="C1689" s="55"/>
      <c r="D1689" s="55"/>
      <c r="E1689" s="55"/>
      <c r="F1689" s="55"/>
      <c r="G1689" s="55"/>
      <c r="H1689" s="141"/>
      <c r="M1689" s="23">
        <v>1</v>
      </c>
    </row>
    <row r="1690" spans="2:13" ht="18">
      <c r="B1690" s="55"/>
      <c r="C1690" s="55"/>
      <c r="D1690" s="55"/>
      <c r="E1690" s="55"/>
      <c r="F1690" s="55"/>
      <c r="G1690" s="55"/>
      <c r="H1690" s="141"/>
      <c r="M1690" s="23">
        <v>1</v>
      </c>
    </row>
    <row r="1691" spans="2:13" ht="18">
      <c r="B1691" s="55"/>
      <c r="C1691" s="55"/>
      <c r="D1691" s="55"/>
      <c r="E1691" s="55"/>
      <c r="F1691" s="55"/>
      <c r="G1691" s="55"/>
      <c r="H1691" s="141"/>
      <c r="M1691" s="23">
        <v>1</v>
      </c>
    </row>
    <row r="1692" spans="2:13" ht="18">
      <c r="B1692" s="55"/>
      <c r="C1692" s="55"/>
      <c r="D1692" s="55"/>
      <c r="E1692" s="55"/>
      <c r="F1692" s="55"/>
      <c r="G1692" s="55"/>
      <c r="H1692" s="141"/>
      <c r="M1692" s="23">
        <v>1</v>
      </c>
    </row>
    <row r="1693" spans="2:13" ht="18">
      <c r="B1693" s="55"/>
      <c r="C1693" s="55"/>
      <c r="D1693" s="55"/>
      <c r="E1693" s="55"/>
      <c r="F1693" s="55"/>
      <c r="G1693" s="55"/>
      <c r="H1693" s="141"/>
      <c r="M1693" s="23">
        <v>1</v>
      </c>
    </row>
    <row r="1694" spans="2:13" ht="18">
      <c r="B1694" s="55"/>
      <c r="C1694" s="55"/>
      <c r="D1694" s="55"/>
      <c r="E1694" s="55"/>
      <c r="F1694" s="55"/>
      <c r="G1694" s="55"/>
      <c r="H1694" s="141"/>
      <c r="M1694" s="23">
        <v>1</v>
      </c>
    </row>
    <row r="1695" spans="2:13" ht="18">
      <c r="B1695" s="55"/>
      <c r="C1695" s="55"/>
      <c r="D1695" s="55"/>
      <c r="E1695" s="55"/>
      <c r="F1695" s="55"/>
      <c r="G1695" s="55"/>
      <c r="H1695" s="141"/>
      <c r="M1695" s="23">
        <v>1</v>
      </c>
    </row>
    <row r="1696" spans="2:13" ht="18">
      <c r="B1696" s="55"/>
      <c r="C1696" s="55"/>
      <c r="D1696" s="55"/>
      <c r="E1696" s="55"/>
      <c r="F1696" s="55"/>
      <c r="G1696" s="55"/>
      <c r="H1696" s="141"/>
      <c r="M1696" s="23">
        <v>1</v>
      </c>
    </row>
    <row r="1697" spans="2:13" ht="18">
      <c r="B1697" s="55"/>
      <c r="C1697" s="55"/>
      <c r="D1697" s="55"/>
      <c r="E1697" s="55"/>
      <c r="F1697" s="55"/>
      <c r="G1697" s="55"/>
      <c r="H1697" s="141"/>
      <c r="M1697" s="23">
        <v>1</v>
      </c>
    </row>
    <row r="1698" spans="2:13" ht="18">
      <c r="B1698" s="55"/>
      <c r="C1698" s="55"/>
      <c r="D1698" s="55"/>
      <c r="E1698" s="55"/>
      <c r="F1698" s="55"/>
      <c r="G1698" s="55"/>
      <c r="H1698" s="141"/>
      <c r="M1698" s="23">
        <v>1</v>
      </c>
    </row>
    <row r="1699" spans="2:13" ht="18">
      <c r="B1699" s="55"/>
      <c r="C1699" s="55"/>
      <c r="D1699" s="55"/>
      <c r="E1699" s="55"/>
      <c r="F1699" s="55"/>
      <c r="G1699" s="55"/>
      <c r="H1699" s="141"/>
      <c r="M1699" s="23">
        <v>1</v>
      </c>
    </row>
    <row r="1700" spans="2:13" ht="18">
      <c r="B1700" s="55"/>
      <c r="C1700" s="55"/>
      <c r="D1700" s="55"/>
      <c r="E1700" s="55"/>
      <c r="F1700" s="55"/>
      <c r="G1700" s="55"/>
      <c r="H1700" s="141"/>
      <c r="M1700" s="23">
        <v>1</v>
      </c>
    </row>
    <row r="1701" spans="2:13" ht="18">
      <c r="B1701" s="55"/>
      <c r="C1701" s="55"/>
      <c r="D1701" s="55"/>
      <c r="E1701" s="55"/>
      <c r="F1701" s="55"/>
      <c r="G1701" s="55"/>
      <c r="H1701" s="141"/>
      <c r="M1701" s="23">
        <v>1</v>
      </c>
    </row>
    <row r="1702" spans="2:13" ht="18">
      <c r="B1702" s="55"/>
      <c r="C1702" s="55"/>
      <c r="D1702" s="55"/>
      <c r="E1702" s="55"/>
      <c r="F1702" s="55"/>
      <c r="G1702" s="55"/>
      <c r="H1702" s="141"/>
      <c r="M1702" s="23">
        <v>1</v>
      </c>
    </row>
    <row r="1703" spans="2:13" ht="18">
      <c r="B1703" s="55"/>
      <c r="C1703" s="55"/>
      <c r="D1703" s="55"/>
      <c r="E1703" s="55"/>
      <c r="F1703" s="55"/>
      <c r="G1703" s="55"/>
      <c r="H1703" s="141"/>
      <c r="M1703" s="23">
        <v>1</v>
      </c>
    </row>
    <row r="1704" spans="2:13" ht="18">
      <c r="B1704" s="55"/>
      <c r="C1704" s="55"/>
      <c r="D1704" s="55"/>
      <c r="E1704" s="55"/>
      <c r="F1704" s="55"/>
      <c r="G1704" s="55"/>
      <c r="H1704" s="141"/>
      <c r="M1704" s="23">
        <v>1</v>
      </c>
    </row>
    <row r="1705" spans="2:13" ht="18">
      <c r="B1705" s="55"/>
      <c r="C1705" s="55"/>
      <c r="D1705" s="55"/>
      <c r="E1705" s="55"/>
      <c r="F1705" s="55"/>
      <c r="G1705" s="55"/>
      <c r="H1705" s="141"/>
      <c r="M1705" s="23">
        <v>1</v>
      </c>
    </row>
    <row r="1706" spans="2:13" ht="18">
      <c r="B1706" s="55"/>
      <c r="C1706" s="55"/>
      <c r="D1706" s="55"/>
      <c r="E1706" s="55"/>
      <c r="F1706" s="55"/>
      <c r="G1706" s="55"/>
      <c r="H1706" s="141"/>
      <c r="M1706" s="23">
        <v>1</v>
      </c>
    </row>
    <row r="1707" spans="2:13" ht="18">
      <c r="B1707" s="55"/>
      <c r="C1707" s="55"/>
      <c r="D1707" s="55"/>
      <c r="E1707" s="55"/>
      <c r="F1707" s="55"/>
      <c r="G1707" s="55"/>
      <c r="H1707" s="141"/>
      <c r="M1707" s="23">
        <v>1</v>
      </c>
    </row>
    <row r="1708" spans="2:13" ht="18">
      <c r="B1708" s="55"/>
      <c r="C1708" s="55"/>
      <c r="D1708" s="55"/>
      <c r="E1708" s="55"/>
      <c r="F1708" s="55"/>
      <c r="G1708" s="55"/>
      <c r="H1708" s="141"/>
      <c r="M1708" s="23">
        <v>1</v>
      </c>
    </row>
    <row r="1709" spans="2:13" ht="18">
      <c r="B1709" s="55"/>
      <c r="C1709" s="55"/>
      <c r="D1709" s="55"/>
      <c r="E1709" s="55"/>
      <c r="F1709" s="55"/>
      <c r="G1709" s="55"/>
      <c r="H1709" s="141"/>
      <c r="M1709" s="23">
        <v>1</v>
      </c>
    </row>
    <row r="1710" spans="2:13" ht="18">
      <c r="B1710" s="55"/>
      <c r="C1710" s="55"/>
      <c r="D1710" s="55"/>
      <c r="E1710" s="55"/>
      <c r="F1710" s="55"/>
      <c r="G1710" s="55"/>
      <c r="H1710" s="141"/>
      <c r="M1710" s="23">
        <v>1</v>
      </c>
    </row>
    <row r="1711" spans="2:13" ht="18">
      <c r="B1711" s="55"/>
      <c r="C1711" s="55"/>
      <c r="D1711" s="55"/>
      <c r="E1711" s="55"/>
      <c r="F1711" s="55"/>
      <c r="G1711" s="55"/>
      <c r="H1711" s="141"/>
      <c r="M1711" s="23">
        <v>1</v>
      </c>
    </row>
    <row r="1712" spans="2:13" ht="18">
      <c r="B1712" s="55"/>
      <c r="C1712" s="55"/>
      <c r="D1712" s="55"/>
      <c r="E1712" s="55"/>
      <c r="F1712" s="55"/>
      <c r="G1712" s="55"/>
      <c r="H1712" s="141"/>
      <c r="M1712" s="23">
        <v>1</v>
      </c>
    </row>
    <row r="1713" spans="2:13" ht="18">
      <c r="B1713" s="55"/>
      <c r="C1713" s="55"/>
      <c r="D1713" s="55"/>
      <c r="E1713" s="55"/>
      <c r="F1713" s="55"/>
      <c r="G1713" s="55"/>
      <c r="H1713" s="141"/>
      <c r="M1713" s="23">
        <v>1</v>
      </c>
    </row>
    <row r="1714" spans="2:13" ht="18">
      <c r="B1714" s="55"/>
      <c r="C1714" s="55"/>
      <c r="D1714" s="55"/>
      <c r="E1714" s="55"/>
      <c r="F1714" s="55"/>
      <c r="G1714" s="55"/>
      <c r="H1714" s="141"/>
      <c r="M1714" s="23">
        <v>1</v>
      </c>
    </row>
    <row r="1715" spans="2:13" ht="18">
      <c r="B1715" s="55"/>
      <c r="C1715" s="55"/>
      <c r="D1715" s="55"/>
      <c r="E1715" s="55"/>
      <c r="F1715" s="55"/>
      <c r="G1715" s="55"/>
      <c r="H1715" s="141"/>
      <c r="M1715" s="23">
        <v>1</v>
      </c>
    </row>
    <row r="1716" spans="2:13" ht="18">
      <c r="B1716" s="55"/>
      <c r="C1716" s="55"/>
      <c r="D1716" s="55"/>
      <c r="E1716" s="55"/>
      <c r="F1716" s="55"/>
      <c r="G1716" s="55"/>
      <c r="H1716" s="141"/>
      <c r="M1716" s="23">
        <v>1</v>
      </c>
    </row>
    <row r="1717" spans="2:13" ht="18">
      <c r="B1717" s="55"/>
      <c r="C1717" s="55"/>
      <c r="D1717" s="55"/>
      <c r="E1717" s="55"/>
      <c r="F1717" s="55"/>
      <c r="G1717" s="55"/>
      <c r="H1717" s="141"/>
      <c r="M1717" s="23">
        <v>1</v>
      </c>
    </row>
    <row r="1718" spans="2:13" ht="18">
      <c r="B1718" s="55"/>
      <c r="C1718" s="55"/>
      <c r="D1718" s="55"/>
      <c r="E1718" s="55"/>
      <c r="F1718" s="55"/>
      <c r="G1718" s="55"/>
      <c r="H1718" s="141"/>
      <c r="M1718" s="23">
        <v>1</v>
      </c>
    </row>
    <row r="1719" spans="2:13" ht="18">
      <c r="B1719" s="55"/>
      <c r="C1719" s="55"/>
      <c r="D1719" s="55"/>
      <c r="E1719" s="55"/>
      <c r="F1719" s="55"/>
      <c r="G1719" s="55"/>
      <c r="H1719" s="141"/>
      <c r="M1719" s="23">
        <v>1</v>
      </c>
    </row>
    <row r="1720" spans="2:13" ht="18">
      <c r="B1720" s="55"/>
      <c r="C1720" s="55"/>
      <c r="D1720" s="55"/>
      <c r="E1720" s="55"/>
      <c r="F1720" s="55"/>
      <c r="G1720" s="55"/>
      <c r="H1720" s="141"/>
      <c r="M1720" s="23">
        <v>1</v>
      </c>
    </row>
    <row r="1721" spans="2:13" ht="18">
      <c r="B1721" s="55"/>
      <c r="C1721" s="55"/>
      <c r="D1721" s="55"/>
      <c r="E1721" s="55"/>
      <c r="F1721" s="55"/>
      <c r="G1721" s="55"/>
      <c r="H1721" s="141"/>
      <c r="M1721" s="23">
        <v>1</v>
      </c>
    </row>
    <row r="1722" spans="2:13" ht="18">
      <c r="B1722" s="55"/>
      <c r="C1722" s="55"/>
      <c r="D1722" s="55"/>
      <c r="E1722" s="55"/>
      <c r="F1722" s="55"/>
      <c r="G1722" s="55"/>
      <c r="H1722" s="141"/>
      <c r="M1722" s="23">
        <v>1</v>
      </c>
    </row>
    <row r="1723" spans="2:13" ht="18">
      <c r="B1723" s="55"/>
      <c r="C1723" s="55"/>
      <c r="D1723" s="55"/>
      <c r="E1723" s="55"/>
      <c r="F1723" s="55"/>
      <c r="G1723" s="55"/>
      <c r="H1723" s="141"/>
      <c r="M1723" s="23">
        <v>1</v>
      </c>
    </row>
    <row r="1724" spans="2:13" ht="18">
      <c r="B1724" s="55"/>
      <c r="C1724" s="55"/>
      <c r="D1724" s="55"/>
      <c r="E1724" s="55"/>
      <c r="F1724" s="55"/>
      <c r="G1724" s="55"/>
      <c r="H1724" s="141"/>
      <c r="M1724" s="23">
        <v>1</v>
      </c>
    </row>
    <row r="1725" spans="2:13" ht="18">
      <c r="B1725" s="55"/>
      <c r="C1725" s="55"/>
      <c r="D1725" s="55"/>
      <c r="E1725" s="55"/>
      <c r="F1725" s="55"/>
      <c r="G1725" s="55"/>
      <c r="H1725" s="141"/>
      <c r="M1725" s="23">
        <v>1</v>
      </c>
    </row>
    <row r="1726" spans="2:13" ht="18">
      <c r="B1726" s="55"/>
      <c r="C1726" s="55"/>
      <c r="D1726" s="55"/>
      <c r="E1726" s="55"/>
      <c r="F1726" s="55"/>
      <c r="G1726" s="55"/>
      <c r="H1726" s="141"/>
      <c r="M1726" s="23">
        <v>1</v>
      </c>
    </row>
    <row r="1727" spans="2:13" ht="18">
      <c r="B1727" s="55"/>
      <c r="C1727" s="55"/>
      <c r="D1727" s="55"/>
      <c r="E1727" s="55"/>
      <c r="F1727" s="55"/>
      <c r="G1727" s="55"/>
      <c r="H1727" s="141"/>
      <c r="M1727" s="23">
        <v>1</v>
      </c>
    </row>
    <row r="1728" spans="2:13" ht="18">
      <c r="B1728" s="55"/>
      <c r="C1728" s="55"/>
      <c r="D1728" s="55"/>
      <c r="E1728" s="55"/>
      <c r="F1728" s="55"/>
      <c r="G1728" s="55"/>
      <c r="H1728" s="141"/>
      <c r="M1728" s="23">
        <v>1</v>
      </c>
    </row>
    <row r="1729" spans="2:13" ht="18">
      <c r="B1729" s="55"/>
      <c r="C1729" s="55"/>
      <c r="D1729" s="55"/>
      <c r="E1729" s="55"/>
      <c r="F1729" s="55"/>
      <c r="G1729" s="55"/>
      <c r="H1729" s="141"/>
      <c r="M1729" s="23">
        <v>1</v>
      </c>
    </row>
    <row r="1730" spans="2:13" ht="18">
      <c r="B1730" s="55"/>
      <c r="C1730" s="55"/>
      <c r="D1730" s="55"/>
      <c r="E1730" s="55"/>
      <c r="F1730" s="55"/>
      <c r="G1730" s="55"/>
      <c r="H1730" s="141"/>
      <c r="M1730" s="23">
        <v>1</v>
      </c>
    </row>
    <row r="1731" spans="2:13" ht="18">
      <c r="B1731" s="55"/>
      <c r="C1731" s="55"/>
      <c r="D1731" s="55"/>
      <c r="E1731" s="55"/>
      <c r="F1731" s="55"/>
      <c r="G1731" s="55"/>
      <c r="H1731" s="141"/>
      <c r="M1731" s="23">
        <v>1</v>
      </c>
    </row>
    <row r="1732" spans="2:13" ht="18">
      <c r="B1732" s="55"/>
      <c r="C1732" s="55"/>
      <c r="D1732" s="55"/>
      <c r="E1732" s="55"/>
      <c r="F1732" s="55"/>
      <c r="G1732" s="55"/>
      <c r="H1732" s="141"/>
      <c r="M1732" s="23">
        <v>1</v>
      </c>
    </row>
    <row r="1733" spans="2:13" ht="18">
      <c r="B1733" s="55"/>
      <c r="C1733" s="55"/>
      <c r="D1733" s="55"/>
      <c r="E1733" s="55"/>
      <c r="F1733" s="55"/>
      <c r="G1733" s="55"/>
      <c r="H1733" s="141"/>
      <c r="M1733" s="23">
        <v>1</v>
      </c>
    </row>
    <row r="1734" spans="2:13" ht="18">
      <c r="B1734" s="55"/>
      <c r="C1734" s="55"/>
      <c r="D1734" s="55"/>
      <c r="E1734" s="55"/>
      <c r="F1734" s="55"/>
      <c r="G1734" s="55"/>
      <c r="H1734" s="141"/>
      <c r="M1734" s="23">
        <v>1</v>
      </c>
    </row>
    <row r="1735" spans="2:13" ht="18">
      <c r="B1735" s="55"/>
      <c r="C1735" s="55"/>
      <c r="D1735" s="55"/>
      <c r="E1735" s="55"/>
      <c r="F1735" s="55"/>
      <c r="G1735" s="55"/>
      <c r="H1735" s="141"/>
      <c r="M1735" s="23">
        <v>1</v>
      </c>
    </row>
    <row r="1736" spans="2:13" ht="18">
      <c r="B1736" s="55"/>
      <c r="C1736" s="55"/>
      <c r="D1736" s="55"/>
      <c r="E1736" s="55"/>
      <c r="F1736" s="55"/>
      <c r="G1736" s="55"/>
      <c r="H1736" s="141"/>
      <c r="M1736" s="23">
        <v>1</v>
      </c>
    </row>
    <row r="1737" spans="2:13" ht="18">
      <c r="B1737" s="55"/>
      <c r="C1737" s="55"/>
      <c r="D1737" s="55"/>
      <c r="E1737" s="55"/>
      <c r="F1737" s="55"/>
      <c r="G1737" s="55"/>
      <c r="H1737" s="141"/>
      <c r="M1737" s="23">
        <v>1</v>
      </c>
    </row>
    <row r="1738" spans="2:13" ht="18">
      <c r="B1738" s="55"/>
      <c r="C1738" s="55"/>
      <c r="D1738" s="55"/>
      <c r="E1738" s="55"/>
      <c r="F1738" s="55"/>
      <c r="G1738" s="55"/>
      <c r="H1738" s="141"/>
      <c r="M1738" s="23">
        <v>1</v>
      </c>
    </row>
    <row r="1739" spans="2:13" ht="18">
      <c r="B1739" s="55"/>
      <c r="C1739" s="55"/>
      <c r="D1739" s="55"/>
      <c r="E1739" s="55"/>
      <c r="F1739" s="55"/>
      <c r="G1739" s="55"/>
      <c r="H1739" s="141"/>
      <c r="M1739" s="23">
        <v>1</v>
      </c>
    </row>
    <row r="1740" spans="2:13" ht="18">
      <c r="B1740" s="55"/>
      <c r="C1740" s="55"/>
      <c r="D1740" s="55"/>
      <c r="E1740" s="55"/>
      <c r="F1740" s="55"/>
      <c r="G1740" s="55"/>
      <c r="H1740" s="141"/>
      <c r="M1740" s="23">
        <v>1</v>
      </c>
    </row>
    <row r="1741" spans="2:13" ht="18">
      <c r="B1741" s="55"/>
      <c r="C1741" s="55"/>
      <c r="D1741" s="55"/>
      <c r="E1741" s="55"/>
      <c r="F1741" s="55"/>
      <c r="G1741" s="55"/>
      <c r="H1741" s="141"/>
      <c r="M1741" s="23">
        <v>1</v>
      </c>
    </row>
    <row r="1742" spans="2:13" ht="18">
      <c r="B1742" s="55"/>
      <c r="C1742" s="55"/>
      <c r="D1742" s="55"/>
      <c r="E1742" s="55"/>
      <c r="F1742" s="55"/>
      <c r="G1742" s="55"/>
      <c r="H1742" s="141"/>
      <c r="M1742" s="23">
        <v>1</v>
      </c>
    </row>
    <row r="1743" spans="2:13" ht="18">
      <c r="B1743" s="55"/>
      <c r="C1743" s="55"/>
      <c r="D1743" s="55"/>
      <c r="E1743" s="55"/>
      <c r="F1743" s="55"/>
      <c r="G1743" s="55"/>
      <c r="H1743" s="141"/>
      <c r="M1743" s="23">
        <v>1</v>
      </c>
    </row>
    <row r="1744" spans="2:13" ht="18">
      <c r="B1744" s="55"/>
      <c r="C1744" s="55"/>
      <c r="D1744" s="55"/>
      <c r="E1744" s="55"/>
      <c r="F1744" s="55"/>
      <c r="G1744" s="55"/>
      <c r="H1744" s="141"/>
      <c r="M1744" s="23">
        <v>1</v>
      </c>
    </row>
    <row r="1745" spans="2:13" ht="18">
      <c r="B1745" s="55"/>
      <c r="C1745" s="55"/>
      <c r="D1745" s="55"/>
      <c r="E1745" s="55"/>
      <c r="F1745" s="55"/>
      <c r="G1745" s="55"/>
      <c r="H1745" s="141"/>
      <c r="M1745" s="23">
        <v>1</v>
      </c>
    </row>
    <row r="1746" spans="2:13" ht="18">
      <c r="B1746" s="55"/>
      <c r="C1746" s="55"/>
      <c r="D1746" s="55"/>
      <c r="E1746" s="55"/>
      <c r="F1746" s="55"/>
      <c r="G1746" s="55"/>
      <c r="H1746" s="141"/>
      <c r="M1746" s="23">
        <v>1</v>
      </c>
    </row>
    <row r="1747" spans="2:13" ht="18">
      <c r="B1747" s="55"/>
      <c r="C1747" s="55"/>
      <c r="D1747" s="55"/>
      <c r="E1747" s="55"/>
      <c r="F1747" s="55"/>
      <c r="G1747" s="55"/>
      <c r="H1747" s="141"/>
      <c r="M1747" s="23">
        <v>1</v>
      </c>
    </row>
    <row r="1748" spans="2:13" ht="18">
      <c r="B1748" s="55"/>
      <c r="C1748" s="55"/>
      <c r="D1748" s="55"/>
      <c r="E1748" s="55"/>
      <c r="F1748" s="55"/>
      <c r="G1748" s="55"/>
      <c r="H1748" s="141"/>
      <c r="M1748" s="23">
        <v>1</v>
      </c>
    </row>
    <row r="1749" spans="2:13" ht="18">
      <c r="B1749" s="55"/>
      <c r="C1749" s="55"/>
      <c r="D1749" s="55"/>
      <c r="E1749" s="55"/>
      <c r="F1749" s="55"/>
      <c r="G1749" s="55"/>
      <c r="H1749" s="141"/>
      <c r="M1749" s="23">
        <v>1</v>
      </c>
    </row>
    <row r="1750" spans="2:13" ht="18">
      <c r="B1750" s="55"/>
      <c r="C1750" s="55"/>
      <c r="D1750" s="55"/>
      <c r="E1750" s="55"/>
      <c r="F1750" s="55"/>
      <c r="G1750" s="55"/>
      <c r="H1750" s="141"/>
      <c r="M1750" s="23">
        <v>1</v>
      </c>
    </row>
    <row r="1751" spans="2:13" ht="18">
      <c r="B1751" s="55"/>
      <c r="C1751" s="55"/>
      <c r="D1751" s="55"/>
      <c r="E1751" s="55"/>
      <c r="F1751" s="55"/>
      <c r="G1751" s="55"/>
      <c r="H1751" s="141"/>
      <c r="M1751" s="23">
        <v>1</v>
      </c>
    </row>
    <row r="1752" spans="2:13" ht="18">
      <c r="B1752" s="55"/>
      <c r="C1752" s="55"/>
      <c r="D1752" s="55"/>
      <c r="E1752" s="55"/>
      <c r="F1752" s="55"/>
      <c r="G1752" s="55"/>
      <c r="H1752" s="141"/>
      <c r="M1752" s="23">
        <v>1</v>
      </c>
    </row>
    <row r="1753" spans="2:13" ht="18">
      <c r="B1753" s="55"/>
      <c r="C1753" s="55"/>
      <c r="D1753" s="55"/>
      <c r="E1753" s="55"/>
      <c r="F1753" s="55"/>
      <c r="G1753" s="55"/>
      <c r="H1753" s="141"/>
      <c r="M1753" s="23">
        <v>1</v>
      </c>
    </row>
    <row r="1754" spans="2:13" ht="18">
      <c r="B1754" s="55"/>
      <c r="C1754" s="55"/>
      <c r="D1754" s="55"/>
      <c r="E1754" s="55"/>
      <c r="F1754" s="55"/>
      <c r="G1754" s="55"/>
      <c r="H1754" s="141"/>
      <c r="M1754" s="23">
        <v>1</v>
      </c>
    </row>
    <row r="1755" spans="2:13" ht="18">
      <c r="B1755" s="55"/>
      <c r="C1755" s="55"/>
      <c r="D1755" s="55"/>
      <c r="E1755" s="55"/>
      <c r="F1755" s="55"/>
      <c r="G1755" s="55"/>
      <c r="H1755" s="141"/>
      <c r="M1755" s="23">
        <v>1</v>
      </c>
    </row>
    <row r="1756" spans="2:13" ht="18">
      <c r="B1756" s="55"/>
      <c r="C1756" s="55"/>
      <c r="D1756" s="55"/>
      <c r="E1756" s="55"/>
      <c r="F1756" s="55"/>
      <c r="G1756" s="55"/>
      <c r="H1756" s="141"/>
      <c r="M1756" s="23">
        <v>1</v>
      </c>
    </row>
    <row r="1757" spans="2:13" ht="18">
      <c r="B1757" s="55"/>
      <c r="C1757" s="55"/>
      <c r="D1757" s="55"/>
      <c r="E1757" s="55"/>
      <c r="F1757" s="55"/>
      <c r="G1757" s="55"/>
      <c r="H1757" s="141"/>
      <c r="M1757" s="23">
        <v>1</v>
      </c>
    </row>
    <row r="1758" spans="2:13" ht="18">
      <c r="B1758" s="55"/>
      <c r="C1758" s="55"/>
      <c r="D1758" s="55"/>
      <c r="E1758" s="55"/>
      <c r="F1758" s="55"/>
      <c r="G1758" s="55"/>
      <c r="H1758" s="141"/>
      <c r="M1758" s="23">
        <v>1</v>
      </c>
    </row>
    <row r="1759" spans="2:13" ht="18">
      <c r="B1759" s="55"/>
      <c r="C1759" s="55"/>
      <c r="D1759" s="55"/>
      <c r="E1759" s="55"/>
      <c r="F1759" s="55"/>
      <c r="G1759" s="55"/>
      <c r="H1759" s="141"/>
      <c r="M1759" s="23">
        <v>1</v>
      </c>
    </row>
    <row r="1760" spans="2:13" ht="18">
      <c r="B1760" s="55"/>
      <c r="C1760" s="55"/>
      <c r="D1760" s="55"/>
      <c r="E1760" s="55"/>
      <c r="F1760" s="55"/>
      <c r="G1760" s="55"/>
      <c r="H1760" s="141"/>
      <c r="M1760" s="23">
        <v>1</v>
      </c>
    </row>
    <row r="1761" spans="2:13" ht="18">
      <c r="B1761" s="55"/>
      <c r="C1761" s="55"/>
      <c r="D1761" s="55"/>
      <c r="E1761" s="55"/>
      <c r="F1761" s="55"/>
      <c r="G1761" s="55"/>
      <c r="H1761" s="141"/>
      <c r="M1761" s="23">
        <v>1</v>
      </c>
    </row>
    <row r="1762" spans="2:13" ht="18">
      <c r="B1762" s="55"/>
      <c r="C1762" s="55"/>
      <c r="D1762" s="55"/>
      <c r="E1762" s="55"/>
      <c r="F1762" s="55"/>
      <c r="G1762" s="55"/>
      <c r="H1762" s="141"/>
      <c r="M1762" s="23">
        <v>1</v>
      </c>
    </row>
    <row r="1763" spans="2:13" ht="18">
      <c r="B1763" s="55"/>
      <c r="C1763" s="55"/>
      <c r="D1763" s="55"/>
      <c r="E1763" s="55"/>
      <c r="F1763" s="55"/>
      <c r="G1763" s="55"/>
      <c r="H1763" s="141"/>
      <c r="M1763" s="23">
        <v>1</v>
      </c>
    </row>
    <row r="1764" spans="2:13" ht="18">
      <c r="B1764" s="55"/>
      <c r="C1764" s="55"/>
      <c r="D1764" s="55"/>
      <c r="E1764" s="55"/>
      <c r="F1764" s="55"/>
      <c r="G1764" s="55"/>
      <c r="H1764" s="141"/>
      <c r="M1764" s="23">
        <v>1</v>
      </c>
    </row>
    <row r="1765" spans="2:13" ht="18">
      <c r="B1765" s="55"/>
      <c r="C1765" s="55"/>
      <c r="D1765" s="55"/>
      <c r="E1765" s="55"/>
      <c r="F1765" s="55"/>
      <c r="G1765" s="55"/>
      <c r="H1765" s="141"/>
      <c r="M1765" s="23">
        <v>1</v>
      </c>
    </row>
    <row r="1766" spans="2:13" ht="18">
      <c r="B1766" s="55"/>
      <c r="C1766" s="55"/>
      <c r="D1766" s="55"/>
      <c r="E1766" s="55"/>
      <c r="F1766" s="55"/>
      <c r="G1766" s="55"/>
      <c r="H1766" s="141"/>
      <c r="M1766" s="23">
        <v>1</v>
      </c>
    </row>
    <row r="1767" spans="2:13" ht="18">
      <c r="B1767" s="55"/>
      <c r="C1767" s="55"/>
      <c r="D1767" s="55"/>
      <c r="E1767" s="55"/>
      <c r="F1767" s="55"/>
      <c r="G1767" s="55"/>
      <c r="H1767" s="141"/>
      <c r="M1767" s="23">
        <v>1</v>
      </c>
    </row>
    <row r="1768" spans="2:13" ht="18">
      <c r="B1768" s="55"/>
      <c r="C1768" s="55"/>
      <c r="D1768" s="55"/>
      <c r="E1768" s="55"/>
      <c r="F1768" s="55"/>
      <c r="G1768" s="55"/>
      <c r="H1768" s="141"/>
      <c r="M1768" s="23">
        <v>1</v>
      </c>
    </row>
    <row r="1769" spans="2:13" ht="18">
      <c r="B1769" s="55"/>
      <c r="C1769" s="55"/>
      <c r="D1769" s="55"/>
      <c r="E1769" s="55"/>
      <c r="F1769" s="55"/>
      <c r="G1769" s="55"/>
      <c r="H1769" s="141"/>
      <c r="M1769" s="23">
        <v>1</v>
      </c>
    </row>
    <row r="1770" spans="2:13" ht="18">
      <c r="B1770" s="55"/>
      <c r="C1770" s="55"/>
      <c r="D1770" s="55"/>
      <c r="E1770" s="55"/>
      <c r="F1770" s="55"/>
      <c r="G1770" s="55"/>
      <c r="H1770" s="141"/>
      <c r="M1770" s="23">
        <v>1</v>
      </c>
    </row>
    <row r="1771" spans="2:13" ht="18">
      <c r="B1771" s="55"/>
      <c r="C1771" s="55"/>
      <c r="D1771" s="55"/>
      <c r="E1771" s="55"/>
      <c r="F1771" s="55"/>
      <c r="G1771" s="55"/>
      <c r="H1771" s="141"/>
      <c r="M1771" s="23">
        <v>1</v>
      </c>
    </row>
    <row r="1772" spans="2:13" ht="18">
      <c r="B1772" s="55"/>
      <c r="C1772" s="55"/>
      <c r="D1772" s="55"/>
      <c r="E1772" s="55"/>
      <c r="F1772" s="55"/>
      <c r="G1772" s="55"/>
      <c r="H1772" s="141"/>
      <c r="M1772" s="23">
        <v>1</v>
      </c>
    </row>
    <row r="1773" spans="2:13" ht="18">
      <c r="B1773" s="55"/>
      <c r="C1773" s="55"/>
      <c r="D1773" s="55"/>
      <c r="E1773" s="55"/>
      <c r="F1773" s="55"/>
      <c r="G1773" s="55"/>
      <c r="H1773" s="141"/>
      <c r="M1773" s="23">
        <v>1</v>
      </c>
    </row>
    <row r="1774" spans="2:13" ht="18">
      <c r="B1774" s="55"/>
      <c r="C1774" s="55"/>
      <c r="D1774" s="55"/>
      <c r="E1774" s="55"/>
      <c r="F1774" s="55"/>
      <c r="G1774" s="55"/>
      <c r="H1774" s="141"/>
      <c r="M1774" s="23">
        <v>1</v>
      </c>
    </row>
    <row r="1775" spans="2:13" ht="18">
      <c r="B1775" s="55"/>
      <c r="C1775" s="55"/>
      <c r="D1775" s="55"/>
      <c r="E1775" s="55"/>
      <c r="F1775" s="55"/>
      <c r="G1775" s="55"/>
      <c r="H1775" s="141"/>
      <c r="M1775" s="23">
        <v>1</v>
      </c>
    </row>
    <row r="1776" spans="2:13" ht="18">
      <c r="B1776" s="55"/>
      <c r="C1776" s="55"/>
      <c r="D1776" s="55"/>
      <c r="E1776" s="55"/>
      <c r="F1776" s="55"/>
      <c r="G1776" s="55"/>
      <c r="H1776" s="141"/>
      <c r="M1776" s="23">
        <v>1</v>
      </c>
    </row>
    <row r="1777" spans="2:13" ht="18">
      <c r="B1777" s="55"/>
      <c r="C1777" s="55"/>
      <c r="D1777" s="55"/>
      <c r="E1777" s="55"/>
      <c r="F1777" s="55"/>
      <c r="G1777" s="55"/>
      <c r="H1777" s="141"/>
      <c r="M1777" s="23">
        <v>1</v>
      </c>
    </row>
    <row r="1778" spans="2:13" ht="18">
      <c r="B1778" s="55"/>
      <c r="C1778" s="55"/>
      <c r="D1778" s="55"/>
      <c r="E1778" s="55"/>
      <c r="F1778" s="55"/>
      <c r="G1778" s="55"/>
      <c r="H1778" s="141"/>
      <c r="M1778" s="23">
        <v>1</v>
      </c>
    </row>
    <row r="1779" spans="2:13" ht="18">
      <c r="B1779" s="55"/>
      <c r="C1779" s="55"/>
      <c r="D1779" s="55"/>
      <c r="E1779" s="55"/>
      <c r="F1779" s="55"/>
      <c r="G1779" s="55"/>
      <c r="H1779" s="141"/>
      <c r="M1779" s="23">
        <v>1</v>
      </c>
    </row>
    <row r="1780" spans="2:13" ht="18">
      <c r="B1780" s="55"/>
      <c r="C1780" s="55"/>
      <c r="D1780" s="55"/>
      <c r="E1780" s="55"/>
      <c r="F1780" s="55"/>
      <c r="G1780" s="55"/>
      <c r="H1780" s="141"/>
      <c r="M1780" s="23">
        <v>1</v>
      </c>
    </row>
    <row r="1781" spans="2:13" ht="18">
      <c r="B1781" s="55"/>
      <c r="C1781" s="55"/>
      <c r="D1781" s="55"/>
      <c r="E1781" s="55"/>
      <c r="F1781" s="55"/>
      <c r="G1781" s="55"/>
      <c r="H1781" s="141"/>
      <c r="M1781" s="23">
        <v>1</v>
      </c>
    </row>
    <row r="1782" spans="2:13" ht="18">
      <c r="B1782" s="55"/>
      <c r="C1782" s="55"/>
      <c r="D1782" s="55"/>
      <c r="E1782" s="55"/>
      <c r="F1782" s="55"/>
      <c r="G1782" s="55"/>
      <c r="H1782" s="141"/>
      <c r="M1782" s="23">
        <v>1</v>
      </c>
    </row>
    <row r="1783" spans="2:13" ht="18">
      <c r="B1783" s="55"/>
      <c r="C1783" s="55"/>
      <c r="D1783" s="55"/>
      <c r="E1783" s="55"/>
      <c r="F1783" s="55"/>
      <c r="G1783" s="55"/>
      <c r="H1783" s="141"/>
      <c r="M1783" s="23">
        <v>1</v>
      </c>
    </row>
    <row r="1784" spans="2:13" ht="18">
      <c r="B1784" s="55"/>
      <c r="C1784" s="55"/>
      <c r="D1784" s="55"/>
      <c r="E1784" s="55"/>
      <c r="F1784" s="55"/>
      <c r="G1784" s="55"/>
      <c r="H1784" s="141"/>
      <c r="M1784" s="23">
        <v>1</v>
      </c>
    </row>
    <row r="1785" spans="2:13" ht="18">
      <c r="B1785" s="55"/>
      <c r="C1785" s="55"/>
      <c r="D1785" s="55"/>
      <c r="E1785" s="55"/>
      <c r="F1785" s="55"/>
      <c r="G1785" s="55"/>
      <c r="H1785" s="141"/>
      <c r="M1785" s="23">
        <v>1</v>
      </c>
    </row>
    <row r="1786" spans="2:13" ht="18">
      <c r="B1786" s="55"/>
      <c r="C1786" s="55"/>
      <c r="D1786" s="55"/>
      <c r="E1786" s="55"/>
      <c r="F1786" s="55"/>
      <c r="G1786" s="55"/>
      <c r="H1786" s="141"/>
      <c r="M1786" s="23">
        <v>1</v>
      </c>
    </row>
    <row r="1787" spans="2:13" ht="18">
      <c r="B1787" s="55"/>
      <c r="C1787" s="55"/>
      <c r="D1787" s="55"/>
      <c r="E1787" s="55"/>
      <c r="F1787" s="55"/>
      <c r="G1787" s="55"/>
      <c r="H1787" s="141"/>
      <c r="M1787" s="23">
        <v>1</v>
      </c>
    </row>
    <row r="1788" spans="2:13" ht="18">
      <c r="B1788" s="55"/>
      <c r="C1788" s="55"/>
      <c r="D1788" s="55"/>
      <c r="E1788" s="55"/>
      <c r="F1788" s="55"/>
      <c r="G1788" s="55"/>
      <c r="H1788" s="141"/>
      <c r="M1788" s="23">
        <v>1</v>
      </c>
    </row>
    <row r="1789" spans="2:13" ht="18">
      <c r="B1789" s="55"/>
      <c r="C1789" s="55"/>
      <c r="D1789" s="55"/>
      <c r="E1789" s="55"/>
      <c r="F1789" s="55"/>
      <c r="G1789" s="55"/>
      <c r="H1789" s="141"/>
      <c r="M1789" s="23">
        <v>1</v>
      </c>
    </row>
    <row r="1790" spans="2:13" ht="18">
      <c r="B1790" s="55"/>
      <c r="C1790" s="55"/>
      <c r="D1790" s="55"/>
      <c r="E1790" s="55"/>
      <c r="F1790" s="55"/>
      <c r="G1790" s="55"/>
      <c r="H1790" s="141"/>
      <c r="M1790" s="23">
        <v>1</v>
      </c>
    </row>
    <row r="1791" spans="2:13" ht="18">
      <c r="B1791" s="55"/>
      <c r="C1791" s="55"/>
      <c r="D1791" s="55"/>
      <c r="E1791" s="55"/>
      <c r="F1791" s="55"/>
      <c r="G1791" s="55"/>
      <c r="H1791" s="141"/>
      <c r="M1791" s="23">
        <v>1</v>
      </c>
    </row>
    <row r="1792" spans="2:13" ht="18">
      <c r="B1792" s="55"/>
      <c r="C1792" s="55"/>
      <c r="D1792" s="55"/>
      <c r="E1792" s="55"/>
      <c r="F1792" s="55"/>
      <c r="G1792" s="55"/>
      <c r="H1792" s="141"/>
      <c r="M1792" s="23">
        <v>1</v>
      </c>
    </row>
    <row r="1793" spans="2:13" ht="18">
      <c r="B1793" s="55"/>
      <c r="C1793" s="55"/>
      <c r="D1793" s="55"/>
      <c r="E1793" s="55"/>
      <c r="F1793" s="55"/>
      <c r="G1793" s="55"/>
      <c r="H1793" s="141"/>
      <c r="M1793" s="23">
        <v>1</v>
      </c>
    </row>
    <row r="1794" spans="2:13" ht="18">
      <c r="B1794" s="55"/>
      <c r="C1794" s="55"/>
      <c r="D1794" s="55"/>
      <c r="E1794" s="55"/>
      <c r="F1794" s="55"/>
      <c r="G1794" s="55"/>
      <c r="H1794" s="141"/>
      <c r="M1794" s="23">
        <v>1</v>
      </c>
    </row>
    <row r="1795" spans="2:13" ht="18">
      <c r="B1795" s="55"/>
      <c r="C1795" s="55"/>
      <c r="D1795" s="55"/>
      <c r="E1795" s="55"/>
      <c r="F1795" s="55"/>
      <c r="G1795" s="55"/>
      <c r="H1795" s="141"/>
      <c r="M1795" s="23">
        <v>1</v>
      </c>
    </row>
    <row r="1796" spans="2:13" ht="18">
      <c r="B1796" s="55"/>
      <c r="C1796" s="55"/>
      <c r="D1796" s="55"/>
      <c r="E1796" s="55"/>
      <c r="F1796" s="55"/>
      <c r="G1796" s="55"/>
      <c r="H1796" s="141"/>
      <c r="M1796" s="23">
        <v>1</v>
      </c>
    </row>
    <row r="1797" spans="2:13" ht="18">
      <c r="B1797" s="55"/>
      <c r="C1797" s="55"/>
      <c r="D1797" s="55"/>
      <c r="E1797" s="55"/>
      <c r="F1797" s="55"/>
      <c r="G1797" s="55"/>
      <c r="H1797" s="141"/>
      <c r="M1797" s="23">
        <v>1</v>
      </c>
    </row>
    <row r="1798" spans="2:13" ht="18">
      <c r="B1798" s="55"/>
      <c r="C1798" s="55"/>
      <c r="D1798" s="55"/>
      <c r="E1798" s="55"/>
      <c r="F1798" s="55"/>
      <c r="G1798" s="55"/>
      <c r="H1798" s="141"/>
      <c r="M1798" s="23">
        <v>1</v>
      </c>
    </row>
    <row r="1799" spans="2:13" ht="18">
      <c r="B1799" s="55"/>
      <c r="C1799" s="55"/>
      <c r="D1799" s="55"/>
      <c r="E1799" s="55"/>
      <c r="F1799" s="55"/>
      <c r="G1799" s="55"/>
      <c r="H1799" s="141"/>
      <c r="M1799" s="23">
        <v>1</v>
      </c>
    </row>
    <row r="1800" spans="2:13" ht="18">
      <c r="B1800" s="55"/>
      <c r="C1800" s="55"/>
      <c r="D1800" s="55"/>
      <c r="E1800" s="55"/>
      <c r="F1800" s="55"/>
      <c r="G1800" s="55"/>
      <c r="H1800" s="141"/>
      <c r="M1800" s="23">
        <v>1</v>
      </c>
    </row>
    <row r="1801" spans="2:13" ht="18">
      <c r="B1801" s="55"/>
      <c r="C1801" s="55"/>
      <c r="D1801" s="55"/>
      <c r="E1801" s="55"/>
      <c r="F1801" s="55"/>
      <c r="G1801" s="55"/>
      <c r="H1801" s="141"/>
      <c r="M1801" s="23">
        <v>1</v>
      </c>
    </row>
    <row r="1802" spans="2:13" ht="18">
      <c r="B1802" s="55"/>
      <c r="C1802" s="55"/>
      <c r="D1802" s="55"/>
      <c r="E1802" s="55"/>
      <c r="F1802" s="55"/>
      <c r="G1802" s="55"/>
      <c r="H1802" s="141"/>
      <c r="M1802" s="23">
        <v>1</v>
      </c>
    </row>
    <row r="1803" spans="2:13" ht="18">
      <c r="B1803" s="55"/>
      <c r="C1803" s="55"/>
      <c r="D1803" s="55"/>
      <c r="E1803" s="55"/>
      <c r="F1803" s="55"/>
      <c r="G1803" s="55"/>
      <c r="H1803" s="141"/>
      <c r="M1803" s="23">
        <v>1</v>
      </c>
    </row>
    <row r="1804" spans="2:13" ht="18">
      <c r="B1804" s="55"/>
      <c r="C1804" s="55"/>
      <c r="D1804" s="55"/>
      <c r="E1804" s="55"/>
      <c r="F1804" s="55"/>
      <c r="G1804" s="55"/>
      <c r="H1804" s="141"/>
      <c r="M1804" s="23">
        <v>1</v>
      </c>
    </row>
    <row r="1805" spans="2:13" ht="18">
      <c r="B1805" s="55"/>
      <c r="C1805" s="55"/>
      <c r="D1805" s="55"/>
      <c r="E1805" s="55"/>
      <c r="F1805" s="55"/>
      <c r="G1805" s="55"/>
      <c r="H1805" s="141"/>
      <c r="M1805" s="23">
        <v>1</v>
      </c>
    </row>
    <row r="1806" spans="2:13" ht="18">
      <c r="B1806" s="55"/>
      <c r="C1806" s="55"/>
      <c r="D1806" s="55"/>
      <c r="E1806" s="55"/>
      <c r="F1806" s="55"/>
      <c r="G1806" s="55"/>
      <c r="H1806" s="141"/>
      <c r="M1806" s="23">
        <v>1</v>
      </c>
    </row>
    <row r="1807" spans="2:13" ht="18">
      <c r="B1807" s="55"/>
      <c r="C1807" s="55"/>
      <c r="D1807" s="55"/>
      <c r="E1807" s="55"/>
      <c r="F1807" s="55"/>
      <c r="G1807" s="55"/>
      <c r="H1807" s="141"/>
      <c r="M1807" s="23">
        <v>1</v>
      </c>
    </row>
    <row r="1808" spans="2:13" ht="18">
      <c r="B1808" s="55"/>
      <c r="C1808" s="55"/>
      <c r="D1808" s="55"/>
      <c r="E1808" s="55"/>
      <c r="F1808" s="55"/>
      <c r="G1808" s="55"/>
      <c r="H1808" s="141"/>
      <c r="M1808" s="23">
        <v>1</v>
      </c>
    </row>
    <row r="1809" spans="2:13" ht="18">
      <c r="B1809" s="55"/>
      <c r="C1809" s="55"/>
      <c r="D1809" s="55"/>
      <c r="E1809" s="55"/>
      <c r="F1809" s="55"/>
      <c r="G1809" s="55"/>
      <c r="H1809" s="141"/>
      <c r="M1809" s="23">
        <v>1</v>
      </c>
    </row>
    <row r="1810" spans="2:13" ht="18">
      <c r="B1810" s="55"/>
      <c r="C1810" s="55"/>
      <c r="D1810" s="55"/>
      <c r="E1810" s="55"/>
      <c r="F1810" s="55"/>
      <c r="G1810" s="55"/>
      <c r="H1810" s="141"/>
      <c r="M1810" s="23">
        <v>1</v>
      </c>
    </row>
    <row r="1811" spans="2:13" ht="18">
      <c r="B1811" s="55"/>
      <c r="C1811" s="55"/>
      <c r="D1811" s="55"/>
      <c r="E1811" s="55"/>
      <c r="F1811" s="55"/>
      <c r="G1811" s="55"/>
      <c r="H1811" s="141"/>
      <c r="M1811" s="23">
        <v>1</v>
      </c>
    </row>
    <row r="1812" spans="2:13" ht="18">
      <c r="B1812" s="55"/>
      <c r="C1812" s="55"/>
      <c r="D1812" s="55"/>
      <c r="E1812" s="55"/>
      <c r="F1812" s="55"/>
      <c r="G1812" s="55"/>
      <c r="H1812" s="141"/>
      <c r="M1812" s="23">
        <v>1</v>
      </c>
    </row>
    <row r="1813" spans="2:13" ht="18">
      <c r="B1813" s="55"/>
      <c r="C1813" s="55"/>
      <c r="D1813" s="55"/>
      <c r="E1813" s="55"/>
      <c r="F1813" s="55"/>
      <c r="G1813" s="55"/>
      <c r="H1813" s="141"/>
      <c r="M1813" s="23">
        <v>1</v>
      </c>
    </row>
    <row r="1814" spans="2:13" ht="18">
      <c r="B1814" s="55"/>
      <c r="C1814" s="55"/>
      <c r="D1814" s="55"/>
      <c r="E1814" s="55"/>
      <c r="F1814" s="55"/>
      <c r="G1814" s="55"/>
      <c r="H1814" s="141"/>
      <c r="M1814" s="23">
        <v>1</v>
      </c>
    </row>
    <row r="1815" spans="2:13" ht="18">
      <c r="B1815" s="55"/>
      <c r="C1815" s="55"/>
      <c r="D1815" s="55"/>
      <c r="E1815" s="55"/>
      <c r="F1815" s="55"/>
      <c r="G1815" s="55"/>
      <c r="H1815" s="141"/>
      <c r="M1815" s="23">
        <v>1</v>
      </c>
    </row>
    <row r="1816" spans="2:13" ht="18">
      <c r="B1816" s="55"/>
      <c r="C1816" s="55"/>
      <c r="D1816" s="55"/>
      <c r="E1816" s="55"/>
      <c r="F1816" s="55"/>
      <c r="G1816" s="55"/>
      <c r="H1816" s="141"/>
      <c r="M1816" s="23">
        <v>1</v>
      </c>
    </row>
    <row r="1817" spans="2:13" ht="18">
      <c r="B1817" s="55"/>
      <c r="C1817" s="55"/>
      <c r="D1817" s="55"/>
      <c r="E1817" s="55"/>
      <c r="F1817" s="55"/>
      <c r="G1817" s="55"/>
      <c r="H1817" s="141"/>
      <c r="M1817" s="23">
        <v>1</v>
      </c>
    </row>
    <row r="1818" spans="2:13" ht="18">
      <c r="B1818" s="55"/>
      <c r="C1818" s="55"/>
      <c r="D1818" s="55"/>
      <c r="E1818" s="55"/>
      <c r="F1818" s="55"/>
      <c r="G1818" s="55"/>
      <c r="H1818" s="141"/>
      <c r="M1818" s="23">
        <v>1</v>
      </c>
    </row>
    <row r="1819" spans="2:13" ht="18">
      <c r="B1819" s="55"/>
      <c r="C1819" s="55"/>
      <c r="D1819" s="55"/>
      <c r="E1819" s="55"/>
      <c r="F1819" s="55"/>
      <c r="G1819" s="55"/>
      <c r="H1819" s="141"/>
      <c r="M1819" s="23">
        <v>1</v>
      </c>
    </row>
    <row r="1820" spans="2:13" ht="18">
      <c r="B1820" s="55"/>
      <c r="C1820" s="55"/>
      <c r="D1820" s="55"/>
      <c r="E1820" s="55"/>
      <c r="F1820" s="55"/>
      <c r="G1820" s="55"/>
      <c r="H1820" s="141"/>
      <c r="M1820" s="23">
        <v>1</v>
      </c>
    </row>
    <row r="1821" spans="2:13" ht="18">
      <c r="B1821" s="55"/>
      <c r="C1821" s="55"/>
      <c r="D1821" s="55"/>
      <c r="E1821" s="55"/>
      <c r="F1821" s="55"/>
      <c r="G1821" s="55"/>
      <c r="H1821" s="141"/>
      <c r="M1821" s="23">
        <v>1</v>
      </c>
    </row>
    <row r="1822" spans="2:13" ht="18">
      <c r="B1822" s="55"/>
      <c r="C1822" s="55"/>
      <c r="D1822" s="55"/>
      <c r="E1822" s="55"/>
      <c r="F1822" s="55"/>
      <c r="G1822" s="55"/>
      <c r="H1822" s="141"/>
      <c r="M1822" s="23">
        <v>1</v>
      </c>
    </row>
    <row r="1823" spans="2:13" ht="18">
      <c r="B1823" s="55"/>
      <c r="C1823" s="55"/>
      <c r="D1823" s="55"/>
      <c r="E1823" s="55"/>
      <c r="F1823" s="55"/>
      <c r="G1823" s="55"/>
      <c r="H1823" s="141"/>
      <c r="M1823" s="23">
        <v>1</v>
      </c>
    </row>
    <row r="1824" spans="2:13" ht="18">
      <c r="B1824" s="55"/>
      <c r="C1824" s="55"/>
      <c r="D1824" s="55"/>
      <c r="E1824" s="55"/>
      <c r="F1824" s="55"/>
      <c r="G1824" s="55"/>
      <c r="H1824" s="141"/>
      <c r="M1824" s="23">
        <v>1</v>
      </c>
    </row>
    <row r="1825" spans="2:13" ht="18">
      <c r="B1825" s="55"/>
      <c r="C1825" s="55"/>
      <c r="D1825" s="55"/>
      <c r="E1825" s="55"/>
      <c r="F1825" s="55"/>
      <c r="G1825" s="55"/>
      <c r="H1825" s="141"/>
      <c r="M1825" s="23">
        <v>1</v>
      </c>
    </row>
    <row r="1826" spans="2:13" ht="18">
      <c r="B1826" s="55"/>
      <c r="C1826" s="55"/>
      <c r="D1826" s="55"/>
      <c r="E1826" s="55"/>
      <c r="F1826" s="55"/>
      <c r="G1826" s="55"/>
      <c r="H1826" s="141"/>
      <c r="M1826" s="23">
        <v>1</v>
      </c>
    </row>
    <row r="1827" spans="2:13" ht="18">
      <c r="B1827" s="55"/>
      <c r="C1827" s="55"/>
      <c r="D1827" s="55"/>
      <c r="E1827" s="55"/>
      <c r="F1827" s="55"/>
      <c r="G1827" s="55"/>
      <c r="H1827" s="141"/>
      <c r="M1827" s="23">
        <v>1</v>
      </c>
    </row>
    <row r="1828" spans="2:13" ht="18">
      <c r="B1828" s="55"/>
      <c r="C1828" s="55"/>
      <c r="D1828" s="55"/>
      <c r="E1828" s="55"/>
      <c r="F1828" s="55"/>
      <c r="G1828" s="55"/>
      <c r="H1828" s="141"/>
      <c r="M1828" s="23">
        <v>1</v>
      </c>
    </row>
    <row r="1829" spans="2:13" ht="18">
      <c r="B1829" s="55"/>
      <c r="C1829" s="55"/>
      <c r="D1829" s="55"/>
      <c r="E1829" s="55"/>
      <c r="F1829" s="55"/>
      <c r="G1829" s="55"/>
      <c r="H1829" s="141"/>
      <c r="M1829" s="23">
        <v>1</v>
      </c>
    </row>
    <row r="1830" spans="2:13" ht="18">
      <c r="B1830" s="55"/>
      <c r="C1830" s="55"/>
      <c r="D1830" s="55"/>
      <c r="E1830" s="55"/>
      <c r="F1830" s="55"/>
      <c r="G1830" s="55"/>
      <c r="H1830" s="141"/>
      <c r="M1830" s="23">
        <v>1</v>
      </c>
    </row>
    <row r="1831" spans="2:13" ht="18">
      <c r="B1831" s="55"/>
      <c r="C1831" s="55"/>
      <c r="D1831" s="55"/>
      <c r="E1831" s="55"/>
      <c r="F1831" s="55"/>
      <c r="G1831" s="55"/>
      <c r="H1831" s="141"/>
      <c r="M1831" s="23">
        <v>1</v>
      </c>
    </row>
    <row r="1832" spans="2:13" ht="18">
      <c r="B1832" s="55"/>
      <c r="C1832" s="55"/>
      <c r="D1832" s="55"/>
      <c r="E1832" s="55"/>
      <c r="F1832" s="55"/>
      <c r="G1832" s="55"/>
      <c r="H1832" s="141"/>
      <c r="M1832" s="23">
        <v>1</v>
      </c>
    </row>
    <row r="1833" spans="2:13" ht="18">
      <c r="B1833" s="55"/>
      <c r="C1833" s="55"/>
      <c r="D1833" s="55"/>
      <c r="E1833" s="55"/>
      <c r="F1833" s="55"/>
      <c r="G1833" s="55"/>
      <c r="H1833" s="141"/>
      <c r="M1833" s="23">
        <v>1</v>
      </c>
    </row>
    <row r="1834" spans="2:13" ht="18">
      <c r="B1834" s="55"/>
      <c r="C1834" s="55"/>
      <c r="D1834" s="55"/>
      <c r="E1834" s="55"/>
      <c r="F1834" s="55"/>
      <c r="G1834" s="55"/>
      <c r="H1834" s="141"/>
      <c r="M1834" s="23">
        <v>1</v>
      </c>
    </row>
    <row r="1835" spans="2:13" ht="18">
      <c r="B1835" s="55"/>
      <c r="C1835" s="55"/>
      <c r="D1835" s="55"/>
      <c r="E1835" s="55"/>
      <c r="F1835" s="55"/>
      <c r="G1835" s="55"/>
      <c r="H1835" s="141"/>
      <c r="M1835" s="23">
        <v>1</v>
      </c>
    </row>
    <row r="1836" spans="2:13" ht="18">
      <c r="B1836" s="55"/>
      <c r="C1836" s="55"/>
      <c r="D1836" s="55"/>
      <c r="E1836" s="55"/>
      <c r="F1836" s="55"/>
      <c r="G1836" s="55"/>
      <c r="H1836" s="141"/>
      <c r="M1836" s="23">
        <v>1</v>
      </c>
    </row>
    <row r="1837" spans="2:13" ht="18">
      <c r="B1837" s="55"/>
      <c r="C1837" s="55"/>
      <c r="D1837" s="55"/>
      <c r="E1837" s="55"/>
      <c r="F1837" s="55"/>
      <c r="G1837" s="55"/>
      <c r="H1837" s="141"/>
      <c r="M1837" s="23">
        <v>1</v>
      </c>
    </row>
    <row r="1838" spans="2:13" ht="18">
      <c r="B1838" s="55"/>
      <c r="C1838" s="55"/>
      <c r="D1838" s="55"/>
      <c r="E1838" s="55"/>
      <c r="F1838" s="55"/>
      <c r="G1838" s="55"/>
      <c r="H1838" s="141"/>
      <c r="M1838" s="23">
        <v>1</v>
      </c>
    </row>
    <row r="1839" spans="2:13" ht="18">
      <c r="B1839" s="55"/>
      <c r="C1839" s="55"/>
      <c r="D1839" s="55"/>
      <c r="E1839" s="55"/>
      <c r="F1839" s="55"/>
      <c r="G1839" s="55"/>
      <c r="H1839" s="141"/>
      <c r="M1839" s="23">
        <v>1</v>
      </c>
    </row>
    <row r="1840" spans="2:13" ht="18">
      <c r="B1840" s="55"/>
      <c r="C1840" s="55"/>
      <c r="D1840" s="55"/>
      <c r="E1840" s="55"/>
      <c r="F1840" s="55"/>
      <c r="G1840" s="55"/>
      <c r="H1840" s="141"/>
      <c r="M1840" s="23">
        <v>1</v>
      </c>
    </row>
    <row r="1841" spans="2:13" ht="18">
      <c r="B1841" s="55"/>
      <c r="C1841" s="55"/>
      <c r="D1841" s="55"/>
      <c r="E1841" s="55"/>
      <c r="F1841" s="55"/>
      <c r="G1841" s="55"/>
      <c r="H1841" s="141"/>
      <c r="M1841" s="23">
        <v>1</v>
      </c>
    </row>
    <row r="1842" spans="2:13" ht="18">
      <c r="B1842" s="55"/>
      <c r="C1842" s="55"/>
      <c r="D1842" s="55"/>
      <c r="E1842" s="55"/>
      <c r="F1842" s="55"/>
      <c r="G1842" s="55"/>
      <c r="H1842" s="141"/>
      <c r="M1842" s="23">
        <v>1</v>
      </c>
    </row>
    <row r="1843" spans="2:13" ht="18">
      <c r="B1843" s="55"/>
      <c r="C1843" s="55"/>
      <c r="D1843" s="55"/>
      <c r="E1843" s="55"/>
      <c r="F1843" s="55"/>
      <c r="G1843" s="55"/>
      <c r="H1843" s="141"/>
      <c r="M1843" s="23">
        <v>1</v>
      </c>
    </row>
    <row r="1844" spans="2:13" ht="18">
      <c r="B1844" s="55"/>
      <c r="C1844" s="55"/>
      <c r="D1844" s="55"/>
      <c r="E1844" s="55"/>
      <c r="F1844" s="55"/>
      <c r="G1844" s="55"/>
      <c r="H1844" s="141"/>
      <c r="M1844" s="23">
        <v>1</v>
      </c>
    </row>
    <row r="1845" spans="2:13" ht="18">
      <c r="B1845" s="55"/>
      <c r="C1845" s="55"/>
      <c r="D1845" s="55"/>
      <c r="E1845" s="55"/>
      <c r="F1845" s="55"/>
      <c r="G1845" s="55"/>
      <c r="H1845" s="141"/>
      <c r="M1845" s="23">
        <v>1</v>
      </c>
    </row>
    <row r="1846" spans="2:13" ht="18">
      <c r="B1846" s="55"/>
      <c r="C1846" s="55"/>
      <c r="D1846" s="55"/>
      <c r="E1846" s="55"/>
      <c r="F1846" s="55"/>
      <c r="G1846" s="55"/>
      <c r="H1846" s="141"/>
      <c r="M1846" s="23">
        <v>1</v>
      </c>
    </row>
    <row r="1847" spans="2:13" ht="18">
      <c r="B1847" s="55"/>
      <c r="C1847" s="55"/>
      <c r="D1847" s="55"/>
      <c r="E1847" s="55"/>
      <c r="F1847" s="55"/>
      <c r="G1847" s="55"/>
      <c r="H1847" s="141"/>
      <c r="M1847" s="23">
        <v>1</v>
      </c>
    </row>
    <row r="1848" spans="2:13" ht="18">
      <c r="B1848" s="55"/>
      <c r="C1848" s="55"/>
      <c r="D1848" s="55"/>
      <c r="E1848" s="55"/>
      <c r="F1848" s="55"/>
      <c r="G1848" s="55"/>
      <c r="H1848" s="141"/>
      <c r="M1848" s="23">
        <v>1</v>
      </c>
    </row>
    <row r="1849" spans="2:13" ht="18">
      <c r="B1849" s="55"/>
      <c r="C1849" s="55"/>
      <c r="D1849" s="55"/>
      <c r="E1849" s="55"/>
      <c r="F1849" s="55"/>
      <c r="G1849" s="55"/>
      <c r="H1849" s="141"/>
      <c r="M1849" s="23">
        <v>1</v>
      </c>
    </row>
    <row r="1850" spans="2:13" ht="18">
      <c r="B1850" s="55"/>
      <c r="C1850" s="55"/>
      <c r="D1850" s="55"/>
      <c r="E1850" s="55"/>
      <c r="F1850" s="55"/>
      <c r="G1850" s="55"/>
      <c r="H1850" s="141"/>
      <c r="M1850" s="23">
        <v>1</v>
      </c>
    </row>
    <row r="1851" spans="2:13" ht="18">
      <c r="B1851" s="55"/>
      <c r="C1851" s="55"/>
      <c r="D1851" s="55"/>
      <c r="E1851" s="55"/>
      <c r="F1851" s="55"/>
      <c r="G1851" s="55"/>
      <c r="H1851" s="141"/>
      <c r="M1851" s="23">
        <v>1</v>
      </c>
    </row>
    <row r="1852" spans="2:13" ht="18">
      <c r="B1852" s="55"/>
      <c r="C1852" s="55"/>
      <c r="D1852" s="55"/>
      <c r="E1852" s="55"/>
      <c r="F1852" s="55"/>
      <c r="G1852" s="55"/>
      <c r="H1852" s="141"/>
      <c r="M1852" s="23">
        <v>1</v>
      </c>
    </row>
    <row r="1853" spans="2:13" ht="18">
      <c r="B1853" s="55"/>
      <c r="C1853" s="55"/>
      <c r="D1853" s="55"/>
      <c r="E1853" s="55"/>
      <c r="F1853" s="55"/>
      <c r="G1853" s="55"/>
      <c r="H1853" s="141"/>
      <c r="M1853" s="23">
        <v>1</v>
      </c>
    </row>
    <row r="1854" spans="2:13" ht="18">
      <c r="B1854" s="55"/>
      <c r="C1854" s="55"/>
      <c r="D1854" s="55"/>
      <c r="E1854" s="55"/>
      <c r="F1854" s="55"/>
      <c r="G1854" s="55"/>
      <c r="H1854" s="141"/>
      <c r="M1854" s="23">
        <v>1</v>
      </c>
    </row>
    <row r="1855" spans="2:13" ht="18">
      <c r="B1855" s="55"/>
      <c r="C1855" s="55"/>
      <c r="D1855" s="55"/>
      <c r="E1855" s="55"/>
      <c r="F1855" s="55"/>
      <c r="G1855" s="55"/>
      <c r="H1855" s="141"/>
      <c r="M1855" s="23">
        <v>1</v>
      </c>
    </row>
    <row r="1856" spans="2:13" ht="18">
      <c r="B1856" s="55"/>
      <c r="C1856" s="55"/>
      <c r="D1856" s="55"/>
      <c r="E1856" s="55"/>
      <c r="F1856" s="55"/>
      <c r="G1856" s="55"/>
      <c r="H1856" s="141"/>
      <c r="M1856" s="23">
        <v>1</v>
      </c>
    </row>
    <row r="1857" spans="2:13" ht="18">
      <c r="B1857" s="55"/>
      <c r="C1857" s="55"/>
      <c r="D1857" s="55"/>
      <c r="E1857" s="55"/>
      <c r="F1857" s="55"/>
      <c r="G1857" s="55"/>
      <c r="H1857" s="141"/>
      <c r="M1857" s="23">
        <v>1</v>
      </c>
    </row>
    <row r="1858" spans="2:13" ht="18">
      <c r="B1858" s="55"/>
      <c r="C1858" s="55"/>
      <c r="D1858" s="55"/>
      <c r="E1858" s="55"/>
      <c r="F1858" s="55"/>
      <c r="G1858" s="55"/>
      <c r="H1858" s="141"/>
      <c r="M1858" s="23">
        <v>1</v>
      </c>
    </row>
    <row r="1859" spans="2:13" ht="18">
      <c r="B1859" s="55"/>
      <c r="C1859" s="55"/>
      <c r="D1859" s="55"/>
      <c r="E1859" s="55"/>
      <c r="F1859" s="55"/>
      <c r="G1859" s="55"/>
      <c r="H1859" s="141"/>
      <c r="M1859" s="23">
        <v>1</v>
      </c>
    </row>
    <row r="1860" spans="2:13" ht="18">
      <c r="B1860" s="55"/>
      <c r="C1860" s="55"/>
      <c r="D1860" s="55"/>
      <c r="E1860" s="55"/>
      <c r="F1860" s="55"/>
      <c r="G1860" s="55"/>
      <c r="H1860" s="141"/>
      <c r="M1860" s="23">
        <v>1</v>
      </c>
    </row>
    <row r="1861" spans="2:13" ht="18">
      <c r="B1861" s="55"/>
      <c r="C1861" s="55"/>
      <c r="D1861" s="55"/>
      <c r="E1861" s="55"/>
      <c r="F1861" s="55"/>
      <c r="G1861" s="55"/>
      <c r="H1861" s="141"/>
      <c r="M1861" s="23">
        <v>1</v>
      </c>
    </row>
    <row r="1862" spans="2:13" ht="18">
      <c r="B1862" s="55"/>
      <c r="C1862" s="55"/>
      <c r="D1862" s="55"/>
      <c r="E1862" s="55"/>
      <c r="F1862" s="55"/>
      <c r="G1862" s="55"/>
      <c r="H1862" s="141"/>
      <c r="M1862" s="23">
        <v>1</v>
      </c>
    </row>
    <row r="1863" spans="2:13" ht="18">
      <c r="B1863" s="55"/>
      <c r="C1863" s="55"/>
      <c r="D1863" s="55"/>
      <c r="E1863" s="55"/>
      <c r="F1863" s="55"/>
      <c r="G1863" s="55"/>
      <c r="H1863" s="141"/>
      <c r="M1863" s="23">
        <v>1</v>
      </c>
    </row>
    <row r="1864" spans="2:13" ht="18">
      <c r="B1864" s="55"/>
      <c r="C1864" s="55"/>
      <c r="D1864" s="55"/>
      <c r="E1864" s="55"/>
      <c r="F1864" s="55"/>
      <c r="G1864" s="55"/>
      <c r="H1864" s="141"/>
      <c r="M1864" s="23">
        <v>1</v>
      </c>
    </row>
    <row r="1865" spans="2:13" ht="18">
      <c r="B1865" s="55"/>
      <c r="C1865" s="55"/>
      <c r="D1865" s="55"/>
      <c r="E1865" s="55"/>
      <c r="F1865" s="55"/>
      <c r="G1865" s="55"/>
      <c r="H1865" s="141"/>
      <c r="M1865" s="23">
        <v>1</v>
      </c>
    </row>
    <row r="1866" spans="2:13" ht="18">
      <c r="B1866" s="55"/>
      <c r="C1866" s="55"/>
      <c r="D1866" s="55"/>
      <c r="E1866" s="55"/>
      <c r="F1866" s="55"/>
      <c r="G1866" s="55"/>
      <c r="H1866" s="141"/>
      <c r="M1866" s="23">
        <v>1</v>
      </c>
    </row>
    <row r="1867" spans="2:13" ht="18">
      <c r="B1867" s="55"/>
      <c r="C1867" s="55"/>
      <c r="D1867" s="55"/>
      <c r="E1867" s="55"/>
      <c r="F1867" s="55"/>
      <c r="G1867" s="55"/>
      <c r="H1867" s="141"/>
      <c r="M1867" s="23">
        <v>1</v>
      </c>
    </row>
    <row r="1868" spans="2:13" ht="18">
      <c r="B1868" s="55"/>
      <c r="C1868" s="55"/>
      <c r="D1868" s="55"/>
      <c r="E1868" s="55"/>
      <c r="F1868" s="55"/>
      <c r="G1868" s="55"/>
      <c r="H1868" s="141"/>
      <c r="M1868" s="23">
        <v>1</v>
      </c>
    </row>
    <row r="1869" spans="2:13" ht="18">
      <c r="B1869" s="55"/>
      <c r="C1869" s="55"/>
      <c r="D1869" s="55"/>
      <c r="E1869" s="55"/>
      <c r="F1869" s="55"/>
      <c r="G1869" s="55"/>
      <c r="H1869" s="141"/>
      <c r="M1869" s="23">
        <v>1</v>
      </c>
    </row>
    <row r="1870" spans="2:13" ht="18">
      <c r="B1870" s="55"/>
      <c r="C1870" s="55"/>
      <c r="D1870" s="55"/>
      <c r="E1870" s="55"/>
      <c r="F1870" s="55"/>
      <c r="G1870" s="55"/>
      <c r="H1870" s="141"/>
      <c r="M1870" s="23">
        <v>1</v>
      </c>
    </row>
    <row r="1871" spans="2:13" ht="18">
      <c r="B1871" s="55"/>
      <c r="C1871" s="55"/>
      <c r="D1871" s="55"/>
      <c r="E1871" s="55"/>
      <c r="F1871" s="55"/>
      <c r="G1871" s="55"/>
      <c r="H1871" s="141"/>
      <c r="M1871" s="23">
        <v>1</v>
      </c>
    </row>
    <row r="1872" spans="2:13" ht="18">
      <c r="B1872" s="55"/>
      <c r="C1872" s="55"/>
      <c r="D1872" s="55"/>
      <c r="E1872" s="55"/>
      <c r="F1872" s="55"/>
      <c r="G1872" s="55"/>
      <c r="H1872" s="141"/>
      <c r="M1872" s="23">
        <v>1</v>
      </c>
    </row>
    <row r="1873" spans="2:13" ht="18">
      <c r="B1873" s="55"/>
      <c r="C1873" s="55"/>
      <c r="D1873" s="55"/>
      <c r="E1873" s="55"/>
      <c r="F1873" s="55"/>
      <c r="G1873" s="55"/>
      <c r="H1873" s="141"/>
      <c r="M1873" s="23">
        <v>1</v>
      </c>
    </row>
    <row r="1874" spans="2:13" ht="18">
      <c r="B1874" s="55"/>
      <c r="C1874" s="55"/>
      <c r="D1874" s="55"/>
      <c r="E1874" s="55"/>
      <c r="F1874" s="55"/>
      <c r="G1874" s="55"/>
      <c r="H1874" s="141"/>
      <c r="M1874" s="23">
        <v>1</v>
      </c>
    </row>
    <row r="1875" spans="2:13" ht="18">
      <c r="B1875" s="55"/>
      <c r="C1875" s="55"/>
      <c r="D1875" s="55"/>
      <c r="E1875" s="55"/>
      <c r="F1875" s="55"/>
      <c r="G1875" s="55"/>
      <c r="H1875" s="141"/>
      <c r="M1875" s="23">
        <v>1</v>
      </c>
    </row>
    <row r="1876" spans="2:13" ht="18">
      <c r="B1876" s="55"/>
      <c r="C1876" s="55"/>
      <c r="D1876" s="55"/>
      <c r="E1876" s="55"/>
      <c r="F1876" s="55"/>
      <c r="G1876" s="55"/>
      <c r="H1876" s="141"/>
      <c r="M1876" s="23">
        <v>1</v>
      </c>
    </row>
    <row r="1877" spans="2:13" ht="18">
      <c r="B1877" s="55"/>
      <c r="C1877" s="55"/>
      <c r="D1877" s="55"/>
      <c r="E1877" s="55"/>
      <c r="F1877" s="55"/>
      <c r="G1877" s="55"/>
      <c r="H1877" s="141"/>
      <c r="M1877" s="23">
        <v>1</v>
      </c>
    </row>
    <row r="1878" spans="2:13" ht="18">
      <c r="B1878" s="55"/>
      <c r="C1878" s="55"/>
      <c r="D1878" s="55"/>
      <c r="E1878" s="55"/>
      <c r="F1878" s="55"/>
      <c r="G1878" s="55"/>
      <c r="H1878" s="141"/>
      <c r="M1878" s="23">
        <v>1</v>
      </c>
    </row>
    <row r="1879" spans="2:13" ht="18">
      <c r="B1879" s="55"/>
      <c r="C1879" s="55"/>
      <c r="D1879" s="55"/>
      <c r="E1879" s="55"/>
      <c r="F1879" s="55"/>
      <c r="G1879" s="55"/>
      <c r="H1879" s="141"/>
      <c r="M1879" s="23">
        <v>1</v>
      </c>
    </row>
    <row r="1880" spans="2:13" ht="18">
      <c r="B1880" s="55"/>
      <c r="C1880" s="55"/>
      <c r="D1880" s="55"/>
      <c r="E1880" s="55"/>
      <c r="F1880" s="55"/>
      <c r="G1880" s="55"/>
      <c r="H1880" s="141"/>
      <c r="M1880" s="23">
        <v>1</v>
      </c>
    </row>
    <row r="1881" spans="2:13" ht="18">
      <c r="B1881" s="55"/>
      <c r="C1881" s="55"/>
      <c r="D1881" s="55"/>
      <c r="E1881" s="55"/>
      <c r="F1881" s="55"/>
      <c r="G1881" s="55"/>
      <c r="H1881" s="141"/>
      <c r="M1881" s="23">
        <v>1</v>
      </c>
    </row>
    <row r="1882" spans="2:13" ht="18">
      <c r="B1882" s="55"/>
      <c r="C1882" s="55"/>
      <c r="D1882" s="55"/>
      <c r="E1882" s="55"/>
      <c r="F1882" s="55"/>
      <c r="G1882" s="55"/>
      <c r="H1882" s="141"/>
      <c r="M1882" s="23">
        <v>1</v>
      </c>
    </row>
    <row r="1883" spans="2:13" ht="18">
      <c r="B1883" s="55"/>
      <c r="C1883" s="55"/>
      <c r="D1883" s="55"/>
      <c r="E1883" s="55"/>
      <c r="F1883" s="55"/>
      <c r="G1883" s="55"/>
      <c r="H1883" s="141"/>
      <c r="M1883" s="23">
        <v>1</v>
      </c>
    </row>
    <row r="1884" spans="2:13" ht="18">
      <c r="B1884" s="55"/>
      <c r="C1884" s="55"/>
      <c r="D1884" s="55"/>
      <c r="E1884" s="55"/>
      <c r="F1884" s="55"/>
      <c r="G1884" s="55"/>
      <c r="H1884" s="141"/>
      <c r="M1884" s="23">
        <v>1</v>
      </c>
    </row>
    <row r="1885" spans="2:13" ht="18">
      <c r="B1885" s="55"/>
      <c r="C1885" s="55"/>
      <c r="D1885" s="55"/>
      <c r="E1885" s="55"/>
      <c r="F1885" s="55"/>
      <c r="G1885" s="55"/>
      <c r="H1885" s="141"/>
      <c r="M1885" s="23">
        <v>1</v>
      </c>
    </row>
    <row r="1886" spans="2:13" ht="18">
      <c r="B1886" s="55"/>
      <c r="C1886" s="55"/>
      <c r="D1886" s="55"/>
      <c r="E1886" s="55"/>
      <c r="F1886" s="55"/>
      <c r="G1886" s="55"/>
      <c r="H1886" s="141"/>
      <c r="M1886" s="23">
        <v>1</v>
      </c>
    </row>
    <row r="1887" spans="2:13" ht="18">
      <c r="B1887" s="55"/>
      <c r="C1887" s="55"/>
      <c r="D1887" s="55"/>
      <c r="E1887" s="55"/>
      <c r="F1887" s="55"/>
      <c r="G1887" s="55"/>
      <c r="H1887" s="141"/>
      <c r="M1887" s="23">
        <v>1</v>
      </c>
    </row>
    <row r="1888" spans="2:13" ht="18">
      <c r="B1888" s="55"/>
      <c r="C1888" s="55"/>
      <c r="D1888" s="55"/>
      <c r="E1888" s="55"/>
      <c r="F1888" s="55"/>
      <c r="G1888" s="55"/>
      <c r="H1888" s="141"/>
      <c r="M1888" s="23">
        <v>1</v>
      </c>
    </row>
    <row r="1889" spans="2:13" ht="27.75" thickBot="1">
      <c r="B1889" s="142" t="s">
        <v>3</v>
      </c>
      <c r="C1889" s="142" t="s">
        <v>3</v>
      </c>
      <c r="D1889" s="142" t="s">
        <v>3</v>
      </c>
      <c r="E1889" s="143" t="s">
        <v>3</v>
      </c>
      <c r="F1889" s="143" t="s">
        <v>3</v>
      </c>
      <c r="G1889" s="143" t="s">
        <v>3</v>
      </c>
      <c r="H1889" s="144" t="s">
        <v>3</v>
      </c>
      <c r="L1889" s="59" t="s">
        <v>6</v>
      </c>
      <c r="M1889" s="60" t="s">
        <v>3</v>
      </c>
    </row>
  </sheetData>
  <sheetProtection sheet="1" objects="1" scenarios="1" selectLockedCells="1"/>
  <customSheetViews>
    <customSheetView guid="{2387E3E5-DC3A-4E55-B9FB-E509729F4507}" showGridLines="0" showRowCol="0">
      <pane ySplit="8" topLeftCell="A9" activePane="bottomLeft" state="frozen"/>
      <selection pane="bottomLeft" activeCell="I2" sqref="I2"/>
      <pageMargins left="0.7" right="0.7" top="0.75" bottom="0.75" header="0.3" footer="0.3"/>
      <pageSetup paperSize="9" orientation="portrait" r:id="rId1"/>
    </customSheetView>
    <customSheetView guid="{E8E9C221-0224-4E73-8F39-1821F41C5BD3}" showGridLines="0" showRowCol="0">
      <pane ySplit="8" topLeftCell="A231" activePane="bottomLeft" state="frozen"/>
      <selection pane="bottomLeft" activeCell="I5" sqref="I5"/>
      <pageMargins left="0.7" right="0.7" top="0.75" bottom="0.75" header="0.3" footer="0.3"/>
      <pageSetup paperSize="9" orientation="portrait" r:id="rId2"/>
    </customSheetView>
  </customSheetViews>
  <mergeCells count="5">
    <mergeCell ref="N9:O9"/>
    <mergeCell ref="P8:R8"/>
    <mergeCell ref="S8:U8"/>
    <mergeCell ref="Y8:AA8"/>
    <mergeCell ref="V8:X8"/>
  </mergeCells>
  <dataValidations count="4">
    <dataValidation type="list" allowBlank="1" showDropDown="1" showInputMessage="1" showErrorMessage="1" sqref="D9:D1888">
      <formula1>$O$10:$O$29</formula1>
    </dataValidation>
    <dataValidation type="list" allowBlank="1" showDropDown="1" showInputMessage="1" showErrorMessage="1" sqref="B9:B1888">
      <formula1>$B$6:$C$6</formula1>
    </dataValidation>
    <dataValidation allowBlank="1" showInputMessage="1" showErrorMessage="1" errorTitle="Dato no valido" error="El valor esta fuera de rango [0,30] o No es un numero" sqref="E9:H1888"/>
    <dataValidation type="list" allowBlank="1" showDropDown="1" showInputMessage="1" showErrorMessage="1" sqref="C9:C1888">
      <formula1>$O$32:$O$121</formula1>
    </dataValidation>
  </dataValidations>
  <hyperlinks>
    <hyperlink ref="I2" location="PPrincipal!A1" display="* Pagina Principal"/>
    <hyperlink ref="I3" location="Libertador!A1" display="Libertador"/>
    <hyperlink ref="I4" location="Miranda!A1" display="Miranda"/>
    <hyperlink ref="I5" location="Vargas!A1" display="Vargas"/>
  </hyperlink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B1:K46"/>
  <sheetViews>
    <sheetView showGridLines="0" showRowColHeaders="0" workbookViewId="0">
      <selection activeCell="J2" sqref="J2"/>
    </sheetView>
  </sheetViews>
  <sheetFormatPr baseColWidth="10" defaultColWidth="15.7109375" defaultRowHeight="22.5" customHeight="1"/>
  <cols>
    <col min="1" max="16384" width="15.7109375" style="58"/>
  </cols>
  <sheetData>
    <row r="1" spans="2:11" ht="15" customHeight="1">
      <c r="J1" s="95"/>
      <c r="K1" s="116"/>
    </row>
    <row r="2" spans="2:11" ht="15" customHeight="1">
      <c r="I2" s="14"/>
      <c r="J2" s="88" t="s">
        <v>8</v>
      </c>
      <c r="K2" s="116"/>
    </row>
    <row r="3" spans="2:11" ht="15" customHeight="1">
      <c r="I3" s="14"/>
      <c r="J3" s="88" t="s">
        <v>48</v>
      </c>
      <c r="K3" s="116"/>
    </row>
    <row r="4" spans="2:11" ht="15" customHeight="1">
      <c r="I4" s="14"/>
      <c r="J4" s="88" t="s">
        <v>49</v>
      </c>
      <c r="K4" s="116"/>
    </row>
    <row r="5" spans="2:11" ht="15" customHeight="1">
      <c r="G5" s="61"/>
      <c r="I5" s="14"/>
      <c r="J5" s="88" t="s">
        <v>50</v>
      </c>
      <c r="K5" s="116"/>
    </row>
    <row r="6" spans="2:11" ht="15" customHeight="1">
      <c r="B6" s="171" t="s">
        <v>25</v>
      </c>
      <c r="C6" s="171"/>
      <c r="D6" s="171"/>
      <c r="E6" s="171"/>
      <c r="F6" s="171"/>
      <c r="G6" s="171"/>
      <c r="J6" s="88"/>
    </row>
    <row r="27" spans="2:7" ht="22.5" customHeight="1">
      <c r="B27" s="171"/>
      <c r="C27" s="171"/>
      <c r="D27" s="171"/>
      <c r="E27" s="171"/>
      <c r="F27" s="171"/>
      <c r="G27" s="171"/>
    </row>
    <row r="46" spans="7:7" ht="22.5" customHeight="1">
      <c r="G46" s="61"/>
    </row>
  </sheetData>
  <customSheetViews>
    <customSheetView guid="{2387E3E5-DC3A-4E55-B9FB-E509729F4507}" scale="60" showPageBreaks="1" showGridLines="0" showRowCol="0" printArea="1" view="pageBreakPreview">
      <selection activeCell="J4" sqref="J4"/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verticalDpi="0" r:id="rId1"/>
    </customSheetView>
    <customSheetView guid="{E8E9C221-0224-4E73-8F39-1821F41C5BD3}" showGridLines="0" showRowCol="0">
      <selection activeCell="J2" sqref="J2"/>
      <pageMargins left="0.7" right="0.7" top="0.75" bottom="0.75" header="0.3" footer="0.3"/>
    </customSheetView>
  </customSheetViews>
  <mergeCells count="2">
    <mergeCell ref="B6:G6"/>
    <mergeCell ref="B27:G27"/>
  </mergeCells>
  <hyperlinks>
    <hyperlink ref="J2" location="PPrincipal!A1" display="* Pagina Principal"/>
    <hyperlink ref="J3" location="GLibertador!A1" display="Libertador"/>
    <hyperlink ref="J4" location="GMiranda!A1" display="Miranda"/>
    <hyperlink ref="J5" location="GVargas!A1" display="Vargas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showGridLines="0" showRowColHeaders="0" workbookViewId="0">
      <selection activeCell="Y2" sqref="Y2"/>
    </sheetView>
  </sheetViews>
  <sheetFormatPr baseColWidth="10" defaultColWidth="5.85546875" defaultRowHeight="15" customHeight="1"/>
  <cols>
    <col min="1" max="1" width="1.7109375" style="72" customWidth="1"/>
    <col min="2" max="2" width="7.28515625" style="72" customWidth="1"/>
    <col min="3" max="3" width="5.5703125" style="72" customWidth="1"/>
    <col min="4" max="4" width="5.42578125" style="72" customWidth="1"/>
    <col min="5" max="5" width="5.5703125" style="72" bestFit="1" customWidth="1"/>
    <col min="6" max="6" width="5.42578125" style="72" customWidth="1"/>
    <col min="7" max="13" width="5.5703125" style="72" bestFit="1" customWidth="1"/>
    <col min="14" max="14" width="5.5703125" style="73" bestFit="1" customWidth="1"/>
    <col min="15" max="22" width="5.5703125" style="72" bestFit="1" customWidth="1"/>
    <col min="23" max="23" width="1.42578125" style="72" customWidth="1"/>
    <col min="24" max="24" width="14" style="135" bestFit="1" customWidth="1"/>
    <col min="25" max="28" width="10.42578125" style="72" customWidth="1"/>
    <col min="29" max="16384" width="5.85546875" style="72"/>
  </cols>
  <sheetData>
    <row r="1" spans="1:28" ht="31.5" customHeight="1">
      <c r="B1" s="172" t="s">
        <v>26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</row>
    <row r="2" spans="1:28" ht="15" customHeight="1">
      <c r="C2" s="93"/>
      <c r="F2" s="94"/>
      <c r="G2" s="94"/>
      <c r="H2" s="94"/>
      <c r="I2" s="87"/>
      <c r="J2" s="87"/>
      <c r="X2" s="14"/>
      <c r="Y2" s="88" t="s">
        <v>8</v>
      </c>
      <c r="Z2" s="93"/>
    </row>
    <row r="3" spans="1:28" ht="15" customHeight="1">
      <c r="C3" s="93"/>
      <c r="F3" s="94"/>
      <c r="G3" s="94"/>
      <c r="H3" s="94"/>
      <c r="I3" s="87"/>
      <c r="J3" s="87"/>
      <c r="X3" s="14"/>
      <c r="Y3" s="88" t="s">
        <v>48</v>
      </c>
      <c r="Z3" s="93"/>
    </row>
    <row r="4" spans="1:28" ht="15" customHeight="1">
      <c r="C4" s="93"/>
      <c r="F4" s="94"/>
      <c r="G4" s="94"/>
      <c r="H4" s="94"/>
      <c r="I4" s="87"/>
      <c r="J4" s="87"/>
      <c r="X4" s="14"/>
      <c r="Y4" s="88" t="s">
        <v>49</v>
      </c>
      <c r="Z4" s="93"/>
    </row>
    <row r="5" spans="1:28" ht="15" customHeight="1">
      <c r="C5" s="93"/>
      <c r="F5" s="94"/>
      <c r="G5" s="94"/>
      <c r="H5" s="94"/>
      <c r="I5" s="87"/>
      <c r="J5" s="87"/>
      <c r="X5" s="14"/>
      <c r="Y5" s="88" t="s">
        <v>50</v>
      </c>
      <c r="Z5" s="93"/>
    </row>
    <row r="6" spans="1:28" s="1" customFormat="1" ht="15" customHeight="1" thickBot="1">
      <c r="A6" s="62"/>
      <c r="B6" s="69"/>
      <c r="C6" s="69"/>
      <c r="D6" s="69"/>
      <c r="E6" s="69"/>
      <c r="F6" s="69"/>
      <c r="G6" s="69"/>
      <c r="H6" s="69"/>
      <c r="I6" s="69"/>
      <c r="J6" s="69"/>
      <c r="K6" s="69"/>
      <c r="L6" s="72"/>
      <c r="M6" s="72"/>
      <c r="N6" s="73"/>
      <c r="O6" s="72"/>
      <c r="P6" s="72"/>
      <c r="Q6" s="72"/>
      <c r="R6" s="72"/>
      <c r="S6" s="72"/>
      <c r="T6" s="72"/>
      <c r="U6" s="72"/>
      <c r="V6" s="72"/>
      <c r="X6" s="136"/>
    </row>
    <row r="7" spans="1:28" s="70" customFormat="1" ht="15" customHeight="1" thickBot="1">
      <c r="A7" s="63"/>
      <c r="B7" s="97" t="s">
        <v>0</v>
      </c>
      <c r="C7" s="129">
        <v>0.3125</v>
      </c>
      <c r="D7" s="130">
        <v>0.33333333333333298</v>
      </c>
      <c r="E7" s="130">
        <v>0.35416666666666702</v>
      </c>
      <c r="F7" s="130">
        <v>0.375</v>
      </c>
      <c r="G7" s="130">
        <v>0.39583333333333298</v>
      </c>
      <c r="H7" s="130">
        <v>0.41666666666666702</v>
      </c>
      <c r="I7" s="130">
        <v>0.4375</v>
      </c>
      <c r="J7" s="130">
        <v>0.45833333333333298</v>
      </c>
      <c r="K7" s="130">
        <v>0.47916666666666702</v>
      </c>
      <c r="L7" s="130">
        <v>0.5</v>
      </c>
      <c r="M7" s="130">
        <v>0.52083333333333304</v>
      </c>
      <c r="N7" s="130">
        <v>4.1666666666666664E-2</v>
      </c>
      <c r="O7" s="130">
        <v>6.25E-2</v>
      </c>
      <c r="P7" s="130">
        <v>8.3333333333333329E-2</v>
      </c>
      <c r="Q7" s="130">
        <v>0.104166666666667</v>
      </c>
      <c r="R7" s="130">
        <v>0.125</v>
      </c>
      <c r="S7" s="130">
        <v>0.14583333333333301</v>
      </c>
      <c r="T7" s="130">
        <v>0.16666666666666599</v>
      </c>
      <c r="U7" s="130">
        <v>0.187499999999999</v>
      </c>
      <c r="V7" s="131">
        <v>0.20833333333333201</v>
      </c>
      <c r="X7" s="177" t="s">
        <v>7</v>
      </c>
      <c r="Y7" s="173" t="s">
        <v>51</v>
      </c>
      <c r="Z7" s="173" t="s">
        <v>52</v>
      </c>
      <c r="AA7" s="173" t="s">
        <v>53</v>
      </c>
      <c r="AB7" s="175" t="s">
        <v>4</v>
      </c>
    </row>
    <row r="8" spans="1:28" ht="15" customHeight="1" thickBot="1">
      <c r="A8" s="71"/>
      <c r="B8" s="151" t="s">
        <v>2</v>
      </c>
      <c r="C8" s="150">
        <v>1</v>
      </c>
      <c r="D8" s="132">
        <v>2</v>
      </c>
      <c r="E8" s="132">
        <v>3</v>
      </c>
      <c r="F8" s="132">
        <v>4</v>
      </c>
      <c r="G8" s="132">
        <v>5</v>
      </c>
      <c r="H8" s="132">
        <v>6</v>
      </c>
      <c r="I8" s="132">
        <v>7</v>
      </c>
      <c r="J8" s="132">
        <v>8</v>
      </c>
      <c r="K8" s="132">
        <v>9</v>
      </c>
      <c r="L8" s="132">
        <v>10</v>
      </c>
      <c r="M8" s="132">
        <v>11</v>
      </c>
      <c r="N8" s="132">
        <v>12</v>
      </c>
      <c r="O8" s="132">
        <v>13</v>
      </c>
      <c r="P8" s="132">
        <v>14</v>
      </c>
      <c r="Q8" s="132">
        <v>15</v>
      </c>
      <c r="R8" s="132">
        <v>16</v>
      </c>
      <c r="S8" s="132">
        <v>17</v>
      </c>
      <c r="T8" s="132">
        <v>18</v>
      </c>
      <c r="U8" s="132">
        <v>19</v>
      </c>
      <c r="V8" s="133">
        <v>20</v>
      </c>
      <c r="X8" s="178"/>
      <c r="Y8" s="174"/>
      <c r="Z8" s="174"/>
      <c r="AA8" s="174"/>
      <c r="AB8" s="176"/>
    </row>
    <row r="9" spans="1:28" ht="15" customHeight="1">
      <c r="A9" s="71"/>
      <c r="B9" s="125">
        <v>1</v>
      </c>
      <c r="C9" s="134">
        <f t="shared" ref="C9:L18" si="0">SUMIFS(SumaAM,CentroAM,$B9,TurnoAM,C$8)</f>
        <v>0</v>
      </c>
      <c r="D9" s="134">
        <f t="shared" si="0"/>
        <v>0</v>
      </c>
      <c r="E9" s="134">
        <f t="shared" si="0"/>
        <v>0</v>
      </c>
      <c r="F9" s="134">
        <f t="shared" si="0"/>
        <v>0</v>
      </c>
      <c r="G9" s="134">
        <f t="shared" si="0"/>
        <v>0</v>
      </c>
      <c r="H9" s="134">
        <f t="shared" si="0"/>
        <v>0</v>
      </c>
      <c r="I9" s="134">
        <f t="shared" si="0"/>
        <v>0</v>
      </c>
      <c r="J9" s="134">
        <f t="shared" si="0"/>
        <v>0</v>
      </c>
      <c r="K9" s="134">
        <f t="shared" si="0"/>
        <v>0</v>
      </c>
      <c r="L9" s="134">
        <f t="shared" si="0"/>
        <v>0</v>
      </c>
      <c r="M9" s="134">
        <f t="shared" ref="M9:V18" si="1">SUMIFS(SumaAM,CentroAM,$B9,TurnoAM,M$8)</f>
        <v>0</v>
      </c>
      <c r="N9" s="134">
        <f t="shared" si="1"/>
        <v>0</v>
      </c>
      <c r="O9" s="134">
        <f t="shared" si="1"/>
        <v>0</v>
      </c>
      <c r="P9" s="134">
        <f t="shared" si="1"/>
        <v>0</v>
      </c>
      <c r="Q9" s="134">
        <f t="shared" si="1"/>
        <v>0</v>
      </c>
      <c r="R9" s="134">
        <f t="shared" si="1"/>
        <v>0</v>
      </c>
      <c r="S9" s="134">
        <f t="shared" si="1"/>
        <v>0</v>
      </c>
      <c r="T9" s="134">
        <f t="shared" si="1"/>
        <v>0</v>
      </c>
      <c r="U9" s="134">
        <f t="shared" si="1"/>
        <v>0</v>
      </c>
      <c r="V9" s="134">
        <f t="shared" si="1"/>
        <v>0</v>
      </c>
      <c r="X9" s="145" t="s">
        <v>27</v>
      </c>
      <c r="Y9" s="127">
        <f t="shared" ref="Y9:Y40" si="2">SUMIF(CentroAM,$B9,Aristobulo_Izturiz)</f>
        <v>0</v>
      </c>
      <c r="Z9" s="127">
        <f t="shared" ref="Z9:Z40" si="3">SUMIF(CentroAM,$B9,Antonio_Ledezma)</f>
        <v>0</v>
      </c>
      <c r="AA9" s="127">
        <f t="shared" ref="AA9:AA40" si="4">SUMIF(CentroAM,$B9,Augusto_Uribe)</f>
        <v>0</v>
      </c>
      <c r="AB9" s="147">
        <f t="shared" ref="AB9:AB40" si="5">SUMIF(CentroAM,$B9,OtroAM)</f>
        <v>0</v>
      </c>
    </row>
    <row r="10" spans="1:28" ht="15" customHeight="1">
      <c r="A10" s="71"/>
      <c r="B10" s="75">
        <v>2</v>
      </c>
      <c r="C10" s="134">
        <f t="shared" si="0"/>
        <v>0</v>
      </c>
      <c r="D10" s="134">
        <f t="shared" si="0"/>
        <v>1</v>
      </c>
      <c r="E10" s="134">
        <f t="shared" si="0"/>
        <v>1</v>
      </c>
      <c r="F10" s="134">
        <f t="shared" si="0"/>
        <v>1</v>
      </c>
      <c r="G10" s="134">
        <f t="shared" si="0"/>
        <v>1</v>
      </c>
      <c r="H10" s="134">
        <f t="shared" si="0"/>
        <v>1</v>
      </c>
      <c r="I10" s="134">
        <f t="shared" si="0"/>
        <v>1</v>
      </c>
      <c r="J10" s="134">
        <f t="shared" si="0"/>
        <v>1</v>
      </c>
      <c r="K10" s="134">
        <f t="shared" si="0"/>
        <v>1</v>
      </c>
      <c r="L10" s="134">
        <f t="shared" si="0"/>
        <v>1</v>
      </c>
      <c r="M10" s="134">
        <f t="shared" si="1"/>
        <v>1</v>
      </c>
      <c r="N10" s="134">
        <f t="shared" si="1"/>
        <v>1</v>
      </c>
      <c r="O10" s="134">
        <f t="shared" si="1"/>
        <v>1</v>
      </c>
      <c r="P10" s="134">
        <f t="shared" si="1"/>
        <v>0</v>
      </c>
      <c r="Q10" s="134">
        <f t="shared" si="1"/>
        <v>0</v>
      </c>
      <c r="R10" s="134">
        <f t="shared" si="1"/>
        <v>0</v>
      </c>
      <c r="S10" s="134">
        <f t="shared" si="1"/>
        <v>0</v>
      </c>
      <c r="T10" s="134">
        <f t="shared" si="1"/>
        <v>0</v>
      </c>
      <c r="U10" s="134">
        <f t="shared" si="1"/>
        <v>0</v>
      </c>
      <c r="V10" s="134">
        <f t="shared" si="1"/>
        <v>0</v>
      </c>
      <c r="X10" s="145" t="s">
        <v>27</v>
      </c>
      <c r="Y10" s="127">
        <f t="shared" si="2"/>
        <v>90</v>
      </c>
      <c r="Z10" s="127">
        <f t="shared" si="3"/>
        <v>32</v>
      </c>
      <c r="AA10" s="127">
        <f t="shared" si="4"/>
        <v>0</v>
      </c>
      <c r="AB10" s="147">
        <f t="shared" si="5"/>
        <v>19</v>
      </c>
    </row>
    <row r="11" spans="1:28" ht="15" customHeight="1">
      <c r="A11" s="71"/>
      <c r="B11" s="75">
        <v>3</v>
      </c>
      <c r="C11" s="134">
        <f t="shared" si="0"/>
        <v>0</v>
      </c>
      <c r="D11" s="134">
        <f t="shared" si="0"/>
        <v>0</v>
      </c>
      <c r="E11" s="134">
        <f t="shared" si="0"/>
        <v>1</v>
      </c>
      <c r="F11" s="134">
        <f t="shared" si="0"/>
        <v>1</v>
      </c>
      <c r="G11" s="134">
        <f t="shared" si="0"/>
        <v>0</v>
      </c>
      <c r="H11" s="134">
        <f t="shared" si="0"/>
        <v>1</v>
      </c>
      <c r="I11" s="134">
        <f t="shared" si="0"/>
        <v>1</v>
      </c>
      <c r="J11" s="134">
        <f t="shared" si="0"/>
        <v>1</v>
      </c>
      <c r="K11" s="134">
        <f t="shared" si="0"/>
        <v>1</v>
      </c>
      <c r="L11" s="134">
        <f t="shared" si="0"/>
        <v>1</v>
      </c>
      <c r="M11" s="134">
        <f t="shared" si="1"/>
        <v>1</v>
      </c>
      <c r="N11" s="134">
        <f t="shared" si="1"/>
        <v>1</v>
      </c>
      <c r="O11" s="134">
        <f t="shared" si="1"/>
        <v>0</v>
      </c>
      <c r="P11" s="134">
        <f t="shared" si="1"/>
        <v>0</v>
      </c>
      <c r="Q11" s="134">
        <f t="shared" si="1"/>
        <v>0</v>
      </c>
      <c r="R11" s="134">
        <f t="shared" si="1"/>
        <v>0</v>
      </c>
      <c r="S11" s="134">
        <f t="shared" si="1"/>
        <v>0</v>
      </c>
      <c r="T11" s="134">
        <f t="shared" si="1"/>
        <v>0</v>
      </c>
      <c r="U11" s="134">
        <f t="shared" si="1"/>
        <v>0</v>
      </c>
      <c r="V11" s="134">
        <f t="shared" si="1"/>
        <v>0</v>
      </c>
      <c r="X11" s="145" t="s">
        <v>27</v>
      </c>
      <c r="Y11" s="127">
        <f t="shared" si="2"/>
        <v>126</v>
      </c>
      <c r="Z11" s="127">
        <f t="shared" si="3"/>
        <v>37</v>
      </c>
      <c r="AA11" s="127">
        <f t="shared" si="4"/>
        <v>0</v>
      </c>
      <c r="AB11" s="147">
        <f t="shared" si="5"/>
        <v>9</v>
      </c>
    </row>
    <row r="12" spans="1:28" ht="15" customHeight="1">
      <c r="A12" s="71"/>
      <c r="B12" s="75">
        <v>4</v>
      </c>
      <c r="C12" s="134">
        <f t="shared" si="0"/>
        <v>1</v>
      </c>
      <c r="D12" s="134">
        <f t="shared" si="0"/>
        <v>0</v>
      </c>
      <c r="E12" s="134">
        <f t="shared" si="0"/>
        <v>2</v>
      </c>
      <c r="F12" s="134">
        <f t="shared" si="0"/>
        <v>1</v>
      </c>
      <c r="G12" s="134">
        <f t="shared" si="0"/>
        <v>1</v>
      </c>
      <c r="H12" s="134">
        <f t="shared" si="0"/>
        <v>1</v>
      </c>
      <c r="I12" s="134">
        <f t="shared" si="0"/>
        <v>1</v>
      </c>
      <c r="J12" s="134">
        <f t="shared" si="0"/>
        <v>1</v>
      </c>
      <c r="K12" s="134">
        <f t="shared" si="0"/>
        <v>1</v>
      </c>
      <c r="L12" s="134">
        <f t="shared" si="0"/>
        <v>1</v>
      </c>
      <c r="M12" s="134">
        <f t="shared" si="1"/>
        <v>1</v>
      </c>
      <c r="N12" s="134">
        <f t="shared" si="1"/>
        <v>1</v>
      </c>
      <c r="O12" s="134">
        <f t="shared" si="1"/>
        <v>1</v>
      </c>
      <c r="P12" s="134">
        <f t="shared" si="1"/>
        <v>1</v>
      </c>
      <c r="Q12" s="134">
        <f t="shared" si="1"/>
        <v>0</v>
      </c>
      <c r="R12" s="134">
        <f t="shared" si="1"/>
        <v>0</v>
      </c>
      <c r="S12" s="134">
        <f t="shared" si="1"/>
        <v>0</v>
      </c>
      <c r="T12" s="134">
        <f t="shared" si="1"/>
        <v>0</v>
      </c>
      <c r="U12" s="134">
        <f t="shared" si="1"/>
        <v>0</v>
      </c>
      <c r="V12" s="134">
        <f t="shared" si="1"/>
        <v>0</v>
      </c>
      <c r="X12" s="145" t="s">
        <v>28</v>
      </c>
      <c r="Y12" s="127">
        <f t="shared" si="2"/>
        <v>86</v>
      </c>
      <c r="Z12" s="127">
        <f t="shared" si="3"/>
        <v>96</v>
      </c>
      <c r="AA12" s="127">
        <f t="shared" si="4"/>
        <v>4</v>
      </c>
      <c r="AB12" s="147">
        <f t="shared" si="5"/>
        <v>6</v>
      </c>
    </row>
    <row r="13" spans="1:28" ht="15" customHeight="1">
      <c r="A13" s="71"/>
      <c r="B13" s="75">
        <v>5</v>
      </c>
      <c r="C13" s="134">
        <f t="shared" si="0"/>
        <v>1</v>
      </c>
      <c r="D13" s="134">
        <f t="shared" si="0"/>
        <v>0</v>
      </c>
      <c r="E13" s="134">
        <f t="shared" si="0"/>
        <v>0</v>
      </c>
      <c r="F13" s="134">
        <f t="shared" si="0"/>
        <v>0</v>
      </c>
      <c r="G13" s="134">
        <f t="shared" si="0"/>
        <v>0</v>
      </c>
      <c r="H13" s="134">
        <f t="shared" si="0"/>
        <v>0</v>
      </c>
      <c r="I13" s="134">
        <f t="shared" si="0"/>
        <v>0</v>
      </c>
      <c r="J13" s="134">
        <f t="shared" si="0"/>
        <v>0</v>
      </c>
      <c r="K13" s="134">
        <f t="shared" si="0"/>
        <v>0</v>
      </c>
      <c r="L13" s="134">
        <f t="shared" si="0"/>
        <v>0</v>
      </c>
      <c r="M13" s="134">
        <f t="shared" si="1"/>
        <v>0</v>
      </c>
      <c r="N13" s="134">
        <f t="shared" si="1"/>
        <v>0</v>
      </c>
      <c r="O13" s="134">
        <f t="shared" si="1"/>
        <v>0</v>
      </c>
      <c r="P13" s="134">
        <f t="shared" si="1"/>
        <v>0</v>
      </c>
      <c r="Q13" s="134">
        <f t="shared" si="1"/>
        <v>0</v>
      </c>
      <c r="R13" s="134">
        <f t="shared" si="1"/>
        <v>0</v>
      </c>
      <c r="S13" s="134">
        <f t="shared" si="1"/>
        <v>0</v>
      </c>
      <c r="T13" s="134">
        <f t="shared" si="1"/>
        <v>0</v>
      </c>
      <c r="U13" s="134">
        <f t="shared" si="1"/>
        <v>0</v>
      </c>
      <c r="V13" s="134">
        <f t="shared" si="1"/>
        <v>0</v>
      </c>
      <c r="X13" s="145" t="s">
        <v>29</v>
      </c>
      <c r="Y13" s="127">
        <f t="shared" si="2"/>
        <v>5</v>
      </c>
      <c r="Z13" s="127">
        <f t="shared" si="3"/>
        <v>0</v>
      </c>
      <c r="AA13" s="127">
        <f t="shared" si="4"/>
        <v>0</v>
      </c>
      <c r="AB13" s="147">
        <f t="shared" si="5"/>
        <v>5</v>
      </c>
    </row>
    <row r="14" spans="1:28" ht="15" customHeight="1">
      <c r="B14" s="75">
        <v>6</v>
      </c>
      <c r="C14" s="134">
        <f t="shared" si="0"/>
        <v>0</v>
      </c>
      <c r="D14" s="134">
        <f t="shared" si="0"/>
        <v>0</v>
      </c>
      <c r="E14" s="134">
        <f t="shared" si="0"/>
        <v>0</v>
      </c>
      <c r="F14" s="134">
        <f t="shared" si="0"/>
        <v>0</v>
      </c>
      <c r="G14" s="134">
        <f t="shared" si="0"/>
        <v>0</v>
      </c>
      <c r="H14" s="134">
        <f t="shared" si="0"/>
        <v>0</v>
      </c>
      <c r="I14" s="134">
        <f t="shared" si="0"/>
        <v>0</v>
      </c>
      <c r="J14" s="134">
        <f t="shared" si="0"/>
        <v>0</v>
      </c>
      <c r="K14" s="134">
        <f t="shared" si="0"/>
        <v>0</v>
      </c>
      <c r="L14" s="134">
        <f t="shared" si="0"/>
        <v>0</v>
      </c>
      <c r="M14" s="134">
        <f t="shared" si="1"/>
        <v>0</v>
      </c>
      <c r="N14" s="134">
        <f t="shared" si="1"/>
        <v>0</v>
      </c>
      <c r="O14" s="134">
        <f t="shared" si="1"/>
        <v>0</v>
      </c>
      <c r="P14" s="134">
        <f t="shared" si="1"/>
        <v>0</v>
      </c>
      <c r="Q14" s="134">
        <f t="shared" si="1"/>
        <v>0</v>
      </c>
      <c r="R14" s="134">
        <f t="shared" si="1"/>
        <v>0</v>
      </c>
      <c r="S14" s="134">
        <f t="shared" si="1"/>
        <v>0</v>
      </c>
      <c r="T14" s="134">
        <f t="shared" si="1"/>
        <v>0</v>
      </c>
      <c r="U14" s="134">
        <f t="shared" si="1"/>
        <v>0</v>
      </c>
      <c r="V14" s="134">
        <f t="shared" si="1"/>
        <v>0</v>
      </c>
      <c r="X14" s="145" t="s">
        <v>29</v>
      </c>
      <c r="Y14" s="127">
        <f t="shared" si="2"/>
        <v>0</v>
      </c>
      <c r="Z14" s="127">
        <f t="shared" si="3"/>
        <v>0</v>
      </c>
      <c r="AA14" s="127">
        <f t="shared" si="4"/>
        <v>0</v>
      </c>
      <c r="AB14" s="147">
        <f t="shared" si="5"/>
        <v>0</v>
      </c>
    </row>
    <row r="15" spans="1:28" ht="15" customHeight="1">
      <c r="B15" s="75">
        <v>7</v>
      </c>
      <c r="C15" s="134">
        <f t="shared" si="0"/>
        <v>0</v>
      </c>
      <c r="D15" s="134">
        <f t="shared" si="0"/>
        <v>0</v>
      </c>
      <c r="E15" s="134">
        <f t="shared" si="0"/>
        <v>0</v>
      </c>
      <c r="F15" s="134">
        <f t="shared" si="0"/>
        <v>0</v>
      </c>
      <c r="G15" s="134">
        <f t="shared" si="0"/>
        <v>0</v>
      </c>
      <c r="H15" s="134">
        <f t="shared" si="0"/>
        <v>0</v>
      </c>
      <c r="I15" s="134">
        <f t="shared" si="0"/>
        <v>0</v>
      </c>
      <c r="J15" s="134">
        <f t="shared" si="0"/>
        <v>0</v>
      </c>
      <c r="K15" s="134">
        <f t="shared" si="0"/>
        <v>0</v>
      </c>
      <c r="L15" s="134">
        <f t="shared" si="0"/>
        <v>0</v>
      </c>
      <c r="M15" s="134">
        <f t="shared" si="1"/>
        <v>0</v>
      </c>
      <c r="N15" s="134">
        <f t="shared" si="1"/>
        <v>0</v>
      </c>
      <c r="O15" s="134">
        <f t="shared" si="1"/>
        <v>0</v>
      </c>
      <c r="P15" s="134">
        <f t="shared" si="1"/>
        <v>0</v>
      </c>
      <c r="Q15" s="134">
        <f t="shared" si="1"/>
        <v>0</v>
      </c>
      <c r="R15" s="134">
        <f t="shared" si="1"/>
        <v>0</v>
      </c>
      <c r="S15" s="134">
        <f t="shared" si="1"/>
        <v>0</v>
      </c>
      <c r="T15" s="134">
        <f t="shared" si="1"/>
        <v>0</v>
      </c>
      <c r="U15" s="134">
        <f t="shared" si="1"/>
        <v>0</v>
      </c>
      <c r="V15" s="134">
        <f t="shared" si="1"/>
        <v>0</v>
      </c>
      <c r="X15" s="145" t="s">
        <v>29</v>
      </c>
      <c r="Y15" s="127">
        <f t="shared" si="2"/>
        <v>0</v>
      </c>
      <c r="Z15" s="127">
        <f t="shared" si="3"/>
        <v>0</v>
      </c>
      <c r="AA15" s="127">
        <f t="shared" si="4"/>
        <v>0</v>
      </c>
      <c r="AB15" s="147">
        <f t="shared" si="5"/>
        <v>0</v>
      </c>
    </row>
    <row r="16" spans="1:28" ht="15" customHeight="1">
      <c r="B16" s="75">
        <v>8</v>
      </c>
      <c r="C16" s="134">
        <f t="shared" si="0"/>
        <v>1</v>
      </c>
      <c r="D16" s="134">
        <f t="shared" si="0"/>
        <v>0</v>
      </c>
      <c r="E16" s="134">
        <f t="shared" si="0"/>
        <v>0</v>
      </c>
      <c r="F16" s="134">
        <f t="shared" si="0"/>
        <v>0</v>
      </c>
      <c r="G16" s="134">
        <f t="shared" si="0"/>
        <v>0</v>
      </c>
      <c r="H16" s="134">
        <f t="shared" si="0"/>
        <v>0</v>
      </c>
      <c r="I16" s="134">
        <f t="shared" si="0"/>
        <v>0</v>
      </c>
      <c r="J16" s="134">
        <f t="shared" si="0"/>
        <v>1</v>
      </c>
      <c r="K16" s="134">
        <f t="shared" si="0"/>
        <v>1</v>
      </c>
      <c r="L16" s="134">
        <f t="shared" si="0"/>
        <v>1</v>
      </c>
      <c r="M16" s="134">
        <f t="shared" si="1"/>
        <v>1</v>
      </c>
      <c r="N16" s="134">
        <f t="shared" si="1"/>
        <v>1</v>
      </c>
      <c r="O16" s="134">
        <f t="shared" si="1"/>
        <v>0</v>
      </c>
      <c r="P16" s="134">
        <f t="shared" si="1"/>
        <v>0</v>
      </c>
      <c r="Q16" s="134">
        <f t="shared" si="1"/>
        <v>0</v>
      </c>
      <c r="R16" s="134">
        <f t="shared" si="1"/>
        <v>0</v>
      </c>
      <c r="S16" s="134">
        <f t="shared" si="1"/>
        <v>0</v>
      </c>
      <c r="T16" s="134">
        <f t="shared" si="1"/>
        <v>0</v>
      </c>
      <c r="U16" s="134">
        <f t="shared" si="1"/>
        <v>0</v>
      </c>
      <c r="V16" s="134">
        <f t="shared" si="1"/>
        <v>0</v>
      </c>
      <c r="X16" s="145" t="s">
        <v>29</v>
      </c>
      <c r="Y16" s="127">
        <f t="shared" si="2"/>
        <v>45</v>
      </c>
      <c r="Z16" s="127">
        <f t="shared" si="3"/>
        <v>28</v>
      </c>
      <c r="AA16" s="127">
        <f t="shared" si="4"/>
        <v>0</v>
      </c>
      <c r="AB16" s="147">
        <f t="shared" si="5"/>
        <v>0</v>
      </c>
    </row>
    <row r="17" spans="2:28" ht="15" customHeight="1">
      <c r="B17" s="75">
        <v>9</v>
      </c>
      <c r="C17" s="134">
        <f t="shared" si="0"/>
        <v>0</v>
      </c>
      <c r="D17" s="134">
        <f t="shared" si="0"/>
        <v>0</v>
      </c>
      <c r="E17" s="134">
        <f t="shared" si="0"/>
        <v>1</v>
      </c>
      <c r="F17" s="134">
        <f t="shared" si="0"/>
        <v>0</v>
      </c>
      <c r="G17" s="134">
        <f t="shared" si="0"/>
        <v>0</v>
      </c>
      <c r="H17" s="134">
        <f t="shared" si="0"/>
        <v>1</v>
      </c>
      <c r="I17" s="134">
        <f t="shared" si="0"/>
        <v>0</v>
      </c>
      <c r="J17" s="134">
        <f t="shared" si="0"/>
        <v>1</v>
      </c>
      <c r="K17" s="134">
        <f t="shared" si="0"/>
        <v>1</v>
      </c>
      <c r="L17" s="134">
        <f t="shared" si="0"/>
        <v>1</v>
      </c>
      <c r="M17" s="134">
        <f t="shared" si="1"/>
        <v>1</v>
      </c>
      <c r="N17" s="134">
        <f t="shared" si="1"/>
        <v>1</v>
      </c>
      <c r="O17" s="134">
        <f t="shared" si="1"/>
        <v>0</v>
      </c>
      <c r="P17" s="134">
        <f t="shared" si="1"/>
        <v>0</v>
      </c>
      <c r="Q17" s="134">
        <f t="shared" si="1"/>
        <v>0</v>
      </c>
      <c r="R17" s="134">
        <f t="shared" si="1"/>
        <v>0</v>
      </c>
      <c r="S17" s="134">
        <f t="shared" si="1"/>
        <v>0</v>
      </c>
      <c r="T17" s="134">
        <f t="shared" si="1"/>
        <v>0</v>
      </c>
      <c r="U17" s="134">
        <f t="shared" si="1"/>
        <v>0</v>
      </c>
      <c r="V17" s="134">
        <f t="shared" si="1"/>
        <v>0</v>
      </c>
      <c r="X17" s="145" t="s">
        <v>30</v>
      </c>
      <c r="Y17" s="127">
        <f t="shared" si="2"/>
        <v>33</v>
      </c>
      <c r="Z17" s="127">
        <f t="shared" si="3"/>
        <v>142</v>
      </c>
      <c r="AA17" s="127">
        <f t="shared" si="4"/>
        <v>0</v>
      </c>
      <c r="AB17" s="147">
        <f t="shared" si="5"/>
        <v>13</v>
      </c>
    </row>
    <row r="18" spans="2:28" ht="15" customHeight="1">
      <c r="B18" s="75">
        <v>10</v>
      </c>
      <c r="C18" s="134">
        <f t="shared" si="0"/>
        <v>0</v>
      </c>
      <c r="D18" s="134">
        <f t="shared" si="0"/>
        <v>0</v>
      </c>
      <c r="E18" s="134">
        <f t="shared" si="0"/>
        <v>0</v>
      </c>
      <c r="F18" s="134">
        <f t="shared" si="0"/>
        <v>1</v>
      </c>
      <c r="G18" s="134">
        <f t="shared" si="0"/>
        <v>0</v>
      </c>
      <c r="H18" s="134">
        <f t="shared" si="0"/>
        <v>0</v>
      </c>
      <c r="I18" s="134">
        <f t="shared" si="0"/>
        <v>0</v>
      </c>
      <c r="J18" s="134">
        <f t="shared" si="0"/>
        <v>0</v>
      </c>
      <c r="K18" s="134">
        <f t="shared" si="0"/>
        <v>0</v>
      </c>
      <c r="L18" s="134">
        <f t="shared" si="0"/>
        <v>0</v>
      </c>
      <c r="M18" s="134">
        <f t="shared" si="1"/>
        <v>0</v>
      </c>
      <c r="N18" s="134">
        <f t="shared" si="1"/>
        <v>0</v>
      </c>
      <c r="O18" s="134">
        <f t="shared" si="1"/>
        <v>0</v>
      </c>
      <c r="P18" s="134">
        <f t="shared" si="1"/>
        <v>0</v>
      </c>
      <c r="Q18" s="134">
        <f t="shared" si="1"/>
        <v>0</v>
      </c>
      <c r="R18" s="134">
        <f t="shared" si="1"/>
        <v>0</v>
      </c>
      <c r="S18" s="134">
        <f t="shared" si="1"/>
        <v>0</v>
      </c>
      <c r="T18" s="134">
        <f t="shared" si="1"/>
        <v>0</v>
      </c>
      <c r="U18" s="134">
        <f t="shared" si="1"/>
        <v>0</v>
      </c>
      <c r="V18" s="134">
        <f t="shared" si="1"/>
        <v>0</v>
      </c>
      <c r="X18" s="145" t="s">
        <v>30</v>
      </c>
      <c r="Y18" s="127">
        <f t="shared" si="2"/>
        <v>1</v>
      </c>
      <c r="Z18" s="127">
        <f t="shared" si="3"/>
        <v>5</v>
      </c>
      <c r="AA18" s="127">
        <f t="shared" si="4"/>
        <v>0</v>
      </c>
      <c r="AB18" s="147">
        <f t="shared" si="5"/>
        <v>0</v>
      </c>
    </row>
    <row r="19" spans="2:28" ht="15" customHeight="1">
      <c r="B19" s="75">
        <v>11</v>
      </c>
      <c r="C19" s="134">
        <f t="shared" ref="C19:L28" si="6">SUMIFS(SumaAM,CentroAM,$B19,TurnoAM,C$8)</f>
        <v>1</v>
      </c>
      <c r="D19" s="134">
        <f t="shared" si="6"/>
        <v>1</v>
      </c>
      <c r="E19" s="134">
        <f t="shared" si="6"/>
        <v>1</v>
      </c>
      <c r="F19" s="134">
        <f t="shared" si="6"/>
        <v>1</v>
      </c>
      <c r="G19" s="134">
        <f t="shared" si="6"/>
        <v>1</v>
      </c>
      <c r="H19" s="134">
        <f t="shared" si="6"/>
        <v>0</v>
      </c>
      <c r="I19" s="134">
        <f t="shared" si="6"/>
        <v>0</v>
      </c>
      <c r="J19" s="134">
        <f t="shared" si="6"/>
        <v>0</v>
      </c>
      <c r="K19" s="134">
        <f t="shared" si="6"/>
        <v>1</v>
      </c>
      <c r="L19" s="134">
        <f t="shared" si="6"/>
        <v>1</v>
      </c>
      <c r="M19" s="134">
        <f t="shared" ref="M19:V28" si="7">SUMIFS(SumaAM,CentroAM,$B19,TurnoAM,M$8)</f>
        <v>1</v>
      </c>
      <c r="N19" s="134">
        <f t="shared" si="7"/>
        <v>1</v>
      </c>
      <c r="O19" s="134">
        <f t="shared" si="7"/>
        <v>1</v>
      </c>
      <c r="P19" s="134">
        <f t="shared" si="7"/>
        <v>1</v>
      </c>
      <c r="Q19" s="134">
        <f t="shared" si="7"/>
        <v>1</v>
      </c>
      <c r="R19" s="134">
        <f t="shared" si="7"/>
        <v>0</v>
      </c>
      <c r="S19" s="134">
        <f t="shared" si="7"/>
        <v>0</v>
      </c>
      <c r="T19" s="134">
        <f t="shared" si="7"/>
        <v>0</v>
      </c>
      <c r="U19" s="134">
        <f t="shared" si="7"/>
        <v>0</v>
      </c>
      <c r="V19" s="134">
        <f t="shared" si="7"/>
        <v>0</v>
      </c>
      <c r="X19" s="145" t="s">
        <v>31</v>
      </c>
      <c r="Y19" s="127">
        <f t="shared" si="2"/>
        <v>66</v>
      </c>
      <c r="Z19" s="127">
        <f t="shared" si="3"/>
        <v>95</v>
      </c>
      <c r="AA19" s="127">
        <f t="shared" si="4"/>
        <v>0</v>
      </c>
      <c r="AB19" s="147">
        <f t="shared" si="5"/>
        <v>14</v>
      </c>
    </row>
    <row r="20" spans="2:28" ht="15" customHeight="1">
      <c r="B20" s="75">
        <v>12</v>
      </c>
      <c r="C20" s="134">
        <f t="shared" si="6"/>
        <v>0</v>
      </c>
      <c r="D20" s="134">
        <f t="shared" si="6"/>
        <v>0</v>
      </c>
      <c r="E20" s="134">
        <f t="shared" si="6"/>
        <v>1</v>
      </c>
      <c r="F20" s="134">
        <f t="shared" si="6"/>
        <v>1</v>
      </c>
      <c r="G20" s="134">
        <f t="shared" si="6"/>
        <v>1</v>
      </c>
      <c r="H20" s="134">
        <f t="shared" si="6"/>
        <v>0</v>
      </c>
      <c r="I20" s="134">
        <f t="shared" si="6"/>
        <v>0</v>
      </c>
      <c r="J20" s="134">
        <f t="shared" si="6"/>
        <v>3</v>
      </c>
      <c r="K20" s="134">
        <f t="shared" si="6"/>
        <v>3</v>
      </c>
      <c r="L20" s="134">
        <f t="shared" si="6"/>
        <v>3</v>
      </c>
      <c r="M20" s="134">
        <f t="shared" si="7"/>
        <v>1</v>
      </c>
      <c r="N20" s="134">
        <f t="shared" si="7"/>
        <v>1</v>
      </c>
      <c r="O20" s="134">
        <f t="shared" si="7"/>
        <v>1</v>
      </c>
      <c r="P20" s="134">
        <f t="shared" si="7"/>
        <v>1</v>
      </c>
      <c r="Q20" s="134">
        <f t="shared" si="7"/>
        <v>1</v>
      </c>
      <c r="R20" s="134">
        <f t="shared" si="7"/>
        <v>0</v>
      </c>
      <c r="S20" s="134">
        <f t="shared" si="7"/>
        <v>0</v>
      </c>
      <c r="T20" s="134">
        <f t="shared" si="7"/>
        <v>0</v>
      </c>
      <c r="U20" s="134">
        <f t="shared" si="7"/>
        <v>0</v>
      </c>
      <c r="V20" s="134">
        <f t="shared" si="7"/>
        <v>0</v>
      </c>
      <c r="X20" s="145" t="s">
        <v>31</v>
      </c>
      <c r="Y20" s="127">
        <f t="shared" si="2"/>
        <v>149</v>
      </c>
      <c r="Z20" s="127">
        <f t="shared" si="3"/>
        <v>117</v>
      </c>
      <c r="AA20" s="127">
        <f t="shared" si="4"/>
        <v>0</v>
      </c>
      <c r="AB20" s="147">
        <f t="shared" si="5"/>
        <v>43</v>
      </c>
    </row>
    <row r="21" spans="2:28" ht="15" customHeight="1">
      <c r="B21" s="75">
        <v>13</v>
      </c>
      <c r="C21" s="134">
        <f t="shared" si="6"/>
        <v>1</v>
      </c>
      <c r="D21" s="134">
        <f t="shared" si="6"/>
        <v>0</v>
      </c>
      <c r="E21" s="134">
        <f t="shared" si="6"/>
        <v>0</v>
      </c>
      <c r="F21" s="134">
        <f t="shared" si="6"/>
        <v>0</v>
      </c>
      <c r="G21" s="134">
        <f t="shared" si="6"/>
        <v>0</v>
      </c>
      <c r="H21" s="134">
        <f t="shared" si="6"/>
        <v>0</v>
      </c>
      <c r="I21" s="134">
        <f t="shared" si="6"/>
        <v>0</v>
      </c>
      <c r="J21" s="134">
        <f t="shared" si="6"/>
        <v>1</v>
      </c>
      <c r="K21" s="134">
        <f t="shared" si="6"/>
        <v>1</v>
      </c>
      <c r="L21" s="134">
        <f t="shared" si="6"/>
        <v>0</v>
      </c>
      <c r="M21" s="134">
        <f t="shared" si="7"/>
        <v>0</v>
      </c>
      <c r="N21" s="134">
        <f t="shared" si="7"/>
        <v>0</v>
      </c>
      <c r="O21" s="134">
        <f t="shared" si="7"/>
        <v>0</v>
      </c>
      <c r="P21" s="134">
        <f t="shared" si="7"/>
        <v>0</v>
      </c>
      <c r="Q21" s="134">
        <f t="shared" si="7"/>
        <v>0</v>
      </c>
      <c r="R21" s="134">
        <f t="shared" si="7"/>
        <v>0</v>
      </c>
      <c r="S21" s="134">
        <f t="shared" si="7"/>
        <v>0</v>
      </c>
      <c r="T21" s="134">
        <f t="shared" si="7"/>
        <v>0</v>
      </c>
      <c r="U21" s="134">
        <f t="shared" si="7"/>
        <v>0</v>
      </c>
      <c r="V21" s="134">
        <f t="shared" si="7"/>
        <v>0</v>
      </c>
      <c r="X21" s="145" t="s">
        <v>31</v>
      </c>
      <c r="Y21" s="127">
        <f t="shared" si="2"/>
        <v>15</v>
      </c>
      <c r="Z21" s="127">
        <f t="shared" si="3"/>
        <v>9</v>
      </c>
      <c r="AA21" s="127">
        <f t="shared" si="4"/>
        <v>0</v>
      </c>
      <c r="AB21" s="147">
        <f t="shared" si="5"/>
        <v>2</v>
      </c>
    </row>
    <row r="22" spans="2:28" ht="15" customHeight="1">
      <c r="B22" s="75">
        <v>14</v>
      </c>
      <c r="C22" s="134">
        <f t="shared" si="6"/>
        <v>0</v>
      </c>
      <c r="D22" s="134">
        <f t="shared" si="6"/>
        <v>0</v>
      </c>
      <c r="E22" s="134">
        <f t="shared" si="6"/>
        <v>0</v>
      </c>
      <c r="F22" s="134">
        <f t="shared" si="6"/>
        <v>0</v>
      </c>
      <c r="G22" s="134">
        <f t="shared" si="6"/>
        <v>0</v>
      </c>
      <c r="H22" s="134">
        <f t="shared" si="6"/>
        <v>0</v>
      </c>
      <c r="I22" s="134">
        <f t="shared" si="6"/>
        <v>0</v>
      </c>
      <c r="J22" s="134">
        <f t="shared" si="6"/>
        <v>0</v>
      </c>
      <c r="K22" s="134">
        <f t="shared" si="6"/>
        <v>0</v>
      </c>
      <c r="L22" s="134">
        <f t="shared" si="6"/>
        <v>0</v>
      </c>
      <c r="M22" s="134">
        <f t="shared" si="7"/>
        <v>0</v>
      </c>
      <c r="N22" s="134">
        <f t="shared" si="7"/>
        <v>0</v>
      </c>
      <c r="O22" s="134">
        <f t="shared" si="7"/>
        <v>0</v>
      </c>
      <c r="P22" s="134">
        <f t="shared" si="7"/>
        <v>0</v>
      </c>
      <c r="Q22" s="134">
        <f t="shared" si="7"/>
        <v>0</v>
      </c>
      <c r="R22" s="134">
        <f t="shared" si="7"/>
        <v>0</v>
      </c>
      <c r="S22" s="134">
        <f t="shared" si="7"/>
        <v>0</v>
      </c>
      <c r="T22" s="134">
        <f t="shared" si="7"/>
        <v>0</v>
      </c>
      <c r="U22" s="134">
        <f t="shared" si="7"/>
        <v>0</v>
      </c>
      <c r="V22" s="134">
        <f t="shared" si="7"/>
        <v>0</v>
      </c>
      <c r="X22" s="145" t="s">
        <v>31</v>
      </c>
      <c r="Y22" s="127">
        <f t="shared" si="2"/>
        <v>0</v>
      </c>
      <c r="Z22" s="127">
        <f t="shared" si="3"/>
        <v>0</v>
      </c>
      <c r="AA22" s="127">
        <f t="shared" si="4"/>
        <v>0</v>
      </c>
      <c r="AB22" s="147">
        <f t="shared" si="5"/>
        <v>0</v>
      </c>
    </row>
    <row r="23" spans="2:28" ht="15" customHeight="1">
      <c r="B23" s="75">
        <v>15</v>
      </c>
      <c r="C23" s="134">
        <f t="shared" si="6"/>
        <v>0</v>
      </c>
      <c r="D23" s="134">
        <f t="shared" si="6"/>
        <v>0</v>
      </c>
      <c r="E23" s="134">
        <f t="shared" si="6"/>
        <v>1</v>
      </c>
      <c r="F23" s="134">
        <f t="shared" si="6"/>
        <v>1</v>
      </c>
      <c r="G23" s="134">
        <f t="shared" si="6"/>
        <v>1</v>
      </c>
      <c r="H23" s="134">
        <f t="shared" si="6"/>
        <v>1</v>
      </c>
      <c r="I23" s="134">
        <f t="shared" si="6"/>
        <v>1</v>
      </c>
      <c r="J23" s="134">
        <f t="shared" si="6"/>
        <v>1</v>
      </c>
      <c r="K23" s="134">
        <f t="shared" si="6"/>
        <v>1</v>
      </c>
      <c r="L23" s="134">
        <f t="shared" si="6"/>
        <v>0</v>
      </c>
      <c r="M23" s="134">
        <f t="shared" si="7"/>
        <v>1</v>
      </c>
      <c r="N23" s="134">
        <f t="shared" si="7"/>
        <v>1</v>
      </c>
      <c r="O23" s="134">
        <f t="shared" si="7"/>
        <v>1</v>
      </c>
      <c r="P23" s="134">
        <f t="shared" si="7"/>
        <v>1</v>
      </c>
      <c r="Q23" s="134">
        <f t="shared" si="7"/>
        <v>0</v>
      </c>
      <c r="R23" s="134">
        <f t="shared" si="7"/>
        <v>0</v>
      </c>
      <c r="S23" s="134">
        <f t="shared" si="7"/>
        <v>0</v>
      </c>
      <c r="T23" s="134">
        <f t="shared" si="7"/>
        <v>0</v>
      </c>
      <c r="U23" s="134">
        <f t="shared" si="7"/>
        <v>0</v>
      </c>
      <c r="V23" s="134">
        <f t="shared" si="7"/>
        <v>0</v>
      </c>
      <c r="X23" s="145" t="s">
        <v>32</v>
      </c>
      <c r="Y23" s="127">
        <f t="shared" si="2"/>
        <v>15</v>
      </c>
      <c r="Z23" s="127">
        <f t="shared" si="3"/>
        <v>11</v>
      </c>
      <c r="AA23" s="127">
        <f t="shared" si="4"/>
        <v>1</v>
      </c>
      <c r="AB23" s="147">
        <f t="shared" si="5"/>
        <v>1</v>
      </c>
    </row>
    <row r="24" spans="2:28" ht="15" customHeight="1">
      <c r="B24" s="75">
        <v>16</v>
      </c>
      <c r="C24" s="134">
        <f t="shared" si="6"/>
        <v>0</v>
      </c>
      <c r="D24" s="134">
        <f t="shared" si="6"/>
        <v>1</v>
      </c>
      <c r="E24" s="134">
        <f t="shared" si="6"/>
        <v>1</v>
      </c>
      <c r="F24" s="134">
        <f t="shared" si="6"/>
        <v>0</v>
      </c>
      <c r="G24" s="134">
        <f t="shared" si="6"/>
        <v>1</v>
      </c>
      <c r="H24" s="134">
        <f t="shared" si="6"/>
        <v>1</v>
      </c>
      <c r="I24" s="134">
        <f t="shared" si="6"/>
        <v>0</v>
      </c>
      <c r="J24" s="134">
        <f t="shared" si="6"/>
        <v>0</v>
      </c>
      <c r="K24" s="134">
        <f t="shared" si="6"/>
        <v>0</v>
      </c>
      <c r="L24" s="134">
        <f t="shared" si="6"/>
        <v>0</v>
      </c>
      <c r="M24" s="134">
        <f t="shared" si="7"/>
        <v>0</v>
      </c>
      <c r="N24" s="134">
        <f t="shared" si="7"/>
        <v>0</v>
      </c>
      <c r="O24" s="134">
        <f t="shared" si="7"/>
        <v>0</v>
      </c>
      <c r="P24" s="134">
        <f t="shared" si="7"/>
        <v>0</v>
      </c>
      <c r="Q24" s="134">
        <f t="shared" si="7"/>
        <v>0</v>
      </c>
      <c r="R24" s="134">
        <f t="shared" si="7"/>
        <v>0</v>
      </c>
      <c r="S24" s="134">
        <f t="shared" si="7"/>
        <v>0</v>
      </c>
      <c r="T24" s="134">
        <f t="shared" si="7"/>
        <v>0</v>
      </c>
      <c r="U24" s="134">
        <f t="shared" si="7"/>
        <v>0</v>
      </c>
      <c r="V24" s="134">
        <f t="shared" si="7"/>
        <v>0</v>
      </c>
      <c r="X24" s="145" t="s">
        <v>32</v>
      </c>
      <c r="Y24" s="127">
        <f t="shared" si="2"/>
        <v>23</v>
      </c>
      <c r="Z24" s="127">
        <f t="shared" si="3"/>
        <v>15</v>
      </c>
      <c r="AA24" s="127">
        <f t="shared" si="4"/>
        <v>0</v>
      </c>
      <c r="AB24" s="147">
        <f t="shared" si="5"/>
        <v>0</v>
      </c>
    </row>
    <row r="25" spans="2:28" ht="15" customHeight="1">
      <c r="B25" s="75">
        <v>17</v>
      </c>
      <c r="C25" s="134">
        <f t="shared" si="6"/>
        <v>1</v>
      </c>
      <c r="D25" s="134">
        <f t="shared" si="6"/>
        <v>0</v>
      </c>
      <c r="E25" s="134">
        <f t="shared" si="6"/>
        <v>0</v>
      </c>
      <c r="F25" s="134">
        <f t="shared" si="6"/>
        <v>0</v>
      </c>
      <c r="G25" s="134">
        <f t="shared" si="6"/>
        <v>0</v>
      </c>
      <c r="H25" s="134">
        <f t="shared" si="6"/>
        <v>0</v>
      </c>
      <c r="I25" s="134">
        <f t="shared" si="6"/>
        <v>0</v>
      </c>
      <c r="J25" s="134">
        <f t="shared" si="6"/>
        <v>0</v>
      </c>
      <c r="K25" s="134">
        <f t="shared" si="6"/>
        <v>0</v>
      </c>
      <c r="L25" s="134">
        <f t="shared" si="6"/>
        <v>0</v>
      </c>
      <c r="M25" s="134">
        <f t="shared" si="7"/>
        <v>0</v>
      </c>
      <c r="N25" s="134">
        <f t="shared" si="7"/>
        <v>0</v>
      </c>
      <c r="O25" s="134">
        <f t="shared" si="7"/>
        <v>0</v>
      </c>
      <c r="P25" s="134">
        <f t="shared" si="7"/>
        <v>0</v>
      </c>
      <c r="Q25" s="134">
        <f t="shared" si="7"/>
        <v>0</v>
      </c>
      <c r="R25" s="134">
        <f t="shared" si="7"/>
        <v>0</v>
      </c>
      <c r="S25" s="134">
        <f t="shared" si="7"/>
        <v>0</v>
      </c>
      <c r="T25" s="134">
        <f t="shared" si="7"/>
        <v>0</v>
      </c>
      <c r="U25" s="134">
        <f t="shared" si="7"/>
        <v>0</v>
      </c>
      <c r="V25" s="134">
        <f t="shared" si="7"/>
        <v>0</v>
      </c>
      <c r="X25" s="145" t="s">
        <v>33</v>
      </c>
      <c r="Y25" s="127">
        <f t="shared" si="2"/>
        <v>10</v>
      </c>
      <c r="Z25" s="127">
        <f t="shared" si="3"/>
        <v>3</v>
      </c>
      <c r="AA25" s="127">
        <f t="shared" si="4"/>
        <v>0</v>
      </c>
      <c r="AB25" s="147">
        <f t="shared" si="5"/>
        <v>6</v>
      </c>
    </row>
    <row r="26" spans="2:28" ht="15" customHeight="1">
      <c r="B26" s="75">
        <v>18</v>
      </c>
      <c r="C26" s="134">
        <f t="shared" si="6"/>
        <v>0</v>
      </c>
      <c r="D26" s="134">
        <f t="shared" si="6"/>
        <v>0</v>
      </c>
      <c r="E26" s="134">
        <f t="shared" si="6"/>
        <v>0</v>
      </c>
      <c r="F26" s="134">
        <f t="shared" si="6"/>
        <v>0</v>
      </c>
      <c r="G26" s="134">
        <f t="shared" si="6"/>
        <v>0</v>
      </c>
      <c r="H26" s="134">
        <f t="shared" si="6"/>
        <v>0</v>
      </c>
      <c r="I26" s="134">
        <f t="shared" si="6"/>
        <v>0</v>
      </c>
      <c r="J26" s="134">
        <f t="shared" si="6"/>
        <v>0</v>
      </c>
      <c r="K26" s="134">
        <f t="shared" si="6"/>
        <v>0</v>
      </c>
      <c r="L26" s="134">
        <f t="shared" si="6"/>
        <v>0</v>
      </c>
      <c r="M26" s="134">
        <f t="shared" si="7"/>
        <v>0</v>
      </c>
      <c r="N26" s="134">
        <f t="shared" si="7"/>
        <v>0</v>
      </c>
      <c r="O26" s="134">
        <f t="shared" si="7"/>
        <v>0</v>
      </c>
      <c r="P26" s="134">
        <f t="shared" si="7"/>
        <v>0</v>
      </c>
      <c r="Q26" s="134">
        <f t="shared" si="7"/>
        <v>0</v>
      </c>
      <c r="R26" s="134">
        <f t="shared" si="7"/>
        <v>0</v>
      </c>
      <c r="S26" s="134">
        <f t="shared" si="7"/>
        <v>0</v>
      </c>
      <c r="T26" s="134">
        <f t="shared" si="7"/>
        <v>0</v>
      </c>
      <c r="U26" s="134">
        <f t="shared" si="7"/>
        <v>0</v>
      </c>
      <c r="V26" s="134">
        <f t="shared" si="7"/>
        <v>0</v>
      </c>
      <c r="X26" s="145" t="s">
        <v>33</v>
      </c>
      <c r="Y26" s="127">
        <f t="shared" si="2"/>
        <v>0</v>
      </c>
      <c r="Z26" s="127">
        <f t="shared" si="3"/>
        <v>0</v>
      </c>
      <c r="AA26" s="127">
        <f t="shared" si="4"/>
        <v>0</v>
      </c>
      <c r="AB26" s="147">
        <f t="shared" si="5"/>
        <v>0</v>
      </c>
    </row>
    <row r="27" spans="2:28" ht="15" customHeight="1">
      <c r="B27" s="75">
        <v>19</v>
      </c>
      <c r="C27" s="134">
        <f t="shared" si="6"/>
        <v>1</v>
      </c>
      <c r="D27" s="134">
        <f t="shared" si="6"/>
        <v>0</v>
      </c>
      <c r="E27" s="134">
        <f t="shared" si="6"/>
        <v>0</v>
      </c>
      <c r="F27" s="134">
        <f t="shared" si="6"/>
        <v>1</v>
      </c>
      <c r="G27" s="134">
        <f t="shared" si="6"/>
        <v>1</v>
      </c>
      <c r="H27" s="134">
        <f t="shared" si="6"/>
        <v>1</v>
      </c>
      <c r="I27" s="134">
        <f t="shared" si="6"/>
        <v>1</v>
      </c>
      <c r="J27" s="134">
        <f t="shared" si="6"/>
        <v>1</v>
      </c>
      <c r="K27" s="134">
        <f t="shared" si="6"/>
        <v>1</v>
      </c>
      <c r="L27" s="134">
        <f t="shared" si="6"/>
        <v>1</v>
      </c>
      <c r="M27" s="134">
        <f t="shared" si="7"/>
        <v>1</v>
      </c>
      <c r="N27" s="134">
        <f t="shared" si="7"/>
        <v>1</v>
      </c>
      <c r="O27" s="134">
        <f t="shared" si="7"/>
        <v>1</v>
      </c>
      <c r="P27" s="134">
        <f t="shared" si="7"/>
        <v>1</v>
      </c>
      <c r="Q27" s="134">
        <f t="shared" si="7"/>
        <v>1</v>
      </c>
      <c r="R27" s="134">
        <f t="shared" si="7"/>
        <v>0</v>
      </c>
      <c r="S27" s="134">
        <f t="shared" si="7"/>
        <v>0</v>
      </c>
      <c r="T27" s="134">
        <f t="shared" si="7"/>
        <v>0</v>
      </c>
      <c r="U27" s="134">
        <f t="shared" si="7"/>
        <v>0</v>
      </c>
      <c r="V27" s="134">
        <f t="shared" si="7"/>
        <v>0</v>
      </c>
      <c r="X27" s="145" t="s">
        <v>34</v>
      </c>
      <c r="Y27" s="127">
        <f t="shared" si="2"/>
        <v>20</v>
      </c>
      <c r="Z27" s="127">
        <f t="shared" si="3"/>
        <v>146</v>
      </c>
      <c r="AA27" s="127">
        <f t="shared" si="4"/>
        <v>0</v>
      </c>
      <c r="AB27" s="147">
        <f t="shared" si="5"/>
        <v>0</v>
      </c>
    </row>
    <row r="28" spans="2:28" ht="15" customHeight="1">
      <c r="B28" s="75">
        <v>20</v>
      </c>
      <c r="C28" s="134">
        <f t="shared" si="6"/>
        <v>1</v>
      </c>
      <c r="D28" s="134">
        <f t="shared" si="6"/>
        <v>0</v>
      </c>
      <c r="E28" s="134">
        <f t="shared" si="6"/>
        <v>0</v>
      </c>
      <c r="F28" s="134">
        <f t="shared" si="6"/>
        <v>1</v>
      </c>
      <c r="G28" s="134">
        <f t="shared" si="6"/>
        <v>1</v>
      </c>
      <c r="H28" s="134">
        <f t="shared" si="6"/>
        <v>0</v>
      </c>
      <c r="I28" s="134">
        <f t="shared" si="6"/>
        <v>0</v>
      </c>
      <c r="J28" s="134">
        <f t="shared" si="6"/>
        <v>0</v>
      </c>
      <c r="K28" s="134">
        <f t="shared" si="6"/>
        <v>0</v>
      </c>
      <c r="L28" s="134">
        <f t="shared" si="6"/>
        <v>0</v>
      </c>
      <c r="M28" s="134">
        <f t="shared" si="7"/>
        <v>0</v>
      </c>
      <c r="N28" s="134">
        <f t="shared" si="7"/>
        <v>0</v>
      </c>
      <c r="O28" s="134">
        <f t="shared" si="7"/>
        <v>0</v>
      </c>
      <c r="P28" s="134">
        <f t="shared" si="7"/>
        <v>0</v>
      </c>
      <c r="Q28" s="134">
        <f t="shared" si="7"/>
        <v>0</v>
      </c>
      <c r="R28" s="134">
        <f t="shared" si="7"/>
        <v>0</v>
      </c>
      <c r="S28" s="134">
        <f t="shared" si="7"/>
        <v>0</v>
      </c>
      <c r="T28" s="134">
        <f t="shared" si="7"/>
        <v>0</v>
      </c>
      <c r="U28" s="134">
        <f t="shared" si="7"/>
        <v>0</v>
      </c>
      <c r="V28" s="134">
        <f t="shared" si="7"/>
        <v>0</v>
      </c>
      <c r="X28" s="145" t="s">
        <v>34</v>
      </c>
      <c r="Y28" s="127">
        <f t="shared" si="2"/>
        <v>6</v>
      </c>
      <c r="Z28" s="127">
        <f t="shared" si="3"/>
        <v>16</v>
      </c>
      <c r="AA28" s="127">
        <f t="shared" si="4"/>
        <v>0</v>
      </c>
      <c r="AB28" s="147">
        <f t="shared" si="5"/>
        <v>2</v>
      </c>
    </row>
    <row r="29" spans="2:28" ht="15" customHeight="1">
      <c r="B29" s="75">
        <v>21</v>
      </c>
      <c r="C29" s="134">
        <f t="shared" ref="C29:L38" si="8">SUMIFS(SumaAM,CentroAM,$B29,TurnoAM,C$8)</f>
        <v>0</v>
      </c>
      <c r="D29" s="134">
        <f t="shared" si="8"/>
        <v>1</v>
      </c>
      <c r="E29" s="134">
        <f t="shared" si="8"/>
        <v>1</v>
      </c>
      <c r="F29" s="134">
        <f t="shared" si="8"/>
        <v>1</v>
      </c>
      <c r="G29" s="134">
        <f t="shared" si="8"/>
        <v>1</v>
      </c>
      <c r="H29" s="134">
        <f t="shared" si="8"/>
        <v>1</v>
      </c>
      <c r="I29" s="134">
        <f t="shared" si="8"/>
        <v>1</v>
      </c>
      <c r="J29" s="134">
        <f t="shared" si="8"/>
        <v>1</v>
      </c>
      <c r="K29" s="134">
        <f t="shared" si="8"/>
        <v>1</v>
      </c>
      <c r="L29" s="134">
        <f t="shared" si="8"/>
        <v>1</v>
      </c>
      <c r="M29" s="134">
        <f t="shared" ref="M29:V38" si="9">SUMIFS(SumaAM,CentroAM,$B29,TurnoAM,M$8)</f>
        <v>1</v>
      </c>
      <c r="N29" s="134">
        <f t="shared" si="9"/>
        <v>2</v>
      </c>
      <c r="O29" s="134">
        <f t="shared" si="9"/>
        <v>1</v>
      </c>
      <c r="P29" s="134">
        <f t="shared" si="9"/>
        <v>0</v>
      </c>
      <c r="Q29" s="134">
        <f t="shared" si="9"/>
        <v>0</v>
      </c>
      <c r="R29" s="134">
        <f t="shared" si="9"/>
        <v>0</v>
      </c>
      <c r="S29" s="134">
        <f t="shared" si="9"/>
        <v>0</v>
      </c>
      <c r="T29" s="134">
        <f t="shared" si="9"/>
        <v>0</v>
      </c>
      <c r="U29" s="134">
        <f t="shared" si="9"/>
        <v>0</v>
      </c>
      <c r="V29" s="134">
        <f t="shared" si="9"/>
        <v>0</v>
      </c>
      <c r="X29" s="145" t="s">
        <v>34</v>
      </c>
      <c r="Y29" s="127">
        <f t="shared" si="2"/>
        <v>28</v>
      </c>
      <c r="Z29" s="127">
        <f t="shared" si="3"/>
        <v>290</v>
      </c>
      <c r="AA29" s="127">
        <f t="shared" si="4"/>
        <v>0</v>
      </c>
      <c r="AB29" s="147">
        <f t="shared" si="5"/>
        <v>2</v>
      </c>
    </row>
    <row r="30" spans="2:28" ht="15" customHeight="1">
      <c r="B30" s="75">
        <v>22</v>
      </c>
      <c r="C30" s="134">
        <f t="shared" si="8"/>
        <v>1</v>
      </c>
      <c r="D30" s="134">
        <f t="shared" si="8"/>
        <v>1</v>
      </c>
      <c r="E30" s="134">
        <f t="shared" si="8"/>
        <v>1</v>
      </c>
      <c r="F30" s="134">
        <f t="shared" si="8"/>
        <v>1</v>
      </c>
      <c r="G30" s="134">
        <f t="shared" si="8"/>
        <v>1</v>
      </c>
      <c r="H30" s="134">
        <f t="shared" si="8"/>
        <v>1</v>
      </c>
      <c r="I30" s="134">
        <f t="shared" si="8"/>
        <v>1</v>
      </c>
      <c r="J30" s="134">
        <f t="shared" si="8"/>
        <v>1</v>
      </c>
      <c r="K30" s="134">
        <f t="shared" si="8"/>
        <v>1</v>
      </c>
      <c r="L30" s="134">
        <f t="shared" si="8"/>
        <v>1</v>
      </c>
      <c r="M30" s="134">
        <f t="shared" si="9"/>
        <v>1</v>
      </c>
      <c r="N30" s="134">
        <f t="shared" si="9"/>
        <v>1</v>
      </c>
      <c r="O30" s="134">
        <f t="shared" si="9"/>
        <v>1</v>
      </c>
      <c r="P30" s="134">
        <f t="shared" si="9"/>
        <v>0</v>
      </c>
      <c r="Q30" s="134">
        <f t="shared" si="9"/>
        <v>0</v>
      </c>
      <c r="R30" s="134">
        <f t="shared" si="9"/>
        <v>0</v>
      </c>
      <c r="S30" s="134">
        <f t="shared" si="9"/>
        <v>0</v>
      </c>
      <c r="T30" s="134">
        <f t="shared" si="9"/>
        <v>0</v>
      </c>
      <c r="U30" s="134">
        <f t="shared" si="9"/>
        <v>0</v>
      </c>
      <c r="V30" s="134">
        <f t="shared" si="9"/>
        <v>0</v>
      </c>
      <c r="X30" s="145" t="s">
        <v>35</v>
      </c>
      <c r="Y30" s="127">
        <f t="shared" si="2"/>
        <v>11</v>
      </c>
      <c r="Z30" s="127">
        <f t="shared" si="3"/>
        <v>206</v>
      </c>
      <c r="AA30" s="127">
        <f t="shared" si="4"/>
        <v>0</v>
      </c>
      <c r="AB30" s="147">
        <f t="shared" si="5"/>
        <v>0</v>
      </c>
    </row>
    <row r="31" spans="2:28" ht="15" customHeight="1">
      <c r="B31" s="75">
        <v>23</v>
      </c>
      <c r="C31" s="134">
        <f t="shared" si="8"/>
        <v>0</v>
      </c>
      <c r="D31" s="134">
        <f t="shared" si="8"/>
        <v>0</v>
      </c>
      <c r="E31" s="134">
        <f t="shared" si="8"/>
        <v>1</v>
      </c>
      <c r="F31" s="134">
        <f t="shared" si="8"/>
        <v>0</v>
      </c>
      <c r="G31" s="134">
        <f t="shared" si="8"/>
        <v>1</v>
      </c>
      <c r="H31" s="134">
        <f t="shared" si="8"/>
        <v>1</v>
      </c>
      <c r="I31" s="134">
        <f t="shared" si="8"/>
        <v>0</v>
      </c>
      <c r="J31" s="134">
        <f t="shared" si="8"/>
        <v>1</v>
      </c>
      <c r="K31" s="134">
        <f t="shared" si="8"/>
        <v>1</v>
      </c>
      <c r="L31" s="134">
        <f t="shared" si="8"/>
        <v>1</v>
      </c>
      <c r="M31" s="134">
        <f t="shared" si="9"/>
        <v>1</v>
      </c>
      <c r="N31" s="134">
        <f t="shared" si="9"/>
        <v>1</v>
      </c>
      <c r="O31" s="134">
        <f t="shared" si="9"/>
        <v>1</v>
      </c>
      <c r="P31" s="134">
        <f t="shared" si="9"/>
        <v>1</v>
      </c>
      <c r="Q31" s="134">
        <f t="shared" si="9"/>
        <v>1</v>
      </c>
      <c r="R31" s="134">
        <f t="shared" si="9"/>
        <v>0</v>
      </c>
      <c r="S31" s="134">
        <f t="shared" si="9"/>
        <v>0</v>
      </c>
      <c r="T31" s="134">
        <f t="shared" si="9"/>
        <v>0</v>
      </c>
      <c r="U31" s="134">
        <f t="shared" si="9"/>
        <v>0</v>
      </c>
      <c r="V31" s="134">
        <f t="shared" si="9"/>
        <v>0</v>
      </c>
      <c r="X31" s="145" t="s">
        <v>35</v>
      </c>
      <c r="Y31" s="127">
        <f t="shared" si="2"/>
        <v>75</v>
      </c>
      <c r="Z31" s="127">
        <f t="shared" si="3"/>
        <v>142</v>
      </c>
      <c r="AA31" s="127">
        <f t="shared" si="4"/>
        <v>6</v>
      </c>
      <c r="AB31" s="147">
        <f t="shared" si="5"/>
        <v>2</v>
      </c>
    </row>
    <row r="32" spans="2:28" ht="15" customHeight="1">
      <c r="B32" s="75">
        <v>24</v>
      </c>
      <c r="C32" s="134">
        <f t="shared" si="8"/>
        <v>1</v>
      </c>
      <c r="D32" s="134">
        <f t="shared" si="8"/>
        <v>0</v>
      </c>
      <c r="E32" s="134">
        <f t="shared" si="8"/>
        <v>1</v>
      </c>
      <c r="F32" s="134">
        <f t="shared" si="8"/>
        <v>1</v>
      </c>
      <c r="G32" s="134">
        <f t="shared" si="8"/>
        <v>1</v>
      </c>
      <c r="H32" s="134">
        <f t="shared" si="8"/>
        <v>1</v>
      </c>
      <c r="I32" s="134">
        <f t="shared" si="8"/>
        <v>2</v>
      </c>
      <c r="J32" s="134">
        <f t="shared" si="8"/>
        <v>0</v>
      </c>
      <c r="K32" s="134">
        <f t="shared" si="8"/>
        <v>0</v>
      </c>
      <c r="L32" s="134">
        <f t="shared" si="8"/>
        <v>1</v>
      </c>
      <c r="M32" s="134">
        <f t="shared" si="9"/>
        <v>1</v>
      </c>
      <c r="N32" s="134">
        <f t="shared" si="9"/>
        <v>1</v>
      </c>
      <c r="O32" s="134">
        <f t="shared" si="9"/>
        <v>0</v>
      </c>
      <c r="P32" s="134">
        <f t="shared" si="9"/>
        <v>0</v>
      </c>
      <c r="Q32" s="134">
        <f t="shared" si="9"/>
        <v>0</v>
      </c>
      <c r="R32" s="134">
        <f t="shared" si="9"/>
        <v>0</v>
      </c>
      <c r="S32" s="134">
        <f t="shared" si="9"/>
        <v>0</v>
      </c>
      <c r="T32" s="134">
        <f t="shared" si="9"/>
        <v>0</v>
      </c>
      <c r="U32" s="134">
        <f t="shared" si="9"/>
        <v>0</v>
      </c>
      <c r="V32" s="134">
        <f t="shared" si="9"/>
        <v>0</v>
      </c>
      <c r="X32" s="145" t="s">
        <v>35</v>
      </c>
      <c r="Y32" s="127">
        <f t="shared" si="2"/>
        <v>16</v>
      </c>
      <c r="Z32" s="127">
        <f t="shared" si="3"/>
        <v>190</v>
      </c>
      <c r="AA32" s="127">
        <f t="shared" si="4"/>
        <v>0</v>
      </c>
      <c r="AB32" s="147">
        <f t="shared" si="5"/>
        <v>12</v>
      </c>
    </row>
    <row r="33" spans="2:28" ht="15" customHeight="1">
      <c r="B33" s="75">
        <v>25</v>
      </c>
      <c r="C33" s="134">
        <f t="shared" si="8"/>
        <v>1</v>
      </c>
      <c r="D33" s="134">
        <f t="shared" si="8"/>
        <v>0</v>
      </c>
      <c r="E33" s="134">
        <f t="shared" si="8"/>
        <v>1</v>
      </c>
      <c r="F33" s="134">
        <f t="shared" si="8"/>
        <v>2</v>
      </c>
      <c r="G33" s="134">
        <f t="shared" si="8"/>
        <v>2</v>
      </c>
      <c r="H33" s="134">
        <f t="shared" si="8"/>
        <v>1</v>
      </c>
      <c r="I33" s="134">
        <f t="shared" si="8"/>
        <v>1</v>
      </c>
      <c r="J33" s="134">
        <f t="shared" si="8"/>
        <v>1</v>
      </c>
      <c r="K33" s="134">
        <f t="shared" si="8"/>
        <v>1</v>
      </c>
      <c r="L33" s="134">
        <f t="shared" si="8"/>
        <v>1</v>
      </c>
      <c r="M33" s="134">
        <f t="shared" si="9"/>
        <v>1</v>
      </c>
      <c r="N33" s="134">
        <f t="shared" si="9"/>
        <v>1</v>
      </c>
      <c r="O33" s="134">
        <f t="shared" si="9"/>
        <v>1</v>
      </c>
      <c r="P33" s="134">
        <f t="shared" si="9"/>
        <v>0</v>
      </c>
      <c r="Q33" s="134">
        <f t="shared" si="9"/>
        <v>0</v>
      </c>
      <c r="R33" s="134">
        <f t="shared" si="9"/>
        <v>0</v>
      </c>
      <c r="S33" s="134">
        <f t="shared" si="9"/>
        <v>0</v>
      </c>
      <c r="T33" s="134">
        <f t="shared" si="9"/>
        <v>0</v>
      </c>
      <c r="U33" s="134">
        <f t="shared" si="9"/>
        <v>0</v>
      </c>
      <c r="V33" s="134">
        <f t="shared" si="9"/>
        <v>0</v>
      </c>
      <c r="X33" s="145" t="s">
        <v>35</v>
      </c>
      <c r="Y33" s="127">
        <f t="shared" si="2"/>
        <v>149</v>
      </c>
      <c r="Z33" s="127">
        <f t="shared" si="3"/>
        <v>26</v>
      </c>
      <c r="AA33" s="127">
        <f t="shared" si="4"/>
        <v>18</v>
      </c>
      <c r="AB33" s="147">
        <f t="shared" si="5"/>
        <v>0</v>
      </c>
    </row>
    <row r="34" spans="2:28" ht="15" customHeight="1">
      <c r="B34" s="75">
        <v>26</v>
      </c>
      <c r="C34" s="134">
        <f t="shared" si="8"/>
        <v>0</v>
      </c>
      <c r="D34" s="134">
        <f t="shared" si="8"/>
        <v>0</v>
      </c>
      <c r="E34" s="134">
        <f t="shared" si="8"/>
        <v>0</v>
      </c>
      <c r="F34" s="134">
        <f t="shared" si="8"/>
        <v>0</v>
      </c>
      <c r="G34" s="134">
        <f t="shared" si="8"/>
        <v>0</v>
      </c>
      <c r="H34" s="134">
        <f t="shared" si="8"/>
        <v>0</v>
      </c>
      <c r="I34" s="134">
        <f t="shared" si="8"/>
        <v>0</v>
      </c>
      <c r="J34" s="134">
        <f t="shared" si="8"/>
        <v>0</v>
      </c>
      <c r="K34" s="134">
        <f t="shared" si="8"/>
        <v>0</v>
      </c>
      <c r="L34" s="134">
        <f t="shared" si="8"/>
        <v>0</v>
      </c>
      <c r="M34" s="134">
        <f t="shared" si="9"/>
        <v>0</v>
      </c>
      <c r="N34" s="134">
        <f t="shared" si="9"/>
        <v>0</v>
      </c>
      <c r="O34" s="134">
        <f t="shared" si="9"/>
        <v>0</v>
      </c>
      <c r="P34" s="134">
        <f t="shared" si="9"/>
        <v>0</v>
      </c>
      <c r="Q34" s="134">
        <f t="shared" si="9"/>
        <v>0</v>
      </c>
      <c r="R34" s="134">
        <f t="shared" si="9"/>
        <v>0</v>
      </c>
      <c r="S34" s="134">
        <f t="shared" si="9"/>
        <v>0</v>
      </c>
      <c r="T34" s="134">
        <f t="shared" si="9"/>
        <v>0</v>
      </c>
      <c r="U34" s="134">
        <f t="shared" si="9"/>
        <v>0</v>
      </c>
      <c r="V34" s="134">
        <f t="shared" si="9"/>
        <v>0</v>
      </c>
      <c r="X34" s="145" t="s">
        <v>36</v>
      </c>
      <c r="Y34" s="127">
        <f t="shared" si="2"/>
        <v>0</v>
      </c>
      <c r="Z34" s="127">
        <f t="shared" si="3"/>
        <v>0</v>
      </c>
      <c r="AA34" s="127">
        <f t="shared" si="4"/>
        <v>0</v>
      </c>
      <c r="AB34" s="147">
        <f t="shared" si="5"/>
        <v>0</v>
      </c>
    </row>
    <row r="35" spans="2:28" ht="15" customHeight="1">
      <c r="B35" s="75">
        <v>27</v>
      </c>
      <c r="C35" s="134">
        <f t="shared" si="8"/>
        <v>1</v>
      </c>
      <c r="D35" s="134">
        <f t="shared" si="8"/>
        <v>1</v>
      </c>
      <c r="E35" s="134">
        <f t="shared" si="8"/>
        <v>1</v>
      </c>
      <c r="F35" s="134">
        <f t="shared" si="8"/>
        <v>1</v>
      </c>
      <c r="G35" s="134">
        <f t="shared" si="8"/>
        <v>1</v>
      </c>
      <c r="H35" s="134">
        <f t="shared" si="8"/>
        <v>2</v>
      </c>
      <c r="I35" s="134">
        <f t="shared" si="8"/>
        <v>1</v>
      </c>
      <c r="J35" s="134">
        <f t="shared" si="8"/>
        <v>1</v>
      </c>
      <c r="K35" s="134">
        <f t="shared" si="8"/>
        <v>1</v>
      </c>
      <c r="L35" s="134">
        <f t="shared" si="8"/>
        <v>1</v>
      </c>
      <c r="M35" s="134">
        <f t="shared" si="9"/>
        <v>1</v>
      </c>
      <c r="N35" s="134">
        <f t="shared" si="9"/>
        <v>0</v>
      </c>
      <c r="O35" s="134">
        <f t="shared" si="9"/>
        <v>0</v>
      </c>
      <c r="P35" s="134">
        <f t="shared" si="9"/>
        <v>0</v>
      </c>
      <c r="Q35" s="134">
        <f t="shared" si="9"/>
        <v>0</v>
      </c>
      <c r="R35" s="134">
        <f t="shared" si="9"/>
        <v>0</v>
      </c>
      <c r="S35" s="134">
        <f t="shared" si="9"/>
        <v>0</v>
      </c>
      <c r="T35" s="134">
        <f t="shared" si="9"/>
        <v>0</v>
      </c>
      <c r="U35" s="134">
        <f t="shared" si="9"/>
        <v>0</v>
      </c>
      <c r="V35" s="134">
        <f t="shared" si="9"/>
        <v>0</v>
      </c>
      <c r="X35" s="145" t="s">
        <v>36</v>
      </c>
      <c r="Y35" s="127">
        <f t="shared" si="2"/>
        <v>341</v>
      </c>
      <c r="Z35" s="127">
        <f t="shared" si="3"/>
        <v>158</v>
      </c>
      <c r="AA35" s="127">
        <f t="shared" si="4"/>
        <v>25</v>
      </c>
      <c r="AB35" s="147">
        <f t="shared" si="5"/>
        <v>1</v>
      </c>
    </row>
    <row r="36" spans="2:28" ht="15" customHeight="1">
      <c r="B36" s="75">
        <v>28</v>
      </c>
      <c r="C36" s="134">
        <f t="shared" si="8"/>
        <v>0</v>
      </c>
      <c r="D36" s="134">
        <f t="shared" si="8"/>
        <v>1</v>
      </c>
      <c r="E36" s="134">
        <f t="shared" si="8"/>
        <v>0</v>
      </c>
      <c r="F36" s="134">
        <f t="shared" si="8"/>
        <v>0</v>
      </c>
      <c r="G36" s="134">
        <f t="shared" si="8"/>
        <v>1</v>
      </c>
      <c r="H36" s="134">
        <f t="shared" si="8"/>
        <v>0</v>
      </c>
      <c r="I36" s="134">
        <f t="shared" si="8"/>
        <v>1</v>
      </c>
      <c r="J36" s="134">
        <f t="shared" si="8"/>
        <v>1</v>
      </c>
      <c r="K36" s="134">
        <f t="shared" si="8"/>
        <v>1</v>
      </c>
      <c r="L36" s="134">
        <f t="shared" si="8"/>
        <v>0</v>
      </c>
      <c r="M36" s="134">
        <f t="shared" si="9"/>
        <v>1</v>
      </c>
      <c r="N36" s="134">
        <f t="shared" si="9"/>
        <v>0</v>
      </c>
      <c r="O36" s="134">
        <f t="shared" si="9"/>
        <v>1</v>
      </c>
      <c r="P36" s="134">
        <f t="shared" si="9"/>
        <v>1</v>
      </c>
      <c r="Q36" s="134">
        <f t="shared" si="9"/>
        <v>0</v>
      </c>
      <c r="R36" s="134">
        <f t="shared" si="9"/>
        <v>0</v>
      </c>
      <c r="S36" s="134">
        <f t="shared" si="9"/>
        <v>0</v>
      </c>
      <c r="T36" s="134">
        <f t="shared" si="9"/>
        <v>0</v>
      </c>
      <c r="U36" s="134">
        <f t="shared" si="9"/>
        <v>0</v>
      </c>
      <c r="V36" s="134">
        <f t="shared" si="9"/>
        <v>0</v>
      </c>
      <c r="X36" s="145" t="s">
        <v>36</v>
      </c>
      <c r="Y36" s="127">
        <f t="shared" si="2"/>
        <v>60</v>
      </c>
      <c r="Z36" s="127">
        <f t="shared" si="3"/>
        <v>68</v>
      </c>
      <c r="AA36" s="127">
        <f t="shared" si="4"/>
        <v>0</v>
      </c>
      <c r="AB36" s="147">
        <f t="shared" si="5"/>
        <v>11</v>
      </c>
    </row>
    <row r="37" spans="2:28" ht="15" customHeight="1">
      <c r="B37" s="75">
        <v>29</v>
      </c>
      <c r="C37" s="134">
        <f t="shared" si="8"/>
        <v>0</v>
      </c>
      <c r="D37" s="134">
        <f t="shared" si="8"/>
        <v>0</v>
      </c>
      <c r="E37" s="134">
        <f t="shared" si="8"/>
        <v>0</v>
      </c>
      <c r="F37" s="134">
        <f t="shared" si="8"/>
        <v>0</v>
      </c>
      <c r="G37" s="134">
        <f t="shared" si="8"/>
        <v>0</v>
      </c>
      <c r="H37" s="134">
        <f t="shared" si="8"/>
        <v>1</v>
      </c>
      <c r="I37" s="134">
        <f t="shared" si="8"/>
        <v>0</v>
      </c>
      <c r="J37" s="134">
        <f t="shared" si="8"/>
        <v>0</v>
      </c>
      <c r="K37" s="134">
        <f t="shared" si="8"/>
        <v>0</v>
      </c>
      <c r="L37" s="134">
        <f t="shared" si="8"/>
        <v>0</v>
      </c>
      <c r="M37" s="134">
        <f t="shared" si="9"/>
        <v>0</v>
      </c>
      <c r="N37" s="134">
        <f t="shared" si="9"/>
        <v>0</v>
      </c>
      <c r="O37" s="134">
        <f t="shared" si="9"/>
        <v>0</v>
      </c>
      <c r="P37" s="134">
        <f t="shared" si="9"/>
        <v>0</v>
      </c>
      <c r="Q37" s="134">
        <f t="shared" si="9"/>
        <v>0</v>
      </c>
      <c r="R37" s="134">
        <f t="shared" si="9"/>
        <v>0</v>
      </c>
      <c r="S37" s="134">
        <f t="shared" si="9"/>
        <v>0</v>
      </c>
      <c r="T37" s="134">
        <f t="shared" si="9"/>
        <v>0</v>
      </c>
      <c r="U37" s="134">
        <f t="shared" si="9"/>
        <v>0</v>
      </c>
      <c r="V37" s="134">
        <f t="shared" si="9"/>
        <v>0</v>
      </c>
      <c r="X37" s="145" t="s">
        <v>36</v>
      </c>
      <c r="Y37" s="127">
        <f t="shared" si="2"/>
        <v>18</v>
      </c>
      <c r="Z37" s="127">
        <f t="shared" si="3"/>
        <v>12</v>
      </c>
      <c r="AA37" s="127">
        <f t="shared" si="4"/>
        <v>0</v>
      </c>
      <c r="AB37" s="147">
        <f t="shared" si="5"/>
        <v>0</v>
      </c>
    </row>
    <row r="38" spans="2:28" ht="15" customHeight="1">
      <c r="B38" s="75">
        <v>30</v>
      </c>
      <c r="C38" s="134">
        <f t="shared" si="8"/>
        <v>0</v>
      </c>
      <c r="D38" s="134">
        <f t="shared" si="8"/>
        <v>1</v>
      </c>
      <c r="E38" s="134">
        <f t="shared" si="8"/>
        <v>1</v>
      </c>
      <c r="F38" s="134">
        <f t="shared" si="8"/>
        <v>2</v>
      </c>
      <c r="G38" s="134">
        <f t="shared" si="8"/>
        <v>2</v>
      </c>
      <c r="H38" s="134">
        <f t="shared" si="8"/>
        <v>2</v>
      </c>
      <c r="I38" s="134">
        <f t="shared" si="8"/>
        <v>1</v>
      </c>
      <c r="J38" s="134">
        <f t="shared" si="8"/>
        <v>1</v>
      </c>
      <c r="K38" s="134">
        <f t="shared" si="8"/>
        <v>1</v>
      </c>
      <c r="L38" s="134">
        <f t="shared" si="8"/>
        <v>1</v>
      </c>
      <c r="M38" s="134">
        <f t="shared" si="9"/>
        <v>1</v>
      </c>
      <c r="N38" s="134">
        <f t="shared" si="9"/>
        <v>1</v>
      </c>
      <c r="O38" s="134">
        <f t="shared" si="9"/>
        <v>1</v>
      </c>
      <c r="P38" s="134">
        <f t="shared" si="9"/>
        <v>2</v>
      </c>
      <c r="Q38" s="134">
        <f t="shared" si="9"/>
        <v>1</v>
      </c>
      <c r="R38" s="134">
        <f t="shared" si="9"/>
        <v>0</v>
      </c>
      <c r="S38" s="134">
        <f t="shared" si="9"/>
        <v>0</v>
      </c>
      <c r="T38" s="134">
        <f t="shared" si="9"/>
        <v>0</v>
      </c>
      <c r="U38" s="134">
        <f t="shared" si="9"/>
        <v>0</v>
      </c>
      <c r="V38" s="134">
        <f t="shared" si="9"/>
        <v>0</v>
      </c>
      <c r="X38" s="145" t="s">
        <v>37</v>
      </c>
      <c r="Y38" s="127">
        <f t="shared" si="2"/>
        <v>271</v>
      </c>
      <c r="Z38" s="127">
        <f t="shared" si="3"/>
        <v>58</v>
      </c>
      <c r="AA38" s="127">
        <f t="shared" si="4"/>
        <v>0</v>
      </c>
      <c r="AB38" s="147">
        <f t="shared" si="5"/>
        <v>35</v>
      </c>
    </row>
    <row r="39" spans="2:28" ht="15" customHeight="1">
      <c r="B39" s="75">
        <v>31</v>
      </c>
      <c r="C39" s="134">
        <f t="shared" ref="C39:L48" si="10">SUMIFS(SumaAM,CentroAM,$B39,TurnoAM,C$8)</f>
        <v>0</v>
      </c>
      <c r="D39" s="134">
        <f t="shared" si="10"/>
        <v>1</v>
      </c>
      <c r="E39" s="134">
        <f t="shared" si="10"/>
        <v>1</v>
      </c>
      <c r="F39" s="134">
        <f t="shared" si="10"/>
        <v>1</v>
      </c>
      <c r="G39" s="134">
        <f t="shared" si="10"/>
        <v>1</v>
      </c>
      <c r="H39" s="134">
        <f t="shared" si="10"/>
        <v>1</v>
      </c>
      <c r="I39" s="134">
        <f t="shared" si="10"/>
        <v>0</v>
      </c>
      <c r="J39" s="134">
        <f t="shared" si="10"/>
        <v>1</v>
      </c>
      <c r="K39" s="134">
        <f t="shared" si="10"/>
        <v>2</v>
      </c>
      <c r="L39" s="134">
        <f t="shared" si="10"/>
        <v>2</v>
      </c>
      <c r="M39" s="134">
        <f t="shared" ref="M39:V48" si="11">SUMIFS(SumaAM,CentroAM,$B39,TurnoAM,M$8)</f>
        <v>2</v>
      </c>
      <c r="N39" s="134">
        <f t="shared" si="11"/>
        <v>2</v>
      </c>
      <c r="O39" s="134">
        <f t="shared" si="11"/>
        <v>1</v>
      </c>
      <c r="P39" s="134">
        <f t="shared" si="11"/>
        <v>1</v>
      </c>
      <c r="Q39" s="134">
        <f t="shared" si="11"/>
        <v>0</v>
      </c>
      <c r="R39" s="134">
        <f t="shared" si="11"/>
        <v>0</v>
      </c>
      <c r="S39" s="134">
        <f t="shared" si="11"/>
        <v>0</v>
      </c>
      <c r="T39" s="134">
        <f t="shared" si="11"/>
        <v>0</v>
      </c>
      <c r="U39" s="134">
        <f t="shared" si="11"/>
        <v>0</v>
      </c>
      <c r="V39" s="134">
        <f t="shared" si="11"/>
        <v>0</v>
      </c>
      <c r="X39" s="145" t="s">
        <v>37</v>
      </c>
      <c r="Y39" s="127">
        <f t="shared" si="2"/>
        <v>105</v>
      </c>
      <c r="Z39" s="127">
        <f t="shared" si="3"/>
        <v>112</v>
      </c>
      <c r="AA39" s="127">
        <f t="shared" si="4"/>
        <v>0</v>
      </c>
      <c r="AB39" s="147">
        <f t="shared" si="5"/>
        <v>24</v>
      </c>
    </row>
    <row r="40" spans="2:28" ht="15" customHeight="1">
      <c r="B40" s="75">
        <v>32</v>
      </c>
      <c r="C40" s="134">
        <f t="shared" si="10"/>
        <v>0</v>
      </c>
      <c r="D40" s="134">
        <f t="shared" si="10"/>
        <v>0</v>
      </c>
      <c r="E40" s="134">
        <f t="shared" si="10"/>
        <v>0</v>
      </c>
      <c r="F40" s="134">
        <f t="shared" si="10"/>
        <v>0</v>
      </c>
      <c r="G40" s="134">
        <f t="shared" si="10"/>
        <v>0</v>
      </c>
      <c r="H40" s="134">
        <f t="shared" si="10"/>
        <v>0</v>
      </c>
      <c r="I40" s="134">
        <f t="shared" si="10"/>
        <v>0</v>
      </c>
      <c r="J40" s="134">
        <f t="shared" si="10"/>
        <v>0</v>
      </c>
      <c r="K40" s="134">
        <f t="shared" si="10"/>
        <v>1</v>
      </c>
      <c r="L40" s="134">
        <f t="shared" si="10"/>
        <v>1</v>
      </c>
      <c r="M40" s="134">
        <f t="shared" si="11"/>
        <v>1</v>
      </c>
      <c r="N40" s="134">
        <f t="shared" si="11"/>
        <v>1</v>
      </c>
      <c r="O40" s="134">
        <f t="shared" si="11"/>
        <v>1</v>
      </c>
      <c r="P40" s="134">
        <f t="shared" si="11"/>
        <v>1</v>
      </c>
      <c r="Q40" s="134">
        <f t="shared" si="11"/>
        <v>0</v>
      </c>
      <c r="R40" s="134">
        <f t="shared" si="11"/>
        <v>0</v>
      </c>
      <c r="S40" s="134">
        <f t="shared" si="11"/>
        <v>0</v>
      </c>
      <c r="T40" s="134">
        <f t="shared" si="11"/>
        <v>0</v>
      </c>
      <c r="U40" s="134">
        <f t="shared" si="11"/>
        <v>0</v>
      </c>
      <c r="V40" s="134">
        <f t="shared" si="11"/>
        <v>0</v>
      </c>
      <c r="X40" s="145" t="s">
        <v>38</v>
      </c>
      <c r="Y40" s="127">
        <f t="shared" si="2"/>
        <v>7</v>
      </c>
      <c r="Z40" s="127">
        <f t="shared" si="3"/>
        <v>143</v>
      </c>
      <c r="AA40" s="127">
        <f t="shared" si="4"/>
        <v>0</v>
      </c>
      <c r="AB40" s="147">
        <f t="shared" si="5"/>
        <v>7</v>
      </c>
    </row>
    <row r="41" spans="2:28" ht="15" customHeight="1">
      <c r="B41" s="75">
        <v>33</v>
      </c>
      <c r="C41" s="134">
        <f t="shared" si="10"/>
        <v>0</v>
      </c>
      <c r="D41" s="134">
        <f t="shared" si="10"/>
        <v>1</v>
      </c>
      <c r="E41" s="134">
        <f t="shared" si="10"/>
        <v>1</v>
      </c>
      <c r="F41" s="134">
        <f t="shared" si="10"/>
        <v>1</v>
      </c>
      <c r="G41" s="134">
        <f t="shared" si="10"/>
        <v>0</v>
      </c>
      <c r="H41" s="134">
        <f t="shared" si="10"/>
        <v>0</v>
      </c>
      <c r="I41" s="134">
        <f t="shared" si="10"/>
        <v>1</v>
      </c>
      <c r="J41" s="134">
        <f t="shared" si="10"/>
        <v>0</v>
      </c>
      <c r="K41" s="134">
        <f t="shared" si="10"/>
        <v>1</v>
      </c>
      <c r="L41" s="134">
        <f t="shared" si="10"/>
        <v>1</v>
      </c>
      <c r="M41" s="134">
        <f t="shared" si="11"/>
        <v>1</v>
      </c>
      <c r="N41" s="134">
        <f t="shared" si="11"/>
        <v>1</v>
      </c>
      <c r="O41" s="134">
        <f t="shared" si="11"/>
        <v>1</v>
      </c>
      <c r="P41" s="134">
        <f t="shared" si="11"/>
        <v>0</v>
      </c>
      <c r="Q41" s="134">
        <f t="shared" si="11"/>
        <v>0</v>
      </c>
      <c r="R41" s="134">
        <f t="shared" si="11"/>
        <v>0</v>
      </c>
      <c r="S41" s="134">
        <f t="shared" si="11"/>
        <v>0</v>
      </c>
      <c r="T41" s="134">
        <f t="shared" si="11"/>
        <v>0</v>
      </c>
      <c r="U41" s="134">
        <f t="shared" si="11"/>
        <v>0</v>
      </c>
      <c r="V41" s="134">
        <f t="shared" si="11"/>
        <v>0</v>
      </c>
      <c r="X41" s="145" t="s">
        <v>38</v>
      </c>
      <c r="Y41" s="127">
        <f t="shared" ref="Y41:Y72" si="12">SUMIF(CentroAM,$B41,Aristobulo_Izturiz)</f>
        <v>55</v>
      </c>
      <c r="Z41" s="127">
        <f t="shared" ref="Z41:Z72" si="13">SUMIF(CentroAM,$B41,Antonio_Ledezma)</f>
        <v>85</v>
      </c>
      <c r="AA41" s="127">
        <f t="shared" ref="AA41:AA72" si="14">SUMIF(CentroAM,$B41,Augusto_Uribe)</f>
        <v>0</v>
      </c>
      <c r="AB41" s="147">
        <f t="shared" ref="AB41:AB72" si="15">SUMIF(CentroAM,$B41,OtroAM)</f>
        <v>4</v>
      </c>
    </row>
    <row r="42" spans="2:28" ht="15" customHeight="1">
      <c r="B42" s="75">
        <v>34</v>
      </c>
      <c r="C42" s="134">
        <f t="shared" si="10"/>
        <v>1</v>
      </c>
      <c r="D42" s="134">
        <f t="shared" si="10"/>
        <v>1</v>
      </c>
      <c r="E42" s="134">
        <f t="shared" si="10"/>
        <v>1</v>
      </c>
      <c r="F42" s="134">
        <f t="shared" si="10"/>
        <v>0</v>
      </c>
      <c r="G42" s="134">
        <f t="shared" si="10"/>
        <v>0</v>
      </c>
      <c r="H42" s="134">
        <f t="shared" si="10"/>
        <v>0</v>
      </c>
      <c r="I42" s="134">
        <f t="shared" si="10"/>
        <v>1</v>
      </c>
      <c r="J42" s="134">
        <f t="shared" si="10"/>
        <v>2</v>
      </c>
      <c r="K42" s="134">
        <f t="shared" si="10"/>
        <v>2</v>
      </c>
      <c r="L42" s="134">
        <f t="shared" si="10"/>
        <v>1</v>
      </c>
      <c r="M42" s="134">
        <f t="shared" si="11"/>
        <v>1</v>
      </c>
      <c r="N42" s="134">
        <f t="shared" si="11"/>
        <v>1</v>
      </c>
      <c r="O42" s="134">
        <f t="shared" si="11"/>
        <v>0</v>
      </c>
      <c r="P42" s="134">
        <f t="shared" si="11"/>
        <v>1</v>
      </c>
      <c r="Q42" s="134">
        <f t="shared" si="11"/>
        <v>3</v>
      </c>
      <c r="R42" s="134">
        <f t="shared" si="11"/>
        <v>0</v>
      </c>
      <c r="S42" s="134">
        <f t="shared" si="11"/>
        <v>0</v>
      </c>
      <c r="T42" s="134">
        <f t="shared" si="11"/>
        <v>0</v>
      </c>
      <c r="U42" s="134">
        <f t="shared" si="11"/>
        <v>0</v>
      </c>
      <c r="V42" s="134">
        <f t="shared" si="11"/>
        <v>0</v>
      </c>
      <c r="X42" s="145" t="s">
        <v>38</v>
      </c>
      <c r="Y42" s="127">
        <f t="shared" si="12"/>
        <v>165</v>
      </c>
      <c r="Z42" s="127">
        <f t="shared" si="13"/>
        <v>83</v>
      </c>
      <c r="AA42" s="127">
        <f t="shared" si="14"/>
        <v>3</v>
      </c>
      <c r="AB42" s="147">
        <f t="shared" si="15"/>
        <v>12</v>
      </c>
    </row>
    <row r="43" spans="2:28" ht="15" customHeight="1">
      <c r="B43" s="75">
        <v>35</v>
      </c>
      <c r="C43" s="134">
        <f t="shared" si="10"/>
        <v>1</v>
      </c>
      <c r="D43" s="134">
        <f t="shared" si="10"/>
        <v>1</v>
      </c>
      <c r="E43" s="134">
        <f t="shared" si="10"/>
        <v>1</v>
      </c>
      <c r="F43" s="134">
        <f t="shared" si="10"/>
        <v>0</v>
      </c>
      <c r="G43" s="134">
        <f t="shared" si="10"/>
        <v>0</v>
      </c>
      <c r="H43" s="134">
        <f t="shared" si="10"/>
        <v>0</v>
      </c>
      <c r="I43" s="134">
        <f t="shared" si="10"/>
        <v>1</v>
      </c>
      <c r="J43" s="134">
        <f t="shared" si="10"/>
        <v>1</v>
      </c>
      <c r="K43" s="134">
        <f t="shared" si="10"/>
        <v>1</v>
      </c>
      <c r="L43" s="134">
        <f t="shared" si="10"/>
        <v>1</v>
      </c>
      <c r="M43" s="134">
        <f t="shared" si="11"/>
        <v>1</v>
      </c>
      <c r="N43" s="134">
        <f t="shared" si="11"/>
        <v>1</v>
      </c>
      <c r="O43" s="134">
        <f t="shared" si="11"/>
        <v>1</v>
      </c>
      <c r="P43" s="134">
        <f t="shared" si="11"/>
        <v>1</v>
      </c>
      <c r="Q43" s="134">
        <f t="shared" si="11"/>
        <v>0</v>
      </c>
      <c r="R43" s="134">
        <f t="shared" si="11"/>
        <v>0</v>
      </c>
      <c r="S43" s="134">
        <f t="shared" si="11"/>
        <v>0</v>
      </c>
      <c r="T43" s="134">
        <f t="shared" si="11"/>
        <v>0</v>
      </c>
      <c r="U43" s="134">
        <f t="shared" si="11"/>
        <v>0</v>
      </c>
      <c r="V43" s="134">
        <f t="shared" si="11"/>
        <v>0</v>
      </c>
      <c r="X43" s="145" t="s">
        <v>39</v>
      </c>
      <c r="Y43" s="127">
        <f t="shared" si="12"/>
        <v>167</v>
      </c>
      <c r="Z43" s="127">
        <f t="shared" si="13"/>
        <v>136</v>
      </c>
      <c r="AA43" s="127">
        <f t="shared" si="14"/>
        <v>32</v>
      </c>
      <c r="AB43" s="147">
        <f t="shared" si="15"/>
        <v>0</v>
      </c>
    </row>
    <row r="44" spans="2:28" ht="15" customHeight="1">
      <c r="B44" s="75">
        <v>36</v>
      </c>
      <c r="C44" s="134">
        <f t="shared" si="10"/>
        <v>0</v>
      </c>
      <c r="D44" s="134">
        <f t="shared" si="10"/>
        <v>1</v>
      </c>
      <c r="E44" s="134">
        <f t="shared" si="10"/>
        <v>1</v>
      </c>
      <c r="F44" s="134">
        <f t="shared" si="10"/>
        <v>1</v>
      </c>
      <c r="G44" s="134">
        <f t="shared" si="10"/>
        <v>0</v>
      </c>
      <c r="H44" s="134">
        <f t="shared" si="10"/>
        <v>1</v>
      </c>
      <c r="I44" s="134">
        <f t="shared" si="10"/>
        <v>1</v>
      </c>
      <c r="J44" s="134">
        <f t="shared" si="10"/>
        <v>1</v>
      </c>
      <c r="K44" s="134">
        <f t="shared" si="10"/>
        <v>1</v>
      </c>
      <c r="L44" s="134">
        <f t="shared" si="10"/>
        <v>1</v>
      </c>
      <c r="M44" s="134">
        <f t="shared" si="11"/>
        <v>1</v>
      </c>
      <c r="N44" s="134">
        <f t="shared" si="11"/>
        <v>1</v>
      </c>
      <c r="O44" s="134">
        <f t="shared" si="11"/>
        <v>1</v>
      </c>
      <c r="P44" s="134">
        <f t="shared" si="11"/>
        <v>1</v>
      </c>
      <c r="Q44" s="134">
        <f t="shared" si="11"/>
        <v>1</v>
      </c>
      <c r="R44" s="134">
        <f t="shared" si="11"/>
        <v>0</v>
      </c>
      <c r="S44" s="134">
        <f t="shared" si="11"/>
        <v>0</v>
      </c>
      <c r="T44" s="134">
        <f t="shared" si="11"/>
        <v>0</v>
      </c>
      <c r="U44" s="134">
        <f t="shared" si="11"/>
        <v>0</v>
      </c>
      <c r="V44" s="134">
        <f t="shared" si="11"/>
        <v>0</v>
      </c>
      <c r="X44" s="145" t="s">
        <v>39</v>
      </c>
      <c r="Y44" s="127">
        <f t="shared" si="12"/>
        <v>277</v>
      </c>
      <c r="Z44" s="127">
        <f t="shared" si="13"/>
        <v>123</v>
      </c>
      <c r="AA44" s="127">
        <f t="shared" si="14"/>
        <v>27</v>
      </c>
      <c r="AB44" s="147">
        <f t="shared" si="15"/>
        <v>0</v>
      </c>
    </row>
    <row r="45" spans="2:28" ht="15" customHeight="1">
      <c r="B45" s="75">
        <v>37</v>
      </c>
      <c r="C45" s="134">
        <f t="shared" si="10"/>
        <v>1</v>
      </c>
      <c r="D45" s="134">
        <f t="shared" si="10"/>
        <v>1</v>
      </c>
      <c r="E45" s="134">
        <f t="shared" si="10"/>
        <v>1</v>
      </c>
      <c r="F45" s="134">
        <f t="shared" si="10"/>
        <v>1</v>
      </c>
      <c r="G45" s="134">
        <f t="shared" si="10"/>
        <v>1</v>
      </c>
      <c r="H45" s="134">
        <f t="shared" si="10"/>
        <v>1</v>
      </c>
      <c r="I45" s="134">
        <f t="shared" si="10"/>
        <v>0</v>
      </c>
      <c r="J45" s="134">
        <f t="shared" si="10"/>
        <v>0</v>
      </c>
      <c r="K45" s="134">
        <f t="shared" si="10"/>
        <v>0</v>
      </c>
      <c r="L45" s="134">
        <f t="shared" si="10"/>
        <v>0</v>
      </c>
      <c r="M45" s="134">
        <f t="shared" si="11"/>
        <v>0</v>
      </c>
      <c r="N45" s="134">
        <f t="shared" si="11"/>
        <v>0</v>
      </c>
      <c r="O45" s="134">
        <f t="shared" si="11"/>
        <v>0</v>
      </c>
      <c r="P45" s="134">
        <f t="shared" si="11"/>
        <v>0</v>
      </c>
      <c r="Q45" s="134">
        <f t="shared" si="11"/>
        <v>0</v>
      </c>
      <c r="R45" s="134">
        <f t="shared" si="11"/>
        <v>0</v>
      </c>
      <c r="S45" s="134">
        <f t="shared" si="11"/>
        <v>0</v>
      </c>
      <c r="T45" s="134">
        <f t="shared" si="11"/>
        <v>0</v>
      </c>
      <c r="U45" s="134">
        <f t="shared" si="11"/>
        <v>0</v>
      </c>
      <c r="V45" s="134">
        <f t="shared" si="11"/>
        <v>0</v>
      </c>
      <c r="X45" s="145" t="s">
        <v>40</v>
      </c>
      <c r="Y45" s="127">
        <f t="shared" si="12"/>
        <v>43</v>
      </c>
      <c r="Z45" s="127">
        <f t="shared" si="13"/>
        <v>97</v>
      </c>
      <c r="AA45" s="127">
        <f t="shared" si="14"/>
        <v>5</v>
      </c>
      <c r="AB45" s="147">
        <f t="shared" si="15"/>
        <v>2</v>
      </c>
    </row>
    <row r="46" spans="2:28" ht="15" customHeight="1">
      <c r="B46" s="75">
        <v>38</v>
      </c>
      <c r="C46" s="134">
        <f t="shared" si="10"/>
        <v>0</v>
      </c>
      <c r="D46" s="134">
        <f t="shared" si="10"/>
        <v>1</v>
      </c>
      <c r="E46" s="134">
        <f t="shared" si="10"/>
        <v>2</v>
      </c>
      <c r="F46" s="134">
        <f t="shared" si="10"/>
        <v>1</v>
      </c>
      <c r="G46" s="134">
        <f t="shared" si="10"/>
        <v>1</v>
      </c>
      <c r="H46" s="134">
        <f t="shared" si="10"/>
        <v>1</v>
      </c>
      <c r="I46" s="134">
        <f t="shared" si="10"/>
        <v>1</v>
      </c>
      <c r="J46" s="134">
        <f t="shared" si="10"/>
        <v>1</v>
      </c>
      <c r="K46" s="134">
        <f t="shared" si="10"/>
        <v>1</v>
      </c>
      <c r="L46" s="134">
        <f t="shared" si="10"/>
        <v>1</v>
      </c>
      <c r="M46" s="134">
        <f t="shared" si="11"/>
        <v>1</v>
      </c>
      <c r="N46" s="134">
        <f t="shared" si="11"/>
        <v>1</v>
      </c>
      <c r="O46" s="134">
        <f t="shared" si="11"/>
        <v>0</v>
      </c>
      <c r="P46" s="134">
        <f t="shared" si="11"/>
        <v>0</v>
      </c>
      <c r="Q46" s="134">
        <f t="shared" si="11"/>
        <v>0</v>
      </c>
      <c r="R46" s="134">
        <f t="shared" si="11"/>
        <v>0</v>
      </c>
      <c r="S46" s="134">
        <f t="shared" si="11"/>
        <v>0</v>
      </c>
      <c r="T46" s="134">
        <f t="shared" si="11"/>
        <v>0</v>
      </c>
      <c r="U46" s="134">
        <f t="shared" si="11"/>
        <v>0</v>
      </c>
      <c r="V46" s="134">
        <f t="shared" si="11"/>
        <v>0</v>
      </c>
      <c r="X46" s="145" t="s">
        <v>41</v>
      </c>
      <c r="Y46" s="127">
        <f t="shared" si="12"/>
        <v>32</v>
      </c>
      <c r="Z46" s="127">
        <f t="shared" si="13"/>
        <v>287</v>
      </c>
      <c r="AA46" s="127">
        <f t="shared" si="14"/>
        <v>7</v>
      </c>
      <c r="AB46" s="147">
        <f t="shared" si="15"/>
        <v>2</v>
      </c>
    </row>
    <row r="47" spans="2:28" ht="15" customHeight="1">
      <c r="B47" s="75">
        <v>39</v>
      </c>
      <c r="C47" s="134">
        <f t="shared" si="10"/>
        <v>1</v>
      </c>
      <c r="D47" s="134">
        <f t="shared" si="10"/>
        <v>0</v>
      </c>
      <c r="E47" s="134">
        <f t="shared" si="10"/>
        <v>1</v>
      </c>
      <c r="F47" s="134">
        <f t="shared" si="10"/>
        <v>0</v>
      </c>
      <c r="G47" s="134">
        <f t="shared" si="10"/>
        <v>0</v>
      </c>
      <c r="H47" s="134">
        <f t="shared" si="10"/>
        <v>0</v>
      </c>
      <c r="I47" s="134">
        <f t="shared" si="10"/>
        <v>0</v>
      </c>
      <c r="J47" s="134">
        <f t="shared" si="10"/>
        <v>0</v>
      </c>
      <c r="K47" s="134">
        <f t="shared" si="10"/>
        <v>0</v>
      </c>
      <c r="L47" s="134">
        <f t="shared" si="10"/>
        <v>0</v>
      </c>
      <c r="M47" s="134">
        <f t="shared" si="11"/>
        <v>0</v>
      </c>
      <c r="N47" s="134">
        <f t="shared" si="11"/>
        <v>0</v>
      </c>
      <c r="O47" s="134">
        <f t="shared" si="11"/>
        <v>0</v>
      </c>
      <c r="P47" s="134">
        <f t="shared" si="11"/>
        <v>0</v>
      </c>
      <c r="Q47" s="134">
        <f t="shared" si="11"/>
        <v>0</v>
      </c>
      <c r="R47" s="134">
        <f t="shared" si="11"/>
        <v>0</v>
      </c>
      <c r="S47" s="134">
        <f t="shared" si="11"/>
        <v>0</v>
      </c>
      <c r="T47" s="134">
        <f t="shared" si="11"/>
        <v>0</v>
      </c>
      <c r="U47" s="134">
        <f t="shared" si="11"/>
        <v>0</v>
      </c>
      <c r="V47" s="134">
        <f t="shared" si="11"/>
        <v>0</v>
      </c>
      <c r="X47" s="145" t="s">
        <v>42</v>
      </c>
      <c r="Y47" s="127">
        <f t="shared" si="12"/>
        <v>16</v>
      </c>
      <c r="Z47" s="127">
        <f t="shared" si="13"/>
        <v>27</v>
      </c>
      <c r="AA47" s="127">
        <f t="shared" si="14"/>
        <v>0</v>
      </c>
      <c r="AB47" s="147">
        <f t="shared" si="15"/>
        <v>7</v>
      </c>
    </row>
    <row r="48" spans="2:28" ht="15" customHeight="1">
      <c r="B48" s="75">
        <v>40</v>
      </c>
      <c r="C48" s="134">
        <f t="shared" si="10"/>
        <v>0</v>
      </c>
      <c r="D48" s="134">
        <f t="shared" si="10"/>
        <v>0</v>
      </c>
      <c r="E48" s="134">
        <f t="shared" si="10"/>
        <v>0</v>
      </c>
      <c r="F48" s="134">
        <f t="shared" si="10"/>
        <v>0</v>
      </c>
      <c r="G48" s="134">
        <f t="shared" si="10"/>
        <v>0</v>
      </c>
      <c r="H48" s="134">
        <f t="shared" si="10"/>
        <v>0</v>
      </c>
      <c r="I48" s="134">
        <f t="shared" si="10"/>
        <v>0</v>
      </c>
      <c r="J48" s="134">
        <f t="shared" si="10"/>
        <v>0</v>
      </c>
      <c r="K48" s="134">
        <f t="shared" si="10"/>
        <v>0</v>
      </c>
      <c r="L48" s="134">
        <f t="shared" si="10"/>
        <v>0</v>
      </c>
      <c r="M48" s="134">
        <f t="shared" si="11"/>
        <v>0</v>
      </c>
      <c r="N48" s="134">
        <f t="shared" si="11"/>
        <v>0</v>
      </c>
      <c r="O48" s="134">
        <f t="shared" si="11"/>
        <v>0</v>
      </c>
      <c r="P48" s="134">
        <f t="shared" si="11"/>
        <v>0</v>
      </c>
      <c r="Q48" s="134">
        <f t="shared" si="11"/>
        <v>0</v>
      </c>
      <c r="R48" s="134">
        <f t="shared" si="11"/>
        <v>0</v>
      </c>
      <c r="S48" s="134">
        <f t="shared" si="11"/>
        <v>0</v>
      </c>
      <c r="T48" s="134">
        <f t="shared" si="11"/>
        <v>0</v>
      </c>
      <c r="U48" s="134">
        <f t="shared" si="11"/>
        <v>0</v>
      </c>
      <c r="V48" s="134">
        <f t="shared" si="11"/>
        <v>0</v>
      </c>
      <c r="X48" s="145" t="s">
        <v>43</v>
      </c>
      <c r="Y48" s="127">
        <f t="shared" si="12"/>
        <v>0</v>
      </c>
      <c r="Z48" s="127">
        <f t="shared" si="13"/>
        <v>0</v>
      </c>
      <c r="AA48" s="127">
        <f t="shared" si="14"/>
        <v>0</v>
      </c>
      <c r="AB48" s="147">
        <f t="shared" si="15"/>
        <v>0</v>
      </c>
    </row>
    <row r="49" spans="2:28" ht="15" customHeight="1">
      <c r="B49" s="75">
        <v>41</v>
      </c>
      <c r="C49" s="134">
        <f t="shared" ref="C49:L58" si="16">SUMIFS(SumaAM,CentroAM,$B49,TurnoAM,C$8)</f>
        <v>0</v>
      </c>
      <c r="D49" s="134">
        <f t="shared" si="16"/>
        <v>0</v>
      </c>
      <c r="E49" s="134">
        <f t="shared" si="16"/>
        <v>1</v>
      </c>
      <c r="F49" s="134">
        <f t="shared" si="16"/>
        <v>0</v>
      </c>
      <c r="G49" s="134">
        <f t="shared" si="16"/>
        <v>0</v>
      </c>
      <c r="H49" s="134">
        <f t="shared" si="16"/>
        <v>1</v>
      </c>
      <c r="I49" s="134">
        <f t="shared" si="16"/>
        <v>1</v>
      </c>
      <c r="J49" s="134">
        <f t="shared" si="16"/>
        <v>1</v>
      </c>
      <c r="K49" s="134">
        <f t="shared" si="16"/>
        <v>1</v>
      </c>
      <c r="L49" s="134">
        <f t="shared" si="16"/>
        <v>1</v>
      </c>
      <c r="M49" s="134">
        <f t="shared" ref="M49:V58" si="17">SUMIFS(SumaAM,CentroAM,$B49,TurnoAM,M$8)</f>
        <v>0</v>
      </c>
      <c r="N49" s="134">
        <f t="shared" si="17"/>
        <v>0</v>
      </c>
      <c r="O49" s="134">
        <f t="shared" si="17"/>
        <v>0</v>
      </c>
      <c r="P49" s="134">
        <f t="shared" si="17"/>
        <v>0</v>
      </c>
      <c r="Q49" s="134">
        <f t="shared" si="17"/>
        <v>0</v>
      </c>
      <c r="R49" s="134">
        <f t="shared" si="17"/>
        <v>0</v>
      </c>
      <c r="S49" s="134">
        <f t="shared" si="17"/>
        <v>0</v>
      </c>
      <c r="T49" s="134">
        <f t="shared" si="17"/>
        <v>0</v>
      </c>
      <c r="U49" s="134">
        <f t="shared" si="17"/>
        <v>0</v>
      </c>
      <c r="V49" s="134">
        <f t="shared" si="17"/>
        <v>0</v>
      </c>
      <c r="X49" s="145" t="s">
        <v>43</v>
      </c>
      <c r="Y49" s="127">
        <f t="shared" si="12"/>
        <v>26</v>
      </c>
      <c r="Z49" s="127">
        <f t="shared" si="13"/>
        <v>26</v>
      </c>
      <c r="AA49" s="127">
        <f t="shared" si="14"/>
        <v>0</v>
      </c>
      <c r="AB49" s="147">
        <f t="shared" si="15"/>
        <v>0</v>
      </c>
    </row>
    <row r="50" spans="2:28" ht="15" customHeight="1">
      <c r="B50" s="75">
        <v>42</v>
      </c>
      <c r="C50" s="134">
        <f t="shared" si="16"/>
        <v>0</v>
      </c>
      <c r="D50" s="134">
        <f t="shared" si="16"/>
        <v>0</v>
      </c>
      <c r="E50" s="134">
        <f t="shared" si="16"/>
        <v>0</v>
      </c>
      <c r="F50" s="134">
        <f t="shared" si="16"/>
        <v>0</v>
      </c>
      <c r="G50" s="134">
        <f t="shared" si="16"/>
        <v>0</v>
      </c>
      <c r="H50" s="134">
        <f t="shared" si="16"/>
        <v>0</v>
      </c>
      <c r="I50" s="134">
        <f t="shared" si="16"/>
        <v>0</v>
      </c>
      <c r="J50" s="134">
        <f t="shared" si="16"/>
        <v>0</v>
      </c>
      <c r="K50" s="134">
        <f t="shared" si="16"/>
        <v>0</v>
      </c>
      <c r="L50" s="134">
        <f t="shared" si="16"/>
        <v>0</v>
      </c>
      <c r="M50" s="134">
        <f t="shared" si="17"/>
        <v>0</v>
      </c>
      <c r="N50" s="134">
        <f t="shared" si="17"/>
        <v>0</v>
      </c>
      <c r="O50" s="134">
        <f t="shared" si="17"/>
        <v>0</v>
      </c>
      <c r="P50" s="134">
        <f t="shared" si="17"/>
        <v>0</v>
      </c>
      <c r="Q50" s="134">
        <f t="shared" si="17"/>
        <v>0</v>
      </c>
      <c r="R50" s="134">
        <f t="shared" si="17"/>
        <v>0</v>
      </c>
      <c r="S50" s="134">
        <f t="shared" si="17"/>
        <v>0</v>
      </c>
      <c r="T50" s="134">
        <f t="shared" si="17"/>
        <v>0</v>
      </c>
      <c r="U50" s="134">
        <f t="shared" si="17"/>
        <v>0</v>
      </c>
      <c r="V50" s="134">
        <f t="shared" si="17"/>
        <v>0</v>
      </c>
      <c r="X50" s="145" t="s">
        <v>43</v>
      </c>
      <c r="Y50" s="127">
        <f t="shared" si="12"/>
        <v>0</v>
      </c>
      <c r="Z50" s="127">
        <f t="shared" si="13"/>
        <v>0</v>
      </c>
      <c r="AA50" s="127">
        <f t="shared" si="14"/>
        <v>0</v>
      </c>
      <c r="AB50" s="147">
        <f t="shared" si="15"/>
        <v>0</v>
      </c>
    </row>
    <row r="51" spans="2:28" ht="15" customHeight="1">
      <c r="B51" s="75">
        <v>43</v>
      </c>
      <c r="C51" s="134">
        <f t="shared" si="16"/>
        <v>1</v>
      </c>
      <c r="D51" s="134">
        <f t="shared" si="16"/>
        <v>1</v>
      </c>
      <c r="E51" s="134">
        <f t="shared" si="16"/>
        <v>1</v>
      </c>
      <c r="F51" s="134">
        <f t="shared" si="16"/>
        <v>0</v>
      </c>
      <c r="G51" s="134">
        <f t="shared" si="16"/>
        <v>0</v>
      </c>
      <c r="H51" s="134">
        <f t="shared" si="16"/>
        <v>0</v>
      </c>
      <c r="I51" s="134">
        <f t="shared" si="16"/>
        <v>0</v>
      </c>
      <c r="J51" s="134">
        <f t="shared" si="16"/>
        <v>1</v>
      </c>
      <c r="K51" s="134">
        <f t="shared" si="16"/>
        <v>1</v>
      </c>
      <c r="L51" s="134">
        <f t="shared" si="16"/>
        <v>1</v>
      </c>
      <c r="M51" s="134">
        <f t="shared" si="17"/>
        <v>0</v>
      </c>
      <c r="N51" s="134">
        <f t="shared" si="17"/>
        <v>0</v>
      </c>
      <c r="O51" s="134">
        <f t="shared" si="17"/>
        <v>0</v>
      </c>
      <c r="P51" s="134">
        <f t="shared" si="17"/>
        <v>0</v>
      </c>
      <c r="Q51" s="134">
        <f t="shared" si="17"/>
        <v>0</v>
      </c>
      <c r="R51" s="134">
        <f t="shared" si="17"/>
        <v>0</v>
      </c>
      <c r="S51" s="134">
        <f t="shared" si="17"/>
        <v>0</v>
      </c>
      <c r="T51" s="134">
        <f t="shared" si="17"/>
        <v>0</v>
      </c>
      <c r="U51" s="134">
        <f t="shared" si="17"/>
        <v>0</v>
      </c>
      <c r="V51" s="134">
        <f t="shared" si="17"/>
        <v>0</v>
      </c>
      <c r="X51" s="145" t="s">
        <v>44</v>
      </c>
      <c r="Y51" s="127">
        <f t="shared" si="12"/>
        <v>24</v>
      </c>
      <c r="Z51" s="127">
        <f t="shared" si="13"/>
        <v>78</v>
      </c>
      <c r="AA51" s="127">
        <f t="shared" si="14"/>
        <v>8</v>
      </c>
      <c r="AB51" s="147">
        <f t="shared" si="15"/>
        <v>4</v>
      </c>
    </row>
    <row r="52" spans="2:28" ht="15" customHeight="1">
      <c r="B52" s="75">
        <v>44</v>
      </c>
      <c r="C52" s="134">
        <f t="shared" si="16"/>
        <v>1</v>
      </c>
      <c r="D52" s="134">
        <f t="shared" si="16"/>
        <v>1</v>
      </c>
      <c r="E52" s="134">
        <f t="shared" si="16"/>
        <v>0</v>
      </c>
      <c r="F52" s="134">
        <f t="shared" si="16"/>
        <v>0</v>
      </c>
      <c r="G52" s="134">
        <f t="shared" si="16"/>
        <v>0</v>
      </c>
      <c r="H52" s="134">
        <f t="shared" si="16"/>
        <v>1</v>
      </c>
      <c r="I52" s="134">
        <f t="shared" si="16"/>
        <v>1</v>
      </c>
      <c r="J52" s="134">
        <f t="shared" si="16"/>
        <v>1</v>
      </c>
      <c r="K52" s="134">
        <f t="shared" si="16"/>
        <v>1</v>
      </c>
      <c r="L52" s="134">
        <f t="shared" si="16"/>
        <v>1</v>
      </c>
      <c r="M52" s="134">
        <f t="shared" si="17"/>
        <v>1</v>
      </c>
      <c r="N52" s="134">
        <f t="shared" si="17"/>
        <v>1</v>
      </c>
      <c r="O52" s="134">
        <f t="shared" si="17"/>
        <v>1</v>
      </c>
      <c r="P52" s="134">
        <f t="shared" si="17"/>
        <v>1</v>
      </c>
      <c r="Q52" s="134">
        <f t="shared" si="17"/>
        <v>0</v>
      </c>
      <c r="R52" s="134">
        <f t="shared" si="17"/>
        <v>0</v>
      </c>
      <c r="S52" s="134">
        <f t="shared" si="17"/>
        <v>0</v>
      </c>
      <c r="T52" s="134">
        <f t="shared" si="17"/>
        <v>0</v>
      </c>
      <c r="U52" s="134">
        <f t="shared" si="17"/>
        <v>0</v>
      </c>
      <c r="V52" s="134">
        <f t="shared" si="17"/>
        <v>0</v>
      </c>
      <c r="X52" s="145" t="s">
        <v>44</v>
      </c>
      <c r="Y52" s="127">
        <f t="shared" si="12"/>
        <v>72</v>
      </c>
      <c r="Z52" s="127">
        <f t="shared" si="13"/>
        <v>89</v>
      </c>
      <c r="AA52" s="127">
        <f t="shared" si="14"/>
        <v>1</v>
      </c>
      <c r="AB52" s="147">
        <f t="shared" si="15"/>
        <v>2</v>
      </c>
    </row>
    <row r="53" spans="2:28" ht="15" customHeight="1">
      <c r="B53" s="75">
        <v>45</v>
      </c>
      <c r="C53" s="134">
        <f t="shared" si="16"/>
        <v>1</v>
      </c>
      <c r="D53" s="134">
        <f t="shared" si="16"/>
        <v>2</v>
      </c>
      <c r="E53" s="134">
        <f t="shared" si="16"/>
        <v>1</v>
      </c>
      <c r="F53" s="134">
        <f t="shared" si="16"/>
        <v>1</v>
      </c>
      <c r="G53" s="134">
        <f t="shared" si="16"/>
        <v>1</v>
      </c>
      <c r="H53" s="134">
        <f t="shared" si="16"/>
        <v>1</v>
      </c>
      <c r="I53" s="134">
        <f t="shared" si="16"/>
        <v>1</v>
      </c>
      <c r="J53" s="134">
        <f t="shared" si="16"/>
        <v>1</v>
      </c>
      <c r="K53" s="134">
        <f t="shared" si="16"/>
        <v>1</v>
      </c>
      <c r="L53" s="134">
        <f t="shared" si="16"/>
        <v>1</v>
      </c>
      <c r="M53" s="134">
        <f t="shared" si="17"/>
        <v>1</v>
      </c>
      <c r="N53" s="134">
        <f t="shared" si="17"/>
        <v>1</v>
      </c>
      <c r="O53" s="134">
        <f t="shared" si="17"/>
        <v>1</v>
      </c>
      <c r="P53" s="134">
        <f t="shared" si="17"/>
        <v>1</v>
      </c>
      <c r="Q53" s="134">
        <f t="shared" si="17"/>
        <v>0</v>
      </c>
      <c r="R53" s="134">
        <f t="shared" si="17"/>
        <v>0</v>
      </c>
      <c r="S53" s="134">
        <f t="shared" si="17"/>
        <v>0</v>
      </c>
      <c r="T53" s="134">
        <f t="shared" si="17"/>
        <v>0</v>
      </c>
      <c r="U53" s="134">
        <f t="shared" si="17"/>
        <v>0</v>
      </c>
      <c r="V53" s="134">
        <f t="shared" si="17"/>
        <v>0</v>
      </c>
      <c r="X53" s="145" t="s">
        <v>45</v>
      </c>
      <c r="Y53" s="127">
        <f t="shared" si="12"/>
        <v>192</v>
      </c>
      <c r="Z53" s="127">
        <f t="shared" si="13"/>
        <v>88</v>
      </c>
      <c r="AA53" s="127">
        <f t="shared" si="14"/>
        <v>6</v>
      </c>
      <c r="AB53" s="147">
        <f t="shared" si="15"/>
        <v>27</v>
      </c>
    </row>
    <row r="54" spans="2:28" ht="15" customHeight="1">
      <c r="B54" s="75">
        <v>46</v>
      </c>
      <c r="C54" s="134">
        <f t="shared" si="16"/>
        <v>1</v>
      </c>
      <c r="D54" s="134">
        <f t="shared" si="16"/>
        <v>1</v>
      </c>
      <c r="E54" s="134">
        <f t="shared" si="16"/>
        <v>0</v>
      </c>
      <c r="F54" s="134">
        <f t="shared" si="16"/>
        <v>1</v>
      </c>
      <c r="G54" s="134">
        <f t="shared" si="16"/>
        <v>1</v>
      </c>
      <c r="H54" s="134">
        <f t="shared" si="16"/>
        <v>1</v>
      </c>
      <c r="I54" s="134">
        <f t="shared" si="16"/>
        <v>1</v>
      </c>
      <c r="J54" s="134">
        <f t="shared" si="16"/>
        <v>1</v>
      </c>
      <c r="K54" s="134">
        <f t="shared" si="16"/>
        <v>1</v>
      </c>
      <c r="L54" s="134">
        <f t="shared" si="16"/>
        <v>1</v>
      </c>
      <c r="M54" s="134">
        <f t="shared" si="17"/>
        <v>1</v>
      </c>
      <c r="N54" s="134">
        <f t="shared" si="17"/>
        <v>1</v>
      </c>
      <c r="O54" s="134">
        <f t="shared" si="17"/>
        <v>1</v>
      </c>
      <c r="P54" s="134">
        <f t="shared" si="17"/>
        <v>1</v>
      </c>
      <c r="Q54" s="134">
        <f t="shared" si="17"/>
        <v>0</v>
      </c>
      <c r="R54" s="134">
        <f t="shared" si="17"/>
        <v>0</v>
      </c>
      <c r="S54" s="134">
        <f t="shared" si="17"/>
        <v>0</v>
      </c>
      <c r="T54" s="134">
        <f t="shared" si="17"/>
        <v>0</v>
      </c>
      <c r="U54" s="134">
        <f t="shared" si="17"/>
        <v>0</v>
      </c>
      <c r="V54" s="134">
        <f t="shared" si="17"/>
        <v>0</v>
      </c>
      <c r="X54" s="145" t="s">
        <v>45</v>
      </c>
      <c r="Y54" s="127">
        <f t="shared" si="12"/>
        <v>12</v>
      </c>
      <c r="Z54" s="127">
        <f t="shared" si="13"/>
        <v>19</v>
      </c>
      <c r="AA54" s="127">
        <f t="shared" si="14"/>
        <v>0</v>
      </c>
      <c r="AB54" s="147">
        <f t="shared" si="15"/>
        <v>0</v>
      </c>
    </row>
    <row r="55" spans="2:28" ht="15" customHeight="1">
      <c r="B55" s="75">
        <v>47</v>
      </c>
      <c r="C55" s="134">
        <f t="shared" si="16"/>
        <v>0</v>
      </c>
      <c r="D55" s="134">
        <f t="shared" si="16"/>
        <v>0</v>
      </c>
      <c r="E55" s="134">
        <f t="shared" si="16"/>
        <v>1</v>
      </c>
      <c r="F55" s="134">
        <f t="shared" si="16"/>
        <v>2</v>
      </c>
      <c r="G55" s="134">
        <f t="shared" si="16"/>
        <v>2</v>
      </c>
      <c r="H55" s="134">
        <f t="shared" si="16"/>
        <v>1</v>
      </c>
      <c r="I55" s="134">
        <f t="shared" si="16"/>
        <v>1</v>
      </c>
      <c r="J55" s="134">
        <f t="shared" si="16"/>
        <v>0</v>
      </c>
      <c r="K55" s="134">
        <f t="shared" si="16"/>
        <v>1</v>
      </c>
      <c r="L55" s="134">
        <f t="shared" si="16"/>
        <v>1</v>
      </c>
      <c r="M55" s="134">
        <f t="shared" si="17"/>
        <v>1</v>
      </c>
      <c r="N55" s="134">
        <f t="shared" si="17"/>
        <v>1</v>
      </c>
      <c r="O55" s="134">
        <f t="shared" si="17"/>
        <v>1</v>
      </c>
      <c r="P55" s="134">
        <f t="shared" si="17"/>
        <v>1</v>
      </c>
      <c r="Q55" s="134">
        <f t="shared" si="17"/>
        <v>0</v>
      </c>
      <c r="R55" s="134">
        <f t="shared" si="17"/>
        <v>0</v>
      </c>
      <c r="S55" s="134">
        <f t="shared" si="17"/>
        <v>0</v>
      </c>
      <c r="T55" s="134">
        <f t="shared" si="17"/>
        <v>0</v>
      </c>
      <c r="U55" s="134">
        <f t="shared" si="17"/>
        <v>0</v>
      </c>
      <c r="V55" s="134">
        <f t="shared" si="17"/>
        <v>0</v>
      </c>
      <c r="X55" s="145" t="s">
        <v>45</v>
      </c>
      <c r="Y55" s="127">
        <f t="shared" si="12"/>
        <v>98</v>
      </c>
      <c r="Z55" s="127">
        <f t="shared" si="13"/>
        <v>115</v>
      </c>
      <c r="AA55" s="127">
        <f t="shared" si="14"/>
        <v>0</v>
      </c>
      <c r="AB55" s="147">
        <f t="shared" si="15"/>
        <v>12</v>
      </c>
    </row>
    <row r="56" spans="2:28" ht="15" customHeight="1">
      <c r="B56" s="75">
        <v>48</v>
      </c>
      <c r="C56" s="134">
        <f t="shared" si="16"/>
        <v>1</v>
      </c>
      <c r="D56" s="134">
        <f t="shared" si="16"/>
        <v>1</v>
      </c>
      <c r="E56" s="134">
        <f t="shared" si="16"/>
        <v>1</v>
      </c>
      <c r="F56" s="134">
        <f t="shared" si="16"/>
        <v>1</v>
      </c>
      <c r="G56" s="134">
        <f t="shared" si="16"/>
        <v>1</v>
      </c>
      <c r="H56" s="134">
        <f t="shared" si="16"/>
        <v>2</v>
      </c>
      <c r="I56" s="134">
        <f t="shared" si="16"/>
        <v>1</v>
      </c>
      <c r="J56" s="134">
        <f t="shared" si="16"/>
        <v>1</v>
      </c>
      <c r="K56" s="134">
        <f t="shared" si="16"/>
        <v>1</v>
      </c>
      <c r="L56" s="134">
        <f t="shared" si="16"/>
        <v>1</v>
      </c>
      <c r="M56" s="134">
        <f t="shared" si="17"/>
        <v>1</v>
      </c>
      <c r="N56" s="134">
        <f t="shared" si="17"/>
        <v>1</v>
      </c>
      <c r="O56" s="134">
        <f t="shared" si="17"/>
        <v>1</v>
      </c>
      <c r="P56" s="134">
        <f t="shared" si="17"/>
        <v>0</v>
      </c>
      <c r="Q56" s="134">
        <f t="shared" si="17"/>
        <v>0</v>
      </c>
      <c r="R56" s="134">
        <f t="shared" si="17"/>
        <v>0</v>
      </c>
      <c r="S56" s="134">
        <f t="shared" si="17"/>
        <v>0</v>
      </c>
      <c r="T56" s="134">
        <f t="shared" si="17"/>
        <v>0</v>
      </c>
      <c r="U56" s="134">
        <f t="shared" si="17"/>
        <v>0</v>
      </c>
      <c r="V56" s="134">
        <f t="shared" si="17"/>
        <v>0</v>
      </c>
      <c r="X56" s="145" t="s">
        <v>46</v>
      </c>
      <c r="Y56" s="127">
        <f t="shared" si="12"/>
        <v>78</v>
      </c>
      <c r="Z56" s="127">
        <f t="shared" si="13"/>
        <v>153</v>
      </c>
      <c r="AA56" s="127">
        <f t="shared" si="14"/>
        <v>0</v>
      </c>
      <c r="AB56" s="147">
        <f t="shared" si="15"/>
        <v>0</v>
      </c>
    </row>
    <row r="57" spans="2:28" ht="15" customHeight="1">
      <c r="B57" s="75">
        <v>49</v>
      </c>
      <c r="C57" s="134">
        <f t="shared" si="16"/>
        <v>1</v>
      </c>
      <c r="D57" s="134">
        <f t="shared" si="16"/>
        <v>1</v>
      </c>
      <c r="E57" s="134">
        <f t="shared" si="16"/>
        <v>2</v>
      </c>
      <c r="F57" s="134">
        <f t="shared" si="16"/>
        <v>1</v>
      </c>
      <c r="G57" s="134">
        <f t="shared" si="16"/>
        <v>3</v>
      </c>
      <c r="H57" s="134">
        <f t="shared" si="16"/>
        <v>1</v>
      </c>
      <c r="I57" s="134">
        <f t="shared" si="16"/>
        <v>1</v>
      </c>
      <c r="J57" s="134">
        <f t="shared" si="16"/>
        <v>0</v>
      </c>
      <c r="K57" s="134">
        <f t="shared" si="16"/>
        <v>1</v>
      </c>
      <c r="L57" s="134">
        <f t="shared" si="16"/>
        <v>1</v>
      </c>
      <c r="M57" s="134">
        <f t="shared" si="17"/>
        <v>1</v>
      </c>
      <c r="N57" s="134">
        <f t="shared" si="17"/>
        <v>1</v>
      </c>
      <c r="O57" s="134">
        <f t="shared" si="17"/>
        <v>1</v>
      </c>
      <c r="P57" s="134">
        <f t="shared" si="17"/>
        <v>0</v>
      </c>
      <c r="Q57" s="134">
        <f t="shared" si="17"/>
        <v>0</v>
      </c>
      <c r="R57" s="134">
        <f t="shared" si="17"/>
        <v>0</v>
      </c>
      <c r="S57" s="134">
        <f t="shared" si="17"/>
        <v>0</v>
      </c>
      <c r="T57" s="134">
        <f t="shared" si="17"/>
        <v>0</v>
      </c>
      <c r="U57" s="134">
        <f t="shared" si="17"/>
        <v>0</v>
      </c>
      <c r="V57" s="134">
        <f t="shared" si="17"/>
        <v>0</v>
      </c>
      <c r="X57" s="145" t="s">
        <v>69</v>
      </c>
      <c r="Y57" s="127">
        <f t="shared" si="12"/>
        <v>134</v>
      </c>
      <c r="Z57" s="127">
        <f t="shared" si="13"/>
        <v>78</v>
      </c>
      <c r="AA57" s="127">
        <f t="shared" si="14"/>
        <v>7</v>
      </c>
      <c r="AB57" s="147">
        <f t="shared" si="15"/>
        <v>0</v>
      </c>
    </row>
    <row r="58" spans="2:28" ht="15" customHeight="1">
      <c r="B58" s="75">
        <v>50</v>
      </c>
      <c r="C58" s="134">
        <f t="shared" si="16"/>
        <v>0</v>
      </c>
      <c r="D58" s="134">
        <f t="shared" si="16"/>
        <v>0</v>
      </c>
      <c r="E58" s="134">
        <f t="shared" si="16"/>
        <v>0</v>
      </c>
      <c r="F58" s="134">
        <f t="shared" si="16"/>
        <v>0</v>
      </c>
      <c r="G58" s="134">
        <f t="shared" si="16"/>
        <v>0</v>
      </c>
      <c r="H58" s="134">
        <f t="shared" si="16"/>
        <v>0</v>
      </c>
      <c r="I58" s="134">
        <f t="shared" si="16"/>
        <v>0</v>
      </c>
      <c r="J58" s="134">
        <f t="shared" si="16"/>
        <v>0</v>
      </c>
      <c r="K58" s="134">
        <f t="shared" si="16"/>
        <v>0</v>
      </c>
      <c r="L58" s="134">
        <f t="shared" si="16"/>
        <v>0</v>
      </c>
      <c r="M58" s="134">
        <f t="shared" si="17"/>
        <v>0</v>
      </c>
      <c r="N58" s="134">
        <f t="shared" si="17"/>
        <v>0</v>
      </c>
      <c r="O58" s="134">
        <f t="shared" si="17"/>
        <v>0</v>
      </c>
      <c r="P58" s="134">
        <f t="shared" si="17"/>
        <v>0</v>
      </c>
      <c r="Q58" s="134">
        <f t="shared" si="17"/>
        <v>0</v>
      </c>
      <c r="R58" s="134">
        <f t="shared" si="17"/>
        <v>0</v>
      </c>
      <c r="S58" s="134">
        <f t="shared" si="17"/>
        <v>0</v>
      </c>
      <c r="T58" s="134">
        <f t="shared" si="17"/>
        <v>0</v>
      </c>
      <c r="U58" s="134">
        <f t="shared" si="17"/>
        <v>0</v>
      </c>
      <c r="V58" s="134">
        <f t="shared" si="17"/>
        <v>0</v>
      </c>
      <c r="X58" s="145" t="s">
        <v>69</v>
      </c>
      <c r="Y58" s="127">
        <f t="shared" si="12"/>
        <v>0</v>
      </c>
      <c r="Z58" s="127">
        <f t="shared" si="13"/>
        <v>0</v>
      </c>
      <c r="AA58" s="127">
        <f t="shared" si="14"/>
        <v>0</v>
      </c>
      <c r="AB58" s="147">
        <f t="shared" si="15"/>
        <v>0</v>
      </c>
    </row>
    <row r="59" spans="2:28" ht="15" customHeight="1">
      <c r="B59" s="75">
        <v>51</v>
      </c>
      <c r="C59" s="134">
        <f t="shared" ref="C59:L68" si="18">SUMIFS(SumaAM,CentroAM,$B59,TurnoAM,C$8)</f>
        <v>0</v>
      </c>
      <c r="D59" s="134">
        <f t="shared" si="18"/>
        <v>1</v>
      </c>
      <c r="E59" s="134">
        <f t="shared" si="18"/>
        <v>0</v>
      </c>
      <c r="F59" s="134">
        <f t="shared" si="18"/>
        <v>1</v>
      </c>
      <c r="G59" s="134">
        <f t="shared" si="18"/>
        <v>0</v>
      </c>
      <c r="H59" s="134">
        <f t="shared" si="18"/>
        <v>1</v>
      </c>
      <c r="I59" s="134">
        <f t="shared" si="18"/>
        <v>1</v>
      </c>
      <c r="J59" s="134">
        <f t="shared" si="18"/>
        <v>1</v>
      </c>
      <c r="K59" s="134">
        <f t="shared" si="18"/>
        <v>1</v>
      </c>
      <c r="L59" s="134">
        <f t="shared" si="18"/>
        <v>1</v>
      </c>
      <c r="M59" s="134">
        <f t="shared" ref="M59:V68" si="19">SUMIFS(SumaAM,CentroAM,$B59,TurnoAM,M$8)</f>
        <v>1</v>
      </c>
      <c r="N59" s="134">
        <f t="shared" si="19"/>
        <v>0</v>
      </c>
      <c r="O59" s="134">
        <f t="shared" si="19"/>
        <v>1</v>
      </c>
      <c r="P59" s="134">
        <f t="shared" si="19"/>
        <v>1</v>
      </c>
      <c r="Q59" s="134">
        <f t="shared" si="19"/>
        <v>0</v>
      </c>
      <c r="R59" s="134">
        <f t="shared" si="19"/>
        <v>0</v>
      </c>
      <c r="S59" s="134">
        <f t="shared" si="19"/>
        <v>0</v>
      </c>
      <c r="T59" s="134">
        <f t="shared" si="19"/>
        <v>0</v>
      </c>
      <c r="U59" s="134">
        <f t="shared" si="19"/>
        <v>0</v>
      </c>
      <c r="V59" s="134">
        <f t="shared" si="19"/>
        <v>0</v>
      </c>
      <c r="X59" s="145" t="s">
        <v>69</v>
      </c>
      <c r="Y59" s="127">
        <f t="shared" si="12"/>
        <v>46</v>
      </c>
      <c r="Z59" s="127">
        <f t="shared" si="13"/>
        <v>12</v>
      </c>
      <c r="AA59" s="127">
        <f t="shared" si="14"/>
        <v>0</v>
      </c>
      <c r="AB59" s="147">
        <f t="shared" si="15"/>
        <v>1</v>
      </c>
    </row>
    <row r="60" spans="2:28" ht="15" customHeight="1">
      <c r="B60" s="75">
        <v>52</v>
      </c>
      <c r="C60" s="134">
        <f t="shared" si="18"/>
        <v>0</v>
      </c>
      <c r="D60" s="134">
        <f t="shared" si="18"/>
        <v>0</v>
      </c>
      <c r="E60" s="134">
        <f t="shared" si="18"/>
        <v>0</v>
      </c>
      <c r="F60" s="134">
        <f t="shared" si="18"/>
        <v>0</v>
      </c>
      <c r="G60" s="134">
        <f t="shared" si="18"/>
        <v>0</v>
      </c>
      <c r="H60" s="134">
        <f t="shared" si="18"/>
        <v>0</v>
      </c>
      <c r="I60" s="134">
        <f t="shared" si="18"/>
        <v>0</v>
      </c>
      <c r="J60" s="134">
        <f t="shared" si="18"/>
        <v>0</v>
      </c>
      <c r="K60" s="134">
        <f t="shared" si="18"/>
        <v>0</v>
      </c>
      <c r="L60" s="134">
        <f t="shared" si="18"/>
        <v>0</v>
      </c>
      <c r="M60" s="134">
        <f t="shared" si="19"/>
        <v>0</v>
      </c>
      <c r="N60" s="134">
        <f t="shared" si="19"/>
        <v>0</v>
      </c>
      <c r="O60" s="134">
        <f t="shared" si="19"/>
        <v>0</v>
      </c>
      <c r="P60" s="134">
        <f t="shared" si="19"/>
        <v>0</v>
      </c>
      <c r="Q60" s="134">
        <f t="shared" si="19"/>
        <v>0</v>
      </c>
      <c r="R60" s="134">
        <f t="shared" si="19"/>
        <v>0</v>
      </c>
      <c r="S60" s="134">
        <f t="shared" si="19"/>
        <v>0</v>
      </c>
      <c r="T60" s="134">
        <f t="shared" si="19"/>
        <v>0</v>
      </c>
      <c r="U60" s="134">
        <f t="shared" si="19"/>
        <v>0</v>
      </c>
      <c r="V60" s="134">
        <f t="shared" si="19"/>
        <v>0</v>
      </c>
      <c r="X60" s="145" t="s">
        <v>69</v>
      </c>
      <c r="Y60" s="127">
        <f t="shared" si="12"/>
        <v>0</v>
      </c>
      <c r="Z60" s="127">
        <f t="shared" si="13"/>
        <v>0</v>
      </c>
      <c r="AA60" s="127">
        <f t="shared" si="14"/>
        <v>0</v>
      </c>
      <c r="AB60" s="147">
        <f t="shared" si="15"/>
        <v>0</v>
      </c>
    </row>
    <row r="61" spans="2:28" ht="15" customHeight="1">
      <c r="B61" s="75">
        <v>53</v>
      </c>
      <c r="C61" s="134">
        <f t="shared" si="18"/>
        <v>0</v>
      </c>
      <c r="D61" s="134">
        <f t="shared" si="18"/>
        <v>1</v>
      </c>
      <c r="E61" s="134">
        <f t="shared" si="18"/>
        <v>1</v>
      </c>
      <c r="F61" s="134">
        <f t="shared" si="18"/>
        <v>0</v>
      </c>
      <c r="G61" s="134">
        <f t="shared" si="18"/>
        <v>0</v>
      </c>
      <c r="H61" s="134">
        <f t="shared" si="18"/>
        <v>1</v>
      </c>
      <c r="I61" s="134">
        <f t="shared" si="18"/>
        <v>1</v>
      </c>
      <c r="J61" s="134">
        <f t="shared" si="18"/>
        <v>1</v>
      </c>
      <c r="K61" s="134">
        <f t="shared" si="18"/>
        <v>2</v>
      </c>
      <c r="L61" s="134">
        <f t="shared" si="18"/>
        <v>2</v>
      </c>
      <c r="M61" s="134">
        <f t="shared" si="19"/>
        <v>2</v>
      </c>
      <c r="N61" s="134">
        <f t="shared" si="19"/>
        <v>3</v>
      </c>
      <c r="O61" s="134">
        <f t="shared" si="19"/>
        <v>2</v>
      </c>
      <c r="P61" s="134">
        <f t="shared" si="19"/>
        <v>2</v>
      </c>
      <c r="Q61" s="134">
        <f t="shared" si="19"/>
        <v>1</v>
      </c>
      <c r="R61" s="134">
        <f t="shared" si="19"/>
        <v>0</v>
      </c>
      <c r="S61" s="134">
        <f t="shared" si="19"/>
        <v>0</v>
      </c>
      <c r="T61" s="134">
        <f t="shared" si="19"/>
        <v>0</v>
      </c>
      <c r="U61" s="134">
        <f t="shared" si="19"/>
        <v>0</v>
      </c>
      <c r="V61" s="134">
        <f t="shared" si="19"/>
        <v>0</v>
      </c>
      <c r="X61" s="145" t="s">
        <v>69</v>
      </c>
      <c r="Y61" s="127">
        <f t="shared" si="12"/>
        <v>99</v>
      </c>
      <c r="Z61" s="127">
        <f t="shared" si="13"/>
        <v>52</v>
      </c>
      <c r="AA61" s="127">
        <f t="shared" si="14"/>
        <v>3</v>
      </c>
      <c r="AB61" s="147">
        <f t="shared" si="15"/>
        <v>17</v>
      </c>
    </row>
    <row r="62" spans="2:28" ht="15" customHeight="1">
      <c r="B62" s="75">
        <v>54</v>
      </c>
      <c r="C62" s="134">
        <f t="shared" si="18"/>
        <v>0</v>
      </c>
      <c r="D62" s="134">
        <f t="shared" si="18"/>
        <v>0</v>
      </c>
      <c r="E62" s="134">
        <f t="shared" si="18"/>
        <v>1</v>
      </c>
      <c r="F62" s="134">
        <f t="shared" si="18"/>
        <v>0</v>
      </c>
      <c r="G62" s="134">
        <f t="shared" si="18"/>
        <v>0</v>
      </c>
      <c r="H62" s="134">
        <f t="shared" si="18"/>
        <v>0</v>
      </c>
      <c r="I62" s="134">
        <f t="shared" si="18"/>
        <v>0</v>
      </c>
      <c r="J62" s="134">
        <f t="shared" si="18"/>
        <v>1</v>
      </c>
      <c r="K62" s="134">
        <f t="shared" si="18"/>
        <v>1</v>
      </c>
      <c r="L62" s="134">
        <f t="shared" si="18"/>
        <v>0</v>
      </c>
      <c r="M62" s="134">
        <f t="shared" si="19"/>
        <v>0</v>
      </c>
      <c r="N62" s="134">
        <f t="shared" si="19"/>
        <v>0</v>
      </c>
      <c r="O62" s="134">
        <f t="shared" si="19"/>
        <v>0</v>
      </c>
      <c r="P62" s="134">
        <f t="shared" si="19"/>
        <v>0</v>
      </c>
      <c r="Q62" s="134">
        <f t="shared" si="19"/>
        <v>0</v>
      </c>
      <c r="R62" s="134">
        <f t="shared" si="19"/>
        <v>0</v>
      </c>
      <c r="S62" s="134">
        <f t="shared" si="19"/>
        <v>0</v>
      </c>
      <c r="T62" s="134">
        <f t="shared" si="19"/>
        <v>0</v>
      </c>
      <c r="U62" s="134">
        <f t="shared" si="19"/>
        <v>0</v>
      </c>
      <c r="V62" s="134">
        <f t="shared" si="19"/>
        <v>0</v>
      </c>
      <c r="X62" s="145" t="s">
        <v>69</v>
      </c>
      <c r="Y62" s="127">
        <f t="shared" si="12"/>
        <v>11</v>
      </c>
      <c r="Z62" s="127">
        <f t="shared" si="13"/>
        <v>5</v>
      </c>
      <c r="AA62" s="127">
        <f t="shared" si="14"/>
        <v>3</v>
      </c>
      <c r="AB62" s="147">
        <f t="shared" si="15"/>
        <v>0</v>
      </c>
    </row>
    <row r="63" spans="2:28" ht="15" customHeight="1">
      <c r="B63" s="75">
        <v>55</v>
      </c>
      <c r="C63" s="134">
        <f t="shared" si="18"/>
        <v>0</v>
      </c>
      <c r="D63" s="134">
        <f t="shared" si="18"/>
        <v>0</v>
      </c>
      <c r="E63" s="134">
        <f t="shared" si="18"/>
        <v>0</v>
      </c>
      <c r="F63" s="134">
        <f t="shared" si="18"/>
        <v>1</v>
      </c>
      <c r="G63" s="134">
        <f t="shared" si="18"/>
        <v>0</v>
      </c>
      <c r="H63" s="134">
        <f t="shared" si="18"/>
        <v>0</v>
      </c>
      <c r="I63" s="134">
        <f t="shared" si="18"/>
        <v>0</v>
      </c>
      <c r="J63" s="134">
        <f t="shared" si="18"/>
        <v>0</v>
      </c>
      <c r="K63" s="134">
        <f t="shared" si="18"/>
        <v>0</v>
      </c>
      <c r="L63" s="134">
        <f t="shared" si="18"/>
        <v>0</v>
      </c>
      <c r="M63" s="134">
        <f t="shared" si="19"/>
        <v>0</v>
      </c>
      <c r="N63" s="134">
        <f t="shared" si="19"/>
        <v>0</v>
      </c>
      <c r="O63" s="134">
        <f t="shared" si="19"/>
        <v>0</v>
      </c>
      <c r="P63" s="134">
        <f t="shared" si="19"/>
        <v>0</v>
      </c>
      <c r="Q63" s="134">
        <f t="shared" si="19"/>
        <v>0</v>
      </c>
      <c r="R63" s="134">
        <f t="shared" si="19"/>
        <v>0</v>
      </c>
      <c r="S63" s="134">
        <f t="shared" si="19"/>
        <v>0</v>
      </c>
      <c r="T63" s="134">
        <f t="shared" si="19"/>
        <v>0</v>
      </c>
      <c r="U63" s="134">
        <f t="shared" si="19"/>
        <v>0</v>
      </c>
      <c r="V63" s="134">
        <f t="shared" si="19"/>
        <v>0</v>
      </c>
      <c r="X63" s="145" t="s">
        <v>69</v>
      </c>
      <c r="Y63" s="127">
        <f t="shared" si="12"/>
        <v>2</v>
      </c>
      <c r="Z63" s="127">
        <f t="shared" si="13"/>
        <v>1</v>
      </c>
      <c r="AA63" s="127">
        <f t="shared" si="14"/>
        <v>0</v>
      </c>
      <c r="AB63" s="147">
        <f t="shared" si="15"/>
        <v>0</v>
      </c>
    </row>
    <row r="64" spans="2:28" ht="15" customHeight="1">
      <c r="B64" s="75">
        <v>56</v>
      </c>
      <c r="C64" s="134">
        <f t="shared" si="18"/>
        <v>0</v>
      </c>
      <c r="D64" s="134">
        <f t="shared" si="18"/>
        <v>1</v>
      </c>
      <c r="E64" s="134">
        <f t="shared" si="18"/>
        <v>0</v>
      </c>
      <c r="F64" s="134">
        <f t="shared" si="18"/>
        <v>0</v>
      </c>
      <c r="G64" s="134">
        <f t="shared" si="18"/>
        <v>0</v>
      </c>
      <c r="H64" s="134">
        <f t="shared" si="18"/>
        <v>0</v>
      </c>
      <c r="I64" s="134">
        <f t="shared" si="18"/>
        <v>1</v>
      </c>
      <c r="J64" s="134">
        <f t="shared" si="18"/>
        <v>1</v>
      </c>
      <c r="K64" s="134">
        <f t="shared" si="18"/>
        <v>1</v>
      </c>
      <c r="L64" s="134">
        <f t="shared" si="18"/>
        <v>1</v>
      </c>
      <c r="M64" s="134">
        <f t="shared" si="19"/>
        <v>1</v>
      </c>
      <c r="N64" s="134">
        <f t="shared" si="19"/>
        <v>1</v>
      </c>
      <c r="O64" s="134">
        <f t="shared" si="19"/>
        <v>1</v>
      </c>
      <c r="P64" s="134">
        <f t="shared" si="19"/>
        <v>1</v>
      </c>
      <c r="Q64" s="134">
        <f t="shared" si="19"/>
        <v>0</v>
      </c>
      <c r="R64" s="134">
        <f t="shared" si="19"/>
        <v>0</v>
      </c>
      <c r="S64" s="134">
        <f t="shared" si="19"/>
        <v>0</v>
      </c>
      <c r="T64" s="134">
        <f t="shared" si="19"/>
        <v>0</v>
      </c>
      <c r="U64" s="134">
        <f t="shared" si="19"/>
        <v>0</v>
      </c>
      <c r="V64" s="134">
        <f t="shared" si="19"/>
        <v>0</v>
      </c>
      <c r="X64" s="145" t="s">
        <v>69</v>
      </c>
      <c r="Y64" s="127">
        <f t="shared" si="12"/>
        <v>33</v>
      </c>
      <c r="Z64" s="127">
        <f t="shared" si="13"/>
        <v>22</v>
      </c>
      <c r="AA64" s="127">
        <f t="shared" si="14"/>
        <v>2</v>
      </c>
      <c r="AB64" s="147">
        <f t="shared" si="15"/>
        <v>11</v>
      </c>
    </row>
    <row r="65" spans="2:28" ht="15" customHeight="1">
      <c r="B65" s="75">
        <v>57</v>
      </c>
      <c r="C65" s="134">
        <f t="shared" si="18"/>
        <v>0</v>
      </c>
      <c r="D65" s="134">
        <f t="shared" si="18"/>
        <v>0</v>
      </c>
      <c r="E65" s="134">
        <f t="shared" si="18"/>
        <v>0</v>
      </c>
      <c r="F65" s="134">
        <f t="shared" si="18"/>
        <v>1</v>
      </c>
      <c r="G65" s="134">
        <f t="shared" si="18"/>
        <v>1</v>
      </c>
      <c r="H65" s="134">
        <f t="shared" si="18"/>
        <v>1</v>
      </c>
      <c r="I65" s="134">
        <f t="shared" si="18"/>
        <v>1</v>
      </c>
      <c r="J65" s="134">
        <f t="shared" si="18"/>
        <v>1</v>
      </c>
      <c r="K65" s="134">
        <f t="shared" si="18"/>
        <v>1</v>
      </c>
      <c r="L65" s="134">
        <f t="shared" si="18"/>
        <v>1</v>
      </c>
      <c r="M65" s="134">
        <f t="shared" si="19"/>
        <v>1</v>
      </c>
      <c r="N65" s="134">
        <f t="shared" si="19"/>
        <v>0</v>
      </c>
      <c r="O65" s="134">
        <f t="shared" si="19"/>
        <v>0</v>
      </c>
      <c r="P65" s="134">
        <f t="shared" si="19"/>
        <v>0</v>
      </c>
      <c r="Q65" s="134">
        <f t="shared" si="19"/>
        <v>0</v>
      </c>
      <c r="R65" s="134">
        <f t="shared" si="19"/>
        <v>0</v>
      </c>
      <c r="S65" s="134">
        <f t="shared" si="19"/>
        <v>0</v>
      </c>
      <c r="T65" s="134">
        <f t="shared" si="19"/>
        <v>0</v>
      </c>
      <c r="U65" s="134">
        <f t="shared" si="19"/>
        <v>0</v>
      </c>
      <c r="V65" s="134">
        <f t="shared" si="19"/>
        <v>0</v>
      </c>
      <c r="X65" s="145" t="s">
        <v>69</v>
      </c>
      <c r="Y65" s="127">
        <f t="shared" si="12"/>
        <v>19</v>
      </c>
      <c r="Z65" s="127">
        <f t="shared" si="13"/>
        <v>8</v>
      </c>
      <c r="AA65" s="127">
        <f t="shared" si="14"/>
        <v>0</v>
      </c>
      <c r="AB65" s="147">
        <f t="shared" si="15"/>
        <v>2</v>
      </c>
    </row>
    <row r="66" spans="2:28" ht="15" customHeight="1">
      <c r="B66" s="75">
        <v>58</v>
      </c>
      <c r="C66" s="134">
        <f t="shared" si="18"/>
        <v>1</v>
      </c>
      <c r="D66" s="134">
        <f t="shared" si="18"/>
        <v>1</v>
      </c>
      <c r="E66" s="134">
        <f t="shared" si="18"/>
        <v>1</v>
      </c>
      <c r="F66" s="134">
        <f t="shared" si="18"/>
        <v>0</v>
      </c>
      <c r="G66" s="134">
        <f t="shared" si="18"/>
        <v>1</v>
      </c>
      <c r="H66" s="134">
        <f t="shared" si="18"/>
        <v>0</v>
      </c>
      <c r="I66" s="134">
        <f t="shared" si="18"/>
        <v>0</v>
      </c>
      <c r="J66" s="134">
        <f t="shared" si="18"/>
        <v>0</v>
      </c>
      <c r="K66" s="134">
        <f t="shared" si="18"/>
        <v>0</v>
      </c>
      <c r="L66" s="134">
        <f t="shared" si="18"/>
        <v>0</v>
      </c>
      <c r="M66" s="134">
        <f t="shared" si="19"/>
        <v>0</v>
      </c>
      <c r="N66" s="134">
        <f t="shared" si="19"/>
        <v>0</v>
      </c>
      <c r="O66" s="134">
        <f t="shared" si="19"/>
        <v>0</v>
      </c>
      <c r="P66" s="134">
        <f t="shared" si="19"/>
        <v>0</v>
      </c>
      <c r="Q66" s="134">
        <f t="shared" si="19"/>
        <v>0</v>
      </c>
      <c r="R66" s="134">
        <f t="shared" si="19"/>
        <v>0</v>
      </c>
      <c r="S66" s="134">
        <f t="shared" si="19"/>
        <v>0</v>
      </c>
      <c r="T66" s="134">
        <f t="shared" si="19"/>
        <v>0</v>
      </c>
      <c r="U66" s="134">
        <f t="shared" si="19"/>
        <v>0</v>
      </c>
      <c r="V66" s="134">
        <f t="shared" si="19"/>
        <v>0</v>
      </c>
      <c r="X66" s="145" t="s">
        <v>69</v>
      </c>
      <c r="Y66" s="127">
        <f t="shared" si="12"/>
        <v>10</v>
      </c>
      <c r="Z66" s="127">
        <f t="shared" si="13"/>
        <v>11</v>
      </c>
      <c r="AA66" s="127">
        <f t="shared" si="14"/>
        <v>0</v>
      </c>
      <c r="AB66" s="147">
        <f t="shared" si="15"/>
        <v>0</v>
      </c>
    </row>
    <row r="67" spans="2:28" ht="15" customHeight="1" thickBot="1">
      <c r="B67" s="76">
        <v>59</v>
      </c>
      <c r="C67" s="134">
        <f t="shared" si="18"/>
        <v>0</v>
      </c>
      <c r="D67" s="134">
        <f t="shared" si="18"/>
        <v>1</v>
      </c>
      <c r="E67" s="134">
        <f t="shared" si="18"/>
        <v>0</v>
      </c>
      <c r="F67" s="134">
        <f t="shared" si="18"/>
        <v>0</v>
      </c>
      <c r="G67" s="134">
        <f t="shared" si="18"/>
        <v>0</v>
      </c>
      <c r="H67" s="134">
        <f t="shared" si="18"/>
        <v>0</v>
      </c>
      <c r="I67" s="134">
        <f t="shared" si="18"/>
        <v>0</v>
      </c>
      <c r="J67" s="134">
        <f t="shared" si="18"/>
        <v>1</v>
      </c>
      <c r="K67" s="134">
        <f t="shared" si="18"/>
        <v>1</v>
      </c>
      <c r="L67" s="134">
        <f t="shared" si="18"/>
        <v>0</v>
      </c>
      <c r="M67" s="134">
        <f t="shared" si="19"/>
        <v>1</v>
      </c>
      <c r="N67" s="134">
        <f t="shared" si="19"/>
        <v>1</v>
      </c>
      <c r="O67" s="134">
        <f t="shared" si="19"/>
        <v>1</v>
      </c>
      <c r="P67" s="134">
        <f t="shared" si="19"/>
        <v>2</v>
      </c>
      <c r="Q67" s="134">
        <f t="shared" si="19"/>
        <v>2</v>
      </c>
      <c r="R67" s="134">
        <f t="shared" si="19"/>
        <v>0</v>
      </c>
      <c r="S67" s="134">
        <f t="shared" si="19"/>
        <v>0</v>
      </c>
      <c r="T67" s="134">
        <f t="shared" si="19"/>
        <v>0</v>
      </c>
      <c r="U67" s="134">
        <f t="shared" si="19"/>
        <v>0</v>
      </c>
      <c r="V67" s="134">
        <f t="shared" si="19"/>
        <v>0</v>
      </c>
      <c r="X67" s="145" t="s">
        <v>69</v>
      </c>
      <c r="Y67" s="127">
        <f t="shared" si="12"/>
        <v>32</v>
      </c>
      <c r="Z67" s="127">
        <f t="shared" si="13"/>
        <v>21</v>
      </c>
      <c r="AA67" s="127">
        <f t="shared" si="14"/>
        <v>0</v>
      </c>
      <c r="AB67" s="147">
        <f t="shared" si="15"/>
        <v>0</v>
      </c>
    </row>
    <row r="68" spans="2:28" ht="15" customHeight="1">
      <c r="B68" s="75">
        <v>61</v>
      </c>
      <c r="C68" s="134">
        <f t="shared" si="18"/>
        <v>0</v>
      </c>
      <c r="D68" s="134">
        <f t="shared" si="18"/>
        <v>1</v>
      </c>
      <c r="E68" s="134">
        <f t="shared" si="18"/>
        <v>1</v>
      </c>
      <c r="F68" s="134">
        <f t="shared" si="18"/>
        <v>0</v>
      </c>
      <c r="G68" s="134">
        <f t="shared" si="18"/>
        <v>1</v>
      </c>
      <c r="H68" s="134">
        <f t="shared" si="18"/>
        <v>1</v>
      </c>
      <c r="I68" s="134">
        <f t="shared" si="18"/>
        <v>1</v>
      </c>
      <c r="J68" s="134">
        <f t="shared" si="18"/>
        <v>0</v>
      </c>
      <c r="K68" s="134">
        <f t="shared" si="18"/>
        <v>2</v>
      </c>
      <c r="L68" s="134">
        <f t="shared" si="18"/>
        <v>1</v>
      </c>
      <c r="M68" s="134">
        <f t="shared" si="19"/>
        <v>1</v>
      </c>
      <c r="N68" s="134">
        <f t="shared" si="19"/>
        <v>1</v>
      </c>
      <c r="O68" s="134">
        <f t="shared" si="19"/>
        <v>1</v>
      </c>
      <c r="P68" s="134">
        <f t="shared" si="19"/>
        <v>1</v>
      </c>
      <c r="Q68" s="134">
        <f t="shared" si="19"/>
        <v>1</v>
      </c>
      <c r="R68" s="134">
        <f t="shared" si="19"/>
        <v>0</v>
      </c>
      <c r="S68" s="134">
        <f t="shared" si="19"/>
        <v>0</v>
      </c>
      <c r="T68" s="134">
        <f t="shared" si="19"/>
        <v>0</v>
      </c>
      <c r="U68" s="134">
        <f t="shared" si="19"/>
        <v>0</v>
      </c>
      <c r="V68" s="134">
        <f t="shared" si="19"/>
        <v>0</v>
      </c>
      <c r="X68" s="145" t="s">
        <v>55</v>
      </c>
      <c r="Y68" s="127">
        <f t="shared" si="12"/>
        <v>66</v>
      </c>
      <c r="Z68" s="127">
        <f t="shared" si="13"/>
        <v>187</v>
      </c>
      <c r="AA68" s="127">
        <f t="shared" si="14"/>
        <v>0</v>
      </c>
      <c r="AB68" s="147">
        <f t="shared" si="15"/>
        <v>8</v>
      </c>
    </row>
    <row r="69" spans="2:28" ht="15" customHeight="1">
      <c r="B69" s="75">
        <v>62</v>
      </c>
      <c r="C69" s="134">
        <f t="shared" ref="C69:L78" si="20">SUMIFS(SumaAM,CentroAM,$B69,TurnoAM,C$8)</f>
        <v>1</v>
      </c>
      <c r="D69" s="134">
        <f t="shared" si="20"/>
        <v>1</v>
      </c>
      <c r="E69" s="134">
        <f t="shared" si="20"/>
        <v>1</v>
      </c>
      <c r="F69" s="134">
        <f t="shared" si="20"/>
        <v>1</v>
      </c>
      <c r="G69" s="134">
        <f t="shared" si="20"/>
        <v>0</v>
      </c>
      <c r="H69" s="134">
        <f t="shared" si="20"/>
        <v>0</v>
      </c>
      <c r="I69" s="134">
        <f t="shared" si="20"/>
        <v>1</v>
      </c>
      <c r="J69" s="134">
        <f t="shared" si="20"/>
        <v>1</v>
      </c>
      <c r="K69" s="134">
        <f t="shared" si="20"/>
        <v>1</v>
      </c>
      <c r="L69" s="134">
        <f t="shared" si="20"/>
        <v>1</v>
      </c>
      <c r="M69" s="134">
        <f t="shared" ref="M69:V78" si="21">SUMIFS(SumaAM,CentroAM,$B69,TurnoAM,M$8)</f>
        <v>1</v>
      </c>
      <c r="N69" s="134">
        <f t="shared" si="21"/>
        <v>1</v>
      </c>
      <c r="O69" s="134">
        <f t="shared" si="21"/>
        <v>1</v>
      </c>
      <c r="P69" s="134">
        <f t="shared" si="21"/>
        <v>0</v>
      </c>
      <c r="Q69" s="134">
        <f t="shared" si="21"/>
        <v>0</v>
      </c>
      <c r="R69" s="134">
        <f t="shared" si="21"/>
        <v>0</v>
      </c>
      <c r="S69" s="134">
        <f t="shared" si="21"/>
        <v>0</v>
      </c>
      <c r="T69" s="134">
        <f t="shared" si="21"/>
        <v>0</v>
      </c>
      <c r="U69" s="134">
        <f t="shared" si="21"/>
        <v>0</v>
      </c>
      <c r="V69" s="134">
        <f t="shared" si="21"/>
        <v>0</v>
      </c>
      <c r="X69" s="145" t="s">
        <v>55</v>
      </c>
      <c r="Y69" s="127">
        <f t="shared" si="12"/>
        <v>50</v>
      </c>
      <c r="Z69" s="127">
        <f t="shared" si="13"/>
        <v>129</v>
      </c>
      <c r="AA69" s="127">
        <f t="shared" si="14"/>
        <v>0</v>
      </c>
      <c r="AB69" s="147">
        <f t="shared" si="15"/>
        <v>3</v>
      </c>
    </row>
    <row r="70" spans="2:28" ht="15" customHeight="1">
      <c r="B70" s="75">
        <v>63</v>
      </c>
      <c r="C70" s="134">
        <f t="shared" si="20"/>
        <v>0</v>
      </c>
      <c r="D70" s="134">
        <f t="shared" si="20"/>
        <v>0</v>
      </c>
      <c r="E70" s="134">
        <f t="shared" si="20"/>
        <v>0</v>
      </c>
      <c r="F70" s="134">
        <f t="shared" si="20"/>
        <v>0</v>
      </c>
      <c r="G70" s="134">
        <f t="shared" si="20"/>
        <v>0</v>
      </c>
      <c r="H70" s="134">
        <f t="shared" si="20"/>
        <v>0</v>
      </c>
      <c r="I70" s="134">
        <f t="shared" si="20"/>
        <v>0</v>
      </c>
      <c r="J70" s="134">
        <f t="shared" si="20"/>
        <v>0</v>
      </c>
      <c r="K70" s="134">
        <f t="shared" si="20"/>
        <v>0</v>
      </c>
      <c r="L70" s="134">
        <f t="shared" si="20"/>
        <v>0</v>
      </c>
      <c r="M70" s="134">
        <f t="shared" si="21"/>
        <v>0</v>
      </c>
      <c r="N70" s="134">
        <f t="shared" si="21"/>
        <v>0</v>
      </c>
      <c r="O70" s="134">
        <f t="shared" si="21"/>
        <v>0</v>
      </c>
      <c r="P70" s="134">
        <f t="shared" si="21"/>
        <v>0</v>
      </c>
      <c r="Q70" s="134">
        <f t="shared" si="21"/>
        <v>0</v>
      </c>
      <c r="R70" s="134">
        <f t="shared" si="21"/>
        <v>0</v>
      </c>
      <c r="S70" s="134">
        <f t="shared" si="21"/>
        <v>0</v>
      </c>
      <c r="T70" s="134">
        <f t="shared" si="21"/>
        <v>0</v>
      </c>
      <c r="U70" s="134">
        <f t="shared" si="21"/>
        <v>0</v>
      </c>
      <c r="V70" s="134">
        <f t="shared" si="21"/>
        <v>0</v>
      </c>
      <c r="X70" s="145" t="s">
        <v>55</v>
      </c>
      <c r="Y70" s="127">
        <f t="shared" si="12"/>
        <v>0</v>
      </c>
      <c r="Z70" s="127">
        <f t="shared" si="13"/>
        <v>0</v>
      </c>
      <c r="AA70" s="127">
        <f t="shared" si="14"/>
        <v>0</v>
      </c>
      <c r="AB70" s="147">
        <f t="shared" si="15"/>
        <v>0</v>
      </c>
    </row>
    <row r="71" spans="2:28" ht="15" customHeight="1">
      <c r="B71" s="75">
        <v>64</v>
      </c>
      <c r="C71" s="134">
        <f t="shared" si="20"/>
        <v>1</v>
      </c>
      <c r="D71" s="134">
        <f t="shared" si="20"/>
        <v>1</v>
      </c>
      <c r="E71" s="134">
        <f t="shared" si="20"/>
        <v>1</v>
      </c>
      <c r="F71" s="134">
        <f t="shared" si="20"/>
        <v>1</v>
      </c>
      <c r="G71" s="134">
        <f t="shared" si="20"/>
        <v>2</v>
      </c>
      <c r="H71" s="134">
        <f t="shared" si="20"/>
        <v>1</v>
      </c>
      <c r="I71" s="134">
        <f t="shared" si="20"/>
        <v>0</v>
      </c>
      <c r="J71" s="134">
        <f t="shared" si="20"/>
        <v>1</v>
      </c>
      <c r="K71" s="134">
        <f t="shared" si="20"/>
        <v>1</v>
      </c>
      <c r="L71" s="134">
        <f t="shared" si="20"/>
        <v>1</v>
      </c>
      <c r="M71" s="134">
        <f t="shared" si="21"/>
        <v>1</v>
      </c>
      <c r="N71" s="134">
        <f t="shared" si="21"/>
        <v>1</v>
      </c>
      <c r="O71" s="134">
        <f t="shared" si="21"/>
        <v>1</v>
      </c>
      <c r="P71" s="134">
        <f t="shared" si="21"/>
        <v>0</v>
      </c>
      <c r="Q71" s="134">
        <f t="shared" si="21"/>
        <v>0</v>
      </c>
      <c r="R71" s="134">
        <f t="shared" si="21"/>
        <v>0</v>
      </c>
      <c r="S71" s="134">
        <f t="shared" si="21"/>
        <v>0</v>
      </c>
      <c r="T71" s="134">
        <f t="shared" si="21"/>
        <v>0</v>
      </c>
      <c r="U71" s="134">
        <f t="shared" si="21"/>
        <v>0</v>
      </c>
      <c r="V71" s="134">
        <f t="shared" si="21"/>
        <v>0</v>
      </c>
      <c r="X71" s="145" t="s">
        <v>55</v>
      </c>
      <c r="Y71" s="127">
        <f t="shared" si="12"/>
        <v>92</v>
      </c>
      <c r="Z71" s="127">
        <f t="shared" si="13"/>
        <v>114</v>
      </c>
      <c r="AA71" s="127">
        <f t="shared" si="14"/>
        <v>3</v>
      </c>
      <c r="AB71" s="147">
        <f t="shared" si="15"/>
        <v>3</v>
      </c>
    </row>
    <row r="72" spans="2:28" ht="15" customHeight="1">
      <c r="B72" s="75">
        <v>65</v>
      </c>
      <c r="C72" s="134">
        <f t="shared" si="20"/>
        <v>0</v>
      </c>
      <c r="D72" s="134">
        <f t="shared" si="20"/>
        <v>0</v>
      </c>
      <c r="E72" s="134">
        <f t="shared" si="20"/>
        <v>1</v>
      </c>
      <c r="F72" s="134">
        <f t="shared" si="20"/>
        <v>1</v>
      </c>
      <c r="G72" s="134">
        <f t="shared" si="20"/>
        <v>0</v>
      </c>
      <c r="H72" s="134">
        <f t="shared" si="20"/>
        <v>0</v>
      </c>
      <c r="I72" s="134">
        <f t="shared" si="20"/>
        <v>0</v>
      </c>
      <c r="J72" s="134">
        <f t="shared" si="20"/>
        <v>0</v>
      </c>
      <c r="K72" s="134">
        <f t="shared" si="20"/>
        <v>0</v>
      </c>
      <c r="L72" s="134">
        <f t="shared" si="20"/>
        <v>0</v>
      </c>
      <c r="M72" s="134">
        <f t="shared" si="21"/>
        <v>1</v>
      </c>
      <c r="N72" s="134">
        <f t="shared" si="21"/>
        <v>1</v>
      </c>
      <c r="O72" s="134">
        <f t="shared" si="21"/>
        <v>1</v>
      </c>
      <c r="P72" s="134">
        <f t="shared" si="21"/>
        <v>0</v>
      </c>
      <c r="Q72" s="134">
        <f t="shared" si="21"/>
        <v>0</v>
      </c>
      <c r="R72" s="134">
        <f t="shared" si="21"/>
        <v>0</v>
      </c>
      <c r="S72" s="134">
        <f t="shared" si="21"/>
        <v>0</v>
      </c>
      <c r="T72" s="134">
        <f t="shared" si="21"/>
        <v>0</v>
      </c>
      <c r="U72" s="134">
        <f t="shared" si="21"/>
        <v>0</v>
      </c>
      <c r="V72" s="134">
        <f t="shared" si="21"/>
        <v>0</v>
      </c>
      <c r="X72" s="145" t="s">
        <v>55</v>
      </c>
      <c r="Y72" s="127">
        <f t="shared" si="12"/>
        <v>23</v>
      </c>
      <c r="Z72" s="127">
        <f t="shared" si="13"/>
        <v>52</v>
      </c>
      <c r="AA72" s="127">
        <f t="shared" si="14"/>
        <v>0</v>
      </c>
      <c r="AB72" s="147">
        <f t="shared" si="15"/>
        <v>1</v>
      </c>
    </row>
    <row r="73" spans="2:28" ht="15" customHeight="1">
      <c r="B73" s="75">
        <v>66</v>
      </c>
      <c r="C73" s="134">
        <f t="shared" si="20"/>
        <v>0</v>
      </c>
      <c r="D73" s="134">
        <f t="shared" si="20"/>
        <v>2</v>
      </c>
      <c r="E73" s="134">
        <f t="shared" si="20"/>
        <v>1</v>
      </c>
      <c r="F73" s="134">
        <f t="shared" si="20"/>
        <v>1</v>
      </c>
      <c r="G73" s="134">
        <f t="shared" si="20"/>
        <v>1</v>
      </c>
      <c r="H73" s="134">
        <f t="shared" si="20"/>
        <v>1</v>
      </c>
      <c r="I73" s="134">
        <f t="shared" si="20"/>
        <v>1</v>
      </c>
      <c r="J73" s="134">
        <f t="shared" si="20"/>
        <v>2</v>
      </c>
      <c r="K73" s="134">
        <f t="shared" si="20"/>
        <v>0</v>
      </c>
      <c r="L73" s="134">
        <f t="shared" si="20"/>
        <v>1</v>
      </c>
      <c r="M73" s="134">
        <f t="shared" si="21"/>
        <v>1</v>
      </c>
      <c r="N73" s="134">
        <f t="shared" si="21"/>
        <v>0</v>
      </c>
      <c r="O73" s="134">
        <f t="shared" si="21"/>
        <v>0</v>
      </c>
      <c r="P73" s="134">
        <f t="shared" si="21"/>
        <v>0</v>
      </c>
      <c r="Q73" s="134">
        <f t="shared" si="21"/>
        <v>0</v>
      </c>
      <c r="R73" s="134">
        <f t="shared" si="21"/>
        <v>0</v>
      </c>
      <c r="S73" s="134">
        <f t="shared" si="21"/>
        <v>0</v>
      </c>
      <c r="T73" s="134">
        <f t="shared" si="21"/>
        <v>0</v>
      </c>
      <c r="U73" s="134">
        <f t="shared" si="21"/>
        <v>0</v>
      </c>
      <c r="V73" s="134">
        <f t="shared" si="21"/>
        <v>0</v>
      </c>
      <c r="X73" s="145" t="s">
        <v>55</v>
      </c>
      <c r="Y73" s="127">
        <f t="shared" ref="Y73:Y98" si="22">SUMIF(CentroAM,$B73,Aristobulo_Izturiz)</f>
        <v>54</v>
      </c>
      <c r="Z73" s="127">
        <f t="shared" ref="Z73:Z98" si="23">SUMIF(CentroAM,$B73,Antonio_Ledezma)</f>
        <v>72</v>
      </c>
      <c r="AA73" s="127">
        <f t="shared" ref="AA73:AA98" si="24">SUMIF(CentroAM,$B73,Augusto_Uribe)</f>
        <v>8</v>
      </c>
      <c r="AB73" s="147">
        <f t="shared" ref="AB73:AB98" si="25">SUMIF(CentroAM,$B73,OtroAM)</f>
        <v>4</v>
      </c>
    </row>
    <row r="74" spans="2:28" ht="15" customHeight="1">
      <c r="B74" s="75">
        <v>67</v>
      </c>
      <c r="C74" s="134">
        <f t="shared" si="20"/>
        <v>1</v>
      </c>
      <c r="D74" s="134">
        <f t="shared" si="20"/>
        <v>1</v>
      </c>
      <c r="E74" s="134">
        <f t="shared" si="20"/>
        <v>1</v>
      </c>
      <c r="F74" s="134">
        <f t="shared" si="20"/>
        <v>0</v>
      </c>
      <c r="G74" s="134">
        <f t="shared" si="20"/>
        <v>1</v>
      </c>
      <c r="H74" s="134">
        <f t="shared" si="20"/>
        <v>1</v>
      </c>
      <c r="I74" s="134">
        <f t="shared" si="20"/>
        <v>1</v>
      </c>
      <c r="J74" s="134">
        <f t="shared" si="20"/>
        <v>1</v>
      </c>
      <c r="K74" s="134">
        <f t="shared" si="20"/>
        <v>1</v>
      </c>
      <c r="L74" s="134">
        <f t="shared" si="20"/>
        <v>1</v>
      </c>
      <c r="M74" s="134">
        <f t="shared" si="21"/>
        <v>1</v>
      </c>
      <c r="N74" s="134">
        <f t="shared" si="21"/>
        <v>1</v>
      </c>
      <c r="O74" s="134">
        <f t="shared" si="21"/>
        <v>1</v>
      </c>
      <c r="P74" s="134">
        <f t="shared" si="21"/>
        <v>0</v>
      </c>
      <c r="Q74" s="134">
        <f t="shared" si="21"/>
        <v>1</v>
      </c>
      <c r="R74" s="134">
        <f t="shared" si="21"/>
        <v>0</v>
      </c>
      <c r="S74" s="134">
        <f t="shared" si="21"/>
        <v>0</v>
      </c>
      <c r="T74" s="134">
        <f t="shared" si="21"/>
        <v>0</v>
      </c>
      <c r="U74" s="134">
        <f t="shared" si="21"/>
        <v>0</v>
      </c>
      <c r="V74" s="134">
        <f t="shared" si="21"/>
        <v>0</v>
      </c>
      <c r="X74" s="145" t="s">
        <v>55</v>
      </c>
      <c r="Y74" s="127">
        <f t="shared" si="22"/>
        <v>3</v>
      </c>
      <c r="Z74" s="127">
        <f t="shared" si="23"/>
        <v>280</v>
      </c>
      <c r="AA74" s="127">
        <f t="shared" si="24"/>
        <v>0</v>
      </c>
      <c r="AB74" s="147">
        <f t="shared" si="25"/>
        <v>0</v>
      </c>
    </row>
    <row r="75" spans="2:28" ht="15" customHeight="1">
      <c r="B75" s="75">
        <v>68</v>
      </c>
      <c r="C75" s="134">
        <f t="shared" si="20"/>
        <v>0</v>
      </c>
      <c r="D75" s="134">
        <f t="shared" si="20"/>
        <v>0</v>
      </c>
      <c r="E75" s="134">
        <f t="shared" si="20"/>
        <v>0</v>
      </c>
      <c r="F75" s="134">
        <f t="shared" si="20"/>
        <v>0</v>
      </c>
      <c r="G75" s="134">
        <f t="shared" si="20"/>
        <v>0</v>
      </c>
      <c r="H75" s="134">
        <f t="shared" si="20"/>
        <v>0</v>
      </c>
      <c r="I75" s="134">
        <f t="shared" si="20"/>
        <v>0</v>
      </c>
      <c r="J75" s="134">
        <f t="shared" si="20"/>
        <v>0</v>
      </c>
      <c r="K75" s="134">
        <f t="shared" si="20"/>
        <v>0</v>
      </c>
      <c r="L75" s="134">
        <f t="shared" si="20"/>
        <v>0</v>
      </c>
      <c r="M75" s="134">
        <f t="shared" si="21"/>
        <v>0</v>
      </c>
      <c r="N75" s="134">
        <f t="shared" si="21"/>
        <v>0</v>
      </c>
      <c r="O75" s="134">
        <f t="shared" si="21"/>
        <v>0</v>
      </c>
      <c r="P75" s="134">
        <f t="shared" si="21"/>
        <v>0</v>
      </c>
      <c r="Q75" s="134">
        <f t="shared" si="21"/>
        <v>0</v>
      </c>
      <c r="R75" s="134">
        <f t="shared" si="21"/>
        <v>0</v>
      </c>
      <c r="S75" s="134">
        <f t="shared" si="21"/>
        <v>0</v>
      </c>
      <c r="T75" s="134">
        <f t="shared" si="21"/>
        <v>0</v>
      </c>
      <c r="U75" s="134">
        <f t="shared" si="21"/>
        <v>0</v>
      </c>
      <c r="V75" s="134">
        <f t="shared" si="21"/>
        <v>0</v>
      </c>
      <c r="X75" s="145" t="s">
        <v>55</v>
      </c>
      <c r="Y75" s="127">
        <f t="shared" si="22"/>
        <v>0</v>
      </c>
      <c r="Z75" s="127">
        <f t="shared" si="23"/>
        <v>0</v>
      </c>
      <c r="AA75" s="127">
        <f t="shared" si="24"/>
        <v>0</v>
      </c>
      <c r="AB75" s="147">
        <f t="shared" si="25"/>
        <v>0</v>
      </c>
    </row>
    <row r="76" spans="2:28" ht="15" customHeight="1">
      <c r="B76" s="75">
        <v>69</v>
      </c>
      <c r="C76" s="134">
        <f t="shared" si="20"/>
        <v>1</v>
      </c>
      <c r="D76" s="134">
        <f t="shared" si="20"/>
        <v>1</v>
      </c>
      <c r="E76" s="134">
        <f t="shared" si="20"/>
        <v>1</v>
      </c>
      <c r="F76" s="134">
        <f t="shared" si="20"/>
        <v>1</v>
      </c>
      <c r="G76" s="134">
        <f t="shared" si="20"/>
        <v>1</v>
      </c>
      <c r="H76" s="134">
        <f t="shared" si="20"/>
        <v>1</v>
      </c>
      <c r="I76" s="134">
        <f t="shared" si="20"/>
        <v>2</v>
      </c>
      <c r="J76" s="134">
        <f t="shared" si="20"/>
        <v>1</v>
      </c>
      <c r="K76" s="134">
        <f t="shared" si="20"/>
        <v>0</v>
      </c>
      <c r="L76" s="134">
        <f t="shared" si="20"/>
        <v>0</v>
      </c>
      <c r="M76" s="134">
        <f t="shared" si="21"/>
        <v>0</v>
      </c>
      <c r="N76" s="134">
        <f t="shared" si="21"/>
        <v>0</v>
      </c>
      <c r="O76" s="134">
        <f t="shared" si="21"/>
        <v>0</v>
      </c>
      <c r="P76" s="134">
        <f t="shared" si="21"/>
        <v>0</v>
      </c>
      <c r="Q76" s="134">
        <f t="shared" si="21"/>
        <v>0</v>
      </c>
      <c r="R76" s="134">
        <f t="shared" si="21"/>
        <v>0</v>
      </c>
      <c r="S76" s="134">
        <f t="shared" si="21"/>
        <v>0</v>
      </c>
      <c r="T76" s="134">
        <f t="shared" si="21"/>
        <v>0</v>
      </c>
      <c r="U76" s="134">
        <f t="shared" si="21"/>
        <v>0</v>
      </c>
      <c r="V76" s="134">
        <f t="shared" si="21"/>
        <v>0</v>
      </c>
      <c r="X76" s="145" t="s">
        <v>55</v>
      </c>
      <c r="Y76" s="127">
        <f t="shared" si="22"/>
        <v>10</v>
      </c>
      <c r="Z76" s="127">
        <f t="shared" si="23"/>
        <v>141</v>
      </c>
      <c r="AA76" s="127">
        <f t="shared" si="24"/>
        <v>0</v>
      </c>
      <c r="AB76" s="147">
        <f t="shared" si="25"/>
        <v>0</v>
      </c>
    </row>
    <row r="77" spans="2:28" ht="15" customHeight="1">
      <c r="B77" s="75">
        <v>73</v>
      </c>
      <c r="C77" s="134">
        <f t="shared" si="20"/>
        <v>0</v>
      </c>
      <c r="D77" s="134">
        <f t="shared" si="20"/>
        <v>0</v>
      </c>
      <c r="E77" s="134">
        <f t="shared" si="20"/>
        <v>1</v>
      </c>
      <c r="F77" s="134">
        <f t="shared" si="20"/>
        <v>1</v>
      </c>
      <c r="G77" s="134">
        <f t="shared" si="20"/>
        <v>1</v>
      </c>
      <c r="H77" s="134">
        <f t="shared" si="20"/>
        <v>1</v>
      </c>
      <c r="I77" s="134">
        <f t="shared" si="20"/>
        <v>1</v>
      </c>
      <c r="J77" s="134">
        <f t="shared" si="20"/>
        <v>1</v>
      </c>
      <c r="K77" s="134">
        <f t="shared" si="20"/>
        <v>1</v>
      </c>
      <c r="L77" s="134">
        <f t="shared" si="20"/>
        <v>1</v>
      </c>
      <c r="M77" s="134">
        <f t="shared" si="21"/>
        <v>1</v>
      </c>
      <c r="N77" s="134">
        <f t="shared" si="21"/>
        <v>1</v>
      </c>
      <c r="O77" s="134">
        <f t="shared" si="21"/>
        <v>1</v>
      </c>
      <c r="P77" s="134">
        <f t="shared" si="21"/>
        <v>0</v>
      </c>
      <c r="Q77" s="134">
        <f t="shared" si="21"/>
        <v>1</v>
      </c>
      <c r="R77" s="134">
        <f t="shared" si="21"/>
        <v>0</v>
      </c>
      <c r="S77" s="134">
        <f t="shared" si="21"/>
        <v>0</v>
      </c>
      <c r="T77" s="134">
        <f t="shared" si="21"/>
        <v>0</v>
      </c>
      <c r="U77" s="134">
        <f t="shared" si="21"/>
        <v>0</v>
      </c>
      <c r="V77" s="134">
        <f t="shared" si="21"/>
        <v>0</v>
      </c>
      <c r="X77" s="145" t="s">
        <v>58</v>
      </c>
      <c r="Y77" s="127">
        <f t="shared" si="22"/>
        <v>5</v>
      </c>
      <c r="Z77" s="127">
        <f t="shared" si="23"/>
        <v>41</v>
      </c>
      <c r="AA77" s="127">
        <f t="shared" si="24"/>
        <v>0</v>
      </c>
      <c r="AB77" s="147">
        <f t="shared" si="25"/>
        <v>2</v>
      </c>
    </row>
    <row r="78" spans="2:28" ht="15" customHeight="1">
      <c r="B78" s="75">
        <v>74</v>
      </c>
      <c r="C78" s="134">
        <f t="shared" si="20"/>
        <v>0</v>
      </c>
      <c r="D78" s="134">
        <f t="shared" si="20"/>
        <v>0</v>
      </c>
      <c r="E78" s="134">
        <f t="shared" si="20"/>
        <v>0</v>
      </c>
      <c r="F78" s="134">
        <f t="shared" si="20"/>
        <v>0</v>
      </c>
      <c r="G78" s="134">
        <f t="shared" si="20"/>
        <v>0</v>
      </c>
      <c r="H78" s="134">
        <f t="shared" si="20"/>
        <v>0</v>
      </c>
      <c r="I78" s="134">
        <f t="shared" si="20"/>
        <v>0</v>
      </c>
      <c r="J78" s="134">
        <f t="shared" si="20"/>
        <v>0</v>
      </c>
      <c r="K78" s="134">
        <f t="shared" si="20"/>
        <v>0</v>
      </c>
      <c r="L78" s="134">
        <f t="shared" si="20"/>
        <v>0</v>
      </c>
      <c r="M78" s="134">
        <f t="shared" si="21"/>
        <v>0</v>
      </c>
      <c r="N78" s="134">
        <f t="shared" si="21"/>
        <v>0</v>
      </c>
      <c r="O78" s="134">
        <f t="shared" si="21"/>
        <v>0</v>
      </c>
      <c r="P78" s="134">
        <f t="shared" si="21"/>
        <v>0</v>
      </c>
      <c r="Q78" s="134">
        <f t="shared" si="21"/>
        <v>0</v>
      </c>
      <c r="R78" s="134">
        <f t="shared" si="21"/>
        <v>0</v>
      </c>
      <c r="S78" s="134">
        <f t="shared" si="21"/>
        <v>0</v>
      </c>
      <c r="T78" s="134">
        <f t="shared" si="21"/>
        <v>0</v>
      </c>
      <c r="U78" s="134">
        <f t="shared" si="21"/>
        <v>0</v>
      </c>
      <c r="V78" s="134">
        <f t="shared" si="21"/>
        <v>0</v>
      </c>
      <c r="X78" s="145" t="s">
        <v>58</v>
      </c>
      <c r="Y78" s="127">
        <f t="shared" si="22"/>
        <v>0</v>
      </c>
      <c r="Z78" s="127">
        <f t="shared" si="23"/>
        <v>0</v>
      </c>
      <c r="AA78" s="127">
        <f t="shared" si="24"/>
        <v>0</v>
      </c>
      <c r="AB78" s="147">
        <f t="shared" si="25"/>
        <v>0</v>
      </c>
    </row>
    <row r="79" spans="2:28" ht="15" customHeight="1">
      <c r="B79" s="75">
        <v>75</v>
      </c>
      <c r="C79" s="134">
        <f t="shared" ref="C79:L88" si="26">SUMIFS(SumaAM,CentroAM,$B79,TurnoAM,C$8)</f>
        <v>1</v>
      </c>
      <c r="D79" s="134">
        <f t="shared" si="26"/>
        <v>1</v>
      </c>
      <c r="E79" s="134">
        <f t="shared" si="26"/>
        <v>1</v>
      </c>
      <c r="F79" s="134">
        <f t="shared" si="26"/>
        <v>1</v>
      </c>
      <c r="G79" s="134">
        <f t="shared" si="26"/>
        <v>1</v>
      </c>
      <c r="H79" s="134">
        <f t="shared" si="26"/>
        <v>1</v>
      </c>
      <c r="I79" s="134">
        <f t="shared" si="26"/>
        <v>0</v>
      </c>
      <c r="J79" s="134">
        <f t="shared" si="26"/>
        <v>0</v>
      </c>
      <c r="K79" s="134">
        <f t="shared" si="26"/>
        <v>0</v>
      </c>
      <c r="L79" s="134">
        <f t="shared" si="26"/>
        <v>0</v>
      </c>
      <c r="M79" s="134">
        <f t="shared" ref="M79:V88" si="27">SUMIFS(SumaAM,CentroAM,$B79,TurnoAM,M$8)</f>
        <v>0</v>
      </c>
      <c r="N79" s="134">
        <f t="shared" si="27"/>
        <v>0</v>
      </c>
      <c r="O79" s="134">
        <f t="shared" si="27"/>
        <v>0</v>
      </c>
      <c r="P79" s="134">
        <f t="shared" si="27"/>
        <v>0</v>
      </c>
      <c r="Q79" s="134">
        <f t="shared" si="27"/>
        <v>0</v>
      </c>
      <c r="R79" s="134">
        <f t="shared" si="27"/>
        <v>0</v>
      </c>
      <c r="S79" s="134">
        <f t="shared" si="27"/>
        <v>0</v>
      </c>
      <c r="T79" s="134">
        <f t="shared" si="27"/>
        <v>0</v>
      </c>
      <c r="U79" s="134">
        <f t="shared" si="27"/>
        <v>0</v>
      </c>
      <c r="V79" s="134">
        <f t="shared" si="27"/>
        <v>0</v>
      </c>
      <c r="X79" s="145" t="s">
        <v>58</v>
      </c>
      <c r="Y79" s="127">
        <f t="shared" si="22"/>
        <v>11</v>
      </c>
      <c r="Z79" s="127">
        <f t="shared" si="23"/>
        <v>123</v>
      </c>
      <c r="AA79" s="127">
        <f t="shared" si="24"/>
        <v>0</v>
      </c>
      <c r="AB79" s="147">
        <f t="shared" si="25"/>
        <v>0</v>
      </c>
    </row>
    <row r="80" spans="2:28" ht="15" customHeight="1">
      <c r="B80" s="75">
        <v>78</v>
      </c>
      <c r="C80" s="134">
        <f t="shared" si="26"/>
        <v>1</v>
      </c>
      <c r="D80" s="134">
        <f t="shared" si="26"/>
        <v>1</v>
      </c>
      <c r="E80" s="134">
        <f t="shared" si="26"/>
        <v>1</v>
      </c>
      <c r="F80" s="134">
        <f t="shared" si="26"/>
        <v>1</v>
      </c>
      <c r="G80" s="134">
        <f t="shared" si="26"/>
        <v>0</v>
      </c>
      <c r="H80" s="134">
        <f t="shared" si="26"/>
        <v>0</v>
      </c>
      <c r="I80" s="134">
        <f t="shared" si="26"/>
        <v>0</v>
      </c>
      <c r="J80" s="134">
        <f t="shared" si="26"/>
        <v>1</v>
      </c>
      <c r="K80" s="134">
        <f t="shared" si="26"/>
        <v>1</v>
      </c>
      <c r="L80" s="134">
        <f t="shared" si="26"/>
        <v>1</v>
      </c>
      <c r="M80" s="134">
        <f t="shared" si="27"/>
        <v>1</v>
      </c>
      <c r="N80" s="134">
        <f t="shared" si="27"/>
        <v>1</v>
      </c>
      <c r="O80" s="134">
        <f t="shared" si="27"/>
        <v>1</v>
      </c>
      <c r="P80" s="134">
        <f t="shared" si="27"/>
        <v>1</v>
      </c>
      <c r="Q80" s="134">
        <f t="shared" si="27"/>
        <v>0</v>
      </c>
      <c r="R80" s="134">
        <f t="shared" si="27"/>
        <v>0</v>
      </c>
      <c r="S80" s="134">
        <f t="shared" si="27"/>
        <v>0</v>
      </c>
      <c r="T80" s="134">
        <f t="shared" si="27"/>
        <v>0</v>
      </c>
      <c r="U80" s="134">
        <f t="shared" si="27"/>
        <v>0</v>
      </c>
      <c r="V80" s="134">
        <f t="shared" si="27"/>
        <v>0</v>
      </c>
      <c r="X80" s="145" t="s">
        <v>60</v>
      </c>
      <c r="Y80" s="127">
        <f t="shared" si="22"/>
        <v>11</v>
      </c>
      <c r="Z80" s="127">
        <f t="shared" si="23"/>
        <v>261</v>
      </c>
      <c r="AA80" s="127">
        <f t="shared" si="24"/>
        <v>3</v>
      </c>
      <c r="AB80" s="147">
        <f t="shared" si="25"/>
        <v>0</v>
      </c>
    </row>
    <row r="81" spans="2:28" ht="15" customHeight="1">
      <c r="B81" s="75">
        <v>79</v>
      </c>
      <c r="C81" s="134">
        <f t="shared" si="26"/>
        <v>1</v>
      </c>
      <c r="D81" s="134">
        <f t="shared" si="26"/>
        <v>1</v>
      </c>
      <c r="E81" s="134">
        <f t="shared" si="26"/>
        <v>0</v>
      </c>
      <c r="F81" s="134">
        <f t="shared" si="26"/>
        <v>1</v>
      </c>
      <c r="G81" s="134">
        <f t="shared" si="26"/>
        <v>1</v>
      </c>
      <c r="H81" s="134">
        <f t="shared" si="26"/>
        <v>1</v>
      </c>
      <c r="I81" s="134">
        <f t="shared" si="26"/>
        <v>1</v>
      </c>
      <c r="J81" s="134">
        <f t="shared" si="26"/>
        <v>1</v>
      </c>
      <c r="K81" s="134">
        <f t="shared" si="26"/>
        <v>1</v>
      </c>
      <c r="L81" s="134">
        <f t="shared" si="26"/>
        <v>1</v>
      </c>
      <c r="M81" s="134">
        <f t="shared" si="27"/>
        <v>1</v>
      </c>
      <c r="N81" s="134">
        <f t="shared" si="27"/>
        <v>0</v>
      </c>
      <c r="O81" s="134">
        <f t="shared" si="27"/>
        <v>0</v>
      </c>
      <c r="P81" s="134">
        <f t="shared" si="27"/>
        <v>0</v>
      </c>
      <c r="Q81" s="134">
        <f t="shared" si="27"/>
        <v>0</v>
      </c>
      <c r="R81" s="134">
        <f t="shared" si="27"/>
        <v>0</v>
      </c>
      <c r="S81" s="134">
        <f t="shared" si="27"/>
        <v>0</v>
      </c>
      <c r="T81" s="134">
        <f t="shared" si="27"/>
        <v>0</v>
      </c>
      <c r="U81" s="134">
        <f t="shared" si="27"/>
        <v>0</v>
      </c>
      <c r="V81" s="134">
        <f t="shared" si="27"/>
        <v>0</v>
      </c>
      <c r="X81" s="145" t="s">
        <v>60</v>
      </c>
      <c r="Y81" s="127">
        <f t="shared" si="22"/>
        <v>1</v>
      </c>
      <c r="Z81" s="127">
        <f t="shared" si="23"/>
        <v>105</v>
      </c>
      <c r="AA81" s="127">
        <f t="shared" si="24"/>
        <v>0</v>
      </c>
      <c r="AB81" s="147">
        <f t="shared" si="25"/>
        <v>0</v>
      </c>
    </row>
    <row r="82" spans="2:28" ht="15" customHeight="1">
      <c r="B82" s="75">
        <v>101</v>
      </c>
      <c r="C82" s="134">
        <f t="shared" si="26"/>
        <v>0</v>
      </c>
      <c r="D82" s="134">
        <f t="shared" si="26"/>
        <v>0</v>
      </c>
      <c r="E82" s="134">
        <f t="shared" si="26"/>
        <v>0</v>
      </c>
      <c r="F82" s="134">
        <f t="shared" si="26"/>
        <v>1</v>
      </c>
      <c r="G82" s="134">
        <f t="shared" si="26"/>
        <v>0</v>
      </c>
      <c r="H82" s="134">
        <f t="shared" si="26"/>
        <v>0</v>
      </c>
      <c r="I82" s="134">
        <f t="shared" si="26"/>
        <v>1</v>
      </c>
      <c r="J82" s="134">
        <f t="shared" si="26"/>
        <v>1</v>
      </c>
      <c r="K82" s="134">
        <f t="shared" si="26"/>
        <v>0</v>
      </c>
      <c r="L82" s="134">
        <f t="shared" si="26"/>
        <v>0</v>
      </c>
      <c r="M82" s="134">
        <f t="shared" si="27"/>
        <v>0</v>
      </c>
      <c r="N82" s="134">
        <f t="shared" si="27"/>
        <v>0</v>
      </c>
      <c r="O82" s="134">
        <f t="shared" si="27"/>
        <v>0</v>
      </c>
      <c r="P82" s="134">
        <f t="shared" si="27"/>
        <v>0</v>
      </c>
      <c r="Q82" s="134">
        <f t="shared" si="27"/>
        <v>0</v>
      </c>
      <c r="R82" s="134">
        <f t="shared" si="27"/>
        <v>0</v>
      </c>
      <c r="S82" s="134">
        <f t="shared" si="27"/>
        <v>0</v>
      </c>
      <c r="T82" s="134">
        <f t="shared" si="27"/>
        <v>0</v>
      </c>
      <c r="U82" s="134">
        <f t="shared" si="27"/>
        <v>0</v>
      </c>
      <c r="V82" s="134">
        <f t="shared" si="27"/>
        <v>0</v>
      </c>
      <c r="X82" s="145" t="s">
        <v>70</v>
      </c>
      <c r="Y82" s="127">
        <f t="shared" si="22"/>
        <v>12</v>
      </c>
      <c r="Z82" s="127">
        <f t="shared" si="23"/>
        <v>24</v>
      </c>
      <c r="AA82" s="127">
        <f t="shared" si="24"/>
        <v>0</v>
      </c>
      <c r="AB82" s="147">
        <f t="shared" si="25"/>
        <v>0</v>
      </c>
    </row>
    <row r="83" spans="2:28" ht="15" customHeight="1">
      <c r="B83" s="75">
        <v>102</v>
      </c>
      <c r="C83" s="134">
        <f t="shared" si="26"/>
        <v>1</v>
      </c>
      <c r="D83" s="134">
        <f t="shared" si="26"/>
        <v>1</v>
      </c>
      <c r="E83" s="134">
        <f t="shared" si="26"/>
        <v>2</v>
      </c>
      <c r="F83" s="134">
        <f t="shared" si="26"/>
        <v>0</v>
      </c>
      <c r="G83" s="134">
        <f t="shared" si="26"/>
        <v>1</v>
      </c>
      <c r="H83" s="134">
        <f t="shared" si="26"/>
        <v>1</v>
      </c>
      <c r="I83" s="134">
        <f t="shared" si="26"/>
        <v>2</v>
      </c>
      <c r="J83" s="134">
        <f t="shared" si="26"/>
        <v>0</v>
      </c>
      <c r="K83" s="134">
        <f t="shared" si="26"/>
        <v>0</v>
      </c>
      <c r="L83" s="134">
        <f t="shared" si="26"/>
        <v>0</v>
      </c>
      <c r="M83" s="134">
        <f t="shared" si="27"/>
        <v>0</v>
      </c>
      <c r="N83" s="134">
        <f t="shared" si="27"/>
        <v>0</v>
      </c>
      <c r="O83" s="134">
        <f t="shared" si="27"/>
        <v>0</v>
      </c>
      <c r="P83" s="134">
        <f t="shared" si="27"/>
        <v>0</v>
      </c>
      <c r="Q83" s="134">
        <f t="shared" si="27"/>
        <v>0</v>
      </c>
      <c r="R83" s="134">
        <f t="shared" si="27"/>
        <v>0</v>
      </c>
      <c r="S83" s="134">
        <f t="shared" si="27"/>
        <v>0</v>
      </c>
      <c r="T83" s="134">
        <f t="shared" si="27"/>
        <v>0</v>
      </c>
      <c r="U83" s="134">
        <f t="shared" si="27"/>
        <v>0</v>
      </c>
      <c r="V83" s="134">
        <f t="shared" si="27"/>
        <v>0</v>
      </c>
      <c r="X83" s="145" t="s">
        <v>70</v>
      </c>
      <c r="Y83" s="127">
        <f t="shared" si="22"/>
        <v>39</v>
      </c>
      <c r="Z83" s="127">
        <f t="shared" si="23"/>
        <v>61</v>
      </c>
      <c r="AA83" s="127">
        <f t="shared" si="24"/>
        <v>9</v>
      </c>
      <c r="AB83" s="147">
        <f t="shared" si="25"/>
        <v>2</v>
      </c>
    </row>
    <row r="84" spans="2:28" ht="15" customHeight="1">
      <c r="B84" s="75">
        <v>103</v>
      </c>
      <c r="C84" s="134">
        <f t="shared" si="26"/>
        <v>0</v>
      </c>
      <c r="D84" s="134">
        <f t="shared" si="26"/>
        <v>0</v>
      </c>
      <c r="E84" s="134">
        <f t="shared" si="26"/>
        <v>0</v>
      </c>
      <c r="F84" s="134">
        <f t="shared" si="26"/>
        <v>0</v>
      </c>
      <c r="G84" s="134">
        <f t="shared" si="26"/>
        <v>0</v>
      </c>
      <c r="H84" s="134">
        <f t="shared" si="26"/>
        <v>0</v>
      </c>
      <c r="I84" s="134">
        <f t="shared" si="26"/>
        <v>0</v>
      </c>
      <c r="J84" s="134">
        <f t="shared" si="26"/>
        <v>0</v>
      </c>
      <c r="K84" s="134">
        <f t="shared" si="26"/>
        <v>0</v>
      </c>
      <c r="L84" s="134">
        <f t="shared" si="26"/>
        <v>0</v>
      </c>
      <c r="M84" s="134">
        <f t="shared" si="27"/>
        <v>1</v>
      </c>
      <c r="N84" s="134">
        <f t="shared" si="27"/>
        <v>0</v>
      </c>
      <c r="O84" s="134">
        <f t="shared" si="27"/>
        <v>0</v>
      </c>
      <c r="P84" s="134">
        <f t="shared" si="27"/>
        <v>0</v>
      </c>
      <c r="Q84" s="134">
        <f t="shared" si="27"/>
        <v>0</v>
      </c>
      <c r="R84" s="134">
        <f t="shared" si="27"/>
        <v>0</v>
      </c>
      <c r="S84" s="134">
        <f t="shared" si="27"/>
        <v>0</v>
      </c>
      <c r="T84" s="134">
        <f t="shared" si="27"/>
        <v>0</v>
      </c>
      <c r="U84" s="134">
        <f t="shared" si="27"/>
        <v>0</v>
      </c>
      <c r="V84" s="134">
        <f t="shared" si="27"/>
        <v>0</v>
      </c>
      <c r="X84" s="145" t="s">
        <v>70</v>
      </c>
      <c r="Y84" s="127">
        <f t="shared" si="22"/>
        <v>25</v>
      </c>
      <c r="Z84" s="127">
        <f t="shared" si="23"/>
        <v>8</v>
      </c>
      <c r="AA84" s="127">
        <f t="shared" si="24"/>
        <v>0</v>
      </c>
      <c r="AB84" s="147">
        <f t="shared" si="25"/>
        <v>0</v>
      </c>
    </row>
    <row r="85" spans="2:28" ht="15" customHeight="1">
      <c r="B85" s="75">
        <v>104</v>
      </c>
      <c r="C85" s="134">
        <f t="shared" si="26"/>
        <v>0</v>
      </c>
      <c r="D85" s="134">
        <f t="shared" si="26"/>
        <v>1</v>
      </c>
      <c r="E85" s="134">
        <f t="shared" si="26"/>
        <v>0</v>
      </c>
      <c r="F85" s="134">
        <f t="shared" si="26"/>
        <v>1</v>
      </c>
      <c r="G85" s="134">
        <f t="shared" si="26"/>
        <v>1</v>
      </c>
      <c r="H85" s="134">
        <f t="shared" si="26"/>
        <v>1</v>
      </c>
      <c r="I85" s="134">
        <f t="shared" si="26"/>
        <v>1</v>
      </c>
      <c r="J85" s="134">
        <f t="shared" si="26"/>
        <v>0</v>
      </c>
      <c r="K85" s="134">
        <f t="shared" si="26"/>
        <v>0</v>
      </c>
      <c r="L85" s="134">
        <f t="shared" si="26"/>
        <v>0</v>
      </c>
      <c r="M85" s="134">
        <f t="shared" si="27"/>
        <v>0</v>
      </c>
      <c r="N85" s="134">
        <f t="shared" si="27"/>
        <v>0</v>
      </c>
      <c r="O85" s="134">
        <f t="shared" si="27"/>
        <v>0</v>
      </c>
      <c r="P85" s="134">
        <f t="shared" si="27"/>
        <v>0</v>
      </c>
      <c r="Q85" s="134">
        <f t="shared" si="27"/>
        <v>0</v>
      </c>
      <c r="R85" s="134">
        <f t="shared" si="27"/>
        <v>0</v>
      </c>
      <c r="S85" s="134">
        <f t="shared" si="27"/>
        <v>0</v>
      </c>
      <c r="T85" s="134">
        <f t="shared" si="27"/>
        <v>0</v>
      </c>
      <c r="U85" s="134">
        <f t="shared" si="27"/>
        <v>0</v>
      </c>
      <c r="V85" s="134">
        <f t="shared" si="27"/>
        <v>0</v>
      </c>
      <c r="X85" s="145" t="s">
        <v>70</v>
      </c>
      <c r="Y85" s="127">
        <f t="shared" si="22"/>
        <v>31</v>
      </c>
      <c r="Z85" s="127">
        <f t="shared" si="23"/>
        <v>8</v>
      </c>
      <c r="AA85" s="127">
        <f t="shared" si="24"/>
        <v>0</v>
      </c>
      <c r="AB85" s="147">
        <f t="shared" si="25"/>
        <v>0</v>
      </c>
    </row>
    <row r="86" spans="2:28" ht="15" customHeight="1">
      <c r="B86" s="75">
        <v>105</v>
      </c>
      <c r="C86" s="134">
        <f t="shared" si="26"/>
        <v>1</v>
      </c>
      <c r="D86" s="134">
        <f t="shared" si="26"/>
        <v>1</v>
      </c>
      <c r="E86" s="134">
        <f t="shared" si="26"/>
        <v>1</v>
      </c>
      <c r="F86" s="134">
        <f t="shared" si="26"/>
        <v>1</v>
      </c>
      <c r="G86" s="134">
        <f t="shared" si="26"/>
        <v>1</v>
      </c>
      <c r="H86" s="134">
        <f t="shared" si="26"/>
        <v>2</v>
      </c>
      <c r="I86" s="134">
        <f t="shared" si="26"/>
        <v>1</v>
      </c>
      <c r="J86" s="134">
        <f t="shared" si="26"/>
        <v>1</v>
      </c>
      <c r="K86" s="134">
        <f t="shared" si="26"/>
        <v>1</v>
      </c>
      <c r="L86" s="134">
        <f t="shared" si="26"/>
        <v>1</v>
      </c>
      <c r="M86" s="134">
        <f t="shared" si="27"/>
        <v>1</v>
      </c>
      <c r="N86" s="134">
        <f t="shared" si="27"/>
        <v>1</v>
      </c>
      <c r="O86" s="134">
        <f t="shared" si="27"/>
        <v>1</v>
      </c>
      <c r="P86" s="134">
        <f t="shared" si="27"/>
        <v>0</v>
      </c>
      <c r="Q86" s="134">
        <f t="shared" si="27"/>
        <v>0</v>
      </c>
      <c r="R86" s="134">
        <f t="shared" si="27"/>
        <v>0</v>
      </c>
      <c r="S86" s="134">
        <f t="shared" si="27"/>
        <v>0</v>
      </c>
      <c r="T86" s="134">
        <f t="shared" si="27"/>
        <v>0</v>
      </c>
      <c r="U86" s="134">
        <f t="shared" si="27"/>
        <v>0</v>
      </c>
      <c r="V86" s="134">
        <f t="shared" si="27"/>
        <v>0</v>
      </c>
      <c r="X86" s="145" t="s">
        <v>70</v>
      </c>
      <c r="Y86" s="127">
        <f t="shared" si="22"/>
        <v>149</v>
      </c>
      <c r="Z86" s="127">
        <f t="shared" si="23"/>
        <v>54</v>
      </c>
      <c r="AA86" s="127">
        <f t="shared" si="24"/>
        <v>0</v>
      </c>
      <c r="AB86" s="147">
        <f t="shared" si="25"/>
        <v>0</v>
      </c>
    </row>
    <row r="87" spans="2:28" ht="15" customHeight="1">
      <c r="B87" s="75">
        <v>106</v>
      </c>
      <c r="C87" s="134">
        <f t="shared" si="26"/>
        <v>0</v>
      </c>
      <c r="D87" s="134">
        <f t="shared" si="26"/>
        <v>0</v>
      </c>
      <c r="E87" s="134">
        <f t="shared" si="26"/>
        <v>2</v>
      </c>
      <c r="F87" s="134">
        <f t="shared" si="26"/>
        <v>2</v>
      </c>
      <c r="G87" s="134">
        <f t="shared" si="26"/>
        <v>2</v>
      </c>
      <c r="H87" s="134">
        <f t="shared" si="26"/>
        <v>2</v>
      </c>
      <c r="I87" s="134">
        <f t="shared" si="26"/>
        <v>2</v>
      </c>
      <c r="J87" s="134">
        <f t="shared" si="26"/>
        <v>2</v>
      </c>
      <c r="K87" s="134">
        <f t="shared" si="26"/>
        <v>2</v>
      </c>
      <c r="L87" s="134">
        <f t="shared" si="26"/>
        <v>1</v>
      </c>
      <c r="M87" s="134">
        <f t="shared" si="27"/>
        <v>1</v>
      </c>
      <c r="N87" s="134">
        <f t="shared" si="27"/>
        <v>1</v>
      </c>
      <c r="O87" s="134">
        <f t="shared" si="27"/>
        <v>1</v>
      </c>
      <c r="P87" s="134">
        <f t="shared" si="27"/>
        <v>0</v>
      </c>
      <c r="Q87" s="134">
        <f t="shared" si="27"/>
        <v>0</v>
      </c>
      <c r="R87" s="134">
        <f t="shared" si="27"/>
        <v>0</v>
      </c>
      <c r="S87" s="134">
        <f t="shared" si="27"/>
        <v>0</v>
      </c>
      <c r="T87" s="134">
        <f t="shared" si="27"/>
        <v>0</v>
      </c>
      <c r="U87" s="134">
        <f t="shared" si="27"/>
        <v>0</v>
      </c>
      <c r="V87" s="134">
        <f t="shared" si="27"/>
        <v>0</v>
      </c>
      <c r="X87" s="145" t="s">
        <v>70</v>
      </c>
      <c r="Y87" s="127">
        <f t="shared" si="22"/>
        <v>251</v>
      </c>
      <c r="Z87" s="127">
        <f t="shared" si="23"/>
        <v>51</v>
      </c>
      <c r="AA87" s="127">
        <f t="shared" si="24"/>
        <v>0</v>
      </c>
      <c r="AB87" s="147">
        <f t="shared" si="25"/>
        <v>0</v>
      </c>
    </row>
    <row r="88" spans="2:28" ht="15" customHeight="1">
      <c r="B88" s="75">
        <v>107</v>
      </c>
      <c r="C88" s="134">
        <f t="shared" si="26"/>
        <v>0</v>
      </c>
      <c r="D88" s="134">
        <f t="shared" si="26"/>
        <v>0</v>
      </c>
      <c r="E88" s="134">
        <f t="shared" si="26"/>
        <v>0</v>
      </c>
      <c r="F88" s="134">
        <f t="shared" si="26"/>
        <v>0</v>
      </c>
      <c r="G88" s="134">
        <f t="shared" si="26"/>
        <v>0</v>
      </c>
      <c r="H88" s="134">
        <f t="shared" si="26"/>
        <v>0</v>
      </c>
      <c r="I88" s="134">
        <f t="shared" si="26"/>
        <v>0</v>
      </c>
      <c r="J88" s="134">
        <f t="shared" si="26"/>
        <v>0</v>
      </c>
      <c r="K88" s="134">
        <f t="shared" si="26"/>
        <v>0</v>
      </c>
      <c r="L88" s="134">
        <f t="shared" si="26"/>
        <v>0</v>
      </c>
      <c r="M88" s="134">
        <f t="shared" si="27"/>
        <v>0</v>
      </c>
      <c r="N88" s="134">
        <f t="shared" si="27"/>
        <v>0</v>
      </c>
      <c r="O88" s="134">
        <f t="shared" si="27"/>
        <v>0</v>
      </c>
      <c r="P88" s="134">
        <f t="shared" si="27"/>
        <v>0</v>
      </c>
      <c r="Q88" s="134">
        <f t="shared" si="27"/>
        <v>0</v>
      </c>
      <c r="R88" s="134">
        <f t="shared" si="27"/>
        <v>0</v>
      </c>
      <c r="S88" s="134">
        <f t="shared" si="27"/>
        <v>0</v>
      </c>
      <c r="T88" s="134">
        <f t="shared" si="27"/>
        <v>0</v>
      </c>
      <c r="U88" s="134">
        <f t="shared" si="27"/>
        <v>0</v>
      </c>
      <c r="V88" s="134">
        <f t="shared" si="27"/>
        <v>0</v>
      </c>
      <c r="X88" s="145" t="s">
        <v>70</v>
      </c>
      <c r="Y88" s="127">
        <f t="shared" si="22"/>
        <v>0</v>
      </c>
      <c r="Z88" s="127">
        <f t="shared" si="23"/>
        <v>0</v>
      </c>
      <c r="AA88" s="127">
        <f t="shared" si="24"/>
        <v>0</v>
      </c>
      <c r="AB88" s="147">
        <f t="shared" si="25"/>
        <v>0</v>
      </c>
    </row>
    <row r="89" spans="2:28" ht="15" customHeight="1">
      <c r="B89" s="75">
        <v>108</v>
      </c>
      <c r="C89" s="134">
        <f t="shared" ref="C89:L98" si="28">SUMIFS(SumaAM,CentroAM,$B89,TurnoAM,C$8)</f>
        <v>0</v>
      </c>
      <c r="D89" s="134">
        <f t="shared" si="28"/>
        <v>0</v>
      </c>
      <c r="E89" s="134">
        <f t="shared" si="28"/>
        <v>0</v>
      </c>
      <c r="F89" s="134">
        <f t="shared" si="28"/>
        <v>0</v>
      </c>
      <c r="G89" s="134">
        <f t="shared" si="28"/>
        <v>0</v>
      </c>
      <c r="H89" s="134">
        <f t="shared" si="28"/>
        <v>0</v>
      </c>
      <c r="I89" s="134">
        <f t="shared" si="28"/>
        <v>0</v>
      </c>
      <c r="J89" s="134">
        <f t="shared" si="28"/>
        <v>0</v>
      </c>
      <c r="K89" s="134">
        <f t="shared" si="28"/>
        <v>0</v>
      </c>
      <c r="L89" s="134">
        <f t="shared" si="28"/>
        <v>0</v>
      </c>
      <c r="M89" s="134">
        <f t="shared" ref="M89:V98" si="29">SUMIFS(SumaAM,CentroAM,$B89,TurnoAM,M$8)</f>
        <v>0</v>
      </c>
      <c r="N89" s="134">
        <f t="shared" si="29"/>
        <v>0</v>
      </c>
      <c r="O89" s="134">
        <f t="shared" si="29"/>
        <v>0</v>
      </c>
      <c r="P89" s="134">
        <f t="shared" si="29"/>
        <v>0</v>
      </c>
      <c r="Q89" s="134">
        <f t="shared" si="29"/>
        <v>0</v>
      </c>
      <c r="R89" s="134">
        <f t="shared" si="29"/>
        <v>0</v>
      </c>
      <c r="S89" s="134">
        <f t="shared" si="29"/>
        <v>0</v>
      </c>
      <c r="T89" s="134">
        <f t="shared" si="29"/>
        <v>0</v>
      </c>
      <c r="U89" s="134">
        <f t="shared" si="29"/>
        <v>0</v>
      </c>
      <c r="V89" s="134">
        <f t="shared" si="29"/>
        <v>0</v>
      </c>
      <c r="X89" s="145" t="s">
        <v>70</v>
      </c>
      <c r="Y89" s="127">
        <f t="shared" si="22"/>
        <v>0</v>
      </c>
      <c r="Z89" s="127">
        <f t="shared" si="23"/>
        <v>0</v>
      </c>
      <c r="AA89" s="127">
        <f t="shared" si="24"/>
        <v>0</v>
      </c>
      <c r="AB89" s="147">
        <f t="shared" si="25"/>
        <v>0</v>
      </c>
    </row>
    <row r="90" spans="2:28" ht="15" customHeight="1">
      <c r="B90" s="75">
        <v>109</v>
      </c>
      <c r="C90" s="134">
        <f t="shared" si="28"/>
        <v>0</v>
      </c>
      <c r="D90" s="134">
        <f t="shared" si="28"/>
        <v>1</v>
      </c>
      <c r="E90" s="134">
        <f t="shared" si="28"/>
        <v>1</v>
      </c>
      <c r="F90" s="134">
        <f t="shared" si="28"/>
        <v>1</v>
      </c>
      <c r="G90" s="134">
        <f t="shared" si="28"/>
        <v>1</v>
      </c>
      <c r="H90" s="134">
        <f t="shared" si="28"/>
        <v>1</v>
      </c>
      <c r="I90" s="134">
        <f t="shared" si="28"/>
        <v>0</v>
      </c>
      <c r="J90" s="134">
        <f t="shared" si="28"/>
        <v>1</v>
      </c>
      <c r="K90" s="134">
        <f t="shared" si="28"/>
        <v>1</v>
      </c>
      <c r="L90" s="134">
        <f t="shared" si="28"/>
        <v>1</v>
      </c>
      <c r="M90" s="134">
        <f t="shared" si="29"/>
        <v>0</v>
      </c>
      <c r="N90" s="134">
        <f t="shared" si="29"/>
        <v>1</v>
      </c>
      <c r="O90" s="134">
        <f t="shared" si="29"/>
        <v>1</v>
      </c>
      <c r="P90" s="134">
        <f t="shared" si="29"/>
        <v>1</v>
      </c>
      <c r="Q90" s="134">
        <f t="shared" si="29"/>
        <v>0</v>
      </c>
      <c r="R90" s="134">
        <f t="shared" si="29"/>
        <v>0</v>
      </c>
      <c r="S90" s="134">
        <f t="shared" si="29"/>
        <v>0</v>
      </c>
      <c r="T90" s="134">
        <f t="shared" si="29"/>
        <v>0</v>
      </c>
      <c r="U90" s="134">
        <f t="shared" si="29"/>
        <v>0</v>
      </c>
      <c r="V90" s="134">
        <f t="shared" si="29"/>
        <v>0</v>
      </c>
      <c r="X90" s="145" t="s">
        <v>70</v>
      </c>
      <c r="Y90" s="127">
        <f t="shared" si="22"/>
        <v>179</v>
      </c>
      <c r="Z90" s="127">
        <f t="shared" si="23"/>
        <v>52</v>
      </c>
      <c r="AA90" s="127">
        <f t="shared" si="24"/>
        <v>0</v>
      </c>
      <c r="AB90" s="147">
        <f t="shared" si="25"/>
        <v>0</v>
      </c>
    </row>
    <row r="91" spans="2:28" ht="15" customHeight="1">
      <c r="B91" s="75">
        <v>110</v>
      </c>
      <c r="C91" s="134">
        <f t="shared" si="28"/>
        <v>0</v>
      </c>
      <c r="D91" s="134">
        <f t="shared" si="28"/>
        <v>0</v>
      </c>
      <c r="E91" s="134">
        <f t="shared" si="28"/>
        <v>0</v>
      </c>
      <c r="F91" s="134">
        <f t="shared" si="28"/>
        <v>0</v>
      </c>
      <c r="G91" s="134">
        <f t="shared" si="28"/>
        <v>0</v>
      </c>
      <c r="H91" s="134">
        <f t="shared" si="28"/>
        <v>0</v>
      </c>
      <c r="I91" s="134">
        <f t="shared" si="28"/>
        <v>0</v>
      </c>
      <c r="J91" s="134">
        <f t="shared" si="28"/>
        <v>0</v>
      </c>
      <c r="K91" s="134">
        <f t="shared" si="28"/>
        <v>0</v>
      </c>
      <c r="L91" s="134">
        <f t="shared" si="28"/>
        <v>0</v>
      </c>
      <c r="M91" s="134">
        <f t="shared" si="29"/>
        <v>0</v>
      </c>
      <c r="N91" s="134">
        <f t="shared" si="29"/>
        <v>0</v>
      </c>
      <c r="O91" s="134">
        <f t="shared" si="29"/>
        <v>0</v>
      </c>
      <c r="P91" s="134">
        <f t="shared" si="29"/>
        <v>0</v>
      </c>
      <c r="Q91" s="134">
        <f t="shared" si="29"/>
        <v>0</v>
      </c>
      <c r="R91" s="134">
        <f t="shared" si="29"/>
        <v>0</v>
      </c>
      <c r="S91" s="134">
        <f t="shared" si="29"/>
        <v>0</v>
      </c>
      <c r="T91" s="134">
        <f t="shared" si="29"/>
        <v>0</v>
      </c>
      <c r="U91" s="134">
        <f t="shared" si="29"/>
        <v>0</v>
      </c>
      <c r="V91" s="134">
        <f t="shared" si="29"/>
        <v>0</v>
      </c>
      <c r="X91" s="145" t="s">
        <v>70</v>
      </c>
      <c r="Y91" s="127">
        <f t="shared" si="22"/>
        <v>0</v>
      </c>
      <c r="Z91" s="127">
        <f t="shared" si="23"/>
        <v>0</v>
      </c>
      <c r="AA91" s="127">
        <f t="shared" si="24"/>
        <v>0</v>
      </c>
      <c r="AB91" s="147">
        <f t="shared" si="25"/>
        <v>0</v>
      </c>
    </row>
    <row r="92" spans="2:28" ht="15" customHeight="1">
      <c r="B92" s="75">
        <v>111</v>
      </c>
      <c r="C92" s="134">
        <f t="shared" si="28"/>
        <v>0</v>
      </c>
      <c r="D92" s="134">
        <f t="shared" si="28"/>
        <v>1</v>
      </c>
      <c r="E92" s="134">
        <f t="shared" si="28"/>
        <v>1</v>
      </c>
      <c r="F92" s="134">
        <f t="shared" si="28"/>
        <v>1</v>
      </c>
      <c r="G92" s="134">
        <f t="shared" si="28"/>
        <v>1</v>
      </c>
      <c r="H92" s="134">
        <f t="shared" si="28"/>
        <v>1</v>
      </c>
      <c r="I92" s="134">
        <f t="shared" si="28"/>
        <v>1</v>
      </c>
      <c r="J92" s="134">
        <f t="shared" si="28"/>
        <v>1</v>
      </c>
      <c r="K92" s="134">
        <f t="shared" si="28"/>
        <v>1</v>
      </c>
      <c r="L92" s="134">
        <f t="shared" si="28"/>
        <v>1</v>
      </c>
      <c r="M92" s="134">
        <f t="shared" si="29"/>
        <v>1</v>
      </c>
      <c r="N92" s="134">
        <f t="shared" si="29"/>
        <v>1</v>
      </c>
      <c r="O92" s="134">
        <f t="shared" si="29"/>
        <v>1</v>
      </c>
      <c r="P92" s="134">
        <f t="shared" si="29"/>
        <v>1</v>
      </c>
      <c r="Q92" s="134">
        <f t="shared" si="29"/>
        <v>0</v>
      </c>
      <c r="R92" s="134">
        <f t="shared" si="29"/>
        <v>0</v>
      </c>
      <c r="S92" s="134">
        <f t="shared" si="29"/>
        <v>0</v>
      </c>
      <c r="T92" s="134">
        <f t="shared" si="29"/>
        <v>0</v>
      </c>
      <c r="U92" s="134">
        <f t="shared" si="29"/>
        <v>0</v>
      </c>
      <c r="V92" s="134">
        <f t="shared" si="29"/>
        <v>0</v>
      </c>
      <c r="X92" s="145" t="s">
        <v>70</v>
      </c>
      <c r="Y92" s="127">
        <f t="shared" si="22"/>
        <v>229</v>
      </c>
      <c r="Z92" s="127">
        <f t="shared" si="23"/>
        <v>27</v>
      </c>
      <c r="AA92" s="127">
        <f t="shared" si="24"/>
        <v>0</v>
      </c>
      <c r="AB92" s="147">
        <f t="shared" si="25"/>
        <v>1</v>
      </c>
    </row>
    <row r="93" spans="2:28" ht="15" customHeight="1">
      <c r="B93" s="75">
        <v>112</v>
      </c>
      <c r="C93" s="134">
        <f t="shared" si="28"/>
        <v>0</v>
      </c>
      <c r="D93" s="134">
        <f t="shared" si="28"/>
        <v>1</v>
      </c>
      <c r="E93" s="134">
        <f t="shared" si="28"/>
        <v>1</v>
      </c>
      <c r="F93" s="134">
        <f t="shared" si="28"/>
        <v>1</v>
      </c>
      <c r="G93" s="134">
        <f t="shared" si="28"/>
        <v>0</v>
      </c>
      <c r="H93" s="134">
        <f t="shared" si="28"/>
        <v>0</v>
      </c>
      <c r="I93" s="134">
        <f t="shared" si="28"/>
        <v>1</v>
      </c>
      <c r="J93" s="134">
        <f t="shared" si="28"/>
        <v>1</v>
      </c>
      <c r="K93" s="134">
        <f t="shared" si="28"/>
        <v>2</v>
      </c>
      <c r="L93" s="134">
        <f t="shared" si="28"/>
        <v>1</v>
      </c>
      <c r="M93" s="134">
        <f t="shared" si="29"/>
        <v>1</v>
      </c>
      <c r="N93" s="134">
        <f t="shared" si="29"/>
        <v>1</v>
      </c>
      <c r="O93" s="134">
        <f t="shared" si="29"/>
        <v>1</v>
      </c>
      <c r="P93" s="134">
        <f t="shared" si="29"/>
        <v>0</v>
      </c>
      <c r="Q93" s="134">
        <f t="shared" si="29"/>
        <v>0</v>
      </c>
      <c r="R93" s="134">
        <f t="shared" si="29"/>
        <v>0</v>
      </c>
      <c r="S93" s="134">
        <f t="shared" si="29"/>
        <v>0</v>
      </c>
      <c r="T93" s="134">
        <f t="shared" si="29"/>
        <v>0</v>
      </c>
      <c r="U93" s="134">
        <f t="shared" si="29"/>
        <v>0</v>
      </c>
      <c r="V93" s="134">
        <f t="shared" si="29"/>
        <v>0</v>
      </c>
      <c r="X93" s="145" t="s">
        <v>70</v>
      </c>
      <c r="Y93" s="127">
        <f t="shared" si="22"/>
        <v>272</v>
      </c>
      <c r="Z93" s="127">
        <f t="shared" si="23"/>
        <v>87</v>
      </c>
      <c r="AA93" s="127">
        <f t="shared" si="24"/>
        <v>6</v>
      </c>
      <c r="AB93" s="147">
        <f t="shared" si="25"/>
        <v>4</v>
      </c>
    </row>
    <row r="94" spans="2:28" ht="15" customHeight="1">
      <c r="B94" s="75">
        <v>113</v>
      </c>
      <c r="C94" s="134">
        <f t="shared" si="28"/>
        <v>1</v>
      </c>
      <c r="D94" s="134">
        <f t="shared" si="28"/>
        <v>1</v>
      </c>
      <c r="E94" s="134">
        <f t="shared" si="28"/>
        <v>0</v>
      </c>
      <c r="F94" s="134">
        <f t="shared" si="28"/>
        <v>0</v>
      </c>
      <c r="G94" s="134">
        <f t="shared" si="28"/>
        <v>0</v>
      </c>
      <c r="H94" s="134">
        <f t="shared" si="28"/>
        <v>0</v>
      </c>
      <c r="I94" s="134">
        <f t="shared" si="28"/>
        <v>0</v>
      </c>
      <c r="J94" s="134">
        <f t="shared" si="28"/>
        <v>1</v>
      </c>
      <c r="K94" s="134">
        <f t="shared" si="28"/>
        <v>1</v>
      </c>
      <c r="L94" s="134">
        <f t="shared" si="28"/>
        <v>1</v>
      </c>
      <c r="M94" s="134">
        <f t="shared" si="29"/>
        <v>1</v>
      </c>
      <c r="N94" s="134">
        <f t="shared" si="29"/>
        <v>1</v>
      </c>
      <c r="O94" s="134">
        <f t="shared" si="29"/>
        <v>1</v>
      </c>
      <c r="P94" s="134">
        <f t="shared" si="29"/>
        <v>0</v>
      </c>
      <c r="Q94" s="134">
        <f t="shared" si="29"/>
        <v>0</v>
      </c>
      <c r="R94" s="134">
        <f t="shared" si="29"/>
        <v>0</v>
      </c>
      <c r="S94" s="134">
        <f t="shared" si="29"/>
        <v>0</v>
      </c>
      <c r="T94" s="134">
        <f t="shared" si="29"/>
        <v>0</v>
      </c>
      <c r="U94" s="134">
        <f t="shared" si="29"/>
        <v>0</v>
      </c>
      <c r="V94" s="134">
        <f t="shared" si="29"/>
        <v>0</v>
      </c>
      <c r="X94" s="145" t="s">
        <v>70</v>
      </c>
      <c r="Y94" s="127">
        <f t="shared" si="22"/>
        <v>50</v>
      </c>
      <c r="Z94" s="127">
        <f t="shared" si="23"/>
        <v>9</v>
      </c>
      <c r="AA94" s="127">
        <f t="shared" si="24"/>
        <v>0</v>
      </c>
      <c r="AB94" s="147">
        <f t="shared" si="25"/>
        <v>0</v>
      </c>
    </row>
    <row r="95" spans="2:28" ht="15" customHeight="1">
      <c r="B95" s="75">
        <v>114</v>
      </c>
      <c r="C95" s="134">
        <f t="shared" si="28"/>
        <v>0</v>
      </c>
      <c r="D95" s="134">
        <f t="shared" si="28"/>
        <v>0</v>
      </c>
      <c r="E95" s="134">
        <f t="shared" si="28"/>
        <v>2</v>
      </c>
      <c r="F95" s="134">
        <f t="shared" si="28"/>
        <v>0</v>
      </c>
      <c r="G95" s="134">
        <f t="shared" si="28"/>
        <v>1</v>
      </c>
      <c r="H95" s="134">
        <f t="shared" si="28"/>
        <v>1</v>
      </c>
      <c r="I95" s="134">
        <f t="shared" si="28"/>
        <v>1</v>
      </c>
      <c r="J95" s="134">
        <f t="shared" si="28"/>
        <v>1</v>
      </c>
      <c r="K95" s="134">
        <f t="shared" si="28"/>
        <v>1</v>
      </c>
      <c r="L95" s="134">
        <f t="shared" si="28"/>
        <v>1</v>
      </c>
      <c r="M95" s="134">
        <f t="shared" si="29"/>
        <v>1</v>
      </c>
      <c r="N95" s="134">
        <f t="shared" si="29"/>
        <v>2</v>
      </c>
      <c r="O95" s="134">
        <f t="shared" si="29"/>
        <v>1</v>
      </c>
      <c r="P95" s="134">
        <f t="shared" si="29"/>
        <v>1</v>
      </c>
      <c r="Q95" s="134">
        <f t="shared" si="29"/>
        <v>0</v>
      </c>
      <c r="R95" s="134">
        <f t="shared" si="29"/>
        <v>0</v>
      </c>
      <c r="S95" s="134">
        <f t="shared" si="29"/>
        <v>0</v>
      </c>
      <c r="T95" s="134">
        <f t="shared" si="29"/>
        <v>0</v>
      </c>
      <c r="U95" s="134">
        <f t="shared" si="29"/>
        <v>0</v>
      </c>
      <c r="V95" s="134">
        <f t="shared" si="29"/>
        <v>0</v>
      </c>
      <c r="X95" s="145" t="s">
        <v>70</v>
      </c>
      <c r="Y95" s="127">
        <f t="shared" si="22"/>
        <v>311</v>
      </c>
      <c r="Z95" s="127">
        <f t="shared" si="23"/>
        <v>87</v>
      </c>
      <c r="AA95" s="127">
        <f t="shared" si="24"/>
        <v>55</v>
      </c>
      <c r="AB95" s="147">
        <f t="shared" si="25"/>
        <v>24</v>
      </c>
    </row>
    <row r="96" spans="2:28" ht="15" customHeight="1">
      <c r="B96" s="75">
        <v>115</v>
      </c>
      <c r="C96" s="134">
        <f t="shared" si="28"/>
        <v>1</v>
      </c>
      <c r="D96" s="134">
        <f t="shared" si="28"/>
        <v>1</v>
      </c>
      <c r="E96" s="134">
        <f t="shared" si="28"/>
        <v>1</v>
      </c>
      <c r="F96" s="134">
        <f t="shared" si="28"/>
        <v>1</v>
      </c>
      <c r="G96" s="134">
        <f t="shared" si="28"/>
        <v>1</v>
      </c>
      <c r="H96" s="134">
        <f t="shared" si="28"/>
        <v>1</v>
      </c>
      <c r="I96" s="134">
        <f t="shared" si="28"/>
        <v>1</v>
      </c>
      <c r="J96" s="134">
        <f t="shared" si="28"/>
        <v>0</v>
      </c>
      <c r="K96" s="134">
        <f t="shared" si="28"/>
        <v>1</v>
      </c>
      <c r="L96" s="134">
        <f t="shared" si="28"/>
        <v>1</v>
      </c>
      <c r="M96" s="134">
        <f t="shared" si="29"/>
        <v>1</v>
      </c>
      <c r="N96" s="134">
        <f t="shared" si="29"/>
        <v>1</v>
      </c>
      <c r="O96" s="134">
        <f t="shared" si="29"/>
        <v>1</v>
      </c>
      <c r="P96" s="134">
        <f t="shared" si="29"/>
        <v>1</v>
      </c>
      <c r="Q96" s="134">
        <f t="shared" si="29"/>
        <v>0</v>
      </c>
      <c r="R96" s="134">
        <f t="shared" si="29"/>
        <v>0</v>
      </c>
      <c r="S96" s="134">
        <f t="shared" si="29"/>
        <v>0</v>
      </c>
      <c r="T96" s="134">
        <f t="shared" si="29"/>
        <v>0</v>
      </c>
      <c r="U96" s="134">
        <f t="shared" si="29"/>
        <v>0</v>
      </c>
      <c r="V96" s="134">
        <f t="shared" si="29"/>
        <v>0</v>
      </c>
      <c r="X96" s="145" t="s">
        <v>70</v>
      </c>
      <c r="Y96" s="127">
        <f t="shared" si="22"/>
        <v>2</v>
      </c>
      <c r="Z96" s="127">
        <f t="shared" si="23"/>
        <v>212</v>
      </c>
      <c r="AA96" s="127">
        <f t="shared" si="24"/>
        <v>0</v>
      </c>
      <c r="AB96" s="147">
        <f t="shared" si="25"/>
        <v>0</v>
      </c>
    </row>
    <row r="97" spans="2:28" ht="15" customHeight="1">
      <c r="B97" s="75">
        <v>116</v>
      </c>
      <c r="C97" s="134">
        <f t="shared" si="28"/>
        <v>0</v>
      </c>
      <c r="D97" s="134">
        <f t="shared" si="28"/>
        <v>0</v>
      </c>
      <c r="E97" s="134">
        <f t="shared" si="28"/>
        <v>0</v>
      </c>
      <c r="F97" s="134">
        <f t="shared" si="28"/>
        <v>0</v>
      </c>
      <c r="G97" s="134">
        <f t="shared" si="28"/>
        <v>0</v>
      </c>
      <c r="H97" s="134">
        <f t="shared" si="28"/>
        <v>0</v>
      </c>
      <c r="I97" s="134">
        <f t="shared" si="28"/>
        <v>1</v>
      </c>
      <c r="J97" s="134">
        <f t="shared" si="28"/>
        <v>1</v>
      </c>
      <c r="K97" s="134">
        <f t="shared" si="28"/>
        <v>1</v>
      </c>
      <c r="L97" s="134">
        <f t="shared" si="28"/>
        <v>1</v>
      </c>
      <c r="M97" s="134">
        <f t="shared" si="29"/>
        <v>1</v>
      </c>
      <c r="N97" s="134">
        <f t="shared" si="29"/>
        <v>1</v>
      </c>
      <c r="O97" s="134">
        <f t="shared" si="29"/>
        <v>1</v>
      </c>
      <c r="P97" s="134">
        <f t="shared" si="29"/>
        <v>1</v>
      </c>
      <c r="Q97" s="134">
        <f t="shared" si="29"/>
        <v>1</v>
      </c>
      <c r="R97" s="134">
        <f t="shared" si="29"/>
        <v>0</v>
      </c>
      <c r="S97" s="134">
        <f t="shared" si="29"/>
        <v>0</v>
      </c>
      <c r="T97" s="134">
        <f t="shared" si="29"/>
        <v>0</v>
      </c>
      <c r="U97" s="134">
        <f t="shared" si="29"/>
        <v>0</v>
      </c>
      <c r="V97" s="134">
        <f t="shared" si="29"/>
        <v>0</v>
      </c>
      <c r="X97" s="145" t="s">
        <v>70</v>
      </c>
      <c r="Y97" s="127">
        <f t="shared" si="22"/>
        <v>115</v>
      </c>
      <c r="Z97" s="127">
        <f t="shared" si="23"/>
        <v>29</v>
      </c>
      <c r="AA97" s="127">
        <f t="shared" si="24"/>
        <v>8</v>
      </c>
      <c r="AB97" s="147">
        <f t="shared" si="25"/>
        <v>0</v>
      </c>
    </row>
    <row r="98" spans="2:28" ht="15" customHeight="1" thickBot="1">
      <c r="B98" s="75">
        <v>117</v>
      </c>
      <c r="C98" s="134">
        <f t="shared" si="28"/>
        <v>0</v>
      </c>
      <c r="D98" s="134">
        <f t="shared" si="28"/>
        <v>0</v>
      </c>
      <c r="E98" s="134">
        <f t="shared" si="28"/>
        <v>0</v>
      </c>
      <c r="F98" s="134">
        <f t="shared" si="28"/>
        <v>0</v>
      </c>
      <c r="G98" s="134">
        <f t="shared" si="28"/>
        <v>0</v>
      </c>
      <c r="H98" s="134">
        <f t="shared" si="28"/>
        <v>0</v>
      </c>
      <c r="I98" s="134">
        <f t="shared" si="28"/>
        <v>0</v>
      </c>
      <c r="J98" s="134">
        <f t="shared" si="28"/>
        <v>1</v>
      </c>
      <c r="K98" s="134">
        <f t="shared" si="28"/>
        <v>1</v>
      </c>
      <c r="L98" s="134">
        <f t="shared" si="28"/>
        <v>1</v>
      </c>
      <c r="M98" s="134">
        <f t="shared" si="29"/>
        <v>1</v>
      </c>
      <c r="N98" s="134">
        <f t="shared" si="29"/>
        <v>1</v>
      </c>
      <c r="O98" s="134">
        <f t="shared" si="29"/>
        <v>0</v>
      </c>
      <c r="P98" s="134">
        <f t="shared" si="29"/>
        <v>1</v>
      </c>
      <c r="Q98" s="134">
        <f t="shared" si="29"/>
        <v>1</v>
      </c>
      <c r="R98" s="134">
        <f t="shared" si="29"/>
        <v>0</v>
      </c>
      <c r="S98" s="134">
        <f t="shared" si="29"/>
        <v>0</v>
      </c>
      <c r="T98" s="134">
        <f t="shared" si="29"/>
        <v>0</v>
      </c>
      <c r="U98" s="134">
        <f t="shared" si="29"/>
        <v>0</v>
      </c>
      <c r="V98" s="134">
        <f t="shared" si="29"/>
        <v>0</v>
      </c>
      <c r="X98" s="145" t="s">
        <v>70</v>
      </c>
      <c r="Y98" s="128">
        <f t="shared" si="22"/>
        <v>21</v>
      </c>
      <c r="Z98" s="128">
        <f t="shared" si="23"/>
        <v>120</v>
      </c>
      <c r="AA98" s="128">
        <f t="shared" si="24"/>
        <v>0</v>
      </c>
      <c r="AB98" s="148">
        <f t="shared" si="25"/>
        <v>0</v>
      </c>
    </row>
    <row r="100" spans="2:28" ht="15" customHeight="1">
      <c r="X100" s="137" t="s">
        <v>27</v>
      </c>
      <c r="Y100" s="74">
        <f t="shared" ref="Y100:AB124" si="30">SUMIF(MunicipiosAM,$X100,Y$9:Y$98)</f>
        <v>216</v>
      </c>
      <c r="Z100" s="74">
        <f t="shared" si="30"/>
        <v>69</v>
      </c>
      <c r="AA100" s="74">
        <f t="shared" si="30"/>
        <v>0</v>
      </c>
      <c r="AB100" s="74">
        <f t="shared" si="30"/>
        <v>28</v>
      </c>
    </row>
    <row r="101" spans="2:28" ht="15" customHeight="1">
      <c r="X101" s="137" t="s">
        <v>28</v>
      </c>
      <c r="Y101" s="74">
        <f t="shared" si="30"/>
        <v>86</v>
      </c>
      <c r="Z101" s="74">
        <f t="shared" si="30"/>
        <v>96</v>
      </c>
      <c r="AA101" s="74">
        <f t="shared" si="30"/>
        <v>4</v>
      </c>
      <c r="AB101" s="74">
        <f t="shared" si="30"/>
        <v>6</v>
      </c>
    </row>
    <row r="102" spans="2:28" ht="15" customHeight="1">
      <c r="X102" s="137" t="s">
        <v>29</v>
      </c>
      <c r="Y102" s="74">
        <f t="shared" si="30"/>
        <v>50</v>
      </c>
      <c r="Z102" s="74">
        <f t="shared" si="30"/>
        <v>28</v>
      </c>
      <c r="AA102" s="74">
        <f t="shared" si="30"/>
        <v>0</v>
      </c>
      <c r="AB102" s="74">
        <f t="shared" si="30"/>
        <v>5</v>
      </c>
    </row>
    <row r="103" spans="2:28" ht="15" customHeight="1">
      <c r="X103" s="137" t="s">
        <v>30</v>
      </c>
      <c r="Y103" s="74">
        <f t="shared" si="30"/>
        <v>34</v>
      </c>
      <c r="Z103" s="74">
        <f t="shared" si="30"/>
        <v>147</v>
      </c>
      <c r="AA103" s="74">
        <f t="shared" si="30"/>
        <v>0</v>
      </c>
      <c r="AB103" s="74">
        <f t="shared" si="30"/>
        <v>13</v>
      </c>
    </row>
    <row r="104" spans="2:28" ht="15" customHeight="1">
      <c r="X104" s="137" t="s">
        <v>31</v>
      </c>
      <c r="Y104" s="74">
        <f t="shared" si="30"/>
        <v>230</v>
      </c>
      <c r="Z104" s="74">
        <f t="shared" si="30"/>
        <v>221</v>
      </c>
      <c r="AA104" s="74">
        <f t="shared" si="30"/>
        <v>0</v>
      </c>
      <c r="AB104" s="74">
        <f t="shared" si="30"/>
        <v>59</v>
      </c>
    </row>
    <row r="105" spans="2:28" ht="15" customHeight="1">
      <c r="X105" s="137" t="s">
        <v>32</v>
      </c>
      <c r="Y105" s="74">
        <f t="shared" si="30"/>
        <v>38</v>
      </c>
      <c r="Z105" s="74">
        <f t="shared" si="30"/>
        <v>26</v>
      </c>
      <c r="AA105" s="74">
        <f t="shared" si="30"/>
        <v>1</v>
      </c>
      <c r="AB105" s="74">
        <f t="shared" si="30"/>
        <v>1</v>
      </c>
    </row>
    <row r="106" spans="2:28" ht="15" customHeight="1">
      <c r="X106" s="137" t="s">
        <v>33</v>
      </c>
      <c r="Y106" s="74">
        <f t="shared" si="30"/>
        <v>10</v>
      </c>
      <c r="Z106" s="74">
        <f t="shared" si="30"/>
        <v>3</v>
      </c>
      <c r="AA106" s="74">
        <f t="shared" si="30"/>
        <v>0</v>
      </c>
      <c r="AB106" s="74">
        <f t="shared" si="30"/>
        <v>6</v>
      </c>
    </row>
    <row r="107" spans="2:28" ht="15" customHeight="1">
      <c r="X107" s="137" t="s">
        <v>34</v>
      </c>
      <c r="Y107" s="74">
        <f t="shared" si="30"/>
        <v>54</v>
      </c>
      <c r="Z107" s="74">
        <f t="shared" si="30"/>
        <v>452</v>
      </c>
      <c r="AA107" s="74">
        <f t="shared" si="30"/>
        <v>0</v>
      </c>
      <c r="AB107" s="74">
        <f t="shared" si="30"/>
        <v>4</v>
      </c>
    </row>
    <row r="108" spans="2:28" ht="15" customHeight="1">
      <c r="X108" s="137" t="s">
        <v>35</v>
      </c>
      <c r="Y108" s="74">
        <f t="shared" si="30"/>
        <v>251</v>
      </c>
      <c r="Z108" s="74">
        <f t="shared" si="30"/>
        <v>564</v>
      </c>
      <c r="AA108" s="74">
        <f t="shared" si="30"/>
        <v>24</v>
      </c>
      <c r="AB108" s="74">
        <f t="shared" si="30"/>
        <v>14</v>
      </c>
    </row>
    <row r="109" spans="2:28" ht="15" customHeight="1">
      <c r="X109" s="137" t="s">
        <v>36</v>
      </c>
      <c r="Y109" s="74">
        <f t="shared" si="30"/>
        <v>419</v>
      </c>
      <c r="Z109" s="74">
        <f t="shared" si="30"/>
        <v>238</v>
      </c>
      <c r="AA109" s="74">
        <f t="shared" si="30"/>
        <v>25</v>
      </c>
      <c r="AB109" s="74">
        <f t="shared" si="30"/>
        <v>12</v>
      </c>
    </row>
    <row r="110" spans="2:28" ht="15" customHeight="1">
      <c r="X110" s="137" t="s">
        <v>37</v>
      </c>
      <c r="Y110" s="74">
        <f t="shared" si="30"/>
        <v>376</v>
      </c>
      <c r="Z110" s="74">
        <f t="shared" si="30"/>
        <v>170</v>
      </c>
      <c r="AA110" s="74">
        <f t="shared" si="30"/>
        <v>0</v>
      </c>
      <c r="AB110" s="74">
        <f t="shared" si="30"/>
        <v>59</v>
      </c>
    </row>
    <row r="111" spans="2:28" ht="15" customHeight="1">
      <c r="X111" s="137" t="s">
        <v>38</v>
      </c>
      <c r="Y111" s="74">
        <f t="shared" si="30"/>
        <v>227</v>
      </c>
      <c r="Z111" s="74">
        <f t="shared" si="30"/>
        <v>311</v>
      </c>
      <c r="AA111" s="74">
        <f t="shared" si="30"/>
        <v>3</v>
      </c>
      <c r="AB111" s="74">
        <f t="shared" si="30"/>
        <v>23</v>
      </c>
    </row>
    <row r="112" spans="2:28" ht="15" customHeight="1">
      <c r="X112" s="137" t="s">
        <v>39</v>
      </c>
      <c r="Y112" s="74">
        <f t="shared" si="30"/>
        <v>444</v>
      </c>
      <c r="Z112" s="74">
        <f t="shared" si="30"/>
        <v>259</v>
      </c>
      <c r="AA112" s="74">
        <f t="shared" si="30"/>
        <v>59</v>
      </c>
      <c r="AB112" s="74">
        <f t="shared" si="30"/>
        <v>0</v>
      </c>
    </row>
    <row r="113" spans="24:28" ht="15" customHeight="1">
      <c r="X113" s="137" t="s">
        <v>40</v>
      </c>
      <c r="Y113" s="74">
        <f t="shared" si="30"/>
        <v>43</v>
      </c>
      <c r="Z113" s="74">
        <f t="shared" si="30"/>
        <v>97</v>
      </c>
      <c r="AA113" s="74">
        <f t="shared" si="30"/>
        <v>5</v>
      </c>
      <c r="AB113" s="74">
        <f t="shared" si="30"/>
        <v>2</v>
      </c>
    </row>
    <row r="114" spans="24:28" ht="15" customHeight="1">
      <c r="X114" s="137" t="s">
        <v>41</v>
      </c>
      <c r="Y114" s="74">
        <f t="shared" si="30"/>
        <v>32</v>
      </c>
      <c r="Z114" s="74">
        <f t="shared" si="30"/>
        <v>287</v>
      </c>
      <c r="AA114" s="74">
        <f t="shared" si="30"/>
        <v>7</v>
      </c>
      <c r="AB114" s="74">
        <f t="shared" si="30"/>
        <v>2</v>
      </c>
    </row>
    <row r="115" spans="24:28" ht="15" customHeight="1">
      <c r="X115" s="137" t="s">
        <v>42</v>
      </c>
      <c r="Y115" s="74">
        <f t="shared" si="30"/>
        <v>16</v>
      </c>
      <c r="Z115" s="74">
        <f t="shared" si="30"/>
        <v>27</v>
      </c>
      <c r="AA115" s="74">
        <f t="shared" si="30"/>
        <v>0</v>
      </c>
      <c r="AB115" s="74">
        <f t="shared" si="30"/>
        <v>7</v>
      </c>
    </row>
    <row r="116" spans="24:28" ht="15" customHeight="1">
      <c r="X116" s="137" t="s">
        <v>43</v>
      </c>
      <c r="Y116" s="74">
        <f t="shared" si="30"/>
        <v>26</v>
      </c>
      <c r="Z116" s="74">
        <f t="shared" si="30"/>
        <v>26</v>
      </c>
      <c r="AA116" s="74">
        <f t="shared" si="30"/>
        <v>0</v>
      </c>
      <c r="AB116" s="74">
        <f t="shared" si="30"/>
        <v>0</v>
      </c>
    </row>
    <row r="117" spans="24:28" ht="15" customHeight="1">
      <c r="X117" s="137" t="s">
        <v>44</v>
      </c>
      <c r="Y117" s="74">
        <f t="shared" si="30"/>
        <v>96</v>
      </c>
      <c r="Z117" s="74">
        <f t="shared" si="30"/>
        <v>167</v>
      </c>
      <c r="AA117" s="74">
        <f t="shared" si="30"/>
        <v>9</v>
      </c>
      <c r="AB117" s="74">
        <f t="shared" si="30"/>
        <v>6</v>
      </c>
    </row>
    <row r="118" spans="24:28" ht="15" customHeight="1">
      <c r="X118" s="137" t="s">
        <v>45</v>
      </c>
      <c r="Y118" s="74">
        <f t="shared" si="30"/>
        <v>302</v>
      </c>
      <c r="Z118" s="74">
        <f t="shared" si="30"/>
        <v>222</v>
      </c>
      <c r="AA118" s="74">
        <f t="shared" si="30"/>
        <v>6</v>
      </c>
      <c r="AB118" s="74">
        <f t="shared" si="30"/>
        <v>39</v>
      </c>
    </row>
    <row r="119" spans="24:28" ht="15" customHeight="1">
      <c r="X119" s="137" t="s">
        <v>46</v>
      </c>
      <c r="Y119" s="74">
        <f t="shared" si="30"/>
        <v>78</v>
      </c>
      <c r="Z119" s="74">
        <f t="shared" si="30"/>
        <v>153</v>
      </c>
      <c r="AA119" s="74">
        <f t="shared" si="30"/>
        <v>0</v>
      </c>
      <c r="AB119" s="74">
        <f t="shared" si="30"/>
        <v>0</v>
      </c>
    </row>
    <row r="120" spans="24:28" ht="15" customHeight="1">
      <c r="X120" s="137" t="s">
        <v>69</v>
      </c>
      <c r="Y120" s="74">
        <f t="shared" si="30"/>
        <v>386</v>
      </c>
      <c r="Z120" s="74">
        <f t="shared" si="30"/>
        <v>210</v>
      </c>
      <c r="AA120" s="74">
        <f t="shared" si="30"/>
        <v>15</v>
      </c>
      <c r="AB120" s="74">
        <f t="shared" si="30"/>
        <v>31</v>
      </c>
    </row>
    <row r="121" spans="24:28" ht="15" customHeight="1">
      <c r="X121" s="137" t="s">
        <v>55</v>
      </c>
      <c r="Y121" s="74">
        <f t="shared" si="30"/>
        <v>298</v>
      </c>
      <c r="Z121" s="74">
        <f t="shared" si="30"/>
        <v>975</v>
      </c>
      <c r="AA121" s="74">
        <f t="shared" si="30"/>
        <v>11</v>
      </c>
      <c r="AB121" s="74">
        <f t="shared" si="30"/>
        <v>19</v>
      </c>
    </row>
    <row r="122" spans="24:28" ht="15" customHeight="1">
      <c r="X122" s="137" t="s">
        <v>58</v>
      </c>
      <c r="Y122" s="74">
        <f t="shared" si="30"/>
        <v>16</v>
      </c>
      <c r="Z122" s="74">
        <f t="shared" si="30"/>
        <v>164</v>
      </c>
      <c r="AA122" s="74">
        <f t="shared" si="30"/>
        <v>0</v>
      </c>
      <c r="AB122" s="74">
        <f t="shared" si="30"/>
        <v>2</v>
      </c>
    </row>
    <row r="123" spans="24:28" ht="15" customHeight="1">
      <c r="X123" s="137" t="s">
        <v>60</v>
      </c>
      <c r="Y123" s="74">
        <f t="shared" si="30"/>
        <v>12</v>
      </c>
      <c r="Z123" s="74">
        <f t="shared" si="30"/>
        <v>366</v>
      </c>
      <c r="AA123" s="74">
        <f t="shared" si="30"/>
        <v>3</v>
      </c>
      <c r="AB123" s="74">
        <f t="shared" si="30"/>
        <v>0</v>
      </c>
    </row>
    <row r="124" spans="24:28" ht="15" customHeight="1">
      <c r="X124" s="137" t="s">
        <v>70</v>
      </c>
      <c r="Y124" s="74">
        <f t="shared" si="30"/>
        <v>1686</v>
      </c>
      <c r="Z124" s="74">
        <f t="shared" si="30"/>
        <v>829</v>
      </c>
      <c r="AA124" s="74">
        <f t="shared" si="30"/>
        <v>78</v>
      </c>
      <c r="AB124" s="74">
        <f t="shared" si="30"/>
        <v>31</v>
      </c>
    </row>
  </sheetData>
  <sheetProtection selectLockedCells="1"/>
  <customSheetViews>
    <customSheetView guid="{2387E3E5-DC3A-4E55-B9FB-E509729F4507}" showGridLines="0" showRowCol="0">
      <selection activeCell="Y2" sqref="Y2"/>
      <pageMargins left="0.75" right="0.75" top="1" bottom="1" header="0" footer="0"/>
      <pageSetup paperSize="9" orientation="portrait" r:id="rId1"/>
      <headerFooter alignWithMargins="0"/>
    </customSheetView>
    <customSheetView guid="{E8E9C221-0224-4E73-8F39-1821F41C5BD3}" showGridLines="0" showRowCol="0">
      <selection activeCell="Y2" sqref="Y2"/>
      <pageMargins left="0.75" right="0.75" top="1" bottom="1" header="0" footer="0"/>
      <pageSetup paperSize="9" orientation="portrait" r:id="rId2"/>
      <headerFooter alignWithMargins="0"/>
    </customSheetView>
    <customSheetView guid="{6E31FC92-C3FF-4227-932A-BABD82E820B9}" showRuler="0">
      <selection activeCell="J24" sqref="J24"/>
      <pageMargins left="0.75" right="0.75" top="1" bottom="1" header="0" footer="0"/>
      <headerFooter alignWithMargins="0"/>
    </customSheetView>
    <customSheetView guid="{57DF099C-2F69-48FA-8FC1-A9D4BE3C4B9B}" showRuler="0">
      <selection activeCell="J24" sqref="J24"/>
      <pageMargins left="0.75" right="0.75" top="1" bottom="1" header="0" footer="0"/>
      <headerFooter alignWithMargins="0"/>
    </customSheetView>
    <customSheetView guid="{8533A692-1FDC-4EF0-90A0-99C037A6D79B}" showPageBreaks="1" showRuler="0" topLeftCell="C1">
      <selection activeCell="C16" sqref="C16"/>
      <pageMargins left="0.75" right="0.75" top="1" bottom="1" header="0" footer="0"/>
      <headerFooter alignWithMargins="0"/>
    </customSheetView>
    <customSheetView guid="{CA2040AE-62FD-482F-B99E-D7687506BEE4}" showRuler="0">
      <selection activeCell="J24" sqref="J24"/>
      <pageMargins left="0.75" right="0.75" top="1" bottom="1" header="0" footer="0"/>
      <headerFooter alignWithMargins="0"/>
    </customSheetView>
    <customSheetView guid="{9FEEFF71-DB18-450A-9C46-2600DEBD4C2F}" showRuler="0">
      <selection activeCell="J24" sqref="J24"/>
      <pageMargins left="0.75" right="0.75" top="1" bottom="1" header="0" footer="0"/>
      <headerFooter alignWithMargins="0"/>
    </customSheetView>
    <customSheetView guid="{C985031D-D85E-4FDB-AC65-62493A942234}" showRuler="0">
      <selection activeCell="J24" sqref="J24"/>
      <pageMargins left="0.75" right="0.75" top="1" bottom="1" header="0" footer="0"/>
      <headerFooter alignWithMargins="0"/>
    </customSheetView>
    <customSheetView guid="{71ABA865-EF8A-4EB3-AA45-9433D0EFFA82}" showRuler="0">
      <selection activeCell="J24" sqref="J24"/>
      <pageMargins left="0.75" right="0.75" top="1" bottom="1" header="0" footer="0"/>
      <headerFooter alignWithMargins="0"/>
    </customSheetView>
    <customSheetView guid="{A77EC4ED-03BF-4540-A476-D8F99E900844}" showRuler="0">
      <selection activeCell="J24" sqref="J24"/>
      <pageMargins left="0.75" right="0.75" top="1" bottom="1" header="0" footer="0"/>
      <headerFooter alignWithMargins="0"/>
    </customSheetView>
  </customSheetViews>
  <mergeCells count="6">
    <mergeCell ref="B1:V1"/>
    <mergeCell ref="Y7:Y8"/>
    <mergeCell ref="Z7:Z8"/>
    <mergeCell ref="AA7:AA8"/>
    <mergeCell ref="AB7:AB8"/>
    <mergeCell ref="X7:X8"/>
  </mergeCells>
  <phoneticPr fontId="0" type="noConversion"/>
  <conditionalFormatting sqref="C8:V8 B6:K6">
    <cfRule type="cellIs" dxfId="23" priority="6" stopIfTrue="1" operator="equal">
      <formula>"F"</formula>
    </cfRule>
    <cfRule type="cellIs" dxfId="22" priority="7" stopIfTrue="1" operator="equal">
      <formula>"C"</formula>
    </cfRule>
    <cfRule type="cellIs" dxfId="21" priority="8" stopIfTrue="1" operator="equal">
      <formula>"C"</formula>
    </cfRule>
  </conditionalFormatting>
  <conditionalFormatting sqref="C9:V98">
    <cfRule type="cellIs" dxfId="20" priority="3" stopIfTrue="1" operator="equal">
      <formula>0</formula>
    </cfRule>
    <cfRule type="cellIs" dxfId="19" priority="4" stopIfTrue="1" operator="equal">
      <formula>1</formula>
    </cfRule>
    <cfRule type="cellIs" dxfId="18" priority="5" stopIfTrue="1" operator="greaterThan">
      <formula>1</formula>
    </cfRule>
  </conditionalFormatting>
  <hyperlinks>
    <hyperlink ref="Y2" location="PPrincipal!A1" display="* Pagina Principal"/>
    <hyperlink ref="Y3" location="CLibertador!A1" display="Libertador"/>
    <hyperlink ref="Y4" location="CMiranda!A1" display="Miranda"/>
    <hyperlink ref="Y5" location="CVargas!A1" display="Vargas"/>
  </hyperlinks>
  <pageMargins left="0.75" right="0.75" top="1" bottom="1" header="0" footer="0"/>
  <pageSetup paperSize="9" orientation="portrait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B1:W1349"/>
  <sheetViews>
    <sheetView showGridLines="0" showRowColHeaders="0" tabSelected="1" workbookViewId="0">
      <pane ySplit="8" topLeftCell="A528" activePane="bottomLeft" state="frozen"/>
      <selection pane="bottomLeft" activeCell="I4" sqref="I4"/>
    </sheetView>
  </sheetViews>
  <sheetFormatPr baseColWidth="10" defaultRowHeight="12.75"/>
  <cols>
    <col min="1" max="1" width="42.7109375" customWidth="1"/>
    <col min="2" max="7" width="13.7109375" customWidth="1"/>
    <col min="8" max="8" width="13.7109375" style="160" customWidth="1"/>
    <col min="9" max="10" width="13.7109375" customWidth="1"/>
    <col min="11" max="11" width="13.7109375" style="23" customWidth="1"/>
    <col min="12" max="24" width="13.7109375" customWidth="1"/>
  </cols>
  <sheetData>
    <row r="1" spans="2:23" s="14" customFormat="1">
      <c r="H1" s="157"/>
      <c r="I1" s="42"/>
      <c r="K1" s="28"/>
    </row>
    <row r="2" spans="2:23" s="14" customFormat="1">
      <c r="H2" s="158"/>
      <c r="I2" s="156" t="s">
        <v>8</v>
      </c>
      <c r="K2" s="28"/>
      <c r="O2" s="66" t="s">
        <v>73</v>
      </c>
      <c r="P2" s="67">
        <f>Q9</f>
        <v>0.53040941004832676</v>
      </c>
      <c r="Q2" s="64"/>
    </row>
    <row r="3" spans="2:23" s="14" customFormat="1">
      <c r="H3" s="158"/>
      <c r="I3" s="156" t="s">
        <v>24</v>
      </c>
      <c r="K3" s="28"/>
      <c r="O3" s="66" t="s">
        <v>74</v>
      </c>
      <c r="P3" s="67">
        <f>T9</f>
        <v>0.43147624692258596</v>
      </c>
      <c r="Q3" s="64"/>
    </row>
    <row r="4" spans="2:23" s="14" customFormat="1">
      <c r="H4" s="158"/>
      <c r="I4" s="156" t="s">
        <v>48</v>
      </c>
      <c r="K4" s="28"/>
      <c r="O4" s="66" t="s">
        <v>4</v>
      </c>
      <c r="P4" s="67">
        <f>W9</f>
        <v>3.8114343029087262E-2</v>
      </c>
      <c r="Q4" s="64"/>
    </row>
    <row r="5" spans="2:23" s="14" customFormat="1">
      <c r="H5" s="158"/>
      <c r="I5" s="156" t="s">
        <v>50</v>
      </c>
      <c r="K5" s="28"/>
      <c r="O5" s="66"/>
      <c r="P5" s="67"/>
      <c r="Q5" s="64"/>
    </row>
    <row r="6" spans="2:23" s="14" customFormat="1" ht="33">
      <c r="C6" s="24">
        <v>13</v>
      </c>
      <c r="D6" s="20" t="s">
        <v>71</v>
      </c>
      <c r="E6" s="15"/>
      <c r="F6" s="15"/>
      <c r="H6" s="159"/>
      <c r="I6" s="42"/>
      <c r="K6" s="28"/>
    </row>
    <row r="7" spans="2:23" ht="13.5" thickBot="1"/>
    <row r="8" spans="2:23" ht="45.75" thickBot="1">
      <c r="B8" s="25" t="s">
        <v>1</v>
      </c>
      <c r="C8" s="26" t="s">
        <v>2</v>
      </c>
      <c r="D8" s="27" t="s">
        <v>0</v>
      </c>
      <c r="E8" s="13" t="s">
        <v>73</v>
      </c>
      <c r="F8" s="13" t="s">
        <v>74</v>
      </c>
      <c r="G8" s="13" t="s">
        <v>4</v>
      </c>
      <c r="H8" s="161"/>
      <c r="J8" s="23"/>
      <c r="L8" s="81" t="s">
        <v>72</v>
      </c>
      <c r="O8" s="168" t="s">
        <v>73</v>
      </c>
      <c r="P8" s="169"/>
      <c r="Q8" s="170"/>
      <c r="R8" s="168" t="s">
        <v>74</v>
      </c>
      <c r="S8" s="169"/>
      <c r="T8" s="170"/>
      <c r="U8" s="168" t="s">
        <v>4</v>
      </c>
      <c r="V8" s="169"/>
      <c r="W8" s="170"/>
    </row>
    <row r="9" spans="2:23" ht="18">
      <c r="B9" s="32">
        <v>13</v>
      </c>
      <c r="C9" s="32">
        <v>66</v>
      </c>
      <c r="D9" s="32">
        <v>1</v>
      </c>
      <c r="E9" s="32">
        <v>6</v>
      </c>
      <c r="F9" s="32">
        <v>16</v>
      </c>
      <c r="G9" s="32">
        <v>0</v>
      </c>
      <c r="H9" s="162"/>
      <c r="L9" s="23">
        <v>1</v>
      </c>
      <c r="M9" s="166" t="s">
        <v>0</v>
      </c>
      <c r="N9" s="166"/>
      <c r="O9" s="34">
        <f>SUM(Diosdado_Cabello)</f>
        <v>5817</v>
      </c>
      <c r="P9" s="35">
        <f>O9</f>
        <v>5817</v>
      </c>
      <c r="Q9" s="36">
        <f>O9/($O$9+$R$9+$U$9)</f>
        <v>0.53040941004832676</v>
      </c>
      <c r="R9" s="34">
        <f>SUM(Henrique_Capriles_Radonski)</f>
        <v>4732</v>
      </c>
      <c r="S9" s="35">
        <f>R9</f>
        <v>4732</v>
      </c>
      <c r="T9" s="36">
        <f>R9/($O$9+$R$9+$U$9)</f>
        <v>0.43147624692258596</v>
      </c>
      <c r="U9" s="34">
        <f>SUM(OtroMI)</f>
        <v>418</v>
      </c>
      <c r="V9" s="35">
        <f>U9</f>
        <v>418</v>
      </c>
      <c r="W9" s="37">
        <f>U9/($O$9+$R$9+$U$9)</f>
        <v>3.8114343029087262E-2</v>
      </c>
    </row>
    <row r="10" spans="2:23" ht="18">
      <c r="B10" s="33">
        <v>13</v>
      </c>
      <c r="C10" s="33">
        <v>76</v>
      </c>
      <c r="D10" s="33">
        <v>1</v>
      </c>
      <c r="E10" s="33">
        <v>8</v>
      </c>
      <c r="F10" s="33">
        <v>13</v>
      </c>
      <c r="G10" s="33">
        <v>1</v>
      </c>
      <c r="H10" s="162"/>
      <c r="L10" s="23">
        <v>1</v>
      </c>
      <c r="M10" s="6">
        <v>0.3125</v>
      </c>
      <c r="N10" s="2">
        <v>1</v>
      </c>
      <c r="O10" s="4">
        <f t="shared" ref="O10:O29" si="0">SUMIF(TurnoMI,$N10,Diosdado_Cabello)</f>
        <v>401</v>
      </c>
      <c r="P10" s="5">
        <f>O10</f>
        <v>401</v>
      </c>
      <c r="Q10" s="10">
        <f>IF(O10&lt;&gt;0,P10/($P10+$S10+$V10),LOOKUP(2121,$Q$3:$Q$6))</f>
        <v>0.53395472703062585</v>
      </c>
      <c r="R10" s="4">
        <f t="shared" ref="R10:R29" si="1">SUMIF(TurnoMI,$N10,Henrique_Capriles_Radonski)</f>
        <v>316</v>
      </c>
      <c r="S10" s="5">
        <f>R10</f>
        <v>316</v>
      </c>
      <c r="T10" s="10">
        <f>IF(R10&lt;&gt;0,S10/($P10+$S10+$V10),LOOKUP(2121,$Q$3:$Q$6))</f>
        <v>0.4207723035952064</v>
      </c>
      <c r="U10" s="4">
        <f t="shared" ref="U10:U29" si="2">SUMIF(TurnoMI,$N10,OtroMI)</f>
        <v>34</v>
      </c>
      <c r="V10" s="5">
        <f>U10</f>
        <v>34</v>
      </c>
      <c r="W10" s="3">
        <f>IF(U10&lt;&gt;0,V10/($P10+$S10+$V10),LOOKUP(2121,$Q$3:$Q$6))</f>
        <v>4.5272969374167776E-2</v>
      </c>
    </row>
    <row r="11" spans="2:23" ht="18">
      <c r="B11" s="33">
        <v>13</v>
      </c>
      <c r="C11" s="33">
        <v>123</v>
      </c>
      <c r="D11" s="33">
        <v>1</v>
      </c>
      <c r="E11" s="33">
        <v>13</v>
      </c>
      <c r="F11" s="33">
        <v>4</v>
      </c>
      <c r="G11" s="33">
        <v>0</v>
      </c>
      <c r="H11" s="162"/>
      <c r="L11" s="23">
        <v>1</v>
      </c>
      <c r="M11" s="6">
        <v>0.33333333333333298</v>
      </c>
      <c r="N11" s="2">
        <v>2</v>
      </c>
      <c r="O11" s="4">
        <f t="shared" si="0"/>
        <v>358</v>
      </c>
      <c r="P11" s="5">
        <f>P10+O11</f>
        <v>759</v>
      </c>
      <c r="Q11" s="10">
        <f t="shared" ref="Q11:Q29" si="3">IF(O11&lt;&gt;0,P11/($P11+$S11+$V11),LOOKUP(2121,$Q$3:$Q$6))</f>
        <v>0.51387948544346651</v>
      </c>
      <c r="R11" s="4">
        <f t="shared" si="1"/>
        <v>339</v>
      </c>
      <c r="S11" s="5">
        <f>S10+R11</f>
        <v>655</v>
      </c>
      <c r="T11" s="10">
        <f t="shared" ref="T11:T29" si="4">IF(R11&lt;&gt;0,S11/($P11+$S11+$V11),LOOKUP(2121,$Q$3:$Q$6))</f>
        <v>0.44346648612051454</v>
      </c>
      <c r="U11" s="4">
        <f t="shared" si="2"/>
        <v>29</v>
      </c>
      <c r="V11" s="5">
        <f>V10+U11</f>
        <v>63</v>
      </c>
      <c r="W11" s="3">
        <f t="shared" ref="W11:W29" si="5">IF(U11&lt;&gt;0,V11/($P11+$S11+$V11),LOOKUP(2121,$Q$3:$Q$6))</f>
        <v>4.2654028436018961E-2</v>
      </c>
    </row>
    <row r="12" spans="2:23" ht="18">
      <c r="B12" s="33">
        <v>13</v>
      </c>
      <c r="C12" s="33">
        <v>119</v>
      </c>
      <c r="D12" s="33">
        <v>1</v>
      </c>
      <c r="E12" s="33">
        <v>11</v>
      </c>
      <c r="F12" s="33">
        <v>13</v>
      </c>
      <c r="G12" s="33">
        <v>2</v>
      </c>
      <c r="H12" s="162"/>
      <c r="L12" s="23">
        <v>1</v>
      </c>
      <c r="M12" s="6">
        <v>0.35416666666666702</v>
      </c>
      <c r="N12" s="2">
        <v>3</v>
      </c>
      <c r="O12" s="4">
        <f t="shared" si="0"/>
        <v>415</v>
      </c>
      <c r="P12" s="5">
        <f t="shared" ref="P12:P29" si="6">P11+O12</f>
        <v>1174</v>
      </c>
      <c r="Q12" s="10">
        <f t="shared" si="3"/>
        <v>0.51740855002203612</v>
      </c>
      <c r="R12" s="4">
        <f t="shared" si="1"/>
        <v>358</v>
      </c>
      <c r="S12" s="5">
        <f t="shared" ref="S12:S29" si="7">S11+R12</f>
        <v>1013</v>
      </c>
      <c r="T12" s="10">
        <f t="shared" si="4"/>
        <v>0.4464521815777876</v>
      </c>
      <c r="U12" s="4">
        <f t="shared" si="2"/>
        <v>19</v>
      </c>
      <c r="V12" s="5">
        <f t="shared" ref="V12:V29" si="8">V11+U12</f>
        <v>82</v>
      </c>
      <c r="W12" s="3">
        <f t="shared" si="5"/>
        <v>3.613926840017629E-2</v>
      </c>
    </row>
    <row r="13" spans="2:23" ht="18">
      <c r="B13" s="33">
        <v>13</v>
      </c>
      <c r="C13" s="33">
        <v>77</v>
      </c>
      <c r="D13" s="33">
        <v>1</v>
      </c>
      <c r="E13" s="33">
        <v>8</v>
      </c>
      <c r="F13" s="33">
        <v>9</v>
      </c>
      <c r="G13" s="33">
        <v>0</v>
      </c>
      <c r="H13" s="162"/>
      <c r="L13" s="23">
        <v>1</v>
      </c>
      <c r="M13" s="6">
        <v>0.375</v>
      </c>
      <c r="N13" s="2">
        <v>4</v>
      </c>
      <c r="O13" s="4">
        <f t="shared" si="0"/>
        <v>388</v>
      </c>
      <c r="P13" s="5">
        <f t="shared" si="6"/>
        <v>1562</v>
      </c>
      <c r="Q13" s="10">
        <f t="shared" si="3"/>
        <v>0.51653439153439151</v>
      </c>
      <c r="R13" s="4">
        <f t="shared" si="1"/>
        <v>338</v>
      </c>
      <c r="S13" s="5">
        <f t="shared" si="7"/>
        <v>1351</v>
      </c>
      <c r="T13" s="10">
        <f t="shared" si="4"/>
        <v>0.44675925925925924</v>
      </c>
      <c r="U13" s="4">
        <f t="shared" si="2"/>
        <v>29</v>
      </c>
      <c r="V13" s="5">
        <f t="shared" si="8"/>
        <v>111</v>
      </c>
      <c r="W13" s="3">
        <f t="shared" si="5"/>
        <v>3.6706349206349208E-2</v>
      </c>
    </row>
    <row r="14" spans="2:23" ht="18">
      <c r="B14" s="33">
        <v>13</v>
      </c>
      <c r="C14" s="33">
        <v>76</v>
      </c>
      <c r="D14" s="33">
        <v>2</v>
      </c>
      <c r="E14" s="33">
        <v>6</v>
      </c>
      <c r="F14" s="33">
        <v>11</v>
      </c>
      <c r="G14" s="33">
        <v>0</v>
      </c>
      <c r="H14" s="162"/>
      <c r="L14" s="23">
        <v>1</v>
      </c>
      <c r="M14" s="6">
        <v>0.39583333333333298</v>
      </c>
      <c r="N14" s="2">
        <v>5</v>
      </c>
      <c r="O14" s="4">
        <f t="shared" si="0"/>
        <v>450</v>
      </c>
      <c r="P14" s="5">
        <f t="shared" si="6"/>
        <v>2012</v>
      </c>
      <c r="Q14" s="10">
        <f t="shared" si="3"/>
        <v>0.52382192137464201</v>
      </c>
      <c r="R14" s="4">
        <f t="shared" si="1"/>
        <v>342</v>
      </c>
      <c r="S14" s="5">
        <f t="shared" si="7"/>
        <v>1693</v>
      </c>
      <c r="T14" s="10">
        <f t="shared" si="4"/>
        <v>0.44077063264774796</v>
      </c>
      <c r="U14" s="4">
        <f t="shared" si="2"/>
        <v>25</v>
      </c>
      <c r="V14" s="5">
        <f t="shared" si="8"/>
        <v>136</v>
      </c>
      <c r="W14" s="3">
        <f t="shared" si="5"/>
        <v>3.5407445977609996E-2</v>
      </c>
    </row>
    <row r="15" spans="2:23" ht="18">
      <c r="B15" s="33">
        <v>13</v>
      </c>
      <c r="C15" s="33">
        <v>65</v>
      </c>
      <c r="D15" s="33">
        <v>1</v>
      </c>
      <c r="E15" s="33">
        <v>7</v>
      </c>
      <c r="F15" s="33">
        <v>15</v>
      </c>
      <c r="G15" s="33">
        <v>0</v>
      </c>
      <c r="H15" s="162"/>
      <c r="L15" s="23">
        <v>1</v>
      </c>
      <c r="M15" s="6">
        <v>0.41666666666666702</v>
      </c>
      <c r="N15" s="2">
        <v>6</v>
      </c>
      <c r="O15" s="4">
        <f t="shared" si="0"/>
        <v>447</v>
      </c>
      <c r="P15" s="5">
        <f t="shared" si="6"/>
        <v>2459</v>
      </c>
      <c r="Q15" s="10">
        <f t="shared" si="3"/>
        <v>0.52296894938324112</v>
      </c>
      <c r="R15" s="4">
        <f t="shared" si="1"/>
        <v>379</v>
      </c>
      <c r="S15" s="5">
        <f t="shared" si="7"/>
        <v>2072</v>
      </c>
      <c r="T15" s="10">
        <f t="shared" si="4"/>
        <v>0.44066354742662694</v>
      </c>
      <c r="U15" s="4">
        <f t="shared" si="2"/>
        <v>35</v>
      </c>
      <c r="V15" s="5">
        <f t="shared" si="8"/>
        <v>171</v>
      </c>
      <c r="W15" s="3">
        <f t="shared" si="5"/>
        <v>3.6367503190131857E-2</v>
      </c>
    </row>
    <row r="16" spans="2:23" ht="18">
      <c r="B16" s="33">
        <v>13</v>
      </c>
      <c r="C16" s="33">
        <v>90</v>
      </c>
      <c r="D16" s="33">
        <v>1</v>
      </c>
      <c r="E16" s="33">
        <v>18</v>
      </c>
      <c r="F16" s="33">
        <v>8</v>
      </c>
      <c r="G16" s="33">
        <v>0</v>
      </c>
      <c r="H16" s="162"/>
      <c r="L16" s="23">
        <v>1</v>
      </c>
      <c r="M16" s="6">
        <v>0.4375</v>
      </c>
      <c r="N16" s="2">
        <v>7</v>
      </c>
      <c r="O16" s="4">
        <f t="shared" si="0"/>
        <v>441</v>
      </c>
      <c r="P16" s="5">
        <f t="shared" si="6"/>
        <v>2900</v>
      </c>
      <c r="Q16" s="10">
        <f t="shared" si="3"/>
        <v>0.52384393063583812</v>
      </c>
      <c r="R16" s="4">
        <f t="shared" si="1"/>
        <v>350</v>
      </c>
      <c r="S16" s="5">
        <f t="shared" si="7"/>
        <v>2422</v>
      </c>
      <c r="T16" s="10">
        <f t="shared" si="4"/>
        <v>0.4375</v>
      </c>
      <c r="U16" s="4">
        <f t="shared" si="2"/>
        <v>43</v>
      </c>
      <c r="V16" s="5">
        <f t="shared" si="8"/>
        <v>214</v>
      </c>
      <c r="W16" s="3">
        <f t="shared" si="5"/>
        <v>3.8656069364161848E-2</v>
      </c>
    </row>
    <row r="17" spans="2:23" ht="18">
      <c r="B17" s="33">
        <v>13</v>
      </c>
      <c r="C17" s="33">
        <v>90</v>
      </c>
      <c r="D17" s="33">
        <v>2</v>
      </c>
      <c r="E17" s="33">
        <v>20</v>
      </c>
      <c r="F17" s="33">
        <v>5</v>
      </c>
      <c r="G17" s="33">
        <v>0</v>
      </c>
      <c r="H17" s="162"/>
      <c r="L17" s="23">
        <v>1</v>
      </c>
      <c r="M17" s="6">
        <v>0.45833333333333298</v>
      </c>
      <c r="N17" s="2">
        <v>8</v>
      </c>
      <c r="O17" s="4">
        <f t="shared" si="0"/>
        <v>550</v>
      </c>
      <c r="P17" s="5">
        <f t="shared" si="6"/>
        <v>3450</v>
      </c>
      <c r="Q17" s="10">
        <f t="shared" si="3"/>
        <v>0.53356016084132385</v>
      </c>
      <c r="R17" s="4">
        <f t="shared" si="1"/>
        <v>334</v>
      </c>
      <c r="S17" s="5">
        <f t="shared" si="7"/>
        <v>2756</v>
      </c>
      <c r="T17" s="10">
        <f t="shared" si="4"/>
        <v>0.42622950819672129</v>
      </c>
      <c r="U17" s="4">
        <f t="shared" si="2"/>
        <v>46</v>
      </c>
      <c r="V17" s="5">
        <f t="shared" si="8"/>
        <v>260</v>
      </c>
      <c r="W17" s="3">
        <f t="shared" si="5"/>
        <v>4.0210330961954838E-2</v>
      </c>
    </row>
    <row r="18" spans="2:23" ht="18">
      <c r="B18" s="33">
        <v>13</v>
      </c>
      <c r="C18" s="33">
        <v>62</v>
      </c>
      <c r="D18" s="33">
        <v>1</v>
      </c>
      <c r="E18" s="33">
        <v>4</v>
      </c>
      <c r="F18" s="33">
        <v>11</v>
      </c>
      <c r="G18" s="33">
        <v>1</v>
      </c>
      <c r="H18" s="162"/>
      <c r="L18" s="23">
        <v>1</v>
      </c>
      <c r="M18" s="6">
        <v>0.47916666666666702</v>
      </c>
      <c r="N18" s="2">
        <v>9</v>
      </c>
      <c r="O18" s="4">
        <f t="shared" si="0"/>
        <v>429</v>
      </c>
      <c r="P18" s="5">
        <f t="shared" si="6"/>
        <v>3879</v>
      </c>
      <c r="Q18" s="10">
        <f t="shared" si="3"/>
        <v>0.5291950886766712</v>
      </c>
      <c r="R18" s="4">
        <f t="shared" si="1"/>
        <v>393</v>
      </c>
      <c r="S18" s="5">
        <f t="shared" si="7"/>
        <v>3149</v>
      </c>
      <c r="T18" s="10">
        <f t="shared" si="4"/>
        <v>0.42960436562073667</v>
      </c>
      <c r="U18" s="4">
        <f t="shared" si="2"/>
        <v>42</v>
      </c>
      <c r="V18" s="5">
        <f t="shared" si="8"/>
        <v>302</v>
      </c>
      <c r="W18" s="3">
        <f t="shared" si="5"/>
        <v>4.1200545702592087E-2</v>
      </c>
    </row>
    <row r="19" spans="2:23" ht="18">
      <c r="B19" s="33">
        <v>13</v>
      </c>
      <c r="C19" s="33">
        <v>62</v>
      </c>
      <c r="D19" s="33">
        <v>1</v>
      </c>
      <c r="E19" s="33">
        <v>4</v>
      </c>
      <c r="F19" s="33">
        <v>11</v>
      </c>
      <c r="G19" s="33">
        <v>1</v>
      </c>
      <c r="H19" s="162"/>
      <c r="L19" s="23">
        <v>1</v>
      </c>
      <c r="M19" s="6">
        <v>0.5</v>
      </c>
      <c r="N19" s="2">
        <v>10</v>
      </c>
      <c r="O19" s="4">
        <f t="shared" si="0"/>
        <v>420</v>
      </c>
      <c r="P19" s="5">
        <f t="shared" si="6"/>
        <v>4299</v>
      </c>
      <c r="Q19" s="10">
        <f t="shared" si="3"/>
        <v>0.53034789045151742</v>
      </c>
      <c r="R19" s="4">
        <f t="shared" si="1"/>
        <v>330</v>
      </c>
      <c r="S19" s="5">
        <f t="shared" si="7"/>
        <v>3479</v>
      </c>
      <c r="T19" s="10">
        <f t="shared" si="4"/>
        <v>0.42918825561312607</v>
      </c>
      <c r="U19" s="4">
        <f t="shared" si="2"/>
        <v>26</v>
      </c>
      <c r="V19" s="5">
        <f t="shared" si="8"/>
        <v>328</v>
      </c>
      <c r="W19" s="3">
        <f t="shared" si="5"/>
        <v>4.0463853935356529E-2</v>
      </c>
    </row>
    <row r="20" spans="2:23" ht="18">
      <c r="B20" s="33">
        <v>13</v>
      </c>
      <c r="C20" s="33">
        <v>62</v>
      </c>
      <c r="D20" s="33">
        <v>2</v>
      </c>
      <c r="E20" s="33">
        <v>3</v>
      </c>
      <c r="F20" s="33">
        <v>11</v>
      </c>
      <c r="G20" s="33">
        <v>0</v>
      </c>
      <c r="H20" s="162"/>
      <c r="L20" s="23">
        <v>1</v>
      </c>
      <c r="M20" s="6">
        <v>0.52083333333333304</v>
      </c>
      <c r="N20" s="2">
        <v>11</v>
      </c>
      <c r="O20" s="4">
        <f t="shared" si="0"/>
        <v>413</v>
      </c>
      <c r="P20" s="5">
        <f t="shared" si="6"/>
        <v>4712</v>
      </c>
      <c r="Q20" s="10">
        <f t="shared" si="3"/>
        <v>0.53080995831925204</v>
      </c>
      <c r="R20" s="4">
        <f t="shared" si="1"/>
        <v>334</v>
      </c>
      <c r="S20" s="5">
        <f t="shared" si="7"/>
        <v>3813</v>
      </c>
      <c r="T20" s="10">
        <f t="shared" si="4"/>
        <v>0.42953700574518416</v>
      </c>
      <c r="U20" s="4">
        <f t="shared" si="2"/>
        <v>24</v>
      </c>
      <c r="V20" s="5">
        <f t="shared" si="8"/>
        <v>352</v>
      </c>
      <c r="W20" s="3">
        <f t="shared" si="5"/>
        <v>3.9653035935563817E-2</v>
      </c>
    </row>
    <row r="21" spans="2:23" ht="18">
      <c r="B21" s="33">
        <v>13</v>
      </c>
      <c r="C21" s="33">
        <v>118</v>
      </c>
      <c r="D21" s="33">
        <v>1</v>
      </c>
      <c r="E21" s="33">
        <v>11</v>
      </c>
      <c r="F21" s="33">
        <v>8</v>
      </c>
      <c r="G21" s="33">
        <v>1</v>
      </c>
      <c r="H21" s="162"/>
      <c r="L21" s="23">
        <v>1</v>
      </c>
      <c r="M21" s="6">
        <v>4.1666666666666664E-2</v>
      </c>
      <c r="N21" s="2">
        <v>12</v>
      </c>
      <c r="O21" s="4">
        <f t="shared" si="0"/>
        <v>400</v>
      </c>
      <c r="P21" s="5">
        <f t="shared" si="6"/>
        <v>5112</v>
      </c>
      <c r="Q21" s="10">
        <f t="shared" si="3"/>
        <v>0.53261096061679514</v>
      </c>
      <c r="R21" s="4">
        <f t="shared" si="1"/>
        <v>297</v>
      </c>
      <c r="S21" s="5">
        <f t="shared" si="7"/>
        <v>4110</v>
      </c>
      <c r="T21" s="10">
        <f t="shared" si="4"/>
        <v>0.4282142112940196</v>
      </c>
      <c r="U21" s="4">
        <f t="shared" si="2"/>
        <v>24</v>
      </c>
      <c r="V21" s="5">
        <f t="shared" si="8"/>
        <v>376</v>
      </c>
      <c r="W21" s="3">
        <f t="shared" si="5"/>
        <v>3.9174828089185244E-2</v>
      </c>
    </row>
    <row r="22" spans="2:23" ht="18">
      <c r="B22" s="33">
        <v>13</v>
      </c>
      <c r="C22" s="33">
        <v>91</v>
      </c>
      <c r="D22" s="33">
        <v>1</v>
      </c>
      <c r="E22" s="33">
        <v>20</v>
      </c>
      <c r="F22" s="33">
        <v>5</v>
      </c>
      <c r="G22" s="33">
        <v>0</v>
      </c>
      <c r="H22" s="162"/>
      <c r="L22" s="23">
        <v>1</v>
      </c>
      <c r="M22" s="6">
        <v>6.25E-2</v>
      </c>
      <c r="N22" s="2">
        <v>13</v>
      </c>
      <c r="O22" s="4">
        <f t="shared" si="0"/>
        <v>403</v>
      </c>
      <c r="P22" s="5">
        <f t="shared" si="6"/>
        <v>5515</v>
      </c>
      <c r="Q22" s="10">
        <f t="shared" si="3"/>
        <v>0.53600933035280396</v>
      </c>
      <c r="R22" s="4">
        <f t="shared" si="1"/>
        <v>265</v>
      </c>
      <c r="S22" s="5">
        <f t="shared" si="7"/>
        <v>4375</v>
      </c>
      <c r="T22" s="10">
        <f t="shared" si="4"/>
        <v>0.42521139080571485</v>
      </c>
      <c r="U22" s="4">
        <f t="shared" si="2"/>
        <v>23</v>
      </c>
      <c r="V22" s="5">
        <f t="shared" si="8"/>
        <v>399</v>
      </c>
      <c r="W22" s="3">
        <f t="shared" si="5"/>
        <v>3.8779278841481191E-2</v>
      </c>
    </row>
    <row r="23" spans="2:23" ht="18">
      <c r="B23" s="33">
        <v>13</v>
      </c>
      <c r="C23" s="33">
        <v>91</v>
      </c>
      <c r="D23" s="33">
        <v>2</v>
      </c>
      <c r="E23" s="33">
        <v>8</v>
      </c>
      <c r="F23" s="33">
        <v>17</v>
      </c>
      <c r="G23" s="33">
        <v>0</v>
      </c>
      <c r="H23" s="162"/>
      <c r="L23" s="23">
        <v>1</v>
      </c>
      <c r="M23" s="6">
        <v>8.3333333333333329E-2</v>
      </c>
      <c r="N23" s="2">
        <v>14</v>
      </c>
      <c r="O23" s="4">
        <f t="shared" si="0"/>
        <v>225</v>
      </c>
      <c r="P23" s="5">
        <f t="shared" si="6"/>
        <v>5740</v>
      </c>
      <c r="Q23" s="10">
        <f t="shared" si="3"/>
        <v>0.53390382290019534</v>
      </c>
      <c r="R23" s="4">
        <f t="shared" si="1"/>
        <v>219</v>
      </c>
      <c r="S23" s="5">
        <f t="shared" si="7"/>
        <v>4594</v>
      </c>
      <c r="T23" s="10">
        <f t="shared" si="4"/>
        <v>0.42730908752674168</v>
      </c>
      <c r="U23" s="4">
        <f t="shared" si="2"/>
        <v>18</v>
      </c>
      <c r="V23" s="5">
        <f t="shared" si="8"/>
        <v>417</v>
      </c>
      <c r="W23" s="3">
        <f t="shared" si="5"/>
        <v>3.8787089573062969E-2</v>
      </c>
    </row>
    <row r="24" spans="2:23" ht="18">
      <c r="B24" s="33">
        <v>13</v>
      </c>
      <c r="C24" s="33">
        <v>94</v>
      </c>
      <c r="D24" s="33">
        <v>1</v>
      </c>
      <c r="E24" s="33">
        <v>14</v>
      </c>
      <c r="F24" s="33">
        <v>11</v>
      </c>
      <c r="G24" s="33">
        <v>0</v>
      </c>
      <c r="H24" s="162"/>
      <c r="L24" s="23">
        <v>1</v>
      </c>
      <c r="M24" s="6">
        <v>0.104166666666667</v>
      </c>
      <c r="N24" s="2">
        <v>15</v>
      </c>
      <c r="O24" s="4">
        <f t="shared" si="0"/>
        <v>42</v>
      </c>
      <c r="P24" s="5">
        <f t="shared" si="6"/>
        <v>5782</v>
      </c>
      <c r="Q24" s="10">
        <f t="shared" si="3"/>
        <v>0.52963268297151234</v>
      </c>
      <c r="R24" s="4">
        <f t="shared" si="1"/>
        <v>123</v>
      </c>
      <c r="S24" s="5">
        <f t="shared" si="7"/>
        <v>4717</v>
      </c>
      <c r="T24" s="10">
        <f t="shared" si="4"/>
        <v>0.43207840981954748</v>
      </c>
      <c r="U24" s="4">
        <f t="shared" si="2"/>
        <v>1</v>
      </c>
      <c r="V24" s="5">
        <f t="shared" si="8"/>
        <v>418</v>
      </c>
      <c r="W24" s="3">
        <f t="shared" si="5"/>
        <v>3.8288907208940182E-2</v>
      </c>
    </row>
    <row r="25" spans="2:23" ht="18">
      <c r="B25" s="33">
        <v>13</v>
      </c>
      <c r="C25" s="33">
        <v>95</v>
      </c>
      <c r="D25" s="33">
        <v>1</v>
      </c>
      <c r="E25" s="33">
        <v>13</v>
      </c>
      <c r="F25" s="33">
        <v>12</v>
      </c>
      <c r="G25" s="33">
        <v>0</v>
      </c>
      <c r="H25" s="162"/>
      <c r="L25" s="23">
        <v>1</v>
      </c>
      <c r="M25" s="6">
        <v>0.125</v>
      </c>
      <c r="N25" s="2">
        <v>16</v>
      </c>
      <c r="O25" s="4">
        <f t="shared" si="0"/>
        <v>20</v>
      </c>
      <c r="P25" s="5">
        <f t="shared" si="6"/>
        <v>5802</v>
      </c>
      <c r="Q25" s="10">
        <f t="shared" si="3"/>
        <v>0.53025041125936756</v>
      </c>
      <c r="R25" s="4">
        <f t="shared" si="1"/>
        <v>5</v>
      </c>
      <c r="S25" s="5">
        <f t="shared" si="7"/>
        <v>4722</v>
      </c>
      <c r="T25" s="10">
        <f t="shared" si="4"/>
        <v>0.43154816304149152</v>
      </c>
      <c r="U25" s="4">
        <f t="shared" si="2"/>
        <v>0</v>
      </c>
      <c r="V25" s="5">
        <f t="shared" si="8"/>
        <v>418</v>
      </c>
      <c r="W25" s="3" t="e">
        <f t="shared" si="5"/>
        <v>#N/A</v>
      </c>
    </row>
    <row r="26" spans="2:23" ht="18">
      <c r="B26" s="33">
        <v>13</v>
      </c>
      <c r="C26" s="33">
        <v>99</v>
      </c>
      <c r="D26" s="33">
        <v>1</v>
      </c>
      <c r="E26" s="33">
        <v>6</v>
      </c>
      <c r="F26" s="33">
        <v>0</v>
      </c>
      <c r="G26" s="33">
        <v>0</v>
      </c>
      <c r="H26" s="162"/>
      <c r="L26" s="23">
        <v>1</v>
      </c>
      <c r="M26" s="6">
        <v>0.14583333333333301</v>
      </c>
      <c r="N26" s="2">
        <v>17</v>
      </c>
      <c r="O26" s="4">
        <f t="shared" si="0"/>
        <v>15</v>
      </c>
      <c r="P26" s="5">
        <f t="shared" si="6"/>
        <v>5817</v>
      </c>
      <c r="Q26" s="10">
        <f t="shared" si="3"/>
        <v>0.53040941004832676</v>
      </c>
      <c r="R26" s="4">
        <f t="shared" si="1"/>
        <v>10</v>
      </c>
      <c r="S26" s="5">
        <f t="shared" si="7"/>
        <v>4732</v>
      </c>
      <c r="T26" s="10">
        <f t="shared" si="4"/>
        <v>0.43147624692258596</v>
      </c>
      <c r="U26" s="4">
        <f t="shared" si="2"/>
        <v>0</v>
      </c>
      <c r="V26" s="5">
        <f t="shared" si="8"/>
        <v>418</v>
      </c>
      <c r="W26" s="3" t="e">
        <f t="shared" si="5"/>
        <v>#N/A</v>
      </c>
    </row>
    <row r="27" spans="2:23" ht="18">
      <c r="B27" s="33">
        <v>13</v>
      </c>
      <c r="C27" s="33">
        <v>104</v>
      </c>
      <c r="D27" s="33">
        <v>2</v>
      </c>
      <c r="E27" s="33">
        <v>3</v>
      </c>
      <c r="F27" s="33">
        <v>2</v>
      </c>
      <c r="G27" s="33">
        <v>0</v>
      </c>
      <c r="H27" s="162"/>
      <c r="L27" s="23">
        <v>1</v>
      </c>
      <c r="M27" s="6">
        <v>0.16666666666666599</v>
      </c>
      <c r="N27" s="2">
        <v>18</v>
      </c>
      <c r="O27" s="4">
        <f t="shared" si="0"/>
        <v>0</v>
      </c>
      <c r="P27" s="5">
        <f t="shared" si="6"/>
        <v>5817</v>
      </c>
      <c r="Q27" s="10" t="e">
        <f t="shared" si="3"/>
        <v>#N/A</v>
      </c>
      <c r="R27" s="4">
        <f t="shared" si="1"/>
        <v>0</v>
      </c>
      <c r="S27" s="5">
        <f t="shared" si="7"/>
        <v>4732</v>
      </c>
      <c r="T27" s="10" t="e">
        <f t="shared" si="4"/>
        <v>#N/A</v>
      </c>
      <c r="U27" s="4">
        <f t="shared" si="2"/>
        <v>0</v>
      </c>
      <c r="V27" s="5">
        <f t="shared" si="8"/>
        <v>418</v>
      </c>
      <c r="W27" s="3" t="e">
        <f t="shared" si="5"/>
        <v>#N/A</v>
      </c>
    </row>
    <row r="28" spans="2:23" ht="18">
      <c r="B28" s="33">
        <v>13</v>
      </c>
      <c r="C28" s="33">
        <v>104</v>
      </c>
      <c r="D28" s="33">
        <v>2</v>
      </c>
      <c r="E28" s="33">
        <v>3</v>
      </c>
      <c r="F28" s="33">
        <v>2</v>
      </c>
      <c r="G28" s="33">
        <v>0</v>
      </c>
      <c r="H28" s="162"/>
      <c r="L28" s="23">
        <v>1</v>
      </c>
      <c r="M28" s="6">
        <v>0.187499999999999</v>
      </c>
      <c r="N28" s="2">
        <v>19</v>
      </c>
      <c r="O28" s="4">
        <f t="shared" si="0"/>
        <v>0</v>
      </c>
      <c r="P28" s="5">
        <f t="shared" si="6"/>
        <v>5817</v>
      </c>
      <c r="Q28" s="10" t="e">
        <f t="shared" si="3"/>
        <v>#N/A</v>
      </c>
      <c r="R28" s="4">
        <f t="shared" si="1"/>
        <v>0</v>
      </c>
      <c r="S28" s="5">
        <f t="shared" si="7"/>
        <v>4732</v>
      </c>
      <c r="T28" s="10" t="e">
        <f t="shared" si="4"/>
        <v>#N/A</v>
      </c>
      <c r="U28" s="4">
        <f t="shared" si="2"/>
        <v>0</v>
      </c>
      <c r="V28" s="5">
        <f t="shared" si="8"/>
        <v>418</v>
      </c>
      <c r="W28" s="3" t="e">
        <f t="shared" si="5"/>
        <v>#N/A</v>
      </c>
    </row>
    <row r="29" spans="2:23" ht="18.75" thickBot="1">
      <c r="B29" s="33">
        <v>13</v>
      </c>
      <c r="C29" s="33">
        <v>99</v>
      </c>
      <c r="D29" s="33">
        <v>1</v>
      </c>
      <c r="E29" s="33">
        <v>6</v>
      </c>
      <c r="F29" s="33">
        <v>0</v>
      </c>
      <c r="G29" s="33">
        <v>0</v>
      </c>
      <c r="H29" s="162"/>
      <c r="L29" s="23">
        <v>1</v>
      </c>
      <c r="M29" s="6">
        <v>0.20833333333333201</v>
      </c>
      <c r="N29" s="2">
        <v>20</v>
      </c>
      <c r="O29" s="7">
        <f t="shared" si="0"/>
        <v>0</v>
      </c>
      <c r="P29" s="8">
        <f t="shared" si="6"/>
        <v>5817</v>
      </c>
      <c r="Q29" s="11" t="e">
        <f t="shared" si="3"/>
        <v>#N/A</v>
      </c>
      <c r="R29" s="7">
        <f t="shared" si="1"/>
        <v>0</v>
      </c>
      <c r="S29" s="8">
        <f t="shared" si="7"/>
        <v>4732</v>
      </c>
      <c r="T29" s="11" t="e">
        <f t="shared" si="4"/>
        <v>#N/A</v>
      </c>
      <c r="U29" s="7">
        <f t="shared" si="2"/>
        <v>0</v>
      </c>
      <c r="V29" s="8">
        <f t="shared" si="8"/>
        <v>418</v>
      </c>
      <c r="W29" s="9" t="e">
        <f t="shared" si="5"/>
        <v>#N/A</v>
      </c>
    </row>
    <row r="30" spans="2:23" ht="18">
      <c r="B30" s="33">
        <v>13</v>
      </c>
      <c r="C30" s="33">
        <v>94</v>
      </c>
      <c r="D30" s="33">
        <v>1</v>
      </c>
      <c r="E30" s="33">
        <v>14</v>
      </c>
      <c r="F30" s="33">
        <v>11</v>
      </c>
      <c r="G30" s="33">
        <v>0</v>
      </c>
      <c r="H30" s="162"/>
      <c r="L30" s="23">
        <v>1</v>
      </c>
    </row>
    <row r="31" spans="2:23" ht="18">
      <c r="B31" s="33">
        <v>13</v>
      </c>
      <c r="C31" s="33">
        <v>91</v>
      </c>
      <c r="D31" s="33">
        <v>2</v>
      </c>
      <c r="E31" s="33">
        <v>8</v>
      </c>
      <c r="F31" s="33">
        <v>17</v>
      </c>
      <c r="G31" s="33">
        <v>0</v>
      </c>
      <c r="H31" s="162"/>
      <c r="L31" s="23">
        <v>1</v>
      </c>
    </row>
    <row r="32" spans="2:23" ht="18">
      <c r="B32" s="33">
        <v>13</v>
      </c>
      <c r="C32" s="33">
        <v>91</v>
      </c>
      <c r="D32" s="33">
        <v>1</v>
      </c>
      <c r="E32" s="33">
        <v>20</v>
      </c>
      <c r="F32" s="33">
        <v>5</v>
      </c>
      <c r="G32" s="33">
        <v>0</v>
      </c>
      <c r="H32" s="162"/>
      <c r="L32" s="23">
        <v>1</v>
      </c>
      <c r="N32" s="31">
        <v>60</v>
      </c>
    </row>
    <row r="33" spans="2:14" ht="18">
      <c r="B33" s="33">
        <v>13</v>
      </c>
      <c r="C33" s="33">
        <v>76</v>
      </c>
      <c r="D33" s="33">
        <v>3</v>
      </c>
      <c r="E33" s="33">
        <v>12</v>
      </c>
      <c r="F33" s="33">
        <v>7</v>
      </c>
      <c r="G33" s="33">
        <v>1</v>
      </c>
      <c r="H33" s="162"/>
      <c r="L33" s="23">
        <v>1</v>
      </c>
      <c r="N33" s="31">
        <v>61</v>
      </c>
    </row>
    <row r="34" spans="2:14" ht="18">
      <c r="B34" s="33">
        <v>13</v>
      </c>
      <c r="C34" s="33">
        <v>76</v>
      </c>
      <c r="D34" s="33">
        <v>4</v>
      </c>
      <c r="E34" s="33">
        <v>15</v>
      </c>
      <c r="F34" s="33">
        <v>8</v>
      </c>
      <c r="G34" s="33">
        <v>1</v>
      </c>
      <c r="H34" s="162"/>
      <c r="L34" s="23">
        <v>1</v>
      </c>
      <c r="N34" s="31">
        <v>62</v>
      </c>
    </row>
    <row r="35" spans="2:14" ht="18">
      <c r="B35" s="33">
        <v>13</v>
      </c>
      <c r="C35" s="33">
        <v>76</v>
      </c>
      <c r="D35" s="33">
        <v>2</v>
      </c>
      <c r="E35" s="33">
        <v>6</v>
      </c>
      <c r="F35" s="33">
        <v>11</v>
      </c>
      <c r="G35" s="33">
        <v>0</v>
      </c>
      <c r="H35" s="162"/>
      <c r="L35" s="23">
        <v>1</v>
      </c>
      <c r="N35" s="31">
        <v>63</v>
      </c>
    </row>
    <row r="36" spans="2:14" ht="18">
      <c r="B36" s="33">
        <v>13</v>
      </c>
      <c r="C36" s="33">
        <v>76</v>
      </c>
      <c r="D36" s="33">
        <v>1</v>
      </c>
      <c r="E36" s="33">
        <v>8</v>
      </c>
      <c r="F36" s="33">
        <v>13</v>
      </c>
      <c r="G36" s="33">
        <v>1</v>
      </c>
      <c r="H36" s="162"/>
      <c r="L36" s="23">
        <v>1</v>
      </c>
      <c r="N36" s="31">
        <v>64</v>
      </c>
    </row>
    <row r="37" spans="2:14" ht="18">
      <c r="B37" s="33">
        <v>13</v>
      </c>
      <c r="C37" s="33">
        <v>87</v>
      </c>
      <c r="D37" s="33">
        <v>1</v>
      </c>
      <c r="E37" s="33">
        <v>17</v>
      </c>
      <c r="F37" s="33">
        <v>2</v>
      </c>
      <c r="G37" s="33">
        <v>6</v>
      </c>
      <c r="H37" s="162"/>
      <c r="L37" s="23">
        <v>1</v>
      </c>
      <c r="N37" s="31">
        <v>65</v>
      </c>
    </row>
    <row r="38" spans="2:14" ht="18">
      <c r="B38" s="33">
        <v>13</v>
      </c>
      <c r="C38" s="33">
        <v>87</v>
      </c>
      <c r="D38" s="33">
        <v>2</v>
      </c>
      <c r="E38" s="33">
        <v>20</v>
      </c>
      <c r="F38" s="33">
        <v>0</v>
      </c>
      <c r="G38" s="33">
        <v>5</v>
      </c>
      <c r="H38" s="162"/>
      <c r="L38" s="23">
        <v>1</v>
      </c>
      <c r="N38" s="31">
        <v>66</v>
      </c>
    </row>
    <row r="39" spans="2:14" ht="18">
      <c r="B39" s="33">
        <v>13</v>
      </c>
      <c r="C39" s="33">
        <v>87</v>
      </c>
      <c r="D39" s="33">
        <v>3</v>
      </c>
      <c r="E39" s="33">
        <v>19</v>
      </c>
      <c r="F39" s="33">
        <v>2</v>
      </c>
      <c r="G39" s="33">
        <v>4</v>
      </c>
      <c r="H39" s="162"/>
      <c r="L39" s="23">
        <v>1</v>
      </c>
      <c r="N39" s="31">
        <v>67</v>
      </c>
    </row>
    <row r="40" spans="2:14" ht="18">
      <c r="B40" s="33">
        <v>13</v>
      </c>
      <c r="C40" s="33">
        <v>98</v>
      </c>
      <c r="D40" s="33">
        <v>1</v>
      </c>
      <c r="E40" s="33">
        <v>10</v>
      </c>
      <c r="F40" s="33">
        <v>7</v>
      </c>
      <c r="G40" s="33">
        <v>0</v>
      </c>
      <c r="H40" s="162"/>
      <c r="L40" s="23">
        <v>1</v>
      </c>
      <c r="N40" s="31">
        <v>68</v>
      </c>
    </row>
    <row r="41" spans="2:14" ht="18">
      <c r="B41" s="33">
        <v>13</v>
      </c>
      <c r="C41" s="33">
        <v>112</v>
      </c>
      <c r="D41" s="33">
        <v>2</v>
      </c>
      <c r="E41" s="33">
        <v>25</v>
      </c>
      <c r="F41" s="33">
        <v>8</v>
      </c>
      <c r="G41" s="33">
        <v>0</v>
      </c>
      <c r="H41" s="162"/>
      <c r="L41" s="23">
        <v>1</v>
      </c>
      <c r="N41" s="31">
        <v>69</v>
      </c>
    </row>
    <row r="42" spans="2:14" ht="18">
      <c r="B42" s="33">
        <v>13</v>
      </c>
      <c r="C42" s="33">
        <v>79</v>
      </c>
      <c r="D42" s="33">
        <v>2</v>
      </c>
      <c r="E42" s="33">
        <v>0</v>
      </c>
      <c r="F42" s="33">
        <v>5</v>
      </c>
      <c r="G42" s="33">
        <v>0</v>
      </c>
      <c r="H42" s="162"/>
      <c r="L42" s="23">
        <v>1</v>
      </c>
      <c r="N42" s="31">
        <v>70</v>
      </c>
    </row>
    <row r="43" spans="2:14" ht="18">
      <c r="B43" s="33">
        <v>13</v>
      </c>
      <c r="C43" s="33">
        <v>79</v>
      </c>
      <c r="D43" s="33">
        <v>3</v>
      </c>
      <c r="E43" s="33">
        <v>0</v>
      </c>
      <c r="F43" s="33">
        <v>10</v>
      </c>
      <c r="G43" s="33">
        <v>0</v>
      </c>
      <c r="H43" s="162"/>
      <c r="L43" s="23">
        <v>1</v>
      </c>
      <c r="N43" s="31">
        <v>71</v>
      </c>
    </row>
    <row r="44" spans="2:14" ht="18">
      <c r="B44" s="33">
        <v>13</v>
      </c>
      <c r="C44" s="33">
        <v>123</v>
      </c>
      <c r="D44" s="33">
        <v>4</v>
      </c>
      <c r="E44" s="33">
        <v>9</v>
      </c>
      <c r="F44" s="33">
        <v>13</v>
      </c>
      <c r="G44" s="33">
        <v>0</v>
      </c>
      <c r="H44" s="162"/>
      <c r="L44" s="23">
        <v>1</v>
      </c>
      <c r="N44" s="31">
        <v>72</v>
      </c>
    </row>
    <row r="45" spans="2:14" ht="18">
      <c r="B45" s="33">
        <v>13</v>
      </c>
      <c r="C45" s="33">
        <v>123</v>
      </c>
      <c r="D45" s="33">
        <v>5</v>
      </c>
      <c r="E45" s="33">
        <v>14</v>
      </c>
      <c r="F45" s="33">
        <v>10</v>
      </c>
      <c r="G45" s="33">
        <v>0</v>
      </c>
      <c r="H45" s="162"/>
      <c r="L45" s="23">
        <v>1</v>
      </c>
      <c r="N45" s="31">
        <v>73</v>
      </c>
    </row>
    <row r="46" spans="2:14" ht="18">
      <c r="B46" s="33">
        <v>13</v>
      </c>
      <c r="C46" s="33">
        <v>123</v>
      </c>
      <c r="D46" s="33">
        <v>3</v>
      </c>
      <c r="E46" s="33">
        <v>15</v>
      </c>
      <c r="F46" s="33">
        <v>10</v>
      </c>
      <c r="G46" s="33">
        <v>0</v>
      </c>
      <c r="H46" s="162"/>
      <c r="L46" s="23">
        <v>1</v>
      </c>
      <c r="N46" s="31">
        <v>74</v>
      </c>
    </row>
    <row r="47" spans="2:14" ht="18">
      <c r="B47" s="33">
        <v>13</v>
      </c>
      <c r="C47" s="33">
        <v>100</v>
      </c>
      <c r="D47" s="33">
        <v>1</v>
      </c>
      <c r="E47" s="33">
        <v>10</v>
      </c>
      <c r="F47" s="33">
        <v>5</v>
      </c>
      <c r="G47" s="33">
        <v>0</v>
      </c>
      <c r="H47" s="162"/>
      <c r="L47" s="23">
        <v>1</v>
      </c>
      <c r="N47" s="31">
        <v>75</v>
      </c>
    </row>
    <row r="48" spans="2:14" ht="18">
      <c r="B48" s="33">
        <v>13</v>
      </c>
      <c r="C48" s="33">
        <v>100</v>
      </c>
      <c r="D48" s="33">
        <v>2</v>
      </c>
      <c r="E48" s="33">
        <v>4</v>
      </c>
      <c r="F48" s="33">
        <v>8</v>
      </c>
      <c r="G48" s="33">
        <v>0</v>
      </c>
      <c r="H48" s="162"/>
      <c r="L48" s="23">
        <v>1</v>
      </c>
      <c r="N48" s="31">
        <v>76</v>
      </c>
    </row>
    <row r="49" spans="2:14" ht="18">
      <c r="B49" s="33">
        <v>13</v>
      </c>
      <c r="C49" s="33">
        <v>119</v>
      </c>
      <c r="D49" s="33">
        <v>2</v>
      </c>
      <c r="E49" s="33">
        <v>10</v>
      </c>
      <c r="F49" s="33">
        <v>14</v>
      </c>
      <c r="G49" s="33">
        <v>0</v>
      </c>
      <c r="H49" s="162"/>
      <c r="L49" s="23">
        <v>1</v>
      </c>
      <c r="N49" s="31">
        <v>77</v>
      </c>
    </row>
    <row r="50" spans="2:14" ht="18">
      <c r="B50" s="33">
        <v>13</v>
      </c>
      <c r="C50" s="33">
        <v>77</v>
      </c>
      <c r="D50" s="33">
        <v>2</v>
      </c>
      <c r="E50" s="33">
        <v>9</v>
      </c>
      <c r="F50" s="33">
        <v>11</v>
      </c>
      <c r="G50" s="33">
        <v>1</v>
      </c>
      <c r="H50" s="162"/>
      <c r="L50" s="23">
        <v>1</v>
      </c>
      <c r="N50" s="31">
        <v>78</v>
      </c>
    </row>
    <row r="51" spans="2:14" ht="18">
      <c r="B51" s="33">
        <v>13</v>
      </c>
      <c r="C51" s="33">
        <v>86</v>
      </c>
      <c r="D51" s="33">
        <v>1</v>
      </c>
      <c r="E51" s="33">
        <v>15</v>
      </c>
      <c r="F51" s="33">
        <v>4</v>
      </c>
      <c r="G51" s="33">
        <v>7</v>
      </c>
      <c r="H51" s="162"/>
      <c r="L51" s="23">
        <v>1</v>
      </c>
      <c r="N51" s="31">
        <v>79</v>
      </c>
    </row>
    <row r="52" spans="2:14" ht="18">
      <c r="B52" s="33">
        <v>13</v>
      </c>
      <c r="C52" s="33">
        <v>86</v>
      </c>
      <c r="D52" s="33">
        <v>2</v>
      </c>
      <c r="E52" s="33">
        <v>12</v>
      </c>
      <c r="F52" s="33">
        <v>9</v>
      </c>
      <c r="G52" s="33">
        <v>4</v>
      </c>
      <c r="H52" s="162"/>
      <c r="L52" s="23">
        <v>1</v>
      </c>
      <c r="N52" s="31">
        <v>80</v>
      </c>
    </row>
    <row r="53" spans="2:14" ht="18">
      <c r="B53" s="33">
        <v>13</v>
      </c>
      <c r="C53" s="33">
        <v>114</v>
      </c>
      <c r="D53" s="33">
        <v>1</v>
      </c>
      <c r="E53" s="33">
        <v>15</v>
      </c>
      <c r="F53" s="33">
        <v>4</v>
      </c>
      <c r="G53" s="33">
        <v>3</v>
      </c>
      <c r="H53" s="162"/>
      <c r="L53" s="23">
        <v>1</v>
      </c>
      <c r="N53" s="31">
        <v>81</v>
      </c>
    </row>
    <row r="54" spans="2:14" ht="18">
      <c r="B54" s="33">
        <v>13</v>
      </c>
      <c r="C54" s="33">
        <v>88</v>
      </c>
      <c r="D54" s="33">
        <v>2</v>
      </c>
      <c r="E54" s="33">
        <v>15</v>
      </c>
      <c r="F54" s="33">
        <v>4</v>
      </c>
      <c r="G54" s="33">
        <v>6</v>
      </c>
      <c r="H54" s="162"/>
      <c r="L54" s="23">
        <v>1</v>
      </c>
      <c r="N54" s="31">
        <v>82</v>
      </c>
    </row>
    <row r="55" spans="2:14" ht="18">
      <c r="B55" s="33">
        <v>13</v>
      </c>
      <c r="C55" s="33">
        <v>88</v>
      </c>
      <c r="D55" s="33">
        <v>3</v>
      </c>
      <c r="E55" s="33">
        <v>17</v>
      </c>
      <c r="F55" s="33">
        <v>4</v>
      </c>
      <c r="G55" s="33">
        <v>3</v>
      </c>
      <c r="H55" s="162"/>
      <c r="L55" s="23">
        <v>1</v>
      </c>
      <c r="N55" s="31">
        <v>83</v>
      </c>
    </row>
    <row r="56" spans="2:14" ht="18">
      <c r="B56" s="33">
        <v>13</v>
      </c>
      <c r="C56" s="33">
        <v>88</v>
      </c>
      <c r="D56" s="33">
        <v>1</v>
      </c>
      <c r="E56" s="33">
        <v>21</v>
      </c>
      <c r="F56" s="33">
        <v>0</v>
      </c>
      <c r="G56" s="33">
        <v>4</v>
      </c>
      <c r="H56" s="162"/>
      <c r="L56" s="23">
        <v>1</v>
      </c>
      <c r="N56" s="31">
        <v>84</v>
      </c>
    </row>
    <row r="57" spans="2:14" ht="18">
      <c r="B57" s="33">
        <v>13</v>
      </c>
      <c r="C57" s="33">
        <v>120</v>
      </c>
      <c r="D57" s="33">
        <v>2</v>
      </c>
      <c r="E57" s="33">
        <v>11</v>
      </c>
      <c r="F57" s="33">
        <v>13</v>
      </c>
      <c r="G57" s="33">
        <v>0</v>
      </c>
      <c r="H57" s="162"/>
      <c r="L57" s="23">
        <v>1</v>
      </c>
      <c r="N57" s="31">
        <v>85</v>
      </c>
    </row>
    <row r="58" spans="2:14" ht="18">
      <c r="B58" s="33">
        <v>13</v>
      </c>
      <c r="C58" s="33">
        <v>120</v>
      </c>
      <c r="D58" s="33">
        <v>1</v>
      </c>
      <c r="E58" s="33">
        <v>15</v>
      </c>
      <c r="F58" s="33">
        <v>10</v>
      </c>
      <c r="G58" s="33">
        <v>3</v>
      </c>
      <c r="H58" s="162"/>
      <c r="L58" s="23">
        <v>1</v>
      </c>
      <c r="N58" s="31">
        <v>86</v>
      </c>
    </row>
    <row r="59" spans="2:14" ht="18">
      <c r="B59" s="33">
        <v>13</v>
      </c>
      <c r="C59" s="33">
        <v>101</v>
      </c>
      <c r="D59" s="33">
        <v>4</v>
      </c>
      <c r="E59" s="33">
        <v>4</v>
      </c>
      <c r="F59" s="33">
        <v>11</v>
      </c>
      <c r="G59" s="33">
        <v>0</v>
      </c>
      <c r="H59" s="162"/>
      <c r="L59" s="23">
        <v>1</v>
      </c>
      <c r="N59" s="31">
        <v>87</v>
      </c>
    </row>
    <row r="60" spans="2:14" ht="18">
      <c r="B60" s="33">
        <v>13</v>
      </c>
      <c r="C60" s="33">
        <v>125</v>
      </c>
      <c r="D60" s="33">
        <v>2</v>
      </c>
      <c r="E60" s="33">
        <v>3</v>
      </c>
      <c r="F60" s="33">
        <v>5</v>
      </c>
      <c r="G60" s="33">
        <v>0</v>
      </c>
      <c r="H60" s="162"/>
      <c r="L60" s="23">
        <v>1</v>
      </c>
      <c r="N60" s="31">
        <v>88</v>
      </c>
    </row>
    <row r="61" spans="2:14" ht="18">
      <c r="B61" s="33">
        <v>13</v>
      </c>
      <c r="C61" s="33">
        <v>125</v>
      </c>
      <c r="D61" s="33">
        <v>1</v>
      </c>
      <c r="E61" s="33">
        <v>1</v>
      </c>
      <c r="F61" s="33">
        <v>7</v>
      </c>
      <c r="G61" s="33">
        <v>0</v>
      </c>
      <c r="H61" s="162"/>
      <c r="L61" s="23">
        <v>1</v>
      </c>
      <c r="N61" s="31">
        <v>89</v>
      </c>
    </row>
    <row r="62" spans="2:14" ht="18">
      <c r="B62" s="33">
        <v>13</v>
      </c>
      <c r="C62" s="33">
        <v>118</v>
      </c>
      <c r="D62" s="33">
        <v>2</v>
      </c>
      <c r="E62" s="33">
        <v>15</v>
      </c>
      <c r="F62" s="33">
        <v>9</v>
      </c>
      <c r="G62" s="33">
        <v>0</v>
      </c>
      <c r="H62" s="162"/>
      <c r="L62" s="23">
        <v>1</v>
      </c>
      <c r="N62" s="31">
        <v>90</v>
      </c>
    </row>
    <row r="63" spans="2:14" ht="18">
      <c r="B63" s="33">
        <v>13</v>
      </c>
      <c r="C63" s="33">
        <v>118</v>
      </c>
      <c r="D63" s="33">
        <v>3</v>
      </c>
      <c r="E63" s="33">
        <v>8</v>
      </c>
      <c r="F63" s="33">
        <v>16</v>
      </c>
      <c r="G63" s="33">
        <v>0</v>
      </c>
      <c r="H63" s="162"/>
      <c r="L63" s="23">
        <v>1</v>
      </c>
      <c r="N63" s="31">
        <v>91</v>
      </c>
    </row>
    <row r="64" spans="2:14" ht="18">
      <c r="B64" s="33">
        <v>13</v>
      </c>
      <c r="C64" s="33">
        <v>118</v>
      </c>
      <c r="D64" s="33">
        <v>4</v>
      </c>
      <c r="E64" s="33">
        <v>14</v>
      </c>
      <c r="F64" s="33">
        <v>10</v>
      </c>
      <c r="G64" s="33">
        <v>0</v>
      </c>
      <c r="H64" s="162"/>
      <c r="L64" s="23">
        <v>1</v>
      </c>
      <c r="N64" s="31">
        <v>92</v>
      </c>
    </row>
    <row r="65" spans="2:14" ht="18">
      <c r="B65" s="33">
        <v>13</v>
      </c>
      <c r="C65" s="33">
        <v>118</v>
      </c>
      <c r="D65" s="33">
        <v>5</v>
      </c>
      <c r="E65" s="33">
        <v>15</v>
      </c>
      <c r="F65" s="33">
        <v>5</v>
      </c>
      <c r="G65" s="33">
        <v>0</v>
      </c>
      <c r="H65" s="162"/>
      <c r="L65" s="23">
        <v>1</v>
      </c>
      <c r="N65" s="31">
        <v>93</v>
      </c>
    </row>
    <row r="66" spans="2:14" ht="18">
      <c r="B66" s="33">
        <v>13</v>
      </c>
      <c r="C66" s="33">
        <v>66</v>
      </c>
      <c r="D66" s="33">
        <v>2</v>
      </c>
      <c r="E66" s="33">
        <v>5</v>
      </c>
      <c r="F66" s="33">
        <v>10</v>
      </c>
      <c r="G66" s="33">
        <v>0</v>
      </c>
      <c r="H66" s="162"/>
      <c r="L66" s="23">
        <v>1</v>
      </c>
      <c r="N66" s="31">
        <v>94</v>
      </c>
    </row>
    <row r="67" spans="2:14" ht="18">
      <c r="B67" s="33">
        <v>13</v>
      </c>
      <c r="C67" s="33">
        <v>66</v>
      </c>
      <c r="D67" s="33">
        <v>3</v>
      </c>
      <c r="E67" s="33">
        <v>2</v>
      </c>
      <c r="F67" s="33">
        <v>7</v>
      </c>
      <c r="G67" s="33">
        <v>0</v>
      </c>
      <c r="H67" s="162"/>
      <c r="L67" s="23">
        <v>1</v>
      </c>
      <c r="N67" s="31">
        <v>95</v>
      </c>
    </row>
    <row r="68" spans="2:14" ht="18">
      <c r="B68" s="33">
        <v>13</v>
      </c>
      <c r="C68" s="33">
        <v>66</v>
      </c>
      <c r="D68" s="33">
        <v>4</v>
      </c>
      <c r="E68" s="33">
        <v>3</v>
      </c>
      <c r="F68" s="33">
        <v>5</v>
      </c>
      <c r="G68" s="33">
        <v>0</v>
      </c>
      <c r="H68" s="162"/>
      <c r="L68" s="23">
        <v>1</v>
      </c>
      <c r="N68" s="31">
        <v>96</v>
      </c>
    </row>
    <row r="69" spans="2:14" ht="18">
      <c r="B69" s="33">
        <v>13</v>
      </c>
      <c r="C69" s="33">
        <v>66</v>
      </c>
      <c r="D69" s="33">
        <v>5</v>
      </c>
      <c r="E69" s="33">
        <v>3</v>
      </c>
      <c r="F69" s="33">
        <v>15</v>
      </c>
      <c r="G69" s="33">
        <v>0</v>
      </c>
      <c r="H69" s="162"/>
      <c r="L69" s="23">
        <v>1</v>
      </c>
      <c r="N69" s="31">
        <v>97</v>
      </c>
    </row>
    <row r="70" spans="2:14" ht="18">
      <c r="B70" s="33">
        <v>13</v>
      </c>
      <c r="C70" s="33">
        <v>99</v>
      </c>
      <c r="D70" s="33">
        <v>2</v>
      </c>
      <c r="E70" s="33">
        <v>11</v>
      </c>
      <c r="F70" s="33">
        <v>5</v>
      </c>
      <c r="G70" s="33">
        <v>1</v>
      </c>
      <c r="H70" s="162"/>
      <c r="L70" s="23">
        <v>1</v>
      </c>
      <c r="N70" s="31">
        <v>98</v>
      </c>
    </row>
    <row r="71" spans="2:14" ht="18">
      <c r="B71" s="33">
        <v>13</v>
      </c>
      <c r="C71" s="33">
        <v>96</v>
      </c>
      <c r="D71" s="33">
        <v>5</v>
      </c>
      <c r="E71" s="33">
        <v>2</v>
      </c>
      <c r="F71" s="33">
        <v>10</v>
      </c>
      <c r="G71" s="33">
        <v>0</v>
      </c>
      <c r="H71" s="162"/>
      <c r="L71" s="23">
        <v>1</v>
      </c>
      <c r="N71" s="31">
        <v>99</v>
      </c>
    </row>
    <row r="72" spans="2:14" ht="18">
      <c r="B72" s="33">
        <v>13</v>
      </c>
      <c r="C72" s="33">
        <v>96</v>
      </c>
      <c r="D72" s="33">
        <v>4</v>
      </c>
      <c r="E72" s="33">
        <v>0</v>
      </c>
      <c r="F72" s="33">
        <v>11</v>
      </c>
      <c r="G72" s="33">
        <v>0</v>
      </c>
      <c r="H72" s="162"/>
      <c r="L72" s="23">
        <v>1</v>
      </c>
      <c r="N72" s="31">
        <v>100</v>
      </c>
    </row>
    <row r="73" spans="2:14" ht="18">
      <c r="B73" s="33">
        <v>13</v>
      </c>
      <c r="C73" s="33">
        <v>96</v>
      </c>
      <c r="D73" s="33">
        <v>2</v>
      </c>
      <c r="E73" s="33">
        <v>1</v>
      </c>
      <c r="F73" s="33">
        <v>8</v>
      </c>
      <c r="G73" s="33">
        <v>0</v>
      </c>
      <c r="H73" s="162"/>
      <c r="L73" s="23">
        <v>1</v>
      </c>
      <c r="N73" s="31">
        <v>101</v>
      </c>
    </row>
    <row r="74" spans="2:14" ht="18">
      <c r="B74" s="33">
        <v>13</v>
      </c>
      <c r="C74" s="33">
        <v>96</v>
      </c>
      <c r="D74" s="33">
        <v>3</v>
      </c>
      <c r="E74" s="33">
        <v>1</v>
      </c>
      <c r="F74" s="33">
        <v>16</v>
      </c>
      <c r="G74" s="33">
        <v>0</v>
      </c>
      <c r="H74" s="162"/>
      <c r="L74" s="23">
        <v>1</v>
      </c>
      <c r="N74" s="31">
        <v>102</v>
      </c>
    </row>
    <row r="75" spans="2:14" ht="18">
      <c r="B75" s="33">
        <v>13</v>
      </c>
      <c r="C75" s="33">
        <v>112</v>
      </c>
      <c r="D75" s="33">
        <v>3</v>
      </c>
      <c r="E75" s="33">
        <v>25</v>
      </c>
      <c r="F75" s="33">
        <v>8</v>
      </c>
      <c r="G75" s="33">
        <v>0</v>
      </c>
      <c r="H75" s="162"/>
      <c r="L75" s="23">
        <v>1</v>
      </c>
      <c r="N75" s="31">
        <v>103</v>
      </c>
    </row>
    <row r="76" spans="2:14" ht="18">
      <c r="B76" s="33">
        <v>13</v>
      </c>
      <c r="C76" s="33">
        <v>95</v>
      </c>
      <c r="D76" s="33">
        <v>2</v>
      </c>
      <c r="E76" s="33">
        <v>15</v>
      </c>
      <c r="F76" s="33">
        <v>10</v>
      </c>
      <c r="G76" s="33">
        <v>0</v>
      </c>
      <c r="H76" s="162"/>
      <c r="L76" s="23">
        <v>1</v>
      </c>
      <c r="N76" s="31">
        <v>104</v>
      </c>
    </row>
    <row r="77" spans="2:14" ht="18">
      <c r="B77" s="33">
        <v>13</v>
      </c>
      <c r="C77" s="33">
        <v>95</v>
      </c>
      <c r="D77" s="33">
        <v>3</v>
      </c>
      <c r="E77" s="33">
        <v>14</v>
      </c>
      <c r="F77" s="33">
        <v>11</v>
      </c>
      <c r="G77" s="33">
        <v>0</v>
      </c>
      <c r="H77" s="162"/>
      <c r="L77" s="23">
        <v>1</v>
      </c>
      <c r="N77" s="31">
        <v>105</v>
      </c>
    </row>
    <row r="78" spans="2:14" ht="18">
      <c r="B78" s="33">
        <v>13</v>
      </c>
      <c r="C78" s="33">
        <v>112</v>
      </c>
      <c r="D78" s="33">
        <v>4</v>
      </c>
      <c r="E78" s="33">
        <v>25</v>
      </c>
      <c r="F78" s="33">
        <v>4</v>
      </c>
      <c r="G78" s="33">
        <v>0</v>
      </c>
      <c r="H78" s="162"/>
      <c r="L78" s="23">
        <v>1</v>
      </c>
      <c r="N78" s="31">
        <v>106</v>
      </c>
    </row>
    <row r="79" spans="2:14" ht="18">
      <c r="B79" s="33">
        <v>13</v>
      </c>
      <c r="C79" s="33">
        <v>70</v>
      </c>
      <c r="D79" s="33">
        <v>1</v>
      </c>
      <c r="E79" s="33">
        <v>11</v>
      </c>
      <c r="F79" s="33">
        <v>3</v>
      </c>
      <c r="G79" s="33">
        <v>3</v>
      </c>
      <c r="H79" s="162"/>
      <c r="L79" s="23">
        <v>1</v>
      </c>
      <c r="N79" s="31">
        <v>107</v>
      </c>
    </row>
    <row r="80" spans="2:14" ht="18">
      <c r="B80" s="33">
        <v>13</v>
      </c>
      <c r="C80" s="33">
        <v>121</v>
      </c>
      <c r="D80" s="33">
        <v>2</v>
      </c>
      <c r="E80" s="33">
        <v>15</v>
      </c>
      <c r="F80" s="33">
        <v>12</v>
      </c>
      <c r="G80" s="33">
        <v>0</v>
      </c>
      <c r="H80" s="162"/>
      <c r="L80" s="23">
        <v>1</v>
      </c>
      <c r="N80" s="31">
        <v>108</v>
      </c>
    </row>
    <row r="81" spans="2:14" ht="18">
      <c r="B81" s="33">
        <v>13</v>
      </c>
      <c r="C81" s="33">
        <v>121</v>
      </c>
      <c r="D81" s="33">
        <v>1</v>
      </c>
      <c r="E81" s="33">
        <v>9</v>
      </c>
      <c r="F81" s="33">
        <v>5</v>
      </c>
      <c r="G81" s="33">
        <v>0</v>
      </c>
      <c r="H81" s="162"/>
      <c r="L81" s="23">
        <v>1</v>
      </c>
      <c r="N81" s="31">
        <v>109</v>
      </c>
    </row>
    <row r="82" spans="2:14" ht="18">
      <c r="B82" s="33">
        <v>13</v>
      </c>
      <c r="C82" s="33">
        <v>77</v>
      </c>
      <c r="D82" s="33">
        <v>4</v>
      </c>
      <c r="E82" s="33">
        <v>11</v>
      </c>
      <c r="F82" s="33">
        <v>9</v>
      </c>
      <c r="G82" s="33">
        <v>2</v>
      </c>
      <c r="H82" s="162"/>
      <c r="L82" s="23">
        <v>1</v>
      </c>
      <c r="N82" s="31">
        <v>110</v>
      </c>
    </row>
    <row r="83" spans="2:14" ht="18">
      <c r="B83" s="33">
        <v>13</v>
      </c>
      <c r="C83" s="33">
        <v>61</v>
      </c>
      <c r="D83" s="33">
        <v>4</v>
      </c>
      <c r="E83" s="33">
        <v>4</v>
      </c>
      <c r="F83" s="33">
        <v>17</v>
      </c>
      <c r="G83" s="33">
        <v>0</v>
      </c>
      <c r="H83" s="162"/>
      <c r="L83" s="23">
        <v>1</v>
      </c>
      <c r="N83" s="31">
        <v>111</v>
      </c>
    </row>
    <row r="84" spans="2:14" ht="18">
      <c r="B84" s="33">
        <v>13</v>
      </c>
      <c r="C84" s="33">
        <v>61</v>
      </c>
      <c r="D84" s="33">
        <v>2</v>
      </c>
      <c r="E84" s="33">
        <v>5</v>
      </c>
      <c r="F84" s="33">
        <v>12</v>
      </c>
      <c r="G84" s="33">
        <v>1</v>
      </c>
      <c r="H84" s="162"/>
      <c r="L84" s="23">
        <v>1</v>
      </c>
      <c r="N84" s="31">
        <v>112</v>
      </c>
    </row>
    <row r="85" spans="2:14" ht="18">
      <c r="B85" s="33">
        <v>13</v>
      </c>
      <c r="C85" s="33">
        <v>117</v>
      </c>
      <c r="D85" s="33">
        <v>5</v>
      </c>
      <c r="E85" s="33">
        <v>0</v>
      </c>
      <c r="F85" s="33">
        <v>11</v>
      </c>
      <c r="G85" s="33">
        <v>0</v>
      </c>
      <c r="H85" s="162"/>
      <c r="L85" s="23">
        <v>1</v>
      </c>
      <c r="N85" s="31">
        <v>113</v>
      </c>
    </row>
    <row r="86" spans="2:14" ht="18">
      <c r="B86" s="33">
        <v>13</v>
      </c>
      <c r="C86" s="33">
        <v>117</v>
      </c>
      <c r="D86" s="33">
        <v>4</v>
      </c>
      <c r="E86" s="33">
        <v>2</v>
      </c>
      <c r="F86" s="33">
        <v>9</v>
      </c>
      <c r="G86" s="33">
        <v>0</v>
      </c>
      <c r="H86" s="162"/>
      <c r="L86" s="23">
        <v>1</v>
      </c>
      <c r="N86" s="31">
        <v>114</v>
      </c>
    </row>
    <row r="87" spans="2:14" ht="18">
      <c r="B87" s="33">
        <v>13</v>
      </c>
      <c r="C87" s="33">
        <v>117</v>
      </c>
      <c r="D87" s="33">
        <v>3</v>
      </c>
      <c r="E87" s="33">
        <v>0</v>
      </c>
      <c r="F87" s="33">
        <v>24</v>
      </c>
      <c r="G87" s="33">
        <v>0</v>
      </c>
      <c r="H87" s="162"/>
      <c r="L87" s="23">
        <v>1</v>
      </c>
      <c r="N87" s="31">
        <v>115</v>
      </c>
    </row>
    <row r="88" spans="2:14" ht="18">
      <c r="B88" s="33">
        <v>13</v>
      </c>
      <c r="C88" s="33">
        <v>117</v>
      </c>
      <c r="D88" s="33">
        <v>2</v>
      </c>
      <c r="E88" s="33">
        <v>1</v>
      </c>
      <c r="F88" s="33">
        <v>18</v>
      </c>
      <c r="G88" s="33">
        <v>0</v>
      </c>
      <c r="H88" s="162"/>
      <c r="L88" s="23">
        <v>1</v>
      </c>
      <c r="N88" s="31">
        <v>116</v>
      </c>
    </row>
    <row r="89" spans="2:14" ht="18">
      <c r="B89" s="33">
        <v>13</v>
      </c>
      <c r="C89" s="33">
        <v>114</v>
      </c>
      <c r="D89" s="33">
        <v>4</v>
      </c>
      <c r="E89" s="33">
        <v>18</v>
      </c>
      <c r="F89" s="33">
        <v>2</v>
      </c>
      <c r="G89" s="33">
        <v>1</v>
      </c>
      <c r="H89" s="162"/>
      <c r="L89" s="23">
        <v>1</v>
      </c>
      <c r="N89" s="31">
        <v>117</v>
      </c>
    </row>
    <row r="90" spans="2:14" ht="18">
      <c r="B90" s="33">
        <v>13</v>
      </c>
      <c r="C90" s="33">
        <v>114</v>
      </c>
      <c r="D90" s="33">
        <v>3</v>
      </c>
      <c r="E90" s="33">
        <v>20</v>
      </c>
      <c r="F90" s="33">
        <v>4</v>
      </c>
      <c r="G90" s="33">
        <v>7</v>
      </c>
      <c r="H90" s="162"/>
      <c r="L90" s="23">
        <v>1</v>
      </c>
      <c r="N90" s="31">
        <v>118</v>
      </c>
    </row>
    <row r="91" spans="2:14" ht="18">
      <c r="B91" s="33">
        <v>13</v>
      </c>
      <c r="C91" s="33">
        <v>89</v>
      </c>
      <c r="D91" s="33">
        <v>1</v>
      </c>
      <c r="E91" s="33">
        <v>18</v>
      </c>
      <c r="F91" s="33">
        <v>12</v>
      </c>
      <c r="G91" s="33">
        <v>0</v>
      </c>
      <c r="H91" s="162"/>
      <c r="L91" s="23">
        <v>1</v>
      </c>
      <c r="N91" s="31">
        <v>119</v>
      </c>
    </row>
    <row r="92" spans="2:14" ht="18">
      <c r="B92" s="33">
        <v>13</v>
      </c>
      <c r="C92" s="33">
        <v>89</v>
      </c>
      <c r="D92" s="33">
        <v>2</v>
      </c>
      <c r="E92" s="33">
        <v>18</v>
      </c>
      <c r="F92" s="33">
        <v>6</v>
      </c>
      <c r="G92" s="33">
        <v>0</v>
      </c>
      <c r="H92" s="162"/>
      <c r="L92" s="23">
        <v>1</v>
      </c>
      <c r="N92" s="31">
        <v>120</v>
      </c>
    </row>
    <row r="93" spans="2:14" ht="18">
      <c r="B93" s="33">
        <v>13</v>
      </c>
      <c r="C93" s="33">
        <v>89</v>
      </c>
      <c r="D93" s="33">
        <v>3</v>
      </c>
      <c r="E93" s="33">
        <v>14</v>
      </c>
      <c r="F93" s="33">
        <v>14</v>
      </c>
      <c r="G93" s="33">
        <v>0</v>
      </c>
      <c r="H93" s="162"/>
      <c r="L93" s="23">
        <v>1</v>
      </c>
      <c r="N93" s="31">
        <v>121</v>
      </c>
    </row>
    <row r="94" spans="2:14" ht="18">
      <c r="B94" s="33">
        <v>13</v>
      </c>
      <c r="C94" s="33">
        <v>89</v>
      </c>
      <c r="D94" s="33">
        <v>4</v>
      </c>
      <c r="E94" s="33">
        <v>16</v>
      </c>
      <c r="F94" s="33">
        <v>8</v>
      </c>
      <c r="G94" s="33">
        <v>0</v>
      </c>
      <c r="H94" s="162"/>
      <c r="L94" s="23">
        <v>1</v>
      </c>
      <c r="N94" s="31">
        <v>122</v>
      </c>
    </row>
    <row r="95" spans="2:14" ht="18">
      <c r="B95" s="33">
        <v>13</v>
      </c>
      <c r="C95" s="33">
        <v>94</v>
      </c>
      <c r="D95" s="33">
        <v>2</v>
      </c>
      <c r="E95" s="33">
        <v>20</v>
      </c>
      <c r="F95" s="33">
        <v>5</v>
      </c>
      <c r="G95" s="33">
        <v>0</v>
      </c>
      <c r="H95" s="162"/>
      <c r="L95" s="23">
        <v>1</v>
      </c>
      <c r="N95" s="31">
        <v>123</v>
      </c>
    </row>
    <row r="96" spans="2:14" ht="18">
      <c r="B96" s="33">
        <v>13</v>
      </c>
      <c r="C96" s="33">
        <v>94</v>
      </c>
      <c r="D96" s="33">
        <v>1</v>
      </c>
      <c r="E96" s="33">
        <v>14</v>
      </c>
      <c r="F96" s="33">
        <v>11</v>
      </c>
      <c r="G96" s="33">
        <v>0</v>
      </c>
      <c r="H96" s="162"/>
      <c r="L96" s="23">
        <v>1</v>
      </c>
      <c r="N96" s="31">
        <v>124</v>
      </c>
    </row>
    <row r="97" spans="2:14" ht="18">
      <c r="B97" s="33">
        <v>13</v>
      </c>
      <c r="C97" s="33">
        <v>123</v>
      </c>
      <c r="D97" s="33">
        <v>3</v>
      </c>
      <c r="E97" s="33">
        <v>15</v>
      </c>
      <c r="F97" s="33">
        <v>12</v>
      </c>
      <c r="G97" s="33">
        <v>0</v>
      </c>
      <c r="H97" s="162"/>
      <c r="L97" s="23">
        <v>1</v>
      </c>
      <c r="N97" s="31">
        <v>125</v>
      </c>
    </row>
    <row r="98" spans="2:14" ht="18">
      <c r="B98" s="33">
        <v>13</v>
      </c>
      <c r="C98" s="33">
        <v>62</v>
      </c>
      <c r="D98" s="33">
        <v>4</v>
      </c>
      <c r="E98" s="33">
        <v>8</v>
      </c>
      <c r="F98" s="33">
        <v>14</v>
      </c>
      <c r="G98" s="33">
        <v>0</v>
      </c>
      <c r="H98" s="162"/>
      <c r="L98" s="23">
        <v>1</v>
      </c>
      <c r="N98" s="31">
        <v>126</v>
      </c>
    </row>
    <row r="99" spans="2:14" ht="18">
      <c r="B99" s="33">
        <v>13</v>
      </c>
      <c r="C99" s="33">
        <v>62</v>
      </c>
      <c r="D99" s="33">
        <v>3</v>
      </c>
      <c r="E99" s="33">
        <v>6</v>
      </c>
      <c r="F99" s="33">
        <v>14</v>
      </c>
      <c r="G99" s="33">
        <v>0</v>
      </c>
      <c r="H99" s="162"/>
      <c r="L99" s="23">
        <v>1</v>
      </c>
    </row>
    <row r="100" spans="2:14" ht="18">
      <c r="B100" s="33">
        <v>13</v>
      </c>
      <c r="C100" s="33">
        <v>60</v>
      </c>
      <c r="D100" s="33">
        <v>3</v>
      </c>
      <c r="E100" s="33">
        <v>7</v>
      </c>
      <c r="F100" s="33">
        <v>3</v>
      </c>
      <c r="G100" s="33">
        <v>0</v>
      </c>
      <c r="H100" s="162"/>
      <c r="L100" s="23">
        <v>1</v>
      </c>
    </row>
    <row r="101" spans="2:14" ht="18">
      <c r="B101" s="33">
        <v>13</v>
      </c>
      <c r="C101" s="33">
        <v>60</v>
      </c>
      <c r="D101" s="33">
        <v>2</v>
      </c>
      <c r="E101" s="33">
        <v>5</v>
      </c>
      <c r="F101" s="33">
        <v>0</v>
      </c>
      <c r="G101" s="33">
        <v>0</v>
      </c>
      <c r="H101" s="162"/>
      <c r="L101" s="23">
        <v>1</v>
      </c>
    </row>
    <row r="102" spans="2:14" ht="18">
      <c r="B102" s="33">
        <v>13</v>
      </c>
      <c r="C102" s="33">
        <v>60</v>
      </c>
      <c r="D102" s="33">
        <v>1</v>
      </c>
      <c r="E102" s="33">
        <v>6</v>
      </c>
      <c r="F102" s="33">
        <v>0</v>
      </c>
      <c r="G102" s="33">
        <v>0</v>
      </c>
      <c r="H102" s="162"/>
      <c r="L102" s="23">
        <v>1</v>
      </c>
    </row>
    <row r="103" spans="2:14" ht="18">
      <c r="B103" s="33">
        <v>13</v>
      </c>
      <c r="C103" s="33">
        <v>102</v>
      </c>
      <c r="D103" s="33">
        <v>4</v>
      </c>
      <c r="E103" s="33">
        <v>7</v>
      </c>
      <c r="F103" s="33">
        <v>10</v>
      </c>
      <c r="G103" s="33">
        <v>2</v>
      </c>
      <c r="H103" s="162"/>
      <c r="L103" s="23">
        <v>1</v>
      </c>
    </row>
    <row r="104" spans="2:14" ht="18">
      <c r="B104" s="33">
        <v>13</v>
      </c>
      <c r="C104" s="33">
        <v>102</v>
      </c>
      <c r="D104" s="33">
        <v>3</v>
      </c>
      <c r="E104" s="33">
        <v>13</v>
      </c>
      <c r="F104" s="33">
        <v>8</v>
      </c>
      <c r="G104" s="33">
        <v>0</v>
      </c>
      <c r="H104" s="162"/>
      <c r="L104" s="23">
        <v>1</v>
      </c>
    </row>
    <row r="105" spans="2:14" ht="18">
      <c r="B105" s="33">
        <v>13</v>
      </c>
      <c r="C105" s="33">
        <v>102</v>
      </c>
      <c r="D105" s="33">
        <v>1</v>
      </c>
      <c r="E105" s="33">
        <v>10</v>
      </c>
      <c r="F105" s="33">
        <v>12</v>
      </c>
      <c r="G105" s="33">
        <v>1</v>
      </c>
      <c r="H105" s="162"/>
      <c r="L105" s="23">
        <v>1</v>
      </c>
    </row>
    <row r="106" spans="2:14" ht="18">
      <c r="B106" s="33">
        <v>13</v>
      </c>
      <c r="C106" s="33">
        <v>98</v>
      </c>
      <c r="D106" s="33">
        <v>4</v>
      </c>
      <c r="E106" s="33">
        <v>11</v>
      </c>
      <c r="F106" s="33">
        <v>17</v>
      </c>
      <c r="G106" s="33">
        <v>0</v>
      </c>
      <c r="H106" s="162"/>
      <c r="L106" s="23">
        <v>1</v>
      </c>
    </row>
    <row r="107" spans="2:14" ht="18">
      <c r="B107" s="33">
        <v>13</v>
      </c>
      <c r="C107" s="33">
        <v>86</v>
      </c>
      <c r="D107" s="33">
        <v>3</v>
      </c>
      <c r="E107" s="33">
        <v>19</v>
      </c>
      <c r="F107" s="33">
        <v>3</v>
      </c>
      <c r="G107" s="33">
        <v>3</v>
      </c>
      <c r="H107" s="162"/>
      <c r="L107" s="23">
        <v>1</v>
      </c>
    </row>
    <row r="108" spans="2:14" ht="18">
      <c r="B108" s="33">
        <v>13</v>
      </c>
      <c r="C108" s="33">
        <v>86</v>
      </c>
      <c r="D108" s="33">
        <v>4</v>
      </c>
      <c r="E108" s="33">
        <v>21</v>
      </c>
      <c r="F108" s="33">
        <v>1</v>
      </c>
      <c r="G108" s="33">
        <v>3</v>
      </c>
      <c r="H108" s="162"/>
      <c r="L108" s="23">
        <v>1</v>
      </c>
    </row>
    <row r="109" spans="2:14" ht="18">
      <c r="B109" s="33">
        <v>13</v>
      </c>
      <c r="C109" s="33">
        <v>86</v>
      </c>
      <c r="D109" s="33">
        <v>5</v>
      </c>
      <c r="E109" s="33">
        <v>17</v>
      </c>
      <c r="F109" s="33">
        <v>2</v>
      </c>
      <c r="G109" s="33">
        <v>6</v>
      </c>
      <c r="H109" s="162"/>
      <c r="L109" s="23">
        <v>1</v>
      </c>
    </row>
    <row r="110" spans="2:14" ht="18">
      <c r="B110" s="33">
        <v>13</v>
      </c>
      <c r="C110" s="33">
        <v>87</v>
      </c>
      <c r="D110" s="33">
        <v>4</v>
      </c>
      <c r="E110" s="33">
        <v>13</v>
      </c>
      <c r="F110" s="33">
        <v>4</v>
      </c>
      <c r="G110" s="33">
        <v>8</v>
      </c>
      <c r="H110" s="162"/>
      <c r="L110" s="23">
        <v>1</v>
      </c>
    </row>
    <row r="111" spans="2:14" ht="18">
      <c r="B111" s="33">
        <v>13</v>
      </c>
      <c r="C111" s="33">
        <v>87</v>
      </c>
      <c r="D111" s="33">
        <v>5</v>
      </c>
      <c r="E111" s="33">
        <v>22</v>
      </c>
      <c r="F111" s="33">
        <v>0</v>
      </c>
      <c r="G111" s="33">
        <v>3</v>
      </c>
      <c r="H111" s="162"/>
      <c r="L111" s="23">
        <v>1</v>
      </c>
    </row>
    <row r="112" spans="2:14" ht="18">
      <c r="B112" s="33">
        <v>13</v>
      </c>
      <c r="C112" s="33">
        <v>61</v>
      </c>
      <c r="D112" s="33">
        <v>5</v>
      </c>
      <c r="E112" s="33">
        <v>2</v>
      </c>
      <c r="F112" s="33">
        <v>20</v>
      </c>
      <c r="G112" s="33">
        <v>0</v>
      </c>
      <c r="H112" s="162"/>
      <c r="L112" s="23">
        <v>1</v>
      </c>
    </row>
    <row r="113" spans="2:12" ht="18">
      <c r="B113" s="33">
        <v>13</v>
      </c>
      <c r="C113" s="33">
        <v>61</v>
      </c>
      <c r="D113" s="33">
        <v>6</v>
      </c>
      <c r="E113" s="33">
        <v>4</v>
      </c>
      <c r="F113" s="33">
        <v>20</v>
      </c>
      <c r="G113" s="33">
        <v>1</v>
      </c>
      <c r="H113" s="162"/>
      <c r="L113" s="23">
        <v>1</v>
      </c>
    </row>
    <row r="114" spans="2:12" ht="18">
      <c r="B114" s="33">
        <v>13</v>
      </c>
      <c r="C114" s="33">
        <v>91</v>
      </c>
      <c r="D114" s="33">
        <v>4</v>
      </c>
      <c r="E114" s="33">
        <v>17</v>
      </c>
      <c r="F114" s="33">
        <v>8</v>
      </c>
      <c r="G114" s="33">
        <v>0</v>
      </c>
      <c r="H114" s="162"/>
      <c r="L114" s="23">
        <v>1</v>
      </c>
    </row>
    <row r="115" spans="2:12" ht="18">
      <c r="B115" s="33">
        <v>13</v>
      </c>
      <c r="C115" s="33">
        <v>91</v>
      </c>
      <c r="D115" s="33">
        <v>3</v>
      </c>
      <c r="E115" s="33">
        <v>15</v>
      </c>
      <c r="F115" s="33">
        <v>10</v>
      </c>
      <c r="G115" s="33">
        <v>0</v>
      </c>
      <c r="H115" s="162"/>
      <c r="L115" s="23">
        <v>1</v>
      </c>
    </row>
    <row r="116" spans="2:12" ht="18">
      <c r="B116" s="33">
        <v>13</v>
      </c>
      <c r="C116" s="33">
        <v>99</v>
      </c>
      <c r="D116" s="33">
        <v>3</v>
      </c>
      <c r="E116" s="33">
        <v>8</v>
      </c>
      <c r="F116" s="33">
        <v>15</v>
      </c>
      <c r="G116" s="33">
        <v>0</v>
      </c>
      <c r="H116" s="162"/>
      <c r="L116" s="23">
        <v>1</v>
      </c>
    </row>
    <row r="117" spans="2:12" ht="18">
      <c r="B117" s="33">
        <v>13</v>
      </c>
      <c r="C117" s="33">
        <v>77</v>
      </c>
      <c r="D117" s="33">
        <v>5</v>
      </c>
      <c r="E117" s="33">
        <v>5</v>
      </c>
      <c r="F117" s="33">
        <v>6</v>
      </c>
      <c r="G117" s="33">
        <v>2</v>
      </c>
      <c r="H117" s="162"/>
      <c r="L117" s="23">
        <v>1</v>
      </c>
    </row>
    <row r="118" spans="2:12" ht="18">
      <c r="B118" s="33">
        <v>13</v>
      </c>
      <c r="C118" s="33">
        <v>100</v>
      </c>
      <c r="D118" s="33">
        <v>3</v>
      </c>
      <c r="E118" s="33">
        <v>7</v>
      </c>
      <c r="F118" s="33">
        <v>4</v>
      </c>
      <c r="G118" s="33">
        <v>0</v>
      </c>
      <c r="H118" s="162"/>
      <c r="L118" s="23">
        <v>1</v>
      </c>
    </row>
    <row r="119" spans="2:12" ht="18">
      <c r="B119" s="33">
        <v>13</v>
      </c>
      <c r="C119" s="33">
        <v>89</v>
      </c>
      <c r="D119" s="33">
        <v>5</v>
      </c>
      <c r="E119" s="33">
        <v>18</v>
      </c>
      <c r="F119" s="33">
        <v>12</v>
      </c>
      <c r="G119" s="33">
        <v>0</v>
      </c>
      <c r="H119" s="162"/>
      <c r="L119" s="23">
        <v>1</v>
      </c>
    </row>
    <row r="120" spans="2:12" ht="18">
      <c r="B120" s="33">
        <v>13</v>
      </c>
      <c r="C120" s="33">
        <v>125</v>
      </c>
      <c r="D120" s="33">
        <v>2</v>
      </c>
      <c r="E120" s="33">
        <v>8</v>
      </c>
      <c r="F120" s="33">
        <v>10</v>
      </c>
      <c r="G120" s="33">
        <v>0</v>
      </c>
      <c r="H120" s="162"/>
      <c r="L120" s="23">
        <v>1</v>
      </c>
    </row>
    <row r="121" spans="2:12" ht="18">
      <c r="B121" s="33">
        <v>13</v>
      </c>
      <c r="C121" s="33">
        <v>105</v>
      </c>
      <c r="D121" s="33">
        <v>2</v>
      </c>
      <c r="E121" s="33">
        <v>13</v>
      </c>
      <c r="F121" s="33">
        <v>3</v>
      </c>
      <c r="G121" s="33">
        <v>0</v>
      </c>
      <c r="H121" s="162"/>
      <c r="L121" s="23">
        <v>1</v>
      </c>
    </row>
    <row r="122" spans="2:12" ht="18">
      <c r="B122" s="33">
        <v>13</v>
      </c>
      <c r="C122" s="33">
        <v>112</v>
      </c>
      <c r="D122" s="33">
        <v>5</v>
      </c>
      <c r="E122" s="33">
        <v>25</v>
      </c>
      <c r="F122" s="33">
        <v>7</v>
      </c>
      <c r="G122" s="33">
        <v>0</v>
      </c>
      <c r="H122" s="162"/>
      <c r="L122" s="23">
        <v>1</v>
      </c>
    </row>
    <row r="123" spans="2:12" ht="18">
      <c r="B123" s="33">
        <v>13</v>
      </c>
      <c r="C123" s="33">
        <v>91</v>
      </c>
      <c r="D123" s="33">
        <v>1</v>
      </c>
      <c r="E123" s="33">
        <v>20</v>
      </c>
      <c r="F123" s="33">
        <v>5</v>
      </c>
      <c r="G123" s="33">
        <v>0</v>
      </c>
      <c r="H123" s="162"/>
      <c r="L123" s="23">
        <v>1</v>
      </c>
    </row>
    <row r="124" spans="2:12" ht="18">
      <c r="B124" s="33">
        <v>13</v>
      </c>
      <c r="C124" s="33">
        <v>95</v>
      </c>
      <c r="D124" s="33">
        <v>1</v>
      </c>
      <c r="E124" s="33">
        <v>13</v>
      </c>
      <c r="F124" s="33">
        <v>12</v>
      </c>
      <c r="G124" s="33">
        <v>0</v>
      </c>
      <c r="H124" s="162"/>
      <c r="L124" s="23">
        <v>1</v>
      </c>
    </row>
    <row r="125" spans="2:12" ht="18">
      <c r="B125" s="33">
        <v>13</v>
      </c>
      <c r="C125" s="33">
        <v>77</v>
      </c>
      <c r="D125" s="33">
        <v>3</v>
      </c>
      <c r="E125" s="33">
        <v>13</v>
      </c>
      <c r="F125" s="33">
        <v>10</v>
      </c>
      <c r="G125" s="33">
        <v>0</v>
      </c>
      <c r="H125" s="162"/>
      <c r="L125" s="23">
        <v>1</v>
      </c>
    </row>
    <row r="126" spans="2:12" ht="18">
      <c r="B126" s="33">
        <v>13</v>
      </c>
      <c r="C126" s="33">
        <v>114</v>
      </c>
      <c r="D126" s="33">
        <v>2</v>
      </c>
      <c r="E126" s="33">
        <v>10</v>
      </c>
      <c r="F126" s="33">
        <v>6</v>
      </c>
      <c r="G126" s="33">
        <v>8</v>
      </c>
      <c r="H126" s="162"/>
      <c r="L126" s="23">
        <v>1</v>
      </c>
    </row>
    <row r="127" spans="2:12" ht="18">
      <c r="B127" s="33">
        <v>13</v>
      </c>
      <c r="C127" s="33">
        <v>76</v>
      </c>
      <c r="D127" s="33">
        <v>5</v>
      </c>
      <c r="E127" s="33">
        <v>13</v>
      </c>
      <c r="F127" s="33">
        <v>13</v>
      </c>
      <c r="G127" s="33">
        <v>0</v>
      </c>
      <c r="H127" s="162"/>
      <c r="L127" s="23">
        <v>1</v>
      </c>
    </row>
    <row r="128" spans="2:12" ht="18">
      <c r="B128" s="33">
        <v>13</v>
      </c>
      <c r="C128" s="33">
        <v>126</v>
      </c>
      <c r="D128" s="33">
        <v>2</v>
      </c>
      <c r="E128" s="33">
        <v>4</v>
      </c>
      <c r="F128" s="33">
        <v>0</v>
      </c>
      <c r="G128" s="33">
        <v>0</v>
      </c>
      <c r="H128" s="162"/>
      <c r="L128" s="23">
        <v>1</v>
      </c>
    </row>
    <row r="129" spans="2:12" ht="18">
      <c r="B129" s="33">
        <v>13</v>
      </c>
      <c r="C129" s="33">
        <v>126</v>
      </c>
      <c r="D129" s="33">
        <v>5</v>
      </c>
      <c r="E129" s="33">
        <v>5</v>
      </c>
      <c r="F129" s="33">
        <v>3</v>
      </c>
      <c r="G129" s="33">
        <v>0</v>
      </c>
      <c r="H129" s="162"/>
      <c r="L129" s="23">
        <v>1</v>
      </c>
    </row>
    <row r="130" spans="2:12" ht="18">
      <c r="B130" s="33">
        <v>13</v>
      </c>
      <c r="C130" s="33">
        <v>126</v>
      </c>
      <c r="D130" s="33">
        <v>4</v>
      </c>
      <c r="E130" s="33">
        <v>3</v>
      </c>
      <c r="F130" s="33">
        <v>1</v>
      </c>
      <c r="G130" s="33">
        <v>1</v>
      </c>
      <c r="H130" s="162"/>
      <c r="L130" s="23">
        <v>1</v>
      </c>
    </row>
    <row r="131" spans="2:12" ht="18">
      <c r="B131" s="33">
        <v>13</v>
      </c>
      <c r="C131" s="33">
        <v>124</v>
      </c>
      <c r="D131" s="33">
        <v>2</v>
      </c>
      <c r="E131" s="33">
        <v>1</v>
      </c>
      <c r="F131" s="33">
        <v>0</v>
      </c>
      <c r="G131" s="33">
        <v>0</v>
      </c>
      <c r="H131" s="162"/>
      <c r="L131" s="23">
        <v>1</v>
      </c>
    </row>
    <row r="132" spans="2:12" ht="18">
      <c r="B132" s="33">
        <v>13</v>
      </c>
      <c r="C132" s="33">
        <v>126</v>
      </c>
      <c r="D132" s="33">
        <v>3</v>
      </c>
      <c r="E132" s="33">
        <v>7</v>
      </c>
      <c r="F132" s="33">
        <v>1</v>
      </c>
      <c r="G132" s="33">
        <v>0</v>
      </c>
      <c r="H132" s="162"/>
      <c r="L132" s="23">
        <v>1</v>
      </c>
    </row>
    <row r="133" spans="2:12" ht="18">
      <c r="B133" s="33">
        <v>13</v>
      </c>
      <c r="C133" s="33">
        <v>126</v>
      </c>
      <c r="D133" s="33">
        <v>4</v>
      </c>
      <c r="E133" s="33">
        <v>3</v>
      </c>
      <c r="F133" s="33">
        <v>0</v>
      </c>
      <c r="G133" s="33">
        <v>0</v>
      </c>
      <c r="H133" s="162"/>
      <c r="L133" s="23">
        <v>1</v>
      </c>
    </row>
    <row r="134" spans="2:12" ht="18">
      <c r="B134" s="33">
        <v>13</v>
      </c>
      <c r="C134" s="33">
        <v>114</v>
      </c>
      <c r="D134" s="33">
        <v>5</v>
      </c>
      <c r="E134" s="33">
        <v>11</v>
      </c>
      <c r="F134" s="33">
        <v>3</v>
      </c>
      <c r="G134" s="33">
        <v>4</v>
      </c>
      <c r="H134" s="162"/>
      <c r="L134" s="23">
        <v>1</v>
      </c>
    </row>
    <row r="135" spans="2:12" ht="18">
      <c r="B135" s="33">
        <v>13</v>
      </c>
      <c r="C135" s="33">
        <v>126</v>
      </c>
      <c r="D135" s="33">
        <v>1</v>
      </c>
      <c r="E135" s="33">
        <v>5</v>
      </c>
      <c r="F135" s="33">
        <v>2</v>
      </c>
      <c r="G135" s="33">
        <v>0</v>
      </c>
      <c r="H135" s="162"/>
      <c r="L135" s="23">
        <v>1</v>
      </c>
    </row>
    <row r="136" spans="2:12" ht="18">
      <c r="B136" s="33">
        <v>13</v>
      </c>
      <c r="C136" s="33">
        <v>76</v>
      </c>
      <c r="D136" s="33">
        <v>6</v>
      </c>
      <c r="E136" s="33">
        <v>9</v>
      </c>
      <c r="F136" s="33">
        <v>4</v>
      </c>
      <c r="G136" s="33">
        <v>2</v>
      </c>
      <c r="H136" s="162"/>
      <c r="L136" s="23">
        <v>1</v>
      </c>
    </row>
    <row r="137" spans="2:12" ht="18">
      <c r="B137" s="33">
        <v>13</v>
      </c>
      <c r="C137" s="33">
        <v>77</v>
      </c>
      <c r="D137" s="33">
        <v>6</v>
      </c>
      <c r="E137" s="33">
        <v>8</v>
      </c>
      <c r="F137" s="33">
        <v>5</v>
      </c>
      <c r="G137" s="33">
        <v>3</v>
      </c>
      <c r="H137" s="162"/>
      <c r="L137" s="23">
        <v>1</v>
      </c>
    </row>
    <row r="138" spans="2:12" ht="18">
      <c r="B138" s="33">
        <v>13</v>
      </c>
      <c r="C138" s="33">
        <v>88</v>
      </c>
      <c r="D138" s="33">
        <v>6</v>
      </c>
      <c r="E138" s="33">
        <v>20</v>
      </c>
      <c r="F138" s="33">
        <v>2</v>
      </c>
      <c r="G138" s="33">
        <v>3</v>
      </c>
      <c r="H138" s="162"/>
      <c r="L138" s="23">
        <v>1</v>
      </c>
    </row>
    <row r="139" spans="2:12" ht="18">
      <c r="B139" s="33">
        <v>13</v>
      </c>
      <c r="C139" s="33">
        <v>88</v>
      </c>
      <c r="D139" s="33">
        <v>5</v>
      </c>
      <c r="E139" s="33">
        <v>23</v>
      </c>
      <c r="F139" s="33">
        <v>0</v>
      </c>
      <c r="G139" s="33">
        <v>2</v>
      </c>
      <c r="H139" s="162"/>
      <c r="L139" s="23">
        <v>1</v>
      </c>
    </row>
    <row r="140" spans="2:12" ht="18">
      <c r="B140" s="33">
        <v>13</v>
      </c>
      <c r="C140" s="33">
        <v>88</v>
      </c>
      <c r="D140" s="33">
        <v>4</v>
      </c>
      <c r="E140" s="33">
        <v>19</v>
      </c>
      <c r="F140" s="33">
        <v>1</v>
      </c>
      <c r="G140" s="33">
        <v>5</v>
      </c>
      <c r="H140" s="162"/>
      <c r="L140" s="23">
        <v>1</v>
      </c>
    </row>
    <row r="141" spans="2:12" ht="18">
      <c r="B141" s="33">
        <v>13</v>
      </c>
      <c r="C141" s="33">
        <v>120</v>
      </c>
      <c r="D141" s="33">
        <v>7</v>
      </c>
      <c r="E141" s="33">
        <v>14</v>
      </c>
      <c r="F141" s="33">
        <v>11</v>
      </c>
      <c r="G141" s="33">
        <v>0</v>
      </c>
      <c r="H141" s="162"/>
      <c r="L141" s="23">
        <v>1</v>
      </c>
    </row>
    <row r="142" spans="2:12" ht="18">
      <c r="B142" s="33">
        <v>13</v>
      </c>
      <c r="C142" s="33">
        <v>120</v>
      </c>
      <c r="D142" s="33">
        <v>6</v>
      </c>
      <c r="E142" s="33">
        <v>7</v>
      </c>
      <c r="F142" s="33">
        <v>18</v>
      </c>
      <c r="G142" s="33">
        <v>0</v>
      </c>
      <c r="H142" s="162"/>
      <c r="L142" s="23">
        <v>1</v>
      </c>
    </row>
    <row r="143" spans="2:12" ht="18">
      <c r="B143" s="33">
        <v>13</v>
      </c>
      <c r="C143" s="33">
        <v>120</v>
      </c>
      <c r="D143" s="33">
        <v>6</v>
      </c>
      <c r="E143" s="33">
        <v>9</v>
      </c>
      <c r="F143" s="33">
        <v>10</v>
      </c>
      <c r="G143" s="33">
        <v>0</v>
      </c>
      <c r="H143" s="162"/>
      <c r="L143" s="23">
        <v>1</v>
      </c>
    </row>
    <row r="144" spans="2:12" ht="18">
      <c r="B144" s="33">
        <v>13</v>
      </c>
      <c r="C144" s="33">
        <v>120</v>
      </c>
      <c r="D144" s="33">
        <v>4</v>
      </c>
      <c r="E144" s="33">
        <v>11</v>
      </c>
      <c r="F144" s="33">
        <v>13</v>
      </c>
      <c r="G144" s="33">
        <v>0</v>
      </c>
      <c r="H144" s="162"/>
      <c r="L144" s="23">
        <v>1</v>
      </c>
    </row>
    <row r="145" spans="2:12" ht="18">
      <c r="B145" s="33">
        <v>13</v>
      </c>
      <c r="C145" s="33">
        <v>120</v>
      </c>
      <c r="D145" s="33">
        <v>3</v>
      </c>
      <c r="E145" s="33">
        <v>10</v>
      </c>
      <c r="F145" s="33">
        <v>15</v>
      </c>
      <c r="G145" s="33">
        <v>0</v>
      </c>
      <c r="H145" s="162"/>
      <c r="L145" s="23">
        <v>1</v>
      </c>
    </row>
    <row r="146" spans="2:12" ht="18">
      <c r="B146" s="33">
        <v>13</v>
      </c>
      <c r="C146" s="33">
        <v>112</v>
      </c>
      <c r="D146" s="33">
        <v>6</v>
      </c>
      <c r="E146" s="33">
        <v>25</v>
      </c>
      <c r="F146" s="33">
        <v>9</v>
      </c>
      <c r="G146" s="33">
        <v>0</v>
      </c>
      <c r="H146" s="162"/>
      <c r="L146" s="23">
        <v>1</v>
      </c>
    </row>
    <row r="147" spans="2:12" ht="18">
      <c r="B147" s="33">
        <v>13</v>
      </c>
      <c r="C147" s="33">
        <v>89</v>
      </c>
      <c r="D147" s="33">
        <v>6</v>
      </c>
      <c r="E147" s="33">
        <v>13</v>
      </c>
      <c r="F147" s="33">
        <v>10</v>
      </c>
      <c r="G147" s="33">
        <v>0</v>
      </c>
      <c r="H147" s="162"/>
      <c r="L147" s="23">
        <v>1</v>
      </c>
    </row>
    <row r="148" spans="2:12" ht="18">
      <c r="B148" s="33">
        <v>13</v>
      </c>
      <c r="C148" s="33">
        <v>101</v>
      </c>
      <c r="D148" s="33">
        <v>5</v>
      </c>
      <c r="E148" s="33">
        <v>1</v>
      </c>
      <c r="F148" s="33">
        <v>11</v>
      </c>
      <c r="G148" s="33">
        <v>0</v>
      </c>
      <c r="H148" s="162"/>
      <c r="L148" s="23">
        <v>1</v>
      </c>
    </row>
    <row r="149" spans="2:12" ht="18">
      <c r="B149" s="33">
        <v>13</v>
      </c>
      <c r="C149" s="33">
        <v>101</v>
      </c>
      <c r="D149" s="33">
        <v>6</v>
      </c>
      <c r="E149" s="33">
        <v>1</v>
      </c>
      <c r="F149" s="33">
        <v>6</v>
      </c>
      <c r="G149" s="33">
        <v>0</v>
      </c>
      <c r="H149" s="162"/>
      <c r="L149" s="23">
        <v>1</v>
      </c>
    </row>
    <row r="150" spans="2:12" ht="18">
      <c r="B150" s="33">
        <v>13</v>
      </c>
      <c r="C150" s="33">
        <v>95</v>
      </c>
      <c r="D150" s="33">
        <v>5</v>
      </c>
      <c r="E150" s="33">
        <v>20</v>
      </c>
      <c r="F150" s="33">
        <v>5</v>
      </c>
      <c r="G150" s="33">
        <v>0</v>
      </c>
      <c r="H150" s="162"/>
      <c r="L150" s="23">
        <v>1</v>
      </c>
    </row>
    <row r="151" spans="2:12" ht="18">
      <c r="B151" s="33">
        <v>13</v>
      </c>
      <c r="C151" s="33">
        <v>95</v>
      </c>
      <c r="D151" s="33">
        <v>6</v>
      </c>
      <c r="E151" s="33">
        <v>16</v>
      </c>
      <c r="F151" s="33">
        <v>14</v>
      </c>
      <c r="G151" s="33">
        <v>0</v>
      </c>
      <c r="H151" s="162"/>
      <c r="L151" s="23">
        <v>1</v>
      </c>
    </row>
    <row r="152" spans="2:12" ht="18">
      <c r="B152" s="33">
        <v>13</v>
      </c>
      <c r="C152" s="33">
        <v>86</v>
      </c>
      <c r="D152" s="33">
        <v>6</v>
      </c>
      <c r="E152" s="33">
        <v>15</v>
      </c>
      <c r="F152" s="33">
        <v>4</v>
      </c>
      <c r="G152" s="33">
        <v>6</v>
      </c>
      <c r="H152" s="162"/>
      <c r="L152" s="23">
        <v>1</v>
      </c>
    </row>
    <row r="153" spans="2:12" ht="18">
      <c r="B153" s="33">
        <v>13</v>
      </c>
      <c r="C153" s="33">
        <v>96</v>
      </c>
      <c r="D153" s="33">
        <v>7</v>
      </c>
      <c r="E153" s="33">
        <v>2</v>
      </c>
      <c r="F153" s="33">
        <v>5</v>
      </c>
      <c r="G153" s="33">
        <v>0</v>
      </c>
      <c r="H153" s="162"/>
      <c r="L153" s="23">
        <v>1</v>
      </c>
    </row>
    <row r="154" spans="2:12" ht="18">
      <c r="B154" s="33">
        <v>13</v>
      </c>
      <c r="C154" s="33">
        <v>96</v>
      </c>
      <c r="D154" s="33">
        <v>6</v>
      </c>
      <c r="E154" s="33">
        <v>3</v>
      </c>
      <c r="F154" s="33">
        <v>8</v>
      </c>
      <c r="G154" s="33">
        <v>0</v>
      </c>
      <c r="H154" s="162"/>
      <c r="L154" s="23">
        <v>1</v>
      </c>
    </row>
    <row r="155" spans="2:12" ht="18">
      <c r="B155" s="33">
        <v>13</v>
      </c>
      <c r="C155" s="33">
        <v>100</v>
      </c>
      <c r="D155" s="33">
        <v>7</v>
      </c>
      <c r="E155" s="33">
        <v>4</v>
      </c>
      <c r="F155" s="33">
        <v>3</v>
      </c>
      <c r="G155" s="33">
        <v>0</v>
      </c>
      <c r="H155" s="162"/>
      <c r="L155" s="23">
        <v>1</v>
      </c>
    </row>
    <row r="156" spans="2:12" ht="18">
      <c r="B156" s="33">
        <v>13</v>
      </c>
      <c r="C156" s="33">
        <v>100</v>
      </c>
      <c r="D156" s="33">
        <v>6</v>
      </c>
      <c r="E156" s="33">
        <v>4</v>
      </c>
      <c r="F156" s="33">
        <v>0</v>
      </c>
      <c r="G156" s="33">
        <v>0</v>
      </c>
      <c r="H156" s="162"/>
      <c r="L156" s="23">
        <v>1</v>
      </c>
    </row>
    <row r="157" spans="2:12" ht="18">
      <c r="B157" s="33">
        <v>13</v>
      </c>
      <c r="C157" s="33">
        <v>117</v>
      </c>
      <c r="D157" s="33">
        <v>7</v>
      </c>
      <c r="E157" s="33">
        <v>1</v>
      </c>
      <c r="F157" s="33">
        <v>22</v>
      </c>
      <c r="G157" s="33">
        <v>0</v>
      </c>
      <c r="H157" s="162"/>
      <c r="L157" s="23">
        <v>1</v>
      </c>
    </row>
    <row r="158" spans="2:12" ht="18">
      <c r="B158" s="33">
        <v>13</v>
      </c>
      <c r="C158" s="33">
        <v>78</v>
      </c>
      <c r="D158" s="33">
        <v>1</v>
      </c>
      <c r="E158" s="33">
        <v>0</v>
      </c>
      <c r="F158" s="33">
        <v>25</v>
      </c>
      <c r="G158" s="33">
        <v>0</v>
      </c>
      <c r="H158" s="162"/>
      <c r="L158" s="23">
        <v>1</v>
      </c>
    </row>
    <row r="159" spans="2:12" ht="18">
      <c r="B159" s="33">
        <v>13</v>
      </c>
      <c r="C159" s="33">
        <v>78</v>
      </c>
      <c r="D159" s="33">
        <v>2</v>
      </c>
      <c r="E159" s="33">
        <v>0</v>
      </c>
      <c r="F159" s="33">
        <v>25</v>
      </c>
      <c r="G159" s="33">
        <v>0</v>
      </c>
      <c r="H159" s="162"/>
      <c r="L159" s="23">
        <v>1</v>
      </c>
    </row>
    <row r="160" spans="2:12" ht="18">
      <c r="B160" s="33">
        <v>13</v>
      </c>
      <c r="C160" s="33">
        <v>78</v>
      </c>
      <c r="D160" s="33">
        <v>3</v>
      </c>
      <c r="E160" s="33">
        <v>5</v>
      </c>
      <c r="F160" s="33">
        <v>20</v>
      </c>
      <c r="G160" s="33">
        <v>0</v>
      </c>
      <c r="H160" s="162"/>
      <c r="L160" s="23">
        <v>1</v>
      </c>
    </row>
    <row r="161" spans="2:12" ht="18">
      <c r="B161" s="33">
        <v>13</v>
      </c>
      <c r="C161" s="33">
        <v>78</v>
      </c>
      <c r="D161" s="33">
        <v>4</v>
      </c>
      <c r="E161" s="33">
        <v>1</v>
      </c>
      <c r="F161" s="33">
        <v>24</v>
      </c>
      <c r="G161" s="33">
        <v>0</v>
      </c>
      <c r="H161" s="162"/>
      <c r="L161" s="23">
        <v>1</v>
      </c>
    </row>
    <row r="162" spans="2:12" ht="18">
      <c r="B162" s="33">
        <v>13</v>
      </c>
      <c r="C162" s="33">
        <v>78</v>
      </c>
      <c r="D162" s="33">
        <v>5</v>
      </c>
      <c r="E162" s="33">
        <v>2</v>
      </c>
      <c r="F162" s="33">
        <v>23</v>
      </c>
      <c r="G162" s="33">
        <v>0</v>
      </c>
      <c r="H162" s="162"/>
      <c r="L162" s="23">
        <v>1</v>
      </c>
    </row>
    <row r="163" spans="2:12" ht="18">
      <c r="B163" s="33">
        <v>13</v>
      </c>
      <c r="C163" s="33">
        <v>78</v>
      </c>
      <c r="D163" s="33">
        <v>6</v>
      </c>
      <c r="E163" s="33">
        <v>0</v>
      </c>
      <c r="F163" s="33">
        <v>25</v>
      </c>
      <c r="G163" s="33">
        <v>0</v>
      </c>
      <c r="H163" s="162"/>
      <c r="L163" s="23">
        <v>1</v>
      </c>
    </row>
    <row r="164" spans="2:12" ht="18">
      <c r="B164" s="33">
        <v>13</v>
      </c>
      <c r="C164" s="33">
        <v>78</v>
      </c>
      <c r="D164" s="33">
        <v>7</v>
      </c>
      <c r="E164" s="33">
        <v>0</v>
      </c>
      <c r="F164" s="33">
        <v>25</v>
      </c>
      <c r="G164" s="33">
        <v>0</v>
      </c>
      <c r="H164" s="162"/>
      <c r="L164" s="23">
        <v>1</v>
      </c>
    </row>
    <row r="165" spans="2:12" ht="18">
      <c r="B165" s="33">
        <v>13</v>
      </c>
      <c r="C165" s="33">
        <v>98</v>
      </c>
      <c r="D165" s="33">
        <v>5</v>
      </c>
      <c r="E165" s="33">
        <v>0</v>
      </c>
      <c r="F165" s="33">
        <v>1</v>
      </c>
      <c r="G165" s="33">
        <v>0</v>
      </c>
      <c r="H165" s="162"/>
      <c r="L165" s="23">
        <v>1</v>
      </c>
    </row>
    <row r="166" spans="2:12" ht="18">
      <c r="B166" s="33">
        <v>13</v>
      </c>
      <c r="C166" s="33">
        <v>116</v>
      </c>
      <c r="D166" s="33">
        <v>7</v>
      </c>
      <c r="E166" s="33">
        <v>15</v>
      </c>
      <c r="F166" s="33">
        <v>15</v>
      </c>
      <c r="G166" s="33">
        <v>0</v>
      </c>
      <c r="H166" s="162"/>
      <c r="L166" s="23">
        <v>1</v>
      </c>
    </row>
    <row r="167" spans="2:12" ht="18">
      <c r="B167" s="33">
        <v>13</v>
      </c>
      <c r="C167" s="33">
        <v>67</v>
      </c>
      <c r="D167" s="33">
        <v>7</v>
      </c>
      <c r="E167" s="33">
        <v>0</v>
      </c>
      <c r="F167" s="33">
        <v>10</v>
      </c>
      <c r="G167" s="33">
        <v>0</v>
      </c>
      <c r="H167" s="162"/>
      <c r="L167" s="23">
        <v>1</v>
      </c>
    </row>
    <row r="168" spans="2:12" ht="18">
      <c r="B168" s="33">
        <v>13</v>
      </c>
      <c r="C168" s="33">
        <v>67</v>
      </c>
      <c r="D168" s="33">
        <v>6</v>
      </c>
      <c r="E168" s="33">
        <v>0</v>
      </c>
      <c r="F168" s="33">
        <v>31</v>
      </c>
      <c r="G168" s="33">
        <v>0</v>
      </c>
      <c r="H168" s="162"/>
      <c r="L168" s="23">
        <v>1</v>
      </c>
    </row>
    <row r="169" spans="2:12" ht="18">
      <c r="B169" s="33">
        <v>13</v>
      </c>
      <c r="C169" s="33">
        <v>67</v>
      </c>
      <c r="D169" s="33">
        <v>5</v>
      </c>
      <c r="E169" s="33">
        <v>0</v>
      </c>
      <c r="F169" s="33">
        <v>28</v>
      </c>
      <c r="G169" s="33">
        <v>0</v>
      </c>
      <c r="H169" s="162"/>
      <c r="L169" s="23">
        <v>1</v>
      </c>
    </row>
    <row r="170" spans="2:12" ht="18">
      <c r="B170" s="33">
        <v>13</v>
      </c>
      <c r="C170" s="33">
        <v>67</v>
      </c>
      <c r="D170" s="33">
        <v>4</v>
      </c>
      <c r="E170" s="33">
        <v>0</v>
      </c>
      <c r="F170" s="33">
        <v>25</v>
      </c>
      <c r="G170" s="33">
        <v>0</v>
      </c>
      <c r="H170" s="162"/>
      <c r="L170" s="23">
        <v>1</v>
      </c>
    </row>
    <row r="171" spans="2:12" ht="18">
      <c r="B171" s="33">
        <v>13</v>
      </c>
      <c r="C171" s="33">
        <v>118</v>
      </c>
      <c r="D171" s="33">
        <v>7</v>
      </c>
      <c r="E171" s="33">
        <v>9</v>
      </c>
      <c r="F171" s="33">
        <v>8</v>
      </c>
      <c r="G171" s="33">
        <v>4</v>
      </c>
      <c r="H171" s="162"/>
      <c r="L171" s="23">
        <v>1</v>
      </c>
    </row>
    <row r="172" spans="2:12" ht="18">
      <c r="B172" s="33">
        <v>13</v>
      </c>
      <c r="C172" s="33">
        <v>118</v>
      </c>
      <c r="D172" s="33">
        <v>6</v>
      </c>
      <c r="E172" s="33">
        <v>13</v>
      </c>
      <c r="F172" s="33">
        <v>7</v>
      </c>
      <c r="G172" s="33">
        <v>2</v>
      </c>
      <c r="H172" s="162"/>
      <c r="L172" s="23">
        <v>1</v>
      </c>
    </row>
    <row r="173" spans="2:12" ht="18">
      <c r="B173" s="33">
        <v>13</v>
      </c>
      <c r="C173" s="33">
        <v>109</v>
      </c>
      <c r="D173" s="33">
        <v>7</v>
      </c>
      <c r="E173" s="33">
        <v>23</v>
      </c>
      <c r="F173" s="33">
        <v>11</v>
      </c>
      <c r="G173" s="33">
        <v>0</v>
      </c>
      <c r="H173" s="162"/>
      <c r="L173" s="23">
        <v>1</v>
      </c>
    </row>
    <row r="174" spans="2:12" ht="18">
      <c r="B174" s="33">
        <v>13</v>
      </c>
      <c r="C174" s="33">
        <v>109</v>
      </c>
      <c r="D174" s="33">
        <v>6</v>
      </c>
      <c r="E174" s="33">
        <v>11</v>
      </c>
      <c r="F174" s="33">
        <v>7</v>
      </c>
      <c r="G174" s="33">
        <v>0</v>
      </c>
      <c r="H174" s="162"/>
      <c r="L174" s="23">
        <v>1</v>
      </c>
    </row>
    <row r="175" spans="2:12" ht="18">
      <c r="B175" s="33">
        <v>13</v>
      </c>
      <c r="C175" s="33">
        <v>109</v>
      </c>
      <c r="D175" s="33">
        <v>5</v>
      </c>
      <c r="E175" s="33">
        <v>21</v>
      </c>
      <c r="F175" s="33">
        <v>4</v>
      </c>
      <c r="G175" s="33">
        <v>0</v>
      </c>
      <c r="H175" s="162"/>
      <c r="L175" s="23">
        <v>1</v>
      </c>
    </row>
    <row r="176" spans="2:12" ht="18">
      <c r="B176" s="33">
        <v>13</v>
      </c>
      <c r="C176" s="33">
        <v>109</v>
      </c>
      <c r="D176" s="33">
        <v>7</v>
      </c>
      <c r="E176" s="33">
        <v>7</v>
      </c>
      <c r="F176" s="33">
        <v>0</v>
      </c>
      <c r="G176" s="33">
        <v>13</v>
      </c>
      <c r="H176" s="162"/>
      <c r="L176" s="23">
        <v>1</v>
      </c>
    </row>
    <row r="177" spans="2:12" ht="18">
      <c r="B177" s="33">
        <v>13</v>
      </c>
      <c r="C177" s="33">
        <v>109</v>
      </c>
      <c r="D177" s="33">
        <v>3</v>
      </c>
      <c r="E177" s="33">
        <v>15</v>
      </c>
      <c r="F177" s="33">
        <v>16</v>
      </c>
      <c r="G177" s="33">
        <v>0</v>
      </c>
      <c r="H177" s="162"/>
      <c r="L177" s="23">
        <v>1</v>
      </c>
    </row>
    <row r="178" spans="2:12" ht="18">
      <c r="B178" s="33">
        <v>13</v>
      </c>
      <c r="C178" s="33">
        <v>109</v>
      </c>
      <c r="D178" s="33">
        <v>2</v>
      </c>
      <c r="E178" s="33">
        <v>8</v>
      </c>
      <c r="F178" s="33">
        <v>3</v>
      </c>
      <c r="G178" s="33">
        <v>0</v>
      </c>
      <c r="H178" s="162"/>
      <c r="L178" s="23">
        <v>1</v>
      </c>
    </row>
    <row r="179" spans="2:12" ht="18">
      <c r="B179" s="33">
        <v>13</v>
      </c>
      <c r="C179" s="33">
        <v>70</v>
      </c>
      <c r="D179" s="33">
        <v>2</v>
      </c>
      <c r="E179" s="33">
        <v>11</v>
      </c>
      <c r="F179" s="33">
        <v>13</v>
      </c>
      <c r="G179" s="33">
        <v>3</v>
      </c>
      <c r="H179" s="162"/>
      <c r="L179" s="23">
        <v>1</v>
      </c>
    </row>
    <row r="180" spans="2:12" ht="18">
      <c r="B180" s="33">
        <v>13</v>
      </c>
      <c r="C180" s="33">
        <v>70</v>
      </c>
      <c r="D180" s="33">
        <v>4</v>
      </c>
      <c r="E180" s="33">
        <v>8</v>
      </c>
      <c r="F180" s="33">
        <v>12</v>
      </c>
      <c r="G180" s="33">
        <v>4</v>
      </c>
      <c r="H180" s="162"/>
      <c r="L180" s="23">
        <v>1</v>
      </c>
    </row>
    <row r="181" spans="2:12" ht="18">
      <c r="B181" s="33">
        <v>13</v>
      </c>
      <c r="C181" s="33">
        <v>70</v>
      </c>
      <c r="D181" s="33">
        <v>3</v>
      </c>
      <c r="E181" s="33">
        <v>10</v>
      </c>
      <c r="F181" s="33">
        <v>11</v>
      </c>
      <c r="G181" s="33">
        <v>0</v>
      </c>
      <c r="H181" s="162"/>
      <c r="L181" s="23">
        <v>1</v>
      </c>
    </row>
    <row r="182" spans="2:12" ht="18">
      <c r="B182" s="33">
        <v>13</v>
      </c>
      <c r="C182" s="33">
        <v>70</v>
      </c>
      <c r="D182" s="33">
        <v>5</v>
      </c>
      <c r="E182" s="33">
        <v>11</v>
      </c>
      <c r="F182" s="33">
        <v>10</v>
      </c>
      <c r="G182" s="33">
        <v>4</v>
      </c>
      <c r="H182" s="162"/>
      <c r="L182" s="23">
        <v>1</v>
      </c>
    </row>
    <row r="183" spans="2:12" ht="18">
      <c r="B183" s="33">
        <v>13</v>
      </c>
      <c r="C183" s="33">
        <v>70</v>
      </c>
      <c r="D183" s="33">
        <v>6</v>
      </c>
      <c r="E183" s="33">
        <v>10</v>
      </c>
      <c r="F183" s="33">
        <v>11</v>
      </c>
      <c r="G183" s="33">
        <v>2</v>
      </c>
      <c r="H183" s="162"/>
      <c r="L183" s="23">
        <v>1</v>
      </c>
    </row>
    <row r="184" spans="2:12" ht="18">
      <c r="B184" s="33">
        <v>13</v>
      </c>
      <c r="C184" s="33">
        <v>70</v>
      </c>
      <c r="D184" s="33">
        <v>7</v>
      </c>
      <c r="E184" s="33">
        <v>9</v>
      </c>
      <c r="F184" s="33">
        <v>7</v>
      </c>
      <c r="G184" s="33">
        <v>1</v>
      </c>
      <c r="H184" s="162"/>
      <c r="L184" s="23">
        <v>1</v>
      </c>
    </row>
    <row r="185" spans="2:12" ht="18">
      <c r="B185" s="33">
        <v>13</v>
      </c>
      <c r="C185" s="33">
        <v>105</v>
      </c>
      <c r="D185" s="33">
        <v>6</v>
      </c>
      <c r="E185" s="33">
        <v>7</v>
      </c>
      <c r="F185" s="33">
        <v>1</v>
      </c>
      <c r="G185" s="33">
        <v>0</v>
      </c>
      <c r="H185" s="162"/>
      <c r="L185" s="23">
        <v>1</v>
      </c>
    </row>
    <row r="186" spans="2:12" ht="18">
      <c r="B186" s="33">
        <v>13</v>
      </c>
      <c r="C186" s="33">
        <v>105</v>
      </c>
      <c r="D186" s="33">
        <v>3</v>
      </c>
      <c r="E186" s="33">
        <v>8</v>
      </c>
      <c r="F186" s="33">
        <v>1</v>
      </c>
      <c r="G186" s="33">
        <v>0</v>
      </c>
      <c r="H186" s="162"/>
      <c r="L186" s="23">
        <v>1</v>
      </c>
    </row>
    <row r="187" spans="2:12" ht="18">
      <c r="B187" s="33">
        <v>13</v>
      </c>
      <c r="C187" s="33">
        <v>105</v>
      </c>
      <c r="D187" s="33">
        <v>4</v>
      </c>
      <c r="E187" s="33">
        <v>7</v>
      </c>
      <c r="F187" s="33">
        <v>1</v>
      </c>
      <c r="G187" s="33">
        <v>0</v>
      </c>
      <c r="H187" s="162"/>
      <c r="L187" s="23">
        <v>1</v>
      </c>
    </row>
    <row r="188" spans="2:12" ht="18">
      <c r="B188" s="33">
        <v>13</v>
      </c>
      <c r="C188" s="33">
        <v>62</v>
      </c>
      <c r="D188" s="33">
        <v>6</v>
      </c>
      <c r="E188" s="33">
        <v>5</v>
      </c>
      <c r="F188" s="33">
        <v>13</v>
      </c>
      <c r="G188" s="33">
        <v>0</v>
      </c>
      <c r="H188" s="162"/>
      <c r="L188" s="23">
        <v>1</v>
      </c>
    </row>
    <row r="189" spans="2:12" ht="18">
      <c r="B189" s="33">
        <v>13</v>
      </c>
      <c r="C189" s="33">
        <v>65</v>
      </c>
      <c r="D189" s="33">
        <v>5</v>
      </c>
      <c r="E189" s="33">
        <v>7</v>
      </c>
      <c r="F189" s="33">
        <v>10</v>
      </c>
      <c r="G189" s="33">
        <v>0</v>
      </c>
      <c r="H189" s="162"/>
      <c r="L189" s="23">
        <v>1</v>
      </c>
    </row>
    <row r="190" spans="2:12" ht="18">
      <c r="B190" s="33">
        <v>13</v>
      </c>
      <c r="C190" s="33">
        <v>65</v>
      </c>
      <c r="D190" s="33">
        <v>3</v>
      </c>
      <c r="E190" s="33">
        <v>9</v>
      </c>
      <c r="F190" s="33">
        <v>13</v>
      </c>
      <c r="G190" s="33">
        <v>0</v>
      </c>
      <c r="H190" s="162"/>
      <c r="L190" s="23">
        <v>1</v>
      </c>
    </row>
    <row r="191" spans="2:12" ht="18">
      <c r="B191" s="33">
        <v>13</v>
      </c>
      <c r="C191" s="33">
        <v>65</v>
      </c>
      <c r="D191" s="33">
        <v>4</v>
      </c>
      <c r="E191" s="33">
        <v>4</v>
      </c>
      <c r="F191" s="33">
        <v>10</v>
      </c>
      <c r="G191" s="33">
        <v>0</v>
      </c>
      <c r="H191" s="162"/>
      <c r="L191" s="23">
        <v>1</v>
      </c>
    </row>
    <row r="192" spans="2:12" ht="18">
      <c r="B192" s="33">
        <v>13</v>
      </c>
      <c r="C192" s="33">
        <v>121</v>
      </c>
      <c r="D192" s="33">
        <v>8</v>
      </c>
      <c r="E192" s="33">
        <v>33</v>
      </c>
      <c r="F192" s="33">
        <v>17</v>
      </c>
      <c r="G192" s="33">
        <v>0</v>
      </c>
      <c r="H192" s="162"/>
      <c r="L192" s="23">
        <v>1</v>
      </c>
    </row>
    <row r="193" spans="2:12" ht="18">
      <c r="B193" s="33">
        <v>13</v>
      </c>
      <c r="C193" s="33">
        <v>102</v>
      </c>
      <c r="D193" s="33">
        <v>7</v>
      </c>
      <c r="E193" s="33">
        <v>5</v>
      </c>
      <c r="F193" s="33">
        <v>9</v>
      </c>
      <c r="G193" s="33">
        <v>0</v>
      </c>
      <c r="H193" s="162"/>
      <c r="L193" s="23">
        <v>1</v>
      </c>
    </row>
    <row r="194" spans="2:12" ht="18">
      <c r="B194" s="33">
        <v>13</v>
      </c>
      <c r="C194" s="33">
        <v>102</v>
      </c>
      <c r="D194" s="33">
        <v>6</v>
      </c>
      <c r="E194" s="33">
        <v>8</v>
      </c>
      <c r="F194" s="33">
        <v>8</v>
      </c>
      <c r="G194" s="33">
        <v>1</v>
      </c>
      <c r="H194" s="162"/>
      <c r="L194" s="23">
        <v>1</v>
      </c>
    </row>
    <row r="195" spans="2:12" ht="18">
      <c r="B195" s="33">
        <v>13</v>
      </c>
      <c r="C195" s="33">
        <v>102</v>
      </c>
      <c r="D195" s="33">
        <v>6</v>
      </c>
      <c r="E195" s="33">
        <v>8</v>
      </c>
      <c r="F195" s="33">
        <v>8</v>
      </c>
      <c r="G195" s="33">
        <v>1</v>
      </c>
      <c r="H195" s="162"/>
      <c r="L195" s="23">
        <v>1</v>
      </c>
    </row>
    <row r="196" spans="2:12" ht="18">
      <c r="B196" s="33">
        <v>13</v>
      </c>
      <c r="C196" s="33">
        <v>102</v>
      </c>
      <c r="D196" s="33">
        <v>5</v>
      </c>
      <c r="E196" s="33">
        <v>4</v>
      </c>
      <c r="F196" s="33">
        <v>11</v>
      </c>
      <c r="G196" s="33">
        <v>0</v>
      </c>
      <c r="H196" s="162"/>
      <c r="L196" s="23">
        <v>1</v>
      </c>
    </row>
    <row r="197" spans="2:12" ht="18">
      <c r="B197" s="33">
        <v>13</v>
      </c>
      <c r="C197" s="33">
        <v>77</v>
      </c>
      <c r="D197" s="33">
        <v>7</v>
      </c>
      <c r="E197" s="33">
        <v>14</v>
      </c>
      <c r="F197" s="33">
        <v>10</v>
      </c>
      <c r="G197" s="33">
        <v>0</v>
      </c>
      <c r="H197" s="162"/>
      <c r="L197" s="23">
        <v>1</v>
      </c>
    </row>
    <row r="198" spans="2:12" ht="18">
      <c r="B198" s="33">
        <v>13</v>
      </c>
      <c r="C198" s="33">
        <v>75</v>
      </c>
      <c r="D198" s="33">
        <v>3</v>
      </c>
      <c r="E198" s="33">
        <v>2</v>
      </c>
      <c r="F198" s="33">
        <v>23</v>
      </c>
      <c r="G198" s="33">
        <v>0</v>
      </c>
      <c r="H198" s="162"/>
      <c r="L198" s="23">
        <v>1</v>
      </c>
    </row>
    <row r="199" spans="2:12" ht="18">
      <c r="B199" s="33">
        <v>13</v>
      </c>
      <c r="C199" s="33">
        <v>87</v>
      </c>
      <c r="D199" s="33">
        <v>6</v>
      </c>
      <c r="E199" s="33">
        <v>18</v>
      </c>
      <c r="F199" s="33">
        <v>2</v>
      </c>
      <c r="G199" s="33">
        <v>5</v>
      </c>
      <c r="H199" s="162"/>
      <c r="L199" s="23">
        <v>1</v>
      </c>
    </row>
    <row r="200" spans="2:12" ht="18">
      <c r="B200" s="33">
        <v>13</v>
      </c>
      <c r="C200" s="33">
        <v>87</v>
      </c>
      <c r="D200" s="33">
        <v>7</v>
      </c>
      <c r="E200" s="33">
        <v>19</v>
      </c>
      <c r="F200" s="33">
        <v>3</v>
      </c>
      <c r="G200" s="33">
        <v>3</v>
      </c>
      <c r="H200" s="162"/>
      <c r="L200" s="23">
        <v>1</v>
      </c>
    </row>
    <row r="201" spans="2:12" ht="18">
      <c r="B201" s="33">
        <v>13</v>
      </c>
      <c r="C201" s="33">
        <v>61</v>
      </c>
      <c r="D201" s="33">
        <v>7</v>
      </c>
      <c r="E201" s="33">
        <v>3</v>
      </c>
      <c r="F201" s="33">
        <v>17</v>
      </c>
      <c r="G201" s="33">
        <v>2</v>
      </c>
      <c r="H201" s="162"/>
      <c r="L201" s="23">
        <v>1</v>
      </c>
    </row>
    <row r="202" spans="2:12" ht="18">
      <c r="B202" s="33">
        <v>13</v>
      </c>
      <c r="C202" s="33">
        <v>63</v>
      </c>
      <c r="D202" s="33">
        <v>7</v>
      </c>
      <c r="E202" s="33">
        <v>3</v>
      </c>
      <c r="F202" s="33">
        <v>12</v>
      </c>
      <c r="G202" s="33">
        <v>1</v>
      </c>
      <c r="H202" s="162"/>
      <c r="L202" s="23">
        <v>1</v>
      </c>
    </row>
    <row r="203" spans="2:12" ht="18">
      <c r="B203" s="33">
        <v>13</v>
      </c>
      <c r="C203" s="33">
        <v>64</v>
      </c>
      <c r="D203" s="33">
        <v>6</v>
      </c>
      <c r="E203" s="33">
        <v>15</v>
      </c>
      <c r="F203" s="33">
        <v>8</v>
      </c>
      <c r="G203" s="33">
        <v>0</v>
      </c>
      <c r="H203" s="162"/>
      <c r="L203" s="23">
        <v>1</v>
      </c>
    </row>
    <row r="204" spans="2:12" ht="18">
      <c r="B204" s="33">
        <v>13</v>
      </c>
      <c r="C204" s="33">
        <v>64</v>
      </c>
      <c r="D204" s="33">
        <v>5</v>
      </c>
      <c r="E204" s="33">
        <v>17</v>
      </c>
      <c r="F204" s="33">
        <v>2</v>
      </c>
      <c r="G204" s="33">
        <v>0</v>
      </c>
      <c r="H204" s="162"/>
      <c r="L204" s="23">
        <v>1</v>
      </c>
    </row>
    <row r="205" spans="2:12" ht="18">
      <c r="B205" s="33">
        <v>13</v>
      </c>
      <c r="C205" s="33">
        <v>60</v>
      </c>
      <c r="D205" s="33">
        <v>6</v>
      </c>
      <c r="E205" s="33">
        <v>6</v>
      </c>
      <c r="F205" s="33">
        <v>2</v>
      </c>
      <c r="G205" s="33">
        <v>0</v>
      </c>
      <c r="H205" s="162"/>
      <c r="L205" s="23">
        <v>1</v>
      </c>
    </row>
    <row r="206" spans="2:12" ht="18">
      <c r="B206" s="33">
        <v>13</v>
      </c>
      <c r="C206" s="33">
        <v>66</v>
      </c>
      <c r="D206" s="33">
        <v>6</v>
      </c>
      <c r="E206" s="33">
        <v>10</v>
      </c>
      <c r="F206" s="33">
        <v>15</v>
      </c>
      <c r="G206" s="33">
        <v>0</v>
      </c>
      <c r="H206" s="162"/>
      <c r="L206" s="23">
        <v>1</v>
      </c>
    </row>
    <row r="207" spans="2:12" ht="18">
      <c r="B207" s="33">
        <v>13</v>
      </c>
      <c r="C207" s="33">
        <v>66</v>
      </c>
      <c r="D207" s="33">
        <v>7</v>
      </c>
      <c r="E207" s="33">
        <v>15</v>
      </c>
      <c r="F207" s="33">
        <v>16</v>
      </c>
      <c r="G207" s="33">
        <v>3</v>
      </c>
      <c r="H207" s="162"/>
      <c r="L207" s="23">
        <v>1</v>
      </c>
    </row>
    <row r="208" spans="2:12" ht="18">
      <c r="B208" s="33">
        <v>13</v>
      </c>
      <c r="C208" s="33">
        <v>69</v>
      </c>
      <c r="D208" s="33">
        <v>4</v>
      </c>
      <c r="E208" s="33">
        <v>0</v>
      </c>
      <c r="F208" s="33">
        <v>24</v>
      </c>
      <c r="G208" s="33">
        <v>1</v>
      </c>
      <c r="H208" s="162"/>
      <c r="L208" s="23">
        <v>1</v>
      </c>
    </row>
    <row r="209" spans="2:12" ht="18">
      <c r="B209" s="33">
        <v>13</v>
      </c>
      <c r="C209" s="33">
        <v>69</v>
      </c>
      <c r="D209" s="33">
        <v>3</v>
      </c>
      <c r="E209" s="33">
        <v>1</v>
      </c>
      <c r="F209" s="33">
        <v>24</v>
      </c>
      <c r="G209" s="33">
        <v>0</v>
      </c>
      <c r="H209" s="162"/>
      <c r="L209" s="23">
        <v>1</v>
      </c>
    </row>
    <row r="210" spans="2:12" ht="18">
      <c r="B210" s="33">
        <v>13</v>
      </c>
      <c r="C210" s="33">
        <v>69</v>
      </c>
      <c r="D210" s="33">
        <v>2</v>
      </c>
      <c r="E210" s="33">
        <v>2</v>
      </c>
      <c r="F210" s="33">
        <v>23</v>
      </c>
      <c r="G210" s="33">
        <v>0</v>
      </c>
      <c r="H210" s="162"/>
      <c r="L210" s="23">
        <v>1</v>
      </c>
    </row>
    <row r="211" spans="2:12" ht="18">
      <c r="B211" s="33">
        <v>13</v>
      </c>
      <c r="C211" s="33">
        <v>69</v>
      </c>
      <c r="D211" s="33">
        <v>1</v>
      </c>
      <c r="E211" s="33">
        <v>0</v>
      </c>
      <c r="F211" s="33">
        <v>25</v>
      </c>
      <c r="G211" s="33">
        <v>0</v>
      </c>
      <c r="H211" s="162"/>
      <c r="L211" s="23">
        <v>1</v>
      </c>
    </row>
    <row r="212" spans="2:12" ht="18">
      <c r="B212" s="33">
        <v>13</v>
      </c>
      <c r="C212" s="33">
        <v>90</v>
      </c>
      <c r="D212" s="33">
        <v>4</v>
      </c>
      <c r="E212" s="33">
        <v>24</v>
      </c>
      <c r="F212" s="33">
        <v>1</v>
      </c>
      <c r="G212" s="33">
        <v>0</v>
      </c>
      <c r="H212" s="162"/>
      <c r="L212" s="23">
        <v>1</v>
      </c>
    </row>
    <row r="213" spans="2:12" ht="18">
      <c r="B213" s="33">
        <v>13</v>
      </c>
      <c r="C213" s="33">
        <v>90</v>
      </c>
      <c r="D213" s="33">
        <v>3</v>
      </c>
      <c r="E213" s="33">
        <v>23</v>
      </c>
      <c r="F213" s="33">
        <v>2</v>
      </c>
      <c r="G213" s="33">
        <v>0</v>
      </c>
      <c r="H213" s="162"/>
      <c r="L213" s="23">
        <v>1</v>
      </c>
    </row>
    <row r="214" spans="2:12" ht="18">
      <c r="B214" s="33">
        <v>13</v>
      </c>
      <c r="C214" s="33">
        <v>114</v>
      </c>
      <c r="D214" s="33">
        <v>7</v>
      </c>
      <c r="E214" s="33">
        <v>20</v>
      </c>
      <c r="F214" s="33">
        <v>3</v>
      </c>
      <c r="G214" s="33">
        <v>3</v>
      </c>
      <c r="H214" s="162"/>
      <c r="L214" s="23">
        <v>1</v>
      </c>
    </row>
    <row r="215" spans="2:12" ht="18">
      <c r="B215" s="33">
        <v>13</v>
      </c>
      <c r="C215" s="33">
        <v>86</v>
      </c>
      <c r="D215" s="33">
        <v>7</v>
      </c>
      <c r="E215" s="33">
        <v>20</v>
      </c>
      <c r="F215" s="33">
        <v>0</v>
      </c>
      <c r="G215" s="33">
        <v>5</v>
      </c>
      <c r="H215" s="162"/>
      <c r="L215" s="23">
        <v>1</v>
      </c>
    </row>
    <row r="216" spans="2:12" ht="18">
      <c r="B216" s="33">
        <v>13</v>
      </c>
      <c r="C216" s="33">
        <v>89</v>
      </c>
      <c r="D216" s="33">
        <v>7</v>
      </c>
      <c r="E216" s="33">
        <v>15</v>
      </c>
      <c r="F216" s="33">
        <v>12</v>
      </c>
      <c r="G216" s="33">
        <v>0</v>
      </c>
      <c r="H216" s="162"/>
      <c r="L216" s="23">
        <v>1</v>
      </c>
    </row>
    <row r="217" spans="2:12" ht="18">
      <c r="B217" s="33">
        <v>13</v>
      </c>
      <c r="C217" s="33">
        <v>99</v>
      </c>
      <c r="D217" s="33">
        <v>5</v>
      </c>
      <c r="E217" s="33">
        <v>13</v>
      </c>
      <c r="F217" s="33">
        <v>6</v>
      </c>
      <c r="G217" s="33">
        <v>0</v>
      </c>
      <c r="H217" s="162"/>
      <c r="L217" s="23">
        <v>1</v>
      </c>
    </row>
    <row r="218" spans="2:12" ht="18">
      <c r="B218" s="33">
        <v>13</v>
      </c>
      <c r="C218" s="33">
        <v>119</v>
      </c>
      <c r="D218" s="33">
        <v>8</v>
      </c>
      <c r="E218" s="33">
        <v>13</v>
      </c>
      <c r="F218" s="33">
        <v>11</v>
      </c>
      <c r="G218" s="33">
        <v>1</v>
      </c>
      <c r="H218" s="162"/>
      <c r="L218" s="23">
        <v>1</v>
      </c>
    </row>
    <row r="219" spans="2:12" ht="18">
      <c r="B219" s="33">
        <v>13</v>
      </c>
      <c r="C219" s="33">
        <v>119</v>
      </c>
      <c r="D219" s="33">
        <v>7</v>
      </c>
      <c r="E219" s="33">
        <v>13</v>
      </c>
      <c r="F219" s="33">
        <v>12</v>
      </c>
      <c r="G219" s="33">
        <v>0</v>
      </c>
      <c r="H219" s="162"/>
      <c r="L219" s="23">
        <v>1</v>
      </c>
    </row>
    <row r="220" spans="2:12" ht="18">
      <c r="B220" s="33">
        <v>13</v>
      </c>
      <c r="C220" s="33">
        <v>119</v>
      </c>
      <c r="D220" s="33">
        <v>6</v>
      </c>
      <c r="E220" s="33">
        <v>16</v>
      </c>
      <c r="F220" s="33">
        <v>9</v>
      </c>
      <c r="G220" s="33">
        <v>0</v>
      </c>
      <c r="H220" s="162"/>
      <c r="L220" s="23">
        <v>1</v>
      </c>
    </row>
    <row r="221" spans="2:12" ht="18">
      <c r="B221" s="33">
        <v>13</v>
      </c>
      <c r="C221" s="33">
        <v>119</v>
      </c>
      <c r="D221" s="33">
        <v>5</v>
      </c>
      <c r="E221" s="33">
        <v>15</v>
      </c>
      <c r="F221" s="33">
        <v>10</v>
      </c>
      <c r="G221" s="33">
        <v>0</v>
      </c>
      <c r="H221" s="162"/>
      <c r="L221" s="23">
        <v>1</v>
      </c>
    </row>
    <row r="222" spans="2:12" ht="18">
      <c r="B222" s="33">
        <v>13</v>
      </c>
      <c r="C222" s="33">
        <v>119</v>
      </c>
      <c r="D222" s="33">
        <v>4</v>
      </c>
      <c r="E222" s="33">
        <v>22</v>
      </c>
      <c r="F222" s="33">
        <v>5</v>
      </c>
      <c r="G222" s="33">
        <v>0</v>
      </c>
      <c r="H222" s="162"/>
      <c r="L222" s="23">
        <v>1</v>
      </c>
    </row>
    <row r="223" spans="2:12" ht="18">
      <c r="B223" s="33">
        <v>13</v>
      </c>
      <c r="C223" s="33">
        <v>112</v>
      </c>
      <c r="D223" s="33">
        <v>7</v>
      </c>
      <c r="E223" s="33">
        <v>25</v>
      </c>
      <c r="F223" s="33">
        <v>9</v>
      </c>
      <c r="G223" s="33">
        <v>0</v>
      </c>
      <c r="H223" s="162"/>
      <c r="L223" s="23">
        <v>1</v>
      </c>
    </row>
    <row r="224" spans="2:12" ht="18">
      <c r="B224" s="33">
        <v>13</v>
      </c>
      <c r="C224" s="33">
        <v>114</v>
      </c>
      <c r="D224" s="33">
        <v>6</v>
      </c>
      <c r="E224" s="33">
        <v>15</v>
      </c>
      <c r="F224" s="33">
        <v>8</v>
      </c>
      <c r="G224" s="33">
        <v>6</v>
      </c>
      <c r="H224" s="162"/>
      <c r="L224" s="23">
        <v>1</v>
      </c>
    </row>
    <row r="225" spans="2:12" ht="18">
      <c r="B225" s="33">
        <v>13</v>
      </c>
      <c r="C225" s="33">
        <v>91</v>
      </c>
      <c r="D225" s="33">
        <v>6</v>
      </c>
      <c r="E225" s="33">
        <v>12</v>
      </c>
      <c r="F225" s="33">
        <v>13</v>
      </c>
      <c r="G225" s="33">
        <v>0</v>
      </c>
      <c r="H225" s="162"/>
      <c r="L225" s="23">
        <v>1</v>
      </c>
    </row>
    <row r="226" spans="2:12" ht="18">
      <c r="B226" s="33">
        <v>13</v>
      </c>
      <c r="C226" s="33">
        <v>91</v>
      </c>
      <c r="D226" s="33">
        <v>5</v>
      </c>
      <c r="E226" s="33">
        <v>15</v>
      </c>
      <c r="F226" s="33">
        <v>8</v>
      </c>
      <c r="G226" s="33">
        <v>2</v>
      </c>
      <c r="H226" s="162"/>
      <c r="L226" s="23">
        <v>1</v>
      </c>
    </row>
    <row r="227" spans="2:12" ht="18">
      <c r="B227" s="33">
        <v>13</v>
      </c>
      <c r="C227" s="33">
        <v>76</v>
      </c>
      <c r="D227" s="33">
        <v>7</v>
      </c>
      <c r="E227" s="33">
        <v>11</v>
      </c>
      <c r="F227" s="33">
        <v>8</v>
      </c>
      <c r="G227" s="33">
        <v>1</v>
      </c>
      <c r="H227" s="162"/>
      <c r="L227" s="23">
        <v>1</v>
      </c>
    </row>
    <row r="228" spans="2:12" ht="18">
      <c r="B228" s="33">
        <v>13</v>
      </c>
      <c r="C228" s="33">
        <v>76</v>
      </c>
      <c r="D228" s="33">
        <v>8</v>
      </c>
      <c r="E228" s="33">
        <v>15</v>
      </c>
      <c r="F228" s="33">
        <v>6</v>
      </c>
      <c r="G228" s="33">
        <v>2</v>
      </c>
      <c r="H228" s="162"/>
      <c r="L228" s="23">
        <v>1</v>
      </c>
    </row>
    <row r="229" spans="2:12" ht="18">
      <c r="B229" s="33">
        <v>13</v>
      </c>
      <c r="C229" s="33">
        <v>99</v>
      </c>
      <c r="D229" s="33">
        <v>5</v>
      </c>
      <c r="E229" s="33">
        <v>8</v>
      </c>
      <c r="F229" s="33">
        <v>6</v>
      </c>
      <c r="G229" s="33">
        <v>0</v>
      </c>
      <c r="H229" s="162"/>
      <c r="L229" s="23">
        <v>1</v>
      </c>
    </row>
    <row r="230" spans="2:12" ht="18">
      <c r="B230" s="33">
        <v>13</v>
      </c>
      <c r="C230" s="33">
        <v>98</v>
      </c>
      <c r="D230" s="33">
        <v>8</v>
      </c>
      <c r="E230" s="33">
        <v>7</v>
      </c>
      <c r="F230" s="33">
        <v>3</v>
      </c>
      <c r="G230" s="33">
        <v>0</v>
      </c>
      <c r="H230" s="162"/>
      <c r="L230" s="23">
        <v>1</v>
      </c>
    </row>
    <row r="231" spans="2:12" ht="18">
      <c r="B231" s="33">
        <v>13</v>
      </c>
      <c r="C231" s="33">
        <v>98</v>
      </c>
      <c r="D231" s="33">
        <v>6</v>
      </c>
      <c r="E231" s="33">
        <v>0</v>
      </c>
      <c r="F231" s="33">
        <v>5</v>
      </c>
      <c r="G231" s="33">
        <v>0</v>
      </c>
      <c r="H231" s="162"/>
      <c r="L231" s="23">
        <v>1</v>
      </c>
    </row>
    <row r="232" spans="2:12" ht="18">
      <c r="B232" s="33">
        <v>13</v>
      </c>
      <c r="C232" s="33">
        <v>98</v>
      </c>
      <c r="D232" s="33">
        <v>7</v>
      </c>
      <c r="E232" s="33">
        <v>0</v>
      </c>
      <c r="F232" s="33">
        <v>1</v>
      </c>
      <c r="G232" s="33">
        <v>0</v>
      </c>
      <c r="H232" s="162"/>
      <c r="L232" s="23">
        <v>1</v>
      </c>
    </row>
    <row r="233" spans="2:12" ht="18">
      <c r="B233" s="33">
        <v>13</v>
      </c>
      <c r="C233" s="33">
        <v>106</v>
      </c>
      <c r="D233" s="33">
        <v>3</v>
      </c>
      <c r="E233" s="33">
        <v>17</v>
      </c>
      <c r="F233" s="33">
        <v>1</v>
      </c>
      <c r="G233" s="33">
        <v>1</v>
      </c>
      <c r="H233" s="162"/>
      <c r="L233" s="23">
        <v>1</v>
      </c>
    </row>
    <row r="234" spans="2:12" ht="18">
      <c r="B234" s="33">
        <v>13</v>
      </c>
      <c r="C234" s="33">
        <v>106</v>
      </c>
      <c r="D234" s="33">
        <v>4</v>
      </c>
      <c r="E234" s="33">
        <v>19</v>
      </c>
      <c r="F234" s="33">
        <v>1</v>
      </c>
      <c r="G234" s="33">
        <v>0</v>
      </c>
      <c r="H234" s="162"/>
      <c r="L234" s="23">
        <v>1</v>
      </c>
    </row>
    <row r="235" spans="2:12" ht="18">
      <c r="B235" s="33">
        <v>13</v>
      </c>
      <c r="C235" s="33">
        <v>106</v>
      </c>
      <c r="D235" s="33">
        <v>5</v>
      </c>
      <c r="E235" s="33">
        <v>25</v>
      </c>
      <c r="F235" s="33">
        <v>0</v>
      </c>
      <c r="G235" s="33">
        <v>0</v>
      </c>
      <c r="H235" s="162"/>
      <c r="L235" s="23">
        <v>1</v>
      </c>
    </row>
    <row r="236" spans="2:12" ht="18">
      <c r="B236" s="33">
        <v>13</v>
      </c>
      <c r="C236" s="33">
        <v>106</v>
      </c>
      <c r="D236" s="33">
        <v>6</v>
      </c>
      <c r="E236" s="33">
        <v>15</v>
      </c>
      <c r="F236" s="33">
        <v>3</v>
      </c>
      <c r="G236" s="33">
        <v>2</v>
      </c>
      <c r="H236" s="162"/>
      <c r="L236" s="23">
        <v>1</v>
      </c>
    </row>
    <row r="237" spans="2:12" ht="18">
      <c r="B237" s="33">
        <v>13</v>
      </c>
      <c r="C237" s="33">
        <v>106</v>
      </c>
      <c r="D237" s="33">
        <v>7</v>
      </c>
      <c r="E237" s="33">
        <v>12</v>
      </c>
      <c r="F237" s="33">
        <v>0</v>
      </c>
      <c r="G237" s="33">
        <v>0</v>
      </c>
      <c r="H237" s="162"/>
      <c r="L237" s="23">
        <v>1</v>
      </c>
    </row>
    <row r="238" spans="2:12" ht="18">
      <c r="B238" s="33">
        <v>13</v>
      </c>
      <c r="C238" s="33">
        <v>106</v>
      </c>
      <c r="D238" s="33">
        <v>8</v>
      </c>
      <c r="E238" s="33">
        <v>8</v>
      </c>
      <c r="F238" s="33">
        <v>3</v>
      </c>
      <c r="G238" s="33">
        <v>0</v>
      </c>
      <c r="H238" s="162"/>
      <c r="L238" s="23">
        <v>1</v>
      </c>
    </row>
    <row r="239" spans="2:12" ht="18">
      <c r="B239" s="33">
        <v>13</v>
      </c>
      <c r="C239" s="33">
        <v>73</v>
      </c>
      <c r="D239" s="33">
        <v>8</v>
      </c>
      <c r="E239" s="33">
        <v>1</v>
      </c>
      <c r="F239" s="33">
        <v>6</v>
      </c>
      <c r="G239" s="33">
        <v>0</v>
      </c>
      <c r="H239" s="162"/>
      <c r="L239" s="23">
        <v>1</v>
      </c>
    </row>
    <row r="240" spans="2:12" ht="18">
      <c r="B240" s="33">
        <v>13</v>
      </c>
      <c r="C240" s="33">
        <v>73</v>
      </c>
      <c r="D240" s="33">
        <v>7</v>
      </c>
      <c r="E240" s="33">
        <v>0</v>
      </c>
      <c r="F240" s="33">
        <v>5</v>
      </c>
      <c r="G240" s="33">
        <v>0</v>
      </c>
      <c r="H240" s="162"/>
      <c r="L240" s="23">
        <v>1</v>
      </c>
    </row>
    <row r="241" spans="2:12" ht="18">
      <c r="B241" s="33">
        <v>13</v>
      </c>
      <c r="C241" s="33">
        <v>73</v>
      </c>
      <c r="D241" s="33">
        <v>6</v>
      </c>
      <c r="E241" s="33">
        <v>0</v>
      </c>
      <c r="F241" s="33">
        <v>3</v>
      </c>
      <c r="G241" s="33">
        <v>0</v>
      </c>
      <c r="H241" s="162"/>
      <c r="L241" s="23">
        <v>1</v>
      </c>
    </row>
    <row r="242" spans="2:12" ht="18">
      <c r="B242" s="33">
        <v>13</v>
      </c>
      <c r="C242" s="33">
        <v>115</v>
      </c>
      <c r="D242" s="33">
        <v>7</v>
      </c>
      <c r="E242" s="33">
        <v>0</v>
      </c>
      <c r="F242" s="33">
        <v>15</v>
      </c>
      <c r="G242" s="33">
        <v>0</v>
      </c>
      <c r="H242" s="162"/>
      <c r="L242" s="23">
        <v>1</v>
      </c>
    </row>
    <row r="243" spans="2:12" ht="18">
      <c r="B243" s="33">
        <v>13</v>
      </c>
      <c r="C243" s="33">
        <v>115</v>
      </c>
      <c r="D243" s="33">
        <v>6</v>
      </c>
      <c r="E243" s="33">
        <v>0</v>
      </c>
      <c r="F243" s="33">
        <v>17</v>
      </c>
      <c r="G243" s="33">
        <v>0</v>
      </c>
      <c r="H243" s="162"/>
      <c r="L243" s="23">
        <v>1</v>
      </c>
    </row>
    <row r="244" spans="2:12" ht="18">
      <c r="B244" s="33">
        <v>13</v>
      </c>
      <c r="C244" s="33">
        <v>115</v>
      </c>
      <c r="D244" s="33">
        <v>5</v>
      </c>
      <c r="E244" s="33">
        <v>0</v>
      </c>
      <c r="F244" s="33">
        <v>22</v>
      </c>
      <c r="G244" s="33">
        <v>0</v>
      </c>
      <c r="H244" s="162"/>
      <c r="L244" s="23">
        <v>1</v>
      </c>
    </row>
    <row r="245" spans="2:12" ht="18">
      <c r="B245" s="33">
        <v>13</v>
      </c>
      <c r="C245" s="33">
        <v>120</v>
      </c>
      <c r="D245" s="33">
        <v>8</v>
      </c>
      <c r="E245" s="33">
        <v>20</v>
      </c>
      <c r="F245" s="33">
        <v>5</v>
      </c>
      <c r="G245" s="33">
        <v>0</v>
      </c>
      <c r="H245" s="162"/>
      <c r="L245" s="23">
        <v>1</v>
      </c>
    </row>
    <row r="246" spans="2:12" ht="18">
      <c r="B246" s="33">
        <v>13</v>
      </c>
      <c r="C246" s="33">
        <v>88</v>
      </c>
      <c r="D246" s="33">
        <v>7</v>
      </c>
      <c r="E246" s="33">
        <v>15</v>
      </c>
      <c r="F246" s="33">
        <v>3</v>
      </c>
      <c r="G246" s="33">
        <v>7</v>
      </c>
      <c r="H246" s="162"/>
      <c r="L246" s="23">
        <v>1</v>
      </c>
    </row>
    <row r="247" spans="2:12" ht="18">
      <c r="B247" s="33">
        <v>13</v>
      </c>
      <c r="C247" s="33">
        <v>88</v>
      </c>
      <c r="D247" s="33">
        <v>8</v>
      </c>
      <c r="E247" s="33">
        <v>18</v>
      </c>
      <c r="F247" s="33">
        <v>2</v>
      </c>
      <c r="G247" s="33">
        <v>5</v>
      </c>
      <c r="H247" s="162"/>
      <c r="L247" s="23">
        <v>1</v>
      </c>
    </row>
    <row r="248" spans="2:12" ht="18">
      <c r="B248" s="33">
        <v>13</v>
      </c>
      <c r="C248" s="33">
        <v>117</v>
      </c>
      <c r="D248" s="33">
        <v>8</v>
      </c>
      <c r="E248" s="33">
        <v>4</v>
      </c>
      <c r="F248" s="33">
        <v>21</v>
      </c>
      <c r="G248" s="33">
        <v>0</v>
      </c>
      <c r="H248" s="162"/>
      <c r="L248" s="23">
        <v>1</v>
      </c>
    </row>
    <row r="249" spans="2:12" ht="18">
      <c r="B249" s="33">
        <v>13</v>
      </c>
      <c r="C249" s="33">
        <v>67</v>
      </c>
      <c r="D249" s="33">
        <v>8</v>
      </c>
      <c r="E249" s="33">
        <v>0</v>
      </c>
      <c r="F249" s="33">
        <v>10</v>
      </c>
      <c r="G249" s="33">
        <v>0</v>
      </c>
      <c r="H249" s="162"/>
      <c r="L249" s="23">
        <v>1</v>
      </c>
    </row>
    <row r="250" spans="2:12" ht="18">
      <c r="B250" s="33">
        <v>13</v>
      </c>
      <c r="C250" s="33">
        <v>62</v>
      </c>
      <c r="D250" s="33">
        <v>7</v>
      </c>
      <c r="E250" s="33">
        <v>14</v>
      </c>
      <c r="F250" s="33">
        <v>17</v>
      </c>
      <c r="G250" s="33">
        <v>0</v>
      </c>
      <c r="H250" s="162"/>
      <c r="L250" s="23">
        <v>1</v>
      </c>
    </row>
    <row r="251" spans="2:12" ht="18">
      <c r="B251" s="33">
        <v>13</v>
      </c>
      <c r="C251" s="33">
        <v>62</v>
      </c>
      <c r="D251" s="33">
        <v>9</v>
      </c>
      <c r="E251" s="33">
        <v>2</v>
      </c>
      <c r="F251" s="33">
        <v>8</v>
      </c>
      <c r="G251" s="33">
        <v>1</v>
      </c>
      <c r="H251" s="162"/>
      <c r="L251" s="23">
        <v>1</v>
      </c>
    </row>
    <row r="252" spans="2:12" ht="18">
      <c r="B252" s="33">
        <v>13</v>
      </c>
      <c r="C252" s="33">
        <v>62</v>
      </c>
      <c r="D252" s="33">
        <v>8</v>
      </c>
      <c r="E252" s="33">
        <v>3</v>
      </c>
      <c r="F252" s="33">
        <v>14</v>
      </c>
      <c r="G252" s="33">
        <v>0</v>
      </c>
      <c r="H252" s="162"/>
      <c r="L252" s="23">
        <v>1</v>
      </c>
    </row>
    <row r="253" spans="2:12" ht="18">
      <c r="B253" s="33">
        <v>13</v>
      </c>
      <c r="C253" s="33">
        <v>126</v>
      </c>
      <c r="D253" s="33">
        <v>8</v>
      </c>
      <c r="E253" s="33">
        <v>3</v>
      </c>
      <c r="F253" s="33">
        <v>9</v>
      </c>
      <c r="G253" s="33">
        <v>0</v>
      </c>
      <c r="H253" s="162"/>
      <c r="L253" s="23">
        <v>1</v>
      </c>
    </row>
    <row r="254" spans="2:12" ht="18">
      <c r="B254" s="33">
        <v>13</v>
      </c>
      <c r="C254" s="33">
        <v>126</v>
      </c>
      <c r="D254" s="33">
        <v>7</v>
      </c>
      <c r="E254" s="33">
        <v>3</v>
      </c>
      <c r="F254" s="33">
        <v>5</v>
      </c>
      <c r="G254" s="33">
        <v>0</v>
      </c>
      <c r="H254" s="162"/>
      <c r="L254" s="23">
        <v>1</v>
      </c>
    </row>
    <row r="255" spans="2:12" ht="18">
      <c r="B255" s="33">
        <v>13</v>
      </c>
      <c r="C255" s="33">
        <v>126</v>
      </c>
      <c r="D255" s="33">
        <v>6</v>
      </c>
      <c r="E255" s="33">
        <v>1</v>
      </c>
      <c r="F255" s="33">
        <v>7</v>
      </c>
      <c r="G255" s="33">
        <v>0</v>
      </c>
      <c r="H255" s="162"/>
      <c r="L255" s="23">
        <v>1</v>
      </c>
    </row>
    <row r="256" spans="2:12" ht="18">
      <c r="B256" s="33">
        <v>13</v>
      </c>
      <c r="C256" s="33">
        <v>75</v>
      </c>
      <c r="D256" s="33">
        <v>4</v>
      </c>
      <c r="E256" s="33">
        <v>4</v>
      </c>
      <c r="F256" s="33">
        <v>21</v>
      </c>
      <c r="G256" s="33">
        <v>0</v>
      </c>
      <c r="H256" s="162"/>
      <c r="L256" s="23">
        <v>1</v>
      </c>
    </row>
    <row r="257" spans="2:12" ht="18">
      <c r="B257" s="33">
        <v>13</v>
      </c>
      <c r="C257" s="33">
        <v>106</v>
      </c>
      <c r="D257" s="33">
        <v>9</v>
      </c>
      <c r="E257" s="33">
        <v>10</v>
      </c>
      <c r="F257" s="33">
        <v>0</v>
      </c>
      <c r="G257" s="33">
        <v>1</v>
      </c>
      <c r="H257" s="162"/>
      <c r="L257" s="23">
        <v>1</v>
      </c>
    </row>
    <row r="258" spans="2:12" ht="18">
      <c r="B258" s="33">
        <v>13</v>
      </c>
      <c r="C258" s="33">
        <v>112</v>
      </c>
      <c r="D258" s="33">
        <v>8</v>
      </c>
      <c r="E258" s="33">
        <v>22</v>
      </c>
      <c r="F258" s="33">
        <v>5</v>
      </c>
      <c r="G258" s="33">
        <v>0</v>
      </c>
      <c r="H258" s="162"/>
      <c r="L258" s="23">
        <v>1</v>
      </c>
    </row>
    <row r="259" spans="2:12" ht="18">
      <c r="B259" s="33">
        <v>13</v>
      </c>
      <c r="C259" s="33">
        <v>77</v>
      </c>
      <c r="D259" s="33">
        <v>8</v>
      </c>
      <c r="E259" s="33">
        <v>9</v>
      </c>
      <c r="F259" s="33">
        <v>5</v>
      </c>
      <c r="G259" s="33">
        <v>7</v>
      </c>
      <c r="H259" s="162"/>
      <c r="L259" s="23">
        <v>1</v>
      </c>
    </row>
    <row r="260" spans="2:12" ht="18">
      <c r="B260" s="33">
        <v>13</v>
      </c>
      <c r="C260" s="33">
        <v>117</v>
      </c>
      <c r="D260" s="33">
        <v>9</v>
      </c>
      <c r="E260" s="33">
        <v>2</v>
      </c>
      <c r="F260" s="33">
        <v>23</v>
      </c>
      <c r="G260" s="33">
        <v>0</v>
      </c>
      <c r="H260" s="162"/>
      <c r="L260" s="23">
        <v>1</v>
      </c>
    </row>
    <row r="261" spans="2:12" ht="18">
      <c r="B261" s="33">
        <v>13</v>
      </c>
      <c r="C261" s="33">
        <v>100</v>
      </c>
      <c r="D261" s="33">
        <v>9</v>
      </c>
      <c r="E261" s="33">
        <v>10</v>
      </c>
      <c r="F261" s="33">
        <v>4</v>
      </c>
      <c r="G261" s="33">
        <v>0</v>
      </c>
      <c r="H261" s="162"/>
      <c r="L261" s="23">
        <v>1</v>
      </c>
    </row>
    <row r="262" spans="2:12" ht="18">
      <c r="B262" s="33">
        <v>13</v>
      </c>
      <c r="C262" s="33">
        <v>100</v>
      </c>
      <c r="D262" s="33">
        <v>8</v>
      </c>
      <c r="E262" s="33">
        <v>6</v>
      </c>
      <c r="F262" s="33">
        <v>1</v>
      </c>
      <c r="G262" s="33">
        <v>0</v>
      </c>
      <c r="H262" s="162"/>
      <c r="L262" s="23">
        <v>1</v>
      </c>
    </row>
    <row r="263" spans="2:12" ht="18">
      <c r="B263" s="33">
        <v>13</v>
      </c>
      <c r="C263" s="33">
        <v>96</v>
      </c>
      <c r="D263" s="33">
        <v>9</v>
      </c>
      <c r="E263" s="33">
        <v>2</v>
      </c>
      <c r="F263" s="33">
        <v>5</v>
      </c>
      <c r="G263" s="33">
        <v>4</v>
      </c>
      <c r="H263" s="162"/>
      <c r="L263" s="23">
        <v>1</v>
      </c>
    </row>
    <row r="264" spans="2:12" ht="18">
      <c r="B264" s="33">
        <v>13</v>
      </c>
      <c r="C264" s="33">
        <v>96</v>
      </c>
      <c r="D264" s="33">
        <v>8</v>
      </c>
      <c r="E264" s="33">
        <v>4</v>
      </c>
      <c r="F264" s="33">
        <v>6</v>
      </c>
      <c r="G264" s="33">
        <v>0</v>
      </c>
      <c r="H264" s="162"/>
      <c r="L264" s="23">
        <v>1</v>
      </c>
    </row>
    <row r="265" spans="2:12" ht="18">
      <c r="B265" s="33">
        <v>13</v>
      </c>
      <c r="C265" s="33">
        <v>116</v>
      </c>
      <c r="D265" s="33">
        <v>9</v>
      </c>
      <c r="E265" s="33">
        <v>20</v>
      </c>
      <c r="F265" s="33">
        <v>5</v>
      </c>
      <c r="G265" s="33">
        <v>0</v>
      </c>
      <c r="H265" s="162"/>
      <c r="L265" s="23">
        <v>1</v>
      </c>
    </row>
    <row r="266" spans="2:12" ht="18">
      <c r="B266" s="33">
        <v>13</v>
      </c>
      <c r="C266" s="33">
        <v>89</v>
      </c>
      <c r="D266" s="33">
        <v>8</v>
      </c>
      <c r="E266" s="33">
        <v>14</v>
      </c>
      <c r="F266" s="33">
        <v>7</v>
      </c>
      <c r="G266" s="33">
        <v>0</v>
      </c>
      <c r="H266" s="162"/>
      <c r="L266" s="23">
        <v>1</v>
      </c>
    </row>
    <row r="267" spans="2:12" ht="18">
      <c r="B267" s="33">
        <v>13</v>
      </c>
      <c r="C267" s="33">
        <v>86</v>
      </c>
      <c r="D267" s="33">
        <v>8</v>
      </c>
      <c r="E267" s="33">
        <v>19</v>
      </c>
      <c r="F267" s="33">
        <v>3</v>
      </c>
      <c r="G267" s="33">
        <v>3</v>
      </c>
      <c r="H267" s="162"/>
      <c r="L267" s="23">
        <v>1</v>
      </c>
    </row>
    <row r="268" spans="2:12" ht="18">
      <c r="B268" s="33">
        <v>13</v>
      </c>
      <c r="C268" s="33">
        <v>114</v>
      </c>
      <c r="D268" s="33">
        <v>8</v>
      </c>
      <c r="E268" s="33">
        <v>25</v>
      </c>
      <c r="F268" s="33">
        <v>8</v>
      </c>
      <c r="G268" s="33">
        <v>5</v>
      </c>
      <c r="H268" s="162"/>
      <c r="L268" s="23">
        <v>1</v>
      </c>
    </row>
    <row r="269" spans="2:12" ht="18">
      <c r="B269" s="33">
        <v>13</v>
      </c>
      <c r="C269" s="33">
        <v>116</v>
      </c>
      <c r="D269" s="33">
        <v>8</v>
      </c>
      <c r="E269" s="33">
        <v>19</v>
      </c>
      <c r="F269" s="33">
        <v>6</v>
      </c>
      <c r="G269" s="33">
        <v>0</v>
      </c>
      <c r="H269" s="162"/>
      <c r="L269" s="23">
        <v>1</v>
      </c>
    </row>
    <row r="270" spans="2:12" ht="18">
      <c r="B270" s="33">
        <v>13</v>
      </c>
      <c r="C270" s="33">
        <v>109</v>
      </c>
      <c r="D270" s="33">
        <v>9</v>
      </c>
      <c r="E270" s="33">
        <v>15</v>
      </c>
      <c r="F270" s="33">
        <v>11</v>
      </c>
      <c r="G270" s="33">
        <v>0</v>
      </c>
      <c r="H270" s="162"/>
      <c r="L270" s="23">
        <v>1</v>
      </c>
    </row>
    <row r="271" spans="2:12" ht="18">
      <c r="B271" s="33">
        <v>13</v>
      </c>
      <c r="C271" s="33">
        <v>109</v>
      </c>
      <c r="D271" s="33">
        <v>8</v>
      </c>
      <c r="E271" s="33">
        <v>18</v>
      </c>
      <c r="F271" s="33">
        <v>9</v>
      </c>
      <c r="G271" s="33">
        <v>0</v>
      </c>
      <c r="H271" s="162"/>
      <c r="L271" s="23">
        <v>1</v>
      </c>
    </row>
    <row r="272" spans="2:12" ht="18">
      <c r="B272" s="33">
        <v>13</v>
      </c>
      <c r="C272" s="33">
        <v>118</v>
      </c>
      <c r="D272" s="33">
        <v>8</v>
      </c>
      <c r="E272" s="33">
        <v>12</v>
      </c>
      <c r="F272" s="33">
        <v>7</v>
      </c>
      <c r="G272" s="33">
        <v>0</v>
      </c>
      <c r="H272" s="162"/>
      <c r="L272" s="23">
        <v>1</v>
      </c>
    </row>
    <row r="273" spans="2:12" ht="18">
      <c r="B273" s="33">
        <v>13</v>
      </c>
      <c r="C273" s="33">
        <v>87</v>
      </c>
      <c r="D273" s="33">
        <v>8</v>
      </c>
      <c r="E273" s="33">
        <v>20</v>
      </c>
      <c r="F273" s="33">
        <v>0</v>
      </c>
      <c r="G273" s="33">
        <v>5</v>
      </c>
      <c r="H273" s="162"/>
      <c r="L273" s="23">
        <v>1</v>
      </c>
    </row>
    <row r="274" spans="2:12" ht="18">
      <c r="B274" s="33">
        <v>13</v>
      </c>
      <c r="C274" s="33">
        <v>105</v>
      </c>
      <c r="D274" s="33">
        <v>7</v>
      </c>
      <c r="E274" s="33">
        <v>14</v>
      </c>
      <c r="F274" s="33">
        <v>5</v>
      </c>
      <c r="G274" s="33">
        <v>0</v>
      </c>
      <c r="H274" s="162"/>
      <c r="L274" s="23">
        <v>1</v>
      </c>
    </row>
    <row r="275" spans="2:12" ht="18">
      <c r="B275" s="33">
        <v>13</v>
      </c>
      <c r="C275" s="33">
        <v>105</v>
      </c>
      <c r="D275" s="33">
        <v>5</v>
      </c>
      <c r="E275" s="33">
        <v>10</v>
      </c>
      <c r="F275" s="33">
        <v>4</v>
      </c>
      <c r="G275" s="33">
        <v>0</v>
      </c>
      <c r="H275" s="162"/>
      <c r="L275" s="23">
        <v>1</v>
      </c>
    </row>
    <row r="276" spans="2:12" ht="18">
      <c r="B276" s="33">
        <v>13</v>
      </c>
      <c r="C276" s="33">
        <v>105</v>
      </c>
      <c r="D276" s="33">
        <v>6</v>
      </c>
      <c r="E276" s="33">
        <v>5</v>
      </c>
      <c r="F276" s="33">
        <v>0</v>
      </c>
      <c r="G276" s="33">
        <v>0</v>
      </c>
      <c r="H276" s="162"/>
      <c r="L276" s="23">
        <v>1</v>
      </c>
    </row>
    <row r="277" spans="2:12" ht="18">
      <c r="B277" s="33">
        <v>13</v>
      </c>
      <c r="C277" s="33">
        <v>61</v>
      </c>
      <c r="D277" s="33">
        <v>9</v>
      </c>
      <c r="E277" s="33">
        <v>2</v>
      </c>
      <c r="F277" s="33">
        <v>8</v>
      </c>
      <c r="G277" s="33">
        <v>0</v>
      </c>
      <c r="H277" s="162"/>
      <c r="L277" s="23">
        <v>1</v>
      </c>
    </row>
    <row r="278" spans="2:12" ht="18">
      <c r="B278" s="33">
        <v>13</v>
      </c>
      <c r="C278" s="33">
        <v>61</v>
      </c>
      <c r="D278" s="33">
        <v>8</v>
      </c>
      <c r="E278" s="33">
        <v>6</v>
      </c>
      <c r="F278" s="33">
        <v>14</v>
      </c>
      <c r="G278" s="33">
        <v>0</v>
      </c>
      <c r="H278" s="162"/>
      <c r="L278" s="23">
        <v>1</v>
      </c>
    </row>
    <row r="279" spans="2:12" ht="18">
      <c r="B279" s="33">
        <v>13</v>
      </c>
      <c r="C279" s="33">
        <v>64</v>
      </c>
      <c r="D279" s="33">
        <v>8</v>
      </c>
      <c r="E279" s="33">
        <v>17</v>
      </c>
      <c r="F279" s="33">
        <v>3</v>
      </c>
      <c r="G279" s="33">
        <v>0</v>
      </c>
      <c r="H279" s="162"/>
      <c r="L279" s="23">
        <v>1</v>
      </c>
    </row>
    <row r="280" spans="2:12" ht="18">
      <c r="B280" s="33">
        <v>13</v>
      </c>
      <c r="C280" s="33">
        <v>99</v>
      </c>
      <c r="D280" s="33">
        <v>8</v>
      </c>
      <c r="E280" s="33">
        <v>9</v>
      </c>
      <c r="F280" s="33">
        <v>5</v>
      </c>
      <c r="G280" s="33">
        <v>2</v>
      </c>
      <c r="H280" s="162"/>
      <c r="L280" s="23">
        <v>1</v>
      </c>
    </row>
    <row r="281" spans="2:12" ht="18">
      <c r="B281" s="33">
        <v>13</v>
      </c>
      <c r="C281" s="33">
        <v>106</v>
      </c>
      <c r="D281" s="33">
        <v>3</v>
      </c>
      <c r="E281" s="33">
        <v>17</v>
      </c>
      <c r="F281" s="33">
        <v>1</v>
      </c>
      <c r="G281" s="33">
        <v>0</v>
      </c>
      <c r="H281" s="162"/>
      <c r="L281" s="23">
        <v>1</v>
      </c>
    </row>
    <row r="282" spans="2:12" ht="18">
      <c r="B282" s="33">
        <v>13</v>
      </c>
      <c r="C282" s="33">
        <v>106</v>
      </c>
      <c r="D282" s="33">
        <v>4</v>
      </c>
      <c r="E282" s="33">
        <v>19</v>
      </c>
      <c r="F282" s="33">
        <v>1</v>
      </c>
      <c r="G282" s="33">
        <v>0</v>
      </c>
      <c r="H282" s="162"/>
      <c r="L282" s="23">
        <v>1</v>
      </c>
    </row>
    <row r="283" spans="2:12" ht="18">
      <c r="B283" s="33">
        <v>13</v>
      </c>
      <c r="C283" s="33">
        <v>106</v>
      </c>
      <c r="D283" s="33">
        <v>5</v>
      </c>
      <c r="E283" s="33">
        <v>25</v>
      </c>
      <c r="F283" s="33">
        <v>0</v>
      </c>
      <c r="G283" s="33">
        <v>0</v>
      </c>
      <c r="H283" s="162"/>
      <c r="L283" s="23">
        <v>1</v>
      </c>
    </row>
    <row r="284" spans="2:12" ht="18">
      <c r="B284" s="33">
        <v>13</v>
      </c>
      <c r="C284" s="33">
        <v>106</v>
      </c>
      <c r="D284" s="33">
        <v>6</v>
      </c>
      <c r="E284" s="33">
        <v>15</v>
      </c>
      <c r="F284" s="33">
        <v>3</v>
      </c>
      <c r="G284" s="33">
        <v>0</v>
      </c>
      <c r="H284" s="162"/>
      <c r="L284" s="23">
        <v>1</v>
      </c>
    </row>
    <row r="285" spans="2:12" ht="18">
      <c r="B285" s="33">
        <v>13</v>
      </c>
      <c r="C285" s="33">
        <v>106</v>
      </c>
      <c r="D285" s="33">
        <v>7</v>
      </c>
      <c r="E285" s="33">
        <v>12</v>
      </c>
      <c r="F285" s="33">
        <v>0</v>
      </c>
      <c r="G285" s="33">
        <v>0</v>
      </c>
      <c r="H285" s="162"/>
      <c r="L285" s="23">
        <v>1</v>
      </c>
    </row>
    <row r="286" spans="2:12" ht="18">
      <c r="B286" s="33">
        <v>13</v>
      </c>
      <c r="C286" s="33">
        <v>106</v>
      </c>
      <c r="D286" s="33">
        <v>8</v>
      </c>
      <c r="E286" s="33">
        <v>8</v>
      </c>
      <c r="F286" s="33">
        <v>3</v>
      </c>
      <c r="G286" s="33">
        <v>0</v>
      </c>
      <c r="H286" s="162"/>
      <c r="L286" s="23">
        <v>1</v>
      </c>
    </row>
    <row r="287" spans="2:12" ht="18">
      <c r="B287" s="33">
        <v>13</v>
      </c>
      <c r="C287" s="33">
        <v>106</v>
      </c>
      <c r="D287" s="33">
        <v>9</v>
      </c>
      <c r="E287" s="33">
        <v>10</v>
      </c>
      <c r="F287" s="33">
        <v>0</v>
      </c>
      <c r="G287" s="33">
        <v>1</v>
      </c>
      <c r="H287" s="162"/>
      <c r="L287" s="23">
        <v>1</v>
      </c>
    </row>
    <row r="288" spans="2:12" ht="18">
      <c r="B288" s="33">
        <v>13</v>
      </c>
      <c r="C288" s="33">
        <v>91</v>
      </c>
      <c r="D288" s="33">
        <v>7</v>
      </c>
      <c r="E288" s="33">
        <v>18</v>
      </c>
      <c r="F288" s="33">
        <v>6</v>
      </c>
      <c r="G288" s="33">
        <v>0</v>
      </c>
      <c r="H288" s="162"/>
      <c r="L288" s="23">
        <v>1</v>
      </c>
    </row>
    <row r="289" spans="2:12" ht="18">
      <c r="B289" s="33">
        <v>13</v>
      </c>
      <c r="C289" s="33">
        <v>103</v>
      </c>
      <c r="D289" s="33">
        <v>9</v>
      </c>
      <c r="E289" s="33">
        <v>2</v>
      </c>
      <c r="F289" s="33">
        <v>8</v>
      </c>
      <c r="G289" s="33">
        <v>2</v>
      </c>
      <c r="H289" s="162"/>
      <c r="L289" s="23">
        <v>1</v>
      </c>
    </row>
    <row r="290" spans="2:12" ht="18">
      <c r="B290" s="33">
        <v>13</v>
      </c>
      <c r="C290" s="33">
        <v>66</v>
      </c>
      <c r="D290" s="33">
        <v>8</v>
      </c>
      <c r="E290" s="33">
        <v>15</v>
      </c>
      <c r="F290" s="33">
        <v>13</v>
      </c>
      <c r="G290" s="33">
        <v>2</v>
      </c>
      <c r="H290" s="162"/>
      <c r="L290" s="23">
        <v>1</v>
      </c>
    </row>
    <row r="291" spans="2:12" ht="18">
      <c r="B291" s="33">
        <v>13</v>
      </c>
      <c r="C291" s="33">
        <v>86</v>
      </c>
      <c r="D291" s="33">
        <v>8</v>
      </c>
      <c r="E291" s="33">
        <v>19</v>
      </c>
      <c r="F291" s="33">
        <v>3</v>
      </c>
      <c r="G291" s="33">
        <v>3</v>
      </c>
      <c r="H291" s="162"/>
      <c r="L291" s="23">
        <v>1</v>
      </c>
    </row>
    <row r="292" spans="2:12" ht="18">
      <c r="B292" s="33">
        <v>13</v>
      </c>
      <c r="C292" s="33">
        <v>115</v>
      </c>
      <c r="D292" s="33">
        <v>10</v>
      </c>
      <c r="E292" s="33">
        <v>0</v>
      </c>
      <c r="F292" s="33">
        <v>15</v>
      </c>
      <c r="G292" s="33">
        <v>0</v>
      </c>
      <c r="H292" s="162"/>
      <c r="L292" s="23">
        <v>1</v>
      </c>
    </row>
    <row r="293" spans="2:12" ht="18">
      <c r="B293" s="33">
        <v>13</v>
      </c>
      <c r="C293" s="33">
        <v>101</v>
      </c>
      <c r="D293" s="33">
        <v>8</v>
      </c>
      <c r="E293" s="33">
        <v>1</v>
      </c>
      <c r="F293" s="33">
        <v>5</v>
      </c>
      <c r="G293" s="33">
        <v>0</v>
      </c>
      <c r="H293" s="162"/>
      <c r="L293" s="23">
        <v>1</v>
      </c>
    </row>
    <row r="294" spans="2:12" ht="18">
      <c r="B294" s="33">
        <v>13</v>
      </c>
      <c r="C294" s="33">
        <v>101</v>
      </c>
      <c r="D294" s="33">
        <v>7</v>
      </c>
      <c r="E294" s="33">
        <v>6</v>
      </c>
      <c r="F294" s="33">
        <v>9</v>
      </c>
      <c r="G294" s="33">
        <v>0</v>
      </c>
      <c r="H294" s="162"/>
      <c r="L294" s="23">
        <v>1</v>
      </c>
    </row>
    <row r="295" spans="2:12" ht="18">
      <c r="B295" s="33">
        <v>13</v>
      </c>
      <c r="C295" s="33">
        <v>77</v>
      </c>
      <c r="D295" s="33">
        <v>9</v>
      </c>
      <c r="E295" s="33">
        <v>6</v>
      </c>
      <c r="F295" s="33">
        <v>9</v>
      </c>
      <c r="G295" s="33">
        <v>2</v>
      </c>
      <c r="H295" s="162"/>
      <c r="L295" s="23">
        <v>1</v>
      </c>
    </row>
    <row r="296" spans="2:12" ht="18">
      <c r="B296" s="33">
        <v>13</v>
      </c>
      <c r="C296" s="33">
        <v>75</v>
      </c>
      <c r="D296" s="33">
        <v>5</v>
      </c>
      <c r="E296" s="33">
        <v>0</v>
      </c>
      <c r="F296" s="33">
        <v>25</v>
      </c>
      <c r="G296" s="33">
        <v>0</v>
      </c>
      <c r="H296" s="162"/>
      <c r="L296" s="23">
        <v>1</v>
      </c>
    </row>
    <row r="297" spans="2:12" ht="18">
      <c r="B297" s="33">
        <v>13</v>
      </c>
      <c r="C297" s="33">
        <v>115</v>
      </c>
      <c r="D297" s="33">
        <v>9</v>
      </c>
      <c r="E297" s="33">
        <v>0</v>
      </c>
      <c r="F297" s="33">
        <v>25</v>
      </c>
      <c r="G297" s="33">
        <v>0</v>
      </c>
      <c r="H297" s="162"/>
      <c r="L297" s="23">
        <v>1</v>
      </c>
    </row>
    <row r="298" spans="2:12" ht="18">
      <c r="B298" s="33">
        <v>13</v>
      </c>
      <c r="C298" s="33">
        <v>120</v>
      </c>
      <c r="D298" s="33">
        <v>10</v>
      </c>
      <c r="E298" s="33">
        <v>16</v>
      </c>
      <c r="F298" s="33">
        <v>9</v>
      </c>
      <c r="G298" s="33">
        <v>0</v>
      </c>
      <c r="H298" s="162"/>
      <c r="L298" s="23">
        <v>1</v>
      </c>
    </row>
    <row r="299" spans="2:12" ht="18">
      <c r="B299" s="33">
        <v>13</v>
      </c>
      <c r="C299" s="33">
        <v>120</v>
      </c>
      <c r="D299" s="33">
        <v>9</v>
      </c>
      <c r="E299" s="33">
        <v>10</v>
      </c>
      <c r="F299" s="33">
        <v>15</v>
      </c>
      <c r="G299" s="33">
        <v>0</v>
      </c>
      <c r="H299" s="162"/>
      <c r="L299" s="23">
        <v>1</v>
      </c>
    </row>
    <row r="300" spans="2:12" ht="18">
      <c r="B300" s="33">
        <v>13</v>
      </c>
      <c r="C300" s="33">
        <v>112</v>
      </c>
      <c r="D300" s="33">
        <v>9</v>
      </c>
      <c r="E300" s="33">
        <v>23</v>
      </c>
      <c r="F300" s="33">
        <v>4</v>
      </c>
      <c r="G300" s="33">
        <v>0</v>
      </c>
      <c r="H300" s="162"/>
      <c r="L300" s="23">
        <v>1</v>
      </c>
    </row>
    <row r="301" spans="2:12" ht="18">
      <c r="B301" s="33">
        <v>13</v>
      </c>
      <c r="C301" s="33">
        <v>99</v>
      </c>
      <c r="D301" s="33">
        <v>9</v>
      </c>
      <c r="E301" s="33">
        <v>10</v>
      </c>
      <c r="F301" s="33">
        <v>7</v>
      </c>
      <c r="G301" s="33">
        <v>0</v>
      </c>
      <c r="H301" s="162"/>
      <c r="L301" s="23">
        <v>1</v>
      </c>
    </row>
    <row r="302" spans="2:12" ht="18">
      <c r="B302" s="33">
        <v>13</v>
      </c>
      <c r="C302" s="33">
        <v>76</v>
      </c>
      <c r="D302" s="33">
        <v>9</v>
      </c>
      <c r="E302" s="33">
        <v>7</v>
      </c>
      <c r="F302" s="33">
        <v>11</v>
      </c>
      <c r="G302" s="33">
        <v>1</v>
      </c>
      <c r="H302" s="162"/>
      <c r="L302" s="23">
        <v>1</v>
      </c>
    </row>
    <row r="303" spans="2:12" ht="18">
      <c r="B303" s="33">
        <v>13</v>
      </c>
      <c r="C303" s="33">
        <v>65</v>
      </c>
      <c r="D303" s="33">
        <v>10</v>
      </c>
      <c r="E303" s="33">
        <v>6</v>
      </c>
      <c r="F303" s="33">
        <v>3</v>
      </c>
      <c r="G303" s="33">
        <v>0</v>
      </c>
      <c r="H303" s="162"/>
      <c r="L303" s="23">
        <v>1</v>
      </c>
    </row>
    <row r="304" spans="2:12" ht="18">
      <c r="B304" s="33">
        <v>13</v>
      </c>
      <c r="C304" s="33">
        <v>65</v>
      </c>
      <c r="D304" s="33">
        <v>9</v>
      </c>
      <c r="E304" s="33">
        <v>12</v>
      </c>
      <c r="F304" s="33">
        <v>14</v>
      </c>
      <c r="G304" s="33">
        <v>0</v>
      </c>
      <c r="H304" s="162"/>
      <c r="L304" s="23">
        <v>1</v>
      </c>
    </row>
    <row r="305" spans="2:12" ht="18">
      <c r="B305" s="33">
        <v>13</v>
      </c>
      <c r="C305" s="33">
        <v>65</v>
      </c>
      <c r="D305" s="33">
        <v>8</v>
      </c>
      <c r="E305" s="33">
        <v>9</v>
      </c>
      <c r="F305" s="33">
        <v>13</v>
      </c>
      <c r="G305" s="33">
        <v>0</v>
      </c>
      <c r="H305" s="162"/>
      <c r="L305" s="23">
        <v>1</v>
      </c>
    </row>
    <row r="306" spans="2:12" ht="18">
      <c r="B306" s="33">
        <v>13</v>
      </c>
      <c r="C306" s="33">
        <v>65</v>
      </c>
      <c r="D306" s="33">
        <v>7</v>
      </c>
      <c r="E306" s="33">
        <v>7</v>
      </c>
      <c r="F306" s="33">
        <v>16</v>
      </c>
      <c r="G306" s="33">
        <v>0</v>
      </c>
      <c r="H306" s="162"/>
      <c r="L306" s="23">
        <v>1</v>
      </c>
    </row>
    <row r="307" spans="2:12" ht="18">
      <c r="B307" s="33">
        <v>13</v>
      </c>
      <c r="C307" s="33">
        <v>65</v>
      </c>
      <c r="D307" s="33">
        <v>6</v>
      </c>
      <c r="E307" s="33">
        <v>14</v>
      </c>
      <c r="F307" s="33">
        <v>8</v>
      </c>
      <c r="G307" s="33">
        <v>0</v>
      </c>
      <c r="H307" s="162"/>
      <c r="L307" s="23">
        <v>1</v>
      </c>
    </row>
    <row r="308" spans="2:12" ht="18">
      <c r="B308" s="33">
        <v>13</v>
      </c>
      <c r="C308" s="33">
        <v>65</v>
      </c>
      <c r="D308" s="33">
        <v>5</v>
      </c>
      <c r="E308" s="33">
        <v>11</v>
      </c>
      <c r="F308" s="33">
        <v>9</v>
      </c>
      <c r="G308" s="33">
        <v>1</v>
      </c>
      <c r="H308" s="162"/>
      <c r="L308" s="23">
        <v>1</v>
      </c>
    </row>
    <row r="309" spans="2:12" ht="18">
      <c r="B309" s="33">
        <v>13</v>
      </c>
      <c r="C309" s="33">
        <v>60</v>
      </c>
      <c r="D309" s="33">
        <v>8</v>
      </c>
      <c r="E309" s="33">
        <v>8</v>
      </c>
      <c r="F309" s="33">
        <v>2</v>
      </c>
      <c r="G309" s="33">
        <v>1</v>
      </c>
      <c r="H309" s="162"/>
      <c r="L309" s="23">
        <v>1</v>
      </c>
    </row>
    <row r="310" spans="2:12" ht="18">
      <c r="B310" s="33">
        <v>13</v>
      </c>
      <c r="C310" s="33">
        <v>60</v>
      </c>
      <c r="D310" s="33">
        <v>9</v>
      </c>
      <c r="E310" s="33">
        <v>10</v>
      </c>
      <c r="F310" s="33">
        <v>0</v>
      </c>
      <c r="G310" s="33">
        <v>3</v>
      </c>
      <c r="H310" s="162"/>
      <c r="L310" s="23">
        <v>1</v>
      </c>
    </row>
    <row r="311" spans="2:12" ht="18">
      <c r="B311" s="33">
        <v>13</v>
      </c>
      <c r="C311" s="33">
        <v>60</v>
      </c>
      <c r="D311" s="33">
        <v>10</v>
      </c>
      <c r="E311" s="33">
        <v>9</v>
      </c>
      <c r="F311" s="33">
        <v>1</v>
      </c>
      <c r="G311" s="33">
        <v>0</v>
      </c>
      <c r="H311" s="162"/>
      <c r="L311" s="23">
        <v>1</v>
      </c>
    </row>
    <row r="312" spans="2:12" ht="18">
      <c r="B312" s="33">
        <v>13</v>
      </c>
      <c r="C312" s="33">
        <v>60</v>
      </c>
      <c r="D312" s="33">
        <v>7</v>
      </c>
      <c r="E312" s="33">
        <v>8</v>
      </c>
      <c r="F312" s="33">
        <v>3</v>
      </c>
      <c r="G312" s="33">
        <v>0</v>
      </c>
      <c r="H312" s="162"/>
      <c r="L312" s="23">
        <v>1</v>
      </c>
    </row>
    <row r="313" spans="2:12" ht="18">
      <c r="B313" s="33">
        <v>13</v>
      </c>
      <c r="C313" s="33">
        <v>86</v>
      </c>
      <c r="D313" s="33">
        <v>8</v>
      </c>
      <c r="E313" s="33">
        <v>22</v>
      </c>
      <c r="F313" s="33">
        <v>2</v>
      </c>
      <c r="G313" s="33">
        <v>1</v>
      </c>
      <c r="H313" s="162"/>
      <c r="L313" s="23">
        <v>1</v>
      </c>
    </row>
    <row r="314" spans="2:12" ht="18">
      <c r="B314" s="33">
        <v>13</v>
      </c>
      <c r="C314" s="33">
        <v>114</v>
      </c>
      <c r="D314" s="33">
        <v>9</v>
      </c>
      <c r="E314" s="33">
        <v>25</v>
      </c>
      <c r="F314" s="33">
        <v>8</v>
      </c>
      <c r="G314" s="33">
        <v>5</v>
      </c>
      <c r="H314" s="162"/>
      <c r="L314" s="23">
        <v>1</v>
      </c>
    </row>
    <row r="315" spans="2:12" ht="18">
      <c r="B315" s="33">
        <v>13</v>
      </c>
      <c r="C315" s="33">
        <v>89</v>
      </c>
      <c r="D315" s="33">
        <v>9</v>
      </c>
      <c r="E315" s="33">
        <v>13</v>
      </c>
      <c r="F315" s="33">
        <v>7</v>
      </c>
      <c r="G315" s="33">
        <v>0</v>
      </c>
      <c r="H315" s="162"/>
      <c r="L315" s="23">
        <v>1</v>
      </c>
    </row>
    <row r="316" spans="2:12" ht="18">
      <c r="B316" s="33">
        <v>13</v>
      </c>
      <c r="C316" s="33">
        <v>78</v>
      </c>
      <c r="D316" s="33">
        <v>9</v>
      </c>
      <c r="E316" s="33">
        <v>3</v>
      </c>
      <c r="F316" s="33">
        <v>23</v>
      </c>
      <c r="G316" s="33">
        <v>0</v>
      </c>
      <c r="H316" s="162"/>
      <c r="L316" s="23">
        <v>1</v>
      </c>
    </row>
    <row r="317" spans="2:12" ht="18">
      <c r="B317" s="33">
        <v>13</v>
      </c>
      <c r="C317" s="33">
        <v>78</v>
      </c>
      <c r="D317" s="33">
        <v>8</v>
      </c>
      <c r="E317" s="33">
        <v>0</v>
      </c>
      <c r="F317" s="33">
        <v>25</v>
      </c>
      <c r="G317" s="33">
        <v>0</v>
      </c>
      <c r="H317" s="162"/>
      <c r="L317" s="23">
        <v>1</v>
      </c>
    </row>
    <row r="318" spans="2:12" ht="18">
      <c r="B318" s="33">
        <v>13</v>
      </c>
      <c r="C318" s="33">
        <v>73</v>
      </c>
      <c r="D318" s="33">
        <v>9</v>
      </c>
      <c r="E318" s="33">
        <v>0</v>
      </c>
      <c r="F318" s="33">
        <v>5</v>
      </c>
      <c r="G318" s="33">
        <v>0</v>
      </c>
      <c r="H318" s="162"/>
      <c r="L318" s="23">
        <v>1</v>
      </c>
    </row>
    <row r="319" spans="2:12" ht="18">
      <c r="B319" s="33">
        <v>13</v>
      </c>
      <c r="C319" s="33">
        <v>88</v>
      </c>
      <c r="D319" s="33">
        <v>9</v>
      </c>
      <c r="E319" s="33">
        <v>16</v>
      </c>
      <c r="F319" s="33">
        <v>1</v>
      </c>
      <c r="G319" s="33">
        <v>8</v>
      </c>
      <c r="H319" s="162"/>
      <c r="L319" s="23">
        <v>1</v>
      </c>
    </row>
    <row r="320" spans="2:12" ht="18">
      <c r="B320" s="33">
        <v>13</v>
      </c>
      <c r="C320" s="33">
        <v>88</v>
      </c>
      <c r="D320" s="33">
        <v>10</v>
      </c>
      <c r="E320" s="33">
        <v>19</v>
      </c>
      <c r="F320" s="33">
        <v>2</v>
      </c>
      <c r="G320" s="33">
        <v>4</v>
      </c>
      <c r="H320" s="162"/>
      <c r="L320" s="23">
        <v>1</v>
      </c>
    </row>
    <row r="321" spans="2:12" ht="18">
      <c r="B321" s="33">
        <v>13</v>
      </c>
      <c r="C321" s="33">
        <v>100</v>
      </c>
      <c r="D321" s="33">
        <v>10</v>
      </c>
      <c r="E321" s="33">
        <v>8</v>
      </c>
      <c r="F321" s="33">
        <v>2</v>
      </c>
      <c r="G321" s="33">
        <v>0</v>
      </c>
      <c r="H321" s="162"/>
      <c r="L321" s="23">
        <v>1</v>
      </c>
    </row>
    <row r="322" spans="2:12" ht="18">
      <c r="B322" s="33">
        <v>13</v>
      </c>
      <c r="C322" s="33">
        <v>121</v>
      </c>
      <c r="D322" s="33">
        <v>9</v>
      </c>
      <c r="E322" s="33">
        <v>36</v>
      </c>
      <c r="F322" s="33">
        <v>38</v>
      </c>
      <c r="G322" s="33">
        <v>0</v>
      </c>
      <c r="H322" s="162"/>
      <c r="L322" s="23">
        <v>1</v>
      </c>
    </row>
    <row r="323" spans="2:12" ht="18">
      <c r="B323" s="33">
        <v>13</v>
      </c>
      <c r="C323" s="33">
        <v>87</v>
      </c>
      <c r="D323" s="33">
        <v>9</v>
      </c>
      <c r="E323" s="33">
        <v>17</v>
      </c>
      <c r="F323" s="33">
        <v>2</v>
      </c>
      <c r="G323" s="33">
        <v>6</v>
      </c>
      <c r="H323" s="162"/>
      <c r="L323" s="23">
        <v>1</v>
      </c>
    </row>
    <row r="324" spans="2:12" ht="18">
      <c r="B324" s="33">
        <v>13</v>
      </c>
      <c r="C324" s="33">
        <v>70</v>
      </c>
      <c r="D324" s="33">
        <v>10</v>
      </c>
      <c r="E324" s="33">
        <v>14</v>
      </c>
      <c r="F324" s="33">
        <v>7</v>
      </c>
      <c r="G324" s="33">
        <v>1</v>
      </c>
      <c r="H324" s="162"/>
      <c r="L324" s="23">
        <v>1</v>
      </c>
    </row>
    <row r="325" spans="2:12" ht="18">
      <c r="B325" s="33">
        <v>13</v>
      </c>
      <c r="C325" s="33">
        <v>70</v>
      </c>
      <c r="D325" s="33">
        <v>9</v>
      </c>
      <c r="E325" s="33">
        <v>13</v>
      </c>
      <c r="F325" s="33">
        <v>12</v>
      </c>
      <c r="G325" s="33">
        <v>4</v>
      </c>
      <c r="H325" s="162"/>
      <c r="L325" s="23">
        <v>1</v>
      </c>
    </row>
    <row r="326" spans="2:12" ht="18">
      <c r="B326" s="33">
        <v>13</v>
      </c>
      <c r="C326" s="33">
        <v>118</v>
      </c>
      <c r="D326" s="33">
        <v>9</v>
      </c>
      <c r="E326" s="33">
        <v>16</v>
      </c>
      <c r="F326" s="33">
        <v>5</v>
      </c>
      <c r="G326" s="33">
        <v>1</v>
      </c>
      <c r="H326" s="162"/>
      <c r="L326" s="23">
        <v>1</v>
      </c>
    </row>
    <row r="327" spans="2:12" ht="18">
      <c r="B327" s="33">
        <v>13</v>
      </c>
      <c r="C327" s="33">
        <v>70</v>
      </c>
      <c r="D327" s="33">
        <v>8</v>
      </c>
      <c r="E327" s="33">
        <v>11</v>
      </c>
      <c r="F327" s="33">
        <v>9</v>
      </c>
      <c r="G327" s="33">
        <v>2</v>
      </c>
      <c r="H327" s="162"/>
      <c r="L327" s="23">
        <v>1</v>
      </c>
    </row>
    <row r="328" spans="2:12" ht="18">
      <c r="B328" s="33">
        <v>13</v>
      </c>
      <c r="C328" s="33">
        <v>116</v>
      </c>
      <c r="D328" s="33">
        <v>10</v>
      </c>
      <c r="E328" s="33">
        <v>18</v>
      </c>
      <c r="F328" s="33">
        <v>7</v>
      </c>
      <c r="G328" s="33">
        <v>0</v>
      </c>
      <c r="H328" s="162"/>
      <c r="L328" s="23">
        <v>1</v>
      </c>
    </row>
    <row r="329" spans="2:12" ht="18">
      <c r="B329" s="33">
        <v>13</v>
      </c>
      <c r="C329" s="33">
        <v>112</v>
      </c>
      <c r="D329" s="33">
        <v>8</v>
      </c>
      <c r="E329" s="33">
        <v>25</v>
      </c>
      <c r="F329" s="33">
        <v>8</v>
      </c>
      <c r="G329" s="33">
        <v>5</v>
      </c>
      <c r="H329" s="162"/>
      <c r="L329" s="23">
        <v>1</v>
      </c>
    </row>
    <row r="330" spans="2:12" ht="18">
      <c r="B330" s="33">
        <v>13</v>
      </c>
      <c r="C330" s="33">
        <v>106</v>
      </c>
      <c r="D330" s="33">
        <v>10</v>
      </c>
      <c r="E330" s="33">
        <v>5</v>
      </c>
      <c r="F330" s="33">
        <v>5</v>
      </c>
      <c r="G330" s="33">
        <v>0</v>
      </c>
      <c r="H330" s="162"/>
      <c r="L330" s="23">
        <v>1</v>
      </c>
    </row>
    <row r="331" spans="2:12" ht="18">
      <c r="B331" s="33">
        <v>13</v>
      </c>
      <c r="C331" s="33">
        <v>66</v>
      </c>
      <c r="D331" s="33">
        <v>9</v>
      </c>
      <c r="E331" s="33">
        <v>0</v>
      </c>
      <c r="F331" s="33">
        <v>16</v>
      </c>
      <c r="G331" s="33">
        <v>1</v>
      </c>
      <c r="H331" s="162"/>
      <c r="L331" s="23">
        <v>1</v>
      </c>
    </row>
    <row r="332" spans="2:12" ht="18">
      <c r="B332" s="33">
        <v>13</v>
      </c>
      <c r="C332" s="33">
        <v>91</v>
      </c>
      <c r="D332" s="33">
        <v>3</v>
      </c>
      <c r="E332" s="33">
        <v>17</v>
      </c>
      <c r="F332" s="33">
        <v>8</v>
      </c>
      <c r="G332" s="33">
        <v>0</v>
      </c>
      <c r="H332" s="162"/>
      <c r="L332" s="23">
        <v>1</v>
      </c>
    </row>
    <row r="333" spans="2:12" ht="18">
      <c r="B333" s="33">
        <v>13</v>
      </c>
      <c r="C333" s="33">
        <v>91</v>
      </c>
      <c r="D333" s="33">
        <v>4</v>
      </c>
      <c r="E333" s="33">
        <v>15</v>
      </c>
      <c r="F333" s="33">
        <v>10</v>
      </c>
      <c r="G333" s="33">
        <v>0</v>
      </c>
      <c r="H333" s="162"/>
      <c r="L333" s="23">
        <v>1</v>
      </c>
    </row>
    <row r="334" spans="2:12" ht="18">
      <c r="B334" s="33">
        <v>13</v>
      </c>
      <c r="C334" s="33">
        <v>62</v>
      </c>
      <c r="D334" s="33">
        <v>10</v>
      </c>
      <c r="E334" s="33">
        <v>4</v>
      </c>
      <c r="F334" s="33">
        <v>9</v>
      </c>
      <c r="G334" s="33">
        <v>0</v>
      </c>
      <c r="H334" s="162"/>
      <c r="L334" s="23">
        <v>1</v>
      </c>
    </row>
    <row r="335" spans="2:12" ht="18">
      <c r="B335" s="33">
        <v>13</v>
      </c>
      <c r="C335" s="33">
        <v>117</v>
      </c>
      <c r="D335" s="33">
        <v>10</v>
      </c>
      <c r="E335" s="33">
        <v>1</v>
      </c>
      <c r="F335" s="33">
        <v>24</v>
      </c>
      <c r="G335" s="33">
        <v>0</v>
      </c>
      <c r="H335" s="162"/>
      <c r="L335" s="23">
        <v>1</v>
      </c>
    </row>
    <row r="336" spans="2:12" ht="18">
      <c r="B336" s="33">
        <v>13</v>
      </c>
      <c r="C336" s="33">
        <v>117</v>
      </c>
      <c r="D336" s="33">
        <v>11</v>
      </c>
      <c r="E336" s="33">
        <v>3</v>
      </c>
      <c r="F336" s="33">
        <v>16</v>
      </c>
      <c r="G336" s="33">
        <v>0</v>
      </c>
      <c r="H336" s="162"/>
      <c r="L336" s="23">
        <v>1</v>
      </c>
    </row>
    <row r="337" spans="2:12" ht="18">
      <c r="B337" s="33">
        <v>13</v>
      </c>
      <c r="C337" s="33">
        <v>98</v>
      </c>
      <c r="D337" s="33">
        <v>10</v>
      </c>
      <c r="E337" s="33">
        <v>8</v>
      </c>
      <c r="F337" s="33">
        <v>6</v>
      </c>
      <c r="G337" s="33">
        <v>0</v>
      </c>
      <c r="H337" s="162"/>
      <c r="L337" s="23">
        <v>1</v>
      </c>
    </row>
    <row r="338" spans="2:12" ht="18">
      <c r="B338" s="33">
        <v>13</v>
      </c>
      <c r="C338" s="33">
        <v>76</v>
      </c>
      <c r="D338" s="33">
        <v>10</v>
      </c>
      <c r="E338" s="33">
        <v>6</v>
      </c>
      <c r="F338" s="33">
        <v>9</v>
      </c>
      <c r="G338" s="33">
        <v>4</v>
      </c>
      <c r="H338" s="162"/>
      <c r="L338" s="23">
        <v>1</v>
      </c>
    </row>
    <row r="339" spans="2:12" ht="18">
      <c r="B339" s="33">
        <v>13</v>
      </c>
      <c r="C339" s="33">
        <v>67</v>
      </c>
      <c r="D339" s="33">
        <v>9</v>
      </c>
      <c r="E339" s="33">
        <v>0</v>
      </c>
      <c r="F339" s="33">
        <v>10</v>
      </c>
      <c r="G339" s="33">
        <v>0</v>
      </c>
      <c r="H339" s="162"/>
      <c r="L339" s="23">
        <v>1</v>
      </c>
    </row>
    <row r="340" spans="2:12" ht="18">
      <c r="B340" s="33">
        <v>13</v>
      </c>
      <c r="C340" s="33">
        <v>98</v>
      </c>
      <c r="D340" s="33">
        <v>9</v>
      </c>
      <c r="E340" s="33">
        <v>2</v>
      </c>
      <c r="F340" s="33">
        <v>5</v>
      </c>
      <c r="G340" s="33">
        <v>0</v>
      </c>
      <c r="H340" s="162"/>
      <c r="L340" s="23">
        <v>1</v>
      </c>
    </row>
    <row r="341" spans="2:12" ht="18">
      <c r="B341" s="33">
        <v>13</v>
      </c>
      <c r="C341" s="33">
        <v>78</v>
      </c>
      <c r="D341" s="33">
        <v>10</v>
      </c>
      <c r="E341" s="33">
        <v>0</v>
      </c>
      <c r="F341" s="33">
        <v>25</v>
      </c>
      <c r="G341" s="33">
        <v>0</v>
      </c>
      <c r="H341" s="162"/>
      <c r="L341" s="23">
        <v>1</v>
      </c>
    </row>
    <row r="342" spans="2:12" ht="18">
      <c r="B342" s="33">
        <v>13</v>
      </c>
      <c r="C342" s="33">
        <v>90</v>
      </c>
      <c r="D342" s="33">
        <v>9</v>
      </c>
      <c r="E342" s="33">
        <v>13</v>
      </c>
      <c r="F342" s="33">
        <v>12</v>
      </c>
      <c r="G342" s="33">
        <v>0</v>
      </c>
      <c r="H342" s="162"/>
      <c r="L342" s="23">
        <v>1</v>
      </c>
    </row>
    <row r="343" spans="2:12" ht="18">
      <c r="B343" s="33">
        <v>13</v>
      </c>
      <c r="C343" s="33">
        <v>90</v>
      </c>
      <c r="D343" s="33">
        <v>10</v>
      </c>
      <c r="E343" s="33">
        <v>20</v>
      </c>
      <c r="F343" s="33">
        <v>5</v>
      </c>
      <c r="G343" s="33">
        <v>0</v>
      </c>
      <c r="H343" s="162"/>
      <c r="L343" s="23">
        <v>1</v>
      </c>
    </row>
    <row r="344" spans="2:12" ht="18">
      <c r="B344" s="33">
        <v>13</v>
      </c>
      <c r="C344" s="33">
        <v>90</v>
      </c>
      <c r="D344" s="33">
        <v>8</v>
      </c>
      <c r="E344" s="33">
        <v>24</v>
      </c>
      <c r="F344" s="33">
        <v>1</v>
      </c>
      <c r="G344" s="33">
        <v>0</v>
      </c>
      <c r="H344" s="162"/>
      <c r="L344" s="23">
        <v>1</v>
      </c>
    </row>
    <row r="345" spans="2:12" ht="18">
      <c r="B345" s="33">
        <v>13</v>
      </c>
      <c r="C345" s="33">
        <v>90</v>
      </c>
      <c r="D345" s="33">
        <v>7</v>
      </c>
      <c r="E345" s="33">
        <v>25</v>
      </c>
      <c r="F345" s="33">
        <v>0</v>
      </c>
      <c r="G345" s="33">
        <v>0</v>
      </c>
      <c r="H345" s="162"/>
      <c r="L345" s="23">
        <v>1</v>
      </c>
    </row>
    <row r="346" spans="2:12" ht="18">
      <c r="B346" s="33">
        <v>13</v>
      </c>
      <c r="C346" s="33">
        <v>90</v>
      </c>
      <c r="D346" s="33">
        <v>6</v>
      </c>
      <c r="E346" s="33">
        <v>24</v>
      </c>
      <c r="F346" s="33">
        <v>0</v>
      </c>
      <c r="G346" s="33">
        <v>1</v>
      </c>
      <c r="H346" s="162"/>
      <c r="L346" s="23">
        <v>1</v>
      </c>
    </row>
    <row r="347" spans="2:12" ht="18">
      <c r="B347" s="33">
        <v>13</v>
      </c>
      <c r="C347" s="33">
        <v>90</v>
      </c>
      <c r="D347" s="33">
        <v>5</v>
      </c>
      <c r="E347" s="33">
        <v>21</v>
      </c>
      <c r="F347" s="33">
        <v>3</v>
      </c>
      <c r="G347" s="33">
        <v>1</v>
      </c>
      <c r="H347" s="162"/>
      <c r="L347" s="23">
        <v>1</v>
      </c>
    </row>
    <row r="348" spans="2:12" ht="18">
      <c r="B348" s="33">
        <v>13</v>
      </c>
      <c r="C348" s="33">
        <v>125</v>
      </c>
      <c r="D348" s="33">
        <v>10</v>
      </c>
      <c r="E348" s="33">
        <v>15</v>
      </c>
      <c r="F348" s="33">
        <v>9</v>
      </c>
      <c r="G348" s="33">
        <v>0</v>
      </c>
      <c r="H348" s="162"/>
      <c r="L348" s="23">
        <v>1</v>
      </c>
    </row>
    <row r="349" spans="2:12" ht="18">
      <c r="B349" s="33">
        <v>13</v>
      </c>
      <c r="C349" s="33">
        <v>125</v>
      </c>
      <c r="D349" s="33">
        <v>9</v>
      </c>
      <c r="E349" s="33">
        <v>9</v>
      </c>
      <c r="F349" s="33">
        <v>12</v>
      </c>
      <c r="G349" s="33">
        <v>0</v>
      </c>
      <c r="H349" s="162"/>
      <c r="L349" s="23">
        <v>1</v>
      </c>
    </row>
    <row r="350" spans="2:12" ht="18">
      <c r="B350" s="33">
        <v>13</v>
      </c>
      <c r="C350" s="33">
        <v>125</v>
      </c>
      <c r="D350" s="33">
        <v>7</v>
      </c>
      <c r="E350" s="33">
        <v>22</v>
      </c>
      <c r="F350" s="33">
        <v>6</v>
      </c>
      <c r="G350" s="33">
        <v>0</v>
      </c>
      <c r="H350" s="162"/>
      <c r="L350" s="23">
        <v>1</v>
      </c>
    </row>
    <row r="351" spans="2:12" ht="18">
      <c r="B351" s="33">
        <v>13</v>
      </c>
      <c r="C351" s="33">
        <v>125</v>
      </c>
      <c r="D351" s="33">
        <v>8</v>
      </c>
      <c r="E351" s="33">
        <v>13</v>
      </c>
      <c r="F351" s="33">
        <v>14</v>
      </c>
      <c r="G351" s="33">
        <v>0</v>
      </c>
      <c r="H351" s="162"/>
      <c r="L351" s="23">
        <v>1</v>
      </c>
    </row>
    <row r="352" spans="2:12" ht="18">
      <c r="B352" s="33">
        <v>13</v>
      </c>
      <c r="C352" s="33">
        <v>125</v>
      </c>
      <c r="D352" s="33">
        <v>6</v>
      </c>
      <c r="E352" s="33">
        <v>14</v>
      </c>
      <c r="F352" s="33">
        <v>17</v>
      </c>
      <c r="G352" s="33">
        <v>0</v>
      </c>
      <c r="H352" s="162"/>
      <c r="L352" s="23">
        <v>1</v>
      </c>
    </row>
    <row r="353" spans="2:12" ht="18">
      <c r="B353" s="33">
        <v>13</v>
      </c>
      <c r="C353" s="33">
        <v>125</v>
      </c>
      <c r="D353" s="33">
        <v>5</v>
      </c>
      <c r="E353" s="33">
        <v>9</v>
      </c>
      <c r="F353" s="33">
        <v>7</v>
      </c>
      <c r="G353" s="33">
        <v>0</v>
      </c>
      <c r="H353" s="162"/>
      <c r="L353" s="23">
        <v>1</v>
      </c>
    </row>
    <row r="354" spans="2:12" ht="18">
      <c r="B354" s="33">
        <v>13</v>
      </c>
      <c r="C354" s="33">
        <v>125</v>
      </c>
      <c r="D354" s="33">
        <v>4</v>
      </c>
      <c r="E354" s="33">
        <v>7</v>
      </c>
      <c r="F354" s="33">
        <v>12</v>
      </c>
      <c r="G354" s="33">
        <v>0</v>
      </c>
      <c r="H354" s="162"/>
      <c r="L354" s="23">
        <v>1</v>
      </c>
    </row>
    <row r="355" spans="2:12" ht="18">
      <c r="B355" s="33">
        <v>13</v>
      </c>
      <c r="C355" s="33">
        <v>126</v>
      </c>
      <c r="D355" s="33">
        <v>10</v>
      </c>
      <c r="E355" s="33">
        <v>4</v>
      </c>
      <c r="F355" s="33">
        <v>7</v>
      </c>
      <c r="G355" s="33">
        <v>0</v>
      </c>
      <c r="H355" s="162"/>
      <c r="L355" s="23">
        <v>1</v>
      </c>
    </row>
    <row r="356" spans="2:12" ht="18">
      <c r="B356" s="33">
        <v>13</v>
      </c>
      <c r="C356" s="33">
        <v>112</v>
      </c>
      <c r="D356" s="33">
        <v>10</v>
      </c>
      <c r="E356" s="33">
        <v>25</v>
      </c>
      <c r="F356" s="33">
        <v>6</v>
      </c>
      <c r="G356" s="33">
        <v>0</v>
      </c>
      <c r="H356" s="162"/>
      <c r="L356" s="23">
        <v>1</v>
      </c>
    </row>
    <row r="357" spans="2:12" ht="18">
      <c r="B357" s="33">
        <v>13</v>
      </c>
      <c r="C357" s="33">
        <v>86</v>
      </c>
      <c r="D357" s="33">
        <v>10</v>
      </c>
      <c r="E357" s="33">
        <v>17</v>
      </c>
      <c r="F357" s="33">
        <v>2</v>
      </c>
      <c r="G357" s="33">
        <v>6</v>
      </c>
      <c r="H357" s="162"/>
      <c r="L357" s="23">
        <v>1</v>
      </c>
    </row>
    <row r="358" spans="2:12" ht="18">
      <c r="B358" s="33">
        <v>13</v>
      </c>
      <c r="C358" s="33">
        <v>114</v>
      </c>
      <c r="D358" s="33">
        <v>10</v>
      </c>
      <c r="E358" s="33">
        <v>21</v>
      </c>
      <c r="F358" s="33">
        <v>5</v>
      </c>
      <c r="G358" s="33">
        <v>3</v>
      </c>
      <c r="H358" s="162"/>
      <c r="L358" s="23">
        <v>1</v>
      </c>
    </row>
    <row r="359" spans="2:12" ht="18">
      <c r="B359" s="33">
        <v>13</v>
      </c>
      <c r="C359" s="33">
        <v>99</v>
      </c>
      <c r="D359" s="33">
        <v>10</v>
      </c>
      <c r="E359" s="33">
        <v>11</v>
      </c>
      <c r="F359" s="33">
        <v>4</v>
      </c>
      <c r="G359" s="33">
        <v>0</v>
      </c>
      <c r="H359" s="162"/>
      <c r="L359" s="23">
        <v>1</v>
      </c>
    </row>
    <row r="360" spans="2:12" ht="18">
      <c r="B360" s="33">
        <v>13</v>
      </c>
      <c r="C360" s="33">
        <v>96</v>
      </c>
      <c r="D360" s="33">
        <v>10</v>
      </c>
      <c r="E360" s="33">
        <v>1</v>
      </c>
      <c r="F360" s="33">
        <v>0</v>
      </c>
      <c r="G360" s="33">
        <v>1</v>
      </c>
      <c r="H360" s="162"/>
      <c r="L360" s="23">
        <v>1</v>
      </c>
    </row>
    <row r="361" spans="2:12" ht="18">
      <c r="B361" s="33">
        <v>13</v>
      </c>
      <c r="C361" s="33">
        <v>64</v>
      </c>
      <c r="D361" s="33">
        <v>10</v>
      </c>
      <c r="E361" s="33">
        <v>0</v>
      </c>
      <c r="F361" s="33">
        <v>20</v>
      </c>
      <c r="G361" s="33">
        <v>0</v>
      </c>
      <c r="H361" s="162"/>
      <c r="L361" s="23">
        <v>1</v>
      </c>
    </row>
    <row r="362" spans="2:12" ht="18">
      <c r="B362" s="33">
        <v>13</v>
      </c>
      <c r="C362" s="33">
        <v>64</v>
      </c>
      <c r="D362" s="33">
        <v>9</v>
      </c>
      <c r="E362" s="33">
        <v>0</v>
      </c>
      <c r="F362" s="33">
        <v>22</v>
      </c>
      <c r="G362" s="33">
        <v>1</v>
      </c>
      <c r="H362" s="162"/>
      <c r="L362" s="23">
        <v>1</v>
      </c>
    </row>
    <row r="363" spans="2:12" ht="18">
      <c r="B363" s="33">
        <v>13</v>
      </c>
      <c r="C363" s="33">
        <v>97</v>
      </c>
      <c r="D363" s="33">
        <v>10</v>
      </c>
      <c r="E363" s="33">
        <v>4</v>
      </c>
      <c r="F363" s="33">
        <v>0</v>
      </c>
      <c r="G363" s="33">
        <v>0</v>
      </c>
      <c r="H363" s="162"/>
      <c r="L363" s="23">
        <v>1</v>
      </c>
    </row>
    <row r="364" spans="2:12" ht="18">
      <c r="B364" s="33">
        <v>13</v>
      </c>
      <c r="C364" s="33">
        <v>97</v>
      </c>
      <c r="D364" s="33">
        <v>9</v>
      </c>
      <c r="E364" s="33">
        <v>14</v>
      </c>
      <c r="F364" s="33">
        <v>0</v>
      </c>
      <c r="G364" s="33">
        <v>0</v>
      </c>
      <c r="H364" s="162"/>
      <c r="L364" s="23">
        <v>1</v>
      </c>
    </row>
    <row r="365" spans="2:12" ht="18">
      <c r="B365" s="33">
        <v>13</v>
      </c>
      <c r="C365" s="33">
        <v>97</v>
      </c>
      <c r="D365" s="33">
        <v>8</v>
      </c>
      <c r="E365" s="33">
        <v>15</v>
      </c>
      <c r="F365" s="33">
        <v>8</v>
      </c>
      <c r="G365" s="33">
        <v>0</v>
      </c>
      <c r="H365" s="162"/>
      <c r="L365" s="23">
        <v>1</v>
      </c>
    </row>
    <row r="366" spans="2:12" ht="18">
      <c r="B366" s="33">
        <v>13</v>
      </c>
      <c r="C366" s="33">
        <v>97</v>
      </c>
      <c r="D366" s="33">
        <v>7</v>
      </c>
      <c r="E366" s="33">
        <v>12</v>
      </c>
      <c r="F366" s="33">
        <v>10</v>
      </c>
      <c r="G366" s="33">
        <v>0</v>
      </c>
      <c r="H366" s="162"/>
      <c r="L366" s="23">
        <v>1</v>
      </c>
    </row>
    <row r="367" spans="2:12" ht="18">
      <c r="B367" s="33">
        <v>13</v>
      </c>
      <c r="C367" s="33">
        <v>97</v>
      </c>
      <c r="D367" s="33">
        <v>6</v>
      </c>
      <c r="E367" s="33">
        <v>20</v>
      </c>
      <c r="F367" s="33">
        <v>3</v>
      </c>
      <c r="G367" s="33">
        <v>0</v>
      </c>
      <c r="H367" s="162"/>
      <c r="L367" s="23">
        <v>1</v>
      </c>
    </row>
    <row r="368" spans="2:12" ht="18">
      <c r="B368" s="33">
        <v>13</v>
      </c>
      <c r="C368" s="33">
        <v>97</v>
      </c>
      <c r="D368" s="33">
        <v>5</v>
      </c>
      <c r="E368" s="33">
        <v>17</v>
      </c>
      <c r="F368" s="33">
        <v>6</v>
      </c>
      <c r="G368" s="33">
        <v>0</v>
      </c>
      <c r="H368" s="162"/>
      <c r="L368" s="23">
        <v>1</v>
      </c>
    </row>
    <row r="369" spans="2:12" ht="18">
      <c r="B369" s="33">
        <v>13</v>
      </c>
      <c r="C369" s="33">
        <v>97</v>
      </c>
      <c r="D369" s="33">
        <v>4</v>
      </c>
      <c r="E369" s="33">
        <v>6</v>
      </c>
      <c r="F369" s="33">
        <v>2</v>
      </c>
      <c r="G369" s="33">
        <v>0</v>
      </c>
      <c r="H369" s="162"/>
      <c r="L369" s="23">
        <v>1</v>
      </c>
    </row>
    <row r="370" spans="2:12" ht="18">
      <c r="B370" s="33">
        <v>13</v>
      </c>
      <c r="C370" s="33">
        <v>97</v>
      </c>
      <c r="D370" s="33">
        <v>3</v>
      </c>
      <c r="E370" s="33">
        <v>10</v>
      </c>
      <c r="F370" s="33">
        <v>0</v>
      </c>
      <c r="G370" s="33">
        <v>0</v>
      </c>
      <c r="H370" s="162"/>
      <c r="L370" s="23">
        <v>1</v>
      </c>
    </row>
    <row r="371" spans="2:12" ht="18">
      <c r="B371" s="33">
        <v>13</v>
      </c>
      <c r="C371" s="33">
        <v>97</v>
      </c>
      <c r="D371" s="33">
        <v>2</v>
      </c>
      <c r="E371" s="33">
        <v>5</v>
      </c>
      <c r="F371" s="33">
        <v>0</v>
      </c>
      <c r="G371" s="33">
        <v>0</v>
      </c>
      <c r="H371" s="162"/>
      <c r="L371" s="23">
        <v>1</v>
      </c>
    </row>
    <row r="372" spans="2:12" ht="18">
      <c r="B372" s="33">
        <v>13</v>
      </c>
      <c r="C372" s="33">
        <v>89</v>
      </c>
      <c r="D372" s="33">
        <v>11</v>
      </c>
      <c r="E372" s="33">
        <v>17</v>
      </c>
      <c r="F372" s="33">
        <v>6</v>
      </c>
      <c r="G372" s="33">
        <v>0</v>
      </c>
      <c r="H372" s="162"/>
      <c r="L372" s="23">
        <v>1</v>
      </c>
    </row>
    <row r="373" spans="2:12" ht="18">
      <c r="B373" s="33">
        <v>13</v>
      </c>
      <c r="C373" s="33">
        <v>89</v>
      </c>
      <c r="D373" s="33">
        <v>10</v>
      </c>
      <c r="E373" s="33">
        <v>11</v>
      </c>
      <c r="F373" s="33">
        <v>13</v>
      </c>
      <c r="G373" s="33">
        <v>0</v>
      </c>
      <c r="H373" s="162"/>
      <c r="L373" s="23">
        <v>1</v>
      </c>
    </row>
    <row r="374" spans="2:12" ht="18">
      <c r="B374" s="33">
        <v>13</v>
      </c>
      <c r="C374" s="33">
        <v>118</v>
      </c>
      <c r="D374" s="33">
        <v>10</v>
      </c>
      <c r="E374" s="33">
        <v>11</v>
      </c>
      <c r="F374" s="33">
        <v>9</v>
      </c>
      <c r="G374" s="33">
        <v>2</v>
      </c>
      <c r="H374" s="162"/>
      <c r="L374" s="23">
        <v>1</v>
      </c>
    </row>
    <row r="375" spans="2:12" ht="18">
      <c r="B375" s="33">
        <v>13</v>
      </c>
      <c r="C375" s="33">
        <v>87</v>
      </c>
      <c r="D375" s="33">
        <v>10</v>
      </c>
      <c r="E375" s="33">
        <v>19</v>
      </c>
      <c r="F375" s="33">
        <v>1</v>
      </c>
      <c r="G375" s="33">
        <v>5</v>
      </c>
      <c r="H375" s="162"/>
      <c r="L375" s="23">
        <v>1</v>
      </c>
    </row>
    <row r="376" spans="2:12" ht="18">
      <c r="B376" s="33">
        <v>13</v>
      </c>
      <c r="C376" s="33">
        <v>77</v>
      </c>
      <c r="D376" s="33">
        <v>10</v>
      </c>
      <c r="E376" s="33">
        <v>13</v>
      </c>
      <c r="F376" s="33">
        <v>6</v>
      </c>
      <c r="G376" s="33">
        <v>0</v>
      </c>
      <c r="H376" s="162"/>
      <c r="L376" s="23">
        <v>1</v>
      </c>
    </row>
    <row r="377" spans="2:12" ht="18">
      <c r="B377" s="33">
        <v>13</v>
      </c>
      <c r="C377" s="33">
        <v>73</v>
      </c>
      <c r="D377" s="33">
        <v>10</v>
      </c>
      <c r="E377" s="33">
        <v>0</v>
      </c>
      <c r="F377" s="33">
        <v>4</v>
      </c>
      <c r="G377" s="33">
        <v>0</v>
      </c>
      <c r="H377" s="162"/>
      <c r="L377" s="23">
        <v>1</v>
      </c>
    </row>
    <row r="378" spans="2:12" ht="18">
      <c r="B378" s="33">
        <v>13</v>
      </c>
      <c r="C378" s="33">
        <v>79</v>
      </c>
      <c r="D378" s="33">
        <v>2</v>
      </c>
      <c r="E378" s="33">
        <v>0</v>
      </c>
      <c r="F378" s="33">
        <v>5</v>
      </c>
      <c r="G378" s="33">
        <v>0</v>
      </c>
      <c r="H378" s="162"/>
      <c r="L378" s="23">
        <v>1</v>
      </c>
    </row>
    <row r="379" spans="2:12" ht="18">
      <c r="B379" s="33">
        <v>13</v>
      </c>
      <c r="C379" s="33">
        <v>79</v>
      </c>
      <c r="D379" s="33">
        <v>3</v>
      </c>
      <c r="E379" s="33">
        <v>0</v>
      </c>
      <c r="F379" s="33">
        <v>10</v>
      </c>
      <c r="G379" s="33">
        <v>0</v>
      </c>
      <c r="H379" s="162"/>
      <c r="L379" s="23">
        <v>1</v>
      </c>
    </row>
    <row r="380" spans="2:12" ht="18">
      <c r="B380" s="33">
        <v>13</v>
      </c>
      <c r="C380" s="33">
        <v>79</v>
      </c>
      <c r="D380" s="33">
        <v>4</v>
      </c>
      <c r="E380" s="33">
        <v>0</v>
      </c>
      <c r="F380" s="33">
        <v>9</v>
      </c>
      <c r="G380" s="33">
        <v>1</v>
      </c>
      <c r="H380" s="162"/>
      <c r="L380" s="23">
        <v>1</v>
      </c>
    </row>
    <row r="381" spans="2:12" ht="18">
      <c r="B381" s="33">
        <v>13</v>
      </c>
      <c r="C381" s="33">
        <v>79</v>
      </c>
      <c r="D381" s="33">
        <v>5</v>
      </c>
      <c r="E381" s="33">
        <v>0</v>
      </c>
      <c r="F381" s="33">
        <v>11</v>
      </c>
      <c r="G381" s="33">
        <v>0</v>
      </c>
      <c r="H381" s="162"/>
      <c r="L381" s="23">
        <v>1</v>
      </c>
    </row>
    <row r="382" spans="2:12" ht="18">
      <c r="B382" s="33">
        <v>13</v>
      </c>
      <c r="C382" s="33">
        <v>79</v>
      </c>
      <c r="D382" s="33">
        <v>6</v>
      </c>
      <c r="E382" s="33">
        <v>1</v>
      </c>
      <c r="F382" s="33">
        <v>17</v>
      </c>
      <c r="G382" s="33">
        <v>0</v>
      </c>
      <c r="H382" s="162"/>
      <c r="L382" s="23">
        <v>1</v>
      </c>
    </row>
    <row r="383" spans="2:12" ht="18">
      <c r="B383" s="33">
        <v>13</v>
      </c>
      <c r="C383" s="33">
        <v>79</v>
      </c>
      <c r="D383" s="33">
        <v>7</v>
      </c>
      <c r="E383" s="33">
        <v>1</v>
      </c>
      <c r="F383" s="33">
        <v>9</v>
      </c>
      <c r="G383" s="33">
        <v>0</v>
      </c>
      <c r="H383" s="162"/>
      <c r="L383" s="23">
        <v>1</v>
      </c>
    </row>
    <row r="384" spans="2:12" ht="18">
      <c r="B384" s="33">
        <v>13</v>
      </c>
      <c r="C384" s="33">
        <v>79</v>
      </c>
      <c r="D384" s="33">
        <v>8</v>
      </c>
      <c r="E384" s="33">
        <v>0</v>
      </c>
      <c r="F384" s="33">
        <v>13</v>
      </c>
      <c r="G384" s="33">
        <v>0</v>
      </c>
      <c r="H384" s="162"/>
      <c r="L384" s="23">
        <v>1</v>
      </c>
    </row>
    <row r="385" spans="2:12" ht="18">
      <c r="B385" s="33">
        <v>13</v>
      </c>
      <c r="C385" s="33">
        <v>79</v>
      </c>
      <c r="D385" s="33">
        <v>9</v>
      </c>
      <c r="E385" s="33">
        <v>0</v>
      </c>
      <c r="F385" s="33">
        <v>8</v>
      </c>
      <c r="G385" s="33">
        <v>0</v>
      </c>
      <c r="H385" s="162"/>
      <c r="L385" s="23">
        <v>1</v>
      </c>
    </row>
    <row r="386" spans="2:12" ht="18">
      <c r="B386" s="33">
        <v>13</v>
      </c>
      <c r="C386" s="33">
        <v>79</v>
      </c>
      <c r="D386" s="33">
        <v>10</v>
      </c>
      <c r="E386" s="33">
        <v>0</v>
      </c>
      <c r="F386" s="33">
        <v>11</v>
      </c>
      <c r="G386" s="33">
        <v>0</v>
      </c>
      <c r="H386" s="162"/>
      <c r="L386" s="23">
        <v>1</v>
      </c>
    </row>
    <row r="387" spans="2:12" ht="18">
      <c r="B387" s="33">
        <v>13</v>
      </c>
      <c r="C387" s="33">
        <v>79</v>
      </c>
      <c r="D387" s="33">
        <v>11</v>
      </c>
      <c r="E387" s="33">
        <v>1</v>
      </c>
      <c r="F387" s="33">
        <v>10</v>
      </c>
      <c r="G387" s="33">
        <v>0</v>
      </c>
      <c r="H387" s="162"/>
      <c r="L387" s="23">
        <v>1</v>
      </c>
    </row>
    <row r="388" spans="2:12" ht="18">
      <c r="B388" s="33">
        <v>13</v>
      </c>
      <c r="C388" s="33">
        <v>105</v>
      </c>
      <c r="D388" s="33">
        <v>8</v>
      </c>
      <c r="E388" s="33">
        <v>14</v>
      </c>
      <c r="F388" s="33">
        <v>5</v>
      </c>
      <c r="G388" s="33">
        <v>0</v>
      </c>
      <c r="H388" s="162"/>
      <c r="L388" s="23">
        <v>1</v>
      </c>
    </row>
    <row r="389" spans="2:12" ht="18">
      <c r="B389" s="33">
        <v>13</v>
      </c>
      <c r="C389" s="33">
        <v>105</v>
      </c>
      <c r="D389" s="33">
        <v>9</v>
      </c>
      <c r="E389" s="33">
        <v>10</v>
      </c>
      <c r="F389" s="33">
        <v>4</v>
      </c>
      <c r="G389" s="33">
        <v>0</v>
      </c>
      <c r="H389" s="162"/>
      <c r="L389" s="23">
        <v>1</v>
      </c>
    </row>
    <row r="390" spans="2:12" ht="18">
      <c r="B390" s="33">
        <v>13</v>
      </c>
      <c r="C390" s="33">
        <v>105</v>
      </c>
      <c r="D390" s="33">
        <v>10</v>
      </c>
      <c r="E390" s="33">
        <v>18</v>
      </c>
      <c r="F390" s="33">
        <v>12</v>
      </c>
      <c r="G390" s="33">
        <v>0</v>
      </c>
      <c r="H390" s="162"/>
      <c r="L390" s="23">
        <v>1</v>
      </c>
    </row>
    <row r="391" spans="2:12" ht="18">
      <c r="B391" s="33">
        <v>13</v>
      </c>
      <c r="C391" s="33">
        <v>112</v>
      </c>
      <c r="D391" s="33">
        <v>11</v>
      </c>
      <c r="E391" s="33">
        <v>25</v>
      </c>
      <c r="F391" s="33">
        <v>12</v>
      </c>
      <c r="G391" s="33">
        <v>0</v>
      </c>
      <c r="H391" s="162"/>
      <c r="L391" s="23">
        <v>1</v>
      </c>
    </row>
    <row r="392" spans="2:12" ht="18">
      <c r="B392" s="33">
        <v>13</v>
      </c>
      <c r="C392" s="33">
        <v>77</v>
      </c>
      <c r="D392" s="33">
        <v>11</v>
      </c>
      <c r="E392" s="33">
        <v>15</v>
      </c>
      <c r="F392" s="33">
        <v>5</v>
      </c>
      <c r="G392" s="33">
        <v>1</v>
      </c>
      <c r="H392" s="162"/>
      <c r="L392" s="23">
        <v>1</v>
      </c>
    </row>
    <row r="393" spans="2:12" ht="18">
      <c r="B393" s="33">
        <v>13</v>
      </c>
      <c r="C393" s="33">
        <v>66</v>
      </c>
      <c r="D393" s="33">
        <v>10</v>
      </c>
      <c r="E393" s="33">
        <v>3</v>
      </c>
      <c r="F393" s="33">
        <v>5</v>
      </c>
      <c r="G393" s="33">
        <v>0</v>
      </c>
      <c r="H393" s="162"/>
      <c r="L393" s="23">
        <v>1</v>
      </c>
    </row>
    <row r="394" spans="2:12" ht="18">
      <c r="B394" s="33">
        <v>13</v>
      </c>
      <c r="C394" s="33">
        <v>66</v>
      </c>
      <c r="D394" s="33">
        <v>11</v>
      </c>
      <c r="E394" s="33">
        <v>7</v>
      </c>
      <c r="F394" s="33">
        <v>15</v>
      </c>
      <c r="G394" s="33">
        <v>1</v>
      </c>
      <c r="H394" s="162"/>
      <c r="L394" s="23">
        <v>1</v>
      </c>
    </row>
    <row r="395" spans="2:12" ht="18">
      <c r="B395" s="33">
        <v>13</v>
      </c>
      <c r="C395" s="33">
        <v>104</v>
      </c>
      <c r="D395" s="33">
        <v>4</v>
      </c>
      <c r="E395" s="33">
        <v>1</v>
      </c>
      <c r="F395" s="33">
        <v>2</v>
      </c>
      <c r="G395" s="33">
        <v>0</v>
      </c>
      <c r="H395" s="162"/>
      <c r="L395" s="23">
        <v>1</v>
      </c>
    </row>
    <row r="396" spans="2:12" ht="18">
      <c r="B396" s="33">
        <v>13</v>
      </c>
      <c r="C396" s="33">
        <v>104</v>
      </c>
      <c r="D396" s="33">
        <v>5</v>
      </c>
      <c r="E396" s="33">
        <v>7</v>
      </c>
      <c r="F396" s="33">
        <v>3</v>
      </c>
      <c r="G396" s="33">
        <v>0</v>
      </c>
      <c r="H396" s="162"/>
      <c r="L396" s="23">
        <v>1</v>
      </c>
    </row>
    <row r="397" spans="2:12" ht="18">
      <c r="B397" s="33">
        <v>13</v>
      </c>
      <c r="C397" s="33">
        <v>104</v>
      </c>
      <c r="D397" s="33">
        <v>6</v>
      </c>
      <c r="E397" s="33">
        <v>14</v>
      </c>
      <c r="F397" s="33">
        <v>1</v>
      </c>
      <c r="G397" s="33">
        <v>0</v>
      </c>
      <c r="H397" s="162"/>
      <c r="L397" s="23">
        <v>1</v>
      </c>
    </row>
    <row r="398" spans="2:12" ht="18">
      <c r="B398" s="33">
        <v>13</v>
      </c>
      <c r="C398" s="33">
        <v>123</v>
      </c>
      <c r="D398" s="33">
        <v>6</v>
      </c>
      <c r="E398" s="33">
        <v>17</v>
      </c>
      <c r="F398" s="33">
        <v>8</v>
      </c>
      <c r="G398" s="33">
        <v>0</v>
      </c>
      <c r="H398" s="162"/>
      <c r="L398" s="23">
        <v>1</v>
      </c>
    </row>
    <row r="399" spans="2:12" ht="18">
      <c r="B399" s="33">
        <v>13</v>
      </c>
      <c r="C399" s="33">
        <v>123</v>
      </c>
      <c r="D399" s="33">
        <v>7</v>
      </c>
      <c r="E399" s="33">
        <v>13</v>
      </c>
      <c r="F399" s="33">
        <v>12</v>
      </c>
      <c r="G399" s="33">
        <v>0</v>
      </c>
      <c r="H399" s="162"/>
      <c r="L399" s="23">
        <v>1</v>
      </c>
    </row>
    <row r="400" spans="2:12" ht="18">
      <c r="B400" s="33">
        <v>13</v>
      </c>
      <c r="C400" s="33">
        <v>123</v>
      </c>
      <c r="D400" s="33">
        <v>8</v>
      </c>
      <c r="E400" s="33">
        <v>8</v>
      </c>
      <c r="F400" s="33">
        <v>10</v>
      </c>
      <c r="G400" s="33">
        <v>0</v>
      </c>
      <c r="H400" s="162"/>
      <c r="L400" s="23">
        <v>1</v>
      </c>
    </row>
    <row r="401" spans="2:12" ht="18">
      <c r="B401" s="33">
        <v>13</v>
      </c>
      <c r="C401" s="33">
        <v>123</v>
      </c>
      <c r="D401" s="33">
        <v>9</v>
      </c>
      <c r="E401" s="33">
        <v>19</v>
      </c>
      <c r="F401" s="33">
        <v>4</v>
      </c>
      <c r="G401" s="33">
        <v>0</v>
      </c>
      <c r="H401" s="162"/>
      <c r="L401" s="23">
        <v>1</v>
      </c>
    </row>
    <row r="402" spans="2:12" ht="18">
      <c r="B402" s="33">
        <v>13</v>
      </c>
      <c r="C402" s="33">
        <v>123</v>
      </c>
      <c r="D402" s="33">
        <v>10</v>
      </c>
      <c r="E402" s="33">
        <v>0</v>
      </c>
      <c r="F402" s="33">
        <v>4</v>
      </c>
      <c r="G402" s="33">
        <v>0</v>
      </c>
      <c r="H402" s="162"/>
      <c r="L402" s="23">
        <v>1</v>
      </c>
    </row>
    <row r="403" spans="2:12" ht="18">
      <c r="B403" s="33">
        <v>13</v>
      </c>
      <c r="C403" s="33">
        <v>123</v>
      </c>
      <c r="D403" s="33">
        <v>11</v>
      </c>
      <c r="E403" s="33">
        <v>8</v>
      </c>
      <c r="F403" s="33">
        <v>6</v>
      </c>
      <c r="G403" s="33">
        <v>0</v>
      </c>
      <c r="H403" s="162"/>
      <c r="L403" s="23">
        <v>1</v>
      </c>
    </row>
    <row r="404" spans="2:12" ht="18">
      <c r="B404" s="33">
        <v>13</v>
      </c>
      <c r="C404" s="33">
        <v>123</v>
      </c>
      <c r="D404" s="33">
        <v>12</v>
      </c>
      <c r="E404" s="33">
        <v>15</v>
      </c>
      <c r="F404" s="33">
        <v>9</v>
      </c>
      <c r="G404" s="33">
        <v>0</v>
      </c>
      <c r="H404" s="162"/>
      <c r="L404" s="23">
        <v>1</v>
      </c>
    </row>
    <row r="405" spans="2:12" ht="18">
      <c r="B405" s="33">
        <v>13</v>
      </c>
      <c r="C405" s="33">
        <v>123</v>
      </c>
      <c r="D405" s="33">
        <v>13</v>
      </c>
      <c r="E405" s="33">
        <v>10</v>
      </c>
      <c r="F405" s="33">
        <v>10</v>
      </c>
      <c r="G405" s="33">
        <v>0</v>
      </c>
      <c r="H405" s="162"/>
      <c r="L405" s="23">
        <v>1</v>
      </c>
    </row>
    <row r="406" spans="2:12" ht="18">
      <c r="B406" s="33">
        <v>13</v>
      </c>
      <c r="C406" s="33">
        <v>76</v>
      </c>
      <c r="D406" s="33">
        <v>12</v>
      </c>
      <c r="E406" s="33">
        <v>16</v>
      </c>
      <c r="F406" s="33">
        <v>4</v>
      </c>
      <c r="G406" s="33">
        <v>3</v>
      </c>
      <c r="H406" s="162"/>
      <c r="L406" s="23">
        <v>1</v>
      </c>
    </row>
    <row r="407" spans="2:12" ht="18">
      <c r="B407" s="33">
        <v>13</v>
      </c>
      <c r="C407" s="33">
        <v>76</v>
      </c>
      <c r="D407" s="33">
        <v>13</v>
      </c>
      <c r="E407" s="33">
        <v>15</v>
      </c>
      <c r="F407" s="33">
        <v>2</v>
      </c>
      <c r="G407" s="33">
        <v>2</v>
      </c>
      <c r="H407" s="162"/>
      <c r="L407" s="23">
        <v>1</v>
      </c>
    </row>
    <row r="408" spans="2:12" ht="18">
      <c r="B408" s="33">
        <v>13</v>
      </c>
      <c r="C408" s="33">
        <v>116</v>
      </c>
      <c r="D408" s="33">
        <v>12</v>
      </c>
      <c r="E408" s="33">
        <v>11</v>
      </c>
      <c r="F408" s="33">
        <v>4</v>
      </c>
      <c r="G408" s="33">
        <v>0</v>
      </c>
      <c r="H408" s="162"/>
      <c r="L408" s="23">
        <v>1</v>
      </c>
    </row>
    <row r="409" spans="2:12" ht="18">
      <c r="B409" s="33">
        <v>13</v>
      </c>
      <c r="C409" s="33">
        <v>116</v>
      </c>
      <c r="D409" s="33">
        <v>11</v>
      </c>
      <c r="E409" s="33">
        <v>0</v>
      </c>
      <c r="F409" s="33">
        <v>0</v>
      </c>
      <c r="G409" s="33">
        <v>0</v>
      </c>
      <c r="H409" s="162"/>
      <c r="L409" s="23">
        <v>1</v>
      </c>
    </row>
    <row r="410" spans="2:12" ht="18">
      <c r="B410" s="33">
        <v>13</v>
      </c>
      <c r="C410" s="33">
        <v>115</v>
      </c>
      <c r="D410" s="33">
        <v>12</v>
      </c>
      <c r="E410" s="33">
        <v>0</v>
      </c>
      <c r="F410" s="33">
        <v>12</v>
      </c>
      <c r="G410" s="33">
        <v>0</v>
      </c>
      <c r="H410" s="162"/>
      <c r="L410" s="23">
        <v>1</v>
      </c>
    </row>
    <row r="411" spans="2:12" ht="18">
      <c r="B411" s="33">
        <v>13</v>
      </c>
      <c r="C411" s="33">
        <v>115</v>
      </c>
      <c r="D411" s="33">
        <v>11</v>
      </c>
      <c r="E411" s="33">
        <v>2</v>
      </c>
      <c r="F411" s="33">
        <v>16</v>
      </c>
      <c r="G411" s="33">
        <v>0</v>
      </c>
      <c r="H411" s="162"/>
      <c r="L411" s="23">
        <v>1</v>
      </c>
    </row>
    <row r="412" spans="2:12" ht="18">
      <c r="B412" s="33">
        <v>13</v>
      </c>
      <c r="C412" s="33">
        <v>96</v>
      </c>
      <c r="D412" s="33">
        <v>11</v>
      </c>
      <c r="E412" s="33">
        <v>4</v>
      </c>
      <c r="F412" s="33">
        <v>7</v>
      </c>
      <c r="G412" s="33">
        <v>0</v>
      </c>
      <c r="H412" s="162"/>
      <c r="L412" s="23">
        <v>1</v>
      </c>
    </row>
    <row r="413" spans="2:12" ht="18">
      <c r="B413" s="33">
        <v>13</v>
      </c>
      <c r="C413" s="33">
        <v>89</v>
      </c>
      <c r="D413" s="33">
        <v>11</v>
      </c>
      <c r="E413" s="33">
        <v>17</v>
      </c>
      <c r="F413" s="33">
        <v>6</v>
      </c>
      <c r="G413" s="33">
        <v>0</v>
      </c>
      <c r="H413" s="162"/>
      <c r="L413" s="23">
        <v>1</v>
      </c>
    </row>
    <row r="414" spans="2:12" ht="18">
      <c r="B414" s="33">
        <v>13</v>
      </c>
      <c r="C414" s="33">
        <v>114</v>
      </c>
      <c r="D414" s="33">
        <v>11</v>
      </c>
      <c r="E414" s="33">
        <v>17</v>
      </c>
      <c r="F414" s="33">
        <v>2</v>
      </c>
      <c r="G414" s="33">
        <v>2</v>
      </c>
      <c r="H414" s="162"/>
      <c r="L414" s="23">
        <v>1</v>
      </c>
    </row>
    <row r="415" spans="2:12" ht="18">
      <c r="B415" s="33">
        <v>13</v>
      </c>
      <c r="C415" s="33">
        <v>114</v>
      </c>
      <c r="D415" s="33">
        <v>12</v>
      </c>
      <c r="E415" s="33">
        <v>23</v>
      </c>
      <c r="F415" s="33">
        <v>7</v>
      </c>
      <c r="G415" s="33">
        <v>6</v>
      </c>
      <c r="H415" s="162"/>
      <c r="L415" s="23">
        <v>1</v>
      </c>
    </row>
    <row r="416" spans="2:12" ht="18">
      <c r="B416" s="33">
        <v>13</v>
      </c>
      <c r="C416" s="33">
        <v>76</v>
      </c>
      <c r="D416" s="33">
        <v>11</v>
      </c>
      <c r="E416" s="33">
        <v>12</v>
      </c>
      <c r="F416" s="33">
        <v>5</v>
      </c>
      <c r="G416" s="33">
        <v>1</v>
      </c>
      <c r="H416" s="162"/>
      <c r="L416" s="23">
        <v>1</v>
      </c>
    </row>
    <row r="417" spans="2:12" ht="18">
      <c r="B417" s="33">
        <v>13</v>
      </c>
      <c r="C417" s="33">
        <v>99</v>
      </c>
      <c r="D417" s="33">
        <v>11</v>
      </c>
      <c r="E417" s="33">
        <v>17</v>
      </c>
      <c r="F417" s="33">
        <v>7</v>
      </c>
      <c r="G417" s="33">
        <v>0</v>
      </c>
      <c r="H417" s="162"/>
      <c r="L417" s="23">
        <v>1</v>
      </c>
    </row>
    <row r="418" spans="2:12" ht="18">
      <c r="B418" s="33">
        <v>13</v>
      </c>
      <c r="C418" s="33">
        <v>91</v>
      </c>
      <c r="D418" s="33">
        <v>10</v>
      </c>
      <c r="E418" s="33">
        <v>13</v>
      </c>
      <c r="F418" s="33">
        <v>12</v>
      </c>
      <c r="G418" s="33">
        <v>0</v>
      </c>
      <c r="H418" s="162"/>
      <c r="L418" s="23">
        <v>1</v>
      </c>
    </row>
    <row r="419" spans="2:12" ht="18">
      <c r="B419" s="33">
        <v>13</v>
      </c>
      <c r="C419" s="33">
        <v>91</v>
      </c>
      <c r="D419" s="33">
        <v>9</v>
      </c>
      <c r="E419" s="33">
        <v>16</v>
      </c>
      <c r="F419" s="33">
        <v>8</v>
      </c>
      <c r="G419" s="33">
        <v>1</v>
      </c>
      <c r="H419" s="162"/>
      <c r="L419" s="23">
        <v>1</v>
      </c>
    </row>
    <row r="420" spans="2:12" ht="18">
      <c r="B420" s="33">
        <v>13</v>
      </c>
      <c r="C420" s="33">
        <v>91</v>
      </c>
      <c r="D420" s="33">
        <v>8</v>
      </c>
      <c r="E420" s="33">
        <v>14</v>
      </c>
      <c r="F420" s="33">
        <v>10</v>
      </c>
      <c r="G420" s="33">
        <v>1</v>
      </c>
      <c r="H420" s="162"/>
      <c r="L420" s="23">
        <v>1</v>
      </c>
    </row>
    <row r="421" spans="2:12" ht="18">
      <c r="B421" s="33">
        <v>13</v>
      </c>
      <c r="C421" s="33">
        <v>106</v>
      </c>
      <c r="D421" s="33">
        <v>11</v>
      </c>
      <c r="E421" s="33">
        <v>11</v>
      </c>
      <c r="F421" s="33">
        <v>6</v>
      </c>
      <c r="G421" s="33">
        <v>2</v>
      </c>
      <c r="H421" s="162"/>
      <c r="L421" s="23">
        <v>1</v>
      </c>
    </row>
    <row r="422" spans="2:12" ht="18">
      <c r="B422" s="33">
        <v>13</v>
      </c>
      <c r="C422" s="33">
        <v>106</v>
      </c>
      <c r="D422" s="33">
        <v>12</v>
      </c>
      <c r="E422" s="33">
        <v>9</v>
      </c>
      <c r="F422" s="33">
        <v>2</v>
      </c>
      <c r="G422" s="33">
        <v>0</v>
      </c>
      <c r="H422" s="162"/>
      <c r="L422" s="23">
        <v>1</v>
      </c>
    </row>
    <row r="423" spans="2:12" ht="18">
      <c r="B423" s="33">
        <v>13</v>
      </c>
      <c r="C423" s="33">
        <v>106</v>
      </c>
      <c r="D423" s="33">
        <v>13</v>
      </c>
      <c r="E423" s="33">
        <v>10</v>
      </c>
      <c r="F423" s="33">
        <v>10</v>
      </c>
      <c r="G423" s="33">
        <v>0</v>
      </c>
      <c r="H423" s="162"/>
      <c r="L423" s="23">
        <v>1</v>
      </c>
    </row>
    <row r="424" spans="2:12" ht="18">
      <c r="B424" s="33">
        <v>13</v>
      </c>
      <c r="C424" s="33">
        <v>118</v>
      </c>
      <c r="D424" s="33">
        <v>11</v>
      </c>
      <c r="E424" s="33">
        <v>10</v>
      </c>
      <c r="F424" s="33">
        <v>7</v>
      </c>
      <c r="G424" s="33">
        <v>0</v>
      </c>
      <c r="H424" s="162"/>
      <c r="L424" s="23">
        <v>1</v>
      </c>
    </row>
    <row r="425" spans="2:12" ht="18">
      <c r="B425" s="33">
        <v>13</v>
      </c>
      <c r="C425" s="33">
        <v>87</v>
      </c>
      <c r="D425" s="33">
        <v>12</v>
      </c>
      <c r="E425" s="33">
        <v>20</v>
      </c>
      <c r="F425" s="33">
        <v>1</v>
      </c>
      <c r="G425" s="33">
        <v>4</v>
      </c>
      <c r="H425" s="162"/>
      <c r="L425" s="23">
        <v>1</v>
      </c>
    </row>
    <row r="426" spans="2:12" ht="18">
      <c r="B426" s="33">
        <v>13</v>
      </c>
      <c r="C426" s="33">
        <v>87</v>
      </c>
      <c r="D426" s="33">
        <v>11</v>
      </c>
      <c r="E426" s="33">
        <v>18</v>
      </c>
      <c r="F426" s="33">
        <v>2</v>
      </c>
      <c r="G426" s="33">
        <v>5</v>
      </c>
      <c r="H426" s="162"/>
      <c r="L426" s="23">
        <v>1</v>
      </c>
    </row>
    <row r="427" spans="2:12" ht="18">
      <c r="B427" s="33">
        <v>13</v>
      </c>
      <c r="C427" s="33">
        <v>120</v>
      </c>
      <c r="D427" s="33">
        <v>13</v>
      </c>
      <c r="E427" s="33">
        <v>19</v>
      </c>
      <c r="F427" s="33">
        <v>6</v>
      </c>
      <c r="G427" s="33">
        <v>0</v>
      </c>
      <c r="H427" s="162"/>
      <c r="L427" s="23">
        <v>1</v>
      </c>
    </row>
    <row r="428" spans="2:12" ht="18">
      <c r="B428" s="33">
        <v>13</v>
      </c>
      <c r="C428" s="33">
        <v>120</v>
      </c>
      <c r="D428" s="33">
        <v>12</v>
      </c>
      <c r="E428" s="33">
        <v>4</v>
      </c>
      <c r="F428" s="33">
        <v>21</v>
      </c>
      <c r="G428" s="33">
        <v>0</v>
      </c>
      <c r="H428" s="162"/>
      <c r="L428" s="23">
        <v>1</v>
      </c>
    </row>
    <row r="429" spans="2:12" ht="18">
      <c r="B429" s="33">
        <v>13</v>
      </c>
      <c r="C429" s="33">
        <v>120</v>
      </c>
      <c r="D429" s="33">
        <v>11</v>
      </c>
      <c r="E429" s="33">
        <v>8</v>
      </c>
      <c r="F429" s="33">
        <v>17</v>
      </c>
      <c r="G429" s="33">
        <v>0</v>
      </c>
      <c r="H429" s="162"/>
      <c r="L429" s="23">
        <v>1</v>
      </c>
    </row>
    <row r="430" spans="2:12" ht="18">
      <c r="B430" s="33">
        <v>13</v>
      </c>
      <c r="C430" s="33">
        <v>88</v>
      </c>
      <c r="D430" s="33">
        <v>11</v>
      </c>
      <c r="E430" s="33">
        <v>16</v>
      </c>
      <c r="F430" s="33">
        <v>0</v>
      </c>
      <c r="G430" s="33">
        <v>9</v>
      </c>
      <c r="H430" s="162"/>
      <c r="L430" s="23">
        <v>1</v>
      </c>
    </row>
    <row r="431" spans="2:12" ht="18">
      <c r="B431" s="33">
        <v>13</v>
      </c>
      <c r="C431" s="33">
        <v>88</v>
      </c>
      <c r="D431" s="33">
        <v>12</v>
      </c>
      <c r="E431" s="33">
        <v>18</v>
      </c>
      <c r="F431" s="33">
        <v>2</v>
      </c>
      <c r="G431" s="33">
        <v>5</v>
      </c>
      <c r="H431" s="162"/>
      <c r="L431" s="23">
        <v>1</v>
      </c>
    </row>
    <row r="432" spans="2:12" ht="18">
      <c r="B432" s="33">
        <v>13</v>
      </c>
      <c r="C432" s="33">
        <v>88</v>
      </c>
      <c r="D432" s="33">
        <v>13</v>
      </c>
      <c r="E432" s="33">
        <v>20</v>
      </c>
      <c r="F432" s="33">
        <v>3</v>
      </c>
      <c r="G432" s="33">
        <v>2</v>
      </c>
      <c r="H432" s="162"/>
      <c r="L432" s="23">
        <v>1</v>
      </c>
    </row>
    <row r="433" spans="2:12" ht="18">
      <c r="B433" s="33">
        <v>13</v>
      </c>
      <c r="C433" s="33">
        <v>126</v>
      </c>
      <c r="D433" s="33">
        <v>11</v>
      </c>
      <c r="E433" s="33">
        <v>3</v>
      </c>
      <c r="F433" s="33">
        <v>7</v>
      </c>
      <c r="G433" s="33">
        <v>0</v>
      </c>
      <c r="H433" s="162"/>
      <c r="L433" s="23">
        <v>1</v>
      </c>
    </row>
    <row r="434" spans="2:12" ht="18">
      <c r="B434" s="33">
        <v>13</v>
      </c>
      <c r="C434" s="33">
        <v>126</v>
      </c>
      <c r="D434" s="33">
        <v>12</v>
      </c>
      <c r="E434" s="33">
        <v>6</v>
      </c>
      <c r="F434" s="33">
        <v>4</v>
      </c>
      <c r="G434" s="33">
        <v>0</v>
      </c>
      <c r="H434" s="162"/>
      <c r="L434" s="23">
        <v>1</v>
      </c>
    </row>
    <row r="435" spans="2:12" ht="18">
      <c r="B435" s="33">
        <v>13</v>
      </c>
      <c r="C435" s="33">
        <v>126</v>
      </c>
      <c r="D435" s="33">
        <v>13</v>
      </c>
      <c r="E435" s="33">
        <v>9</v>
      </c>
      <c r="F435" s="33">
        <v>7</v>
      </c>
      <c r="G435" s="33">
        <v>0</v>
      </c>
      <c r="H435" s="162"/>
      <c r="L435" s="23">
        <v>1</v>
      </c>
    </row>
    <row r="436" spans="2:12" ht="18">
      <c r="B436" s="33">
        <v>13</v>
      </c>
      <c r="C436" s="33">
        <v>97</v>
      </c>
      <c r="D436" s="33">
        <v>11</v>
      </c>
      <c r="E436" s="33">
        <v>17</v>
      </c>
      <c r="F436" s="33">
        <v>5</v>
      </c>
      <c r="G436" s="33">
        <v>0</v>
      </c>
      <c r="H436" s="162"/>
      <c r="L436" s="23">
        <v>1</v>
      </c>
    </row>
    <row r="437" spans="2:12" ht="18">
      <c r="B437" s="33">
        <v>13</v>
      </c>
      <c r="C437" s="33">
        <v>97</v>
      </c>
      <c r="D437" s="33">
        <v>12</v>
      </c>
      <c r="E437" s="33">
        <v>13</v>
      </c>
      <c r="F437" s="33">
        <v>2</v>
      </c>
      <c r="G437" s="33">
        <v>0</v>
      </c>
      <c r="H437" s="162"/>
      <c r="L437" s="23">
        <v>1</v>
      </c>
    </row>
    <row r="438" spans="2:12" ht="18">
      <c r="B438" s="33">
        <v>13</v>
      </c>
      <c r="C438" s="33">
        <v>77</v>
      </c>
      <c r="D438" s="33">
        <v>12</v>
      </c>
      <c r="E438" s="33">
        <v>18</v>
      </c>
      <c r="F438" s="33">
        <v>5</v>
      </c>
      <c r="G438" s="33">
        <v>1</v>
      </c>
      <c r="H438" s="162"/>
      <c r="L438" s="23">
        <v>1</v>
      </c>
    </row>
    <row r="439" spans="2:12" ht="18">
      <c r="B439" s="33">
        <v>13</v>
      </c>
      <c r="C439" s="33">
        <v>62</v>
      </c>
      <c r="D439" s="33">
        <v>13</v>
      </c>
      <c r="E439" s="33">
        <v>5</v>
      </c>
      <c r="F439" s="33">
        <v>11</v>
      </c>
      <c r="G439" s="33">
        <v>0</v>
      </c>
      <c r="H439" s="162"/>
      <c r="L439" s="23">
        <v>1</v>
      </c>
    </row>
    <row r="440" spans="2:12" ht="18">
      <c r="B440" s="33">
        <v>13</v>
      </c>
      <c r="C440" s="33">
        <v>62</v>
      </c>
      <c r="D440" s="33">
        <v>12</v>
      </c>
      <c r="E440" s="33">
        <v>6</v>
      </c>
      <c r="F440" s="33">
        <v>12</v>
      </c>
      <c r="G440" s="33">
        <v>0</v>
      </c>
      <c r="H440" s="162"/>
      <c r="L440" s="23">
        <v>1</v>
      </c>
    </row>
    <row r="441" spans="2:12" ht="18">
      <c r="B441" s="33">
        <v>13</v>
      </c>
      <c r="C441" s="33">
        <v>62</v>
      </c>
      <c r="D441" s="33">
        <v>11</v>
      </c>
      <c r="E441" s="33">
        <v>7</v>
      </c>
      <c r="F441" s="33">
        <v>10</v>
      </c>
      <c r="G441" s="33">
        <v>0</v>
      </c>
      <c r="H441" s="162"/>
      <c r="L441" s="23">
        <v>1</v>
      </c>
    </row>
    <row r="442" spans="2:12" ht="18">
      <c r="B442" s="33">
        <v>13</v>
      </c>
      <c r="C442" s="33">
        <v>116</v>
      </c>
      <c r="D442" s="33">
        <v>13</v>
      </c>
      <c r="E442" s="33">
        <v>8</v>
      </c>
      <c r="F442" s="33">
        <v>0</v>
      </c>
      <c r="G442" s="33">
        <v>0</v>
      </c>
      <c r="H442" s="162"/>
      <c r="L442" s="23">
        <v>1</v>
      </c>
    </row>
    <row r="443" spans="2:12" ht="18">
      <c r="B443" s="33">
        <v>13</v>
      </c>
      <c r="C443" s="33">
        <v>115</v>
      </c>
      <c r="D443" s="33">
        <v>13</v>
      </c>
      <c r="E443" s="33">
        <v>0</v>
      </c>
      <c r="F443" s="33">
        <v>15</v>
      </c>
      <c r="G443" s="33">
        <v>0</v>
      </c>
      <c r="H443" s="162"/>
      <c r="L443" s="23">
        <v>1</v>
      </c>
    </row>
    <row r="444" spans="2:12" ht="18">
      <c r="B444" s="33">
        <v>13</v>
      </c>
      <c r="C444" s="33">
        <v>118</v>
      </c>
      <c r="D444" s="33">
        <v>12</v>
      </c>
      <c r="E444" s="33">
        <v>12</v>
      </c>
      <c r="F444" s="33">
        <v>6</v>
      </c>
      <c r="G444" s="33">
        <v>1</v>
      </c>
      <c r="H444" s="162"/>
      <c r="L444" s="23">
        <v>1</v>
      </c>
    </row>
    <row r="445" spans="2:12" ht="18">
      <c r="B445" s="33">
        <v>13</v>
      </c>
      <c r="C445" s="33">
        <v>117</v>
      </c>
      <c r="D445" s="33">
        <v>12</v>
      </c>
      <c r="E445" s="33">
        <v>2</v>
      </c>
      <c r="F445" s="33">
        <v>20</v>
      </c>
      <c r="G445" s="33">
        <v>0</v>
      </c>
      <c r="H445" s="162"/>
      <c r="L445" s="23">
        <v>1</v>
      </c>
    </row>
    <row r="446" spans="2:12" ht="18">
      <c r="B446" s="33">
        <v>13</v>
      </c>
      <c r="C446" s="33">
        <v>104</v>
      </c>
      <c r="D446" s="33">
        <v>8</v>
      </c>
      <c r="E446" s="33">
        <v>4</v>
      </c>
      <c r="F446" s="33">
        <v>1</v>
      </c>
      <c r="G446" s="33">
        <v>1</v>
      </c>
      <c r="H446" s="162"/>
      <c r="L446" s="23">
        <v>1</v>
      </c>
    </row>
    <row r="447" spans="2:12" ht="18">
      <c r="B447" s="33">
        <v>13</v>
      </c>
      <c r="C447" s="33">
        <v>89</v>
      </c>
      <c r="D447" s="33">
        <v>12</v>
      </c>
      <c r="E447" s="33">
        <v>13</v>
      </c>
      <c r="F447" s="33">
        <v>7</v>
      </c>
      <c r="G447" s="33">
        <v>0</v>
      </c>
      <c r="H447" s="162"/>
      <c r="L447" s="23">
        <v>1</v>
      </c>
    </row>
    <row r="448" spans="2:12" ht="18">
      <c r="B448" s="33">
        <v>13</v>
      </c>
      <c r="C448" s="33">
        <v>96</v>
      </c>
      <c r="D448" s="33">
        <v>11</v>
      </c>
      <c r="E448" s="33">
        <v>8</v>
      </c>
      <c r="F448" s="33">
        <v>5</v>
      </c>
      <c r="G448" s="33">
        <v>0</v>
      </c>
      <c r="H448" s="162"/>
      <c r="L448" s="23">
        <v>1</v>
      </c>
    </row>
    <row r="449" spans="2:12" ht="18">
      <c r="B449" s="33">
        <v>13</v>
      </c>
      <c r="C449" s="33">
        <v>96</v>
      </c>
      <c r="D449" s="33">
        <v>12</v>
      </c>
      <c r="E449" s="33">
        <v>8</v>
      </c>
      <c r="F449" s="33">
        <v>8</v>
      </c>
      <c r="G449" s="33">
        <v>0</v>
      </c>
      <c r="H449" s="162"/>
      <c r="L449" s="23">
        <v>1</v>
      </c>
    </row>
    <row r="450" spans="2:12" ht="18">
      <c r="B450" s="33">
        <v>13</v>
      </c>
      <c r="C450" s="33">
        <v>67</v>
      </c>
      <c r="D450" s="33">
        <v>10</v>
      </c>
      <c r="E450" s="33">
        <v>1</v>
      </c>
      <c r="F450" s="33">
        <v>17</v>
      </c>
      <c r="G450" s="33">
        <v>0</v>
      </c>
      <c r="H450" s="162"/>
      <c r="L450" s="23">
        <v>1</v>
      </c>
    </row>
    <row r="451" spans="2:12" ht="18">
      <c r="B451" s="33">
        <v>13</v>
      </c>
      <c r="C451" s="33">
        <v>67</v>
      </c>
      <c r="D451" s="33">
        <v>11</v>
      </c>
      <c r="E451" s="33">
        <v>0</v>
      </c>
      <c r="F451" s="33">
        <v>6</v>
      </c>
      <c r="G451" s="33">
        <v>0</v>
      </c>
      <c r="H451" s="162"/>
      <c r="L451" s="23">
        <v>1</v>
      </c>
    </row>
    <row r="452" spans="2:12" ht="18">
      <c r="B452" s="33">
        <v>13</v>
      </c>
      <c r="C452" s="33">
        <v>67</v>
      </c>
      <c r="D452" s="33">
        <v>13</v>
      </c>
      <c r="E452" s="33">
        <v>0</v>
      </c>
      <c r="F452" s="33">
        <v>12</v>
      </c>
      <c r="G452" s="33">
        <v>0</v>
      </c>
      <c r="H452" s="162"/>
      <c r="L452" s="23">
        <v>1</v>
      </c>
    </row>
    <row r="453" spans="2:12" ht="18">
      <c r="B453" s="33">
        <v>13</v>
      </c>
      <c r="C453" s="33">
        <v>86</v>
      </c>
      <c r="D453" s="33">
        <v>12</v>
      </c>
      <c r="E453" s="33">
        <v>18</v>
      </c>
      <c r="F453" s="33">
        <v>3</v>
      </c>
      <c r="G453" s="33">
        <v>4</v>
      </c>
      <c r="H453" s="162"/>
      <c r="L453" s="23">
        <v>1</v>
      </c>
    </row>
    <row r="454" spans="2:12" ht="18">
      <c r="B454" s="33">
        <v>13</v>
      </c>
      <c r="C454" s="33">
        <v>114</v>
      </c>
      <c r="D454" s="33">
        <v>14</v>
      </c>
      <c r="E454" s="33">
        <v>25</v>
      </c>
      <c r="F454" s="33">
        <v>11</v>
      </c>
      <c r="G454" s="33">
        <v>8</v>
      </c>
      <c r="H454" s="162"/>
      <c r="L454" s="23">
        <v>1</v>
      </c>
    </row>
    <row r="455" spans="2:12" ht="18">
      <c r="B455" s="33">
        <v>13</v>
      </c>
      <c r="C455" s="33">
        <v>65</v>
      </c>
      <c r="D455" s="33">
        <v>13</v>
      </c>
      <c r="E455" s="33">
        <v>2</v>
      </c>
      <c r="F455" s="33">
        <v>4</v>
      </c>
      <c r="G455" s="33">
        <v>0</v>
      </c>
      <c r="H455" s="162"/>
      <c r="L455" s="23">
        <v>1</v>
      </c>
    </row>
    <row r="456" spans="2:12" ht="18">
      <c r="B456" s="33">
        <v>13</v>
      </c>
      <c r="C456" s="33">
        <v>65</v>
      </c>
      <c r="D456" s="33">
        <v>12</v>
      </c>
      <c r="E456" s="33">
        <v>6</v>
      </c>
      <c r="F456" s="33">
        <v>14</v>
      </c>
      <c r="G456" s="33">
        <v>0</v>
      </c>
      <c r="H456" s="162"/>
      <c r="L456" s="23">
        <v>1</v>
      </c>
    </row>
    <row r="457" spans="2:12" ht="18">
      <c r="B457" s="33">
        <v>13</v>
      </c>
      <c r="C457" s="33">
        <v>65</v>
      </c>
      <c r="D457" s="33">
        <v>11</v>
      </c>
      <c r="E457" s="33">
        <v>2</v>
      </c>
      <c r="F457" s="33">
        <v>11</v>
      </c>
      <c r="G457" s="33">
        <v>0</v>
      </c>
      <c r="H457" s="162"/>
      <c r="L457" s="23">
        <v>1</v>
      </c>
    </row>
    <row r="458" spans="2:12" ht="18">
      <c r="B458" s="33">
        <v>13</v>
      </c>
      <c r="C458" s="33">
        <v>75</v>
      </c>
      <c r="D458" s="33">
        <v>6</v>
      </c>
      <c r="E458" s="33">
        <v>2</v>
      </c>
      <c r="F458" s="33">
        <v>7</v>
      </c>
      <c r="G458" s="33">
        <v>0</v>
      </c>
      <c r="H458" s="162"/>
      <c r="L458" s="23">
        <v>1</v>
      </c>
    </row>
    <row r="459" spans="2:12" ht="18">
      <c r="B459" s="33">
        <v>13</v>
      </c>
      <c r="C459" s="33">
        <v>100</v>
      </c>
      <c r="D459" s="33">
        <v>11</v>
      </c>
      <c r="E459" s="33">
        <v>3</v>
      </c>
      <c r="F459" s="33">
        <v>1</v>
      </c>
      <c r="G459" s="33">
        <v>0</v>
      </c>
      <c r="H459" s="162"/>
      <c r="L459" s="23">
        <v>1</v>
      </c>
    </row>
    <row r="460" spans="2:12" ht="18">
      <c r="B460" s="33">
        <v>13</v>
      </c>
      <c r="C460" s="33">
        <v>100</v>
      </c>
      <c r="D460" s="33">
        <v>13</v>
      </c>
      <c r="E460" s="33">
        <v>4</v>
      </c>
      <c r="F460" s="33">
        <v>2</v>
      </c>
      <c r="G460" s="33">
        <v>0</v>
      </c>
      <c r="H460" s="162"/>
      <c r="L460" s="23">
        <v>1</v>
      </c>
    </row>
    <row r="461" spans="2:12" ht="18">
      <c r="B461" s="33">
        <v>13</v>
      </c>
      <c r="C461" s="33">
        <v>64</v>
      </c>
      <c r="D461" s="33">
        <v>11</v>
      </c>
      <c r="E461" s="33">
        <v>9</v>
      </c>
      <c r="F461" s="33">
        <v>18</v>
      </c>
      <c r="G461" s="33">
        <v>0</v>
      </c>
      <c r="H461" s="162"/>
      <c r="L461" s="23">
        <v>1</v>
      </c>
    </row>
    <row r="462" spans="2:12" ht="18">
      <c r="B462" s="33">
        <v>13</v>
      </c>
      <c r="C462" s="33">
        <v>73</v>
      </c>
      <c r="D462" s="33">
        <v>11</v>
      </c>
      <c r="E462" s="33">
        <v>1</v>
      </c>
      <c r="F462" s="33">
        <v>7</v>
      </c>
      <c r="G462" s="33">
        <v>0</v>
      </c>
      <c r="H462" s="162"/>
      <c r="L462" s="23">
        <v>1</v>
      </c>
    </row>
    <row r="463" spans="2:12" ht="18">
      <c r="B463" s="33">
        <v>13</v>
      </c>
      <c r="C463" s="33">
        <v>73</v>
      </c>
      <c r="D463" s="33">
        <v>12</v>
      </c>
      <c r="E463" s="33">
        <v>0</v>
      </c>
      <c r="F463" s="33">
        <v>0</v>
      </c>
      <c r="G463" s="33">
        <v>0</v>
      </c>
      <c r="H463" s="162"/>
      <c r="L463" s="23">
        <v>1</v>
      </c>
    </row>
    <row r="464" spans="2:12" ht="18">
      <c r="B464" s="33">
        <v>13</v>
      </c>
      <c r="C464" s="33">
        <v>73</v>
      </c>
      <c r="D464" s="33">
        <v>13</v>
      </c>
      <c r="E464" s="33">
        <v>0</v>
      </c>
      <c r="F464" s="33">
        <v>0</v>
      </c>
      <c r="G464" s="33">
        <v>0</v>
      </c>
      <c r="H464" s="162"/>
      <c r="L464" s="23">
        <v>1</v>
      </c>
    </row>
    <row r="465" spans="2:12" ht="18">
      <c r="B465" s="33">
        <v>13</v>
      </c>
      <c r="C465" s="33">
        <v>95</v>
      </c>
      <c r="D465" s="33">
        <v>9</v>
      </c>
      <c r="E465" s="33">
        <v>18</v>
      </c>
      <c r="F465" s="33">
        <v>7</v>
      </c>
      <c r="G465" s="33">
        <v>0</v>
      </c>
      <c r="H465" s="162"/>
      <c r="L465" s="23">
        <v>1</v>
      </c>
    </row>
    <row r="466" spans="2:12" ht="18">
      <c r="B466" s="33">
        <v>13</v>
      </c>
      <c r="C466" s="33">
        <v>95</v>
      </c>
      <c r="D466" s="33">
        <v>10</v>
      </c>
      <c r="E466" s="33">
        <v>21</v>
      </c>
      <c r="F466" s="33">
        <v>4</v>
      </c>
      <c r="G466" s="33">
        <v>0</v>
      </c>
      <c r="H466" s="162"/>
      <c r="L466" s="23">
        <v>1</v>
      </c>
    </row>
    <row r="467" spans="2:12" ht="18">
      <c r="B467" s="33">
        <v>13</v>
      </c>
      <c r="C467" s="33">
        <v>95</v>
      </c>
      <c r="D467" s="33">
        <v>11</v>
      </c>
      <c r="E467" s="33">
        <v>19</v>
      </c>
      <c r="F467" s="33">
        <v>6</v>
      </c>
      <c r="G467" s="33">
        <v>0</v>
      </c>
      <c r="H467" s="162"/>
      <c r="L467" s="23">
        <v>1</v>
      </c>
    </row>
    <row r="468" spans="2:12" ht="18">
      <c r="B468" s="33">
        <v>13</v>
      </c>
      <c r="C468" s="33">
        <v>95</v>
      </c>
      <c r="D468" s="33">
        <v>12</v>
      </c>
      <c r="E468" s="33">
        <v>23</v>
      </c>
      <c r="F468" s="33">
        <v>2</v>
      </c>
      <c r="G468" s="33">
        <v>0</v>
      </c>
      <c r="H468" s="162"/>
      <c r="L468" s="23">
        <v>1</v>
      </c>
    </row>
    <row r="469" spans="2:12" ht="18">
      <c r="B469" s="33">
        <v>13</v>
      </c>
      <c r="C469" s="33">
        <v>95</v>
      </c>
      <c r="D469" s="33">
        <v>13</v>
      </c>
      <c r="E469" s="33">
        <v>20</v>
      </c>
      <c r="F469" s="33">
        <v>5</v>
      </c>
      <c r="G469" s="33">
        <v>0</v>
      </c>
      <c r="H469" s="162"/>
      <c r="L469" s="23">
        <v>1</v>
      </c>
    </row>
    <row r="470" spans="2:12" ht="18">
      <c r="B470" s="33">
        <v>13</v>
      </c>
      <c r="C470" s="33">
        <v>105</v>
      </c>
      <c r="D470" s="33">
        <v>11</v>
      </c>
      <c r="E470" s="33">
        <v>16</v>
      </c>
      <c r="F470" s="33">
        <v>1</v>
      </c>
      <c r="G470" s="33">
        <v>0</v>
      </c>
      <c r="H470" s="162"/>
      <c r="L470" s="23">
        <v>1</v>
      </c>
    </row>
    <row r="471" spans="2:12" ht="18">
      <c r="B471" s="33">
        <v>13</v>
      </c>
      <c r="C471" s="33">
        <v>105</v>
      </c>
      <c r="D471" s="33">
        <v>12</v>
      </c>
      <c r="E471" s="33">
        <v>19</v>
      </c>
      <c r="F471" s="33">
        <v>3</v>
      </c>
      <c r="G471" s="33">
        <v>0</v>
      </c>
      <c r="H471" s="162"/>
      <c r="L471" s="23">
        <v>1</v>
      </c>
    </row>
    <row r="472" spans="2:12" ht="18">
      <c r="B472" s="33">
        <v>13</v>
      </c>
      <c r="C472" s="33">
        <v>105</v>
      </c>
      <c r="D472" s="33">
        <v>13</v>
      </c>
      <c r="E472" s="33">
        <v>8</v>
      </c>
      <c r="F472" s="33">
        <v>1</v>
      </c>
      <c r="G472" s="33">
        <v>0</v>
      </c>
      <c r="H472" s="162"/>
      <c r="L472" s="23">
        <v>1</v>
      </c>
    </row>
    <row r="473" spans="2:12" ht="18">
      <c r="B473" s="33">
        <v>13</v>
      </c>
      <c r="C473" s="33">
        <v>64</v>
      </c>
      <c r="D473" s="33">
        <v>13</v>
      </c>
      <c r="E473" s="33">
        <v>12</v>
      </c>
      <c r="F473" s="33">
        <v>13</v>
      </c>
      <c r="G473" s="33">
        <v>0</v>
      </c>
      <c r="H473" s="162"/>
      <c r="L473" s="23">
        <v>1</v>
      </c>
    </row>
    <row r="474" spans="2:12" ht="18">
      <c r="B474" s="33">
        <v>13</v>
      </c>
      <c r="C474" s="33">
        <v>112</v>
      </c>
      <c r="D474" s="33">
        <v>12</v>
      </c>
      <c r="E474" s="33">
        <v>24</v>
      </c>
      <c r="F474" s="33">
        <v>17</v>
      </c>
      <c r="G474" s="33">
        <v>0</v>
      </c>
      <c r="H474" s="162"/>
      <c r="L474" s="23">
        <v>1</v>
      </c>
    </row>
    <row r="475" spans="2:12" ht="18">
      <c r="B475" s="33">
        <v>13</v>
      </c>
      <c r="C475" s="33">
        <v>96</v>
      </c>
      <c r="D475" s="33">
        <v>13</v>
      </c>
      <c r="E475" s="33">
        <v>0</v>
      </c>
      <c r="F475" s="33">
        <v>6</v>
      </c>
      <c r="G475" s="33">
        <v>1</v>
      </c>
      <c r="H475" s="162"/>
      <c r="L475" s="23">
        <v>1</v>
      </c>
    </row>
    <row r="476" spans="2:12" ht="18">
      <c r="B476" s="33">
        <v>13</v>
      </c>
      <c r="C476" s="33">
        <v>121</v>
      </c>
      <c r="D476" s="33">
        <v>12</v>
      </c>
      <c r="E476" s="33">
        <v>15</v>
      </c>
      <c r="F476" s="33">
        <v>22</v>
      </c>
      <c r="G476" s="33">
        <v>0</v>
      </c>
      <c r="H476" s="162"/>
      <c r="L476" s="23">
        <v>1</v>
      </c>
    </row>
    <row r="477" spans="2:12" ht="18">
      <c r="B477" s="33">
        <v>13</v>
      </c>
      <c r="C477" s="33">
        <v>117</v>
      </c>
      <c r="D477" s="33">
        <v>13</v>
      </c>
      <c r="E477" s="33">
        <v>2</v>
      </c>
      <c r="F477" s="33">
        <v>11</v>
      </c>
      <c r="G477" s="33">
        <v>0</v>
      </c>
      <c r="H477" s="162"/>
      <c r="L477" s="23">
        <v>1</v>
      </c>
    </row>
    <row r="478" spans="2:12" ht="18">
      <c r="B478" s="33">
        <v>13</v>
      </c>
      <c r="C478" s="33">
        <v>78</v>
      </c>
      <c r="D478" s="33">
        <v>11</v>
      </c>
      <c r="E478" s="33">
        <v>0</v>
      </c>
      <c r="F478" s="33">
        <v>25</v>
      </c>
      <c r="G478" s="33">
        <v>0</v>
      </c>
      <c r="H478" s="162"/>
      <c r="L478" s="23">
        <v>1</v>
      </c>
    </row>
    <row r="479" spans="2:12" ht="18">
      <c r="B479" s="33">
        <v>13</v>
      </c>
      <c r="C479" s="33">
        <v>109</v>
      </c>
      <c r="D479" s="33">
        <v>11</v>
      </c>
      <c r="E479" s="33">
        <v>23</v>
      </c>
      <c r="F479" s="33">
        <v>15</v>
      </c>
      <c r="G479" s="33">
        <v>0</v>
      </c>
      <c r="H479" s="162"/>
      <c r="L479" s="23">
        <v>1</v>
      </c>
    </row>
    <row r="480" spans="2:12" ht="18">
      <c r="B480" s="33">
        <v>13</v>
      </c>
      <c r="C480" s="33">
        <v>78</v>
      </c>
      <c r="D480" s="33">
        <v>13</v>
      </c>
      <c r="E480" s="33">
        <v>0</v>
      </c>
      <c r="F480" s="33">
        <v>25</v>
      </c>
      <c r="G480" s="33">
        <v>0</v>
      </c>
      <c r="H480" s="162"/>
      <c r="L480" s="23">
        <v>1</v>
      </c>
    </row>
    <row r="481" spans="2:12" ht="18">
      <c r="B481" s="33">
        <v>13</v>
      </c>
      <c r="C481" s="33">
        <v>109</v>
      </c>
      <c r="D481" s="33">
        <v>10</v>
      </c>
      <c r="E481" s="33">
        <v>22</v>
      </c>
      <c r="F481" s="33">
        <v>10</v>
      </c>
      <c r="G481" s="33">
        <v>0</v>
      </c>
      <c r="H481" s="162"/>
      <c r="L481" s="23">
        <v>1</v>
      </c>
    </row>
    <row r="482" spans="2:12" ht="18">
      <c r="B482" s="33">
        <v>13</v>
      </c>
      <c r="C482" s="33">
        <v>78</v>
      </c>
      <c r="D482" s="33">
        <v>12</v>
      </c>
      <c r="E482" s="33">
        <v>0</v>
      </c>
      <c r="F482" s="33">
        <v>25</v>
      </c>
      <c r="G482" s="33">
        <v>0</v>
      </c>
      <c r="H482" s="162"/>
      <c r="L482" s="23">
        <v>1</v>
      </c>
    </row>
    <row r="483" spans="2:12" ht="18">
      <c r="B483" s="33">
        <v>13</v>
      </c>
      <c r="C483" s="33">
        <v>109</v>
      </c>
      <c r="D483" s="33">
        <v>12</v>
      </c>
      <c r="E483" s="33">
        <v>21</v>
      </c>
      <c r="F483" s="33">
        <v>12</v>
      </c>
      <c r="G483" s="33">
        <v>0</v>
      </c>
      <c r="H483" s="162"/>
      <c r="L483" s="23">
        <v>1</v>
      </c>
    </row>
    <row r="484" spans="2:12" ht="18">
      <c r="B484" s="33">
        <v>13</v>
      </c>
      <c r="C484" s="33">
        <v>109</v>
      </c>
      <c r="D484" s="33">
        <v>13</v>
      </c>
      <c r="E484" s="33">
        <v>20</v>
      </c>
      <c r="F484" s="33">
        <v>14</v>
      </c>
      <c r="G484" s="33">
        <v>0</v>
      </c>
      <c r="H484" s="162"/>
      <c r="L484" s="23">
        <v>1</v>
      </c>
    </row>
    <row r="485" spans="2:12" ht="18">
      <c r="B485" s="33">
        <v>13</v>
      </c>
      <c r="C485" s="33">
        <v>95</v>
      </c>
      <c r="D485" s="33">
        <v>9</v>
      </c>
      <c r="E485" s="33">
        <v>13</v>
      </c>
      <c r="F485" s="33">
        <v>12</v>
      </c>
      <c r="G485" s="33">
        <v>0</v>
      </c>
      <c r="H485" s="162"/>
      <c r="L485" s="23">
        <v>1</v>
      </c>
    </row>
    <row r="486" spans="2:12" ht="18">
      <c r="B486" s="33">
        <v>13</v>
      </c>
      <c r="C486" s="33">
        <v>95</v>
      </c>
      <c r="D486" s="33">
        <v>10</v>
      </c>
      <c r="E486" s="33">
        <v>17</v>
      </c>
      <c r="F486" s="33">
        <v>8</v>
      </c>
      <c r="G486" s="33">
        <v>0</v>
      </c>
      <c r="H486" s="162"/>
      <c r="L486" s="23">
        <v>1</v>
      </c>
    </row>
    <row r="487" spans="2:12" ht="18">
      <c r="B487" s="33">
        <v>13</v>
      </c>
      <c r="C487" s="33">
        <v>95</v>
      </c>
      <c r="D487" s="33">
        <v>11</v>
      </c>
      <c r="E487" s="33">
        <v>23</v>
      </c>
      <c r="F487" s="33">
        <v>2</v>
      </c>
      <c r="G487" s="33">
        <v>0</v>
      </c>
      <c r="H487" s="162"/>
      <c r="L487" s="23">
        <v>1</v>
      </c>
    </row>
    <row r="488" spans="2:12" ht="18">
      <c r="B488" s="33">
        <v>13</v>
      </c>
      <c r="C488" s="33">
        <v>95</v>
      </c>
      <c r="D488" s="33">
        <v>12</v>
      </c>
      <c r="E488" s="33">
        <v>19</v>
      </c>
      <c r="F488" s="33">
        <v>16</v>
      </c>
      <c r="G488" s="33">
        <v>0</v>
      </c>
      <c r="H488" s="162"/>
      <c r="L488" s="23">
        <v>1</v>
      </c>
    </row>
    <row r="489" spans="2:12" ht="18">
      <c r="B489" s="33">
        <v>13</v>
      </c>
      <c r="C489" s="33">
        <v>95</v>
      </c>
      <c r="D489" s="33">
        <v>13</v>
      </c>
      <c r="E489" s="33">
        <v>23</v>
      </c>
      <c r="F489" s="33">
        <v>1</v>
      </c>
      <c r="G489" s="33">
        <v>0</v>
      </c>
      <c r="H489" s="162"/>
      <c r="L489" s="23">
        <v>1</v>
      </c>
    </row>
    <row r="490" spans="2:12" ht="18">
      <c r="B490" s="33">
        <v>13</v>
      </c>
      <c r="C490" s="33">
        <v>95</v>
      </c>
      <c r="D490" s="33">
        <v>14</v>
      </c>
      <c r="E490" s="33">
        <v>13</v>
      </c>
      <c r="F490" s="33">
        <v>12</v>
      </c>
      <c r="G490" s="33">
        <v>0</v>
      </c>
      <c r="H490" s="162"/>
      <c r="L490" s="23">
        <v>1</v>
      </c>
    </row>
    <row r="491" spans="2:12" ht="18">
      <c r="B491" s="33">
        <v>13</v>
      </c>
      <c r="C491" s="33">
        <v>88</v>
      </c>
      <c r="D491" s="33">
        <v>13</v>
      </c>
      <c r="E491" s="33">
        <v>14</v>
      </c>
      <c r="F491" s="33">
        <v>9</v>
      </c>
      <c r="G491" s="33">
        <v>0</v>
      </c>
      <c r="H491" s="162"/>
      <c r="L491" s="23">
        <v>1</v>
      </c>
    </row>
    <row r="492" spans="2:12" ht="18">
      <c r="B492" s="33">
        <v>13</v>
      </c>
      <c r="C492" s="33">
        <v>112</v>
      </c>
      <c r="D492" s="33">
        <v>13</v>
      </c>
      <c r="E492" s="33">
        <v>25</v>
      </c>
      <c r="F492" s="33">
        <v>10</v>
      </c>
      <c r="G492" s="33">
        <v>0</v>
      </c>
      <c r="H492" s="162"/>
      <c r="L492" s="23">
        <v>1</v>
      </c>
    </row>
    <row r="493" spans="2:12" ht="18">
      <c r="B493" s="33">
        <v>13</v>
      </c>
      <c r="C493" s="33">
        <v>91</v>
      </c>
      <c r="D493" s="33">
        <v>11</v>
      </c>
      <c r="E493" s="33">
        <v>15</v>
      </c>
      <c r="F493" s="33">
        <v>8</v>
      </c>
      <c r="G493" s="33">
        <v>2</v>
      </c>
      <c r="H493" s="162"/>
      <c r="L493" s="23">
        <v>1</v>
      </c>
    </row>
    <row r="494" spans="2:12" ht="18">
      <c r="B494" s="33">
        <v>13</v>
      </c>
      <c r="C494" s="33">
        <v>98</v>
      </c>
      <c r="D494" s="33">
        <v>11</v>
      </c>
      <c r="E494" s="33">
        <v>8</v>
      </c>
      <c r="F494" s="33">
        <v>11</v>
      </c>
      <c r="G494" s="33">
        <v>0</v>
      </c>
      <c r="H494" s="162"/>
      <c r="L494" s="23">
        <v>1</v>
      </c>
    </row>
    <row r="495" spans="2:12" ht="18">
      <c r="B495" s="33">
        <v>13</v>
      </c>
      <c r="C495" s="33">
        <v>77</v>
      </c>
      <c r="D495" s="33">
        <v>13</v>
      </c>
      <c r="E495" s="33">
        <v>16</v>
      </c>
      <c r="F495" s="33">
        <v>9</v>
      </c>
      <c r="G495" s="33">
        <v>0</v>
      </c>
      <c r="H495" s="162"/>
      <c r="L495" s="23">
        <v>1</v>
      </c>
    </row>
    <row r="496" spans="2:12" ht="18">
      <c r="B496" s="33">
        <v>13</v>
      </c>
      <c r="C496" s="33">
        <v>98</v>
      </c>
      <c r="D496" s="33">
        <v>12</v>
      </c>
      <c r="E496" s="33">
        <v>0</v>
      </c>
      <c r="F496" s="33">
        <v>0</v>
      </c>
      <c r="G496" s="33">
        <v>0</v>
      </c>
      <c r="H496" s="162"/>
      <c r="L496" s="23">
        <v>1</v>
      </c>
    </row>
    <row r="497" spans="2:12" ht="18">
      <c r="B497" s="33">
        <v>13</v>
      </c>
      <c r="C497" s="33">
        <v>99</v>
      </c>
      <c r="D497" s="33">
        <v>13</v>
      </c>
      <c r="E497" s="33">
        <v>12</v>
      </c>
      <c r="F497" s="33">
        <v>9</v>
      </c>
      <c r="G497" s="33">
        <v>1</v>
      </c>
      <c r="H497" s="162"/>
      <c r="L497" s="23">
        <v>1</v>
      </c>
    </row>
    <row r="498" spans="2:12" ht="18">
      <c r="B498" s="33">
        <v>13</v>
      </c>
      <c r="C498" s="33">
        <v>114</v>
      </c>
      <c r="D498" s="33">
        <v>14</v>
      </c>
      <c r="E498" s="33">
        <v>28</v>
      </c>
      <c r="F498" s="33">
        <v>9</v>
      </c>
      <c r="G498" s="33">
        <v>5</v>
      </c>
      <c r="H498" s="162"/>
      <c r="L498" s="23">
        <v>1</v>
      </c>
    </row>
    <row r="499" spans="2:12" ht="18">
      <c r="B499" s="33">
        <v>13</v>
      </c>
      <c r="C499" s="33">
        <v>87</v>
      </c>
      <c r="D499" s="33">
        <v>13</v>
      </c>
      <c r="E499" s="33">
        <v>16</v>
      </c>
      <c r="F499" s="33">
        <v>3</v>
      </c>
      <c r="G499" s="33">
        <v>6</v>
      </c>
      <c r="H499" s="162"/>
      <c r="L499" s="23">
        <v>1</v>
      </c>
    </row>
    <row r="500" spans="2:12" ht="18">
      <c r="B500" s="33">
        <v>13</v>
      </c>
      <c r="C500" s="33">
        <v>97</v>
      </c>
      <c r="D500" s="33">
        <v>14</v>
      </c>
      <c r="E500" s="33">
        <v>20</v>
      </c>
      <c r="F500" s="33">
        <v>5</v>
      </c>
      <c r="G500" s="33">
        <v>0</v>
      </c>
      <c r="H500" s="162"/>
      <c r="L500" s="23">
        <v>1</v>
      </c>
    </row>
    <row r="501" spans="2:12" ht="18">
      <c r="B501" s="33">
        <v>13</v>
      </c>
      <c r="C501" s="33">
        <v>97</v>
      </c>
      <c r="D501" s="33">
        <v>13</v>
      </c>
      <c r="E501" s="33">
        <v>13</v>
      </c>
      <c r="F501" s="33">
        <v>1</v>
      </c>
      <c r="G501" s="33">
        <v>0</v>
      </c>
      <c r="H501" s="162"/>
      <c r="L501" s="23">
        <v>1</v>
      </c>
    </row>
    <row r="502" spans="2:12" ht="18">
      <c r="B502" s="33">
        <v>13</v>
      </c>
      <c r="C502" s="33">
        <v>86</v>
      </c>
      <c r="D502" s="33">
        <v>13</v>
      </c>
      <c r="E502" s="33">
        <v>20</v>
      </c>
      <c r="F502" s="33">
        <v>2</v>
      </c>
      <c r="G502" s="33">
        <v>3</v>
      </c>
      <c r="H502" s="162"/>
      <c r="L502" s="23">
        <v>1</v>
      </c>
    </row>
    <row r="503" spans="2:12" ht="18">
      <c r="B503" s="33">
        <v>13</v>
      </c>
      <c r="C503" s="33">
        <v>120</v>
      </c>
      <c r="D503" s="33">
        <v>15</v>
      </c>
      <c r="E503" s="33">
        <v>7</v>
      </c>
      <c r="F503" s="33">
        <v>18</v>
      </c>
      <c r="G503" s="33">
        <v>0</v>
      </c>
      <c r="H503" s="162"/>
      <c r="L503" s="23">
        <v>1</v>
      </c>
    </row>
    <row r="504" spans="2:12" ht="18">
      <c r="B504" s="33">
        <v>13</v>
      </c>
      <c r="C504" s="33">
        <v>120</v>
      </c>
      <c r="D504" s="33">
        <v>14</v>
      </c>
      <c r="E504" s="33">
        <v>13</v>
      </c>
      <c r="F504" s="33">
        <v>12</v>
      </c>
      <c r="G504" s="33">
        <v>0</v>
      </c>
      <c r="H504" s="162"/>
      <c r="L504" s="23">
        <v>1</v>
      </c>
    </row>
    <row r="505" spans="2:12" ht="18">
      <c r="B505" s="33">
        <v>13</v>
      </c>
      <c r="C505" s="33">
        <v>109</v>
      </c>
      <c r="D505" s="33">
        <v>14</v>
      </c>
      <c r="E505" s="33">
        <v>24</v>
      </c>
      <c r="F505" s="33">
        <v>13</v>
      </c>
      <c r="G505" s="33">
        <v>0</v>
      </c>
      <c r="H505" s="162"/>
      <c r="L505" s="23">
        <v>1</v>
      </c>
    </row>
    <row r="506" spans="2:12" ht="18">
      <c r="B506" s="33">
        <v>13</v>
      </c>
      <c r="C506" s="33">
        <v>114</v>
      </c>
      <c r="D506" s="33">
        <v>13</v>
      </c>
      <c r="E506" s="33">
        <v>35</v>
      </c>
      <c r="F506" s="33">
        <v>11</v>
      </c>
      <c r="G506" s="33">
        <v>8</v>
      </c>
      <c r="H506" s="162"/>
      <c r="L506" s="23">
        <v>1</v>
      </c>
    </row>
    <row r="507" spans="2:12" ht="18">
      <c r="B507" s="33">
        <v>13</v>
      </c>
      <c r="C507" s="33">
        <v>111</v>
      </c>
      <c r="D507" s="33">
        <v>2</v>
      </c>
      <c r="E507" s="33">
        <v>19</v>
      </c>
      <c r="F507" s="33">
        <v>3</v>
      </c>
      <c r="G507" s="33">
        <v>0</v>
      </c>
      <c r="H507" s="162"/>
      <c r="L507" s="23">
        <v>1</v>
      </c>
    </row>
    <row r="508" spans="2:12" ht="18">
      <c r="B508" s="33">
        <v>13</v>
      </c>
      <c r="C508" s="33">
        <v>111</v>
      </c>
      <c r="D508" s="33">
        <v>3</v>
      </c>
      <c r="E508" s="33">
        <v>14</v>
      </c>
      <c r="F508" s="33">
        <v>0</v>
      </c>
      <c r="G508" s="33">
        <v>0</v>
      </c>
      <c r="H508" s="162"/>
      <c r="L508" s="23">
        <v>1</v>
      </c>
    </row>
    <row r="509" spans="2:12" ht="18">
      <c r="B509" s="33">
        <v>13</v>
      </c>
      <c r="C509" s="33">
        <v>111</v>
      </c>
      <c r="D509" s="33">
        <v>4</v>
      </c>
      <c r="E509" s="33">
        <v>17</v>
      </c>
      <c r="F509" s="33">
        <v>2</v>
      </c>
      <c r="G509" s="33">
        <v>0</v>
      </c>
      <c r="H509" s="162"/>
      <c r="L509" s="23">
        <v>1</v>
      </c>
    </row>
    <row r="510" spans="2:12" ht="18">
      <c r="B510" s="33">
        <v>13</v>
      </c>
      <c r="C510" s="33">
        <v>111</v>
      </c>
      <c r="D510" s="33">
        <v>5</v>
      </c>
      <c r="E510" s="33">
        <v>16</v>
      </c>
      <c r="F510" s="33">
        <v>0</v>
      </c>
      <c r="G510" s="33">
        <v>0</v>
      </c>
      <c r="H510" s="162"/>
      <c r="L510" s="23">
        <v>1</v>
      </c>
    </row>
    <row r="511" spans="2:12" ht="18">
      <c r="B511" s="33">
        <v>13</v>
      </c>
      <c r="C511" s="33">
        <v>111</v>
      </c>
      <c r="D511" s="33">
        <v>6</v>
      </c>
      <c r="E511" s="33">
        <v>17</v>
      </c>
      <c r="F511" s="33">
        <v>2</v>
      </c>
      <c r="G511" s="33">
        <v>0</v>
      </c>
      <c r="H511" s="162"/>
      <c r="L511" s="23">
        <v>1</v>
      </c>
    </row>
    <row r="512" spans="2:12" ht="18">
      <c r="B512" s="33">
        <v>13</v>
      </c>
      <c r="C512" s="33">
        <v>111</v>
      </c>
      <c r="D512" s="33">
        <v>7</v>
      </c>
      <c r="E512" s="33">
        <v>12</v>
      </c>
      <c r="F512" s="33">
        <v>0</v>
      </c>
      <c r="G512" s="33">
        <v>0</v>
      </c>
      <c r="H512" s="162"/>
      <c r="L512" s="23">
        <v>1</v>
      </c>
    </row>
    <row r="513" spans="2:12" ht="18">
      <c r="B513" s="33">
        <v>13</v>
      </c>
      <c r="C513" s="33">
        <v>111</v>
      </c>
      <c r="D513" s="33">
        <v>8</v>
      </c>
      <c r="E513" s="33">
        <v>15</v>
      </c>
      <c r="F513" s="33">
        <v>3</v>
      </c>
      <c r="G513" s="33">
        <v>0</v>
      </c>
      <c r="H513" s="162"/>
      <c r="L513" s="23">
        <v>1</v>
      </c>
    </row>
    <row r="514" spans="2:12" ht="18">
      <c r="B514" s="33">
        <v>13</v>
      </c>
      <c r="C514" s="33">
        <v>111</v>
      </c>
      <c r="D514" s="33">
        <v>9</v>
      </c>
      <c r="E514" s="33">
        <v>12</v>
      </c>
      <c r="F514" s="33">
        <v>1</v>
      </c>
      <c r="G514" s="33">
        <v>0</v>
      </c>
      <c r="H514" s="162"/>
      <c r="L514" s="23">
        <v>1</v>
      </c>
    </row>
    <row r="515" spans="2:12" ht="18">
      <c r="B515" s="33">
        <v>13</v>
      </c>
      <c r="C515" s="33">
        <v>111</v>
      </c>
      <c r="D515" s="33">
        <v>10</v>
      </c>
      <c r="E515" s="33">
        <v>18</v>
      </c>
      <c r="F515" s="33">
        <v>4</v>
      </c>
      <c r="G515" s="33">
        <v>0</v>
      </c>
      <c r="H515" s="162"/>
      <c r="L515" s="23">
        <v>1</v>
      </c>
    </row>
    <row r="516" spans="2:12" ht="18">
      <c r="B516" s="33">
        <v>13</v>
      </c>
      <c r="C516" s="33">
        <v>111</v>
      </c>
      <c r="D516" s="33">
        <v>11</v>
      </c>
      <c r="E516" s="33">
        <v>15</v>
      </c>
      <c r="F516" s="33">
        <v>4</v>
      </c>
      <c r="G516" s="33">
        <v>0</v>
      </c>
      <c r="H516" s="162"/>
      <c r="L516" s="23">
        <v>1</v>
      </c>
    </row>
    <row r="517" spans="2:12" ht="18">
      <c r="B517" s="33">
        <v>13</v>
      </c>
      <c r="C517" s="33">
        <v>111</v>
      </c>
      <c r="D517" s="33">
        <v>12</v>
      </c>
      <c r="E517" s="33">
        <v>13</v>
      </c>
      <c r="F517" s="33">
        <v>2</v>
      </c>
      <c r="G517" s="33">
        <v>0</v>
      </c>
      <c r="H517" s="162"/>
      <c r="L517" s="23">
        <v>1</v>
      </c>
    </row>
    <row r="518" spans="2:12" ht="18">
      <c r="B518" s="33">
        <v>13</v>
      </c>
      <c r="C518" s="33">
        <v>111</v>
      </c>
      <c r="D518" s="33">
        <v>13</v>
      </c>
      <c r="E518" s="33">
        <v>18</v>
      </c>
      <c r="F518" s="33">
        <v>3</v>
      </c>
      <c r="G518" s="33">
        <v>0</v>
      </c>
      <c r="H518" s="162"/>
      <c r="L518" s="23">
        <v>1</v>
      </c>
    </row>
    <row r="519" spans="2:12" ht="18">
      <c r="B519" s="33">
        <v>13</v>
      </c>
      <c r="C519" s="33">
        <v>111</v>
      </c>
      <c r="D519" s="33">
        <v>14</v>
      </c>
      <c r="E519" s="33">
        <v>22</v>
      </c>
      <c r="F519" s="33">
        <v>9</v>
      </c>
      <c r="G519" s="33">
        <v>0</v>
      </c>
      <c r="H519" s="162"/>
      <c r="L519" s="23">
        <v>1</v>
      </c>
    </row>
    <row r="520" spans="2:12" ht="18">
      <c r="B520" s="33">
        <v>13</v>
      </c>
      <c r="C520" s="33">
        <v>125</v>
      </c>
      <c r="D520" s="33">
        <v>14</v>
      </c>
      <c r="E520" s="33">
        <v>14</v>
      </c>
      <c r="F520" s="33">
        <v>12</v>
      </c>
      <c r="G520" s="33">
        <v>0</v>
      </c>
      <c r="H520" s="162"/>
      <c r="L520" s="23">
        <v>1</v>
      </c>
    </row>
    <row r="521" spans="2:12" ht="18">
      <c r="B521" s="33">
        <v>13</v>
      </c>
      <c r="C521" s="33">
        <v>125</v>
      </c>
      <c r="D521" s="33">
        <v>11</v>
      </c>
      <c r="E521" s="33">
        <v>15</v>
      </c>
      <c r="F521" s="33">
        <v>9</v>
      </c>
      <c r="G521" s="33">
        <v>0</v>
      </c>
      <c r="H521" s="162"/>
      <c r="L521" s="23">
        <v>1</v>
      </c>
    </row>
    <row r="522" spans="2:12" ht="18">
      <c r="B522" s="33">
        <v>13</v>
      </c>
      <c r="C522" s="33">
        <v>125</v>
      </c>
      <c r="D522" s="33">
        <v>12</v>
      </c>
      <c r="E522" s="33">
        <v>15</v>
      </c>
      <c r="F522" s="33">
        <v>16</v>
      </c>
      <c r="G522" s="33">
        <v>0</v>
      </c>
      <c r="H522" s="162"/>
      <c r="L522" s="23">
        <v>1</v>
      </c>
    </row>
    <row r="523" spans="2:12" ht="18">
      <c r="B523" s="33">
        <v>13</v>
      </c>
      <c r="C523" s="33">
        <v>119</v>
      </c>
      <c r="D523" s="33">
        <v>9</v>
      </c>
      <c r="E523" s="33">
        <v>11</v>
      </c>
      <c r="F523" s="33">
        <v>14</v>
      </c>
      <c r="G523" s="33">
        <v>0</v>
      </c>
      <c r="H523" s="162"/>
      <c r="L523" s="23">
        <v>1</v>
      </c>
    </row>
    <row r="524" spans="2:12" ht="18">
      <c r="B524" s="33">
        <v>13</v>
      </c>
      <c r="C524" s="33">
        <v>119</v>
      </c>
      <c r="D524" s="33">
        <v>10</v>
      </c>
      <c r="E524" s="33">
        <v>13</v>
      </c>
      <c r="F524" s="33">
        <v>12</v>
      </c>
      <c r="G524" s="33">
        <v>0</v>
      </c>
      <c r="H524" s="162"/>
      <c r="L524" s="23">
        <v>1</v>
      </c>
    </row>
    <row r="525" spans="2:12" ht="18">
      <c r="B525" s="33">
        <v>13</v>
      </c>
      <c r="C525" s="33">
        <v>119</v>
      </c>
      <c r="D525" s="33">
        <v>11</v>
      </c>
      <c r="E525" s="33">
        <v>16</v>
      </c>
      <c r="F525" s="33">
        <v>9</v>
      </c>
      <c r="G525" s="33">
        <v>0</v>
      </c>
      <c r="H525" s="162"/>
      <c r="L525" s="23">
        <v>1</v>
      </c>
    </row>
    <row r="526" spans="2:12" ht="18">
      <c r="B526" s="33">
        <v>13</v>
      </c>
      <c r="C526" s="33">
        <v>119</v>
      </c>
      <c r="D526" s="33">
        <v>12</v>
      </c>
      <c r="E526" s="33">
        <v>19</v>
      </c>
      <c r="F526" s="33">
        <v>6</v>
      </c>
      <c r="G526" s="33">
        <v>0</v>
      </c>
      <c r="H526" s="162"/>
      <c r="L526" s="23">
        <v>1</v>
      </c>
    </row>
    <row r="527" spans="2:12" ht="18">
      <c r="B527" s="33">
        <v>13</v>
      </c>
      <c r="C527" s="33">
        <v>119</v>
      </c>
      <c r="D527" s="33">
        <v>13</v>
      </c>
      <c r="E527" s="33">
        <v>10</v>
      </c>
      <c r="F527" s="33">
        <v>15</v>
      </c>
      <c r="G527" s="33">
        <v>0</v>
      </c>
      <c r="H527" s="162"/>
      <c r="L527" s="23">
        <v>1</v>
      </c>
    </row>
    <row r="528" spans="2:12" ht="18">
      <c r="B528" s="33">
        <v>13</v>
      </c>
      <c r="C528" s="33">
        <v>119</v>
      </c>
      <c r="D528" s="33">
        <v>14</v>
      </c>
      <c r="E528" s="33">
        <v>8</v>
      </c>
      <c r="F528" s="33">
        <v>17</v>
      </c>
      <c r="G528" s="33">
        <v>0</v>
      </c>
      <c r="H528" s="162"/>
      <c r="L528" s="23">
        <v>1</v>
      </c>
    </row>
    <row r="529" spans="2:12" ht="18">
      <c r="B529" s="33">
        <v>13</v>
      </c>
      <c r="C529" s="33">
        <v>119</v>
      </c>
      <c r="D529" s="33">
        <v>15</v>
      </c>
      <c r="E529" s="33">
        <v>11</v>
      </c>
      <c r="F529" s="33">
        <v>13</v>
      </c>
      <c r="G529" s="33">
        <v>1</v>
      </c>
      <c r="H529" s="162"/>
      <c r="L529" s="23">
        <v>1</v>
      </c>
    </row>
    <row r="530" spans="2:12" ht="18">
      <c r="B530" s="33">
        <v>13</v>
      </c>
      <c r="C530" s="33">
        <v>88</v>
      </c>
      <c r="D530" s="33">
        <v>14</v>
      </c>
      <c r="E530" s="33">
        <v>22</v>
      </c>
      <c r="F530" s="33">
        <v>2</v>
      </c>
      <c r="G530" s="33">
        <v>2</v>
      </c>
      <c r="H530" s="162"/>
      <c r="L530" s="23">
        <v>1</v>
      </c>
    </row>
    <row r="531" spans="2:12" ht="18">
      <c r="B531" s="33">
        <v>13</v>
      </c>
      <c r="C531" s="33">
        <v>118</v>
      </c>
      <c r="D531" s="33">
        <v>13</v>
      </c>
      <c r="E531" s="33">
        <v>13</v>
      </c>
      <c r="F531" s="33">
        <v>9</v>
      </c>
      <c r="G531" s="33">
        <v>0</v>
      </c>
      <c r="H531" s="162"/>
      <c r="L531" s="23">
        <v>1</v>
      </c>
    </row>
    <row r="532" spans="2:12" ht="18">
      <c r="B532" s="33">
        <v>13</v>
      </c>
      <c r="C532" s="33">
        <v>118</v>
      </c>
      <c r="D532" s="33">
        <v>14</v>
      </c>
      <c r="E532" s="33">
        <v>8</v>
      </c>
      <c r="F532" s="33">
        <v>7</v>
      </c>
      <c r="G532" s="33">
        <v>3</v>
      </c>
      <c r="H532" s="162"/>
      <c r="L532" s="23">
        <v>1</v>
      </c>
    </row>
    <row r="533" spans="2:12" ht="18">
      <c r="B533" s="33">
        <v>13</v>
      </c>
      <c r="C533" s="33">
        <v>115</v>
      </c>
      <c r="D533" s="33">
        <v>14</v>
      </c>
      <c r="E533" s="33">
        <v>0</v>
      </c>
      <c r="F533" s="33">
        <v>15</v>
      </c>
      <c r="G533" s="33">
        <v>0</v>
      </c>
      <c r="H533" s="162"/>
      <c r="L533" s="23">
        <v>1</v>
      </c>
    </row>
    <row r="534" spans="2:12" ht="18">
      <c r="B534" s="33">
        <v>13</v>
      </c>
      <c r="C534" s="33">
        <v>67</v>
      </c>
      <c r="D534" s="33">
        <v>15</v>
      </c>
      <c r="E534" s="33">
        <v>0</v>
      </c>
      <c r="F534" s="33">
        <v>70</v>
      </c>
      <c r="G534" s="33">
        <v>0</v>
      </c>
      <c r="H534" s="162"/>
      <c r="L534" s="23">
        <v>1</v>
      </c>
    </row>
    <row r="535" spans="2:12" ht="18">
      <c r="B535" s="33">
        <v>13</v>
      </c>
      <c r="C535" s="33">
        <v>67</v>
      </c>
      <c r="D535" s="33">
        <v>14</v>
      </c>
      <c r="E535" s="33">
        <v>0</v>
      </c>
      <c r="F535" s="33">
        <v>25</v>
      </c>
      <c r="G535" s="33">
        <v>0</v>
      </c>
      <c r="H535" s="162"/>
      <c r="L535" s="23">
        <v>1</v>
      </c>
    </row>
    <row r="536" spans="2:12" ht="18">
      <c r="B536" s="33">
        <v>13</v>
      </c>
      <c r="C536" s="33">
        <v>67</v>
      </c>
      <c r="D536" s="33">
        <v>14</v>
      </c>
      <c r="E536" s="33">
        <v>0</v>
      </c>
      <c r="F536" s="33">
        <v>25</v>
      </c>
      <c r="G536" s="33">
        <v>0</v>
      </c>
      <c r="H536" s="162"/>
      <c r="L536" s="23">
        <v>1</v>
      </c>
    </row>
    <row r="537" spans="2:12" ht="18">
      <c r="B537" s="33">
        <v>13</v>
      </c>
      <c r="C537" s="33">
        <v>78</v>
      </c>
      <c r="D537" s="33">
        <v>14</v>
      </c>
      <c r="E537" s="33">
        <v>0</v>
      </c>
      <c r="F537" s="33">
        <v>25</v>
      </c>
      <c r="G537" s="33">
        <v>0</v>
      </c>
      <c r="H537" s="162"/>
      <c r="L537" s="23">
        <v>1</v>
      </c>
    </row>
    <row r="538" spans="2:12" ht="18">
      <c r="B538" s="33">
        <v>13</v>
      </c>
      <c r="C538" s="33">
        <v>61</v>
      </c>
      <c r="D538" s="33">
        <v>10</v>
      </c>
      <c r="E538" s="33">
        <v>8</v>
      </c>
      <c r="F538" s="33">
        <v>16</v>
      </c>
      <c r="G538" s="33">
        <v>0</v>
      </c>
      <c r="H538" s="162"/>
      <c r="L538" s="23">
        <v>1</v>
      </c>
    </row>
    <row r="539" spans="2:12" ht="18">
      <c r="B539" s="33">
        <v>13</v>
      </c>
      <c r="C539" s="33">
        <v>61</v>
      </c>
      <c r="D539" s="33">
        <v>11</v>
      </c>
      <c r="E539" s="33">
        <v>1</v>
      </c>
      <c r="F539" s="33">
        <v>9</v>
      </c>
      <c r="G539" s="33">
        <v>0</v>
      </c>
      <c r="H539" s="162"/>
      <c r="L539" s="23">
        <v>1</v>
      </c>
    </row>
    <row r="540" spans="2:12" ht="18">
      <c r="B540" s="33">
        <v>13</v>
      </c>
      <c r="C540" s="33">
        <v>61</v>
      </c>
      <c r="D540" s="33">
        <v>12</v>
      </c>
      <c r="E540" s="33">
        <v>4</v>
      </c>
      <c r="F540" s="33">
        <v>18</v>
      </c>
      <c r="G540" s="33">
        <v>0</v>
      </c>
      <c r="H540" s="162"/>
      <c r="L540" s="23">
        <v>1</v>
      </c>
    </row>
    <row r="541" spans="2:12" ht="18">
      <c r="B541" s="33">
        <v>13</v>
      </c>
      <c r="C541" s="33">
        <v>61</v>
      </c>
      <c r="D541" s="33">
        <v>13</v>
      </c>
      <c r="E541" s="33">
        <v>12</v>
      </c>
      <c r="F541" s="33">
        <v>13</v>
      </c>
      <c r="G541" s="33">
        <v>0</v>
      </c>
      <c r="H541" s="162"/>
      <c r="L541" s="23">
        <v>1</v>
      </c>
    </row>
    <row r="542" spans="2:12" ht="18">
      <c r="B542" s="33">
        <v>13</v>
      </c>
      <c r="C542" s="33">
        <v>61</v>
      </c>
      <c r="D542" s="33">
        <v>14</v>
      </c>
      <c r="E542" s="33">
        <v>8</v>
      </c>
      <c r="F542" s="33">
        <v>15</v>
      </c>
      <c r="G542" s="33">
        <v>0</v>
      </c>
      <c r="H542" s="162"/>
      <c r="L542" s="23">
        <v>1</v>
      </c>
    </row>
    <row r="543" spans="2:12" ht="18">
      <c r="B543" s="33">
        <v>13</v>
      </c>
      <c r="C543" s="33">
        <v>70</v>
      </c>
      <c r="D543" s="33">
        <v>15</v>
      </c>
      <c r="E543" s="33">
        <v>11</v>
      </c>
      <c r="F543" s="33">
        <v>10</v>
      </c>
      <c r="G543" s="33">
        <v>0</v>
      </c>
      <c r="H543" s="162"/>
      <c r="L543" s="23">
        <v>1</v>
      </c>
    </row>
    <row r="544" spans="2:12" ht="18">
      <c r="B544" s="33">
        <v>13</v>
      </c>
      <c r="C544" s="33">
        <v>90</v>
      </c>
      <c r="D544" s="33">
        <v>11</v>
      </c>
      <c r="E544" s="33">
        <v>4</v>
      </c>
      <c r="F544" s="33">
        <v>20</v>
      </c>
      <c r="G544" s="33">
        <v>1</v>
      </c>
      <c r="H544" s="162"/>
      <c r="L544" s="23">
        <v>1</v>
      </c>
    </row>
    <row r="545" spans="2:12" ht="18">
      <c r="B545" s="33">
        <v>13</v>
      </c>
      <c r="C545" s="33">
        <v>90</v>
      </c>
      <c r="D545" s="33">
        <v>12</v>
      </c>
      <c r="E545" s="33">
        <v>10</v>
      </c>
      <c r="F545" s="33">
        <v>15</v>
      </c>
      <c r="G545" s="33">
        <v>0</v>
      </c>
      <c r="H545" s="162"/>
      <c r="L545" s="23">
        <v>1</v>
      </c>
    </row>
    <row r="546" spans="2:12" ht="18">
      <c r="B546" s="33">
        <v>13</v>
      </c>
      <c r="C546" s="33">
        <v>90</v>
      </c>
      <c r="D546" s="33">
        <v>13</v>
      </c>
      <c r="E546" s="33">
        <v>12</v>
      </c>
      <c r="F546" s="33">
        <v>13</v>
      </c>
      <c r="G546" s="33">
        <v>0</v>
      </c>
      <c r="H546" s="162"/>
      <c r="L546" s="23">
        <v>1</v>
      </c>
    </row>
    <row r="547" spans="2:12" ht="18">
      <c r="B547" s="33">
        <v>13</v>
      </c>
      <c r="C547" s="33">
        <v>90</v>
      </c>
      <c r="D547" s="33">
        <v>14</v>
      </c>
      <c r="E547" s="33">
        <v>20</v>
      </c>
      <c r="F547" s="33">
        <v>5</v>
      </c>
      <c r="G547" s="33">
        <v>0</v>
      </c>
      <c r="H547" s="162"/>
      <c r="L547" s="23">
        <v>1</v>
      </c>
    </row>
    <row r="548" spans="2:12" ht="18">
      <c r="B548" s="33">
        <v>13</v>
      </c>
      <c r="C548" s="33">
        <v>90</v>
      </c>
      <c r="D548" s="33">
        <v>15</v>
      </c>
      <c r="E548" s="33">
        <v>13</v>
      </c>
      <c r="F548" s="33">
        <v>12</v>
      </c>
      <c r="G548" s="33">
        <v>0</v>
      </c>
      <c r="H548" s="162"/>
      <c r="L548" s="23">
        <v>1</v>
      </c>
    </row>
    <row r="549" spans="2:12" ht="18">
      <c r="B549" s="33">
        <v>13</v>
      </c>
      <c r="C549" s="33">
        <v>90</v>
      </c>
      <c r="D549" s="33">
        <v>16</v>
      </c>
      <c r="E549" s="33">
        <v>20</v>
      </c>
      <c r="F549" s="33">
        <v>5</v>
      </c>
      <c r="G549" s="33">
        <v>0</v>
      </c>
      <c r="H549" s="162"/>
      <c r="L549" s="23">
        <v>1</v>
      </c>
    </row>
    <row r="550" spans="2:12" ht="18">
      <c r="B550" s="33">
        <v>13</v>
      </c>
      <c r="C550" s="33">
        <v>90</v>
      </c>
      <c r="D550" s="33">
        <v>17</v>
      </c>
      <c r="E550" s="33">
        <v>15</v>
      </c>
      <c r="F550" s="33">
        <v>10</v>
      </c>
      <c r="G550" s="33">
        <v>0</v>
      </c>
      <c r="H550" s="162"/>
      <c r="L550" s="23">
        <v>1</v>
      </c>
    </row>
    <row r="551" spans="2:12" ht="18">
      <c r="B551" s="33"/>
      <c r="C551" s="33"/>
      <c r="D551" s="33"/>
      <c r="E551" s="33"/>
      <c r="F551" s="33"/>
      <c r="G551" s="33"/>
      <c r="H551" s="162"/>
      <c r="L551" s="23">
        <v>1</v>
      </c>
    </row>
    <row r="552" spans="2:12" ht="18">
      <c r="B552" s="33"/>
      <c r="C552" s="33"/>
      <c r="D552" s="33"/>
      <c r="E552" s="33"/>
      <c r="F552" s="33"/>
      <c r="G552" s="33"/>
      <c r="H552" s="162"/>
      <c r="L552" s="23">
        <v>1</v>
      </c>
    </row>
    <row r="553" spans="2:12" ht="18">
      <c r="B553" s="33"/>
      <c r="C553" s="33"/>
      <c r="D553" s="33"/>
      <c r="E553" s="33"/>
      <c r="F553" s="33"/>
      <c r="G553" s="33"/>
      <c r="H553" s="162"/>
      <c r="L553" s="23">
        <v>1</v>
      </c>
    </row>
    <row r="554" spans="2:12" ht="18">
      <c r="B554" s="33"/>
      <c r="C554" s="33"/>
      <c r="D554" s="33"/>
      <c r="E554" s="33"/>
      <c r="F554" s="33"/>
      <c r="G554" s="33"/>
      <c r="H554" s="162"/>
      <c r="L554" s="23">
        <v>1</v>
      </c>
    </row>
    <row r="555" spans="2:12" ht="18">
      <c r="B555" s="33"/>
      <c r="C555" s="33"/>
      <c r="D555" s="33"/>
      <c r="E555" s="33"/>
      <c r="F555" s="33"/>
      <c r="G555" s="33"/>
      <c r="H555" s="162"/>
      <c r="L555" s="23">
        <v>1</v>
      </c>
    </row>
    <row r="556" spans="2:12" ht="18">
      <c r="B556" s="33"/>
      <c r="C556" s="33"/>
      <c r="D556" s="33"/>
      <c r="E556" s="33"/>
      <c r="F556" s="33"/>
      <c r="G556" s="33"/>
      <c r="H556" s="162"/>
      <c r="L556" s="23">
        <v>1</v>
      </c>
    </row>
    <row r="557" spans="2:12" ht="18">
      <c r="B557" s="33"/>
      <c r="C557" s="33"/>
      <c r="D557" s="33"/>
      <c r="E557" s="33"/>
      <c r="F557" s="33"/>
      <c r="G557" s="33"/>
      <c r="H557" s="162"/>
      <c r="L557" s="23">
        <v>1</v>
      </c>
    </row>
    <row r="558" spans="2:12" ht="18">
      <c r="B558" s="33"/>
      <c r="C558" s="33"/>
      <c r="D558" s="33"/>
      <c r="E558" s="33"/>
      <c r="F558" s="33"/>
      <c r="G558" s="33"/>
      <c r="H558" s="162"/>
      <c r="L558" s="23">
        <v>1</v>
      </c>
    </row>
    <row r="559" spans="2:12" ht="18">
      <c r="B559" s="33"/>
      <c r="C559" s="33"/>
      <c r="D559" s="33"/>
      <c r="E559" s="33"/>
      <c r="F559" s="33"/>
      <c r="G559" s="33"/>
      <c r="H559" s="162"/>
      <c r="L559" s="23">
        <v>1</v>
      </c>
    </row>
    <row r="560" spans="2:12" ht="18">
      <c r="B560" s="33"/>
      <c r="C560" s="33"/>
      <c r="D560" s="33"/>
      <c r="E560" s="33"/>
      <c r="F560" s="33"/>
      <c r="G560" s="33"/>
      <c r="H560" s="162"/>
      <c r="L560" s="23">
        <v>1</v>
      </c>
    </row>
    <row r="561" spans="2:12" ht="18">
      <c r="B561" s="33"/>
      <c r="C561" s="33"/>
      <c r="D561" s="33"/>
      <c r="E561" s="33"/>
      <c r="F561" s="33"/>
      <c r="G561" s="33"/>
      <c r="H561" s="162"/>
      <c r="L561" s="23">
        <v>1</v>
      </c>
    </row>
    <row r="562" spans="2:12" ht="18">
      <c r="B562" s="33"/>
      <c r="C562" s="33"/>
      <c r="D562" s="33"/>
      <c r="E562" s="33"/>
      <c r="F562" s="33"/>
      <c r="G562" s="33"/>
      <c r="H562" s="162"/>
      <c r="L562" s="23">
        <v>1</v>
      </c>
    </row>
    <row r="563" spans="2:12" ht="18">
      <c r="B563" s="33"/>
      <c r="C563" s="33"/>
      <c r="D563" s="33"/>
      <c r="E563" s="33"/>
      <c r="F563" s="33"/>
      <c r="G563" s="33"/>
      <c r="H563" s="162"/>
      <c r="L563" s="23">
        <v>1</v>
      </c>
    </row>
    <row r="564" spans="2:12" ht="18">
      <c r="B564" s="33"/>
      <c r="C564" s="33"/>
      <c r="D564" s="33"/>
      <c r="E564" s="33"/>
      <c r="F564" s="33"/>
      <c r="G564" s="33"/>
      <c r="H564" s="162"/>
      <c r="L564" s="23">
        <v>1</v>
      </c>
    </row>
    <row r="565" spans="2:12" ht="18">
      <c r="B565" s="33"/>
      <c r="C565" s="33"/>
      <c r="D565" s="33"/>
      <c r="E565" s="33"/>
      <c r="F565" s="33"/>
      <c r="G565" s="33"/>
      <c r="H565" s="162"/>
      <c r="L565" s="23">
        <v>1</v>
      </c>
    </row>
    <row r="566" spans="2:12" ht="18">
      <c r="B566" s="33"/>
      <c r="C566" s="33"/>
      <c r="D566" s="33"/>
      <c r="E566" s="33"/>
      <c r="F566" s="33"/>
      <c r="G566" s="33"/>
      <c r="H566" s="162"/>
      <c r="L566" s="23">
        <v>1</v>
      </c>
    </row>
    <row r="567" spans="2:12" ht="18">
      <c r="B567" s="33"/>
      <c r="C567" s="33"/>
      <c r="D567" s="33"/>
      <c r="E567" s="33"/>
      <c r="F567" s="33"/>
      <c r="G567" s="33"/>
      <c r="H567" s="162"/>
      <c r="L567" s="23">
        <v>1</v>
      </c>
    </row>
    <row r="568" spans="2:12" ht="18">
      <c r="B568" s="33"/>
      <c r="C568" s="33"/>
      <c r="D568" s="33"/>
      <c r="E568" s="33"/>
      <c r="F568" s="33"/>
      <c r="G568" s="33"/>
      <c r="H568" s="162"/>
      <c r="L568" s="23">
        <v>1</v>
      </c>
    </row>
    <row r="569" spans="2:12" ht="18">
      <c r="B569" s="33"/>
      <c r="C569" s="33"/>
      <c r="D569" s="33"/>
      <c r="E569" s="33"/>
      <c r="F569" s="33"/>
      <c r="G569" s="33"/>
      <c r="H569" s="162"/>
      <c r="L569" s="23">
        <v>1</v>
      </c>
    </row>
    <row r="570" spans="2:12" ht="18">
      <c r="B570" s="33"/>
      <c r="C570" s="33"/>
      <c r="D570" s="33"/>
      <c r="E570" s="33"/>
      <c r="F570" s="33"/>
      <c r="G570" s="33"/>
      <c r="H570" s="162"/>
      <c r="L570" s="23">
        <v>1</v>
      </c>
    </row>
    <row r="571" spans="2:12" ht="18">
      <c r="B571" s="33"/>
      <c r="C571" s="33"/>
      <c r="D571" s="33"/>
      <c r="E571" s="33"/>
      <c r="F571" s="33"/>
      <c r="G571" s="33"/>
      <c r="H571" s="162"/>
      <c r="L571" s="23">
        <v>1</v>
      </c>
    </row>
    <row r="572" spans="2:12" ht="18">
      <c r="B572" s="33"/>
      <c r="C572" s="33"/>
      <c r="D572" s="33"/>
      <c r="E572" s="33"/>
      <c r="F572" s="33"/>
      <c r="G572" s="33"/>
      <c r="H572" s="162"/>
      <c r="L572" s="23">
        <v>1</v>
      </c>
    </row>
    <row r="573" spans="2:12" ht="18">
      <c r="B573" s="33"/>
      <c r="C573" s="33"/>
      <c r="D573" s="33"/>
      <c r="E573" s="33"/>
      <c r="F573" s="33"/>
      <c r="G573" s="33"/>
      <c r="H573" s="162"/>
      <c r="L573" s="23">
        <v>1</v>
      </c>
    </row>
    <row r="574" spans="2:12" ht="18">
      <c r="B574" s="33"/>
      <c r="C574" s="33"/>
      <c r="D574" s="33"/>
      <c r="E574" s="33"/>
      <c r="F574" s="33"/>
      <c r="G574" s="33"/>
      <c r="H574" s="162"/>
      <c r="L574" s="23">
        <v>1</v>
      </c>
    </row>
    <row r="575" spans="2:12" ht="18">
      <c r="B575" s="33"/>
      <c r="C575" s="33"/>
      <c r="D575" s="33"/>
      <c r="E575" s="33"/>
      <c r="F575" s="33"/>
      <c r="G575" s="33"/>
      <c r="H575" s="162"/>
      <c r="L575" s="23">
        <v>1</v>
      </c>
    </row>
    <row r="576" spans="2:12" ht="18">
      <c r="B576" s="33"/>
      <c r="C576" s="33"/>
      <c r="D576" s="33"/>
      <c r="E576" s="33"/>
      <c r="F576" s="33"/>
      <c r="G576" s="33"/>
      <c r="H576" s="162"/>
      <c r="L576" s="23">
        <v>1</v>
      </c>
    </row>
    <row r="577" spans="2:12" ht="18">
      <c r="B577" s="33"/>
      <c r="C577" s="33"/>
      <c r="D577" s="33"/>
      <c r="E577" s="33"/>
      <c r="F577" s="33"/>
      <c r="G577" s="33"/>
      <c r="H577" s="162"/>
      <c r="L577" s="23">
        <v>1</v>
      </c>
    </row>
    <row r="578" spans="2:12" ht="18">
      <c r="B578" s="33"/>
      <c r="C578" s="33"/>
      <c r="D578" s="33"/>
      <c r="E578" s="33"/>
      <c r="F578" s="33"/>
      <c r="G578" s="33"/>
      <c r="H578" s="162"/>
      <c r="L578" s="23">
        <v>1</v>
      </c>
    </row>
    <row r="579" spans="2:12" ht="18">
      <c r="B579" s="33"/>
      <c r="C579" s="33"/>
      <c r="D579" s="33"/>
      <c r="E579" s="33"/>
      <c r="F579" s="33"/>
      <c r="G579" s="33"/>
      <c r="H579" s="162"/>
      <c r="L579" s="23">
        <v>1</v>
      </c>
    </row>
    <row r="580" spans="2:12" ht="18">
      <c r="B580" s="33"/>
      <c r="C580" s="33"/>
      <c r="D580" s="33"/>
      <c r="E580" s="33"/>
      <c r="F580" s="33"/>
      <c r="G580" s="33"/>
      <c r="H580" s="162"/>
      <c r="L580" s="23">
        <v>1</v>
      </c>
    </row>
    <row r="581" spans="2:12" ht="18">
      <c r="B581" s="33"/>
      <c r="C581" s="33"/>
      <c r="D581" s="33"/>
      <c r="E581" s="33"/>
      <c r="F581" s="33"/>
      <c r="G581" s="33"/>
      <c r="H581" s="162"/>
      <c r="L581" s="23">
        <v>1</v>
      </c>
    </row>
    <row r="582" spans="2:12" ht="18">
      <c r="B582" s="33"/>
      <c r="C582" s="33"/>
      <c r="D582" s="33"/>
      <c r="E582" s="33"/>
      <c r="F582" s="33"/>
      <c r="G582" s="33"/>
      <c r="H582" s="162"/>
      <c r="L582" s="23">
        <v>1</v>
      </c>
    </row>
    <row r="583" spans="2:12" ht="18">
      <c r="B583" s="33"/>
      <c r="C583" s="33"/>
      <c r="D583" s="33"/>
      <c r="E583" s="33"/>
      <c r="F583" s="33"/>
      <c r="G583" s="33"/>
      <c r="H583" s="162"/>
      <c r="L583" s="23">
        <v>1</v>
      </c>
    </row>
    <row r="584" spans="2:12" ht="18">
      <c r="B584" s="33"/>
      <c r="C584" s="33"/>
      <c r="D584" s="33"/>
      <c r="E584" s="33"/>
      <c r="F584" s="33"/>
      <c r="G584" s="33"/>
      <c r="H584" s="162"/>
      <c r="L584" s="23">
        <v>1</v>
      </c>
    </row>
    <row r="585" spans="2:12" ht="18">
      <c r="B585" s="33"/>
      <c r="C585" s="33"/>
      <c r="D585" s="33"/>
      <c r="E585" s="33"/>
      <c r="F585" s="33"/>
      <c r="G585" s="33"/>
      <c r="H585" s="162"/>
      <c r="L585" s="23">
        <v>1</v>
      </c>
    </row>
    <row r="586" spans="2:12" ht="18">
      <c r="B586" s="33"/>
      <c r="C586" s="33"/>
      <c r="D586" s="33"/>
      <c r="E586" s="33"/>
      <c r="F586" s="33"/>
      <c r="G586" s="33"/>
      <c r="H586" s="162"/>
      <c r="L586" s="23">
        <v>1</v>
      </c>
    </row>
    <row r="587" spans="2:12" ht="18">
      <c r="B587" s="33"/>
      <c r="C587" s="33"/>
      <c r="D587" s="33"/>
      <c r="E587" s="33"/>
      <c r="F587" s="33"/>
      <c r="G587" s="33"/>
      <c r="H587" s="162"/>
      <c r="L587" s="23">
        <v>1</v>
      </c>
    </row>
    <row r="588" spans="2:12" ht="18">
      <c r="B588" s="33"/>
      <c r="C588" s="33"/>
      <c r="D588" s="33"/>
      <c r="E588" s="33"/>
      <c r="F588" s="33"/>
      <c r="G588" s="33"/>
      <c r="H588" s="162"/>
      <c r="L588" s="23">
        <v>1</v>
      </c>
    </row>
    <row r="589" spans="2:12" ht="18">
      <c r="B589" s="33"/>
      <c r="C589" s="33"/>
      <c r="D589" s="33"/>
      <c r="E589" s="33"/>
      <c r="F589" s="33"/>
      <c r="G589" s="33"/>
      <c r="H589" s="162"/>
      <c r="L589" s="23">
        <v>1</v>
      </c>
    </row>
    <row r="590" spans="2:12" ht="18">
      <c r="B590" s="33"/>
      <c r="C590" s="33"/>
      <c r="D590" s="33"/>
      <c r="E590" s="33"/>
      <c r="F590" s="33"/>
      <c r="G590" s="33"/>
      <c r="H590" s="162"/>
      <c r="L590" s="23">
        <v>1</v>
      </c>
    </row>
    <row r="591" spans="2:12" ht="18">
      <c r="B591" s="33"/>
      <c r="C591" s="33"/>
      <c r="D591" s="33"/>
      <c r="E591" s="33"/>
      <c r="F591" s="33"/>
      <c r="G591" s="33"/>
      <c r="H591" s="162"/>
      <c r="L591" s="23">
        <v>1</v>
      </c>
    </row>
    <row r="592" spans="2:12" ht="18">
      <c r="B592" s="33"/>
      <c r="C592" s="33"/>
      <c r="D592" s="33"/>
      <c r="E592" s="33"/>
      <c r="F592" s="33"/>
      <c r="G592" s="33"/>
      <c r="H592" s="162"/>
      <c r="L592" s="23">
        <v>1</v>
      </c>
    </row>
    <row r="593" spans="2:12" ht="18">
      <c r="B593" s="33"/>
      <c r="C593" s="33"/>
      <c r="D593" s="33"/>
      <c r="E593" s="33"/>
      <c r="F593" s="33"/>
      <c r="G593" s="33"/>
      <c r="H593" s="162"/>
      <c r="L593" s="23">
        <v>1</v>
      </c>
    </row>
    <row r="594" spans="2:12" ht="18">
      <c r="B594" s="33"/>
      <c r="C594" s="33"/>
      <c r="D594" s="33"/>
      <c r="E594" s="33"/>
      <c r="F594" s="33"/>
      <c r="G594" s="33"/>
      <c r="H594" s="162"/>
      <c r="L594" s="23">
        <v>1</v>
      </c>
    </row>
    <row r="595" spans="2:12" ht="18">
      <c r="B595" s="33"/>
      <c r="C595" s="33"/>
      <c r="D595" s="33"/>
      <c r="E595" s="33"/>
      <c r="F595" s="33"/>
      <c r="G595" s="33"/>
      <c r="H595" s="162"/>
      <c r="L595" s="23">
        <v>1</v>
      </c>
    </row>
    <row r="596" spans="2:12" ht="18">
      <c r="B596" s="33"/>
      <c r="C596" s="33"/>
      <c r="D596" s="33"/>
      <c r="E596" s="33"/>
      <c r="F596" s="33"/>
      <c r="G596" s="33"/>
      <c r="H596" s="162"/>
      <c r="L596" s="23">
        <v>1</v>
      </c>
    </row>
    <row r="597" spans="2:12" ht="18">
      <c r="B597" s="33"/>
      <c r="C597" s="33"/>
      <c r="D597" s="33"/>
      <c r="E597" s="33"/>
      <c r="F597" s="33"/>
      <c r="G597" s="33"/>
      <c r="H597" s="162"/>
      <c r="L597" s="23">
        <v>1</v>
      </c>
    </row>
    <row r="598" spans="2:12" ht="18">
      <c r="B598" s="33"/>
      <c r="C598" s="33"/>
      <c r="D598" s="33"/>
      <c r="E598" s="33"/>
      <c r="F598" s="33"/>
      <c r="G598" s="33"/>
      <c r="H598" s="162"/>
      <c r="L598" s="23">
        <v>1</v>
      </c>
    </row>
    <row r="599" spans="2:12" ht="18">
      <c r="B599" s="33"/>
      <c r="C599" s="33"/>
      <c r="D599" s="33"/>
      <c r="E599" s="33"/>
      <c r="F599" s="33"/>
      <c r="G599" s="33"/>
      <c r="H599" s="162"/>
      <c r="L599" s="23">
        <v>1</v>
      </c>
    </row>
    <row r="600" spans="2:12" ht="18">
      <c r="B600" s="33"/>
      <c r="C600" s="33"/>
      <c r="D600" s="33"/>
      <c r="E600" s="33"/>
      <c r="F600" s="33"/>
      <c r="G600" s="33"/>
      <c r="H600" s="162"/>
      <c r="L600" s="23">
        <v>1</v>
      </c>
    </row>
    <row r="601" spans="2:12" ht="18">
      <c r="B601" s="33"/>
      <c r="C601" s="33"/>
      <c r="D601" s="33"/>
      <c r="E601" s="33"/>
      <c r="F601" s="33"/>
      <c r="G601" s="33"/>
      <c r="H601" s="162"/>
      <c r="L601" s="23">
        <v>1</v>
      </c>
    </row>
    <row r="602" spans="2:12" ht="18">
      <c r="B602" s="33"/>
      <c r="C602" s="33"/>
      <c r="D602" s="33"/>
      <c r="E602" s="33"/>
      <c r="F602" s="33"/>
      <c r="G602" s="33"/>
      <c r="H602" s="162"/>
      <c r="L602" s="23">
        <v>1</v>
      </c>
    </row>
    <row r="603" spans="2:12" ht="18">
      <c r="B603" s="33"/>
      <c r="C603" s="33"/>
      <c r="D603" s="33"/>
      <c r="E603" s="33"/>
      <c r="F603" s="33"/>
      <c r="G603" s="33"/>
      <c r="H603" s="162"/>
      <c r="L603" s="23">
        <v>1</v>
      </c>
    </row>
    <row r="604" spans="2:12" ht="18">
      <c r="B604" s="33"/>
      <c r="C604" s="33"/>
      <c r="D604" s="33"/>
      <c r="E604" s="33"/>
      <c r="F604" s="33"/>
      <c r="G604" s="33"/>
      <c r="H604" s="162"/>
      <c r="L604" s="23">
        <v>1</v>
      </c>
    </row>
    <row r="605" spans="2:12" ht="18">
      <c r="B605" s="33"/>
      <c r="C605" s="33"/>
      <c r="D605" s="33"/>
      <c r="E605" s="33"/>
      <c r="F605" s="33"/>
      <c r="G605" s="33"/>
      <c r="H605" s="162"/>
      <c r="L605" s="23">
        <v>1</v>
      </c>
    </row>
    <row r="606" spans="2:12" ht="18">
      <c r="B606" s="33"/>
      <c r="C606" s="33"/>
      <c r="D606" s="33"/>
      <c r="E606" s="33"/>
      <c r="F606" s="33"/>
      <c r="G606" s="33"/>
      <c r="H606" s="162"/>
      <c r="L606" s="23">
        <v>1</v>
      </c>
    </row>
    <row r="607" spans="2:12" ht="18">
      <c r="B607" s="33"/>
      <c r="C607" s="33"/>
      <c r="D607" s="33"/>
      <c r="E607" s="33"/>
      <c r="F607" s="33"/>
      <c r="G607" s="33"/>
      <c r="H607" s="162"/>
      <c r="L607" s="23">
        <v>1</v>
      </c>
    </row>
    <row r="608" spans="2:12" ht="18">
      <c r="B608" s="33"/>
      <c r="C608" s="33"/>
      <c r="D608" s="33"/>
      <c r="E608" s="33"/>
      <c r="F608" s="33"/>
      <c r="G608" s="33"/>
      <c r="H608" s="162"/>
      <c r="L608" s="23">
        <v>1</v>
      </c>
    </row>
    <row r="609" spans="2:12" ht="18">
      <c r="B609" s="33"/>
      <c r="C609" s="33"/>
      <c r="D609" s="33"/>
      <c r="E609" s="33"/>
      <c r="F609" s="33"/>
      <c r="G609" s="33"/>
      <c r="H609" s="162"/>
      <c r="L609" s="23">
        <v>1</v>
      </c>
    </row>
    <row r="610" spans="2:12" ht="18">
      <c r="B610" s="33"/>
      <c r="C610" s="33"/>
      <c r="D610" s="33"/>
      <c r="E610" s="33"/>
      <c r="F610" s="33"/>
      <c r="G610" s="33"/>
      <c r="H610" s="162"/>
      <c r="L610" s="23">
        <v>1</v>
      </c>
    </row>
    <row r="611" spans="2:12" ht="18">
      <c r="B611" s="33"/>
      <c r="C611" s="33"/>
      <c r="D611" s="33"/>
      <c r="E611" s="33"/>
      <c r="F611" s="33"/>
      <c r="G611" s="33"/>
      <c r="H611" s="162"/>
      <c r="L611" s="23">
        <v>1</v>
      </c>
    </row>
    <row r="612" spans="2:12" ht="18">
      <c r="B612" s="33"/>
      <c r="C612" s="33"/>
      <c r="D612" s="33"/>
      <c r="E612" s="33"/>
      <c r="F612" s="33"/>
      <c r="G612" s="33"/>
      <c r="H612" s="162"/>
      <c r="L612" s="23">
        <v>1</v>
      </c>
    </row>
    <row r="613" spans="2:12" ht="18">
      <c r="B613" s="33"/>
      <c r="C613" s="33"/>
      <c r="D613" s="33"/>
      <c r="E613" s="33"/>
      <c r="F613" s="33"/>
      <c r="G613" s="33"/>
      <c r="H613" s="162"/>
      <c r="L613" s="23">
        <v>1</v>
      </c>
    </row>
    <row r="614" spans="2:12" ht="18">
      <c r="B614" s="33"/>
      <c r="C614" s="33"/>
      <c r="D614" s="33"/>
      <c r="E614" s="33"/>
      <c r="F614" s="33"/>
      <c r="G614" s="33"/>
      <c r="H614" s="162"/>
      <c r="L614" s="23">
        <v>1</v>
      </c>
    </row>
    <row r="615" spans="2:12" ht="18">
      <c r="B615" s="33"/>
      <c r="C615" s="33"/>
      <c r="D615" s="33"/>
      <c r="E615" s="33"/>
      <c r="F615" s="33"/>
      <c r="G615" s="33"/>
      <c r="H615" s="162"/>
      <c r="L615" s="23">
        <v>1</v>
      </c>
    </row>
    <row r="616" spans="2:12" ht="18">
      <c r="B616" s="33"/>
      <c r="C616" s="33"/>
      <c r="D616" s="33"/>
      <c r="E616" s="33"/>
      <c r="F616" s="33"/>
      <c r="G616" s="33"/>
      <c r="H616" s="162"/>
      <c r="L616" s="23">
        <v>1</v>
      </c>
    </row>
    <row r="617" spans="2:12" ht="18">
      <c r="B617" s="33"/>
      <c r="C617" s="33"/>
      <c r="D617" s="33"/>
      <c r="E617" s="33"/>
      <c r="F617" s="33"/>
      <c r="G617" s="33"/>
      <c r="H617" s="162"/>
      <c r="L617" s="23">
        <v>1</v>
      </c>
    </row>
    <row r="618" spans="2:12" ht="18">
      <c r="B618" s="33"/>
      <c r="C618" s="33"/>
      <c r="D618" s="33"/>
      <c r="E618" s="33"/>
      <c r="F618" s="33"/>
      <c r="G618" s="33"/>
      <c r="H618" s="162"/>
      <c r="L618" s="23">
        <v>1</v>
      </c>
    </row>
    <row r="619" spans="2:12" ht="18">
      <c r="B619" s="33"/>
      <c r="C619" s="33"/>
      <c r="D619" s="33"/>
      <c r="E619" s="33"/>
      <c r="F619" s="33"/>
      <c r="G619" s="33"/>
      <c r="H619" s="162"/>
      <c r="L619" s="23">
        <v>1</v>
      </c>
    </row>
    <row r="620" spans="2:12" ht="18">
      <c r="B620" s="33"/>
      <c r="C620" s="33"/>
      <c r="D620" s="33"/>
      <c r="E620" s="33"/>
      <c r="F620" s="33"/>
      <c r="G620" s="33"/>
      <c r="H620" s="162"/>
      <c r="L620" s="23">
        <v>1</v>
      </c>
    </row>
    <row r="621" spans="2:12" ht="18">
      <c r="B621" s="33"/>
      <c r="C621" s="33"/>
      <c r="D621" s="33"/>
      <c r="E621" s="33"/>
      <c r="F621" s="33"/>
      <c r="G621" s="33"/>
      <c r="H621" s="162"/>
      <c r="L621" s="23">
        <v>1</v>
      </c>
    </row>
    <row r="622" spans="2:12" ht="18">
      <c r="B622" s="33"/>
      <c r="C622" s="33"/>
      <c r="D622" s="33"/>
      <c r="E622" s="33"/>
      <c r="F622" s="33"/>
      <c r="G622" s="33"/>
      <c r="H622" s="162"/>
      <c r="L622" s="23">
        <v>1</v>
      </c>
    </row>
    <row r="623" spans="2:12" ht="18">
      <c r="B623" s="33"/>
      <c r="C623" s="33"/>
      <c r="D623" s="33"/>
      <c r="E623" s="33"/>
      <c r="F623" s="33"/>
      <c r="G623" s="33"/>
      <c r="H623" s="162"/>
      <c r="L623" s="23">
        <v>1</v>
      </c>
    </row>
    <row r="624" spans="2:12" ht="18">
      <c r="B624" s="33"/>
      <c r="C624" s="33"/>
      <c r="D624" s="33"/>
      <c r="E624" s="33"/>
      <c r="F624" s="33"/>
      <c r="G624" s="33"/>
      <c r="H624" s="162"/>
      <c r="L624" s="23">
        <v>1</v>
      </c>
    </row>
    <row r="625" spans="2:12" ht="18">
      <c r="B625" s="33"/>
      <c r="C625" s="33"/>
      <c r="D625" s="33"/>
      <c r="E625" s="33"/>
      <c r="F625" s="33"/>
      <c r="G625" s="33"/>
      <c r="H625" s="162"/>
      <c r="L625" s="23">
        <v>1</v>
      </c>
    </row>
    <row r="626" spans="2:12" ht="18">
      <c r="B626" s="33"/>
      <c r="C626" s="33"/>
      <c r="D626" s="33"/>
      <c r="E626" s="33"/>
      <c r="F626" s="33"/>
      <c r="G626" s="33"/>
      <c r="H626" s="162"/>
      <c r="L626" s="23">
        <v>1</v>
      </c>
    </row>
    <row r="627" spans="2:12" ht="18">
      <c r="B627" s="33"/>
      <c r="C627" s="33"/>
      <c r="D627" s="33"/>
      <c r="E627" s="33"/>
      <c r="F627" s="33"/>
      <c r="G627" s="33"/>
      <c r="H627" s="162"/>
      <c r="L627" s="23">
        <v>1</v>
      </c>
    </row>
    <row r="628" spans="2:12" ht="18">
      <c r="B628" s="33"/>
      <c r="C628" s="33"/>
      <c r="D628" s="33"/>
      <c r="E628" s="33"/>
      <c r="F628" s="33"/>
      <c r="G628" s="33"/>
      <c r="H628" s="162"/>
      <c r="L628" s="23">
        <v>1</v>
      </c>
    </row>
    <row r="629" spans="2:12" ht="18">
      <c r="B629" s="33"/>
      <c r="C629" s="33"/>
      <c r="D629" s="33"/>
      <c r="E629" s="33"/>
      <c r="F629" s="33"/>
      <c r="G629" s="33"/>
      <c r="H629" s="162"/>
      <c r="L629" s="23">
        <v>1</v>
      </c>
    </row>
    <row r="630" spans="2:12" ht="18">
      <c r="B630" s="33"/>
      <c r="C630" s="33"/>
      <c r="D630" s="33"/>
      <c r="E630" s="33"/>
      <c r="F630" s="33"/>
      <c r="G630" s="33"/>
      <c r="H630" s="162"/>
      <c r="L630" s="23">
        <v>1</v>
      </c>
    </row>
    <row r="631" spans="2:12" ht="18">
      <c r="B631" s="33"/>
      <c r="C631" s="33"/>
      <c r="D631" s="33"/>
      <c r="E631" s="33"/>
      <c r="F631" s="33"/>
      <c r="G631" s="33"/>
      <c r="H631" s="162"/>
      <c r="L631" s="23">
        <v>1</v>
      </c>
    </row>
    <row r="632" spans="2:12" ht="18">
      <c r="B632" s="33"/>
      <c r="C632" s="33"/>
      <c r="D632" s="33"/>
      <c r="E632" s="33"/>
      <c r="F632" s="33"/>
      <c r="G632" s="33"/>
      <c r="H632" s="162"/>
      <c r="L632" s="23">
        <v>1</v>
      </c>
    </row>
    <row r="633" spans="2:12" ht="18">
      <c r="B633" s="33"/>
      <c r="C633" s="33"/>
      <c r="D633" s="33"/>
      <c r="E633" s="33"/>
      <c r="F633" s="33"/>
      <c r="G633" s="33"/>
      <c r="H633" s="162"/>
      <c r="L633" s="23">
        <v>1</v>
      </c>
    </row>
    <row r="634" spans="2:12" ht="18">
      <c r="B634" s="33"/>
      <c r="C634" s="33"/>
      <c r="D634" s="33"/>
      <c r="E634" s="33"/>
      <c r="F634" s="33"/>
      <c r="G634" s="33"/>
      <c r="H634" s="162"/>
      <c r="L634" s="23">
        <v>1</v>
      </c>
    </row>
    <row r="635" spans="2:12" ht="18">
      <c r="B635" s="33"/>
      <c r="C635" s="33"/>
      <c r="D635" s="33"/>
      <c r="E635" s="33"/>
      <c r="F635" s="33"/>
      <c r="G635" s="33"/>
      <c r="H635" s="162"/>
      <c r="L635" s="23">
        <v>1</v>
      </c>
    </row>
    <row r="636" spans="2:12" ht="18">
      <c r="B636" s="33"/>
      <c r="C636" s="33"/>
      <c r="D636" s="33"/>
      <c r="E636" s="33"/>
      <c r="F636" s="33"/>
      <c r="G636" s="33"/>
      <c r="H636" s="162"/>
      <c r="L636" s="23">
        <v>1</v>
      </c>
    </row>
    <row r="637" spans="2:12" ht="18">
      <c r="B637" s="33"/>
      <c r="C637" s="33"/>
      <c r="D637" s="33"/>
      <c r="E637" s="33"/>
      <c r="F637" s="33"/>
      <c r="G637" s="33"/>
      <c r="H637" s="162"/>
      <c r="L637" s="23">
        <v>1</v>
      </c>
    </row>
    <row r="638" spans="2:12" ht="18">
      <c r="B638" s="33"/>
      <c r="C638" s="33"/>
      <c r="D638" s="33"/>
      <c r="E638" s="33"/>
      <c r="F638" s="33"/>
      <c r="G638" s="33"/>
      <c r="H638" s="162"/>
      <c r="L638" s="23">
        <v>1</v>
      </c>
    </row>
    <row r="639" spans="2:12" ht="18">
      <c r="B639" s="33"/>
      <c r="C639" s="33"/>
      <c r="D639" s="33"/>
      <c r="E639" s="33"/>
      <c r="F639" s="33"/>
      <c r="G639" s="33"/>
      <c r="H639" s="162"/>
      <c r="L639" s="23">
        <v>1</v>
      </c>
    </row>
    <row r="640" spans="2:12" ht="18">
      <c r="B640" s="33"/>
      <c r="C640" s="33"/>
      <c r="D640" s="33"/>
      <c r="E640" s="33"/>
      <c r="F640" s="33"/>
      <c r="G640" s="33"/>
      <c r="H640" s="162"/>
      <c r="L640" s="23">
        <v>1</v>
      </c>
    </row>
    <row r="641" spans="2:12" ht="18">
      <c r="B641" s="33"/>
      <c r="C641" s="33"/>
      <c r="D641" s="33"/>
      <c r="E641" s="33"/>
      <c r="F641" s="33"/>
      <c r="G641" s="33"/>
      <c r="H641" s="162"/>
      <c r="L641" s="23">
        <v>1</v>
      </c>
    </row>
    <row r="642" spans="2:12" ht="18">
      <c r="B642" s="33"/>
      <c r="C642" s="33"/>
      <c r="D642" s="33"/>
      <c r="E642" s="33"/>
      <c r="F642" s="33"/>
      <c r="G642" s="33"/>
      <c r="H642" s="162"/>
      <c r="L642" s="23">
        <v>1</v>
      </c>
    </row>
    <row r="643" spans="2:12" ht="18">
      <c r="B643" s="33"/>
      <c r="C643" s="33"/>
      <c r="D643" s="33"/>
      <c r="E643" s="33"/>
      <c r="F643" s="33"/>
      <c r="G643" s="33"/>
      <c r="H643" s="162"/>
      <c r="L643" s="23">
        <v>1</v>
      </c>
    </row>
    <row r="644" spans="2:12" ht="18">
      <c r="B644" s="33"/>
      <c r="C644" s="33"/>
      <c r="D644" s="33"/>
      <c r="E644" s="33"/>
      <c r="F644" s="33"/>
      <c r="G644" s="33"/>
      <c r="H644" s="162"/>
      <c r="L644" s="23">
        <v>1</v>
      </c>
    </row>
    <row r="645" spans="2:12" ht="18">
      <c r="B645" s="33"/>
      <c r="C645" s="33"/>
      <c r="D645" s="33"/>
      <c r="E645" s="33"/>
      <c r="F645" s="33"/>
      <c r="G645" s="33"/>
      <c r="H645" s="162"/>
      <c r="L645" s="23">
        <v>1</v>
      </c>
    </row>
    <row r="646" spans="2:12" ht="18">
      <c r="B646" s="33"/>
      <c r="C646" s="33"/>
      <c r="D646" s="33"/>
      <c r="E646" s="33"/>
      <c r="F646" s="33"/>
      <c r="G646" s="33"/>
      <c r="H646" s="162"/>
      <c r="L646" s="23">
        <v>1</v>
      </c>
    </row>
    <row r="647" spans="2:12" ht="18">
      <c r="B647" s="33"/>
      <c r="C647" s="33"/>
      <c r="D647" s="33"/>
      <c r="E647" s="33"/>
      <c r="F647" s="33"/>
      <c r="G647" s="33"/>
      <c r="H647" s="162"/>
      <c r="L647" s="23">
        <v>1</v>
      </c>
    </row>
    <row r="648" spans="2:12" ht="18">
      <c r="B648" s="33"/>
      <c r="C648" s="33"/>
      <c r="D648" s="33"/>
      <c r="E648" s="33"/>
      <c r="F648" s="33"/>
      <c r="G648" s="33"/>
      <c r="H648" s="162"/>
      <c r="L648" s="23">
        <v>1</v>
      </c>
    </row>
    <row r="649" spans="2:12" ht="18">
      <c r="B649" s="33"/>
      <c r="C649" s="33"/>
      <c r="D649" s="33"/>
      <c r="E649" s="33"/>
      <c r="F649" s="33"/>
      <c r="G649" s="33"/>
      <c r="H649" s="162"/>
      <c r="L649" s="23">
        <v>1</v>
      </c>
    </row>
    <row r="650" spans="2:12" ht="18">
      <c r="B650" s="33"/>
      <c r="C650" s="33"/>
      <c r="D650" s="33"/>
      <c r="E650" s="33"/>
      <c r="F650" s="33"/>
      <c r="G650" s="33"/>
      <c r="H650" s="162"/>
      <c r="L650" s="23">
        <v>1</v>
      </c>
    </row>
    <row r="651" spans="2:12" ht="18">
      <c r="B651" s="33"/>
      <c r="C651" s="33"/>
      <c r="D651" s="33"/>
      <c r="E651" s="33"/>
      <c r="F651" s="33"/>
      <c r="G651" s="33"/>
      <c r="H651" s="162"/>
      <c r="L651" s="23">
        <v>1</v>
      </c>
    </row>
    <row r="652" spans="2:12" ht="18">
      <c r="B652" s="33"/>
      <c r="C652" s="33"/>
      <c r="D652" s="33"/>
      <c r="E652" s="33"/>
      <c r="F652" s="33"/>
      <c r="G652" s="33"/>
      <c r="H652" s="162"/>
      <c r="L652" s="23">
        <v>1</v>
      </c>
    </row>
    <row r="653" spans="2:12" ht="18">
      <c r="B653" s="33"/>
      <c r="C653" s="33"/>
      <c r="D653" s="33"/>
      <c r="E653" s="33"/>
      <c r="F653" s="33"/>
      <c r="G653" s="33"/>
      <c r="H653" s="162"/>
      <c r="L653" s="23">
        <v>1</v>
      </c>
    </row>
    <row r="654" spans="2:12" ht="18">
      <c r="B654" s="33"/>
      <c r="C654" s="33"/>
      <c r="D654" s="33"/>
      <c r="E654" s="33"/>
      <c r="F654" s="33"/>
      <c r="G654" s="33"/>
      <c r="H654" s="162"/>
      <c r="L654" s="23">
        <v>1</v>
      </c>
    </row>
    <row r="655" spans="2:12" ht="18">
      <c r="B655" s="33"/>
      <c r="C655" s="33"/>
      <c r="D655" s="33"/>
      <c r="E655" s="33"/>
      <c r="F655" s="33"/>
      <c r="G655" s="33"/>
      <c r="H655" s="162"/>
      <c r="L655" s="23">
        <v>1</v>
      </c>
    </row>
    <row r="656" spans="2:12" ht="18">
      <c r="B656" s="33"/>
      <c r="C656" s="33"/>
      <c r="D656" s="33"/>
      <c r="E656" s="33"/>
      <c r="F656" s="33"/>
      <c r="G656" s="33"/>
      <c r="H656" s="162"/>
      <c r="L656" s="23">
        <v>1</v>
      </c>
    </row>
    <row r="657" spans="2:12" ht="18">
      <c r="B657" s="33"/>
      <c r="C657" s="33"/>
      <c r="D657" s="33"/>
      <c r="E657" s="33"/>
      <c r="F657" s="33"/>
      <c r="G657" s="33"/>
      <c r="H657" s="162"/>
      <c r="L657" s="23">
        <v>1</v>
      </c>
    </row>
    <row r="658" spans="2:12" ht="18">
      <c r="B658" s="33"/>
      <c r="C658" s="33"/>
      <c r="D658" s="33"/>
      <c r="E658" s="33"/>
      <c r="F658" s="33"/>
      <c r="G658" s="33"/>
      <c r="H658" s="162"/>
      <c r="L658" s="23">
        <v>1</v>
      </c>
    </row>
    <row r="659" spans="2:12" ht="18">
      <c r="B659" s="33"/>
      <c r="C659" s="33"/>
      <c r="D659" s="33"/>
      <c r="E659" s="33"/>
      <c r="F659" s="33"/>
      <c r="G659" s="33"/>
      <c r="H659" s="162"/>
      <c r="L659" s="23">
        <v>1</v>
      </c>
    </row>
    <row r="660" spans="2:12" ht="18">
      <c r="B660" s="33"/>
      <c r="C660" s="33"/>
      <c r="D660" s="33"/>
      <c r="E660" s="33"/>
      <c r="F660" s="33"/>
      <c r="G660" s="33"/>
      <c r="H660" s="162"/>
      <c r="L660" s="23">
        <v>1</v>
      </c>
    </row>
    <row r="661" spans="2:12" ht="18">
      <c r="B661" s="33"/>
      <c r="C661" s="33"/>
      <c r="D661" s="33"/>
      <c r="E661" s="33"/>
      <c r="F661" s="33"/>
      <c r="G661" s="33"/>
      <c r="H661" s="162"/>
      <c r="L661" s="23">
        <v>1</v>
      </c>
    </row>
    <row r="662" spans="2:12" ht="18">
      <c r="B662" s="33"/>
      <c r="C662" s="33"/>
      <c r="D662" s="33"/>
      <c r="E662" s="33"/>
      <c r="F662" s="33"/>
      <c r="G662" s="33"/>
      <c r="H662" s="162"/>
      <c r="L662" s="23">
        <v>1</v>
      </c>
    </row>
    <row r="663" spans="2:12" ht="18">
      <c r="B663" s="33"/>
      <c r="C663" s="33"/>
      <c r="D663" s="33"/>
      <c r="E663" s="33"/>
      <c r="F663" s="33"/>
      <c r="G663" s="33"/>
      <c r="H663" s="162"/>
      <c r="L663" s="23">
        <v>1</v>
      </c>
    </row>
    <row r="664" spans="2:12" ht="18">
      <c r="B664" s="33"/>
      <c r="C664" s="33"/>
      <c r="D664" s="33"/>
      <c r="E664" s="33"/>
      <c r="F664" s="33"/>
      <c r="G664" s="33"/>
      <c r="H664" s="162"/>
      <c r="L664" s="23">
        <v>1</v>
      </c>
    </row>
    <row r="665" spans="2:12" ht="18">
      <c r="B665" s="33"/>
      <c r="C665" s="33"/>
      <c r="D665" s="33"/>
      <c r="E665" s="33"/>
      <c r="F665" s="33"/>
      <c r="G665" s="33"/>
      <c r="H665" s="162"/>
      <c r="L665" s="23">
        <v>1</v>
      </c>
    </row>
    <row r="666" spans="2:12" ht="18">
      <c r="B666" s="33"/>
      <c r="C666" s="33"/>
      <c r="D666" s="33"/>
      <c r="E666" s="33"/>
      <c r="F666" s="33"/>
      <c r="G666" s="33"/>
      <c r="H666" s="162"/>
      <c r="L666" s="23">
        <v>1</v>
      </c>
    </row>
    <row r="667" spans="2:12" ht="18">
      <c r="B667" s="33"/>
      <c r="C667" s="33"/>
      <c r="D667" s="33"/>
      <c r="E667" s="33"/>
      <c r="F667" s="33"/>
      <c r="G667" s="33"/>
      <c r="H667" s="162"/>
      <c r="L667" s="23">
        <v>1</v>
      </c>
    </row>
    <row r="668" spans="2:12" ht="18">
      <c r="B668" s="33"/>
      <c r="C668" s="33"/>
      <c r="D668" s="33"/>
      <c r="E668" s="33"/>
      <c r="F668" s="33"/>
      <c r="G668" s="33"/>
      <c r="H668" s="162"/>
      <c r="L668" s="23">
        <v>1</v>
      </c>
    </row>
    <row r="669" spans="2:12" ht="18">
      <c r="B669" s="33"/>
      <c r="C669" s="33"/>
      <c r="D669" s="33"/>
      <c r="E669" s="33"/>
      <c r="F669" s="33"/>
      <c r="G669" s="33"/>
      <c r="H669" s="162"/>
      <c r="L669" s="23">
        <v>1</v>
      </c>
    </row>
    <row r="670" spans="2:12" ht="18">
      <c r="B670" s="33"/>
      <c r="C670" s="33"/>
      <c r="D670" s="33"/>
      <c r="E670" s="33"/>
      <c r="F670" s="33"/>
      <c r="G670" s="33"/>
      <c r="H670" s="162"/>
      <c r="L670" s="23">
        <v>1</v>
      </c>
    </row>
    <row r="671" spans="2:12" ht="18">
      <c r="B671" s="33"/>
      <c r="C671" s="33"/>
      <c r="D671" s="33"/>
      <c r="E671" s="33"/>
      <c r="F671" s="33"/>
      <c r="G671" s="33"/>
      <c r="H671" s="162"/>
      <c r="L671" s="23">
        <v>1</v>
      </c>
    </row>
    <row r="672" spans="2:12" ht="18">
      <c r="B672" s="33"/>
      <c r="C672" s="33"/>
      <c r="D672" s="33"/>
      <c r="E672" s="33"/>
      <c r="F672" s="33"/>
      <c r="G672" s="33"/>
      <c r="H672" s="162"/>
      <c r="L672" s="23">
        <v>1</v>
      </c>
    </row>
    <row r="673" spans="2:12" ht="18">
      <c r="B673" s="33"/>
      <c r="C673" s="33"/>
      <c r="D673" s="33"/>
      <c r="E673" s="33"/>
      <c r="F673" s="33"/>
      <c r="G673" s="33"/>
      <c r="H673" s="162"/>
      <c r="L673" s="23">
        <v>1</v>
      </c>
    </row>
    <row r="674" spans="2:12" ht="18">
      <c r="B674" s="33"/>
      <c r="C674" s="33"/>
      <c r="D674" s="33"/>
      <c r="E674" s="33"/>
      <c r="F674" s="33"/>
      <c r="G674" s="33"/>
      <c r="H674" s="162"/>
      <c r="L674" s="23">
        <v>1</v>
      </c>
    </row>
    <row r="675" spans="2:12" ht="18">
      <c r="B675" s="33"/>
      <c r="C675" s="33"/>
      <c r="D675" s="33"/>
      <c r="E675" s="33"/>
      <c r="F675" s="33"/>
      <c r="G675" s="33"/>
      <c r="H675" s="162"/>
      <c r="L675" s="23">
        <v>1</v>
      </c>
    </row>
    <row r="676" spans="2:12" ht="18">
      <c r="B676" s="33"/>
      <c r="C676" s="33"/>
      <c r="D676" s="33"/>
      <c r="E676" s="33"/>
      <c r="F676" s="33"/>
      <c r="G676" s="33"/>
      <c r="H676" s="162"/>
      <c r="L676" s="23">
        <v>1</v>
      </c>
    </row>
    <row r="677" spans="2:12" ht="18">
      <c r="B677" s="33"/>
      <c r="C677" s="33"/>
      <c r="D677" s="33"/>
      <c r="E677" s="33"/>
      <c r="F677" s="33"/>
      <c r="G677" s="33"/>
      <c r="H677" s="162"/>
      <c r="L677" s="23">
        <v>1</v>
      </c>
    </row>
    <row r="678" spans="2:12" ht="18">
      <c r="B678" s="33"/>
      <c r="C678" s="33"/>
      <c r="D678" s="33"/>
      <c r="E678" s="33"/>
      <c r="F678" s="33"/>
      <c r="G678" s="33"/>
      <c r="H678" s="162"/>
      <c r="L678" s="23">
        <v>1</v>
      </c>
    </row>
    <row r="679" spans="2:12" ht="18">
      <c r="B679" s="33"/>
      <c r="C679" s="33"/>
      <c r="D679" s="33"/>
      <c r="E679" s="33"/>
      <c r="F679" s="33"/>
      <c r="G679" s="33"/>
      <c r="H679" s="162"/>
      <c r="L679" s="23">
        <v>1</v>
      </c>
    </row>
    <row r="680" spans="2:12" ht="18">
      <c r="B680" s="33"/>
      <c r="C680" s="33"/>
      <c r="D680" s="33"/>
      <c r="E680" s="33"/>
      <c r="F680" s="33"/>
      <c r="G680" s="33"/>
      <c r="H680" s="162"/>
      <c r="L680" s="23">
        <v>1</v>
      </c>
    </row>
    <row r="681" spans="2:12" ht="18">
      <c r="B681" s="33"/>
      <c r="C681" s="33"/>
      <c r="D681" s="33"/>
      <c r="E681" s="33"/>
      <c r="F681" s="33"/>
      <c r="G681" s="33"/>
      <c r="H681" s="162"/>
      <c r="L681" s="23">
        <v>1</v>
      </c>
    </row>
    <row r="682" spans="2:12" ht="18">
      <c r="B682" s="33"/>
      <c r="C682" s="33"/>
      <c r="D682" s="33"/>
      <c r="E682" s="33"/>
      <c r="F682" s="33"/>
      <c r="G682" s="33"/>
      <c r="H682" s="162"/>
      <c r="L682" s="23">
        <v>1</v>
      </c>
    </row>
    <row r="683" spans="2:12" ht="18">
      <c r="B683" s="33"/>
      <c r="C683" s="33"/>
      <c r="D683" s="33"/>
      <c r="E683" s="33"/>
      <c r="F683" s="33"/>
      <c r="G683" s="33"/>
      <c r="H683" s="162"/>
      <c r="L683" s="23">
        <v>1</v>
      </c>
    </row>
    <row r="684" spans="2:12" ht="18">
      <c r="B684" s="33"/>
      <c r="C684" s="33"/>
      <c r="D684" s="33"/>
      <c r="E684" s="33"/>
      <c r="F684" s="33"/>
      <c r="G684" s="33"/>
      <c r="H684" s="162"/>
      <c r="L684" s="23">
        <v>1</v>
      </c>
    </row>
    <row r="685" spans="2:12" ht="18">
      <c r="B685" s="33"/>
      <c r="C685" s="33"/>
      <c r="D685" s="33"/>
      <c r="E685" s="33"/>
      <c r="F685" s="33"/>
      <c r="G685" s="33"/>
      <c r="H685" s="162"/>
      <c r="L685" s="23">
        <v>1</v>
      </c>
    </row>
    <row r="686" spans="2:12" ht="18">
      <c r="B686" s="33"/>
      <c r="C686" s="33"/>
      <c r="D686" s="33"/>
      <c r="E686" s="33"/>
      <c r="F686" s="33"/>
      <c r="G686" s="33"/>
      <c r="H686" s="162"/>
      <c r="L686" s="23">
        <v>1</v>
      </c>
    </row>
    <row r="687" spans="2:12" ht="18">
      <c r="B687" s="33"/>
      <c r="C687" s="33"/>
      <c r="D687" s="33"/>
      <c r="E687" s="33"/>
      <c r="F687" s="33"/>
      <c r="G687" s="33"/>
      <c r="H687" s="162"/>
      <c r="L687" s="23">
        <v>1</v>
      </c>
    </row>
    <row r="688" spans="2:12" ht="18">
      <c r="B688" s="33"/>
      <c r="C688" s="33"/>
      <c r="D688" s="33"/>
      <c r="E688" s="33"/>
      <c r="F688" s="33"/>
      <c r="G688" s="33"/>
      <c r="H688" s="162"/>
      <c r="L688" s="23">
        <v>1</v>
      </c>
    </row>
    <row r="689" spans="2:12" ht="18">
      <c r="B689" s="33"/>
      <c r="C689" s="33"/>
      <c r="D689" s="33"/>
      <c r="E689" s="33"/>
      <c r="F689" s="33"/>
      <c r="G689" s="33"/>
      <c r="H689" s="162"/>
      <c r="L689" s="23">
        <v>1</v>
      </c>
    </row>
    <row r="690" spans="2:12" ht="18">
      <c r="B690" s="33"/>
      <c r="C690" s="33"/>
      <c r="D690" s="33"/>
      <c r="E690" s="33"/>
      <c r="F690" s="33"/>
      <c r="G690" s="33"/>
      <c r="H690" s="162"/>
      <c r="L690" s="23">
        <v>1</v>
      </c>
    </row>
    <row r="691" spans="2:12" ht="18">
      <c r="B691" s="33"/>
      <c r="C691" s="33"/>
      <c r="D691" s="33"/>
      <c r="E691" s="33"/>
      <c r="F691" s="33"/>
      <c r="G691" s="33"/>
      <c r="H691" s="162"/>
      <c r="L691" s="23">
        <v>1</v>
      </c>
    </row>
    <row r="692" spans="2:12" ht="18">
      <c r="B692" s="33"/>
      <c r="C692" s="33"/>
      <c r="D692" s="33"/>
      <c r="E692" s="33"/>
      <c r="F692" s="33"/>
      <c r="G692" s="33"/>
      <c r="H692" s="162"/>
      <c r="L692" s="23">
        <v>1</v>
      </c>
    </row>
    <row r="693" spans="2:12" ht="18">
      <c r="B693" s="33"/>
      <c r="C693" s="33"/>
      <c r="D693" s="33"/>
      <c r="E693" s="33"/>
      <c r="F693" s="33"/>
      <c r="G693" s="33"/>
      <c r="H693" s="162"/>
      <c r="L693" s="23">
        <v>1</v>
      </c>
    </row>
    <row r="694" spans="2:12" ht="18">
      <c r="B694" s="33"/>
      <c r="C694" s="33"/>
      <c r="D694" s="33"/>
      <c r="E694" s="33"/>
      <c r="F694" s="33"/>
      <c r="G694" s="33"/>
      <c r="H694" s="162"/>
      <c r="L694" s="23">
        <v>1</v>
      </c>
    </row>
    <row r="695" spans="2:12" ht="18">
      <c r="B695" s="33"/>
      <c r="C695" s="33"/>
      <c r="D695" s="33"/>
      <c r="E695" s="33"/>
      <c r="F695" s="33"/>
      <c r="G695" s="33"/>
      <c r="H695" s="162"/>
      <c r="L695" s="23">
        <v>1</v>
      </c>
    </row>
    <row r="696" spans="2:12" ht="18">
      <c r="B696" s="33"/>
      <c r="C696" s="33"/>
      <c r="D696" s="33"/>
      <c r="E696" s="33"/>
      <c r="F696" s="33"/>
      <c r="G696" s="33"/>
      <c r="H696" s="162"/>
      <c r="L696" s="23">
        <v>1</v>
      </c>
    </row>
    <row r="697" spans="2:12" ht="18">
      <c r="B697" s="33"/>
      <c r="C697" s="33"/>
      <c r="D697" s="33"/>
      <c r="E697" s="33"/>
      <c r="F697" s="33"/>
      <c r="G697" s="33"/>
      <c r="H697" s="162"/>
      <c r="L697" s="23">
        <v>1</v>
      </c>
    </row>
    <row r="698" spans="2:12" ht="18">
      <c r="B698" s="33"/>
      <c r="C698" s="33"/>
      <c r="D698" s="33"/>
      <c r="E698" s="33"/>
      <c r="F698" s="33"/>
      <c r="G698" s="33"/>
      <c r="H698" s="162"/>
      <c r="L698" s="23">
        <v>1</v>
      </c>
    </row>
    <row r="699" spans="2:12" ht="18">
      <c r="B699" s="33"/>
      <c r="C699" s="33"/>
      <c r="D699" s="33"/>
      <c r="E699" s="33"/>
      <c r="F699" s="33"/>
      <c r="G699" s="33"/>
      <c r="H699" s="162"/>
      <c r="L699" s="23">
        <v>1</v>
      </c>
    </row>
    <row r="700" spans="2:12" ht="18">
      <c r="B700" s="33"/>
      <c r="C700" s="33"/>
      <c r="D700" s="33"/>
      <c r="E700" s="33"/>
      <c r="F700" s="33"/>
      <c r="G700" s="33"/>
      <c r="H700" s="162"/>
      <c r="L700" s="23">
        <v>1</v>
      </c>
    </row>
    <row r="701" spans="2:12" ht="18">
      <c r="B701" s="33"/>
      <c r="C701" s="33"/>
      <c r="D701" s="33"/>
      <c r="E701" s="33"/>
      <c r="F701" s="33"/>
      <c r="G701" s="33"/>
      <c r="H701" s="162"/>
      <c r="L701" s="23">
        <v>1</v>
      </c>
    </row>
    <row r="702" spans="2:12" ht="18">
      <c r="B702" s="33"/>
      <c r="C702" s="33"/>
      <c r="D702" s="33"/>
      <c r="E702" s="33"/>
      <c r="F702" s="33"/>
      <c r="G702" s="33"/>
      <c r="H702" s="162"/>
      <c r="L702" s="23">
        <v>1</v>
      </c>
    </row>
    <row r="703" spans="2:12" ht="18">
      <c r="B703" s="33"/>
      <c r="C703" s="33"/>
      <c r="D703" s="33"/>
      <c r="E703" s="33"/>
      <c r="F703" s="33"/>
      <c r="G703" s="33"/>
      <c r="H703" s="162"/>
      <c r="L703" s="23">
        <v>1</v>
      </c>
    </row>
    <row r="704" spans="2:12" ht="18">
      <c r="B704" s="33"/>
      <c r="C704" s="33"/>
      <c r="D704" s="33"/>
      <c r="E704" s="33"/>
      <c r="F704" s="33"/>
      <c r="G704" s="33"/>
      <c r="H704" s="162"/>
      <c r="L704" s="23">
        <v>1</v>
      </c>
    </row>
    <row r="705" spans="2:12" ht="18">
      <c r="B705" s="33"/>
      <c r="C705" s="33"/>
      <c r="D705" s="33"/>
      <c r="E705" s="33"/>
      <c r="F705" s="33"/>
      <c r="G705" s="33"/>
      <c r="H705" s="162"/>
      <c r="L705" s="23">
        <v>1</v>
      </c>
    </row>
    <row r="706" spans="2:12" ht="18">
      <c r="B706" s="33"/>
      <c r="C706" s="33"/>
      <c r="D706" s="33"/>
      <c r="E706" s="33"/>
      <c r="F706" s="33"/>
      <c r="G706" s="33"/>
      <c r="H706" s="162"/>
      <c r="L706" s="23">
        <v>1</v>
      </c>
    </row>
    <row r="707" spans="2:12" ht="18">
      <c r="B707" s="33"/>
      <c r="C707" s="33"/>
      <c r="D707" s="33"/>
      <c r="E707" s="33"/>
      <c r="F707" s="33"/>
      <c r="G707" s="33"/>
      <c r="H707" s="162"/>
      <c r="L707" s="23">
        <v>1</v>
      </c>
    </row>
    <row r="708" spans="2:12" ht="18">
      <c r="B708" s="33"/>
      <c r="C708" s="33"/>
      <c r="D708" s="33"/>
      <c r="E708" s="33"/>
      <c r="F708" s="33"/>
      <c r="G708" s="33"/>
      <c r="H708" s="162"/>
      <c r="L708" s="23">
        <v>1</v>
      </c>
    </row>
    <row r="709" spans="2:12" ht="18">
      <c r="B709" s="33"/>
      <c r="C709" s="33"/>
      <c r="D709" s="33"/>
      <c r="E709" s="33"/>
      <c r="F709" s="33"/>
      <c r="G709" s="33"/>
      <c r="H709" s="162"/>
      <c r="L709" s="23">
        <v>1</v>
      </c>
    </row>
    <row r="710" spans="2:12" ht="18">
      <c r="B710" s="33"/>
      <c r="C710" s="33"/>
      <c r="D710" s="33"/>
      <c r="E710" s="33"/>
      <c r="F710" s="33"/>
      <c r="G710" s="33"/>
      <c r="H710" s="162"/>
      <c r="L710" s="23">
        <v>1</v>
      </c>
    </row>
    <row r="711" spans="2:12" ht="18">
      <c r="B711" s="33"/>
      <c r="C711" s="33"/>
      <c r="D711" s="33"/>
      <c r="E711" s="33"/>
      <c r="F711" s="33"/>
      <c r="G711" s="33"/>
      <c r="H711" s="162"/>
      <c r="L711" s="23">
        <v>1</v>
      </c>
    </row>
    <row r="712" spans="2:12" ht="18">
      <c r="B712" s="33"/>
      <c r="C712" s="33"/>
      <c r="D712" s="33"/>
      <c r="E712" s="33"/>
      <c r="F712" s="33"/>
      <c r="G712" s="33"/>
      <c r="H712" s="162"/>
      <c r="L712" s="23">
        <v>1</v>
      </c>
    </row>
    <row r="713" spans="2:12" ht="18">
      <c r="B713" s="33"/>
      <c r="C713" s="33"/>
      <c r="D713" s="33"/>
      <c r="E713" s="33"/>
      <c r="F713" s="33"/>
      <c r="G713" s="33"/>
      <c r="H713" s="162"/>
      <c r="L713" s="23">
        <v>1</v>
      </c>
    </row>
    <row r="714" spans="2:12" ht="18">
      <c r="B714" s="33"/>
      <c r="C714" s="33"/>
      <c r="D714" s="33"/>
      <c r="E714" s="33"/>
      <c r="F714" s="33"/>
      <c r="G714" s="33"/>
      <c r="H714" s="162"/>
      <c r="L714" s="23">
        <v>1</v>
      </c>
    </row>
    <row r="715" spans="2:12" ht="18">
      <c r="B715" s="33"/>
      <c r="C715" s="33"/>
      <c r="D715" s="33"/>
      <c r="E715" s="33"/>
      <c r="F715" s="33"/>
      <c r="G715" s="33"/>
      <c r="H715" s="162"/>
      <c r="L715" s="23">
        <v>1</v>
      </c>
    </row>
    <row r="716" spans="2:12" ht="18">
      <c r="B716" s="33"/>
      <c r="C716" s="33"/>
      <c r="D716" s="33"/>
      <c r="E716" s="33"/>
      <c r="F716" s="33"/>
      <c r="G716" s="33"/>
      <c r="H716" s="162"/>
      <c r="L716" s="23">
        <v>1</v>
      </c>
    </row>
    <row r="717" spans="2:12" ht="18">
      <c r="B717" s="33"/>
      <c r="C717" s="33"/>
      <c r="D717" s="33"/>
      <c r="E717" s="33"/>
      <c r="F717" s="33"/>
      <c r="G717" s="33"/>
      <c r="H717" s="162"/>
      <c r="L717" s="23">
        <v>1</v>
      </c>
    </row>
    <row r="718" spans="2:12" ht="18">
      <c r="B718" s="33"/>
      <c r="C718" s="33"/>
      <c r="D718" s="33"/>
      <c r="E718" s="33"/>
      <c r="F718" s="33"/>
      <c r="G718" s="33"/>
      <c r="H718" s="162"/>
      <c r="L718" s="23">
        <v>1</v>
      </c>
    </row>
    <row r="719" spans="2:12" ht="18">
      <c r="B719" s="33"/>
      <c r="C719" s="33"/>
      <c r="D719" s="33"/>
      <c r="E719" s="33"/>
      <c r="F719" s="33"/>
      <c r="G719" s="33"/>
      <c r="H719" s="162"/>
      <c r="L719" s="23">
        <v>1</v>
      </c>
    </row>
    <row r="720" spans="2:12" ht="18">
      <c r="B720" s="33"/>
      <c r="C720" s="33"/>
      <c r="D720" s="33"/>
      <c r="E720" s="33"/>
      <c r="F720" s="33"/>
      <c r="G720" s="33"/>
      <c r="H720" s="162"/>
      <c r="L720" s="23">
        <v>1</v>
      </c>
    </row>
    <row r="721" spans="2:12" ht="18">
      <c r="B721" s="33"/>
      <c r="C721" s="33"/>
      <c r="D721" s="33"/>
      <c r="E721" s="33"/>
      <c r="F721" s="33"/>
      <c r="G721" s="33"/>
      <c r="H721" s="162"/>
      <c r="L721" s="23">
        <v>1</v>
      </c>
    </row>
    <row r="722" spans="2:12" ht="18">
      <c r="B722" s="33"/>
      <c r="C722" s="33"/>
      <c r="D722" s="33"/>
      <c r="E722" s="33"/>
      <c r="F722" s="33"/>
      <c r="G722" s="33"/>
      <c r="H722" s="162"/>
      <c r="L722" s="23">
        <v>1</v>
      </c>
    </row>
    <row r="723" spans="2:12" ht="18">
      <c r="B723" s="33"/>
      <c r="C723" s="33"/>
      <c r="D723" s="33"/>
      <c r="E723" s="33"/>
      <c r="F723" s="33"/>
      <c r="G723" s="33"/>
      <c r="H723" s="162"/>
      <c r="L723" s="23">
        <v>1</v>
      </c>
    </row>
    <row r="724" spans="2:12" ht="18">
      <c r="B724" s="33"/>
      <c r="C724" s="33"/>
      <c r="D724" s="33"/>
      <c r="E724" s="33"/>
      <c r="F724" s="33"/>
      <c r="G724" s="33"/>
      <c r="H724" s="162"/>
      <c r="L724" s="23">
        <v>1</v>
      </c>
    </row>
    <row r="725" spans="2:12" ht="18">
      <c r="B725" s="33"/>
      <c r="C725" s="33"/>
      <c r="D725" s="33"/>
      <c r="E725" s="33"/>
      <c r="F725" s="33"/>
      <c r="G725" s="33"/>
      <c r="H725" s="162"/>
      <c r="L725" s="23">
        <v>1</v>
      </c>
    </row>
    <row r="726" spans="2:12" ht="18">
      <c r="B726" s="33"/>
      <c r="C726" s="33"/>
      <c r="D726" s="33"/>
      <c r="E726" s="33"/>
      <c r="F726" s="33"/>
      <c r="G726" s="33"/>
      <c r="H726" s="162"/>
      <c r="L726" s="23">
        <v>1</v>
      </c>
    </row>
    <row r="727" spans="2:12" ht="18">
      <c r="B727" s="33"/>
      <c r="C727" s="33"/>
      <c r="D727" s="33"/>
      <c r="E727" s="33"/>
      <c r="F727" s="33"/>
      <c r="G727" s="33"/>
      <c r="H727" s="162"/>
      <c r="L727" s="23">
        <v>1</v>
      </c>
    </row>
    <row r="728" spans="2:12" ht="18">
      <c r="B728" s="33"/>
      <c r="C728" s="33"/>
      <c r="D728" s="33"/>
      <c r="E728" s="33"/>
      <c r="F728" s="33"/>
      <c r="G728" s="33"/>
      <c r="H728" s="162"/>
      <c r="L728" s="23">
        <v>1</v>
      </c>
    </row>
    <row r="729" spans="2:12" ht="18">
      <c r="B729" s="33"/>
      <c r="C729" s="33"/>
      <c r="D729" s="33"/>
      <c r="E729" s="33"/>
      <c r="F729" s="33"/>
      <c r="G729" s="33"/>
      <c r="H729" s="162"/>
      <c r="L729" s="23">
        <v>1</v>
      </c>
    </row>
    <row r="730" spans="2:12" ht="18">
      <c r="B730" s="33"/>
      <c r="C730" s="33"/>
      <c r="D730" s="33"/>
      <c r="E730" s="33"/>
      <c r="F730" s="33"/>
      <c r="G730" s="33"/>
      <c r="H730" s="162"/>
      <c r="L730" s="23">
        <v>1</v>
      </c>
    </row>
    <row r="731" spans="2:12" ht="18">
      <c r="B731" s="33"/>
      <c r="C731" s="33"/>
      <c r="D731" s="33"/>
      <c r="E731" s="33"/>
      <c r="F731" s="33"/>
      <c r="G731" s="33"/>
      <c r="H731" s="162"/>
      <c r="L731" s="23">
        <v>1</v>
      </c>
    </row>
    <row r="732" spans="2:12" ht="18">
      <c r="B732" s="33"/>
      <c r="C732" s="33"/>
      <c r="D732" s="33"/>
      <c r="E732" s="33"/>
      <c r="F732" s="33"/>
      <c r="G732" s="33"/>
      <c r="H732" s="162"/>
      <c r="L732" s="23">
        <v>1</v>
      </c>
    </row>
    <row r="733" spans="2:12" ht="18">
      <c r="B733" s="33"/>
      <c r="C733" s="33"/>
      <c r="D733" s="33"/>
      <c r="E733" s="33"/>
      <c r="F733" s="33"/>
      <c r="G733" s="33"/>
      <c r="H733" s="162"/>
      <c r="L733" s="23">
        <v>1</v>
      </c>
    </row>
    <row r="734" spans="2:12" ht="18">
      <c r="B734" s="33"/>
      <c r="C734" s="33"/>
      <c r="D734" s="33"/>
      <c r="E734" s="33"/>
      <c r="F734" s="33"/>
      <c r="G734" s="33"/>
      <c r="H734" s="162"/>
      <c r="L734" s="23">
        <v>1</v>
      </c>
    </row>
    <row r="735" spans="2:12" ht="18">
      <c r="B735" s="33"/>
      <c r="C735" s="33"/>
      <c r="D735" s="33"/>
      <c r="E735" s="33"/>
      <c r="F735" s="33"/>
      <c r="G735" s="33"/>
      <c r="H735" s="162"/>
      <c r="L735" s="23">
        <v>1</v>
      </c>
    </row>
    <row r="736" spans="2:12" ht="18">
      <c r="B736" s="33"/>
      <c r="C736" s="33"/>
      <c r="D736" s="33"/>
      <c r="E736" s="33"/>
      <c r="F736" s="33"/>
      <c r="G736" s="33"/>
      <c r="H736" s="162"/>
      <c r="L736" s="23">
        <v>1</v>
      </c>
    </row>
    <row r="737" spans="2:12" ht="18">
      <c r="B737" s="33"/>
      <c r="C737" s="33"/>
      <c r="D737" s="33"/>
      <c r="E737" s="33"/>
      <c r="F737" s="33"/>
      <c r="G737" s="33"/>
      <c r="H737" s="162"/>
      <c r="L737" s="23">
        <v>1</v>
      </c>
    </row>
    <row r="738" spans="2:12" ht="18">
      <c r="B738" s="33"/>
      <c r="C738" s="33"/>
      <c r="D738" s="33"/>
      <c r="E738" s="33"/>
      <c r="F738" s="33"/>
      <c r="G738" s="33"/>
      <c r="H738" s="162"/>
      <c r="L738" s="23">
        <v>1</v>
      </c>
    </row>
    <row r="739" spans="2:12" ht="18">
      <c r="B739" s="33"/>
      <c r="C739" s="33"/>
      <c r="D739" s="33"/>
      <c r="E739" s="33"/>
      <c r="F739" s="33"/>
      <c r="G739" s="33"/>
      <c r="H739" s="162"/>
      <c r="L739" s="23">
        <v>1</v>
      </c>
    </row>
    <row r="740" spans="2:12" ht="18">
      <c r="B740" s="33"/>
      <c r="C740" s="33"/>
      <c r="D740" s="33"/>
      <c r="E740" s="33"/>
      <c r="F740" s="33"/>
      <c r="G740" s="33"/>
      <c r="H740" s="162"/>
      <c r="L740" s="23">
        <v>1</v>
      </c>
    </row>
    <row r="741" spans="2:12" ht="18">
      <c r="B741" s="33"/>
      <c r="C741" s="33"/>
      <c r="D741" s="33"/>
      <c r="E741" s="33"/>
      <c r="F741" s="33"/>
      <c r="G741" s="33"/>
      <c r="H741" s="162"/>
      <c r="L741" s="23">
        <v>1</v>
      </c>
    </row>
    <row r="742" spans="2:12" ht="18">
      <c r="B742" s="33"/>
      <c r="C742" s="33"/>
      <c r="D742" s="33"/>
      <c r="E742" s="33"/>
      <c r="F742" s="33"/>
      <c r="G742" s="33"/>
      <c r="H742" s="162"/>
      <c r="L742" s="23">
        <v>1</v>
      </c>
    </row>
    <row r="743" spans="2:12" ht="18">
      <c r="B743" s="33"/>
      <c r="C743" s="33"/>
      <c r="D743" s="33"/>
      <c r="E743" s="33"/>
      <c r="F743" s="33"/>
      <c r="G743" s="33"/>
      <c r="H743" s="162"/>
      <c r="L743" s="23">
        <v>1</v>
      </c>
    </row>
    <row r="744" spans="2:12" ht="18">
      <c r="B744" s="33"/>
      <c r="C744" s="33"/>
      <c r="D744" s="33"/>
      <c r="E744" s="33"/>
      <c r="F744" s="33"/>
      <c r="G744" s="33"/>
      <c r="H744" s="162"/>
      <c r="L744" s="23">
        <v>1</v>
      </c>
    </row>
    <row r="745" spans="2:12" ht="18">
      <c r="B745" s="33"/>
      <c r="C745" s="33"/>
      <c r="D745" s="33"/>
      <c r="E745" s="33"/>
      <c r="F745" s="33"/>
      <c r="G745" s="33"/>
      <c r="H745" s="162"/>
      <c r="L745" s="23">
        <v>1</v>
      </c>
    </row>
    <row r="746" spans="2:12" ht="18">
      <c r="B746" s="33"/>
      <c r="C746" s="33"/>
      <c r="D746" s="33"/>
      <c r="E746" s="33"/>
      <c r="F746" s="33"/>
      <c r="G746" s="33"/>
      <c r="H746" s="162"/>
      <c r="L746" s="23">
        <v>1</v>
      </c>
    </row>
    <row r="747" spans="2:12" ht="18">
      <c r="B747" s="33"/>
      <c r="C747" s="33"/>
      <c r="D747" s="33"/>
      <c r="E747" s="33"/>
      <c r="F747" s="33"/>
      <c r="G747" s="33"/>
      <c r="H747" s="162"/>
      <c r="L747" s="23">
        <v>1</v>
      </c>
    </row>
    <row r="748" spans="2:12" ht="18">
      <c r="B748" s="33"/>
      <c r="C748" s="33"/>
      <c r="D748" s="33"/>
      <c r="E748" s="33"/>
      <c r="F748" s="33"/>
      <c r="G748" s="33"/>
      <c r="H748" s="162"/>
      <c r="L748" s="23">
        <v>1</v>
      </c>
    </row>
    <row r="749" spans="2:12" ht="18">
      <c r="B749" s="33"/>
      <c r="C749" s="33"/>
      <c r="D749" s="33"/>
      <c r="E749" s="33"/>
      <c r="F749" s="33"/>
      <c r="G749" s="33"/>
      <c r="H749" s="162"/>
      <c r="L749" s="23">
        <v>1</v>
      </c>
    </row>
    <row r="750" spans="2:12" ht="18">
      <c r="B750" s="33"/>
      <c r="C750" s="33"/>
      <c r="D750" s="33"/>
      <c r="E750" s="33"/>
      <c r="F750" s="33"/>
      <c r="G750" s="33"/>
      <c r="H750" s="162"/>
      <c r="L750" s="23">
        <v>1</v>
      </c>
    </row>
    <row r="751" spans="2:12" ht="18">
      <c r="B751" s="33"/>
      <c r="C751" s="33"/>
      <c r="D751" s="33"/>
      <c r="E751" s="33"/>
      <c r="F751" s="33"/>
      <c r="G751" s="33"/>
      <c r="H751" s="162"/>
      <c r="L751" s="23">
        <v>1</v>
      </c>
    </row>
    <row r="752" spans="2:12" ht="18">
      <c r="B752" s="33"/>
      <c r="C752" s="33"/>
      <c r="D752" s="33"/>
      <c r="E752" s="33"/>
      <c r="F752" s="33"/>
      <c r="G752" s="33"/>
      <c r="H752" s="162"/>
      <c r="L752" s="23">
        <v>1</v>
      </c>
    </row>
    <row r="753" spans="2:12" ht="18">
      <c r="B753" s="33"/>
      <c r="C753" s="33"/>
      <c r="D753" s="33"/>
      <c r="E753" s="33"/>
      <c r="F753" s="33"/>
      <c r="G753" s="33"/>
      <c r="H753" s="162"/>
      <c r="L753" s="23">
        <v>1</v>
      </c>
    </row>
    <row r="754" spans="2:12" ht="18">
      <c r="B754" s="33"/>
      <c r="C754" s="33"/>
      <c r="D754" s="33"/>
      <c r="E754" s="33"/>
      <c r="F754" s="33"/>
      <c r="G754" s="33"/>
      <c r="H754" s="162"/>
      <c r="L754" s="23">
        <v>1</v>
      </c>
    </row>
    <row r="755" spans="2:12" ht="18">
      <c r="B755" s="33"/>
      <c r="C755" s="33"/>
      <c r="D755" s="33"/>
      <c r="E755" s="33"/>
      <c r="F755" s="33"/>
      <c r="G755" s="33"/>
      <c r="H755" s="162"/>
      <c r="L755" s="23">
        <v>1</v>
      </c>
    </row>
    <row r="756" spans="2:12" ht="18">
      <c r="B756" s="33"/>
      <c r="C756" s="33"/>
      <c r="D756" s="33"/>
      <c r="E756" s="33"/>
      <c r="F756" s="33"/>
      <c r="G756" s="33"/>
      <c r="H756" s="162"/>
      <c r="L756" s="23">
        <v>1</v>
      </c>
    </row>
    <row r="757" spans="2:12" ht="18">
      <c r="B757" s="33"/>
      <c r="C757" s="33"/>
      <c r="D757" s="33"/>
      <c r="E757" s="33"/>
      <c r="F757" s="33"/>
      <c r="G757" s="33"/>
      <c r="H757" s="162"/>
      <c r="L757" s="23">
        <v>1</v>
      </c>
    </row>
    <row r="758" spans="2:12" ht="18">
      <c r="B758" s="33"/>
      <c r="C758" s="33"/>
      <c r="D758" s="33"/>
      <c r="E758" s="33"/>
      <c r="F758" s="33"/>
      <c r="G758" s="33"/>
      <c r="H758" s="162"/>
      <c r="L758" s="23">
        <v>1</v>
      </c>
    </row>
    <row r="759" spans="2:12" ht="18">
      <c r="B759" s="33"/>
      <c r="C759" s="33"/>
      <c r="D759" s="33"/>
      <c r="E759" s="33"/>
      <c r="F759" s="33"/>
      <c r="G759" s="33"/>
      <c r="H759" s="162"/>
      <c r="L759" s="23">
        <v>1</v>
      </c>
    </row>
    <row r="760" spans="2:12" ht="18">
      <c r="B760" s="33"/>
      <c r="C760" s="33"/>
      <c r="D760" s="33"/>
      <c r="E760" s="33"/>
      <c r="F760" s="33"/>
      <c r="G760" s="33"/>
      <c r="H760" s="162"/>
      <c r="L760" s="23">
        <v>1</v>
      </c>
    </row>
    <row r="761" spans="2:12" ht="18">
      <c r="B761" s="33"/>
      <c r="C761" s="33"/>
      <c r="D761" s="33"/>
      <c r="E761" s="33"/>
      <c r="F761" s="33"/>
      <c r="G761" s="33"/>
      <c r="H761" s="162"/>
      <c r="L761" s="23">
        <v>1</v>
      </c>
    </row>
    <row r="762" spans="2:12" ht="18">
      <c r="B762" s="33"/>
      <c r="C762" s="33"/>
      <c r="D762" s="33"/>
      <c r="E762" s="33"/>
      <c r="F762" s="33"/>
      <c r="G762" s="33"/>
      <c r="H762" s="162"/>
      <c r="L762" s="23">
        <v>1</v>
      </c>
    </row>
    <row r="763" spans="2:12" ht="18">
      <c r="B763" s="33"/>
      <c r="C763" s="33"/>
      <c r="D763" s="33"/>
      <c r="E763" s="33"/>
      <c r="F763" s="33"/>
      <c r="G763" s="33"/>
      <c r="H763" s="162"/>
      <c r="L763" s="23">
        <v>1</v>
      </c>
    </row>
    <row r="764" spans="2:12" ht="18">
      <c r="B764" s="33"/>
      <c r="C764" s="33"/>
      <c r="D764" s="33"/>
      <c r="E764" s="33"/>
      <c r="F764" s="33"/>
      <c r="G764" s="33"/>
      <c r="H764" s="162"/>
      <c r="L764" s="23">
        <v>1</v>
      </c>
    </row>
    <row r="765" spans="2:12" ht="18">
      <c r="B765" s="33"/>
      <c r="C765" s="33"/>
      <c r="D765" s="33"/>
      <c r="E765" s="33"/>
      <c r="F765" s="33"/>
      <c r="G765" s="33"/>
      <c r="H765" s="162"/>
      <c r="L765" s="23">
        <v>1</v>
      </c>
    </row>
    <row r="766" spans="2:12" ht="18">
      <c r="B766" s="33"/>
      <c r="C766" s="33"/>
      <c r="D766" s="33"/>
      <c r="E766" s="33"/>
      <c r="F766" s="33"/>
      <c r="G766" s="33"/>
      <c r="H766" s="162"/>
      <c r="L766" s="23">
        <v>1</v>
      </c>
    </row>
    <row r="767" spans="2:12" ht="18">
      <c r="B767" s="33"/>
      <c r="C767" s="33"/>
      <c r="D767" s="33"/>
      <c r="E767" s="33"/>
      <c r="F767" s="33"/>
      <c r="G767" s="33"/>
      <c r="H767" s="162"/>
      <c r="L767" s="23">
        <v>1</v>
      </c>
    </row>
    <row r="768" spans="2:12" ht="18">
      <c r="B768" s="33"/>
      <c r="C768" s="33"/>
      <c r="D768" s="33"/>
      <c r="E768" s="33"/>
      <c r="F768" s="33"/>
      <c r="G768" s="33"/>
      <c r="H768" s="162"/>
      <c r="L768" s="23">
        <v>1</v>
      </c>
    </row>
    <row r="769" spans="2:12" ht="18">
      <c r="B769" s="33"/>
      <c r="C769" s="33"/>
      <c r="D769" s="33"/>
      <c r="E769" s="33"/>
      <c r="F769" s="33"/>
      <c r="G769" s="33"/>
      <c r="H769" s="162"/>
      <c r="L769" s="23">
        <v>1</v>
      </c>
    </row>
    <row r="770" spans="2:12" ht="18">
      <c r="B770" s="33"/>
      <c r="C770" s="33"/>
      <c r="D770" s="33"/>
      <c r="E770" s="33"/>
      <c r="F770" s="33"/>
      <c r="G770" s="33"/>
      <c r="H770" s="162"/>
      <c r="L770" s="23">
        <v>1</v>
      </c>
    </row>
    <row r="771" spans="2:12" ht="18">
      <c r="B771" s="33"/>
      <c r="C771" s="33"/>
      <c r="D771" s="33"/>
      <c r="E771" s="33"/>
      <c r="F771" s="33"/>
      <c r="G771" s="33"/>
      <c r="H771" s="162"/>
      <c r="L771" s="23">
        <v>1</v>
      </c>
    </row>
    <row r="772" spans="2:12" ht="18">
      <c r="B772" s="33"/>
      <c r="C772" s="33"/>
      <c r="D772" s="33"/>
      <c r="E772" s="33"/>
      <c r="F772" s="33"/>
      <c r="G772" s="33"/>
      <c r="H772" s="162"/>
      <c r="L772" s="23">
        <v>1</v>
      </c>
    </row>
    <row r="773" spans="2:12" ht="18">
      <c r="B773" s="33"/>
      <c r="C773" s="33"/>
      <c r="D773" s="33"/>
      <c r="E773" s="33"/>
      <c r="F773" s="33"/>
      <c r="G773" s="33"/>
      <c r="H773" s="162"/>
      <c r="L773" s="23">
        <v>1</v>
      </c>
    </row>
    <row r="774" spans="2:12" ht="18">
      <c r="B774" s="33"/>
      <c r="C774" s="33"/>
      <c r="D774" s="33"/>
      <c r="E774" s="33"/>
      <c r="F774" s="33"/>
      <c r="G774" s="33"/>
      <c r="H774" s="162"/>
      <c r="L774" s="23">
        <v>1</v>
      </c>
    </row>
    <row r="775" spans="2:12" ht="18">
      <c r="B775" s="33"/>
      <c r="C775" s="33"/>
      <c r="D775" s="33"/>
      <c r="E775" s="33"/>
      <c r="F775" s="33"/>
      <c r="G775" s="33"/>
      <c r="H775" s="162"/>
      <c r="L775" s="23">
        <v>1</v>
      </c>
    </row>
    <row r="776" spans="2:12" ht="18">
      <c r="B776" s="33"/>
      <c r="C776" s="33"/>
      <c r="D776" s="33"/>
      <c r="E776" s="33"/>
      <c r="F776" s="33"/>
      <c r="G776" s="33"/>
      <c r="H776" s="162"/>
      <c r="L776" s="23">
        <v>1</v>
      </c>
    </row>
    <row r="777" spans="2:12" ht="18">
      <c r="B777" s="33"/>
      <c r="C777" s="33"/>
      <c r="D777" s="33"/>
      <c r="E777" s="33"/>
      <c r="F777" s="33"/>
      <c r="G777" s="33"/>
      <c r="H777" s="162"/>
      <c r="L777" s="23">
        <v>1</v>
      </c>
    </row>
    <row r="778" spans="2:12" ht="18">
      <c r="B778" s="33"/>
      <c r="C778" s="33"/>
      <c r="D778" s="33"/>
      <c r="E778" s="33"/>
      <c r="F778" s="33"/>
      <c r="G778" s="33"/>
      <c r="H778" s="162"/>
      <c r="L778" s="23">
        <v>1</v>
      </c>
    </row>
    <row r="779" spans="2:12" ht="18">
      <c r="B779" s="33"/>
      <c r="C779" s="33"/>
      <c r="D779" s="33"/>
      <c r="E779" s="33"/>
      <c r="F779" s="33"/>
      <c r="G779" s="33"/>
      <c r="H779" s="162"/>
      <c r="L779" s="23">
        <v>1</v>
      </c>
    </row>
    <row r="780" spans="2:12" ht="18">
      <c r="B780" s="33"/>
      <c r="C780" s="33"/>
      <c r="D780" s="33"/>
      <c r="E780" s="33"/>
      <c r="F780" s="33"/>
      <c r="G780" s="33"/>
      <c r="H780" s="162"/>
      <c r="L780" s="23">
        <v>1</v>
      </c>
    </row>
    <row r="781" spans="2:12" ht="18">
      <c r="B781" s="33"/>
      <c r="C781" s="33"/>
      <c r="D781" s="33"/>
      <c r="E781" s="33"/>
      <c r="F781" s="33"/>
      <c r="G781" s="33"/>
      <c r="H781" s="162"/>
      <c r="L781" s="23">
        <v>1</v>
      </c>
    </row>
    <row r="782" spans="2:12" ht="18">
      <c r="B782" s="33"/>
      <c r="C782" s="33"/>
      <c r="D782" s="33"/>
      <c r="E782" s="33"/>
      <c r="F782" s="33"/>
      <c r="G782" s="33"/>
      <c r="H782" s="162"/>
      <c r="L782" s="23">
        <v>1</v>
      </c>
    </row>
    <row r="783" spans="2:12" ht="18">
      <c r="B783" s="33"/>
      <c r="C783" s="33"/>
      <c r="D783" s="33"/>
      <c r="E783" s="33"/>
      <c r="F783" s="33"/>
      <c r="G783" s="33"/>
      <c r="H783" s="162"/>
      <c r="L783" s="23">
        <v>1</v>
      </c>
    </row>
    <row r="784" spans="2:12" ht="18">
      <c r="B784" s="33"/>
      <c r="C784" s="33"/>
      <c r="D784" s="33"/>
      <c r="E784" s="33"/>
      <c r="F784" s="33"/>
      <c r="G784" s="33"/>
      <c r="H784" s="162"/>
      <c r="L784" s="23">
        <v>1</v>
      </c>
    </row>
    <row r="785" spans="2:12" ht="18">
      <c r="B785" s="33"/>
      <c r="C785" s="33"/>
      <c r="D785" s="33"/>
      <c r="E785" s="33"/>
      <c r="F785" s="33"/>
      <c r="G785" s="33"/>
      <c r="H785" s="162"/>
      <c r="L785" s="23">
        <v>1</v>
      </c>
    </row>
    <row r="786" spans="2:12" ht="18">
      <c r="B786" s="33"/>
      <c r="C786" s="33"/>
      <c r="D786" s="33"/>
      <c r="E786" s="33"/>
      <c r="F786" s="33"/>
      <c r="G786" s="33"/>
      <c r="H786" s="162"/>
      <c r="L786" s="23">
        <v>1</v>
      </c>
    </row>
    <row r="787" spans="2:12" ht="18">
      <c r="B787" s="33"/>
      <c r="C787" s="33"/>
      <c r="D787" s="33"/>
      <c r="E787" s="33"/>
      <c r="F787" s="33"/>
      <c r="G787" s="33"/>
      <c r="H787" s="162"/>
      <c r="L787" s="23">
        <v>1</v>
      </c>
    </row>
    <row r="788" spans="2:12" ht="18">
      <c r="B788" s="33"/>
      <c r="C788" s="33"/>
      <c r="D788" s="33"/>
      <c r="E788" s="33"/>
      <c r="F788" s="33"/>
      <c r="G788" s="33"/>
      <c r="H788" s="162"/>
      <c r="L788" s="23">
        <v>1</v>
      </c>
    </row>
    <row r="789" spans="2:12" ht="18">
      <c r="B789" s="33"/>
      <c r="C789" s="33"/>
      <c r="D789" s="33"/>
      <c r="E789" s="33"/>
      <c r="F789" s="33"/>
      <c r="G789" s="33"/>
      <c r="H789" s="162"/>
      <c r="L789" s="23">
        <v>1</v>
      </c>
    </row>
    <row r="790" spans="2:12" ht="18">
      <c r="B790" s="33"/>
      <c r="C790" s="33"/>
      <c r="D790" s="33"/>
      <c r="E790" s="33"/>
      <c r="F790" s="33"/>
      <c r="G790" s="33"/>
      <c r="H790" s="162"/>
      <c r="L790" s="23">
        <v>1</v>
      </c>
    </row>
    <row r="791" spans="2:12" ht="18">
      <c r="B791" s="33"/>
      <c r="C791" s="33"/>
      <c r="D791" s="33"/>
      <c r="E791" s="33"/>
      <c r="F791" s="33"/>
      <c r="G791" s="33"/>
      <c r="H791" s="162"/>
      <c r="L791" s="23">
        <v>1</v>
      </c>
    </row>
    <row r="792" spans="2:12" ht="18">
      <c r="B792" s="33"/>
      <c r="C792" s="33"/>
      <c r="D792" s="33"/>
      <c r="E792" s="33"/>
      <c r="F792" s="33"/>
      <c r="G792" s="33"/>
      <c r="H792" s="162"/>
      <c r="L792" s="23">
        <v>1</v>
      </c>
    </row>
    <row r="793" spans="2:12" ht="18">
      <c r="B793" s="33"/>
      <c r="C793" s="33"/>
      <c r="D793" s="33"/>
      <c r="E793" s="33"/>
      <c r="F793" s="33"/>
      <c r="G793" s="33"/>
      <c r="H793" s="162"/>
      <c r="L793" s="23">
        <v>1</v>
      </c>
    </row>
    <row r="794" spans="2:12" ht="18">
      <c r="B794" s="33"/>
      <c r="C794" s="33"/>
      <c r="D794" s="33"/>
      <c r="E794" s="33"/>
      <c r="F794" s="33"/>
      <c r="G794" s="33"/>
      <c r="H794" s="162"/>
      <c r="L794" s="23">
        <v>1</v>
      </c>
    </row>
    <row r="795" spans="2:12" ht="18">
      <c r="B795" s="33"/>
      <c r="C795" s="33"/>
      <c r="D795" s="33"/>
      <c r="E795" s="33"/>
      <c r="F795" s="33"/>
      <c r="G795" s="33"/>
      <c r="H795" s="162"/>
      <c r="L795" s="23">
        <v>1</v>
      </c>
    </row>
    <row r="796" spans="2:12" ht="18">
      <c r="B796" s="33"/>
      <c r="C796" s="33"/>
      <c r="D796" s="33"/>
      <c r="E796" s="33"/>
      <c r="F796" s="33"/>
      <c r="G796" s="33"/>
      <c r="H796" s="162"/>
      <c r="L796" s="23">
        <v>1</v>
      </c>
    </row>
    <row r="797" spans="2:12" ht="18">
      <c r="B797" s="33"/>
      <c r="C797" s="33"/>
      <c r="D797" s="33"/>
      <c r="E797" s="33"/>
      <c r="F797" s="33"/>
      <c r="G797" s="33"/>
      <c r="H797" s="162"/>
      <c r="L797" s="23">
        <v>1</v>
      </c>
    </row>
    <row r="798" spans="2:12" ht="18">
      <c r="B798" s="33"/>
      <c r="C798" s="33"/>
      <c r="D798" s="33"/>
      <c r="E798" s="33"/>
      <c r="F798" s="33"/>
      <c r="G798" s="33"/>
      <c r="H798" s="162"/>
      <c r="L798" s="23">
        <v>1</v>
      </c>
    </row>
    <row r="799" spans="2:12" ht="18">
      <c r="B799" s="33"/>
      <c r="C799" s="33"/>
      <c r="D799" s="33"/>
      <c r="E799" s="33"/>
      <c r="F799" s="33"/>
      <c r="G799" s="33"/>
      <c r="H799" s="162"/>
      <c r="L799" s="23">
        <v>1</v>
      </c>
    </row>
    <row r="800" spans="2:12" ht="18">
      <c r="B800" s="33"/>
      <c r="C800" s="33"/>
      <c r="D800" s="33"/>
      <c r="E800" s="33"/>
      <c r="F800" s="33"/>
      <c r="G800" s="33"/>
      <c r="H800" s="162"/>
      <c r="L800" s="23">
        <v>1</v>
      </c>
    </row>
    <row r="801" spans="2:12" ht="18">
      <c r="B801" s="33"/>
      <c r="C801" s="33"/>
      <c r="D801" s="33"/>
      <c r="E801" s="33"/>
      <c r="F801" s="33"/>
      <c r="G801" s="33"/>
      <c r="H801" s="162"/>
      <c r="L801" s="23">
        <v>1</v>
      </c>
    </row>
    <row r="802" spans="2:12" ht="18">
      <c r="B802" s="33"/>
      <c r="C802" s="33"/>
      <c r="D802" s="33"/>
      <c r="E802" s="33"/>
      <c r="F802" s="33"/>
      <c r="G802" s="33"/>
      <c r="H802" s="162"/>
      <c r="L802" s="23">
        <v>1</v>
      </c>
    </row>
    <row r="803" spans="2:12" ht="18">
      <c r="B803" s="33"/>
      <c r="C803" s="33"/>
      <c r="D803" s="33"/>
      <c r="E803" s="33"/>
      <c r="F803" s="33"/>
      <c r="G803" s="33"/>
      <c r="H803" s="162"/>
      <c r="L803" s="23">
        <v>1</v>
      </c>
    </row>
    <row r="804" spans="2:12" ht="18">
      <c r="B804" s="33"/>
      <c r="C804" s="33"/>
      <c r="D804" s="33"/>
      <c r="E804" s="33"/>
      <c r="F804" s="33"/>
      <c r="G804" s="33"/>
      <c r="H804" s="162"/>
      <c r="L804" s="23">
        <v>1</v>
      </c>
    </row>
    <row r="805" spans="2:12" ht="18">
      <c r="B805" s="33"/>
      <c r="C805" s="33"/>
      <c r="D805" s="33"/>
      <c r="E805" s="33"/>
      <c r="F805" s="33"/>
      <c r="G805" s="33"/>
      <c r="H805" s="162"/>
      <c r="L805" s="23">
        <v>1</v>
      </c>
    </row>
    <row r="806" spans="2:12" ht="18">
      <c r="B806" s="33"/>
      <c r="C806" s="33"/>
      <c r="D806" s="33"/>
      <c r="E806" s="33"/>
      <c r="F806" s="33"/>
      <c r="G806" s="33"/>
      <c r="H806" s="162"/>
      <c r="L806" s="23">
        <v>1</v>
      </c>
    </row>
    <row r="807" spans="2:12" ht="18">
      <c r="B807" s="33"/>
      <c r="C807" s="33"/>
      <c r="D807" s="33"/>
      <c r="E807" s="33"/>
      <c r="F807" s="33"/>
      <c r="G807" s="33"/>
      <c r="H807" s="162"/>
      <c r="L807" s="23">
        <v>1</v>
      </c>
    </row>
    <row r="808" spans="2:12" ht="18">
      <c r="B808" s="33"/>
      <c r="C808" s="33"/>
      <c r="D808" s="33"/>
      <c r="E808" s="33"/>
      <c r="F808" s="33"/>
      <c r="G808" s="33"/>
      <c r="H808" s="162"/>
      <c r="L808" s="23">
        <v>1</v>
      </c>
    </row>
    <row r="809" spans="2:12" ht="18">
      <c r="B809" s="33"/>
      <c r="C809" s="33"/>
      <c r="D809" s="33"/>
      <c r="E809" s="33"/>
      <c r="F809" s="33"/>
      <c r="G809" s="33"/>
      <c r="H809" s="162"/>
      <c r="L809" s="23">
        <v>1</v>
      </c>
    </row>
    <row r="810" spans="2:12" ht="18">
      <c r="B810" s="33"/>
      <c r="C810" s="33"/>
      <c r="D810" s="33"/>
      <c r="E810" s="33"/>
      <c r="F810" s="33"/>
      <c r="G810" s="33"/>
      <c r="H810" s="162"/>
      <c r="L810" s="23">
        <v>1</v>
      </c>
    </row>
    <row r="811" spans="2:12" ht="18">
      <c r="B811" s="33"/>
      <c r="C811" s="33"/>
      <c r="D811" s="33"/>
      <c r="E811" s="33"/>
      <c r="F811" s="33"/>
      <c r="G811" s="33"/>
      <c r="H811" s="162"/>
      <c r="L811" s="23">
        <v>1</v>
      </c>
    </row>
    <row r="812" spans="2:12" ht="18">
      <c r="B812" s="33"/>
      <c r="C812" s="33"/>
      <c r="D812" s="33"/>
      <c r="E812" s="33"/>
      <c r="F812" s="33"/>
      <c r="G812" s="33"/>
      <c r="H812" s="162"/>
      <c r="L812" s="23">
        <v>1</v>
      </c>
    </row>
    <row r="813" spans="2:12" ht="18">
      <c r="B813" s="33"/>
      <c r="C813" s="33"/>
      <c r="D813" s="33"/>
      <c r="E813" s="33"/>
      <c r="F813" s="33"/>
      <c r="G813" s="33"/>
      <c r="H813" s="162"/>
      <c r="L813" s="23">
        <v>1</v>
      </c>
    </row>
    <row r="814" spans="2:12" ht="18">
      <c r="B814" s="33"/>
      <c r="C814" s="33"/>
      <c r="D814" s="33"/>
      <c r="E814" s="33"/>
      <c r="F814" s="33"/>
      <c r="G814" s="33"/>
      <c r="H814" s="162"/>
      <c r="L814" s="23">
        <v>1</v>
      </c>
    </row>
    <row r="815" spans="2:12" ht="18">
      <c r="B815" s="33"/>
      <c r="C815" s="33"/>
      <c r="D815" s="33"/>
      <c r="E815" s="33"/>
      <c r="F815" s="33"/>
      <c r="G815" s="33"/>
      <c r="H815" s="162"/>
      <c r="L815" s="23">
        <v>1</v>
      </c>
    </row>
    <row r="816" spans="2:12" ht="18">
      <c r="B816" s="33"/>
      <c r="C816" s="33"/>
      <c r="D816" s="33"/>
      <c r="E816" s="33"/>
      <c r="F816" s="33"/>
      <c r="G816" s="33"/>
      <c r="H816" s="162"/>
      <c r="L816" s="23">
        <v>1</v>
      </c>
    </row>
    <row r="817" spans="2:12" ht="18">
      <c r="B817" s="33"/>
      <c r="C817" s="33"/>
      <c r="D817" s="33"/>
      <c r="E817" s="33"/>
      <c r="F817" s="33"/>
      <c r="G817" s="33"/>
      <c r="H817" s="162"/>
      <c r="L817" s="23">
        <v>1</v>
      </c>
    </row>
    <row r="818" spans="2:12" ht="18">
      <c r="B818" s="33"/>
      <c r="C818" s="33"/>
      <c r="D818" s="33"/>
      <c r="E818" s="33"/>
      <c r="F818" s="33"/>
      <c r="G818" s="33"/>
      <c r="H818" s="162"/>
      <c r="L818" s="23">
        <v>1</v>
      </c>
    </row>
    <row r="819" spans="2:12" ht="18">
      <c r="B819" s="33"/>
      <c r="C819" s="33"/>
      <c r="D819" s="33"/>
      <c r="E819" s="33"/>
      <c r="F819" s="33"/>
      <c r="G819" s="33"/>
      <c r="H819" s="162"/>
      <c r="L819" s="23">
        <v>1</v>
      </c>
    </row>
    <row r="820" spans="2:12" ht="18">
      <c r="B820" s="33"/>
      <c r="C820" s="33"/>
      <c r="D820" s="33"/>
      <c r="E820" s="33"/>
      <c r="F820" s="33"/>
      <c r="G820" s="33"/>
      <c r="H820" s="162"/>
      <c r="L820" s="23">
        <v>1</v>
      </c>
    </row>
    <row r="821" spans="2:12" ht="18">
      <c r="B821" s="33"/>
      <c r="C821" s="33"/>
      <c r="D821" s="33"/>
      <c r="E821" s="33"/>
      <c r="F821" s="33"/>
      <c r="G821" s="33"/>
      <c r="H821" s="162"/>
      <c r="L821" s="23">
        <v>1</v>
      </c>
    </row>
    <row r="822" spans="2:12" ht="18">
      <c r="B822" s="33"/>
      <c r="C822" s="33"/>
      <c r="D822" s="33"/>
      <c r="E822" s="33"/>
      <c r="F822" s="33"/>
      <c r="G822" s="33"/>
      <c r="H822" s="162"/>
      <c r="L822" s="23">
        <v>1</v>
      </c>
    </row>
    <row r="823" spans="2:12" ht="18">
      <c r="B823" s="33"/>
      <c r="C823" s="33"/>
      <c r="D823" s="33"/>
      <c r="E823" s="33"/>
      <c r="F823" s="33"/>
      <c r="G823" s="33"/>
      <c r="H823" s="162"/>
      <c r="L823" s="23">
        <v>1</v>
      </c>
    </row>
    <row r="824" spans="2:12" ht="18">
      <c r="B824" s="33"/>
      <c r="C824" s="33"/>
      <c r="D824" s="33"/>
      <c r="E824" s="33"/>
      <c r="F824" s="33"/>
      <c r="G824" s="33"/>
      <c r="H824" s="162"/>
      <c r="L824" s="23">
        <v>1</v>
      </c>
    </row>
    <row r="825" spans="2:12" ht="18">
      <c r="B825" s="33"/>
      <c r="C825" s="33"/>
      <c r="D825" s="33"/>
      <c r="E825" s="33"/>
      <c r="F825" s="33"/>
      <c r="G825" s="33"/>
      <c r="H825" s="162"/>
      <c r="L825" s="23">
        <v>1</v>
      </c>
    </row>
    <row r="826" spans="2:12" ht="18">
      <c r="B826" s="33"/>
      <c r="C826" s="33"/>
      <c r="D826" s="33"/>
      <c r="E826" s="33"/>
      <c r="F826" s="33"/>
      <c r="G826" s="33"/>
      <c r="H826" s="162"/>
      <c r="L826" s="23">
        <v>1</v>
      </c>
    </row>
    <row r="827" spans="2:12" ht="18">
      <c r="B827" s="33"/>
      <c r="C827" s="33"/>
      <c r="D827" s="33"/>
      <c r="E827" s="33"/>
      <c r="F827" s="33"/>
      <c r="G827" s="33"/>
      <c r="H827" s="162"/>
      <c r="L827" s="23">
        <v>1</v>
      </c>
    </row>
    <row r="828" spans="2:12" ht="18">
      <c r="B828" s="33"/>
      <c r="C828" s="33"/>
      <c r="D828" s="33"/>
      <c r="E828" s="33"/>
      <c r="F828" s="33"/>
      <c r="G828" s="33"/>
      <c r="H828" s="162"/>
      <c r="L828" s="23">
        <v>1</v>
      </c>
    </row>
    <row r="829" spans="2:12" ht="18">
      <c r="B829" s="33"/>
      <c r="C829" s="33"/>
      <c r="D829" s="33"/>
      <c r="E829" s="33"/>
      <c r="F829" s="33"/>
      <c r="G829" s="33"/>
      <c r="H829" s="162"/>
      <c r="L829" s="23">
        <v>1</v>
      </c>
    </row>
    <row r="830" spans="2:12" ht="18">
      <c r="B830" s="33"/>
      <c r="C830" s="33"/>
      <c r="D830" s="33"/>
      <c r="E830" s="33"/>
      <c r="F830" s="33"/>
      <c r="G830" s="33"/>
      <c r="H830" s="162"/>
      <c r="L830" s="23">
        <v>1</v>
      </c>
    </row>
    <row r="831" spans="2:12" ht="18">
      <c r="B831" s="33"/>
      <c r="C831" s="33"/>
      <c r="D831" s="33"/>
      <c r="E831" s="33"/>
      <c r="F831" s="33"/>
      <c r="G831" s="33"/>
      <c r="H831" s="162"/>
      <c r="L831" s="23">
        <v>1</v>
      </c>
    </row>
    <row r="832" spans="2:12" ht="18">
      <c r="B832" s="33"/>
      <c r="C832" s="33"/>
      <c r="D832" s="33"/>
      <c r="E832" s="33"/>
      <c r="F832" s="33"/>
      <c r="G832" s="33"/>
      <c r="H832" s="162"/>
      <c r="L832" s="23">
        <v>1</v>
      </c>
    </row>
    <row r="833" spans="2:12" ht="18">
      <c r="B833" s="33"/>
      <c r="C833" s="33"/>
      <c r="D833" s="33"/>
      <c r="E833" s="33"/>
      <c r="F833" s="33"/>
      <c r="G833" s="33"/>
      <c r="H833" s="162"/>
      <c r="L833" s="23">
        <v>1</v>
      </c>
    </row>
    <row r="834" spans="2:12" ht="18">
      <c r="B834" s="33"/>
      <c r="C834" s="33"/>
      <c r="D834" s="33"/>
      <c r="E834" s="33"/>
      <c r="F834" s="33"/>
      <c r="G834" s="33"/>
      <c r="H834" s="162"/>
      <c r="L834" s="23">
        <v>1</v>
      </c>
    </row>
    <row r="835" spans="2:12" ht="18">
      <c r="B835" s="33"/>
      <c r="C835" s="33"/>
      <c r="D835" s="33"/>
      <c r="E835" s="33"/>
      <c r="F835" s="33"/>
      <c r="G835" s="33"/>
      <c r="H835" s="162"/>
      <c r="L835" s="23">
        <v>1</v>
      </c>
    </row>
    <row r="836" spans="2:12" ht="18">
      <c r="B836" s="33"/>
      <c r="C836" s="33"/>
      <c r="D836" s="33"/>
      <c r="E836" s="33"/>
      <c r="F836" s="33"/>
      <c r="G836" s="33"/>
      <c r="H836" s="162"/>
      <c r="L836" s="23">
        <v>1</v>
      </c>
    </row>
    <row r="837" spans="2:12" ht="18">
      <c r="B837" s="33"/>
      <c r="C837" s="33"/>
      <c r="D837" s="33"/>
      <c r="E837" s="33"/>
      <c r="F837" s="33"/>
      <c r="G837" s="33"/>
      <c r="H837" s="162"/>
      <c r="L837" s="23">
        <v>1</v>
      </c>
    </row>
    <row r="838" spans="2:12" ht="18">
      <c r="B838" s="33"/>
      <c r="C838" s="33"/>
      <c r="D838" s="33"/>
      <c r="E838" s="33"/>
      <c r="F838" s="33"/>
      <c r="G838" s="33"/>
      <c r="H838" s="162"/>
      <c r="L838" s="23">
        <v>1</v>
      </c>
    </row>
    <row r="839" spans="2:12" ht="18">
      <c r="B839" s="33"/>
      <c r="C839" s="33"/>
      <c r="D839" s="33"/>
      <c r="E839" s="33"/>
      <c r="F839" s="33"/>
      <c r="G839" s="33"/>
      <c r="H839" s="162"/>
      <c r="L839" s="23">
        <v>1</v>
      </c>
    </row>
    <row r="840" spans="2:12" ht="18">
      <c r="B840" s="33"/>
      <c r="C840" s="33"/>
      <c r="D840" s="33"/>
      <c r="E840" s="33"/>
      <c r="F840" s="33"/>
      <c r="G840" s="33"/>
      <c r="H840" s="162"/>
      <c r="L840" s="23">
        <v>1</v>
      </c>
    </row>
    <row r="841" spans="2:12" ht="18">
      <c r="B841" s="33"/>
      <c r="C841" s="33"/>
      <c r="D841" s="33"/>
      <c r="E841" s="33"/>
      <c r="F841" s="33"/>
      <c r="G841" s="33"/>
      <c r="H841" s="162"/>
      <c r="L841" s="23">
        <v>1</v>
      </c>
    </row>
    <row r="842" spans="2:12" ht="18">
      <c r="B842" s="33"/>
      <c r="C842" s="33"/>
      <c r="D842" s="33"/>
      <c r="E842" s="33"/>
      <c r="F842" s="33"/>
      <c r="G842" s="33"/>
      <c r="H842" s="162"/>
      <c r="L842" s="23">
        <v>1</v>
      </c>
    </row>
    <row r="843" spans="2:12" ht="18">
      <c r="B843" s="33"/>
      <c r="C843" s="33"/>
      <c r="D843" s="33"/>
      <c r="E843" s="33"/>
      <c r="F843" s="33"/>
      <c r="G843" s="33"/>
      <c r="H843" s="162"/>
      <c r="L843" s="23">
        <v>1</v>
      </c>
    </row>
    <row r="844" spans="2:12" ht="18">
      <c r="B844" s="33"/>
      <c r="C844" s="33"/>
      <c r="D844" s="33"/>
      <c r="E844" s="33"/>
      <c r="F844" s="33"/>
      <c r="G844" s="33"/>
      <c r="H844" s="162"/>
      <c r="L844" s="23">
        <v>1</v>
      </c>
    </row>
    <row r="845" spans="2:12" ht="18">
      <c r="B845" s="33"/>
      <c r="C845" s="33"/>
      <c r="D845" s="33"/>
      <c r="E845" s="33"/>
      <c r="F845" s="33"/>
      <c r="G845" s="33"/>
      <c r="H845" s="162"/>
      <c r="L845" s="23">
        <v>1</v>
      </c>
    </row>
    <row r="846" spans="2:12" ht="18">
      <c r="B846" s="33"/>
      <c r="C846" s="33"/>
      <c r="D846" s="33"/>
      <c r="E846" s="33"/>
      <c r="F846" s="33"/>
      <c r="G846" s="33"/>
      <c r="H846" s="162"/>
      <c r="L846" s="23">
        <v>1</v>
      </c>
    </row>
    <row r="847" spans="2:12" ht="18">
      <c r="B847" s="33"/>
      <c r="C847" s="33"/>
      <c r="D847" s="33"/>
      <c r="E847" s="33"/>
      <c r="F847" s="33"/>
      <c r="G847" s="33"/>
      <c r="H847" s="162"/>
      <c r="L847" s="23">
        <v>1</v>
      </c>
    </row>
    <row r="848" spans="2:12" ht="18">
      <c r="B848" s="33"/>
      <c r="C848" s="33"/>
      <c r="D848" s="33"/>
      <c r="E848" s="33"/>
      <c r="F848" s="33"/>
      <c r="G848" s="33"/>
      <c r="H848" s="162"/>
      <c r="L848" s="23">
        <v>1</v>
      </c>
    </row>
    <row r="849" spans="2:12" ht="18">
      <c r="B849" s="33"/>
      <c r="C849" s="33"/>
      <c r="D849" s="33"/>
      <c r="E849" s="33"/>
      <c r="F849" s="33"/>
      <c r="G849" s="33"/>
      <c r="H849" s="162"/>
      <c r="L849" s="23">
        <v>1</v>
      </c>
    </row>
    <row r="850" spans="2:12" ht="18">
      <c r="B850" s="33"/>
      <c r="C850" s="33"/>
      <c r="D850" s="33"/>
      <c r="E850" s="33"/>
      <c r="F850" s="33"/>
      <c r="G850" s="33"/>
      <c r="H850" s="162"/>
      <c r="L850" s="23">
        <v>1</v>
      </c>
    </row>
    <row r="851" spans="2:12" ht="18">
      <c r="B851" s="33"/>
      <c r="C851" s="33"/>
      <c r="D851" s="33"/>
      <c r="E851" s="33"/>
      <c r="F851" s="33"/>
      <c r="G851" s="33"/>
      <c r="H851" s="162"/>
      <c r="L851" s="23">
        <v>1</v>
      </c>
    </row>
    <row r="852" spans="2:12" ht="18">
      <c r="B852" s="33"/>
      <c r="C852" s="33"/>
      <c r="D852" s="33"/>
      <c r="E852" s="33"/>
      <c r="F852" s="33"/>
      <c r="G852" s="33"/>
      <c r="H852" s="162"/>
      <c r="L852" s="23">
        <v>1</v>
      </c>
    </row>
    <row r="853" spans="2:12" ht="18">
      <c r="B853" s="33"/>
      <c r="C853" s="33"/>
      <c r="D853" s="33"/>
      <c r="E853" s="33"/>
      <c r="F853" s="33"/>
      <c r="G853" s="33"/>
      <c r="H853" s="162"/>
      <c r="L853" s="23">
        <v>1</v>
      </c>
    </row>
    <row r="854" spans="2:12" ht="18">
      <c r="B854" s="33"/>
      <c r="C854" s="33"/>
      <c r="D854" s="33"/>
      <c r="E854" s="33"/>
      <c r="F854" s="33"/>
      <c r="G854" s="33"/>
      <c r="H854" s="162"/>
      <c r="L854" s="23">
        <v>1</v>
      </c>
    </row>
    <row r="855" spans="2:12" ht="18">
      <c r="B855" s="33"/>
      <c r="C855" s="33"/>
      <c r="D855" s="33"/>
      <c r="E855" s="33"/>
      <c r="F855" s="33"/>
      <c r="G855" s="33"/>
      <c r="H855" s="162"/>
      <c r="L855" s="23">
        <v>1</v>
      </c>
    </row>
    <row r="856" spans="2:12" ht="18">
      <c r="B856" s="33"/>
      <c r="C856" s="33"/>
      <c r="D856" s="33"/>
      <c r="E856" s="33"/>
      <c r="F856" s="33"/>
      <c r="G856" s="33"/>
      <c r="H856" s="162"/>
      <c r="L856" s="23">
        <v>1</v>
      </c>
    </row>
    <row r="857" spans="2:12" ht="18">
      <c r="B857" s="33"/>
      <c r="C857" s="33"/>
      <c r="D857" s="33"/>
      <c r="E857" s="33"/>
      <c r="F857" s="33"/>
      <c r="G857" s="33"/>
      <c r="H857" s="162"/>
      <c r="L857" s="23">
        <v>1</v>
      </c>
    </row>
    <row r="858" spans="2:12" ht="18">
      <c r="B858" s="33"/>
      <c r="C858" s="33"/>
      <c r="D858" s="33"/>
      <c r="E858" s="33"/>
      <c r="F858" s="33"/>
      <c r="G858" s="33"/>
      <c r="H858" s="162"/>
      <c r="L858" s="23">
        <v>1</v>
      </c>
    </row>
    <row r="859" spans="2:12" ht="18">
      <c r="B859" s="33"/>
      <c r="C859" s="33"/>
      <c r="D859" s="33"/>
      <c r="E859" s="33"/>
      <c r="F859" s="33"/>
      <c r="G859" s="33"/>
      <c r="H859" s="162"/>
      <c r="L859" s="23">
        <v>1</v>
      </c>
    </row>
    <row r="860" spans="2:12" ht="18">
      <c r="B860" s="33"/>
      <c r="C860" s="33"/>
      <c r="D860" s="33"/>
      <c r="E860" s="33"/>
      <c r="F860" s="33"/>
      <c r="G860" s="33"/>
      <c r="H860" s="162"/>
      <c r="L860" s="23">
        <v>1</v>
      </c>
    </row>
    <row r="861" spans="2:12" ht="18">
      <c r="B861" s="33"/>
      <c r="C861" s="33"/>
      <c r="D861" s="33"/>
      <c r="E861" s="33"/>
      <c r="F861" s="33"/>
      <c r="G861" s="33"/>
      <c r="H861" s="162"/>
      <c r="L861" s="23">
        <v>1</v>
      </c>
    </row>
    <row r="862" spans="2:12" ht="18">
      <c r="B862" s="33"/>
      <c r="C862" s="33"/>
      <c r="D862" s="33"/>
      <c r="E862" s="33"/>
      <c r="F862" s="33"/>
      <c r="G862" s="33"/>
      <c r="H862" s="162"/>
      <c r="L862" s="23">
        <v>1</v>
      </c>
    </row>
    <row r="863" spans="2:12" ht="18">
      <c r="B863" s="33"/>
      <c r="C863" s="33"/>
      <c r="D863" s="33"/>
      <c r="E863" s="33"/>
      <c r="F863" s="33"/>
      <c r="G863" s="33"/>
      <c r="H863" s="162"/>
      <c r="L863" s="23">
        <v>1</v>
      </c>
    </row>
    <row r="864" spans="2:12" ht="18">
      <c r="B864" s="33"/>
      <c r="C864" s="33"/>
      <c r="D864" s="33"/>
      <c r="E864" s="33"/>
      <c r="F864" s="33"/>
      <c r="G864" s="33"/>
      <c r="H864" s="162"/>
      <c r="L864" s="23">
        <v>1</v>
      </c>
    </row>
    <row r="865" spans="2:12" ht="18">
      <c r="B865" s="33"/>
      <c r="C865" s="33"/>
      <c r="D865" s="33"/>
      <c r="E865" s="33"/>
      <c r="F865" s="33"/>
      <c r="G865" s="33"/>
      <c r="H865" s="162"/>
      <c r="L865" s="23">
        <v>1</v>
      </c>
    </row>
    <row r="866" spans="2:12" ht="18">
      <c r="B866" s="33"/>
      <c r="C866" s="33"/>
      <c r="D866" s="33"/>
      <c r="E866" s="33"/>
      <c r="F866" s="33"/>
      <c r="G866" s="33"/>
      <c r="H866" s="162"/>
      <c r="L866" s="23">
        <v>1</v>
      </c>
    </row>
    <row r="867" spans="2:12" ht="18">
      <c r="B867" s="33"/>
      <c r="C867" s="33"/>
      <c r="D867" s="33"/>
      <c r="E867" s="33"/>
      <c r="F867" s="33"/>
      <c r="G867" s="33"/>
      <c r="H867" s="162"/>
      <c r="L867" s="23">
        <v>1</v>
      </c>
    </row>
    <row r="868" spans="2:12" ht="18">
      <c r="B868" s="33"/>
      <c r="C868" s="33"/>
      <c r="D868" s="33"/>
      <c r="E868" s="33"/>
      <c r="F868" s="33"/>
      <c r="G868" s="33"/>
      <c r="H868" s="162"/>
      <c r="L868" s="23">
        <v>1</v>
      </c>
    </row>
    <row r="869" spans="2:12" ht="18">
      <c r="B869" s="33"/>
      <c r="C869" s="33"/>
      <c r="D869" s="33"/>
      <c r="E869" s="33"/>
      <c r="F869" s="33"/>
      <c r="G869" s="33"/>
      <c r="H869" s="162"/>
      <c r="L869" s="23">
        <v>1</v>
      </c>
    </row>
    <row r="870" spans="2:12" ht="18">
      <c r="B870" s="33"/>
      <c r="C870" s="33"/>
      <c r="D870" s="33"/>
      <c r="E870" s="33"/>
      <c r="F870" s="33"/>
      <c r="G870" s="33"/>
      <c r="H870" s="162"/>
      <c r="L870" s="23">
        <v>1</v>
      </c>
    </row>
    <row r="871" spans="2:12" ht="18">
      <c r="B871" s="33"/>
      <c r="C871" s="33"/>
      <c r="D871" s="33"/>
      <c r="E871" s="33"/>
      <c r="F871" s="33"/>
      <c r="G871" s="33"/>
      <c r="H871" s="162"/>
      <c r="L871" s="23">
        <v>1</v>
      </c>
    </row>
    <row r="872" spans="2:12" ht="18">
      <c r="B872" s="33"/>
      <c r="C872" s="33"/>
      <c r="D872" s="33"/>
      <c r="E872" s="33"/>
      <c r="F872" s="33"/>
      <c r="G872" s="33"/>
      <c r="H872" s="162"/>
      <c r="L872" s="23">
        <v>1</v>
      </c>
    </row>
    <row r="873" spans="2:12" ht="18">
      <c r="B873" s="33"/>
      <c r="C873" s="33"/>
      <c r="D873" s="33"/>
      <c r="E873" s="33"/>
      <c r="F873" s="33"/>
      <c r="G873" s="33"/>
      <c r="H873" s="162"/>
      <c r="L873" s="23">
        <v>1</v>
      </c>
    </row>
    <row r="874" spans="2:12" ht="18">
      <c r="B874" s="33"/>
      <c r="C874" s="33"/>
      <c r="D874" s="33"/>
      <c r="E874" s="33"/>
      <c r="F874" s="33"/>
      <c r="G874" s="33"/>
      <c r="H874" s="162"/>
      <c r="L874" s="23">
        <v>1</v>
      </c>
    </row>
    <row r="875" spans="2:12" ht="18">
      <c r="B875" s="33"/>
      <c r="C875" s="33"/>
      <c r="D875" s="33"/>
      <c r="E875" s="33"/>
      <c r="F875" s="33"/>
      <c r="G875" s="33"/>
      <c r="H875" s="162"/>
      <c r="L875" s="23">
        <v>1</v>
      </c>
    </row>
    <row r="876" spans="2:12" ht="18">
      <c r="B876" s="33"/>
      <c r="C876" s="33"/>
      <c r="D876" s="33"/>
      <c r="E876" s="33"/>
      <c r="F876" s="33"/>
      <c r="G876" s="33"/>
      <c r="H876" s="162"/>
      <c r="L876" s="23">
        <v>1</v>
      </c>
    </row>
    <row r="877" spans="2:12" ht="18">
      <c r="B877" s="33"/>
      <c r="C877" s="33"/>
      <c r="D877" s="33"/>
      <c r="E877" s="33"/>
      <c r="F877" s="33"/>
      <c r="G877" s="33"/>
      <c r="H877" s="162"/>
      <c r="L877" s="23">
        <v>1</v>
      </c>
    </row>
    <row r="878" spans="2:12" ht="18">
      <c r="B878" s="33"/>
      <c r="C878" s="33"/>
      <c r="D878" s="33"/>
      <c r="E878" s="33"/>
      <c r="F878" s="33"/>
      <c r="G878" s="33"/>
      <c r="H878" s="162"/>
      <c r="L878" s="23">
        <v>1</v>
      </c>
    </row>
    <row r="879" spans="2:12" ht="18">
      <c r="B879" s="33"/>
      <c r="C879" s="33"/>
      <c r="D879" s="33"/>
      <c r="E879" s="33"/>
      <c r="F879" s="33"/>
      <c r="G879" s="33"/>
      <c r="H879" s="162"/>
      <c r="L879" s="23">
        <v>1</v>
      </c>
    </row>
    <row r="880" spans="2:12" ht="18">
      <c r="B880" s="33"/>
      <c r="C880" s="33"/>
      <c r="D880" s="33"/>
      <c r="E880" s="33"/>
      <c r="F880" s="33"/>
      <c r="G880" s="33"/>
      <c r="H880" s="162"/>
      <c r="L880" s="23">
        <v>1</v>
      </c>
    </row>
    <row r="881" spans="2:12" ht="18">
      <c r="B881" s="33"/>
      <c r="C881" s="33"/>
      <c r="D881" s="33"/>
      <c r="E881" s="33"/>
      <c r="F881" s="33"/>
      <c r="G881" s="33"/>
      <c r="H881" s="162"/>
      <c r="L881" s="23">
        <v>1</v>
      </c>
    </row>
    <row r="882" spans="2:12" ht="18">
      <c r="B882" s="33"/>
      <c r="C882" s="33"/>
      <c r="D882" s="33"/>
      <c r="E882" s="33"/>
      <c r="F882" s="33"/>
      <c r="G882" s="33"/>
      <c r="H882" s="162"/>
      <c r="L882" s="23">
        <v>1</v>
      </c>
    </row>
    <row r="883" spans="2:12" ht="18">
      <c r="B883" s="33"/>
      <c r="C883" s="33"/>
      <c r="D883" s="33"/>
      <c r="E883" s="33"/>
      <c r="F883" s="33"/>
      <c r="G883" s="33"/>
      <c r="H883" s="162"/>
      <c r="L883" s="23">
        <v>1</v>
      </c>
    </row>
    <row r="884" spans="2:12" ht="18">
      <c r="B884" s="33"/>
      <c r="C884" s="33"/>
      <c r="D884" s="33"/>
      <c r="E884" s="33"/>
      <c r="F884" s="33"/>
      <c r="G884" s="33"/>
      <c r="H884" s="162"/>
      <c r="L884" s="23">
        <v>1</v>
      </c>
    </row>
    <row r="885" spans="2:12" ht="18">
      <c r="B885" s="33"/>
      <c r="C885" s="33"/>
      <c r="D885" s="33"/>
      <c r="E885" s="33"/>
      <c r="F885" s="33"/>
      <c r="G885" s="33"/>
      <c r="H885" s="162"/>
      <c r="L885" s="23">
        <v>1</v>
      </c>
    </row>
    <row r="886" spans="2:12" ht="18">
      <c r="B886" s="33"/>
      <c r="C886" s="33"/>
      <c r="D886" s="33"/>
      <c r="E886" s="33"/>
      <c r="F886" s="33"/>
      <c r="G886" s="33"/>
      <c r="H886" s="162"/>
      <c r="L886" s="23">
        <v>1</v>
      </c>
    </row>
    <row r="887" spans="2:12" ht="18">
      <c r="B887" s="33"/>
      <c r="C887" s="33"/>
      <c r="D887" s="33"/>
      <c r="E887" s="33"/>
      <c r="F887" s="33"/>
      <c r="G887" s="33"/>
      <c r="H887" s="162"/>
      <c r="L887" s="23">
        <v>1</v>
      </c>
    </row>
    <row r="888" spans="2:12" ht="18">
      <c r="B888" s="33"/>
      <c r="C888" s="33"/>
      <c r="D888" s="33"/>
      <c r="E888" s="33"/>
      <c r="F888" s="33"/>
      <c r="G888" s="33"/>
      <c r="H888" s="162"/>
      <c r="L888" s="23">
        <v>1</v>
      </c>
    </row>
    <row r="889" spans="2:12" ht="18">
      <c r="B889" s="33"/>
      <c r="C889" s="33"/>
      <c r="D889" s="33"/>
      <c r="E889" s="33"/>
      <c r="F889" s="33"/>
      <c r="G889" s="33"/>
      <c r="H889" s="162"/>
      <c r="L889" s="23">
        <v>1</v>
      </c>
    </row>
    <row r="890" spans="2:12" ht="18">
      <c r="B890" s="33"/>
      <c r="C890" s="33"/>
      <c r="D890" s="33"/>
      <c r="E890" s="33"/>
      <c r="F890" s="33"/>
      <c r="G890" s="33"/>
      <c r="H890" s="162"/>
      <c r="L890" s="23">
        <v>1</v>
      </c>
    </row>
    <row r="891" spans="2:12" ht="18">
      <c r="B891" s="33"/>
      <c r="C891" s="33"/>
      <c r="D891" s="33"/>
      <c r="E891" s="33"/>
      <c r="F891" s="33"/>
      <c r="G891" s="33"/>
      <c r="H891" s="162"/>
      <c r="L891" s="23">
        <v>1</v>
      </c>
    </row>
    <row r="892" spans="2:12" ht="18">
      <c r="B892" s="33"/>
      <c r="C892" s="33"/>
      <c r="D892" s="33"/>
      <c r="E892" s="33"/>
      <c r="F892" s="33"/>
      <c r="G892" s="33"/>
      <c r="H892" s="162"/>
      <c r="L892" s="23">
        <v>1</v>
      </c>
    </row>
    <row r="893" spans="2:12" ht="18">
      <c r="B893" s="33"/>
      <c r="C893" s="33"/>
      <c r="D893" s="33"/>
      <c r="E893" s="33"/>
      <c r="F893" s="33"/>
      <c r="G893" s="33"/>
      <c r="H893" s="162"/>
      <c r="L893" s="23">
        <v>1</v>
      </c>
    </row>
    <row r="894" spans="2:12" ht="18">
      <c r="B894" s="33"/>
      <c r="C894" s="33"/>
      <c r="D894" s="33"/>
      <c r="E894" s="33"/>
      <c r="F894" s="33"/>
      <c r="G894" s="33"/>
      <c r="H894" s="162"/>
      <c r="L894" s="23">
        <v>1</v>
      </c>
    </row>
    <row r="895" spans="2:12" ht="18">
      <c r="B895" s="33"/>
      <c r="C895" s="33"/>
      <c r="D895" s="33"/>
      <c r="E895" s="33"/>
      <c r="F895" s="33"/>
      <c r="G895" s="33"/>
      <c r="H895" s="162"/>
      <c r="L895" s="23">
        <v>1</v>
      </c>
    </row>
    <row r="896" spans="2:12" ht="18">
      <c r="B896" s="33"/>
      <c r="C896" s="33"/>
      <c r="D896" s="33"/>
      <c r="E896" s="33"/>
      <c r="F896" s="33"/>
      <c r="G896" s="33"/>
      <c r="H896" s="162"/>
      <c r="L896" s="23">
        <v>1</v>
      </c>
    </row>
    <row r="897" spans="2:12" ht="18">
      <c r="B897" s="33"/>
      <c r="C897" s="33"/>
      <c r="D897" s="33"/>
      <c r="E897" s="33"/>
      <c r="F897" s="33"/>
      <c r="G897" s="33"/>
      <c r="H897" s="162"/>
      <c r="L897" s="23">
        <v>1</v>
      </c>
    </row>
    <row r="898" spans="2:12" ht="18">
      <c r="B898" s="33"/>
      <c r="C898" s="33"/>
      <c r="D898" s="33"/>
      <c r="E898" s="33"/>
      <c r="F898" s="33"/>
      <c r="G898" s="33"/>
      <c r="H898" s="162"/>
      <c r="L898" s="23">
        <v>1</v>
      </c>
    </row>
    <row r="899" spans="2:12" ht="18">
      <c r="B899" s="33"/>
      <c r="C899" s="33"/>
      <c r="D899" s="33"/>
      <c r="E899" s="33"/>
      <c r="F899" s="33"/>
      <c r="G899" s="33"/>
      <c r="H899" s="162"/>
      <c r="L899" s="23">
        <v>1</v>
      </c>
    </row>
    <row r="900" spans="2:12" ht="18">
      <c r="B900" s="33"/>
      <c r="C900" s="33"/>
      <c r="D900" s="33"/>
      <c r="E900" s="33"/>
      <c r="F900" s="33"/>
      <c r="G900" s="33"/>
      <c r="H900" s="162"/>
      <c r="L900" s="23">
        <v>1</v>
      </c>
    </row>
    <row r="901" spans="2:12" ht="18">
      <c r="B901" s="33"/>
      <c r="C901" s="33"/>
      <c r="D901" s="33"/>
      <c r="E901" s="33"/>
      <c r="F901" s="33"/>
      <c r="G901" s="33"/>
      <c r="H901" s="162"/>
      <c r="L901" s="23">
        <v>1</v>
      </c>
    </row>
    <row r="902" spans="2:12" ht="18">
      <c r="B902" s="33"/>
      <c r="C902" s="33"/>
      <c r="D902" s="33"/>
      <c r="E902" s="33"/>
      <c r="F902" s="33"/>
      <c r="G902" s="33"/>
      <c r="H902" s="162"/>
      <c r="L902" s="23">
        <v>1</v>
      </c>
    </row>
    <row r="903" spans="2:12" ht="18">
      <c r="B903" s="33"/>
      <c r="C903" s="33"/>
      <c r="D903" s="33"/>
      <c r="E903" s="33"/>
      <c r="F903" s="33"/>
      <c r="G903" s="33"/>
      <c r="H903" s="162"/>
      <c r="L903" s="23">
        <v>1</v>
      </c>
    </row>
    <row r="904" spans="2:12" ht="18">
      <c r="B904" s="33"/>
      <c r="C904" s="33"/>
      <c r="D904" s="33"/>
      <c r="E904" s="33"/>
      <c r="F904" s="33"/>
      <c r="G904" s="33"/>
      <c r="H904" s="162"/>
      <c r="L904" s="23">
        <v>1</v>
      </c>
    </row>
    <row r="905" spans="2:12" ht="18">
      <c r="B905" s="33"/>
      <c r="C905" s="33"/>
      <c r="D905" s="33"/>
      <c r="E905" s="33"/>
      <c r="F905" s="33"/>
      <c r="G905" s="33"/>
      <c r="H905" s="162"/>
      <c r="L905" s="23">
        <v>1</v>
      </c>
    </row>
    <row r="906" spans="2:12" ht="18">
      <c r="B906" s="33"/>
      <c r="C906" s="33"/>
      <c r="D906" s="33"/>
      <c r="E906" s="33"/>
      <c r="F906" s="33"/>
      <c r="G906" s="33"/>
      <c r="H906" s="162"/>
      <c r="L906" s="23">
        <v>1</v>
      </c>
    </row>
    <row r="907" spans="2:12" ht="18">
      <c r="B907" s="33"/>
      <c r="C907" s="33"/>
      <c r="D907" s="33"/>
      <c r="E907" s="33"/>
      <c r="F907" s="33"/>
      <c r="G907" s="33"/>
      <c r="H907" s="162"/>
      <c r="L907" s="23">
        <v>1</v>
      </c>
    </row>
    <row r="908" spans="2:12" ht="18">
      <c r="B908" s="33"/>
      <c r="C908" s="33"/>
      <c r="D908" s="33"/>
      <c r="E908" s="33"/>
      <c r="F908" s="33"/>
      <c r="G908" s="33"/>
      <c r="H908" s="162"/>
      <c r="L908" s="23">
        <v>1</v>
      </c>
    </row>
    <row r="909" spans="2:12" ht="18">
      <c r="B909" s="33"/>
      <c r="C909" s="33"/>
      <c r="D909" s="33"/>
      <c r="E909" s="33"/>
      <c r="F909" s="33"/>
      <c r="G909" s="33"/>
      <c r="H909" s="162"/>
      <c r="L909" s="23">
        <v>1</v>
      </c>
    </row>
    <row r="910" spans="2:12" ht="18">
      <c r="B910" s="33"/>
      <c r="C910" s="33"/>
      <c r="D910" s="33"/>
      <c r="E910" s="33"/>
      <c r="F910" s="33"/>
      <c r="G910" s="33"/>
      <c r="H910" s="162"/>
      <c r="L910" s="23">
        <v>1</v>
      </c>
    </row>
    <row r="911" spans="2:12" ht="18">
      <c r="B911" s="33"/>
      <c r="C911" s="33"/>
      <c r="D911" s="33"/>
      <c r="E911" s="33"/>
      <c r="F911" s="33"/>
      <c r="G911" s="33"/>
      <c r="H911" s="162"/>
      <c r="L911" s="23">
        <v>1</v>
      </c>
    </row>
    <row r="912" spans="2:12" ht="18">
      <c r="B912" s="33"/>
      <c r="C912" s="33"/>
      <c r="D912" s="33"/>
      <c r="E912" s="33"/>
      <c r="F912" s="33"/>
      <c r="G912" s="33"/>
      <c r="H912" s="162"/>
      <c r="L912" s="23">
        <v>1</v>
      </c>
    </row>
    <row r="913" spans="2:12" ht="18">
      <c r="B913" s="33"/>
      <c r="C913" s="33"/>
      <c r="D913" s="33"/>
      <c r="E913" s="33"/>
      <c r="F913" s="33"/>
      <c r="G913" s="33"/>
      <c r="H913" s="162"/>
      <c r="L913" s="23">
        <v>1</v>
      </c>
    </row>
    <row r="914" spans="2:12" ht="18">
      <c r="B914" s="33"/>
      <c r="C914" s="33"/>
      <c r="D914" s="33"/>
      <c r="E914" s="33"/>
      <c r="F914" s="33"/>
      <c r="G914" s="33"/>
      <c r="H914" s="162"/>
      <c r="L914" s="23">
        <v>1</v>
      </c>
    </row>
    <row r="915" spans="2:12" ht="18">
      <c r="B915" s="33"/>
      <c r="C915" s="33"/>
      <c r="D915" s="33"/>
      <c r="E915" s="33"/>
      <c r="F915" s="33"/>
      <c r="G915" s="33"/>
      <c r="H915" s="162"/>
      <c r="L915" s="23">
        <v>1</v>
      </c>
    </row>
    <row r="916" spans="2:12" ht="18">
      <c r="B916" s="33"/>
      <c r="C916" s="33"/>
      <c r="D916" s="33"/>
      <c r="E916" s="33"/>
      <c r="F916" s="33"/>
      <c r="G916" s="33"/>
      <c r="H916" s="162"/>
      <c r="L916" s="23">
        <v>1</v>
      </c>
    </row>
    <row r="917" spans="2:12" ht="18">
      <c r="B917" s="33"/>
      <c r="C917" s="33"/>
      <c r="D917" s="33"/>
      <c r="E917" s="33"/>
      <c r="F917" s="33"/>
      <c r="G917" s="33"/>
      <c r="H917" s="162"/>
      <c r="L917" s="23">
        <v>1</v>
      </c>
    </row>
    <row r="918" spans="2:12" ht="18">
      <c r="B918" s="33"/>
      <c r="C918" s="33"/>
      <c r="D918" s="33"/>
      <c r="E918" s="33"/>
      <c r="F918" s="33"/>
      <c r="G918" s="33"/>
      <c r="H918" s="162"/>
      <c r="L918" s="23">
        <v>1</v>
      </c>
    </row>
    <row r="919" spans="2:12" ht="18">
      <c r="B919" s="33"/>
      <c r="C919" s="33"/>
      <c r="D919" s="33"/>
      <c r="E919" s="33"/>
      <c r="F919" s="33"/>
      <c r="G919" s="33"/>
      <c r="H919" s="162"/>
      <c r="L919" s="23">
        <v>1</v>
      </c>
    </row>
    <row r="920" spans="2:12" ht="18">
      <c r="B920" s="33"/>
      <c r="C920" s="33"/>
      <c r="D920" s="33"/>
      <c r="E920" s="33"/>
      <c r="F920" s="33"/>
      <c r="G920" s="33"/>
      <c r="H920" s="162"/>
      <c r="L920" s="23">
        <v>1</v>
      </c>
    </row>
    <row r="921" spans="2:12" ht="18">
      <c r="B921" s="33"/>
      <c r="C921" s="33"/>
      <c r="D921" s="33"/>
      <c r="E921" s="33"/>
      <c r="F921" s="33"/>
      <c r="G921" s="33"/>
      <c r="H921" s="162"/>
      <c r="L921" s="23">
        <v>1</v>
      </c>
    </row>
    <row r="922" spans="2:12" ht="18">
      <c r="B922" s="33"/>
      <c r="C922" s="33"/>
      <c r="D922" s="33"/>
      <c r="E922" s="33"/>
      <c r="F922" s="33"/>
      <c r="G922" s="33"/>
      <c r="H922" s="162"/>
      <c r="L922" s="23">
        <v>1</v>
      </c>
    </row>
    <row r="923" spans="2:12" ht="18">
      <c r="B923" s="33"/>
      <c r="C923" s="33"/>
      <c r="D923" s="33"/>
      <c r="E923" s="33"/>
      <c r="F923" s="33"/>
      <c r="G923" s="33"/>
      <c r="H923" s="162"/>
      <c r="L923" s="23">
        <v>1</v>
      </c>
    </row>
    <row r="924" spans="2:12" ht="18">
      <c r="B924" s="33"/>
      <c r="C924" s="33"/>
      <c r="D924" s="33"/>
      <c r="E924" s="33"/>
      <c r="F924" s="33"/>
      <c r="G924" s="33"/>
      <c r="H924" s="162"/>
      <c r="L924" s="23">
        <v>1</v>
      </c>
    </row>
    <row r="925" spans="2:12" ht="18">
      <c r="B925" s="33"/>
      <c r="C925" s="33"/>
      <c r="D925" s="33"/>
      <c r="E925" s="33"/>
      <c r="F925" s="33"/>
      <c r="G925" s="33"/>
      <c r="H925" s="162"/>
      <c r="L925" s="23">
        <v>1</v>
      </c>
    </row>
    <row r="926" spans="2:12" ht="18">
      <c r="B926" s="33"/>
      <c r="C926" s="33"/>
      <c r="D926" s="33"/>
      <c r="E926" s="33"/>
      <c r="F926" s="33"/>
      <c r="G926" s="33"/>
      <c r="H926" s="162"/>
      <c r="L926" s="23">
        <v>1</v>
      </c>
    </row>
    <row r="927" spans="2:12" ht="18">
      <c r="B927" s="33"/>
      <c r="C927" s="33"/>
      <c r="D927" s="33"/>
      <c r="E927" s="33"/>
      <c r="F927" s="33"/>
      <c r="G927" s="33"/>
      <c r="H927" s="162"/>
      <c r="L927" s="23">
        <v>1</v>
      </c>
    </row>
    <row r="928" spans="2:12" ht="18">
      <c r="B928" s="33"/>
      <c r="C928" s="33"/>
      <c r="D928" s="33"/>
      <c r="E928" s="33"/>
      <c r="F928" s="33"/>
      <c r="G928" s="33"/>
      <c r="H928" s="162"/>
      <c r="L928" s="23">
        <v>1</v>
      </c>
    </row>
    <row r="929" spans="2:12" ht="18">
      <c r="B929" s="33"/>
      <c r="C929" s="33"/>
      <c r="D929" s="33"/>
      <c r="E929" s="33"/>
      <c r="F929" s="33"/>
      <c r="G929" s="33"/>
      <c r="H929" s="162"/>
      <c r="L929" s="23">
        <v>1</v>
      </c>
    </row>
    <row r="930" spans="2:12" ht="18">
      <c r="B930" s="33"/>
      <c r="C930" s="33"/>
      <c r="D930" s="33"/>
      <c r="E930" s="33"/>
      <c r="F930" s="33"/>
      <c r="G930" s="33"/>
      <c r="H930" s="162"/>
      <c r="L930" s="23">
        <v>1</v>
      </c>
    </row>
    <row r="931" spans="2:12" ht="18">
      <c r="B931" s="33"/>
      <c r="C931" s="33"/>
      <c r="D931" s="33"/>
      <c r="E931" s="33"/>
      <c r="F931" s="33"/>
      <c r="G931" s="33"/>
      <c r="H931" s="162"/>
      <c r="L931" s="23">
        <v>1</v>
      </c>
    </row>
    <row r="932" spans="2:12" ht="18">
      <c r="B932" s="33"/>
      <c r="C932" s="33"/>
      <c r="D932" s="33"/>
      <c r="E932" s="33"/>
      <c r="F932" s="33"/>
      <c r="G932" s="33"/>
      <c r="H932" s="162"/>
      <c r="L932" s="23">
        <v>1</v>
      </c>
    </row>
    <row r="933" spans="2:12" ht="18">
      <c r="B933" s="33"/>
      <c r="C933" s="33"/>
      <c r="D933" s="33"/>
      <c r="E933" s="33"/>
      <c r="F933" s="33"/>
      <c r="G933" s="33"/>
      <c r="H933" s="162"/>
      <c r="L933" s="23">
        <v>1</v>
      </c>
    </row>
    <row r="934" spans="2:12" ht="18">
      <c r="B934" s="33"/>
      <c r="C934" s="33"/>
      <c r="D934" s="33"/>
      <c r="E934" s="33"/>
      <c r="F934" s="33"/>
      <c r="G934" s="33"/>
      <c r="H934" s="162"/>
      <c r="L934" s="23">
        <v>1</v>
      </c>
    </row>
    <row r="935" spans="2:12" ht="18">
      <c r="B935" s="33"/>
      <c r="C935" s="33"/>
      <c r="D935" s="33"/>
      <c r="E935" s="33"/>
      <c r="F935" s="33"/>
      <c r="G935" s="33"/>
      <c r="H935" s="162"/>
      <c r="L935" s="23">
        <v>1</v>
      </c>
    </row>
    <row r="936" spans="2:12" ht="18">
      <c r="B936" s="33"/>
      <c r="C936" s="33"/>
      <c r="D936" s="33"/>
      <c r="E936" s="33"/>
      <c r="F936" s="33"/>
      <c r="G936" s="33"/>
      <c r="H936" s="162"/>
      <c r="L936" s="23">
        <v>1</v>
      </c>
    </row>
    <row r="937" spans="2:12" ht="18">
      <c r="B937" s="33"/>
      <c r="C937" s="33"/>
      <c r="D937" s="33"/>
      <c r="E937" s="33"/>
      <c r="F937" s="33"/>
      <c r="G937" s="33"/>
      <c r="H937" s="162"/>
      <c r="L937" s="23">
        <v>1</v>
      </c>
    </row>
    <row r="938" spans="2:12" ht="18">
      <c r="B938" s="33"/>
      <c r="C938" s="33"/>
      <c r="D938" s="33"/>
      <c r="E938" s="33"/>
      <c r="F938" s="33"/>
      <c r="G938" s="33"/>
      <c r="H938" s="162"/>
      <c r="L938" s="23">
        <v>1</v>
      </c>
    </row>
    <row r="939" spans="2:12" ht="18">
      <c r="B939" s="33"/>
      <c r="C939" s="33"/>
      <c r="D939" s="33"/>
      <c r="E939" s="33"/>
      <c r="F939" s="33"/>
      <c r="G939" s="33"/>
      <c r="H939" s="162"/>
      <c r="L939" s="23">
        <v>1</v>
      </c>
    </row>
    <row r="940" spans="2:12" ht="18">
      <c r="B940" s="33"/>
      <c r="C940" s="33"/>
      <c r="D940" s="33"/>
      <c r="E940" s="33"/>
      <c r="F940" s="33"/>
      <c r="G940" s="33"/>
      <c r="H940" s="162"/>
      <c r="L940" s="23">
        <v>1</v>
      </c>
    </row>
    <row r="941" spans="2:12" ht="18">
      <c r="B941" s="33"/>
      <c r="C941" s="33"/>
      <c r="D941" s="33"/>
      <c r="E941" s="33"/>
      <c r="F941" s="33"/>
      <c r="G941" s="33"/>
      <c r="H941" s="162"/>
      <c r="L941" s="23">
        <v>1</v>
      </c>
    </row>
    <row r="942" spans="2:12" ht="18">
      <c r="B942" s="33"/>
      <c r="C942" s="33"/>
      <c r="D942" s="33"/>
      <c r="E942" s="33"/>
      <c r="F942" s="33"/>
      <c r="G942" s="33"/>
      <c r="H942" s="162"/>
      <c r="L942" s="23">
        <v>1</v>
      </c>
    </row>
    <row r="943" spans="2:12" ht="18">
      <c r="B943" s="33"/>
      <c r="C943" s="33"/>
      <c r="D943" s="33"/>
      <c r="E943" s="33"/>
      <c r="F943" s="33"/>
      <c r="G943" s="33"/>
      <c r="H943" s="162"/>
      <c r="L943" s="23">
        <v>1</v>
      </c>
    </row>
    <row r="944" spans="2:12" ht="18">
      <c r="B944" s="33"/>
      <c r="C944" s="33"/>
      <c r="D944" s="33"/>
      <c r="E944" s="33"/>
      <c r="F944" s="33"/>
      <c r="G944" s="33"/>
      <c r="H944" s="162"/>
      <c r="L944" s="23">
        <v>1</v>
      </c>
    </row>
    <row r="945" spans="2:12" ht="18">
      <c r="B945" s="33"/>
      <c r="C945" s="33"/>
      <c r="D945" s="33"/>
      <c r="E945" s="33"/>
      <c r="F945" s="33"/>
      <c r="G945" s="33"/>
      <c r="H945" s="162"/>
      <c r="L945" s="23">
        <v>1</v>
      </c>
    </row>
    <row r="946" spans="2:12" ht="18">
      <c r="B946" s="33"/>
      <c r="C946" s="33"/>
      <c r="D946" s="33"/>
      <c r="E946" s="33"/>
      <c r="F946" s="33"/>
      <c r="G946" s="33"/>
      <c r="H946" s="162"/>
      <c r="L946" s="23">
        <v>1</v>
      </c>
    </row>
    <row r="947" spans="2:12" ht="18">
      <c r="B947" s="33"/>
      <c r="C947" s="33"/>
      <c r="D947" s="33"/>
      <c r="E947" s="33"/>
      <c r="F947" s="33"/>
      <c r="G947" s="33"/>
      <c r="H947" s="162"/>
      <c r="L947" s="23">
        <v>1</v>
      </c>
    </row>
    <row r="948" spans="2:12" ht="18">
      <c r="B948" s="33"/>
      <c r="C948" s="33"/>
      <c r="D948" s="33"/>
      <c r="E948" s="33"/>
      <c r="F948" s="33"/>
      <c r="G948" s="33"/>
      <c r="H948" s="162"/>
      <c r="L948" s="23">
        <v>1</v>
      </c>
    </row>
    <row r="949" spans="2:12" ht="18">
      <c r="B949" s="33"/>
      <c r="C949" s="33"/>
      <c r="D949" s="33"/>
      <c r="E949" s="33"/>
      <c r="F949" s="33"/>
      <c r="G949" s="33"/>
      <c r="H949" s="162"/>
      <c r="L949" s="23">
        <v>1</v>
      </c>
    </row>
    <row r="950" spans="2:12" ht="18">
      <c r="B950" s="33"/>
      <c r="C950" s="33"/>
      <c r="D950" s="33"/>
      <c r="E950" s="33"/>
      <c r="F950" s="33"/>
      <c r="G950" s="33"/>
      <c r="H950" s="162"/>
      <c r="L950" s="23">
        <v>1</v>
      </c>
    </row>
    <row r="951" spans="2:12" ht="18">
      <c r="B951" s="33"/>
      <c r="C951" s="33"/>
      <c r="D951" s="33"/>
      <c r="E951" s="33"/>
      <c r="F951" s="33"/>
      <c r="G951" s="33"/>
      <c r="H951" s="162"/>
      <c r="L951" s="23">
        <v>1</v>
      </c>
    </row>
    <row r="952" spans="2:12" ht="18">
      <c r="B952" s="33"/>
      <c r="C952" s="33"/>
      <c r="D952" s="33"/>
      <c r="E952" s="33"/>
      <c r="F952" s="33"/>
      <c r="G952" s="33"/>
      <c r="H952" s="162"/>
      <c r="L952" s="23">
        <v>1</v>
      </c>
    </row>
    <row r="953" spans="2:12" ht="18">
      <c r="B953" s="33"/>
      <c r="C953" s="33"/>
      <c r="D953" s="33"/>
      <c r="E953" s="33"/>
      <c r="F953" s="33"/>
      <c r="G953" s="33"/>
      <c r="H953" s="162"/>
      <c r="L953" s="23">
        <v>1</v>
      </c>
    </row>
    <row r="954" spans="2:12" ht="18">
      <c r="B954" s="33"/>
      <c r="C954" s="33"/>
      <c r="D954" s="33"/>
      <c r="E954" s="33"/>
      <c r="F954" s="33"/>
      <c r="G954" s="33"/>
      <c r="H954" s="162"/>
      <c r="L954" s="23">
        <v>1</v>
      </c>
    </row>
    <row r="955" spans="2:12" ht="18">
      <c r="B955" s="33"/>
      <c r="C955" s="33"/>
      <c r="D955" s="33"/>
      <c r="E955" s="33"/>
      <c r="F955" s="33"/>
      <c r="G955" s="33"/>
      <c r="H955" s="162"/>
      <c r="L955" s="23">
        <v>1</v>
      </c>
    </row>
    <row r="956" spans="2:12" ht="18">
      <c r="B956" s="33"/>
      <c r="C956" s="33"/>
      <c r="D956" s="33"/>
      <c r="E956" s="33"/>
      <c r="F956" s="33"/>
      <c r="G956" s="33"/>
      <c r="H956" s="162"/>
      <c r="L956" s="23">
        <v>1</v>
      </c>
    </row>
    <row r="957" spans="2:12" ht="18">
      <c r="B957" s="33"/>
      <c r="C957" s="33"/>
      <c r="D957" s="33"/>
      <c r="E957" s="33"/>
      <c r="F957" s="33"/>
      <c r="G957" s="33"/>
      <c r="H957" s="162"/>
      <c r="L957" s="23">
        <v>1</v>
      </c>
    </row>
    <row r="958" spans="2:12" ht="18">
      <c r="B958" s="33"/>
      <c r="C958" s="33"/>
      <c r="D958" s="33"/>
      <c r="E958" s="33"/>
      <c r="F958" s="33"/>
      <c r="G958" s="33"/>
      <c r="H958" s="162"/>
      <c r="L958" s="23">
        <v>1</v>
      </c>
    </row>
    <row r="959" spans="2:12" ht="18">
      <c r="B959" s="33"/>
      <c r="C959" s="33"/>
      <c r="D959" s="33"/>
      <c r="E959" s="33"/>
      <c r="F959" s="33"/>
      <c r="G959" s="33"/>
      <c r="H959" s="162"/>
      <c r="L959" s="23">
        <v>1</v>
      </c>
    </row>
    <row r="960" spans="2:12" ht="18">
      <c r="B960" s="33"/>
      <c r="C960" s="33"/>
      <c r="D960" s="33"/>
      <c r="E960" s="33"/>
      <c r="F960" s="33"/>
      <c r="G960" s="33"/>
      <c r="H960" s="162"/>
      <c r="L960" s="23">
        <v>1</v>
      </c>
    </row>
    <row r="961" spans="2:12" ht="18">
      <c r="B961" s="33"/>
      <c r="C961" s="33"/>
      <c r="D961" s="33"/>
      <c r="E961" s="33"/>
      <c r="F961" s="33"/>
      <c r="G961" s="33"/>
      <c r="H961" s="162"/>
      <c r="L961" s="23">
        <v>1</v>
      </c>
    </row>
    <row r="962" spans="2:12" ht="18">
      <c r="B962" s="33"/>
      <c r="C962" s="33"/>
      <c r="D962" s="33"/>
      <c r="E962" s="33"/>
      <c r="F962" s="33"/>
      <c r="G962" s="33"/>
      <c r="H962" s="162"/>
      <c r="L962" s="23">
        <v>1</v>
      </c>
    </row>
    <row r="963" spans="2:12" ht="18">
      <c r="B963" s="33"/>
      <c r="C963" s="33"/>
      <c r="D963" s="33"/>
      <c r="E963" s="33"/>
      <c r="F963" s="33"/>
      <c r="G963" s="33"/>
      <c r="H963" s="162"/>
      <c r="L963" s="23">
        <v>1</v>
      </c>
    </row>
    <row r="964" spans="2:12" ht="18">
      <c r="B964" s="33"/>
      <c r="C964" s="33"/>
      <c r="D964" s="33"/>
      <c r="E964" s="33"/>
      <c r="F964" s="33"/>
      <c r="G964" s="33"/>
      <c r="H964" s="162"/>
      <c r="L964" s="23">
        <v>1</v>
      </c>
    </row>
    <row r="965" spans="2:12" ht="18">
      <c r="B965" s="33"/>
      <c r="C965" s="33"/>
      <c r="D965" s="33"/>
      <c r="E965" s="33"/>
      <c r="F965" s="33"/>
      <c r="G965" s="33"/>
      <c r="H965" s="162"/>
      <c r="L965" s="23">
        <v>1</v>
      </c>
    </row>
    <row r="966" spans="2:12" ht="18">
      <c r="B966" s="33"/>
      <c r="C966" s="33"/>
      <c r="D966" s="33"/>
      <c r="E966" s="33"/>
      <c r="F966" s="33"/>
      <c r="G966" s="33"/>
      <c r="H966" s="162"/>
      <c r="L966" s="23">
        <v>1</v>
      </c>
    </row>
    <row r="967" spans="2:12" ht="18">
      <c r="B967" s="33"/>
      <c r="C967" s="33"/>
      <c r="D967" s="33"/>
      <c r="E967" s="33"/>
      <c r="F967" s="33"/>
      <c r="G967" s="33"/>
      <c r="H967" s="162"/>
      <c r="L967" s="23">
        <v>1</v>
      </c>
    </row>
    <row r="968" spans="2:12" ht="18">
      <c r="B968" s="33"/>
      <c r="C968" s="33"/>
      <c r="D968" s="33"/>
      <c r="E968" s="33"/>
      <c r="F968" s="33"/>
      <c r="G968" s="33"/>
      <c r="H968" s="162"/>
      <c r="L968" s="23">
        <v>1</v>
      </c>
    </row>
    <row r="969" spans="2:12" ht="18">
      <c r="B969" s="33"/>
      <c r="C969" s="33"/>
      <c r="D969" s="33"/>
      <c r="E969" s="33"/>
      <c r="F969" s="33"/>
      <c r="G969" s="33"/>
      <c r="H969" s="162"/>
      <c r="L969" s="23">
        <v>1</v>
      </c>
    </row>
    <row r="970" spans="2:12" ht="18">
      <c r="B970" s="33"/>
      <c r="C970" s="33"/>
      <c r="D970" s="33"/>
      <c r="E970" s="33"/>
      <c r="F970" s="33"/>
      <c r="G970" s="33"/>
      <c r="H970" s="162"/>
      <c r="L970" s="23">
        <v>1</v>
      </c>
    </row>
    <row r="971" spans="2:12" ht="18">
      <c r="B971" s="33"/>
      <c r="C971" s="33"/>
      <c r="D971" s="33"/>
      <c r="E971" s="33"/>
      <c r="F971" s="33"/>
      <c r="G971" s="33"/>
      <c r="H971" s="162"/>
      <c r="L971" s="23">
        <v>1</v>
      </c>
    </row>
    <row r="972" spans="2:12" ht="18">
      <c r="B972" s="33"/>
      <c r="C972" s="33"/>
      <c r="D972" s="33"/>
      <c r="E972" s="33"/>
      <c r="F972" s="33"/>
      <c r="G972" s="33"/>
      <c r="H972" s="162"/>
      <c r="L972" s="23">
        <v>1</v>
      </c>
    </row>
    <row r="973" spans="2:12" ht="18">
      <c r="B973" s="33"/>
      <c r="C973" s="33"/>
      <c r="D973" s="33"/>
      <c r="E973" s="33"/>
      <c r="F973" s="33"/>
      <c r="G973" s="33"/>
      <c r="H973" s="162"/>
      <c r="L973" s="23">
        <v>1</v>
      </c>
    </row>
    <row r="974" spans="2:12" ht="18">
      <c r="B974" s="33"/>
      <c r="C974" s="33"/>
      <c r="D974" s="33"/>
      <c r="E974" s="33"/>
      <c r="F974" s="33"/>
      <c r="G974" s="33"/>
      <c r="H974" s="162"/>
      <c r="L974" s="23">
        <v>1</v>
      </c>
    </row>
    <row r="975" spans="2:12" ht="18">
      <c r="B975" s="33"/>
      <c r="C975" s="33"/>
      <c r="D975" s="33"/>
      <c r="E975" s="33"/>
      <c r="F975" s="33"/>
      <c r="G975" s="33"/>
      <c r="H975" s="162"/>
      <c r="L975" s="23">
        <v>1</v>
      </c>
    </row>
    <row r="976" spans="2:12" ht="18">
      <c r="B976" s="33"/>
      <c r="C976" s="33"/>
      <c r="D976" s="33"/>
      <c r="E976" s="33"/>
      <c r="F976" s="33"/>
      <c r="G976" s="33"/>
      <c r="H976" s="162"/>
      <c r="L976" s="23">
        <v>1</v>
      </c>
    </row>
    <row r="977" spans="2:12" ht="18">
      <c r="B977" s="33"/>
      <c r="C977" s="33"/>
      <c r="D977" s="33"/>
      <c r="E977" s="33"/>
      <c r="F977" s="33"/>
      <c r="G977" s="33"/>
      <c r="H977" s="162"/>
      <c r="L977" s="23">
        <v>1</v>
      </c>
    </row>
    <row r="978" spans="2:12" ht="18">
      <c r="B978" s="33"/>
      <c r="C978" s="33"/>
      <c r="D978" s="33"/>
      <c r="E978" s="33"/>
      <c r="F978" s="33"/>
      <c r="G978" s="33"/>
      <c r="H978" s="162"/>
      <c r="L978" s="23">
        <v>1</v>
      </c>
    </row>
    <row r="979" spans="2:12" ht="18">
      <c r="B979" s="33"/>
      <c r="C979" s="33"/>
      <c r="D979" s="33"/>
      <c r="E979" s="33"/>
      <c r="F979" s="33"/>
      <c r="G979" s="33"/>
      <c r="H979" s="162"/>
      <c r="L979" s="23">
        <v>1</v>
      </c>
    </row>
    <row r="980" spans="2:12" ht="18">
      <c r="B980" s="33"/>
      <c r="C980" s="33"/>
      <c r="D980" s="33"/>
      <c r="E980" s="33"/>
      <c r="F980" s="33"/>
      <c r="G980" s="33"/>
      <c r="H980" s="162"/>
      <c r="L980" s="23">
        <v>1</v>
      </c>
    </row>
    <row r="981" spans="2:12" ht="18">
      <c r="B981" s="33"/>
      <c r="C981" s="33"/>
      <c r="D981" s="33"/>
      <c r="E981" s="33"/>
      <c r="F981" s="33"/>
      <c r="G981" s="33"/>
      <c r="H981" s="162"/>
      <c r="L981" s="23">
        <v>1</v>
      </c>
    </row>
    <row r="982" spans="2:12" ht="18">
      <c r="B982" s="33"/>
      <c r="C982" s="33"/>
      <c r="D982" s="33"/>
      <c r="E982" s="33"/>
      <c r="F982" s="33"/>
      <c r="G982" s="33"/>
      <c r="H982" s="162"/>
      <c r="L982" s="23">
        <v>1</v>
      </c>
    </row>
    <row r="983" spans="2:12" ht="18">
      <c r="B983" s="33"/>
      <c r="C983" s="33"/>
      <c r="D983" s="33"/>
      <c r="E983" s="33"/>
      <c r="F983" s="33"/>
      <c r="G983" s="33"/>
      <c r="H983" s="162"/>
      <c r="L983" s="23">
        <v>1</v>
      </c>
    </row>
    <row r="984" spans="2:12" ht="18">
      <c r="B984" s="33"/>
      <c r="C984" s="33"/>
      <c r="D984" s="33"/>
      <c r="E984" s="33"/>
      <c r="F984" s="33"/>
      <c r="G984" s="33"/>
      <c r="H984" s="162"/>
      <c r="L984" s="23">
        <v>1</v>
      </c>
    </row>
    <row r="985" spans="2:12" ht="18">
      <c r="B985" s="33"/>
      <c r="C985" s="33"/>
      <c r="D985" s="33"/>
      <c r="E985" s="33"/>
      <c r="F985" s="33"/>
      <c r="G985" s="33"/>
      <c r="H985" s="162"/>
      <c r="L985" s="23">
        <v>1</v>
      </c>
    </row>
    <row r="986" spans="2:12" ht="18">
      <c r="B986" s="33"/>
      <c r="C986" s="33"/>
      <c r="D986" s="33"/>
      <c r="E986" s="33"/>
      <c r="F986" s="33"/>
      <c r="G986" s="33"/>
      <c r="H986" s="162"/>
      <c r="L986" s="23">
        <v>1</v>
      </c>
    </row>
    <row r="987" spans="2:12" ht="18">
      <c r="B987" s="33"/>
      <c r="C987" s="33"/>
      <c r="D987" s="33"/>
      <c r="E987" s="33"/>
      <c r="F987" s="33"/>
      <c r="G987" s="33"/>
      <c r="H987" s="162"/>
      <c r="L987" s="23">
        <v>1</v>
      </c>
    </row>
    <row r="988" spans="2:12" ht="18">
      <c r="B988" s="33"/>
      <c r="C988" s="33"/>
      <c r="D988" s="33"/>
      <c r="E988" s="33"/>
      <c r="F988" s="33"/>
      <c r="G988" s="33"/>
      <c r="H988" s="162"/>
      <c r="L988" s="23">
        <v>1</v>
      </c>
    </row>
    <row r="989" spans="2:12" ht="18">
      <c r="B989" s="33"/>
      <c r="C989" s="33"/>
      <c r="D989" s="33"/>
      <c r="E989" s="33"/>
      <c r="F989" s="33"/>
      <c r="G989" s="33"/>
      <c r="H989" s="162"/>
      <c r="L989" s="23">
        <v>1</v>
      </c>
    </row>
    <row r="990" spans="2:12" ht="18">
      <c r="B990" s="33"/>
      <c r="C990" s="33"/>
      <c r="D990" s="33"/>
      <c r="E990" s="33"/>
      <c r="F990" s="33"/>
      <c r="G990" s="33"/>
      <c r="H990" s="162"/>
      <c r="L990" s="23">
        <v>1</v>
      </c>
    </row>
    <row r="991" spans="2:12" ht="18">
      <c r="B991" s="33"/>
      <c r="C991" s="33"/>
      <c r="D991" s="33"/>
      <c r="E991" s="33"/>
      <c r="F991" s="33"/>
      <c r="G991" s="33"/>
      <c r="H991" s="162"/>
      <c r="L991" s="23">
        <v>1</v>
      </c>
    </row>
    <row r="992" spans="2:12" ht="18">
      <c r="B992" s="33"/>
      <c r="C992" s="33"/>
      <c r="D992" s="33"/>
      <c r="E992" s="33"/>
      <c r="F992" s="33"/>
      <c r="G992" s="33"/>
      <c r="H992" s="162"/>
      <c r="L992" s="23">
        <v>1</v>
      </c>
    </row>
    <row r="993" spans="2:12" ht="18">
      <c r="B993" s="33"/>
      <c r="C993" s="33"/>
      <c r="D993" s="33"/>
      <c r="E993" s="33"/>
      <c r="F993" s="33"/>
      <c r="G993" s="33"/>
      <c r="H993" s="162"/>
      <c r="L993" s="23">
        <v>1</v>
      </c>
    </row>
    <row r="994" spans="2:12" ht="18">
      <c r="B994" s="33"/>
      <c r="C994" s="33"/>
      <c r="D994" s="33"/>
      <c r="E994" s="33"/>
      <c r="F994" s="33"/>
      <c r="G994" s="33"/>
      <c r="H994" s="162"/>
      <c r="L994" s="23">
        <v>1</v>
      </c>
    </row>
    <row r="995" spans="2:12" ht="18">
      <c r="B995" s="33"/>
      <c r="C995" s="33"/>
      <c r="D995" s="33"/>
      <c r="E995" s="33"/>
      <c r="F995" s="33"/>
      <c r="G995" s="33"/>
      <c r="H995" s="162"/>
      <c r="L995" s="23">
        <v>1</v>
      </c>
    </row>
    <row r="996" spans="2:12" ht="18">
      <c r="B996" s="33"/>
      <c r="C996" s="33"/>
      <c r="D996" s="33"/>
      <c r="E996" s="33"/>
      <c r="F996" s="33"/>
      <c r="G996" s="33"/>
      <c r="H996" s="162"/>
      <c r="L996" s="23">
        <v>1</v>
      </c>
    </row>
    <row r="997" spans="2:12" ht="18">
      <c r="B997" s="33"/>
      <c r="C997" s="33"/>
      <c r="D997" s="33"/>
      <c r="E997" s="33"/>
      <c r="F997" s="33"/>
      <c r="G997" s="33"/>
      <c r="H997" s="162"/>
      <c r="L997" s="23">
        <v>1</v>
      </c>
    </row>
    <row r="998" spans="2:12" ht="18">
      <c r="B998" s="33"/>
      <c r="C998" s="33"/>
      <c r="D998" s="33"/>
      <c r="E998" s="33"/>
      <c r="F998" s="33"/>
      <c r="G998" s="33"/>
      <c r="H998" s="162"/>
      <c r="L998" s="23">
        <v>1</v>
      </c>
    </row>
    <row r="999" spans="2:12" ht="18">
      <c r="B999" s="33"/>
      <c r="C999" s="33"/>
      <c r="D999" s="33"/>
      <c r="E999" s="33"/>
      <c r="F999" s="33"/>
      <c r="G999" s="33"/>
      <c r="H999" s="162"/>
      <c r="L999" s="23">
        <v>1</v>
      </c>
    </row>
    <row r="1000" spans="2:12" ht="18">
      <c r="B1000" s="33"/>
      <c r="C1000" s="33"/>
      <c r="D1000" s="33"/>
      <c r="E1000" s="33"/>
      <c r="F1000" s="33"/>
      <c r="G1000" s="33"/>
      <c r="H1000" s="162"/>
      <c r="L1000" s="23">
        <v>1</v>
      </c>
    </row>
    <row r="1001" spans="2:12" ht="18">
      <c r="B1001" s="33"/>
      <c r="C1001" s="33"/>
      <c r="D1001" s="33"/>
      <c r="E1001" s="33"/>
      <c r="F1001" s="33"/>
      <c r="G1001" s="33"/>
      <c r="H1001" s="162"/>
      <c r="L1001" s="23">
        <v>1</v>
      </c>
    </row>
    <row r="1002" spans="2:12" ht="18">
      <c r="B1002" s="33"/>
      <c r="C1002" s="33"/>
      <c r="D1002" s="33"/>
      <c r="E1002" s="33"/>
      <c r="F1002" s="33"/>
      <c r="G1002" s="33"/>
      <c r="H1002" s="162"/>
      <c r="L1002" s="23">
        <v>1</v>
      </c>
    </row>
    <row r="1003" spans="2:12" ht="18">
      <c r="B1003" s="33"/>
      <c r="C1003" s="33"/>
      <c r="D1003" s="33"/>
      <c r="E1003" s="33"/>
      <c r="F1003" s="33"/>
      <c r="G1003" s="33"/>
      <c r="H1003" s="162"/>
      <c r="L1003" s="23">
        <v>1</v>
      </c>
    </row>
    <row r="1004" spans="2:12" ht="18">
      <c r="B1004" s="33"/>
      <c r="C1004" s="33"/>
      <c r="D1004" s="33"/>
      <c r="E1004" s="33"/>
      <c r="F1004" s="33"/>
      <c r="G1004" s="33"/>
      <c r="H1004" s="162"/>
      <c r="L1004" s="23">
        <v>1</v>
      </c>
    </row>
    <row r="1005" spans="2:12" ht="18">
      <c r="B1005" s="33"/>
      <c r="C1005" s="33"/>
      <c r="D1005" s="33"/>
      <c r="E1005" s="33"/>
      <c r="F1005" s="33"/>
      <c r="G1005" s="33"/>
      <c r="H1005" s="162"/>
      <c r="L1005" s="23">
        <v>1</v>
      </c>
    </row>
    <row r="1006" spans="2:12" ht="18">
      <c r="B1006" s="33"/>
      <c r="C1006" s="33"/>
      <c r="D1006" s="33"/>
      <c r="E1006" s="33"/>
      <c r="F1006" s="33"/>
      <c r="G1006" s="33"/>
      <c r="H1006" s="162"/>
      <c r="L1006" s="23">
        <v>1</v>
      </c>
    </row>
    <row r="1007" spans="2:12" ht="18">
      <c r="B1007" s="33"/>
      <c r="C1007" s="33"/>
      <c r="D1007" s="33"/>
      <c r="E1007" s="33"/>
      <c r="F1007" s="33"/>
      <c r="G1007" s="33"/>
      <c r="H1007" s="162"/>
      <c r="L1007" s="23">
        <v>1</v>
      </c>
    </row>
    <row r="1008" spans="2:12" ht="18">
      <c r="B1008" s="33"/>
      <c r="C1008" s="33"/>
      <c r="D1008" s="33"/>
      <c r="E1008" s="33"/>
      <c r="F1008" s="33"/>
      <c r="G1008" s="33"/>
      <c r="H1008" s="162"/>
      <c r="L1008" s="23">
        <v>1</v>
      </c>
    </row>
    <row r="1009" spans="2:12" ht="18">
      <c r="B1009" s="33"/>
      <c r="C1009" s="33"/>
      <c r="D1009" s="33"/>
      <c r="E1009" s="33"/>
      <c r="F1009" s="33"/>
      <c r="G1009" s="33"/>
      <c r="H1009" s="162"/>
      <c r="L1009" s="23">
        <v>1</v>
      </c>
    </row>
    <row r="1010" spans="2:12" ht="18">
      <c r="B1010" s="33"/>
      <c r="C1010" s="33"/>
      <c r="D1010" s="33"/>
      <c r="E1010" s="33"/>
      <c r="F1010" s="33"/>
      <c r="G1010" s="33"/>
      <c r="H1010" s="162"/>
      <c r="L1010" s="23">
        <v>1</v>
      </c>
    </row>
    <row r="1011" spans="2:12" ht="18">
      <c r="B1011" s="33"/>
      <c r="C1011" s="33"/>
      <c r="D1011" s="33"/>
      <c r="E1011" s="33"/>
      <c r="F1011" s="33"/>
      <c r="G1011" s="33"/>
      <c r="H1011" s="162"/>
      <c r="L1011" s="23">
        <v>1</v>
      </c>
    </row>
    <row r="1012" spans="2:12" ht="18">
      <c r="B1012" s="33"/>
      <c r="C1012" s="33"/>
      <c r="D1012" s="33"/>
      <c r="E1012" s="33"/>
      <c r="F1012" s="33"/>
      <c r="G1012" s="33"/>
      <c r="H1012" s="162"/>
      <c r="L1012" s="23">
        <v>1</v>
      </c>
    </row>
    <row r="1013" spans="2:12" ht="18">
      <c r="B1013" s="33"/>
      <c r="C1013" s="33"/>
      <c r="D1013" s="33"/>
      <c r="E1013" s="33"/>
      <c r="F1013" s="33"/>
      <c r="G1013" s="33"/>
      <c r="H1013" s="162"/>
      <c r="L1013" s="23">
        <v>1</v>
      </c>
    </row>
    <row r="1014" spans="2:12" ht="18">
      <c r="B1014" s="33"/>
      <c r="C1014" s="33"/>
      <c r="D1014" s="33"/>
      <c r="E1014" s="33"/>
      <c r="F1014" s="33"/>
      <c r="G1014" s="33"/>
      <c r="H1014" s="162"/>
      <c r="L1014" s="23">
        <v>1</v>
      </c>
    </row>
    <row r="1015" spans="2:12" ht="18">
      <c r="B1015" s="33"/>
      <c r="C1015" s="33"/>
      <c r="D1015" s="33"/>
      <c r="E1015" s="33"/>
      <c r="F1015" s="33"/>
      <c r="G1015" s="33"/>
      <c r="H1015" s="162"/>
      <c r="L1015" s="23">
        <v>1</v>
      </c>
    </row>
    <row r="1016" spans="2:12" ht="18">
      <c r="B1016" s="33"/>
      <c r="C1016" s="33"/>
      <c r="D1016" s="33"/>
      <c r="E1016" s="33"/>
      <c r="F1016" s="33"/>
      <c r="G1016" s="33"/>
      <c r="H1016" s="162"/>
      <c r="L1016" s="23">
        <v>1</v>
      </c>
    </row>
    <row r="1017" spans="2:12" ht="18">
      <c r="B1017" s="33"/>
      <c r="C1017" s="33"/>
      <c r="D1017" s="33"/>
      <c r="E1017" s="33"/>
      <c r="F1017" s="33"/>
      <c r="G1017" s="33"/>
      <c r="H1017" s="162"/>
      <c r="L1017" s="23">
        <v>1</v>
      </c>
    </row>
    <row r="1018" spans="2:12" ht="18">
      <c r="B1018" s="33"/>
      <c r="C1018" s="33"/>
      <c r="D1018" s="33"/>
      <c r="E1018" s="33"/>
      <c r="F1018" s="33"/>
      <c r="G1018" s="33"/>
      <c r="H1018" s="162"/>
      <c r="L1018" s="23">
        <v>1</v>
      </c>
    </row>
    <row r="1019" spans="2:12" ht="18">
      <c r="B1019" s="33"/>
      <c r="C1019" s="33"/>
      <c r="D1019" s="33"/>
      <c r="E1019" s="33"/>
      <c r="F1019" s="33"/>
      <c r="G1019" s="33"/>
      <c r="H1019" s="162"/>
      <c r="L1019" s="23">
        <v>1</v>
      </c>
    </row>
    <row r="1020" spans="2:12" ht="18">
      <c r="B1020" s="33"/>
      <c r="C1020" s="33"/>
      <c r="D1020" s="33"/>
      <c r="E1020" s="33"/>
      <c r="F1020" s="33"/>
      <c r="G1020" s="33"/>
      <c r="H1020" s="162"/>
      <c r="L1020" s="23">
        <v>1</v>
      </c>
    </row>
    <row r="1021" spans="2:12" ht="18">
      <c r="B1021" s="33"/>
      <c r="C1021" s="33"/>
      <c r="D1021" s="33"/>
      <c r="E1021" s="33"/>
      <c r="F1021" s="33"/>
      <c r="G1021" s="33"/>
      <c r="H1021" s="162"/>
      <c r="L1021" s="23">
        <v>1</v>
      </c>
    </row>
    <row r="1022" spans="2:12" ht="18">
      <c r="B1022" s="33"/>
      <c r="C1022" s="33"/>
      <c r="D1022" s="33"/>
      <c r="E1022" s="33"/>
      <c r="F1022" s="33"/>
      <c r="G1022" s="33"/>
      <c r="H1022" s="162"/>
      <c r="L1022" s="23">
        <v>1</v>
      </c>
    </row>
    <row r="1023" spans="2:12" ht="18">
      <c r="B1023" s="33"/>
      <c r="C1023" s="33"/>
      <c r="D1023" s="33"/>
      <c r="E1023" s="33"/>
      <c r="F1023" s="33"/>
      <c r="G1023" s="33"/>
      <c r="H1023" s="162"/>
      <c r="L1023" s="23">
        <v>1</v>
      </c>
    </row>
    <row r="1024" spans="2:12" ht="18">
      <c r="B1024" s="33"/>
      <c r="C1024" s="33"/>
      <c r="D1024" s="33"/>
      <c r="E1024" s="33"/>
      <c r="F1024" s="33"/>
      <c r="G1024" s="33"/>
      <c r="H1024" s="162"/>
      <c r="L1024" s="23">
        <v>1</v>
      </c>
    </row>
    <row r="1025" spans="2:12" ht="18">
      <c r="B1025" s="33"/>
      <c r="C1025" s="33"/>
      <c r="D1025" s="33"/>
      <c r="E1025" s="33"/>
      <c r="F1025" s="33"/>
      <c r="G1025" s="33"/>
      <c r="H1025" s="162"/>
      <c r="L1025" s="23">
        <v>1</v>
      </c>
    </row>
    <row r="1026" spans="2:12" ht="18">
      <c r="B1026" s="33"/>
      <c r="C1026" s="33"/>
      <c r="D1026" s="33"/>
      <c r="E1026" s="33"/>
      <c r="F1026" s="33"/>
      <c r="G1026" s="33"/>
      <c r="H1026" s="162"/>
      <c r="L1026" s="23">
        <v>1</v>
      </c>
    </row>
    <row r="1027" spans="2:12" ht="18">
      <c r="B1027" s="33"/>
      <c r="C1027" s="33"/>
      <c r="D1027" s="33"/>
      <c r="E1027" s="33"/>
      <c r="F1027" s="33"/>
      <c r="G1027" s="33"/>
      <c r="H1027" s="162"/>
      <c r="L1027" s="23">
        <v>1</v>
      </c>
    </row>
    <row r="1028" spans="2:12" ht="18">
      <c r="B1028" s="33"/>
      <c r="C1028" s="33"/>
      <c r="D1028" s="33"/>
      <c r="E1028" s="33"/>
      <c r="F1028" s="33"/>
      <c r="G1028" s="33"/>
      <c r="H1028" s="162"/>
      <c r="L1028" s="23">
        <v>1</v>
      </c>
    </row>
    <row r="1029" spans="2:12" ht="18">
      <c r="B1029" s="33"/>
      <c r="C1029" s="33"/>
      <c r="D1029" s="33"/>
      <c r="E1029" s="33"/>
      <c r="F1029" s="33"/>
      <c r="G1029" s="33"/>
      <c r="H1029" s="162"/>
      <c r="L1029" s="23">
        <v>1</v>
      </c>
    </row>
    <row r="1030" spans="2:12" ht="18">
      <c r="B1030" s="33"/>
      <c r="C1030" s="33"/>
      <c r="D1030" s="33"/>
      <c r="E1030" s="33"/>
      <c r="F1030" s="33"/>
      <c r="G1030" s="33"/>
      <c r="H1030" s="162"/>
      <c r="L1030" s="23">
        <v>1</v>
      </c>
    </row>
    <row r="1031" spans="2:12" ht="18">
      <c r="B1031" s="33"/>
      <c r="C1031" s="33"/>
      <c r="D1031" s="33"/>
      <c r="E1031" s="33"/>
      <c r="F1031" s="33"/>
      <c r="G1031" s="33"/>
      <c r="H1031" s="162"/>
      <c r="L1031" s="23">
        <v>1</v>
      </c>
    </row>
    <row r="1032" spans="2:12" ht="18">
      <c r="B1032" s="33"/>
      <c r="C1032" s="33"/>
      <c r="D1032" s="33"/>
      <c r="E1032" s="33"/>
      <c r="F1032" s="33"/>
      <c r="G1032" s="33"/>
      <c r="H1032" s="162"/>
      <c r="L1032" s="23">
        <v>1</v>
      </c>
    </row>
    <row r="1033" spans="2:12" ht="18">
      <c r="B1033" s="33"/>
      <c r="C1033" s="33"/>
      <c r="D1033" s="33"/>
      <c r="E1033" s="33"/>
      <c r="F1033" s="33"/>
      <c r="G1033" s="33"/>
      <c r="H1033" s="162"/>
      <c r="L1033" s="23">
        <v>1</v>
      </c>
    </row>
    <row r="1034" spans="2:12" ht="18">
      <c r="B1034" s="33"/>
      <c r="C1034" s="33"/>
      <c r="D1034" s="33"/>
      <c r="E1034" s="33"/>
      <c r="F1034" s="33"/>
      <c r="G1034" s="33"/>
      <c r="H1034" s="162"/>
      <c r="L1034" s="23">
        <v>1</v>
      </c>
    </row>
    <row r="1035" spans="2:12" ht="18">
      <c r="B1035" s="33"/>
      <c r="C1035" s="33"/>
      <c r="D1035" s="33"/>
      <c r="E1035" s="33"/>
      <c r="F1035" s="33"/>
      <c r="G1035" s="33"/>
      <c r="H1035" s="162"/>
      <c r="L1035" s="23">
        <v>1</v>
      </c>
    </row>
    <row r="1036" spans="2:12" ht="18">
      <c r="B1036" s="33"/>
      <c r="C1036" s="33"/>
      <c r="D1036" s="33"/>
      <c r="E1036" s="33"/>
      <c r="F1036" s="33"/>
      <c r="G1036" s="33"/>
      <c r="H1036" s="162"/>
      <c r="L1036" s="23">
        <v>1</v>
      </c>
    </row>
    <row r="1037" spans="2:12" ht="18">
      <c r="B1037" s="33"/>
      <c r="C1037" s="33"/>
      <c r="D1037" s="33"/>
      <c r="E1037" s="33"/>
      <c r="F1037" s="33"/>
      <c r="G1037" s="33"/>
      <c r="H1037" s="162"/>
      <c r="L1037" s="23">
        <v>1</v>
      </c>
    </row>
    <row r="1038" spans="2:12" ht="18">
      <c r="B1038" s="33"/>
      <c r="C1038" s="33"/>
      <c r="D1038" s="33"/>
      <c r="E1038" s="33"/>
      <c r="F1038" s="33"/>
      <c r="G1038" s="33"/>
      <c r="H1038" s="162"/>
      <c r="L1038" s="23">
        <v>1</v>
      </c>
    </row>
    <row r="1039" spans="2:12" ht="18">
      <c r="B1039" s="33"/>
      <c r="C1039" s="33"/>
      <c r="D1039" s="33"/>
      <c r="E1039" s="33"/>
      <c r="F1039" s="33"/>
      <c r="G1039" s="33"/>
      <c r="H1039" s="162"/>
      <c r="L1039" s="23">
        <v>1</v>
      </c>
    </row>
    <row r="1040" spans="2:12" ht="18">
      <c r="B1040" s="33"/>
      <c r="C1040" s="33"/>
      <c r="D1040" s="33"/>
      <c r="E1040" s="33"/>
      <c r="F1040" s="33"/>
      <c r="G1040" s="33"/>
      <c r="H1040" s="162"/>
      <c r="L1040" s="23">
        <v>1</v>
      </c>
    </row>
    <row r="1041" spans="2:12" ht="18">
      <c r="B1041" s="33"/>
      <c r="C1041" s="33"/>
      <c r="D1041" s="33"/>
      <c r="E1041" s="33"/>
      <c r="F1041" s="33"/>
      <c r="G1041" s="33"/>
      <c r="H1041" s="162"/>
      <c r="L1041" s="23">
        <v>1</v>
      </c>
    </row>
    <row r="1042" spans="2:12" ht="18">
      <c r="B1042" s="33"/>
      <c r="C1042" s="33"/>
      <c r="D1042" s="33"/>
      <c r="E1042" s="33"/>
      <c r="F1042" s="33"/>
      <c r="G1042" s="33"/>
      <c r="H1042" s="162"/>
      <c r="L1042" s="23">
        <v>1</v>
      </c>
    </row>
    <row r="1043" spans="2:12" ht="18">
      <c r="B1043" s="33"/>
      <c r="C1043" s="33"/>
      <c r="D1043" s="33"/>
      <c r="E1043" s="33"/>
      <c r="F1043" s="33"/>
      <c r="G1043" s="33"/>
      <c r="H1043" s="162"/>
      <c r="L1043" s="23">
        <v>1</v>
      </c>
    </row>
    <row r="1044" spans="2:12" ht="18">
      <c r="B1044" s="33"/>
      <c r="C1044" s="33"/>
      <c r="D1044" s="33"/>
      <c r="E1044" s="33"/>
      <c r="F1044" s="33"/>
      <c r="G1044" s="33"/>
      <c r="H1044" s="162"/>
      <c r="L1044" s="23">
        <v>1</v>
      </c>
    </row>
    <row r="1045" spans="2:12" ht="18">
      <c r="B1045" s="33"/>
      <c r="C1045" s="33"/>
      <c r="D1045" s="33"/>
      <c r="E1045" s="33"/>
      <c r="F1045" s="33"/>
      <c r="G1045" s="33"/>
      <c r="H1045" s="162"/>
      <c r="L1045" s="23">
        <v>1</v>
      </c>
    </row>
    <row r="1046" spans="2:12" ht="18">
      <c r="B1046" s="33"/>
      <c r="C1046" s="33"/>
      <c r="D1046" s="33"/>
      <c r="E1046" s="33"/>
      <c r="F1046" s="33"/>
      <c r="G1046" s="33"/>
      <c r="H1046" s="162"/>
      <c r="L1046" s="23">
        <v>1</v>
      </c>
    </row>
    <row r="1047" spans="2:12" ht="18">
      <c r="B1047" s="33"/>
      <c r="C1047" s="33"/>
      <c r="D1047" s="33"/>
      <c r="E1047" s="33"/>
      <c r="F1047" s="33"/>
      <c r="G1047" s="33"/>
      <c r="H1047" s="162"/>
      <c r="L1047" s="23">
        <v>1</v>
      </c>
    </row>
    <row r="1048" spans="2:12" ht="18">
      <c r="B1048" s="33"/>
      <c r="C1048" s="33"/>
      <c r="D1048" s="33"/>
      <c r="E1048" s="33"/>
      <c r="F1048" s="33"/>
      <c r="G1048" s="33"/>
      <c r="H1048" s="162"/>
      <c r="L1048" s="23">
        <v>1</v>
      </c>
    </row>
    <row r="1049" spans="2:12" ht="18">
      <c r="B1049" s="33"/>
      <c r="C1049" s="33"/>
      <c r="D1049" s="33"/>
      <c r="E1049" s="33"/>
      <c r="F1049" s="33"/>
      <c r="G1049" s="33"/>
      <c r="H1049" s="162"/>
      <c r="L1049" s="23">
        <v>1</v>
      </c>
    </row>
    <row r="1050" spans="2:12" ht="18">
      <c r="B1050" s="33"/>
      <c r="C1050" s="33"/>
      <c r="D1050" s="33"/>
      <c r="E1050" s="33"/>
      <c r="F1050" s="33"/>
      <c r="G1050" s="33"/>
      <c r="H1050" s="162"/>
      <c r="L1050" s="23">
        <v>1</v>
      </c>
    </row>
    <row r="1051" spans="2:12" ht="18">
      <c r="B1051" s="33"/>
      <c r="C1051" s="33"/>
      <c r="D1051" s="33"/>
      <c r="E1051" s="33"/>
      <c r="F1051" s="33"/>
      <c r="G1051" s="33"/>
      <c r="H1051" s="162"/>
      <c r="L1051" s="23">
        <v>1</v>
      </c>
    </row>
    <row r="1052" spans="2:12" ht="18">
      <c r="B1052" s="33"/>
      <c r="C1052" s="33"/>
      <c r="D1052" s="33"/>
      <c r="E1052" s="33"/>
      <c r="F1052" s="33"/>
      <c r="G1052" s="33"/>
      <c r="H1052" s="162"/>
      <c r="L1052" s="23">
        <v>1</v>
      </c>
    </row>
    <row r="1053" spans="2:12" ht="18">
      <c r="B1053" s="33"/>
      <c r="C1053" s="33"/>
      <c r="D1053" s="33"/>
      <c r="E1053" s="33"/>
      <c r="F1053" s="33"/>
      <c r="G1053" s="33"/>
      <c r="H1053" s="162"/>
      <c r="L1053" s="23">
        <v>1</v>
      </c>
    </row>
    <row r="1054" spans="2:12" ht="18">
      <c r="B1054" s="33"/>
      <c r="C1054" s="33"/>
      <c r="D1054" s="33"/>
      <c r="E1054" s="33"/>
      <c r="F1054" s="33"/>
      <c r="G1054" s="33"/>
      <c r="H1054" s="162"/>
      <c r="L1054" s="23">
        <v>1</v>
      </c>
    </row>
    <row r="1055" spans="2:12" ht="18">
      <c r="B1055" s="33"/>
      <c r="C1055" s="33"/>
      <c r="D1055" s="33"/>
      <c r="E1055" s="33"/>
      <c r="F1055" s="33"/>
      <c r="G1055" s="33"/>
      <c r="H1055" s="162"/>
      <c r="L1055" s="23">
        <v>1</v>
      </c>
    </row>
    <row r="1056" spans="2:12" ht="18">
      <c r="B1056" s="33"/>
      <c r="C1056" s="33"/>
      <c r="D1056" s="33"/>
      <c r="E1056" s="33"/>
      <c r="F1056" s="33"/>
      <c r="G1056" s="33"/>
      <c r="H1056" s="162"/>
      <c r="L1056" s="23">
        <v>1</v>
      </c>
    </row>
    <row r="1057" spans="2:12" ht="18">
      <c r="B1057" s="33"/>
      <c r="C1057" s="33"/>
      <c r="D1057" s="33"/>
      <c r="E1057" s="33"/>
      <c r="F1057" s="33"/>
      <c r="G1057" s="33"/>
      <c r="H1057" s="162"/>
      <c r="L1057" s="23">
        <v>1</v>
      </c>
    </row>
    <row r="1058" spans="2:12" ht="18">
      <c r="B1058" s="33"/>
      <c r="C1058" s="33"/>
      <c r="D1058" s="33"/>
      <c r="E1058" s="33"/>
      <c r="F1058" s="33"/>
      <c r="G1058" s="33"/>
      <c r="H1058" s="162"/>
      <c r="L1058" s="23">
        <v>1</v>
      </c>
    </row>
    <row r="1059" spans="2:12" ht="18">
      <c r="B1059" s="33"/>
      <c r="C1059" s="33"/>
      <c r="D1059" s="33"/>
      <c r="E1059" s="33"/>
      <c r="F1059" s="33"/>
      <c r="G1059" s="33"/>
      <c r="H1059" s="162"/>
      <c r="L1059" s="23">
        <v>1</v>
      </c>
    </row>
    <row r="1060" spans="2:12" ht="18">
      <c r="B1060" s="33"/>
      <c r="C1060" s="33"/>
      <c r="D1060" s="33"/>
      <c r="E1060" s="33"/>
      <c r="F1060" s="33"/>
      <c r="G1060" s="33"/>
      <c r="H1060" s="162"/>
      <c r="L1060" s="23">
        <v>1</v>
      </c>
    </row>
    <row r="1061" spans="2:12" ht="18">
      <c r="B1061" s="33"/>
      <c r="C1061" s="33"/>
      <c r="D1061" s="33"/>
      <c r="E1061" s="33"/>
      <c r="F1061" s="33"/>
      <c r="G1061" s="33"/>
      <c r="H1061" s="162"/>
      <c r="L1061" s="23">
        <v>1</v>
      </c>
    </row>
    <row r="1062" spans="2:12" ht="18">
      <c r="B1062" s="33"/>
      <c r="C1062" s="33"/>
      <c r="D1062" s="33"/>
      <c r="E1062" s="33"/>
      <c r="F1062" s="33"/>
      <c r="G1062" s="33"/>
      <c r="H1062" s="162"/>
      <c r="L1062" s="23">
        <v>1</v>
      </c>
    </row>
    <row r="1063" spans="2:12" ht="18">
      <c r="B1063" s="33"/>
      <c r="C1063" s="33"/>
      <c r="D1063" s="33"/>
      <c r="E1063" s="33"/>
      <c r="F1063" s="33"/>
      <c r="G1063" s="33"/>
      <c r="H1063" s="162"/>
      <c r="L1063" s="23">
        <v>1</v>
      </c>
    </row>
    <row r="1064" spans="2:12" ht="18">
      <c r="B1064" s="33"/>
      <c r="C1064" s="33"/>
      <c r="D1064" s="33"/>
      <c r="E1064" s="33"/>
      <c r="F1064" s="33"/>
      <c r="G1064" s="33"/>
      <c r="H1064" s="162"/>
      <c r="L1064" s="23">
        <v>1</v>
      </c>
    </row>
    <row r="1065" spans="2:12" ht="18">
      <c r="B1065" s="33"/>
      <c r="C1065" s="33"/>
      <c r="D1065" s="33"/>
      <c r="E1065" s="33"/>
      <c r="F1065" s="33"/>
      <c r="G1065" s="33"/>
      <c r="H1065" s="162"/>
      <c r="L1065" s="23">
        <v>1</v>
      </c>
    </row>
    <row r="1066" spans="2:12" ht="18">
      <c r="B1066" s="33"/>
      <c r="C1066" s="33"/>
      <c r="D1066" s="33"/>
      <c r="E1066" s="33"/>
      <c r="F1066" s="33"/>
      <c r="G1066" s="33"/>
      <c r="H1066" s="162"/>
      <c r="L1066" s="23">
        <v>1</v>
      </c>
    </row>
    <row r="1067" spans="2:12" ht="18">
      <c r="B1067" s="33"/>
      <c r="C1067" s="33"/>
      <c r="D1067" s="33"/>
      <c r="E1067" s="33"/>
      <c r="F1067" s="33"/>
      <c r="G1067" s="33"/>
      <c r="H1067" s="162"/>
      <c r="L1067" s="23">
        <v>1</v>
      </c>
    </row>
    <row r="1068" spans="2:12" ht="18">
      <c r="B1068" s="33"/>
      <c r="C1068" s="33"/>
      <c r="D1068" s="33"/>
      <c r="E1068" s="33"/>
      <c r="F1068" s="33"/>
      <c r="G1068" s="33"/>
      <c r="H1068" s="162"/>
      <c r="L1068" s="23">
        <v>1</v>
      </c>
    </row>
    <row r="1069" spans="2:12" ht="18">
      <c r="B1069" s="33"/>
      <c r="C1069" s="33"/>
      <c r="D1069" s="33"/>
      <c r="E1069" s="33"/>
      <c r="F1069" s="33"/>
      <c r="G1069" s="33"/>
      <c r="H1069" s="162"/>
      <c r="L1069" s="23">
        <v>1</v>
      </c>
    </row>
    <row r="1070" spans="2:12" ht="18">
      <c r="B1070" s="33"/>
      <c r="C1070" s="33"/>
      <c r="D1070" s="33"/>
      <c r="E1070" s="33"/>
      <c r="F1070" s="33"/>
      <c r="G1070" s="33"/>
      <c r="H1070" s="162"/>
      <c r="L1070" s="23">
        <v>1</v>
      </c>
    </row>
    <row r="1071" spans="2:12" ht="18">
      <c r="B1071" s="33"/>
      <c r="C1071" s="33"/>
      <c r="D1071" s="33"/>
      <c r="E1071" s="33"/>
      <c r="F1071" s="33"/>
      <c r="G1071" s="33"/>
      <c r="H1071" s="162"/>
      <c r="L1071" s="23">
        <v>1</v>
      </c>
    </row>
    <row r="1072" spans="2:12" ht="18">
      <c r="B1072" s="33"/>
      <c r="C1072" s="33"/>
      <c r="D1072" s="33"/>
      <c r="E1072" s="33"/>
      <c r="F1072" s="33"/>
      <c r="G1072" s="33"/>
      <c r="H1072" s="162"/>
      <c r="L1072" s="23">
        <v>1</v>
      </c>
    </row>
    <row r="1073" spans="2:12" ht="18">
      <c r="B1073" s="33"/>
      <c r="C1073" s="33"/>
      <c r="D1073" s="33"/>
      <c r="E1073" s="33"/>
      <c r="F1073" s="33"/>
      <c r="G1073" s="33"/>
      <c r="H1073" s="162"/>
      <c r="L1073" s="23">
        <v>1</v>
      </c>
    </row>
    <row r="1074" spans="2:12" ht="18">
      <c r="B1074" s="33"/>
      <c r="C1074" s="33"/>
      <c r="D1074" s="33"/>
      <c r="E1074" s="33"/>
      <c r="F1074" s="33"/>
      <c r="G1074" s="33"/>
      <c r="H1074" s="162"/>
      <c r="L1074" s="23">
        <v>1</v>
      </c>
    </row>
    <row r="1075" spans="2:12" ht="18">
      <c r="B1075" s="33"/>
      <c r="C1075" s="33"/>
      <c r="D1075" s="33"/>
      <c r="E1075" s="33"/>
      <c r="F1075" s="33"/>
      <c r="G1075" s="33"/>
      <c r="H1075" s="162"/>
      <c r="L1075" s="23">
        <v>1</v>
      </c>
    </row>
    <row r="1076" spans="2:12" ht="18">
      <c r="B1076" s="33"/>
      <c r="C1076" s="33"/>
      <c r="D1076" s="33"/>
      <c r="E1076" s="33"/>
      <c r="F1076" s="33"/>
      <c r="G1076" s="33"/>
      <c r="H1076" s="162"/>
      <c r="L1076" s="23">
        <v>1</v>
      </c>
    </row>
    <row r="1077" spans="2:12" ht="18">
      <c r="B1077" s="33"/>
      <c r="C1077" s="33"/>
      <c r="D1077" s="33"/>
      <c r="E1077" s="33"/>
      <c r="F1077" s="33"/>
      <c r="G1077" s="33"/>
      <c r="H1077" s="162"/>
      <c r="L1077" s="23">
        <v>1</v>
      </c>
    </row>
    <row r="1078" spans="2:12" ht="18">
      <c r="B1078" s="33"/>
      <c r="C1078" s="33"/>
      <c r="D1078" s="33"/>
      <c r="E1078" s="33"/>
      <c r="F1078" s="33"/>
      <c r="G1078" s="33"/>
      <c r="H1078" s="162"/>
      <c r="L1078" s="23">
        <v>1</v>
      </c>
    </row>
    <row r="1079" spans="2:12" ht="18">
      <c r="B1079" s="33"/>
      <c r="C1079" s="33"/>
      <c r="D1079" s="33"/>
      <c r="E1079" s="33"/>
      <c r="F1079" s="33"/>
      <c r="G1079" s="33"/>
      <c r="H1079" s="162"/>
      <c r="L1079" s="23">
        <v>1</v>
      </c>
    </row>
    <row r="1080" spans="2:12" ht="18">
      <c r="B1080" s="33"/>
      <c r="C1080" s="33"/>
      <c r="D1080" s="33"/>
      <c r="E1080" s="33"/>
      <c r="F1080" s="33"/>
      <c r="G1080" s="33"/>
      <c r="H1080" s="162"/>
      <c r="L1080" s="23">
        <v>1</v>
      </c>
    </row>
    <row r="1081" spans="2:12" ht="18">
      <c r="B1081" s="33"/>
      <c r="C1081" s="33"/>
      <c r="D1081" s="33"/>
      <c r="E1081" s="33"/>
      <c r="F1081" s="33"/>
      <c r="G1081" s="33"/>
      <c r="H1081" s="162"/>
      <c r="L1081" s="23">
        <v>1</v>
      </c>
    </row>
    <row r="1082" spans="2:12" ht="18">
      <c r="B1082" s="33"/>
      <c r="C1082" s="33"/>
      <c r="D1082" s="33"/>
      <c r="E1082" s="33"/>
      <c r="F1082" s="33"/>
      <c r="G1082" s="33"/>
      <c r="H1082" s="162"/>
      <c r="L1082" s="23">
        <v>1</v>
      </c>
    </row>
    <row r="1083" spans="2:12" ht="18">
      <c r="B1083" s="33"/>
      <c r="C1083" s="33"/>
      <c r="D1083" s="33"/>
      <c r="E1083" s="33"/>
      <c r="F1083" s="33"/>
      <c r="G1083" s="33"/>
      <c r="H1083" s="162"/>
      <c r="L1083" s="23">
        <v>1</v>
      </c>
    </row>
    <row r="1084" spans="2:12" ht="18">
      <c r="B1084" s="33"/>
      <c r="C1084" s="33"/>
      <c r="D1084" s="33"/>
      <c r="E1084" s="33"/>
      <c r="F1084" s="33"/>
      <c r="G1084" s="33"/>
      <c r="H1084" s="162"/>
      <c r="L1084" s="23">
        <v>1</v>
      </c>
    </row>
    <row r="1085" spans="2:12" ht="18">
      <c r="B1085" s="33"/>
      <c r="C1085" s="33"/>
      <c r="D1085" s="33"/>
      <c r="E1085" s="33"/>
      <c r="F1085" s="33"/>
      <c r="G1085" s="33"/>
      <c r="H1085" s="162"/>
      <c r="L1085" s="23">
        <v>1</v>
      </c>
    </row>
    <row r="1086" spans="2:12" ht="18">
      <c r="B1086" s="33"/>
      <c r="C1086" s="33"/>
      <c r="D1086" s="33"/>
      <c r="E1086" s="33"/>
      <c r="F1086" s="33"/>
      <c r="G1086" s="33"/>
      <c r="H1086" s="162"/>
      <c r="L1086" s="23">
        <v>1</v>
      </c>
    </row>
    <row r="1087" spans="2:12" ht="18">
      <c r="B1087" s="33"/>
      <c r="C1087" s="33"/>
      <c r="D1087" s="33"/>
      <c r="E1087" s="33"/>
      <c r="F1087" s="33"/>
      <c r="G1087" s="33"/>
      <c r="H1087" s="162"/>
      <c r="L1087" s="23">
        <v>1</v>
      </c>
    </row>
    <row r="1088" spans="2:12" ht="18">
      <c r="B1088" s="33"/>
      <c r="C1088" s="33"/>
      <c r="D1088" s="33"/>
      <c r="E1088" s="33"/>
      <c r="F1088" s="33"/>
      <c r="G1088" s="33"/>
      <c r="H1088" s="162"/>
      <c r="L1088" s="23">
        <v>1</v>
      </c>
    </row>
    <row r="1089" spans="2:12" ht="18">
      <c r="B1089" s="33"/>
      <c r="C1089" s="33"/>
      <c r="D1089" s="33"/>
      <c r="E1089" s="33"/>
      <c r="F1089" s="33"/>
      <c r="G1089" s="33"/>
      <c r="H1089" s="162"/>
      <c r="L1089" s="23">
        <v>1</v>
      </c>
    </row>
    <row r="1090" spans="2:12" ht="18">
      <c r="B1090" s="33"/>
      <c r="C1090" s="33"/>
      <c r="D1090" s="33"/>
      <c r="E1090" s="33"/>
      <c r="F1090" s="33"/>
      <c r="G1090" s="33"/>
      <c r="H1090" s="162"/>
      <c r="L1090" s="23">
        <v>1</v>
      </c>
    </row>
    <row r="1091" spans="2:12" ht="18">
      <c r="B1091" s="33"/>
      <c r="C1091" s="33"/>
      <c r="D1091" s="33"/>
      <c r="E1091" s="33"/>
      <c r="F1091" s="33"/>
      <c r="G1091" s="33"/>
      <c r="H1091" s="162"/>
      <c r="L1091" s="23">
        <v>1</v>
      </c>
    </row>
    <row r="1092" spans="2:12" ht="18">
      <c r="B1092" s="33"/>
      <c r="C1092" s="33"/>
      <c r="D1092" s="33"/>
      <c r="E1092" s="33"/>
      <c r="F1092" s="33"/>
      <c r="G1092" s="33"/>
      <c r="H1092" s="162"/>
      <c r="L1092" s="23">
        <v>1</v>
      </c>
    </row>
    <row r="1093" spans="2:12" ht="18">
      <c r="B1093" s="33"/>
      <c r="C1093" s="33"/>
      <c r="D1093" s="33"/>
      <c r="E1093" s="33"/>
      <c r="F1093" s="33"/>
      <c r="G1093" s="33"/>
      <c r="H1093" s="162"/>
      <c r="L1093" s="23">
        <v>1</v>
      </c>
    </row>
    <row r="1094" spans="2:12" ht="18">
      <c r="B1094" s="33"/>
      <c r="C1094" s="33"/>
      <c r="D1094" s="33"/>
      <c r="E1094" s="33"/>
      <c r="F1094" s="33"/>
      <c r="G1094" s="33"/>
      <c r="H1094" s="162"/>
      <c r="L1094" s="23">
        <v>1</v>
      </c>
    </row>
    <row r="1095" spans="2:12" ht="18">
      <c r="B1095" s="33"/>
      <c r="C1095" s="33"/>
      <c r="D1095" s="33"/>
      <c r="E1095" s="33"/>
      <c r="F1095" s="33"/>
      <c r="G1095" s="33"/>
      <c r="H1095" s="162"/>
      <c r="L1095" s="23">
        <v>1</v>
      </c>
    </row>
    <row r="1096" spans="2:12" ht="18">
      <c r="B1096" s="33"/>
      <c r="C1096" s="33"/>
      <c r="D1096" s="33"/>
      <c r="E1096" s="33"/>
      <c r="F1096" s="33"/>
      <c r="G1096" s="33"/>
      <c r="H1096" s="162"/>
      <c r="L1096" s="23">
        <v>1</v>
      </c>
    </row>
    <row r="1097" spans="2:12" ht="18">
      <c r="B1097" s="33"/>
      <c r="C1097" s="33"/>
      <c r="D1097" s="33"/>
      <c r="E1097" s="33"/>
      <c r="F1097" s="33"/>
      <c r="G1097" s="33"/>
      <c r="H1097" s="162"/>
      <c r="L1097" s="23">
        <v>1</v>
      </c>
    </row>
    <row r="1098" spans="2:12" ht="18">
      <c r="B1098" s="33"/>
      <c r="C1098" s="33"/>
      <c r="D1098" s="33"/>
      <c r="E1098" s="33"/>
      <c r="F1098" s="33"/>
      <c r="G1098" s="33"/>
      <c r="H1098" s="162"/>
      <c r="L1098" s="23">
        <v>1</v>
      </c>
    </row>
    <row r="1099" spans="2:12" ht="18">
      <c r="B1099" s="33"/>
      <c r="C1099" s="33"/>
      <c r="D1099" s="33"/>
      <c r="E1099" s="33"/>
      <c r="F1099" s="33"/>
      <c r="G1099" s="33"/>
      <c r="H1099" s="162"/>
      <c r="L1099" s="23">
        <v>1</v>
      </c>
    </row>
    <row r="1100" spans="2:12" ht="18">
      <c r="B1100" s="33"/>
      <c r="C1100" s="33"/>
      <c r="D1100" s="33"/>
      <c r="E1100" s="33"/>
      <c r="F1100" s="33"/>
      <c r="G1100" s="33"/>
      <c r="H1100" s="162"/>
      <c r="L1100" s="23">
        <v>1</v>
      </c>
    </row>
    <row r="1101" spans="2:12" ht="18">
      <c r="B1101" s="33"/>
      <c r="C1101" s="33"/>
      <c r="D1101" s="33"/>
      <c r="E1101" s="33"/>
      <c r="F1101" s="33"/>
      <c r="G1101" s="33"/>
      <c r="H1101" s="162"/>
      <c r="L1101" s="23">
        <v>1</v>
      </c>
    </row>
    <row r="1102" spans="2:12" ht="18">
      <c r="B1102" s="33"/>
      <c r="C1102" s="33"/>
      <c r="D1102" s="33"/>
      <c r="E1102" s="33"/>
      <c r="F1102" s="33"/>
      <c r="G1102" s="33"/>
      <c r="H1102" s="162"/>
      <c r="L1102" s="23">
        <v>1</v>
      </c>
    </row>
    <row r="1103" spans="2:12" ht="18">
      <c r="B1103" s="33"/>
      <c r="C1103" s="33"/>
      <c r="D1103" s="33"/>
      <c r="E1103" s="33"/>
      <c r="F1103" s="33"/>
      <c r="G1103" s="33"/>
      <c r="H1103" s="162"/>
      <c r="L1103" s="23">
        <v>1</v>
      </c>
    </row>
    <row r="1104" spans="2:12" ht="18">
      <c r="B1104" s="33"/>
      <c r="C1104" s="33"/>
      <c r="D1104" s="33"/>
      <c r="E1104" s="33"/>
      <c r="F1104" s="33"/>
      <c r="G1104" s="33"/>
      <c r="H1104" s="162"/>
      <c r="L1104" s="23">
        <v>1</v>
      </c>
    </row>
    <row r="1105" spans="2:12" ht="18">
      <c r="B1105" s="33"/>
      <c r="C1105" s="33"/>
      <c r="D1105" s="33"/>
      <c r="E1105" s="33"/>
      <c r="F1105" s="33"/>
      <c r="G1105" s="33"/>
      <c r="H1105" s="162"/>
      <c r="L1105" s="23">
        <v>1</v>
      </c>
    </row>
    <row r="1106" spans="2:12" ht="18">
      <c r="B1106" s="33"/>
      <c r="C1106" s="33"/>
      <c r="D1106" s="33"/>
      <c r="E1106" s="33"/>
      <c r="F1106" s="33"/>
      <c r="G1106" s="33"/>
      <c r="H1106" s="162"/>
      <c r="L1106" s="23">
        <v>1</v>
      </c>
    </row>
    <row r="1107" spans="2:12" ht="18">
      <c r="B1107" s="33"/>
      <c r="C1107" s="33"/>
      <c r="D1107" s="33"/>
      <c r="E1107" s="33"/>
      <c r="F1107" s="33"/>
      <c r="G1107" s="33"/>
      <c r="H1107" s="162"/>
      <c r="L1107" s="23">
        <v>1</v>
      </c>
    </row>
    <row r="1108" spans="2:12" ht="18">
      <c r="B1108" s="33"/>
      <c r="C1108" s="33"/>
      <c r="D1108" s="33"/>
      <c r="E1108" s="33"/>
      <c r="F1108" s="33"/>
      <c r="G1108" s="33"/>
      <c r="H1108" s="162"/>
      <c r="L1108" s="23">
        <v>1</v>
      </c>
    </row>
    <row r="1109" spans="2:12" ht="18">
      <c r="B1109" s="33"/>
      <c r="C1109" s="33"/>
      <c r="D1109" s="33"/>
      <c r="E1109" s="33"/>
      <c r="F1109" s="33"/>
      <c r="G1109" s="33"/>
      <c r="H1109" s="162"/>
      <c r="L1109" s="23">
        <v>1</v>
      </c>
    </row>
    <row r="1110" spans="2:12" ht="18">
      <c r="B1110" s="33"/>
      <c r="C1110" s="33"/>
      <c r="D1110" s="33"/>
      <c r="E1110" s="33"/>
      <c r="F1110" s="33"/>
      <c r="G1110" s="33"/>
      <c r="H1110" s="162"/>
      <c r="L1110" s="23">
        <v>1</v>
      </c>
    </row>
    <row r="1111" spans="2:12" ht="18">
      <c r="B1111" s="33"/>
      <c r="C1111" s="33"/>
      <c r="D1111" s="33"/>
      <c r="E1111" s="33"/>
      <c r="F1111" s="33"/>
      <c r="G1111" s="33"/>
      <c r="H1111" s="162"/>
      <c r="L1111" s="23">
        <v>1</v>
      </c>
    </row>
    <row r="1112" spans="2:12" ht="18">
      <c r="B1112" s="33"/>
      <c r="C1112" s="33"/>
      <c r="D1112" s="33"/>
      <c r="E1112" s="33"/>
      <c r="F1112" s="33"/>
      <c r="G1112" s="33"/>
      <c r="H1112" s="162"/>
      <c r="L1112" s="23">
        <v>1</v>
      </c>
    </row>
    <row r="1113" spans="2:12" ht="18">
      <c r="B1113" s="33"/>
      <c r="C1113" s="33"/>
      <c r="D1113" s="33"/>
      <c r="E1113" s="33"/>
      <c r="F1113" s="33"/>
      <c r="G1113" s="33"/>
      <c r="H1113" s="162"/>
      <c r="L1113" s="23">
        <v>1</v>
      </c>
    </row>
    <row r="1114" spans="2:12" ht="18">
      <c r="B1114" s="33"/>
      <c r="C1114" s="33"/>
      <c r="D1114" s="33"/>
      <c r="E1114" s="33"/>
      <c r="F1114" s="33"/>
      <c r="G1114" s="33"/>
      <c r="H1114" s="162"/>
      <c r="L1114" s="23">
        <v>1</v>
      </c>
    </row>
    <row r="1115" spans="2:12" ht="18">
      <c r="B1115" s="33"/>
      <c r="C1115" s="33"/>
      <c r="D1115" s="33"/>
      <c r="E1115" s="33"/>
      <c r="F1115" s="33"/>
      <c r="G1115" s="33"/>
      <c r="H1115" s="162"/>
      <c r="L1115" s="23">
        <v>1</v>
      </c>
    </row>
    <row r="1116" spans="2:12" ht="18">
      <c r="B1116" s="33"/>
      <c r="C1116" s="33"/>
      <c r="D1116" s="33"/>
      <c r="E1116" s="33"/>
      <c r="F1116" s="33"/>
      <c r="G1116" s="33"/>
      <c r="H1116" s="162"/>
      <c r="L1116" s="23">
        <v>1</v>
      </c>
    </row>
    <row r="1117" spans="2:12" ht="18">
      <c r="B1117" s="33"/>
      <c r="C1117" s="33"/>
      <c r="D1117" s="33"/>
      <c r="E1117" s="33"/>
      <c r="F1117" s="33"/>
      <c r="G1117" s="33"/>
      <c r="H1117" s="162"/>
      <c r="L1117" s="23">
        <v>1</v>
      </c>
    </row>
    <row r="1118" spans="2:12" ht="18">
      <c r="B1118" s="33"/>
      <c r="C1118" s="33"/>
      <c r="D1118" s="33"/>
      <c r="E1118" s="33"/>
      <c r="F1118" s="33"/>
      <c r="G1118" s="33"/>
      <c r="H1118" s="162"/>
      <c r="L1118" s="23">
        <v>1</v>
      </c>
    </row>
    <row r="1119" spans="2:12" ht="18">
      <c r="B1119" s="33"/>
      <c r="C1119" s="33"/>
      <c r="D1119" s="33"/>
      <c r="E1119" s="33"/>
      <c r="F1119" s="33"/>
      <c r="G1119" s="33"/>
      <c r="H1119" s="162"/>
      <c r="L1119" s="23">
        <v>1</v>
      </c>
    </row>
    <row r="1120" spans="2:12" ht="18">
      <c r="B1120" s="33"/>
      <c r="C1120" s="33"/>
      <c r="D1120" s="33"/>
      <c r="E1120" s="33"/>
      <c r="F1120" s="33"/>
      <c r="G1120" s="33"/>
      <c r="H1120" s="162"/>
      <c r="L1120" s="23">
        <v>1</v>
      </c>
    </row>
    <row r="1121" spans="2:12" ht="18">
      <c r="B1121" s="33"/>
      <c r="C1121" s="33"/>
      <c r="D1121" s="33"/>
      <c r="E1121" s="33"/>
      <c r="F1121" s="33"/>
      <c r="G1121" s="33"/>
      <c r="H1121" s="162"/>
      <c r="L1121" s="23">
        <v>1</v>
      </c>
    </row>
    <row r="1122" spans="2:12" ht="18">
      <c r="B1122" s="33"/>
      <c r="C1122" s="33"/>
      <c r="D1122" s="33"/>
      <c r="E1122" s="33"/>
      <c r="F1122" s="33"/>
      <c r="G1122" s="33"/>
      <c r="H1122" s="162"/>
      <c r="L1122" s="23">
        <v>1</v>
      </c>
    </row>
    <row r="1123" spans="2:12" ht="18">
      <c r="B1123" s="33"/>
      <c r="C1123" s="33"/>
      <c r="D1123" s="33"/>
      <c r="E1123" s="33"/>
      <c r="F1123" s="33"/>
      <c r="G1123" s="33"/>
      <c r="H1123" s="162"/>
      <c r="L1123" s="23">
        <v>1</v>
      </c>
    </row>
    <row r="1124" spans="2:12" ht="18">
      <c r="B1124" s="33"/>
      <c r="C1124" s="33"/>
      <c r="D1124" s="33"/>
      <c r="E1124" s="33"/>
      <c r="F1124" s="33"/>
      <c r="G1124" s="33"/>
      <c r="H1124" s="162"/>
      <c r="L1124" s="23">
        <v>1</v>
      </c>
    </row>
    <row r="1125" spans="2:12" ht="18">
      <c r="B1125" s="33"/>
      <c r="C1125" s="33"/>
      <c r="D1125" s="33"/>
      <c r="E1125" s="33"/>
      <c r="F1125" s="33"/>
      <c r="G1125" s="33"/>
      <c r="H1125" s="162"/>
      <c r="L1125" s="23">
        <v>1</v>
      </c>
    </row>
    <row r="1126" spans="2:12" ht="18">
      <c r="B1126" s="33"/>
      <c r="C1126" s="33"/>
      <c r="D1126" s="33"/>
      <c r="E1126" s="33"/>
      <c r="F1126" s="33"/>
      <c r="G1126" s="33"/>
      <c r="H1126" s="162"/>
      <c r="L1126" s="23">
        <v>1</v>
      </c>
    </row>
    <row r="1127" spans="2:12" ht="18">
      <c r="B1127" s="33"/>
      <c r="C1127" s="33"/>
      <c r="D1127" s="33"/>
      <c r="E1127" s="33"/>
      <c r="F1127" s="33"/>
      <c r="G1127" s="33"/>
      <c r="H1127" s="162"/>
      <c r="L1127" s="23">
        <v>1</v>
      </c>
    </row>
    <row r="1128" spans="2:12" ht="18">
      <c r="B1128" s="33"/>
      <c r="C1128" s="33"/>
      <c r="D1128" s="33"/>
      <c r="E1128" s="33"/>
      <c r="F1128" s="33"/>
      <c r="G1128" s="33"/>
      <c r="H1128" s="162"/>
      <c r="L1128" s="23">
        <v>1</v>
      </c>
    </row>
    <row r="1129" spans="2:12" ht="18">
      <c r="B1129" s="33"/>
      <c r="C1129" s="33"/>
      <c r="D1129" s="33"/>
      <c r="E1129" s="33"/>
      <c r="F1129" s="33"/>
      <c r="G1129" s="33"/>
      <c r="H1129" s="162"/>
      <c r="L1129" s="23">
        <v>1</v>
      </c>
    </row>
    <row r="1130" spans="2:12" ht="18">
      <c r="B1130" s="33"/>
      <c r="C1130" s="33"/>
      <c r="D1130" s="33"/>
      <c r="E1130" s="33"/>
      <c r="F1130" s="33"/>
      <c r="G1130" s="33"/>
      <c r="H1130" s="162"/>
      <c r="L1130" s="23">
        <v>1</v>
      </c>
    </row>
    <row r="1131" spans="2:12" ht="18">
      <c r="B1131" s="33"/>
      <c r="C1131" s="33"/>
      <c r="D1131" s="33"/>
      <c r="E1131" s="33"/>
      <c r="F1131" s="33"/>
      <c r="G1131" s="33"/>
      <c r="H1131" s="162"/>
      <c r="L1131" s="23">
        <v>1</v>
      </c>
    </row>
    <row r="1132" spans="2:12" ht="18">
      <c r="B1132" s="33"/>
      <c r="C1132" s="33"/>
      <c r="D1132" s="33"/>
      <c r="E1132" s="33"/>
      <c r="F1132" s="33"/>
      <c r="G1132" s="33"/>
      <c r="H1132" s="162"/>
      <c r="L1132" s="23">
        <v>1</v>
      </c>
    </row>
    <row r="1133" spans="2:12" ht="18">
      <c r="B1133" s="33"/>
      <c r="C1133" s="33"/>
      <c r="D1133" s="33"/>
      <c r="E1133" s="33"/>
      <c r="F1133" s="33"/>
      <c r="G1133" s="33"/>
      <c r="H1133" s="162"/>
      <c r="L1133" s="23">
        <v>1</v>
      </c>
    </row>
    <row r="1134" spans="2:12" ht="18">
      <c r="B1134" s="33"/>
      <c r="C1134" s="33"/>
      <c r="D1134" s="33"/>
      <c r="E1134" s="33"/>
      <c r="F1134" s="33"/>
      <c r="G1134" s="33"/>
      <c r="H1134" s="162"/>
      <c r="L1134" s="23">
        <v>1</v>
      </c>
    </row>
    <row r="1135" spans="2:12" ht="18">
      <c r="B1135" s="33"/>
      <c r="C1135" s="33"/>
      <c r="D1135" s="33"/>
      <c r="E1135" s="33"/>
      <c r="F1135" s="33"/>
      <c r="G1135" s="33"/>
      <c r="H1135" s="162"/>
      <c r="L1135" s="23">
        <v>1</v>
      </c>
    </row>
    <row r="1136" spans="2:12" ht="18">
      <c r="B1136" s="33"/>
      <c r="C1136" s="33"/>
      <c r="D1136" s="33"/>
      <c r="E1136" s="33"/>
      <c r="F1136" s="33"/>
      <c r="G1136" s="33"/>
      <c r="H1136" s="162"/>
      <c r="L1136" s="23">
        <v>1</v>
      </c>
    </row>
    <row r="1137" spans="2:12" ht="18">
      <c r="B1137" s="33"/>
      <c r="C1137" s="33"/>
      <c r="D1137" s="33"/>
      <c r="E1137" s="33"/>
      <c r="F1137" s="33"/>
      <c r="G1137" s="33"/>
      <c r="H1137" s="162"/>
      <c r="L1137" s="23">
        <v>1</v>
      </c>
    </row>
    <row r="1138" spans="2:12" ht="18">
      <c r="B1138" s="33"/>
      <c r="C1138" s="33"/>
      <c r="D1138" s="33"/>
      <c r="E1138" s="33"/>
      <c r="F1138" s="33"/>
      <c r="G1138" s="33"/>
      <c r="H1138" s="162"/>
      <c r="L1138" s="23">
        <v>1</v>
      </c>
    </row>
    <row r="1139" spans="2:12" ht="18">
      <c r="B1139" s="33"/>
      <c r="C1139" s="33"/>
      <c r="D1139" s="33"/>
      <c r="E1139" s="33"/>
      <c r="F1139" s="33"/>
      <c r="G1139" s="33"/>
      <c r="H1139" s="162"/>
      <c r="L1139" s="23">
        <v>1</v>
      </c>
    </row>
    <row r="1140" spans="2:12" ht="18">
      <c r="B1140" s="33"/>
      <c r="C1140" s="33"/>
      <c r="D1140" s="33"/>
      <c r="E1140" s="33"/>
      <c r="F1140" s="33"/>
      <c r="G1140" s="33"/>
      <c r="H1140" s="162"/>
      <c r="L1140" s="23">
        <v>1</v>
      </c>
    </row>
    <row r="1141" spans="2:12" ht="18">
      <c r="B1141" s="33"/>
      <c r="C1141" s="33"/>
      <c r="D1141" s="33"/>
      <c r="E1141" s="33"/>
      <c r="F1141" s="33"/>
      <c r="G1141" s="33"/>
      <c r="H1141" s="162"/>
      <c r="L1141" s="23">
        <v>1</v>
      </c>
    </row>
    <row r="1142" spans="2:12" ht="18">
      <c r="B1142" s="33"/>
      <c r="C1142" s="33"/>
      <c r="D1142" s="33"/>
      <c r="E1142" s="33"/>
      <c r="F1142" s="33"/>
      <c r="G1142" s="33"/>
      <c r="H1142" s="162"/>
      <c r="L1142" s="23">
        <v>1</v>
      </c>
    </row>
    <row r="1143" spans="2:12" ht="18">
      <c r="B1143" s="33"/>
      <c r="C1143" s="33"/>
      <c r="D1143" s="33"/>
      <c r="E1143" s="33"/>
      <c r="F1143" s="33"/>
      <c r="G1143" s="33"/>
      <c r="H1143" s="162"/>
      <c r="L1143" s="23">
        <v>1</v>
      </c>
    </row>
    <row r="1144" spans="2:12" ht="18">
      <c r="B1144" s="33"/>
      <c r="C1144" s="33"/>
      <c r="D1144" s="33"/>
      <c r="E1144" s="33"/>
      <c r="F1144" s="33"/>
      <c r="G1144" s="33"/>
      <c r="H1144" s="162"/>
      <c r="L1144" s="23">
        <v>1</v>
      </c>
    </row>
    <row r="1145" spans="2:12" ht="18">
      <c r="B1145" s="33"/>
      <c r="C1145" s="33"/>
      <c r="D1145" s="33"/>
      <c r="E1145" s="33"/>
      <c r="F1145" s="33"/>
      <c r="G1145" s="33"/>
      <c r="H1145" s="162"/>
      <c r="L1145" s="23">
        <v>1</v>
      </c>
    </row>
    <row r="1146" spans="2:12" ht="18">
      <c r="B1146" s="33"/>
      <c r="C1146" s="33"/>
      <c r="D1146" s="33"/>
      <c r="E1146" s="33"/>
      <c r="F1146" s="33"/>
      <c r="G1146" s="33"/>
      <c r="H1146" s="162"/>
      <c r="L1146" s="23">
        <v>1</v>
      </c>
    </row>
    <row r="1147" spans="2:12" ht="18">
      <c r="B1147" s="33"/>
      <c r="C1147" s="33"/>
      <c r="D1147" s="33"/>
      <c r="E1147" s="33"/>
      <c r="F1147" s="33"/>
      <c r="G1147" s="33"/>
      <c r="H1147" s="162"/>
      <c r="L1147" s="23">
        <v>1</v>
      </c>
    </row>
    <row r="1148" spans="2:12" ht="18">
      <c r="B1148" s="33"/>
      <c r="C1148" s="33"/>
      <c r="D1148" s="33"/>
      <c r="E1148" s="33"/>
      <c r="F1148" s="33"/>
      <c r="G1148" s="33"/>
      <c r="H1148" s="162"/>
      <c r="L1148" s="23">
        <v>1</v>
      </c>
    </row>
    <row r="1149" spans="2:12" ht="18">
      <c r="B1149" s="33"/>
      <c r="C1149" s="33"/>
      <c r="D1149" s="33"/>
      <c r="E1149" s="33"/>
      <c r="F1149" s="33"/>
      <c r="G1149" s="33"/>
      <c r="H1149" s="162"/>
      <c r="L1149" s="23">
        <v>1</v>
      </c>
    </row>
    <row r="1150" spans="2:12" ht="18">
      <c r="B1150" s="33"/>
      <c r="C1150" s="33"/>
      <c r="D1150" s="33"/>
      <c r="E1150" s="33"/>
      <c r="F1150" s="33"/>
      <c r="G1150" s="33"/>
      <c r="H1150" s="162"/>
      <c r="L1150" s="23">
        <v>1</v>
      </c>
    </row>
    <row r="1151" spans="2:12" ht="18">
      <c r="B1151" s="33"/>
      <c r="C1151" s="33"/>
      <c r="D1151" s="33"/>
      <c r="E1151" s="33"/>
      <c r="F1151" s="33"/>
      <c r="G1151" s="33"/>
      <c r="H1151" s="162"/>
      <c r="L1151" s="23">
        <v>1</v>
      </c>
    </row>
    <row r="1152" spans="2:12" ht="18">
      <c r="B1152" s="33"/>
      <c r="C1152" s="33"/>
      <c r="D1152" s="33"/>
      <c r="E1152" s="33"/>
      <c r="F1152" s="33"/>
      <c r="G1152" s="33"/>
      <c r="H1152" s="162"/>
      <c r="L1152" s="23">
        <v>1</v>
      </c>
    </row>
    <row r="1153" spans="2:12" ht="18">
      <c r="B1153" s="33"/>
      <c r="C1153" s="33"/>
      <c r="D1153" s="33"/>
      <c r="E1153" s="33"/>
      <c r="F1153" s="33"/>
      <c r="G1153" s="33"/>
      <c r="H1153" s="162"/>
      <c r="L1153" s="23">
        <v>1</v>
      </c>
    </row>
    <row r="1154" spans="2:12" ht="18">
      <c r="B1154" s="33"/>
      <c r="C1154" s="33"/>
      <c r="D1154" s="33"/>
      <c r="E1154" s="33"/>
      <c r="F1154" s="33"/>
      <c r="G1154" s="33"/>
      <c r="H1154" s="162"/>
      <c r="L1154" s="23">
        <v>1</v>
      </c>
    </row>
    <row r="1155" spans="2:12" ht="18">
      <c r="B1155" s="33"/>
      <c r="C1155" s="33"/>
      <c r="D1155" s="33"/>
      <c r="E1155" s="33"/>
      <c r="F1155" s="33"/>
      <c r="G1155" s="33"/>
      <c r="H1155" s="162"/>
      <c r="L1155" s="23">
        <v>1</v>
      </c>
    </row>
    <row r="1156" spans="2:12" ht="18">
      <c r="B1156" s="33"/>
      <c r="C1156" s="33"/>
      <c r="D1156" s="33"/>
      <c r="E1156" s="33"/>
      <c r="F1156" s="33"/>
      <c r="G1156" s="33"/>
      <c r="H1156" s="162"/>
      <c r="L1156" s="23">
        <v>1</v>
      </c>
    </row>
    <row r="1157" spans="2:12" ht="18">
      <c r="B1157" s="33"/>
      <c r="C1157" s="33"/>
      <c r="D1157" s="33"/>
      <c r="E1157" s="33"/>
      <c r="F1157" s="33"/>
      <c r="G1157" s="33"/>
      <c r="H1157" s="162"/>
      <c r="L1157" s="23">
        <v>1</v>
      </c>
    </row>
    <row r="1158" spans="2:12" ht="18">
      <c r="B1158" s="33"/>
      <c r="C1158" s="33"/>
      <c r="D1158" s="33"/>
      <c r="E1158" s="33"/>
      <c r="F1158" s="33"/>
      <c r="G1158" s="33"/>
      <c r="H1158" s="162"/>
      <c r="L1158" s="23">
        <v>1</v>
      </c>
    </row>
    <row r="1159" spans="2:12" ht="18">
      <c r="B1159" s="33"/>
      <c r="C1159" s="33"/>
      <c r="D1159" s="33"/>
      <c r="E1159" s="33"/>
      <c r="F1159" s="33"/>
      <c r="G1159" s="33"/>
      <c r="H1159" s="162"/>
      <c r="L1159" s="23">
        <v>1</v>
      </c>
    </row>
    <row r="1160" spans="2:12" ht="18">
      <c r="B1160" s="33"/>
      <c r="C1160" s="33"/>
      <c r="D1160" s="33"/>
      <c r="E1160" s="33"/>
      <c r="F1160" s="33"/>
      <c r="G1160" s="33"/>
      <c r="H1160" s="162"/>
      <c r="L1160" s="23">
        <v>1</v>
      </c>
    </row>
    <row r="1161" spans="2:12" ht="18">
      <c r="B1161" s="33"/>
      <c r="C1161" s="33"/>
      <c r="D1161" s="33"/>
      <c r="E1161" s="33"/>
      <c r="F1161" s="33"/>
      <c r="G1161" s="33"/>
      <c r="H1161" s="162"/>
      <c r="L1161" s="23">
        <v>1</v>
      </c>
    </row>
    <row r="1162" spans="2:12" ht="18">
      <c r="B1162" s="33"/>
      <c r="C1162" s="33"/>
      <c r="D1162" s="33"/>
      <c r="E1162" s="33"/>
      <c r="F1162" s="33"/>
      <c r="G1162" s="33"/>
      <c r="H1162" s="162"/>
      <c r="L1162" s="23">
        <v>1</v>
      </c>
    </row>
    <row r="1163" spans="2:12" ht="18">
      <c r="B1163" s="33"/>
      <c r="C1163" s="33"/>
      <c r="D1163" s="33"/>
      <c r="E1163" s="33"/>
      <c r="F1163" s="33"/>
      <c r="G1163" s="33"/>
      <c r="H1163" s="162"/>
      <c r="L1163" s="23">
        <v>1</v>
      </c>
    </row>
    <row r="1164" spans="2:12" ht="18">
      <c r="B1164" s="33"/>
      <c r="C1164" s="33"/>
      <c r="D1164" s="33"/>
      <c r="E1164" s="33"/>
      <c r="F1164" s="33"/>
      <c r="G1164" s="33"/>
      <c r="H1164" s="162"/>
      <c r="L1164" s="23">
        <v>1</v>
      </c>
    </row>
    <row r="1165" spans="2:12" ht="18">
      <c r="B1165" s="33"/>
      <c r="C1165" s="33"/>
      <c r="D1165" s="33"/>
      <c r="E1165" s="33"/>
      <c r="F1165" s="33"/>
      <c r="G1165" s="33"/>
      <c r="H1165" s="162"/>
      <c r="L1165" s="23">
        <v>1</v>
      </c>
    </row>
    <row r="1166" spans="2:12" ht="18">
      <c r="B1166" s="33"/>
      <c r="C1166" s="33"/>
      <c r="D1166" s="33"/>
      <c r="E1166" s="33"/>
      <c r="F1166" s="33"/>
      <c r="G1166" s="33"/>
      <c r="H1166" s="162"/>
      <c r="L1166" s="23">
        <v>1</v>
      </c>
    </row>
    <row r="1167" spans="2:12" ht="18">
      <c r="B1167" s="33"/>
      <c r="C1167" s="33"/>
      <c r="D1167" s="33"/>
      <c r="E1167" s="33"/>
      <c r="F1167" s="33"/>
      <c r="G1167" s="33"/>
      <c r="H1167" s="162"/>
      <c r="L1167" s="23">
        <v>1</v>
      </c>
    </row>
    <row r="1168" spans="2:12" ht="18">
      <c r="B1168" s="33"/>
      <c r="C1168" s="33"/>
      <c r="D1168" s="33"/>
      <c r="E1168" s="33"/>
      <c r="F1168" s="33"/>
      <c r="G1168" s="33"/>
      <c r="H1168" s="162"/>
      <c r="L1168" s="23">
        <v>1</v>
      </c>
    </row>
    <row r="1169" spans="2:12" ht="18">
      <c r="B1169" s="33"/>
      <c r="C1169" s="33"/>
      <c r="D1169" s="33"/>
      <c r="E1169" s="33"/>
      <c r="F1169" s="33"/>
      <c r="G1169" s="33"/>
      <c r="H1169" s="162"/>
      <c r="L1169" s="23">
        <v>1</v>
      </c>
    </row>
    <row r="1170" spans="2:12" ht="18">
      <c r="B1170" s="33"/>
      <c r="C1170" s="33"/>
      <c r="D1170" s="33"/>
      <c r="E1170" s="33"/>
      <c r="F1170" s="33"/>
      <c r="G1170" s="33"/>
      <c r="H1170" s="162"/>
      <c r="L1170" s="23">
        <v>1</v>
      </c>
    </row>
    <row r="1171" spans="2:12" ht="18">
      <c r="B1171" s="33"/>
      <c r="C1171" s="33"/>
      <c r="D1171" s="33"/>
      <c r="E1171" s="33"/>
      <c r="F1171" s="33"/>
      <c r="G1171" s="33"/>
      <c r="H1171" s="162"/>
      <c r="L1171" s="23">
        <v>1</v>
      </c>
    </row>
    <row r="1172" spans="2:12" ht="18">
      <c r="B1172" s="33"/>
      <c r="C1172" s="33"/>
      <c r="D1172" s="33"/>
      <c r="E1172" s="33"/>
      <c r="F1172" s="33"/>
      <c r="G1172" s="33"/>
      <c r="H1172" s="162"/>
      <c r="L1172" s="23">
        <v>1</v>
      </c>
    </row>
    <row r="1173" spans="2:12" ht="18">
      <c r="B1173" s="33"/>
      <c r="C1173" s="33"/>
      <c r="D1173" s="33"/>
      <c r="E1173" s="33"/>
      <c r="F1173" s="33"/>
      <c r="G1173" s="33"/>
      <c r="H1173" s="162"/>
      <c r="L1173" s="23">
        <v>1</v>
      </c>
    </row>
    <row r="1174" spans="2:12" ht="18">
      <c r="B1174" s="33"/>
      <c r="C1174" s="33"/>
      <c r="D1174" s="33"/>
      <c r="E1174" s="33"/>
      <c r="F1174" s="33"/>
      <c r="G1174" s="33"/>
      <c r="H1174" s="162"/>
      <c r="L1174" s="23">
        <v>1</v>
      </c>
    </row>
    <row r="1175" spans="2:12" ht="18">
      <c r="B1175" s="33"/>
      <c r="C1175" s="33"/>
      <c r="D1175" s="33"/>
      <c r="E1175" s="33"/>
      <c r="F1175" s="33"/>
      <c r="G1175" s="33"/>
      <c r="H1175" s="162"/>
      <c r="L1175" s="23">
        <v>1</v>
      </c>
    </row>
    <row r="1176" spans="2:12" ht="18">
      <c r="B1176" s="33"/>
      <c r="C1176" s="33"/>
      <c r="D1176" s="33"/>
      <c r="E1176" s="33"/>
      <c r="F1176" s="33"/>
      <c r="G1176" s="33"/>
      <c r="H1176" s="162"/>
      <c r="L1176" s="23">
        <v>1</v>
      </c>
    </row>
    <row r="1177" spans="2:12" ht="18">
      <c r="B1177" s="33"/>
      <c r="C1177" s="33"/>
      <c r="D1177" s="33"/>
      <c r="E1177" s="33"/>
      <c r="F1177" s="33"/>
      <c r="G1177" s="33"/>
      <c r="H1177" s="162"/>
      <c r="L1177" s="23">
        <v>1</v>
      </c>
    </row>
    <row r="1178" spans="2:12" ht="18">
      <c r="B1178" s="33"/>
      <c r="C1178" s="33"/>
      <c r="D1178" s="33"/>
      <c r="E1178" s="33"/>
      <c r="F1178" s="33"/>
      <c r="G1178" s="33"/>
      <c r="H1178" s="162"/>
      <c r="L1178" s="23">
        <v>1</v>
      </c>
    </row>
    <row r="1179" spans="2:12" ht="18">
      <c r="B1179" s="33"/>
      <c r="C1179" s="33"/>
      <c r="D1179" s="33"/>
      <c r="E1179" s="33"/>
      <c r="F1179" s="33"/>
      <c r="G1179" s="33"/>
      <c r="H1179" s="162"/>
      <c r="L1179" s="23">
        <v>1</v>
      </c>
    </row>
    <row r="1180" spans="2:12" ht="18">
      <c r="B1180" s="33"/>
      <c r="C1180" s="33"/>
      <c r="D1180" s="33"/>
      <c r="E1180" s="33"/>
      <c r="F1180" s="33"/>
      <c r="G1180" s="33"/>
      <c r="H1180" s="162"/>
      <c r="L1180" s="23">
        <v>1</v>
      </c>
    </row>
    <row r="1181" spans="2:12" ht="18">
      <c r="B1181" s="33"/>
      <c r="C1181" s="33"/>
      <c r="D1181" s="33"/>
      <c r="E1181" s="33"/>
      <c r="F1181" s="33"/>
      <c r="G1181" s="33"/>
      <c r="H1181" s="162"/>
      <c r="L1181" s="23">
        <v>1</v>
      </c>
    </row>
    <row r="1182" spans="2:12" ht="18">
      <c r="B1182" s="33"/>
      <c r="C1182" s="33"/>
      <c r="D1182" s="33"/>
      <c r="E1182" s="33"/>
      <c r="F1182" s="33"/>
      <c r="G1182" s="33"/>
      <c r="H1182" s="162"/>
      <c r="L1182" s="23">
        <v>1</v>
      </c>
    </row>
    <row r="1183" spans="2:12" ht="18">
      <c r="B1183" s="33"/>
      <c r="C1183" s="33"/>
      <c r="D1183" s="33"/>
      <c r="E1183" s="33"/>
      <c r="F1183" s="33"/>
      <c r="G1183" s="33"/>
      <c r="H1183" s="162"/>
      <c r="L1183" s="23">
        <v>1</v>
      </c>
    </row>
    <row r="1184" spans="2:12" ht="18">
      <c r="B1184" s="33"/>
      <c r="C1184" s="33"/>
      <c r="D1184" s="33"/>
      <c r="E1184" s="33"/>
      <c r="F1184" s="33"/>
      <c r="G1184" s="33"/>
      <c r="H1184" s="162"/>
      <c r="L1184" s="23">
        <v>1</v>
      </c>
    </row>
    <row r="1185" spans="2:12" ht="18">
      <c r="B1185" s="33"/>
      <c r="C1185" s="33"/>
      <c r="D1185" s="33"/>
      <c r="E1185" s="33"/>
      <c r="F1185" s="33"/>
      <c r="G1185" s="33"/>
      <c r="H1185" s="162"/>
      <c r="L1185" s="23">
        <v>1</v>
      </c>
    </row>
    <row r="1186" spans="2:12" ht="18">
      <c r="B1186" s="33"/>
      <c r="C1186" s="33"/>
      <c r="D1186" s="33"/>
      <c r="E1186" s="33"/>
      <c r="F1186" s="33"/>
      <c r="G1186" s="33"/>
      <c r="H1186" s="162"/>
      <c r="L1186" s="23">
        <v>1</v>
      </c>
    </row>
    <row r="1187" spans="2:12" ht="18">
      <c r="B1187" s="33"/>
      <c r="C1187" s="33"/>
      <c r="D1187" s="33"/>
      <c r="E1187" s="33"/>
      <c r="F1187" s="33"/>
      <c r="G1187" s="33"/>
      <c r="H1187" s="162"/>
      <c r="L1187" s="23">
        <v>1</v>
      </c>
    </row>
    <row r="1188" spans="2:12" ht="18">
      <c r="B1188" s="33"/>
      <c r="C1188" s="33"/>
      <c r="D1188" s="33"/>
      <c r="E1188" s="33"/>
      <c r="F1188" s="33"/>
      <c r="G1188" s="33"/>
      <c r="H1188" s="162"/>
      <c r="L1188" s="23">
        <v>1</v>
      </c>
    </row>
    <row r="1189" spans="2:12" ht="18">
      <c r="B1189" s="33"/>
      <c r="C1189" s="33"/>
      <c r="D1189" s="33"/>
      <c r="E1189" s="33"/>
      <c r="F1189" s="33"/>
      <c r="G1189" s="33"/>
      <c r="H1189" s="162"/>
      <c r="L1189" s="23">
        <v>1</v>
      </c>
    </row>
    <row r="1190" spans="2:12" ht="18">
      <c r="B1190" s="33"/>
      <c r="C1190" s="33"/>
      <c r="D1190" s="33"/>
      <c r="E1190" s="33"/>
      <c r="F1190" s="33"/>
      <c r="G1190" s="33"/>
      <c r="H1190" s="162"/>
      <c r="L1190" s="23">
        <v>1</v>
      </c>
    </row>
    <row r="1191" spans="2:12" ht="18">
      <c r="B1191" s="33"/>
      <c r="C1191" s="33"/>
      <c r="D1191" s="33"/>
      <c r="E1191" s="33"/>
      <c r="F1191" s="33"/>
      <c r="G1191" s="33"/>
      <c r="H1191" s="162"/>
      <c r="L1191" s="23">
        <v>1</v>
      </c>
    </row>
    <row r="1192" spans="2:12" ht="18">
      <c r="B1192" s="33"/>
      <c r="C1192" s="33"/>
      <c r="D1192" s="33"/>
      <c r="E1192" s="33"/>
      <c r="F1192" s="33"/>
      <c r="G1192" s="33"/>
      <c r="H1192" s="162"/>
      <c r="L1192" s="23">
        <v>1</v>
      </c>
    </row>
    <row r="1193" spans="2:12" ht="18">
      <c r="B1193" s="33"/>
      <c r="C1193" s="33"/>
      <c r="D1193" s="33"/>
      <c r="E1193" s="33"/>
      <c r="F1193" s="33"/>
      <c r="G1193" s="33"/>
      <c r="H1193" s="162"/>
      <c r="L1193" s="23">
        <v>1</v>
      </c>
    </row>
    <row r="1194" spans="2:12" ht="18">
      <c r="B1194" s="33"/>
      <c r="C1194" s="33"/>
      <c r="D1194" s="33"/>
      <c r="E1194" s="33"/>
      <c r="F1194" s="33"/>
      <c r="G1194" s="33"/>
      <c r="H1194" s="162"/>
      <c r="L1194" s="23">
        <v>1</v>
      </c>
    </row>
    <row r="1195" spans="2:12" ht="18">
      <c r="B1195" s="33"/>
      <c r="C1195" s="33"/>
      <c r="D1195" s="33"/>
      <c r="E1195" s="33"/>
      <c r="F1195" s="33"/>
      <c r="G1195" s="33"/>
      <c r="H1195" s="162"/>
      <c r="L1195" s="23">
        <v>1</v>
      </c>
    </row>
    <row r="1196" spans="2:12" ht="18">
      <c r="B1196" s="33"/>
      <c r="C1196" s="33"/>
      <c r="D1196" s="33"/>
      <c r="E1196" s="33"/>
      <c r="F1196" s="33"/>
      <c r="G1196" s="33"/>
      <c r="H1196" s="162"/>
      <c r="L1196" s="23">
        <v>1</v>
      </c>
    </row>
    <row r="1197" spans="2:12" ht="18">
      <c r="B1197" s="33"/>
      <c r="C1197" s="33"/>
      <c r="D1197" s="33"/>
      <c r="E1197" s="33"/>
      <c r="F1197" s="33"/>
      <c r="G1197" s="33"/>
      <c r="H1197" s="162"/>
      <c r="L1197" s="23">
        <v>1</v>
      </c>
    </row>
    <row r="1198" spans="2:12" ht="18">
      <c r="B1198" s="33"/>
      <c r="C1198" s="33"/>
      <c r="D1198" s="33"/>
      <c r="E1198" s="33"/>
      <c r="F1198" s="33"/>
      <c r="G1198" s="33"/>
      <c r="H1198" s="162"/>
      <c r="L1198" s="23">
        <v>1</v>
      </c>
    </row>
    <row r="1199" spans="2:12" ht="18">
      <c r="B1199" s="33"/>
      <c r="C1199" s="33"/>
      <c r="D1199" s="33"/>
      <c r="E1199" s="33"/>
      <c r="F1199" s="33"/>
      <c r="G1199" s="33"/>
      <c r="H1199" s="162"/>
      <c r="L1199" s="23">
        <v>1</v>
      </c>
    </row>
    <row r="1200" spans="2:12" ht="18">
      <c r="B1200" s="33"/>
      <c r="C1200" s="33"/>
      <c r="D1200" s="33"/>
      <c r="E1200" s="33"/>
      <c r="F1200" s="33"/>
      <c r="G1200" s="33"/>
      <c r="H1200" s="162"/>
      <c r="L1200" s="23">
        <v>1</v>
      </c>
    </row>
    <row r="1201" spans="2:12" ht="18">
      <c r="B1201" s="33"/>
      <c r="C1201" s="33"/>
      <c r="D1201" s="33"/>
      <c r="E1201" s="33"/>
      <c r="F1201" s="33"/>
      <c r="G1201" s="33"/>
      <c r="H1201" s="162"/>
      <c r="L1201" s="23">
        <v>1</v>
      </c>
    </row>
    <row r="1202" spans="2:12" ht="18">
      <c r="B1202" s="33"/>
      <c r="C1202" s="33"/>
      <c r="D1202" s="33"/>
      <c r="E1202" s="33"/>
      <c r="F1202" s="33"/>
      <c r="G1202" s="33"/>
      <c r="H1202" s="162"/>
      <c r="L1202" s="23">
        <v>1</v>
      </c>
    </row>
    <row r="1203" spans="2:12" ht="18">
      <c r="B1203" s="33"/>
      <c r="C1203" s="33"/>
      <c r="D1203" s="33"/>
      <c r="E1203" s="33"/>
      <c r="F1203" s="33"/>
      <c r="G1203" s="33"/>
      <c r="H1203" s="162"/>
      <c r="L1203" s="23">
        <v>1</v>
      </c>
    </row>
    <row r="1204" spans="2:12" ht="18">
      <c r="B1204" s="33"/>
      <c r="C1204" s="33"/>
      <c r="D1204" s="33"/>
      <c r="E1204" s="33"/>
      <c r="F1204" s="33"/>
      <c r="G1204" s="33"/>
      <c r="H1204" s="162"/>
      <c r="L1204" s="23">
        <v>1</v>
      </c>
    </row>
    <row r="1205" spans="2:12" ht="18">
      <c r="B1205" s="33"/>
      <c r="C1205" s="33"/>
      <c r="D1205" s="33"/>
      <c r="E1205" s="33"/>
      <c r="F1205" s="33"/>
      <c r="G1205" s="33"/>
      <c r="H1205" s="162"/>
      <c r="L1205" s="23">
        <v>1</v>
      </c>
    </row>
    <row r="1206" spans="2:12" ht="18">
      <c r="B1206" s="33"/>
      <c r="C1206" s="33"/>
      <c r="D1206" s="33"/>
      <c r="E1206" s="33"/>
      <c r="F1206" s="33"/>
      <c r="G1206" s="33"/>
      <c r="H1206" s="162"/>
      <c r="L1206" s="23">
        <v>1</v>
      </c>
    </row>
    <row r="1207" spans="2:12" ht="18">
      <c r="B1207" s="33"/>
      <c r="C1207" s="33"/>
      <c r="D1207" s="33"/>
      <c r="E1207" s="33"/>
      <c r="F1207" s="33"/>
      <c r="G1207" s="33"/>
      <c r="H1207" s="162"/>
      <c r="L1207" s="23">
        <v>1</v>
      </c>
    </row>
    <row r="1208" spans="2:12" ht="18">
      <c r="B1208" s="33"/>
      <c r="C1208" s="33"/>
      <c r="D1208" s="33"/>
      <c r="E1208" s="33"/>
      <c r="F1208" s="33"/>
      <c r="G1208" s="33"/>
      <c r="H1208" s="162"/>
      <c r="L1208" s="23">
        <v>1</v>
      </c>
    </row>
    <row r="1209" spans="2:12" ht="18">
      <c r="B1209" s="33"/>
      <c r="C1209" s="33"/>
      <c r="D1209" s="33"/>
      <c r="E1209" s="33"/>
      <c r="F1209" s="33"/>
      <c r="G1209" s="33"/>
      <c r="H1209" s="162"/>
      <c r="L1209" s="23">
        <v>1</v>
      </c>
    </row>
    <row r="1210" spans="2:12" ht="18">
      <c r="B1210" s="33"/>
      <c r="C1210" s="33"/>
      <c r="D1210" s="33"/>
      <c r="E1210" s="33"/>
      <c r="F1210" s="33"/>
      <c r="G1210" s="33"/>
      <c r="H1210" s="162"/>
      <c r="L1210" s="23">
        <v>1</v>
      </c>
    </row>
    <row r="1211" spans="2:12" ht="18">
      <c r="B1211" s="33"/>
      <c r="C1211" s="33"/>
      <c r="D1211" s="33"/>
      <c r="E1211" s="33"/>
      <c r="F1211" s="33"/>
      <c r="G1211" s="33"/>
      <c r="H1211" s="162"/>
      <c r="L1211" s="23">
        <v>1</v>
      </c>
    </row>
    <row r="1212" spans="2:12" ht="18">
      <c r="B1212" s="33"/>
      <c r="C1212" s="33"/>
      <c r="D1212" s="33"/>
      <c r="E1212" s="33"/>
      <c r="F1212" s="33"/>
      <c r="G1212" s="33"/>
      <c r="H1212" s="162"/>
      <c r="L1212" s="23">
        <v>1</v>
      </c>
    </row>
    <row r="1213" spans="2:12" ht="18">
      <c r="B1213" s="33"/>
      <c r="C1213" s="33"/>
      <c r="D1213" s="33"/>
      <c r="E1213" s="33"/>
      <c r="F1213" s="33"/>
      <c r="G1213" s="33"/>
      <c r="H1213" s="162"/>
      <c r="L1213" s="23">
        <v>1</v>
      </c>
    </row>
    <row r="1214" spans="2:12" ht="18">
      <c r="B1214" s="33"/>
      <c r="C1214" s="33"/>
      <c r="D1214" s="33"/>
      <c r="E1214" s="33"/>
      <c r="F1214" s="33"/>
      <c r="G1214" s="33"/>
      <c r="H1214" s="162"/>
      <c r="L1214" s="23">
        <v>1</v>
      </c>
    </row>
    <row r="1215" spans="2:12" ht="18">
      <c r="B1215" s="33"/>
      <c r="C1215" s="33"/>
      <c r="D1215" s="33"/>
      <c r="E1215" s="33"/>
      <c r="F1215" s="33"/>
      <c r="G1215" s="33"/>
      <c r="H1215" s="162"/>
      <c r="L1215" s="23">
        <v>1</v>
      </c>
    </row>
    <row r="1216" spans="2:12" ht="18">
      <c r="B1216" s="33"/>
      <c r="C1216" s="33"/>
      <c r="D1216" s="33"/>
      <c r="E1216" s="33"/>
      <c r="F1216" s="33"/>
      <c r="G1216" s="33"/>
      <c r="H1216" s="162"/>
      <c r="L1216" s="23">
        <v>1</v>
      </c>
    </row>
    <row r="1217" spans="2:12" ht="18">
      <c r="B1217" s="33"/>
      <c r="C1217" s="33"/>
      <c r="D1217" s="33"/>
      <c r="E1217" s="33"/>
      <c r="F1217" s="33"/>
      <c r="G1217" s="33"/>
      <c r="H1217" s="162"/>
      <c r="L1217" s="23">
        <v>1</v>
      </c>
    </row>
    <row r="1218" spans="2:12" ht="18">
      <c r="B1218" s="33"/>
      <c r="C1218" s="33"/>
      <c r="D1218" s="33"/>
      <c r="E1218" s="33"/>
      <c r="F1218" s="33"/>
      <c r="G1218" s="33"/>
      <c r="H1218" s="162"/>
      <c r="L1218" s="23">
        <v>1</v>
      </c>
    </row>
    <row r="1219" spans="2:12" ht="18">
      <c r="B1219" s="33"/>
      <c r="C1219" s="33"/>
      <c r="D1219" s="33"/>
      <c r="E1219" s="33"/>
      <c r="F1219" s="33"/>
      <c r="G1219" s="33"/>
      <c r="H1219" s="162"/>
      <c r="L1219" s="23">
        <v>1</v>
      </c>
    </row>
    <row r="1220" spans="2:12" ht="18">
      <c r="B1220" s="33"/>
      <c r="C1220" s="33"/>
      <c r="D1220" s="33"/>
      <c r="E1220" s="33"/>
      <c r="F1220" s="33"/>
      <c r="G1220" s="33"/>
      <c r="H1220" s="162"/>
      <c r="L1220" s="23">
        <v>1</v>
      </c>
    </row>
    <row r="1221" spans="2:12" ht="18">
      <c r="B1221" s="33"/>
      <c r="C1221" s="33"/>
      <c r="D1221" s="33"/>
      <c r="E1221" s="33"/>
      <c r="F1221" s="33"/>
      <c r="G1221" s="33"/>
      <c r="H1221" s="162"/>
      <c r="L1221" s="23">
        <v>1</v>
      </c>
    </row>
    <row r="1222" spans="2:12" ht="18">
      <c r="B1222" s="33"/>
      <c r="C1222" s="33"/>
      <c r="D1222" s="33"/>
      <c r="E1222" s="33"/>
      <c r="F1222" s="33"/>
      <c r="G1222" s="33"/>
      <c r="H1222" s="162"/>
      <c r="L1222" s="23">
        <v>1</v>
      </c>
    </row>
    <row r="1223" spans="2:12" ht="18">
      <c r="B1223" s="33"/>
      <c r="C1223" s="33"/>
      <c r="D1223" s="33"/>
      <c r="E1223" s="33"/>
      <c r="F1223" s="33"/>
      <c r="G1223" s="33"/>
      <c r="H1223" s="162"/>
      <c r="L1223" s="23">
        <v>1</v>
      </c>
    </row>
    <row r="1224" spans="2:12" ht="18">
      <c r="B1224" s="33"/>
      <c r="C1224" s="33"/>
      <c r="D1224" s="33"/>
      <c r="E1224" s="33"/>
      <c r="F1224" s="33"/>
      <c r="G1224" s="33"/>
      <c r="H1224" s="162"/>
      <c r="L1224" s="23">
        <v>1</v>
      </c>
    </row>
    <row r="1225" spans="2:12" ht="18">
      <c r="B1225" s="33"/>
      <c r="C1225" s="33"/>
      <c r="D1225" s="33"/>
      <c r="E1225" s="33"/>
      <c r="F1225" s="33"/>
      <c r="G1225" s="33"/>
      <c r="H1225" s="162"/>
      <c r="L1225" s="23">
        <v>1</v>
      </c>
    </row>
    <row r="1226" spans="2:12" ht="18">
      <c r="B1226" s="33"/>
      <c r="C1226" s="33"/>
      <c r="D1226" s="33"/>
      <c r="E1226" s="33"/>
      <c r="F1226" s="33"/>
      <c r="G1226" s="33"/>
      <c r="H1226" s="162"/>
      <c r="L1226" s="23">
        <v>1</v>
      </c>
    </row>
    <row r="1227" spans="2:12" ht="18">
      <c r="B1227" s="33"/>
      <c r="C1227" s="33"/>
      <c r="D1227" s="33"/>
      <c r="E1227" s="33"/>
      <c r="F1227" s="33"/>
      <c r="G1227" s="33"/>
      <c r="H1227" s="162"/>
      <c r="L1227" s="23">
        <v>1</v>
      </c>
    </row>
    <row r="1228" spans="2:12" ht="18">
      <c r="B1228" s="33"/>
      <c r="C1228" s="33"/>
      <c r="D1228" s="33"/>
      <c r="E1228" s="33"/>
      <c r="F1228" s="33"/>
      <c r="G1228" s="33"/>
      <c r="H1228" s="162"/>
      <c r="L1228" s="23">
        <v>1</v>
      </c>
    </row>
    <row r="1229" spans="2:12" ht="18">
      <c r="B1229" s="33"/>
      <c r="C1229" s="33"/>
      <c r="D1229" s="33"/>
      <c r="E1229" s="33"/>
      <c r="F1229" s="33"/>
      <c r="G1229" s="33"/>
      <c r="H1229" s="162"/>
      <c r="L1229" s="23">
        <v>1</v>
      </c>
    </row>
    <row r="1230" spans="2:12" ht="18">
      <c r="B1230" s="33"/>
      <c r="C1230" s="33"/>
      <c r="D1230" s="33"/>
      <c r="E1230" s="33"/>
      <c r="F1230" s="33"/>
      <c r="G1230" s="33"/>
      <c r="H1230" s="162"/>
      <c r="L1230" s="23">
        <v>1</v>
      </c>
    </row>
    <row r="1231" spans="2:12" ht="18">
      <c r="B1231" s="33"/>
      <c r="C1231" s="33"/>
      <c r="D1231" s="33"/>
      <c r="E1231" s="33"/>
      <c r="F1231" s="33"/>
      <c r="G1231" s="33"/>
      <c r="H1231" s="162"/>
      <c r="L1231" s="23">
        <v>1</v>
      </c>
    </row>
    <row r="1232" spans="2:12" ht="18">
      <c r="B1232" s="33"/>
      <c r="C1232" s="33"/>
      <c r="D1232" s="33"/>
      <c r="E1232" s="33"/>
      <c r="F1232" s="33"/>
      <c r="G1232" s="33"/>
      <c r="H1232" s="162"/>
      <c r="L1232" s="23">
        <v>1</v>
      </c>
    </row>
    <row r="1233" spans="2:12" ht="18">
      <c r="B1233" s="33"/>
      <c r="C1233" s="33"/>
      <c r="D1233" s="33"/>
      <c r="E1233" s="33"/>
      <c r="F1233" s="33"/>
      <c r="G1233" s="33"/>
      <c r="H1233" s="162"/>
      <c r="L1233" s="23">
        <v>1</v>
      </c>
    </row>
    <row r="1234" spans="2:12" ht="18">
      <c r="B1234" s="33"/>
      <c r="C1234" s="33"/>
      <c r="D1234" s="33"/>
      <c r="E1234" s="33"/>
      <c r="F1234" s="33"/>
      <c r="G1234" s="33"/>
      <c r="H1234" s="162"/>
      <c r="L1234" s="23">
        <v>1</v>
      </c>
    </row>
    <row r="1235" spans="2:12" ht="18">
      <c r="B1235" s="33"/>
      <c r="C1235" s="33"/>
      <c r="D1235" s="33"/>
      <c r="E1235" s="33"/>
      <c r="F1235" s="33"/>
      <c r="G1235" s="33"/>
      <c r="H1235" s="162"/>
      <c r="L1235" s="23">
        <v>1</v>
      </c>
    </row>
    <row r="1236" spans="2:12" ht="18">
      <c r="B1236" s="33"/>
      <c r="C1236" s="33"/>
      <c r="D1236" s="33"/>
      <c r="E1236" s="33"/>
      <c r="F1236" s="33"/>
      <c r="G1236" s="33"/>
      <c r="H1236" s="162"/>
      <c r="L1236" s="23">
        <v>1</v>
      </c>
    </row>
    <row r="1237" spans="2:12" ht="18">
      <c r="B1237" s="33"/>
      <c r="C1237" s="33"/>
      <c r="D1237" s="33"/>
      <c r="E1237" s="33"/>
      <c r="F1237" s="33"/>
      <c r="G1237" s="33"/>
      <c r="H1237" s="162"/>
      <c r="L1237" s="23">
        <v>1</v>
      </c>
    </row>
    <row r="1238" spans="2:12" ht="18">
      <c r="B1238" s="33"/>
      <c r="C1238" s="33"/>
      <c r="D1238" s="33"/>
      <c r="E1238" s="33"/>
      <c r="F1238" s="33"/>
      <c r="G1238" s="33"/>
      <c r="H1238" s="162"/>
      <c r="L1238" s="23">
        <v>1</v>
      </c>
    </row>
    <row r="1239" spans="2:12" ht="18">
      <c r="B1239" s="33"/>
      <c r="C1239" s="33"/>
      <c r="D1239" s="33"/>
      <c r="E1239" s="33"/>
      <c r="F1239" s="33"/>
      <c r="G1239" s="33"/>
      <c r="H1239" s="162"/>
      <c r="L1239" s="23">
        <v>1</v>
      </c>
    </row>
    <row r="1240" spans="2:12" ht="18">
      <c r="B1240" s="33"/>
      <c r="C1240" s="33"/>
      <c r="D1240" s="33"/>
      <c r="E1240" s="33"/>
      <c r="F1240" s="33"/>
      <c r="G1240" s="33"/>
      <c r="H1240" s="162"/>
      <c r="L1240" s="23">
        <v>1</v>
      </c>
    </row>
    <row r="1241" spans="2:12" ht="18">
      <c r="B1241" s="33"/>
      <c r="C1241" s="33"/>
      <c r="D1241" s="33"/>
      <c r="E1241" s="33"/>
      <c r="F1241" s="33"/>
      <c r="G1241" s="33"/>
      <c r="H1241" s="162"/>
      <c r="L1241" s="23">
        <v>1</v>
      </c>
    </row>
    <row r="1242" spans="2:12" ht="18">
      <c r="B1242" s="33"/>
      <c r="C1242" s="33"/>
      <c r="D1242" s="33"/>
      <c r="E1242" s="33"/>
      <c r="F1242" s="33"/>
      <c r="G1242" s="33"/>
      <c r="H1242" s="162"/>
      <c r="L1242" s="23">
        <v>1</v>
      </c>
    </row>
    <row r="1243" spans="2:12" ht="18">
      <c r="B1243" s="33"/>
      <c r="C1243" s="33"/>
      <c r="D1243" s="33"/>
      <c r="E1243" s="33"/>
      <c r="F1243" s="33"/>
      <c r="G1243" s="33"/>
      <c r="H1243" s="162"/>
      <c r="L1243" s="23">
        <v>1</v>
      </c>
    </row>
    <row r="1244" spans="2:12" ht="18">
      <c r="B1244" s="33"/>
      <c r="C1244" s="33"/>
      <c r="D1244" s="33"/>
      <c r="E1244" s="33"/>
      <c r="F1244" s="33"/>
      <c r="G1244" s="33"/>
      <c r="H1244" s="162"/>
      <c r="L1244" s="23">
        <v>1</v>
      </c>
    </row>
    <row r="1245" spans="2:12" ht="18">
      <c r="B1245" s="33"/>
      <c r="C1245" s="33"/>
      <c r="D1245" s="33"/>
      <c r="E1245" s="33"/>
      <c r="F1245" s="33"/>
      <c r="G1245" s="33"/>
      <c r="H1245" s="162"/>
      <c r="L1245" s="23">
        <v>1</v>
      </c>
    </row>
    <row r="1246" spans="2:12" ht="18">
      <c r="B1246" s="33"/>
      <c r="C1246" s="33"/>
      <c r="D1246" s="33"/>
      <c r="E1246" s="33"/>
      <c r="F1246" s="33"/>
      <c r="G1246" s="33"/>
      <c r="H1246" s="162"/>
      <c r="L1246" s="23">
        <v>1</v>
      </c>
    </row>
    <row r="1247" spans="2:12" ht="18">
      <c r="B1247" s="33"/>
      <c r="C1247" s="33"/>
      <c r="D1247" s="33"/>
      <c r="E1247" s="33"/>
      <c r="F1247" s="33"/>
      <c r="G1247" s="33"/>
      <c r="H1247" s="162"/>
      <c r="L1247" s="23">
        <v>1</v>
      </c>
    </row>
    <row r="1248" spans="2:12" ht="18">
      <c r="B1248" s="33"/>
      <c r="C1248" s="33"/>
      <c r="D1248" s="33"/>
      <c r="E1248" s="33"/>
      <c r="F1248" s="33"/>
      <c r="G1248" s="33"/>
      <c r="H1248" s="162"/>
      <c r="L1248" s="23">
        <v>1</v>
      </c>
    </row>
    <row r="1249" spans="2:12" ht="18">
      <c r="B1249" s="33"/>
      <c r="C1249" s="33"/>
      <c r="D1249" s="33"/>
      <c r="E1249" s="33"/>
      <c r="F1249" s="33"/>
      <c r="G1249" s="33"/>
      <c r="H1249" s="162"/>
      <c r="L1249" s="23">
        <v>1</v>
      </c>
    </row>
    <row r="1250" spans="2:12" ht="18">
      <c r="B1250" s="33"/>
      <c r="C1250" s="33"/>
      <c r="D1250" s="33"/>
      <c r="E1250" s="33"/>
      <c r="F1250" s="33"/>
      <c r="G1250" s="33"/>
      <c r="H1250" s="162"/>
      <c r="L1250" s="23">
        <v>1</v>
      </c>
    </row>
    <row r="1251" spans="2:12" ht="18">
      <c r="B1251" s="33"/>
      <c r="C1251" s="33"/>
      <c r="D1251" s="33"/>
      <c r="E1251" s="33"/>
      <c r="F1251" s="33"/>
      <c r="G1251" s="33"/>
      <c r="H1251" s="162"/>
      <c r="L1251" s="23">
        <v>1</v>
      </c>
    </row>
    <row r="1252" spans="2:12" ht="18">
      <c r="B1252" s="33"/>
      <c r="C1252" s="33"/>
      <c r="D1252" s="33"/>
      <c r="E1252" s="33"/>
      <c r="F1252" s="33"/>
      <c r="G1252" s="33"/>
      <c r="H1252" s="162"/>
      <c r="L1252" s="23">
        <v>1</v>
      </c>
    </row>
    <row r="1253" spans="2:12" ht="18">
      <c r="B1253" s="33"/>
      <c r="C1253" s="33"/>
      <c r="D1253" s="33"/>
      <c r="E1253" s="33"/>
      <c r="F1253" s="33"/>
      <c r="G1253" s="33"/>
      <c r="H1253" s="162"/>
      <c r="L1253" s="23">
        <v>1</v>
      </c>
    </row>
    <row r="1254" spans="2:12" ht="18">
      <c r="B1254" s="33"/>
      <c r="C1254" s="33"/>
      <c r="D1254" s="33"/>
      <c r="E1254" s="33"/>
      <c r="F1254" s="33"/>
      <c r="G1254" s="33"/>
      <c r="H1254" s="162"/>
      <c r="L1254" s="23">
        <v>1</v>
      </c>
    </row>
    <row r="1255" spans="2:12" ht="18">
      <c r="B1255" s="33"/>
      <c r="C1255" s="33"/>
      <c r="D1255" s="33"/>
      <c r="E1255" s="33"/>
      <c r="F1255" s="33"/>
      <c r="G1255" s="33"/>
      <c r="H1255" s="162"/>
      <c r="L1255" s="23">
        <v>1</v>
      </c>
    </row>
    <row r="1256" spans="2:12" ht="18">
      <c r="B1256" s="33"/>
      <c r="C1256" s="33"/>
      <c r="D1256" s="33"/>
      <c r="E1256" s="33"/>
      <c r="F1256" s="33"/>
      <c r="G1256" s="33"/>
      <c r="H1256" s="162"/>
      <c r="L1256" s="23">
        <v>1</v>
      </c>
    </row>
    <row r="1257" spans="2:12" ht="18">
      <c r="B1257" s="33"/>
      <c r="C1257" s="33"/>
      <c r="D1257" s="33"/>
      <c r="E1257" s="33"/>
      <c r="F1257" s="33"/>
      <c r="G1257" s="33"/>
      <c r="H1257" s="162"/>
      <c r="L1257" s="23">
        <v>1</v>
      </c>
    </row>
    <row r="1258" spans="2:12" ht="18">
      <c r="B1258" s="33"/>
      <c r="C1258" s="33"/>
      <c r="D1258" s="33"/>
      <c r="E1258" s="33"/>
      <c r="F1258" s="33"/>
      <c r="G1258" s="33"/>
      <c r="H1258" s="162"/>
      <c r="L1258" s="23">
        <v>1</v>
      </c>
    </row>
    <row r="1259" spans="2:12" ht="18">
      <c r="B1259" s="33"/>
      <c r="C1259" s="33"/>
      <c r="D1259" s="33"/>
      <c r="E1259" s="33"/>
      <c r="F1259" s="33"/>
      <c r="G1259" s="33"/>
      <c r="H1259" s="162"/>
      <c r="L1259" s="23">
        <v>1</v>
      </c>
    </row>
    <row r="1260" spans="2:12" ht="18">
      <c r="B1260" s="33"/>
      <c r="C1260" s="33"/>
      <c r="D1260" s="33"/>
      <c r="E1260" s="33"/>
      <c r="F1260" s="33"/>
      <c r="G1260" s="33"/>
      <c r="H1260" s="162"/>
      <c r="L1260" s="23">
        <v>1</v>
      </c>
    </row>
    <row r="1261" spans="2:12" ht="18">
      <c r="B1261" s="33"/>
      <c r="C1261" s="33"/>
      <c r="D1261" s="33"/>
      <c r="E1261" s="33"/>
      <c r="F1261" s="33"/>
      <c r="G1261" s="33"/>
      <c r="H1261" s="162"/>
      <c r="L1261" s="23">
        <v>1</v>
      </c>
    </row>
    <row r="1262" spans="2:12" ht="18">
      <c r="B1262" s="33"/>
      <c r="C1262" s="33"/>
      <c r="D1262" s="33"/>
      <c r="E1262" s="33"/>
      <c r="F1262" s="33"/>
      <c r="G1262" s="33"/>
      <c r="H1262" s="162"/>
      <c r="L1262" s="23">
        <v>1</v>
      </c>
    </row>
    <row r="1263" spans="2:12" ht="18">
      <c r="B1263" s="33"/>
      <c r="C1263" s="33"/>
      <c r="D1263" s="33"/>
      <c r="E1263" s="33"/>
      <c r="F1263" s="33"/>
      <c r="G1263" s="33"/>
      <c r="H1263" s="162"/>
      <c r="L1263" s="23">
        <v>1</v>
      </c>
    </row>
    <row r="1264" spans="2:12" ht="18">
      <c r="B1264" s="33"/>
      <c r="C1264" s="33"/>
      <c r="D1264" s="33"/>
      <c r="E1264" s="33"/>
      <c r="F1264" s="33"/>
      <c r="G1264" s="33"/>
      <c r="H1264" s="162"/>
      <c r="L1264" s="23">
        <v>1</v>
      </c>
    </row>
    <row r="1265" spans="2:12" ht="18">
      <c r="B1265" s="33"/>
      <c r="C1265" s="33"/>
      <c r="D1265" s="33"/>
      <c r="E1265" s="33"/>
      <c r="F1265" s="33"/>
      <c r="G1265" s="33"/>
      <c r="H1265" s="162"/>
      <c r="L1265" s="23">
        <v>1</v>
      </c>
    </row>
    <row r="1266" spans="2:12" ht="18">
      <c r="B1266" s="33"/>
      <c r="C1266" s="33"/>
      <c r="D1266" s="33"/>
      <c r="E1266" s="33"/>
      <c r="F1266" s="33"/>
      <c r="G1266" s="33"/>
      <c r="H1266" s="162"/>
      <c r="L1266" s="23">
        <v>1</v>
      </c>
    </row>
    <row r="1267" spans="2:12" ht="18">
      <c r="B1267" s="33"/>
      <c r="C1267" s="33"/>
      <c r="D1267" s="33"/>
      <c r="E1267" s="33"/>
      <c r="F1267" s="33"/>
      <c r="G1267" s="33"/>
      <c r="H1267" s="162"/>
      <c r="L1267" s="23">
        <v>1</v>
      </c>
    </row>
    <row r="1268" spans="2:12" ht="18">
      <c r="B1268" s="33"/>
      <c r="C1268" s="33"/>
      <c r="D1268" s="33"/>
      <c r="E1268" s="33"/>
      <c r="F1268" s="33"/>
      <c r="G1268" s="33"/>
      <c r="H1268" s="162"/>
      <c r="L1268" s="23">
        <v>1</v>
      </c>
    </row>
    <row r="1269" spans="2:12" ht="18">
      <c r="B1269" s="33"/>
      <c r="C1269" s="33"/>
      <c r="D1269" s="33"/>
      <c r="E1269" s="33"/>
      <c r="F1269" s="33"/>
      <c r="G1269" s="33"/>
      <c r="H1269" s="162"/>
      <c r="L1269" s="23">
        <v>1</v>
      </c>
    </row>
    <row r="1270" spans="2:12" ht="18">
      <c r="B1270" s="33"/>
      <c r="C1270" s="33"/>
      <c r="D1270" s="33"/>
      <c r="E1270" s="33"/>
      <c r="F1270" s="33"/>
      <c r="G1270" s="33"/>
      <c r="H1270" s="162"/>
      <c r="L1270" s="23">
        <v>1</v>
      </c>
    </row>
    <row r="1271" spans="2:12" ht="18">
      <c r="B1271" s="33"/>
      <c r="C1271" s="33"/>
      <c r="D1271" s="33"/>
      <c r="E1271" s="33"/>
      <c r="F1271" s="33"/>
      <c r="G1271" s="33"/>
      <c r="H1271" s="162"/>
      <c r="L1271" s="23">
        <v>1</v>
      </c>
    </row>
    <row r="1272" spans="2:12" ht="18">
      <c r="B1272" s="33"/>
      <c r="C1272" s="33"/>
      <c r="D1272" s="33"/>
      <c r="E1272" s="33"/>
      <c r="F1272" s="33"/>
      <c r="G1272" s="33"/>
      <c r="H1272" s="162"/>
      <c r="L1272" s="23">
        <v>1</v>
      </c>
    </row>
    <row r="1273" spans="2:12" ht="18">
      <c r="B1273" s="33"/>
      <c r="C1273" s="33"/>
      <c r="D1273" s="33"/>
      <c r="E1273" s="33"/>
      <c r="F1273" s="33"/>
      <c r="G1273" s="33"/>
      <c r="H1273" s="162"/>
      <c r="L1273" s="23">
        <v>1</v>
      </c>
    </row>
    <row r="1274" spans="2:12" ht="18">
      <c r="B1274" s="33"/>
      <c r="C1274" s="33"/>
      <c r="D1274" s="33"/>
      <c r="E1274" s="33"/>
      <c r="F1274" s="33"/>
      <c r="G1274" s="33"/>
      <c r="H1274" s="162"/>
      <c r="L1274" s="23">
        <v>1</v>
      </c>
    </row>
    <row r="1275" spans="2:12" ht="18">
      <c r="B1275" s="33"/>
      <c r="C1275" s="33"/>
      <c r="D1275" s="33"/>
      <c r="E1275" s="33"/>
      <c r="F1275" s="33"/>
      <c r="G1275" s="33"/>
      <c r="H1275" s="162"/>
      <c r="L1275" s="23">
        <v>1</v>
      </c>
    </row>
    <row r="1276" spans="2:12" ht="18">
      <c r="B1276" s="33"/>
      <c r="C1276" s="33"/>
      <c r="D1276" s="33"/>
      <c r="E1276" s="33"/>
      <c r="F1276" s="33"/>
      <c r="G1276" s="33"/>
      <c r="H1276" s="162"/>
      <c r="L1276" s="23">
        <v>1</v>
      </c>
    </row>
    <row r="1277" spans="2:12" ht="18">
      <c r="B1277" s="33"/>
      <c r="C1277" s="33"/>
      <c r="D1277" s="33"/>
      <c r="E1277" s="33"/>
      <c r="F1277" s="33"/>
      <c r="G1277" s="33"/>
      <c r="H1277" s="162"/>
      <c r="L1277" s="23">
        <v>1</v>
      </c>
    </row>
    <row r="1278" spans="2:12" ht="18">
      <c r="B1278" s="33"/>
      <c r="C1278" s="33"/>
      <c r="D1278" s="33"/>
      <c r="E1278" s="33"/>
      <c r="F1278" s="33"/>
      <c r="G1278" s="33"/>
      <c r="H1278" s="162"/>
      <c r="L1278" s="23">
        <v>1</v>
      </c>
    </row>
    <row r="1279" spans="2:12" ht="18">
      <c r="B1279" s="33"/>
      <c r="C1279" s="33"/>
      <c r="D1279" s="33"/>
      <c r="E1279" s="33"/>
      <c r="F1279" s="33"/>
      <c r="G1279" s="33"/>
      <c r="H1279" s="162"/>
      <c r="L1279" s="23">
        <v>1</v>
      </c>
    </row>
    <row r="1280" spans="2:12" ht="18">
      <c r="B1280" s="33"/>
      <c r="C1280" s="33"/>
      <c r="D1280" s="33"/>
      <c r="E1280" s="33"/>
      <c r="F1280" s="33"/>
      <c r="G1280" s="33"/>
      <c r="H1280" s="162"/>
      <c r="L1280" s="23">
        <v>1</v>
      </c>
    </row>
    <row r="1281" spans="2:12" ht="18">
      <c r="B1281" s="33"/>
      <c r="C1281" s="33"/>
      <c r="D1281" s="33"/>
      <c r="E1281" s="33"/>
      <c r="F1281" s="33"/>
      <c r="G1281" s="33"/>
      <c r="H1281" s="162"/>
      <c r="L1281" s="23">
        <v>1</v>
      </c>
    </row>
    <row r="1282" spans="2:12" ht="18">
      <c r="B1282" s="33"/>
      <c r="C1282" s="33"/>
      <c r="D1282" s="33"/>
      <c r="E1282" s="33"/>
      <c r="F1282" s="33"/>
      <c r="G1282" s="33"/>
      <c r="H1282" s="162"/>
      <c r="L1282" s="23">
        <v>1</v>
      </c>
    </row>
    <row r="1283" spans="2:12" ht="18">
      <c r="B1283" s="33"/>
      <c r="C1283" s="33"/>
      <c r="D1283" s="33"/>
      <c r="E1283" s="33"/>
      <c r="F1283" s="33"/>
      <c r="G1283" s="33"/>
      <c r="H1283" s="162"/>
      <c r="L1283" s="23">
        <v>1</v>
      </c>
    </row>
    <row r="1284" spans="2:12" ht="18">
      <c r="B1284" s="33"/>
      <c r="C1284" s="33"/>
      <c r="D1284" s="33"/>
      <c r="E1284" s="33"/>
      <c r="F1284" s="33"/>
      <c r="G1284" s="33"/>
      <c r="H1284" s="162"/>
      <c r="L1284" s="23">
        <v>1</v>
      </c>
    </row>
    <row r="1285" spans="2:12" ht="18">
      <c r="B1285" s="33"/>
      <c r="C1285" s="33"/>
      <c r="D1285" s="33"/>
      <c r="E1285" s="33"/>
      <c r="F1285" s="33"/>
      <c r="G1285" s="33"/>
      <c r="H1285" s="162"/>
      <c r="L1285" s="23">
        <v>1</v>
      </c>
    </row>
    <row r="1286" spans="2:12" ht="18">
      <c r="B1286" s="33"/>
      <c r="C1286" s="33"/>
      <c r="D1286" s="33"/>
      <c r="E1286" s="33"/>
      <c r="F1286" s="33"/>
      <c r="G1286" s="33"/>
      <c r="H1286" s="162"/>
      <c r="L1286" s="23">
        <v>1</v>
      </c>
    </row>
    <row r="1287" spans="2:12" ht="18">
      <c r="B1287" s="33"/>
      <c r="C1287" s="33"/>
      <c r="D1287" s="33"/>
      <c r="E1287" s="33"/>
      <c r="F1287" s="33"/>
      <c r="G1287" s="33"/>
      <c r="H1287" s="162"/>
      <c r="L1287" s="23">
        <v>1</v>
      </c>
    </row>
    <row r="1288" spans="2:12" ht="18">
      <c r="B1288" s="33"/>
      <c r="C1288" s="33"/>
      <c r="D1288" s="33"/>
      <c r="E1288" s="33"/>
      <c r="F1288" s="33"/>
      <c r="G1288" s="33"/>
      <c r="H1288" s="162"/>
      <c r="L1288" s="23">
        <v>1</v>
      </c>
    </row>
    <row r="1289" spans="2:12" ht="18">
      <c r="B1289" s="33"/>
      <c r="C1289" s="33"/>
      <c r="D1289" s="33"/>
      <c r="E1289" s="33"/>
      <c r="F1289" s="33"/>
      <c r="G1289" s="33"/>
      <c r="H1289" s="162"/>
      <c r="L1289" s="23">
        <v>1</v>
      </c>
    </row>
    <row r="1290" spans="2:12" ht="18">
      <c r="B1290" s="33"/>
      <c r="C1290" s="33"/>
      <c r="D1290" s="33"/>
      <c r="E1290" s="33"/>
      <c r="F1290" s="33"/>
      <c r="G1290" s="33"/>
      <c r="H1290" s="162"/>
      <c r="L1290" s="23">
        <v>1</v>
      </c>
    </row>
    <row r="1291" spans="2:12" ht="18">
      <c r="B1291" s="33"/>
      <c r="C1291" s="33"/>
      <c r="D1291" s="33"/>
      <c r="E1291" s="33"/>
      <c r="F1291" s="33"/>
      <c r="G1291" s="33"/>
      <c r="H1291" s="162"/>
      <c r="L1291" s="23">
        <v>1</v>
      </c>
    </row>
    <row r="1292" spans="2:12" ht="18">
      <c r="B1292" s="33"/>
      <c r="C1292" s="33"/>
      <c r="D1292" s="33"/>
      <c r="E1292" s="33"/>
      <c r="F1292" s="33"/>
      <c r="G1292" s="33"/>
      <c r="H1292" s="162"/>
      <c r="L1292" s="23">
        <v>1</v>
      </c>
    </row>
    <row r="1293" spans="2:12" ht="18">
      <c r="B1293" s="33"/>
      <c r="C1293" s="33"/>
      <c r="D1293" s="33"/>
      <c r="E1293" s="33"/>
      <c r="F1293" s="33"/>
      <c r="G1293" s="33"/>
      <c r="H1293" s="162"/>
      <c r="L1293" s="23">
        <v>1</v>
      </c>
    </row>
    <row r="1294" spans="2:12" ht="18">
      <c r="B1294" s="33"/>
      <c r="C1294" s="33"/>
      <c r="D1294" s="33"/>
      <c r="E1294" s="33"/>
      <c r="F1294" s="33"/>
      <c r="G1294" s="33"/>
      <c r="H1294" s="162"/>
      <c r="L1294" s="23">
        <v>1</v>
      </c>
    </row>
    <row r="1295" spans="2:12" ht="18">
      <c r="B1295" s="33"/>
      <c r="C1295" s="33"/>
      <c r="D1295" s="33"/>
      <c r="E1295" s="33"/>
      <c r="F1295" s="33"/>
      <c r="G1295" s="33"/>
      <c r="H1295" s="162"/>
      <c r="L1295" s="23">
        <v>1</v>
      </c>
    </row>
    <row r="1296" spans="2:12" ht="18">
      <c r="B1296" s="33"/>
      <c r="C1296" s="33"/>
      <c r="D1296" s="33"/>
      <c r="E1296" s="33"/>
      <c r="F1296" s="33"/>
      <c r="G1296" s="33"/>
      <c r="H1296" s="162"/>
      <c r="L1296" s="23">
        <v>1</v>
      </c>
    </row>
    <row r="1297" spans="2:12" ht="18">
      <c r="B1297" s="33"/>
      <c r="C1297" s="33"/>
      <c r="D1297" s="33"/>
      <c r="E1297" s="33"/>
      <c r="F1297" s="33"/>
      <c r="G1297" s="33"/>
      <c r="H1297" s="162"/>
      <c r="L1297" s="23">
        <v>1</v>
      </c>
    </row>
    <row r="1298" spans="2:12" ht="18">
      <c r="B1298" s="33"/>
      <c r="C1298" s="33"/>
      <c r="D1298" s="33"/>
      <c r="E1298" s="33"/>
      <c r="F1298" s="33"/>
      <c r="G1298" s="33"/>
      <c r="H1298" s="162"/>
      <c r="L1298" s="23">
        <v>1</v>
      </c>
    </row>
    <row r="1299" spans="2:12" ht="18">
      <c r="B1299" s="33"/>
      <c r="C1299" s="33"/>
      <c r="D1299" s="33"/>
      <c r="E1299" s="33"/>
      <c r="F1299" s="33"/>
      <c r="G1299" s="33"/>
      <c r="H1299" s="162"/>
      <c r="L1299" s="23">
        <v>1</v>
      </c>
    </row>
    <row r="1300" spans="2:12" ht="18">
      <c r="B1300" s="33"/>
      <c r="C1300" s="33"/>
      <c r="D1300" s="33"/>
      <c r="E1300" s="33"/>
      <c r="F1300" s="33"/>
      <c r="G1300" s="33"/>
      <c r="H1300" s="162"/>
      <c r="L1300" s="23">
        <v>1</v>
      </c>
    </row>
    <row r="1301" spans="2:12" ht="18">
      <c r="B1301" s="33"/>
      <c r="C1301" s="33"/>
      <c r="D1301" s="33"/>
      <c r="E1301" s="33"/>
      <c r="F1301" s="33"/>
      <c r="G1301" s="33"/>
      <c r="H1301" s="162"/>
      <c r="L1301" s="23">
        <v>1</v>
      </c>
    </row>
    <row r="1302" spans="2:12" ht="18">
      <c r="B1302" s="33"/>
      <c r="C1302" s="33"/>
      <c r="D1302" s="33"/>
      <c r="E1302" s="33"/>
      <c r="F1302" s="33"/>
      <c r="G1302" s="33"/>
      <c r="H1302" s="162"/>
      <c r="L1302" s="23">
        <v>1</v>
      </c>
    </row>
    <row r="1303" spans="2:12" ht="18">
      <c r="B1303" s="33"/>
      <c r="C1303" s="33"/>
      <c r="D1303" s="33"/>
      <c r="E1303" s="33"/>
      <c r="F1303" s="33"/>
      <c r="G1303" s="33"/>
      <c r="H1303" s="162"/>
      <c r="L1303" s="23">
        <v>1</v>
      </c>
    </row>
    <row r="1304" spans="2:12" ht="18">
      <c r="B1304" s="33"/>
      <c r="C1304" s="33"/>
      <c r="D1304" s="33"/>
      <c r="E1304" s="33"/>
      <c r="F1304" s="33"/>
      <c r="G1304" s="33"/>
      <c r="H1304" s="162"/>
      <c r="L1304" s="23">
        <v>1</v>
      </c>
    </row>
    <row r="1305" spans="2:12" ht="18">
      <c r="B1305" s="33"/>
      <c r="C1305" s="33"/>
      <c r="D1305" s="33"/>
      <c r="E1305" s="33"/>
      <c r="F1305" s="33"/>
      <c r="G1305" s="33"/>
      <c r="H1305" s="162"/>
      <c r="L1305" s="23">
        <v>1</v>
      </c>
    </row>
    <row r="1306" spans="2:12" ht="18">
      <c r="B1306" s="33"/>
      <c r="C1306" s="33"/>
      <c r="D1306" s="33"/>
      <c r="E1306" s="33"/>
      <c r="F1306" s="33"/>
      <c r="G1306" s="33"/>
      <c r="H1306" s="162"/>
      <c r="L1306" s="23">
        <v>1</v>
      </c>
    </row>
    <row r="1307" spans="2:12" ht="18">
      <c r="B1307" s="33"/>
      <c r="C1307" s="33"/>
      <c r="D1307" s="33"/>
      <c r="E1307" s="33"/>
      <c r="F1307" s="33"/>
      <c r="G1307" s="33"/>
      <c r="H1307" s="162"/>
      <c r="L1307" s="23">
        <v>1</v>
      </c>
    </row>
    <row r="1308" spans="2:12" ht="18">
      <c r="B1308" s="33"/>
      <c r="C1308" s="33"/>
      <c r="D1308" s="33"/>
      <c r="E1308" s="33"/>
      <c r="F1308" s="33"/>
      <c r="G1308" s="33"/>
      <c r="H1308" s="162"/>
      <c r="L1308" s="23">
        <v>1</v>
      </c>
    </row>
    <row r="1309" spans="2:12" ht="18">
      <c r="B1309" s="33"/>
      <c r="C1309" s="33"/>
      <c r="D1309" s="33"/>
      <c r="E1309" s="33"/>
      <c r="F1309" s="33"/>
      <c r="G1309" s="33"/>
      <c r="H1309" s="162"/>
      <c r="L1309" s="23">
        <v>1</v>
      </c>
    </row>
    <row r="1310" spans="2:12" ht="18">
      <c r="B1310" s="33"/>
      <c r="C1310" s="33"/>
      <c r="D1310" s="33"/>
      <c r="E1310" s="33"/>
      <c r="F1310" s="33"/>
      <c r="G1310" s="33"/>
      <c r="H1310" s="162"/>
      <c r="L1310" s="23">
        <v>1</v>
      </c>
    </row>
    <row r="1311" spans="2:12" ht="18">
      <c r="B1311" s="33"/>
      <c r="C1311" s="33"/>
      <c r="D1311" s="33"/>
      <c r="E1311" s="33"/>
      <c r="F1311" s="33"/>
      <c r="G1311" s="33"/>
      <c r="H1311" s="162"/>
      <c r="L1311" s="23">
        <v>1</v>
      </c>
    </row>
    <row r="1312" spans="2:12" ht="18">
      <c r="B1312" s="33"/>
      <c r="C1312" s="33"/>
      <c r="D1312" s="33"/>
      <c r="E1312" s="33"/>
      <c r="F1312" s="33"/>
      <c r="G1312" s="33"/>
      <c r="H1312" s="162"/>
      <c r="L1312" s="23">
        <v>1</v>
      </c>
    </row>
    <row r="1313" spans="2:12" ht="18">
      <c r="B1313" s="33"/>
      <c r="C1313" s="33"/>
      <c r="D1313" s="33"/>
      <c r="E1313" s="33"/>
      <c r="F1313" s="33"/>
      <c r="G1313" s="33"/>
      <c r="H1313" s="162"/>
      <c r="L1313" s="23">
        <v>1</v>
      </c>
    </row>
    <row r="1314" spans="2:12" ht="18">
      <c r="B1314" s="33"/>
      <c r="C1314" s="33"/>
      <c r="D1314" s="33"/>
      <c r="E1314" s="33"/>
      <c r="F1314" s="33"/>
      <c r="G1314" s="33"/>
      <c r="H1314" s="162"/>
      <c r="L1314" s="23">
        <v>1</v>
      </c>
    </row>
    <row r="1315" spans="2:12" ht="18">
      <c r="B1315" s="33"/>
      <c r="C1315" s="33"/>
      <c r="D1315" s="33"/>
      <c r="E1315" s="33"/>
      <c r="F1315" s="33"/>
      <c r="G1315" s="33"/>
      <c r="H1315" s="162"/>
      <c r="L1315" s="23">
        <v>1</v>
      </c>
    </row>
    <row r="1316" spans="2:12" ht="18">
      <c r="B1316" s="33"/>
      <c r="C1316" s="33"/>
      <c r="D1316" s="33"/>
      <c r="E1316" s="33"/>
      <c r="F1316" s="33"/>
      <c r="G1316" s="33"/>
      <c r="H1316" s="162"/>
      <c r="L1316" s="23">
        <v>1</v>
      </c>
    </row>
    <row r="1317" spans="2:12" ht="18">
      <c r="B1317" s="33"/>
      <c r="C1317" s="33"/>
      <c r="D1317" s="33"/>
      <c r="E1317" s="33"/>
      <c r="F1317" s="33"/>
      <c r="G1317" s="33"/>
      <c r="H1317" s="162"/>
      <c r="L1317" s="23">
        <v>1</v>
      </c>
    </row>
    <row r="1318" spans="2:12" ht="18">
      <c r="B1318" s="33"/>
      <c r="C1318" s="33"/>
      <c r="D1318" s="33"/>
      <c r="E1318" s="33"/>
      <c r="F1318" s="33"/>
      <c r="G1318" s="33"/>
      <c r="H1318" s="162"/>
      <c r="L1318" s="23">
        <v>1</v>
      </c>
    </row>
    <row r="1319" spans="2:12" ht="18">
      <c r="B1319" s="33"/>
      <c r="C1319" s="33"/>
      <c r="D1319" s="33"/>
      <c r="E1319" s="33"/>
      <c r="F1319" s="33"/>
      <c r="G1319" s="33"/>
      <c r="H1319" s="162"/>
      <c r="L1319" s="23">
        <v>1</v>
      </c>
    </row>
    <row r="1320" spans="2:12" ht="18">
      <c r="B1320" s="33"/>
      <c r="C1320" s="33"/>
      <c r="D1320" s="33"/>
      <c r="E1320" s="33"/>
      <c r="F1320" s="33"/>
      <c r="G1320" s="33"/>
      <c r="H1320" s="162"/>
      <c r="L1320" s="23"/>
    </row>
    <row r="1321" spans="2:12" ht="18">
      <c r="B1321" s="33"/>
      <c r="C1321" s="33"/>
      <c r="D1321" s="33"/>
      <c r="E1321" s="33"/>
      <c r="F1321" s="33"/>
      <c r="G1321" s="33"/>
      <c r="H1321" s="162"/>
      <c r="L1321" s="23"/>
    </row>
    <row r="1322" spans="2:12" ht="18">
      <c r="B1322" s="33"/>
      <c r="C1322" s="33"/>
      <c r="D1322" s="33"/>
      <c r="E1322" s="33"/>
      <c r="F1322" s="33"/>
      <c r="G1322" s="33"/>
      <c r="H1322" s="162"/>
      <c r="L1322" s="23"/>
    </row>
    <row r="1323" spans="2:12" ht="18">
      <c r="B1323" s="33"/>
      <c r="C1323" s="33"/>
      <c r="D1323" s="33"/>
      <c r="E1323" s="33"/>
      <c r="F1323" s="33"/>
      <c r="G1323" s="33"/>
      <c r="H1323" s="162"/>
      <c r="L1323" s="23"/>
    </row>
    <row r="1324" spans="2:12" ht="18">
      <c r="B1324" s="33"/>
      <c r="C1324" s="33"/>
      <c r="D1324" s="33"/>
      <c r="E1324" s="33"/>
      <c r="F1324" s="33"/>
      <c r="G1324" s="33"/>
      <c r="H1324" s="162"/>
      <c r="L1324" s="23"/>
    </row>
    <row r="1325" spans="2:12" ht="18">
      <c r="B1325" s="33"/>
      <c r="C1325" s="33"/>
      <c r="D1325" s="33"/>
      <c r="E1325" s="33"/>
      <c r="F1325" s="33"/>
      <c r="G1325" s="33"/>
      <c r="H1325" s="162"/>
      <c r="L1325" s="23"/>
    </row>
    <row r="1326" spans="2:12" ht="18">
      <c r="B1326" s="33"/>
      <c r="C1326" s="33"/>
      <c r="D1326" s="33"/>
      <c r="E1326" s="33"/>
      <c r="F1326" s="33"/>
      <c r="G1326" s="33"/>
      <c r="H1326" s="162"/>
      <c r="L1326" s="23"/>
    </row>
    <row r="1327" spans="2:12" ht="18">
      <c r="B1327" s="33"/>
      <c r="C1327" s="33"/>
      <c r="D1327" s="33"/>
      <c r="E1327" s="33"/>
      <c r="F1327" s="33"/>
      <c r="G1327" s="33"/>
      <c r="H1327" s="162"/>
      <c r="L1327" s="23"/>
    </row>
    <row r="1328" spans="2:12" ht="18">
      <c r="B1328" s="33"/>
      <c r="C1328" s="33"/>
      <c r="D1328" s="33"/>
      <c r="E1328" s="33"/>
      <c r="F1328" s="33"/>
      <c r="G1328" s="33"/>
      <c r="H1328" s="162"/>
      <c r="L1328" s="23"/>
    </row>
    <row r="1329" spans="2:12" ht="18">
      <c r="B1329" s="33"/>
      <c r="C1329" s="33"/>
      <c r="D1329" s="33"/>
      <c r="E1329" s="33"/>
      <c r="F1329" s="33"/>
      <c r="G1329" s="33"/>
      <c r="H1329" s="162"/>
      <c r="L1329" s="23"/>
    </row>
    <row r="1330" spans="2:12" ht="18">
      <c r="B1330" s="33"/>
      <c r="C1330" s="33"/>
      <c r="D1330" s="33"/>
      <c r="E1330" s="33"/>
      <c r="F1330" s="33"/>
      <c r="G1330" s="33"/>
      <c r="H1330" s="162"/>
      <c r="L1330" s="23"/>
    </row>
    <row r="1331" spans="2:12" ht="18">
      <c r="B1331" s="33"/>
      <c r="C1331" s="33"/>
      <c r="D1331" s="33"/>
      <c r="E1331" s="33"/>
      <c r="F1331" s="33"/>
      <c r="G1331" s="33"/>
      <c r="H1331" s="162"/>
      <c r="L1331" s="23"/>
    </row>
    <row r="1332" spans="2:12" ht="18">
      <c r="B1332" s="33"/>
      <c r="C1332" s="33"/>
      <c r="D1332" s="33"/>
      <c r="E1332" s="33"/>
      <c r="F1332" s="33"/>
      <c r="G1332" s="33"/>
      <c r="H1332" s="162"/>
      <c r="L1332" s="23"/>
    </row>
    <row r="1333" spans="2:12" ht="18">
      <c r="B1333" s="33"/>
      <c r="C1333" s="33"/>
      <c r="D1333" s="33"/>
      <c r="E1333" s="33"/>
      <c r="F1333" s="33"/>
      <c r="G1333" s="33"/>
      <c r="H1333" s="162"/>
      <c r="L1333" s="23"/>
    </row>
    <row r="1334" spans="2:12" ht="18">
      <c r="B1334" s="33"/>
      <c r="C1334" s="33"/>
      <c r="D1334" s="33"/>
      <c r="E1334" s="33"/>
      <c r="F1334" s="33"/>
      <c r="G1334" s="33"/>
      <c r="H1334" s="162"/>
      <c r="L1334" s="23"/>
    </row>
    <row r="1335" spans="2:12" ht="18">
      <c r="B1335" s="33"/>
      <c r="C1335" s="33"/>
      <c r="D1335" s="33"/>
      <c r="E1335" s="33"/>
      <c r="F1335" s="33"/>
      <c r="G1335" s="33"/>
      <c r="H1335" s="162"/>
      <c r="L1335" s="23"/>
    </row>
    <row r="1336" spans="2:12" ht="18">
      <c r="B1336" s="33"/>
      <c r="C1336" s="33"/>
      <c r="D1336" s="33"/>
      <c r="E1336" s="33"/>
      <c r="F1336" s="33"/>
      <c r="G1336" s="33"/>
      <c r="H1336" s="162"/>
      <c r="L1336" s="23"/>
    </row>
    <row r="1337" spans="2:12" ht="18">
      <c r="B1337" s="33"/>
      <c r="C1337" s="33"/>
      <c r="D1337" s="33"/>
      <c r="E1337" s="33"/>
      <c r="F1337" s="33"/>
      <c r="G1337" s="33"/>
      <c r="H1337" s="162"/>
      <c r="L1337" s="23"/>
    </row>
    <row r="1338" spans="2:12" ht="18">
      <c r="B1338" s="33"/>
      <c r="C1338" s="33"/>
      <c r="D1338" s="33"/>
      <c r="E1338" s="33"/>
      <c r="F1338" s="33"/>
      <c r="G1338" s="33"/>
      <c r="H1338" s="162"/>
      <c r="L1338" s="23"/>
    </row>
    <row r="1339" spans="2:12" ht="18">
      <c r="B1339" s="33"/>
      <c r="C1339" s="33"/>
      <c r="D1339" s="33"/>
      <c r="E1339" s="33"/>
      <c r="F1339" s="33"/>
      <c r="G1339" s="33"/>
      <c r="H1339" s="162"/>
      <c r="L1339" s="23"/>
    </row>
    <row r="1340" spans="2:12" ht="18">
      <c r="B1340" s="33"/>
      <c r="C1340" s="33"/>
      <c r="D1340" s="33"/>
      <c r="E1340" s="33"/>
      <c r="F1340" s="33"/>
      <c r="G1340" s="33"/>
      <c r="H1340" s="162"/>
      <c r="L1340" s="23">
        <v>1</v>
      </c>
    </row>
    <row r="1341" spans="2:12" ht="18">
      <c r="B1341" s="33"/>
      <c r="C1341" s="33"/>
      <c r="D1341" s="33"/>
      <c r="E1341" s="33"/>
      <c r="F1341" s="33"/>
      <c r="G1341" s="33"/>
      <c r="H1341" s="162"/>
      <c r="L1341" s="23">
        <v>1</v>
      </c>
    </row>
    <row r="1342" spans="2:12" ht="18">
      <c r="B1342" s="33"/>
      <c r="C1342" s="33"/>
      <c r="D1342" s="33"/>
      <c r="E1342" s="33"/>
      <c r="F1342" s="33"/>
      <c r="G1342" s="33"/>
      <c r="H1342" s="162"/>
      <c r="L1342" s="23">
        <v>1</v>
      </c>
    </row>
    <row r="1343" spans="2:12" ht="18">
      <c r="B1343" s="33"/>
      <c r="C1343" s="33"/>
      <c r="D1343" s="33"/>
      <c r="E1343" s="33"/>
      <c r="F1343" s="33"/>
      <c r="G1343" s="33"/>
      <c r="H1343" s="162"/>
      <c r="L1343" s="23">
        <v>1</v>
      </c>
    </row>
    <row r="1344" spans="2:12" ht="18">
      <c r="B1344" s="33"/>
      <c r="C1344" s="33"/>
      <c r="D1344" s="33"/>
      <c r="E1344" s="33"/>
      <c r="F1344" s="33"/>
      <c r="G1344" s="33"/>
      <c r="H1344" s="162"/>
      <c r="L1344" s="23">
        <v>1</v>
      </c>
    </row>
    <row r="1345" spans="2:12" ht="18">
      <c r="B1345" s="33"/>
      <c r="C1345" s="33"/>
      <c r="D1345" s="33"/>
      <c r="E1345" s="33"/>
      <c r="F1345" s="33"/>
      <c r="G1345" s="33"/>
      <c r="H1345" s="162"/>
      <c r="L1345" s="23">
        <v>1</v>
      </c>
    </row>
    <row r="1346" spans="2:12" ht="18">
      <c r="B1346" s="33"/>
      <c r="C1346" s="33"/>
      <c r="D1346" s="33"/>
      <c r="E1346" s="33"/>
      <c r="F1346" s="33"/>
      <c r="G1346" s="33"/>
      <c r="H1346" s="162"/>
      <c r="L1346" s="23">
        <v>1</v>
      </c>
    </row>
    <row r="1347" spans="2:12" ht="18">
      <c r="B1347" s="33"/>
      <c r="C1347" s="33"/>
      <c r="D1347" s="33"/>
      <c r="E1347" s="33"/>
      <c r="F1347" s="33"/>
      <c r="G1347" s="33"/>
      <c r="H1347" s="162"/>
      <c r="L1347" s="23">
        <v>1</v>
      </c>
    </row>
    <row r="1348" spans="2:12" ht="27.75" thickBot="1">
      <c r="B1348" s="21" t="s">
        <v>3</v>
      </c>
      <c r="C1348" s="21" t="s">
        <v>3</v>
      </c>
      <c r="D1348" s="21" t="s">
        <v>3</v>
      </c>
      <c r="E1348" s="22" t="s">
        <v>3</v>
      </c>
      <c r="F1348" s="22" t="s">
        <v>3</v>
      </c>
      <c r="G1348" s="22" t="s">
        <v>3</v>
      </c>
      <c r="H1348" s="163"/>
      <c r="L1348" s="82" t="s">
        <v>3</v>
      </c>
    </row>
    <row r="1349" spans="2:12" ht="13.5" thickTop="1"/>
  </sheetData>
  <sheetProtection sheet="1" objects="1" scenarios="1" selectLockedCells="1"/>
  <customSheetViews>
    <customSheetView guid="{2387E3E5-DC3A-4E55-B9FB-E509729F4507}" showGridLines="0" showRowCol="0">
      <pane ySplit="8" topLeftCell="A1328" activePane="bottomLeft" state="frozen"/>
      <selection pane="bottomLeft" activeCell="I4" sqref="I4"/>
      <pageMargins left="0.7" right="0.7" top="0.75" bottom="0.75" header="0.3" footer="0.3"/>
      <pageSetup paperSize="9" orientation="portrait" r:id="rId1"/>
    </customSheetView>
    <customSheetView guid="{E8E9C221-0224-4E73-8F39-1821F41C5BD3}" showGridLines="0" showRowCol="0">
      <pane ySplit="8" topLeftCell="A537" activePane="bottomLeft" state="frozen"/>
      <selection pane="bottomLeft" activeCell="I5" sqref="I5"/>
      <pageMargins left="0.7" right="0.7" top="0.75" bottom="0.75" header="0.3" footer="0.3"/>
      <pageSetup paperSize="9" orientation="portrait" r:id="rId2"/>
    </customSheetView>
  </customSheetViews>
  <mergeCells count="4">
    <mergeCell ref="R8:T8"/>
    <mergeCell ref="U8:W8"/>
    <mergeCell ref="M9:N9"/>
    <mergeCell ref="O8:Q8"/>
  </mergeCells>
  <dataValidations count="4">
    <dataValidation type="list" allowBlank="1" showDropDown="1" showInputMessage="1" showErrorMessage="1" sqref="C9:C1347">
      <formula1>$N$32:$N$98</formula1>
    </dataValidation>
    <dataValidation type="list" allowBlank="1" showDropDown="1" showInputMessage="1" showErrorMessage="1" sqref="B9:B478 B480:B1347 D480">
      <formula1>$C$6</formula1>
    </dataValidation>
    <dataValidation allowBlank="1" showInputMessage="1" showErrorMessage="1" errorTitle="Dato no valido" error="El valor esta fuera de rango [0,30] o No es un numero" sqref="E9:H1347"/>
    <dataValidation type="list" allowBlank="1" showDropDown="1" showInputMessage="1" showErrorMessage="1" sqref="D9:D479 D481:D1347">
      <formula1>$N$10:$N$29</formula1>
    </dataValidation>
  </dataValidations>
  <hyperlinks>
    <hyperlink ref="I2" location="PPrincipal!A1" display="* Pagina Principal"/>
    <hyperlink ref="I4" location="Libertador!A1" display="Libertador"/>
    <hyperlink ref="I3" location="'A Mayor'!A1" display="Alcaldía Mayor"/>
    <hyperlink ref="I5" location="Vargas!A1" display="Vargas"/>
  </hyperlinks>
  <pageMargins left="0.7" right="0.7" top="0.75" bottom="0.75" header="0.3" footer="0.3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5" sqref="J5"/>
    </sheetView>
  </sheetViews>
  <sheetFormatPr baseColWidth="10" defaultColWidth="15.7109375" defaultRowHeight="22.5" customHeight="1"/>
  <cols>
    <col min="1" max="16384" width="15.7109375" style="58"/>
  </cols>
  <sheetData>
    <row r="1" spans="1:11" ht="15" customHeight="1">
      <c r="J1" s="95"/>
      <c r="K1" s="116"/>
    </row>
    <row r="2" spans="1:11" ht="15" customHeight="1">
      <c r="J2" s="88" t="s">
        <v>8</v>
      </c>
      <c r="K2" s="116"/>
    </row>
    <row r="3" spans="1:11" ht="15" customHeight="1">
      <c r="J3" s="88" t="s">
        <v>24</v>
      </c>
      <c r="K3" s="116"/>
    </row>
    <row r="4" spans="1:11" ht="15" customHeight="1">
      <c r="J4" s="88" t="s">
        <v>48</v>
      </c>
      <c r="K4" s="116"/>
    </row>
    <row r="5" spans="1:11" ht="15" customHeight="1">
      <c r="G5" s="61"/>
      <c r="J5" s="88" t="s">
        <v>50</v>
      </c>
      <c r="K5" s="116"/>
    </row>
    <row r="6" spans="1:11" ht="15" customHeight="1">
      <c r="A6" s="171" t="s">
        <v>75</v>
      </c>
      <c r="B6" s="171"/>
      <c r="C6" s="171"/>
      <c r="D6" s="171"/>
      <c r="E6" s="171"/>
      <c r="F6" s="171"/>
    </row>
    <row r="25" spans="2:7" ht="22.5" customHeight="1">
      <c r="B25" s="171"/>
      <c r="C25" s="171"/>
      <c r="D25" s="171"/>
      <c r="E25" s="171"/>
      <c r="F25" s="171"/>
      <c r="G25" s="171"/>
    </row>
    <row r="44" spans="7:7" ht="22.5" customHeight="1">
      <c r="G44" s="61"/>
    </row>
  </sheetData>
  <customSheetViews>
    <customSheetView guid="{2387E3E5-DC3A-4E55-B9FB-E509729F4507}" scale="60" showPageBreaks="1" showGridLines="0" showRowCol="0" printArea="1" view="pageBreakPreview">
      <selection activeCell="J4" sqref="J4"/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r:id="rId1"/>
    </customSheetView>
    <customSheetView guid="{E8E9C221-0224-4E73-8F39-1821F41C5BD3}" showGridLines="0" showRowCol="0">
      <selection activeCell="J5" sqref="J5"/>
      <pageMargins left="0.7" right="0.7" top="0.75" bottom="0.75" header="0.3" footer="0.3"/>
      <pageSetup paperSize="9" orientation="portrait" r:id="rId2"/>
    </customSheetView>
  </customSheetViews>
  <mergeCells count="2">
    <mergeCell ref="B25:G25"/>
    <mergeCell ref="A6:F6"/>
  </mergeCells>
  <hyperlinks>
    <hyperlink ref="J2" location="PPrincipal!A1" display="* Pagina Principal"/>
    <hyperlink ref="J4" location="GLibertador!A1" display="Libertador"/>
    <hyperlink ref="J3" location="'GA Mayor'!A1" display="Alcaldía Mayor"/>
    <hyperlink ref="J5" location="GVargas!A1" display="Vargas"/>
  </hyperlinks>
  <pageMargins left="0.7" right="0.7" top="0.75" bottom="0.75" header="0.3" footer="0.3"/>
  <pageSetup paperSize="9"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92"/>
  <sheetViews>
    <sheetView showGridLines="0" showRowColHeaders="0" workbookViewId="0">
      <selection activeCell="Y4" sqref="Y4"/>
    </sheetView>
  </sheetViews>
  <sheetFormatPr baseColWidth="10" defaultRowHeight="15" customHeight="1"/>
  <cols>
    <col min="1" max="1" width="0.85546875" style="72" customWidth="1"/>
    <col min="2" max="2" width="7.140625" style="72" customWidth="1"/>
    <col min="3" max="13" width="5.5703125" style="72" customWidth="1"/>
    <col min="14" max="14" width="5.5703125" style="73" customWidth="1"/>
    <col min="15" max="22" width="5.5703125" style="72" customWidth="1"/>
    <col min="23" max="23" width="0.7109375" style="72" customWidth="1"/>
    <col min="24" max="24" width="16.85546875" style="72" customWidth="1"/>
    <col min="25" max="25" width="13.7109375" style="72" customWidth="1"/>
    <col min="26" max="26" width="13.5703125" style="72" customWidth="1"/>
    <col min="27" max="27" width="12.5703125" style="72" customWidth="1"/>
    <col min="28" max="42" width="5" style="72" customWidth="1"/>
    <col min="43" max="43" width="3.140625" style="72" customWidth="1"/>
    <col min="44" max="46" width="11.28515625" style="72" customWidth="1"/>
    <col min="47" max="16384" width="11.42578125" style="72"/>
  </cols>
  <sheetData>
    <row r="1" spans="1:34" ht="31.5" customHeight="1">
      <c r="B1" s="172" t="s">
        <v>10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</row>
    <row r="2" spans="1:34" ht="15" customHeight="1">
      <c r="C2" s="93"/>
      <c r="Y2" s="88" t="s">
        <v>8</v>
      </c>
      <c r="Z2" s="93"/>
      <c r="AA2" s="96"/>
    </row>
    <row r="3" spans="1:34" ht="15" customHeight="1">
      <c r="C3" s="93"/>
      <c r="Y3" s="88" t="s">
        <v>24</v>
      </c>
      <c r="AA3" s="96"/>
    </row>
    <row r="4" spans="1:34" ht="15" customHeight="1">
      <c r="C4" s="93"/>
      <c r="Y4" s="88" t="s">
        <v>48</v>
      </c>
      <c r="Z4" s="93"/>
      <c r="AA4" s="96"/>
    </row>
    <row r="5" spans="1:34" ht="15" customHeight="1">
      <c r="C5" s="93"/>
      <c r="Y5" s="88" t="s">
        <v>50</v>
      </c>
      <c r="Z5" s="93"/>
      <c r="AA5" s="96"/>
    </row>
    <row r="6" spans="1:34" s="1" customFormat="1" ht="15" customHeight="1" thickBot="1">
      <c r="A6" s="62"/>
      <c r="B6" s="69"/>
      <c r="C6" s="69"/>
      <c r="D6" s="69"/>
      <c r="E6" s="69"/>
      <c r="F6" s="69"/>
      <c r="G6" s="69"/>
      <c r="H6" s="69"/>
      <c r="I6" s="69"/>
      <c r="J6" s="69"/>
      <c r="K6" s="69"/>
      <c r="L6" s="72"/>
      <c r="M6" s="72"/>
      <c r="N6" s="73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34" s="70" customFormat="1" ht="15" customHeight="1" thickBot="1">
      <c r="A7" s="63"/>
      <c r="B7" s="97" t="s">
        <v>0</v>
      </c>
      <c r="C7" s="89">
        <v>0.3125</v>
      </c>
      <c r="D7" s="90">
        <v>0.33333333333333298</v>
      </c>
      <c r="E7" s="90">
        <v>0.35416666666666702</v>
      </c>
      <c r="F7" s="90">
        <v>0.375</v>
      </c>
      <c r="G7" s="90">
        <v>0.39583333333333298</v>
      </c>
      <c r="H7" s="90">
        <v>0.41666666666666702</v>
      </c>
      <c r="I7" s="90">
        <v>0.4375</v>
      </c>
      <c r="J7" s="90">
        <v>0.45833333333333298</v>
      </c>
      <c r="K7" s="90">
        <v>0.47916666666666702</v>
      </c>
      <c r="L7" s="90">
        <v>0.5</v>
      </c>
      <c r="M7" s="90">
        <v>0.52083333333333304</v>
      </c>
      <c r="N7" s="90">
        <v>4.1666666666666664E-2</v>
      </c>
      <c r="O7" s="90">
        <v>6.25E-2</v>
      </c>
      <c r="P7" s="90">
        <v>8.3333333333333329E-2</v>
      </c>
      <c r="Q7" s="90">
        <v>0.104166666666667</v>
      </c>
      <c r="R7" s="90">
        <v>0.125</v>
      </c>
      <c r="S7" s="90">
        <v>0.14583333333333301</v>
      </c>
      <c r="T7" s="90">
        <v>0.16666666666666599</v>
      </c>
      <c r="U7" s="90">
        <v>0.187499999999999</v>
      </c>
      <c r="V7" s="91">
        <v>0.20833333333333201</v>
      </c>
      <c r="W7" s="72"/>
      <c r="X7" s="177" t="s">
        <v>7</v>
      </c>
      <c r="Y7" s="173" t="s">
        <v>73</v>
      </c>
      <c r="Z7" s="173" t="s">
        <v>74</v>
      </c>
      <c r="AA7" s="175" t="s">
        <v>4</v>
      </c>
    </row>
    <row r="8" spans="1:34" ht="15" customHeight="1" thickBot="1">
      <c r="B8" s="126" t="s">
        <v>2</v>
      </c>
      <c r="C8" s="98">
        <v>1</v>
      </c>
      <c r="D8" s="99">
        <v>2</v>
      </c>
      <c r="E8" s="99">
        <v>3</v>
      </c>
      <c r="F8" s="99">
        <v>4</v>
      </c>
      <c r="G8" s="99">
        <v>5</v>
      </c>
      <c r="H8" s="99">
        <v>6</v>
      </c>
      <c r="I8" s="99">
        <v>7</v>
      </c>
      <c r="J8" s="99">
        <v>8</v>
      </c>
      <c r="K8" s="99">
        <v>9</v>
      </c>
      <c r="L8" s="99">
        <v>10</v>
      </c>
      <c r="M8" s="99">
        <v>11</v>
      </c>
      <c r="N8" s="99">
        <v>12</v>
      </c>
      <c r="O8" s="99">
        <v>13</v>
      </c>
      <c r="P8" s="99">
        <v>14</v>
      </c>
      <c r="Q8" s="99">
        <v>15</v>
      </c>
      <c r="R8" s="99">
        <v>16</v>
      </c>
      <c r="S8" s="99">
        <v>17</v>
      </c>
      <c r="T8" s="99">
        <v>18</v>
      </c>
      <c r="U8" s="99">
        <v>19</v>
      </c>
      <c r="V8" s="103">
        <v>20</v>
      </c>
      <c r="X8" s="178"/>
      <c r="Y8" s="174"/>
      <c r="Z8" s="174"/>
      <c r="AA8" s="176"/>
      <c r="AC8" s="73"/>
      <c r="AD8" s="73"/>
      <c r="AE8" s="73"/>
      <c r="AF8" s="73"/>
      <c r="AG8" s="73"/>
      <c r="AH8" s="73"/>
    </row>
    <row r="9" spans="1:34" ht="15" customHeight="1">
      <c r="B9" s="102">
        <v>60</v>
      </c>
      <c r="C9" s="77">
        <f t="shared" ref="C9:L18" si="0">SUMIFS(SumaMI,CentroMI,$B9,TurnoMI,C$8)</f>
        <v>1</v>
      </c>
      <c r="D9" s="77">
        <f t="shared" si="0"/>
        <v>1</v>
      </c>
      <c r="E9" s="77">
        <f t="shared" si="0"/>
        <v>1</v>
      </c>
      <c r="F9" s="77">
        <f t="shared" si="0"/>
        <v>0</v>
      </c>
      <c r="G9" s="77">
        <f t="shared" si="0"/>
        <v>0</v>
      </c>
      <c r="H9" s="77">
        <f t="shared" si="0"/>
        <v>1</v>
      </c>
      <c r="I9" s="77">
        <f t="shared" si="0"/>
        <v>1</v>
      </c>
      <c r="J9" s="77">
        <f t="shared" si="0"/>
        <v>1</v>
      </c>
      <c r="K9" s="77">
        <f t="shared" si="0"/>
        <v>1</v>
      </c>
      <c r="L9" s="77">
        <f t="shared" si="0"/>
        <v>1</v>
      </c>
      <c r="M9" s="77">
        <f t="shared" ref="M9:V18" si="1">SUMIFS(SumaMI,CentroMI,$B9,TurnoMI,M$8)</f>
        <v>0</v>
      </c>
      <c r="N9" s="77">
        <f t="shared" si="1"/>
        <v>0</v>
      </c>
      <c r="O9" s="77">
        <f t="shared" si="1"/>
        <v>0</v>
      </c>
      <c r="P9" s="77">
        <f t="shared" si="1"/>
        <v>0</v>
      </c>
      <c r="Q9" s="77">
        <f t="shared" si="1"/>
        <v>0</v>
      </c>
      <c r="R9" s="77">
        <f t="shared" si="1"/>
        <v>0</v>
      </c>
      <c r="S9" s="77">
        <f t="shared" si="1"/>
        <v>0</v>
      </c>
      <c r="T9" s="77">
        <f t="shared" si="1"/>
        <v>0</v>
      </c>
      <c r="U9" s="77">
        <f t="shared" si="1"/>
        <v>0</v>
      </c>
      <c r="V9" s="77">
        <f t="shared" si="1"/>
        <v>0</v>
      </c>
      <c r="X9" s="122" t="s">
        <v>76</v>
      </c>
      <c r="Y9" s="127">
        <f t="shared" ref="Y9:Y40" si="2">SUMIF(CentroMI,$B9,Diosdado_Cabello)</f>
        <v>59</v>
      </c>
      <c r="Z9" s="127">
        <f t="shared" ref="Z9:Z40" si="3">SUMIF(CentroMI,$B9,Henrique_Capriles_Radonski)</f>
        <v>11</v>
      </c>
      <c r="AA9" s="147">
        <f t="shared" ref="AA9:AA72" si="4">SUMIF(CentroMI,$B9,OtroMI)</f>
        <v>4</v>
      </c>
    </row>
    <row r="10" spans="1:34" ht="15" customHeight="1">
      <c r="B10" s="78">
        <v>61</v>
      </c>
      <c r="C10" s="77">
        <f t="shared" si="0"/>
        <v>0</v>
      </c>
      <c r="D10" s="77">
        <f t="shared" si="0"/>
        <v>1</v>
      </c>
      <c r="E10" s="77">
        <f t="shared" si="0"/>
        <v>0</v>
      </c>
      <c r="F10" s="77">
        <f t="shared" si="0"/>
        <v>1</v>
      </c>
      <c r="G10" s="77">
        <f t="shared" si="0"/>
        <v>1</v>
      </c>
      <c r="H10" s="77">
        <f t="shared" si="0"/>
        <v>1</v>
      </c>
      <c r="I10" s="77">
        <f t="shared" si="0"/>
        <v>1</v>
      </c>
      <c r="J10" s="77">
        <f t="shared" si="0"/>
        <v>1</v>
      </c>
      <c r="K10" s="77">
        <f t="shared" si="0"/>
        <v>1</v>
      </c>
      <c r="L10" s="77">
        <f t="shared" si="0"/>
        <v>1</v>
      </c>
      <c r="M10" s="77">
        <f t="shared" si="1"/>
        <v>1</v>
      </c>
      <c r="N10" s="77">
        <f t="shared" si="1"/>
        <v>1</v>
      </c>
      <c r="O10" s="77">
        <f t="shared" si="1"/>
        <v>1</v>
      </c>
      <c r="P10" s="77">
        <f t="shared" si="1"/>
        <v>1</v>
      </c>
      <c r="Q10" s="77">
        <f t="shared" si="1"/>
        <v>0</v>
      </c>
      <c r="R10" s="77">
        <f t="shared" si="1"/>
        <v>0</v>
      </c>
      <c r="S10" s="77">
        <f t="shared" si="1"/>
        <v>0</v>
      </c>
      <c r="T10" s="77">
        <f t="shared" si="1"/>
        <v>0</v>
      </c>
      <c r="U10" s="77">
        <f t="shared" si="1"/>
        <v>0</v>
      </c>
      <c r="V10" s="77">
        <f t="shared" si="1"/>
        <v>0</v>
      </c>
      <c r="X10" s="122" t="s">
        <v>55</v>
      </c>
      <c r="Y10" s="127">
        <f t="shared" si="2"/>
        <v>59</v>
      </c>
      <c r="Z10" s="127">
        <f t="shared" si="3"/>
        <v>179</v>
      </c>
      <c r="AA10" s="147">
        <f t="shared" si="4"/>
        <v>4</v>
      </c>
    </row>
    <row r="11" spans="1:34" ht="15" customHeight="1">
      <c r="B11" s="78">
        <v>62</v>
      </c>
      <c r="C11" s="77">
        <f t="shared" si="0"/>
        <v>2</v>
      </c>
      <c r="D11" s="77">
        <f t="shared" si="0"/>
        <v>1</v>
      </c>
      <c r="E11" s="77">
        <f t="shared" si="0"/>
        <v>1</v>
      </c>
      <c r="F11" s="77">
        <f t="shared" si="0"/>
        <v>1</v>
      </c>
      <c r="G11" s="77">
        <f t="shared" si="0"/>
        <v>0</v>
      </c>
      <c r="H11" s="77">
        <f t="shared" si="0"/>
        <v>1</v>
      </c>
      <c r="I11" s="77">
        <f t="shared" si="0"/>
        <v>1</v>
      </c>
      <c r="J11" s="77">
        <f t="shared" si="0"/>
        <v>1</v>
      </c>
      <c r="K11" s="77">
        <f t="shared" si="0"/>
        <v>1</v>
      </c>
      <c r="L11" s="77">
        <f t="shared" si="0"/>
        <v>1</v>
      </c>
      <c r="M11" s="77">
        <f t="shared" si="1"/>
        <v>1</v>
      </c>
      <c r="N11" s="77">
        <f t="shared" si="1"/>
        <v>1</v>
      </c>
      <c r="O11" s="77">
        <f t="shared" si="1"/>
        <v>1</v>
      </c>
      <c r="P11" s="77">
        <f t="shared" si="1"/>
        <v>0</v>
      </c>
      <c r="Q11" s="77">
        <f t="shared" si="1"/>
        <v>0</v>
      </c>
      <c r="R11" s="77">
        <f t="shared" si="1"/>
        <v>0</v>
      </c>
      <c r="S11" s="77">
        <f t="shared" si="1"/>
        <v>0</v>
      </c>
      <c r="T11" s="77">
        <f t="shared" si="1"/>
        <v>0</v>
      </c>
      <c r="U11" s="77">
        <f t="shared" si="1"/>
        <v>0</v>
      </c>
      <c r="V11" s="77">
        <f t="shared" si="1"/>
        <v>0</v>
      </c>
      <c r="X11" s="122" t="s">
        <v>55</v>
      </c>
      <c r="Y11" s="127">
        <f t="shared" si="2"/>
        <v>71</v>
      </c>
      <c r="Z11" s="127">
        <f t="shared" si="3"/>
        <v>155</v>
      </c>
      <c r="AA11" s="147">
        <f t="shared" si="4"/>
        <v>3</v>
      </c>
    </row>
    <row r="12" spans="1:34" ht="15" customHeight="1">
      <c r="B12" s="78">
        <v>63</v>
      </c>
      <c r="C12" s="77">
        <f t="shared" si="0"/>
        <v>0</v>
      </c>
      <c r="D12" s="77">
        <f t="shared" si="0"/>
        <v>0</v>
      </c>
      <c r="E12" s="77">
        <f t="shared" si="0"/>
        <v>0</v>
      </c>
      <c r="F12" s="77">
        <f t="shared" si="0"/>
        <v>0</v>
      </c>
      <c r="G12" s="77">
        <f t="shared" si="0"/>
        <v>0</v>
      </c>
      <c r="H12" s="77">
        <f t="shared" si="0"/>
        <v>0</v>
      </c>
      <c r="I12" s="77">
        <f t="shared" si="0"/>
        <v>1</v>
      </c>
      <c r="J12" s="77">
        <f t="shared" si="0"/>
        <v>0</v>
      </c>
      <c r="K12" s="77">
        <f t="shared" si="0"/>
        <v>0</v>
      </c>
      <c r="L12" s="77">
        <f t="shared" si="0"/>
        <v>0</v>
      </c>
      <c r="M12" s="77">
        <f t="shared" si="1"/>
        <v>0</v>
      </c>
      <c r="N12" s="77">
        <f t="shared" si="1"/>
        <v>0</v>
      </c>
      <c r="O12" s="77">
        <f t="shared" si="1"/>
        <v>0</v>
      </c>
      <c r="P12" s="77">
        <f t="shared" si="1"/>
        <v>0</v>
      </c>
      <c r="Q12" s="77">
        <f t="shared" si="1"/>
        <v>0</v>
      </c>
      <c r="R12" s="77">
        <f t="shared" si="1"/>
        <v>0</v>
      </c>
      <c r="S12" s="77">
        <f t="shared" si="1"/>
        <v>0</v>
      </c>
      <c r="T12" s="77">
        <f t="shared" si="1"/>
        <v>0</v>
      </c>
      <c r="U12" s="77">
        <f t="shared" si="1"/>
        <v>0</v>
      </c>
      <c r="V12" s="77">
        <f t="shared" si="1"/>
        <v>0</v>
      </c>
      <c r="X12" s="122" t="s">
        <v>55</v>
      </c>
      <c r="Y12" s="127">
        <f t="shared" si="2"/>
        <v>3</v>
      </c>
      <c r="Z12" s="127">
        <f t="shared" si="3"/>
        <v>12</v>
      </c>
      <c r="AA12" s="147">
        <f t="shared" si="4"/>
        <v>1</v>
      </c>
    </row>
    <row r="13" spans="1:34" ht="15" customHeight="1">
      <c r="B13" s="78">
        <v>64</v>
      </c>
      <c r="C13" s="77">
        <f t="shared" si="0"/>
        <v>0</v>
      </c>
      <c r="D13" s="77">
        <f t="shared" si="0"/>
        <v>0</v>
      </c>
      <c r="E13" s="77">
        <f t="shared" si="0"/>
        <v>0</v>
      </c>
      <c r="F13" s="77">
        <f t="shared" si="0"/>
        <v>0</v>
      </c>
      <c r="G13" s="77">
        <f t="shared" si="0"/>
        <v>1</v>
      </c>
      <c r="H13" s="77">
        <f t="shared" si="0"/>
        <v>1</v>
      </c>
      <c r="I13" s="77">
        <f t="shared" si="0"/>
        <v>0</v>
      </c>
      <c r="J13" s="77">
        <f t="shared" si="0"/>
        <v>1</v>
      </c>
      <c r="K13" s="77">
        <f t="shared" si="0"/>
        <v>1</v>
      </c>
      <c r="L13" s="77">
        <f t="shared" si="0"/>
        <v>1</v>
      </c>
      <c r="M13" s="77">
        <f t="shared" si="1"/>
        <v>1</v>
      </c>
      <c r="N13" s="77">
        <f t="shared" si="1"/>
        <v>0</v>
      </c>
      <c r="O13" s="77">
        <f t="shared" si="1"/>
        <v>1</v>
      </c>
      <c r="P13" s="77">
        <f t="shared" si="1"/>
        <v>0</v>
      </c>
      <c r="Q13" s="77">
        <f t="shared" si="1"/>
        <v>0</v>
      </c>
      <c r="R13" s="77">
        <f t="shared" si="1"/>
        <v>0</v>
      </c>
      <c r="S13" s="77">
        <f t="shared" si="1"/>
        <v>0</v>
      </c>
      <c r="T13" s="77">
        <f t="shared" si="1"/>
        <v>0</v>
      </c>
      <c r="U13" s="77">
        <f t="shared" si="1"/>
        <v>0</v>
      </c>
      <c r="V13" s="77">
        <f t="shared" si="1"/>
        <v>0</v>
      </c>
      <c r="X13" s="122" t="s">
        <v>55</v>
      </c>
      <c r="Y13" s="127">
        <f t="shared" si="2"/>
        <v>70</v>
      </c>
      <c r="Z13" s="127">
        <f t="shared" si="3"/>
        <v>86</v>
      </c>
      <c r="AA13" s="147">
        <f t="shared" si="4"/>
        <v>1</v>
      </c>
    </row>
    <row r="14" spans="1:34" ht="15" customHeight="1">
      <c r="B14" s="78">
        <v>65</v>
      </c>
      <c r="C14" s="77">
        <f t="shared" si="0"/>
        <v>1</v>
      </c>
      <c r="D14" s="77">
        <f t="shared" si="0"/>
        <v>0</v>
      </c>
      <c r="E14" s="77">
        <f t="shared" si="0"/>
        <v>1</v>
      </c>
      <c r="F14" s="77">
        <f t="shared" si="0"/>
        <v>1</v>
      </c>
      <c r="G14" s="77">
        <f t="shared" si="0"/>
        <v>2</v>
      </c>
      <c r="H14" s="77">
        <f t="shared" si="0"/>
        <v>1</v>
      </c>
      <c r="I14" s="77">
        <f t="shared" si="0"/>
        <v>1</v>
      </c>
      <c r="J14" s="77">
        <f t="shared" si="0"/>
        <v>1</v>
      </c>
      <c r="K14" s="77">
        <f t="shared" si="0"/>
        <v>1</v>
      </c>
      <c r="L14" s="77">
        <f t="shared" si="0"/>
        <v>1</v>
      </c>
      <c r="M14" s="77">
        <f t="shared" si="1"/>
        <v>1</v>
      </c>
      <c r="N14" s="77">
        <f t="shared" si="1"/>
        <v>1</v>
      </c>
      <c r="O14" s="77">
        <f t="shared" si="1"/>
        <v>1</v>
      </c>
      <c r="P14" s="77">
        <f t="shared" si="1"/>
        <v>0</v>
      </c>
      <c r="Q14" s="77">
        <f t="shared" si="1"/>
        <v>0</v>
      </c>
      <c r="R14" s="77">
        <f t="shared" si="1"/>
        <v>0</v>
      </c>
      <c r="S14" s="77">
        <f t="shared" si="1"/>
        <v>0</v>
      </c>
      <c r="T14" s="77">
        <f t="shared" si="1"/>
        <v>0</v>
      </c>
      <c r="U14" s="77">
        <f t="shared" si="1"/>
        <v>0</v>
      </c>
      <c r="V14" s="77">
        <f t="shared" si="1"/>
        <v>0</v>
      </c>
      <c r="X14" s="122" t="s">
        <v>55</v>
      </c>
      <c r="Y14" s="127">
        <f t="shared" si="2"/>
        <v>96</v>
      </c>
      <c r="Z14" s="127">
        <f t="shared" si="3"/>
        <v>140</v>
      </c>
      <c r="AA14" s="147">
        <f t="shared" si="4"/>
        <v>1</v>
      </c>
    </row>
    <row r="15" spans="1:34" ht="15" customHeight="1">
      <c r="B15" s="78">
        <v>66</v>
      </c>
      <c r="C15" s="77">
        <f t="shared" si="0"/>
        <v>1</v>
      </c>
      <c r="D15" s="77">
        <f t="shared" si="0"/>
        <v>1</v>
      </c>
      <c r="E15" s="77">
        <f t="shared" si="0"/>
        <v>1</v>
      </c>
      <c r="F15" s="77">
        <f t="shared" si="0"/>
        <v>1</v>
      </c>
      <c r="G15" s="77">
        <f t="shared" si="0"/>
        <v>1</v>
      </c>
      <c r="H15" s="77">
        <f t="shared" si="0"/>
        <v>1</v>
      </c>
      <c r="I15" s="77">
        <f t="shared" si="0"/>
        <v>1</v>
      </c>
      <c r="J15" s="77">
        <f t="shared" si="0"/>
        <v>1</v>
      </c>
      <c r="K15" s="77">
        <f t="shared" si="0"/>
        <v>1</v>
      </c>
      <c r="L15" s="77">
        <f t="shared" si="0"/>
        <v>1</v>
      </c>
      <c r="M15" s="77">
        <f t="shared" si="1"/>
        <v>1</v>
      </c>
      <c r="N15" s="77">
        <f t="shared" si="1"/>
        <v>0</v>
      </c>
      <c r="O15" s="77">
        <f t="shared" si="1"/>
        <v>0</v>
      </c>
      <c r="P15" s="77">
        <f t="shared" si="1"/>
        <v>0</v>
      </c>
      <c r="Q15" s="77">
        <f t="shared" si="1"/>
        <v>0</v>
      </c>
      <c r="R15" s="77">
        <f t="shared" si="1"/>
        <v>0</v>
      </c>
      <c r="S15" s="77">
        <f t="shared" si="1"/>
        <v>0</v>
      </c>
      <c r="T15" s="77">
        <f t="shared" si="1"/>
        <v>0</v>
      </c>
      <c r="U15" s="77">
        <f t="shared" si="1"/>
        <v>0</v>
      </c>
      <c r="V15" s="77">
        <f t="shared" si="1"/>
        <v>0</v>
      </c>
      <c r="X15" s="122" t="s">
        <v>55</v>
      </c>
      <c r="Y15" s="127">
        <f t="shared" si="2"/>
        <v>69</v>
      </c>
      <c r="Z15" s="127">
        <f t="shared" si="3"/>
        <v>133</v>
      </c>
      <c r="AA15" s="147">
        <f t="shared" si="4"/>
        <v>7</v>
      </c>
    </row>
    <row r="16" spans="1:34" ht="15" customHeight="1">
      <c r="B16" s="78">
        <v>67</v>
      </c>
      <c r="C16" s="77">
        <f t="shared" si="0"/>
        <v>0</v>
      </c>
      <c r="D16" s="77">
        <f t="shared" si="0"/>
        <v>0</v>
      </c>
      <c r="E16" s="77">
        <f t="shared" si="0"/>
        <v>0</v>
      </c>
      <c r="F16" s="77">
        <f t="shared" si="0"/>
        <v>1</v>
      </c>
      <c r="G16" s="77">
        <f t="shared" si="0"/>
        <v>1</v>
      </c>
      <c r="H16" s="77">
        <f t="shared" si="0"/>
        <v>1</v>
      </c>
      <c r="I16" s="77">
        <f t="shared" si="0"/>
        <v>1</v>
      </c>
      <c r="J16" s="77">
        <f t="shared" si="0"/>
        <v>1</v>
      </c>
      <c r="K16" s="77">
        <f t="shared" si="0"/>
        <v>1</v>
      </c>
      <c r="L16" s="77">
        <f t="shared" si="0"/>
        <v>1</v>
      </c>
      <c r="M16" s="77">
        <f t="shared" si="1"/>
        <v>1</v>
      </c>
      <c r="N16" s="77">
        <f t="shared" si="1"/>
        <v>0</v>
      </c>
      <c r="O16" s="77">
        <f t="shared" si="1"/>
        <v>1</v>
      </c>
      <c r="P16" s="77">
        <f t="shared" si="1"/>
        <v>2</v>
      </c>
      <c r="Q16" s="77">
        <f t="shared" si="1"/>
        <v>1</v>
      </c>
      <c r="R16" s="77">
        <f t="shared" si="1"/>
        <v>0</v>
      </c>
      <c r="S16" s="77">
        <f t="shared" si="1"/>
        <v>0</v>
      </c>
      <c r="T16" s="77">
        <f t="shared" si="1"/>
        <v>0</v>
      </c>
      <c r="U16" s="77">
        <f t="shared" si="1"/>
        <v>0</v>
      </c>
      <c r="V16" s="77">
        <f t="shared" si="1"/>
        <v>0</v>
      </c>
      <c r="X16" s="122" t="s">
        <v>55</v>
      </c>
      <c r="Y16" s="127">
        <f t="shared" si="2"/>
        <v>1</v>
      </c>
      <c r="Z16" s="127">
        <f t="shared" si="3"/>
        <v>269</v>
      </c>
      <c r="AA16" s="147">
        <f t="shared" si="4"/>
        <v>0</v>
      </c>
    </row>
    <row r="17" spans="2:27" ht="15" customHeight="1">
      <c r="B17" s="78">
        <v>68</v>
      </c>
      <c r="C17" s="77">
        <f t="shared" si="0"/>
        <v>0</v>
      </c>
      <c r="D17" s="77">
        <f t="shared" si="0"/>
        <v>0</v>
      </c>
      <c r="E17" s="77">
        <f t="shared" si="0"/>
        <v>0</v>
      </c>
      <c r="F17" s="77">
        <f t="shared" si="0"/>
        <v>0</v>
      </c>
      <c r="G17" s="77">
        <f t="shared" si="0"/>
        <v>0</v>
      </c>
      <c r="H17" s="77">
        <f t="shared" si="0"/>
        <v>0</v>
      </c>
      <c r="I17" s="77">
        <f t="shared" si="0"/>
        <v>0</v>
      </c>
      <c r="J17" s="77">
        <f t="shared" si="0"/>
        <v>0</v>
      </c>
      <c r="K17" s="77">
        <f t="shared" si="0"/>
        <v>0</v>
      </c>
      <c r="L17" s="77">
        <f t="shared" si="0"/>
        <v>0</v>
      </c>
      <c r="M17" s="77">
        <f t="shared" si="1"/>
        <v>0</v>
      </c>
      <c r="N17" s="77">
        <f t="shared" si="1"/>
        <v>0</v>
      </c>
      <c r="O17" s="77">
        <f t="shared" si="1"/>
        <v>0</v>
      </c>
      <c r="P17" s="77">
        <f t="shared" si="1"/>
        <v>0</v>
      </c>
      <c r="Q17" s="77">
        <f t="shared" si="1"/>
        <v>0</v>
      </c>
      <c r="R17" s="77">
        <f t="shared" si="1"/>
        <v>0</v>
      </c>
      <c r="S17" s="77">
        <f t="shared" si="1"/>
        <v>0</v>
      </c>
      <c r="T17" s="77">
        <f t="shared" si="1"/>
        <v>0</v>
      </c>
      <c r="U17" s="77">
        <f t="shared" si="1"/>
        <v>0</v>
      </c>
      <c r="V17" s="77">
        <f t="shared" si="1"/>
        <v>0</v>
      </c>
      <c r="X17" s="122" t="s">
        <v>55</v>
      </c>
      <c r="Y17" s="127">
        <f t="shared" si="2"/>
        <v>0</v>
      </c>
      <c r="Z17" s="127">
        <f t="shared" si="3"/>
        <v>0</v>
      </c>
      <c r="AA17" s="147">
        <f t="shared" si="4"/>
        <v>0</v>
      </c>
    </row>
    <row r="18" spans="2:27" ht="15" customHeight="1">
      <c r="B18" s="78">
        <v>69</v>
      </c>
      <c r="C18" s="77">
        <f t="shared" si="0"/>
        <v>1</v>
      </c>
      <c r="D18" s="77">
        <f t="shared" si="0"/>
        <v>1</v>
      </c>
      <c r="E18" s="77">
        <f t="shared" si="0"/>
        <v>1</v>
      </c>
      <c r="F18" s="77">
        <f t="shared" si="0"/>
        <v>1</v>
      </c>
      <c r="G18" s="77">
        <f t="shared" si="0"/>
        <v>0</v>
      </c>
      <c r="H18" s="77">
        <f t="shared" si="0"/>
        <v>0</v>
      </c>
      <c r="I18" s="77">
        <f t="shared" si="0"/>
        <v>0</v>
      </c>
      <c r="J18" s="77">
        <f t="shared" si="0"/>
        <v>0</v>
      </c>
      <c r="K18" s="77">
        <f t="shared" si="0"/>
        <v>0</v>
      </c>
      <c r="L18" s="77">
        <f t="shared" si="0"/>
        <v>0</v>
      </c>
      <c r="M18" s="77">
        <f t="shared" si="1"/>
        <v>0</v>
      </c>
      <c r="N18" s="77">
        <f t="shared" si="1"/>
        <v>0</v>
      </c>
      <c r="O18" s="77">
        <f t="shared" si="1"/>
        <v>0</v>
      </c>
      <c r="P18" s="77">
        <f t="shared" si="1"/>
        <v>0</v>
      </c>
      <c r="Q18" s="77">
        <f t="shared" si="1"/>
        <v>0</v>
      </c>
      <c r="R18" s="77">
        <f t="shared" si="1"/>
        <v>0</v>
      </c>
      <c r="S18" s="77">
        <f t="shared" si="1"/>
        <v>0</v>
      </c>
      <c r="T18" s="77">
        <f t="shared" si="1"/>
        <v>0</v>
      </c>
      <c r="U18" s="77">
        <f t="shared" si="1"/>
        <v>0</v>
      </c>
      <c r="V18" s="77">
        <f t="shared" si="1"/>
        <v>0</v>
      </c>
      <c r="X18" s="122" t="s">
        <v>55</v>
      </c>
      <c r="Y18" s="127">
        <f t="shared" si="2"/>
        <v>3</v>
      </c>
      <c r="Z18" s="127">
        <f t="shared" si="3"/>
        <v>96</v>
      </c>
      <c r="AA18" s="147">
        <f t="shared" si="4"/>
        <v>1</v>
      </c>
    </row>
    <row r="19" spans="2:27" ht="15" customHeight="1">
      <c r="B19" s="78">
        <v>70</v>
      </c>
      <c r="C19" s="77">
        <f t="shared" ref="C19:L28" si="5">SUMIFS(SumaMI,CentroMI,$B19,TurnoMI,C$8)</f>
        <v>1</v>
      </c>
      <c r="D19" s="77">
        <f t="shared" si="5"/>
        <v>1</v>
      </c>
      <c r="E19" s="77">
        <f t="shared" si="5"/>
        <v>1</v>
      </c>
      <c r="F19" s="77">
        <f t="shared" si="5"/>
        <v>1</v>
      </c>
      <c r="G19" s="77">
        <f t="shared" si="5"/>
        <v>1</v>
      </c>
      <c r="H19" s="77">
        <f t="shared" si="5"/>
        <v>1</v>
      </c>
      <c r="I19" s="77">
        <f t="shared" si="5"/>
        <v>1</v>
      </c>
      <c r="J19" s="77">
        <f t="shared" si="5"/>
        <v>1</v>
      </c>
      <c r="K19" s="77">
        <f t="shared" si="5"/>
        <v>1</v>
      </c>
      <c r="L19" s="77">
        <f t="shared" si="5"/>
        <v>1</v>
      </c>
      <c r="M19" s="77">
        <f t="shared" ref="M19:V28" si="6">SUMIFS(SumaMI,CentroMI,$B19,TurnoMI,M$8)</f>
        <v>0</v>
      </c>
      <c r="N19" s="77">
        <f t="shared" si="6"/>
        <v>0</v>
      </c>
      <c r="O19" s="77">
        <f t="shared" si="6"/>
        <v>0</v>
      </c>
      <c r="P19" s="77">
        <f t="shared" si="6"/>
        <v>0</v>
      </c>
      <c r="Q19" s="77">
        <f t="shared" si="6"/>
        <v>1</v>
      </c>
      <c r="R19" s="77">
        <f t="shared" si="6"/>
        <v>0</v>
      </c>
      <c r="S19" s="77">
        <f t="shared" si="6"/>
        <v>0</v>
      </c>
      <c r="T19" s="77">
        <f t="shared" si="6"/>
        <v>0</v>
      </c>
      <c r="U19" s="77">
        <f t="shared" si="6"/>
        <v>0</v>
      </c>
      <c r="V19" s="77">
        <f t="shared" si="6"/>
        <v>0</v>
      </c>
      <c r="X19" s="122" t="s">
        <v>56</v>
      </c>
      <c r="Y19" s="127">
        <f t="shared" si="2"/>
        <v>119</v>
      </c>
      <c r="Z19" s="127">
        <f t="shared" si="3"/>
        <v>105</v>
      </c>
      <c r="AA19" s="147">
        <f t="shared" si="4"/>
        <v>24</v>
      </c>
    </row>
    <row r="20" spans="2:27" ht="15" customHeight="1">
      <c r="B20" s="78">
        <v>71</v>
      </c>
      <c r="C20" s="77">
        <f t="shared" si="5"/>
        <v>0</v>
      </c>
      <c r="D20" s="77">
        <f t="shared" si="5"/>
        <v>0</v>
      </c>
      <c r="E20" s="77">
        <f t="shared" si="5"/>
        <v>0</v>
      </c>
      <c r="F20" s="77">
        <f t="shared" si="5"/>
        <v>0</v>
      </c>
      <c r="G20" s="77">
        <f t="shared" si="5"/>
        <v>0</v>
      </c>
      <c r="H20" s="77">
        <f t="shared" si="5"/>
        <v>0</v>
      </c>
      <c r="I20" s="77">
        <f t="shared" si="5"/>
        <v>0</v>
      </c>
      <c r="J20" s="77">
        <f t="shared" si="5"/>
        <v>0</v>
      </c>
      <c r="K20" s="77">
        <f t="shared" si="5"/>
        <v>0</v>
      </c>
      <c r="L20" s="77">
        <f t="shared" si="5"/>
        <v>0</v>
      </c>
      <c r="M20" s="77">
        <f t="shared" si="6"/>
        <v>0</v>
      </c>
      <c r="N20" s="77">
        <f t="shared" si="6"/>
        <v>0</v>
      </c>
      <c r="O20" s="77">
        <f t="shared" si="6"/>
        <v>0</v>
      </c>
      <c r="P20" s="77">
        <f t="shared" si="6"/>
        <v>0</v>
      </c>
      <c r="Q20" s="77">
        <f t="shared" si="6"/>
        <v>0</v>
      </c>
      <c r="R20" s="77">
        <f t="shared" si="6"/>
        <v>0</v>
      </c>
      <c r="S20" s="77">
        <f t="shared" si="6"/>
        <v>0</v>
      </c>
      <c r="T20" s="77">
        <f t="shared" si="6"/>
        <v>0</v>
      </c>
      <c r="U20" s="77">
        <f t="shared" si="6"/>
        <v>0</v>
      </c>
      <c r="V20" s="77">
        <f t="shared" si="6"/>
        <v>0</v>
      </c>
      <c r="X20" s="122" t="s">
        <v>57</v>
      </c>
      <c r="Y20" s="127">
        <f t="shared" si="2"/>
        <v>0</v>
      </c>
      <c r="Z20" s="127">
        <f t="shared" si="3"/>
        <v>0</v>
      </c>
      <c r="AA20" s="147">
        <f t="shared" si="4"/>
        <v>0</v>
      </c>
    </row>
    <row r="21" spans="2:27" ht="15" customHeight="1">
      <c r="B21" s="78">
        <v>72</v>
      </c>
      <c r="C21" s="77">
        <f t="shared" si="5"/>
        <v>0</v>
      </c>
      <c r="D21" s="77">
        <f t="shared" si="5"/>
        <v>0</v>
      </c>
      <c r="E21" s="77">
        <f t="shared" si="5"/>
        <v>0</v>
      </c>
      <c r="F21" s="77">
        <f t="shared" si="5"/>
        <v>0</v>
      </c>
      <c r="G21" s="77">
        <f t="shared" si="5"/>
        <v>0</v>
      </c>
      <c r="H21" s="77">
        <f t="shared" si="5"/>
        <v>0</v>
      </c>
      <c r="I21" s="77">
        <f t="shared" si="5"/>
        <v>0</v>
      </c>
      <c r="J21" s="77">
        <f t="shared" si="5"/>
        <v>0</v>
      </c>
      <c r="K21" s="77">
        <f t="shared" si="5"/>
        <v>0</v>
      </c>
      <c r="L21" s="77">
        <f t="shared" si="5"/>
        <v>0</v>
      </c>
      <c r="M21" s="77">
        <f t="shared" si="6"/>
        <v>0</v>
      </c>
      <c r="N21" s="77">
        <f t="shared" si="6"/>
        <v>0</v>
      </c>
      <c r="O21" s="77">
        <f t="shared" si="6"/>
        <v>0</v>
      </c>
      <c r="P21" s="77">
        <f t="shared" si="6"/>
        <v>0</v>
      </c>
      <c r="Q21" s="77">
        <f t="shared" si="6"/>
        <v>0</v>
      </c>
      <c r="R21" s="77">
        <f t="shared" si="6"/>
        <v>0</v>
      </c>
      <c r="S21" s="77">
        <f t="shared" si="6"/>
        <v>0</v>
      </c>
      <c r="T21" s="77">
        <f t="shared" si="6"/>
        <v>0</v>
      </c>
      <c r="U21" s="77">
        <f t="shared" si="6"/>
        <v>0</v>
      </c>
      <c r="V21" s="77">
        <f t="shared" si="6"/>
        <v>0</v>
      </c>
      <c r="X21" s="122" t="s">
        <v>57</v>
      </c>
      <c r="Y21" s="127">
        <f t="shared" si="2"/>
        <v>0</v>
      </c>
      <c r="Z21" s="127">
        <f t="shared" si="3"/>
        <v>0</v>
      </c>
      <c r="AA21" s="147">
        <f t="shared" si="4"/>
        <v>0</v>
      </c>
    </row>
    <row r="22" spans="2:27" ht="15" customHeight="1">
      <c r="B22" s="78">
        <v>73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6"/>
        <v>1</v>
      </c>
      <c r="N22" s="77">
        <f t="shared" si="6"/>
        <v>1</v>
      </c>
      <c r="O22" s="77">
        <f t="shared" si="6"/>
        <v>1</v>
      </c>
      <c r="P22" s="77">
        <f t="shared" si="6"/>
        <v>0</v>
      </c>
      <c r="Q22" s="77">
        <f t="shared" si="6"/>
        <v>0</v>
      </c>
      <c r="R22" s="77">
        <f t="shared" si="6"/>
        <v>0</v>
      </c>
      <c r="S22" s="77">
        <f t="shared" si="6"/>
        <v>0</v>
      </c>
      <c r="T22" s="77">
        <f t="shared" si="6"/>
        <v>0</v>
      </c>
      <c r="U22" s="77">
        <f t="shared" si="6"/>
        <v>0</v>
      </c>
      <c r="V22" s="77">
        <f t="shared" si="6"/>
        <v>0</v>
      </c>
      <c r="X22" s="122" t="s">
        <v>58</v>
      </c>
      <c r="Y22" s="127">
        <f t="shared" si="2"/>
        <v>2</v>
      </c>
      <c r="Z22" s="127">
        <f t="shared" si="3"/>
        <v>30</v>
      </c>
      <c r="AA22" s="147">
        <f t="shared" si="4"/>
        <v>0</v>
      </c>
    </row>
    <row r="23" spans="2:27" ht="15" customHeight="1">
      <c r="B23" s="78">
        <v>74</v>
      </c>
      <c r="C23" s="77">
        <f t="shared" si="5"/>
        <v>0</v>
      </c>
      <c r="D23" s="77">
        <f t="shared" si="5"/>
        <v>0</v>
      </c>
      <c r="E23" s="77">
        <f t="shared" si="5"/>
        <v>0</v>
      </c>
      <c r="F23" s="77">
        <f t="shared" si="5"/>
        <v>0</v>
      </c>
      <c r="G23" s="77">
        <f t="shared" si="5"/>
        <v>0</v>
      </c>
      <c r="H23" s="77">
        <f t="shared" si="5"/>
        <v>0</v>
      </c>
      <c r="I23" s="77">
        <f t="shared" si="5"/>
        <v>0</v>
      </c>
      <c r="J23" s="77">
        <f t="shared" si="5"/>
        <v>0</v>
      </c>
      <c r="K23" s="77">
        <f t="shared" si="5"/>
        <v>0</v>
      </c>
      <c r="L23" s="77">
        <f t="shared" si="5"/>
        <v>0</v>
      </c>
      <c r="M23" s="77">
        <f t="shared" si="6"/>
        <v>0</v>
      </c>
      <c r="N23" s="77">
        <f t="shared" si="6"/>
        <v>0</v>
      </c>
      <c r="O23" s="77">
        <f t="shared" si="6"/>
        <v>0</v>
      </c>
      <c r="P23" s="77">
        <f t="shared" si="6"/>
        <v>0</v>
      </c>
      <c r="Q23" s="77">
        <f t="shared" si="6"/>
        <v>0</v>
      </c>
      <c r="R23" s="77">
        <f t="shared" si="6"/>
        <v>0</v>
      </c>
      <c r="S23" s="77">
        <f t="shared" si="6"/>
        <v>0</v>
      </c>
      <c r="T23" s="77">
        <f t="shared" si="6"/>
        <v>0</v>
      </c>
      <c r="U23" s="77">
        <f t="shared" si="6"/>
        <v>0</v>
      </c>
      <c r="V23" s="77">
        <f t="shared" si="6"/>
        <v>0</v>
      </c>
      <c r="X23" s="122" t="s">
        <v>58</v>
      </c>
      <c r="Y23" s="127">
        <f t="shared" si="2"/>
        <v>0</v>
      </c>
      <c r="Z23" s="127">
        <f t="shared" si="3"/>
        <v>0</v>
      </c>
      <c r="AA23" s="147">
        <f t="shared" si="4"/>
        <v>0</v>
      </c>
    </row>
    <row r="24" spans="2:27" ht="15" customHeight="1">
      <c r="B24" s="78">
        <v>75</v>
      </c>
      <c r="C24" s="77">
        <f t="shared" si="5"/>
        <v>0</v>
      </c>
      <c r="D24" s="77">
        <f t="shared" si="5"/>
        <v>0</v>
      </c>
      <c r="E24" s="77">
        <f t="shared" si="5"/>
        <v>1</v>
      </c>
      <c r="F24" s="77">
        <f t="shared" si="5"/>
        <v>1</v>
      </c>
      <c r="G24" s="77">
        <f t="shared" si="5"/>
        <v>1</v>
      </c>
      <c r="H24" s="77">
        <f t="shared" si="5"/>
        <v>1</v>
      </c>
      <c r="I24" s="77">
        <f t="shared" si="5"/>
        <v>0</v>
      </c>
      <c r="J24" s="77">
        <f t="shared" si="5"/>
        <v>0</v>
      </c>
      <c r="K24" s="77">
        <f t="shared" si="5"/>
        <v>0</v>
      </c>
      <c r="L24" s="77">
        <f t="shared" si="5"/>
        <v>0</v>
      </c>
      <c r="M24" s="77">
        <f t="shared" si="6"/>
        <v>0</v>
      </c>
      <c r="N24" s="77">
        <f t="shared" si="6"/>
        <v>0</v>
      </c>
      <c r="O24" s="77">
        <f t="shared" si="6"/>
        <v>0</v>
      </c>
      <c r="P24" s="77">
        <f t="shared" si="6"/>
        <v>0</v>
      </c>
      <c r="Q24" s="77">
        <f t="shared" si="6"/>
        <v>0</v>
      </c>
      <c r="R24" s="77">
        <f t="shared" si="6"/>
        <v>0</v>
      </c>
      <c r="S24" s="77">
        <f t="shared" si="6"/>
        <v>0</v>
      </c>
      <c r="T24" s="77">
        <f t="shared" si="6"/>
        <v>0</v>
      </c>
      <c r="U24" s="77">
        <f t="shared" si="6"/>
        <v>0</v>
      </c>
      <c r="V24" s="77">
        <f t="shared" si="6"/>
        <v>0</v>
      </c>
      <c r="X24" s="122" t="s">
        <v>58</v>
      </c>
      <c r="Y24" s="127">
        <f t="shared" si="2"/>
        <v>8</v>
      </c>
      <c r="Z24" s="127">
        <f t="shared" si="3"/>
        <v>76</v>
      </c>
      <c r="AA24" s="147">
        <f t="shared" si="4"/>
        <v>0</v>
      </c>
    </row>
    <row r="25" spans="2:27" ht="15" customHeight="1">
      <c r="B25" s="78">
        <v>76</v>
      </c>
      <c r="C25" s="77">
        <f t="shared" si="5"/>
        <v>2</v>
      </c>
      <c r="D25" s="77">
        <f t="shared" si="5"/>
        <v>2</v>
      </c>
      <c r="E25" s="77">
        <f t="shared" si="5"/>
        <v>1</v>
      </c>
      <c r="F25" s="77">
        <f t="shared" si="5"/>
        <v>1</v>
      </c>
      <c r="G25" s="77">
        <f t="shared" si="5"/>
        <v>1</v>
      </c>
      <c r="H25" s="77">
        <f t="shared" si="5"/>
        <v>1</v>
      </c>
      <c r="I25" s="77">
        <f t="shared" si="5"/>
        <v>1</v>
      </c>
      <c r="J25" s="77">
        <f t="shared" si="5"/>
        <v>1</v>
      </c>
      <c r="K25" s="77">
        <f t="shared" si="5"/>
        <v>1</v>
      </c>
      <c r="L25" s="77">
        <f t="shared" si="5"/>
        <v>1</v>
      </c>
      <c r="M25" s="77">
        <f t="shared" si="6"/>
        <v>1</v>
      </c>
      <c r="N25" s="77">
        <f t="shared" si="6"/>
        <v>1</v>
      </c>
      <c r="O25" s="77">
        <f t="shared" si="6"/>
        <v>1</v>
      </c>
      <c r="P25" s="77">
        <f t="shared" si="6"/>
        <v>0</v>
      </c>
      <c r="Q25" s="77">
        <f t="shared" si="6"/>
        <v>0</v>
      </c>
      <c r="R25" s="77">
        <f t="shared" si="6"/>
        <v>0</v>
      </c>
      <c r="S25" s="77">
        <f t="shared" si="6"/>
        <v>0</v>
      </c>
      <c r="T25" s="77">
        <f t="shared" si="6"/>
        <v>0</v>
      </c>
      <c r="U25" s="77">
        <f t="shared" si="6"/>
        <v>0</v>
      </c>
      <c r="V25" s="77">
        <f t="shared" si="6"/>
        <v>0</v>
      </c>
      <c r="X25" s="122" t="s">
        <v>59</v>
      </c>
      <c r="Y25" s="127">
        <f t="shared" si="2"/>
        <v>159</v>
      </c>
      <c r="Z25" s="127">
        <f t="shared" si="3"/>
        <v>125</v>
      </c>
      <c r="AA25" s="147">
        <f t="shared" si="4"/>
        <v>20</v>
      </c>
    </row>
    <row r="26" spans="2:27" ht="15" customHeight="1">
      <c r="B26" s="78">
        <v>77</v>
      </c>
      <c r="C26" s="77">
        <f t="shared" si="5"/>
        <v>1</v>
      </c>
      <c r="D26" s="77">
        <f t="shared" si="5"/>
        <v>1</v>
      </c>
      <c r="E26" s="77">
        <f t="shared" si="5"/>
        <v>1</v>
      </c>
      <c r="F26" s="77">
        <f t="shared" si="5"/>
        <v>1</v>
      </c>
      <c r="G26" s="77">
        <f t="shared" si="5"/>
        <v>1</v>
      </c>
      <c r="H26" s="77">
        <f t="shared" si="5"/>
        <v>1</v>
      </c>
      <c r="I26" s="77">
        <f t="shared" si="5"/>
        <v>1</v>
      </c>
      <c r="J26" s="77">
        <f t="shared" si="5"/>
        <v>1</v>
      </c>
      <c r="K26" s="77">
        <f t="shared" si="5"/>
        <v>1</v>
      </c>
      <c r="L26" s="77">
        <f t="shared" si="5"/>
        <v>1</v>
      </c>
      <c r="M26" s="77">
        <f t="shared" si="6"/>
        <v>1</v>
      </c>
      <c r="N26" s="77">
        <f t="shared" si="6"/>
        <v>1</v>
      </c>
      <c r="O26" s="77">
        <f t="shared" si="6"/>
        <v>1</v>
      </c>
      <c r="P26" s="77">
        <f t="shared" si="6"/>
        <v>0</v>
      </c>
      <c r="Q26" s="77">
        <f t="shared" si="6"/>
        <v>0</v>
      </c>
      <c r="R26" s="77">
        <f t="shared" si="6"/>
        <v>0</v>
      </c>
      <c r="S26" s="77">
        <f t="shared" si="6"/>
        <v>0</v>
      </c>
      <c r="T26" s="77">
        <f t="shared" si="6"/>
        <v>0</v>
      </c>
      <c r="U26" s="77">
        <f t="shared" si="6"/>
        <v>0</v>
      </c>
      <c r="V26" s="77">
        <f t="shared" si="6"/>
        <v>0</v>
      </c>
      <c r="X26" s="122" t="s">
        <v>59</v>
      </c>
      <c r="Y26" s="127">
        <f t="shared" si="2"/>
        <v>145</v>
      </c>
      <c r="Z26" s="127">
        <f t="shared" si="3"/>
        <v>99</v>
      </c>
      <c r="AA26" s="147">
        <f t="shared" si="4"/>
        <v>19</v>
      </c>
    </row>
    <row r="27" spans="2:27" ht="15" customHeight="1">
      <c r="B27" s="78">
        <v>78</v>
      </c>
      <c r="C27" s="77">
        <f t="shared" si="5"/>
        <v>1</v>
      </c>
      <c r="D27" s="77">
        <f t="shared" si="5"/>
        <v>1</v>
      </c>
      <c r="E27" s="77">
        <f t="shared" si="5"/>
        <v>1</v>
      </c>
      <c r="F27" s="77">
        <f t="shared" si="5"/>
        <v>1</v>
      </c>
      <c r="G27" s="77">
        <f t="shared" si="5"/>
        <v>1</v>
      </c>
      <c r="H27" s="77">
        <f t="shared" si="5"/>
        <v>1</v>
      </c>
      <c r="I27" s="77">
        <f t="shared" si="5"/>
        <v>1</v>
      </c>
      <c r="J27" s="77">
        <f t="shared" si="5"/>
        <v>1</v>
      </c>
      <c r="K27" s="77">
        <f t="shared" si="5"/>
        <v>1</v>
      </c>
      <c r="L27" s="77">
        <f t="shared" si="5"/>
        <v>1</v>
      </c>
      <c r="M27" s="77">
        <f t="shared" si="6"/>
        <v>1</v>
      </c>
      <c r="N27" s="77">
        <f t="shared" si="6"/>
        <v>1</v>
      </c>
      <c r="O27" s="77">
        <f t="shared" si="6"/>
        <v>1</v>
      </c>
      <c r="P27" s="77">
        <f t="shared" si="6"/>
        <v>1</v>
      </c>
      <c r="Q27" s="77">
        <f t="shared" si="6"/>
        <v>0</v>
      </c>
      <c r="R27" s="77">
        <f t="shared" si="6"/>
        <v>0</v>
      </c>
      <c r="S27" s="77">
        <f t="shared" si="6"/>
        <v>0</v>
      </c>
      <c r="T27" s="77">
        <f t="shared" si="6"/>
        <v>0</v>
      </c>
      <c r="U27" s="77">
        <f t="shared" si="6"/>
        <v>0</v>
      </c>
      <c r="V27" s="77">
        <f t="shared" si="6"/>
        <v>0</v>
      </c>
      <c r="X27" s="122" t="s">
        <v>60</v>
      </c>
      <c r="Y27" s="127">
        <f t="shared" si="2"/>
        <v>11</v>
      </c>
      <c r="Z27" s="127">
        <f t="shared" si="3"/>
        <v>340</v>
      </c>
      <c r="AA27" s="147">
        <f t="shared" si="4"/>
        <v>0</v>
      </c>
    </row>
    <row r="28" spans="2:27" ht="15" customHeight="1">
      <c r="B28" s="78">
        <v>79</v>
      </c>
      <c r="C28" s="77">
        <f t="shared" si="5"/>
        <v>0</v>
      </c>
      <c r="D28" s="77">
        <f t="shared" si="5"/>
        <v>2</v>
      </c>
      <c r="E28" s="77">
        <f t="shared" si="5"/>
        <v>2</v>
      </c>
      <c r="F28" s="77">
        <f t="shared" si="5"/>
        <v>1</v>
      </c>
      <c r="G28" s="77">
        <f t="shared" si="5"/>
        <v>1</v>
      </c>
      <c r="H28" s="77">
        <f t="shared" si="5"/>
        <v>1</v>
      </c>
      <c r="I28" s="77">
        <f t="shared" si="5"/>
        <v>1</v>
      </c>
      <c r="J28" s="77">
        <f t="shared" si="5"/>
        <v>1</v>
      </c>
      <c r="K28" s="77">
        <f t="shared" si="5"/>
        <v>1</v>
      </c>
      <c r="L28" s="77">
        <f t="shared" si="5"/>
        <v>1</v>
      </c>
      <c r="M28" s="77">
        <f t="shared" si="6"/>
        <v>1</v>
      </c>
      <c r="N28" s="77">
        <f t="shared" si="6"/>
        <v>0</v>
      </c>
      <c r="O28" s="77">
        <f t="shared" si="6"/>
        <v>0</v>
      </c>
      <c r="P28" s="77">
        <f t="shared" si="6"/>
        <v>0</v>
      </c>
      <c r="Q28" s="77">
        <f t="shared" si="6"/>
        <v>0</v>
      </c>
      <c r="R28" s="77">
        <f t="shared" si="6"/>
        <v>0</v>
      </c>
      <c r="S28" s="77">
        <f t="shared" si="6"/>
        <v>0</v>
      </c>
      <c r="T28" s="77">
        <f t="shared" si="6"/>
        <v>0</v>
      </c>
      <c r="U28" s="77">
        <f t="shared" si="6"/>
        <v>0</v>
      </c>
      <c r="V28" s="77">
        <f t="shared" si="6"/>
        <v>0</v>
      </c>
      <c r="X28" s="122" t="s">
        <v>60</v>
      </c>
      <c r="Y28" s="127">
        <f t="shared" si="2"/>
        <v>3</v>
      </c>
      <c r="Z28" s="127">
        <f t="shared" si="3"/>
        <v>118</v>
      </c>
      <c r="AA28" s="147">
        <f t="shared" si="4"/>
        <v>1</v>
      </c>
    </row>
    <row r="29" spans="2:27" ht="15" customHeight="1">
      <c r="B29" s="78">
        <v>80</v>
      </c>
      <c r="C29" s="77">
        <f t="shared" ref="C29:L44" si="7">SUMIFS(SumaMI,CentroMI,$B29,TurnoMI,C$8)</f>
        <v>0</v>
      </c>
      <c r="D29" s="77">
        <f t="shared" si="7"/>
        <v>0</v>
      </c>
      <c r="E29" s="77">
        <f t="shared" si="7"/>
        <v>0</v>
      </c>
      <c r="F29" s="77">
        <f t="shared" si="7"/>
        <v>0</v>
      </c>
      <c r="G29" s="77">
        <f t="shared" si="7"/>
        <v>0</v>
      </c>
      <c r="H29" s="77">
        <f t="shared" si="7"/>
        <v>0</v>
      </c>
      <c r="I29" s="77">
        <f t="shared" si="7"/>
        <v>0</v>
      </c>
      <c r="J29" s="77">
        <f t="shared" si="7"/>
        <v>0</v>
      </c>
      <c r="K29" s="77">
        <f t="shared" si="7"/>
        <v>0</v>
      </c>
      <c r="L29" s="77">
        <f t="shared" si="7"/>
        <v>0</v>
      </c>
      <c r="M29" s="77">
        <f t="shared" ref="M29:V44" si="8">SUMIFS(SumaMI,CentroMI,$B29,TurnoMI,M$8)</f>
        <v>0</v>
      </c>
      <c r="N29" s="77">
        <f t="shared" si="8"/>
        <v>0</v>
      </c>
      <c r="O29" s="77">
        <f t="shared" si="8"/>
        <v>0</v>
      </c>
      <c r="P29" s="77">
        <f t="shared" si="8"/>
        <v>0</v>
      </c>
      <c r="Q29" s="77">
        <f t="shared" si="8"/>
        <v>0</v>
      </c>
      <c r="R29" s="77">
        <f t="shared" si="8"/>
        <v>0</v>
      </c>
      <c r="S29" s="77">
        <f t="shared" si="8"/>
        <v>0</v>
      </c>
      <c r="T29" s="77">
        <f t="shared" si="8"/>
        <v>0</v>
      </c>
      <c r="U29" s="77">
        <f t="shared" si="8"/>
        <v>0</v>
      </c>
      <c r="V29" s="77">
        <f t="shared" si="8"/>
        <v>0</v>
      </c>
      <c r="X29" s="122" t="s">
        <v>61</v>
      </c>
      <c r="Y29" s="127">
        <f t="shared" si="2"/>
        <v>0</v>
      </c>
      <c r="Z29" s="127">
        <f t="shared" si="3"/>
        <v>0</v>
      </c>
      <c r="AA29" s="147">
        <f t="shared" si="4"/>
        <v>0</v>
      </c>
    </row>
    <row r="30" spans="2:27" ht="15" customHeight="1">
      <c r="B30" s="78">
        <v>81</v>
      </c>
      <c r="C30" s="77">
        <f t="shared" si="7"/>
        <v>0</v>
      </c>
      <c r="D30" s="77">
        <f t="shared" si="7"/>
        <v>0</v>
      </c>
      <c r="E30" s="77">
        <f t="shared" si="7"/>
        <v>0</v>
      </c>
      <c r="F30" s="77">
        <f t="shared" si="7"/>
        <v>0</v>
      </c>
      <c r="G30" s="77">
        <f t="shared" si="7"/>
        <v>0</v>
      </c>
      <c r="H30" s="77">
        <f t="shared" si="7"/>
        <v>0</v>
      </c>
      <c r="I30" s="77">
        <f t="shared" si="7"/>
        <v>0</v>
      </c>
      <c r="J30" s="77">
        <f t="shared" si="7"/>
        <v>0</v>
      </c>
      <c r="K30" s="77">
        <f t="shared" si="7"/>
        <v>0</v>
      </c>
      <c r="L30" s="77">
        <f t="shared" si="7"/>
        <v>0</v>
      </c>
      <c r="M30" s="77">
        <f t="shared" si="8"/>
        <v>0</v>
      </c>
      <c r="N30" s="77">
        <f t="shared" si="8"/>
        <v>0</v>
      </c>
      <c r="O30" s="77">
        <f t="shared" si="8"/>
        <v>0</v>
      </c>
      <c r="P30" s="77">
        <f t="shared" si="8"/>
        <v>0</v>
      </c>
      <c r="Q30" s="77">
        <f t="shared" si="8"/>
        <v>0</v>
      </c>
      <c r="R30" s="77">
        <f t="shared" si="8"/>
        <v>0</v>
      </c>
      <c r="S30" s="77">
        <f t="shared" si="8"/>
        <v>0</v>
      </c>
      <c r="T30" s="77">
        <f t="shared" si="8"/>
        <v>0</v>
      </c>
      <c r="U30" s="77">
        <f t="shared" si="8"/>
        <v>0</v>
      </c>
      <c r="V30" s="77">
        <f t="shared" si="8"/>
        <v>0</v>
      </c>
      <c r="X30" s="122" t="s">
        <v>61</v>
      </c>
      <c r="Y30" s="127">
        <f t="shared" si="2"/>
        <v>0</v>
      </c>
      <c r="Z30" s="127">
        <f t="shared" si="3"/>
        <v>0</v>
      </c>
      <c r="AA30" s="147">
        <f t="shared" si="4"/>
        <v>0</v>
      </c>
    </row>
    <row r="31" spans="2:27" ht="15" customHeight="1">
      <c r="B31" s="78">
        <v>82</v>
      </c>
      <c r="C31" s="77">
        <f t="shared" si="7"/>
        <v>0</v>
      </c>
      <c r="D31" s="77">
        <f t="shared" si="7"/>
        <v>0</v>
      </c>
      <c r="E31" s="77">
        <f t="shared" si="7"/>
        <v>0</v>
      </c>
      <c r="F31" s="77">
        <f t="shared" si="7"/>
        <v>0</v>
      </c>
      <c r="G31" s="77">
        <f t="shared" si="7"/>
        <v>0</v>
      </c>
      <c r="H31" s="77">
        <f t="shared" si="7"/>
        <v>0</v>
      </c>
      <c r="I31" s="77">
        <f t="shared" si="7"/>
        <v>0</v>
      </c>
      <c r="J31" s="77">
        <f t="shared" si="7"/>
        <v>0</v>
      </c>
      <c r="K31" s="77">
        <f t="shared" si="7"/>
        <v>0</v>
      </c>
      <c r="L31" s="77">
        <f t="shared" si="7"/>
        <v>0</v>
      </c>
      <c r="M31" s="77">
        <f t="shared" si="8"/>
        <v>0</v>
      </c>
      <c r="N31" s="77">
        <f t="shared" si="8"/>
        <v>0</v>
      </c>
      <c r="O31" s="77">
        <f t="shared" si="8"/>
        <v>0</v>
      </c>
      <c r="P31" s="77">
        <f t="shared" si="8"/>
        <v>0</v>
      </c>
      <c r="Q31" s="77">
        <f t="shared" si="8"/>
        <v>0</v>
      </c>
      <c r="R31" s="77">
        <f t="shared" si="8"/>
        <v>0</v>
      </c>
      <c r="S31" s="77">
        <f t="shared" si="8"/>
        <v>0</v>
      </c>
      <c r="T31" s="77">
        <f t="shared" si="8"/>
        <v>0</v>
      </c>
      <c r="U31" s="77">
        <f t="shared" si="8"/>
        <v>0</v>
      </c>
      <c r="V31" s="77">
        <f t="shared" si="8"/>
        <v>0</v>
      </c>
      <c r="X31" s="122" t="s">
        <v>61</v>
      </c>
      <c r="Y31" s="127">
        <f t="shared" si="2"/>
        <v>0</v>
      </c>
      <c r="Z31" s="127">
        <f t="shared" si="3"/>
        <v>0</v>
      </c>
      <c r="AA31" s="147">
        <f t="shared" si="4"/>
        <v>0</v>
      </c>
    </row>
    <row r="32" spans="2:27" ht="15" customHeight="1">
      <c r="B32" s="78">
        <v>83</v>
      </c>
      <c r="C32" s="77">
        <f t="shared" si="7"/>
        <v>0</v>
      </c>
      <c r="D32" s="77">
        <f t="shared" si="7"/>
        <v>0</v>
      </c>
      <c r="E32" s="77">
        <f t="shared" si="7"/>
        <v>0</v>
      </c>
      <c r="F32" s="77">
        <f t="shared" si="7"/>
        <v>0</v>
      </c>
      <c r="G32" s="77">
        <f t="shared" si="7"/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X32" s="122" t="s">
        <v>61</v>
      </c>
      <c r="Y32" s="127">
        <f t="shared" si="2"/>
        <v>0</v>
      </c>
      <c r="Z32" s="127">
        <f t="shared" si="3"/>
        <v>0</v>
      </c>
      <c r="AA32" s="147">
        <f t="shared" si="4"/>
        <v>0</v>
      </c>
    </row>
    <row r="33" spans="2:27" ht="15" customHeight="1">
      <c r="B33" s="78">
        <v>84</v>
      </c>
      <c r="C33" s="77">
        <f t="shared" si="7"/>
        <v>0</v>
      </c>
      <c r="D33" s="77">
        <f t="shared" si="7"/>
        <v>0</v>
      </c>
      <c r="E33" s="77">
        <f t="shared" si="7"/>
        <v>0</v>
      </c>
      <c r="F33" s="77">
        <f t="shared" si="7"/>
        <v>0</v>
      </c>
      <c r="G33" s="77">
        <f t="shared" si="7"/>
        <v>0</v>
      </c>
      <c r="H33" s="77">
        <f t="shared" si="7"/>
        <v>0</v>
      </c>
      <c r="I33" s="77">
        <f t="shared" si="7"/>
        <v>0</v>
      </c>
      <c r="J33" s="77">
        <f t="shared" si="7"/>
        <v>0</v>
      </c>
      <c r="K33" s="77">
        <f t="shared" si="7"/>
        <v>0</v>
      </c>
      <c r="L33" s="77">
        <f t="shared" si="7"/>
        <v>0</v>
      </c>
      <c r="M33" s="77">
        <f t="shared" si="8"/>
        <v>0</v>
      </c>
      <c r="N33" s="77">
        <f t="shared" si="8"/>
        <v>0</v>
      </c>
      <c r="O33" s="77">
        <f t="shared" si="8"/>
        <v>0</v>
      </c>
      <c r="P33" s="77">
        <f t="shared" si="8"/>
        <v>0</v>
      </c>
      <c r="Q33" s="77">
        <f t="shared" si="8"/>
        <v>0</v>
      </c>
      <c r="R33" s="77">
        <f t="shared" si="8"/>
        <v>0</v>
      </c>
      <c r="S33" s="77">
        <f t="shared" si="8"/>
        <v>0</v>
      </c>
      <c r="T33" s="77">
        <f t="shared" si="8"/>
        <v>0</v>
      </c>
      <c r="U33" s="77">
        <f t="shared" si="8"/>
        <v>0</v>
      </c>
      <c r="V33" s="77">
        <f t="shared" si="8"/>
        <v>0</v>
      </c>
      <c r="X33" s="122" t="s">
        <v>61</v>
      </c>
      <c r="Y33" s="127">
        <f t="shared" si="2"/>
        <v>0</v>
      </c>
      <c r="Z33" s="127">
        <f t="shared" si="3"/>
        <v>0</v>
      </c>
      <c r="AA33" s="147">
        <f t="shared" si="4"/>
        <v>0</v>
      </c>
    </row>
    <row r="34" spans="2:27" ht="15" customHeight="1">
      <c r="B34" s="78">
        <v>85</v>
      </c>
      <c r="C34" s="77">
        <f t="shared" si="7"/>
        <v>0</v>
      </c>
      <c r="D34" s="77">
        <f t="shared" si="7"/>
        <v>0</v>
      </c>
      <c r="E34" s="77">
        <f t="shared" si="7"/>
        <v>0</v>
      </c>
      <c r="F34" s="77">
        <f t="shared" si="7"/>
        <v>0</v>
      </c>
      <c r="G34" s="77">
        <f t="shared" si="7"/>
        <v>0</v>
      </c>
      <c r="H34" s="77">
        <f t="shared" si="7"/>
        <v>0</v>
      </c>
      <c r="I34" s="77">
        <f t="shared" si="7"/>
        <v>0</v>
      </c>
      <c r="J34" s="77">
        <f t="shared" si="7"/>
        <v>0</v>
      </c>
      <c r="K34" s="77">
        <f t="shared" si="7"/>
        <v>0</v>
      </c>
      <c r="L34" s="77">
        <f t="shared" si="7"/>
        <v>0</v>
      </c>
      <c r="M34" s="77">
        <f t="shared" si="8"/>
        <v>0</v>
      </c>
      <c r="N34" s="77">
        <f t="shared" si="8"/>
        <v>0</v>
      </c>
      <c r="O34" s="77">
        <f t="shared" si="8"/>
        <v>0</v>
      </c>
      <c r="P34" s="77">
        <f t="shared" si="8"/>
        <v>0</v>
      </c>
      <c r="Q34" s="77">
        <f t="shared" si="8"/>
        <v>0</v>
      </c>
      <c r="R34" s="77">
        <f t="shared" si="8"/>
        <v>0</v>
      </c>
      <c r="S34" s="77">
        <f t="shared" si="8"/>
        <v>0</v>
      </c>
      <c r="T34" s="77">
        <f t="shared" si="8"/>
        <v>0</v>
      </c>
      <c r="U34" s="77">
        <f t="shared" si="8"/>
        <v>0</v>
      </c>
      <c r="V34" s="77">
        <f t="shared" si="8"/>
        <v>0</v>
      </c>
      <c r="X34" s="122" t="s">
        <v>61</v>
      </c>
      <c r="Y34" s="127">
        <f t="shared" si="2"/>
        <v>0</v>
      </c>
      <c r="Z34" s="127">
        <f t="shared" si="3"/>
        <v>0</v>
      </c>
      <c r="AA34" s="147">
        <f t="shared" si="4"/>
        <v>0</v>
      </c>
    </row>
    <row r="35" spans="2:27" ht="15" customHeight="1">
      <c r="B35" s="78">
        <v>86</v>
      </c>
      <c r="C35" s="77">
        <f t="shared" si="7"/>
        <v>1</v>
      </c>
      <c r="D35" s="77">
        <f t="shared" si="7"/>
        <v>1</v>
      </c>
      <c r="E35" s="77">
        <f t="shared" si="7"/>
        <v>1</v>
      </c>
      <c r="F35" s="77">
        <f t="shared" si="7"/>
        <v>1</v>
      </c>
      <c r="G35" s="77">
        <f t="shared" si="7"/>
        <v>1</v>
      </c>
      <c r="H35" s="77">
        <f t="shared" si="7"/>
        <v>1</v>
      </c>
      <c r="I35" s="77">
        <f t="shared" si="7"/>
        <v>1</v>
      </c>
      <c r="J35" s="77">
        <f t="shared" si="7"/>
        <v>3</v>
      </c>
      <c r="K35" s="77">
        <f t="shared" si="7"/>
        <v>0</v>
      </c>
      <c r="L35" s="77">
        <f t="shared" si="7"/>
        <v>1</v>
      </c>
      <c r="M35" s="77">
        <f t="shared" si="8"/>
        <v>0</v>
      </c>
      <c r="N35" s="77">
        <f t="shared" si="8"/>
        <v>1</v>
      </c>
      <c r="O35" s="77">
        <f t="shared" si="8"/>
        <v>1</v>
      </c>
      <c r="P35" s="77">
        <f t="shared" si="8"/>
        <v>0</v>
      </c>
      <c r="Q35" s="77">
        <f t="shared" si="8"/>
        <v>0</v>
      </c>
      <c r="R35" s="77">
        <f t="shared" si="8"/>
        <v>0</v>
      </c>
      <c r="S35" s="77">
        <f t="shared" si="8"/>
        <v>0</v>
      </c>
      <c r="T35" s="77">
        <f t="shared" si="8"/>
        <v>0</v>
      </c>
      <c r="U35" s="77">
        <f t="shared" si="8"/>
        <v>0</v>
      </c>
      <c r="V35" s="77">
        <f t="shared" si="8"/>
        <v>0</v>
      </c>
      <c r="X35" s="122" t="s">
        <v>62</v>
      </c>
      <c r="Y35" s="127">
        <f t="shared" si="2"/>
        <v>234</v>
      </c>
      <c r="Z35" s="127">
        <f t="shared" si="3"/>
        <v>38</v>
      </c>
      <c r="AA35" s="147">
        <f t="shared" si="4"/>
        <v>54</v>
      </c>
    </row>
    <row r="36" spans="2:27" ht="15" customHeight="1">
      <c r="B36" s="78">
        <v>87</v>
      </c>
      <c r="C36" s="77">
        <f t="shared" si="7"/>
        <v>1</v>
      </c>
      <c r="D36" s="77">
        <f t="shared" si="7"/>
        <v>1</v>
      </c>
      <c r="E36" s="77">
        <f t="shared" si="7"/>
        <v>1</v>
      </c>
      <c r="F36" s="77">
        <f t="shared" si="7"/>
        <v>1</v>
      </c>
      <c r="G36" s="77">
        <f t="shared" si="7"/>
        <v>1</v>
      </c>
      <c r="H36" s="77">
        <f t="shared" si="7"/>
        <v>1</v>
      </c>
      <c r="I36" s="77">
        <f t="shared" si="7"/>
        <v>1</v>
      </c>
      <c r="J36" s="77">
        <f t="shared" si="7"/>
        <v>1</v>
      </c>
      <c r="K36" s="77">
        <f t="shared" si="7"/>
        <v>1</v>
      </c>
      <c r="L36" s="77">
        <f t="shared" si="7"/>
        <v>1</v>
      </c>
      <c r="M36" s="77">
        <f t="shared" si="8"/>
        <v>1</v>
      </c>
      <c r="N36" s="77">
        <f t="shared" si="8"/>
        <v>1</v>
      </c>
      <c r="O36" s="77">
        <f t="shared" si="8"/>
        <v>1</v>
      </c>
      <c r="P36" s="77">
        <f t="shared" si="8"/>
        <v>0</v>
      </c>
      <c r="Q36" s="77">
        <f t="shared" si="8"/>
        <v>0</v>
      </c>
      <c r="R36" s="77">
        <f t="shared" si="8"/>
        <v>0</v>
      </c>
      <c r="S36" s="77">
        <f t="shared" si="8"/>
        <v>0</v>
      </c>
      <c r="T36" s="77">
        <f t="shared" si="8"/>
        <v>0</v>
      </c>
      <c r="U36" s="77">
        <f t="shared" si="8"/>
        <v>0</v>
      </c>
      <c r="V36" s="77">
        <f t="shared" si="8"/>
        <v>0</v>
      </c>
      <c r="X36" s="122" t="s">
        <v>62</v>
      </c>
      <c r="Y36" s="127">
        <f t="shared" si="2"/>
        <v>238</v>
      </c>
      <c r="Z36" s="127">
        <f t="shared" si="3"/>
        <v>22</v>
      </c>
      <c r="AA36" s="147">
        <f t="shared" si="4"/>
        <v>65</v>
      </c>
    </row>
    <row r="37" spans="2:27" ht="15" customHeight="1">
      <c r="B37" s="78">
        <v>88</v>
      </c>
      <c r="C37" s="77">
        <f t="shared" si="7"/>
        <v>1</v>
      </c>
      <c r="D37" s="77">
        <f t="shared" si="7"/>
        <v>1</v>
      </c>
      <c r="E37" s="77">
        <f t="shared" si="7"/>
        <v>1</v>
      </c>
      <c r="F37" s="77">
        <f t="shared" si="7"/>
        <v>1</v>
      </c>
      <c r="G37" s="77">
        <f t="shared" si="7"/>
        <v>1</v>
      </c>
      <c r="H37" s="77">
        <f t="shared" si="7"/>
        <v>1</v>
      </c>
      <c r="I37" s="77">
        <f t="shared" si="7"/>
        <v>1</v>
      </c>
      <c r="J37" s="77">
        <f t="shared" si="7"/>
        <v>1</v>
      </c>
      <c r="K37" s="77">
        <f t="shared" si="7"/>
        <v>1</v>
      </c>
      <c r="L37" s="77">
        <f t="shared" si="7"/>
        <v>1</v>
      </c>
      <c r="M37" s="77">
        <f t="shared" si="8"/>
        <v>1</v>
      </c>
      <c r="N37" s="77">
        <f t="shared" si="8"/>
        <v>1</v>
      </c>
      <c r="O37" s="77">
        <f t="shared" si="8"/>
        <v>2</v>
      </c>
      <c r="P37" s="77">
        <f t="shared" si="8"/>
        <v>1</v>
      </c>
      <c r="Q37" s="77">
        <f t="shared" si="8"/>
        <v>0</v>
      </c>
      <c r="R37" s="77">
        <f t="shared" si="8"/>
        <v>0</v>
      </c>
      <c r="S37" s="77">
        <f t="shared" si="8"/>
        <v>0</v>
      </c>
      <c r="T37" s="77">
        <f t="shared" si="8"/>
        <v>0</v>
      </c>
      <c r="U37" s="77">
        <f t="shared" si="8"/>
        <v>0</v>
      </c>
      <c r="V37" s="77">
        <f t="shared" si="8"/>
        <v>0</v>
      </c>
      <c r="X37" s="122" t="s">
        <v>62</v>
      </c>
      <c r="Y37" s="127">
        <f t="shared" si="2"/>
        <v>273</v>
      </c>
      <c r="Z37" s="127">
        <f t="shared" si="3"/>
        <v>35</v>
      </c>
      <c r="AA37" s="147">
        <f t="shared" si="4"/>
        <v>65</v>
      </c>
    </row>
    <row r="38" spans="2:27" ht="15" customHeight="1">
      <c r="B38" s="78">
        <v>89</v>
      </c>
      <c r="C38" s="77">
        <f t="shared" si="7"/>
        <v>1</v>
      </c>
      <c r="D38" s="77">
        <f t="shared" si="7"/>
        <v>1</v>
      </c>
      <c r="E38" s="77">
        <f t="shared" si="7"/>
        <v>1</v>
      </c>
      <c r="F38" s="77">
        <f t="shared" si="7"/>
        <v>1</v>
      </c>
      <c r="G38" s="77">
        <f t="shared" si="7"/>
        <v>1</v>
      </c>
      <c r="H38" s="77">
        <f t="shared" si="7"/>
        <v>1</v>
      </c>
      <c r="I38" s="77">
        <f t="shared" si="7"/>
        <v>1</v>
      </c>
      <c r="J38" s="77">
        <f t="shared" si="7"/>
        <v>1</v>
      </c>
      <c r="K38" s="77">
        <f t="shared" si="7"/>
        <v>1</v>
      </c>
      <c r="L38" s="77">
        <f t="shared" si="7"/>
        <v>1</v>
      </c>
      <c r="M38" s="77">
        <f t="shared" si="8"/>
        <v>2</v>
      </c>
      <c r="N38" s="77">
        <f t="shared" si="8"/>
        <v>1</v>
      </c>
      <c r="O38" s="77">
        <f t="shared" si="8"/>
        <v>0</v>
      </c>
      <c r="P38" s="77">
        <f t="shared" si="8"/>
        <v>0</v>
      </c>
      <c r="Q38" s="77">
        <f t="shared" si="8"/>
        <v>0</v>
      </c>
      <c r="R38" s="77">
        <f t="shared" si="8"/>
        <v>0</v>
      </c>
      <c r="S38" s="77">
        <f t="shared" si="8"/>
        <v>0</v>
      </c>
      <c r="T38" s="77">
        <f t="shared" si="8"/>
        <v>0</v>
      </c>
      <c r="U38" s="77">
        <f t="shared" si="8"/>
        <v>0</v>
      </c>
      <c r="V38" s="77">
        <f t="shared" si="8"/>
        <v>0</v>
      </c>
      <c r="X38" s="122" t="s">
        <v>63</v>
      </c>
      <c r="Y38" s="127">
        <f t="shared" si="2"/>
        <v>197</v>
      </c>
      <c r="Z38" s="127">
        <f t="shared" si="3"/>
        <v>120</v>
      </c>
      <c r="AA38" s="147">
        <f t="shared" si="4"/>
        <v>0</v>
      </c>
    </row>
    <row r="39" spans="2:27" ht="15" customHeight="1">
      <c r="B39" s="78">
        <v>90</v>
      </c>
      <c r="C39" s="77">
        <f t="shared" si="7"/>
        <v>1</v>
      </c>
      <c r="D39" s="77">
        <f t="shared" si="7"/>
        <v>1</v>
      </c>
      <c r="E39" s="77">
        <f t="shared" si="7"/>
        <v>1</v>
      </c>
      <c r="F39" s="77">
        <f t="shared" si="7"/>
        <v>1</v>
      </c>
      <c r="G39" s="77">
        <f t="shared" si="7"/>
        <v>1</v>
      </c>
      <c r="H39" s="77">
        <f t="shared" si="7"/>
        <v>1</v>
      </c>
      <c r="I39" s="77">
        <f t="shared" si="7"/>
        <v>1</v>
      </c>
      <c r="J39" s="77">
        <f t="shared" si="7"/>
        <v>1</v>
      </c>
      <c r="K39" s="77">
        <f t="shared" si="7"/>
        <v>1</v>
      </c>
      <c r="L39" s="77">
        <f t="shared" si="7"/>
        <v>1</v>
      </c>
      <c r="M39" s="77">
        <f t="shared" si="8"/>
        <v>1</v>
      </c>
      <c r="N39" s="77">
        <f t="shared" si="8"/>
        <v>1</v>
      </c>
      <c r="O39" s="77">
        <f t="shared" si="8"/>
        <v>1</v>
      </c>
      <c r="P39" s="77">
        <f t="shared" si="8"/>
        <v>1</v>
      </c>
      <c r="Q39" s="77">
        <f t="shared" si="8"/>
        <v>1</v>
      </c>
      <c r="R39" s="77">
        <f t="shared" si="8"/>
        <v>1</v>
      </c>
      <c r="S39" s="77">
        <f t="shared" si="8"/>
        <v>1</v>
      </c>
      <c r="T39" s="77">
        <f t="shared" si="8"/>
        <v>0</v>
      </c>
      <c r="U39" s="77">
        <f t="shared" si="8"/>
        <v>0</v>
      </c>
      <c r="V39" s="77">
        <f t="shared" si="8"/>
        <v>0</v>
      </c>
      <c r="X39" s="122" t="s">
        <v>63</v>
      </c>
      <c r="Y39" s="127">
        <f t="shared" si="2"/>
        <v>306</v>
      </c>
      <c r="Z39" s="127">
        <f t="shared" si="3"/>
        <v>117</v>
      </c>
      <c r="AA39" s="147">
        <f t="shared" si="4"/>
        <v>3</v>
      </c>
    </row>
    <row r="40" spans="2:27" ht="15" customHeight="1">
      <c r="B40" s="78">
        <v>91</v>
      </c>
      <c r="C40" s="77">
        <f t="shared" si="7"/>
        <v>3</v>
      </c>
      <c r="D40" s="77">
        <f t="shared" si="7"/>
        <v>2</v>
      </c>
      <c r="E40" s="77">
        <f t="shared" si="7"/>
        <v>2</v>
      </c>
      <c r="F40" s="77">
        <f t="shared" si="7"/>
        <v>2</v>
      </c>
      <c r="G40" s="77">
        <f t="shared" si="7"/>
        <v>1</v>
      </c>
      <c r="H40" s="77">
        <f t="shared" si="7"/>
        <v>1</v>
      </c>
      <c r="I40" s="77">
        <f t="shared" si="7"/>
        <v>1</v>
      </c>
      <c r="J40" s="77">
        <f t="shared" si="7"/>
        <v>1</v>
      </c>
      <c r="K40" s="77">
        <f t="shared" si="7"/>
        <v>1</v>
      </c>
      <c r="L40" s="77">
        <f t="shared" si="7"/>
        <v>1</v>
      </c>
      <c r="M40" s="77">
        <f t="shared" si="8"/>
        <v>1</v>
      </c>
      <c r="N40" s="77">
        <f t="shared" si="8"/>
        <v>0</v>
      </c>
      <c r="O40" s="77">
        <f t="shared" si="8"/>
        <v>0</v>
      </c>
      <c r="P40" s="77">
        <f t="shared" si="8"/>
        <v>0</v>
      </c>
      <c r="Q40" s="77">
        <f t="shared" si="8"/>
        <v>0</v>
      </c>
      <c r="R40" s="77">
        <f t="shared" si="8"/>
        <v>0</v>
      </c>
      <c r="S40" s="77">
        <f t="shared" si="8"/>
        <v>0</v>
      </c>
      <c r="T40" s="77">
        <f t="shared" si="8"/>
        <v>0</v>
      </c>
      <c r="U40" s="77">
        <f t="shared" si="8"/>
        <v>0</v>
      </c>
      <c r="V40" s="77">
        <f t="shared" si="8"/>
        <v>0</v>
      </c>
      <c r="X40" s="122" t="s">
        <v>63</v>
      </c>
      <c r="Y40" s="127">
        <f t="shared" si="2"/>
        <v>243</v>
      </c>
      <c r="Z40" s="127">
        <f t="shared" si="3"/>
        <v>150</v>
      </c>
      <c r="AA40" s="147">
        <f t="shared" si="4"/>
        <v>6</v>
      </c>
    </row>
    <row r="41" spans="2:27" ht="15" customHeight="1">
      <c r="B41" s="78">
        <v>92</v>
      </c>
      <c r="C41" s="77">
        <f t="shared" si="7"/>
        <v>0</v>
      </c>
      <c r="D41" s="77">
        <f t="shared" si="7"/>
        <v>0</v>
      </c>
      <c r="E41" s="77">
        <f t="shared" si="7"/>
        <v>0</v>
      </c>
      <c r="F41" s="77">
        <f t="shared" si="7"/>
        <v>0</v>
      </c>
      <c r="G41" s="77">
        <f t="shared" si="7"/>
        <v>0</v>
      </c>
      <c r="H41" s="77">
        <f t="shared" si="7"/>
        <v>0</v>
      </c>
      <c r="I41" s="77">
        <f t="shared" si="7"/>
        <v>0</v>
      </c>
      <c r="J41" s="77">
        <f t="shared" si="7"/>
        <v>0</v>
      </c>
      <c r="K41" s="77">
        <f t="shared" si="7"/>
        <v>0</v>
      </c>
      <c r="L41" s="77">
        <f t="shared" si="7"/>
        <v>0</v>
      </c>
      <c r="M41" s="77">
        <f t="shared" si="8"/>
        <v>0</v>
      </c>
      <c r="N41" s="77">
        <f t="shared" si="8"/>
        <v>0</v>
      </c>
      <c r="O41" s="77">
        <f t="shared" si="8"/>
        <v>0</v>
      </c>
      <c r="P41" s="77">
        <f t="shared" si="8"/>
        <v>0</v>
      </c>
      <c r="Q41" s="77">
        <f t="shared" si="8"/>
        <v>0</v>
      </c>
      <c r="R41" s="77">
        <f t="shared" si="8"/>
        <v>0</v>
      </c>
      <c r="S41" s="77">
        <f t="shared" si="8"/>
        <v>0</v>
      </c>
      <c r="T41" s="77">
        <f t="shared" si="8"/>
        <v>0</v>
      </c>
      <c r="U41" s="77">
        <f t="shared" si="8"/>
        <v>0</v>
      </c>
      <c r="V41" s="77">
        <f t="shared" si="8"/>
        <v>0</v>
      </c>
      <c r="X41" s="122" t="s">
        <v>64</v>
      </c>
      <c r="Y41" s="127">
        <f t="shared" ref="Y41:Y75" si="9">SUMIF(CentroMI,$B41,Diosdado_Cabello)</f>
        <v>0</v>
      </c>
      <c r="Z41" s="127">
        <f t="shared" ref="Z41:Z75" si="10">SUMIF(CentroMI,$B41,Henrique_Capriles_Radonski)</f>
        <v>0</v>
      </c>
      <c r="AA41" s="147">
        <f t="shared" si="4"/>
        <v>0</v>
      </c>
    </row>
    <row r="42" spans="2:27" ht="15" customHeight="1">
      <c r="B42" s="78">
        <v>93</v>
      </c>
      <c r="C42" s="77">
        <f t="shared" si="7"/>
        <v>0</v>
      </c>
      <c r="D42" s="77">
        <f t="shared" si="7"/>
        <v>0</v>
      </c>
      <c r="E42" s="77">
        <f t="shared" si="7"/>
        <v>0</v>
      </c>
      <c r="F42" s="77">
        <f t="shared" si="7"/>
        <v>0</v>
      </c>
      <c r="G42" s="77">
        <f t="shared" si="7"/>
        <v>0</v>
      </c>
      <c r="H42" s="77">
        <f t="shared" si="7"/>
        <v>0</v>
      </c>
      <c r="I42" s="77">
        <f t="shared" si="7"/>
        <v>0</v>
      </c>
      <c r="J42" s="77">
        <f t="shared" si="7"/>
        <v>0</v>
      </c>
      <c r="K42" s="77">
        <f t="shared" si="7"/>
        <v>0</v>
      </c>
      <c r="L42" s="77">
        <f t="shared" si="7"/>
        <v>0</v>
      </c>
      <c r="M42" s="77">
        <f t="shared" si="8"/>
        <v>0</v>
      </c>
      <c r="N42" s="77">
        <f t="shared" si="8"/>
        <v>0</v>
      </c>
      <c r="O42" s="77">
        <f t="shared" si="8"/>
        <v>0</v>
      </c>
      <c r="P42" s="77">
        <f t="shared" si="8"/>
        <v>0</v>
      </c>
      <c r="Q42" s="77">
        <f t="shared" si="8"/>
        <v>0</v>
      </c>
      <c r="R42" s="77">
        <f t="shared" si="8"/>
        <v>0</v>
      </c>
      <c r="S42" s="77">
        <f t="shared" si="8"/>
        <v>0</v>
      </c>
      <c r="T42" s="77">
        <f t="shared" si="8"/>
        <v>0</v>
      </c>
      <c r="U42" s="77">
        <f t="shared" si="8"/>
        <v>0</v>
      </c>
      <c r="V42" s="77">
        <f t="shared" si="8"/>
        <v>0</v>
      </c>
      <c r="X42" s="122" t="s">
        <v>64</v>
      </c>
      <c r="Y42" s="127">
        <f t="shared" si="9"/>
        <v>0</v>
      </c>
      <c r="Z42" s="127">
        <f t="shared" si="10"/>
        <v>0</v>
      </c>
      <c r="AA42" s="147">
        <f t="shared" si="4"/>
        <v>0</v>
      </c>
    </row>
    <row r="43" spans="2:27" ht="15" customHeight="1">
      <c r="B43" s="78">
        <v>94</v>
      </c>
      <c r="C43" s="77">
        <f t="shared" si="7"/>
        <v>3</v>
      </c>
      <c r="D43" s="77">
        <f t="shared" si="7"/>
        <v>1</v>
      </c>
      <c r="E43" s="77">
        <f t="shared" si="7"/>
        <v>0</v>
      </c>
      <c r="F43" s="77">
        <f t="shared" si="7"/>
        <v>0</v>
      </c>
      <c r="G43" s="77">
        <f t="shared" si="7"/>
        <v>0</v>
      </c>
      <c r="H43" s="77">
        <f t="shared" si="7"/>
        <v>0</v>
      </c>
      <c r="I43" s="77">
        <f t="shared" si="7"/>
        <v>0</v>
      </c>
      <c r="J43" s="77">
        <f t="shared" si="7"/>
        <v>0</v>
      </c>
      <c r="K43" s="77">
        <f t="shared" si="7"/>
        <v>0</v>
      </c>
      <c r="L43" s="77">
        <f t="shared" si="7"/>
        <v>0</v>
      </c>
      <c r="M43" s="77">
        <f t="shared" si="8"/>
        <v>0</v>
      </c>
      <c r="N43" s="77">
        <f t="shared" si="8"/>
        <v>0</v>
      </c>
      <c r="O43" s="77">
        <f t="shared" si="8"/>
        <v>0</v>
      </c>
      <c r="P43" s="77">
        <f t="shared" si="8"/>
        <v>0</v>
      </c>
      <c r="Q43" s="77">
        <f t="shared" si="8"/>
        <v>0</v>
      </c>
      <c r="R43" s="77">
        <f t="shared" si="8"/>
        <v>0</v>
      </c>
      <c r="S43" s="77">
        <f t="shared" si="8"/>
        <v>0</v>
      </c>
      <c r="T43" s="77">
        <f t="shared" si="8"/>
        <v>0</v>
      </c>
      <c r="U43" s="77">
        <f t="shared" si="8"/>
        <v>0</v>
      </c>
      <c r="V43" s="77">
        <f t="shared" si="8"/>
        <v>0</v>
      </c>
      <c r="X43" s="122" t="s">
        <v>65</v>
      </c>
      <c r="Y43" s="127">
        <f t="shared" si="9"/>
        <v>62</v>
      </c>
      <c r="Z43" s="127">
        <f t="shared" si="10"/>
        <v>38</v>
      </c>
      <c r="AA43" s="147">
        <f t="shared" si="4"/>
        <v>0</v>
      </c>
    </row>
    <row r="44" spans="2:27" ht="15" customHeight="1">
      <c r="B44" s="78">
        <v>95</v>
      </c>
      <c r="C44" s="77">
        <f t="shared" si="7"/>
        <v>2</v>
      </c>
      <c r="D44" s="77">
        <f t="shared" si="7"/>
        <v>1</v>
      </c>
      <c r="E44" s="77">
        <f t="shared" si="7"/>
        <v>1</v>
      </c>
      <c r="F44" s="77">
        <f t="shared" si="7"/>
        <v>0</v>
      </c>
      <c r="G44" s="77">
        <f t="shared" si="7"/>
        <v>1</v>
      </c>
      <c r="H44" s="77">
        <f t="shared" si="7"/>
        <v>1</v>
      </c>
      <c r="I44" s="77">
        <f t="shared" si="7"/>
        <v>0</v>
      </c>
      <c r="J44" s="77">
        <f t="shared" si="7"/>
        <v>0</v>
      </c>
      <c r="K44" s="77">
        <f t="shared" si="7"/>
        <v>2</v>
      </c>
      <c r="L44" s="77">
        <f t="shared" si="7"/>
        <v>2</v>
      </c>
      <c r="M44" s="77">
        <f t="shared" si="8"/>
        <v>2</v>
      </c>
      <c r="N44" s="77">
        <f t="shared" si="8"/>
        <v>2</v>
      </c>
      <c r="O44" s="77">
        <f t="shared" si="8"/>
        <v>2</v>
      </c>
      <c r="P44" s="77">
        <f t="shared" si="8"/>
        <v>1</v>
      </c>
      <c r="Q44" s="77">
        <f t="shared" si="8"/>
        <v>0</v>
      </c>
      <c r="R44" s="77">
        <f t="shared" si="8"/>
        <v>0</v>
      </c>
      <c r="S44" s="77">
        <f t="shared" si="8"/>
        <v>0</v>
      </c>
      <c r="T44" s="77">
        <f t="shared" si="8"/>
        <v>0</v>
      </c>
      <c r="U44" s="77">
        <f t="shared" si="8"/>
        <v>0</v>
      </c>
      <c r="V44" s="77">
        <f t="shared" si="8"/>
        <v>0</v>
      </c>
      <c r="X44" s="122" t="s">
        <v>65</v>
      </c>
      <c r="Y44" s="127">
        <f t="shared" si="9"/>
        <v>300</v>
      </c>
      <c r="Z44" s="127">
        <f t="shared" si="10"/>
        <v>139</v>
      </c>
      <c r="AA44" s="147">
        <f t="shared" si="4"/>
        <v>0</v>
      </c>
    </row>
    <row r="45" spans="2:27" ht="15" customHeight="1">
      <c r="B45" s="78">
        <v>96</v>
      </c>
      <c r="C45" s="77">
        <f t="shared" ref="C45:R69" si="11">SUMIFS(SumaMI,CentroMI,$B45,TurnoMI,C$8)</f>
        <v>0</v>
      </c>
      <c r="D45" s="77">
        <f t="shared" si="11"/>
        <v>1</v>
      </c>
      <c r="E45" s="77">
        <f t="shared" si="11"/>
        <v>1</v>
      </c>
      <c r="F45" s="77">
        <f t="shared" si="11"/>
        <v>1</v>
      </c>
      <c r="G45" s="77">
        <f t="shared" si="11"/>
        <v>1</v>
      </c>
      <c r="H45" s="77">
        <f t="shared" si="11"/>
        <v>1</v>
      </c>
      <c r="I45" s="77">
        <f t="shared" si="11"/>
        <v>1</v>
      </c>
      <c r="J45" s="77">
        <f t="shared" si="11"/>
        <v>1</v>
      </c>
      <c r="K45" s="77">
        <f t="shared" si="11"/>
        <v>1</v>
      </c>
      <c r="L45" s="77">
        <f t="shared" si="11"/>
        <v>1</v>
      </c>
      <c r="M45" s="77">
        <f t="shared" si="11"/>
        <v>2</v>
      </c>
      <c r="N45" s="77">
        <f t="shared" si="11"/>
        <v>1</v>
      </c>
      <c r="O45" s="77">
        <f t="shared" si="11"/>
        <v>1</v>
      </c>
      <c r="P45" s="77">
        <f t="shared" si="11"/>
        <v>0</v>
      </c>
      <c r="Q45" s="77">
        <f t="shared" si="11"/>
        <v>0</v>
      </c>
      <c r="R45" s="77">
        <f t="shared" si="11"/>
        <v>0</v>
      </c>
      <c r="S45" s="77">
        <f t="shared" ref="M45:V71" si="12">SUMIFS(SumaMI,CentroMI,$B45,TurnoMI,S$8)</f>
        <v>0</v>
      </c>
      <c r="T45" s="77">
        <f t="shared" si="12"/>
        <v>0</v>
      </c>
      <c r="U45" s="77">
        <f t="shared" si="12"/>
        <v>0</v>
      </c>
      <c r="V45" s="77">
        <f t="shared" si="12"/>
        <v>0</v>
      </c>
      <c r="X45" s="122" t="s">
        <v>66</v>
      </c>
      <c r="Y45" s="127">
        <f t="shared" si="9"/>
        <v>36</v>
      </c>
      <c r="Z45" s="127">
        <f t="shared" si="10"/>
        <v>95</v>
      </c>
      <c r="AA45" s="147">
        <f t="shared" si="4"/>
        <v>6</v>
      </c>
    </row>
    <row r="46" spans="2:27" ht="15" customHeight="1">
      <c r="B46" s="78">
        <v>97</v>
      </c>
      <c r="C46" s="77">
        <f t="shared" si="11"/>
        <v>0</v>
      </c>
      <c r="D46" s="77">
        <f t="shared" si="11"/>
        <v>1</v>
      </c>
      <c r="E46" s="77">
        <f t="shared" si="11"/>
        <v>1</v>
      </c>
      <c r="F46" s="77">
        <f t="shared" si="11"/>
        <v>1</v>
      </c>
      <c r="G46" s="77">
        <f t="shared" si="11"/>
        <v>1</v>
      </c>
      <c r="H46" s="77">
        <f t="shared" si="11"/>
        <v>1</v>
      </c>
      <c r="I46" s="77">
        <f t="shared" si="11"/>
        <v>1</v>
      </c>
      <c r="J46" s="77">
        <f t="shared" si="11"/>
        <v>1</v>
      </c>
      <c r="K46" s="77">
        <f t="shared" si="11"/>
        <v>1</v>
      </c>
      <c r="L46" s="77">
        <f t="shared" si="11"/>
        <v>1</v>
      </c>
      <c r="M46" s="77">
        <f t="shared" si="12"/>
        <v>1</v>
      </c>
      <c r="N46" s="77">
        <f t="shared" si="12"/>
        <v>1</v>
      </c>
      <c r="O46" s="77">
        <f t="shared" si="12"/>
        <v>1</v>
      </c>
      <c r="P46" s="77">
        <f t="shared" si="12"/>
        <v>1</v>
      </c>
      <c r="Q46" s="77">
        <f t="shared" si="12"/>
        <v>0</v>
      </c>
      <c r="R46" s="77">
        <f t="shared" si="12"/>
        <v>0</v>
      </c>
      <c r="S46" s="77">
        <f t="shared" si="12"/>
        <v>0</v>
      </c>
      <c r="T46" s="77">
        <f t="shared" si="12"/>
        <v>0</v>
      </c>
      <c r="U46" s="77">
        <f t="shared" si="12"/>
        <v>0</v>
      </c>
      <c r="V46" s="77">
        <f t="shared" si="12"/>
        <v>0</v>
      </c>
      <c r="X46" s="122" t="s">
        <v>66</v>
      </c>
      <c r="Y46" s="127">
        <f t="shared" si="9"/>
        <v>166</v>
      </c>
      <c r="Z46" s="127">
        <f t="shared" si="10"/>
        <v>42</v>
      </c>
      <c r="AA46" s="147">
        <f t="shared" si="4"/>
        <v>0</v>
      </c>
    </row>
    <row r="47" spans="2:27" ht="15" customHeight="1">
      <c r="B47" s="78">
        <v>98</v>
      </c>
      <c r="C47" s="77">
        <f t="shared" si="11"/>
        <v>1</v>
      </c>
      <c r="D47" s="77">
        <f t="shared" si="11"/>
        <v>0</v>
      </c>
      <c r="E47" s="77">
        <f t="shared" si="11"/>
        <v>0</v>
      </c>
      <c r="F47" s="77">
        <f t="shared" si="11"/>
        <v>1</v>
      </c>
      <c r="G47" s="77">
        <f t="shared" si="11"/>
        <v>1</v>
      </c>
      <c r="H47" s="77">
        <f t="shared" si="11"/>
        <v>1</v>
      </c>
      <c r="I47" s="77">
        <f t="shared" si="11"/>
        <v>1</v>
      </c>
      <c r="J47" s="77">
        <f t="shared" si="11"/>
        <v>1</v>
      </c>
      <c r="K47" s="77">
        <f t="shared" si="11"/>
        <v>1</v>
      </c>
      <c r="L47" s="77">
        <f t="shared" si="11"/>
        <v>1</v>
      </c>
      <c r="M47" s="77">
        <f t="shared" si="12"/>
        <v>1</v>
      </c>
      <c r="N47" s="77">
        <f t="shared" si="12"/>
        <v>1</v>
      </c>
      <c r="O47" s="77">
        <f t="shared" si="12"/>
        <v>0</v>
      </c>
      <c r="P47" s="77">
        <f t="shared" si="12"/>
        <v>0</v>
      </c>
      <c r="Q47" s="77">
        <f t="shared" si="12"/>
        <v>0</v>
      </c>
      <c r="R47" s="77">
        <f t="shared" si="12"/>
        <v>0</v>
      </c>
      <c r="S47" s="77">
        <f t="shared" si="12"/>
        <v>0</v>
      </c>
      <c r="T47" s="77">
        <f t="shared" si="12"/>
        <v>0</v>
      </c>
      <c r="U47" s="77">
        <f t="shared" si="12"/>
        <v>0</v>
      </c>
      <c r="V47" s="77">
        <f t="shared" si="12"/>
        <v>0</v>
      </c>
      <c r="X47" s="122" t="s">
        <v>66</v>
      </c>
      <c r="Y47" s="127">
        <f t="shared" si="9"/>
        <v>46</v>
      </c>
      <c r="Z47" s="127">
        <f t="shared" si="10"/>
        <v>56</v>
      </c>
      <c r="AA47" s="147">
        <f t="shared" si="4"/>
        <v>0</v>
      </c>
    </row>
    <row r="48" spans="2:27" ht="15" customHeight="1">
      <c r="B48" s="78">
        <v>99</v>
      </c>
      <c r="C48" s="77">
        <f t="shared" si="11"/>
        <v>2</v>
      </c>
      <c r="D48" s="77">
        <f t="shared" si="11"/>
        <v>1</v>
      </c>
      <c r="E48" s="77">
        <f t="shared" si="11"/>
        <v>1</v>
      </c>
      <c r="F48" s="77">
        <f t="shared" si="11"/>
        <v>0</v>
      </c>
      <c r="G48" s="77">
        <f t="shared" si="11"/>
        <v>2</v>
      </c>
      <c r="H48" s="77">
        <f t="shared" si="11"/>
        <v>0</v>
      </c>
      <c r="I48" s="77">
        <f t="shared" si="11"/>
        <v>0</v>
      </c>
      <c r="J48" s="77">
        <f t="shared" si="11"/>
        <v>1</v>
      </c>
      <c r="K48" s="77">
        <f t="shared" si="11"/>
        <v>1</v>
      </c>
      <c r="L48" s="77">
        <f t="shared" si="11"/>
        <v>1</v>
      </c>
      <c r="M48" s="77">
        <f t="shared" si="12"/>
        <v>1</v>
      </c>
      <c r="N48" s="77">
        <f t="shared" si="12"/>
        <v>0</v>
      </c>
      <c r="O48" s="77">
        <f t="shared" si="12"/>
        <v>1</v>
      </c>
      <c r="P48" s="77">
        <f t="shared" si="12"/>
        <v>0</v>
      </c>
      <c r="Q48" s="77">
        <f t="shared" si="12"/>
        <v>0</v>
      </c>
      <c r="R48" s="77">
        <f t="shared" si="12"/>
        <v>0</v>
      </c>
      <c r="S48" s="77">
        <f t="shared" si="12"/>
        <v>0</v>
      </c>
      <c r="T48" s="77">
        <f t="shared" si="12"/>
        <v>0</v>
      </c>
      <c r="U48" s="77">
        <f t="shared" si="12"/>
        <v>0</v>
      </c>
      <c r="V48" s="77">
        <f t="shared" si="12"/>
        <v>0</v>
      </c>
      <c r="X48" s="122" t="s">
        <v>66</v>
      </c>
      <c r="Y48" s="127">
        <f t="shared" si="9"/>
        <v>111</v>
      </c>
      <c r="Z48" s="127">
        <f t="shared" si="10"/>
        <v>64</v>
      </c>
      <c r="AA48" s="147">
        <f t="shared" si="4"/>
        <v>4</v>
      </c>
    </row>
    <row r="49" spans="2:27" ht="15" customHeight="1">
      <c r="B49" s="78">
        <v>100</v>
      </c>
      <c r="C49" s="77">
        <f t="shared" si="11"/>
        <v>1</v>
      </c>
      <c r="D49" s="77">
        <f t="shared" si="11"/>
        <v>1</v>
      </c>
      <c r="E49" s="77">
        <f t="shared" si="11"/>
        <v>1</v>
      </c>
      <c r="F49" s="77">
        <f t="shared" si="11"/>
        <v>0</v>
      </c>
      <c r="G49" s="77">
        <f t="shared" si="11"/>
        <v>0</v>
      </c>
      <c r="H49" s="77">
        <f t="shared" si="11"/>
        <v>1</v>
      </c>
      <c r="I49" s="77">
        <f t="shared" si="11"/>
        <v>1</v>
      </c>
      <c r="J49" s="77">
        <f t="shared" si="11"/>
        <v>1</v>
      </c>
      <c r="K49" s="77">
        <f t="shared" si="11"/>
        <v>1</v>
      </c>
      <c r="L49" s="77">
        <f t="shared" si="11"/>
        <v>1</v>
      </c>
      <c r="M49" s="77">
        <f t="shared" si="12"/>
        <v>1</v>
      </c>
      <c r="N49" s="77">
        <f t="shared" si="12"/>
        <v>0</v>
      </c>
      <c r="O49" s="77">
        <f t="shared" si="12"/>
        <v>1</v>
      </c>
      <c r="P49" s="77">
        <f t="shared" si="12"/>
        <v>0</v>
      </c>
      <c r="Q49" s="77">
        <f t="shared" si="12"/>
        <v>0</v>
      </c>
      <c r="R49" s="77">
        <f t="shared" si="12"/>
        <v>0</v>
      </c>
      <c r="S49" s="77">
        <f t="shared" si="12"/>
        <v>0</v>
      </c>
      <c r="T49" s="77">
        <f t="shared" si="12"/>
        <v>0</v>
      </c>
      <c r="U49" s="77">
        <f t="shared" si="12"/>
        <v>0</v>
      </c>
      <c r="V49" s="77">
        <f t="shared" si="12"/>
        <v>0</v>
      </c>
      <c r="X49" s="122" t="s">
        <v>66</v>
      </c>
      <c r="Y49" s="127">
        <f t="shared" si="9"/>
        <v>60</v>
      </c>
      <c r="Z49" s="127">
        <f t="shared" si="10"/>
        <v>30</v>
      </c>
      <c r="AA49" s="147">
        <f t="shared" si="4"/>
        <v>0</v>
      </c>
    </row>
    <row r="50" spans="2:27" ht="15" customHeight="1">
      <c r="B50" s="78">
        <v>101</v>
      </c>
      <c r="C50" s="77">
        <f t="shared" si="11"/>
        <v>0</v>
      </c>
      <c r="D50" s="77">
        <f t="shared" si="11"/>
        <v>0</v>
      </c>
      <c r="E50" s="77">
        <f t="shared" si="11"/>
        <v>0</v>
      </c>
      <c r="F50" s="77">
        <f t="shared" si="11"/>
        <v>1</v>
      </c>
      <c r="G50" s="77">
        <f t="shared" si="11"/>
        <v>1</v>
      </c>
      <c r="H50" s="77">
        <f t="shared" si="11"/>
        <v>1</v>
      </c>
      <c r="I50" s="77">
        <f t="shared" si="11"/>
        <v>1</v>
      </c>
      <c r="J50" s="77">
        <f t="shared" si="11"/>
        <v>1</v>
      </c>
      <c r="K50" s="77">
        <f t="shared" si="11"/>
        <v>0</v>
      </c>
      <c r="L50" s="77">
        <f t="shared" si="11"/>
        <v>0</v>
      </c>
      <c r="M50" s="77">
        <f t="shared" si="12"/>
        <v>0</v>
      </c>
      <c r="N50" s="77">
        <f t="shared" si="12"/>
        <v>0</v>
      </c>
      <c r="O50" s="77">
        <f t="shared" si="12"/>
        <v>0</v>
      </c>
      <c r="P50" s="77">
        <f t="shared" si="12"/>
        <v>0</v>
      </c>
      <c r="Q50" s="77">
        <f t="shared" si="12"/>
        <v>0</v>
      </c>
      <c r="R50" s="77">
        <f t="shared" si="12"/>
        <v>0</v>
      </c>
      <c r="S50" s="77">
        <f t="shared" si="12"/>
        <v>0</v>
      </c>
      <c r="T50" s="77">
        <f t="shared" si="12"/>
        <v>0</v>
      </c>
      <c r="U50" s="77">
        <f t="shared" si="12"/>
        <v>0</v>
      </c>
      <c r="V50" s="77">
        <f t="shared" si="12"/>
        <v>0</v>
      </c>
      <c r="X50" s="122" t="s">
        <v>47</v>
      </c>
      <c r="Y50" s="127">
        <f t="shared" si="9"/>
        <v>13</v>
      </c>
      <c r="Z50" s="127">
        <f t="shared" si="10"/>
        <v>42</v>
      </c>
      <c r="AA50" s="147">
        <f t="shared" si="4"/>
        <v>0</v>
      </c>
    </row>
    <row r="51" spans="2:27" ht="15" customHeight="1">
      <c r="B51" s="78">
        <v>102</v>
      </c>
      <c r="C51" s="77">
        <f t="shared" si="11"/>
        <v>1</v>
      </c>
      <c r="D51" s="77">
        <f t="shared" si="11"/>
        <v>0</v>
      </c>
      <c r="E51" s="77">
        <f t="shared" si="11"/>
        <v>1</v>
      </c>
      <c r="F51" s="77">
        <f t="shared" si="11"/>
        <v>1</v>
      </c>
      <c r="G51" s="77">
        <f t="shared" si="11"/>
        <v>1</v>
      </c>
      <c r="H51" s="77">
        <f t="shared" si="11"/>
        <v>2</v>
      </c>
      <c r="I51" s="77">
        <f t="shared" si="11"/>
        <v>1</v>
      </c>
      <c r="J51" s="77">
        <f t="shared" si="11"/>
        <v>0</v>
      </c>
      <c r="K51" s="77">
        <f t="shared" si="11"/>
        <v>0</v>
      </c>
      <c r="L51" s="77">
        <f t="shared" si="11"/>
        <v>0</v>
      </c>
      <c r="M51" s="77">
        <f t="shared" si="12"/>
        <v>0</v>
      </c>
      <c r="N51" s="77">
        <f t="shared" si="12"/>
        <v>0</v>
      </c>
      <c r="O51" s="77">
        <f t="shared" si="12"/>
        <v>0</v>
      </c>
      <c r="P51" s="77">
        <f t="shared" si="12"/>
        <v>0</v>
      </c>
      <c r="Q51" s="77">
        <f t="shared" si="12"/>
        <v>0</v>
      </c>
      <c r="R51" s="77">
        <f t="shared" si="12"/>
        <v>0</v>
      </c>
      <c r="S51" s="77">
        <f t="shared" si="12"/>
        <v>0</v>
      </c>
      <c r="T51" s="77">
        <f t="shared" si="12"/>
        <v>0</v>
      </c>
      <c r="U51" s="77">
        <f t="shared" si="12"/>
        <v>0</v>
      </c>
      <c r="V51" s="77">
        <f t="shared" si="12"/>
        <v>0</v>
      </c>
      <c r="X51" s="122" t="s">
        <v>47</v>
      </c>
      <c r="Y51" s="127">
        <f t="shared" si="9"/>
        <v>55</v>
      </c>
      <c r="Z51" s="127">
        <f t="shared" si="10"/>
        <v>66</v>
      </c>
      <c r="AA51" s="147">
        <f t="shared" si="4"/>
        <v>5</v>
      </c>
    </row>
    <row r="52" spans="2:27" ht="15" customHeight="1">
      <c r="B52" s="78">
        <v>103</v>
      </c>
      <c r="C52" s="77">
        <f t="shared" si="11"/>
        <v>0</v>
      </c>
      <c r="D52" s="77">
        <f t="shared" si="11"/>
        <v>0</v>
      </c>
      <c r="E52" s="77">
        <f t="shared" si="11"/>
        <v>0</v>
      </c>
      <c r="F52" s="77">
        <f t="shared" si="11"/>
        <v>0</v>
      </c>
      <c r="G52" s="77">
        <f t="shared" si="11"/>
        <v>0</v>
      </c>
      <c r="H52" s="77">
        <f t="shared" si="11"/>
        <v>0</v>
      </c>
      <c r="I52" s="77">
        <f t="shared" si="11"/>
        <v>0</v>
      </c>
      <c r="J52" s="77">
        <f t="shared" si="11"/>
        <v>0</v>
      </c>
      <c r="K52" s="77">
        <f t="shared" si="11"/>
        <v>1</v>
      </c>
      <c r="L52" s="77">
        <f t="shared" si="11"/>
        <v>0</v>
      </c>
      <c r="M52" s="77">
        <f t="shared" si="12"/>
        <v>0</v>
      </c>
      <c r="N52" s="77">
        <f t="shared" si="12"/>
        <v>0</v>
      </c>
      <c r="O52" s="77">
        <f t="shared" si="12"/>
        <v>0</v>
      </c>
      <c r="P52" s="77">
        <f t="shared" si="12"/>
        <v>0</v>
      </c>
      <c r="Q52" s="77">
        <f t="shared" si="12"/>
        <v>0</v>
      </c>
      <c r="R52" s="77">
        <f t="shared" si="12"/>
        <v>0</v>
      </c>
      <c r="S52" s="77">
        <f t="shared" si="12"/>
        <v>0</v>
      </c>
      <c r="T52" s="77">
        <f t="shared" si="12"/>
        <v>0</v>
      </c>
      <c r="U52" s="77">
        <f t="shared" si="12"/>
        <v>0</v>
      </c>
      <c r="V52" s="77">
        <f t="shared" si="12"/>
        <v>0</v>
      </c>
      <c r="X52" s="122" t="s">
        <v>47</v>
      </c>
      <c r="Y52" s="127">
        <f t="shared" si="9"/>
        <v>2</v>
      </c>
      <c r="Z52" s="127">
        <f t="shared" si="10"/>
        <v>8</v>
      </c>
      <c r="AA52" s="147">
        <f t="shared" si="4"/>
        <v>2</v>
      </c>
    </row>
    <row r="53" spans="2:27" ht="15" customHeight="1">
      <c r="B53" s="78">
        <v>104</v>
      </c>
      <c r="C53" s="77">
        <f t="shared" si="11"/>
        <v>0</v>
      </c>
      <c r="D53" s="77">
        <f t="shared" si="11"/>
        <v>2</v>
      </c>
      <c r="E53" s="77">
        <f t="shared" si="11"/>
        <v>0</v>
      </c>
      <c r="F53" s="77">
        <f t="shared" si="11"/>
        <v>1</v>
      </c>
      <c r="G53" s="77">
        <f t="shared" si="11"/>
        <v>1</v>
      </c>
      <c r="H53" s="77">
        <f t="shared" si="11"/>
        <v>1</v>
      </c>
      <c r="I53" s="77">
        <f t="shared" si="11"/>
        <v>0</v>
      </c>
      <c r="J53" s="77">
        <f t="shared" si="11"/>
        <v>1</v>
      </c>
      <c r="K53" s="77">
        <f t="shared" si="11"/>
        <v>0</v>
      </c>
      <c r="L53" s="77">
        <f t="shared" si="11"/>
        <v>0</v>
      </c>
      <c r="M53" s="77">
        <f t="shared" si="12"/>
        <v>0</v>
      </c>
      <c r="N53" s="77">
        <f t="shared" si="12"/>
        <v>0</v>
      </c>
      <c r="O53" s="77">
        <f t="shared" si="12"/>
        <v>0</v>
      </c>
      <c r="P53" s="77">
        <f t="shared" si="12"/>
        <v>0</v>
      </c>
      <c r="Q53" s="77">
        <f t="shared" si="12"/>
        <v>0</v>
      </c>
      <c r="R53" s="77">
        <f t="shared" si="12"/>
        <v>0</v>
      </c>
      <c r="S53" s="77">
        <f t="shared" si="12"/>
        <v>0</v>
      </c>
      <c r="T53" s="77">
        <f t="shared" si="12"/>
        <v>0</v>
      </c>
      <c r="U53" s="77">
        <f t="shared" si="12"/>
        <v>0</v>
      </c>
      <c r="V53" s="77">
        <f t="shared" si="12"/>
        <v>0</v>
      </c>
      <c r="X53" s="122" t="s">
        <v>47</v>
      </c>
      <c r="Y53" s="127">
        <f t="shared" si="9"/>
        <v>32</v>
      </c>
      <c r="Z53" s="127">
        <f t="shared" si="10"/>
        <v>11</v>
      </c>
      <c r="AA53" s="147">
        <f t="shared" si="4"/>
        <v>1</v>
      </c>
    </row>
    <row r="54" spans="2:27" ht="15" customHeight="1">
      <c r="B54" s="78">
        <v>105</v>
      </c>
      <c r="C54" s="77">
        <f t="shared" si="11"/>
        <v>0</v>
      </c>
      <c r="D54" s="77">
        <f t="shared" si="11"/>
        <v>1</v>
      </c>
      <c r="E54" s="77">
        <f t="shared" si="11"/>
        <v>1</v>
      </c>
      <c r="F54" s="77">
        <f t="shared" si="11"/>
        <v>1</v>
      </c>
      <c r="G54" s="77">
        <f t="shared" si="11"/>
        <v>1</v>
      </c>
      <c r="H54" s="77">
        <f t="shared" si="11"/>
        <v>2</v>
      </c>
      <c r="I54" s="77">
        <f t="shared" si="11"/>
        <v>1</v>
      </c>
      <c r="J54" s="77">
        <f t="shared" si="11"/>
        <v>1</v>
      </c>
      <c r="K54" s="77">
        <f t="shared" si="11"/>
        <v>1</v>
      </c>
      <c r="L54" s="77">
        <f t="shared" si="11"/>
        <v>1</v>
      </c>
      <c r="M54" s="77">
        <f t="shared" si="12"/>
        <v>1</v>
      </c>
      <c r="N54" s="77">
        <f t="shared" si="12"/>
        <v>1</v>
      </c>
      <c r="O54" s="77">
        <f t="shared" si="12"/>
        <v>1</v>
      </c>
      <c r="P54" s="77">
        <f t="shared" si="12"/>
        <v>0</v>
      </c>
      <c r="Q54" s="77">
        <f t="shared" si="12"/>
        <v>0</v>
      </c>
      <c r="R54" s="77">
        <f t="shared" si="12"/>
        <v>0</v>
      </c>
      <c r="S54" s="77">
        <f t="shared" si="12"/>
        <v>0</v>
      </c>
      <c r="T54" s="77">
        <f t="shared" si="12"/>
        <v>0</v>
      </c>
      <c r="U54" s="77">
        <f t="shared" si="12"/>
        <v>0</v>
      </c>
      <c r="V54" s="77">
        <f t="shared" si="12"/>
        <v>0</v>
      </c>
      <c r="X54" s="122" t="s">
        <v>47</v>
      </c>
      <c r="Y54" s="127">
        <f t="shared" si="9"/>
        <v>149</v>
      </c>
      <c r="Z54" s="127">
        <f t="shared" si="10"/>
        <v>41</v>
      </c>
      <c r="AA54" s="147">
        <f t="shared" si="4"/>
        <v>0</v>
      </c>
    </row>
    <row r="55" spans="2:27" ht="15" customHeight="1">
      <c r="B55" s="78">
        <v>106</v>
      </c>
      <c r="C55" s="77">
        <f t="shared" si="11"/>
        <v>0</v>
      </c>
      <c r="D55" s="77">
        <f t="shared" si="11"/>
        <v>0</v>
      </c>
      <c r="E55" s="77">
        <f t="shared" si="11"/>
        <v>2</v>
      </c>
      <c r="F55" s="77">
        <f t="shared" si="11"/>
        <v>2</v>
      </c>
      <c r="G55" s="77">
        <f t="shared" si="11"/>
        <v>2</v>
      </c>
      <c r="H55" s="77">
        <f t="shared" si="11"/>
        <v>2</v>
      </c>
      <c r="I55" s="77">
        <f t="shared" si="11"/>
        <v>2</v>
      </c>
      <c r="J55" s="77">
        <f t="shared" si="11"/>
        <v>2</v>
      </c>
      <c r="K55" s="77">
        <f t="shared" si="11"/>
        <v>2</v>
      </c>
      <c r="L55" s="77">
        <f t="shared" si="11"/>
        <v>1</v>
      </c>
      <c r="M55" s="77">
        <f t="shared" si="12"/>
        <v>1</v>
      </c>
      <c r="N55" s="77">
        <f t="shared" si="12"/>
        <v>1</v>
      </c>
      <c r="O55" s="77">
        <f t="shared" si="12"/>
        <v>1</v>
      </c>
      <c r="P55" s="77">
        <f t="shared" si="12"/>
        <v>0</v>
      </c>
      <c r="Q55" s="77">
        <f t="shared" si="12"/>
        <v>0</v>
      </c>
      <c r="R55" s="77">
        <f t="shared" si="12"/>
        <v>0</v>
      </c>
      <c r="S55" s="77">
        <f t="shared" si="12"/>
        <v>0</v>
      </c>
      <c r="T55" s="77">
        <f t="shared" si="12"/>
        <v>0</v>
      </c>
      <c r="U55" s="77">
        <f t="shared" si="12"/>
        <v>0</v>
      </c>
      <c r="V55" s="77">
        <f t="shared" si="12"/>
        <v>0</v>
      </c>
      <c r="X55" s="122" t="s">
        <v>47</v>
      </c>
      <c r="Y55" s="127">
        <f t="shared" si="9"/>
        <v>247</v>
      </c>
      <c r="Z55" s="127">
        <f t="shared" si="10"/>
        <v>39</v>
      </c>
      <c r="AA55" s="147">
        <f t="shared" si="4"/>
        <v>7</v>
      </c>
    </row>
    <row r="56" spans="2:27" ht="15" customHeight="1">
      <c r="B56" s="78">
        <v>107</v>
      </c>
      <c r="C56" s="77">
        <f t="shared" si="11"/>
        <v>0</v>
      </c>
      <c r="D56" s="77">
        <f t="shared" si="11"/>
        <v>0</v>
      </c>
      <c r="E56" s="77">
        <f t="shared" si="11"/>
        <v>0</v>
      </c>
      <c r="F56" s="77">
        <f t="shared" si="11"/>
        <v>0</v>
      </c>
      <c r="G56" s="77">
        <f t="shared" si="11"/>
        <v>0</v>
      </c>
      <c r="H56" s="77">
        <f t="shared" si="11"/>
        <v>0</v>
      </c>
      <c r="I56" s="77">
        <f t="shared" si="11"/>
        <v>0</v>
      </c>
      <c r="J56" s="77">
        <f t="shared" si="11"/>
        <v>0</v>
      </c>
      <c r="K56" s="77">
        <f t="shared" si="11"/>
        <v>0</v>
      </c>
      <c r="L56" s="77">
        <f t="shared" si="11"/>
        <v>0</v>
      </c>
      <c r="M56" s="77">
        <f t="shared" si="12"/>
        <v>0</v>
      </c>
      <c r="N56" s="77">
        <f t="shared" si="12"/>
        <v>0</v>
      </c>
      <c r="O56" s="77">
        <f t="shared" si="12"/>
        <v>0</v>
      </c>
      <c r="P56" s="77">
        <f t="shared" si="12"/>
        <v>0</v>
      </c>
      <c r="Q56" s="77">
        <f t="shared" si="12"/>
        <v>0</v>
      </c>
      <c r="R56" s="77">
        <f t="shared" si="12"/>
        <v>0</v>
      </c>
      <c r="S56" s="77">
        <f t="shared" si="12"/>
        <v>0</v>
      </c>
      <c r="T56" s="77">
        <f t="shared" si="12"/>
        <v>0</v>
      </c>
      <c r="U56" s="77">
        <f t="shared" si="12"/>
        <v>0</v>
      </c>
      <c r="V56" s="77">
        <f t="shared" si="12"/>
        <v>0</v>
      </c>
      <c r="X56" s="122" t="s">
        <v>47</v>
      </c>
      <c r="Y56" s="127">
        <f t="shared" si="9"/>
        <v>0</v>
      </c>
      <c r="Z56" s="127">
        <f t="shared" si="10"/>
        <v>0</v>
      </c>
      <c r="AA56" s="147">
        <f t="shared" si="4"/>
        <v>0</v>
      </c>
    </row>
    <row r="57" spans="2:27" ht="15" customHeight="1">
      <c r="B57" s="78">
        <v>108</v>
      </c>
      <c r="C57" s="77">
        <f t="shared" si="11"/>
        <v>0</v>
      </c>
      <c r="D57" s="77">
        <f t="shared" si="11"/>
        <v>0</v>
      </c>
      <c r="E57" s="77">
        <f t="shared" si="11"/>
        <v>0</v>
      </c>
      <c r="F57" s="77">
        <f t="shared" si="11"/>
        <v>0</v>
      </c>
      <c r="G57" s="77">
        <f t="shared" si="11"/>
        <v>0</v>
      </c>
      <c r="H57" s="77">
        <f t="shared" si="11"/>
        <v>0</v>
      </c>
      <c r="I57" s="77">
        <f t="shared" si="11"/>
        <v>0</v>
      </c>
      <c r="J57" s="77">
        <f t="shared" si="11"/>
        <v>0</v>
      </c>
      <c r="K57" s="77">
        <f t="shared" si="11"/>
        <v>0</v>
      </c>
      <c r="L57" s="77">
        <f t="shared" si="11"/>
        <v>0</v>
      </c>
      <c r="M57" s="77">
        <f t="shared" si="12"/>
        <v>0</v>
      </c>
      <c r="N57" s="77">
        <f t="shared" si="12"/>
        <v>0</v>
      </c>
      <c r="O57" s="77">
        <f t="shared" si="12"/>
        <v>0</v>
      </c>
      <c r="P57" s="77">
        <f t="shared" si="12"/>
        <v>0</v>
      </c>
      <c r="Q57" s="77">
        <f t="shared" si="12"/>
        <v>0</v>
      </c>
      <c r="R57" s="77">
        <f t="shared" si="12"/>
        <v>0</v>
      </c>
      <c r="S57" s="77">
        <f t="shared" si="12"/>
        <v>0</v>
      </c>
      <c r="T57" s="77">
        <f t="shared" si="12"/>
        <v>0</v>
      </c>
      <c r="U57" s="77">
        <f t="shared" si="12"/>
        <v>0</v>
      </c>
      <c r="V57" s="77">
        <f t="shared" si="12"/>
        <v>0</v>
      </c>
      <c r="X57" s="122" t="s">
        <v>47</v>
      </c>
      <c r="Y57" s="127">
        <f t="shared" si="9"/>
        <v>0</v>
      </c>
      <c r="Z57" s="127">
        <f t="shared" si="10"/>
        <v>0</v>
      </c>
      <c r="AA57" s="147">
        <f t="shared" si="4"/>
        <v>0</v>
      </c>
    </row>
    <row r="58" spans="2:27" ht="15" customHeight="1">
      <c r="B58" s="78">
        <v>109</v>
      </c>
      <c r="C58" s="77">
        <f t="shared" si="11"/>
        <v>0</v>
      </c>
      <c r="D58" s="77">
        <f t="shared" si="11"/>
        <v>1</v>
      </c>
      <c r="E58" s="77">
        <f t="shared" si="11"/>
        <v>1</v>
      </c>
      <c r="F58" s="77">
        <f t="shared" si="11"/>
        <v>0</v>
      </c>
      <c r="G58" s="77">
        <f t="shared" si="11"/>
        <v>1</v>
      </c>
      <c r="H58" s="77">
        <f t="shared" si="11"/>
        <v>1</v>
      </c>
      <c r="I58" s="77">
        <f t="shared" si="11"/>
        <v>2</v>
      </c>
      <c r="J58" s="77">
        <f t="shared" si="11"/>
        <v>1</v>
      </c>
      <c r="K58" s="77">
        <f t="shared" si="11"/>
        <v>1</v>
      </c>
      <c r="L58" s="77">
        <f t="shared" si="11"/>
        <v>1</v>
      </c>
      <c r="M58" s="77">
        <f t="shared" si="12"/>
        <v>1</v>
      </c>
      <c r="N58" s="77">
        <f t="shared" si="12"/>
        <v>1</v>
      </c>
      <c r="O58" s="77">
        <f t="shared" si="12"/>
        <v>1</v>
      </c>
      <c r="P58" s="77">
        <f t="shared" si="12"/>
        <v>1</v>
      </c>
      <c r="Q58" s="77">
        <f t="shared" si="12"/>
        <v>0</v>
      </c>
      <c r="R58" s="77">
        <f t="shared" si="12"/>
        <v>0</v>
      </c>
      <c r="S58" s="77">
        <f t="shared" si="12"/>
        <v>0</v>
      </c>
      <c r="T58" s="77">
        <f t="shared" si="12"/>
        <v>0</v>
      </c>
      <c r="U58" s="77">
        <f t="shared" si="12"/>
        <v>0</v>
      </c>
      <c r="V58" s="77">
        <f t="shared" si="12"/>
        <v>0</v>
      </c>
      <c r="X58" s="122" t="s">
        <v>47</v>
      </c>
      <c r="Y58" s="127">
        <f t="shared" si="9"/>
        <v>228</v>
      </c>
      <c r="Z58" s="127">
        <f t="shared" si="10"/>
        <v>125</v>
      </c>
      <c r="AA58" s="147">
        <f t="shared" si="4"/>
        <v>13</v>
      </c>
    </row>
    <row r="59" spans="2:27" ht="15" customHeight="1">
      <c r="B59" s="78">
        <v>110</v>
      </c>
      <c r="C59" s="77">
        <f t="shared" si="11"/>
        <v>0</v>
      </c>
      <c r="D59" s="77">
        <f t="shared" si="11"/>
        <v>0</v>
      </c>
      <c r="E59" s="77">
        <f t="shared" si="11"/>
        <v>0</v>
      </c>
      <c r="F59" s="77">
        <f t="shared" si="11"/>
        <v>0</v>
      </c>
      <c r="G59" s="77">
        <f t="shared" si="11"/>
        <v>0</v>
      </c>
      <c r="H59" s="77">
        <f t="shared" si="11"/>
        <v>0</v>
      </c>
      <c r="I59" s="77">
        <f t="shared" si="11"/>
        <v>0</v>
      </c>
      <c r="J59" s="77">
        <f t="shared" si="11"/>
        <v>0</v>
      </c>
      <c r="K59" s="77">
        <f t="shared" si="11"/>
        <v>0</v>
      </c>
      <c r="L59" s="77">
        <f t="shared" si="11"/>
        <v>0</v>
      </c>
      <c r="M59" s="77">
        <f t="shared" si="12"/>
        <v>0</v>
      </c>
      <c r="N59" s="77">
        <f t="shared" si="12"/>
        <v>0</v>
      </c>
      <c r="O59" s="77">
        <f t="shared" si="12"/>
        <v>0</v>
      </c>
      <c r="P59" s="77">
        <f t="shared" si="12"/>
        <v>0</v>
      </c>
      <c r="Q59" s="77">
        <f t="shared" si="12"/>
        <v>0</v>
      </c>
      <c r="R59" s="77">
        <f t="shared" si="12"/>
        <v>0</v>
      </c>
      <c r="S59" s="77">
        <f t="shared" si="12"/>
        <v>0</v>
      </c>
      <c r="T59" s="77">
        <f t="shared" si="12"/>
        <v>0</v>
      </c>
      <c r="U59" s="77">
        <f t="shared" si="12"/>
        <v>0</v>
      </c>
      <c r="V59" s="77">
        <f t="shared" si="12"/>
        <v>0</v>
      </c>
      <c r="X59" s="122" t="s">
        <v>47</v>
      </c>
      <c r="Y59" s="127">
        <f t="shared" si="9"/>
        <v>0</v>
      </c>
      <c r="Z59" s="127">
        <f t="shared" si="10"/>
        <v>0</v>
      </c>
      <c r="AA59" s="147">
        <f t="shared" si="4"/>
        <v>0</v>
      </c>
    </row>
    <row r="60" spans="2:27" ht="15" customHeight="1">
      <c r="B60" s="78">
        <v>111</v>
      </c>
      <c r="C60" s="77">
        <f t="shared" si="11"/>
        <v>0</v>
      </c>
      <c r="D60" s="77">
        <f t="shared" si="11"/>
        <v>1</v>
      </c>
      <c r="E60" s="77">
        <f t="shared" si="11"/>
        <v>1</v>
      </c>
      <c r="F60" s="77">
        <f t="shared" si="11"/>
        <v>1</v>
      </c>
      <c r="G60" s="77">
        <f t="shared" si="11"/>
        <v>1</v>
      </c>
      <c r="H60" s="77">
        <f t="shared" si="11"/>
        <v>1</v>
      </c>
      <c r="I60" s="77">
        <f t="shared" si="11"/>
        <v>1</v>
      </c>
      <c r="J60" s="77">
        <f t="shared" si="11"/>
        <v>1</v>
      </c>
      <c r="K60" s="77">
        <f t="shared" si="11"/>
        <v>1</v>
      </c>
      <c r="L60" s="77">
        <f t="shared" si="11"/>
        <v>1</v>
      </c>
      <c r="M60" s="77">
        <f t="shared" si="12"/>
        <v>1</v>
      </c>
      <c r="N60" s="77">
        <f t="shared" si="12"/>
        <v>1</v>
      </c>
      <c r="O60" s="77">
        <f t="shared" si="12"/>
        <v>1</v>
      </c>
      <c r="P60" s="77">
        <f t="shared" si="12"/>
        <v>1</v>
      </c>
      <c r="Q60" s="77">
        <f t="shared" si="12"/>
        <v>0</v>
      </c>
      <c r="R60" s="77">
        <f t="shared" si="12"/>
        <v>0</v>
      </c>
      <c r="S60" s="77">
        <f t="shared" si="12"/>
        <v>0</v>
      </c>
      <c r="T60" s="77">
        <f t="shared" si="12"/>
        <v>0</v>
      </c>
      <c r="U60" s="77">
        <f t="shared" si="12"/>
        <v>0</v>
      </c>
      <c r="V60" s="77">
        <f t="shared" si="12"/>
        <v>0</v>
      </c>
      <c r="X60" s="122" t="s">
        <v>47</v>
      </c>
      <c r="Y60" s="127">
        <f t="shared" si="9"/>
        <v>208</v>
      </c>
      <c r="Z60" s="127">
        <f t="shared" si="10"/>
        <v>33</v>
      </c>
      <c r="AA60" s="147">
        <f t="shared" si="4"/>
        <v>0</v>
      </c>
    </row>
    <row r="61" spans="2:27" ht="15" customHeight="1">
      <c r="B61" s="78">
        <v>112</v>
      </c>
      <c r="C61" s="77">
        <f t="shared" si="11"/>
        <v>0</v>
      </c>
      <c r="D61" s="77">
        <f t="shared" si="11"/>
        <v>1</v>
      </c>
      <c r="E61" s="77">
        <f t="shared" si="11"/>
        <v>1</v>
      </c>
      <c r="F61" s="77">
        <f t="shared" si="11"/>
        <v>1</v>
      </c>
      <c r="G61" s="77">
        <f t="shared" si="11"/>
        <v>1</v>
      </c>
      <c r="H61" s="77">
        <f t="shared" si="11"/>
        <v>1</v>
      </c>
      <c r="I61" s="77">
        <f t="shared" si="11"/>
        <v>1</v>
      </c>
      <c r="J61" s="77">
        <f t="shared" si="11"/>
        <v>2</v>
      </c>
      <c r="K61" s="77">
        <f t="shared" si="11"/>
        <v>1</v>
      </c>
      <c r="L61" s="77">
        <f t="shared" si="11"/>
        <v>1</v>
      </c>
      <c r="M61" s="77">
        <f t="shared" si="12"/>
        <v>1</v>
      </c>
      <c r="N61" s="77">
        <f t="shared" si="12"/>
        <v>1</v>
      </c>
      <c r="O61" s="77">
        <f t="shared" si="12"/>
        <v>1</v>
      </c>
      <c r="P61" s="77">
        <f t="shared" si="12"/>
        <v>0</v>
      </c>
      <c r="Q61" s="77">
        <f t="shared" si="12"/>
        <v>0</v>
      </c>
      <c r="R61" s="77">
        <f t="shared" si="12"/>
        <v>0</v>
      </c>
      <c r="S61" s="77">
        <f t="shared" si="12"/>
        <v>0</v>
      </c>
      <c r="T61" s="77">
        <f t="shared" si="12"/>
        <v>0</v>
      </c>
      <c r="U61" s="77">
        <f t="shared" si="12"/>
        <v>0</v>
      </c>
      <c r="V61" s="77">
        <f t="shared" si="12"/>
        <v>0</v>
      </c>
      <c r="X61" s="122" t="s">
        <v>47</v>
      </c>
      <c r="Y61" s="127">
        <f t="shared" si="9"/>
        <v>319</v>
      </c>
      <c r="Z61" s="127">
        <f t="shared" si="10"/>
        <v>107</v>
      </c>
      <c r="AA61" s="147">
        <f t="shared" si="4"/>
        <v>5</v>
      </c>
    </row>
    <row r="62" spans="2:27" ht="15" customHeight="1">
      <c r="B62" s="78">
        <v>113</v>
      </c>
      <c r="C62" s="77">
        <f t="shared" si="11"/>
        <v>0</v>
      </c>
      <c r="D62" s="77">
        <f t="shared" si="11"/>
        <v>0</v>
      </c>
      <c r="E62" s="77">
        <f t="shared" si="11"/>
        <v>0</v>
      </c>
      <c r="F62" s="77">
        <f t="shared" si="11"/>
        <v>0</v>
      </c>
      <c r="G62" s="77">
        <f t="shared" si="11"/>
        <v>0</v>
      </c>
      <c r="H62" s="77">
        <f t="shared" si="11"/>
        <v>0</v>
      </c>
      <c r="I62" s="77">
        <f t="shared" si="11"/>
        <v>0</v>
      </c>
      <c r="J62" s="77">
        <f t="shared" si="11"/>
        <v>0</v>
      </c>
      <c r="K62" s="77">
        <f t="shared" si="11"/>
        <v>0</v>
      </c>
      <c r="L62" s="77">
        <f t="shared" si="11"/>
        <v>0</v>
      </c>
      <c r="M62" s="77">
        <f t="shared" si="12"/>
        <v>0</v>
      </c>
      <c r="N62" s="77">
        <f t="shared" si="12"/>
        <v>0</v>
      </c>
      <c r="O62" s="77">
        <f t="shared" si="12"/>
        <v>0</v>
      </c>
      <c r="P62" s="77">
        <f t="shared" si="12"/>
        <v>0</v>
      </c>
      <c r="Q62" s="77">
        <f t="shared" si="12"/>
        <v>0</v>
      </c>
      <c r="R62" s="77">
        <f t="shared" si="12"/>
        <v>0</v>
      </c>
      <c r="S62" s="77">
        <f t="shared" si="12"/>
        <v>0</v>
      </c>
      <c r="T62" s="77">
        <f t="shared" si="12"/>
        <v>0</v>
      </c>
      <c r="U62" s="77">
        <f t="shared" si="12"/>
        <v>0</v>
      </c>
      <c r="V62" s="77">
        <f t="shared" si="12"/>
        <v>0</v>
      </c>
      <c r="X62" s="122" t="s">
        <v>47</v>
      </c>
      <c r="Y62" s="127">
        <f t="shared" si="9"/>
        <v>0</v>
      </c>
      <c r="Z62" s="127">
        <f t="shared" si="10"/>
        <v>0</v>
      </c>
      <c r="AA62" s="147">
        <f t="shared" si="4"/>
        <v>0</v>
      </c>
    </row>
    <row r="63" spans="2:27" ht="15" customHeight="1">
      <c r="B63" s="78">
        <v>114</v>
      </c>
      <c r="C63" s="77">
        <f t="shared" si="11"/>
        <v>1</v>
      </c>
      <c r="D63" s="77">
        <f t="shared" si="11"/>
        <v>1</v>
      </c>
      <c r="E63" s="77">
        <f t="shared" si="11"/>
        <v>1</v>
      </c>
      <c r="F63" s="77">
        <f t="shared" si="11"/>
        <v>1</v>
      </c>
      <c r="G63" s="77">
        <f t="shared" si="11"/>
        <v>1</v>
      </c>
      <c r="H63" s="77">
        <f t="shared" si="11"/>
        <v>1</v>
      </c>
      <c r="I63" s="77">
        <f t="shared" si="11"/>
        <v>1</v>
      </c>
      <c r="J63" s="77">
        <f t="shared" si="11"/>
        <v>1</v>
      </c>
      <c r="K63" s="77">
        <f t="shared" si="11"/>
        <v>1</v>
      </c>
      <c r="L63" s="77">
        <f t="shared" si="11"/>
        <v>1</v>
      </c>
      <c r="M63" s="77">
        <f t="shared" si="12"/>
        <v>1</v>
      </c>
      <c r="N63" s="77">
        <f t="shared" si="12"/>
        <v>1</v>
      </c>
      <c r="O63" s="77">
        <f t="shared" si="12"/>
        <v>1</v>
      </c>
      <c r="P63" s="77">
        <f t="shared" si="12"/>
        <v>2</v>
      </c>
      <c r="Q63" s="77">
        <f t="shared" si="12"/>
        <v>0</v>
      </c>
      <c r="R63" s="77">
        <f t="shared" si="12"/>
        <v>0</v>
      </c>
      <c r="S63" s="77">
        <f t="shared" si="12"/>
        <v>0</v>
      </c>
      <c r="T63" s="77">
        <f t="shared" si="12"/>
        <v>0</v>
      </c>
      <c r="U63" s="77">
        <f t="shared" si="12"/>
        <v>0</v>
      </c>
      <c r="V63" s="77">
        <f t="shared" si="12"/>
        <v>0</v>
      </c>
      <c r="X63" s="122" t="s">
        <v>47</v>
      </c>
      <c r="Y63" s="127">
        <f t="shared" si="9"/>
        <v>308</v>
      </c>
      <c r="Z63" s="127">
        <f t="shared" si="10"/>
        <v>91</v>
      </c>
      <c r="AA63" s="147">
        <f t="shared" si="4"/>
        <v>74</v>
      </c>
    </row>
    <row r="64" spans="2:27" ht="15" customHeight="1">
      <c r="B64" s="78">
        <v>115</v>
      </c>
      <c r="C64" s="77">
        <f t="shared" si="11"/>
        <v>0</v>
      </c>
      <c r="D64" s="77">
        <f t="shared" si="11"/>
        <v>0</v>
      </c>
      <c r="E64" s="77">
        <f t="shared" si="11"/>
        <v>0</v>
      </c>
      <c r="F64" s="77">
        <f t="shared" si="11"/>
        <v>0</v>
      </c>
      <c r="G64" s="77">
        <f t="shared" si="11"/>
        <v>1</v>
      </c>
      <c r="H64" s="77">
        <f t="shared" si="11"/>
        <v>1</v>
      </c>
      <c r="I64" s="77">
        <f t="shared" si="11"/>
        <v>1</v>
      </c>
      <c r="J64" s="77">
        <f t="shared" si="11"/>
        <v>0</v>
      </c>
      <c r="K64" s="77">
        <f t="shared" si="11"/>
        <v>1</v>
      </c>
      <c r="L64" s="77">
        <f t="shared" si="11"/>
        <v>1</v>
      </c>
      <c r="M64" s="77">
        <f t="shared" si="12"/>
        <v>1</v>
      </c>
      <c r="N64" s="77">
        <f t="shared" si="12"/>
        <v>1</v>
      </c>
      <c r="O64" s="77">
        <f t="shared" si="12"/>
        <v>1</v>
      </c>
      <c r="P64" s="77">
        <f t="shared" si="12"/>
        <v>1</v>
      </c>
      <c r="Q64" s="77">
        <f t="shared" si="12"/>
        <v>0</v>
      </c>
      <c r="R64" s="77">
        <f t="shared" si="12"/>
        <v>0</v>
      </c>
      <c r="S64" s="77">
        <f t="shared" si="12"/>
        <v>0</v>
      </c>
      <c r="T64" s="77">
        <f t="shared" si="12"/>
        <v>0</v>
      </c>
      <c r="U64" s="77">
        <f t="shared" si="12"/>
        <v>0</v>
      </c>
      <c r="V64" s="77">
        <f t="shared" si="12"/>
        <v>0</v>
      </c>
      <c r="X64" s="122" t="s">
        <v>47</v>
      </c>
      <c r="Y64" s="127">
        <f t="shared" si="9"/>
        <v>2</v>
      </c>
      <c r="Z64" s="127">
        <f t="shared" si="10"/>
        <v>152</v>
      </c>
      <c r="AA64" s="147">
        <f t="shared" si="4"/>
        <v>0</v>
      </c>
    </row>
    <row r="65" spans="2:27" ht="15" customHeight="1">
      <c r="B65" s="78">
        <v>116</v>
      </c>
      <c r="C65" s="77">
        <f t="shared" si="11"/>
        <v>0</v>
      </c>
      <c r="D65" s="77">
        <f t="shared" si="11"/>
        <v>0</v>
      </c>
      <c r="E65" s="77">
        <f t="shared" si="11"/>
        <v>0</v>
      </c>
      <c r="F65" s="77">
        <f t="shared" si="11"/>
        <v>0</v>
      </c>
      <c r="G65" s="77">
        <f t="shared" si="11"/>
        <v>0</v>
      </c>
      <c r="H65" s="77">
        <f t="shared" si="11"/>
        <v>0</v>
      </c>
      <c r="I65" s="77">
        <f t="shared" si="11"/>
        <v>1</v>
      </c>
      <c r="J65" s="77">
        <f t="shared" si="11"/>
        <v>1</v>
      </c>
      <c r="K65" s="77">
        <f t="shared" si="11"/>
        <v>1</v>
      </c>
      <c r="L65" s="77">
        <f t="shared" si="11"/>
        <v>1</v>
      </c>
      <c r="M65" s="77">
        <f t="shared" si="12"/>
        <v>1</v>
      </c>
      <c r="N65" s="77">
        <f t="shared" si="12"/>
        <v>1</v>
      </c>
      <c r="O65" s="77">
        <f t="shared" si="12"/>
        <v>1</v>
      </c>
      <c r="P65" s="77">
        <f t="shared" si="12"/>
        <v>0</v>
      </c>
      <c r="Q65" s="77">
        <f t="shared" si="12"/>
        <v>0</v>
      </c>
      <c r="R65" s="77">
        <f t="shared" si="12"/>
        <v>0</v>
      </c>
      <c r="S65" s="77">
        <f t="shared" si="12"/>
        <v>0</v>
      </c>
      <c r="T65" s="77">
        <f t="shared" si="12"/>
        <v>0</v>
      </c>
      <c r="U65" s="77">
        <f t="shared" si="12"/>
        <v>0</v>
      </c>
      <c r="V65" s="77">
        <f t="shared" si="12"/>
        <v>0</v>
      </c>
      <c r="X65" s="122" t="s">
        <v>47</v>
      </c>
      <c r="Y65" s="127">
        <f t="shared" si="9"/>
        <v>91</v>
      </c>
      <c r="Z65" s="127">
        <f t="shared" si="10"/>
        <v>37</v>
      </c>
      <c r="AA65" s="147">
        <f t="shared" si="4"/>
        <v>0</v>
      </c>
    </row>
    <row r="66" spans="2:27" ht="15" customHeight="1">
      <c r="B66" s="78">
        <v>117</v>
      </c>
      <c r="C66" s="77">
        <f t="shared" si="11"/>
        <v>0</v>
      </c>
      <c r="D66" s="77">
        <f t="shared" si="11"/>
        <v>1</v>
      </c>
      <c r="E66" s="77">
        <f t="shared" si="11"/>
        <v>1</v>
      </c>
      <c r="F66" s="77">
        <f t="shared" si="11"/>
        <v>1</v>
      </c>
      <c r="G66" s="77">
        <f t="shared" si="11"/>
        <v>1</v>
      </c>
      <c r="H66" s="77">
        <f t="shared" si="11"/>
        <v>0</v>
      </c>
      <c r="I66" s="77">
        <f t="shared" si="11"/>
        <v>1</v>
      </c>
      <c r="J66" s="77">
        <f t="shared" si="11"/>
        <v>1</v>
      </c>
      <c r="K66" s="77">
        <f t="shared" si="11"/>
        <v>1</v>
      </c>
      <c r="L66" s="77">
        <f t="shared" si="11"/>
        <v>1</v>
      </c>
      <c r="M66" s="77">
        <f t="shared" si="12"/>
        <v>1</v>
      </c>
      <c r="N66" s="77">
        <f t="shared" si="12"/>
        <v>1</v>
      </c>
      <c r="O66" s="77">
        <f t="shared" si="12"/>
        <v>1</v>
      </c>
      <c r="P66" s="77">
        <f t="shared" si="12"/>
        <v>0</v>
      </c>
      <c r="Q66" s="77">
        <f t="shared" si="12"/>
        <v>0</v>
      </c>
      <c r="R66" s="77">
        <f t="shared" si="12"/>
        <v>0</v>
      </c>
      <c r="S66" s="77">
        <f t="shared" si="12"/>
        <v>0</v>
      </c>
      <c r="T66" s="77">
        <f t="shared" si="12"/>
        <v>0</v>
      </c>
      <c r="U66" s="77">
        <f t="shared" si="12"/>
        <v>0</v>
      </c>
      <c r="V66" s="77">
        <f t="shared" si="12"/>
        <v>0</v>
      </c>
      <c r="X66" s="122" t="s">
        <v>47</v>
      </c>
      <c r="Y66" s="127">
        <f t="shared" si="9"/>
        <v>18</v>
      </c>
      <c r="Z66" s="127">
        <f t="shared" si="10"/>
        <v>199</v>
      </c>
      <c r="AA66" s="147">
        <f t="shared" si="4"/>
        <v>0</v>
      </c>
    </row>
    <row r="67" spans="2:27" ht="15" customHeight="1">
      <c r="B67" s="78">
        <v>118</v>
      </c>
      <c r="C67" s="77">
        <f t="shared" si="11"/>
        <v>1</v>
      </c>
      <c r="D67" s="77">
        <f t="shared" si="11"/>
        <v>1</v>
      </c>
      <c r="E67" s="77">
        <f t="shared" si="11"/>
        <v>1</v>
      </c>
      <c r="F67" s="77">
        <f t="shared" si="11"/>
        <v>1</v>
      </c>
      <c r="G67" s="77">
        <f t="shared" si="11"/>
        <v>1</v>
      </c>
      <c r="H67" s="77">
        <f t="shared" si="11"/>
        <v>1</v>
      </c>
      <c r="I67" s="77">
        <f t="shared" si="11"/>
        <v>1</v>
      </c>
      <c r="J67" s="77">
        <f t="shared" si="11"/>
        <v>1</v>
      </c>
      <c r="K67" s="77">
        <f t="shared" si="11"/>
        <v>1</v>
      </c>
      <c r="L67" s="77">
        <f t="shared" si="11"/>
        <v>1</v>
      </c>
      <c r="M67" s="77">
        <f t="shared" si="12"/>
        <v>1</v>
      </c>
      <c r="N67" s="77">
        <f t="shared" si="12"/>
        <v>1</v>
      </c>
      <c r="O67" s="77">
        <f t="shared" si="12"/>
        <v>1</v>
      </c>
      <c r="P67" s="77">
        <f t="shared" si="12"/>
        <v>1</v>
      </c>
      <c r="Q67" s="77">
        <f t="shared" si="12"/>
        <v>0</v>
      </c>
      <c r="R67" s="77">
        <f t="shared" si="12"/>
        <v>0</v>
      </c>
      <c r="S67" s="77">
        <f t="shared" si="12"/>
        <v>0</v>
      </c>
      <c r="T67" s="77">
        <f t="shared" si="12"/>
        <v>0</v>
      </c>
      <c r="U67" s="77">
        <f t="shared" si="12"/>
        <v>0</v>
      </c>
      <c r="V67" s="77">
        <f t="shared" si="12"/>
        <v>0</v>
      </c>
      <c r="X67" s="122" t="s">
        <v>67</v>
      </c>
      <c r="Y67" s="127">
        <f t="shared" si="9"/>
        <v>167</v>
      </c>
      <c r="Z67" s="127">
        <f t="shared" si="10"/>
        <v>113</v>
      </c>
      <c r="AA67" s="147">
        <f t="shared" si="4"/>
        <v>14</v>
      </c>
    </row>
    <row r="68" spans="2:27" ht="15" customHeight="1">
      <c r="B68" s="78">
        <v>119</v>
      </c>
      <c r="C68" s="77">
        <f t="shared" si="11"/>
        <v>1</v>
      </c>
      <c r="D68" s="77">
        <f t="shared" si="11"/>
        <v>1</v>
      </c>
      <c r="E68" s="77">
        <f t="shared" si="11"/>
        <v>0</v>
      </c>
      <c r="F68" s="77">
        <f t="shared" si="11"/>
        <v>1</v>
      </c>
      <c r="G68" s="77">
        <f t="shared" si="11"/>
        <v>1</v>
      </c>
      <c r="H68" s="77">
        <f t="shared" si="11"/>
        <v>1</v>
      </c>
      <c r="I68" s="77">
        <f t="shared" si="11"/>
        <v>1</v>
      </c>
      <c r="J68" s="77">
        <f t="shared" si="11"/>
        <v>1</v>
      </c>
      <c r="K68" s="77">
        <f t="shared" si="11"/>
        <v>1</v>
      </c>
      <c r="L68" s="77">
        <f t="shared" si="11"/>
        <v>1</v>
      </c>
      <c r="M68" s="77">
        <f t="shared" si="12"/>
        <v>1</v>
      </c>
      <c r="N68" s="77">
        <f t="shared" si="12"/>
        <v>1</v>
      </c>
      <c r="O68" s="77">
        <f t="shared" si="12"/>
        <v>1</v>
      </c>
      <c r="P68" s="77">
        <f t="shared" si="12"/>
        <v>1</v>
      </c>
      <c r="Q68" s="77">
        <f t="shared" si="12"/>
        <v>1</v>
      </c>
      <c r="R68" s="77">
        <f t="shared" si="12"/>
        <v>0</v>
      </c>
      <c r="S68" s="77">
        <f t="shared" si="12"/>
        <v>0</v>
      </c>
      <c r="T68" s="77">
        <f t="shared" si="12"/>
        <v>0</v>
      </c>
      <c r="U68" s="77">
        <f t="shared" si="12"/>
        <v>0</v>
      </c>
      <c r="V68" s="77">
        <f t="shared" si="12"/>
        <v>0</v>
      </c>
      <c r="X68" s="122" t="s">
        <v>67</v>
      </c>
      <c r="Y68" s="127">
        <f t="shared" si="9"/>
        <v>188</v>
      </c>
      <c r="Z68" s="127">
        <f t="shared" si="10"/>
        <v>160</v>
      </c>
      <c r="AA68" s="147">
        <f t="shared" si="4"/>
        <v>4</v>
      </c>
    </row>
    <row r="69" spans="2:27" ht="15" customHeight="1">
      <c r="B69" s="78">
        <v>120</v>
      </c>
      <c r="C69" s="77">
        <f t="shared" si="11"/>
        <v>1</v>
      </c>
      <c r="D69" s="77">
        <f t="shared" si="11"/>
        <v>1</v>
      </c>
      <c r="E69" s="77">
        <f t="shared" si="11"/>
        <v>1</v>
      </c>
      <c r="F69" s="77">
        <f t="shared" si="11"/>
        <v>1</v>
      </c>
      <c r="G69" s="77">
        <f t="shared" si="11"/>
        <v>0</v>
      </c>
      <c r="H69" s="77">
        <f t="shared" si="11"/>
        <v>2</v>
      </c>
      <c r="I69" s="77">
        <f t="shared" si="11"/>
        <v>1</v>
      </c>
      <c r="J69" s="77">
        <f t="shared" si="11"/>
        <v>1</v>
      </c>
      <c r="K69" s="77">
        <f t="shared" si="11"/>
        <v>1</v>
      </c>
      <c r="L69" s="77">
        <f t="shared" ref="C69:L75" si="13">SUMIFS(SumaMI,CentroMI,$B69,TurnoMI,L$8)</f>
        <v>1</v>
      </c>
      <c r="M69" s="77">
        <f t="shared" si="12"/>
        <v>1</v>
      </c>
      <c r="N69" s="77">
        <f t="shared" si="12"/>
        <v>1</v>
      </c>
      <c r="O69" s="77">
        <f t="shared" si="12"/>
        <v>1</v>
      </c>
      <c r="P69" s="77">
        <f t="shared" si="12"/>
        <v>1</v>
      </c>
      <c r="Q69" s="77">
        <f t="shared" si="12"/>
        <v>1</v>
      </c>
      <c r="R69" s="77">
        <f t="shared" si="12"/>
        <v>0</v>
      </c>
      <c r="S69" s="77">
        <f t="shared" si="12"/>
        <v>0</v>
      </c>
      <c r="T69" s="77">
        <f t="shared" si="12"/>
        <v>0</v>
      </c>
      <c r="U69" s="77">
        <f t="shared" si="12"/>
        <v>0</v>
      </c>
      <c r="V69" s="77">
        <f t="shared" si="12"/>
        <v>0</v>
      </c>
      <c r="X69" s="122" t="s">
        <v>67</v>
      </c>
      <c r="Y69" s="127">
        <f t="shared" si="9"/>
        <v>174</v>
      </c>
      <c r="Z69" s="127">
        <f t="shared" si="10"/>
        <v>193</v>
      </c>
      <c r="AA69" s="147">
        <f t="shared" si="4"/>
        <v>3</v>
      </c>
    </row>
    <row r="70" spans="2:27" ht="15" customHeight="1">
      <c r="B70" s="78">
        <v>121</v>
      </c>
      <c r="C70" s="77">
        <f t="shared" si="13"/>
        <v>1</v>
      </c>
      <c r="D70" s="77">
        <f t="shared" si="13"/>
        <v>1</v>
      </c>
      <c r="E70" s="77">
        <f t="shared" si="13"/>
        <v>0</v>
      </c>
      <c r="F70" s="77">
        <f t="shared" si="13"/>
        <v>0</v>
      </c>
      <c r="G70" s="77">
        <f t="shared" si="13"/>
        <v>0</v>
      </c>
      <c r="H70" s="77">
        <f t="shared" si="13"/>
        <v>0</v>
      </c>
      <c r="I70" s="77">
        <f t="shared" si="13"/>
        <v>0</v>
      </c>
      <c r="J70" s="77">
        <f t="shared" si="13"/>
        <v>1</v>
      </c>
      <c r="K70" s="77">
        <f t="shared" si="13"/>
        <v>1</v>
      </c>
      <c r="L70" s="77">
        <f t="shared" si="13"/>
        <v>0</v>
      </c>
      <c r="M70" s="77">
        <f t="shared" si="12"/>
        <v>0</v>
      </c>
      <c r="N70" s="77">
        <f t="shared" si="12"/>
        <v>1</v>
      </c>
      <c r="O70" s="77">
        <f t="shared" si="12"/>
        <v>0</v>
      </c>
      <c r="P70" s="77">
        <f t="shared" si="12"/>
        <v>0</v>
      </c>
      <c r="Q70" s="77">
        <f t="shared" si="12"/>
        <v>0</v>
      </c>
      <c r="R70" s="77">
        <f t="shared" si="12"/>
        <v>0</v>
      </c>
      <c r="S70" s="77">
        <f t="shared" si="12"/>
        <v>0</v>
      </c>
      <c r="T70" s="77">
        <f t="shared" si="12"/>
        <v>0</v>
      </c>
      <c r="U70" s="77">
        <f t="shared" si="12"/>
        <v>0</v>
      </c>
      <c r="V70" s="77">
        <f t="shared" si="12"/>
        <v>0</v>
      </c>
      <c r="X70" s="122" t="s">
        <v>67</v>
      </c>
      <c r="Y70" s="127">
        <f t="shared" si="9"/>
        <v>108</v>
      </c>
      <c r="Z70" s="127">
        <f t="shared" si="10"/>
        <v>94</v>
      </c>
      <c r="AA70" s="147">
        <f t="shared" si="4"/>
        <v>0</v>
      </c>
    </row>
    <row r="71" spans="2:27" ht="15" customHeight="1">
      <c r="B71" s="78">
        <v>122</v>
      </c>
      <c r="C71" s="77">
        <f t="shared" si="13"/>
        <v>0</v>
      </c>
      <c r="D71" s="77">
        <f t="shared" si="13"/>
        <v>0</v>
      </c>
      <c r="E71" s="77">
        <f t="shared" si="13"/>
        <v>0</v>
      </c>
      <c r="F71" s="77">
        <f t="shared" si="13"/>
        <v>0</v>
      </c>
      <c r="G71" s="77">
        <f t="shared" si="13"/>
        <v>0</v>
      </c>
      <c r="H71" s="77">
        <f t="shared" si="13"/>
        <v>0</v>
      </c>
      <c r="I71" s="77">
        <f t="shared" si="13"/>
        <v>0</v>
      </c>
      <c r="J71" s="77">
        <f t="shared" si="13"/>
        <v>0</v>
      </c>
      <c r="K71" s="77">
        <f t="shared" si="13"/>
        <v>0</v>
      </c>
      <c r="L71" s="77">
        <f t="shared" si="13"/>
        <v>0</v>
      </c>
      <c r="M71" s="77">
        <f t="shared" si="12"/>
        <v>0</v>
      </c>
      <c r="N71" s="77">
        <f t="shared" ref="M71:V75" si="14">SUMIFS(SumaMI,CentroMI,$B71,TurnoMI,N$8)</f>
        <v>0</v>
      </c>
      <c r="O71" s="77">
        <f t="shared" si="14"/>
        <v>0</v>
      </c>
      <c r="P71" s="77">
        <f t="shared" si="14"/>
        <v>0</v>
      </c>
      <c r="Q71" s="77">
        <f t="shared" si="14"/>
        <v>0</v>
      </c>
      <c r="R71" s="77">
        <f t="shared" si="14"/>
        <v>0</v>
      </c>
      <c r="S71" s="77">
        <f t="shared" si="14"/>
        <v>0</v>
      </c>
      <c r="T71" s="77">
        <f t="shared" si="14"/>
        <v>0</v>
      </c>
      <c r="U71" s="77">
        <f t="shared" si="14"/>
        <v>0</v>
      </c>
      <c r="V71" s="77">
        <f t="shared" si="14"/>
        <v>0</v>
      </c>
      <c r="X71" s="122" t="s">
        <v>68</v>
      </c>
      <c r="Y71" s="127">
        <f t="shared" si="9"/>
        <v>0</v>
      </c>
      <c r="Z71" s="127">
        <f t="shared" si="10"/>
        <v>0</v>
      </c>
      <c r="AA71" s="147">
        <f t="shared" si="4"/>
        <v>0</v>
      </c>
    </row>
    <row r="72" spans="2:27" ht="15" customHeight="1">
      <c r="B72" s="78">
        <v>123</v>
      </c>
      <c r="C72" s="77">
        <f t="shared" si="13"/>
        <v>1</v>
      </c>
      <c r="D72" s="77">
        <f t="shared" si="13"/>
        <v>0</v>
      </c>
      <c r="E72" s="77">
        <f t="shared" si="13"/>
        <v>2</v>
      </c>
      <c r="F72" s="77">
        <f t="shared" si="13"/>
        <v>1</v>
      </c>
      <c r="G72" s="77">
        <f t="shared" si="13"/>
        <v>1</v>
      </c>
      <c r="H72" s="77">
        <f t="shared" si="13"/>
        <v>1</v>
      </c>
      <c r="I72" s="77">
        <f t="shared" si="13"/>
        <v>1</v>
      </c>
      <c r="J72" s="77">
        <f t="shared" si="13"/>
        <v>1</v>
      </c>
      <c r="K72" s="77">
        <f t="shared" si="13"/>
        <v>1</v>
      </c>
      <c r="L72" s="77">
        <f t="shared" si="13"/>
        <v>1</v>
      </c>
      <c r="M72" s="77">
        <f t="shared" si="14"/>
        <v>1</v>
      </c>
      <c r="N72" s="77">
        <f t="shared" si="14"/>
        <v>1</v>
      </c>
      <c r="O72" s="77">
        <f t="shared" si="14"/>
        <v>1</v>
      </c>
      <c r="P72" s="77">
        <f t="shared" si="14"/>
        <v>0</v>
      </c>
      <c r="Q72" s="77">
        <f t="shared" si="14"/>
        <v>0</v>
      </c>
      <c r="R72" s="77">
        <f t="shared" si="14"/>
        <v>0</v>
      </c>
      <c r="S72" s="77">
        <f t="shared" si="14"/>
        <v>0</v>
      </c>
      <c r="T72" s="77">
        <f t="shared" si="14"/>
        <v>0</v>
      </c>
      <c r="U72" s="77">
        <f t="shared" si="14"/>
        <v>0</v>
      </c>
      <c r="V72" s="77">
        <f t="shared" si="14"/>
        <v>0</v>
      </c>
      <c r="X72" s="122" t="s">
        <v>68</v>
      </c>
      <c r="Y72" s="127">
        <f t="shared" si="9"/>
        <v>156</v>
      </c>
      <c r="Z72" s="127">
        <f t="shared" si="10"/>
        <v>112</v>
      </c>
      <c r="AA72" s="147">
        <f t="shared" si="4"/>
        <v>0</v>
      </c>
    </row>
    <row r="73" spans="2:27" ht="15" customHeight="1">
      <c r="B73" s="78">
        <v>124</v>
      </c>
      <c r="C73" s="77">
        <f t="shared" si="13"/>
        <v>0</v>
      </c>
      <c r="D73" s="77">
        <f t="shared" si="13"/>
        <v>1</v>
      </c>
      <c r="E73" s="77">
        <f t="shared" si="13"/>
        <v>0</v>
      </c>
      <c r="F73" s="77">
        <f t="shared" si="13"/>
        <v>0</v>
      </c>
      <c r="G73" s="77">
        <f t="shared" si="13"/>
        <v>0</v>
      </c>
      <c r="H73" s="77">
        <f t="shared" si="13"/>
        <v>0</v>
      </c>
      <c r="I73" s="77">
        <f t="shared" si="13"/>
        <v>0</v>
      </c>
      <c r="J73" s="77">
        <f t="shared" si="13"/>
        <v>0</v>
      </c>
      <c r="K73" s="77">
        <f t="shared" si="13"/>
        <v>0</v>
      </c>
      <c r="L73" s="77">
        <f t="shared" si="13"/>
        <v>0</v>
      </c>
      <c r="M73" s="77">
        <f t="shared" si="14"/>
        <v>0</v>
      </c>
      <c r="N73" s="77">
        <f t="shared" si="14"/>
        <v>0</v>
      </c>
      <c r="O73" s="77">
        <f t="shared" si="14"/>
        <v>0</v>
      </c>
      <c r="P73" s="77">
        <f t="shared" si="14"/>
        <v>0</v>
      </c>
      <c r="Q73" s="77">
        <f t="shared" si="14"/>
        <v>0</v>
      </c>
      <c r="R73" s="77">
        <f t="shared" si="14"/>
        <v>0</v>
      </c>
      <c r="S73" s="77">
        <f t="shared" si="14"/>
        <v>0</v>
      </c>
      <c r="T73" s="77">
        <f t="shared" si="14"/>
        <v>0</v>
      </c>
      <c r="U73" s="77">
        <f t="shared" si="14"/>
        <v>0</v>
      </c>
      <c r="V73" s="77">
        <f t="shared" si="14"/>
        <v>0</v>
      </c>
      <c r="X73" s="122" t="s">
        <v>68</v>
      </c>
      <c r="Y73" s="127">
        <f t="shared" si="9"/>
        <v>1</v>
      </c>
      <c r="Z73" s="127">
        <f t="shared" si="10"/>
        <v>0</v>
      </c>
      <c r="AA73" s="147">
        <f t="shared" ref="AA73:AA75" si="15">SUMIF(CentroMI,$B73,OtroMI)</f>
        <v>0</v>
      </c>
    </row>
    <row r="74" spans="2:27" ht="15" customHeight="1">
      <c r="B74" s="78">
        <v>125</v>
      </c>
      <c r="C74" s="77">
        <f t="shared" si="13"/>
        <v>1</v>
      </c>
      <c r="D74" s="77">
        <f t="shared" si="13"/>
        <v>2</v>
      </c>
      <c r="E74" s="77">
        <f t="shared" si="13"/>
        <v>0</v>
      </c>
      <c r="F74" s="77">
        <f t="shared" si="13"/>
        <v>1</v>
      </c>
      <c r="G74" s="77">
        <f t="shared" si="13"/>
        <v>1</v>
      </c>
      <c r="H74" s="77">
        <f t="shared" si="13"/>
        <v>1</v>
      </c>
      <c r="I74" s="77">
        <f t="shared" si="13"/>
        <v>1</v>
      </c>
      <c r="J74" s="77">
        <f t="shared" si="13"/>
        <v>1</v>
      </c>
      <c r="K74" s="77">
        <f t="shared" si="13"/>
        <v>1</v>
      </c>
      <c r="L74" s="77">
        <f t="shared" si="13"/>
        <v>1</v>
      </c>
      <c r="M74" s="77">
        <f t="shared" si="14"/>
        <v>1</v>
      </c>
      <c r="N74" s="77">
        <f t="shared" si="14"/>
        <v>1</v>
      </c>
      <c r="O74" s="77">
        <f t="shared" si="14"/>
        <v>0</v>
      </c>
      <c r="P74" s="77">
        <f t="shared" si="14"/>
        <v>1</v>
      </c>
      <c r="Q74" s="77">
        <f t="shared" si="14"/>
        <v>0</v>
      </c>
      <c r="R74" s="77">
        <f t="shared" si="14"/>
        <v>0</v>
      </c>
      <c r="S74" s="77">
        <f t="shared" si="14"/>
        <v>0</v>
      </c>
      <c r="T74" s="77">
        <f t="shared" si="14"/>
        <v>0</v>
      </c>
      <c r="U74" s="77">
        <f t="shared" si="14"/>
        <v>0</v>
      </c>
      <c r="V74" s="77">
        <f t="shared" si="14"/>
        <v>0</v>
      </c>
      <c r="X74" s="122" t="s">
        <v>68</v>
      </c>
      <c r="Y74" s="127">
        <f t="shared" si="9"/>
        <v>145</v>
      </c>
      <c r="Z74" s="127">
        <f t="shared" si="10"/>
        <v>136</v>
      </c>
      <c r="AA74" s="147">
        <f t="shared" si="15"/>
        <v>0</v>
      </c>
    </row>
    <row r="75" spans="2:27" ht="15" customHeight="1" thickBot="1">
      <c r="B75" s="78">
        <v>126</v>
      </c>
      <c r="C75" s="77">
        <f t="shared" si="13"/>
        <v>1</v>
      </c>
      <c r="D75" s="77">
        <f t="shared" si="13"/>
        <v>1</v>
      </c>
      <c r="E75" s="77">
        <f t="shared" si="13"/>
        <v>1</v>
      </c>
      <c r="F75" s="77">
        <f t="shared" si="13"/>
        <v>2</v>
      </c>
      <c r="G75" s="77">
        <f t="shared" si="13"/>
        <v>1</v>
      </c>
      <c r="H75" s="77">
        <f t="shared" si="13"/>
        <v>1</v>
      </c>
      <c r="I75" s="77">
        <f t="shared" si="13"/>
        <v>1</v>
      </c>
      <c r="J75" s="77">
        <f t="shared" si="13"/>
        <v>1</v>
      </c>
      <c r="K75" s="77">
        <f t="shared" si="13"/>
        <v>0</v>
      </c>
      <c r="L75" s="77">
        <f t="shared" si="13"/>
        <v>1</v>
      </c>
      <c r="M75" s="77">
        <f t="shared" si="14"/>
        <v>1</v>
      </c>
      <c r="N75" s="77">
        <f t="shared" si="14"/>
        <v>1</v>
      </c>
      <c r="O75" s="77">
        <f t="shared" si="14"/>
        <v>1</v>
      </c>
      <c r="P75" s="77">
        <f t="shared" si="14"/>
        <v>0</v>
      </c>
      <c r="Q75" s="77">
        <f t="shared" si="14"/>
        <v>0</v>
      </c>
      <c r="R75" s="77">
        <f t="shared" si="14"/>
        <v>0</v>
      </c>
      <c r="S75" s="77">
        <f t="shared" si="14"/>
        <v>0</v>
      </c>
      <c r="T75" s="77">
        <f t="shared" si="14"/>
        <v>0</v>
      </c>
      <c r="U75" s="77">
        <f t="shared" si="14"/>
        <v>0</v>
      </c>
      <c r="V75" s="77">
        <f t="shared" si="14"/>
        <v>0</v>
      </c>
      <c r="X75" s="123" t="s">
        <v>68</v>
      </c>
      <c r="Y75" s="128">
        <f t="shared" si="9"/>
        <v>56</v>
      </c>
      <c r="Z75" s="128">
        <f t="shared" si="10"/>
        <v>53</v>
      </c>
      <c r="AA75" s="148">
        <f t="shared" si="15"/>
        <v>1</v>
      </c>
    </row>
    <row r="77" spans="2:27" ht="15" customHeight="1">
      <c r="X77" s="122" t="s">
        <v>76</v>
      </c>
      <c r="Y77" s="74">
        <f t="shared" ref="Y77:AA92" si="16">SUMIF(MunicipiosMI,$X77,Y$9:Y$75)</f>
        <v>59</v>
      </c>
      <c r="Z77" s="74">
        <f t="shared" si="16"/>
        <v>11</v>
      </c>
      <c r="AA77" s="74">
        <f t="shared" si="16"/>
        <v>4</v>
      </c>
    </row>
    <row r="78" spans="2:27" ht="15" customHeight="1">
      <c r="X78" s="122" t="s">
        <v>55</v>
      </c>
      <c r="Y78" s="74">
        <f t="shared" si="16"/>
        <v>372</v>
      </c>
      <c r="Z78" s="74">
        <f t="shared" si="16"/>
        <v>1070</v>
      </c>
      <c r="AA78" s="74">
        <f t="shared" si="16"/>
        <v>18</v>
      </c>
    </row>
    <row r="79" spans="2:27" ht="15" customHeight="1">
      <c r="X79" s="122" t="s">
        <v>56</v>
      </c>
      <c r="Y79" s="74">
        <f t="shared" si="16"/>
        <v>119</v>
      </c>
      <c r="Z79" s="74">
        <f t="shared" si="16"/>
        <v>105</v>
      </c>
      <c r="AA79" s="74">
        <f t="shared" si="16"/>
        <v>24</v>
      </c>
    </row>
    <row r="80" spans="2:27" ht="15" customHeight="1">
      <c r="X80" s="122" t="s">
        <v>57</v>
      </c>
      <c r="Y80" s="74">
        <f t="shared" si="16"/>
        <v>0</v>
      </c>
      <c r="Z80" s="74">
        <f t="shared" si="16"/>
        <v>0</v>
      </c>
      <c r="AA80" s="74">
        <f t="shared" si="16"/>
        <v>0</v>
      </c>
    </row>
    <row r="81" spans="24:27" ht="15" customHeight="1">
      <c r="X81" s="122" t="s">
        <v>58</v>
      </c>
      <c r="Y81" s="74">
        <f t="shared" si="16"/>
        <v>10</v>
      </c>
      <c r="Z81" s="74">
        <f t="shared" si="16"/>
        <v>106</v>
      </c>
      <c r="AA81" s="74">
        <f t="shared" si="16"/>
        <v>0</v>
      </c>
    </row>
    <row r="82" spans="24:27" ht="15" customHeight="1">
      <c r="X82" s="122" t="s">
        <v>59</v>
      </c>
      <c r="Y82" s="74">
        <f t="shared" si="16"/>
        <v>304</v>
      </c>
      <c r="Z82" s="74">
        <f t="shared" si="16"/>
        <v>224</v>
      </c>
      <c r="AA82" s="74">
        <f t="shared" si="16"/>
        <v>39</v>
      </c>
    </row>
    <row r="83" spans="24:27" ht="15" customHeight="1">
      <c r="X83" s="122" t="s">
        <v>60</v>
      </c>
      <c r="Y83" s="74">
        <f t="shared" si="16"/>
        <v>14</v>
      </c>
      <c r="Z83" s="74">
        <f t="shared" si="16"/>
        <v>458</v>
      </c>
      <c r="AA83" s="74">
        <f t="shared" si="16"/>
        <v>1</v>
      </c>
    </row>
    <row r="84" spans="24:27" ht="15" customHeight="1">
      <c r="X84" s="122" t="s">
        <v>61</v>
      </c>
      <c r="Y84" s="74">
        <f t="shared" si="16"/>
        <v>0</v>
      </c>
      <c r="Z84" s="74">
        <f t="shared" si="16"/>
        <v>0</v>
      </c>
      <c r="AA84" s="74">
        <f t="shared" si="16"/>
        <v>0</v>
      </c>
    </row>
    <row r="85" spans="24:27" ht="15" customHeight="1">
      <c r="X85" s="122" t="s">
        <v>62</v>
      </c>
      <c r="Y85" s="74">
        <f t="shared" si="16"/>
        <v>745</v>
      </c>
      <c r="Z85" s="74">
        <f t="shared" si="16"/>
        <v>95</v>
      </c>
      <c r="AA85" s="74">
        <f t="shared" si="16"/>
        <v>184</v>
      </c>
    </row>
    <row r="86" spans="24:27" ht="15" customHeight="1">
      <c r="X86" s="122" t="s">
        <v>63</v>
      </c>
      <c r="Y86" s="74">
        <f t="shared" si="16"/>
        <v>746</v>
      </c>
      <c r="Z86" s="74">
        <f t="shared" si="16"/>
        <v>387</v>
      </c>
      <c r="AA86" s="74">
        <f t="shared" si="16"/>
        <v>9</v>
      </c>
    </row>
    <row r="87" spans="24:27" ht="15" customHeight="1">
      <c r="X87" s="122" t="s">
        <v>64</v>
      </c>
      <c r="Y87" s="74">
        <f t="shared" si="16"/>
        <v>0</v>
      </c>
      <c r="Z87" s="74">
        <f t="shared" si="16"/>
        <v>0</v>
      </c>
      <c r="AA87" s="74">
        <f t="shared" si="16"/>
        <v>0</v>
      </c>
    </row>
    <row r="88" spans="24:27" ht="15" customHeight="1">
      <c r="X88" s="122" t="s">
        <v>65</v>
      </c>
      <c r="Y88" s="74">
        <f t="shared" si="16"/>
        <v>362</v>
      </c>
      <c r="Z88" s="74">
        <f t="shared" si="16"/>
        <v>177</v>
      </c>
      <c r="AA88" s="74">
        <f t="shared" si="16"/>
        <v>0</v>
      </c>
    </row>
    <row r="89" spans="24:27" ht="15" customHeight="1">
      <c r="X89" s="122" t="s">
        <v>66</v>
      </c>
      <c r="Y89" s="74">
        <f t="shared" si="16"/>
        <v>419</v>
      </c>
      <c r="Z89" s="74">
        <f t="shared" si="16"/>
        <v>287</v>
      </c>
      <c r="AA89" s="74">
        <f t="shared" si="16"/>
        <v>10</v>
      </c>
    </row>
    <row r="90" spans="24:27" ht="15" customHeight="1">
      <c r="X90" s="122" t="s">
        <v>47</v>
      </c>
      <c r="Y90" s="74">
        <f t="shared" si="16"/>
        <v>1672</v>
      </c>
      <c r="Z90" s="74">
        <f t="shared" si="16"/>
        <v>951</v>
      </c>
      <c r="AA90" s="74">
        <f t="shared" si="16"/>
        <v>107</v>
      </c>
    </row>
    <row r="91" spans="24:27" ht="15" customHeight="1">
      <c r="X91" s="122" t="s">
        <v>67</v>
      </c>
      <c r="Y91" s="74">
        <f t="shared" si="16"/>
        <v>637</v>
      </c>
      <c r="Z91" s="74">
        <f t="shared" si="16"/>
        <v>560</v>
      </c>
      <c r="AA91" s="74">
        <f t="shared" si="16"/>
        <v>21</v>
      </c>
    </row>
    <row r="92" spans="24:27" ht="15" customHeight="1">
      <c r="X92" s="122" t="s">
        <v>68</v>
      </c>
      <c r="Y92" s="74">
        <f t="shared" si="16"/>
        <v>358</v>
      </c>
      <c r="Z92" s="74">
        <f t="shared" si="16"/>
        <v>301</v>
      </c>
      <c r="AA92" s="74">
        <f t="shared" si="16"/>
        <v>1</v>
      </c>
    </row>
  </sheetData>
  <customSheetViews>
    <customSheetView guid="{2387E3E5-DC3A-4E55-B9FB-E509729F4507}" showGridLines="0" showRowCol="0" topLeftCell="A73">
      <selection activeCell="Y84" sqref="Y84"/>
      <pageMargins left="0.7" right="0.7" top="0.75" bottom="0.75" header="0.3" footer="0.3"/>
    </customSheetView>
    <customSheetView guid="{E8E9C221-0224-4E73-8F39-1821F41C5BD3}" showGridLines="0" showRowCol="0">
      <selection activeCell="Y4" sqref="Y4"/>
      <pageMargins left="0.7" right="0.7" top="0.75" bottom="0.75" header="0.3" footer="0.3"/>
    </customSheetView>
  </customSheetViews>
  <mergeCells count="5">
    <mergeCell ref="B1:V1"/>
    <mergeCell ref="Y7:Y8"/>
    <mergeCell ref="Z7:Z8"/>
    <mergeCell ref="AA7:AA8"/>
    <mergeCell ref="X7:X8"/>
  </mergeCells>
  <conditionalFormatting sqref="C8:V8 B6:K6">
    <cfRule type="cellIs" dxfId="17" priority="7" stopIfTrue="1" operator="equal">
      <formula>"F"</formula>
    </cfRule>
    <cfRule type="cellIs" dxfId="16" priority="8" stopIfTrue="1" operator="equal">
      <formula>"C"</formula>
    </cfRule>
    <cfRule type="cellIs" dxfId="15" priority="9" stopIfTrue="1" operator="equal">
      <formula>"C"</formula>
    </cfRule>
  </conditionalFormatting>
  <conditionalFormatting sqref="C9:V75">
    <cfRule type="cellIs" dxfId="14" priority="1" stopIfTrue="1" operator="equal">
      <formula>0</formula>
    </cfRule>
    <cfRule type="cellIs" dxfId="13" priority="2" stopIfTrue="1" operator="equal">
      <formula>1</formula>
    </cfRule>
    <cfRule type="cellIs" dxfId="12" priority="3" stopIfTrue="1" operator="greaterThan">
      <formula>1</formula>
    </cfRule>
  </conditionalFormatting>
  <hyperlinks>
    <hyperlink ref="Y2" location="PPrincipal!A1" display="* Pagina Principal"/>
    <hyperlink ref="Y4" location="CLibertador!A1" display="Libertador"/>
    <hyperlink ref="Y3" location="'CA Mayor'!A1" display="Alcaldía Mayor"/>
    <hyperlink ref="Y5" location="CVargas!A1" display="Vargas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X230"/>
  <sheetViews>
    <sheetView showGridLines="0" showRowColHeaders="0" workbookViewId="0">
      <pane ySplit="8" topLeftCell="A51" activePane="bottomLeft" state="frozen"/>
      <selection pane="bottomLeft" activeCell="I5" sqref="I5"/>
    </sheetView>
  </sheetViews>
  <sheetFormatPr baseColWidth="10" defaultRowHeight="12.75"/>
  <cols>
    <col min="1" max="1" width="42.7109375" customWidth="1"/>
    <col min="2" max="11" width="13.7109375" customWidth="1"/>
    <col min="12" max="13" width="13.7109375" style="23" customWidth="1"/>
    <col min="14" max="25" width="13.7109375" customWidth="1"/>
  </cols>
  <sheetData>
    <row r="1" spans="2:24" s="14" customFormat="1">
      <c r="J1" s="43"/>
      <c r="L1" s="28"/>
      <c r="M1" s="28"/>
    </row>
    <row r="2" spans="2:24" s="14" customFormat="1">
      <c r="I2" s="156" t="s">
        <v>8</v>
      </c>
      <c r="L2" s="28"/>
      <c r="M2" s="28"/>
      <c r="P2" s="66" t="s">
        <v>78</v>
      </c>
      <c r="Q2" s="108">
        <f>R9</f>
        <v>0.6463547334058759</v>
      </c>
      <c r="R2" s="64"/>
    </row>
    <row r="3" spans="2:24" s="14" customFormat="1">
      <c r="I3" s="156" t="s">
        <v>24</v>
      </c>
      <c r="L3" s="28"/>
      <c r="M3" s="28"/>
      <c r="P3" s="66" t="s">
        <v>79</v>
      </c>
      <c r="Q3" s="108">
        <f>U9</f>
        <v>0.28944504896626766</v>
      </c>
      <c r="R3" s="64"/>
    </row>
    <row r="4" spans="2:24" s="14" customFormat="1">
      <c r="I4" s="156" t="s">
        <v>48</v>
      </c>
      <c r="L4" s="28"/>
      <c r="M4" s="28"/>
      <c r="P4" s="66" t="s">
        <v>4</v>
      </c>
      <c r="Q4" s="108">
        <f>X9</f>
        <v>6.4200217627856368E-2</v>
      </c>
      <c r="R4" s="64"/>
    </row>
    <row r="5" spans="2:24" s="14" customFormat="1">
      <c r="I5" s="156" t="s">
        <v>50</v>
      </c>
      <c r="L5" s="28"/>
      <c r="M5" s="28"/>
      <c r="P5" s="109"/>
      <c r="Q5" s="109"/>
    </row>
    <row r="6" spans="2:24" s="14" customFormat="1" ht="33">
      <c r="B6" s="19">
        <v>23</v>
      </c>
      <c r="C6" s="19" t="s">
        <v>77</v>
      </c>
      <c r="D6" s="19"/>
      <c r="E6" s="19"/>
      <c r="F6" s="19"/>
      <c r="G6" s="19"/>
      <c r="H6" s="15"/>
      <c r="I6" s="15"/>
      <c r="J6" s="43"/>
      <c r="L6" s="28"/>
      <c r="M6" s="28"/>
    </row>
    <row r="7" spans="2:24" ht="13.5" thickBot="1"/>
    <row r="8" spans="2:24" ht="45.75" thickBot="1">
      <c r="B8" s="25" t="s">
        <v>1</v>
      </c>
      <c r="C8" s="26" t="s">
        <v>2</v>
      </c>
      <c r="D8" s="27" t="s">
        <v>0</v>
      </c>
      <c r="E8" s="13" t="s">
        <v>78</v>
      </c>
      <c r="F8" s="13" t="s">
        <v>79</v>
      </c>
      <c r="G8" s="13" t="s">
        <v>4</v>
      </c>
      <c r="M8" s="60" t="s">
        <v>9</v>
      </c>
      <c r="P8" s="168" t="s">
        <v>78</v>
      </c>
      <c r="Q8" s="169"/>
      <c r="R8" s="170"/>
      <c r="S8" s="168" t="s">
        <v>79</v>
      </c>
      <c r="T8" s="169"/>
      <c r="U8" s="170"/>
      <c r="V8" s="168" t="s">
        <v>4</v>
      </c>
      <c r="W8" s="169"/>
      <c r="X8" s="170"/>
    </row>
    <row r="9" spans="2:24" ht="18">
      <c r="B9" s="45">
        <v>23</v>
      </c>
      <c r="C9" s="45">
        <v>133</v>
      </c>
      <c r="D9" s="45">
        <v>1</v>
      </c>
      <c r="E9" s="45">
        <v>0</v>
      </c>
      <c r="F9" s="45">
        <v>1</v>
      </c>
      <c r="G9" s="50">
        <v>0</v>
      </c>
      <c r="M9" s="23">
        <v>1</v>
      </c>
      <c r="N9" s="166" t="s">
        <v>0</v>
      </c>
      <c r="O9" s="166"/>
      <c r="P9" s="34">
        <f>SUM(Jorge_Garcia_Carneiro)</f>
        <v>594</v>
      </c>
      <c r="Q9" s="35">
        <f>P9</f>
        <v>594</v>
      </c>
      <c r="R9" s="36">
        <f>P9/($P$9+$S$9+$V$9)</f>
        <v>0.6463547334058759</v>
      </c>
      <c r="S9" s="34">
        <f>SUM(Roberto_Smith)</f>
        <v>266</v>
      </c>
      <c r="T9" s="35">
        <f>S9</f>
        <v>266</v>
      </c>
      <c r="U9" s="36">
        <f>S9/($P$9+$S$9+$V$9)</f>
        <v>0.28944504896626766</v>
      </c>
      <c r="V9" s="34">
        <f>SUM(OtroVA)</f>
        <v>59</v>
      </c>
      <c r="W9" s="35">
        <f>V9</f>
        <v>59</v>
      </c>
      <c r="X9" s="37">
        <f>V9/($P$9+$S$9+$V$9)</f>
        <v>6.4200217627856368E-2</v>
      </c>
    </row>
    <row r="10" spans="2:24" ht="18">
      <c r="B10" s="46">
        <v>23</v>
      </c>
      <c r="C10" s="46">
        <v>131</v>
      </c>
      <c r="D10" s="46">
        <v>2</v>
      </c>
      <c r="E10" s="46">
        <v>11</v>
      </c>
      <c r="F10" s="46">
        <v>3</v>
      </c>
      <c r="G10" s="51">
        <v>1</v>
      </c>
      <c r="M10" s="23">
        <v>1</v>
      </c>
      <c r="N10" s="6">
        <v>0.3125</v>
      </c>
      <c r="O10" s="2">
        <v>1</v>
      </c>
      <c r="P10" s="4">
        <f t="shared" ref="P10:P29" si="0">SUMIF(TurnoVA,$O10,Jorge_Garcia_Carneiro)</f>
        <v>22</v>
      </c>
      <c r="Q10" s="5">
        <f>P10</f>
        <v>22</v>
      </c>
      <c r="R10" s="10">
        <f>IF(P10&lt;&gt;0,Q10/($Q10+$T10+$W10),LOOKUP(2121,$R$3:$R$6))</f>
        <v>0.62857142857142856</v>
      </c>
      <c r="S10" s="4">
        <f t="shared" ref="S10:S29" si="1">SUMIF(TurnoVA,$O10,Roberto_Smith)</f>
        <v>12</v>
      </c>
      <c r="T10" s="5">
        <f>S10</f>
        <v>12</v>
      </c>
      <c r="U10" s="10">
        <f>IF(S10&lt;&gt;0,T10/($Q10+$T10+$W10),LOOKUP(2121,$R$3:$R$6))</f>
        <v>0.34285714285714286</v>
      </c>
      <c r="V10" s="4">
        <f t="shared" ref="V10:V29" si="2">SUMIF(TurnoVA,$O10,OtroVA)</f>
        <v>1</v>
      </c>
      <c r="W10" s="5">
        <f>V10</f>
        <v>1</v>
      </c>
      <c r="X10" s="3">
        <f>IF(V10&lt;&gt;0,W10/($Q10+$T10+$W10),LOOKUP(2121,$R$3:$R$6))</f>
        <v>2.8571428571428571E-2</v>
      </c>
    </row>
    <row r="11" spans="2:24" ht="18">
      <c r="B11" s="46">
        <v>23</v>
      </c>
      <c r="C11" s="46">
        <v>131</v>
      </c>
      <c r="D11" s="46">
        <v>3</v>
      </c>
      <c r="E11" s="46">
        <v>16</v>
      </c>
      <c r="F11" s="46">
        <v>2</v>
      </c>
      <c r="G11" s="51">
        <v>3</v>
      </c>
      <c r="M11" s="23">
        <v>1</v>
      </c>
      <c r="N11" s="6">
        <v>0.33333333333333298</v>
      </c>
      <c r="O11" s="2">
        <v>2</v>
      </c>
      <c r="P11" s="4">
        <f t="shared" si="0"/>
        <v>75</v>
      </c>
      <c r="Q11" s="5">
        <f>Q10+P11</f>
        <v>97</v>
      </c>
      <c r="R11" s="10">
        <f>IF(P11&lt;&gt;0,Q11/($Q11+$T11+$W11),LOOKUP(2121,$R$3:$R$6))</f>
        <v>0.73484848484848486</v>
      </c>
      <c r="S11" s="4">
        <f t="shared" si="1"/>
        <v>20</v>
      </c>
      <c r="T11" s="5">
        <f>T10+S11</f>
        <v>32</v>
      </c>
      <c r="U11" s="10">
        <f>IF(S11&lt;&gt;0,T11/($Q11+$T11+$W11),LOOKUP(2121,$R$3:$R$6))</f>
        <v>0.24242424242424243</v>
      </c>
      <c r="V11" s="4">
        <f t="shared" si="2"/>
        <v>2</v>
      </c>
      <c r="W11" s="5">
        <f>W10+V11</f>
        <v>3</v>
      </c>
      <c r="X11" s="3">
        <f>IF(V11&lt;&gt;0,W11/($Q11+$T11+$W11),LOOKUP(2121,$R$3:$R$6))</f>
        <v>2.2727272727272728E-2</v>
      </c>
    </row>
    <row r="12" spans="2:24" ht="18">
      <c r="B12" s="46">
        <v>23</v>
      </c>
      <c r="C12" s="46">
        <v>131</v>
      </c>
      <c r="D12" s="46">
        <v>4</v>
      </c>
      <c r="E12" s="46">
        <v>10</v>
      </c>
      <c r="F12" s="46">
        <v>5</v>
      </c>
      <c r="G12" s="51">
        <v>5</v>
      </c>
      <c r="M12" s="23">
        <v>1</v>
      </c>
      <c r="N12" s="6">
        <v>0.35416666666666702</v>
      </c>
      <c r="O12" s="2">
        <v>3</v>
      </c>
      <c r="P12" s="4">
        <f t="shared" si="0"/>
        <v>78</v>
      </c>
      <c r="Q12" s="5">
        <f t="shared" ref="Q12:Q29" si="3">Q11+P12</f>
        <v>175</v>
      </c>
      <c r="R12" s="10">
        <f t="shared" ref="R12:R29" si="4">IF(P12&lt;&gt;0,Q12/($Q12+$T12+$W12),LOOKUP(2121,$R$3:$R$6))</f>
        <v>0.77092511013215859</v>
      </c>
      <c r="S12" s="4">
        <f t="shared" si="1"/>
        <v>12</v>
      </c>
      <c r="T12" s="5">
        <f t="shared" ref="T12:T29" si="5">T11+S12</f>
        <v>44</v>
      </c>
      <c r="U12" s="10">
        <f t="shared" ref="U12:U29" si="6">IF(S12&lt;&gt;0,T12/($Q12+$T12+$W12),LOOKUP(2121,$R$3:$R$6))</f>
        <v>0.19383259911894274</v>
      </c>
      <c r="V12" s="4">
        <f t="shared" si="2"/>
        <v>5</v>
      </c>
      <c r="W12" s="5">
        <f t="shared" ref="W12:W29" si="7">W11+V12</f>
        <v>8</v>
      </c>
      <c r="X12" s="3">
        <f t="shared" ref="X12:X29" si="8">IF(V12&lt;&gt;0,W12/($Q12+$T12+$W12),LOOKUP(2121,$R$3:$R$6))</f>
        <v>3.5242290748898682E-2</v>
      </c>
    </row>
    <row r="13" spans="2:24" ht="18">
      <c r="B13" s="46">
        <v>23</v>
      </c>
      <c r="C13" s="46">
        <v>127</v>
      </c>
      <c r="D13" s="46">
        <v>4</v>
      </c>
      <c r="E13" s="46">
        <v>1</v>
      </c>
      <c r="F13" s="46">
        <v>7</v>
      </c>
      <c r="G13" s="51">
        <v>0</v>
      </c>
      <c r="M13" s="23">
        <v>1</v>
      </c>
      <c r="N13" s="6">
        <v>0.375</v>
      </c>
      <c r="O13" s="2">
        <v>4</v>
      </c>
      <c r="P13" s="4">
        <f t="shared" si="0"/>
        <v>74</v>
      </c>
      <c r="Q13" s="5">
        <f t="shared" si="3"/>
        <v>249</v>
      </c>
      <c r="R13" s="10">
        <f t="shared" si="4"/>
        <v>0.71142857142857141</v>
      </c>
      <c r="S13" s="4">
        <f t="shared" si="1"/>
        <v>38</v>
      </c>
      <c r="T13" s="5">
        <f t="shared" si="5"/>
        <v>82</v>
      </c>
      <c r="U13" s="10">
        <f t="shared" si="6"/>
        <v>0.23428571428571429</v>
      </c>
      <c r="V13" s="4">
        <f t="shared" si="2"/>
        <v>11</v>
      </c>
      <c r="W13" s="5">
        <f t="shared" si="7"/>
        <v>19</v>
      </c>
      <c r="X13" s="3">
        <f t="shared" si="8"/>
        <v>5.4285714285714284E-2</v>
      </c>
    </row>
    <row r="14" spans="2:24" ht="18">
      <c r="B14" s="46">
        <v>23</v>
      </c>
      <c r="C14" s="46">
        <v>133</v>
      </c>
      <c r="D14" s="46">
        <v>2</v>
      </c>
      <c r="E14" s="46">
        <v>3</v>
      </c>
      <c r="F14" s="46">
        <v>2</v>
      </c>
      <c r="G14" s="51">
        <v>0</v>
      </c>
      <c r="M14" s="23">
        <v>1</v>
      </c>
      <c r="N14" s="6">
        <v>0.39583333333333298</v>
      </c>
      <c r="O14" s="2">
        <v>5</v>
      </c>
      <c r="P14" s="4">
        <f t="shared" si="0"/>
        <v>55</v>
      </c>
      <c r="Q14" s="5">
        <f t="shared" si="3"/>
        <v>304</v>
      </c>
      <c r="R14" s="10">
        <f t="shared" si="4"/>
        <v>0.66375545851528384</v>
      </c>
      <c r="S14" s="4">
        <f t="shared" si="1"/>
        <v>43</v>
      </c>
      <c r="T14" s="5">
        <f t="shared" si="5"/>
        <v>125</v>
      </c>
      <c r="U14" s="10">
        <f t="shared" si="6"/>
        <v>0.27292576419213976</v>
      </c>
      <c r="V14" s="4">
        <f t="shared" si="2"/>
        <v>10</v>
      </c>
      <c r="W14" s="5">
        <f t="shared" si="7"/>
        <v>29</v>
      </c>
      <c r="X14" s="3">
        <f t="shared" si="8"/>
        <v>6.3318777292576414E-2</v>
      </c>
    </row>
    <row r="15" spans="2:24" ht="18">
      <c r="B15" s="46">
        <v>23</v>
      </c>
      <c r="C15" s="46">
        <v>127</v>
      </c>
      <c r="D15" s="46">
        <v>5</v>
      </c>
      <c r="E15" s="46">
        <v>2</v>
      </c>
      <c r="F15" s="46">
        <v>10</v>
      </c>
      <c r="G15" s="51">
        <v>0</v>
      </c>
      <c r="M15" s="23">
        <v>1</v>
      </c>
      <c r="N15" s="6">
        <v>0.41666666666666702</v>
      </c>
      <c r="O15" s="2">
        <v>6</v>
      </c>
      <c r="P15" s="4">
        <f t="shared" si="0"/>
        <v>72</v>
      </c>
      <c r="Q15" s="5">
        <f t="shared" si="3"/>
        <v>376</v>
      </c>
      <c r="R15" s="10">
        <f t="shared" si="4"/>
        <v>0.65619546247818494</v>
      </c>
      <c r="S15" s="4">
        <f t="shared" si="1"/>
        <v>31</v>
      </c>
      <c r="T15" s="5">
        <f t="shared" si="5"/>
        <v>156</v>
      </c>
      <c r="U15" s="10">
        <f t="shared" si="6"/>
        <v>0.27225130890052357</v>
      </c>
      <c r="V15" s="4">
        <f t="shared" si="2"/>
        <v>12</v>
      </c>
      <c r="W15" s="5">
        <f t="shared" si="7"/>
        <v>41</v>
      </c>
      <c r="X15" s="3">
        <f t="shared" si="8"/>
        <v>7.1553228621291445E-2</v>
      </c>
    </row>
    <row r="16" spans="2:24" ht="18">
      <c r="B16" s="46">
        <v>23</v>
      </c>
      <c r="C16" s="46">
        <v>135</v>
      </c>
      <c r="D16" s="46">
        <v>5</v>
      </c>
      <c r="E16" s="46">
        <v>2</v>
      </c>
      <c r="F16" s="46">
        <v>0</v>
      </c>
      <c r="G16" s="51">
        <v>0</v>
      </c>
      <c r="M16" s="23">
        <v>1</v>
      </c>
      <c r="N16" s="6">
        <v>0.4375</v>
      </c>
      <c r="O16" s="2">
        <v>7</v>
      </c>
      <c r="P16" s="4">
        <f t="shared" si="0"/>
        <v>47</v>
      </c>
      <c r="Q16" s="5">
        <f t="shared" si="3"/>
        <v>423</v>
      </c>
      <c r="R16" s="10">
        <f t="shared" si="4"/>
        <v>0.64580152671755731</v>
      </c>
      <c r="S16" s="4">
        <f t="shared" si="1"/>
        <v>33</v>
      </c>
      <c r="T16" s="5">
        <f t="shared" si="5"/>
        <v>189</v>
      </c>
      <c r="U16" s="10">
        <f t="shared" si="6"/>
        <v>0.28854961832061071</v>
      </c>
      <c r="V16" s="4">
        <f t="shared" si="2"/>
        <v>2</v>
      </c>
      <c r="W16" s="5">
        <f t="shared" si="7"/>
        <v>43</v>
      </c>
      <c r="X16" s="3">
        <f t="shared" si="8"/>
        <v>6.5648854961832065E-2</v>
      </c>
    </row>
    <row r="17" spans="2:24" ht="18">
      <c r="B17" s="46">
        <v>23</v>
      </c>
      <c r="C17" s="46">
        <v>135</v>
      </c>
      <c r="D17" s="46">
        <v>4</v>
      </c>
      <c r="E17" s="46">
        <v>2</v>
      </c>
      <c r="F17" s="46">
        <v>0</v>
      </c>
      <c r="G17" s="51">
        <v>0</v>
      </c>
      <c r="M17" s="23">
        <v>1</v>
      </c>
      <c r="N17" s="6">
        <v>0.45833333333333298</v>
      </c>
      <c r="O17" s="2">
        <v>8</v>
      </c>
      <c r="P17" s="4">
        <f t="shared" si="0"/>
        <v>35</v>
      </c>
      <c r="Q17" s="5">
        <f t="shared" si="3"/>
        <v>458</v>
      </c>
      <c r="R17" s="10">
        <f t="shared" si="4"/>
        <v>0.63788300835654599</v>
      </c>
      <c r="S17" s="4">
        <f t="shared" si="1"/>
        <v>22</v>
      </c>
      <c r="T17" s="5">
        <f t="shared" si="5"/>
        <v>211</v>
      </c>
      <c r="U17" s="10">
        <f t="shared" si="6"/>
        <v>0.29387186629526463</v>
      </c>
      <c r="V17" s="4">
        <f t="shared" si="2"/>
        <v>6</v>
      </c>
      <c r="W17" s="5">
        <f t="shared" si="7"/>
        <v>49</v>
      </c>
      <c r="X17" s="3">
        <f t="shared" si="8"/>
        <v>6.8245125348189412E-2</v>
      </c>
    </row>
    <row r="18" spans="2:24" ht="18">
      <c r="B18" s="46">
        <v>23</v>
      </c>
      <c r="C18" s="46">
        <v>135</v>
      </c>
      <c r="D18" s="46">
        <v>3</v>
      </c>
      <c r="E18" s="46">
        <v>1</v>
      </c>
      <c r="F18" s="46">
        <v>0</v>
      </c>
      <c r="G18" s="51">
        <v>0</v>
      </c>
      <c r="M18" s="23">
        <v>1</v>
      </c>
      <c r="N18" s="6">
        <v>0.47916666666666702</v>
      </c>
      <c r="O18" s="2">
        <v>9</v>
      </c>
      <c r="P18" s="4">
        <f t="shared" si="0"/>
        <v>40</v>
      </c>
      <c r="Q18" s="5">
        <f t="shared" si="3"/>
        <v>498</v>
      </c>
      <c r="R18" s="10">
        <f t="shared" si="4"/>
        <v>0.65013054830287209</v>
      </c>
      <c r="S18" s="4">
        <f t="shared" si="1"/>
        <v>5</v>
      </c>
      <c r="T18" s="5">
        <f t="shared" si="5"/>
        <v>216</v>
      </c>
      <c r="U18" s="10">
        <f t="shared" si="6"/>
        <v>0.28198433420365537</v>
      </c>
      <c r="V18" s="4">
        <f t="shared" si="2"/>
        <v>3</v>
      </c>
      <c r="W18" s="5">
        <f t="shared" si="7"/>
        <v>52</v>
      </c>
      <c r="X18" s="3">
        <f t="shared" si="8"/>
        <v>6.7885117493472591E-2</v>
      </c>
    </row>
    <row r="19" spans="2:24" ht="18">
      <c r="B19" s="46">
        <v>23</v>
      </c>
      <c r="C19" s="46">
        <v>135</v>
      </c>
      <c r="D19" s="46">
        <v>2</v>
      </c>
      <c r="E19" s="46">
        <v>0</v>
      </c>
      <c r="F19" s="46">
        <v>0</v>
      </c>
      <c r="G19" s="51">
        <v>0</v>
      </c>
      <c r="M19" s="23">
        <v>1</v>
      </c>
      <c r="N19" s="6">
        <v>0.5</v>
      </c>
      <c r="O19" s="2">
        <v>10</v>
      </c>
      <c r="P19" s="4">
        <f t="shared" si="0"/>
        <v>24</v>
      </c>
      <c r="Q19" s="5">
        <f t="shared" si="3"/>
        <v>522</v>
      </c>
      <c r="R19" s="10">
        <f t="shared" si="4"/>
        <v>0.64844720496894415</v>
      </c>
      <c r="S19" s="4">
        <f t="shared" si="1"/>
        <v>13</v>
      </c>
      <c r="T19" s="5">
        <f t="shared" si="5"/>
        <v>229</v>
      </c>
      <c r="U19" s="10">
        <f t="shared" si="6"/>
        <v>0.28447204968944101</v>
      </c>
      <c r="V19" s="4">
        <f t="shared" si="2"/>
        <v>2</v>
      </c>
      <c r="W19" s="5">
        <f t="shared" si="7"/>
        <v>54</v>
      </c>
      <c r="X19" s="3">
        <f t="shared" si="8"/>
        <v>6.70807453416149E-2</v>
      </c>
    </row>
    <row r="20" spans="2:24" ht="18">
      <c r="B20" s="46">
        <v>23</v>
      </c>
      <c r="C20" s="46">
        <v>135</v>
      </c>
      <c r="D20" s="46">
        <v>1</v>
      </c>
      <c r="E20" s="46">
        <v>0</v>
      </c>
      <c r="F20" s="46">
        <v>0</v>
      </c>
      <c r="G20" s="51">
        <v>0</v>
      </c>
      <c r="M20" s="23">
        <v>1</v>
      </c>
      <c r="N20" s="6">
        <v>0.52083333333333304</v>
      </c>
      <c r="O20" s="2">
        <v>11</v>
      </c>
      <c r="P20" s="4">
        <f t="shared" si="0"/>
        <v>18</v>
      </c>
      <c r="Q20" s="5">
        <f t="shared" si="3"/>
        <v>540</v>
      </c>
      <c r="R20" s="10">
        <f t="shared" si="4"/>
        <v>0.6467065868263473</v>
      </c>
      <c r="S20" s="4">
        <f t="shared" si="1"/>
        <v>12</v>
      </c>
      <c r="T20" s="5">
        <f t="shared" si="5"/>
        <v>241</v>
      </c>
      <c r="U20" s="10">
        <f t="shared" si="6"/>
        <v>0.28862275449101799</v>
      </c>
      <c r="V20" s="4">
        <f t="shared" si="2"/>
        <v>0</v>
      </c>
      <c r="W20" s="5">
        <f t="shared" si="7"/>
        <v>54</v>
      </c>
      <c r="X20" s="3" t="e">
        <f t="shared" si="8"/>
        <v>#N/A</v>
      </c>
    </row>
    <row r="21" spans="2:24" ht="18">
      <c r="B21" s="46">
        <v>23</v>
      </c>
      <c r="C21" s="46">
        <v>128</v>
      </c>
      <c r="D21" s="46">
        <v>3</v>
      </c>
      <c r="E21" s="46">
        <v>21</v>
      </c>
      <c r="F21" s="46">
        <v>3</v>
      </c>
      <c r="G21" s="51">
        <v>0</v>
      </c>
      <c r="M21" s="23">
        <v>1</v>
      </c>
      <c r="N21" s="6">
        <v>4.1666666666666664E-2</v>
      </c>
      <c r="O21" s="2">
        <v>12</v>
      </c>
      <c r="P21" s="4">
        <f t="shared" si="0"/>
        <v>33</v>
      </c>
      <c r="Q21" s="5">
        <f t="shared" si="3"/>
        <v>573</v>
      </c>
      <c r="R21" s="10">
        <f t="shared" si="4"/>
        <v>0.64382022471910116</v>
      </c>
      <c r="S21" s="4">
        <f t="shared" si="1"/>
        <v>18</v>
      </c>
      <c r="T21" s="5">
        <f t="shared" si="5"/>
        <v>259</v>
      </c>
      <c r="U21" s="10">
        <f t="shared" si="6"/>
        <v>0.29101123595505618</v>
      </c>
      <c r="V21" s="4">
        <f t="shared" si="2"/>
        <v>4</v>
      </c>
      <c r="W21" s="5">
        <f t="shared" si="7"/>
        <v>58</v>
      </c>
      <c r="X21" s="3">
        <f t="shared" si="8"/>
        <v>6.5168539325842698E-2</v>
      </c>
    </row>
    <row r="22" spans="2:24" ht="18">
      <c r="B22" s="46">
        <v>23</v>
      </c>
      <c r="C22" s="46">
        <v>128</v>
      </c>
      <c r="D22" s="46">
        <v>2</v>
      </c>
      <c r="E22" s="46">
        <v>42</v>
      </c>
      <c r="F22" s="46">
        <v>5</v>
      </c>
      <c r="G22" s="51">
        <v>0</v>
      </c>
      <c r="M22" s="23">
        <v>1</v>
      </c>
      <c r="N22" s="6">
        <v>6.25E-2</v>
      </c>
      <c r="O22" s="2">
        <v>13</v>
      </c>
      <c r="P22" s="4">
        <f t="shared" si="0"/>
        <v>8</v>
      </c>
      <c r="Q22" s="5">
        <f t="shared" si="3"/>
        <v>581</v>
      </c>
      <c r="R22" s="10">
        <f t="shared" si="4"/>
        <v>0.64341085271317833</v>
      </c>
      <c r="S22" s="4">
        <f t="shared" si="1"/>
        <v>4</v>
      </c>
      <c r="T22" s="5">
        <f t="shared" si="5"/>
        <v>263</v>
      </c>
      <c r="U22" s="10">
        <f t="shared" si="6"/>
        <v>0.29125138427464009</v>
      </c>
      <c r="V22" s="4">
        <f t="shared" si="2"/>
        <v>1</v>
      </c>
      <c r="W22" s="5">
        <f t="shared" si="7"/>
        <v>59</v>
      </c>
      <c r="X22" s="3">
        <f t="shared" si="8"/>
        <v>6.533776301218161E-2</v>
      </c>
    </row>
    <row r="23" spans="2:24" ht="18">
      <c r="B23" s="46">
        <v>23</v>
      </c>
      <c r="C23" s="46">
        <v>131</v>
      </c>
      <c r="D23" s="46">
        <v>5</v>
      </c>
      <c r="E23" s="46">
        <v>13</v>
      </c>
      <c r="F23" s="46">
        <v>5</v>
      </c>
      <c r="G23" s="51">
        <v>4</v>
      </c>
      <c r="M23" s="23">
        <v>1</v>
      </c>
      <c r="N23" s="6">
        <v>8.3333333333333329E-2</v>
      </c>
      <c r="O23" s="2">
        <v>14</v>
      </c>
      <c r="P23" s="4">
        <f t="shared" si="0"/>
        <v>13</v>
      </c>
      <c r="Q23" s="5">
        <f t="shared" si="3"/>
        <v>594</v>
      </c>
      <c r="R23" s="10">
        <f t="shared" si="4"/>
        <v>0.6463547334058759</v>
      </c>
      <c r="S23" s="4">
        <f t="shared" si="1"/>
        <v>3</v>
      </c>
      <c r="T23" s="5">
        <f t="shared" si="5"/>
        <v>266</v>
      </c>
      <c r="U23" s="10">
        <f t="shared" si="6"/>
        <v>0.28944504896626766</v>
      </c>
      <c r="V23" s="4">
        <f t="shared" si="2"/>
        <v>0</v>
      </c>
      <c r="W23" s="5">
        <f t="shared" si="7"/>
        <v>59</v>
      </c>
      <c r="X23" s="3" t="e">
        <f t="shared" si="8"/>
        <v>#N/A</v>
      </c>
    </row>
    <row r="24" spans="2:24" ht="18">
      <c r="B24" s="46">
        <v>23</v>
      </c>
      <c r="C24" s="46">
        <v>133</v>
      </c>
      <c r="D24" s="46">
        <v>3</v>
      </c>
      <c r="E24" s="46">
        <v>0</v>
      </c>
      <c r="F24" s="46">
        <v>1</v>
      </c>
      <c r="G24" s="51">
        <v>0</v>
      </c>
      <c r="M24" s="23">
        <v>1</v>
      </c>
      <c r="N24" s="6">
        <v>0.104166666666667</v>
      </c>
      <c r="O24" s="2">
        <v>15</v>
      </c>
      <c r="P24" s="4">
        <f t="shared" si="0"/>
        <v>0</v>
      </c>
      <c r="Q24" s="5">
        <f t="shared" si="3"/>
        <v>594</v>
      </c>
      <c r="R24" s="10" t="e">
        <f t="shared" si="4"/>
        <v>#N/A</v>
      </c>
      <c r="S24" s="4">
        <f t="shared" si="1"/>
        <v>0</v>
      </c>
      <c r="T24" s="5">
        <f t="shared" si="5"/>
        <v>266</v>
      </c>
      <c r="U24" s="10" t="e">
        <f t="shared" si="6"/>
        <v>#N/A</v>
      </c>
      <c r="V24" s="4">
        <f t="shared" si="2"/>
        <v>0</v>
      </c>
      <c r="W24" s="5">
        <f t="shared" si="7"/>
        <v>59</v>
      </c>
      <c r="X24" s="3" t="e">
        <f t="shared" si="8"/>
        <v>#N/A</v>
      </c>
    </row>
    <row r="25" spans="2:24" ht="18">
      <c r="B25" s="46">
        <v>23</v>
      </c>
      <c r="C25" s="46">
        <v>133</v>
      </c>
      <c r="D25" s="46">
        <v>4</v>
      </c>
      <c r="E25" s="46">
        <v>11</v>
      </c>
      <c r="F25" s="46">
        <v>5</v>
      </c>
      <c r="G25" s="51">
        <v>0</v>
      </c>
      <c r="M25" s="23">
        <v>1</v>
      </c>
      <c r="N25" s="6">
        <v>0.125</v>
      </c>
      <c r="O25" s="2">
        <v>16</v>
      </c>
      <c r="P25" s="4">
        <f t="shared" si="0"/>
        <v>0</v>
      </c>
      <c r="Q25" s="5">
        <f t="shared" si="3"/>
        <v>594</v>
      </c>
      <c r="R25" s="10" t="e">
        <f t="shared" si="4"/>
        <v>#N/A</v>
      </c>
      <c r="S25" s="4">
        <f t="shared" si="1"/>
        <v>0</v>
      </c>
      <c r="T25" s="5">
        <f t="shared" si="5"/>
        <v>266</v>
      </c>
      <c r="U25" s="10" t="e">
        <f t="shared" si="6"/>
        <v>#N/A</v>
      </c>
      <c r="V25" s="4">
        <f t="shared" si="2"/>
        <v>0</v>
      </c>
      <c r="W25" s="5">
        <f t="shared" si="7"/>
        <v>59</v>
      </c>
      <c r="X25" s="3" t="e">
        <f t="shared" si="8"/>
        <v>#N/A</v>
      </c>
    </row>
    <row r="26" spans="2:24" ht="18">
      <c r="B26" s="46">
        <v>23</v>
      </c>
      <c r="C26" s="46">
        <v>134</v>
      </c>
      <c r="D26" s="46">
        <v>1</v>
      </c>
      <c r="E26" s="46">
        <v>5</v>
      </c>
      <c r="F26" s="46">
        <v>6</v>
      </c>
      <c r="G26" s="51">
        <v>0</v>
      </c>
      <c r="M26" s="23">
        <v>1</v>
      </c>
      <c r="N26" s="6">
        <v>0.14583333333333301</v>
      </c>
      <c r="O26" s="2">
        <v>17</v>
      </c>
      <c r="P26" s="4">
        <f t="shared" si="0"/>
        <v>0</v>
      </c>
      <c r="Q26" s="5">
        <f t="shared" si="3"/>
        <v>594</v>
      </c>
      <c r="R26" s="10" t="e">
        <f t="shared" si="4"/>
        <v>#N/A</v>
      </c>
      <c r="S26" s="4">
        <f t="shared" si="1"/>
        <v>0</v>
      </c>
      <c r="T26" s="5">
        <f t="shared" si="5"/>
        <v>266</v>
      </c>
      <c r="U26" s="10" t="e">
        <f t="shared" si="6"/>
        <v>#N/A</v>
      </c>
      <c r="V26" s="4">
        <f t="shared" si="2"/>
        <v>0</v>
      </c>
      <c r="W26" s="5">
        <f t="shared" si="7"/>
        <v>59</v>
      </c>
      <c r="X26" s="3" t="e">
        <f t="shared" si="8"/>
        <v>#N/A</v>
      </c>
    </row>
    <row r="27" spans="2:24" ht="18">
      <c r="B27" s="46">
        <v>23</v>
      </c>
      <c r="C27" s="46">
        <v>131</v>
      </c>
      <c r="D27" s="46">
        <v>1</v>
      </c>
      <c r="E27" s="46">
        <v>11</v>
      </c>
      <c r="F27" s="46">
        <v>3</v>
      </c>
      <c r="G27" s="51">
        <v>1</v>
      </c>
      <c r="M27" s="23">
        <v>1</v>
      </c>
      <c r="N27" s="6">
        <v>0.16666666666666599</v>
      </c>
      <c r="O27" s="2">
        <v>18</v>
      </c>
      <c r="P27" s="4">
        <f t="shared" si="0"/>
        <v>0</v>
      </c>
      <c r="Q27" s="5">
        <f t="shared" si="3"/>
        <v>594</v>
      </c>
      <c r="R27" s="10" t="e">
        <f t="shared" si="4"/>
        <v>#N/A</v>
      </c>
      <c r="S27" s="4">
        <f t="shared" si="1"/>
        <v>0</v>
      </c>
      <c r="T27" s="5">
        <f t="shared" si="5"/>
        <v>266</v>
      </c>
      <c r="U27" s="10" t="e">
        <f t="shared" si="6"/>
        <v>#N/A</v>
      </c>
      <c r="V27" s="4">
        <f t="shared" si="2"/>
        <v>0</v>
      </c>
      <c r="W27" s="5">
        <f t="shared" si="7"/>
        <v>59</v>
      </c>
      <c r="X27" s="3" t="e">
        <f t="shared" si="8"/>
        <v>#N/A</v>
      </c>
    </row>
    <row r="28" spans="2:24" ht="18">
      <c r="B28" s="46">
        <v>23</v>
      </c>
      <c r="C28" s="46">
        <v>131</v>
      </c>
      <c r="D28" s="46">
        <v>1</v>
      </c>
      <c r="E28" s="46">
        <v>6</v>
      </c>
      <c r="F28" s="46">
        <v>2</v>
      </c>
      <c r="G28" s="51">
        <v>0</v>
      </c>
      <c r="M28" s="23">
        <v>1</v>
      </c>
      <c r="N28" s="6">
        <v>0.187499999999999</v>
      </c>
      <c r="O28" s="2">
        <v>19</v>
      </c>
      <c r="P28" s="4">
        <f t="shared" si="0"/>
        <v>0</v>
      </c>
      <c r="Q28" s="5">
        <f t="shared" si="3"/>
        <v>594</v>
      </c>
      <c r="R28" s="10" t="e">
        <f t="shared" si="4"/>
        <v>#N/A</v>
      </c>
      <c r="S28" s="4">
        <f t="shared" si="1"/>
        <v>0</v>
      </c>
      <c r="T28" s="5">
        <f t="shared" si="5"/>
        <v>266</v>
      </c>
      <c r="U28" s="10" t="e">
        <f t="shared" si="6"/>
        <v>#N/A</v>
      </c>
      <c r="V28" s="4">
        <f t="shared" si="2"/>
        <v>0</v>
      </c>
      <c r="W28" s="5">
        <f t="shared" si="7"/>
        <v>59</v>
      </c>
      <c r="X28" s="3" t="e">
        <f t="shared" si="8"/>
        <v>#N/A</v>
      </c>
    </row>
    <row r="29" spans="2:24" ht="18.75" thickBot="1">
      <c r="B29" s="46">
        <v>23</v>
      </c>
      <c r="C29" s="46">
        <v>134</v>
      </c>
      <c r="D29" s="46">
        <v>2</v>
      </c>
      <c r="E29" s="46">
        <v>12</v>
      </c>
      <c r="F29" s="46">
        <v>9</v>
      </c>
      <c r="G29" s="51">
        <v>1</v>
      </c>
      <c r="M29" s="23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3"/>
        <v>594</v>
      </c>
      <c r="R29" s="11" t="e">
        <f t="shared" si="4"/>
        <v>#N/A</v>
      </c>
      <c r="S29" s="7">
        <f t="shared" si="1"/>
        <v>0</v>
      </c>
      <c r="T29" s="8">
        <f t="shared" si="5"/>
        <v>266</v>
      </c>
      <c r="U29" s="11" t="e">
        <f t="shared" si="6"/>
        <v>#N/A</v>
      </c>
      <c r="V29" s="7">
        <f t="shared" si="2"/>
        <v>0</v>
      </c>
      <c r="W29" s="8">
        <f t="shared" si="7"/>
        <v>59</v>
      </c>
      <c r="X29" s="9" t="e">
        <f t="shared" si="8"/>
        <v>#N/A</v>
      </c>
    </row>
    <row r="30" spans="2:24" ht="18">
      <c r="B30" s="46">
        <v>23</v>
      </c>
      <c r="C30" s="46">
        <v>128</v>
      </c>
      <c r="D30" s="46">
        <v>6</v>
      </c>
      <c r="E30" s="46">
        <v>6</v>
      </c>
      <c r="F30" s="46">
        <v>1</v>
      </c>
      <c r="G30" s="51">
        <v>0</v>
      </c>
      <c r="M30" s="23">
        <v>1</v>
      </c>
    </row>
    <row r="31" spans="2:24" ht="18">
      <c r="B31" s="46">
        <v>23</v>
      </c>
      <c r="C31" s="46">
        <v>128</v>
      </c>
      <c r="D31" s="46">
        <v>7</v>
      </c>
      <c r="E31" s="46">
        <v>7</v>
      </c>
      <c r="F31" s="46">
        <v>3</v>
      </c>
      <c r="G31" s="51">
        <v>1</v>
      </c>
      <c r="M31" s="23">
        <v>1</v>
      </c>
    </row>
    <row r="32" spans="2:24" ht="18">
      <c r="B32" s="46">
        <v>23</v>
      </c>
      <c r="C32" s="46">
        <v>130</v>
      </c>
      <c r="D32" s="46">
        <v>5</v>
      </c>
      <c r="E32" s="46">
        <v>10</v>
      </c>
      <c r="F32" s="46">
        <v>5</v>
      </c>
      <c r="G32" s="51">
        <v>2</v>
      </c>
      <c r="M32" s="23">
        <v>1</v>
      </c>
      <c r="O32" s="23">
        <v>127</v>
      </c>
    </row>
    <row r="33" spans="2:15" ht="18">
      <c r="B33" s="46">
        <v>23</v>
      </c>
      <c r="C33" s="46">
        <v>130</v>
      </c>
      <c r="D33" s="46">
        <v>6</v>
      </c>
      <c r="E33" s="46">
        <v>21</v>
      </c>
      <c r="F33" s="46">
        <v>1</v>
      </c>
      <c r="G33" s="51">
        <v>1</v>
      </c>
      <c r="M33" s="23">
        <v>1</v>
      </c>
      <c r="O33" s="23">
        <v>128</v>
      </c>
    </row>
    <row r="34" spans="2:15" ht="18">
      <c r="B34" s="46">
        <v>23</v>
      </c>
      <c r="C34" s="46">
        <v>130</v>
      </c>
      <c r="D34" s="46">
        <v>4</v>
      </c>
      <c r="E34" s="46">
        <v>13</v>
      </c>
      <c r="F34" s="46">
        <v>4</v>
      </c>
      <c r="G34" s="51">
        <v>2</v>
      </c>
      <c r="M34" s="23">
        <v>1</v>
      </c>
      <c r="O34" s="23">
        <v>129</v>
      </c>
    </row>
    <row r="35" spans="2:15" ht="18">
      <c r="B35" s="46">
        <v>23</v>
      </c>
      <c r="C35" s="46">
        <v>130</v>
      </c>
      <c r="D35" s="46">
        <v>2</v>
      </c>
      <c r="E35" s="46">
        <v>7</v>
      </c>
      <c r="F35" s="46">
        <v>1</v>
      </c>
      <c r="G35" s="51">
        <v>0</v>
      </c>
      <c r="M35" s="23">
        <v>1</v>
      </c>
      <c r="O35" s="23">
        <v>130</v>
      </c>
    </row>
    <row r="36" spans="2:15" ht="18">
      <c r="B36" s="46">
        <v>23</v>
      </c>
      <c r="C36" s="46">
        <v>131</v>
      </c>
      <c r="D36" s="46">
        <v>7</v>
      </c>
      <c r="E36" s="46">
        <v>14</v>
      </c>
      <c r="F36" s="46">
        <v>1</v>
      </c>
      <c r="G36" s="51">
        <v>0</v>
      </c>
      <c r="M36" s="23">
        <v>1</v>
      </c>
      <c r="O36" s="23">
        <v>131</v>
      </c>
    </row>
    <row r="37" spans="2:15" ht="18">
      <c r="B37" s="46">
        <v>23</v>
      </c>
      <c r="C37" s="46">
        <v>131</v>
      </c>
      <c r="D37" s="46">
        <v>6</v>
      </c>
      <c r="E37" s="46">
        <v>4</v>
      </c>
      <c r="F37" s="46">
        <v>3</v>
      </c>
      <c r="G37" s="51">
        <v>3</v>
      </c>
      <c r="M37" s="23">
        <v>1</v>
      </c>
      <c r="O37" s="23">
        <v>132</v>
      </c>
    </row>
    <row r="38" spans="2:15" ht="18">
      <c r="B38" s="46">
        <v>23</v>
      </c>
      <c r="C38" s="46">
        <v>134</v>
      </c>
      <c r="D38" s="46">
        <v>6</v>
      </c>
      <c r="E38" s="46">
        <v>18</v>
      </c>
      <c r="F38" s="46">
        <v>6</v>
      </c>
      <c r="G38" s="51">
        <v>0</v>
      </c>
      <c r="M38" s="23">
        <v>1</v>
      </c>
      <c r="O38" s="23">
        <v>133</v>
      </c>
    </row>
    <row r="39" spans="2:15" ht="18">
      <c r="B39" s="46">
        <v>23</v>
      </c>
      <c r="C39" s="46">
        <v>134</v>
      </c>
      <c r="D39" s="46">
        <v>5</v>
      </c>
      <c r="E39" s="46">
        <v>12</v>
      </c>
      <c r="F39" s="46">
        <v>6</v>
      </c>
      <c r="G39" s="51">
        <v>2</v>
      </c>
      <c r="M39" s="23">
        <v>1</v>
      </c>
      <c r="O39" s="23">
        <v>134</v>
      </c>
    </row>
    <row r="40" spans="2:15" ht="18">
      <c r="B40" s="46">
        <v>23</v>
      </c>
      <c r="C40" s="46">
        <v>130</v>
      </c>
      <c r="D40" s="46">
        <v>9</v>
      </c>
      <c r="E40" s="46">
        <v>5</v>
      </c>
      <c r="F40" s="46">
        <v>0</v>
      </c>
      <c r="G40" s="51">
        <v>0</v>
      </c>
      <c r="M40" s="23">
        <v>1</v>
      </c>
      <c r="O40" s="23">
        <v>135</v>
      </c>
    </row>
    <row r="41" spans="2:15" ht="18">
      <c r="B41" s="46">
        <v>23</v>
      </c>
      <c r="C41" s="46">
        <v>134</v>
      </c>
      <c r="D41" s="46">
        <v>4</v>
      </c>
      <c r="E41" s="46">
        <v>18</v>
      </c>
      <c r="F41" s="46">
        <v>5</v>
      </c>
      <c r="G41" s="51">
        <v>2</v>
      </c>
      <c r="M41" s="23">
        <v>1</v>
      </c>
      <c r="O41" s="23">
        <v>136</v>
      </c>
    </row>
    <row r="42" spans="2:15" ht="18">
      <c r="B42" s="46">
        <v>23</v>
      </c>
      <c r="C42" s="46">
        <v>134</v>
      </c>
      <c r="D42" s="46">
        <v>3</v>
      </c>
      <c r="E42" s="46">
        <v>20</v>
      </c>
      <c r="F42" s="46">
        <v>3</v>
      </c>
      <c r="G42" s="51">
        <v>1</v>
      </c>
      <c r="M42" s="23">
        <v>1</v>
      </c>
    </row>
    <row r="43" spans="2:15" ht="18">
      <c r="B43" s="46">
        <v>23</v>
      </c>
      <c r="C43" s="46">
        <v>130</v>
      </c>
      <c r="D43" s="46">
        <v>9</v>
      </c>
      <c r="E43" s="46">
        <v>2</v>
      </c>
      <c r="F43" s="46">
        <v>0</v>
      </c>
      <c r="G43" s="51">
        <v>0</v>
      </c>
      <c r="M43" s="23">
        <v>1</v>
      </c>
    </row>
    <row r="44" spans="2:15" ht="18">
      <c r="B44" s="46">
        <v>23</v>
      </c>
      <c r="C44" s="46">
        <v>130</v>
      </c>
      <c r="D44" s="46">
        <v>8</v>
      </c>
      <c r="E44" s="46">
        <v>3</v>
      </c>
      <c r="F44" s="46">
        <v>2</v>
      </c>
      <c r="G44" s="51">
        <v>0</v>
      </c>
      <c r="M44" s="23">
        <v>1</v>
      </c>
    </row>
    <row r="45" spans="2:15" ht="18">
      <c r="B45" s="46">
        <v>23</v>
      </c>
      <c r="C45" s="46">
        <v>130</v>
      </c>
      <c r="D45" s="46">
        <v>7</v>
      </c>
      <c r="E45" s="46">
        <v>0</v>
      </c>
      <c r="F45" s="46">
        <v>0</v>
      </c>
      <c r="G45" s="51">
        <v>0</v>
      </c>
      <c r="M45" s="23">
        <v>1</v>
      </c>
    </row>
    <row r="46" spans="2:15" ht="18">
      <c r="B46" s="46">
        <v>23</v>
      </c>
      <c r="C46" s="46">
        <v>133</v>
      </c>
      <c r="D46" s="46">
        <v>5</v>
      </c>
      <c r="E46" s="46">
        <v>2</v>
      </c>
      <c r="F46" s="46">
        <v>1</v>
      </c>
      <c r="G46" s="51">
        <v>0</v>
      </c>
      <c r="M46" s="23">
        <v>1</v>
      </c>
    </row>
    <row r="47" spans="2:15" ht="18">
      <c r="B47" s="46">
        <v>23</v>
      </c>
      <c r="C47" s="46">
        <v>133</v>
      </c>
      <c r="D47" s="46">
        <v>6</v>
      </c>
      <c r="E47" s="46">
        <v>1</v>
      </c>
      <c r="F47" s="46">
        <v>2</v>
      </c>
      <c r="G47" s="51">
        <v>2</v>
      </c>
      <c r="M47" s="23">
        <v>1</v>
      </c>
    </row>
    <row r="48" spans="2:15" ht="18">
      <c r="B48" s="46">
        <v>23</v>
      </c>
      <c r="C48" s="46">
        <v>127</v>
      </c>
      <c r="D48" s="46">
        <v>8</v>
      </c>
      <c r="E48" s="46">
        <v>5</v>
      </c>
      <c r="F48" s="46">
        <v>10</v>
      </c>
      <c r="G48" s="51">
        <v>0</v>
      </c>
      <c r="M48" s="23">
        <v>1</v>
      </c>
    </row>
    <row r="49" spans="2:13" ht="18">
      <c r="B49" s="46">
        <v>23</v>
      </c>
      <c r="C49" s="46">
        <v>127</v>
      </c>
      <c r="D49" s="46">
        <v>7</v>
      </c>
      <c r="E49" s="46">
        <v>3</v>
      </c>
      <c r="F49" s="46">
        <v>15</v>
      </c>
      <c r="G49" s="51">
        <v>0</v>
      </c>
      <c r="M49" s="23">
        <v>1</v>
      </c>
    </row>
    <row r="50" spans="2:13" ht="18">
      <c r="B50" s="46">
        <v>23</v>
      </c>
      <c r="C50" s="46">
        <v>127</v>
      </c>
      <c r="D50" s="46">
        <v>6</v>
      </c>
      <c r="E50" s="46">
        <v>2</v>
      </c>
      <c r="F50" s="46">
        <v>12</v>
      </c>
      <c r="G50" s="51">
        <v>0</v>
      </c>
      <c r="M50" s="23">
        <v>1</v>
      </c>
    </row>
    <row r="51" spans="2:13" ht="18">
      <c r="B51" s="46">
        <v>23</v>
      </c>
      <c r="C51" s="46">
        <v>127</v>
      </c>
      <c r="D51" s="46">
        <v>5</v>
      </c>
      <c r="E51" s="46">
        <v>2</v>
      </c>
      <c r="F51" s="46">
        <v>10</v>
      </c>
      <c r="G51" s="51">
        <v>0</v>
      </c>
      <c r="M51" s="23">
        <v>1</v>
      </c>
    </row>
    <row r="52" spans="2:13" ht="18">
      <c r="B52" s="46">
        <v>23</v>
      </c>
      <c r="C52" s="46">
        <v>127</v>
      </c>
      <c r="D52" s="46">
        <v>4</v>
      </c>
      <c r="E52" s="46">
        <v>1</v>
      </c>
      <c r="F52" s="46">
        <v>7</v>
      </c>
      <c r="G52" s="51">
        <v>0</v>
      </c>
      <c r="M52" s="23">
        <v>1</v>
      </c>
    </row>
    <row r="53" spans="2:13" ht="18">
      <c r="B53" s="46">
        <v>23</v>
      </c>
      <c r="C53" s="46">
        <v>135</v>
      </c>
      <c r="D53" s="46">
        <v>6</v>
      </c>
      <c r="E53" s="46">
        <v>2</v>
      </c>
      <c r="F53" s="46">
        <v>0</v>
      </c>
      <c r="G53" s="51">
        <v>0</v>
      </c>
      <c r="M53" s="23">
        <v>1</v>
      </c>
    </row>
    <row r="54" spans="2:13" ht="18">
      <c r="B54" s="46">
        <v>23</v>
      </c>
      <c r="C54" s="46">
        <v>135</v>
      </c>
      <c r="D54" s="46">
        <v>7</v>
      </c>
      <c r="E54" s="46">
        <v>1</v>
      </c>
      <c r="F54" s="46">
        <v>0</v>
      </c>
      <c r="G54" s="51">
        <v>0</v>
      </c>
      <c r="M54" s="23">
        <v>1</v>
      </c>
    </row>
    <row r="55" spans="2:13" ht="18">
      <c r="B55" s="46">
        <v>23</v>
      </c>
      <c r="C55" s="46">
        <v>135</v>
      </c>
      <c r="D55" s="46">
        <v>8</v>
      </c>
      <c r="E55" s="46">
        <v>1</v>
      </c>
      <c r="F55" s="46">
        <v>0</v>
      </c>
      <c r="G55" s="51">
        <v>1</v>
      </c>
      <c r="M55" s="23">
        <v>1</v>
      </c>
    </row>
    <row r="56" spans="2:13" ht="18">
      <c r="B56" s="46">
        <v>23</v>
      </c>
      <c r="C56" s="46">
        <v>135</v>
      </c>
      <c r="D56" s="46">
        <v>9</v>
      </c>
      <c r="E56" s="46">
        <v>1</v>
      </c>
      <c r="F56" s="46">
        <v>0</v>
      </c>
      <c r="G56" s="51">
        <v>0</v>
      </c>
      <c r="M56" s="23">
        <v>1</v>
      </c>
    </row>
    <row r="57" spans="2:13" ht="18">
      <c r="B57" s="46">
        <v>23</v>
      </c>
      <c r="C57" s="46">
        <v>135</v>
      </c>
      <c r="D57" s="46">
        <v>10</v>
      </c>
      <c r="E57" s="46">
        <v>2</v>
      </c>
      <c r="F57" s="46">
        <v>0</v>
      </c>
      <c r="G57" s="51">
        <v>0</v>
      </c>
      <c r="M57" s="23">
        <v>1</v>
      </c>
    </row>
    <row r="58" spans="2:13" ht="18">
      <c r="B58" s="46">
        <v>23</v>
      </c>
      <c r="C58" s="46">
        <v>133</v>
      </c>
      <c r="D58" s="46">
        <v>7</v>
      </c>
      <c r="E58" s="46">
        <v>4</v>
      </c>
      <c r="F58" s="46">
        <v>5</v>
      </c>
      <c r="G58" s="51">
        <v>0</v>
      </c>
      <c r="M58" s="23">
        <v>1</v>
      </c>
    </row>
    <row r="59" spans="2:13" ht="18">
      <c r="B59" s="46">
        <v>23</v>
      </c>
      <c r="C59" s="46">
        <v>133</v>
      </c>
      <c r="D59" s="46">
        <v>9</v>
      </c>
      <c r="E59" s="46">
        <v>2</v>
      </c>
      <c r="F59" s="46">
        <v>1</v>
      </c>
      <c r="G59" s="51">
        <v>1</v>
      </c>
      <c r="M59" s="23">
        <v>1</v>
      </c>
    </row>
    <row r="60" spans="2:13" ht="18">
      <c r="B60" s="46">
        <v>23</v>
      </c>
      <c r="C60" s="46">
        <v>133</v>
      </c>
      <c r="D60" s="46">
        <v>8</v>
      </c>
      <c r="E60" s="46">
        <v>1</v>
      </c>
      <c r="F60" s="46">
        <v>2</v>
      </c>
      <c r="G60" s="51">
        <v>2</v>
      </c>
      <c r="M60" s="23">
        <v>1</v>
      </c>
    </row>
    <row r="61" spans="2:13" ht="18">
      <c r="B61" s="46">
        <v>23</v>
      </c>
      <c r="C61" s="46">
        <v>133</v>
      </c>
      <c r="D61" s="46">
        <v>7</v>
      </c>
      <c r="E61" s="46">
        <v>2</v>
      </c>
      <c r="F61" s="46">
        <v>1</v>
      </c>
      <c r="G61" s="51">
        <v>0</v>
      </c>
      <c r="M61" s="23">
        <v>1</v>
      </c>
    </row>
    <row r="62" spans="2:13" ht="18">
      <c r="B62" s="46">
        <v>23</v>
      </c>
      <c r="C62" s="46">
        <v>133</v>
      </c>
      <c r="D62" s="46">
        <v>10</v>
      </c>
      <c r="E62" s="46">
        <v>2</v>
      </c>
      <c r="F62" s="46">
        <v>2</v>
      </c>
      <c r="G62" s="51">
        <v>0</v>
      </c>
      <c r="M62" s="23">
        <v>1</v>
      </c>
    </row>
    <row r="63" spans="2:13" ht="18">
      <c r="B63" s="46">
        <v>23</v>
      </c>
      <c r="C63" s="46">
        <v>134</v>
      </c>
      <c r="D63" s="46">
        <v>9</v>
      </c>
      <c r="E63" s="46">
        <v>20</v>
      </c>
      <c r="F63" s="46">
        <v>2</v>
      </c>
      <c r="G63" s="51">
        <v>2</v>
      </c>
      <c r="M63" s="23">
        <v>1</v>
      </c>
    </row>
    <row r="64" spans="2:13" ht="18">
      <c r="B64" s="46">
        <v>23</v>
      </c>
      <c r="C64" s="46">
        <v>134</v>
      </c>
      <c r="D64" s="46">
        <v>5</v>
      </c>
      <c r="E64" s="46">
        <v>12</v>
      </c>
      <c r="F64" s="46">
        <v>6</v>
      </c>
      <c r="G64" s="51">
        <v>2</v>
      </c>
      <c r="M64" s="23">
        <v>1</v>
      </c>
    </row>
    <row r="65" spans="2:13" ht="18">
      <c r="B65" s="46">
        <v>23</v>
      </c>
      <c r="C65" s="46">
        <v>134</v>
      </c>
      <c r="D65" s="46">
        <v>4</v>
      </c>
      <c r="E65" s="46">
        <v>18</v>
      </c>
      <c r="F65" s="46">
        <v>5</v>
      </c>
      <c r="G65" s="51">
        <v>2</v>
      </c>
      <c r="M65" s="23">
        <v>1</v>
      </c>
    </row>
    <row r="66" spans="2:13" ht="18">
      <c r="B66" s="46">
        <v>23</v>
      </c>
      <c r="C66" s="46">
        <v>134</v>
      </c>
      <c r="D66" s="46">
        <v>3</v>
      </c>
      <c r="E66" s="46">
        <v>20</v>
      </c>
      <c r="F66" s="46">
        <v>3</v>
      </c>
      <c r="G66" s="51">
        <v>1</v>
      </c>
      <c r="M66" s="23">
        <v>1</v>
      </c>
    </row>
    <row r="67" spans="2:13" ht="18">
      <c r="B67" s="46">
        <v>23</v>
      </c>
      <c r="C67" s="46">
        <v>134</v>
      </c>
      <c r="D67" s="46">
        <v>6</v>
      </c>
      <c r="E67" s="46">
        <v>18</v>
      </c>
      <c r="F67" s="46">
        <v>6</v>
      </c>
      <c r="G67" s="51">
        <v>6</v>
      </c>
      <c r="M67" s="23">
        <v>1</v>
      </c>
    </row>
    <row r="68" spans="2:13" ht="18">
      <c r="B68" s="46">
        <v>23</v>
      </c>
      <c r="C68" s="46">
        <v>134</v>
      </c>
      <c r="D68" s="46">
        <v>7</v>
      </c>
      <c r="E68" s="46">
        <v>16</v>
      </c>
      <c r="F68" s="46">
        <v>8</v>
      </c>
      <c r="G68" s="51">
        <v>1</v>
      </c>
      <c r="M68" s="23">
        <v>1</v>
      </c>
    </row>
    <row r="69" spans="2:13" ht="18">
      <c r="B69" s="46">
        <v>23</v>
      </c>
      <c r="C69" s="46">
        <v>134</v>
      </c>
      <c r="D69" s="46">
        <v>8</v>
      </c>
      <c r="E69" s="46">
        <v>16</v>
      </c>
      <c r="F69" s="46">
        <v>7</v>
      </c>
      <c r="G69" s="51">
        <v>2</v>
      </c>
      <c r="M69" s="23">
        <v>1</v>
      </c>
    </row>
    <row r="70" spans="2:13" ht="18">
      <c r="B70" s="46">
        <v>23</v>
      </c>
      <c r="C70" s="46">
        <v>135</v>
      </c>
      <c r="D70" s="46">
        <v>11</v>
      </c>
      <c r="E70" s="46">
        <v>3</v>
      </c>
      <c r="F70" s="46">
        <v>6</v>
      </c>
      <c r="G70" s="51">
        <v>0</v>
      </c>
      <c r="M70" s="23">
        <v>1</v>
      </c>
    </row>
    <row r="71" spans="2:13" ht="18">
      <c r="B71" s="46">
        <v>23</v>
      </c>
      <c r="C71" s="46">
        <v>135</v>
      </c>
      <c r="D71" s="46">
        <v>12</v>
      </c>
      <c r="E71" s="46">
        <v>5</v>
      </c>
      <c r="F71" s="46">
        <v>9</v>
      </c>
      <c r="G71" s="51">
        <v>0</v>
      </c>
      <c r="M71" s="23">
        <v>1</v>
      </c>
    </row>
    <row r="72" spans="2:13" ht="18">
      <c r="B72" s="46">
        <v>23</v>
      </c>
      <c r="C72" s="46">
        <v>135</v>
      </c>
      <c r="D72" s="46">
        <v>13</v>
      </c>
      <c r="E72" s="46">
        <v>2</v>
      </c>
      <c r="F72" s="46">
        <v>2</v>
      </c>
      <c r="G72" s="51">
        <v>0</v>
      </c>
      <c r="M72" s="23">
        <v>1</v>
      </c>
    </row>
    <row r="73" spans="2:13" ht="18">
      <c r="B73" s="46">
        <v>23</v>
      </c>
      <c r="C73" s="46">
        <v>133</v>
      </c>
      <c r="D73" s="46">
        <v>10</v>
      </c>
      <c r="E73" s="46">
        <v>2</v>
      </c>
      <c r="F73" s="46">
        <v>0</v>
      </c>
      <c r="G73" s="51">
        <v>0</v>
      </c>
      <c r="M73" s="23">
        <v>1</v>
      </c>
    </row>
    <row r="74" spans="2:13" ht="18">
      <c r="B74" s="46">
        <v>23</v>
      </c>
      <c r="C74" s="46">
        <v>133</v>
      </c>
      <c r="D74" s="46">
        <v>12</v>
      </c>
      <c r="E74" s="46">
        <v>2</v>
      </c>
      <c r="F74" s="46">
        <v>0</v>
      </c>
      <c r="G74" s="51">
        <v>0</v>
      </c>
      <c r="M74" s="23">
        <v>1</v>
      </c>
    </row>
    <row r="75" spans="2:13" ht="18">
      <c r="B75" s="46">
        <v>23</v>
      </c>
      <c r="C75" s="46">
        <v>133</v>
      </c>
      <c r="D75" s="46">
        <v>13</v>
      </c>
      <c r="E75" s="46">
        <v>2</v>
      </c>
      <c r="F75" s="46">
        <v>0</v>
      </c>
      <c r="G75" s="51">
        <v>1</v>
      </c>
      <c r="M75" s="23">
        <v>1</v>
      </c>
    </row>
    <row r="76" spans="2:13" ht="18">
      <c r="B76" s="46">
        <v>23</v>
      </c>
      <c r="C76" s="46">
        <v>128</v>
      </c>
      <c r="D76" s="46">
        <v>8</v>
      </c>
      <c r="E76" s="46">
        <v>9</v>
      </c>
      <c r="F76" s="46">
        <v>1</v>
      </c>
      <c r="G76" s="51">
        <v>1</v>
      </c>
      <c r="M76" s="23">
        <v>1</v>
      </c>
    </row>
    <row r="77" spans="2:13" ht="18">
      <c r="B77" s="46">
        <v>23</v>
      </c>
      <c r="C77" s="46">
        <v>128</v>
      </c>
      <c r="D77" s="46">
        <v>9</v>
      </c>
      <c r="E77" s="46">
        <v>10</v>
      </c>
      <c r="F77" s="46">
        <v>2</v>
      </c>
      <c r="G77" s="51">
        <v>0</v>
      </c>
      <c r="M77" s="23">
        <v>1</v>
      </c>
    </row>
    <row r="78" spans="2:13" ht="18">
      <c r="B78" s="46">
        <v>23</v>
      </c>
      <c r="C78" s="46">
        <v>128</v>
      </c>
      <c r="D78" s="46">
        <v>10</v>
      </c>
      <c r="E78" s="46">
        <v>11</v>
      </c>
      <c r="F78" s="46">
        <v>3</v>
      </c>
      <c r="G78" s="51">
        <v>1</v>
      </c>
      <c r="M78" s="23">
        <v>1</v>
      </c>
    </row>
    <row r="79" spans="2:13" ht="18">
      <c r="B79" s="46">
        <v>23</v>
      </c>
      <c r="C79" s="46">
        <v>128</v>
      </c>
      <c r="D79" s="46">
        <v>11</v>
      </c>
      <c r="E79" s="46">
        <v>12</v>
      </c>
      <c r="F79" s="46">
        <v>2</v>
      </c>
      <c r="G79" s="51">
        <v>0</v>
      </c>
      <c r="M79" s="23">
        <v>1</v>
      </c>
    </row>
    <row r="80" spans="2:13" ht="18">
      <c r="B80" s="46">
        <v>23</v>
      </c>
      <c r="C80" s="46">
        <v>128</v>
      </c>
      <c r="D80" s="46">
        <v>12</v>
      </c>
      <c r="E80" s="46">
        <v>18</v>
      </c>
      <c r="F80" s="46">
        <v>4</v>
      </c>
      <c r="G80" s="51">
        <v>3</v>
      </c>
      <c r="M80" s="23">
        <v>1</v>
      </c>
    </row>
    <row r="81" spans="2:13" ht="18">
      <c r="B81" s="46">
        <v>23</v>
      </c>
      <c r="C81" s="46">
        <v>130</v>
      </c>
      <c r="D81" s="46">
        <v>12</v>
      </c>
      <c r="E81" s="46">
        <v>8</v>
      </c>
      <c r="F81" s="46">
        <v>5</v>
      </c>
      <c r="G81" s="51">
        <v>1</v>
      </c>
      <c r="M81" s="23">
        <v>1</v>
      </c>
    </row>
    <row r="82" spans="2:13" ht="18">
      <c r="B82" s="46">
        <v>23</v>
      </c>
      <c r="C82" s="46">
        <v>130</v>
      </c>
      <c r="D82" s="46">
        <v>13</v>
      </c>
      <c r="E82" s="46">
        <v>4</v>
      </c>
      <c r="F82" s="46">
        <v>2</v>
      </c>
      <c r="G82" s="51">
        <v>0</v>
      </c>
      <c r="M82" s="23">
        <v>1</v>
      </c>
    </row>
    <row r="83" spans="2:13" ht="18">
      <c r="B83" s="46">
        <v>23</v>
      </c>
      <c r="C83" s="46">
        <v>130</v>
      </c>
      <c r="D83" s="46">
        <v>14</v>
      </c>
      <c r="E83" s="46">
        <v>13</v>
      </c>
      <c r="F83" s="46">
        <v>3</v>
      </c>
      <c r="G83" s="51">
        <v>0</v>
      </c>
      <c r="M83" s="23">
        <v>1</v>
      </c>
    </row>
    <row r="84" spans="2:13" ht="18">
      <c r="B84" s="46">
        <v>23</v>
      </c>
      <c r="C84" s="46">
        <v>130</v>
      </c>
      <c r="D84" s="46">
        <v>10</v>
      </c>
      <c r="E84" s="46">
        <v>7</v>
      </c>
      <c r="F84" s="46">
        <v>8</v>
      </c>
      <c r="G84" s="51">
        <v>1</v>
      </c>
      <c r="M84" s="23">
        <v>1</v>
      </c>
    </row>
    <row r="85" spans="2:13" ht="18">
      <c r="B85" s="46">
        <v>23</v>
      </c>
      <c r="C85" s="46">
        <v>130</v>
      </c>
      <c r="D85" s="46">
        <v>11</v>
      </c>
      <c r="E85" s="46">
        <v>3</v>
      </c>
      <c r="F85" s="46">
        <v>4</v>
      </c>
      <c r="G85" s="51">
        <v>0</v>
      </c>
      <c r="M85" s="23">
        <v>1</v>
      </c>
    </row>
    <row r="86" spans="2:13" ht="18">
      <c r="B86" s="46"/>
      <c r="C86" s="46"/>
      <c r="D86" s="46"/>
      <c r="E86" s="46"/>
      <c r="F86" s="46"/>
      <c r="G86" s="51"/>
      <c r="M86" s="23">
        <v>1</v>
      </c>
    </row>
    <row r="87" spans="2:13" ht="18">
      <c r="B87" s="46"/>
      <c r="C87" s="46"/>
      <c r="D87" s="46"/>
      <c r="E87" s="46"/>
      <c r="F87" s="46"/>
      <c r="G87" s="51"/>
      <c r="M87" s="23">
        <v>1</v>
      </c>
    </row>
    <row r="88" spans="2:13" ht="18">
      <c r="B88" s="46"/>
      <c r="C88" s="46"/>
      <c r="D88" s="46"/>
      <c r="E88" s="46"/>
      <c r="F88" s="46"/>
      <c r="G88" s="51"/>
      <c r="M88" s="23">
        <v>1</v>
      </c>
    </row>
    <row r="89" spans="2:13" ht="18">
      <c r="B89" s="46"/>
      <c r="C89" s="46"/>
      <c r="D89" s="46"/>
      <c r="E89" s="46"/>
      <c r="F89" s="46"/>
      <c r="G89" s="51"/>
      <c r="M89" s="23">
        <v>1</v>
      </c>
    </row>
    <row r="90" spans="2:13" ht="18">
      <c r="B90" s="46"/>
      <c r="C90" s="46"/>
      <c r="D90" s="46"/>
      <c r="E90" s="46"/>
      <c r="F90" s="46"/>
      <c r="G90" s="51"/>
      <c r="M90" s="23">
        <v>1</v>
      </c>
    </row>
    <row r="91" spans="2:13" ht="18">
      <c r="B91" s="46"/>
      <c r="C91" s="46"/>
      <c r="D91" s="46"/>
      <c r="E91" s="46"/>
      <c r="F91" s="46"/>
      <c r="G91" s="51"/>
      <c r="M91" s="23">
        <v>1</v>
      </c>
    </row>
    <row r="92" spans="2:13" ht="18">
      <c r="B92" s="46"/>
      <c r="C92" s="46"/>
      <c r="D92" s="46"/>
      <c r="E92" s="46"/>
      <c r="F92" s="46"/>
      <c r="G92" s="51"/>
      <c r="M92" s="23">
        <v>1</v>
      </c>
    </row>
    <row r="93" spans="2:13" ht="18">
      <c r="B93" s="46"/>
      <c r="C93" s="46"/>
      <c r="D93" s="46"/>
      <c r="E93" s="46"/>
      <c r="F93" s="46"/>
      <c r="G93" s="51"/>
      <c r="M93" s="23">
        <v>1</v>
      </c>
    </row>
    <row r="94" spans="2:13" ht="18">
      <c r="B94" s="46"/>
      <c r="C94" s="46"/>
      <c r="D94" s="46"/>
      <c r="E94" s="46"/>
      <c r="F94" s="46"/>
      <c r="G94" s="51"/>
      <c r="M94" s="23">
        <v>1</v>
      </c>
    </row>
    <row r="95" spans="2:13" ht="18">
      <c r="B95" s="46"/>
      <c r="C95" s="46"/>
      <c r="D95" s="46"/>
      <c r="E95" s="46"/>
      <c r="F95" s="46"/>
      <c r="G95" s="51"/>
      <c r="M95" s="23">
        <v>1</v>
      </c>
    </row>
    <row r="96" spans="2:13" ht="18">
      <c r="B96" s="46"/>
      <c r="C96" s="46"/>
      <c r="D96" s="46"/>
      <c r="E96" s="46"/>
      <c r="F96" s="46"/>
      <c r="G96" s="51"/>
      <c r="M96" s="23">
        <v>1</v>
      </c>
    </row>
    <row r="97" spans="2:13" ht="18">
      <c r="B97" s="46"/>
      <c r="C97" s="46"/>
      <c r="D97" s="46"/>
      <c r="E97" s="46"/>
      <c r="F97" s="46"/>
      <c r="G97" s="51"/>
      <c r="M97" s="23">
        <v>1</v>
      </c>
    </row>
    <row r="98" spans="2:13" ht="18">
      <c r="B98" s="46"/>
      <c r="C98" s="46"/>
      <c r="D98" s="46"/>
      <c r="E98" s="46"/>
      <c r="F98" s="46"/>
      <c r="G98" s="51"/>
      <c r="M98" s="23">
        <v>1</v>
      </c>
    </row>
    <row r="99" spans="2:13" ht="18">
      <c r="B99" s="46"/>
      <c r="C99" s="46"/>
      <c r="D99" s="46"/>
      <c r="E99" s="46"/>
      <c r="F99" s="46"/>
      <c r="G99" s="51"/>
      <c r="M99" s="23">
        <v>1</v>
      </c>
    </row>
    <row r="100" spans="2:13" ht="18">
      <c r="B100" s="46"/>
      <c r="C100" s="46"/>
      <c r="D100" s="46"/>
      <c r="E100" s="46"/>
      <c r="F100" s="46"/>
      <c r="G100" s="51"/>
      <c r="M100" s="23">
        <v>1</v>
      </c>
    </row>
    <row r="101" spans="2:13" ht="18">
      <c r="B101" s="46"/>
      <c r="C101" s="46"/>
      <c r="D101" s="46"/>
      <c r="E101" s="46"/>
      <c r="F101" s="46"/>
      <c r="G101" s="51"/>
      <c r="M101" s="23">
        <v>1</v>
      </c>
    </row>
    <row r="102" spans="2:13" ht="18">
      <c r="B102" s="46"/>
      <c r="C102" s="46"/>
      <c r="D102" s="46"/>
      <c r="E102" s="46"/>
      <c r="F102" s="46"/>
      <c r="G102" s="51"/>
      <c r="M102" s="23">
        <v>1</v>
      </c>
    </row>
    <row r="103" spans="2:13" ht="18">
      <c r="B103" s="46"/>
      <c r="C103" s="46"/>
      <c r="D103" s="46"/>
      <c r="E103" s="46"/>
      <c r="F103" s="46"/>
      <c r="G103" s="51"/>
      <c r="M103" s="23">
        <v>1</v>
      </c>
    </row>
    <row r="104" spans="2:13" ht="18">
      <c r="B104" s="46"/>
      <c r="C104" s="46"/>
      <c r="D104" s="46"/>
      <c r="E104" s="46"/>
      <c r="F104" s="46"/>
      <c r="G104" s="51"/>
      <c r="M104" s="23">
        <v>1</v>
      </c>
    </row>
    <row r="105" spans="2:13" ht="18">
      <c r="B105" s="46"/>
      <c r="C105" s="46"/>
      <c r="D105" s="46"/>
      <c r="E105" s="46"/>
      <c r="F105" s="46"/>
      <c r="G105" s="51"/>
      <c r="M105" s="23">
        <v>1</v>
      </c>
    </row>
    <row r="106" spans="2:13" ht="18">
      <c r="B106" s="46"/>
      <c r="C106" s="46"/>
      <c r="D106" s="46"/>
      <c r="E106" s="46"/>
      <c r="F106" s="46"/>
      <c r="G106" s="51"/>
      <c r="M106" s="23">
        <v>1</v>
      </c>
    </row>
    <row r="107" spans="2:13" ht="18">
      <c r="B107" s="46"/>
      <c r="C107" s="46"/>
      <c r="D107" s="46"/>
      <c r="E107" s="46"/>
      <c r="F107" s="46"/>
      <c r="G107" s="51"/>
      <c r="M107" s="23">
        <v>1</v>
      </c>
    </row>
    <row r="108" spans="2:13" ht="18">
      <c r="B108" s="46"/>
      <c r="C108" s="46"/>
      <c r="D108" s="46"/>
      <c r="E108" s="46"/>
      <c r="F108" s="46"/>
      <c r="G108" s="51"/>
      <c r="M108" s="23">
        <v>1</v>
      </c>
    </row>
    <row r="109" spans="2:13" ht="18">
      <c r="B109" s="46"/>
      <c r="C109" s="46"/>
      <c r="D109" s="46"/>
      <c r="E109" s="46"/>
      <c r="F109" s="46"/>
      <c r="G109" s="51"/>
      <c r="M109" s="23">
        <v>1</v>
      </c>
    </row>
    <row r="110" spans="2:13" ht="18">
      <c r="B110" s="46"/>
      <c r="C110" s="46"/>
      <c r="D110" s="46"/>
      <c r="E110" s="46"/>
      <c r="F110" s="46"/>
      <c r="G110" s="51"/>
      <c r="M110" s="23">
        <v>1</v>
      </c>
    </row>
    <row r="111" spans="2:13" ht="18">
      <c r="B111" s="46"/>
      <c r="C111" s="46"/>
      <c r="D111" s="46"/>
      <c r="E111" s="46"/>
      <c r="F111" s="46"/>
      <c r="G111" s="51"/>
      <c r="M111" s="23">
        <v>1</v>
      </c>
    </row>
    <row r="112" spans="2:13" ht="18">
      <c r="B112" s="46"/>
      <c r="C112" s="46"/>
      <c r="D112" s="46"/>
      <c r="E112" s="46"/>
      <c r="F112" s="46"/>
      <c r="G112" s="51"/>
      <c r="M112" s="23">
        <v>1</v>
      </c>
    </row>
    <row r="113" spans="2:13" ht="18">
      <c r="B113" s="46"/>
      <c r="C113" s="46"/>
      <c r="D113" s="46"/>
      <c r="E113" s="46"/>
      <c r="F113" s="46"/>
      <c r="G113" s="51"/>
      <c r="M113" s="23">
        <v>1</v>
      </c>
    </row>
    <row r="114" spans="2:13" ht="18">
      <c r="B114" s="46"/>
      <c r="C114" s="46"/>
      <c r="D114" s="46"/>
      <c r="E114" s="46"/>
      <c r="F114" s="46"/>
      <c r="G114" s="51"/>
      <c r="M114" s="23">
        <v>1</v>
      </c>
    </row>
    <row r="115" spans="2:13" ht="18">
      <c r="B115" s="46"/>
      <c r="C115" s="46"/>
      <c r="D115" s="46"/>
      <c r="E115" s="46"/>
      <c r="F115" s="46"/>
      <c r="G115" s="51"/>
      <c r="M115" s="23">
        <v>1</v>
      </c>
    </row>
    <row r="116" spans="2:13" ht="18">
      <c r="B116" s="46"/>
      <c r="C116" s="46"/>
      <c r="D116" s="46"/>
      <c r="E116" s="46"/>
      <c r="F116" s="46"/>
      <c r="G116" s="51"/>
      <c r="M116" s="23">
        <v>1</v>
      </c>
    </row>
    <row r="117" spans="2:13" ht="18">
      <c r="B117" s="46"/>
      <c r="C117" s="46"/>
      <c r="D117" s="46"/>
      <c r="E117" s="46"/>
      <c r="F117" s="46"/>
      <c r="G117" s="51"/>
      <c r="M117" s="23">
        <v>1</v>
      </c>
    </row>
    <row r="118" spans="2:13" ht="18">
      <c r="B118" s="46"/>
      <c r="C118" s="46"/>
      <c r="D118" s="46"/>
      <c r="E118" s="46"/>
      <c r="F118" s="46"/>
      <c r="G118" s="51"/>
      <c r="M118" s="23">
        <v>1</v>
      </c>
    </row>
    <row r="119" spans="2:13" ht="18">
      <c r="B119" s="46"/>
      <c r="C119" s="46"/>
      <c r="D119" s="46"/>
      <c r="E119" s="46"/>
      <c r="F119" s="46"/>
      <c r="G119" s="51"/>
      <c r="M119" s="23">
        <v>1</v>
      </c>
    </row>
    <row r="120" spans="2:13" ht="18">
      <c r="B120" s="46"/>
      <c r="C120" s="46"/>
      <c r="D120" s="46"/>
      <c r="E120" s="46"/>
      <c r="F120" s="46"/>
      <c r="G120" s="51"/>
      <c r="M120" s="23">
        <v>1</v>
      </c>
    </row>
    <row r="121" spans="2:13" ht="18">
      <c r="B121" s="46"/>
      <c r="C121" s="46"/>
      <c r="D121" s="46"/>
      <c r="E121" s="46"/>
      <c r="F121" s="46"/>
      <c r="G121" s="51"/>
      <c r="M121" s="23">
        <v>1</v>
      </c>
    </row>
    <row r="122" spans="2:13" ht="18">
      <c r="B122" s="46"/>
      <c r="C122" s="46"/>
      <c r="D122" s="46"/>
      <c r="E122" s="46"/>
      <c r="F122" s="46"/>
      <c r="G122" s="51"/>
      <c r="M122" s="23">
        <v>1</v>
      </c>
    </row>
    <row r="123" spans="2:13" ht="18">
      <c r="B123" s="46"/>
      <c r="C123" s="46"/>
      <c r="D123" s="46"/>
      <c r="E123" s="46"/>
      <c r="F123" s="46"/>
      <c r="G123" s="51"/>
      <c r="M123" s="23">
        <v>1</v>
      </c>
    </row>
    <row r="124" spans="2:13" ht="18">
      <c r="B124" s="46"/>
      <c r="C124" s="46"/>
      <c r="D124" s="46"/>
      <c r="E124" s="46"/>
      <c r="F124" s="46"/>
      <c r="G124" s="51"/>
      <c r="M124" s="23">
        <v>1</v>
      </c>
    </row>
    <row r="125" spans="2:13" ht="18">
      <c r="B125" s="46"/>
      <c r="C125" s="46"/>
      <c r="D125" s="46"/>
      <c r="E125" s="46"/>
      <c r="F125" s="46"/>
      <c r="G125" s="51"/>
      <c r="M125" s="23">
        <v>1</v>
      </c>
    </row>
    <row r="126" spans="2:13" ht="18">
      <c r="B126" s="46"/>
      <c r="C126" s="46"/>
      <c r="D126" s="46"/>
      <c r="E126" s="46"/>
      <c r="F126" s="46"/>
      <c r="G126" s="51"/>
      <c r="M126" s="23">
        <v>1</v>
      </c>
    </row>
    <row r="127" spans="2:13" ht="18">
      <c r="B127" s="46"/>
      <c r="C127" s="46"/>
      <c r="D127" s="46"/>
      <c r="E127" s="46"/>
      <c r="F127" s="46"/>
      <c r="G127" s="51"/>
      <c r="M127" s="23">
        <v>1</v>
      </c>
    </row>
    <row r="128" spans="2:13" ht="18">
      <c r="B128" s="46"/>
      <c r="C128" s="46"/>
      <c r="D128" s="46"/>
      <c r="E128" s="46"/>
      <c r="F128" s="46"/>
      <c r="G128" s="51"/>
      <c r="M128" s="23">
        <v>1</v>
      </c>
    </row>
    <row r="129" spans="2:13" ht="18">
      <c r="B129" s="46"/>
      <c r="C129" s="46"/>
      <c r="D129" s="46"/>
      <c r="E129" s="46"/>
      <c r="F129" s="46"/>
      <c r="G129" s="51"/>
      <c r="M129" s="23">
        <v>1</v>
      </c>
    </row>
    <row r="130" spans="2:13" ht="18">
      <c r="B130" s="46"/>
      <c r="C130" s="46"/>
      <c r="D130" s="46"/>
      <c r="E130" s="46"/>
      <c r="F130" s="46"/>
      <c r="G130" s="51"/>
      <c r="M130" s="23">
        <v>1</v>
      </c>
    </row>
    <row r="131" spans="2:13" ht="18">
      <c r="B131" s="46"/>
      <c r="C131" s="46"/>
      <c r="D131" s="46"/>
      <c r="E131" s="46"/>
      <c r="F131" s="46"/>
      <c r="G131" s="51"/>
      <c r="M131" s="23">
        <v>1</v>
      </c>
    </row>
    <row r="132" spans="2:13" ht="18">
      <c r="B132" s="46"/>
      <c r="C132" s="46"/>
      <c r="D132" s="46"/>
      <c r="E132" s="46"/>
      <c r="F132" s="46"/>
      <c r="G132" s="51"/>
      <c r="M132" s="23">
        <v>1</v>
      </c>
    </row>
    <row r="133" spans="2:13" ht="18">
      <c r="B133" s="46"/>
      <c r="C133" s="46"/>
      <c r="D133" s="46"/>
      <c r="E133" s="46"/>
      <c r="F133" s="46"/>
      <c r="G133" s="51"/>
      <c r="M133" s="23">
        <v>1</v>
      </c>
    </row>
    <row r="134" spans="2:13" ht="18">
      <c r="B134" s="46"/>
      <c r="C134" s="46"/>
      <c r="D134" s="46"/>
      <c r="E134" s="46"/>
      <c r="F134" s="46"/>
      <c r="G134" s="51"/>
      <c r="M134" s="23">
        <v>1</v>
      </c>
    </row>
    <row r="135" spans="2:13" ht="18">
      <c r="B135" s="46"/>
      <c r="C135" s="46"/>
      <c r="D135" s="46"/>
      <c r="E135" s="46"/>
      <c r="F135" s="46"/>
      <c r="G135" s="51"/>
      <c r="M135" s="23">
        <v>1</v>
      </c>
    </row>
    <row r="136" spans="2:13" ht="18">
      <c r="B136" s="46"/>
      <c r="C136" s="46"/>
      <c r="D136" s="46"/>
      <c r="E136" s="46"/>
      <c r="F136" s="46"/>
      <c r="G136" s="51"/>
      <c r="M136" s="23">
        <v>1</v>
      </c>
    </row>
    <row r="137" spans="2:13" ht="18">
      <c r="B137" s="46"/>
      <c r="C137" s="46"/>
      <c r="D137" s="46"/>
      <c r="E137" s="46"/>
      <c r="F137" s="46"/>
      <c r="G137" s="51"/>
      <c r="M137" s="23">
        <v>1</v>
      </c>
    </row>
    <row r="138" spans="2:13" ht="18">
      <c r="B138" s="46"/>
      <c r="C138" s="46"/>
      <c r="D138" s="46"/>
      <c r="E138" s="46"/>
      <c r="F138" s="46"/>
      <c r="G138" s="51"/>
      <c r="M138" s="23">
        <v>1</v>
      </c>
    </row>
    <row r="139" spans="2:13" ht="18">
      <c r="B139" s="46"/>
      <c r="C139" s="46"/>
      <c r="D139" s="46"/>
      <c r="E139" s="46"/>
      <c r="F139" s="46"/>
      <c r="G139" s="51"/>
      <c r="M139" s="23">
        <v>1</v>
      </c>
    </row>
    <row r="140" spans="2:13" ht="18">
      <c r="B140" s="46"/>
      <c r="C140" s="46"/>
      <c r="D140" s="46"/>
      <c r="E140" s="46"/>
      <c r="F140" s="46"/>
      <c r="G140" s="51"/>
      <c r="M140" s="23">
        <v>1</v>
      </c>
    </row>
    <row r="141" spans="2:13" ht="18">
      <c r="B141" s="46"/>
      <c r="C141" s="46"/>
      <c r="D141" s="46"/>
      <c r="E141" s="46"/>
      <c r="F141" s="46"/>
      <c r="G141" s="51"/>
      <c r="M141" s="23">
        <v>1</v>
      </c>
    </row>
    <row r="142" spans="2:13" ht="18">
      <c r="B142" s="46"/>
      <c r="C142" s="46"/>
      <c r="D142" s="46"/>
      <c r="E142" s="46"/>
      <c r="F142" s="46"/>
      <c r="G142" s="51"/>
      <c r="M142" s="23">
        <v>1</v>
      </c>
    </row>
    <row r="143" spans="2:13" ht="18">
      <c r="B143" s="46"/>
      <c r="C143" s="46"/>
      <c r="D143" s="46"/>
      <c r="E143" s="46"/>
      <c r="F143" s="46"/>
      <c r="G143" s="51"/>
      <c r="M143" s="23">
        <v>1</v>
      </c>
    </row>
    <row r="144" spans="2:13" ht="18">
      <c r="B144" s="46"/>
      <c r="C144" s="46"/>
      <c r="D144" s="46"/>
      <c r="E144" s="46"/>
      <c r="F144" s="46"/>
      <c r="G144" s="51"/>
      <c r="M144" s="23">
        <v>1</v>
      </c>
    </row>
    <row r="145" spans="2:13" ht="18">
      <c r="B145" s="46"/>
      <c r="C145" s="46"/>
      <c r="D145" s="46"/>
      <c r="E145" s="46"/>
      <c r="F145" s="46"/>
      <c r="G145" s="51"/>
      <c r="M145" s="23">
        <v>1</v>
      </c>
    </row>
    <row r="146" spans="2:13" ht="18">
      <c r="B146" s="46"/>
      <c r="C146" s="46"/>
      <c r="D146" s="46"/>
      <c r="E146" s="46"/>
      <c r="F146" s="46"/>
      <c r="G146" s="51"/>
      <c r="M146" s="23">
        <v>1</v>
      </c>
    </row>
    <row r="147" spans="2:13" ht="18">
      <c r="B147" s="46"/>
      <c r="C147" s="46"/>
      <c r="D147" s="46"/>
      <c r="E147" s="46"/>
      <c r="F147" s="46"/>
      <c r="G147" s="51"/>
      <c r="M147" s="23">
        <v>1</v>
      </c>
    </row>
    <row r="148" spans="2:13" ht="18">
      <c r="B148" s="46"/>
      <c r="C148" s="46"/>
      <c r="D148" s="46"/>
      <c r="E148" s="46"/>
      <c r="F148" s="46"/>
      <c r="G148" s="51"/>
      <c r="M148" s="23">
        <v>1</v>
      </c>
    </row>
    <row r="149" spans="2:13" ht="18">
      <c r="B149" s="46"/>
      <c r="C149" s="46"/>
      <c r="D149" s="46"/>
      <c r="E149" s="46"/>
      <c r="F149" s="46"/>
      <c r="G149" s="51"/>
      <c r="M149" s="23">
        <v>1</v>
      </c>
    </row>
    <row r="150" spans="2:13" ht="18">
      <c r="B150" s="46"/>
      <c r="C150" s="46"/>
      <c r="D150" s="46"/>
      <c r="E150" s="46"/>
      <c r="F150" s="46"/>
      <c r="G150" s="51"/>
      <c r="M150" s="23">
        <v>1</v>
      </c>
    </row>
    <row r="151" spans="2:13" ht="18">
      <c r="B151" s="46"/>
      <c r="C151" s="46"/>
      <c r="D151" s="46"/>
      <c r="E151" s="46"/>
      <c r="F151" s="46"/>
      <c r="G151" s="51"/>
      <c r="M151" s="23">
        <v>1</v>
      </c>
    </row>
    <row r="152" spans="2:13" ht="18">
      <c r="B152" s="46"/>
      <c r="C152" s="46"/>
      <c r="D152" s="46"/>
      <c r="E152" s="46"/>
      <c r="F152" s="46"/>
      <c r="G152" s="51"/>
      <c r="M152" s="23">
        <v>1</v>
      </c>
    </row>
    <row r="153" spans="2:13" ht="18">
      <c r="B153" s="46"/>
      <c r="C153" s="46"/>
      <c r="D153" s="46"/>
      <c r="E153" s="46"/>
      <c r="F153" s="46"/>
      <c r="G153" s="51"/>
      <c r="M153" s="23">
        <v>1</v>
      </c>
    </row>
    <row r="154" spans="2:13" ht="18">
      <c r="B154" s="46"/>
      <c r="C154" s="46"/>
      <c r="D154" s="46"/>
      <c r="E154" s="46"/>
      <c r="F154" s="46"/>
      <c r="G154" s="51"/>
      <c r="M154" s="23">
        <v>1</v>
      </c>
    </row>
    <row r="155" spans="2:13" ht="18">
      <c r="B155" s="46"/>
      <c r="C155" s="46"/>
      <c r="D155" s="46"/>
      <c r="E155" s="46"/>
      <c r="F155" s="46"/>
      <c r="G155" s="51"/>
      <c r="M155" s="23">
        <v>1</v>
      </c>
    </row>
    <row r="156" spans="2:13" ht="18">
      <c r="B156" s="46"/>
      <c r="C156" s="46"/>
      <c r="D156" s="46"/>
      <c r="E156" s="46"/>
      <c r="F156" s="46"/>
      <c r="G156" s="51"/>
      <c r="M156" s="23">
        <v>1</v>
      </c>
    </row>
    <row r="157" spans="2:13" ht="18">
      <c r="B157" s="46"/>
      <c r="C157" s="46"/>
      <c r="D157" s="46"/>
      <c r="E157" s="46"/>
      <c r="F157" s="46"/>
      <c r="G157" s="51"/>
      <c r="M157" s="23">
        <v>1</v>
      </c>
    </row>
    <row r="158" spans="2:13" ht="18">
      <c r="B158" s="46"/>
      <c r="C158" s="46"/>
      <c r="D158" s="46"/>
      <c r="E158" s="46"/>
      <c r="F158" s="46"/>
      <c r="G158" s="51"/>
      <c r="M158" s="23">
        <v>1</v>
      </c>
    </row>
    <row r="159" spans="2:13" ht="18">
      <c r="B159" s="46"/>
      <c r="C159" s="46"/>
      <c r="D159" s="46"/>
      <c r="E159" s="46"/>
      <c r="F159" s="46"/>
      <c r="G159" s="51"/>
      <c r="M159" s="23">
        <v>1</v>
      </c>
    </row>
    <row r="160" spans="2:13" ht="18">
      <c r="B160" s="46"/>
      <c r="C160" s="46"/>
      <c r="D160" s="46"/>
      <c r="E160" s="46"/>
      <c r="F160" s="46"/>
      <c r="G160" s="51"/>
      <c r="M160" s="23">
        <v>1</v>
      </c>
    </row>
    <row r="161" spans="2:13" ht="18">
      <c r="B161" s="46"/>
      <c r="C161" s="46"/>
      <c r="D161" s="46"/>
      <c r="E161" s="46"/>
      <c r="F161" s="46"/>
      <c r="G161" s="51"/>
      <c r="M161" s="23">
        <v>1</v>
      </c>
    </row>
    <row r="162" spans="2:13" ht="18">
      <c r="B162" s="46"/>
      <c r="C162" s="46"/>
      <c r="D162" s="46"/>
      <c r="E162" s="46"/>
      <c r="F162" s="46"/>
      <c r="G162" s="51"/>
      <c r="M162" s="23">
        <v>1</v>
      </c>
    </row>
    <row r="163" spans="2:13" ht="18">
      <c r="B163" s="46"/>
      <c r="C163" s="46"/>
      <c r="D163" s="46"/>
      <c r="E163" s="46"/>
      <c r="F163" s="46"/>
      <c r="G163" s="51"/>
      <c r="M163" s="23">
        <v>1</v>
      </c>
    </row>
    <row r="164" spans="2:13" ht="18">
      <c r="B164" s="46"/>
      <c r="C164" s="46"/>
      <c r="D164" s="46"/>
      <c r="E164" s="46"/>
      <c r="F164" s="46"/>
      <c r="G164" s="51"/>
      <c r="M164" s="23">
        <v>1</v>
      </c>
    </row>
    <row r="165" spans="2:13" ht="18">
      <c r="B165" s="46"/>
      <c r="C165" s="46"/>
      <c r="D165" s="46"/>
      <c r="E165" s="46"/>
      <c r="F165" s="46"/>
      <c r="G165" s="51"/>
      <c r="M165" s="23">
        <v>1</v>
      </c>
    </row>
    <row r="166" spans="2:13" ht="18">
      <c r="B166" s="46"/>
      <c r="C166" s="46"/>
      <c r="D166" s="46"/>
      <c r="E166" s="46"/>
      <c r="F166" s="46"/>
      <c r="G166" s="51"/>
      <c r="M166" s="23">
        <v>1</v>
      </c>
    </row>
    <row r="167" spans="2:13" ht="18">
      <c r="B167" s="46"/>
      <c r="C167" s="46"/>
      <c r="D167" s="46"/>
      <c r="E167" s="46"/>
      <c r="F167" s="46"/>
      <c r="G167" s="51"/>
      <c r="M167" s="23">
        <v>1</v>
      </c>
    </row>
    <row r="168" spans="2:13" ht="18">
      <c r="B168" s="46"/>
      <c r="C168" s="46"/>
      <c r="D168" s="46"/>
      <c r="E168" s="46"/>
      <c r="F168" s="46"/>
      <c r="G168" s="51"/>
      <c r="M168" s="23">
        <v>1</v>
      </c>
    </row>
    <row r="169" spans="2:13" ht="18">
      <c r="B169" s="46"/>
      <c r="C169" s="46"/>
      <c r="D169" s="46"/>
      <c r="E169" s="46"/>
      <c r="F169" s="46"/>
      <c r="G169" s="51"/>
      <c r="M169" s="23">
        <v>1</v>
      </c>
    </row>
    <row r="170" spans="2:13" ht="18">
      <c r="B170" s="46"/>
      <c r="C170" s="46"/>
      <c r="D170" s="46"/>
      <c r="E170" s="46"/>
      <c r="F170" s="46"/>
      <c r="G170" s="51"/>
      <c r="M170" s="23">
        <v>1</v>
      </c>
    </row>
    <row r="171" spans="2:13" ht="18">
      <c r="B171" s="46"/>
      <c r="C171" s="46"/>
      <c r="D171" s="46"/>
      <c r="E171" s="46"/>
      <c r="F171" s="46"/>
      <c r="G171" s="51"/>
      <c r="M171" s="23">
        <v>1</v>
      </c>
    </row>
    <row r="172" spans="2:13" ht="18">
      <c r="B172" s="46"/>
      <c r="C172" s="46"/>
      <c r="D172" s="46"/>
      <c r="E172" s="46"/>
      <c r="F172" s="46"/>
      <c r="G172" s="51"/>
      <c r="M172" s="23">
        <v>1</v>
      </c>
    </row>
    <row r="173" spans="2:13" ht="18">
      <c r="B173" s="46"/>
      <c r="C173" s="46"/>
      <c r="D173" s="46"/>
      <c r="E173" s="46"/>
      <c r="F173" s="46"/>
      <c r="G173" s="51"/>
      <c r="M173" s="23">
        <v>1</v>
      </c>
    </row>
    <row r="174" spans="2:13" ht="18">
      <c r="B174" s="46"/>
      <c r="C174" s="46"/>
      <c r="D174" s="46"/>
      <c r="E174" s="46"/>
      <c r="F174" s="46"/>
      <c r="G174" s="51"/>
      <c r="M174" s="23">
        <v>1</v>
      </c>
    </row>
    <row r="175" spans="2:13" ht="18">
      <c r="B175" s="46"/>
      <c r="C175" s="46"/>
      <c r="D175" s="46"/>
      <c r="E175" s="46"/>
      <c r="F175" s="46"/>
      <c r="G175" s="51"/>
      <c r="M175" s="23">
        <v>1</v>
      </c>
    </row>
    <row r="176" spans="2:13" ht="18">
      <c r="B176" s="46"/>
      <c r="C176" s="46"/>
      <c r="D176" s="46"/>
      <c r="E176" s="46"/>
      <c r="F176" s="46"/>
      <c r="G176" s="51"/>
      <c r="M176" s="23">
        <v>1</v>
      </c>
    </row>
    <row r="177" spans="2:13" ht="18">
      <c r="B177" s="46"/>
      <c r="C177" s="46"/>
      <c r="D177" s="46"/>
      <c r="E177" s="46"/>
      <c r="F177" s="46"/>
      <c r="G177" s="51"/>
      <c r="M177" s="23">
        <v>1</v>
      </c>
    </row>
    <row r="178" spans="2:13" ht="18">
      <c r="B178" s="46"/>
      <c r="C178" s="46"/>
      <c r="D178" s="46"/>
      <c r="E178" s="46"/>
      <c r="F178" s="46"/>
      <c r="G178" s="51"/>
      <c r="M178" s="23">
        <v>1</v>
      </c>
    </row>
    <row r="179" spans="2:13" ht="18">
      <c r="B179" s="46"/>
      <c r="C179" s="46"/>
      <c r="D179" s="46"/>
      <c r="E179" s="46"/>
      <c r="F179" s="46"/>
      <c r="G179" s="51"/>
      <c r="M179" s="23">
        <v>1</v>
      </c>
    </row>
    <row r="180" spans="2:13" ht="18">
      <c r="B180" s="46"/>
      <c r="C180" s="46"/>
      <c r="D180" s="46"/>
      <c r="E180" s="46"/>
      <c r="F180" s="46"/>
      <c r="G180" s="51"/>
      <c r="M180" s="23">
        <v>1</v>
      </c>
    </row>
    <row r="181" spans="2:13" ht="18">
      <c r="B181" s="46"/>
      <c r="C181" s="46"/>
      <c r="D181" s="46"/>
      <c r="E181" s="46"/>
      <c r="F181" s="46"/>
      <c r="G181" s="51"/>
      <c r="M181" s="23">
        <v>1</v>
      </c>
    </row>
    <row r="182" spans="2:13" ht="18">
      <c r="B182" s="46"/>
      <c r="C182" s="46"/>
      <c r="D182" s="46"/>
      <c r="E182" s="46"/>
      <c r="F182" s="46"/>
      <c r="G182" s="51"/>
      <c r="M182" s="23">
        <v>1</v>
      </c>
    </row>
    <row r="183" spans="2:13" ht="18">
      <c r="B183" s="46"/>
      <c r="C183" s="46"/>
      <c r="D183" s="46"/>
      <c r="E183" s="46"/>
      <c r="F183" s="46"/>
      <c r="G183" s="51"/>
      <c r="M183" s="23">
        <v>1</v>
      </c>
    </row>
    <row r="184" spans="2:13" ht="18">
      <c r="B184" s="46"/>
      <c r="C184" s="46"/>
      <c r="D184" s="46"/>
      <c r="E184" s="46"/>
      <c r="F184" s="46"/>
      <c r="G184" s="51"/>
      <c r="M184" s="23">
        <v>1</v>
      </c>
    </row>
    <row r="185" spans="2:13" ht="18">
      <c r="B185" s="46"/>
      <c r="C185" s="46"/>
      <c r="D185" s="46"/>
      <c r="E185" s="46"/>
      <c r="F185" s="46"/>
      <c r="G185" s="51"/>
      <c r="M185" s="23">
        <v>1</v>
      </c>
    </row>
    <row r="186" spans="2:13" ht="18">
      <c r="B186" s="46"/>
      <c r="C186" s="46"/>
      <c r="D186" s="46"/>
      <c r="E186" s="46"/>
      <c r="F186" s="46"/>
      <c r="G186" s="51"/>
      <c r="M186" s="23">
        <v>1</v>
      </c>
    </row>
    <row r="187" spans="2:13" ht="18">
      <c r="B187" s="46"/>
      <c r="C187" s="46"/>
      <c r="D187" s="46"/>
      <c r="E187" s="46"/>
      <c r="F187" s="46"/>
      <c r="G187" s="51"/>
      <c r="M187" s="23">
        <v>1</v>
      </c>
    </row>
    <row r="188" spans="2:13" ht="18">
      <c r="B188" s="46"/>
      <c r="C188" s="46"/>
      <c r="D188" s="46"/>
      <c r="E188" s="46"/>
      <c r="F188" s="46"/>
      <c r="G188" s="51"/>
      <c r="M188" s="23">
        <v>1</v>
      </c>
    </row>
    <row r="189" spans="2:13" ht="18">
      <c r="B189" s="46"/>
      <c r="C189" s="46"/>
      <c r="D189" s="46"/>
      <c r="E189" s="46"/>
      <c r="F189" s="46"/>
      <c r="G189" s="51"/>
    </row>
    <row r="190" spans="2:13" ht="18">
      <c r="B190" s="46"/>
      <c r="C190" s="46"/>
      <c r="D190" s="46"/>
      <c r="E190" s="46"/>
      <c r="F190" s="46"/>
      <c r="G190" s="51"/>
    </row>
    <row r="191" spans="2:13" ht="18">
      <c r="B191" s="46"/>
      <c r="C191" s="46"/>
      <c r="D191" s="46"/>
      <c r="E191" s="46"/>
      <c r="F191" s="46"/>
      <c r="G191" s="51"/>
    </row>
    <row r="192" spans="2:13" ht="18">
      <c r="B192" s="46"/>
      <c r="C192" s="46"/>
      <c r="D192" s="46"/>
      <c r="E192" s="46"/>
      <c r="F192" s="46"/>
      <c r="G192" s="51"/>
    </row>
    <row r="193" spans="2:7" ht="18">
      <c r="B193" s="46"/>
      <c r="C193" s="46"/>
      <c r="D193" s="46"/>
      <c r="E193" s="46"/>
      <c r="F193" s="46"/>
      <c r="G193" s="51"/>
    </row>
    <row r="194" spans="2:7" ht="18">
      <c r="B194" s="46"/>
      <c r="C194" s="46"/>
      <c r="D194" s="46"/>
      <c r="E194" s="46"/>
      <c r="F194" s="46"/>
      <c r="G194" s="51"/>
    </row>
    <row r="195" spans="2:7" ht="18">
      <c r="B195" s="46"/>
      <c r="C195" s="46"/>
      <c r="D195" s="46"/>
      <c r="E195" s="46"/>
      <c r="F195" s="46"/>
      <c r="G195" s="51"/>
    </row>
    <row r="196" spans="2:7" ht="18">
      <c r="B196" s="46"/>
      <c r="C196" s="46"/>
      <c r="D196" s="46"/>
      <c r="E196" s="46"/>
      <c r="F196" s="46"/>
      <c r="G196" s="51"/>
    </row>
    <row r="197" spans="2:7" ht="18">
      <c r="B197" s="46"/>
      <c r="C197" s="46"/>
      <c r="D197" s="46"/>
      <c r="E197" s="46"/>
      <c r="F197" s="46"/>
      <c r="G197" s="51"/>
    </row>
    <row r="198" spans="2:7" ht="18">
      <c r="B198" s="46"/>
      <c r="C198" s="46"/>
      <c r="D198" s="46"/>
      <c r="E198" s="46"/>
      <c r="F198" s="46"/>
      <c r="G198" s="51"/>
    </row>
    <row r="199" spans="2:7" ht="18">
      <c r="B199" s="46"/>
      <c r="C199" s="46"/>
      <c r="D199" s="46"/>
      <c r="E199" s="46"/>
      <c r="F199" s="46"/>
      <c r="G199" s="51"/>
    </row>
    <row r="200" spans="2:7" ht="18">
      <c r="B200" s="46"/>
      <c r="C200" s="46"/>
      <c r="D200" s="46"/>
      <c r="E200" s="46"/>
      <c r="F200" s="46"/>
      <c r="G200" s="51"/>
    </row>
    <row r="201" spans="2:7" ht="18">
      <c r="B201" s="46"/>
      <c r="C201" s="46"/>
      <c r="D201" s="46"/>
      <c r="E201" s="46"/>
      <c r="F201" s="46"/>
      <c r="G201" s="51"/>
    </row>
    <row r="202" spans="2:7" ht="18">
      <c r="B202" s="46"/>
      <c r="C202" s="46"/>
      <c r="D202" s="46"/>
      <c r="E202" s="46"/>
      <c r="F202" s="46"/>
      <c r="G202" s="51"/>
    </row>
    <row r="203" spans="2:7" ht="18">
      <c r="B203" s="46"/>
      <c r="C203" s="46"/>
      <c r="D203" s="46"/>
      <c r="E203" s="46"/>
      <c r="F203" s="46"/>
      <c r="G203" s="51"/>
    </row>
    <row r="204" spans="2:7" ht="18">
      <c r="B204" s="46"/>
      <c r="C204" s="46"/>
      <c r="D204" s="46"/>
      <c r="E204" s="46"/>
      <c r="F204" s="46"/>
      <c r="G204" s="51"/>
    </row>
    <row r="205" spans="2:7" ht="18">
      <c r="B205" s="46"/>
      <c r="C205" s="46"/>
      <c r="D205" s="46"/>
      <c r="E205" s="46"/>
      <c r="F205" s="46"/>
      <c r="G205" s="51"/>
    </row>
    <row r="206" spans="2:7" ht="18">
      <c r="B206" s="46"/>
      <c r="C206" s="46"/>
      <c r="D206" s="46"/>
      <c r="E206" s="46"/>
      <c r="F206" s="46"/>
      <c r="G206" s="51"/>
    </row>
    <row r="207" spans="2:7" ht="18">
      <c r="B207" s="46"/>
      <c r="C207" s="46"/>
      <c r="D207" s="46"/>
      <c r="E207" s="46"/>
      <c r="F207" s="46"/>
      <c r="G207" s="51"/>
    </row>
    <row r="208" spans="2:7" ht="18">
      <c r="B208" s="46"/>
      <c r="C208" s="46"/>
      <c r="D208" s="46"/>
      <c r="E208" s="46"/>
      <c r="F208" s="46"/>
      <c r="G208" s="51"/>
    </row>
    <row r="209" spans="2:7" ht="18">
      <c r="B209" s="46"/>
      <c r="C209" s="46"/>
      <c r="D209" s="46"/>
      <c r="E209" s="46"/>
      <c r="F209" s="46"/>
      <c r="G209" s="51"/>
    </row>
    <row r="210" spans="2:7" ht="18">
      <c r="B210" s="46"/>
      <c r="C210" s="46"/>
      <c r="D210" s="46"/>
      <c r="E210" s="46"/>
      <c r="F210" s="46"/>
      <c r="G210" s="51"/>
    </row>
    <row r="211" spans="2:7" ht="18">
      <c r="B211" s="46"/>
      <c r="C211" s="46"/>
      <c r="D211" s="46"/>
      <c r="E211" s="46"/>
      <c r="F211" s="46"/>
      <c r="G211" s="51"/>
    </row>
    <row r="212" spans="2:7" ht="18">
      <c r="B212" s="46"/>
      <c r="C212" s="46"/>
      <c r="D212" s="46"/>
      <c r="E212" s="46"/>
      <c r="F212" s="46"/>
      <c r="G212" s="51"/>
    </row>
    <row r="213" spans="2:7" ht="18">
      <c r="B213" s="46"/>
      <c r="C213" s="46"/>
      <c r="D213" s="46"/>
      <c r="E213" s="46"/>
      <c r="F213" s="46"/>
      <c r="G213" s="51"/>
    </row>
    <row r="214" spans="2:7" ht="18">
      <c r="B214" s="46"/>
      <c r="C214" s="46"/>
      <c r="D214" s="46"/>
      <c r="E214" s="46"/>
      <c r="F214" s="46"/>
      <c r="G214" s="51"/>
    </row>
    <row r="215" spans="2:7" ht="18">
      <c r="B215" s="46"/>
      <c r="C215" s="46"/>
      <c r="D215" s="46"/>
      <c r="E215" s="46"/>
      <c r="F215" s="46"/>
      <c r="G215" s="51"/>
    </row>
    <row r="216" spans="2:7" ht="18">
      <c r="B216" s="46"/>
      <c r="C216" s="46"/>
      <c r="D216" s="46"/>
      <c r="E216" s="46"/>
      <c r="F216" s="46"/>
      <c r="G216" s="51"/>
    </row>
    <row r="217" spans="2:7" ht="18">
      <c r="B217" s="46"/>
      <c r="C217" s="46"/>
      <c r="D217" s="46"/>
      <c r="E217" s="46"/>
      <c r="F217" s="46"/>
      <c r="G217" s="51"/>
    </row>
    <row r="218" spans="2:7" ht="18">
      <c r="B218" s="46"/>
      <c r="C218" s="46"/>
      <c r="D218" s="46"/>
      <c r="E218" s="46"/>
      <c r="F218" s="46"/>
      <c r="G218" s="51"/>
    </row>
    <row r="219" spans="2:7" ht="18">
      <c r="B219" s="46"/>
      <c r="C219" s="46"/>
      <c r="D219" s="46"/>
      <c r="E219" s="46"/>
      <c r="F219" s="46"/>
      <c r="G219" s="51"/>
    </row>
    <row r="220" spans="2:7" ht="18">
      <c r="B220" s="46"/>
      <c r="C220" s="46"/>
      <c r="D220" s="46"/>
      <c r="E220" s="46"/>
      <c r="F220" s="46"/>
      <c r="G220" s="51"/>
    </row>
    <row r="221" spans="2:7" ht="18">
      <c r="B221" s="46"/>
      <c r="C221" s="46"/>
      <c r="D221" s="46"/>
      <c r="E221" s="46"/>
      <c r="F221" s="46"/>
      <c r="G221" s="51"/>
    </row>
    <row r="222" spans="2:7" ht="18">
      <c r="B222" s="46"/>
      <c r="C222" s="46"/>
      <c r="D222" s="46"/>
      <c r="E222" s="46"/>
      <c r="F222" s="46"/>
      <c r="G222" s="51"/>
    </row>
    <row r="223" spans="2:7" ht="18">
      <c r="B223" s="46"/>
      <c r="C223" s="46"/>
      <c r="D223" s="46"/>
      <c r="E223" s="46"/>
      <c r="F223" s="46"/>
      <c r="G223" s="51"/>
    </row>
    <row r="224" spans="2:7" ht="18">
      <c r="B224" s="46"/>
      <c r="C224" s="46"/>
      <c r="D224" s="46"/>
      <c r="E224" s="46"/>
      <c r="F224" s="46"/>
      <c r="G224" s="51"/>
    </row>
    <row r="225" spans="2:13" ht="18">
      <c r="B225" s="46"/>
      <c r="C225" s="46"/>
      <c r="D225" s="46"/>
      <c r="E225" s="46"/>
      <c r="F225" s="46"/>
      <c r="G225" s="51"/>
    </row>
    <row r="226" spans="2:13" ht="18">
      <c r="B226" s="46"/>
      <c r="C226" s="46"/>
      <c r="D226" s="46"/>
      <c r="E226" s="46"/>
      <c r="F226" s="46"/>
      <c r="G226" s="51"/>
    </row>
    <row r="227" spans="2:13" ht="18">
      <c r="B227" s="46"/>
      <c r="C227" s="46"/>
      <c r="D227" s="46"/>
      <c r="E227" s="46"/>
      <c r="F227" s="46"/>
      <c r="G227" s="51"/>
    </row>
    <row r="228" spans="2:13" ht="18">
      <c r="B228" s="46"/>
      <c r="C228" s="46"/>
      <c r="D228" s="46"/>
      <c r="E228" s="46"/>
      <c r="F228" s="46"/>
      <c r="G228" s="51"/>
      <c r="M228" s="23">
        <v>1</v>
      </c>
    </row>
    <row r="229" spans="2:13" ht="27.75" thickBot="1">
      <c r="B229" s="47" t="s">
        <v>3</v>
      </c>
      <c r="C229" s="47" t="s">
        <v>3</v>
      </c>
      <c r="D229" s="47" t="s">
        <v>3</v>
      </c>
      <c r="E229" s="48" t="s">
        <v>3</v>
      </c>
      <c r="F229" s="48" t="s">
        <v>3</v>
      </c>
      <c r="G229" s="49" t="s">
        <v>3</v>
      </c>
      <c r="M229" s="23" t="s">
        <v>3</v>
      </c>
    </row>
    <row r="230" spans="2:13" ht="13.5" thickTop="1"/>
  </sheetData>
  <sheetProtection sheet="1" objects="1" scenarios="1" selectLockedCells="1"/>
  <customSheetViews>
    <customSheetView guid="{2387E3E5-DC3A-4E55-B9FB-E509729F4507}" showGridLines="0" showRowCol="0">
      <pane ySplit="8" topLeftCell="A9" activePane="bottomLeft" state="frozen"/>
      <selection pane="bottomLeft" activeCell="I5" sqref="I5"/>
      <pageMargins left="0.7" right="0.7" top="0.75" bottom="0.75" header="0.3" footer="0.3"/>
    </customSheetView>
    <customSheetView guid="{E8E9C221-0224-4E73-8F39-1821F41C5BD3}" showGridLines="0" showRowCol="0">
      <pane ySplit="8" topLeftCell="A84" activePane="bottomLeft" state="frozen"/>
      <selection pane="bottomLeft" activeCell="I5" sqref="I5"/>
      <pageMargins left="0.7" right="0.7" top="0.75" bottom="0.75" header="0.3" footer="0.3"/>
    </customSheetView>
  </customSheetViews>
  <mergeCells count="4">
    <mergeCell ref="N9:O9"/>
    <mergeCell ref="P8:R8"/>
    <mergeCell ref="S8:U8"/>
    <mergeCell ref="V8:X8"/>
  </mergeCells>
  <dataValidations count="4">
    <dataValidation type="list" allowBlank="1" showDropDown="1" showInputMessage="1" showErrorMessage="1" sqref="D9:D228">
      <formula1>$O$10:$O$29</formula1>
    </dataValidation>
    <dataValidation type="list" allowBlank="1" showDropDown="1" showInputMessage="1" showErrorMessage="1" sqref="C9:C228">
      <formula1>$O$32:$O$41</formula1>
    </dataValidation>
    <dataValidation type="list" allowBlank="1" showDropDown="1" showInputMessage="1" showErrorMessage="1" sqref="B9:B228">
      <formula1>$B$6</formula1>
    </dataValidation>
    <dataValidation allowBlank="1" showInputMessage="1" showErrorMessage="1" errorTitle="Dato no valido" error="El valor esta fuera de rango [0,30] o No es un numero" sqref="E9:G228"/>
  </dataValidations>
  <hyperlinks>
    <hyperlink ref="I2" location="PPrincipal!A1" display="* Pagina Principal"/>
    <hyperlink ref="I4" location="Libertador!A1" display="Libertador"/>
    <hyperlink ref="I3" location="'A Mayor'!A1" display="Alcaldía Mayor"/>
    <hyperlink ref="I5" location="Miranda!A1" display="Miranda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4" sqref="J4"/>
    </sheetView>
  </sheetViews>
  <sheetFormatPr baseColWidth="10" defaultColWidth="15.7109375" defaultRowHeight="22.5" customHeight="1"/>
  <cols>
    <col min="1" max="16384" width="15.7109375" style="58"/>
  </cols>
  <sheetData>
    <row r="1" spans="1:11" ht="15" customHeight="1">
      <c r="J1" s="95"/>
    </row>
    <row r="2" spans="1:11" ht="15" customHeight="1">
      <c r="J2" s="88" t="s">
        <v>8</v>
      </c>
      <c r="K2" s="116"/>
    </row>
    <row r="3" spans="1:11" ht="15" customHeight="1">
      <c r="J3" s="88" t="s">
        <v>24</v>
      </c>
      <c r="K3" s="116"/>
    </row>
    <row r="4" spans="1:11" ht="15" customHeight="1">
      <c r="J4" s="88" t="s">
        <v>48</v>
      </c>
      <c r="K4" s="116"/>
    </row>
    <row r="5" spans="1:11" ht="15" customHeight="1">
      <c r="G5" s="61"/>
      <c r="J5" s="88" t="s">
        <v>49</v>
      </c>
      <c r="K5" s="116"/>
    </row>
    <row r="6" spans="1:11" ht="15" customHeight="1">
      <c r="A6" s="171" t="s">
        <v>80</v>
      </c>
      <c r="B6" s="171"/>
      <c r="C6" s="171"/>
      <c r="D6" s="171"/>
      <c r="E6" s="171"/>
      <c r="F6" s="171"/>
      <c r="J6" s="117"/>
    </row>
    <row r="25" spans="2:7" ht="22.5" customHeight="1">
      <c r="B25" s="171"/>
      <c r="C25" s="171"/>
      <c r="D25" s="171"/>
      <c r="E25" s="171"/>
      <c r="F25" s="171"/>
      <c r="G25" s="171"/>
    </row>
    <row r="44" spans="7:7" ht="22.5" customHeight="1">
      <c r="G44" s="61"/>
    </row>
  </sheetData>
  <customSheetViews>
    <customSheetView guid="{2387E3E5-DC3A-4E55-B9FB-E509729F4507}" scale="60" showPageBreaks="1" showGridLines="0" showRowCol="0" printArea="1" view="pageBreakPreview">
      <selection activeCell="A5" sqref="A5:K23"/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verticalDpi="0" r:id="rId1"/>
    </customSheetView>
    <customSheetView guid="{E8E9C221-0224-4E73-8F39-1821F41C5BD3}" showGridLines="0" showRowCol="0">
      <selection activeCell="J4" sqref="J4"/>
      <pageMargins left="0.7" right="0.7" top="0.75" bottom="0.75" header="0.3" footer="0.3"/>
    </customSheetView>
  </customSheetViews>
  <mergeCells count="2">
    <mergeCell ref="A6:F6"/>
    <mergeCell ref="B25:G25"/>
  </mergeCells>
  <hyperlinks>
    <hyperlink ref="J2" location="PPrincipal!A1" display="* Pagina Principal"/>
    <hyperlink ref="J4" location="GLibertador!A1" display="Libertador"/>
    <hyperlink ref="J3" location="'GA Mayor'!A1" display="Alcaldía Mayor"/>
    <hyperlink ref="J5" location="GMiranda!A1" display="Miranda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28"/>
  <sheetViews>
    <sheetView showGridLines="0" showRowColHeaders="0" workbookViewId="0">
      <selection activeCell="Y5" sqref="Y5"/>
    </sheetView>
  </sheetViews>
  <sheetFormatPr baseColWidth="10" defaultColWidth="5.85546875" defaultRowHeight="15" customHeight="1"/>
  <cols>
    <col min="1" max="1" width="1.140625" style="72" customWidth="1"/>
    <col min="2" max="2" width="7.28515625" style="72" customWidth="1"/>
    <col min="3" max="13" width="5.5703125" style="72" customWidth="1"/>
    <col min="14" max="14" width="5.5703125" style="73" customWidth="1"/>
    <col min="15" max="22" width="5.5703125" style="72" customWidth="1"/>
    <col min="23" max="23" width="1" style="72" customWidth="1"/>
    <col min="24" max="24" width="17.7109375" style="72" customWidth="1"/>
    <col min="25" max="25" width="12.85546875" style="72" customWidth="1"/>
    <col min="26" max="26" width="12.7109375" style="72" customWidth="1"/>
    <col min="27" max="27" width="10.42578125" style="72" customWidth="1"/>
    <col min="28" max="16384" width="5.85546875" style="72"/>
  </cols>
  <sheetData>
    <row r="1" spans="1:29" ht="31.5" customHeight="1">
      <c r="A1" s="72" t="s">
        <v>97</v>
      </c>
      <c r="B1" s="172" t="s">
        <v>98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</row>
    <row r="2" spans="1:29" ht="15" customHeight="1">
      <c r="C2" s="93"/>
      <c r="I2" s="87"/>
      <c r="J2" s="87"/>
      <c r="Y2" s="88" t="s">
        <v>8</v>
      </c>
      <c r="Z2" s="93"/>
      <c r="AA2" s="94"/>
      <c r="AB2" s="94"/>
      <c r="AC2" s="94"/>
    </row>
    <row r="3" spans="1:29" ht="15" customHeight="1">
      <c r="J3" s="87"/>
      <c r="Y3" s="88" t="s">
        <v>24</v>
      </c>
    </row>
    <row r="4" spans="1:29" ht="15" customHeight="1">
      <c r="C4" s="93"/>
      <c r="I4" s="87"/>
      <c r="J4" s="87"/>
      <c r="Y4" s="88" t="s">
        <v>48</v>
      </c>
      <c r="Z4" s="93"/>
      <c r="AA4" s="94"/>
      <c r="AB4" s="94"/>
      <c r="AC4" s="94"/>
    </row>
    <row r="5" spans="1:29" ht="15" customHeight="1">
      <c r="C5" s="93"/>
      <c r="I5" s="87"/>
      <c r="J5" s="87"/>
      <c r="Y5" s="88" t="s">
        <v>49</v>
      </c>
      <c r="Z5" s="93"/>
      <c r="AA5" s="94"/>
      <c r="AB5" s="94"/>
      <c r="AC5" s="94"/>
    </row>
    <row r="6" spans="1:29" s="1" customFormat="1" ht="30.75" customHeight="1" thickBot="1">
      <c r="A6" s="62"/>
      <c r="B6" s="69"/>
      <c r="C6" s="69"/>
      <c r="D6" s="69"/>
      <c r="E6" s="69"/>
      <c r="F6" s="69"/>
      <c r="G6" s="69"/>
      <c r="H6" s="69"/>
      <c r="I6" s="69"/>
      <c r="J6" s="69"/>
      <c r="K6" s="69"/>
      <c r="L6" s="72"/>
      <c r="M6" s="72"/>
      <c r="N6" s="73"/>
      <c r="O6" s="72"/>
      <c r="P6" s="72"/>
      <c r="Q6" s="72"/>
      <c r="R6" s="72"/>
      <c r="S6" s="72"/>
      <c r="T6" s="72"/>
      <c r="U6" s="72"/>
      <c r="V6" s="72"/>
    </row>
    <row r="7" spans="1:29" s="70" customFormat="1" ht="15" customHeight="1">
      <c r="A7" s="63"/>
      <c r="B7" s="80" t="s">
        <v>0</v>
      </c>
      <c r="C7" s="89">
        <v>0.3125</v>
      </c>
      <c r="D7" s="90">
        <v>0.33333333333333298</v>
      </c>
      <c r="E7" s="90">
        <v>0.35416666666666702</v>
      </c>
      <c r="F7" s="90">
        <v>0.375</v>
      </c>
      <c r="G7" s="90">
        <v>0.39583333333333298</v>
      </c>
      <c r="H7" s="90">
        <v>0.41666666666666702</v>
      </c>
      <c r="I7" s="90">
        <v>0.4375</v>
      </c>
      <c r="J7" s="90">
        <v>0.45833333333333298</v>
      </c>
      <c r="K7" s="90">
        <v>0.47916666666666702</v>
      </c>
      <c r="L7" s="90">
        <v>0.5</v>
      </c>
      <c r="M7" s="90">
        <v>0.52083333333333304</v>
      </c>
      <c r="N7" s="90">
        <v>4.1666666666666664E-2</v>
      </c>
      <c r="O7" s="90">
        <v>6.25E-2</v>
      </c>
      <c r="P7" s="90">
        <v>8.3333333333333329E-2</v>
      </c>
      <c r="Q7" s="90">
        <v>0.104166666666667</v>
      </c>
      <c r="R7" s="90">
        <v>0.125</v>
      </c>
      <c r="S7" s="90">
        <v>0.14583333333333301</v>
      </c>
      <c r="T7" s="90">
        <v>0.16666666666666599</v>
      </c>
      <c r="U7" s="90">
        <v>0.187499999999999</v>
      </c>
      <c r="V7" s="91">
        <v>0.20833333333333201</v>
      </c>
      <c r="X7" s="179" t="s">
        <v>81</v>
      </c>
      <c r="Y7" s="179" t="s">
        <v>78</v>
      </c>
      <c r="Z7" s="179" t="s">
        <v>79</v>
      </c>
      <c r="AA7" s="179" t="s">
        <v>4</v>
      </c>
    </row>
    <row r="8" spans="1:29" ht="15" customHeight="1" thickBot="1">
      <c r="A8" s="71"/>
      <c r="B8" s="79" t="s">
        <v>2</v>
      </c>
      <c r="C8" s="98">
        <v>1</v>
      </c>
      <c r="D8" s="99">
        <v>2</v>
      </c>
      <c r="E8" s="99">
        <v>3</v>
      </c>
      <c r="F8" s="99">
        <v>4</v>
      </c>
      <c r="G8" s="99">
        <v>5</v>
      </c>
      <c r="H8" s="99">
        <v>6</v>
      </c>
      <c r="I8" s="99">
        <v>7</v>
      </c>
      <c r="J8" s="99">
        <v>8</v>
      </c>
      <c r="K8" s="99">
        <v>9</v>
      </c>
      <c r="L8" s="99">
        <v>10</v>
      </c>
      <c r="M8" s="99">
        <v>11</v>
      </c>
      <c r="N8" s="99">
        <v>12</v>
      </c>
      <c r="O8" s="99">
        <v>13</v>
      </c>
      <c r="P8" s="99">
        <v>14</v>
      </c>
      <c r="Q8" s="99">
        <v>15</v>
      </c>
      <c r="R8" s="99">
        <v>16</v>
      </c>
      <c r="S8" s="99">
        <v>17</v>
      </c>
      <c r="T8" s="99">
        <v>18</v>
      </c>
      <c r="U8" s="99">
        <v>19</v>
      </c>
      <c r="V8" s="103">
        <v>20</v>
      </c>
      <c r="X8" s="180"/>
      <c r="Y8" s="180"/>
      <c r="Z8" s="180"/>
      <c r="AA8" s="180"/>
    </row>
    <row r="9" spans="1:29" ht="15" customHeight="1">
      <c r="A9" s="71"/>
      <c r="B9" s="125">
        <v>127</v>
      </c>
      <c r="C9" s="77">
        <f t="shared" ref="C9:L18" si="0">SUMIFS(SumaVA,CentroVA,$B9,TurnoVA,C$8)</f>
        <v>0</v>
      </c>
      <c r="D9" s="77">
        <f t="shared" si="0"/>
        <v>0</v>
      </c>
      <c r="E9" s="77">
        <f t="shared" si="0"/>
        <v>0</v>
      </c>
      <c r="F9" s="77">
        <f t="shared" si="0"/>
        <v>2</v>
      </c>
      <c r="G9" s="77">
        <f t="shared" si="0"/>
        <v>2</v>
      </c>
      <c r="H9" s="77">
        <f t="shared" si="0"/>
        <v>1</v>
      </c>
      <c r="I9" s="77">
        <f t="shared" si="0"/>
        <v>1</v>
      </c>
      <c r="J9" s="77">
        <f t="shared" si="0"/>
        <v>1</v>
      </c>
      <c r="K9" s="77">
        <f t="shared" si="0"/>
        <v>0</v>
      </c>
      <c r="L9" s="77">
        <f t="shared" si="0"/>
        <v>0</v>
      </c>
      <c r="M9" s="77">
        <f t="shared" ref="M9:V18" si="1">SUMIFS(SumaVA,CentroVA,$B9,TurnoVA,M$8)</f>
        <v>0</v>
      </c>
      <c r="N9" s="77">
        <f t="shared" si="1"/>
        <v>0</v>
      </c>
      <c r="O9" s="77">
        <f t="shared" si="1"/>
        <v>0</v>
      </c>
      <c r="P9" s="77">
        <f t="shared" si="1"/>
        <v>0</v>
      </c>
      <c r="Q9" s="77">
        <f t="shared" si="1"/>
        <v>0</v>
      </c>
      <c r="R9" s="77">
        <f t="shared" si="1"/>
        <v>0</v>
      </c>
      <c r="S9" s="77">
        <f t="shared" si="1"/>
        <v>0</v>
      </c>
      <c r="T9" s="77">
        <f t="shared" si="1"/>
        <v>0</v>
      </c>
      <c r="U9" s="77">
        <f t="shared" si="1"/>
        <v>0</v>
      </c>
      <c r="V9" s="152">
        <f t="shared" si="1"/>
        <v>0</v>
      </c>
      <c r="X9" s="105" t="s">
        <v>82</v>
      </c>
      <c r="Y9" s="107">
        <f t="shared" ref="Y9:Y18" si="2">SUMIF(CentroVA,$B9,Jorge_Garcia_Carneiro)</f>
        <v>16</v>
      </c>
      <c r="Z9" s="107">
        <f t="shared" ref="Z9:Z18" si="3">SUMIF(CentroVA,$B9,Roberto_Smith)</f>
        <v>71</v>
      </c>
      <c r="AA9" s="107">
        <f t="shared" ref="AA9:AA18" si="4">SUMIF(CentroVA,$B9,OtroVA)</f>
        <v>0</v>
      </c>
    </row>
    <row r="10" spans="1:29" ht="15" customHeight="1">
      <c r="A10" s="71"/>
      <c r="B10" s="75">
        <v>128</v>
      </c>
      <c r="C10" s="77">
        <f t="shared" si="0"/>
        <v>0</v>
      </c>
      <c r="D10" s="77">
        <f t="shared" si="0"/>
        <v>1</v>
      </c>
      <c r="E10" s="77">
        <f t="shared" si="0"/>
        <v>1</v>
      </c>
      <c r="F10" s="77">
        <f t="shared" si="0"/>
        <v>0</v>
      </c>
      <c r="G10" s="77">
        <f t="shared" si="0"/>
        <v>0</v>
      </c>
      <c r="H10" s="77">
        <f t="shared" si="0"/>
        <v>1</v>
      </c>
      <c r="I10" s="77">
        <f t="shared" si="0"/>
        <v>1</v>
      </c>
      <c r="J10" s="77">
        <f t="shared" si="0"/>
        <v>1</v>
      </c>
      <c r="K10" s="77">
        <f t="shared" si="0"/>
        <v>1</v>
      </c>
      <c r="L10" s="77">
        <f t="shared" si="0"/>
        <v>1</v>
      </c>
      <c r="M10" s="77">
        <f t="shared" si="1"/>
        <v>1</v>
      </c>
      <c r="N10" s="77">
        <f t="shared" si="1"/>
        <v>1</v>
      </c>
      <c r="O10" s="77">
        <f t="shared" si="1"/>
        <v>0</v>
      </c>
      <c r="P10" s="77">
        <f t="shared" si="1"/>
        <v>0</v>
      </c>
      <c r="Q10" s="77">
        <f t="shared" si="1"/>
        <v>0</v>
      </c>
      <c r="R10" s="77">
        <f t="shared" si="1"/>
        <v>0</v>
      </c>
      <c r="S10" s="77">
        <f t="shared" si="1"/>
        <v>0</v>
      </c>
      <c r="T10" s="77">
        <f t="shared" si="1"/>
        <v>0</v>
      </c>
      <c r="U10" s="77">
        <f t="shared" si="1"/>
        <v>0</v>
      </c>
      <c r="V10" s="152">
        <f t="shared" si="1"/>
        <v>0</v>
      </c>
      <c r="X10" s="106" t="s">
        <v>83</v>
      </c>
      <c r="Y10" s="107">
        <f t="shared" si="2"/>
        <v>136</v>
      </c>
      <c r="Z10" s="107">
        <f t="shared" si="3"/>
        <v>24</v>
      </c>
      <c r="AA10" s="107">
        <f t="shared" si="4"/>
        <v>6</v>
      </c>
    </row>
    <row r="11" spans="1:29" ht="15" customHeight="1">
      <c r="A11" s="71"/>
      <c r="B11" s="75">
        <v>129</v>
      </c>
      <c r="C11" s="77">
        <f t="shared" si="0"/>
        <v>0</v>
      </c>
      <c r="D11" s="77">
        <f t="shared" si="0"/>
        <v>0</v>
      </c>
      <c r="E11" s="77">
        <f t="shared" si="0"/>
        <v>0</v>
      </c>
      <c r="F11" s="77">
        <f t="shared" si="0"/>
        <v>0</v>
      </c>
      <c r="G11" s="77">
        <f t="shared" si="0"/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1"/>
        <v>0</v>
      </c>
      <c r="N11" s="77">
        <f t="shared" si="1"/>
        <v>0</v>
      </c>
      <c r="O11" s="77">
        <f t="shared" si="1"/>
        <v>0</v>
      </c>
      <c r="P11" s="77">
        <f t="shared" si="1"/>
        <v>0</v>
      </c>
      <c r="Q11" s="77">
        <f t="shared" si="1"/>
        <v>0</v>
      </c>
      <c r="R11" s="77">
        <f t="shared" si="1"/>
        <v>0</v>
      </c>
      <c r="S11" s="77">
        <f t="shared" si="1"/>
        <v>0</v>
      </c>
      <c r="T11" s="77">
        <f t="shared" si="1"/>
        <v>0</v>
      </c>
      <c r="U11" s="77">
        <f t="shared" si="1"/>
        <v>0</v>
      </c>
      <c r="V11" s="152">
        <f t="shared" si="1"/>
        <v>0</v>
      </c>
      <c r="X11" s="106" t="s">
        <v>84</v>
      </c>
      <c r="Y11" s="107">
        <f t="shared" si="2"/>
        <v>0</v>
      </c>
      <c r="Z11" s="107">
        <f t="shared" si="3"/>
        <v>0</v>
      </c>
      <c r="AA11" s="107">
        <f t="shared" si="4"/>
        <v>0</v>
      </c>
    </row>
    <row r="12" spans="1:29" ht="15" customHeight="1">
      <c r="A12" s="71"/>
      <c r="B12" s="75">
        <v>130</v>
      </c>
      <c r="C12" s="77">
        <f t="shared" si="0"/>
        <v>0</v>
      </c>
      <c r="D12" s="77">
        <f t="shared" si="0"/>
        <v>1</v>
      </c>
      <c r="E12" s="77">
        <f t="shared" si="0"/>
        <v>0</v>
      </c>
      <c r="F12" s="77">
        <f t="shared" si="0"/>
        <v>1</v>
      </c>
      <c r="G12" s="77">
        <f t="shared" si="0"/>
        <v>1</v>
      </c>
      <c r="H12" s="77">
        <f t="shared" si="0"/>
        <v>1</v>
      </c>
      <c r="I12" s="77">
        <f t="shared" si="0"/>
        <v>1</v>
      </c>
      <c r="J12" s="77">
        <f t="shared" si="0"/>
        <v>1</v>
      </c>
      <c r="K12" s="77">
        <f t="shared" si="0"/>
        <v>2</v>
      </c>
      <c r="L12" s="77">
        <f t="shared" si="0"/>
        <v>1</v>
      </c>
      <c r="M12" s="77">
        <f t="shared" si="1"/>
        <v>1</v>
      </c>
      <c r="N12" s="77">
        <f t="shared" si="1"/>
        <v>1</v>
      </c>
      <c r="O12" s="77">
        <f t="shared" si="1"/>
        <v>1</v>
      </c>
      <c r="P12" s="77">
        <f t="shared" si="1"/>
        <v>1</v>
      </c>
      <c r="Q12" s="77">
        <f t="shared" si="1"/>
        <v>0</v>
      </c>
      <c r="R12" s="77">
        <f t="shared" si="1"/>
        <v>0</v>
      </c>
      <c r="S12" s="77">
        <f t="shared" si="1"/>
        <v>0</v>
      </c>
      <c r="T12" s="77">
        <f t="shared" si="1"/>
        <v>0</v>
      </c>
      <c r="U12" s="77">
        <f t="shared" si="1"/>
        <v>0</v>
      </c>
      <c r="V12" s="152">
        <f t="shared" si="1"/>
        <v>0</v>
      </c>
      <c r="X12" s="106" t="s">
        <v>85</v>
      </c>
      <c r="Y12" s="107">
        <f t="shared" si="2"/>
        <v>96</v>
      </c>
      <c r="Z12" s="107">
        <f t="shared" si="3"/>
        <v>35</v>
      </c>
      <c r="AA12" s="107">
        <f t="shared" si="4"/>
        <v>7</v>
      </c>
    </row>
    <row r="13" spans="1:29" ht="15" customHeight="1">
      <c r="A13" s="71"/>
      <c r="B13" s="75">
        <v>131</v>
      </c>
      <c r="C13" s="77">
        <f t="shared" si="0"/>
        <v>2</v>
      </c>
      <c r="D13" s="77">
        <f t="shared" si="0"/>
        <v>1</v>
      </c>
      <c r="E13" s="77">
        <f t="shared" si="0"/>
        <v>1</v>
      </c>
      <c r="F13" s="77">
        <f t="shared" si="0"/>
        <v>1</v>
      </c>
      <c r="G13" s="77">
        <f t="shared" si="0"/>
        <v>1</v>
      </c>
      <c r="H13" s="77">
        <f t="shared" si="0"/>
        <v>1</v>
      </c>
      <c r="I13" s="77">
        <f t="shared" si="0"/>
        <v>1</v>
      </c>
      <c r="J13" s="77">
        <f t="shared" si="0"/>
        <v>0</v>
      </c>
      <c r="K13" s="77">
        <f t="shared" si="0"/>
        <v>0</v>
      </c>
      <c r="L13" s="77">
        <f t="shared" si="0"/>
        <v>0</v>
      </c>
      <c r="M13" s="77">
        <f t="shared" si="1"/>
        <v>0</v>
      </c>
      <c r="N13" s="77">
        <f t="shared" si="1"/>
        <v>0</v>
      </c>
      <c r="O13" s="77">
        <f t="shared" si="1"/>
        <v>0</v>
      </c>
      <c r="P13" s="77">
        <f t="shared" si="1"/>
        <v>0</v>
      </c>
      <c r="Q13" s="77">
        <f t="shared" si="1"/>
        <v>0</v>
      </c>
      <c r="R13" s="77">
        <f t="shared" si="1"/>
        <v>0</v>
      </c>
      <c r="S13" s="77">
        <f t="shared" si="1"/>
        <v>0</v>
      </c>
      <c r="T13" s="77">
        <f t="shared" si="1"/>
        <v>0</v>
      </c>
      <c r="U13" s="77">
        <f t="shared" si="1"/>
        <v>0</v>
      </c>
      <c r="V13" s="152">
        <f t="shared" si="1"/>
        <v>0</v>
      </c>
      <c r="X13" s="106" t="s">
        <v>85</v>
      </c>
      <c r="Y13" s="107">
        <f t="shared" si="2"/>
        <v>85</v>
      </c>
      <c r="Z13" s="107">
        <f t="shared" si="3"/>
        <v>24</v>
      </c>
      <c r="AA13" s="107">
        <f t="shared" si="4"/>
        <v>17</v>
      </c>
    </row>
    <row r="14" spans="1:29" ht="15" customHeight="1">
      <c r="B14" s="75">
        <v>132</v>
      </c>
      <c r="C14" s="77">
        <f t="shared" si="0"/>
        <v>0</v>
      </c>
      <c r="D14" s="77">
        <f t="shared" si="0"/>
        <v>0</v>
      </c>
      <c r="E14" s="77">
        <f t="shared" si="0"/>
        <v>0</v>
      </c>
      <c r="F14" s="77">
        <f t="shared" si="0"/>
        <v>0</v>
      </c>
      <c r="G14" s="77">
        <f t="shared" si="0"/>
        <v>0</v>
      </c>
      <c r="H14" s="77">
        <f t="shared" si="0"/>
        <v>0</v>
      </c>
      <c r="I14" s="77">
        <f t="shared" si="0"/>
        <v>0</v>
      </c>
      <c r="J14" s="77">
        <f t="shared" si="0"/>
        <v>0</v>
      </c>
      <c r="K14" s="77">
        <f t="shared" si="0"/>
        <v>0</v>
      </c>
      <c r="L14" s="77">
        <f t="shared" si="0"/>
        <v>0</v>
      </c>
      <c r="M14" s="77">
        <f t="shared" si="1"/>
        <v>0</v>
      </c>
      <c r="N14" s="77">
        <f t="shared" si="1"/>
        <v>0</v>
      </c>
      <c r="O14" s="77">
        <f t="shared" si="1"/>
        <v>0</v>
      </c>
      <c r="P14" s="77">
        <f t="shared" si="1"/>
        <v>0</v>
      </c>
      <c r="Q14" s="77">
        <f t="shared" si="1"/>
        <v>0</v>
      </c>
      <c r="R14" s="77">
        <f t="shared" si="1"/>
        <v>0</v>
      </c>
      <c r="S14" s="77">
        <f t="shared" si="1"/>
        <v>0</v>
      </c>
      <c r="T14" s="77">
        <f t="shared" si="1"/>
        <v>0</v>
      </c>
      <c r="U14" s="77">
        <f t="shared" si="1"/>
        <v>0</v>
      </c>
      <c r="V14" s="152">
        <f t="shared" si="1"/>
        <v>0</v>
      </c>
      <c r="X14" s="106" t="s">
        <v>85</v>
      </c>
      <c r="Y14" s="107">
        <f t="shared" si="2"/>
        <v>0</v>
      </c>
      <c r="Z14" s="107">
        <f t="shared" si="3"/>
        <v>0</v>
      </c>
      <c r="AA14" s="107">
        <f t="shared" si="4"/>
        <v>0</v>
      </c>
    </row>
    <row r="15" spans="1:29" ht="15" customHeight="1">
      <c r="B15" s="75">
        <v>133</v>
      </c>
      <c r="C15" s="77">
        <f t="shared" si="0"/>
        <v>1</v>
      </c>
      <c r="D15" s="77">
        <f t="shared" si="0"/>
        <v>1</v>
      </c>
      <c r="E15" s="77">
        <f t="shared" si="0"/>
        <v>1</v>
      </c>
      <c r="F15" s="77">
        <f t="shared" si="0"/>
        <v>1</v>
      </c>
      <c r="G15" s="77">
        <f t="shared" si="0"/>
        <v>1</v>
      </c>
      <c r="H15" s="77">
        <f t="shared" si="0"/>
        <v>1</v>
      </c>
      <c r="I15" s="77">
        <f t="shared" si="0"/>
        <v>2</v>
      </c>
      <c r="J15" s="77">
        <f t="shared" si="0"/>
        <v>1</v>
      </c>
      <c r="K15" s="77">
        <f t="shared" si="0"/>
        <v>1</v>
      </c>
      <c r="L15" s="77">
        <f t="shared" si="0"/>
        <v>2</v>
      </c>
      <c r="M15" s="77">
        <f t="shared" si="1"/>
        <v>0</v>
      </c>
      <c r="N15" s="77">
        <f t="shared" si="1"/>
        <v>1</v>
      </c>
      <c r="O15" s="77">
        <f t="shared" si="1"/>
        <v>1</v>
      </c>
      <c r="P15" s="77">
        <f t="shared" si="1"/>
        <v>0</v>
      </c>
      <c r="Q15" s="77">
        <f t="shared" si="1"/>
        <v>0</v>
      </c>
      <c r="R15" s="77">
        <f t="shared" si="1"/>
        <v>0</v>
      </c>
      <c r="S15" s="77">
        <f t="shared" si="1"/>
        <v>0</v>
      </c>
      <c r="T15" s="77">
        <f t="shared" si="1"/>
        <v>0</v>
      </c>
      <c r="U15" s="77">
        <f t="shared" si="1"/>
        <v>0</v>
      </c>
      <c r="V15" s="152">
        <f t="shared" si="1"/>
        <v>0</v>
      </c>
      <c r="W15" s="73"/>
      <c r="X15" s="106" t="s">
        <v>86</v>
      </c>
      <c r="Y15" s="107">
        <f t="shared" si="2"/>
        <v>34</v>
      </c>
      <c r="Z15" s="107">
        <f t="shared" si="3"/>
        <v>23</v>
      </c>
      <c r="AA15" s="107">
        <f t="shared" si="4"/>
        <v>6</v>
      </c>
    </row>
    <row r="16" spans="1:29" ht="15" customHeight="1">
      <c r="B16" s="75">
        <v>134</v>
      </c>
      <c r="C16" s="77">
        <f t="shared" si="0"/>
        <v>1</v>
      </c>
      <c r="D16" s="77">
        <f t="shared" si="0"/>
        <v>1</v>
      </c>
      <c r="E16" s="77">
        <f t="shared" si="0"/>
        <v>2</v>
      </c>
      <c r="F16" s="77">
        <f t="shared" si="0"/>
        <v>2</v>
      </c>
      <c r="G16" s="77">
        <f t="shared" si="0"/>
        <v>2</v>
      </c>
      <c r="H16" s="77">
        <f t="shared" si="0"/>
        <v>2</v>
      </c>
      <c r="I16" s="77">
        <f t="shared" si="0"/>
        <v>1</v>
      </c>
      <c r="J16" s="77">
        <f t="shared" si="0"/>
        <v>1</v>
      </c>
      <c r="K16" s="77">
        <f t="shared" si="0"/>
        <v>1</v>
      </c>
      <c r="L16" s="77">
        <f t="shared" si="0"/>
        <v>0</v>
      </c>
      <c r="M16" s="77">
        <f t="shared" si="1"/>
        <v>0</v>
      </c>
      <c r="N16" s="77">
        <f t="shared" si="1"/>
        <v>0</v>
      </c>
      <c r="O16" s="77">
        <f t="shared" si="1"/>
        <v>0</v>
      </c>
      <c r="P16" s="77">
        <f t="shared" si="1"/>
        <v>0</v>
      </c>
      <c r="Q16" s="77">
        <f t="shared" si="1"/>
        <v>0</v>
      </c>
      <c r="R16" s="77">
        <f t="shared" si="1"/>
        <v>0</v>
      </c>
      <c r="S16" s="77">
        <f t="shared" si="1"/>
        <v>0</v>
      </c>
      <c r="T16" s="77">
        <f t="shared" si="1"/>
        <v>0</v>
      </c>
      <c r="U16" s="77">
        <f t="shared" si="1"/>
        <v>0</v>
      </c>
      <c r="V16" s="152">
        <f t="shared" si="1"/>
        <v>0</v>
      </c>
      <c r="W16" s="73"/>
      <c r="X16" s="106" t="s">
        <v>87</v>
      </c>
      <c r="Y16" s="107">
        <f t="shared" si="2"/>
        <v>205</v>
      </c>
      <c r="Z16" s="107">
        <f t="shared" si="3"/>
        <v>72</v>
      </c>
      <c r="AA16" s="107">
        <f t="shared" si="4"/>
        <v>22</v>
      </c>
    </row>
    <row r="17" spans="2:27" ht="15" customHeight="1">
      <c r="B17" s="75">
        <v>135</v>
      </c>
      <c r="C17" s="77">
        <f t="shared" si="0"/>
        <v>1</v>
      </c>
      <c r="D17" s="77">
        <f t="shared" si="0"/>
        <v>1</v>
      </c>
      <c r="E17" s="77">
        <f t="shared" si="0"/>
        <v>1</v>
      </c>
      <c r="F17" s="77">
        <f t="shared" si="0"/>
        <v>1</v>
      </c>
      <c r="G17" s="77">
        <f t="shared" si="0"/>
        <v>1</v>
      </c>
      <c r="H17" s="77">
        <f t="shared" si="0"/>
        <v>1</v>
      </c>
      <c r="I17" s="77">
        <f t="shared" si="0"/>
        <v>1</v>
      </c>
      <c r="J17" s="77">
        <f t="shared" si="0"/>
        <v>1</v>
      </c>
      <c r="K17" s="77">
        <f t="shared" si="0"/>
        <v>1</v>
      </c>
      <c r="L17" s="77">
        <f t="shared" si="0"/>
        <v>1</v>
      </c>
      <c r="M17" s="77">
        <f t="shared" si="1"/>
        <v>1</v>
      </c>
      <c r="N17" s="77">
        <f t="shared" si="1"/>
        <v>1</v>
      </c>
      <c r="O17" s="77">
        <f t="shared" si="1"/>
        <v>1</v>
      </c>
      <c r="P17" s="77">
        <f t="shared" si="1"/>
        <v>0</v>
      </c>
      <c r="Q17" s="77">
        <f t="shared" si="1"/>
        <v>0</v>
      </c>
      <c r="R17" s="77">
        <f t="shared" si="1"/>
        <v>0</v>
      </c>
      <c r="S17" s="77">
        <f t="shared" si="1"/>
        <v>0</v>
      </c>
      <c r="T17" s="77">
        <f t="shared" si="1"/>
        <v>0</v>
      </c>
      <c r="U17" s="77">
        <f t="shared" si="1"/>
        <v>0</v>
      </c>
      <c r="V17" s="152">
        <f t="shared" si="1"/>
        <v>0</v>
      </c>
      <c r="W17" s="73"/>
      <c r="X17" s="106" t="s">
        <v>88</v>
      </c>
      <c r="Y17" s="107">
        <f t="shared" si="2"/>
        <v>22</v>
      </c>
      <c r="Z17" s="107">
        <f t="shared" si="3"/>
        <v>17</v>
      </c>
      <c r="AA17" s="107">
        <f t="shared" si="4"/>
        <v>1</v>
      </c>
    </row>
    <row r="18" spans="2:27" ht="15" customHeight="1" thickBot="1">
      <c r="B18" s="76">
        <v>136</v>
      </c>
      <c r="C18" s="153">
        <f t="shared" si="0"/>
        <v>0</v>
      </c>
      <c r="D18" s="153">
        <f t="shared" si="0"/>
        <v>0</v>
      </c>
      <c r="E18" s="153">
        <f t="shared" si="0"/>
        <v>0</v>
      </c>
      <c r="F18" s="153">
        <f t="shared" si="0"/>
        <v>0</v>
      </c>
      <c r="G18" s="153">
        <f t="shared" si="0"/>
        <v>0</v>
      </c>
      <c r="H18" s="153">
        <f t="shared" si="0"/>
        <v>0</v>
      </c>
      <c r="I18" s="153">
        <f t="shared" si="0"/>
        <v>0</v>
      </c>
      <c r="J18" s="153">
        <f t="shared" si="0"/>
        <v>0</v>
      </c>
      <c r="K18" s="153">
        <f t="shared" si="0"/>
        <v>0</v>
      </c>
      <c r="L18" s="153">
        <f t="shared" si="0"/>
        <v>0</v>
      </c>
      <c r="M18" s="153">
        <f t="shared" si="1"/>
        <v>0</v>
      </c>
      <c r="N18" s="153">
        <f t="shared" si="1"/>
        <v>0</v>
      </c>
      <c r="O18" s="153">
        <f t="shared" si="1"/>
        <v>0</v>
      </c>
      <c r="P18" s="153">
        <f t="shared" si="1"/>
        <v>0</v>
      </c>
      <c r="Q18" s="153">
        <f t="shared" si="1"/>
        <v>0</v>
      </c>
      <c r="R18" s="153">
        <f t="shared" si="1"/>
        <v>0</v>
      </c>
      <c r="S18" s="153">
        <f t="shared" si="1"/>
        <v>0</v>
      </c>
      <c r="T18" s="153">
        <f t="shared" si="1"/>
        <v>0</v>
      </c>
      <c r="U18" s="153">
        <f t="shared" si="1"/>
        <v>0</v>
      </c>
      <c r="V18" s="154">
        <f t="shared" si="1"/>
        <v>0</v>
      </c>
      <c r="X18" s="106" t="s">
        <v>89</v>
      </c>
      <c r="Y18" s="107">
        <f t="shared" si="2"/>
        <v>0</v>
      </c>
      <c r="Z18" s="107">
        <f t="shared" si="3"/>
        <v>0</v>
      </c>
      <c r="AA18" s="107">
        <f t="shared" si="4"/>
        <v>0</v>
      </c>
    </row>
    <row r="20" spans="2:27" ht="15" customHeight="1" thickBot="1"/>
    <row r="21" spans="2:27" ht="15" customHeight="1">
      <c r="X21" s="121" t="s">
        <v>82</v>
      </c>
      <c r="Y21" s="118">
        <f t="shared" ref="Y21:AA28" si="5">SUMIF(ParroquiaVA,$X21,Y$9:Y$18)</f>
        <v>16</v>
      </c>
      <c r="Z21" s="118">
        <f t="shared" si="5"/>
        <v>71</v>
      </c>
      <c r="AA21" s="119">
        <f t="shared" si="5"/>
        <v>0</v>
      </c>
    </row>
    <row r="22" spans="2:27" ht="15" customHeight="1">
      <c r="X22" s="122" t="s">
        <v>83</v>
      </c>
      <c r="Y22" s="74">
        <f t="shared" si="5"/>
        <v>136</v>
      </c>
      <c r="Z22" s="74">
        <f t="shared" si="5"/>
        <v>24</v>
      </c>
      <c r="AA22" s="92">
        <f t="shared" si="5"/>
        <v>6</v>
      </c>
    </row>
    <row r="23" spans="2:27" ht="15" customHeight="1">
      <c r="X23" s="122" t="s">
        <v>84</v>
      </c>
      <c r="Y23" s="74">
        <f t="shared" si="5"/>
        <v>0</v>
      </c>
      <c r="Z23" s="74">
        <f t="shared" si="5"/>
        <v>0</v>
      </c>
      <c r="AA23" s="92">
        <f t="shared" si="5"/>
        <v>0</v>
      </c>
    </row>
    <row r="24" spans="2:27" ht="15" customHeight="1">
      <c r="X24" s="122" t="s">
        <v>85</v>
      </c>
      <c r="Y24" s="74">
        <f t="shared" si="5"/>
        <v>181</v>
      </c>
      <c r="Z24" s="74">
        <f t="shared" si="5"/>
        <v>59</v>
      </c>
      <c r="AA24" s="92">
        <f t="shared" si="5"/>
        <v>24</v>
      </c>
    </row>
    <row r="25" spans="2:27" ht="15" customHeight="1">
      <c r="X25" s="122" t="s">
        <v>86</v>
      </c>
      <c r="Y25" s="74">
        <f t="shared" si="5"/>
        <v>34</v>
      </c>
      <c r="Z25" s="74">
        <f t="shared" si="5"/>
        <v>23</v>
      </c>
      <c r="AA25" s="92">
        <f t="shared" si="5"/>
        <v>6</v>
      </c>
    </row>
    <row r="26" spans="2:27" ht="15" customHeight="1">
      <c r="X26" s="122" t="s">
        <v>87</v>
      </c>
      <c r="Y26" s="74">
        <f t="shared" si="5"/>
        <v>205</v>
      </c>
      <c r="Z26" s="74">
        <f t="shared" si="5"/>
        <v>72</v>
      </c>
      <c r="AA26" s="92">
        <f t="shared" si="5"/>
        <v>22</v>
      </c>
    </row>
    <row r="27" spans="2:27" ht="15" customHeight="1">
      <c r="X27" s="122" t="s">
        <v>88</v>
      </c>
      <c r="Y27" s="74">
        <f t="shared" si="5"/>
        <v>22</v>
      </c>
      <c r="Z27" s="74">
        <f t="shared" si="5"/>
        <v>17</v>
      </c>
      <c r="AA27" s="92">
        <f t="shared" si="5"/>
        <v>1</v>
      </c>
    </row>
    <row r="28" spans="2:27" ht="15" customHeight="1" thickBot="1">
      <c r="X28" s="123" t="s">
        <v>89</v>
      </c>
      <c r="Y28" s="100">
        <f t="shared" si="5"/>
        <v>0</v>
      </c>
      <c r="Z28" s="100">
        <f t="shared" si="5"/>
        <v>0</v>
      </c>
      <c r="AA28" s="101">
        <f t="shared" si="5"/>
        <v>0</v>
      </c>
    </row>
  </sheetData>
  <customSheetViews>
    <customSheetView guid="{2387E3E5-DC3A-4E55-B9FB-E509729F4507}" showGridLines="0" showRowCol="0">
      <selection activeCell="Y5" sqref="Y5"/>
      <pageMargins left="0.7" right="0.7" top="0.75" bottom="0.75" header="0.3" footer="0.3"/>
      <pageSetup paperSize="9" orientation="portrait" r:id="rId1"/>
    </customSheetView>
    <customSheetView guid="{E8E9C221-0224-4E73-8F39-1821F41C5BD3}" showGridLines="0" showRowCol="0">
      <selection activeCell="Y5" sqref="Y5"/>
      <pageMargins left="0.7" right="0.7" top="0.75" bottom="0.75" header="0.3" footer="0.3"/>
      <pageSetup paperSize="9" orientation="portrait" r:id="rId2"/>
    </customSheetView>
  </customSheetViews>
  <mergeCells count="5">
    <mergeCell ref="AA7:AA8"/>
    <mergeCell ref="Y7:Y8"/>
    <mergeCell ref="Z7:Z8"/>
    <mergeCell ref="B1:V1"/>
    <mergeCell ref="X7:X8"/>
  </mergeCells>
  <conditionalFormatting sqref="C8:V8 B6:K6">
    <cfRule type="cellIs" dxfId="11" priority="4" stopIfTrue="1" operator="equal">
      <formula>"F"</formula>
    </cfRule>
    <cfRule type="cellIs" dxfId="10" priority="5" stopIfTrue="1" operator="equal">
      <formula>"C"</formula>
    </cfRule>
    <cfRule type="cellIs" dxfId="9" priority="6" stopIfTrue="1" operator="equal">
      <formula>"C"</formula>
    </cfRule>
  </conditionalFormatting>
  <conditionalFormatting sqref="C9:V18">
    <cfRule type="cellIs" dxfId="8" priority="1" stopIfTrue="1" operator="equal">
      <formula>0</formula>
    </cfRule>
    <cfRule type="cellIs" dxfId="7" priority="2" stopIfTrue="1" operator="equal">
      <formula>1</formula>
    </cfRule>
    <cfRule type="cellIs" dxfId="6" priority="3" stopIfTrue="1" operator="greaterThan">
      <formula>1</formula>
    </cfRule>
  </conditionalFormatting>
  <hyperlinks>
    <hyperlink ref="Y2" location="PPrincipal!A1" display="* Pagina Principal"/>
    <hyperlink ref="Y4" location="CLibertador!A1" display="Libertador"/>
    <hyperlink ref="Y3" location="'CA Mayor'!A1" display="Alcaldía Mayor"/>
    <hyperlink ref="Y5" location="CMiranda!A1" display="Miranda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AA1190"/>
  <sheetViews>
    <sheetView showGridLines="0" showRowColHeaders="0" workbookViewId="0">
      <pane ySplit="8" topLeftCell="A285" activePane="bottomLeft" state="frozen"/>
      <selection pane="bottomLeft" activeCell="I5" sqref="I5"/>
    </sheetView>
  </sheetViews>
  <sheetFormatPr baseColWidth="10" defaultRowHeight="12.75"/>
  <cols>
    <col min="1" max="1" width="42.7109375" customWidth="1"/>
    <col min="2" max="12" width="13.7109375" customWidth="1"/>
    <col min="13" max="13" width="13.7109375" style="23" customWidth="1"/>
    <col min="14" max="34" width="13.7109375" customWidth="1"/>
  </cols>
  <sheetData>
    <row r="1" spans="2:27" s="14" customFormat="1">
      <c r="J1" s="44"/>
      <c r="M1" s="28"/>
      <c r="P1" s="65"/>
      <c r="Q1" s="65"/>
      <c r="R1" s="65"/>
    </row>
    <row r="2" spans="2:27" s="14" customFormat="1">
      <c r="I2" s="156" t="s">
        <v>8</v>
      </c>
      <c r="M2" s="28"/>
      <c r="P2" s="66" t="s">
        <v>91</v>
      </c>
      <c r="Q2" s="108">
        <f>R9</f>
        <v>0.44197086266164676</v>
      </c>
      <c r="R2" s="64"/>
    </row>
    <row r="3" spans="2:27" s="14" customFormat="1">
      <c r="I3" s="156" t="s">
        <v>24</v>
      </c>
      <c r="M3" s="28"/>
      <c r="P3" s="66" t="s">
        <v>92</v>
      </c>
      <c r="Q3" s="108">
        <f>U9</f>
        <v>0.47912915370764447</v>
      </c>
      <c r="R3" s="64"/>
    </row>
    <row r="4" spans="2:27" s="14" customFormat="1">
      <c r="I4" s="156" t="s">
        <v>49</v>
      </c>
      <c r="M4" s="28"/>
      <c r="P4" s="66" t="s">
        <v>93</v>
      </c>
      <c r="Q4" s="108">
        <f>X9</f>
        <v>5.5982975937141924E-2</v>
      </c>
      <c r="R4" s="64"/>
    </row>
    <row r="5" spans="2:27" s="14" customFormat="1">
      <c r="I5" s="156" t="s">
        <v>50</v>
      </c>
      <c r="M5" s="28"/>
      <c r="P5" s="66" t="s">
        <v>4</v>
      </c>
      <c r="Q5" s="108">
        <f>AA9</f>
        <v>2.291700769356687E-2</v>
      </c>
      <c r="R5" s="64"/>
    </row>
    <row r="6" spans="2:27" s="14" customFormat="1" ht="33">
      <c r="C6" s="17">
        <v>1</v>
      </c>
      <c r="D6" s="17" t="s">
        <v>90</v>
      </c>
      <c r="E6" s="15"/>
      <c r="F6" s="15"/>
      <c r="G6" s="15"/>
      <c r="H6" s="15"/>
      <c r="I6" s="15"/>
      <c r="J6" s="16"/>
      <c r="M6" s="28"/>
    </row>
    <row r="7" spans="2:27" ht="13.5" thickBot="1"/>
    <row r="8" spans="2:27" ht="30.75" thickBot="1">
      <c r="B8" s="25" t="s">
        <v>1</v>
      </c>
      <c r="C8" s="26" t="s">
        <v>2</v>
      </c>
      <c r="D8" s="27" t="s">
        <v>0</v>
      </c>
      <c r="E8" s="13" t="s">
        <v>91</v>
      </c>
      <c r="F8" s="13" t="s">
        <v>92</v>
      </c>
      <c r="G8" s="13" t="s">
        <v>93</v>
      </c>
      <c r="H8" s="13" t="s">
        <v>4</v>
      </c>
      <c r="M8" s="60" t="s">
        <v>94</v>
      </c>
      <c r="P8" s="168" t="s">
        <v>91</v>
      </c>
      <c r="Q8" s="169"/>
      <c r="R8" s="170"/>
      <c r="S8" s="168" t="s">
        <v>92</v>
      </c>
      <c r="T8" s="169"/>
      <c r="U8" s="170"/>
      <c r="V8" s="168" t="s">
        <v>93</v>
      </c>
      <c r="W8" s="169"/>
      <c r="X8" s="170"/>
      <c r="Y8" s="168" t="s">
        <v>4</v>
      </c>
      <c r="Z8" s="169"/>
      <c r="AA8" s="170"/>
    </row>
    <row r="9" spans="2:27" ht="18">
      <c r="B9" s="56">
        <v>1</v>
      </c>
      <c r="C9" s="56">
        <v>4</v>
      </c>
      <c r="D9" s="56">
        <v>1</v>
      </c>
      <c r="E9" s="56">
        <v>4</v>
      </c>
      <c r="F9" s="56">
        <v>2</v>
      </c>
      <c r="G9" s="56">
        <v>1</v>
      </c>
      <c r="H9" s="56">
        <v>0</v>
      </c>
      <c r="M9" s="23">
        <v>1</v>
      </c>
      <c r="N9" s="166" t="s">
        <v>0</v>
      </c>
      <c r="O9" s="166"/>
      <c r="P9" s="34">
        <f>SUM(Jorge_Rodriguez)</f>
        <v>2700</v>
      </c>
      <c r="Q9" s="35">
        <f>P9</f>
        <v>2700</v>
      </c>
      <c r="R9" s="36">
        <f>P9/($P$9+$S$9+$V$9+$Y$9)</f>
        <v>0.44197086266164676</v>
      </c>
      <c r="S9" s="34">
        <f>SUM(Stalin_Gonzalez)</f>
        <v>2927</v>
      </c>
      <c r="T9" s="35">
        <f>S9</f>
        <v>2927</v>
      </c>
      <c r="U9" s="36">
        <f>S9/($P$9+$S$9+$V$9+$Y$9)</f>
        <v>0.47912915370764447</v>
      </c>
      <c r="V9" s="34">
        <f>SUM(Claudio_Fermin)</f>
        <v>342</v>
      </c>
      <c r="W9" s="35">
        <f>V9</f>
        <v>342</v>
      </c>
      <c r="X9" s="36">
        <f>V9/($P$9+$S$9+$V$9+$Y$9)</f>
        <v>5.5982975937141924E-2</v>
      </c>
      <c r="Y9" s="34">
        <f>SUM(OtroLI)</f>
        <v>140</v>
      </c>
      <c r="Z9" s="35">
        <f>Y9</f>
        <v>140</v>
      </c>
      <c r="AA9" s="37">
        <f>Y9/($P$9+$S$9+$V$9+$Y$9)</f>
        <v>2.291700769356687E-2</v>
      </c>
    </row>
    <row r="10" spans="2:27" ht="18">
      <c r="B10" s="57">
        <v>1</v>
      </c>
      <c r="C10" s="57">
        <v>24</v>
      </c>
      <c r="D10" s="57">
        <v>1</v>
      </c>
      <c r="E10" s="57">
        <v>2</v>
      </c>
      <c r="F10" s="57">
        <v>13</v>
      </c>
      <c r="G10" s="57">
        <v>1</v>
      </c>
      <c r="H10" s="57">
        <v>0</v>
      </c>
      <c r="M10" s="23">
        <v>1</v>
      </c>
      <c r="N10" s="6">
        <v>0.3125</v>
      </c>
      <c r="O10" s="2">
        <v>1</v>
      </c>
      <c r="P10" s="4">
        <f t="shared" ref="P10:P29" si="0">SUMIF(TurnoLI,$O10,Jorge_Rodriguez)</f>
        <v>69</v>
      </c>
      <c r="Q10" s="5">
        <f>P10</f>
        <v>69</v>
      </c>
      <c r="R10" s="10">
        <f>IF(P10&lt;&gt;0,Q10/($Q10+$T10+$W10+$Z10),LOOKUP(2121,$R$3:$R$6))</f>
        <v>0.41566265060240964</v>
      </c>
      <c r="S10" s="4">
        <f t="shared" ref="S10:S29" si="1">SUMIF(TurnoLI,$O10,Stalin_Gonzalez)</f>
        <v>77</v>
      </c>
      <c r="T10" s="5">
        <f>S10</f>
        <v>77</v>
      </c>
      <c r="U10" s="10">
        <f>IF(S10&lt;&gt;0,T10/($Q10+$T10+$W10+$Z10),LOOKUP(2121,$R$3:$R$6))</f>
        <v>0.46385542168674698</v>
      </c>
      <c r="V10" s="4">
        <f t="shared" ref="V10:V29" si="2">SUMIF(TurnoLI,$O10,Claudio_Fermin)</f>
        <v>16</v>
      </c>
      <c r="W10" s="5">
        <f>V10</f>
        <v>16</v>
      </c>
      <c r="X10" s="10">
        <f>IF(V10&lt;&gt;0,W10/($Q10+$T10+$W10+$Z10),LOOKUP(2121,$R$3:$R$6))</f>
        <v>9.6385542168674704E-2</v>
      </c>
      <c r="Y10" s="4">
        <f t="shared" ref="Y10:Y29" si="3">SUMIF(TurnoLI,$O10,OtroLI)</f>
        <v>4</v>
      </c>
      <c r="Z10" s="5">
        <f>Y10</f>
        <v>4</v>
      </c>
      <c r="AA10" s="3">
        <f>IF(Y10&lt;&gt;0,Z10/($Q10+$T10+$W10+$Z10),LOOKUP(2121,$R$3:$R$6))</f>
        <v>2.4096385542168676E-2</v>
      </c>
    </row>
    <row r="11" spans="2:27" ht="18">
      <c r="B11" s="57">
        <v>1</v>
      </c>
      <c r="C11" s="57">
        <v>17</v>
      </c>
      <c r="D11" s="57">
        <v>1</v>
      </c>
      <c r="E11" s="57">
        <v>17</v>
      </c>
      <c r="F11" s="57">
        <v>8</v>
      </c>
      <c r="G11" s="57">
        <v>3</v>
      </c>
      <c r="H11" s="57">
        <v>0</v>
      </c>
      <c r="J11" s="5"/>
      <c r="M11" s="23">
        <v>1</v>
      </c>
      <c r="N11" s="6">
        <v>0.33333333333333298</v>
      </c>
      <c r="O11" s="2">
        <v>2</v>
      </c>
      <c r="P11" s="4">
        <f t="shared" si="0"/>
        <v>76</v>
      </c>
      <c r="Q11" s="5">
        <f>Q10+P11</f>
        <v>145</v>
      </c>
      <c r="R11" s="10">
        <f t="shared" ref="R11:R29" si="4">IF(P11&lt;&gt;0,Q11/($Q11+$T11+$W11+$Z11),LOOKUP(2121,$R$3:$R$6))</f>
        <v>0.38057742782152232</v>
      </c>
      <c r="S11" s="4">
        <f t="shared" si="1"/>
        <v>110</v>
      </c>
      <c r="T11" s="5">
        <f>T10+S11</f>
        <v>187</v>
      </c>
      <c r="U11" s="10">
        <f t="shared" ref="U11:U29" si="5">IF(S11&lt;&gt;0,T11/($Q11+$T11+$W11+$Z11),LOOKUP(2121,$R$3:$R$6))</f>
        <v>0.49081364829396323</v>
      </c>
      <c r="V11" s="4">
        <f t="shared" si="2"/>
        <v>20</v>
      </c>
      <c r="W11" s="5">
        <f>W10+V11</f>
        <v>36</v>
      </c>
      <c r="X11" s="10">
        <f t="shared" ref="X11:X29" si="6">IF(V11&lt;&gt;0,W11/($Q11+$T11+$W11+$Z11),LOOKUP(2121,$R$3:$R$6))</f>
        <v>9.4488188976377951E-2</v>
      </c>
      <c r="Y11" s="4">
        <f t="shared" si="3"/>
        <v>9</v>
      </c>
      <c r="Z11" s="5">
        <f>Z10+Y11</f>
        <v>13</v>
      </c>
      <c r="AA11" s="3">
        <f t="shared" ref="AA11:AA29" si="7">IF(Y11&lt;&gt;0,Z11/($Q11+$T11+$W11+$Z11),LOOKUP(2121,$R$3:$R$6))</f>
        <v>3.4120734908136482E-2</v>
      </c>
    </row>
    <row r="12" spans="2:27" ht="18">
      <c r="B12" s="57">
        <v>1</v>
      </c>
      <c r="C12" s="57">
        <v>3</v>
      </c>
      <c r="D12" s="57">
        <v>1</v>
      </c>
      <c r="E12" s="57">
        <v>3</v>
      </c>
      <c r="F12" s="57">
        <v>2</v>
      </c>
      <c r="G12" s="57">
        <v>1</v>
      </c>
      <c r="H12" s="57">
        <v>0</v>
      </c>
      <c r="M12" s="23">
        <v>1</v>
      </c>
      <c r="N12" s="6">
        <v>0.35416666666666702</v>
      </c>
      <c r="O12" s="2">
        <v>3</v>
      </c>
      <c r="P12" s="4">
        <f t="shared" si="0"/>
        <v>156</v>
      </c>
      <c r="Q12" s="5">
        <f t="shared" ref="Q12:Q29" si="8">Q11+P12</f>
        <v>301</v>
      </c>
      <c r="R12" s="10">
        <f t="shared" si="4"/>
        <v>0.39762219286657857</v>
      </c>
      <c r="S12" s="4">
        <f t="shared" si="1"/>
        <v>196</v>
      </c>
      <c r="T12" s="5">
        <f t="shared" ref="T12:T29" si="9">T11+S12</f>
        <v>383</v>
      </c>
      <c r="U12" s="10">
        <f t="shared" si="5"/>
        <v>0.50594451783355354</v>
      </c>
      <c r="V12" s="4">
        <f t="shared" si="2"/>
        <v>16</v>
      </c>
      <c r="W12" s="5">
        <f t="shared" ref="W12:W29" si="10">W11+V12</f>
        <v>52</v>
      </c>
      <c r="X12" s="10">
        <f t="shared" si="6"/>
        <v>6.8692206076618231E-2</v>
      </c>
      <c r="Y12" s="4">
        <f t="shared" si="3"/>
        <v>8</v>
      </c>
      <c r="Z12" s="5">
        <f t="shared" ref="Z12:Z29" si="11">Z11+Y12</f>
        <v>21</v>
      </c>
      <c r="AA12" s="3">
        <f t="shared" si="7"/>
        <v>2.7741083223249668E-2</v>
      </c>
    </row>
    <row r="13" spans="2:27" ht="18">
      <c r="B13" s="57">
        <v>1</v>
      </c>
      <c r="C13" s="57">
        <v>21</v>
      </c>
      <c r="D13" s="57">
        <v>2</v>
      </c>
      <c r="E13" s="57">
        <v>1</v>
      </c>
      <c r="F13" s="57">
        <v>20</v>
      </c>
      <c r="G13" s="57">
        <v>1</v>
      </c>
      <c r="H13" s="57">
        <v>0</v>
      </c>
      <c r="M13" s="23">
        <v>1</v>
      </c>
      <c r="N13" s="6">
        <v>0.375</v>
      </c>
      <c r="O13" s="2">
        <v>4</v>
      </c>
      <c r="P13" s="4">
        <f t="shared" si="0"/>
        <v>188</v>
      </c>
      <c r="Q13" s="5">
        <f t="shared" si="8"/>
        <v>489</v>
      </c>
      <c r="R13" s="10">
        <f t="shared" si="4"/>
        <v>0.41723549488054607</v>
      </c>
      <c r="S13" s="4">
        <f t="shared" si="1"/>
        <v>194</v>
      </c>
      <c r="T13" s="5">
        <f t="shared" si="9"/>
        <v>577</v>
      </c>
      <c r="U13" s="10">
        <f t="shared" si="5"/>
        <v>0.49232081911262798</v>
      </c>
      <c r="V13" s="4">
        <f t="shared" si="2"/>
        <v>23</v>
      </c>
      <c r="W13" s="5">
        <f t="shared" si="10"/>
        <v>75</v>
      </c>
      <c r="X13" s="10">
        <f t="shared" si="6"/>
        <v>6.3993174061433442E-2</v>
      </c>
      <c r="Y13" s="4">
        <f t="shared" si="3"/>
        <v>10</v>
      </c>
      <c r="Z13" s="5">
        <f t="shared" si="11"/>
        <v>31</v>
      </c>
      <c r="AA13" s="3">
        <f t="shared" si="7"/>
        <v>2.6450511945392493E-2</v>
      </c>
    </row>
    <row r="14" spans="2:27" ht="18">
      <c r="B14" s="57">
        <v>1</v>
      </c>
      <c r="C14" s="57">
        <v>25</v>
      </c>
      <c r="D14" s="57">
        <v>1</v>
      </c>
      <c r="E14" s="57">
        <v>9</v>
      </c>
      <c r="F14" s="57">
        <v>0</v>
      </c>
      <c r="G14" s="57">
        <v>2</v>
      </c>
      <c r="H14" s="57">
        <v>0</v>
      </c>
      <c r="M14" s="23">
        <v>1</v>
      </c>
      <c r="N14" s="6">
        <v>0.39583333333333298</v>
      </c>
      <c r="O14" s="2">
        <v>5</v>
      </c>
      <c r="P14" s="4">
        <f t="shared" si="0"/>
        <v>182</v>
      </c>
      <c r="Q14" s="5">
        <f t="shared" si="8"/>
        <v>671</v>
      </c>
      <c r="R14" s="10">
        <f t="shared" si="4"/>
        <v>0.40397350993377484</v>
      </c>
      <c r="S14" s="4">
        <f t="shared" si="1"/>
        <v>263</v>
      </c>
      <c r="T14" s="5">
        <f t="shared" si="9"/>
        <v>840</v>
      </c>
      <c r="U14" s="10">
        <f t="shared" si="5"/>
        <v>0.50571944611679709</v>
      </c>
      <c r="V14" s="4">
        <f t="shared" si="2"/>
        <v>21</v>
      </c>
      <c r="W14" s="5">
        <f t="shared" si="10"/>
        <v>96</v>
      </c>
      <c r="X14" s="10">
        <f t="shared" si="6"/>
        <v>5.7796508127633955E-2</v>
      </c>
      <c r="Y14" s="4">
        <f t="shared" si="3"/>
        <v>23</v>
      </c>
      <c r="Z14" s="5">
        <f t="shared" si="11"/>
        <v>54</v>
      </c>
      <c r="AA14" s="3">
        <f t="shared" si="7"/>
        <v>3.2510535821794098E-2</v>
      </c>
    </row>
    <row r="15" spans="2:27" ht="18">
      <c r="B15" s="57">
        <v>1</v>
      </c>
      <c r="C15" s="57">
        <v>49</v>
      </c>
      <c r="D15" s="57">
        <v>1</v>
      </c>
      <c r="E15" s="57">
        <v>4</v>
      </c>
      <c r="F15" s="57">
        <v>3</v>
      </c>
      <c r="G15" s="57">
        <v>0</v>
      </c>
      <c r="H15" s="57">
        <v>0</v>
      </c>
      <c r="M15" s="23">
        <v>1</v>
      </c>
      <c r="N15" s="6">
        <v>0.41666666666666702</v>
      </c>
      <c r="O15" s="2">
        <v>6</v>
      </c>
      <c r="P15" s="4">
        <f t="shared" si="0"/>
        <v>177</v>
      </c>
      <c r="Q15" s="5">
        <f t="shared" si="8"/>
        <v>848</v>
      </c>
      <c r="R15" s="10">
        <f t="shared" si="4"/>
        <v>0.40361732508329368</v>
      </c>
      <c r="S15" s="4">
        <f t="shared" si="1"/>
        <v>225</v>
      </c>
      <c r="T15" s="5">
        <f t="shared" si="9"/>
        <v>1065</v>
      </c>
      <c r="U15" s="10">
        <f t="shared" si="5"/>
        <v>0.50690147548786291</v>
      </c>
      <c r="V15" s="4">
        <f t="shared" si="2"/>
        <v>28</v>
      </c>
      <c r="W15" s="5">
        <f t="shared" si="10"/>
        <v>124</v>
      </c>
      <c r="X15" s="10">
        <f t="shared" si="6"/>
        <v>5.9019514516896715E-2</v>
      </c>
      <c r="Y15" s="4">
        <f t="shared" si="3"/>
        <v>10</v>
      </c>
      <c r="Z15" s="5">
        <f t="shared" si="11"/>
        <v>64</v>
      </c>
      <c r="AA15" s="3">
        <f t="shared" si="7"/>
        <v>3.0461684911946691E-2</v>
      </c>
    </row>
    <row r="16" spans="2:27" ht="18">
      <c r="B16" s="57">
        <v>1</v>
      </c>
      <c r="C16" s="57">
        <v>19</v>
      </c>
      <c r="D16" s="57">
        <v>1</v>
      </c>
      <c r="E16" s="57">
        <v>0</v>
      </c>
      <c r="F16" s="57">
        <v>1</v>
      </c>
      <c r="G16" s="57">
        <v>0</v>
      </c>
      <c r="H16" s="57">
        <v>0</v>
      </c>
      <c r="M16" s="23">
        <v>1</v>
      </c>
      <c r="N16" s="6">
        <v>0.4375</v>
      </c>
      <c r="O16" s="2">
        <v>7</v>
      </c>
      <c r="P16" s="4">
        <f t="shared" si="0"/>
        <v>176</v>
      </c>
      <c r="Q16" s="5">
        <f t="shared" si="8"/>
        <v>1024</v>
      </c>
      <c r="R16" s="10">
        <f t="shared" si="4"/>
        <v>0.40683353198251887</v>
      </c>
      <c r="S16" s="4">
        <f t="shared" si="1"/>
        <v>207</v>
      </c>
      <c r="T16" s="5">
        <f t="shared" si="9"/>
        <v>1272</v>
      </c>
      <c r="U16" s="10">
        <f t="shared" si="5"/>
        <v>0.50536352800953521</v>
      </c>
      <c r="V16" s="4">
        <f t="shared" si="2"/>
        <v>21</v>
      </c>
      <c r="W16" s="5">
        <f t="shared" si="10"/>
        <v>145</v>
      </c>
      <c r="X16" s="10">
        <f t="shared" si="6"/>
        <v>5.7608263806118394E-2</v>
      </c>
      <c r="Y16" s="4">
        <f t="shared" si="3"/>
        <v>12</v>
      </c>
      <c r="Z16" s="5">
        <f t="shared" si="11"/>
        <v>76</v>
      </c>
      <c r="AA16" s="3">
        <f t="shared" si="7"/>
        <v>3.0194676201827572E-2</v>
      </c>
    </row>
    <row r="17" spans="2:27" ht="18">
      <c r="B17" s="57">
        <v>1</v>
      </c>
      <c r="C17" s="57">
        <v>4</v>
      </c>
      <c r="D17" s="57">
        <v>3</v>
      </c>
      <c r="E17" s="57">
        <v>6</v>
      </c>
      <c r="F17" s="57">
        <v>4</v>
      </c>
      <c r="G17" s="57">
        <v>0</v>
      </c>
      <c r="H17" s="57">
        <v>1</v>
      </c>
      <c r="M17" s="23">
        <v>1</v>
      </c>
      <c r="N17" s="6">
        <v>0.45833333333333298</v>
      </c>
      <c r="O17" s="2">
        <v>8</v>
      </c>
      <c r="P17" s="4">
        <f t="shared" si="0"/>
        <v>214</v>
      </c>
      <c r="Q17" s="5">
        <f t="shared" si="8"/>
        <v>1238</v>
      </c>
      <c r="R17" s="10">
        <f t="shared" si="4"/>
        <v>0.40804218852999341</v>
      </c>
      <c r="S17" s="4">
        <f t="shared" si="1"/>
        <v>263</v>
      </c>
      <c r="T17" s="5">
        <f t="shared" si="9"/>
        <v>1535</v>
      </c>
      <c r="U17" s="10">
        <f t="shared" si="5"/>
        <v>0.505932762030323</v>
      </c>
      <c r="V17" s="4">
        <f t="shared" si="2"/>
        <v>29</v>
      </c>
      <c r="W17" s="5">
        <f t="shared" si="10"/>
        <v>174</v>
      </c>
      <c r="X17" s="10">
        <f t="shared" si="6"/>
        <v>5.7350032959789056E-2</v>
      </c>
      <c r="Y17" s="4">
        <f t="shared" si="3"/>
        <v>11</v>
      </c>
      <c r="Z17" s="5">
        <f t="shared" si="11"/>
        <v>87</v>
      </c>
      <c r="AA17" s="3">
        <f t="shared" si="7"/>
        <v>2.8675016479894528E-2</v>
      </c>
    </row>
    <row r="18" spans="2:27" ht="18">
      <c r="B18" s="57">
        <v>1</v>
      </c>
      <c r="C18" s="57">
        <v>4</v>
      </c>
      <c r="D18" s="57">
        <v>3</v>
      </c>
      <c r="E18" s="57">
        <v>6</v>
      </c>
      <c r="F18" s="57">
        <v>4</v>
      </c>
      <c r="G18" s="57">
        <v>0</v>
      </c>
      <c r="H18" s="57">
        <v>0</v>
      </c>
      <c r="M18" s="23">
        <v>1</v>
      </c>
      <c r="N18" s="6">
        <v>0.47916666666666702</v>
      </c>
      <c r="O18" s="2">
        <v>9</v>
      </c>
      <c r="P18" s="4">
        <f t="shared" si="0"/>
        <v>203</v>
      </c>
      <c r="Q18" s="5">
        <f t="shared" si="8"/>
        <v>1441</v>
      </c>
      <c r="R18" s="10">
        <f t="shared" si="4"/>
        <v>0.40972419675860106</v>
      </c>
      <c r="S18" s="4">
        <f t="shared" si="1"/>
        <v>233</v>
      </c>
      <c r="T18" s="5">
        <f t="shared" si="9"/>
        <v>1768</v>
      </c>
      <c r="U18" s="10">
        <f t="shared" si="5"/>
        <v>0.5027011657662781</v>
      </c>
      <c r="V18" s="4">
        <f t="shared" si="2"/>
        <v>35</v>
      </c>
      <c r="W18" s="5">
        <f t="shared" si="10"/>
        <v>209</v>
      </c>
      <c r="X18" s="10">
        <f t="shared" si="6"/>
        <v>5.9425646858117714E-2</v>
      </c>
      <c r="Y18" s="4">
        <f t="shared" si="3"/>
        <v>12</v>
      </c>
      <c r="Z18" s="5">
        <f t="shared" si="11"/>
        <v>99</v>
      </c>
      <c r="AA18" s="3">
        <f t="shared" si="7"/>
        <v>2.8148990617003128E-2</v>
      </c>
    </row>
    <row r="19" spans="2:27" ht="18">
      <c r="B19" s="57">
        <v>1</v>
      </c>
      <c r="C19" s="57">
        <v>19</v>
      </c>
      <c r="D19" s="57">
        <v>1</v>
      </c>
      <c r="E19" s="57">
        <v>0</v>
      </c>
      <c r="F19" s="57">
        <v>1</v>
      </c>
      <c r="G19" s="57">
        <v>0</v>
      </c>
      <c r="H19" s="57">
        <v>0</v>
      </c>
      <c r="M19" s="23">
        <v>1</v>
      </c>
      <c r="N19" s="6">
        <v>0.5</v>
      </c>
      <c r="O19" s="2">
        <v>10</v>
      </c>
      <c r="P19" s="4">
        <f t="shared" si="0"/>
        <v>180</v>
      </c>
      <c r="Q19" s="5">
        <f t="shared" si="8"/>
        <v>1621</v>
      </c>
      <c r="R19" s="10">
        <f t="shared" si="4"/>
        <v>0.40975733063700709</v>
      </c>
      <c r="S19" s="4">
        <f t="shared" si="1"/>
        <v>217</v>
      </c>
      <c r="T19" s="5">
        <f t="shared" si="9"/>
        <v>1985</v>
      </c>
      <c r="U19" s="10">
        <f t="shared" si="5"/>
        <v>0.50176946410515677</v>
      </c>
      <c r="V19" s="4">
        <f t="shared" si="2"/>
        <v>37</v>
      </c>
      <c r="W19" s="5">
        <f t="shared" si="10"/>
        <v>246</v>
      </c>
      <c r="X19" s="10">
        <f t="shared" si="6"/>
        <v>6.2184024266936297E-2</v>
      </c>
      <c r="Y19" s="4">
        <f t="shared" si="3"/>
        <v>5</v>
      </c>
      <c r="Z19" s="5">
        <f t="shared" si="11"/>
        <v>104</v>
      </c>
      <c r="AA19" s="3">
        <f t="shared" si="7"/>
        <v>2.6289180990899899E-2</v>
      </c>
    </row>
    <row r="20" spans="2:27" ht="18">
      <c r="B20" s="57">
        <v>1</v>
      </c>
      <c r="C20" s="57">
        <v>49</v>
      </c>
      <c r="D20" s="57">
        <v>4</v>
      </c>
      <c r="E20" s="57">
        <v>14</v>
      </c>
      <c r="F20" s="57">
        <v>5</v>
      </c>
      <c r="G20" s="57">
        <v>2</v>
      </c>
      <c r="H20" s="57">
        <v>0</v>
      </c>
      <c r="M20" s="23">
        <v>1</v>
      </c>
      <c r="N20" s="6">
        <v>0.52083333333333304</v>
      </c>
      <c r="O20" s="2">
        <v>11</v>
      </c>
      <c r="P20" s="4">
        <f t="shared" si="0"/>
        <v>251</v>
      </c>
      <c r="Q20" s="5">
        <f t="shared" si="8"/>
        <v>1872</v>
      </c>
      <c r="R20" s="10">
        <f t="shared" si="4"/>
        <v>0.41767068273092367</v>
      </c>
      <c r="S20" s="4">
        <f t="shared" si="1"/>
        <v>245</v>
      </c>
      <c r="T20" s="5">
        <f t="shared" si="9"/>
        <v>2230</v>
      </c>
      <c r="U20" s="10">
        <f t="shared" si="5"/>
        <v>0.49754573850959394</v>
      </c>
      <c r="V20" s="4">
        <f t="shared" si="2"/>
        <v>23</v>
      </c>
      <c r="W20" s="5">
        <f t="shared" si="10"/>
        <v>269</v>
      </c>
      <c r="X20" s="10">
        <f t="shared" si="6"/>
        <v>6.0017849174475682E-2</v>
      </c>
      <c r="Y20" s="4">
        <f t="shared" si="3"/>
        <v>7</v>
      </c>
      <c r="Z20" s="5">
        <f t="shared" si="11"/>
        <v>111</v>
      </c>
      <c r="AA20" s="3">
        <f t="shared" si="7"/>
        <v>2.4765729585006693E-2</v>
      </c>
    </row>
    <row r="21" spans="2:27" ht="18">
      <c r="B21" s="57">
        <v>1</v>
      </c>
      <c r="C21" s="57">
        <v>12</v>
      </c>
      <c r="D21" s="57">
        <v>5</v>
      </c>
      <c r="E21" s="57">
        <v>4</v>
      </c>
      <c r="F21" s="57">
        <v>7</v>
      </c>
      <c r="G21" s="57">
        <v>1</v>
      </c>
      <c r="H21" s="57">
        <v>1</v>
      </c>
      <c r="M21" s="23">
        <v>1</v>
      </c>
      <c r="N21" s="6">
        <v>4.1666666666666664E-2</v>
      </c>
      <c r="O21" s="2">
        <v>12</v>
      </c>
      <c r="P21" s="4">
        <f t="shared" si="0"/>
        <v>240</v>
      </c>
      <c r="Q21" s="5">
        <f t="shared" si="8"/>
        <v>2112</v>
      </c>
      <c r="R21" s="10">
        <f t="shared" si="4"/>
        <v>0.42572062084257206</v>
      </c>
      <c r="S21" s="4">
        <f t="shared" si="1"/>
        <v>200</v>
      </c>
      <c r="T21" s="5">
        <f t="shared" si="9"/>
        <v>2430</v>
      </c>
      <c r="U21" s="10">
        <f t="shared" si="5"/>
        <v>0.48982060068534572</v>
      </c>
      <c r="V21" s="4">
        <f t="shared" si="2"/>
        <v>27</v>
      </c>
      <c r="W21" s="5">
        <f t="shared" si="10"/>
        <v>296</v>
      </c>
      <c r="X21" s="10">
        <f t="shared" si="6"/>
        <v>5.9665390042330173E-2</v>
      </c>
      <c r="Y21" s="4">
        <f t="shared" si="3"/>
        <v>12</v>
      </c>
      <c r="Z21" s="5">
        <f t="shared" si="11"/>
        <v>123</v>
      </c>
      <c r="AA21" s="3">
        <f t="shared" si="7"/>
        <v>2.4793388429752067E-2</v>
      </c>
    </row>
    <row r="22" spans="2:27" ht="18">
      <c r="B22" s="57">
        <v>1</v>
      </c>
      <c r="C22" s="57">
        <v>12</v>
      </c>
      <c r="D22" s="57">
        <v>4</v>
      </c>
      <c r="E22" s="57">
        <v>6</v>
      </c>
      <c r="F22" s="57">
        <v>6</v>
      </c>
      <c r="G22" s="57">
        <v>0</v>
      </c>
      <c r="H22" s="57">
        <v>0</v>
      </c>
      <c r="M22" s="23">
        <v>1</v>
      </c>
      <c r="N22" s="6">
        <v>6.25E-2</v>
      </c>
      <c r="O22" s="2">
        <v>13</v>
      </c>
      <c r="P22" s="4">
        <f t="shared" si="0"/>
        <v>272</v>
      </c>
      <c r="Q22" s="5">
        <f t="shared" si="8"/>
        <v>2384</v>
      </c>
      <c r="R22" s="10">
        <f t="shared" si="4"/>
        <v>0.43495712461229702</v>
      </c>
      <c r="S22" s="4">
        <f t="shared" si="1"/>
        <v>218</v>
      </c>
      <c r="T22" s="5">
        <f t="shared" si="9"/>
        <v>2648</v>
      </c>
      <c r="U22" s="10">
        <f t="shared" si="5"/>
        <v>0.48312351760627625</v>
      </c>
      <c r="V22" s="4">
        <f t="shared" si="2"/>
        <v>19</v>
      </c>
      <c r="W22" s="5">
        <f t="shared" si="10"/>
        <v>315</v>
      </c>
      <c r="X22" s="10">
        <f t="shared" si="6"/>
        <v>5.7471264367816091E-2</v>
      </c>
      <c r="Y22" s="4">
        <f t="shared" si="3"/>
        <v>11</v>
      </c>
      <c r="Z22" s="5">
        <f t="shared" si="11"/>
        <v>134</v>
      </c>
      <c r="AA22" s="3">
        <f t="shared" si="7"/>
        <v>2.4448093413610653E-2</v>
      </c>
    </row>
    <row r="23" spans="2:27" ht="18">
      <c r="B23" s="57">
        <v>1</v>
      </c>
      <c r="C23" s="57">
        <v>12</v>
      </c>
      <c r="D23" s="57">
        <v>3</v>
      </c>
      <c r="E23" s="57">
        <v>6</v>
      </c>
      <c r="F23" s="57">
        <v>7</v>
      </c>
      <c r="G23" s="57">
        <v>0</v>
      </c>
      <c r="H23" s="57">
        <v>0</v>
      </c>
      <c r="M23" s="23">
        <v>1</v>
      </c>
      <c r="N23" s="6">
        <v>8.3333333333333329E-2</v>
      </c>
      <c r="O23" s="2">
        <v>14</v>
      </c>
      <c r="P23" s="4">
        <f t="shared" si="0"/>
        <v>244</v>
      </c>
      <c r="Q23" s="5">
        <f t="shared" si="8"/>
        <v>2628</v>
      </c>
      <c r="R23" s="10">
        <f t="shared" si="4"/>
        <v>0.44309559939301973</v>
      </c>
      <c r="S23" s="4">
        <f t="shared" si="1"/>
        <v>183</v>
      </c>
      <c r="T23" s="5">
        <f t="shared" si="9"/>
        <v>2831</v>
      </c>
      <c r="U23" s="10">
        <f t="shared" si="5"/>
        <v>0.47732254257292195</v>
      </c>
      <c r="V23" s="4">
        <f t="shared" si="2"/>
        <v>18</v>
      </c>
      <c r="W23" s="5">
        <f t="shared" si="10"/>
        <v>333</v>
      </c>
      <c r="X23" s="10">
        <f t="shared" si="6"/>
        <v>5.614567526555387E-2</v>
      </c>
      <c r="Y23" s="4">
        <f t="shared" si="3"/>
        <v>5</v>
      </c>
      <c r="Z23" s="5">
        <f t="shared" si="11"/>
        <v>139</v>
      </c>
      <c r="AA23" s="3">
        <f t="shared" si="7"/>
        <v>2.3436182768504468E-2</v>
      </c>
    </row>
    <row r="24" spans="2:27" ht="18">
      <c r="B24" s="57">
        <v>1</v>
      </c>
      <c r="C24" s="57">
        <v>37</v>
      </c>
      <c r="D24" s="57">
        <v>1</v>
      </c>
      <c r="E24" s="57">
        <v>8</v>
      </c>
      <c r="F24" s="57">
        <v>15</v>
      </c>
      <c r="G24" s="57">
        <v>0</v>
      </c>
      <c r="H24" s="57">
        <v>2</v>
      </c>
      <c r="M24" s="23">
        <v>1</v>
      </c>
      <c r="N24" s="6">
        <v>0.104166666666667</v>
      </c>
      <c r="O24" s="2">
        <v>15</v>
      </c>
      <c r="P24" s="4">
        <f t="shared" si="0"/>
        <v>70</v>
      </c>
      <c r="Q24" s="5">
        <f t="shared" si="8"/>
        <v>2698</v>
      </c>
      <c r="R24" s="10">
        <f t="shared" si="4"/>
        <v>0.44215011471648641</v>
      </c>
      <c r="S24" s="4">
        <f t="shared" si="1"/>
        <v>91</v>
      </c>
      <c r="T24" s="5">
        <f t="shared" si="9"/>
        <v>2922</v>
      </c>
      <c r="U24" s="10">
        <f t="shared" si="5"/>
        <v>0.47885939036381514</v>
      </c>
      <c r="V24" s="4">
        <f t="shared" si="2"/>
        <v>9</v>
      </c>
      <c r="W24" s="5">
        <f t="shared" si="10"/>
        <v>342</v>
      </c>
      <c r="X24" s="10">
        <f t="shared" si="6"/>
        <v>5.6047197640117993E-2</v>
      </c>
      <c r="Y24" s="4">
        <f t="shared" si="3"/>
        <v>1</v>
      </c>
      <c r="Z24" s="5">
        <f t="shared" si="11"/>
        <v>140</v>
      </c>
      <c r="AA24" s="3">
        <f t="shared" si="7"/>
        <v>2.2943297279580464E-2</v>
      </c>
    </row>
    <row r="25" spans="2:27" ht="18">
      <c r="B25" s="57">
        <v>1</v>
      </c>
      <c r="C25" s="57">
        <v>37</v>
      </c>
      <c r="D25" s="57">
        <v>2</v>
      </c>
      <c r="E25" s="57">
        <v>9</v>
      </c>
      <c r="F25" s="57">
        <v>15</v>
      </c>
      <c r="G25" s="57">
        <v>0</v>
      </c>
      <c r="H25" s="57">
        <v>1</v>
      </c>
      <c r="M25" s="23">
        <v>1</v>
      </c>
      <c r="N25" s="6">
        <v>0.125</v>
      </c>
      <c r="O25" s="2">
        <v>16</v>
      </c>
      <c r="P25" s="4">
        <f t="shared" si="0"/>
        <v>2</v>
      </c>
      <c r="Q25" s="5">
        <f t="shared" si="8"/>
        <v>2700</v>
      </c>
      <c r="R25" s="10">
        <f t="shared" si="4"/>
        <v>0.44197086266164676</v>
      </c>
      <c r="S25" s="4">
        <f t="shared" si="1"/>
        <v>5</v>
      </c>
      <c r="T25" s="5">
        <f t="shared" si="9"/>
        <v>2927</v>
      </c>
      <c r="U25" s="10">
        <f t="shared" si="5"/>
        <v>0.47912915370764447</v>
      </c>
      <c r="V25" s="4">
        <f t="shared" si="2"/>
        <v>0</v>
      </c>
      <c r="W25" s="5">
        <f t="shared" si="10"/>
        <v>342</v>
      </c>
      <c r="X25" s="10" t="e">
        <f t="shared" si="6"/>
        <v>#N/A</v>
      </c>
      <c r="Y25" s="4">
        <f t="shared" si="3"/>
        <v>0</v>
      </c>
      <c r="Z25" s="5">
        <f t="shared" si="11"/>
        <v>140</v>
      </c>
      <c r="AA25" s="3" t="e">
        <f t="shared" si="7"/>
        <v>#N/A</v>
      </c>
    </row>
    <row r="26" spans="2:27" ht="18">
      <c r="B26" s="57">
        <v>1</v>
      </c>
      <c r="C26" s="57">
        <v>54</v>
      </c>
      <c r="D26" s="57">
        <v>3</v>
      </c>
      <c r="E26" s="57">
        <v>4</v>
      </c>
      <c r="F26" s="57">
        <v>0</v>
      </c>
      <c r="G26" s="57">
        <v>0</v>
      </c>
      <c r="H26" s="57">
        <v>1</v>
      </c>
      <c r="M26" s="23">
        <v>1</v>
      </c>
      <c r="N26" s="6">
        <v>0.14583333333333301</v>
      </c>
      <c r="O26" s="2">
        <v>17</v>
      </c>
      <c r="P26" s="4">
        <f t="shared" si="0"/>
        <v>0</v>
      </c>
      <c r="Q26" s="5">
        <f t="shared" si="8"/>
        <v>2700</v>
      </c>
      <c r="R26" s="10" t="e">
        <f t="shared" si="4"/>
        <v>#N/A</v>
      </c>
      <c r="S26" s="4">
        <f t="shared" si="1"/>
        <v>0</v>
      </c>
      <c r="T26" s="5">
        <f t="shared" si="9"/>
        <v>2927</v>
      </c>
      <c r="U26" s="10" t="e">
        <f t="shared" si="5"/>
        <v>#N/A</v>
      </c>
      <c r="V26" s="4">
        <f t="shared" si="2"/>
        <v>0</v>
      </c>
      <c r="W26" s="5">
        <f t="shared" si="10"/>
        <v>342</v>
      </c>
      <c r="X26" s="10" t="e">
        <f t="shared" si="6"/>
        <v>#N/A</v>
      </c>
      <c r="Y26" s="4">
        <f t="shared" si="3"/>
        <v>0</v>
      </c>
      <c r="Z26" s="5">
        <f t="shared" si="11"/>
        <v>140</v>
      </c>
      <c r="AA26" s="3" t="e">
        <f t="shared" si="7"/>
        <v>#N/A</v>
      </c>
    </row>
    <row r="27" spans="2:27" ht="18">
      <c r="B27" s="57">
        <v>1</v>
      </c>
      <c r="C27" s="57">
        <v>54</v>
      </c>
      <c r="D27" s="57">
        <v>2</v>
      </c>
      <c r="E27" s="57">
        <v>2</v>
      </c>
      <c r="F27" s="57">
        <v>2</v>
      </c>
      <c r="G27" s="57">
        <v>0</v>
      </c>
      <c r="H27" s="57">
        <v>0</v>
      </c>
      <c r="M27" s="23">
        <v>1</v>
      </c>
      <c r="N27" s="6">
        <v>0.16666666666666599</v>
      </c>
      <c r="O27" s="2">
        <v>18</v>
      </c>
      <c r="P27" s="4">
        <f t="shared" si="0"/>
        <v>0</v>
      </c>
      <c r="Q27" s="5">
        <f t="shared" si="8"/>
        <v>2700</v>
      </c>
      <c r="R27" s="10" t="e">
        <f t="shared" si="4"/>
        <v>#N/A</v>
      </c>
      <c r="S27" s="4">
        <f t="shared" si="1"/>
        <v>0</v>
      </c>
      <c r="T27" s="5">
        <f t="shared" si="9"/>
        <v>2927</v>
      </c>
      <c r="U27" s="10" t="e">
        <f t="shared" si="5"/>
        <v>#N/A</v>
      </c>
      <c r="V27" s="4">
        <f t="shared" si="2"/>
        <v>0</v>
      </c>
      <c r="W27" s="5">
        <f t="shared" si="10"/>
        <v>342</v>
      </c>
      <c r="X27" s="10" t="e">
        <f t="shared" si="6"/>
        <v>#N/A</v>
      </c>
      <c r="Y27" s="4">
        <f t="shared" si="3"/>
        <v>0</v>
      </c>
      <c r="Z27" s="5">
        <f t="shared" si="11"/>
        <v>140</v>
      </c>
      <c r="AA27" s="3" t="e">
        <f t="shared" si="7"/>
        <v>#N/A</v>
      </c>
    </row>
    <row r="28" spans="2:27" ht="18">
      <c r="B28" s="57">
        <v>1</v>
      </c>
      <c r="C28" s="57">
        <v>41</v>
      </c>
      <c r="D28" s="57">
        <v>4</v>
      </c>
      <c r="E28" s="57">
        <v>4</v>
      </c>
      <c r="F28" s="57">
        <v>5</v>
      </c>
      <c r="G28" s="57">
        <v>0</v>
      </c>
      <c r="H28" s="57">
        <v>0</v>
      </c>
      <c r="M28" s="23">
        <v>1</v>
      </c>
      <c r="N28" s="6">
        <v>0.187499999999999</v>
      </c>
      <c r="O28" s="2">
        <v>19</v>
      </c>
      <c r="P28" s="4">
        <f t="shared" si="0"/>
        <v>0</v>
      </c>
      <c r="Q28" s="5">
        <f t="shared" si="8"/>
        <v>2700</v>
      </c>
      <c r="R28" s="10" t="e">
        <f t="shared" si="4"/>
        <v>#N/A</v>
      </c>
      <c r="S28" s="4">
        <f t="shared" si="1"/>
        <v>0</v>
      </c>
      <c r="T28" s="5">
        <f t="shared" si="9"/>
        <v>2927</v>
      </c>
      <c r="U28" s="10" t="e">
        <f t="shared" si="5"/>
        <v>#N/A</v>
      </c>
      <c r="V28" s="4">
        <f t="shared" si="2"/>
        <v>0</v>
      </c>
      <c r="W28" s="5">
        <f t="shared" si="10"/>
        <v>342</v>
      </c>
      <c r="X28" s="10" t="e">
        <f t="shared" si="6"/>
        <v>#N/A</v>
      </c>
      <c r="Y28" s="4">
        <f t="shared" si="3"/>
        <v>0</v>
      </c>
      <c r="Z28" s="5">
        <f t="shared" si="11"/>
        <v>140</v>
      </c>
      <c r="AA28" s="3" t="e">
        <f t="shared" si="7"/>
        <v>#N/A</v>
      </c>
    </row>
    <row r="29" spans="2:27" ht="18.75" thickBot="1">
      <c r="B29" s="57">
        <v>1</v>
      </c>
      <c r="C29" s="57">
        <v>9</v>
      </c>
      <c r="D29" s="57">
        <v>4</v>
      </c>
      <c r="E29" s="57">
        <v>6</v>
      </c>
      <c r="F29" s="57">
        <v>17</v>
      </c>
      <c r="G29" s="57">
        <v>2</v>
      </c>
      <c r="H29" s="57">
        <v>0</v>
      </c>
      <c r="M29" s="23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8"/>
        <v>2700</v>
      </c>
      <c r="R29" s="11" t="e">
        <f t="shared" si="4"/>
        <v>#N/A</v>
      </c>
      <c r="S29" s="7">
        <f t="shared" si="1"/>
        <v>0</v>
      </c>
      <c r="T29" s="8">
        <f t="shared" si="9"/>
        <v>2927</v>
      </c>
      <c r="U29" s="11" t="e">
        <f t="shared" si="5"/>
        <v>#N/A</v>
      </c>
      <c r="V29" s="7">
        <f t="shared" si="2"/>
        <v>0</v>
      </c>
      <c r="W29" s="8">
        <f t="shared" si="10"/>
        <v>342</v>
      </c>
      <c r="X29" s="11" t="e">
        <f t="shared" si="6"/>
        <v>#N/A</v>
      </c>
      <c r="Y29" s="7">
        <f t="shared" si="3"/>
        <v>0</v>
      </c>
      <c r="Z29" s="8">
        <f t="shared" si="11"/>
        <v>140</v>
      </c>
      <c r="AA29" s="9" t="e">
        <f t="shared" si="7"/>
        <v>#N/A</v>
      </c>
    </row>
    <row r="30" spans="2:27" ht="18">
      <c r="B30" s="57">
        <v>1</v>
      </c>
      <c r="C30" s="57">
        <v>9</v>
      </c>
      <c r="D30" s="57">
        <v>5</v>
      </c>
      <c r="E30" s="57">
        <v>2</v>
      </c>
      <c r="F30" s="57">
        <v>23</v>
      </c>
      <c r="G30" s="57">
        <v>0</v>
      </c>
      <c r="H30" s="57">
        <v>0</v>
      </c>
      <c r="M30" s="23">
        <v>1</v>
      </c>
    </row>
    <row r="31" spans="2:27" ht="18">
      <c r="B31" s="57">
        <v>1</v>
      </c>
      <c r="C31" s="57">
        <v>15</v>
      </c>
      <c r="D31" s="57">
        <v>3</v>
      </c>
      <c r="E31" s="57">
        <v>1</v>
      </c>
      <c r="F31" s="57">
        <v>2</v>
      </c>
      <c r="G31" s="57">
        <v>1</v>
      </c>
      <c r="H31" s="57">
        <v>0</v>
      </c>
      <c r="M31" s="23">
        <v>1</v>
      </c>
    </row>
    <row r="32" spans="2:27" ht="18">
      <c r="B32" s="57">
        <v>1</v>
      </c>
      <c r="C32" s="57">
        <v>59</v>
      </c>
      <c r="D32" s="57">
        <v>1</v>
      </c>
      <c r="E32" s="57">
        <v>2</v>
      </c>
      <c r="F32" s="57">
        <v>1</v>
      </c>
      <c r="G32" s="57">
        <v>1</v>
      </c>
      <c r="H32" s="57">
        <v>2</v>
      </c>
      <c r="M32" s="23">
        <v>1</v>
      </c>
      <c r="O32" s="23">
        <v>1</v>
      </c>
    </row>
    <row r="33" spans="2:15" ht="18">
      <c r="B33" s="57">
        <v>1</v>
      </c>
      <c r="C33" s="57">
        <v>59</v>
      </c>
      <c r="D33" s="57">
        <v>2</v>
      </c>
      <c r="E33" s="57">
        <v>4</v>
      </c>
      <c r="F33" s="57">
        <v>1</v>
      </c>
      <c r="G33" s="57">
        <v>1</v>
      </c>
      <c r="H33" s="57">
        <v>3</v>
      </c>
      <c r="M33" s="23">
        <v>1</v>
      </c>
      <c r="O33" s="23">
        <v>2</v>
      </c>
    </row>
    <row r="34" spans="2:15" ht="18">
      <c r="B34" s="57">
        <v>1</v>
      </c>
      <c r="C34" s="57">
        <v>45</v>
      </c>
      <c r="D34" s="57">
        <v>2</v>
      </c>
      <c r="E34" s="57">
        <v>19</v>
      </c>
      <c r="F34" s="57">
        <v>6</v>
      </c>
      <c r="G34" s="57">
        <v>0</v>
      </c>
      <c r="H34" s="57">
        <v>0</v>
      </c>
      <c r="M34" s="23">
        <v>1</v>
      </c>
      <c r="O34" s="23">
        <v>3</v>
      </c>
    </row>
    <row r="35" spans="2:15" ht="18">
      <c r="B35" s="57">
        <v>1</v>
      </c>
      <c r="C35" s="57">
        <v>45</v>
      </c>
      <c r="D35" s="57">
        <v>1</v>
      </c>
      <c r="E35" s="57">
        <v>12</v>
      </c>
      <c r="F35" s="57">
        <v>4</v>
      </c>
      <c r="G35" s="57">
        <v>6</v>
      </c>
      <c r="H35" s="57">
        <v>0</v>
      </c>
      <c r="M35" s="23">
        <v>1</v>
      </c>
      <c r="O35" s="23">
        <v>4</v>
      </c>
    </row>
    <row r="36" spans="2:15" ht="18">
      <c r="B36" s="57">
        <v>1</v>
      </c>
      <c r="C36" s="57">
        <v>49</v>
      </c>
      <c r="D36" s="57">
        <v>2</v>
      </c>
      <c r="E36" s="57">
        <v>5</v>
      </c>
      <c r="F36" s="57">
        <v>3</v>
      </c>
      <c r="G36" s="57">
        <v>1</v>
      </c>
      <c r="H36" s="57">
        <v>0</v>
      </c>
      <c r="M36" s="23">
        <v>1</v>
      </c>
      <c r="O36" s="23">
        <v>5</v>
      </c>
    </row>
    <row r="37" spans="2:15" ht="18">
      <c r="B37" s="57">
        <v>1</v>
      </c>
      <c r="C37" s="57">
        <v>24</v>
      </c>
      <c r="D37" s="57">
        <v>3</v>
      </c>
      <c r="E37" s="57">
        <v>1</v>
      </c>
      <c r="F37" s="57">
        <v>9</v>
      </c>
      <c r="G37" s="57">
        <v>0</v>
      </c>
      <c r="H37" s="57">
        <v>0</v>
      </c>
      <c r="M37" s="23">
        <v>1</v>
      </c>
      <c r="O37" s="23">
        <v>6</v>
      </c>
    </row>
    <row r="38" spans="2:15" ht="18">
      <c r="B38" s="57">
        <v>1</v>
      </c>
      <c r="C38" s="57">
        <v>24</v>
      </c>
      <c r="D38" s="57">
        <v>4</v>
      </c>
      <c r="E38" s="57">
        <v>2</v>
      </c>
      <c r="F38" s="57">
        <v>23</v>
      </c>
      <c r="G38" s="57">
        <v>0</v>
      </c>
      <c r="H38" s="57">
        <v>0</v>
      </c>
      <c r="M38" s="23">
        <v>1</v>
      </c>
      <c r="O38" s="23">
        <v>7</v>
      </c>
    </row>
    <row r="39" spans="2:15" ht="18">
      <c r="B39" s="57">
        <v>1</v>
      </c>
      <c r="C39" s="57">
        <v>24</v>
      </c>
      <c r="D39" s="57">
        <v>5</v>
      </c>
      <c r="E39" s="57">
        <v>2</v>
      </c>
      <c r="F39" s="57">
        <v>22</v>
      </c>
      <c r="G39" s="57">
        <v>0</v>
      </c>
      <c r="H39" s="57">
        <v>1</v>
      </c>
      <c r="M39" s="23">
        <v>1</v>
      </c>
      <c r="O39" s="23">
        <v>8</v>
      </c>
    </row>
    <row r="40" spans="2:15" ht="18">
      <c r="B40" s="57">
        <v>1</v>
      </c>
      <c r="C40" s="57">
        <v>48</v>
      </c>
      <c r="D40" s="57">
        <v>3</v>
      </c>
      <c r="E40" s="57">
        <v>8</v>
      </c>
      <c r="F40" s="57">
        <v>7</v>
      </c>
      <c r="G40" s="57">
        <v>0</v>
      </c>
      <c r="H40" s="57">
        <v>0</v>
      </c>
      <c r="M40" s="23">
        <v>1</v>
      </c>
      <c r="O40" s="23">
        <v>9</v>
      </c>
    </row>
    <row r="41" spans="2:15" ht="18">
      <c r="B41" s="57">
        <v>1</v>
      </c>
      <c r="C41" s="57">
        <v>2</v>
      </c>
      <c r="D41" s="57">
        <v>2</v>
      </c>
      <c r="E41" s="57">
        <v>3</v>
      </c>
      <c r="F41" s="57">
        <v>2</v>
      </c>
      <c r="G41" s="57">
        <v>0</v>
      </c>
      <c r="H41" s="57">
        <v>2</v>
      </c>
      <c r="M41" s="23">
        <v>1</v>
      </c>
      <c r="O41" s="23">
        <v>10</v>
      </c>
    </row>
    <row r="42" spans="2:15" ht="18">
      <c r="B42" s="57">
        <v>1</v>
      </c>
      <c r="C42" s="57">
        <v>2</v>
      </c>
      <c r="D42" s="57">
        <v>3</v>
      </c>
      <c r="E42" s="57">
        <v>4</v>
      </c>
      <c r="F42" s="57">
        <v>2</v>
      </c>
      <c r="G42" s="57">
        <v>0</v>
      </c>
      <c r="H42" s="57">
        <v>1</v>
      </c>
      <c r="M42" s="23">
        <v>1</v>
      </c>
      <c r="O42" s="23">
        <v>11</v>
      </c>
    </row>
    <row r="43" spans="2:15" ht="18">
      <c r="B43" s="57">
        <v>1</v>
      </c>
      <c r="C43" s="57">
        <v>34</v>
      </c>
      <c r="D43" s="57">
        <v>1</v>
      </c>
      <c r="E43" s="57">
        <v>5</v>
      </c>
      <c r="F43" s="57">
        <v>3</v>
      </c>
      <c r="G43" s="57">
        <v>0</v>
      </c>
      <c r="H43" s="57">
        <v>0</v>
      </c>
      <c r="M43" s="23">
        <v>1</v>
      </c>
      <c r="O43" s="23">
        <v>12</v>
      </c>
    </row>
    <row r="44" spans="2:15" ht="18">
      <c r="B44" s="57">
        <v>1</v>
      </c>
      <c r="C44" s="57">
        <v>34</v>
      </c>
      <c r="D44" s="57">
        <v>2</v>
      </c>
      <c r="E44" s="57">
        <v>11</v>
      </c>
      <c r="F44" s="57">
        <v>9</v>
      </c>
      <c r="G44" s="57">
        <v>2</v>
      </c>
      <c r="H44" s="57">
        <v>0</v>
      </c>
      <c r="M44" s="23">
        <v>1</v>
      </c>
      <c r="O44" s="23">
        <v>13</v>
      </c>
    </row>
    <row r="45" spans="2:15" ht="18">
      <c r="B45" s="57">
        <v>1</v>
      </c>
      <c r="C45" s="57">
        <v>34</v>
      </c>
      <c r="D45" s="57">
        <v>3</v>
      </c>
      <c r="E45" s="57">
        <v>21</v>
      </c>
      <c r="F45" s="57">
        <v>9</v>
      </c>
      <c r="G45" s="57">
        <v>3</v>
      </c>
      <c r="H45" s="57">
        <v>0</v>
      </c>
      <c r="M45" s="23">
        <v>1</v>
      </c>
      <c r="O45" s="23">
        <v>14</v>
      </c>
    </row>
    <row r="46" spans="2:15" ht="18">
      <c r="B46" s="57">
        <v>1</v>
      </c>
      <c r="C46" s="57">
        <v>28</v>
      </c>
      <c r="D46" s="57">
        <v>4</v>
      </c>
      <c r="E46" s="57">
        <v>9</v>
      </c>
      <c r="F46" s="57">
        <v>0</v>
      </c>
      <c r="G46" s="57">
        <v>2</v>
      </c>
      <c r="H46" s="57">
        <v>0</v>
      </c>
      <c r="M46" s="23">
        <v>1</v>
      </c>
      <c r="O46" s="23">
        <v>15</v>
      </c>
    </row>
    <row r="47" spans="2:15" ht="18">
      <c r="B47" s="57">
        <v>1</v>
      </c>
      <c r="C47" s="57">
        <v>55</v>
      </c>
      <c r="D47" s="57">
        <v>4</v>
      </c>
      <c r="E47" s="57">
        <v>3</v>
      </c>
      <c r="F47" s="57">
        <v>0</v>
      </c>
      <c r="G47" s="57">
        <v>0</v>
      </c>
      <c r="H47" s="57">
        <v>0</v>
      </c>
      <c r="M47" s="23">
        <v>1</v>
      </c>
      <c r="O47" s="23">
        <v>16</v>
      </c>
    </row>
    <row r="48" spans="2:15" ht="18">
      <c r="B48" s="57">
        <v>1</v>
      </c>
      <c r="C48" s="57">
        <v>38</v>
      </c>
      <c r="D48" s="57">
        <v>2</v>
      </c>
      <c r="E48" s="57">
        <v>1</v>
      </c>
      <c r="F48" s="57">
        <v>10</v>
      </c>
      <c r="G48" s="57">
        <v>0</v>
      </c>
      <c r="H48" s="57">
        <v>0</v>
      </c>
      <c r="M48" s="23">
        <v>1</v>
      </c>
      <c r="O48" s="23">
        <v>17</v>
      </c>
    </row>
    <row r="49" spans="2:15" ht="18">
      <c r="B49" s="57">
        <v>1</v>
      </c>
      <c r="C49" s="57">
        <v>23</v>
      </c>
      <c r="D49" s="57">
        <v>5</v>
      </c>
      <c r="E49" s="57">
        <v>11</v>
      </c>
      <c r="F49" s="57">
        <v>5</v>
      </c>
      <c r="G49" s="57">
        <v>0</v>
      </c>
      <c r="H49" s="57">
        <v>0</v>
      </c>
      <c r="M49" s="23">
        <v>1</v>
      </c>
      <c r="O49" s="23">
        <v>18</v>
      </c>
    </row>
    <row r="50" spans="2:15" ht="18">
      <c r="B50" s="57">
        <v>1</v>
      </c>
      <c r="C50" s="57">
        <v>38</v>
      </c>
      <c r="D50" s="57">
        <v>2</v>
      </c>
      <c r="E50" s="57">
        <v>1</v>
      </c>
      <c r="F50" s="57">
        <v>10</v>
      </c>
      <c r="G50" s="57">
        <v>0</v>
      </c>
      <c r="H50" s="57">
        <v>0</v>
      </c>
      <c r="M50" s="23">
        <v>1</v>
      </c>
      <c r="O50" s="23">
        <v>19</v>
      </c>
    </row>
    <row r="51" spans="2:15" ht="18">
      <c r="B51" s="57">
        <v>1</v>
      </c>
      <c r="C51" s="57">
        <v>56</v>
      </c>
      <c r="D51" s="57">
        <v>2</v>
      </c>
      <c r="E51" s="57">
        <v>3</v>
      </c>
      <c r="F51" s="57">
        <v>4</v>
      </c>
      <c r="G51" s="57">
        <v>1</v>
      </c>
      <c r="H51" s="57">
        <v>1</v>
      </c>
      <c r="M51" s="23">
        <v>1</v>
      </c>
      <c r="O51" s="23">
        <v>20</v>
      </c>
    </row>
    <row r="52" spans="2:15" ht="18">
      <c r="B52" s="57">
        <v>1</v>
      </c>
      <c r="C52" s="57">
        <v>15</v>
      </c>
      <c r="D52" s="57">
        <v>4</v>
      </c>
      <c r="E52" s="57">
        <v>1</v>
      </c>
      <c r="F52" s="57">
        <v>2</v>
      </c>
      <c r="G52" s="57">
        <v>1</v>
      </c>
      <c r="H52" s="57">
        <v>0</v>
      </c>
      <c r="M52" s="23">
        <v>1</v>
      </c>
      <c r="O52" s="23">
        <v>21</v>
      </c>
    </row>
    <row r="53" spans="2:15" ht="18">
      <c r="B53" s="57">
        <v>1</v>
      </c>
      <c r="C53" s="57">
        <v>15</v>
      </c>
      <c r="D53" s="57">
        <v>5</v>
      </c>
      <c r="E53" s="57">
        <v>2</v>
      </c>
      <c r="F53" s="57">
        <v>0</v>
      </c>
      <c r="G53" s="57">
        <v>0</v>
      </c>
      <c r="H53" s="57">
        <v>0</v>
      </c>
      <c r="M53" s="23">
        <v>1</v>
      </c>
      <c r="O53" s="23">
        <v>22</v>
      </c>
    </row>
    <row r="54" spans="2:15" ht="18">
      <c r="B54" s="57">
        <v>1</v>
      </c>
      <c r="C54" s="57">
        <v>19</v>
      </c>
      <c r="D54" s="57">
        <v>4</v>
      </c>
      <c r="E54" s="57">
        <v>5</v>
      </c>
      <c r="F54" s="57">
        <v>6</v>
      </c>
      <c r="G54" s="57">
        <v>0</v>
      </c>
      <c r="H54" s="57">
        <v>0</v>
      </c>
      <c r="M54" s="23">
        <v>1</v>
      </c>
      <c r="O54" s="23">
        <v>23</v>
      </c>
    </row>
    <row r="55" spans="2:15" ht="18">
      <c r="B55" s="57">
        <v>1</v>
      </c>
      <c r="C55" s="57">
        <v>22</v>
      </c>
      <c r="D55" s="57">
        <v>4</v>
      </c>
      <c r="E55" s="57">
        <v>1</v>
      </c>
      <c r="F55" s="57">
        <v>10</v>
      </c>
      <c r="G55" s="57">
        <v>0</v>
      </c>
      <c r="H55" s="57">
        <v>0</v>
      </c>
      <c r="M55" s="23">
        <v>1</v>
      </c>
      <c r="O55" s="23">
        <v>24</v>
      </c>
    </row>
    <row r="56" spans="2:15" ht="18">
      <c r="B56" s="57">
        <v>1</v>
      </c>
      <c r="C56" s="57">
        <v>22</v>
      </c>
      <c r="D56" s="57">
        <v>3</v>
      </c>
      <c r="E56" s="57">
        <v>1</v>
      </c>
      <c r="F56" s="57">
        <v>9</v>
      </c>
      <c r="G56" s="57">
        <v>0</v>
      </c>
      <c r="H56" s="57">
        <v>0</v>
      </c>
      <c r="M56" s="23">
        <v>1</v>
      </c>
      <c r="O56" s="23">
        <v>25</v>
      </c>
    </row>
    <row r="57" spans="2:15" ht="18">
      <c r="B57" s="57">
        <v>1</v>
      </c>
      <c r="C57" s="57">
        <v>22</v>
      </c>
      <c r="D57" s="57">
        <v>2</v>
      </c>
      <c r="E57" s="57">
        <v>1</v>
      </c>
      <c r="F57" s="57">
        <v>11</v>
      </c>
      <c r="G57" s="57">
        <v>2</v>
      </c>
      <c r="H57" s="57">
        <v>0</v>
      </c>
      <c r="M57" s="23">
        <v>1</v>
      </c>
      <c r="O57" s="23">
        <v>26</v>
      </c>
    </row>
    <row r="58" spans="2:15" ht="18">
      <c r="B58" s="57">
        <v>1</v>
      </c>
      <c r="C58" s="57">
        <v>21</v>
      </c>
      <c r="D58" s="57">
        <v>5</v>
      </c>
      <c r="E58" s="57">
        <v>0</v>
      </c>
      <c r="F58" s="57">
        <v>27</v>
      </c>
      <c r="G58" s="57">
        <v>0</v>
      </c>
      <c r="H58" s="57">
        <v>0</v>
      </c>
      <c r="M58" s="23">
        <v>1</v>
      </c>
      <c r="O58" s="23">
        <v>27</v>
      </c>
    </row>
    <row r="59" spans="2:15" ht="18">
      <c r="B59" s="57">
        <v>1</v>
      </c>
      <c r="C59" s="57">
        <v>22</v>
      </c>
      <c r="D59" s="57">
        <v>1</v>
      </c>
      <c r="E59" s="57">
        <v>0</v>
      </c>
      <c r="F59" s="57">
        <v>10</v>
      </c>
      <c r="G59" s="57">
        <v>0</v>
      </c>
      <c r="H59" s="57">
        <v>0</v>
      </c>
      <c r="M59" s="23">
        <v>1</v>
      </c>
      <c r="O59" s="23">
        <v>28</v>
      </c>
    </row>
    <row r="60" spans="2:15" ht="18">
      <c r="B60" s="57">
        <v>1</v>
      </c>
      <c r="C60" s="57">
        <v>21</v>
      </c>
      <c r="D60" s="57">
        <v>4</v>
      </c>
      <c r="E60" s="57">
        <v>3</v>
      </c>
      <c r="F60" s="57">
        <v>29</v>
      </c>
      <c r="G60" s="57">
        <v>1</v>
      </c>
      <c r="H60" s="57">
        <v>0</v>
      </c>
      <c r="M60" s="23">
        <v>1</v>
      </c>
      <c r="O60" s="23">
        <v>29</v>
      </c>
    </row>
    <row r="61" spans="2:15" ht="18">
      <c r="B61" s="57">
        <v>1</v>
      </c>
      <c r="C61" s="57">
        <v>21</v>
      </c>
      <c r="D61" s="57">
        <v>3</v>
      </c>
      <c r="E61" s="57">
        <v>1</v>
      </c>
      <c r="F61" s="57">
        <v>20</v>
      </c>
      <c r="G61" s="57">
        <v>1</v>
      </c>
      <c r="H61" s="57">
        <v>0</v>
      </c>
      <c r="M61" s="23">
        <v>1</v>
      </c>
      <c r="O61" s="23">
        <v>30</v>
      </c>
    </row>
    <row r="62" spans="2:15" ht="18">
      <c r="B62" s="57">
        <v>1</v>
      </c>
      <c r="C62" s="57">
        <v>49</v>
      </c>
      <c r="D62" s="57">
        <v>3</v>
      </c>
      <c r="E62" s="57">
        <v>8</v>
      </c>
      <c r="F62" s="57">
        <v>7</v>
      </c>
      <c r="G62" s="57">
        <v>0</v>
      </c>
      <c r="H62" s="57">
        <v>0</v>
      </c>
      <c r="M62" s="23">
        <v>1</v>
      </c>
      <c r="O62" s="23">
        <v>31</v>
      </c>
    </row>
    <row r="63" spans="2:15" ht="18">
      <c r="B63" s="57">
        <v>1</v>
      </c>
      <c r="C63" s="57">
        <v>25</v>
      </c>
      <c r="D63" s="57">
        <v>3</v>
      </c>
      <c r="E63" s="57">
        <v>15</v>
      </c>
      <c r="F63" s="57">
        <v>0</v>
      </c>
      <c r="G63" s="57">
        <v>5</v>
      </c>
      <c r="H63" s="57">
        <v>0</v>
      </c>
      <c r="M63" s="23">
        <v>1</v>
      </c>
      <c r="O63" s="23">
        <v>32</v>
      </c>
    </row>
    <row r="64" spans="2:15" ht="18">
      <c r="B64" s="57">
        <v>1</v>
      </c>
      <c r="C64" s="57">
        <v>15</v>
      </c>
      <c r="D64" s="57">
        <v>8</v>
      </c>
      <c r="E64" s="57">
        <v>3</v>
      </c>
      <c r="F64" s="57">
        <v>1</v>
      </c>
      <c r="G64" s="57">
        <v>0</v>
      </c>
      <c r="H64" s="57">
        <v>0</v>
      </c>
      <c r="M64" s="23">
        <v>1</v>
      </c>
      <c r="O64" s="23">
        <v>33</v>
      </c>
    </row>
    <row r="65" spans="2:15" ht="18">
      <c r="B65" s="57">
        <v>1</v>
      </c>
      <c r="C65" s="57">
        <v>41</v>
      </c>
      <c r="D65" s="57">
        <v>8</v>
      </c>
      <c r="E65" s="57">
        <v>2</v>
      </c>
      <c r="F65" s="57">
        <v>1</v>
      </c>
      <c r="G65" s="57">
        <v>0</v>
      </c>
      <c r="H65" s="57">
        <v>0</v>
      </c>
      <c r="M65" s="23">
        <v>1</v>
      </c>
      <c r="O65" s="23">
        <v>34</v>
      </c>
    </row>
    <row r="66" spans="2:15" ht="18">
      <c r="B66" s="57">
        <v>1</v>
      </c>
      <c r="C66" s="57">
        <v>54</v>
      </c>
      <c r="D66" s="57">
        <v>8</v>
      </c>
      <c r="E66" s="57">
        <v>3</v>
      </c>
      <c r="F66" s="57">
        <v>1</v>
      </c>
      <c r="G66" s="57">
        <v>0</v>
      </c>
      <c r="H66" s="57">
        <v>0</v>
      </c>
      <c r="M66" s="23">
        <v>1</v>
      </c>
      <c r="O66" s="23">
        <v>35</v>
      </c>
    </row>
    <row r="67" spans="2:15" ht="18">
      <c r="B67" s="57">
        <v>1</v>
      </c>
      <c r="C67" s="57">
        <v>54</v>
      </c>
      <c r="D67" s="57">
        <v>9</v>
      </c>
      <c r="E67" s="57">
        <v>4</v>
      </c>
      <c r="F67" s="57">
        <v>1</v>
      </c>
      <c r="G67" s="57">
        <v>1</v>
      </c>
      <c r="H67" s="57">
        <v>0</v>
      </c>
      <c r="M67" s="23">
        <v>1</v>
      </c>
      <c r="O67" s="23">
        <v>36</v>
      </c>
    </row>
    <row r="68" spans="2:15" ht="18">
      <c r="B68" s="57">
        <v>1</v>
      </c>
      <c r="C68" s="57">
        <v>35</v>
      </c>
      <c r="D68" s="57">
        <v>8</v>
      </c>
      <c r="E68" s="57">
        <v>8</v>
      </c>
      <c r="F68" s="57">
        <v>7</v>
      </c>
      <c r="G68" s="57">
        <v>5</v>
      </c>
      <c r="H68" s="57">
        <v>0</v>
      </c>
      <c r="M68" s="23">
        <v>1</v>
      </c>
      <c r="O68" s="23">
        <v>37</v>
      </c>
    </row>
    <row r="69" spans="2:15" ht="18">
      <c r="B69" s="57">
        <v>1</v>
      </c>
      <c r="C69" s="57">
        <v>48</v>
      </c>
      <c r="D69" s="57">
        <v>8</v>
      </c>
      <c r="E69" s="57">
        <v>5</v>
      </c>
      <c r="F69" s="57">
        <v>15</v>
      </c>
      <c r="G69" s="57">
        <v>0</v>
      </c>
      <c r="H69" s="57">
        <v>0</v>
      </c>
      <c r="M69" s="23">
        <v>1</v>
      </c>
      <c r="O69" s="23">
        <v>38</v>
      </c>
    </row>
    <row r="70" spans="2:15" ht="18">
      <c r="B70" s="57">
        <v>1</v>
      </c>
      <c r="C70" s="57">
        <v>49</v>
      </c>
      <c r="D70" s="57">
        <v>4</v>
      </c>
      <c r="E70" s="57">
        <v>11</v>
      </c>
      <c r="F70" s="57">
        <v>4</v>
      </c>
      <c r="G70" s="57">
        <v>0</v>
      </c>
      <c r="H70" s="57">
        <v>0</v>
      </c>
      <c r="M70" s="23">
        <v>1</v>
      </c>
      <c r="O70" s="23">
        <v>39</v>
      </c>
    </row>
    <row r="71" spans="2:15" ht="18">
      <c r="B71" s="57">
        <v>1</v>
      </c>
      <c r="C71" s="57">
        <v>25</v>
      </c>
      <c r="D71" s="57">
        <v>8</v>
      </c>
      <c r="E71" s="57">
        <v>11</v>
      </c>
      <c r="F71" s="57">
        <v>0</v>
      </c>
      <c r="G71" s="57">
        <v>2</v>
      </c>
      <c r="H71" s="57">
        <v>0</v>
      </c>
      <c r="M71" s="23">
        <v>1</v>
      </c>
      <c r="O71" s="23">
        <v>40</v>
      </c>
    </row>
    <row r="72" spans="2:15" ht="18">
      <c r="B72" s="57">
        <v>1</v>
      </c>
      <c r="C72" s="57">
        <v>56</v>
      </c>
      <c r="D72" s="57">
        <v>8</v>
      </c>
      <c r="E72" s="57">
        <v>4</v>
      </c>
      <c r="F72" s="57">
        <v>5</v>
      </c>
      <c r="G72" s="57">
        <v>0</v>
      </c>
      <c r="H72" s="57">
        <v>0</v>
      </c>
      <c r="M72" s="23">
        <v>1</v>
      </c>
      <c r="O72" s="23">
        <v>41</v>
      </c>
    </row>
    <row r="73" spans="2:15" ht="18">
      <c r="B73" s="57">
        <v>1</v>
      </c>
      <c r="C73" s="57">
        <v>56</v>
      </c>
      <c r="D73" s="57">
        <v>7</v>
      </c>
      <c r="E73" s="57">
        <v>3</v>
      </c>
      <c r="F73" s="57">
        <v>0</v>
      </c>
      <c r="G73" s="57">
        <v>0</v>
      </c>
      <c r="H73" s="57">
        <v>3</v>
      </c>
      <c r="M73" s="23">
        <v>1</v>
      </c>
      <c r="O73" s="23">
        <v>42</v>
      </c>
    </row>
    <row r="74" spans="2:15" ht="18">
      <c r="B74" s="57">
        <v>1</v>
      </c>
      <c r="C74" s="57">
        <v>46</v>
      </c>
      <c r="D74" s="57">
        <v>9</v>
      </c>
      <c r="E74" s="57">
        <v>2</v>
      </c>
      <c r="F74" s="57">
        <v>1</v>
      </c>
      <c r="G74" s="57">
        <v>0</v>
      </c>
      <c r="H74" s="57">
        <v>0</v>
      </c>
      <c r="M74" s="23">
        <v>1</v>
      </c>
      <c r="O74" s="23">
        <v>43</v>
      </c>
    </row>
    <row r="75" spans="2:15" ht="18">
      <c r="B75" s="57">
        <v>1</v>
      </c>
      <c r="C75" s="57">
        <v>46</v>
      </c>
      <c r="D75" s="57">
        <v>8</v>
      </c>
      <c r="E75" s="57">
        <v>3</v>
      </c>
      <c r="F75" s="57">
        <v>1</v>
      </c>
      <c r="G75" s="57">
        <v>0</v>
      </c>
      <c r="H75" s="57">
        <v>0</v>
      </c>
      <c r="M75" s="23">
        <v>1</v>
      </c>
      <c r="O75" s="23">
        <v>44</v>
      </c>
    </row>
    <row r="76" spans="2:15" ht="18">
      <c r="B76" s="57">
        <v>1</v>
      </c>
      <c r="C76" s="57">
        <v>46</v>
      </c>
      <c r="D76" s="57">
        <v>7</v>
      </c>
      <c r="E76" s="57">
        <v>0</v>
      </c>
      <c r="F76" s="57">
        <v>1</v>
      </c>
      <c r="G76" s="57">
        <v>0</v>
      </c>
      <c r="H76" s="57">
        <v>0</v>
      </c>
      <c r="M76" s="23">
        <v>1</v>
      </c>
      <c r="O76" s="23">
        <v>45</v>
      </c>
    </row>
    <row r="77" spans="2:15" ht="18">
      <c r="B77" s="57">
        <v>1</v>
      </c>
      <c r="C77" s="57">
        <v>46</v>
      </c>
      <c r="D77" s="57">
        <v>6</v>
      </c>
      <c r="E77" s="57">
        <v>0</v>
      </c>
      <c r="F77" s="57">
        <v>3</v>
      </c>
      <c r="G77" s="57">
        <v>0</v>
      </c>
      <c r="H77" s="57">
        <v>0</v>
      </c>
      <c r="M77" s="23">
        <v>1</v>
      </c>
      <c r="O77" s="23">
        <v>46</v>
      </c>
    </row>
    <row r="78" spans="2:15" ht="18">
      <c r="B78" s="57">
        <v>1</v>
      </c>
      <c r="C78" s="57">
        <v>21</v>
      </c>
      <c r="D78" s="57">
        <v>8</v>
      </c>
      <c r="E78" s="57">
        <v>1</v>
      </c>
      <c r="F78" s="57">
        <v>20</v>
      </c>
      <c r="G78" s="57">
        <v>0</v>
      </c>
      <c r="H78" s="57">
        <v>0</v>
      </c>
      <c r="M78" s="23">
        <v>1</v>
      </c>
      <c r="O78" s="23">
        <v>47</v>
      </c>
    </row>
    <row r="79" spans="2:15" ht="18">
      <c r="B79" s="57">
        <v>1</v>
      </c>
      <c r="C79" s="57">
        <v>19</v>
      </c>
      <c r="D79" s="57">
        <v>6</v>
      </c>
      <c r="E79" s="57">
        <v>0</v>
      </c>
      <c r="F79" s="57">
        <v>8</v>
      </c>
      <c r="G79" s="57">
        <v>0</v>
      </c>
      <c r="H79" s="57">
        <v>0</v>
      </c>
      <c r="M79" s="23">
        <v>1</v>
      </c>
      <c r="O79" s="23">
        <v>48</v>
      </c>
    </row>
    <row r="80" spans="2:15" ht="18">
      <c r="B80" s="57">
        <v>1</v>
      </c>
      <c r="C80" s="57">
        <v>19</v>
      </c>
      <c r="D80" s="57">
        <v>7</v>
      </c>
      <c r="E80" s="57">
        <v>0</v>
      </c>
      <c r="F80" s="57">
        <v>14</v>
      </c>
      <c r="G80" s="57">
        <v>0</v>
      </c>
      <c r="H80" s="57">
        <v>0</v>
      </c>
      <c r="M80" s="23">
        <v>1</v>
      </c>
      <c r="O80" s="23">
        <v>49</v>
      </c>
    </row>
    <row r="81" spans="2:15" ht="18">
      <c r="B81" s="57">
        <v>1</v>
      </c>
      <c r="C81" s="57">
        <v>19</v>
      </c>
      <c r="D81" s="57">
        <v>8</v>
      </c>
      <c r="E81" s="57">
        <v>0</v>
      </c>
      <c r="F81" s="57">
        <v>18</v>
      </c>
      <c r="G81" s="57">
        <v>0</v>
      </c>
      <c r="H81" s="57">
        <v>0</v>
      </c>
      <c r="M81" s="23">
        <v>1</v>
      </c>
      <c r="O81" s="23">
        <v>50</v>
      </c>
    </row>
    <row r="82" spans="2:15" ht="18">
      <c r="B82" s="57">
        <v>1</v>
      </c>
      <c r="C82" s="57">
        <v>15</v>
      </c>
      <c r="D82" s="57">
        <v>7</v>
      </c>
      <c r="E82" s="57">
        <v>0</v>
      </c>
      <c r="F82" s="57">
        <v>3</v>
      </c>
      <c r="G82" s="57">
        <v>0</v>
      </c>
      <c r="H82" s="57">
        <v>0</v>
      </c>
      <c r="M82" s="23">
        <v>1</v>
      </c>
      <c r="O82" s="23">
        <v>51</v>
      </c>
    </row>
    <row r="83" spans="2:15" ht="18">
      <c r="B83" s="57">
        <v>1</v>
      </c>
      <c r="C83" s="57">
        <v>35</v>
      </c>
      <c r="D83" s="57">
        <v>7</v>
      </c>
      <c r="E83" s="57">
        <v>10</v>
      </c>
      <c r="F83" s="57">
        <v>5</v>
      </c>
      <c r="G83" s="57">
        <v>8</v>
      </c>
      <c r="H83" s="57">
        <v>0</v>
      </c>
      <c r="M83" s="23">
        <v>1</v>
      </c>
      <c r="O83" s="23">
        <v>52</v>
      </c>
    </row>
    <row r="84" spans="2:15" ht="18">
      <c r="B84" s="57">
        <v>1</v>
      </c>
      <c r="C84" s="57">
        <v>11</v>
      </c>
      <c r="D84" s="57">
        <v>8</v>
      </c>
      <c r="E84" s="57">
        <v>6</v>
      </c>
      <c r="F84" s="57">
        <v>9</v>
      </c>
      <c r="G84" s="57">
        <v>1</v>
      </c>
      <c r="H84" s="57">
        <v>0</v>
      </c>
      <c r="M84" s="23">
        <v>1</v>
      </c>
      <c r="O84" s="23">
        <v>53</v>
      </c>
    </row>
    <row r="85" spans="2:15" ht="18">
      <c r="B85" s="57">
        <v>1</v>
      </c>
      <c r="C85" s="57">
        <v>11</v>
      </c>
      <c r="D85" s="57">
        <v>7</v>
      </c>
      <c r="E85" s="57">
        <v>3</v>
      </c>
      <c r="F85" s="57">
        <v>7</v>
      </c>
      <c r="G85" s="57">
        <v>0</v>
      </c>
      <c r="H85" s="57">
        <v>2</v>
      </c>
      <c r="M85" s="23">
        <v>1</v>
      </c>
      <c r="O85" s="23">
        <v>54</v>
      </c>
    </row>
    <row r="86" spans="2:15" ht="18">
      <c r="B86" s="57">
        <v>1</v>
      </c>
      <c r="C86" s="57">
        <v>11</v>
      </c>
      <c r="D86" s="57">
        <v>6</v>
      </c>
      <c r="E86" s="57">
        <v>5</v>
      </c>
      <c r="F86" s="57">
        <v>9</v>
      </c>
      <c r="G86" s="57">
        <v>0</v>
      </c>
      <c r="H86" s="57">
        <v>0</v>
      </c>
      <c r="M86" s="23">
        <v>1</v>
      </c>
      <c r="O86" s="23">
        <v>55</v>
      </c>
    </row>
    <row r="87" spans="2:15" ht="18">
      <c r="B87" s="57">
        <v>1</v>
      </c>
      <c r="C87" s="57">
        <v>24</v>
      </c>
      <c r="D87" s="57">
        <v>7</v>
      </c>
      <c r="E87" s="57">
        <v>3</v>
      </c>
      <c r="F87" s="57">
        <v>20</v>
      </c>
      <c r="G87" s="57">
        <v>1</v>
      </c>
      <c r="H87" s="57">
        <v>1</v>
      </c>
      <c r="M87" s="23">
        <v>1</v>
      </c>
      <c r="O87" s="23">
        <v>56</v>
      </c>
    </row>
    <row r="88" spans="2:15" ht="18">
      <c r="B88" s="57">
        <v>1</v>
      </c>
      <c r="C88" s="57">
        <v>37</v>
      </c>
      <c r="D88" s="57">
        <v>4</v>
      </c>
      <c r="E88" s="57">
        <v>5</v>
      </c>
      <c r="F88" s="57">
        <v>10</v>
      </c>
      <c r="G88" s="57">
        <v>1</v>
      </c>
      <c r="H88" s="57">
        <v>0</v>
      </c>
      <c r="M88" s="23">
        <v>1</v>
      </c>
      <c r="O88" s="23">
        <v>57</v>
      </c>
    </row>
    <row r="89" spans="2:15" ht="18">
      <c r="B89" s="57">
        <v>1</v>
      </c>
      <c r="C89" s="57">
        <v>37</v>
      </c>
      <c r="D89" s="57">
        <v>3</v>
      </c>
      <c r="E89" s="57">
        <v>5</v>
      </c>
      <c r="F89" s="57">
        <v>18</v>
      </c>
      <c r="G89" s="57">
        <v>1</v>
      </c>
      <c r="H89" s="57">
        <v>0</v>
      </c>
      <c r="M89" s="23">
        <v>1</v>
      </c>
      <c r="O89" s="23">
        <v>58</v>
      </c>
    </row>
    <row r="90" spans="2:15" ht="18">
      <c r="B90" s="57">
        <v>1</v>
      </c>
      <c r="C90" s="57">
        <v>34</v>
      </c>
      <c r="D90" s="57">
        <v>7</v>
      </c>
      <c r="E90" s="57">
        <v>10</v>
      </c>
      <c r="F90" s="57">
        <v>9</v>
      </c>
      <c r="G90" s="57">
        <v>0</v>
      </c>
      <c r="H90" s="57">
        <v>0</v>
      </c>
      <c r="M90" s="23">
        <v>1</v>
      </c>
      <c r="O90" s="23">
        <v>59</v>
      </c>
    </row>
    <row r="91" spans="2:15" ht="18">
      <c r="B91" s="57">
        <v>1</v>
      </c>
      <c r="C91" s="57">
        <v>34</v>
      </c>
      <c r="D91" s="57">
        <v>8</v>
      </c>
      <c r="E91" s="57">
        <v>24</v>
      </c>
      <c r="F91" s="57">
        <v>10</v>
      </c>
      <c r="G91" s="57">
        <v>7</v>
      </c>
      <c r="H91" s="57">
        <v>0</v>
      </c>
      <c r="M91" s="23">
        <v>1</v>
      </c>
    </row>
    <row r="92" spans="2:15" ht="18">
      <c r="B92" s="57">
        <v>1</v>
      </c>
      <c r="C92" s="57">
        <v>4</v>
      </c>
      <c r="D92" s="57">
        <v>4</v>
      </c>
      <c r="E92" s="57">
        <v>15</v>
      </c>
      <c r="F92" s="57">
        <v>12</v>
      </c>
      <c r="G92" s="57">
        <v>2</v>
      </c>
      <c r="H92" s="57">
        <v>1</v>
      </c>
      <c r="M92" s="23">
        <v>1</v>
      </c>
    </row>
    <row r="93" spans="2:15" ht="18">
      <c r="B93" s="57">
        <v>1</v>
      </c>
      <c r="C93" s="57">
        <v>4</v>
      </c>
      <c r="D93" s="57">
        <v>5</v>
      </c>
      <c r="E93" s="57">
        <v>6</v>
      </c>
      <c r="F93" s="57">
        <v>12</v>
      </c>
      <c r="G93" s="57">
        <v>0</v>
      </c>
      <c r="H93" s="57">
        <v>0</v>
      </c>
      <c r="M93" s="23">
        <v>1</v>
      </c>
    </row>
    <row r="94" spans="2:15" ht="18">
      <c r="B94" s="57">
        <v>1</v>
      </c>
      <c r="C94" s="57">
        <v>4</v>
      </c>
      <c r="D94" s="57">
        <v>6</v>
      </c>
      <c r="E94" s="57">
        <v>5</v>
      </c>
      <c r="F94" s="57">
        <v>6</v>
      </c>
      <c r="G94" s="57">
        <v>1</v>
      </c>
      <c r="H94" s="57">
        <v>0</v>
      </c>
      <c r="M94" s="23">
        <v>1</v>
      </c>
    </row>
    <row r="95" spans="2:15" ht="18">
      <c r="B95" s="57">
        <v>1</v>
      </c>
      <c r="C95" s="57">
        <v>4</v>
      </c>
      <c r="D95" s="57">
        <v>7</v>
      </c>
      <c r="E95" s="57">
        <v>8</v>
      </c>
      <c r="F95" s="57">
        <v>7</v>
      </c>
      <c r="G95" s="57">
        <v>0</v>
      </c>
      <c r="H95" s="57">
        <v>0</v>
      </c>
      <c r="M95" s="23">
        <v>1</v>
      </c>
    </row>
    <row r="96" spans="2:15" ht="18">
      <c r="B96" s="57">
        <v>1</v>
      </c>
      <c r="C96" s="57">
        <v>4</v>
      </c>
      <c r="D96" s="57">
        <v>8</v>
      </c>
      <c r="E96" s="57">
        <v>6</v>
      </c>
      <c r="F96" s="57">
        <v>8</v>
      </c>
      <c r="G96" s="57">
        <v>1</v>
      </c>
      <c r="H96" s="57">
        <v>1</v>
      </c>
      <c r="M96" s="23">
        <v>1</v>
      </c>
    </row>
    <row r="97" spans="2:13" ht="18">
      <c r="B97" s="57">
        <v>1</v>
      </c>
      <c r="C97" s="57">
        <v>25</v>
      </c>
      <c r="D97" s="57">
        <v>7</v>
      </c>
      <c r="E97" s="57">
        <v>10</v>
      </c>
      <c r="F97" s="57">
        <v>3</v>
      </c>
      <c r="G97" s="57">
        <v>5</v>
      </c>
      <c r="H97" s="57">
        <v>0</v>
      </c>
      <c r="M97" s="23">
        <v>1</v>
      </c>
    </row>
    <row r="98" spans="2:13" ht="18">
      <c r="B98" s="57">
        <v>1</v>
      </c>
      <c r="C98" s="57">
        <v>9</v>
      </c>
      <c r="D98" s="57">
        <v>6</v>
      </c>
      <c r="E98" s="57">
        <v>3</v>
      </c>
      <c r="F98" s="57">
        <v>22</v>
      </c>
      <c r="G98" s="57">
        <v>0</v>
      </c>
      <c r="H98" s="57">
        <v>0</v>
      </c>
      <c r="M98" s="23">
        <v>1</v>
      </c>
    </row>
    <row r="99" spans="2:13" ht="18">
      <c r="B99" s="57">
        <v>1</v>
      </c>
      <c r="C99" s="57">
        <v>49</v>
      </c>
      <c r="D99" s="57">
        <v>7</v>
      </c>
      <c r="E99" s="57">
        <v>9</v>
      </c>
      <c r="F99" s="57">
        <v>1</v>
      </c>
      <c r="G99" s="57">
        <v>0</v>
      </c>
      <c r="H99" s="57">
        <v>0</v>
      </c>
      <c r="M99" s="23">
        <v>1</v>
      </c>
    </row>
    <row r="100" spans="2:13" ht="18">
      <c r="B100" s="57">
        <v>1</v>
      </c>
      <c r="C100" s="57">
        <v>54</v>
      </c>
      <c r="D100" s="57">
        <v>8</v>
      </c>
      <c r="E100" s="57">
        <v>7</v>
      </c>
      <c r="F100" s="57">
        <v>1</v>
      </c>
      <c r="G100" s="57">
        <v>0</v>
      </c>
      <c r="H100" s="57">
        <v>1</v>
      </c>
      <c r="M100" s="23">
        <v>1</v>
      </c>
    </row>
    <row r="101" spans="2:13" ht="18">
      <c r="B101" s="57">
        <v>1</v>
      </c>
      <c r="C101" s="57">
        <v>54</v>
      </c>
      <c r="D101" s="57">
        <v>6</v>
      </c>
      <c r="E101" s="57">
        <v>4</v>
      </c>
      <c r="F101" s="57">
        <v>1</v>
      </c>
      <c r="G101" s="57">
        <v>1</v>
      </c>
      <c r="H101" s="57">
        <v>0</v>
      </c>
      <c r="M101" s="23">
        <v>1</v>
      </c>
    </row>
    <row r="102" spans="2:13" ht="18">
      <c r="B102" s="57">
        <v>1</v>
      </c>
      <c r="C102" s="57">
        <v>54</v>
      </c>
      <c r="D102" s="57">
        <v>5</v>
      </c>
      <c r="E102" s="57">
        <v>4</v>
      </c>
      <c r="F102" s="57">
        <v>0</v>
      </c>
      <c r="G102" s="57">
        <v>0</v>
      </c>
      <c r="H102" s="57">
        <v>1</v>
      </c>
      <c r="M102" s="23">
        <v>1</v>
      </c>
    </row>
    <row r="103" spans="2:13" ht="18">
      <c r="B103" s="57">
        <v>1</v>
      </c>
      <c r="C103" s="57">
        <v>54</v>
      </c>
      <c r="D103" s="57">
        <v>7</v>
      </c>
      <c r="E103" s="57">
        <v>7</v>
      </c>
      <c r="F103" s="57">
        <v>0</v>
      </c>
      <c r="G103" s="57">
        <v>0</v>
      </c>
      <c r="H103" s="57">
        <v>1</v>
      </c>
      <c r="M103" s="23">
        <v>1</v>
      </c>
    </row>
    <row r="104" spans="2:13" ht="18">
      <c r="B104" s="57">
        <v>1</v>
      </c>
      <c r="C104" s="57">
        <v>54</v>
      </c>
      <c r="D104" s="57">
        <v>4</v>
      </c>
      <c r="E104" s="57">
        <v>2</v>
      </c>
      <c r="F104" s="57">
        <v>0</v>
      </c>
      <c r="G104" s="57">
        <v>0</v>
      </c>
      <c r="H104" s="57">
        <v>0</v>
      </c>
      <c r="M104" s="23">
        <v>1</v>
      </c>
    </row>
    <row r="105" spans="2:13" ht="18">
      <c r="B105" s="57">
        <v>1</v>
      </c>
      <c r="C105" s="57">
        <v>41</v>
      </c>
      <c r="D105" s="57">
        <v>7</v>
      </c>
      <c r="E105" s="57">
        <v>3</v>
      </c>
      <c r="F105" s="57">
        <v>12</v>
      </c>
      <c r="G105" s="57">
        <v>0</v>
      </c>
      <c r="H105" s="57">
        <v>0</v>
      </c>
      <c r="M105" s="23">
        <v>1</v>
      </c>
    </row>
    <row r="106" spans="2:13" ht="18">
      <c r="B106" s="57">
        <v>1</v>
      </c>
      <c r="C106" s="57">
        <v>2</v>
      </c>
      <c r="D106" s="57">
        <v>2</v>
      </c>
      <c r="E106" s="57">
        <v>3</v>
      </c>
      <c r="F106" s="57">
        <v>2</v>
      </c>
      <c r="G106" s="57">
        <v>0</v>
      </c>
      <c r="H106" s="57">
        <v>2</v>
      </c>
      <c r="M106" s="23">
        <v>1</v>
      </c>
    </row>
    <row r="107" spans="2:13" ht="18">
      <c r="B107" s="57">
        <v>1</v>
      </c>
      <c r="C107" s="57">
        <v>2</v>
      </c>
      <c r="D107" s="57">
        <v>4</v>
      </c>
      <c r="E107" s="57">
        <v>4</v>
      </c>
      <c r="F107" s="57">
        <v>3</v>
      </c>
      <c r="G107" s="57">
        <v>0</v>
      </c>
      <c r="H107" s="57">
        <v>4</v>
      </c>
      <c r="M107" s="23">
        <v>1</v>
      </c>
    </row>
    <row r="108" spans="2:13" ht="18">
      <c r="B108" s="57">
        <v>1</v>
      </c>
      <c r="C108" s="57">
        <v>2</v>
      </c>
      <c r="D108" s="57">
        <v>5</v>
      </c>
      <c r="E108" s="57">
        <v>2</v>
      </c>
      <c r="F108" s="57">
        <v>1</v>
      </c>
      <c r="G108" s="57">
        <v>1</v>
      </c>
      <c r="H108" s="57">
        <v>3</v>
      </c>
      <c r="M108" s="23">
        <v>1</v>
      </c>
    </row>
    <row r="109" spans="2:13" ht="18">
      <c r="B109" s="57">
        <v>1</v>
      </c>
      <c r="C109" s="57">
        <v>2</v>
      </c>
      <c r="D109" s="57">
        <v>6</v>
      </c>
      <c r="E109" s="57">
        <v>7</v>
      </c>
      <c r="F109" s="57">
        <v>2</v>
      </c>
      <c r="G109" s="57">
        <v>0</v>
      </c>
      <c r="H109" s="57">
        <v>5</v>
      </c>
      <c r="M109" s="23">
        <v>1</v>
      </c>
    </row>
    <row r="110" spans="2:13" ht="18">
      <c r="B110" s="57">
        <v>1</v>
      </c>
      <c r="C110" s="57">
        <v>2</v>
      </c>
      <c r="D110" s="57">
        <v>7</v>
      </c>
      <c r="E110" s="57">
        <v>23</v>
      </c>
      <c r="F110" s="57">
        <v>2</v>
      </c>
      <c r="G110" s="57">
        <v>0</v>
      </c>
      <c r="H110" s="57">
        <v>0</v>
      </c>
      <c r="M110" s="23">
        <v>1</v>
      </c>
    </row>
    <row r="111" spans="2:13" ht="18">
      <c r="B111" s="57">
        <v>1</v>
      </c>
      <c r="C111" s="57">
        <v>2</v>
      </c>
      <c r="D111" s="57">
        <v>8</v>
      </c>
      <c r="E111" s="57">
        <v>15</v>
      </c>
      <c r="F111" s="57">
        <v>0</v>
      </c>
      <c r="G111" s="57">
        <v>1</v>
      </c>
      <c r="H111" s="57">
        <v>1</v>
      </c>
      <c r="M111" s="23">
        <v>1</v>
      </c>
    </row>
    <row r="112" spans="2:13" ht="18">
      <c r="B112" s="57">
        <v>1</v>
      </c>
      <c r="C112" s="57">
        <v>2</v>
      </c>
      <c r="D112" s="57">
        <v>3</v>
      </c>
      <c r="E112" s="57">
        <v>4</v>
      </c>
      <c r="F112" s="57">
        <v>2</v>
      </c>
      <c r="G112" s="57">
        <v>0</v>
      </c>
      <c r="H112" s="57">
        <v>1</v>
      </c>
      <c r="M112" s="23">
        <v>1</v>
      </c>
    </row>
    <row r="113" spans="2:13" ht="18">
      <c r="B113" s="57">
        <v>1</v>
      </c>
      <c r="C113" s="57">
        <v>22</v>
      </c>
      <c r="D113" s="57">
        <v>8</v>
      </c>
      <c r="E113" s="57">
        <v>2</v>
      </c>
      <c r="F113" s="57">
        <v>23</v>
      </c>
      <c r="G113" s="57">
        <v>0</v>
      </c>
      <c r="H113" s="57">
        <v>0</v>
      </c>
      <c r="M113" s="23">
        <v>1</v>
      </c>
    </row>
    <row r="114" spans="2:13" ht="18">
      <c r="B114" s="57">
        <v>1</v>
      </c>
      <c r="C114" s="57">
        <v>22</v>
      </c>
      <c r="D114" s="57">
        <v>7</v>
      </c>
      <c r="E114" s="57">
        <v>0</v>
      </c>
      <c r="F114" s="57">
        <v>23</v>
      </c>
      <c r="G114" s="57">
        <v>0</v>
      </c>
      <c r="H114" s="57">
        <v>0</v>
      </c>
      <c r="M114" s="23">
        <v>1</v>
      </c>
    </row>
    <row r="115" spans="2:13" ht="18">
      <c r="B115" s="57">
        <v>1</v>
      </c>
      <c r="C115" s="57">
        <v>22</v>
      </c>
      <c r="D115" s="57">
        <v>6</v>
      </c>
      <c r="E115" s="57">
        <v>1</v>
      </c>
      <c r="F115" s="57">
        <v>13</v>
      </c>
      <c r="G115" s="57">
        <v>0</v>
      </c>
      <c r="H115" s="57">
        <v>0</v>
      </c>
      <c r="M115" s="23">
        <v>1</v>
      </c>
    </row>
    <row r="116" spans="2:13" ht="18">
      <c r="B116" s="57">
        <v>1</v>
      </c>
      <c r="C116" s="57">
        <v>22</v>
      </c>
      <c r="D116" s="57">
        <v>5</v>
      </c>
      <c r="E116" s="57">
        <v>1</v>
      </c>
      <c r="F116" s="57">
        <v>10</v>
      </c>
      <c r="G116" s="57">
        <v>0</v>
      </c>
      <c r="H116" s="57">
        <v>0</v>
      </c>
      <c r="M116" s="23">
        <v>1</v>
      </c>
    </row>
    <row r="117" spans="2:13" ht="18">
      <c r="B117" s="57">
        <v>1</v>
      </c>
      <c r="C117" s="57">
        <v>41</v>
      </c>
      <c r="D117" s="57">
        <v>6</v>
      </c>
      <c r="E117" s="57">
        <v>11</v>
      </c>
      <c r="F117" s="57">
        <v>4</v>
      </c>
      <c r="G117" s="57">
        <v>1</v>
      </c>
      <c r="H117" s="57">
        <v>0</v>
      </c>
      <c r="M117" s="23">
        <v>1</v>
      </c>
    </row>
    <row r="118" spans="2:13" ht="18">
      <c r="B118" s="57">
        <v>1</v>
      </c>
      <c r="C118" s="57">
        <v>49</v>
      </c>
      <c r="D118" s="57">
        <v>6</v>
      </c>
      <c r="E118" s="57">
        <v>15</v>
      </c>
      <c r="F118" s="57">
        <v>6</v>
      </c>
      <c r="G118" s="57">
        <v>2</v>
      </c>
      <c r="H118" s="57">
        <v>0</v>
      </c>
      <c r="M118" s="23">
        <v>1</v>
      </c>
    </row>
    <row r="119" spans="2:13" ht="18">
      <c r="B119" s="57">
        <v>1</v>
      </c>
      <c r="C119" s="57">
        <v>21</v>
      </c>
      <c r="D119" s="57">
        <v>7</v>
      </c>
      <c r="E119" s="57">
        <v>2</v>
      </c>
      <c r="F119" s="57">
        <v>19</v>
      </c>
      <c r="G119" s="57">
        <v>0</v>
      </c>
      <c r="H119" s="57">
        <v>0</v>
      </c>
      <c r="M119" s="23">
        <v>1</v>
      </c>
    </row>
    <row r="120" spans="2:13" ht="18">
      <c r="B120" s="57">
        <v>1</v>
      </c>
      <c r="C120" s="57">
        <v>21</v>
      </c>
      <c r="D120" s="57">
        <v>6</v>
      </c>
      <c r="E120" s="57">
        <v>1</v>
      </c>
      <c r="F120" s="57">
        <v>22</v>
      </c>
      <c r="G120" s="57">
        <v>0</v>
      </c>
      <c r="H120" s="57">
        <v>0</v>
      </c>
      <c r="M120" s="23">
        <v>1</v>
      </c>
    </row>
    <row r="121" spans="2:13" ht="18">
      <c r="B121" s="57">
        <v>1</v>
      </c>
      <c r="C121" s="57">
        <v>27</v>
      </c>
      <c r="D121" s="57">
        <v>5</v>
      </c>
      <c r="E121" s="57">
        <v>40</v>
      </c>
      <c r="F121" s="57">
        <v>15</v>
      </c>
      <c r="G121" s="57">
        <v>0</v>
      </c>
      <c r="H121" s="57">
        <v>0</v>
      </c>
      <c r="M121" s="23">
        <v>1</v>
      </c>
    </row>
    <row r="122" spans="2:13" ht="18">
      <c r="B122" s="57">
        <v>1</v>
      </c>
      <c r="C122" s="57">
        <v>27</v>
      </c>
      <c r="D122" s="57">
        <v>4</v>
      </c>
      <c r="E122" s="57">
        <v>20</v>
      </c>
      <c r="F122" s="57">
        <v>12</v>
      </c>
      <c r="G122" s="57">
        <v>0</v>
      </c>
      <c r="H122" s="57">
        <v>0</v>
      </c>
      <c r="M122" s="23">
        <v>1</v>
      </c>
    </row>
    <row r="123" spans="2:13" ht="18">
      <c r="B123" s="57">
        <v>1</v>
      </c>
      <c r="C123" s="57">
        <v>27</v>
      </c>
      <c r="D123" s="57">
        <v>3</v>
      </c>
      <c r="E123" s="57">
        <v>25</v>
      </c>
      <c r="F123" s="57">
        <v>15</v>
      </c>
      <c r="G123" s="57">
        <v>0</v>
      </c>
      <c r="H123" s="57">
        <v>0</v>
      </c>
      <c r="M123" s="23">
        <v>1</v>
      </c>
    </row>
    <row r="124" spans="2:13" ht="18">
      <c r="B124" s="57">
        <v>1</v>
      </c>
      <c r="C124" s="57">
        <v>35</v>
      </c>
      <c r="D124" s="57">
        <v>6</v>
      </c>
      <c r="E124" s="57">
        <v>9</v>
      </c>
      <c r="F124" s="57">
        <v>0</v>
      </c>
      <c r="G124" s="57">
        <v>8</v>
      </c>
      <c r="H124" s="57">
        <v>0</v>
      </c>
      <c r="M124" s="23">
        <v>1</v>
      </c>
    </row>
    <row r="125" spans="2:13" ht="18">
      <c r="B125" s="57">
        <v>1</v>
      </c>
      <c r="C125" s="57">
        <v>28</v>
      </c>
      <c r="D125" s="57">
        <v>5</v>
      </c>
      <c r="E125" s="57">
        <v>13</v>
      </c>
      <c r="F125" s="57">
        <v>4</v>
      </c>
      <c r="G125" s="57">
        <v>0</v>
      </c>
      <c r="H125" s="57">
        <v>1</v>
      </c>
      <c r="M125" s="23">
        <v>1</v>
      </c>
    </row>
    <row r="126" spans="2:13" ht="18">
      <c r="B126" s="57">
        <v>1</v>
      </c>
      <c r="C126" s="57">
        <v>15</v>
      </c>
      <c r="D126" s="57">
        <v>6</v>
      </c>
      <c r="E126" s="57">
        <v>1</v>
      </c>
      <c r="F126" s="57">
        <v>0</v>
      </c>
      <c r="G126" s="57">
        <v>0</v>
      </c>
      <c r="H126" s="57">
        <v>0</v>
      </c>
      <c r="M126" s="23">
        <v>1</v>
      </c>
    </row>
    <row r="127" spans="2:13" ht="18">
      <c r="B127" s="57">
        <v>1</v>
      </c>
      <c r="C127" s="57">
        <v>9</v>
      </c>
      <c r="D127" s="57">
        <v>6</v>
      </c>
      <c r="E127" s="57">
        <v>4</v>
      </c>
      <c r="F127" s="57">
        <v>21</v>
      </c>
      <c r="G127" s="57">
        <v>0</v>
      </c>
      <c r="H127" s="57">
        <v>0</v>
      </c>
      <c r="M127" s="23">
        <v>1</v>
      </c>
    </row>
    <row r="128" spans="2:13" ht="18">
      <c r="B128" s="57">
        <v>1</v>
      </c>
      <c r="C128" s="57">
        <v>59</v>
      </c>
      <c r="D128" s="57">
        <v>4</v>
      </c>
      <c r="E128" s="57">
        <v>3</v>
      </c>
      <c r="F128" s="57">
        <v>0</v>
      </c>
      <c r="G128" s="57">
        <v>0</v>
      </c>
      <c r="H128" s="57">
        <v>0</v>
      </c>
      <c r="M128" s="23">
        <v>1</v>
      </c>
    </row>
    <row r="129" spans="2:13" ht="18">
      <c r="B129" s="57">
        <v>1</v>
      </c>
      <c r="C129" s="57">
        <v>59</v>
      </c>
      <c r="D129" s="57">
        <v>5</v>
      </c>
      <c r="E129" s="57">
        <v>6</v>
      </c>
      <c r="F129" s="57">
        <v>1</v>
      </c>
      <c r="G129" s="57">
        <v>0</v>
      </c>
      <c r="H129" s="57">
        <v>0</v>
      </c>
      <c r="M129" s="23">
        <v>1</v>
      </c>
    </row>
    <row r="130" spans="2:13" ht="18">
      <c r="B130" s="57">
        <v>1</v>
      </c>
      <c r="C130" s="57">
        <v>29</v>
      </c>
      <c r="D130" s="57">
        <v>4</v>
      </c>
      <c r="E130" s="57">
        <v>20</v>
      </c>
      <c r="F130" s="57">
        <v>15</v>
      </c>
      <c r="G130" s="57">
        <v>0</v>
      </c>
      <c r="H130" s="57">
        <v>0</v>
      </c>
      <c r="M130" s="23">
        <v>1</v>
      </c>
    </row>
    <row r="131" spans="2:13" ht="18">
      <c r="B131" s="57">
        <v>1</v>
      </c>
      <c r="C131" s="57">
        <v>29</v>
      </c>
      <c r="D131" s="57">
        <v>3</v>
      </c>
      <c r="E131" s="57">
        <v>14</v>
      </c>
      <c r="F131" s="57">
        <v>38</v>
      </c>
      <c r="G131" s="57">
        <v>0</v>
      </c>
      <c r="H131" s="57">
        <v>0</v>
      </c>
      <c r="M131" s="23">
        <v>1</v>
      </c>
    </row>
    <row r="132" spans="2:13" ht="18">
      <c r="B132" s="57">
        <v>1</v>
      </c>
      <c r="C132" s="57">
        <v>29</v>
      </c>
      <c r="D132" s="57">
        <v>5</v>
      </c>
      <c r="E132" s="57">
        <v>9</v>
      </c>
      <c r="F132" s="57">
        <v>13</v>
      </c>
      <c r="G132" s="57">
        <v>6</v>
      </c>
      <c r="H132" s="57">
        <v>0</v>
      </c>
      <c r="M132" s="23">
        <v>1</v>
      </c>
    </row>
    <row r="133" spans="2:13" ht="18">
      <c r="B133" s="57">
        <v>1</v>
      </c>
      <c r="C133" s="57">
        <v>25</v>
      </c>
      <c r="D133" s="57">
        <v>6</v>
      </c>
      <c r="E133" s="57">
        <v>8</v>
      </c>
      <c r="F133" s="57">
        <v>0</v>
      </c>
      <c r="G133" s="57">
        <v>3</v>
      </c>
      <c r="H133" s="57">
        <v>0</v>
      </c>
      <c r="M133" s="23">
        <v>1</v>
      </c>
    </row>
    <row r="134" spans="2:13" ht="18">
      <c r="B134" s="57">
        <v>1</v>
      </c>
      <c r="C134" s="57">
        <v>34</v>
      </c>
      <c r="D134" s="57">
        <v>6</v>
      </c>
      <c r="E134" s="57">
        <v>10</v>
      </c>
      <c r="F134" s="57">
        <v>10</v>
      </c>
      <c r="G134" s="57">
        <v>8</v>
      </c>
      <c r="H134" s="57">
        <v>3</v>
      </c>
      <c r="M134" s="23">
        <v>1</v>
      </c>
    </row>
    <row r="135" spans="2:13" ht="18">
      <c r="B135" s="57">
        <v>1</v>
      </c>
      <c r="C135" s="57">
        <v>8</v>
      </c>
      <c r="D135" s="57">
        <v>2</v>
      </c>
      <c r="E135" s="57">
        <v>8</v>
      </c>
      <c r="F135" s="57">
        <v>5</v>
      </c>
      <c r="G135" s="57">
        <v>12</v>
      </c>
      <c r="H135" s="57">
        <v>0</v>
      </c>
      <c r="M135" s="23">
        <v>1</v>
      </c>
    </row>
    <row r="136" spans="2:13" ht="18">
      <c r="B136" s="57">
        <v>1</v>
      </c>
      <c r="C136" s="57">
        <v>8</v>
      </c>
      <c r="D136" s="57">
        <v>7</v>
      </c>
      <c r="E136" s="57">
        <v>10</v>
      </c>
      <c r="F136" s="57">
        <v>8</v>
      </c>
      <c r="G136" s="57">
        <v>0</v>
      </c>
      <c r="H136" s="57">
        <v>0</v>
      </c>
      <c r="M136" s="23">
        <v>1</v>
      </c>
    </row>
    <row r="137" spans="2:13" ht="18">
      <c r="B137" s="57">
        <v>1</v>
      </c>
      <c r="C137" s="57">
        <v>8</v>
      </c>
      <c r="D137" s="57">
        <v>5</v>
      </c>
      <c r="E137" s="57">
        <v>5</v>
      </c>
      <c r="F137" s="57">
        <v>10</v>
      </c>
      <c r="G137" s="57">
        <v>0</v>
      </c>
      <c r="H137" s="57">
        <v>0</v>
      </c>
      <c r="M137" s="23">
        <v>1</v>
      </c>
    </row>
    <row r="138" spans="2:13" ht="18">
      <c r="B138" s="57">
        <v>1</v>
      </c>
      <c r="C138" s="57">
        <v>8</v>
      </c>
      <c r="D138" s="57">
        <v>6</v>
      </c>
      <c r="E138" s="57">
        <v>12</v>
      </c>
      <c r="F138" s="57">
        <v>6</v>
      </c>
      <c r="G138" s="57">
        <v>1</v>
      </c>
      <c r="H138" s="57">
        <v>0</v>
      </c>
      <c r="M138" s="23">
        <v>1</v>
      </c>
    </row>
    <row r="139" spans="2:13" ht="18">
      <c r="B139" s="57">
        <v>1</v>
      </c>
      <c r="C139" s="57">
        <v>8</v>
      </c>
      <c r="D139" s="57">
        <v>4</v>
      </c>
      <c r="E139" s="57">
        <v>8</v>
      </c>
      <c r="F139" s="57">
        <v>8</v>
      </c>
      <c r="G139" s="57">
        <v>1</v>
      </c>
      <c r="H139" s="57">
        <v>0</v>
      </c>
      <c r="M139" s="23">
        <v>1</v>
      </c>
    </row>
    <row r="140" spans="2:13" ht="18">
      <c r="B140" s="57">
        <v>1</v>
      </c>
      <c r="C140" s="57">
        <v>8</v>
      </c>
      <c r="D140" s="57">
        <v>3</v>
      </c>
      <c r="E140" s="57">
        <v>4</v>
      </c>
      <c r="F140" s="57">
        <v>0</v>
      </c>
      <c r="G140" s="57">
        <v>1</v>
      </c>
      <c r="H140" s="57">
        <v>0</v>
      </c>
      <c r="M140" s="23">
        <v>1</v>
      </c>
    </row>
    <row r="141" spans="2:13" ht="18">
      <c r="B141" s="57">
        <v>1</v>
      </c>
      <c r="C141" s="57">
        <v>56</v>
      </c>
      <c r="D141" s="57">
        <v>5</v>
      </c>
      <c r="E141" s="57">
        <v>9</v>
      </c>
      <c r="F141" s="57">
        <v>1</v>
      </c>
      <c r="G141" s="57">
        <v>0</v>
      </c>
      <c r="H141" s="57">
        <v>3</v>
      </c>
      <c r="M141" s="23">
        <v>1</v>
      </c>
    </row>
    <row r="142" spans="2:13" ht="18">
      <c r="B142" s="57">
        <v>1</v>
      </c>
      <c r="C142" s="57">
        <v>56</v>
      </c>
      <c r="D142" s="57">
        <v>4</v>
      </c>
      <c r="E142" s="57">
        <v>7</v>
      </c>
      <c r="F142" s="57">
        <v>0</v>
      </c>
      <c r="G142" s="57">
        <v>3</v>
      </c>
      <c r="H142" s="57">
        <v>4</v>
      </c>
      <c r="M142" s="23">
        <v>1</v>
      </c>
    </row>
    <row r="143" spans="2:13" ht="18">
      <c r="B143" s="57">
        <v>1</v>
      </c>
      <c r="C143" s="57">
        <v>56</v>
      </c>
      <c r="D143" s="57">
        <v>3</v>
      </c>
      <c r="E143" s="57">
        <v>2</v>
      </c>
      <c r="F143" s="57">
        <v>0</v>
      </c>
      <c r="G143" s="57">
        <v>0</v>
      </c>
      <c r="H143" s="57">
        <v>4</v>
      </c>
      <c r="M143" s="23">
        <v>1</v>
      </c>
    </row>
    <row r="144" spans="2:13" ht="18">
      <c r="B144" s="57">
        <v>1</v>
      </c>
      <c r="C144" s="57">
        <v>41</v>
      </c>
      <c r="D144" s="57">
        <v>5</v>
      </c>
      <c r="E144" s="57">
        <v>8</v>
      </c>
      <c r="F144" s="57">
        <v>1</v>
      </c>
      <c r="G144" s="57">
        <v>1</v>
      </c>
      <c r="H144" s="57">
        <v>0</v>
      </c>
      <c r="M144" s="23">
        <v>1</v>
      </c>
    </row>
    <row r="145" spans="2:13" ht="18">
      <c r="B145" s="57">
        <v>1</v>
      </c>
      <c r="C145" s="57">
        <v>35</v>
      </c>
      <c r="D145" s="57">
        <v>5</v>
      </c>
      <c r="E145" s="57">
        <v>6</v>
      </c>
      <c r="F145" s="57">
        <v>5</v>
      </c>
      <c r="G145" s="57">
        <v>0</v>
      </c>
      <c r="H145" s="57">
        <v>0</v>
      </c>
      <c r="M145" s="23">
        <v>1</v>
      </c>
    </row>
    <row r="146" spans="2:13" ht="18">
      <c r="B146" s="57">
        <v>1</v>
      </c>
      <c r="C146" s="57">
        <v>34</v>
      </c>
      <c r="D146" s="57">
        <v>5</v>
      </c>
      <c r="E146" s="57">
        <v>11</v>
      </c>
      <c r="F146" s="57">
        <v>17</v>
      </c>
      <c r="G146" s="57">
        <v>5</v>
      </c>
      <c r="H146" s="57">
        <v>6</v>
      </c>
      <c r="M146" s="23">
        <v>1</v>
      </c>
    </row>
    <row r="147" spans="2:13" ht="18">
      <c r="B147" s="57">
        <v>1</v>
      </c>
      <c r="C147" s="57">
        <v>34</v>
      </c>
      <c r="D147" s="57">
        <v>4</v>
      </c>
      <c r="E147" s="57">
        <v>15</v>
      </c>
      <c r="F147" s="57">
        <v>15</v>
      </c>
      <c r="G147" s="57">
        <v>7</v>
      </c>
      <c r="H147" s="57">
        <v>1</v>
      </c>
      <c r="M147" s="23">
        <v>1</v>
      </c>
    </row>
    <row r="148" spans="2:13" ht="18">
      <c r="B148" s="57">
        <v>1</v>
      </c>
      <c r="C148" s="57">
        <v>12</v>
      </c>
      <c r="D148" s="57">
        <v>7</v>
      </c>
      <c r="E148" s="57">
        <v>8</v>
      </c>
      <c r="F148" s="57">
        <v>9</v>
      </c>
      <c r="G148" s="57">
        <v>2</v>
      </c>
      <c r="H148" s="57">
        <v>3</v>
      </c>
      <c r="M148" s="23">
        <v>1</v>
      </c>
    </row>
    <row r="149" spans="2:13" ht="18">
      <c r="B149" s="57">
        <v>1</v>
      </c>
      <c r="C149" s="57">
        <v>12</v>
      </c>
      <c r="D149" s="57">
        <v>5</v>
      </c>
      <c r="E149" s="57">
        <v>4</v>
      </c>
      <c r="F149" s="57">
        <v>7</v>
      </c>
      <c r="G149" s="57">
        <v>1</v>
      </c>
      <c r="H149" s="57">
        <v>0</v>
      </c>
      <c r="M149" s="23">
        <v>1</v>
      </c>
    </row>
    <row r="150" spans="2:13" ht="18">
      <c r="B150" s="57">
        <v>1</v>
      </c>
      <c r="C150" s="57">
        <v>35</v>
      </c>
      <c r="D150" s="57">
        <v>4</v>
      </c>
      <c r="E150" s="57">
        <v>10</v>
      </c>
      <c r="F150" s="57">
        <v>5</v>
      </c>
      <c r="G150" s="57">
        <v>0</v>
      </c>
      <c r="H150" s="57">
        <v>0</v>
      </c>
      <c r="M150" s="23">
        <v>1</v>
      </c>
    </row>
    <row r="151" spans="2:13" ht="18">
      <c r="B151" s="57">
        <v>1</v>
      </c>
      <c r="C151" s="57">
        <v>43</v>
      </c>
      <c r="D151" s="57">
        <v>2</v>
      </c>
      <c r="E151" s="57">
        <v>5</v>
      </c>
      <c r="F151" s="57">
        <v>10</v>
      </c>
      <c r="G151" s="57">
        <v>0</v>
      </c>
      <c r="H151" s="57">
        <v>0</v>
      </c>
      <c r="M151" s="23">
        <v>1</v>
      </c>
    </row>
    <row r="152" spans="2:13" ht="18">
      <c r="B152" s="57">
        <v>1</v>
      </c>
      <c r="C152" s="57">
        <v>4</v>
      </c>
      <c r="D152" s="57">
        <v>1</v>
      </c>
      <c r="E152" s="57">
        <v>3</v>
      </c>
      <c r="F152" s="57">
        <v>14</v>
      </c>
      <c r="G152" s="57">
        <v>1</v>
      </c>
      <c r="H152" s="57">
        <v>0</v>
      </c>
      <c r="M152" s="23">
        <v>1</v>
      </c>
    </row>
    <row r="153" spans="2:13" ht="18">
      <c r="B153" s="57">
        <v>1</v>
      </c>
      <c r="C153" s="57">
        <v>43</v>
      </c>
      <c r="D153" s="57">
        <v>3</v>
      </c>
      <c r="E153" s="57">
        <v>0</v>
      </c>
      <c r="F153" s="57">
        <v>17</v>
      </c>
      <c r="G153" s="57">
        <v>0</v>
      </c>
      <c r="H153" s="57">
        <v>0</v>
      </c>
      <c r="M153" s="23">
        <v>1</v>
      </c>
    </row>
    <row r="154" spans="2:13" ht="18">
      <c r="B154" s="57">
        <v>1</v>
      </c>
      <c r="C154" s="57">
        <v>43</v>
      </c>
      <c r="D154" s="57">
        <v>7</v>
      </c>
      <c r="E154" s="57">
        <v>8</v>
      </c>
      <c r="F154" s="57">
        <v>2</v>
      </c>
      <c r="G154" s="57">
        <v>3</v>
      </c>
      <c r="H154" s="57">
        <v>0</v>
      </c>
      <c r="M154" s="23">
        <v>1</v>
      </c>
    </row>
    <row r="155" spans="2:13" ht="18">
      <c r="B155" s="57">
        <v>1</v>
      </c>
      <c r="C155" s="57">
        <v>35</v>
      </c>
      <c r="D155" s="57">
        <v>9</v>
      </c>
      <c r="E155" s="57">
        <v>8</v>
      </c>
      <c r="F155" s="57">
        <v>7</v>
      </c>
      <c r="G155" s="57">
        <v>5</v>
      </c>
      <c r="H155" s="57">
        <v>0</v>
      </c>
      <c r="M155" s="23">
        <v>1</v>
      </c>
    </row>
    <row r="156" spans="2:13" ht="18">
      <c r="B156" s="57">
        <v>1</v>
      </c>
      <c r="C156" s="57">
        <v>37</v>
      </c>
      <c r="D156" s="57">
        <v>5</v>
      </c>
      <c r="E156" s="57">
        <v>10</v>
      </c>
      <c r="F156" s="57">
        <v>13</v>
      </c>
      <c r="G156" s="57">
        <v>2</v>
      </c>
      <c r="H156" s="57">
        <v>0</v>
      </c>
      <c r="M156" s="23">
        <v>1</v>
      </c>
    </row>
    <row r="157" spans="2:13" ht="18">
      <c r="B157" s="57">
        <v>1</v>
      </c>
      <c r="C157" s="57">
        <v>41</v>
      </c>
      <c r="D157" s="57">
        <v>9</v>
      </c>
      <c r="E157" s="57">
        <v>3</v>
      </c>
      <c r="F157" s="57">
        <v>0</v>
      </c>
      <c r="G157" s="57">
        <v>0</v>
      </c>
      <c r="H157" s="57">
        <v>0</v>
      </c>
      <c r="M157" s="23">
        <v>1</v>
      </c>
    </row>
    <row r="158" spans="2:13" ht="18">
      <c r="B158" s="57">
        <v>1</v>
      </c>
      <c r="C158" s="57">
        <v>34</v>
      </c>
      <c r="D158" s="57">
        <v>8</v>
      </c>
      <c r="E158" s="57">
        <v>11</v>
      </c>
      <c r="F158" s="57">
        <v>2</v>
      </c>
      <c r="G158" s="57">
        <v>1</v>
      </c>
      <c r="H158" s="57">
        <v>2</v>
      </c>
      <c r="M158" s="23">
        <v>1</v>
      </c>
    </row>
    <row r="159" spans="2:13" ht="18">
      <c r="B159" s="57">
        <v>1</v>
      </c>
      <c r="C159" s="57">
        <v>34</v>
      </c>
      <c r="D159" s="57">
        <v>9</v>
      </c>
      <c r="E159" s="57">
        <v>15</v>
      </c>
      <c r="F159" s="57">
        <v>2</v>
      </c>
      <c r="G159" s="57">
        <v>3</v>
      </c>
      <c r="H159" s="57">
        <v>0</v>
      </c>
      <c r="M159" s="23">
        <v>1</v>
      </c>
    </row>
    <row r="160" spans="2:13" ht="18">
      <c r="B160" s="57">
        <v>1</v>
      </c>
      <c r="C160" s="57">
        <v>59</v>
      </c>
      <c r="D160" s="57">
        <v>9</v>
      </c>
      <c r="E160" s="57">
        <v>3</v>
      </c>
      <c r="F160" s="57">
        <v>1</v>
      </c>
      <c r="G160" s="57">
        <v>0</v>
      </c>
      <c r="H160" s="57">
        <v>0</v>
      </c>
      <c r="M160" s="23">
        <v>1</v>
      </c>
    </row>
    <row r="161" spans="2:13" ht="18">
      <c r="B161" s="57">
        <v>1</v>
      </c>
      <c r="C161" s="57">
        <v>59</v>
      </c>
      <c r="D161" s="57">
        <v>8</v>
      </c>
      <c r="E161" s="57">
        <v>5</v>
      </c>
      <c r="F161" s="57">
        <v>1</v>
      </c>
      <c r="G161" s="57">
        <v>0</v>
      </c>
      <c r="H161" s="57">
        <v>0</v>
      </c>
      <c r="M161" s="23">
        <v>1</v>
      </c>
    </row>
    <row r="162" spans="2:13" ht="18">
      <c r="B162" s="57">
        <v>1</v>
      </c>
      <c r="C162" s="57">
        <v>2</v>
      </c>
      <c r="D162" s="57">
        <v>9</v>
      </c>
      <c r="E162" s="57">
        <v>4</v>
      </c>
      <c r="F162" s="57">
        <v>0</v>
      </c>
      <c r="G162" s="57">
        <v>0</v>
      </c>
      <c r="H162" s="57">
        <v>0</v>
      </c>
      <c r="M162" s="23">
        <v>1</v>
      </c>
    </row>
    <row r="163" spans="2:13" ht="18">
      <c r="B163" s="57">
        <v>1</v>
      </c>
      <c r="C163" s="57">
        <v>21</v>
      </c>
      <c r="D163" s="57">
        <v>9</v>
      </c>
      <c r="E163" s="57">
        <v>4</v>
      </c>
      <c r="F163" s="57">
        <v>24</v>
      </c>
      <c r="G163" s="57">
        <v>0</v>
      </c>
      <c r="H163" s="57">
        <v>0</v>
      </c>
      <c r="M163" s="23">
        <v>1</v>
      </c>
    </row>
    <row r="164" spans="2:13" ht="18">
      <c r="B164" s="57">
        <v>1</v>
      </c>
      <c r="C164" s="57">
        <v>49</v>
      </c>
      <c r="D164" s="57">
        <v>9</v>
      </c>
      <c r="E164" s="57">
        <v>8</v>
      </c>
      <c r="F164" s="57">
        <v>7</v>
      </c>
      <c r="G164" s="57">
        <v>0</v>
      </c>
      <c r="H164" s="57">
        <v>0</v>
      </c>
      <c r="M164" s="23">
        <v>1</v>
      </c>
    </row>
    <row r="165" spans="2:13" ht="18">
      <c r="B165" s="57">
        <v>1</v>
      </c>
      <c r="C165" s="57">
        <v>9</v>
      </c>
      <c r="D165" s="57">
        <v>8</v>
      </c>
      <c r="E165" s="57">
        <v>6</v>
      </c>
      <c r="F165" s="57">
        <v>19</v>
      </c>
      <c r="G165" s="57">
        <v>0</v>
      </c>
      <c r="H165" s="57">
        <v>0</v>
      </c>
      <c r="M165" s="23">
        <v>1</v>
      </c>
    </row>
    <row r="166" spans="2:13" ht="18">
      <c r="B166" s="57">
        <v>1</v>
      </c>
      <c r="C166" s="57">
        <v>9</v>
      </c>
      <c r="D166" s="57">
        <v>3</v>
      </c>
      <c r="E166" s="57">
        <v>6</v>
      </c>
      <c r="F166" s="57">
        <v>17</v>
      </c>
      <c r="G166" s="57">
        <v>2</v>
      </c>
      <c r="H166" s="57">
        <v>0</v>
      </c>
      <c r="M166" s="23">
        <v>1</v>
      </c>
    </row>
    <row r="167" spans="2:13" ht="18">
      <c r="B167" s="57">
        <v>1</v>
      </c>
      <c r="C167" s="57">
        <v>23</v>
      </c>
      <c r="D167" s="57">
        <v>5</v>
      </c>
      <c r="E167" s="57">
        <v>6</v>
      </c>
      <c r="F167" s="57">
        <v>10</v>
      </c>
      <c r="G167" s="57">
        <v>1</v>
      </c>
      <c r="H167" s="57">
        <v>0</v>
      </c>
      <c r="M167" s="23">
        <v>1</v>
      </c>
    </row>
    <row r="168" spans="2:13" ht="18">
      <c r="B168" s="57">
        <v>1</v>
      </c>
      <c r="C168" s="57">
        <v>23</v>
      </c>
      <c r="D168" s="57">
        <v>6</v>
      </c>
      <c r="E168" s="57">
        <v>7</v>
      </c>
      <c r="F168" s="57">
        <v>12</v>
      </c>
      <c r="G168" s="57">
        <v>0</v>
      </c>
      <c r="H168" s="57">
        <v>0</v>
      </c>
      <c r="M168" s="23">
        <v>1</v>
      </c>
    </row>
    <row r="169" spans="2:13" ht="18">
      <c r="B169" s="57">
        <v>1</v>
      </c>
      <c r="C169" s="57">
        <v>23</v>
      </c>
      <c r="D169" s="57">
        <v>7</v>
      </c>
      <c r="E169" s="57">
        <v>4</v>
      </c>
      <c r="F169" s="57">
        <v>9</v>
      </c>
      <c r="G169" s="57">
        <v>1</v>
      </c>
      <c r="H169" s="57">
        <v>1</v>
      </c>
      <c r="M169" s="23">
        <v>1</v>
      </c>
    </row>
    <row r="170" spans="2:13" ht="18">
      <c r="B170" s="57">
        <v>1</v>
      </c>
      <c r="C170" s="57">
        <v>23</v>
      </c>
      <c r="D170" s="57">
        <v>9</v>
      </c>
      <c r="E170" s="57">
        <v>7</v>
      </c>
      <c r="F170" s="57">
        <v>15</v>
      </c>
      <c r="G170" s="57">
        <v>2</v>
      </c>
      <c r="H170" s="57">
        <v>1</v>
      </c>
      <c r="M170" s="23">
        <v>1</v>
      </c>
    </row>
    <row r="171" spans="2:13" ht="18">
      <c r="B171" s="57">
        <v>1</v>
      </c>
      <c r="C171" s="57">
        <v>28</v>
      </c>
      <c r="D171" s="57">
        <v>9</v>
      </c>
      <c r="E171" s="57">
        <v>7</v>
      </c>
      <c r="F171" s="57">
        <v>15</v>
      </c>
      <c r="G171" s="57">
        <v>0</v>
      </c>
      <c r="H171" s="57">
        <v>4</v>
      </c>
      <c r="M171" s="23">
        <v>1</v>
      </c>
    </row>
    <row r="172" spans="2:13" ht="18">
      <c r="B172" s="57">
        <v>1</v>
      </c>
      <c r="C172" s="57">
        <v>28</v>
      </c>
      <c r="D172" s="57">
        <v>8</v>
      </c>
      <c r="E172" s="57">
        <v>5</v>
      </c>
      <c r="F172" s="57">
        <v>17</v>
      </c>
      <c r="G172" s="57">
        <v>0</v>
      </c>
      <c r="H172" s="57">
        <v>2</v>
      </c>
      <c r="M172" s="23">
        <v>1</v>
      </c>
    </row>
    <row r="173" spans="2:13" ht="18">
      <c r="B173" s="57">
        <v>1</v>
      </c>
      <c r="C173" s="57">
        <v>28</v>
      </c>
      <c r="D173" s="57">
        <v>7</v>
      </c>
      <c r="E173" s="57">
        <v>12</v>
      </c>
      <c r="F173" s="57">
        <v>3</v>
      </c>
      <c r="G173" s="57">
        <v>0</v>
      </c>
      <c r="H173" s="57">
        <v>0</v>
      </c>
      <c r="M173" s="23">
        <v>1</v>
      </c>
    </row>
    <row r="174" spans="2:13" ht="18">
      <c r="B174" s="57">
        <v>1</v>
      </c>
      <c r="C174" s="57">
        <v>9</v>
      </c>
      <c r="D174" s="57">
        <v>9</v>
      </c>
      <c r="E174" s="57">
        <v>6</v>
      </c>
      <c r="F174" s="57">
        <v>19</v>
      </c>
      <c r="G174" s="57">
        <v>0</v>
      </c>
      <c r="H174" s="57">
        <v>0</v>
      </c>
      <c r="M174" s="23">
        <v>1</v>
      </c>
    </row>
    <row r="175" spans="2:13" ht="18">
      <c r="B175" s="57">
        <v>1</v>
      </c>
      <c r="C175" s="57">
        <v>23</v>
      </c>
      <c r="D175" s="57">
        <v>8</v>
      </c>
      <c r="E175" s="57">
        <v>6</v>
      </c>
      <c r="F175" s="57">
        <v>13</v>
      </c>
      <c r="G175" s="57">
        <v>0</v>
      </c>
      <c r="H175" s="57">
        <v>1</v>
      </c>
      <c r="M175" s="23">
        <v>1</v>
      </c>
    </row>
    <row r="176" spans="2:13" ht="18">
      <c r="B176" s="57">
        <v>1</v>
      </c>
      <c r="C176" s="57">
        <v>35</v>
      </c>
      <c r="D176" s="57">
        <v>10</v>
      </c>
      <c r="E176" s="57">
        <v>10</v>
      </c>
      <c r="F176" s="57">
        <v>9</v>
      </c>
      <c r="G176" s="57">
        <v>8</v>
      </c>
      <c r="H176" s="57">
        <v>0</v>
      </c>
      <c r="M176" s="23">
        <v>1</v>
      </c>
    </row>
    <row r="177" spans="2:13" ht="18">
      <c r="B177" s="57">
        <v>1</v>
      </c>
      <c r="C177" s="57">
        <v>37</v>
      </c>
      <c r="D177" s="57">
        <v>6</v>
      </c>
      <c r="E177" s="57">
        <v>7</v>
      </c>
      <c r="F177" s="57">
        <v>16</v>
      </c>
      <c r="G177" s="57">
        <v>2</v>
      </c>
      <c r="H177" s="57">
        <v>0</v>
      </c>
      <c r="M177" s="23">
        <v>1</v>
      </c>
    </row>
    <row r="178" spans="2:13" ht="18">
      <c r="B178" s="57">
        <v>1</v>
      </c>
      <c r="C178" s="57">
        <v>49</v>
      </c>
      <c r="D178" s="57">
        <v>10</v>
      </c>
      <c r="E178" s="57">
        <v>10</v>
      </c>
      <c r="F178" s="57">
        <v>7</v>
      </c>
      <c r="G178" s="57">
        <v>0</v>
      </c>
      <c r="H178" s="57">
        <v>0</v>
      </c>
      <c r="M178" s="23">
        <v>1</v>
      </c>
    </row>
    <row r="179" spans="2:13" ht="18">
      <c r="B179" s="57">
        <v>1</v>
      </c>
      <c r="C179" s="57">
        <v>25</v>
      </c>
      <c r="D179" s="57">
        <v>10</v>
      </c>
      <c r="E179" s="57">
        <v>13</v>
      </c>
      <c r="F179" s="57">
        <v>3</v>
      </c>
      <c r="G179" s="57">
        <v>5</v>
      </c>
      <c r="H179" s="57">
        <v>0</v>
      </c>
      <c r="M179" s="23">
        <v>1</v>
      </c>
    </row>
    <row r="180" spans="2:13" ht="18">
      <c r="B180" s="57">
        <v>1</v>
      </c>
      <c r="C180" s="57">
        <v>12</v>
      </c>
      <c r="D180" s="57">
        <v>10</v>
      </c>
      <c r="E180" s="57">
        <v>12</v>
      </c>
      <c r="F180" s="57">
        <v>8</v>
      </c>
      <c r="G180" s="57">
        <v>3</v>
      </c>
      <c r="H180" s="57">
        <v>0</v>
      </c>
      <c r="M180" s="23">
        <v>1</v>
      </c>
    </row>
    <row r="181" spans="2:13" ht="18">
      <c r="B181" s="57">
        <v>1</v>
      </c>
      <c r="C181" s="57">
        <v>12</v>
      </c>
      <c r="D181" s="57">
        <v>9</v>
      </c>
      <c r="E181" s="57">
        <v>12</v>
      </c>
      <c r="F181" s="57">
        <v>5</v>
      </c>
      <c r="G181" s="57">
        <v>3</v>
      </c>
      <c r="H181" s="57">
        <v>0</v>
      </c>
      <c r="M181" s="23">
        <v>1</v>
      </c>
    </row>
    <row r="182" spans="2:13" ht="18">
      <c r="B182" s="57">
        <v>1</v>
      </c>
      <c r="C182" s="57">
        <v>12</v>
      </c>
      <c r="D182" s="57">
        <v>8</v>
      </c>
      <c r="E182" s="57">
        <v>5</v>
      </c>
      <c r="F182" s="57">
        <v>8</v>
      </c>
      <c r="G182" s="57">
        <v>3</v>
      </c>
      <c r="H182" s="57">
        <v>1</v>
      </c>
      <c r="M182" s="23">
        <v>1</v>
      </c>
    </row>
    <row r="183" spans="2:13" ht="18">
      <c r="B183" s="57">
        <v>1</v>
      </c>
      <c r="C183" s="57">
        <v>48</v>
      </c>
      <c r="D183" s="57">
        <v>10</v>
      </c>
      <c r="E183" s="57">
        <v>8</v>
      </c>
      <c r="F183" s="57">
        <v>12</v>
      </c>
      <c r="G183" s="57">
        <v>0</v>
      </c>
      <c r="H183" s="57">
        <v>0</v>
      </c>
      <c r="M183" s="23">
        <v>1</v>
      </c>
    </row>
    <row r="184" spans="2:13" ht="18">
      <c r="B184" s="57">
        <v>1</v>
      </c>
      <c r="C184" s="57">
        <v>48</v>
      </c>
      <c r="D184" s="57">
        <v>9</v>
      </c>
      <c r="E184" s="57">
        <v>10</v>
      </c>
      <c r="F184" s="57">
        <v>7</v>
      </c>
      <c r="G184" s="57">
        <v>0</v>
      </c>
      <c r="H184" s="57">
        <v>0</v>
      </c>
      <c r="M184" s="23">
        <v>1</v>
      </c>
    </row>
    <row r="185" spans="2:13" ht="18">
      <c r="B185" s="57">
        <v>1</v>
      </c>
      <c r="C185" s="57">
        <v>36</v>
      </c>
      <c r="D185" s="57">
        <v>10</v>
      </c>
      <c r="E185" s="57">
        <v>19</v>
      </c>
      <c r="F185" s="57">
        <v>7</v>
      </c>
      <c r="G185" s="57">
        <v>10</v>
      </c>
      <c r="H185" s="57">
        <v>0</v>
      </c>
      <c r="M185" s="23">
        <v>1</v>
      </c>
    </row>
    <row r="186" spans="2:13" ht="18">
      <c r="B186" s="57">
        <v>1</v>
      </c>
      <c r="C186" s="57">
        <v>22</v>
      </c>
      <c r="D186" s="57">
        <v>10</v>
      </c>
      <c r="E186" s="57">
        <v>0</v>
      </c>
      <c r="F186" s="57">
        <v>14</v>
      </c>
      <c r="G186" s="57">
        <v>0</v>
      </c>
      <c r="H186" s="57">
        <v>0</v>
      </c>
      <c r="M186" s="23">
        <v>1</v>
      </c>
    </row>
    <row r="187" spans="2:13" ht="18">
      <c r="B187" s="57">
        <v>1</v>
      </c>
      <c r="C187" s="57">
        <v>22</v>
      </c>
      <c r="D187" s="57">
        <v>9</v>
      </c>
      <c r="E187" s="57">
        <v>1</v>
      </c>
      <c r="F187" s="57">
        <v>24</v>
      </c>
      <c r="G187" s="57">
        <v>0</v>
      </c>
      <c r="H187" s="57">
        <v>0</v>
      </c>
      <c r="M187" s="23">
        <v>1</v>
      </c>
    </row>
    <row r="188" spans="2:13" ht="18">
      <c r="B188" s="57">
        <v>1</v>
      </c>
      <c r="C188" s="57">
        <v>41</v>
      </c>
      <c r="D188" s="57">
        <v>10</v>
      </c>
      <c r="E188" s="57">
        <v>3</v>
      </c>
      <c r="F188" s="57">
        <v>1</v>
      </c>
      <c r="G188" s="57">
        <v>0</v>
      </c>
      <c r="H188" s="57">
        <v>0</v>
      </c>
      <c r="M188" s="23">
        <v>1</v>
      </c>
    </row>
    <row r="189" spans="2:13" ht="18">
      <c r="B189" s="57">
        <v>1</v>
      </c>
      <c r="C189" s="57">
        <v>21</v>
      </c>
      <c r="D189" s="57">
        <v>10</v>
      </c>
      <c r="E189" s="57">
        <v>1</v>
      </c>
      <c r="F189" s="57">
        <v>19</v>
      </c>
      <c r="G189" s="57">
        <v>0</v>
      </c>
      <c r="H189" s="57">
        <v>0</v>
      </c>
      <c r="M189" s="23">
        <v>1</v>
      </c>
    </row>
    <row r="190" spans="2:13" ht="18">
      <c r="B190" s="57">
        <v>1</v>
      </c>
      <c r="C190" s="57">
        <v>27</v>
      </c>
      <c r="D190" s="57">
        <v>6</v>
      </c>
      <c r="E190" s="57">
        <v>45</v>
      </c>
      <c r="F190" s="57">
        <v>20</v>
      </c>
      <c r="G190" s="57">
        <v>0</v>
      </c>
      <c r="H190" s="57">
        <v>0</v>
      </c>
      <c r="M190" s="23">
        <v>1</v>
      </c>
    </row>
    <row r="191" spans="2:13" ht="18">
      <c r="B191" s="57">
        <v>1</v>
      </c>
      <c r="C191" s="57">
        <v>27</v>
      </c>
      <c r="D191" s="57">
        <v>8</v>
      </c>
      <c r="E191" s="57">
        <v>30</v>
      </c>
      <c r="F191" s="57">
        <v>15</v>
      </c>
      <c r="G191" s="57">
        <v>0</v>
      </c>
      <c r="H191" s="57">
        <v>0</v>
      </c>
      <c r="M191" s="23">
        <v>1</v>
      </c>
    </row>
    <row r="192" spans="2:13" ht="18">
      <c r="B192" s="57">
        <v>1</v>
      </c>
      <c r="C192" s="57">
        <v>27</v>
      </c>
      <c r="D192" s="57">
        <v>7</v>
      </c>
      <c r="E192" s="57">
        <v>25</v>
      </c>
      <c r="F192" s="57">
        <v>10</v>
      </c>
      <c r="G192" s="57">
        <v>0</v>
      </c>
      <c r="H192" s="57">
        <v>0</v>
      </c>
      <c r="M192" s="23">
        <v>1</v>
      </c>
    </row>
    <row r="193" spans="2:13" ht="18">
      <c r="B193" s="57">
        <v>1</v>
      </c>
      <c r="C193" s="57">
        <v>27</v>
      </c>
      <c r="D193" s="57">
        <v>9</v>
      </c>
      <c r="E193" s="57">
        <v>30</v>
      </c>
      <c r="F193" s="57">
        <v>10</v>
      </c>
      <c r="G193" s="57">
        <v>0</v>
      </c>
      <c r="H193" s="57">
        <v>0</v>
      </c>
      <c r="M193" s="23">
        <v>1</v>
      </c>
    </row>
    <row r="194" spans="2:13" ht="18">
      <c r="B194" s="57">
        <v>1</v>
      </c>
      <c r="C194" s="57">
        <v>45</v>
      </c>
      <c r="D194" s="57">
        <v>3</v>
      </c>
      <c r="E194" s="57">
        <v>14</v>
      </c>
      <c r="F194" s="57">
        <v>9</v>
      </c>
      <c r="G194" s="57">
        <v>2</v>
      </c>
      <c r="H194" s="57">
        <v>0</v>
      </c>
      <c r="M194" s="23">
        <v>1</v>
      </c>
    </row>
    <row r="195" spans="2:13" ht="18">
      <c r="B195" s="57">
        <v>1</v>
      </c>
      <c r="C195" s="57">
        <v>45</v>
      </c>
      <c r="D195" s="57">
        <v>4</v>
      </c>
      <c r="E195" s="57">
        <v>11</v>
      </c>
      <c r="F195" s="57">
        <v>7</v>
      </c>
      <c r="G195" s="57">
        <v>1</v>
      </c>
      <c r="H195" s="57">
        <v>0</v>
      </c>
      <c r="M195" s="23">
        <v>1</v>
      </c>
    </row>
    <row r="196" spans="2:13" ht="18">
      <c r="B196" s="57">
        <v>1</v>
      </c>
      <c r="C196" s="57">
        <v>45</v>
      </c>
      <c r="D196" s="57">
        <v>5</v>
      </c>
      <c r="E196" s="57">
        <v>15</v>
      </c>
      <c r="F196" s="57">
        <v>4</v>
      </c>
      <c r="G196" s="57">
        <v>1</v>
      </c>
      <c r="H196" s="57">
        <v>5</v>
      </c>
      <c r="M196" s="23">
        <v>1</v>
      </c>
    </row>
    <row r="197" spans="2:13" ht="18">
      <c r="B197" s="57">
        <v>1</v>
      </c>
      <c r="C197" s="57">
        <v>45</v>
      </c>
      <c r="D197" s="57">
        <v>6</v>
      </c>
      <c r="E197" s="57">
        <v>18</v>
      </c>
      <c r="F197" s="57">
        <v>7</v>
      </c>
      <c r="G197" s="57">
        <v>0</v>
      </c>
      <c r="H197" s="57">
        <v>0</v>
      </c>
      <c r="M197" s="23">
        <v>1</v>
      </c>
    </row>
    <row r="198" spans="2:13" ht="18">
      <c r="B198" s="57">
        <v>1</v>
      </c>
      <c r="C198" s="57">
        <v>45</v>
      </c>
      <c r="D198" s="57">
        <v>8</v>
      </c>
      <c r="E198" s="57">
        <v>17</v>
      </c>
      <c r="F198" s="57">
        <v>3</v>
      </c>
      <c r="G198" s="57">
        <v>2</v>
      </c>
      <c r="H198" s="57">
        <v>0</v>
      </c>
      <c r="M198" s="23">
        <v>1</v>
      </c>
    </row>
    <row r="199" spans="2:13" ht="18">
      <c r="B199" s="57">
        <v>1</v>
      </c>
      <c r="C199" s="57">
        <v>45</v>
      </c>
      <c r="D199" s="57">
        <v>7</v>
      </c>
      <c r="E199" s="57">
        <v>13</v>
      </c>
      <c r="F199" s="57">
        <v>4</v>
      </c>
      <c r="G199" s="57">
        <v>0</v>
      </c>
      <c r="H199" s="57">
        <v>0</v>
      </c>
      <c r="M199" s="23">
        <v>1</v>
      </c>
    </row>
    <row r="200" spans="2:13" ht="18">
      <c r="B200" s="57">
        <v>1</v>
      </c>
      <c r="C200" s="57">
        <v>45</v>
      </c>
      <c r="D200" s="57">
        <v>9</v>
      </c>
      <c r="E200" s="57">
        <v>6</v>
      </c>
      <c r="F200" s="57">
        <v>6</v>
      </c>
      <c r="G200" s="57">
        <v>0</v>
      </c>
      <c r="H200" s="57">
        <v>4</v>
      </c>
      <c r="M200" s="23">
        <v>1</v>
      </c>
    </row>
    <row r="201" spans="2:13" ht="18">
      <c r="B201" s="57">
        <v>1</v>
      </c>
      <c r="C201" s="57">
        <v>19</v>
      </c>
      <c r="D201" s="57">
        <v>9</v>
      </c>
      <c r="E201" s="57">
        <v>0</v>
      </c>
      <c r="F201" s="57">
        <v>10</v>
      </c>
      <c r="G201" s="57">
        <v>10</v>
      </c>
      <c r="H201" s="57">
        <v>1</v>
      </c>
      <c r="M201" s="23">
        <v>1</v>
      </c>
    </row>
    <row r="202" spans="2:13" ht="18">
      <c r="B202" s="57">
        <v>1</v>
      </c>
      <c r="C202" s="57">
        <v>15</v>
      </c>
      <c r="D202" s="57">
        <v>9</v>
      </c>
      <c r="E202" s="57">
        <v>0</v>
      </c>
      <c r="F202" s="57">
        <v>1</v>
      </c>
      <c r="G202" s="57">
        <v>0</v>
      </c>
      <c r="H202" s="57">
        <v>0</v>
      </c>
      <c r="M202" s="23">
        <v>1</v>
      </c>
    </row>
    <row r="203" spans="2:13" ht="18">
      <c r="B203" s="57">
        <v>1</v>
      </c>
      <c r="C203" s="57">
        <v>38</v>
      </c>
      <c r="D203" s="57">
        <v>10</v>
      </c>
      <c r="E203" s="57">
        <v>4</v>
      </c>
      <c r="F203" s="57">
        <v>22</v>
      </c>
      <c r="G203" s="57">
        <v>0</v>
      </c>
      <c r="H203" s="57">
        <v>0</v>
      </c>
      <c r="M203" s="23">
        <v>1</v>
      </c>
    </row>
    <row r="204" spans="2:13" ht="18">
      <c r="B204" s="57">
        <v>1</v>
      </c>
      <c r="C204" s="57">
        <v>8</v>
      </c>
      <c r="D204" s="57">
        <v>9</v>
      </c>
      <c r="E204" s="57">
        <v>2</v>
      </c>
      <c r="F204" s="57">
        <v>21</v>
      </c>
      <c r="G204" s="57">
        <v>0</v>
      </c>
      <c r="H204" s="57">
        <v>0</v>
      </c>
      <c r="M204" s="23">
        <v>1</v>
      </c>
    </row>
    <row r="205" spans="2:13" ht="18">
      <c r="B205" s="57">
        <v>1</v>
      </c>
      <c r="C205" s="57">
        <v>38</v>
      </c>
      <c r="D205" s="57">
        <v>8</v>
      </c>
      <c r="E205" s="57">
        <v>7</v>
      </c>
      <c r="F205" s="57">
        <v>42</v>
      </c>
      <c r="G205" s="57">
        <v>0</v>
      </c>
      <c r="H205" s="57">
        <v>0</v>
      </c>
      <c r="M205" s="23">
        <v>1</v>
      </c>
    </row>
    <row r="206" spans="2:13" ht="18">
      <c r="B206" s="57">
        <v>1</v>
      </c>
      <c r="C206" s="57">
        <v>38</v>
      </c>
      <c r="D206" s="57">
        <v>7</v>
      </c>
      <c r="E206" s="57">
        <v>2</v>
      </c>
      <c r="F206" s="57">
        <v>16</v>
      </c>
      <c r="G206" s="57">
        <v>0</v>
      </c>
      <c r="H206" s="57">
        <v>0</v>
      </c>
      <c r="M206" s="23">
        <v>1</v>
      </c>
    </row>
    <row r="207" spans="2:13" ht="18">
      <c r="B207" s="57">
        <v>1</v>
      </c>
      <c r="C207" s="57">
        <v>38</v>
      </c>
      <c r="D207" s="57">
        <v>6</v>
      </c>
      <c r="E207" s="57">
        <v>4</v>
      </c>
      <c r="F207" s="57">
        <v>36</v>
      </c>
      <c r="G207" s="57">
        <v>1</v>
      </c>
      <c r="H207" s="57">
        <v>2</v>
      </c>
      <c r="M207" s="23">
        <v>1</v>
      </c>
    </row>
    <row r="208" spans="2:13" ht="18">
      <c r="B208" s="57">
        <v>1</v>
      </c>
      <c r="C208" s="57">
        <v>38</v>
      </c>
      <c r="D208" s="57">
        <v>5</v>
      </c>
      <c r="E208" s="57">
        <v>2</v>
      </c>
      <c r="F208" s="57">
        <v>32</v>
      </c>
      <c r="G208" s="57">
        <v>1</v>
      </c>
      <c r="H208" s="57">
        <v>1</v>
      </c>
      <c r="M208" s="23">
        <v>1</v>
      </c>
    </row>
    <row r="209" spans="2:13" ht="18">
      <c r="B209" s="57">
        <v>1</v>
      </c>
      <c r="C209" s="57">
        <v>25</v>
      </c>
      <c r="D209" s="57">
        <v>11</v>
      </c>
      <c r="E209" s="57">
        <v>13</v>
      </c>
      <c r="F209" s="57">
        <v>3</v>
      </c>
      <c r="G209" s="57">
        <v>5</v>
      </c>
      <c r="H209" s="57">
        <v>0</v>
      </c>
      <c r="M209" s="23">
        <v>1</v>
      </c>
    </row>
    <row r="210" spans="2:13" ht="18">
      <c r="B210" s="57">
        <v>1</v>
      </c>
      <c r="C210" s="57">
        <v>21</v>
      </c>
      <c r="D210" s="57">
        <v>12</v>
      </c>
      <c r="E210" s="57">
        <v>0</v>
      </c>
      <c r="F210" s="57">
        <v>18</v>
      </c>
      <c r="G210" s="57">
        <v>0</v>
      </c>
      <c r="H210" s="57">
        <v>0</v>
      </c>
      <c r="M210" s="23">
        <v>1</v>
      </c>
    </row>
    <row r="211" spans="2:13" ht="18">
      <c r="B211" s="57">
        <v>1</v>
      </c>
      <c r="C211" s="57">
        <v>21</v>
      </c>
      <c r="D211" s="57">
        <v>11</v>
      </c>
      <c r="E211" s="57">
        <v>2</v>
      </c>
      <c r="F211" s="57">
        <v>30</v>
      </c>
      <c r="G211" s="57">
        <v>0</v>
      </c>
      <c r="H211" s="57">
        <v>0</v>
      </c>
      <c r="M211" s="23">
        <v>1</v>
      </c>
    </row>
    <row r="212" spans="2:13" ht="18">
      <c r="B212" s="57">
        <v>1</v>
      </c>
      <c r="C212" s="57">
        <v>57</v>
      </c>
      <c r="D212" s="57">
        <v>4</v>
      </c>
      <c r="E212" s="57">
        <v>3</v>
      </c>
      <c r="F212" s="57">
        <v>0</v>
      </c>
      <c r="G212" s="57">
        <v>0</v>
      </c>
      <c r="H212" s="57">
        <v>0</v>
      </c>
      <c r="M212" s="23">
        <v>1</v>
      </c>
    </row>
    <row r="213" spans="2:13" ht="18">
      <c r="B213" s="57">
        <v>1</v>
      </c>
      <c r="C213" s="57">
        <v>57</v>
      </c>
      <c r="D213" s="57">
        <v>5</v>
      </c>
      <c r="E213" s="57">
        <v>3</v>
      </c>
      <c r="F213" s="57">
        <v>1</v>
      </c>
      <c r="G213" s="57">
        <v>0</v>
      </c>
      <c r="H213" s="57">
        <v>0</v>
      </c>
      <c r="M213" s="23">
        <v>1</v>
      </c>
    </row>
    <row r="214" spans="2:13" ht="18">
      <c r="B214" s="57">
        <v>1</v>
      </c>
      <c r="C214" s="57">
        <v>57</v>
      </c>
      <c r="D214" s="57">
        <v>6</v>
      </c>
      <c r="E214" s="57">
        <v>0</v>
      </c>
      <c r="F214" s="57">
        <v>1</v>
      </c>
      <c r="G214" s="57">
        <v>0</v>
      </c>
      <c r="H214" s="57">
        <v>0</v>
      </c>
      <c r="M214" s="23">
        <v>1</v>
      </c>
    </row>
    <row r="215" spans="2:13" ht="18">
      <c r="B215" s="57">
        <v>1</v>
      </c>
      <c r="C215" s="57">
        <v>57</v>
      </c>
      <c r="D215" s="57">
        <v>7</v>
      </c>
      <c r="E215" s="57">
        <v>0</v>
      </c>
      <c r="F215" s="57">
        <v>0</v>
      </c>
      <c r="G215" s="57">
        <v>0</v>
      </c>
      <c r="H215" s="57">
        <v>0</v>
      </c>
      <c r="M215" s="23">
        <v>1</v>
      </c>
    </row>
    <row r="216" spans="2:13" ht="18">
      <c r="B216" s="57">
        <v>1</v>
      </c>
      <c r="C216" s="57">
        <v>57</v>
      </c>
      <c r="D216" s="57">
        <v>8</v>
      </c>
      <c r="E216" s="57">
        <v>3</v>
      </c>
      <c r="F216" s="57">
        <v>2</v>
      </c>
      <c r="G216" s="57">
        <v>0</v>
      </c>
      <c r="H216" s="57">
        <v>0</v>
      </c>
      <c r="M216" s="23">
        <v>1</v>
      </c>
    </row>
    <row r="217" spans="2:13" ht="18">
      <c r="B217" s="57">
        <v>1</v>
      </c>
      <c r="C217" s="57">
        <v>57</v>
      </c>
      <c r="D217" s="57">
        <v>9</v>
      </c>
      <c r="E217" s="57">
        <v>5</v>
      </c>
      <c r="F217" s="57">
        <v>1</v>
      </c>
      <c r="G217" s="57">
        <v>0</v>
      </c>
      <c r="H217" s="57">
        <v>0</v>
      </c>
      <c r="M217" s="23">
        <v>1</v>
      </c>
    </row>
    <row r="218" spans="2:13" ht="18">
      <c r="B218" s="57">
        <v>1</v>
      </c>
      <c r="C218" s="57">
        <v>57</v>
      </c>
      <c r="D218" s="57">
        <v>10</v>
      </c>
      <c r="E218" s="57">
        <v>2</v>
      </c>
      <c r="F218" s="57">
        <v>4</v>
      </c>
      <c r="G218" s="57">
        <v>0</v>
      </c>
      <c r="H218" s="57">
        <v>0</v>
      </c>
      <c r="M218" s="23">
        <v>1</v>
      </c>
    </row>
    <row r="219" spans="2:13" ht="18">
      <c r="B219" s="57">
        <v>1</v>
      </c>
      <c r="C219" s="57">
        <v>57</v>
      </c>
      <c r="D219" s="57">
        <v>11</v>
      </c>
      <c r="E219" s="57">
        <v>3</v>
      </c>
      <c r="F219" s="57">
        <v>0</v>
      </c>
      <c r="G219" s="57">
        <v>0</v>
      </c>
      <c r="H219" s="57">
        <v>2</v>
      </c>
      <c r="M219" s="23">
        <v>1</v>
      </c>
    </row>
    <row r="220" spans="2:13" ht="18">
      <c r="B220" s="57">
        <v>1</v>
      </c>
      <c r="C220" s="57">
        <v>35</v>
      </c>
      <c r="D220" s="57">
        <v>11</v>
      </c>
      <c r="E220" s="57">
        <v>13</v>
      </c>
      <c r="F220" s="57">
        <v>12</v>
      </c>
      <c r="G220" s="57">
        <v>10</v>
      </c>
      <c r="H220" s="57">
        <v>0</v>
      </c>
      <c r="M220" s="23">
        <v>1</v>
      </c>
    </row>
    <row r="221" spans="2:13" ht="18">
      <c r="B221" s="57">
        <v>1</v>
      </c>
      <c r="C221" s="57">
        <v>49</v>
      </c>
      <c r="D221" s="57">
        <v>11</v>
      </c>
      <c r="E221" s="57">
        <v>4</v>
      </c>
      <c r="F221" s="57">
        <v>3</v>
      </c>
      <c r="G221" s="57">
        <v>1</v>
      </c>
      <c r="H221" s="57">
        <v>0</v>
      </c>
      <c r="M221" s="23">
        <v>1</v>
      </c>
    </row>
    <row r="222" spans="2:13" ht="18">
      <c r="B222" s="57">
        <v>1</v>
      </c>
      <c r="C222" s="57">
        <v>49</v>
      </c>
      <c r="D222" s="57">
        <v>12</v>
      </c>
      <c r="E222" s="57">
        <v>11</v>
      </c>
      <c r="F222" s="57">
        <v>0</v>
      </c>
      <c r="G222" s="57">
        <v>1</v>
      </c>
      <c r="H222" s="57">
        <v>1</v>
      </c>
      <c r="M222" s="23">
        <v>1</v>
      </c>
    </row>
    <row r="223" spans="2:13" ht="18">
      <c r="B223" s="57">
        <v>1</v>
      </c>
      <c r="C223" s="57">
        <v>34</v>
      </c>
      <c r="D223" s="57">
        <v>9</v>
      </c>
      <c r="E223" s="57">
        <v>15</v>
      </c>
      <c r="F223" s="57">
        <v>2</v>
      </c>
      <c r="G223" s="57">
        <v>3</v>
      </c>
      <c r="H223" s="57">
        <v>0</v>
      </c>
      <c r="M223" s="23">
        <v>1</v>
      </c>
    </row>
    <row r="224" spans="2:13" ht="18">
      <c r="B224" s="57">
        <v>1</v>
      </c>
      <c r="C224" s="57">
        <v>34</v>
      </c>
      <c r="D224" s="57">
        <v>10</v>
      </c>
      <c r="E224" s="57">
        <v>11</v>
      </c>
      <c r="F224" s="57">
        <v>12</v>
      </c>
      <c r="G224" s="57">
        <v>1</v>
      </c>
      <c r="H224" s="57">
        <v>2</v>
      </c>
      <c r="M224" s="23">
        <v>1</v>
      </c>
    </row>
    <row r="225" spans="2:13" ht="18">
      <c r="B225" s="57">
        <v>1</v>
      </c>
      <c r="C225" s="57">
        <v>34</v>
      </c>
      <c r="D225" s="57">
        <v>11</v>
      </c>
      <c r="E225" s="57">
        <v>8</v>
      </c>
      <c r="F225" s="57">
        <v>13</v>
      </c>
      <c r="G225" s="57">
        <v>0</v>
      </c>
      <c r="H225" s="57">
        <v>1</v>
      </c>
      <c r="M225" s="23">
        <v>1</v>
      </c>
    </row>
    <row r="226" spans="2:13" ht="18">
      <c r="B226" s="57">
        <v>1</v>
      </c>
      <c r="C226" s="57">
        <v>34</v>
      </c>
      <c r="D226" s="57">
        <v>13</v>
      </c>
      <c r="E226" s="57">
        <v>8</v>
      </c>
      <c r="F226" s="57">
        <v>1</v>
      </c>
      <c r="G226" s="57">
        <v>0</v>
      </c>
      <c r="H226" s="57">
        <v>1</v>
      </c>
      <c r="M226" s="23">
        <v>1</v>
      </c>
    </row>
    <row r="227" spans="2:13" ht="18">
      <c r="B227" s="57">
        <v>1</v>
      </c>
      <c r="C227" s="57">
        <v>34</v>
      </c>
      <c r="D227" s="57">
        <v>12</v>
      </c>
      <c r="E227" s="57">
        <v>9</v>
      </c>
      <c r="F227" s="57">
        <v>0</v>
      </c>
      <c r="G227" s="57">
        <v>2</v>
      </c>
      <c r="H227" s="57">
        <v>0</v>
      </c>
      <c r="M227" s="23">
        <v>1</v>
      </c>
    </row>
    <row r="228" spans="2:13" ht="18">
      <c r="B228" s="57">
        <v>1</v>
      </c>
      <c r="C228" s="57">
        <v>48</v>
      </c>
      <c r="D228" s="57">
        <v>11</v>
      </c>
      <c r="E228" s="57">
        <v>3</v>
      </c>
      <c r="F228" s="57">
        <v>18</v>
      </c>
      <c r="G228" s="57">
        <v>0</v>
      </c>
      <c r="H228" s="57">
        <v>0</v>
      </c>
      <c r="M228" s="23">
        <v>1</v>
      </c>
    </row>
    <row r="229" spans="2:13" ht="18">
      <c r="B229" s="57">
        <v>1</v>
      </c>
      <c r="C229" s="57">
        <v>48</v>
      </c>
      <c r="D229" s="57">
        <v>13</v>
      </c>
      <c r="E229" s="57">
        <v>4</v>
      </c>
      <c r="F229" s="57">
        <v>11</v>
      </c>
      <c r="G229" s="57">
        <v>1</v>
      </c>
      <c r="H229" s="57">
        <v>0</v>
      </c>
      <c r="M229" s="23">
        <v>1</v>
      </c>
    </row>
    <row r="230" spans="2:13" ht="18">
      <c r="B230" s="57">
        <v>1</v>
      </c>
      <c r="C230" s="57">
        <v>48</v>
      </c>
      <c r="D230" s="57">
        <v>12</v>
      </c>
      <c r="E230" s="57">
        <v>4</v>
      </c>
      <c r="F230" s="57">
        <v>10</v>
      </c>
      <c r="G230" s="57">
        <v>0</v>
      </c>
      <c r="H230" s="57">
        <v>0</v>
      </c>
      <c r="M230" s="23">
        <v>1</v>
      </c>
    </row>
    <row r="231" spans="2:13" ht="18">
      <c r="B231" s="57">
        <v>1</v>
      </c>
      <c r="C231" s="57">
        <v>15</v>
      </c>
      <c r="D231" s="57">
        <v>11</v>
      </c>
      <c r="E231" s="57">
        <v>0</v>
      </c>
      <c r="F231" s="57">
        <v>3</v>
      </c>
      <c r="G231" s="57">
        <v>0</v>
      </c>
      <c r="H231" s="57">
        <v>0</v>
      </c>
      <c r="M231" s="23">
        <v>1</v>
      </c>
    </row>
    <row r="232" spans="2:13" ht="18">
      <c r="B232" s="57">
        <v>1</v>
      </c>
      <c r="C232" s="57">
        <v>15</v>
      </c>
      <c r="D232" s="57">
        <v>12</v>
      </c>
      <c r="E232" s="57">
        <v>2</v>
      </c>
      <c r="F232" s="57">
        <v>0</v>
      </c>
      <c r="G232" s="57">
        <v>0</v>
      </c>
      <c r="H232" s="57">
        <v>0</v>
      </c>
      <c r="M232" s="23">
        <v>1</v>
      </c>
    </row>
    <row r="233" spans="2:13" ht="18">
      <c r="B233" s="57">
        <v>1</v>
      </c>
      <c r="C233" s="57">
        <v>59</v>
      </c>
      <c r="D233" s="57">
        <v>15</v>
      </c>
      <c r="E233" s="57">
        <v>1</v>
      </c>
      <c r="F233" s="57">
        <v>2</v>
      </c>
      <c r="G233" s="57">
        <v>1</v>
      </c>
      <c r="H233" s="57">
        <v>0</v>
      </c>
      <c r="M233" s="23">
        <v>1</v>
      </c>
    </row>
    <row r="234" spans="2:13" ht="18">
      <c r="B234" s="57">
        <v>1</v>
      </c>
      <c r="C234" s="57">
        <v>59</v>
      </c>
      <c r="D234" s="57">
        <v>14</v>
      </c>
      <c r="E234" s="57">
        <v>0</v>
      </c>
      <c r="F234" s="57">
        <v>2</v>
      </c>
      <c r="G234" s="57">
        <v>1</v>
      </c>
      <c r="H234" s="57">
        <v>0</v>
      </c>
      <c r="M234" s="23">
        <v>1</v>
      </c>
    </row>
    <row r="235" spans="2:13" ht="18">
      <c r="B235" s="57">
        <v>1</v>
      </c>
      <c r="C235" s="57">
        <v>59</v>
      </c>
      <c r="D235" s="57">
        <v>13</v>
      </c>
      <c r="E235" s="57">
        <v>5</v>
      </c>
      <c r="F235" s="57">
        <v>4</v>
      </c>
      <c r="G235" s="57">
        <v>0</v>
      </c>
      <c r="H235" s="57">
        <v>0</v>
      </c>
      <c r="M235" s="23">
        <v>1</v>
      </c>
    </row>
    <row r="236" spans="2:13" ht="18">
      <c r="B236" s="57">
        <v>1</v>
      </c>
      <c r="C236" s="57">
        <v>59</v>
      </c>
      <c r="D236" s="57">
        <v>12</v>
      </c>
      <c r="E236" s="57">
        <v>5</v>
      </c>
      <c r="F236" s="57">
        <v>1</v>
      </c>
      <c r="G236" s="57">
        <v>0</v>
      </c>
      <c r="H236" s="57">
        <v>0</v>
      </c>
      <c r="M236" s="23">
        <v>1</v>
      </c>
    </row>
    <row r="237" spans="2:13" ht="18">
      <c r="B237" s="57">
        <v>1</v>
      </c>
      <c r="C237" s="57">
        <v>28</v>
      </c>
      <c r="D237" s="57">
        <v>11</v>
      </c>
      <c r="E237" s="57">
        <v>8</v>
      </c>
      <c r="F237" s="57">
        <v>14</v>
      </c>
      <c r="G237" s="57">
        <v>0</v>
      </c>
      <c r="H237" s="57">
        <v>2</v>
      </c>
      <c r="M237" s="23">
        <v>1</v>
      </c>
    </row>
    <row r="238" spans="2:13" ht="18">
      <c r="B238" s="57">
        <v>1</v>
      </c>
      <c r="C238" s="57">
        <v>51</v>
      </c>
      <c r="D238" s="57">
        <v>11</v>
      </c>
      <c r="E238" s="57">
        <v>2</v>
      </c>
      <c r="F238" s="57">
        <v>4</v>
      </c>
      <c r="G238" s="57">
        <v>0</v>
      </c>
      <c r="H238" s="57">
        <v>0</v>
      </c>
      <c r="M238" s="23">
        <v>1</v>
      </c>
    </row>
    <row r="239" spans="2:13" ht="18">
      <c r="B239" s="57">
        <v>1</v>
      </c>
      <c r="C239" s="57">
        <v>51</v>
      </c>
      <c r="D239" s="57">
        <v>12</v>
      </c>
      <c r="E239" s="57">
        <v>3</v>
      </c>
      <c r="F239" s="57">
        <v>2</v>
      </c>
      <c r="G239" s="57">
        <v>0</v>
      </c>
      <c r="H239" s="57">
        <v>0</v>
      </c>
      <c r="M239" s="23">
        <v>1</v>
      </c>
    </row>
    <row r="240" spans="2:13" ht="18">
      <c r="B240" s="57">
        <v>1</v>
      </c>
      <c r="C240" s="57">
        <v>51</v>
      </c>
      <c r="D240" s="57">
        <v>13</v>
      </c>
      <c r="E240" s="57">
        <v>13</v>
      </c>
      <c r="F240" s="57">
        <v>2</v>
      </c>
      <c r="G240" s="57">
        <v>0</v>
      </c>
      <c r="H240" s="57">
        <v>0</v>
      </c>
      <c r="M240" s="23">
        <v>1</v>
      </c>
    </row>
    <row r="241" spans="2:13" ht="18">
      <c r="B241" s="57">
        <v>1</v>
      </c>
      <c r="C241" s="57">
        <v>22</v>
      </c>
      <c r="D241" s="57">
        <v>11</v>
      </c>
      <c r="E241" s="57">
        <v>2</v>
      </c>
      <c r="F241" s="57">
        <v>18</v>
      </c>
      <c r="G241" s="57">
        <v>0</v>
      </c>
      <c r="H241" s="57">
        <v>0</v>
      </c>
      <c r="M241" s="23">
        <v>1</v>
      </c>
    </row>
    <row r="242" spans="2:13" ht="18">
      <c r="B242" s="57">
        <v>1</v>
      </c>
      <c r="C242" s="57">
        <v>22</v>
      </c>
      <c r="D242" s="57">
        <v>12</v>
      </c>
      <c r="E242" s="57">
        <v>1</v>
      </c>
      <c r="F242" s="57">
        <v>22</v>
      </c>
      <c r="G242" s="57">
        <v>0</v>
      </c>
      <c r="H242" s="57">
        <v>0</v>
      </c>
      <c r="M242" s="23">
        <v>1</v>
      </c>
    </row>
    <row r="243" spans="2:13" ht="18">
      <c r="B243" s="57">
        <v>1</v>
      </c>
      <c r="C243" s="57">
        <v>22</v>
      </c>
      <c r="D243" s="57">
        <v>13</v>
      </c>
      <c r="E243" s="57">
        <v>0</v>
      </c>
      <c r="F243" s="57">
        <v>17</v>
      </c>
      <c r="G243" s="57">
        <v>0</v>
      </c>
      <c r="H243" s="57">
        <v>0</v>
      </c>
      <c r="M243" s="23">
        <v>1</v>
      </c>
    </row>
    <row r="244" spans="2:13" ht="18">
      <c r="B244" s="57">
        <v>1</v>
      </c>
      <c r="C244" s="57">
        <v>38</v>
      </c>
      <c r="D244" s="57">
        <v>11</v>
      </c>
      <c r="E244" s="57">
        <v>3</v>
      </c>
      <c r="F244" s="57">
        <v>31</v>
      </c>
      <c r="G244" s="57">
        <v>0</v>
      </c>
      <c r="H244" s="57">
        <v>0</v>
      </c>
      <c r="M244" s="23">
        <v>1</v>
      </c>
    </row>
    <row r="245" spans="2:13" ht="18">
      <c r="B245" s="57">
        <v>1</v>
      </c>
      <c r="C245" s="57">
        <v>38</v>
      </c>
      <c r="D245" s="57">
        <v>12</v>
      </c>
      <c r="E245" s="57">
        <v>5</v>
      </c>
      <c r="F245" s="57">
        <v>24</v>
      </c>
      <c r="G245" s="57">
        <v>0</v>
      </c>
      <c r="H245" s="57">
        <v>0</v>
      </c>
      <c r="M245" s="23">
        <v>1</v>
      </c>
    </row>
    <row r="246" spans="2:13" ht="18">
      <c r="B246" s="57">
        <v>1</v>
      </c>
      <c r="C246" s="57">
        <v>59</v>
      </c>
      <c r="D246" s="57">
        <v>11</v>
      </c>
      <c r="E246" s="57">
        <v>3</v>
      </c>
      <c r="F246" s="57">
        <v>1</v>
      </c>
      <c r="G246" s="57">
        <v>0</v>
      </c>
      <c r="H246" s="57">
        <v>0</v>
      </c>
      <c r="M246" s="23">
        <v>1</v>
      </c>
    </row>
    <row r="247" spans="2:13" ht="18">
      <c r="B247" s="57">
        <v>1</v>
      </c>
      <c r="C247" s="57">
        <v>9</v>
      </c>
      <c r="D247" s="57">
        <v>10</v>
      </c>
      <c r="E247" s="57">
        <v>0</v>
      </c>
      <c r="F247" s="57">
        <v>25</v>
      </c>
      <c r="G247" s="57">
        <v>0</v>
      </c>
      <c r="H247" s="57">
        <v>0</v>
      </c>
      <c r="M247" s="23">
        <v>1</v>
      </c>
    </row>
    <row r="248" spans="2:13" ht="18">
      <c r="B248" s="57">
        <v>1</v>
      </c>
      <c r="C248" s="57">
        <v>9</v>
      </c>
      <c r="D248" s="57">
        <v>11</v>
      </c>
      <c r="E248" s="57">
        <v>8</v>
      </c>
      <c r="F248" s="57">
        <v>17</v>
      </c>
      <c r="G248" s="57">
        <v>0</v>
      </c>
      <c r="H248" s="57">
        <v>0</v>
      </c>
      <c r="M248" s="23">
        <v>1</v>
      </c>
    </row>
    <row r="249" spans="2:13" ht="18">
      <c r="B249" s="57">
        <v>1</v>
      </c>
      <c r="C249" s="57">
        <v>9</v>
      </c>
      <c r="D249" s="57">
        <v>12</v>
      </c>
      <c r="E249" s="57">
        <v>5</v>
      </c>
      <c r="F249" s="57">
        <v>20</v>
      </c>
      <c r="G249" s="57">
        <v>0</v>
      </c>
      <c r="H249" s="57">
        <v>0</v>
      </c>
      <c r="M249" s="23">
        <v>1</v>
      </c>
    </row>
    <row r="250" spans="2:13" ht="18">
      <c r="B250" s="57">
        <v>1</v>
      </c>
      <c r="C250" s="57">
        <v>27</v>
      </c>
      <c r="D250" s="57">
        <v>11</v>
      </c>
      <c r="E250" s="57">
        <v>20</v>
      </c>
      <c r="F250" s="57">
        <v>10</v>
      </c>
      <c r="G250" s="57">
        <v>0</v>
      </c>
      <c r="H250" s="57">
        <v>0</v>
      </c>
      <c r="M250" s="23">
        <v>1</v>
      </c>
    </row>
    <row r="251" spans="2:13" ht="18">
      <c r="B251" s="57">
        <v>1</v>
      </c>
      <c r="C251" s="57">
        <v>27</v>
      </c>
      <c r="D251" s="57">
        <v>10</v>
      </c>
      <c r="E251" s="57">
        <v>16</v>
      </c>
      <c r="F251" s="57">
        <v>8</v>
      </c>
      <c r="G251" s="57">
        <v>0</v>
      </c>
      <c r="H251" s="57">
        <v>0</v>
      </c>
      <c r="M251" s="23">
        <v>1</v>
      </c>
    </row>
    <row r="252" spans="2:13" ht="18">
      <c r="B252" s="57">
        <v>1</v>
      </c>
      <c r="C252" s="57">
        <v>35</v>
      </c>
      <c r="D252" s="57">
        <v>12</v>
      </c>
      <c r="E252" s="57">
        <v>17</v>
      </c>
      <c r="F252" s="57">
        <v>17</v>
      </c>
      <c r="G252" s="57">
        <v>15</v>
      </c>
      <c r="H252" s="57">
        <v>0</v>
      </c>
      <c r="M252" s="23">
        <v>1</v>
      </c>
    </row>
    <row r="253" spans="2:13" ht="18">
      <c r="B253" s="57">
        <v>1</v>
      </c>
      <c r="C253" s="57">
        <v>21</v>
      </c>
      <c r="D253" s="57">
        <v>13</v>
      </c>
      <c r="E253" s="57">
        <v>2</v>
      </c>
      <c r="F253" s="57">
        <v>30</v>
      </c>
      <c r="G253" s="57">
        <v>0</v>
      </c>
      <c r="H253" s="57">
        <v>0</v>
      </c>
      <c r="M253" s="23">
        <v>1</v>
      </c>
    </row>
    <row r="254" spans="2:13" ht="18">
      <c r="B254" s="57">
        <v>1</v>
      </c>
      <c r="C254" s="57">
        <v>2</v>
      </c>
      <c r="D254" s="57">
        <v>9</v>
      </c>
      <c r="E254" s="57">
        <v>6</v>
      </c>
      <c r="F254" s="57">
        <v>3</v>
      </c>
      <c r="G254" s="57">
        <v>1</v>
      </c>
      <c r="H254" s="57">
        <v>0</v>
      </c>
      <c r="M254" s="23">
        <v>1</v>
      </c>
    </row>
    <row r="255" spans="2:13" ht="18">
      <c r="B255" s="57">
        <v>1</v>
      </c>
      <c r="C255" s="57">
        <v>2</v>
      </c>
      <c r="D255" s="57">
        <v>10</v>
      </c>
      <c r="E255" s="57">
        <v>3</v>
      </c>
      <c r="F255" s="57">
        <v>3</v>
      </c>
      <c r="G255" s="57">
        <v>2</v>
      </c>
      <c r="H255" s="57">
        <v>0</v>
      </c>
      <c r="M255" s="23">
        <v>1</v>
      </c>
    </row>
    <row r="256" spans="2:13" ht="18">
      <c r="B256" s="57">
        <v>1</v>
      </c>
      <c r="C256" s="57">
        <v>2</v>
      </c>
      <c r="D256" s="57">
        <v>11</v>
      </c>
      <c r="E256" s="57">
        <v>5</v>
      </c>
      <c r="F256" s="57">
        <v>2</v>
      </c>
      <c r="G256" s="57">
        <v>0</v>
      </c>
      <c r="H256" s="57">
        <v>1</v>
      </c>
      <c r="M256" s="23">
        <v>1</v>
      </c>
    </row>
    <row r="257" spans="2:13" ht="18">
      <c r="B257" s="57">
        <v>1</v>
      </c>
      <c r="C257" s="57">
        <v>2</v>
      </c>
      <c r="D257" s="57">
        <v>12</v>
      </c>
      <c r="E257" s="57">
        <v>12</v>
      </c>
      <c r="F257" s="57">
        <v>5</v>
      </c>
      <c r="G257" s="57">
        <v>0</v>
      </c>
      <c r="H257" s="57">
        <v>0</v>
      </c>
      <c r="M257" s="23">
        <v>1</v>
      </c>
    </row>
    <row r="258" spans="2:13" ht="18">
      <c r="B258" s="57">
        <v>1</v>
      </c>
      <c r="C258" s="57">
        <v>2</v>
      </c>
      <c r="D258" s="57">
        <v>13</v>
      </c>
      <c r="E258" s="57">
        <v>6</v>
      </c>
      <c r="F258" s="57">
        <v>0</v>
      </c>
      <c r="G258" s="57">
        <v>0</v>
      </c>
      <c r="H258" s="57">
        <v>0</v>
      </c>
      <c r="M258" s="23">
        <v>1</v>
      </c>
    </row>
    <row r="259" spans="2:13" ht="18">
      <c r="B259" s="57">
        <v>1</v>
      </c>
      <c r="C259" s="57">
        <v>25</v>
      </c>
      <c r="D259" s="57">
        <v>12</v>
      </c>
      <c r="E259" s="57">
        <v>15</v>
      </c>
      <c r="F259" s="57">
        <v>2</v>
      </c>
      <c r="G259" s="57">
        <v>0</v>
      </c>
      <c r="H259" s="57">
        <v>0</v>
      </c>
      <c r="M259" s="23">
        <v>1</v>
      </c>
    </row>
    <row r="260" spans="2:13" ht="18">
      <c r="B260" s="57">
        <v>1</v>
      </c>
      <c r="C260" s="57">
        <v>12</v>
      </c>
      <c r="D260" s="57">
        <v>9</v>
      </c>
      <c r="E260" s="57">
        <v>12</v>
      </c>
      <c r="F260" s="57">
        <v>5</v>
      </c>
      <c r="G260" s="57">
        <v>3</v>
      </c>
      <c r="H260" s="57">
        <v>1</v>
      </c>
      <c r="M260" s="23">
        <v>1</v>
      </c>
    </row>
    <row r="261" spans="2:13" ht="18">
      <c r="B261" s="57">
        <v>1</v>
      </c>
      <c r="C261" s="57">
        <v>12</v>
      </c>
      <c r="D261" s="57">
        <v>10</v>
      </c>
      <c r="E261" s="57">
        <v>12</v>
      </c>
      <c r="F261" s="57">
        <v>8</v>
      </c>
      <c r="G261" s="57">
        <v>2</v>
      </c>
      <c r="H261" s="57">
        <v>0</v>
      </c>
      <c r="M261" s="23">
        <v>1</v>
      </c>
    </row>
    <row r="262" spans="2:13" ht="18">
      <c r="B262" s="57">
        <v>1</v>
      </c>
      <c r="C262" s="57">
        <v>12</v>
      </c>
      <c r="D262" s="57">
        <v>8</v>
      </c>
      <c r="E262" s="57">
        <v>5</v>
      </c>
      <c r="F262" s="57">
        <v>8</v>
      </c>
      <c r="G262" s="57">
        <v>3</v>
      </c>
      <c r="H262" s="57">
        <v>1</v>
      </c>
      <c r="M262" s="23">
        <v>1</v>
      </c>
    </row>
    <row r="263" spans="2:13" ht="18">
      <c r="B263" s="57">
        <v>1</v>
      </c>
      <c r="C263" s="57">
        <v>8</v>
      </c>
      <c r="D263" s="57">
        <v>9</v>
      </c>
      <c r="E263" s="57">
        <v>8</v>
      </c>
      <c r="F263" s="57">
        <v>6</v>
      </c>
      <c r="G263" s="57">
        <v>0</v>
      </c>
      <c r="H263" s="57">
        <v>0</v>
      </c>
      <c r="M263" s="23">
        <v>1</v>
      </c>
    </row>
    <row r="264" spans="2:13" ht="18">
      <c r="B264" s="57">
        <v>1</v>
      </c>
      <c r="C264" s="57">
        <v>8</v>
      </c>
      <c r="D264" s="57">
        <v>10</v>
      </c>
      <c r="E264" s="57">
        <v>8</v>
      </c>
      <c r="F264" s="57">
        <v>4</v>
      </c>
      <c r="G264" s="57">
        <v>0</v>
      </c>
      <c r="H264" s="57">
        <v>0</v>
      </c>
      <c r="M264" s="23">
        <v>1</v>
      </c>
    </row>
    <row r="265" spans="2:13" ht="18">
      <c r="B265" s="57">
        <v>1</v>
      </c>
      <c r="C265" s="57">
        <v>8</v>
      </c>
      <c r="D265" s="57">
        <v>11</v>
      </c>
      <c r="E265" s="57">
        <v>11</v>
      </c>
      <c r="F265" s="57">
        <v>4</v>
      </c>
      <c r="G265" s="57">
        <v>0</v>
      </c>
      <c r="H265" s="57">
        <v>0</v>
      </c>
      <c r="M265" s="23">
        <v>1</v>
      </c>
    </row>
    <row r="266" spans="2:13" ht="18">
      <c r="B266" s="57">
        <v>1</v>
      </c>
      <c r="C266" s="57">
        <v>8</v>
      </c>
      <c r="D266" s="57">
        <v>12</v>
      </c>
      <c r="E266" s="57">
        <v>7</v>
      </c>
      <c r="F266" s="57">
        <v>8</v>
      </c>
      <c r="G266" s="57">
        <v>0</v>
      </c>
      <c r="H266" s="57">
        <v>0</v>
      </c>
      <c r="M266" s="23">
        <v>1</v>
      </c>
    </row>
    <row r="267" spans="2:13" ht="18">
      <c r="B267" s="57">
        <v>1</v>
      </c>
      <c r="C267" s="57">
        <v>9</v>
      </c>
      <c r="D267" s="57">
        <v>8</v>
      </c>
      <c r="E267" s="57">
        <v>9</v>
      </c>
      <c r="F267" s="57">
        <v>5</v>
      </c>
      <c r="G267" s="57">
        <v>0</v>
      </c>
      <c r="H267" s="57">
        <v>0</v>
      </c>
      <c r="M267" s="23">
        <v>1</v>
      </c>
    </row>
    <row r="268" spans="2:13" ht="18">
      <c r="B268" s="57">
        <v>1</v>
      </c>
      <c r="C268" s="57">
        <v>24</v>
      </c>
      <c r="D268" s="57">
        <v>12</v>
      </c>
      <c r="E268" s="57">
        <v>1</v>
      </c>
      <c r="F268" s="57">
        <v>15</v>
      </c>
      <c r="G268" s="57">
        <v>1</v>
      </c>
      <c r="H268" s="57">
        <v>0</v>
      </c>
      <c r="M268" s="23">
        <v>1</v>
      </c>
    </row>
    <row r="269" spans="2:13" ht="18">
      <c r="B269" s="57">
        <v>1</v>
      </c>
      <c r="C269" s="57">
        <v>24</v>
      </c>
      <c r="D269" s="57">
        <v>11</v>
      </c>
      <c r="E269" s="57">
        <v>0</v>
      </c>
      <c r="F269" s="57">
        <v>13</v>
      </c>
      <c r="G269" s="57">
        <v>1</v>
      </c>
      <c r="H269" s="57">
        <v>1</v>
      </c>
      <c r="M269" s="23">
        <v>1</v>
      </c>
    </row>
    <row r="270" spans="2:13" ht="18">
      <c r="B270" s="57">
        <v>1</v>
      </c>
      <c r="C270" s="57">
        <v>24</v>
      </c>
      <c r="D270" s="57">
        <v>10</v>
      </c>
      <c r="E270" s="57">
        <v>3</v>
      </c>
      <c r="F270" s="57">
        <v>20</v>
      </c>
      <c r="G270" s="57">
        <v>1</v>
      </c>
      <c r="H270" s="57">
        <v>0</v>
      </c>
      <c r="M270" s="23">
        <v>1</v>
      </c>
    </row>
    <row r="271" spans="2:13" ht="18">
      <c r="B271" s="57">
        <v>1</v>
      </c>
      <c r="C271" s="57">
        <v>24</v>
      </c>
      <c r="D271" s="57">
        <v>9</v>
      </c>
      <c r="E271" s="57">
        <v>1</v>
      </c>
      <c r="F271" s="57">
        <v>24</v>
      </c>
      <c r="G271" s="57">
        <v>0</v>
      </c>
      <c r="H271" s="57">
        <v>0</v>
      </c>
      <c r="M271" s="23">
        <v>1</v>
      </c>
    </row>
    <row r="272" spans="2:13" ht="18">
      <c r="B272" s="57">
        <v>1</v>
      </c>
      <c r="C272" s="57">
        <v>24</v>
      </c>
      <c r="D272" s="57">
        <v>7</v>
      </c>
      <c r="E272" s="57">
        <v>3</v>
      </c>
      <c r="F272" s="57">
        <v>20</v>
      </c>
      <c r="G272" s="57">
        <v>1</v>
      </c>
      <c r="H272" s="57">
        <v>1</v>
      </c>
      <c r="M272" s="23">
        <v>1</v>
      </c>
    </row>
    <row r="273" spans="2:13" ht="18">
      <c r="B273" s="57">
        <v>1</v>
      </c>
      <c r="C273" s="57">
        <v>24</v>
      </c>
      <c r="D273" s="57">
        <v>5</v>
      </c>
      <c r="E273" s="57">
        <v>1</v>
      </c>
      <c r="F273" s="57">
        <v>22</v>
      </c>
      <c r="G273" s="57">
        <v>1</v>
      </c>
      <c r="H273" s="57">
        <v>1</v>
      </c>
      <c r="M273" s="23">
        <v>1</v>
      </c>
    </row>
    <row r="274" spans="2:13" ht="18">
      <c r="B274" s="57">
        <v>1</v>
      </c>
      <c r="C274" s="57">
        <v>56</v>
      </c>
      <c r="D274" s="57">
        <v>12</v>
      </c>
      <c r="E274" s="57">
        <v>4</v>
      </c>
      <c r="F274" s="57">
        <v>4</v>
      </c>
      <c r="G274" s="57">
        <v>1</v>
      </c>
      <c r="H274" s="57">
        <v>1</v>
      </c>
      <c r="M274" s="23">
        <v>1</v>
      </c>
    </row>
    <row r="275" spans="2:13" ht="18">
      <c r="B275" s="57">
        <v>1</v>
      </c>
      <c r="C275" s="57">
        <v>56</v>
      </c>
      <c r="D275" s="57">
        <v>13</v>
      </c>
      <c r="E275" s="57">
        <v>2</v>
      </c>
      <c r="F275" s="57">
        <v>0</v>
      </c>
      <c r="G275" s="57">
        <v>0</v>
      </c>
      <c r="H275" s="57">
        <v>3</v>
      </c>
      <c r="M275" s="23">
        <v>1</v>
      </c>
    </row>
    <row r="276" spans="2:13" ht="18">
      <c r="B276" s="57">
        <v>1</v>
      </c>
      <c r="C276" s="57">
        <v>56</v>
      </c>
      <c r="D276" s="57">
        <v>14</v>
      </c>
      <c r="E276" s="57">
        <v>2</v>
      </c>
      <c r="F276" s="57">
        <v>0</v>
      </c>
      <c r="G276" s="57">
        <v>0</v>
      </c>
      <c r="H276" s="57">
        <v>0</v>
      </c>
      <c r="M276" s="23">
        <v>1</v>
      </c>
    </row>
    <row r="277" spans="2:13" ht="18">
      <c r="B277" s="57">
        <v>1</v>
      </c>
      <c r="C277" s="57">
        <v>56</v>
      </c>
      <c r="D277" s="57">
        <v>11</v>
      </c>
      <c r="E277" s="57">
        <v>5</v>
      </c>
      <c r="F277" s="57">
        <v>4</v>
      </c>
      <c r="G277" s="57">
        <v>3</v>
      </c>
      <c r="H277" s="57">
        <v>0</v>
      </c>
      <c r="M277" s="23">
        <v>1</v>
      </c>
    </row>
    <row r="278" spans="2:13" ht="18">
      <c r="B278" s="57">
        <v>1</v>
      </c>
      <c r="C278" s="57">
        <v>56</v>
      </c>
      <c r="D278" s="57">
        <v>10</v>
      </c>
      <c r="E278" s="57">
        <v>1</v>
      </c>
      <c r="F278" s="57">
        <v>1</v>
      </c>
      <c r="G278" s="57">
        <v>0</v>
      </c>
      <c r="H278" s="57">
        <v>3</v>
      </c>
      <c r="M278" s="23">
        <v>1</v>
      </c>
    </row>
    <row r="279" spans="2:13" ht="18">
      <c r="B279" s="57">
        <v>1</v>
      </c>
      <c r="C279" s="57">
        <v>56</v>
      </c>
      <c r="D279" s="57">
        <v>9</v>
      </c>
      <c r="E279" s="57">
        <v>4</v>
      </c>
      <c r="F279" s="57">
        <v>5</v>
      </c>
      <c r="G279" s="57">
        <v>0</v>
      </c>
      <c r="H279" s="57">
        <v>0</v>
      </c>
      <c r="M279" s="23">
        <v>1</v>
      </c>
    </row>
    <row r="280" spans="2:13" ht="18">
      <c r="B280" s="57">
        <v>1</v>
      </c>
      <c r="C280" s="57">
        <v>4</v>
      </c>
      <c r="D280" s="57">
        <v>9</v>
      </c>
      <c r="E280" s="57">
        <v>8</v>
      </c>
      <c r="F280" s="57">
        <v>6</v>
      </c>
      <c r="G280" s="57">
        <v>1</v>
      </c>
      <c r="H280" s="57">
        <v>1</v>
      </c>
      <c r="M280" s="23">
        <v>1</v>
      </c>
    </row>
    <row r="281" spans="2:13" ht="18">
      <c r="B281" s="57">
        <v>1</v>
      </c>
      <c r="C281" s="57">
        <v>4</v>
      </c>
      <c r="D281" s="57">
        <v>10</v>
      </c>
      <c r="E281" s="57">
        <v>7</v>
      </c>
      <c r="F281" s="57">
        <v>7</v>
      </c>
      <c r="G281" s="57">
        <v>1</v>
      </c>
      <c r="H281" s="57">
        <v>0</v>
      </c>
      <c r="M281" s="23">
        <v>1</v>
      </c>
    </row>
    <row r="282" spans="2:13" ht="18">
      <c r="B282" s="57">
        <v>1</v>
      </c>
      <c r="C282" s="57">
        <v>4</v>
      </c>
      <c r="D282" s="57">
        <v>11</v>
      </c>
      <c r="E282" s="57">
        <v>4</v>
      </c>
      <c r="F282" s="57">
        <v>5</v>
      </c>
      <c r="G282" s="57">
        <v>0</v>
      </c>
      <c r="H282" s="57">
        <v>0</v>
      </c>
      <c r="M282" s="23">
        <v>1</v>
      </c>
    </row>
    <row r="283" spans="2:13" ht="18">
      <c r="B283" s="57">
        <v>1</v>
      </c>
      <c r="C283" s="57">
        <v>4</v>
      </c>
      <c r="D283" s="57">
        <v>12</v>
      </c>
      <c r="E283" s="57">
        <v>3</v>
      </c>
      <c r="F283" s="57">
        <v>5</v>
      </c>
      <c r="G283" s="57">
        <v>5</v>
      </c>
      <c r="H283" s="57">
        <v>0</v>
      </c>
      <c r="M283" s="23">
        <v>1</v>
      </c>
    </row>
    <row r="284" spans="2:13" ht="18">
      <c r="B284" s="57">
        <v>1</v>
      </c>
      <c r="C284" s="57">
        <v>4</v>
      </c>
      <c r="D284" s="57">
        <v>13</v>
      </c>
      <c r="E284" s="57">
        <v>6</v>
      </c>
      <c r="F284" s="57">
        <v>5</v>
      </c>
      <c r="G284" s="57">
        <v>0</v>
      </c>
      <c r="H284" s="57">
        <v>0</v>
      </c>
      <c r="M284" s="23">
        <v>1</v>
      </c>
    </row>
    <row r="285" spans="2:13" ht="18">
      <c r="B285" s="57">
        <v>1</v>
      </c>
      <c r="C285" s="57">
        <v>4</v>
      </c>
      <c r="D285" s="57">
        <v>14</v>
      </c>
      <c r="E285" s="57">
        <v>7</v>
      </c>
      <c r="F285" s="57">
        <v>6</v>
      </c>
      <c r="G285" s="57">
        <v>0</v>
      </c>
      <c r="H285" s="57">
        <v>0</v>
      </c>
      <c r="M285" s="23">
        <v>1</v>
      </c>
    </row>
    <row r="286" spans="2:13" ht="18">
      <c r="B286" s="57">
        <v>1</v>
      </c>
      <c r="C286" s="57">
        <v>49</v>
      </c>
      <c r="D286" s="57">
        <v>13</v>
      </c>
      <c r="E286" s="57">
        <v>12</v>
      </c>
      <c r="F286" s="57">
        <v>2</v>
      </c>
      <c r="G286" s="57">
        <v>0</v>
      </c>
      <c r="H286" s="57">
        <v>0</v>
      </c>
      <c r="M286" s="23">
        <v>1</v>
      </c>
    </row>
    <row r="287" spans="2:13" ht="18">
      <c r="B287" s="57">
        <v>1</v>
      </c>
      <c r="C287" s="57">
        <v>44</v>
      </c>
      <c r="D287" s="57">
        <v>14</v>
      </c>
      <c r="E287" s="57">
        <v>5</v>
      </c>
      <c r="F287" s="57">
        <v>9</v>
      </c>
      <c r="G287" s="57">
        <v>1</v>
      </c>
      <c r="H287" s="57">
        <v>0</v>
      </c>
      <c r="M287" s="23">
        <v>1</v>
      </c>
    </row>
    <row r="288" spans="2:13" ht="18">
      <c r="B288" s="57">
        <v>1</v>
      </c>
      <c r="C288" s="57">
        <v>44</v>
      </c>
      <c r="D288" s="57">
        <v>13</v>
      </c>
      <c r="E288" s="57">
        <v>4</v>
      </c>
      <c r="F288" s="57">
        <v>7</v>
      </c>
      <c r="G288" s="57">
        <v>0</v>
      </c>
      <c r="H288" s="57">
        <v>0</v>
      </c>
      <c r="M288" s="23">
        <v>1</v>
      </c>
    </row>
    <row r="289" spans="2:13" ht="18">
      <c r="B289" s="57">
        <v>1</v>
      </c>
      <c r="C289" s="57">
        <v>19</v>
      </c>
      <c r="D289" s="57">
        <v>12</v>
      </c>
      <c r="E289" s="57">
        <v>0</v>
      </c>
      <c r="F289" s="57">
        <v>17</v>
      </c>
      <c r="G289" s="57">
        <v>0</v>
      </c>
      <c r="H289" s="57">
        <v>0</v>
      </c>
      <c r="M289" s="23">
        <v>1</v>
      </c>
    </row>
    <row r="290" spans="2:13" ht="18">
      <c r="B290" s="57">
        <v>1</v>
      </c>
      <c r="C290" s="57">
        <v>19</v>
      </c>
      <c r="D290" s="57">
        <v>13</v>
      </c>
      <c r="E290" s="57">
        <v>0</v>
      </c>
      <c r="F290" s="57">
        <v>14</v>
      </c>
      <c r="G290" s="57">
        <v>2</v>
      </c>
      <c r="H290" s="57">
        <v>0</v>
      </c>
      <c r="M290" s="23">
        <v>1</v>
      </c>
    </row>
    <row r="291" spans="2:13" ht="18">
      <c r="B291" s="57">
        <v>1</v>
      </c>
      <c r="C291" s="57">
        <v>19</v>
      </c>
      <c r="D291" s="57">
        <v>11</v>
      </c>
      <c r="E291" s="57">
        <v>0</v>
      </c>
      <c r="F291" s="57">
        <v>10</v>
      </c>
      <c r="G291" s="57">
        <v>0</v>
      </c>
      <c r="H291" s="57">
        <v>0</v>
      </c>
      <c r="M291" s="23">
        <v>1</v>
      </c>
    </row>
    <row r="292" spans="2:13" ht="18">
      <c r="B292" s="57">
        <v>1</v>
      </c>
      <c r="C292" s="57">
        <v>15</v>
      </c>
      <c r="D292" s="57">
        <v>11</v>
      </c>
      <c r="E292" s="57">
        <v>17</v>
      </c>
      <c r="F292" s="57">
        <v>0</v>
      </c>
      <c r="G292" s="57">
        <v>0</v>
      </c>
      <c r="H292" s="57">
        <v>0</v>
      </c>
      <c r="M292" s="23">
        <v>1</v>
      </c>
    </row>
    <row r="293" spans="2:13" ht="18">
      <c r="B293" s="57">
        <v>1</v>
      </c>
      <c r="C293" s="57">
        <v>15</v>
      </c>
      <c r="D293" s="57">
        <v>11</v>
      </c>
      <c r="E293" s="57">
        <v>25</v>
      </c>
      <c r="F293" s="57">
        <v>0</v>
      </c>
      <c r="G293" s="57">
        <v>0</v>
      </c>
      <c r="H293" s="57">
        <v>0</v>
      </c>
      <c r="M293" s="23">
        <v>1</v>
      </c>
    </row>
    <row r="294" spans="2:13" ht="18">
      <c r="B294" s="57">
        <v>1</v>
      </c>
      <c r="C294" s="57">
        <v>15</v>
      </c>
      <c r="D294" s="57">
        <v>11</v>
      </c>
      <c r="E294" s="57">
        <v>50</v>
      </c>
      <c r="F294" s="57">
        <v>0</v>
      </c>
      <c r="G294" s="57">
        <v>0</v>
      </c>
      <c r="H294" s="57">
        <v>0</v>
      </c>
      <c r="M294" s="23">
        <v>1</v>
      </c>
    </row>
    <row r="295" spans="2:13" ht="18">
      <c r="B295" s="57">
        <v>1</v>
      </c>
      <c r="C295" s="57">
        <v>15</v>
      </c>
      <c r="D295" s="57">
        <v>12</v>
      </c>
      <c r="E295" s="57">
        <v>75</v>
      </c>
      <c r="F295" s="57">
        <v>0</v>
      </c>
      <c r="G295" s="57">
        <v>0</v>
      </c>
      <c r="H295" s="57">
        <v>0</v>
      </c>
      <c r="M295" s="23">
        <v>1</v>
      </c>
    </row>
    <row r="296" spans="2:13" ht="18">
      <c r="B296" s="57">
        <v>1</v>
      </c>
      <c r="C296" s="57">
        <v>15</v>
      </c>
      <c r="D296" s="57">
        <v>13</v>
      </c>
      <c r="E296" s="57">
        <v>75</v>
      </c>
      <c r="F296" s="57">
        <v>0</v>
      </c>
      <c r="G296" s="57">
        <v>0</v>
      </c>
      <c r="H296" s="57">
        <v>0</v>
      </c>
      <c r="M296" s="23">
        <v>1</v>
      </c>
    </row>
    <row r="297" spans="2:13" ht="18">
      <c r="B297" s="57">
        <v>1</v>
      </c>
      <c r="C297" s="57">
        <v>15</v>
      </c>
      <c r="D297" s="57">
        <v>14</v>
      </c>
      <c r="E297" s="57">
        <v>75</v>
      </c>
      <c r="F297" s="57">
        <v>0</v>
      </c>
      <c r="G297" s="57">
        <v>0</v>
      </c>
      <c r="H297" s="57">
        <v>0</v>
      </c>
      <c r="M297" s="23">
        <v>1</v>
      </c>
    </row>
    <row r="298" spans="2:13" ht="18">
      <c r="B298" s="57">
        <v>1</v>
      </c>
      <c r="C298" s="57">
        <v>35</v>
      </c>
      <c r="D298" s="57">
        <v>14</v>
      </c>
      <c r="E298" s="57">
        <v>13</v>
      </c>
      <c r="F298" s="57">
        <v>13</v>
      </c>
      <c r="G298" s="57">
        <v>12</v>
      </c>
      <c r="H298" s="57">
        <v>0</v>
      </c>
      <c r="M298" s="23">
        <v>1</v>
      </c>
    </row>
    <row r="299" spans="2:13" ht="18">
      <c r="B299" s="57">
        <v>1</v>
      </c>
      <c r="C299" s="57">
        <v>35</v>
      </c>
      <c r="D299" s="57">
        <v>13</v>
      </c>
      <c r="E299" s="57">
        <v>18</v>
      </c>
      <c r="F299" s="57">
        <v>15</v>
      </c>
      <c r="G299" s="57">
        <v>12</v>
      </c>
      <c r="H299" s="57">
        <v>0</v>
      </c>
      <c r="M299" s="23">
        <v>1</v>
      </c>
    </row>
    <row r="300" spans="2:13" ht="18">
      <c r="B300" s="57">
        <v>1</v>
      </c>
      <c r="C300" s="57">
        <v>51</v>
      </c>
      <c r="D300" s="57">
        <v>14</v>
      </c>
      <c r="E300" s="57">
        <v>7</v>
      </c>
      <c r="F300" s="57">
        <v>1</v>
      </c>
      <c r="G300" s="57">
        <v>0</v>
      </c>
      <c r="H300" s="57">
        <v>0</v>
      </c>
      <c r="M300" s="23">
        <v>1</v>
      </c>
    </row>
    <row r="301" spans="2:13" ht="18">
      <c r="B301" s="57">
        <v>1</v>
      </c>
      <c r="C301" s="57">
        <v>45</v>
      </c>
      <c r="D301" s="57">
        <v>10</v>
      </c>
      <c r="E301" s="57">
        <v>19</v>
      </c>
      <c r="F301" s="57">
        <v>2</v>
      </c>
      <c r="G301" s="57">
        <v>0</v>
      </c>
      <c r="H301" s="57">
        <v>0</v>
      </c>
      <c r="M301" s="23">
        <v>1</v>
      </c>
    </row>
    <row r="302" spans="2:13" ht="18">
      <c r="B302" s="57">
        <v>1</v>
      </c>
      <c r="C302" s="57">
        <v>45</v>
      </c>
      <c r="D302" s="57">
        <v>11</v>
      </c>
      <c r="E302" s="57">
        <v>14</v>
      </c>
      <c r="F302" s="57">
        <v>5</v>
      </c>
      <c r="G302" s="57">
        <v>0</v>
      </c>
      <c r="H302" s="57">
        <v>0</v>
      </c>
      <c r="M302" s="23">
        <v>1</v>
      </c>
    </row>
    <row r="303" spans="2:13" ht="18">
      <c r="B303" s="57">
        <v>1</v>
      </c>
      <c r="C303" s="57">
        <v>45</v>
      </c>
      <c r="D303" s="57">
        <v>12</v>
      </c>
      <c r="E303" s="57">
        <v>8</v>
      </c>
      <c r="F303" s="57">
        <v>1</v>
      </c>
      <c r="G303" s="57">
        <v>0</v>
      </c>
      <c r="H303" s="57">
        <v>7</v>
      </c>
      <c r="M303" s="23">
        <v>1</v>
      </c>
    </row>
    <row r="304" spans="2:13" ht="18">
      <c r="B304" s="57">
        <v>1</v>
      </c>
      <c r="C304" s="57">
        <v>45</v>
      </c>
      <c r="D304" s="57">
        <v>13</v>
      </c>
      <c r="E304" s="57">
        <v>10</v>
      </c>
      <c r="F304" s="57">
        <v>8</v>
      </c>
      <c r="G304" s="57">
        <v>0</v>
      </c>
      <c r="H304" s="57">
        <v>3</v>
      </c>
      <c r="M304" s="23">
        <v>1</v>
      </c>
    </row>
    <row r="305" spans="2:13" ht="18">
      <c r="B305" s="57">
        <v>1</v>
      </c>
      <c r="C305" s="57">
        <v>45</v>
      </c>
      <c r="D305" s="57">
        <v>14</v>
      </c>
      <c r="E305" s="57">
        <v>7</v>
      </c>
      <c r="F305" s="57">
        <v>9</v>
      </c>
      <c r="G305" s="57">
        <v>0</v>
      </c>
      <c r="H305" s="57">
        <v>1</v>
      </c>
      <c r="M305" s="23">
        <v>1</v>
      </c>
    </row>
    <row r="306" spans="2:13" ht="18">
      <c r="B306" s="57">
        <v>1</v>
      </c>
      <c r="C306" s="57">
        <v>15</v>
      </c>
      <c r="D306" s="57">
        <v>13</v>
      </c>
      <c r="E306" s="57">
        <v>0</v>
      </c>
      <c r="F306" s="57">
        <v>1</v>
      </c>
      <c r="G306" s="57">
        <v>0</v>
      </c>
      <c r="H306" s="57">
        <v>1</v>
      </c>
      <c r="M306" s="23">
        <v>1</v>
      </c>
    </row>
    <row r="307" spans="2:13" ht="18">
      <c r="B307" s="57">
        <v>1</v>
      </c>
      <c r="C307" s="57">
        <v>15</v>
      </c>
      <c r="D307" s="57">
        <v>14</v>
      </c>
      <c r="E307" s="57">
        <v>2</v>
      </c>
      <c r="F307" s="57">
        <v>0</v>
      </c>
      <c r="G307" s="57">
        <v>0</v>
      </c>
      <c r="H307" s="57">
        <v>0</v>
      </c>
      <c r="M307" s="23">
        <v>1</v>
      </c>
    </row>
    <row r="308" spans="2:13" ht="18">
      <c r="B308" s="57">
        <v>1</v>
      </c>
      <c r="C308" s="57">
        <v>25</v>
      </c>
      <c r="D308" s="57">
        <v>13</v>
      </c>
      <c r="E308" s="57">
        <v>20</v>
      </c>
      <c r="F308" s="57">
        <v>4</v>
      </c>
      <c r="G308" s="57">
        <v>0</v>
      </c>
      <c r="H308" s="57">
        <v>0</v>
      </c>
      <c r="M308" s="23">
        <v>1</v>
      </c>
    </row>
    <row r="309" spans="2:13" ht="18">
      <c r="B309" s="57">
        <v>1</v>
      </c>
      <c r="C309" s="57">
        <v>12</v>
      </c>
      <c r="D309" s="57">
        <v>8</v>
      </c>
      <c r="E309" s="57">
        <v>5</v>
      </c>
      <c r="F309" s="57">
        <v>8</v>
      </c>
      <c r="G309" s="57">
        <v>3</v>
      </c>
      <c r="H309" s="57">
        <v>1</v>
      </c>
      <c r="M309" s="23">
        <v>1</v>
      </c>
    </row>
    <row r="310" spans="2:13" ht="18">
      <c r="B310" s="57">
        <v>1</v>
      </c>
      <c r="C310" s="57">
        <v>12</v>
      </c>
      <c r="D310" s="57">
        <v>9</v>
      </c>
      <c r="E310" s="57">
        <v>12</v>
      </c>
      <c r="F310" s="57">
        <v>5</v>
      </c>
      <c r="G310" s="57">
        <v>3</v>
      </c>
      <c r="H310" s="57">
        <v>0</v>
      </c>
      <c r="M310" s="23">
        <v>1</v>
      </c>
    </row>
    <row r="311" spans="2:13" ht="18">
      <c r="B311" s="57">
        <v>1</v>
      </c>
      <c r="C311" s="57">
        <v>12</v>
      </c>
      <c r="D311" s="57">
        <v>10</v>
      </c>
      <c r="E311" s="57">
        <v>12</v>
      </c>
      <c r="F311" s="57">
        <v>8</v>
      </c>
      <c r="G311" s="57">
        <v>2</v>
      </c>
      <c r="H311" s="57">
        <v>0</v>
      </c>
      <c r="M311" s="23">
        <v>1</v>
      </c>
    </row>
    <row r="312" spans="2:13" ht="18">
      <c r="B312" s="57">
        <v>1</v>
      </c>
      <c r="C312" s="57">
        <v>12</v>
      </c>
      <c r="D312" s="57">
        <v>11</v>
      </c>
      <c r="E312" s="57">
        <v>13</v>
      </c>
      <c r="F312" s="57">
        <v>9</v>
      </c>
      <c r="G312" s="57">
        <v>3</v>
      </c>
      <c r="H312" s="57">
        <v>0</v>
      </c>
      <c r="M312" s="23">
        <v>1</v>
      </c>
    </row>
    <row r="313" spans="2:13" ht="18">
      <c r="B313" s="57">
        <v>1</v>
      </c>
      <c r="C313" s="57">
        <v>12</v>
      </c>
      <c r="D313" s="57">
        <v>12</v>
      </c>
      <c r="E313" s="57">
        <v>7</v>
      </c>
      <c r="F313" s="57">
        <v>6</v>
      </c>
      <c r="G313" s="57">
        <v>1</v>
      </c>
      <c r="H313" s="57">
        <v>3</v>
      </c>
      <c r="M313" s="23">
        <v>1</v>
      </c>
    </row>
    <row r="314" spans="2:13" ht="18">
      <c r="B314" s="57">
        <v>1</v>
      </c>
      <c r="C314" s="57">
        <v>12</v>
      </c>
      <c r="D314" s="57">
        <v>13</v>
      </c>
      <c r="E314" s="57">
        <v>9</v>
      </c>
      <c r="F314" s="57">
        <v>5</v>
      </c>
      <c r="G314" s="57">
        <v>2</v>
      </c>
      <c r="H314" s="57">
        <v>3</v>
      </c>
      <c r="M314" s="23">
        <v>1</v>
      </c>
    </row>
    <row r="315" spans="2:13" ht="18">
      <c r="B315" s="57">
        <v>1</v>
      </c>
      <c r="C315" s="57">
        <v>12</v>
      </c>
      <c r="D315" s="57">
        <v>14</v>
      </c>
      <c r="E315" s="57">
        <v>6</v>
      </c>
      <c r="F315" s="57">
        <v>7</v>
      </c>
      <c r="G315" s="57">
        <v>2</v>
      </c>
      <c r="H315" s="57">
        <v>2</v>
      </c>
      <c r="M315" s="23">
        <v>1</v>
      </c>
    </row>
    <row r="316" spans="2:13" ht="18">
      <c r="B316" s="57">
        <v>1</v>
      </c>
      <c r="C316" s="57">
        <v>23</v>
      </c>
      <c r="D316" s="57">
        <v>11</v>
      </c>
      <c r="E316" s="57">
        <v>7</v>
      </c>
      <c r="F316" s="57">
        <v>14</v>
      </c>
      <c r="G316" s="57">
        <v>0</v>
      </c>
      <c r="H316" s="57">
        <v>0</v>
      </c>
      <c r="M316" s="23">
        <v>1</v>
      </c>
    </row>
    <row r="317" spans="2:13" ht="18">
      <c r="B317" s="57">
        <v>1</v>
      </c>
      <c r="C317" s="57">
        <v>23</v>
      </c>
      <c r="D317" s="57">
        <v>10</v>
      </c>
      <c r="E317" s="57">
        <v>6</v>
      </c>
      <c r="F317" s="57">
        <v>13</v>
      </c>
      <c r="G317" s="57">
        <v>2</v>
      </c>
      <c r="H317" s="57">
        <v>0</v>
      </c>
      <c r="M317" s="23">
        <v>1</v>
      </c>
    </row>
    <row r="318" spans="2:13" ht="18">
      <c r="B318" s="57">
        <v>1</v>
      </c>
      <c r="C318" s="57">
        <v>23</v>
      </c>
      <c r="D318" s="57">
        <v>12</v>
      </c>
      <c r="E318" s="57">
        <v>8</v>
      </c>
      <c r="F318" s="57">
        <v>14</v>
      </c>
      <c r="G318" s="57">
        <v>1</v>
      </c>
      <c r="H318" s="57">
        <v>0</v>
      </c>
      <c r="M318" s="23">
        <v>1</v>
      </c>
    </row>
    <row r="319" spans="2:13" ht="18">
      <c r="B319" s="57">
        <v>1</v>
      </c>
      <c r="C319" s="57">
        <v>23</v>
      </c>
      <c r="D319" s="57">
        <v>13</v>
      </c>
      <c r="E319" s="57">
        <v>6</v>
      </c>
      <c r="F319" s="57">
        <v>14</v>
      </c>
      <c r="G319" s="57">
        <v>0</v>
      </c>
      <c r="H319" s="57">
        <v>0</v>
      </c>
      <c r="M319" s="23">
        <v>1</v>
      </c>
    </row>
    <row r="320" spans="2:13" ht="18">
      <c r="B320" s="57">
        <v>1</v>
      </c>
      <c r="C320" s="57">
        <v>23</v>
      </c>
      <c r="D320" s="57">
        <v>14</v>
      </c>
      <c r="E320" s="57">
        <v>9</v>
      </c>
      <c r="F320" s="57">
        <v>13</v>
      </c>
      <c r="G320" s="57">
        <v>0</v>
      </c>
      <c r="H320" s="57">
        <v>0</v>
      </c>
      <c r="M320" s="23">
        <v>1</v>
      </c>
    </row>
    <row r="321" spans="2:13" ht="18">
      <c r="B321" s="57">
        <v>1</v>
      </c>
      <c r="C321" s="57">
        <v>23</v>
      </c>
      <c r="D321" s="57">
        <v>15</v>
      </c>
      <c r="E321" s="57">
        <v>11</v>
      </c>
      <c r="F321" s="57">
        <v>14</v>
      </c>
      <c r="G321" s="57">
        <v>1</v>
      </c>
      <c r="H321" s="57">
        <v>0</v>
      </c>
      <c r="M321" s="23">
        <v>1</v>
      </c>
    </row>
    <row r="322" spans="2:13" ht="18">
      <c r="B322" s="57">
        <v>1</v>
      </c>
      <c r="C322" s="57">
        <v>38</v>
      </c>
      <c r="D322" s="57">
        <v>13</v>
      </c>
      <c r="E322" s="57">
        <v>10</v>
      </c>
      <c r="F322" s="57">
        <v>21</v>
      </c>
      <c r="G322" s="57">
        <v>0</v>
      </c>
      <c r="H322" s="57">
        <v>0</v>
      </c>
      <c r="M322" s="23">
        <v>1</v>
      </c>
    </row>
    <row r="323" spans="2:13" ht="18">
      <c r="B323" s="57">
        <v>1</v>
      </c>
      <c r="C323" s="57">
        <v>38</v>
      </c>
      <c r="D323" s="57">
        <v>14</v>
      </c>
      <c r="E323" s="57">
        <v>6</v>
      </c>
      <c r="F323" s="57">
        <v>19</v>
      </c>
      <c r="G323" s="57">
        <v>0</v>
      </c>
      <c r="H323" s="57">
        <v>0</v>
      </c>
      <c r="M323" s="23">
        <v>1</v>
      </c>
    </row>
    <row r="324" spans="2:13" ht="18">
      <c r="B324" s="57">
        <v>1</v>
      </c>
      <c r="C324" s="57">
        <v>38</v>
      </c>
      <c r="D324" s="57">
        <v>15</v>
      </c>
      <c r="E324" s="57">
        <v>4</v>
      </c>
      <c r="F324" s="57">
        <v>12</v>
      </c>
      <c r="G324" s="57">
        <v>0</v>
      </c>
      <c r="H324" s="57">
        <v>0</v>
      </c>
      <c r="M324" s="23">
        <v>1</v>
      </c>
    </row>
    <row r="325" spans="2:13" ht="18">
      <c r="B325" s="57">
        <v>1</v>
      </c>
      <c r="C325" s="57">
        <v>38</v>
      </c>
      <c r="D325" s="57">
        <v>16</v>
      </c>
      <c r="E325" s="57">
        <v>2</v>
      </c>
      <c r="F325" s="57">
        <v>5</v>
      </c>
      <c r="G325" s="57">
        <v>0</v>
      </c>
      <c r="H325" s="57">
        <v>0</v>
      </c>
      <c r="M325" s="23">
        <v>1</v>
      </c>
    </row>
    <row r="326" spans="2:13" ht="18">
      <c r="B326" s="57">
        <v>1</v>
      </c>
      <c r="C326" s="57">
        <v>2</v>
      </c>
      <c r="D326" s="57">
        <v>14</v>
      </c>
      <c r="E326" s="57">
        <v>11</v>
      </c>
      <c r="F326" s="57">
        <v>1</v>
      </c>
      <c r="G326" s="57">
        <v>0</v>
      </c>
      <c r="H326" s="57">
        <v>0</v>
      </c>
      <c r="M326" s="23">
        <v>1</v>
      </c>
    </row>
    <row r="327" spans="2:13" ht="18">
      <c r="B327" s="57">
        <v>1</v>
      </c>
      <c r="C327" s="57">
        <v>22</v>
      </c>
      <c r="D327" s="57">
        <v>14</v>
      </c>
      <c r="E327" s="57">
        <v>2</v>
      </c>
      <c r="F327" s="57">
        <v>14</v>
      </c>
      <c r="G327" s="57">
        <v>0</v>
      </c>
      <c r="H327" s="57">
        <v>0</v>
      </c>
      <c r="M327" s="23">
        <v>1</v>
      </c>
    </row>
    <row r="328" spans="2:13" ht="18">
      <c r="B328" s="57">
        <v>1</v>
      </c>
      <c r="C328" s="57">
        <v>25</v>
      </c>
      <c r="D328" s="57">
        <v>14</v>
      </c>
      <c r="E328" s="57">
        <v>12</v>
      </c>
      <c r="F328" s="57">
        <v>1</v>
      </c>
      <c r="G328" s="57">
        <v>1</v>
      </c>
      <c r="H328" s="57">
        <v>0</v>
      </c>
      <c r="M328" s="23">
        <v>1</v>
      </c>
    </row>
    <row r="329" spans="2:13" ht="18">
      <c r="B329" s="57">
        <v>1</v>
      </c>
      <c r="C329" s="57">
        <v>22</v>
      </c>
      <c r="D329" s="57">
        <v>15</v>
      </c>
      <c r="E329" s="57">
        <v>3</v>
      </c>
      <c r="F329" s="57">
        <v>7</v>
      </c>
      <c r="G329" s="57">
        <v>0</v>
      </c>
      <c r="H329" s="57">
        <v>0</v>
      </c>
      <c r="M329" s="23">
        <v>1</v>
      </c>
    </row>
    <row r="330" spans="2:13" ht="18">
      <c r="B330" s="57">
        <v>1</v>
      </c>
      <c r="C330" s="57">
        <v>9</v>
      </c>
      <c r="D330" s="57">
        <v>13</v>
      </c>
      <c r="E330" s="57">
        <v>5</v>
      </c>
      <c r="F330" s="57">
        <v>20</v>
      </c>
      <c r="G330" s="57">
        <v>0</v>
      </c>
      <c r="H330" s="57">
        <v>0</v>
      </c>
      <c r="M330" s="23">
        <v>1</v>
      </c>
    </row>
    <row r="331" spans="2:13" ht="18">
      <c r="B331" s="57">
        <v>1</v>
      </c>
      <c r="C331" s="57">
        <v>9</v>
      </c>
      <c r="D331" s="57">
        <v>13</v>
      </c>
      <c r="E331" s="57">
        <v>4</v>
      </c>
      <c r="F331" s="57">
        <v>20</v>
      </c>
      <c r="G331" s="57">
        <v>1</v>
      </c>
      <c r="H331" s="57">
        <v>0</v>
      </c>
      <c r="M331" s="23">
        <v>1</v>
      </c>
    </row>
    <row r="332" spans="2:13" ht="18">
      <c r="B332" s="57">
        <v>1</v>
      </c>
      <c r="C332" s="57">
        <v>9</v>
      </c>
      <c r="D332" s="57">
        <v>14</v>
      </c>
      <c r="E332" s="57">
        <v>4</v>
      </c>
      <c r="F332" s="57">
        <v>19</v>
      </c>
      <c r="G332" s="57">
        <v>0</v>
      </c>
      <c r="H332" s="57">
        <v>0</v>
      </c>
      <c r="M332" s="23">
        <v>1</v>
      </c>
    </row>
    <row r="333" spans="2:13" ht="18">
      <c r="B333" s="57">
        <v>1</v>
      </c>
      <c r="C333" s="57">
        <v>9</v>
      </c>
      <c r="D333" s="57">
        <v>14</v>
      </c>
      <c r="E333" s="57">
        <v>4</v>
      </c>
      <c r="F333" s="57">
        <v>19</v>
      </c>
      <c r="G333" s="57">
        <v>0</v>
      </c>
      <c r="H333" s="57">
        <v>0</v>
      </c>
      <c r="M333" s="23">
        <v>1</v>
      </c>
    </row>
    <row r="334" spans="2:13" ht="18">
      <c r="B334" s="57">
        <v>1</v>
      </c>
      <c r="C334" s="57">
        <v>27</v>
      </c>
      <c r="D334" s="57">
        <v>12</v>
      </c>
      <c r="E334" s="57">
        <v>30</v>
      </c>
      <c r="F334" s="57">
        <v>8</v>
      </c>
      <c r="G334" s="57">
        <v>0</v>
      </c>
      <c r="H334" s="57">
        <v>0</v>
      </c>
      <c r="M334" s="23">
        <v>1</v>
      </c>
    </row>
    <row r="335" spans="2:13" ht="18">
      <c r="B335" s="57">
        <v>1</v>
      </c>
      <c r="C335" s="57">
        <v>27</v>
      </c>
      <c r="D335" s="57">
        <v>13</v>
      </c>
      <c r="E335" s="57">
        <v>30</v>
      </c>
      <c r="F335" s="57">
        <v>10</v>
      </c>
      <c r="G335" s="57">
        <v>0</v>
      </c>
      <c r="H335" s="57">
        <v>0</v>
      </c>
      <c r="M335" s="23">
        <v>1</v>
      </c>
    </row>
    <row r="336" spans="2:13" ht="18">
      <c r="B336" s="57">
        <v>1</v>
      </c>
      <c r="C336" s="57">
        <v>27</v>
      </c>
      <c r="D336" s="57">
        <v>14</v>
      </c>
      <c r="E336" s="57">
        <v>25</v>
      </c>
      <c r="F336" s="57">
        <v>10</v>
      </c>
      <c r="G336" s="57">
        <v>0</v>
      </c>
      <c r="H336" s="57">
        <v>0</v>
      </c>
      <c r="M336" s="23">
        <v>1</v>
      </c>
    </row>
    <row r="337" spans="2:13" ht="18">
      <c r="B337" s="57">
        <v>1</v>
      </c>
      <c r="C337" s="57">
        <v>15</v>
      </c>
      <c r="D337" s="57">
        <v>13</v>
      </c>
      <c r="E337" s="57">
        <v>0</v>
      </c>
      <c r="F337" s="57">
        <v>1</v>
      </c>
      <c r="G337" s="57">
        <v>0</v>
      </c>
      <c r="H337" s="57">
        <v>0</v>
      </c>
      <c r="M337" s="23">
        <v>1</v>
      </c>
    </row>
    <row r="338" spans="2:13" ht="18">
      <c r="B338" s="57">
        <v>1</v>
      </c>
      <c r="C338" s="57">
        <v>15</v>
      </c>
      <c r="D338" s="57">
        <v>14</v>
      </c>
      <c r="E338" s="57">
        <v>2</v>
      </c>
      <c r="F338" s="57">
        <v>0</v>
      </c>
      <c r="G338" s="57">
        <v>0</v>
      </c>
      <c r="H338" s="57">
        <v>0</v>
      </c>
      <c r="M338" s="23">
        <v>1</v>
      </c>
    </row>
    <row r="339" spans="2:13" ht="18">
      <c r="B339" s="57">
        <v>1</v>
      </c>
      <c r="C339" s="57">
        <v>21</v>
      </c>
      <c r="D339" s="57">
        <v>15</v>
      </c>
      <c r="E339" s="57">
        <v>2</v>
      </c>
      <c r="F339" s="57">
        <v>25</v>
      </c>
      <c r="G339" s="57">
        <v>2</v>
      </c>
      <c r="H339" s="57">
        <v>0</v>
      </c>
      <c r="M339" s="23">
        <v>1</v>
      </c>
    </row>
    <row r="340" spans="2:13" ht="18">
      <c r="B340" s="57">
        <v>1</v>
      </c>
      <c r="C340" s="57">
        <v>21</v>
      </c>
      <c r="D340" s="57">
        <v>14</v>
      </c>
      <c r="E340" s="57">
        <v>1</v>
      </c>
      <c r="F340" s="57">
        <v>21</v>
      </c>
      <c r="G340" s="57">
        <v>0</v>
      </c>
      <c r="H340" s="57">
        <v>2</v>
      </c>
      <c r="M340" s="23">
        <v>1</v>
      </c>
    </row>
    <row r="341" spans="2:13" ht="18">
      <c r="B341" s="57">
        <v>1</v>
      </c>
      <c r="C341" s="57">
        <v>49</v>
      </c>
      <c r="D341" s="57">
        <v>14</v>
      </c>
      <c r="E341" s="57">
        <v>10</v>
      </c>
      <c r="F341" s="57">
        <v>4</v>
      </c>
      <c r="G341" s="57">
        <v>0</v>
      </c>
      <c r="H341" s="57">
        <v>0</v>
      </c>
      <c r="M341" s="23">
        <v>1</v>
      </c>
    </row>
    <row r="342" spans="2:13" ht="18">
      <c r="B342" s="57">
        <v>1</v>
      </c>
      <c r="C342" s="57">
        <v>41</v>
      </c>
      <c r="D342" s="57">
        <v>11</v>
      </c>
      <c r="E342" s="57">
        <v>8</v>
      </c>
      <c r="F342" s="57">
        <v>2</v>
      </c>
      <c r="G342" s="57">
        <v>0</v>
      </c>
      <c r="H342" s="57">
        <v>0</v>
      </c>
      <c r="M342" s="23">
        <v>1</v>
      </c>
    </row>
    <row r="343" spans="2:13" ht="18">
      <c r="B343" s="57">
        <v>1</v>
      </c>
      <c r="C343" s="57">
        <v>4</v>
      </c>
      <c r="D343" s="57">
        <v>12</v>
      </c>
      <c r="E343" s="57">
        <v>8</v>
      </c>
      <c r="F343" s="57">
        <v>1</v>
      </c>
      <c r="G343" s="57">
        <v>0</v>
      </c>
      <c r="H343" s="57">
        <v>0</v>
      </c>
      <c r="M343" s="23">
        <v>1</v>
      </c>
    </row>
    <row r="344" spans="2:13" ht="18">
      <c r="B344" s="57">
        <v>1</v>
      </c>
      <c r="C344" s="57">
        <v>41</v>
      </c>
      <c r="D344" s="57">
        <v>13</v>
      </c>
      <c r="E344" s="57">
        <v>13</v>
      </c>
      <c r="F344" s="57">
        <v>4</v>
      </c>
      <c r="G344" s="57">
        <v>0</v>
      </c>
      <c r="H344" s="57">
        <v>0</v>
      </c>
      <c r="M344" s="23">
        <v>1</v>
      </c>
    </row>
    <row r="345" spans="2:13" ht="18">
      <c r="B345" s="57">
        <v>1</v>
      </c>
      <c r="C345" s="57">
        <v>34</v>
      </c>
      <c r="D345" s="57">
        <v>15</v>
      </c>
      <c r="E345" s="57">
        <v>10</v>
      </c>
      <c r="F345" s="57">
        <v>2</v>
      </c>
      <c r="G345" s="57">
        <v>3</v>
      </c>
      <c r="H345" s="57">
        <v>0</v>
      </c>
      <c r="M345" s="23">
        <v>1</v>
      </c>
    </row>
    <row r="346" spans="2:13" ht="18">
      <c r="B346" s="57">
        <v>1</v>
      </c>
      <c r="C346" s="57">
        <v>36</v>
      </c>
      <c r="D346" s="57">
        <v>14</v>
      </c>
      <c r="E346" s="57">
        <v>13</v>
      </c>
      <c r="F346" s="57">
        <v>3</v>
      </c>
      <c r="G346" s="57">
        <v>0</v>
      </c>
      <c r="H346" s="57">
        <v>0</v>
      </c>
      <c r="M346" s="23">
        <v>1</v>
      </c>
    </row>
    <row r="347" spans="2:13" ht="18">
      <c r="B347" s="57">
        <v>1</v>
      </c>
      <c r="C347" s="57">
        <v>36</v>
      </c>
      <c r="D347" s="57">
        <v>15</v>
      </c>
      <c r="E347" s="57">
        <v>16</v>
      </c>
      <c r="F347" s="57">
        <v>7</v>
      </c>
      <c r="G347" s="57">
        <v>0</v>
      </c>
      <c r="H347" s="57">
        <v>0</v>
      </c>
      <c r="M347" s="23">
        <v>1</v>
      </c>
    </row>
    <row r="348" spans="2:13" ht="18">
      <c r="B348" s="57">
        <v>1</v>
      </c>
      <c r="C348" s="57">
        <v>12</v>
      </c>
      <c r="D348" s="57">
        <v>15</v>
      </c>
      <c r="E348" s="57">
        <v>11</v>
      </c>
      <c r="F348" s="57">
        <v>8</v>
      </c>
      <c r="G348" s="57">
        <v>0</v>
      </c>
      <c r="H348" s="57">
        <v>0</v>
      </c>
      <c r="M348" s="23">
        <v>1</v>
      </c>
    </row>
    <row r="349" spans="2:13" ht="18">
      <c r="B349" s="57">
        <v>1</v>
      </c>
      <c r="C349" s="57">
        <v>34</v>
      </c>
      <c r="D349" s="57">
        <v>15</v>
      </c>
      <c r="E349" s="57">
        <v>9</v>
      </c>
      <c r="F349" s="57">
        <v>1</v>
      </c>
      <c r="G349" s="57">
        <v>2</v>
      </c>
      <c r="H349" s="57">
        <v>1</v>
      </c>
      <c r="M349" s="23">
        <v>1</v>
      </c>
    </row>
    <row r="350" spans="2:13" ht="18">
      <c r="B350" s="57">
        <v>1</v>
      </c>
      <c r="C350" s="57">
        <v>34</v>
      </c>
      <c r="D350" s="57">
        <v>14</v>
      </c>
      <c r="E350" s="57">
        <v>7</v>
      </c>
      <c r="F350" s="57">
        <v>0</v>
      </c>
      <c r="G350" s="57">
        <v>1</v>
      </c>
      <c r="H350" s="57">
        <v>0</v>
      </c>
      <c r="M350" s="23">
        <v>1</v>
      </c>
    </row>
    <row r="351" spans="2:13" ht="18">
      <c r="B351" s="57">
        <v>1</v>
      </c>
      <c r="C351" s="57">
        <v>59</v>
      </c>
      <c r="D351" s="57">
        <v>15</v>
      </c>
      <c r="E351" s="57">
        <v>3</v>
      </c>
      <c r="F351" s="57">
        <v>3</v>
      </c>
      <c r="G351" s="57">
        <v>0</v>
      </c>
      <c r="H351" s="57">
        <v>0</v>
      </c>
      <c r="M351" s="23">
        <v>1</v>
      </c>
    </row>
    <row r="352" spans="2:13" ht="18">
      <c r="B352" s="57">
        <v>1</v>
      </c>
      <c r="C352" s="57">
        <v>59</v>
      </c>
      <c r="D352" s="57">
        <v>14</v>
      </c>
      <c r="E352" s="57">
        <v>2</v>
      </c>
      <c r="F352" s="57">
        <v>4</v>
      </c>
      <c r="G352" s="57">
        <v>0</v>
      </c>
      <c r="H352" s="57">
        <v>0</v>
      </c>
      <c r="M352" s="23">
        <v>1</v>
      </c>
    </row>
    <row r="353" spans="2:13" ht="18">
      <c r="B353" s="57">
        <v>1</v>
      </c>
      <c r="C353" s="57">
        <v>28</v>
      </c>
      <c r="D353" s="57">
        <v>14</v>
      </c>
      <c r="E353" s="57">
        <v>12</v>
      </c>
      <c r="F353" s="57">
        <v>8</v>
      </c>
      <c r="G353" s="57">
        <v>0</v>
      </c>
      <c r="H353" s="57">
        <v>0</v>
      </c>
      <c r="M353" s="23">
        <v>1</v>
      </c>
    </row>
    <row r="354" spans="2:13" ht="18">
      <c r="B354" s="57">
        <v>1</v>
      </c>
      <c r="C354" s="57">
        <v>28</v>
      </c>
      <c r="D354" s="57">
        <v>13</v>
      </c>
      <c r="E354" s="57">
        <v>10</v>
      </c>
      <c r="F354" s="57">
        <v>2</v>
      </c>
      <c r="G354" s="57">
        <v>1</v>
      </c>
      <c r="H354" s="57">
        <v>0</v>
      </c>
      <c r="M354" s="23">
        <v>1</v>
      </c>
    </row>
    <row r="355" spans="2:13" ht="18">
      <c r="B355" s="57">
        <v>1</v>
      </c>
      <c r="C355" s="57">
        <v>19</v>
      </c>
      <c r="D355" s="57">
        <v>15</v>
      </c>
      <c r="E355" s="57">
        <v>0</v>
      </c>
      <c r="F355" s="57">
        <v>10</v>
      </c>
      <c r="G355" s="57">
        <v>0</v>
      </c>
      <c r="H355" s="57">
        <v>0</v>
      </c>
      <c r="M355" s="23">
        <v>1</v>
      </c>
    </row>
    <row r="356" spans="2:13" ht="18">
      <c r="B356" s="57"/>
      <c r="C356" s="57"/>
      <c r="D356" s="57"/>
      <c r="E356" s="57"/>
      <c r="F356" s="57"/>
      <c r="G356" s="57"/>
      <c r="H356" s="57"/>
      <c r="M356" s="23">
        <v>1</v>
      </c>
    </row>
    <row r="357" spans="2:13" ht="18">
      <c r="B357" s="57"/>
      <c r="C357" s="57"/>
      <c r="D357" s="57"/>
      <c r="E357" s="57"/>
      <c r="F357" s="57"/>
      <c r="G357" s="57"/>
      <c r="H357" s="57"/>
      <c r="M357" s="23">
        <v>1</v>
      </c>
    </row>
    <row r="358" spans="2:13" ht="18">
      <c r="B358" s="57"/>
      <c r="C358" s="57"/>
      <c r="D358" s="57"/>
      <c r="E358" s="57"/>
      <c r="F358" s="57"/>
      <c r="G358" s="57"/>
      <c r="H358" s="57"/>
      <c r="M358" s="23">
        <v>1</v>
      </c>
    </row>
    <row r="359" spans="2:13" ht="18">
      <c r="B359" s="57"/>
      <c r="C359" s="57"/>
      <c r="D359" s="57"/>
      <c r="E359" s="57"/>
      <c r="F359" s="57"/>
      <c r="G359" s="57"/>
      <c r="H359" s="57"/>
      <c r="M359" s="23">
        <v>1</v>
      </c>
    </row>
    <row r="360" spans="2:13" ht="18">
      <c r="B360" s="57"/>
      <c r="C360" s="57"/>
      <c r="D360" s="57"/>
      <c r="E360" s="57"/>
      <c r="F360" s="57"/>
      <c r="G360" s="57"/>
      <c r="H360" s="57"/>
      <c r="M360" s="23">
        <v>1</v>
      </c>
    </row>
    <row r="361" spans="2:13" ht="18">
      <c r="B361" s="57"/>
      <c r="C361" s="57"/>
      <c r="D361" s="57"/>
      <c r="E361" s="57"/>
      <c r="F361" s="57"/>
      <c r="G361" s="57"/>
      <c r="H361" s="57"/>
      <c r="M361" s="23">
        <v>1</v>
      </c>
    </row>
    <row r="362" spans="2:13" ht="18">
      <c r="B362" s="57"/>
      <c r="C362" s="57"/>
      <c r="D362" s="57"/>
      <c r="E362" s="57"/>
      <c r="F362" s="57"/>
      <c r="G362" s="57"/>
      <c r="H362" s="57"/>
      <c r="M362" s="23">
        <v>1</v>
      </c>
    </row>
    <row r="363" spans="2:13" ht="18">
      <c r="B363" s="57"/>
      <c r="C363" s="57"/>
      <c r="D363" s="57"/>
      <c r="E363" s="57"/>
      <c r="F363" s="57"/>
      <c r="G363" s="57"/>
      <c r="H363" s="57"/>
      <c r="M363" s="23">
        <v>1</v>
      </c>
    </row>
    <row r="364" spans="2:13" ht="18">
      <c r="B364" s="57"/>
      <c r="C364" s="57"/>
      <c r="D364" s="57"/>
      <c r="E364" s="57"/>
      <c r="F364" s="57"/>
      <c r="G364" s="57"/>
      <c r="H364" s="57"/>
      <c r="M364" s="23">
        <v>1</v>
      </c>
    </row>
    <row r="365" spans="2:13" ht="18">
      <c r="B365" s="57"/>
      <c r="C365" s="57"/>
      <c r="D365" s="57"/>
      <c r="E365" s="57"/>
      <c r="F365" s="57"/>
      <c r="G365" s="57"/>
      <c r="H365" s="57"/>
      <c r="M365" s="23">
        <v>1</v>
      </c>
    </row>
    <row r="366" spans="2:13" ht="18">
      <c r="B366" s="57"/>
      <c r="C366" s="57"/>
      <c r="D366" s="57"/>
      <c r="E366" s="57"/>
      <c r="F366" s="57"/>
      <c r="G366" s="57"/>
      <c r="H366" s="57"/>
      <c r="M366" s="23">
        <v>1</v>
      </c>
    </row>
    <row r="367" spans="2:13" ht="18">
      <c r="B367" s="57"/>
      <c r="C367" s="57"/>
      <c r="D367" s="57"/>
      <c r="E367" s="57"/>
      <c r="F367" s="57"/>
      <c r="G367" s="57"/>
      <c r="H367" s="57"/>
      <c r="M367" s="23">
        <v>1</v>
      </c>
    </row>
    <row r="368" spans="2:13" ht="18">
      <c r="B368" s="57"/>
      <c r="C368" s="57"/>
      <c r="D368" s="57"/>
      <c r="E368" s="57"/>
      <c r="F368" s="57"/>
      <c r="G368" s="57"/>
      <c r="H368" s="57"/>
      <c r="M368" s="23">
        <v>1</v>
      </c>
    </row>
    <row r="369" spans="2:13" ht="18">
      <c r="B369" s="57"/>
      <c r="C369" s="57"/>
      <c r="D369" s="57"/>
      <c r="E369" s="57"/>
      <c r="F369" s="57"/>
      <c r="G369" s="57"/>
      <c r="H369" s="57"/>
      <c r="M369" s="23">
        <v>1</v>
      </c>
    </row>
    <row r="370" spans="2:13" ht="18">
      <c r="B370" s="57"/>
      <c r="C370" s="57"/>
      <c r="D370" s="57"/>
      <c r="E370" s="57"/>
      <c r="F370" s="57"/>
      <c r="G370" s="57"/>
      <c r="H370" s="57"/>
      <c r="M370" s="23">
        <v>1</v>
      </c>
    </row>
    <row r="371" spans="2:13" ht="18">
      <c r="B371" s="57"/>
      <c r="C371" s="57"/>
      <c r="D371" s="57"/>
      <c r="E371" s="57"/>
      <c r="F371" s="57"/>
      <c r="G371" s="57"/>
      <c r="H371" s="57"/>
      <c r="M371" s="23">
        <v>1</v>
      </c>
    </row>
    <row r="372" spans="2:13" ht="18">
      <c r="B372" s="57"/>
      <c r="C372" s="57"/>
      <c r="D372" s="57"/>
      <c r="E372" s="57"/>
      <c r="F372" s="57"/>
      <c r="G372" s="57"/>
      <c r="H372" s="57"/>
      <c r="M372" s="23">
        <v>1</v>
      </c>
    </row>
    <row r="373" spans="2:13" ht="18">
      <c r="B373" s="57"/>
      <c r="C373" s="57"/>
      <c r="D373" s="57"/>
      <c r="E373" s="57"/>
      <c r="F373" s="57"/>
      <c r="G373" s="57"/>
      <c r="H373" s="57"/>
      <c r="M373" s="23">
        <v>1</v>
      </c>
    </row>
    <row r="374" spans="2:13" ht="18">
      <c r="B374" s="57"/>
      <c r="C374" s="57"/>
      <c r="D374" s="57"/>
      <c r="E374" s="57"/>
      <c r="F374" s="57"/>
      <c r="G374" s="57"/>
      <c r="H374" s="57"/>
      <c r="M374" s="23">
        <v>1</v>
      </c>
    </row>
    <row r="375" spans="2:13" ht="18">
      <c r="B375" s="57"/>
      <c r="C375" s="57"/>
      <c r="D375" s="57"/>
      <c r="E375" s="57"/>
      <c r="F375" s="57"/>
      <c r="G375" s="57"/>
      <c r="H375" s="57"/>
      <c r="M375" s="23">
        <v>1</v>
      </c>
    </row>
    <row r="376" spans="2:13" ht="18">
      <c r="B376" s="57"/>
      <c r="C376" s="57"/>
      <c r="D376" s="57"/>
      <c r="E376" s="57"/>
      <c r="F376" s="57"/>
      <c r="G376" s="57"/>
      <c r="H376" s="57"/>
      <c r="M376" s="23">
        <v>1</v>
      </c>
    </row>
    <row r="377" spans="2:13" ht="18">
      <c r="B377" s="57"/>
      <c r="C377" s="57"/>
      <c r="D377" s="57"/>
      <c r="E377" s="57"/>
      <c r="F377" s="57"/>
      <c r="G377" s="57"/>
      <c r="H377" s="57"/>
      <c r="M377" s="23">
        <v>1</v>
      </c>
    </row>
    <row r="378" spans="2:13" ht="18">
      <c r="B378" s="57"/>
      <c r="C378" s="57"/>
      <c r="D378" s="57"/>
      <c r="E378" s="57"/>
      <c r="F378" s="57"/>
      <c r="G378" s="57"/>
      <c r="H378" s="57"/>
      <c r="M378" s="23">
        <v>1</v>
      </c>
    </row>
    <row r="379" spans="2:13" ht="18">
      <c r="B379" s="57"/>
      <c r="C379" s="57"/>
      <c r="D379" s="57"/>
      <c r="E379" s="57"/>
      <c r="F379" s="57"/>
      <c r="G379" s="57"/>
      <c r="H379" s="57"/>
      <c r="M379" s="23">
        <v>1</v>
      </c>
    </row>
    <row r="380" spans="2:13" ht="18">
      <c r="B380" s="57"/>
      <c r="C380" s="57"/>
      <c r="D380" s="57"/>
      <c r="E380" s="57"/>
      <c r="F380" s="57"/>
      <c r="G380" s="57"/>
      <c r="H380" s="57"/>
      <c r="M380" s="23">
        <v>1</v>
      </c>
    </row>
    <row r="381" spans="2:13" ht="18">
      <c r="B381" s="57"/>
      <c r="C381" s="57"/>
      <c r="D381" s="57"/>
      <c r="E381" s="57"/>
      <c r="F381" s="57"/>
      <c r="G381" s="57"/>
      <c r="H381" s="57"/>
      <c r="M381" s="23">
        <v>1</v>
      </c>
    </row>
    <row r="382" spans="2:13" ht="18">
      <c r="B382" s="57"/>
      <c r="C382" s="57"/>
      <c r="D382" s="57"/>
      <c r="E382" s="57"/>
      <c r="F382" s="57"/>
      <c r="G382" s="57"/>
      <c r="H382" s="57"/>
      <c r="M382" s="23">
        <v>1</v>
      </c>
    </row>
    <row r="383" spans="2:13" ht="18">
      <c r="B383" s="57"/>
      <c r="C383" s="57"/>
      <c r="D383" s="57"/>
      <c r="E383" s="57"/>
      <c r="F383" s="57"/>
      <c r="G383" s="57"/>
      <c r="H383" s="57"/>
      <c r="M383" s="23">
        <v>1</v>
      </c>
    </row>
    <row r="384" spans="2:13" ht="18">
      <c r="B384" s="57"/>
      <c r="C384" s="57"/>
      <c r="D384" s="57"/>
      <c r="E384" s="57"/>
      <c r="F384" s="57"/>
      <c r="G384" s="57"/>
      <c r="H384" s="57"/>
      <c r="M384" s="23">
        <v>1</v>
      </c>
    </row>
    <row r="385" spans="2:13" ht="18">
      <c r="B385" s="57"/>
      <c r="C385" s="57"/>
      <c r="D385" s="57"/>
      <c r="E385" s="57"/>
      <c r="F385" s="57"/>
      <c r="G385" s="57"/>
      <c r="H385" s="57"/>
      <c r="M385" s="23">
        <v>1</v>
      </c>
    </row>
    <row r="386" spans="2:13" ht="18">
      <c r="B386" s="57"/>
      <c r="C386" s="57"/>
      <c r="D386" s="57"/>
      <c r="E386" s="57"/>
      <c r="F386" s="57"/>
      <c r="G386" s="57"/>
      <c r="H386" s="57"/>
      <c r="M386" s="23">
        <v>1</v>
      </c>
    </row>
    <row r="387" spans="2:13" ht="18">
      <c r="B387" s="57"/>
      <c r="C387" s="57"/>
      <c r="D387" s="57"/>
      <c r="E387" s="57"/>
      <c r="F387" s="57"/>
      <c r="G387" s="57"/>
      <c r="H387" s="57"/>
      <c r="M387" s="23">
        <v>1</v>
      </c>
    </row>
    <row r="388" spans="2:13" ht="18">
      <c r="B388" s="57"/>
      <c r="C388" s="57"/>
      <c r="D388" s="57"/>
      <c r="E388" s="57"/>
      <c r="F388" s="57"/>
      <c r="G388" s="57"/>
      <c r="H388" s="57"/>
      <c r="M388" s="23">
        <v>1</v>
      </c>
    </row>
    <row r="389" spans="2:13" ht="18">
      <c r="B389" s="57"/>
      <c r="C389" s="57"/>
      <c r="D389" s="57"/>
      <c r="E389" s="57"/>
      <c r="F389" s="57"/>
      <c r="G389" s="57"/>
      <c r="H389" s="57"/>
      <c r="M389" s="23">
        <v>1</v>
      </c>
    </row>
    <row r="390" spans="2:13" ht="18">
      <c r="B390" s="57"/>
      <c r="C390" s="57"/>
      <c r="D390" s="57"/>
      <c r="E390" s="57"/>
      <c r="F390" s="57"/>
      <c r="G390" s="57"/>
      <c r="H390" s="57"/>
      <c r="M390" s="23">
        <v>1</v>
      </c>
    </row>
    <row r="391" spans="2:13" ht="18">
      <c r="B391" s="57"/>
      <c r="C391" s="57"/>
      <c r="D391" s="57"/>
      <c r="E391" s="57"/>
      <c r="F391" s="57"/>
      <c r="G391" s="57"/>
      <c r="H391" s="57"/>
      <c r="M391" s="23">
        <v>1</v>
      </c>
    </row>
    <row r="392" spans="2:13" ht="18">
      <c r="B392" s="57"/>
      <c r="C392" s="57"/>
      <c r="D392" s="57"/>
      <c r="E392" s="57"/>
      <c r="F392" s="57"/>
      <c r="G392" s="57"/>
      <c r="H392" s="57"/>
      <c r="M392" s="23">
        <v>1</v>
      </c>
    </row>
    <row r="393" spans="2:13" ht="18">
      <c r="B393" s="57"/>
      <c r="C393" s="57"/>
      <c r="D393" s="57"/>
      <c r="E393" s="57"/>
      <c r="F393" s="57"/>
      <c r="G393" s="57"/>
      <c r="H393" s="57"/>
      <c r="M393" s="23">
        <v>1</v>
      </c>
    </row>
    <row r="394" spans="2:13" ht="18">
      <c r="B394" s="57"/>
      <c r="C394" s="57"/>
      <c r="D394" s="57"/>
      <c r="E394" s="57"/>
      <c r="F394" s="57"/>
      <c r="G394" s="57"/>
      <c r="H394" s="57"/>
      <c r="M394" s="23">
        <v>1</v>
      </c>
    </row>
    <row r="395" spans="2:13" ht="18">
      <c r="B395" s="57"/>
      <c r="C395" s="57"/>
      <c r="D395" s="57"/>
      <c r="E395" s="57"/>
      <c r="F395" s="57"/>
      <c r="G395" s="57"/>
      <c r="H395" s="57"/>
      <c r="M395" s="23">
        <v>1</v>
      </c>
    </row>
    <row r="396" spans="2:13" ht="18">
      <c r="B396" s="57"/>
      <c r="C396" s="57"/>
      <c r="D396" s="57"/>
      <c r="E396" s="57"/>
      <c r="F396" s="57"/>
      <c r="G396" s="57"/>
      <c r="H396" s="57"/>
      <c r="M396" s="23">
        <v>1</v>
      </c>
    </row>
    <row r="397" spans="2:13" ht="18">
      <c r="B397" s="57"/>
      <c r="C397" s="57"/>
      <c r="D397" s="57"/>
      <c r="E397" s="57"/>
      <c r="F397" s="57"/>
      <c r="G397" s="57"/>
      <c r="H397" s="57"/>
      <c r="M397" s="23">
        <v>1</v>
      </c>
    </row>
    <row r="398" spans="2:13" ht="18">
      <c r="B398" s="57"/>
      <c r="C398" s="57"/>
      <c r="D398" s="57"/>
      <c r="E398" s="57"/>
      <c r="F398" s="57"/>
      <c r="G398" s="57"/>
      <c r="H398" s="57"/>
      <c r="M398" s="23">
        <v>1</v>
      </c>
    </row>
    <row r="399" spans="2:13" ht="18">
      <c r="B399" s="57"/>
      <c r="C399" s="57"/>
      <c r="D399" s="57"/>
      <c r="E399" s="57"/>
      <c r="F399" s="57"/>
      <c r="G399" s="57"/>
      <c r="H399" s="57"/>
      <c r="M399" s="23">
        <v>1</v>
      </c>
    </row>
    <row r="400" spans="2:13" ht="18">
      <c r="B400" s="57"/>
      <c r="C400" s="57"/>
      <c r="D400" s="57"/>
      <c r="E400" s="57"/>
      <c r="F400" s="57"/>
      <c r="G400" s="57"/>
      <c r="H400" s="57"/>
      <c r="M400" s="23">
        <v>1</v>
      </c>
    </row>
    <row r="401" spans="2:13" ht="18">
      <c r="B401" s="57"/>
      <c r="C401" s="57"/>
      <c r="D401" s="57"/>
      <c r="E401" s="57"/>
      <c r="F401" s="57"/>
      <c r="G401" s="57"/>
      <c r="H401" s="57"/>
      <c r="M401" s="23">
        <v>1</v>
      </c>
    </row>
    <row r="402" spans="2:13" ht="18">
      <c r="B402" s="57"/>
      <c r="C402" s="57"/>
      <c r="D402" s="57"/>
      <c r="E402" s="57"/>
      <c r="F402" s="57"/>
      <c r="G402" s="57"/>
      <c r="H402" s="57"/>
      <c r="M402" s="23">
        <v>1</v>
      </c>
    </row>
    <row r="403" spans="2:13" ht="18">
      <c r="B403" s="57"/>
      <c r="C403" s="57"/>
      <c r="D403" s="57"/>
      <c r="E403" s="57"/>
      <c r="F403" s="57"/>
      <c r="G403" s="57"/>
      <c r="H403" s="57"/>
      <c r="M403" s="23">
        <v>1</v>
      </c>
    </row>
    <row r="404" spans="2:13" ht="18">
      <c r="B404" s="57"/>
      <c r="C404" s="57"/>
      <c r="D404" s="57"/>
      <c r="E404" s="57"/>
      <c r="F404" s="57"/>
      <c r="G404" s="57"/>
      <c r="H404" s="57"/>
      <c r="M404" s="23">
        <v>1</v>
      </c>
    </row>
    <row r="405" spans="2:13" ht="18">
      <c r="B405" s="57"/>
      <c r="C405" s="57"/>
      <c r="D405" s="57"/>
      <c r="E405" s="57"/>
      <c r="F405" s="57"/>
      <c r="G405" s="57"/>
      <c r="H405" s="57"/>
      <c r="M405" s="23">
        <v>1</v>
      </c>
    </row>
    <row r="406" spans="2:13" ht="18">
      <c r="B406" s="57"/>
      <c r="C406" s="57"/>
      <c r="D406" s="57"/>
      <c r="E406" s="57"/>
      <c r="F406" s="57"/>
      <c r="G406" s="57"/>
      <c r="H406" s="57"/>
      <c r="M406" s="23">
        <v>1</v>
      </c>
    </row>
    <row r="407" spans="2:13" ht="18">
      <c r="B407" s="57"/>
      <c r="C407" s="57"/>
      <c r="D407" s="57"/>
      <c r="E407" s="57"/>
      <c r="F407" s="57"/>
      <c r="G407" s="57"/>
      <c r="H407" s="57"/>
      <c r="M407" s="23">
        <v>1</v>
      </c>
    </row>
    <row r="408" spans="2:13" ht="18">
      <c r="B408" s="57"/>
      <c r="C408" s="57"/>
      <c r="D408" s="57"/>
      <c r="E408" s="57"/>
      <c r="F408" s="57"/>
      <c r="G408" s="57"/>
      <c r="H408" s="57"/>
      <c r="M408" s="23">
        <v>1</v>
      </c>
    </row>
    <row r="409" spans="2:13" ht="18">
      <c r="B409" s="57"/>
      <c r="C409" s="57"/>
      <c r="D409" s="57"/>
      <c r="E409" s="57"/>
      <c r="F409" s="57"/>
      <c r="G409" s="57"/>
      <c r="H409" s="57"/>
      <c r="M409" s="23">
        <v>1</v>
      </c>
    </row>
    <row r="410" spans="2:13" ht="18">
      <c r="B410" s="57"/>
      <c r="C410" s="57"/>
      <c r="D410" s="57"/>
      <c r="E410" s="57"/>
      <c r="F410" s="57"/>
      <c r="G410" s="57"/>
      <c r="H410" s="57"/>
      <c r="M410" s="23">
        <v>1</v>
      </c>
    </row>
    <row r="411" spans="2:13" ht="18">
      <c r="B411" s="57"/>
      <c r="C411" s="57"/>
      <c r="D411" s="57"/>
      <c r="E411" s="57"/>
      <c r="F411" s="57"/>
      <c r="G411" s="57"/>
      <c r="H411" s="57"/>
      <c r="M411" s="23">
        <v>1</v>
      </c>
    </row>
    <row r="412" spans="2:13" ht="18">
      <c r="B412" s="57"/>
      <c r="C412" s="57"/>
      <c r="D412" s="57"/>
      <c r="E412" s="57"/>
      <c r="F412" s="57"/>
      <c r="G412" s="57"/>
      <c r="H412" s="57"/>
      <c r="M412" s="23">
        <v>1</v>
      </c>
    </row>
    <row r="413" spans="2:13" ht="18">
      <c r="B413" s="57"/>
      <c r="C413" s="57"/>
      <c r="D413" s="57"/>
      <c r="E413" s="57"/>
      <c r="F413" s="57"/>
      <c r="G413" s="57"/>
      <c r="H413" s="57"/>
      <c r="M413" s="23">
        <v>1</v>
      </c>
    </row>
    <row r="414" spans="2:13" ht="18">
      <c r="B414" s="57"/>
      <c r="C414" s="57"/>
      <c r="D414" s="57"/>
      <c r="E414" s="57"/>
      <c r="F414" s="57"/>
      <c r="G414" s="57"/>
      <c r="H414" s="57"/>
      <c r="M414" s="23">
        <v>1</v>
      </c>
    </row>
    <row r="415" spans="2:13" ht="18">
      <c r="B415" s="57"/>
      <c r="C415" s="57"/>
      <c r="D415" s="57"/>
      <c r="E415" s="57"/>
      <c r="F415" s="57"/>
      <c r="G415" s="57"/>
      <c r="H415" s="57"/>
      <c r="M415" s="23">
        <v>1</v>
      </c>
    </row>
    <row r="416" spans="2:13" ht="18">
      <c r="B416" s="57"/>
      <c r="C416" s="57"/>
      <c r="D416" s="57"/>
      <c r="E416" s="57"/>
      <c r="F416" s="57"/>
      <c r="G416" s="57"/>
      <c r="H416" s="57"/>
      <c r="M416" s="23">
        <v>1</v>
      </c>
    </row>
    <row r="417" spans="2:13" ht="18">
      <c r="B417" s="57"/>
      <c r="C417" s="57"/>
      <c r="D417" s="57"/>
      <c r="E417" s="57"/>
      <c r="F417" s="57"/>
      <c r="G417" s="57"/>
      <c r="H417" s="57"/>
      <c r="M417" s="23">
        <v>1</v>
      </c>
    </row>
    <row r="418" spans="2:13" ht="18">
      <c r="B418" s="57"/>
      <c r="C418" s="57"/>
      <c r="D418" s="57"/>
      <c r="E418" s="57"/>
      <c r="F418" s="57"/>
      <c r="G418" s="57"/>
      <c r="H418" s="57"/>
      <c r="M418" s="23">
        <v>1</v>
      </c>
    </row>
    <row r="419" spans="2:13" ht="18">
      <c r="B419" s="57"/>
      <c r="C419" s="57"/>
      <c r="D419" s="57"/>
      <c r="E419" s="57"/>
      <c r="F419" s="57"/>
      <c r="G419" s="57"/>
      <c r="H419" s="57"/>
      <c r="M419" s="23">
        <v>1</v>
      </c>
    </row>
    <row r="420" spans="2:13" ht="18">
      <c r="B420" s="57"/>
      <c r="C420" s="57"/>
      <c r="D420" s="57"/>
      <c r="E420" s="57"/>
      <c r="F420" s="57"/>
      <c r="G420" s="57"/>
      <c r="H420" s="57"/>
      <c r="M420" s="23">
        <v>1</v>
      </c>
    </row>
    <row r="421" spans="2:13" ht="18">
      <c r="B421" s="57"/>
      <c r="C421" s="57"/>
      <c r="D421" s="57"/>
      <c r="E421" s="57"/>
      <c r="F421" s="57"/>
      <c r="G421" s="57"/>
      <c r="H421" s="57"/>
      <c r="M421" s="23">
        <v>1</v>
      </c>
    </row>
    <row r="422" spans="2:13" ht="18">
      <c r="B422" s="57"/>
      <c r="C422" s="57"/>
      <c r="D422" s="57"/>
      <c r="E422" s="57"/>
      <c r="F422" s="57"/>
      <c r="G422" s="57"/>
      <c r="H422" s="57"/>
      <c r="M422" s="23">
        <v>1</v>
      </c>
    </row>
    <row r="423" spans="2:13" ht="18">
      <c r="B423" s="57"/>
      <c r="C423" s="57"/>
      <c r="D423" s="57"/>
      <c r="E423" s="57"/>
      <c r="F423" s="57"/>
      <c r="G423" s="57"/>
      <c r="H423" s="57"/>
      <c r="M423" s="23">
        <v>1</v>
      </c>
    </row>
    <row r="424" spans="2:13" ht="18">
      <c r="B424" s="57"/>
      <c r="C424" s="57"/>
      <c r="D424" s="57"/>
      <c r="E424" s="57"/>
      <c r="F424" s="57"/>
      <c r="G424" s="57"/>
      <c r="H424" s="57"/>
      <c r="M424" s="23">
        <v>1</v>
      </c>
    </row>
    <row r="425" spans="2:13" ht="18">
      <c r="B425" s="57"/>
      <c r="C425" s="57"/>
      <c r="D425" s="57"/>
      <c r="E425" s="57"/>
      <c r="F425" s="57"/>
      <c r="G425" s="57"/>
      <c r="H425" s="57"/>
      <c r="M425" s="23">
        <v>1</v>
      </c>
    </row>
    <row r="426" spans="2:13" ht="18">
      <c r="B426" s="57"/>
      <c r="C426" s="57"/>
      <c r="D426" s="57"/>
      <c r="E426" s="57"/>
      <c r="F426" s="57"/>
      <c r="G426" s="57"/>
      <c r="H426" s="57"/>
      <c r="M426" s="23">
        <v>1</v>
      </c>
    </row>
    <row r="427" spans="2:13" ht="18">
      <c r="B427" s="57"/>
      <c r="C427" s="57"/>
      <c r="D427" s="57"/>
      <c r="E427" s="57"/>
      <c r="F427" s="57"/>
      <c r="G427" s="57"/>
      <c r="H427" s="57"/>
      <c r="M427" s="23">
        <v>1</v>
      </c>
    </row>
    <row r="428" spans="2:13" ht="18">
      <c r="B428" s="57"/>
      <c r="C428" s="57"/>
      <c r="D428" s="57"/>
      <c r="E428" s="57"/>
      <c r="F428" s="57"/>
      <c r="G428" s="57"/>
      <c r="H428" s="57"/>
      <c r="M428" s="23">
        <v>1</v>
      </c>
    </row>
    <row r="429" spans="2:13" ht="18">
      <c r="B429" s="57"/>
      <c r="C429" s="57"/>
      <c r="D429" s="57"/>
      <c r="E429" s="57"/>
      <c r="F429" s="57"/>
      <c r="G429" s="57"/>
      <c r="H429" s="57"/>
      <c r="M429" s="23">
        <v>1</v>
      </c>
    </row>
    <row r="430" spans="2:13" ht="18">
      <c r="B430" s="57"/>
      <c r="C430" s="57"/>
      <c r="D430" s="57"/>
      <c r="E430" s="57"/>
      <c r="F430" s="57"/>
      <c r="G430" s="57"/>
      <c r="H430" s="57"/>
      <c r="M430" s="23">
        <v>1</v>
      </c>
    </row>
    <row r="431" spans="2:13" ht="18">
      <c r="B431" s="57"/>
      <c r="C431" s="57"/>
      <c r="D431" s="57"/>
      <c r="E431" s="57"/>
      <c r="F431" s="57"/>
      <c r="G431" s="57"/>
      <c r="H431" s="57"/>
      <c r="M431" s="23">
        <v>1</v>
      </c>
    </row>
    <row r="432" spans="2:13" ht="18">
      <c r="B432" s="57"/>
      <c r="C432" s="57"/>
      <c r="D432" s="57"/>
      <c r="E432" s="57"/>
      <c r="F432" s="57"/>
      <c r="G432" s="57"/>
      <c r="H432" s="57"/>
      <c r="M432" s="23">
        <v>1</v>
      </c>
    </row>
    <row r="433" spans="2:13" ht="18">
      <c r="B433" s="57"/>
      <c r="C433" s="57"/>
      <c r="D433" s="57"/>
      <c r="E433" s="57"/>
      <c r="F433" s="57"/>
      <c r="G433" s="57"/>
      <c r="H433" s="57"/>
      <c r="M433" s="23">
        <v>1</v>
      </c>
    </row>
    <row r="434" spans="2:13" ht="18">
      <c r="B434" s="57"/>
      <c r="C434" s="57"/>
      <c r="D434" s="57"/>
      <c r="E434" s="57"/>
      <c r="F434" s="57"/>
      <c r="G434" s="57"/>
      <c r="H434" s="57"/>
      <c r="M434" s="23">
        <v>1</v>
      </c>
    </row>
    <row r="435" spans="2:13" ht="18">
      <c r="B435" s="57"/>
      <c r="C435" s="57"/>
      <c r="D435" s="57"/>
      <c r="E435" s="57"/>
      <c r="F435" s="57"/>
      <c r="G435" s="57"/>
      <c r="H435" s="57"/>
      <c r="M435" s="23">
        <v>1</v>
      </c>
    </row>
    <row r="436" spans="2:13" ht="18">
      <c r="B436" s="57"/>
      <c r="C436" s="57"/>
      <c r="D436" s="57"/>
      <c r="E436" s="57"/>
      <c r="F436" s="57"/>
      <c r="G436" s="57"/>
      <c r="H436" s="57"/>
      <c r="M436" s="23">
        <v>1</v>
      </c>
    </row>
    <row r="437" spans="2:13" ht="18">
      <c r="B437" s="57"/>
      <c r="C437" s="57"/>
      <c r="D437" s="57"/>
      <c r="E437" s="57"/>
      <c r="F437" s="57"/>
      <c r="G437" s="57"/>
      <c r="H437" s="57"/>
      <c r="M437" s="23">
        <v>1</v>
      </c>
    </row>
    <row r="438" spans="2:13" ht="18">
      <c r="B438" s="57"/>
      <c r="C438" s="57"/>
      <c r="D438" s="57"/>
      <c r="E438" s="57"/>
      <c r="F438" s="57"/>
      <c r="G438" s="57"/>
      <c r="H438" s="57"/>
      <c r="M438" s="23">
        <v>1</v>
      </c>
    </row>
    <row r="439" spans="2:13" ht="18">
      <c r="B439" s="57"/>
      <c r="C439" s="57"/>
      <c r="D439" s="57"/>
      <c r="E439" s="57"/>
      <c r="F439" s="57"/>
      <c r="G439" s="57"/>
      <c r="H439" s="57"/>
      <c r="M439" s="23">
        <v>1</v>
      </c>
    </row>
    <row r="440" spans="2:13" ht="18">
      <c r="B440" s="57"/>
      <c r="C440" s="57"/>
      <c r="D440" s="57"/>
      <c r="E440" s="57"/>
      <c r="F440" s="57"/>
      <c r="G440" s="57"/>
      <c r="H440" s="57"/>
      <c r="M440" s="23">
        <v>1</v>
      </c>
    </row>
    <row r="441" spans="2:13" ht="18">
      <c r="B441" s="57"/>
      <c r="C441" s="57"/>
      <c r="D441" s="57"/>
      <c r="E441" s="57"/>
      <c r="F441" s="57"/>
      <c r="G441" s="57"/>
      <c r="H441" s="57"/>
      <c r="M441" s="23">
        <v>1</v>
      </c>
    </row>
    <row r="442" spans="2:13" ht="18">
      <c r="B442" s="57"/>
      <c r="C442" s="57"/>
      <c r="D442" s="57"/>
      <c r="E442" s="57"/>
      <c r="F442" s="57"/>
      <c r="G442" s="57"/>
      <c r="H442" s="57"/>
      <c r="M442" s="23">
        <v>1</v>
      </c>
    </row>
    <row r="443" spans="2:13" ht="18">
      <c r="B443" s="57"/>
      <c r="C443" s="57"/>
      <c r="D443" s="57"/>
      <c r="E443" s="57"/>
      <c r="F443" s="57"/>
      <c r="G443" s="57"/>
      <c r="H443" s="57"/>
      <c r="M443" s="23">
        <v>1</v>
      </c>
    </row>
    <row r="444" spans="2:13" ht="18">
      <c r="B444" s="57"/>
      <c r="C444" s="57"/>
      <c r="D444" s="57"/>
      <c r="E444" s="57"/>
      <c r="F444" s="57"/>
      <c r="G444" s="57"/>
      <c r="H444" s="57"/>
      <c r="M444" s="23">
        <v>1</v>
      </c>
    </row>
    <row r="445" spans="2:13" ht="18">
      <c r="B445" s="57"/>
      <c r="C445" s="57"/>
      <c r="D445" s="57"/>
      <c r="E445" s="57"/>
      <c r="F445" s="57"/>
      <c r="G445" s="57"/>
      <c r="H445" s="57"/>
      <c r="M445" s="23">
        <v>1</v>
      </c>
    </row>
    <row r="446" spans="2:13" ht="18">
      <c r="B446" s="57"/>
      <c r="C446" s="57"/>
      <c r="D446" s="57"/>
      <c r="E446" s="57"/>
      <c r="F446" s="57"/>
      <c r="G446" s="57"/>
      <c r="H446" s="57"/>
      <c r="M446" s="23">
        <v>1</v>
      </c>
    </row>
    <row r="447" spans="2:13" ht="18">
      <c r="B447" s="57"/>
      <c r="C447" s="57"/>
      <c r="D447" s="57"/>
      <c r="E447" s="57"/>
      <c r="F447" s="57"/>
      <c r="G447" s="57"/>
      <c r="H447" s="57"/>
      <c r="M447" s="23">
        <v>1</v>
      </c>
    </row>
    <row r="448" spans="2:13" ht="18">
      <c r="B448" s="57"/>
      <c r="C448" s="57"/>
      <c r="D448" s="57"/>
      <c r="E448" s="57"/>
      <c r="F448" s="57"/>
      <c r="G448" s="57"/>
      <c r="H448" s="57"/>
      <c r="M448" s="23">
        <v>1</v>
      </c>
    </row>
    <row r="449" spans="2:13" ht="18">
      <c r="B449" s="57"/>
      <c r="C449" s="57"/>
      <c r="D449" s="57"/>
      <c r="E449" s="57"/>
      <c r="F449" s="57"/>
      <c r="G449" s="57"/>
      <c r="H449" s="57"/>
      <c r="M449" s="23">
        <v>1</v>
      </c>
    </row>
    <row r="450" spans="2:13" ht="18">
      <c r="B450" s="57"/>
      <c r="C450" s="57"/>
      <c r="D450" s="57"/>
      <c r="E450" s="57"/>
      <c r="F450" s="57"/>
      <c r="G450" s="57"/>
      <c r="H450" s="57"/>
      <c r="M450" s="23">
        <v>1</v>
      </c>
    </row>
    <row r="451" spans="2:13" ht="18">
      <c r="B451" s="57"/>
      <c r="C451" s="57"/>
      <c r="D451" s="57"/>
      <c r="E451" s="57"/>
      <c r="F451" s="57"/>
      <c r="G451" s="57"/>
      <c r="H451" s="57"/>
      <c r="M451" s="23">
        <v>1</v>
      </c>
    </row>
    <row r="452" spans="2:13" ht="18">
      <c r="B452" s="57"/>
      <c r="C452" s="57"/>
      <c r="D452" s="57"/>
      <c r="E452" s="57"/>
      <c r="F452" s="57"/>
      <c r="G452" s="57"/>
      <c r="H452" s="57"/>
      <c r="M452" s="23">
        <v>1</v>
      </c>
    </row>
    <row r="453" spans="2:13" ht="18">
      <c r="B453" s="57"/>
      <c r="C453" s="57"/>
      <c r="D453" s="57"/>
      <c r="E453" s="57"/>
      <c r="F453" s="57"/>
      <c r="G453" s="57"/>
      <c r="H453" s="57"/>
      <c r="M453" s="23">
        <v>1</v>
      </c>
    </row>
    <row r="454" spans="2:13" ht="18">
      <c r="B454" s="57"/>
      <c r="C454" s="57"/>
      <c r="D454" s="57"/>
      <c r="E454" s="57"/>
      <c r="F454" s="57"/>
      <c r="G454" s="57"/>
      <c r="H454" s="57"/>
      <c r="M454" s="23">
        <v>1</v>
      </c>
    </row>
    <row r="455" spans="2:13" ht="18">
      <c r="B455" s="57"/>
      <c r="C455" s="57"/>
      <c r="D455" s="57"/>
      <c r="E455" s="57"/>
      <c r="F455" s="57"/>
      <c r="G455" s="57"/>
      <c r="H455" s="57"/>
      <c r="M455" s="23">
        <v>1</v>
      </c>
    </row>
    <row r="456" spans="2:13" ht="18">
      <c r="B456" s="57"/>
      <c r="C456" s="57"/>
      <c r="D456" s="57"/>
      <c r="E456" s="57"/>
      <c r="F456" s="57"/>
      <c r="G456" s="57"/>
      <c r="H456" s="57"/>
      <c r="M456" s="23">
        <v>1</v>
      </c>
    </row>
    <row r="457" spans="2:13" ht="18">
      <c r="B457" s="57"/>
      <c r="C457" s="57"/>
      <c r="D457" s="57"/>
      <c r="E457" s="57"/>
      <c r="F457" s="57"/>
      <c r="G457" s="57"/>
      <c r="H457" s="57"/>
      <c r="M457" s="23">
        <v>1</v>
      </c>
    </row>
    <row r="458" spans="2:13" ht="18">
      <c r="B458" s="57"/>
      <c r="C458" s="57"/>
      <c r="D458" s="57"/>
      <c r="E458" s="57"/>
      <c r="F458" s="57"/>
      <c r="G458" s="57"/>
      <c r="H458" s="57"/>
      <c r="M458" s="23">
        <v>1</v>
      </c>
    </row>
    <row r="459" spans="2:13" ht="18">
      <c r="B459" s="57"/>
      <c r="C459" s="57"/>
      <c r="D459" s="57"/>
      <c r="E459" s="57"/>
      <c r="F459" s="57"/>
      <c r="G459" s="57"/>
      <c r="H459" s="57"/>
      <c r="M459" s="23">
        <v>1</v>
      </c>
    </row>
    <row r="460" spans="2:13" ht="18">
      <c r="B460" s="57"/>
      <c r="C460" s="57"/>
      <c r="D460" s="57"/>
      <c r="E460" s="57"/>
      <c r="F460" s="57"/>
      <c r="G460" s="57"/>
      <c r="H460" s="57"/>
      <c r="M460" s="23">
        <v>1</v>
      </c>
    </row>
    <row r="461" spans="2:13" ht="18">
      <c r="B461" s="57"/>
      <c r="C461" s="57"/>
      <c r="D461" s="57"/>
      <c r="E461" s="57"/>
      <c r="F461" s="57"/>
      <c r="G461" s="57"/>
      <c r="H461" s="57"/>
      <c r="M461" s="23">
        <v>1</v>
      </c>
    </row>
    <row r="462" spans="2:13" ht="18">
      <c r="B462" s="57"/>
      <c r="C462" s="57"/>
      <c r="D462" s="57"/>
      <c r="E462" s="57"/>
      <c r="F462" s="57"/>
      <c r="G462" s="57"/>
      <c r="H462" s="57"/>
      <c r="M462" s="23">
        <v>1</v>
      </c>
    </row>
    <row r="463" spans="2:13" ht="18">
      <c r="B463" s="57"/>
      <c r="C463" s="57"/>
      <c r="D463" s="57"/>
      <c r="E463" s="57"/>
      <c r="F463" s="57"/>
      <c r="G463" s="57"/>
      <c r="H463" s="57"/>
      <c r="M463" s="23">
        <v>1</v>
      </c>
    </row>
    <row r="464" spans="2:13" ht="18">
      <c r="B464" s="57"/>
      <c r="C464" s="57"/>
      <c r="D464" s="57"/>
      <c r="E464" s="57"/>
      <c r="F464" s="57"/>
      <c r="G464" s="57"/>
      <c r="H464" s="57"/>
      <c r="M464" s="23">
        <v>1</v>
      </c>
    </row>
    <row r="465" spans="2:13" ht="18">
      <c r="B465" s="57"/>
      <c r="C465" s="57"/>
      <c r="D465" s="57"/>
      <c r="E465" s="57"/>
      <c r="F465" s="57"/>
      <c r="G465" s="57"/>
      <c r="H465" s="57"/>
      <c r="M465" s="23">
        <v>1</v>
      </c>
    </row>
    <row r="466" spans="2:13" ht="18">
      <c r="B466" s="57"/>
      <c r="C466" s="57"/>
      <c r="D466" s="57"/>
      <c r="E466" s="57"/>
      <c r="F466" s="57"/>
      <c r="G466" s="57"/>
      <c r="H466" s="57"/>
      <c r="M466" s="23">
        <v>1</v>
      </c>
    </row>
    <row r="467" spans="2:13" ht="18">
      <c r="B467" s="57"/>
      <c r="C467" s="57"/>
      <c r="D467" s="57"/>
      <c r="E467" s="57"/>
      <c r="F467" s="57"/>
      <c r="G467" s="57"/>
      <c r="H467" s="57"/>
      <c r="M467" s="23">
        <v>1</v>
      </c>
    </row>
    <row r="468" spans="2:13" ht="18">
      <c r="B468" s="57"/>
      <c r="C468" s="57"/>
      <c r="D468" s="57"/>
      <c r="E468" s="57"/>
      <c r="F468" s="57"/>
      <c r="G468" s="57"/>
      <c r="H468" s="57"/>
      <c r="M468" s="23">
        <v>1</v>
      </c>
    </row>
    <row r="469" spans="2:13" ht="18">
      <c r="B469" s="57"/>
      <c r="C469" s="57"/>
      <c r="D469" s="57"/>
      <c r="E469" s="57"/>
      <c r="F469" s="57"/>
      <c r="G469" s="57"/>
      <c r="H469" s="57"/>
      <c r="M469" s="23">
        <v>1</v>
      </c>
    </row>
    <row r="470" spans="2:13" ht="18">
      <c r="B470" s="57"/>
      <c r="C470" s="57"/>
      <c r="D470" s="57"/>
      <c r="E470" s="57"/>
      <c r="F470" s="57"/>
      <c r="G470" s="57"/>
      <c r="H470" s="57"/>
      <c r="M470" s="23">
        <v>1</v>
      </c>
    </row>
    <row r="471" spans="2:13" ht="18">
      <c r="B471" s="57"/>
      <c r="C471" s="57"/>
      <c r="D471" s="57"/>
      <c r="E471" s="57"/>
      <c r="F471" s="57"/>
      <c r="G471" s="57"/>
      <c r="H471" s="57"/>
      <c r="M471" s="23">
        <v>1</v>
      </c>
    </row>
    <row r="472" spans="2:13" ht="18">
      <c r="B472" s="57"/>
      <c r="C472" s="57"/>
      <c r="D472" s="57"/>
      <c r="E472" s="57"/>
      <c r="F472" s="57"/>
      <c r="G472" s="57"/>
      <c r="H472" s="57"/>
      <c r="M472" s="23">
        <v>1</v>
      </c>
    </row>
    <row r="473" spans="2:13" ht="18">
      <c r="B473" s="57"/>
      <c r="C473" s="57"/>
      <c r="D473" s="57"/>
      <c r="E473" s="57"/>
      <c r="F473" s="57"/>
      <c r="G473" s="57"/>
      <c r="H473" s="57"/>
      <c r="M473" s="23">
        <v>1</v>
      </c>
    </row>
    <row r="474" spans="2:13" ht="18">
      <c r="B474" s="57"/>
      <c r="C474" s="57"/>
      <c r="D474" s="57"/>
      <c r="E474" s="57"/>
      <c r="F474" s="57"/>
      <c r="G474" s="57"/>
      <c r="H474" s="57"/>
      <c r="M474" s="23">
        <v>1</v>
      </c>
    </row>
    <row r="475" spans="2:13" ht="18">
      <c r="B475" s="57"/>
      <c r="C475" s="57"/>
      <c r="D475" s="57"/>
      <c r="E475" s="57"/>
      <c r="F475" s="57"/>
      <c r="G475" s="57"/>
      <c r="H475" s="57"/>
      <c r="M475" s="23">
        <v>1</v>
      </c>
    </row>
    <row r="476" spans="2:13" ht="18">
      <c r="B476" s="57"/>
      <c r="C476" s="57"/>
      <c r="D476" s="57"/>
      <c r="E476" s="57"/>
      <c r="F476" s="57"/>
      <c r="G476" s="57"/>
      <c r="H476" s="57"/>
      <c r="M476" s="23">
        <v>1</v>
      </c>
    </row>
    <row r="477" spans="2:13" ht="18">
      <c r="B477" s="57"/>
      <c r="C477" s="57"/>
      <c r="D477" s="57"/>
      <c r="E477" s="57"/>
      <c r="F477" s="57"/>
      <c r="G477" s="57"/>
      <c r="H477" s="57"/>
      <c r="M477" s="23">
        <v>1</v>
      </c>
    </row>
    <row r="478" spans="2:13" ht="18">
      <c r="B478" s="57"/>
      <c r="C478" s="57"/>
      <c r="D478" s="57"/>
      <c r="E478" s="57"/>
      <c r="F478" s="57"/>
      <c r="G478" s="57"/>
      <c r="H478" s="57"/>
      <c r="M478" s="23">
        <v>1</v>
      </c>
    </row>
    <row r="479" spans="2:13" ht="18">
      <c r="B479" s="57"/>
      <c r="C479" s="57"/>
      <c r="D479" s="57"/>
      <c r="E479" s="57"/>
      <c r="F479" s="57"/>
      <c r="G479" s="57"/>
      <c r="H479" s="57"/>
      <c r="M479" s="23">
        <v>1</v>
      </c>
    </row>
    <row r="480" spans="2:13" ht="18">
      <c r="B480" s="57"/>
      <c r="C480" s="57"/>
      <c r="D480" s="57"/>
      <c r="E480" s="57"/>
      <c r="F480" s="57"/>
      <c r="G480" s="57"/>
      <c r="H480" s="57"/>
      <c r="M480" s="23">
        <v>1</v>
      </c>
    </row>
    <row r="481" spans="2:13" ht="18">
      <c r="B481" s="57"/>
      <c r="C481" s="57"/>
      <c r="D481" s="57"/>
      <c r="E481" s="57"/>
      <c r="F481" s="57"/>
      <c r="G481" s="57"/>
      <c r="H481" s="57"/>
      <c r="M481" s="23">
        <v>1</v>
      </c>
    </row>
    <row r="482" spans="2:13" ht="18">
      <c r="B482" s="57"/>
      <c r="C482" s="57"/>
      <c r="D482" s="57"/>
      <c r="E482" s="57"/>
      <c r="F482" s="57"/>
      <c r="G482" s="57"/>
      <c r="H482" s="57"/>
      <c r="M482" s="23">
        <v>1</v>
      </c>
    </row>
    <row r="483" spans="2:13" ht="18">
      <c r="B483" s="57"/>
      <c r="C483" s="57"/>
      <c r="D483" s="57"/>
      <c r="E483" s="57"/>
      <c r="F483" s="57"/>
      <c r="G483" s="57"/>
      <c r="H483" s="57"/>
      <c r="M483" s="23">
        <v>1</v>
      </c>
    </row>
    <row r="484" spans="2:13" ht="18">
      <c r="B484" s="57"/>
      <c r="C484" s="57"/>
      <c r="D484" s="57"/>
      <c r="E484" s="57"/>
      <c r="F484" s="57"/>
      <c r="G484" s="57"/>
      <c r="H484" s="57"/>
      <c r="M484" s="23">
        <v>1</v>
      </c>
    </row>
    <row r="485" spans="2:13" ht="18">
      <c r="B485" s="57"/>
      <c r="C485" s="57"/>
      <c r="D485" s="57"/>
      <c r="E485" s="57"/>
      <c r="F485" s="57"/>
      <c r="G485" s="57"/>
      <c r="H485" s="57"/>
      <c r="M485" s="23">
        <v>1</v>
      </c>
    </row>
    <row r="486" spans="2:13" ht="18">
      <c r="B486" s="57"/>
      <c r="C486" s="57"/>
      <c r="D486" s="57"/>
      <c r="E486" s="57"/>
      <c r="F486" s="57"/>
      <c r="G486" s="57"/>
      <c r="H486" s="57"/>
      <c r="M486" s="23">
        <v>1</v>
      </c>
    </row>
    <row r="487" spans="2:13" ht="18">
      <c r="B487" s="57"/>
      <c r="C487" s="57"/>
      <c r="D487" s="57"/>
      <c r="E487" s="57"/>
      <c r="F487" s="57"/>
      <c r="G487" s="57"/>
      <c r="H487" s="57"/>
      <c r="M487" s="23">
        <v>1</v>
      </c>
    </row>
    <row r="488" spans="2:13" ht="18">
      <c r="B488" s="57"/>
      <c r="C488" s="57"/>
      <c r="D488" s="57"/>
      <c r="E488" s="57"/>
      <c r="F488" s="57"/>
      <c r="G488" s="57"/>
      <c r="H488" s="57"/>
      <c r="M488" s="23">
        <v>1</v>
      </c>
    </row>
    <row r="489" spans="2:13" ht="18">
      <c r="B489" s="57"/>
      <c r="C489" s="57"/>
      <c r="D489" s="57"/>
      <c r="E489" s="57"/>
      <c r="F489" s="57"/>
      <c r="G489" s="57"/>
      <c r="H489" s="57"/>
      <c r="M489" s="23">
        <v>1</v>
      </c>
    </row>
    <row r="490" spans="2:13" ht="18">
      <c r="B490" s="57"/>
      <c r="C490" s="57"/>
      <c r="D490" s="57"/>
      <c r="E490" s="57"/>
      <c r="F490" s="57"/>
      <c r="G490" s="57"/>
      <c r="H490" s="57"/>
      <c r="M490" s="23">
        <v>1</v>
      </c>
    </row>
    <row r="491" spans="2:13" ht="18">
      <c r="B491" s="57"/>
      <c r="C491" s="57"/>
      <c r="D491" s="57"/>
      <c r="E491" s="57"/>
      <c r="F491" s="57"/>
      <c r="G491" s="57"/>
      <c r="H491" s="57"/>
      <c r="M491" s="23">
        <v>1</v>
      </c>
    </row>
    <row r="492" spans="2:13" ht="18">
      <c r="B492" s="57"/>
      <c r="C492" s="57"/>
      <c r="D492" s="57"/>
      <c r="E492" s="57"/>
      <c r="F492" s="57"/>
      <c r="G492" s="57"/>
      <c r="H492" s="57"/>
      <c r="M492" s="23">
        <v>1</v>
      </c>
    </row>
    <row r="493" spans="2:13" ht="18">
      <c r="B493" s="57"/>
      <c r="C493" s="57"/>
      <c r="D493" s="57"/>
      <c r="E493" s="57"/>
      <c r="F493" s="57"/>
      <c r="G493" s="57"/>
      <c r="H493" s="57"/>
      <c r="M493" s="23">
        <v>1</v>
      </c>
    </row>
    <row r="494" spans="2:13" ht="18">
      <c r="B494" s="57"/>
      <c r="C494" s="57"/>
      <c r="D494" s="57"/>
      <c r="E494" s="57"/>
      <c r="F494" s="57"/>
      <c r="G494" s="57"/>
      <c r="H494" s="57"/>
      <c r="M494" s="23">
        <v>1</v>
      </c>
    </row>
    <row r="495" spans="2:13" ht="18">
      <c r="B495" s="57"/>
      <c r="C495" s="57"/>
      <c r="D495" s="57"/>
      <c r="E495" s="57"/>
      <c r="F495" s="57"/>
      <c r="G495" s="57"/>
      <c r="H495" s="57"/>
      <c r="M495" s="23">
        <v>1</v>
      </c>
    </row>
    <row r="496" spans="2:13" ht="18">
      <c r="B496" s="57"/>
      <c r="C496" s="57"/>
      <c r="D496" s="57"/>
      <c r="E496" s="57"/>
      <c r="F496" s="57"/>
      <c r="G496" s="57"/>
      <c r="H496" s="57"/>
      <c r="M496" s="23">
        <v>1</v>
      </c>
    </row>
    <row r="497" spans="2:13" ht="18">
      <c r="B497" s="57"/>
      <c r="C497" s="57"/>
      <c r="D497" s="57"/>
      <c r="E497" s="57"/>
      <c r="F497" s="57"/>
      <c r="G497" s="57"/>
      <c r="H497" s="57"/>
      <c r="M497" s="23">
        <v>1</v>
      </c>
    </row>
    <row r="498" spans="2:13" ht="18">
      <c r="B498" s="57"/>
      <c r="C498" s="57"/>
      <c r="D498" s="57"/>
      <c r="E498" s="57"/>
      <c r="F498" s="57"/>
      <c r="G498" s="57"/>
      <c r="H498" s="57"/>
      <c r="M498" s="23">
        <v>1</v>
      </c>
    </row>
    <row r="499" spans="2:13" ht="18">
      <c r="B499" s="57"/>
      <c r="C499" s="57"/>
      <c r="D499" s="57"/>
      <c r="E499" s="57"/>
      <c r="F499" s="57"/>
      <c r="G499" s="57"/>
      <c r="H499" s="57"/>
      <c r="M499" s="23">
        <v>1</v>
      </c>
    </row>
    <row r="500" spans="2:13" ht="18">
      <c r="B500" s="57"/>
      <c r="C500" s="57"/>
      <c r="D500" s="57"/>
      <c r="E500" s="57"/>
      <c r="F500" s="57"/>
      <c r="G500" s="57"/>
      <c r="H500" s="57"/>
      <c r="M500" s="23">
        <v>1</v>
      </c>
    </row>
    <row r="501" spans="2:13" ht="18">
      <c r="B501" s="57"/>
      <c r="C501" s="57"/>
      <c r="D501" s="57"/>
      <c r="E501" s="57"/>
      <c r="F501" s="57"/>
      <c r="G501" s="57"/>
      <c r="H501" s="57"/>
      <c r="M501" s="23">
        <v>1</v>
      </c>
    </row>
    <row r="502" spans="2:13" ht="18">
      <c r="B502" s="57"/>
      <c r="C502" s="57"/>
      <c r="D502" s="57"/>
      <c r="E502" s="57"/>
      <c r="F502" s="57"/>
      <c r="G502" s="57"/>
      <c r="H502" s="57"/>
      <c r="M502" s="23">
        <v>1</v>
      </c>
    </row>
    <row r="503" spans="2:13" ht="18">
      <c r="B503" s="57"/>
      <c r="C503" s="57"/>
      <c r="D503" s="57"/>
      <c r="E503" s="57"/>
      <c r="F503" s="57"/>
      <c r="G503" s="57"/>
      <c r="H503" s="57"/>
      <c r="M503" s="23">
        <v>1</v>
      </c>
    </row>
    <row r="504" spans="2:13" ht="18">
      <c r="B504" s="57"/>
      <c r="C504" s="57"/>
      <c r="D504" s="57"/>
      <c r="E504" s="57"/>
      <c r="F504" s="57"/>
      <c r="G504" s="57"/>
      <c r="H504" s="57"/>
      <c r="M504" s="23">
        <v>1</v>
      </c>
    </row>
    <row r="505" spans="2:13" ht="18">
      <c r="B505" s="57"/>
      <c r="C505" s="57"/>
      <c r="D505" s="57"/>
      <c r="E505" s="57"/>
      <c r="F505" s="57"/>
      <c r="G505" s="57"/>
      <c r="H505" s="57"/>
      <c r="M505" s="23">
        <v>1</v>
      </c>
    </row>
    <row r="506" spans="2:13" ht="18">
      <c r="B506" s="57"/>
      <c r="C506" s="57"/>
      <c r="D506" s="57"/>
      <c r="E506" s="57"/>
      <c r="F506" s="57"/>
      <c r="G506" s="57"/>
      <c r="H506" s="57"/>
      <c r="M506" s="23">
        <v>1</v>
      </c>
    </row>
    <row r="507" spans="2:13" ht="18">
      <c r="B507" s="57"/>
      <c r="C507" s="57"/>
      <c r="D507" s="57"/>
      <c r="E507" s="57"/>
      <c r="F507" s="57"/>
      <c r="G507" s="57"/>
      <c r="H507" s="57"/>
      <c r="M507" s="23">
        <v>1</v>
      </c>
    </row>
    <row r="508" spans="2:13" ht="18">
      <c r="B508" s="57"/>
      <c r="C508" s="57"/>
      <c r="D508" s="57"/>
      <c r="E508" s="57"/>
      <c r="F508" s="57"/>
      <c r="G508" s="57"/>
      <c r="H508" s="57"/>
      <c r="M508" s="23">
        <v>1</v>
      </c>
    </row>
    <row r="509" spans="2:13" ht="18">
      <c r="B509" s="57"/>
      <c r="C509" s="57"/>
      <c r="D509" s="57"/>
      <c r="E509" s="57"/>
      <c r="F509" s="57"/>
      <c r="G509" s="57"/>
      <c r="H509" s="57"/>
      <c r="M509" s="23">
        <v>1</v>
      </c>
    </row>
    <row r="510" spans="2:13" ht="18">
      <c r="B510" s="57"/>
      <c r="C510" s="57"/>
      <c r="D510" s="57"/>
      <c r="E510" s="57"/>
      <c r="F510" s="57"/>
      <c r="G510" s="57"/>
      <c r="H510" s="57"/>
      <c r="M510" s="23">
        <v>1</v>
      </c>
    </row>
    <row r="511" spans="2:13" ht="18">
      <c r="B511" s="57"/>
      <c r="C511" s="57"/>
      <c r="D511" s="57"/>
      <c r="E511" s="57"/>
      <c r="F511" s="57"/>
      <c r="G511" s="57"/>
      <c r="H511" s="57"/>
      <c r="M511" s="23">
        <v>1</v>
      </c>
    </row>
    <row r="512" spans="2:13" ht="18">
      <c r="B512" s="57"/>
      <c r="C512" s="57"/>
      <c r="D512" s="57"/>
      <c r="E512" s="57"/>
      <c r="F512" s="57"/>
      <c r="G512" s="57"/>
      <c r="H512" s="57"/>
      <c r="M512" s="23">
        <v>1</v>
      </c>
    </row>
    <row r="513" spans="2:13" ht="18">
      <c r="B513" s="57"/>
      <c r="C513" s="57"/>
      <c r="D513" s="57"/>
      <c r="E513" s="57"/>
      <c r="F513" s="57"/>
      <c r="G513" s="57"/>
      <c r="H513" s="57"/>
      <c r="M513" s="23">
        <v>1</v>
      </c>
    </row>
    <row r="514" spans="2:13" ht="18">
      <c r="B514" s="57"/>
      <c r="C514" s="57"/>
      <c r="D514" s="57"/>
      <c r="E514" s="57"/>
      <c r="F514" s="57"/>
      <c r="G514" s="57"/>
      <c r="H514" s="57"/>
      <c r="M514" s="23">
        <v>1</v>
      </c>
    </row>
    <row r="515" spans="2:13" ht="18">
      <c r="B515" s="57"/>
      <c r="C515" s="57"/>
      <c r="D515" s="57"/>
      <c r="E515" s="57"/>
      <c r="F515" s="57"/>
      <c r="G515" s="57"/>
      <c r="H515" s="57"/>
      <c r="M515" s="23">
        <v>1</v>
      </c>
    </row>
    <row r="516" spans="2:13" ht="18">
      <c r="B516" s="57"/>
      <c r="C516" s="57"/>
      <c r="D516" s="57"/>
      <c r="E516" s="57"/>
      <c r="F516" s="57"/>
      <c r="G516" s="57"/>
      <c r="H516" s="57"/>
      <c r="M516" s="23">
        <v>1</v>
      </c>
    </row>
    <row r="517" spans="2:13" ht="18">
      <c r="B517" s="57"/>
      <c r="C517" s="57"/>
      <c r="D517" s="57"/>
      <c r="E517" s="57"/>
      <c r="F517" s="57"/>
      <c r="G517" s="57"/>
      <c r="H517" s="57"/>
      <c r="M517" s="23">
        <v>1</v>
      </c>
    </row>
    <row r="518" spans="2:13" ht="18">
      <c r="B518" s="57"/>
      <c r="C518" s="57"/>
      <c r="D518" s="57"/>
      <c r="E518" s="57"/>
      <c r="F518" s="57"/>
      <c r="G518" s="57"/>
      <c r="H518" s="57"/>
      <c r="M518" s="23">
        <v>1</v>
      </c>
    </row>
    <row r="519" spans="2:13" ht="18">
      <c r="B519" s="57"/>
      <c r="C519" s="57"/>
      <c r="D519" s="57"/>
      <c r="E519" s="57"/>
      <c r="F519" s="57"/>
      <c r="G519" s="57"/>
      <c r="H519" s="57"/>
      <c r="M519" s="23">
        <v>1</v>
      </c>
    </row>
    <row r="520" spans="2:13" ht="18">
      <c r="B520" s="57"/>
      <c r="C520" s="57"/>
      <c r="D520" s="57"/>
      <c r="E520" s="57"/>
      <c r="F520" s="57"/>
      <c r="G520" s="57"/>
      <c r="H520" s="57"/>
      <c r="M520" s="23">
        <v>1</v>
      </c>
    </row>
    <row r="521" spans="2:13" ht="18">
      <c r="B521" s="57"/>
      <c r="C521" s="57"/>
      <c r="D521" s="57"/>
      <c r="E521" s="57"/>
      <c r="F521" s="57"/>
      <c r="G521" s="57"/>
      <c r="H521" s="57"/>
      <c r="M521" s="23">
        <v>1</v>
      </c>
    </row>
    <row r="522" spans="2:13" ht="18">
      <c r="B522" s="57"/>
      <c r="C522" s="57"/>
      <c r="D522" s="57"/>
      <c r="E522" s="57"/>
      <c r="F522" s="57"/>
      <c r="G522" s="57"/>
      <c r="H522" s="57"/>
      <c r="M522" s="23">
        <v>1</v>
      </c>
    </row>
    <row r="523" spans="2:13" ht="18">
      <c r="B523" s="57"/>
      <c r="C523" s="57"/>
      <c r="D523" s="57"/>
      <c r="E523" s="57"/>
      <c r="F523" s="57"/>
      <c r="G523" s="57"/>
      <c r="H523" s="57"/>
      <c r="M523" s="23">
        <v>1</v>
      </c>
    </row>
    <row r="524" spans="2:13" ht="18">
      <c r="B524" s="57"/>
      <c r="C524" s="57"/>
      <c r="D524" s="57"/>
      <c r="E524" s="57"/>
      <c r="F524" s="57"/>
      <c r="G524" s="57"/>
      <c r="H524" s="57"/>
      <c r="M524" s="23">
        <v>1</v>
      </c>
    </row>
    <row r="525" spans="2:13" ht="18">
      <c r="B525" s="57"/>
      <c r="C525" s="57"/>
      <c r="D525" s="57"/>
      <c r="E525" s="57"/>
      <c r="F525" s="57"/>
      <c r="G525" s="57"/>
      <c r="H525" s="57"/>
      <c r="M525" s="23">
        <v>1</v>
      </c>
    </row>
    <row r="526" spans="2:13" ht="18">
      <c r="B526" s="57"/>
      <c r="C526" s="57"/>
      <c r="D526" s="57"/>
      <c r="E526" s="57"/>
      <c r="F526" s="57"/>
      <c r="G526" s="57"/>
      <c r="H526" s="57"/>
      <c r="M526" s="23">
        <v>1</v>
      </c>
    </row>
    <row r="527" spans="2:13" ht="18">
      <c r="B527" s="57"/>
      <c r="C527" s="57"/>
      <c r="D527" s="57"/>
      <c r="E527" s="57"/>
      <c r="F527" s="57"/>
      <c r="G527" s="57"/>
      <c r="H527" s="57"/>
      <c r="M527" s="23">
        <v>1</v>
      </c>
    </row>
    <row r="528" spans="2:13" ht="18">
      <c r="B528" s="57"/>
      <c r="C528" s="57"/>
      <c r="D528" s="57"/>
      <c r="E528" s="57"/>
      <c r="F528" s="57"/>
      <c r="G528" s="57"/>
      <c r="H528" s="57"/>
      <c r="M528" s="23">
        <v>1</v>
      </c>
    </row>
    <row r="529" spans="2:13" ht="18">
      <c r="B529" s="57"/>
      <c r="C529" s="57"/>
      <c r="D529" s="57"/>
      <c r="E529" s="57"/>
      <c r="F529" s="57"/>
      <c r="G529" s="57"/>
      <c r="H529" s="57"/>
      <c r="M529" s="23">
        <v>1</v>
      </c>
    </row>
    <row r="530" spans="2:13" ht="18">
      <c r="B530" s="57"/>
      <c r="C530" s="57"/>
      <c r="D530" s="57"/>
      <c r="E530" s="57"/>
      <c r="F530" s="57"/>
      <c r="G530" s="57"/>
      <c r="H530" s="57"/>
      <c r="M530" s="23">
        <v>1</v>
      </c>
    </row>
    <row r="531" spans="2:13" ht="18">
      <c r="B531" s="57"/>
      <c r="C531" s="57"/>
      <c r="D531" s="57"/>
      <c r="E531" s="57"/>
      <c r="F531" s="57"/>
      <c r="G531" s="57"/>
      <c r="H531" s="57"/>
      <c r="M531" s="23">
        <v>1</v>
      </c>
    </row>
    <row r="532" spans="2:13" ht="18">
      <c r="B532" s="57"/>
      <c r="C532" s="57"/>
      <c r="D532" s="57"/>
      <c r="E532" s="57"/>
      <c r="F532" s="57"/>
      <c r="G532" s="57"/>
      <c r="H532" s="57"/>
      <c r="M532" s="23">
        <v>1</v>
      </c>
    </row>
    <row r="533" spans="2:13" ht="18">
      <c r="B533" s="57"/>
      <c r="C533" s="57"/>
      <c r="D533" s="57"/>
      <c r="E533" s="57"/>
      <c r="F533" s="57"/>
      <c r="G533" s="57"/>
      <c r="H533" s="57"/>
      <c r="M533" s="23">
        <v>1</v>
      </c>
    </row>
    <row r="534" spans="2:13" ht="18">
      <c r="B534" s="57"/>
      <c r="C534" s="57"/>
      <c r="D534" s="57"/>
      <c r="E534" s="57"/>
      <c r="F534" s="57"/>
      <c r="G534" s="57"/>
      <c r="H534" s="57"/>
      <c r="M534" s="23">
        <v>1</v>
      </c>
    </row>
    <row r="535" spans="2:13" ht="18">
      <c r="B535" s="57"/>
      <c r="C535" s="57"/>
      <c r="D535" s="57"/>
      <c r="E535" s="57"/>
      <c r="F535" s="57"/>
      <c r="G535" s="57"/>
      <c r="H535" s="57"/>
      <c r="M535" s="23">
        <v>1</v>
      </c>
    </row>
    <row r="536" spans="2:13" ht="18">
      <c r="B536" s="57"/>
      <c r="C536" s="57"/>
      <c r="D536" s="57"/>
      <c r="E536" s="57"/>
      <c r="F536" s="57"/>
      <c r="G536" s="57"/>
      <c r="H536" s="57"/>
      <c r="M536" s="23">
        <v>1</v>
      </c>
    </row>
    <row r="537" spans="2:13" ht="18">
      <c r="B537" s="57"/>
      <c r="C537" s="57"/>
      <c r="D537" s="57"/>
      <c r="E537" s="57"/>
      <c r="F537" s="57"/>
      <c r="G537" s="57"/>
      <c r="H537" s="57"/>
      <c r="M537" s="23">
        <v>1</v>
      </c>
    </row>
    <row r="538" spans="2:13" ht="18">
      <c r="B538" s="57"/>
      <c r="C538" s="57"/>
      <c r="D538" s="57"/>
      <c r="E538" s="57"/>
      <c r="F538" s="57"/>
      <c r="G538" s="57"/>
      <c r="H538" s="57"/>
      <c r="M538" s="23">
        <v>1</v>
      </c>
    </row>
    <row r="539" spans="2:13" ht="18">
      <c r="B539" s="57"/>
      <c r="C539" s="57"/>
      <c r="D539" s="57"/>
      <c r="E539" s="57"/>
      <c r="F539" s="57"/>
      <c r="G539" s="57"/>
      <c r="H539" s="57"/>
      <c r="M539" s="23">
        <v>1</v>
      </c>
    </row>
    <row r="540" spans="2:13" ht="18">
      <c r="B540" s="57"/>
      <c r="C540" s="57"/>
      <c r="D540" s="57"/>
      <c r="E540" s="57"/>
      <c r="F540" s="57"/>
      <c r="G540" s="57"/>
      <c r="H540" s="57"/>
      <c r="M540" s="23">
        <v>1</v>
      </c>
    </row>
    <row r="541" spans="2:13" ht="18">
      <c r="B541" s="57"/>
      <c r="C541" s="57"/>
      <c r="D541" s="57"/>
      <c r="E541" s="57"/>
      <c r="F541" s="57"/>
      <c r="G541" s="57"/>
      <c r="H541" s="57"/>
      <c r="M541" s="23">
        <v>1</v>
      </c>
    </row>
    <row r="542" spans="2:13" ht="18">
      <c r="B542" s="57"/>
      <c r="C542" s="57"/>
      <c r="D542" s="57"/>
      <c r="E542" s="57"/>
      <c r="F542" s="57"/>
      <c r="G542" s="57"/>
      <c r="H542" s="57"/>
      <c r="M542" s="23">
        <v>1</v>
      </c>
    </row>
    <row r="543" spans="2:13" ht="18">
      <c r="B543" s="57"/>
      <c r="C543" s="57"/>
      <c r="D543" s="57"/>
      <c r="E543" s="57"/>
      <c r="F543" s="57"/>
      <c r="G543" s="57"/>
      <c r="H543" s="57"/>
      <c r="M543" s="23">
        <v>1</v>
      </c>
    </row>
    <row r="544" spans="2:13" ht="18">
      <c r="B544" s="57"/>
      <c r="C544" s="57"/>
      <c r="D544" s="57"/>
      <c r="E544" s="57"/>
      <c r="F544" s="57"/>
      <c r="G544" s="57"/>
      <c r="H544" s="57"/>
      <c r="M544" s="23">
        <v>1</v>
      </c>
    </row>
    <row r="545" spans="2:13" ht="18">
      <c r="B545" s="57"/>
      <c r="C545" s="57"/>
      <c r="D545" s="57"/>
      <c r="E545" s="57"/>
      <c r="F545" s="57"/>
      <c r="G545" s="57"/>
      <c r="H545" s="57"/>
      <c r="M545" s="23">
        <v>1</v>
      </c>
    </row>
    <row r="546" spans="2:13" ht="18">
      <c r="B546" s="57"/>
      <c r="C546" s="57"/>
      <c r="D546" s="57"/>
      <c r="E546" s="57"/>
      <c r="F546" s="57"/>
      <c r="G546" s="57"/>
      <c r="H546" s="57"/>
      <c r="M546" s="23">
        <v>1</v>
      </c>
    </row>
    <row r="547" spans="2:13" ht="18">
      <c r="B547" s="57"/>
      <c r="C547" s="57"/>
      <c r="D547" s="57"/>
      <c r="E547" s="57"/>
      <c r="F547" s="57"/>
      <c r="G547" s="57"/>
      <c r="H547" s="57"/>
      <c r="M547" s="23">
        <v>1</v>
      </c>
    </row>
    <row r="548" spans="2:13" ht="18">
      <c r="B548" s="57"/>
      <c r="C548" s="57"/>
      <c r="D548" s="57"/>
      <c r="E548" s="57"/>
      <c r="F548" s="57"/>
      <c r="G548" s="57"/>
      <c r="H548" s="57"/>
      <c r="M548" s="23">
        <v>1</v>
      </c>
    </row>
    <row r="549" spans="2:13" ht="18">
      <c r="B549" s="57"/>
      <c r="C549" s="57"/>
      <c r="D549" s="57"/>
      <c r="E549" s="57"/>
      <c r="F549" s="57"/>
      <c r="G549" s="57"/>
      <c r="H549" s="57"/>
      <c r="M549" s="23">
        <v>1</v>
      </c>
    </row>
    <row r="550" spans="2:13" ht="18">
      <c r="B550" s="57"/>
      <c r="C550" s="57"/>
      <c r="D550" s="57"/>
      <c r="E550" s="57"/>
      <c r="F550" s="57"/>
      <c r="G550" s="57"/>
      <c r="H550" s="57"/>
      <c r="M550" s="23">
        <v>1</v>
      </c>
    </row>
    <row r="551" spans="2:13" ht="18">
      <c r="B551" s="57"/>
      <c r="C551" s="57"/>
      <c r="D551" s="57"/>
      <c r="E551" s="57"/>
      <c r="F551" s="57"/>
      <c r="G551" s="57"/>
      <c r="H551" s="57"/>
      <c r="M551" s="23">
        <v>1</v>
      </c>
    </row>
    <row r="552" spans="2:13" ht="18">
      <c r="B552" s="57"/>
      <c r="C552" s="57"/>
      <c r="D552" s="57"/>
      <c r="E552" s="57"/>
      <c r="F552" s="57"/>
      <c r="G552" s="57"/>
      <c r="H552" s="57"/>
      <c r="M552" s="23">
        <v>1</v>
      </c>
    </row>
    <row r="553" spans="2:13" ht="18">
      <c r="B553" s="57"/>
      <c r="C553" s="57"/>
      <c r="D553" s="57"/>
      <c r="E553" s="57"/>
      <c r="F553" s="57"/>
      <c r="G553" s="57"/>
      <c r="H553" s="57"/>
      <c r="M553" s="23">
        <v>1</v>
      </c>
    </row>
    <row r="554" spans="2:13" ht="18">
      <c r="B554" s="57"/>
      <c r="C554" s="57"/>
      <c r="D554" s="57"/>
      <c r="E554" s="57"/>
      <c r="F554" s="57"/>
      <c r="G554" s="57"/>
      <c r="H554" s="57"/>
      <c r="M554" s="23">
        <v>1</v>
      </c>
    </row>
    <row r="555" spans="2:13" ht="18">
      <c r="B555" s="57"/>
      <c r="C555" s="57"/>
      <c r="D555" s="57"/>
      <c r="E555" s="57"/>
      <c r="F555" s="57"/>
      <c r="G555" s="57"/>
      <c r="H555" s="57"/>
      <c r="M555" s="23">
        <v>1</v>
      </c>
    </row>
    <row r="556" spans="2:13" ht="18">
      <c r="B556" s="57"/>
      <c r="C556" s="57"/>
      <c r="D556" s="57"/>
      <c r="E556" s="57"/>
      <c r="F556" s="57"/>
      <c r="G556" s="57"/>
      <c r="H556" s="57"/>
      <c r="M556" s="23">
        <v>1</v>
      </c>
    </row>
    <row r="557" spans="2:13" ht="18">
      <c r="B557" s="57"/>
      <c r="C557" s="57"/>
      <c r="D557" s="57"/>
      <c r="E557" s="57"/>
      <c r="F557" s="57"/>
      <c r="G557" s="57"/>
      <c r="H557" s="57"/>
      <c r="M557" s="23">
        <v>1</v>
      </c>
    </row>
    <row r="558" spans="2:13" ht="18">
      <c r="B558" s="57"/>
      <c r="C558" s="57"/>
      <c r="D558" s="57"/>
      <c r="E558" s="57"/>
      <c r="F558" s="57"/>
      <c r="G558" s="57"/>
      <c r="H558" s="57"/>
      <c r="M558" s="23">
        <v>1</v>
      </c>
    </row>
    <row r="559" spans="2:13" ht="18">
      <c r="B559" s="57"/>
      <c r="C559" s="57"/>
      <c r="D559" s="57"/>
      <c r="E559" s="57"/>
      <c r="F559" s="57"/>
      <c r="G559" s="57"/>
      <c r="H559" s="57"/>
      <c r="M559" s="23">
        <v>1</v>
      </c>
    </row>
    <row r="560" spans="2:13" ht="18">
      <c r="B560" s="57"/>
      <c r="C560" s="57"/>
      <c r="D560" s="57"/>
      <c r="E560" s="57"/>
      <c r="F560" s="57"/>
      <c r="G560" s="57"/>
      <c r="H560" s="57"/>
      <c r="M560" s="23">
        <v>1</v>
      </c>
    </row>
    <row r="561" spans="2:13" ht="18">
      <c r="B561" s="57"/>
      <c r="C561" s="57"/>
      <c r="D561" s="57"/>
      <c r="E561" s="57"/>
      <c r="F561" s="57"/>
      <c r="G561" s="57"/>
      <c r="H561" s="57"/>
      <c r="M561" s="23">
        <v>1</v>
      </c>
    </row>
    <row r="562" spans="2:13" ht="18">
      <c r="B562" s="57"/>
      <c r="C562" s="57"/>
      <c r="D562" s="57"/>
      <c r="E562" s="57"/>
      <c r="F562" s="57"/>
      <c r="G562" s="57"/>
      <c r="H562" s="57"/>
      <c r="M562" s="23">
        <v>1</v>
      </c>
    </row>
    <row r="563" spans="2:13" ht="18">
      <c r="B563" s="57"/>
      <c r="C563" s="57"/>
      <c r="D563" s="57"/>
      <c r="E563" s="57"/>
      <c r="F563" s="57"/>
      <c r="G563" s="57"/>
      <c r="H563" s="57"/>
      <c r="M563" s="23">
        <v>1</v>
      </c>
    </row>
    <row r="564" spans="2:13" ht="18">
      <c r="B564" s="57"/>
      <c r="C564" s="57"/>
      <c r="D564" s="57"/>
      <c r="E564" s="57"/>
      <c r="F564" s="57"/>
      <c r="G564" s="57"/>
      <c r="H564" s="57"/>
      <c r="M564" s="23">
        <v>1</v>
      </c>
    </row>
    <row r="565" spans="2:13" ht="18">
      <c r="B565" s="57"/>
      <c r="C565" s="57"/>
      <c r="D565" s="57"/>
      <c r="E565" s="57"/>
      <c r="F565" s="57"/>
      <c r="G565" s="57"/>
      <c r="H565" s="57"/>
      <c r="M565" s="23">
        <v>1</v>
      </c>
    </row>
    <row r="566" spans="2:13" ht="18">
      <c r="B566" s="57"/>
      <c r="C566" s="57"/>
      <c r="D566" s="57"/>
      <c r="E566" s="57"/>
      <c r="F566" s="57"/>
      <c r="G566" s="57"/>
      <c r="H566" s="57"/>
      <c r="M566" s="23">
        <v>1</v>
      </c>
    </row>
    <row r="567" spans="2:13" ht="18">
      <c r="B567" s="57"/>
      <c r="C567" s="57"/>
      <c r="D567" s="57"/>
      <c r="E567" s="57"/>
      <c r="F567" s="57"/>
      <c r="G567" s="57"/>
      <c r="H567" s="57"/>
      <c r="M567" s="23">
        <v>1</v>
      </c>
    </row>
    <row r="568" spans="2:13" ht="18">
      <c r="B568" s="57"/>
      <c r="C568" s="57"/>
      <c r="D568" s="57"/>
      <c r="E568" s="57"/>
      <c r="F568" s="57"/>
      <c r="G568" s="57"/>
      <c r="H568" s="57"/>
      <c r="M568" s="23">
        <v>1</v>
      </c>
    </row>
    <row r="569" spans="2:13" ht="18">
      <c r="B569" s="57"/>
      <c r="C569" s="57"/>
      <c r="D569" s="57"/>
      <c r="E569" s="57"/>
      <c r="F569" s="57"/>
      <c r="G569" s="57"/>
      <c r="H569" s="57"/>
      <c r="M569" s="23">
        <v>1</v>
      </c>
    </row>
    <row r="570" spans="2:13" ht="18">
      <c r="B570" s="57"/>
      <c r="C570" s="57"/>
      <c r="D570" s="57"/>
      <c r="E570" s="57"/>
      <c r="F570" s="57"/>
      <c r="G570" s="57"/>
      <c r="H570" s="57"/>
      <c r="M570" s="23">
        <v>1</v>
      </c>
    </row>
    <row r="571" spans="2:13" ht="18">
      <c r="B571" s="57"/>
      <c r="C571" s="57"/>
      <c r="D571" s="57"/>
      <c r="E571" s="57"/>
      <c r="F571" s="57"/>
      <c r="G571" s="57"/>
      <c r="H571" s="57"/>
      <c r="M571" s="23">
        <v>1</v>
      </c>
    </row>
    <row r="572" spans="2:13" ht="18">
      <c r="B572" s="57"/>
      <c r="C572" s="57"/>
      <c r="D572" s="57"/>
      <c r="E572" s="57"/>
      <c r="F572" s="57"/>
      <c r="G572" s="57"/>
      <c r="H572" s="57"/>
      <c r="M572" s="23">
        <v>1</v>
      </c>
    </row>
    <row r="573" spans="2:13" ht="18">
      <c r="B573" s="57"/>
      <c r="C573" s="57"/>
      <c r="D573" s="57"/>
      <c r="E573" s="57"/>
      <c r="F573" s="57"/>
      <c r="G573" s="57"/>
      <c r="H573" s="57"/>
      <c r="M573" s="23">
        <v>1</v>
      </c>
    </row>
    <row r="574" spans="2:13" ht="18">
      <c r="B574" s="57"/>
      <c r="C574" s="57"/>
      <c r="D574" s="57"/>
      <c r="E574" s="57"/>
      <c r="F574" s="57"/>
      <c r="G574" s="57"/>
      <c r="H574" s="57"/>
      <c r="M574" s="23">
        <v>1</v>
      </c>
    </row>
    <row r="575" spans="2:13" ht="18">
      <c r="B575" s="57"/>
      <c r="C575" s="57"/>
      <c r="D575" s="57"/>
      <c r="E575" s="57"/>
      <c r="F575" s="57"/>
      <c r="G575" s="57"/>
      <c r="H575" s="57"/>
      <c r="M575" s="23">
        <v>1</v>
      </c>
    </row>
    <row r="576" spans="2:13" ht="18">
      <c r="B576" s="57"/>
      <c r="C576" s="57"/>
      <c r="D576" s="57"/>
      <c r="E576" s="57"/>
      <c r="F576" s="57"/>
      <c r="G576" s="57"/>
      <c r="H576" s="57"/>
      <c r="M576" s="23">
        <v>1</v>
      </c>
    </row>
    <row r="577" spans="2:13" ht="18">
      <c r="B577" s="57"/>
      <c r="C577" s="57"/>
      <c r="D577" s="57"/>
      <c r="E577" s="57"/>
      <c r="F577" s="57"/>
      <c r="G577" s="57"/>
      <c r="H577" s="57"/>
      <c r="M577" s="23">
        <v>1</v>
      </c>
    </row>
    <row r="578" spans="2:13" ht="18">
      <c r="B578" s="57"/>
      <c r="C578" s="57"/>
      <c r="D578" s="57"/>
      <c r="E578" s="57"/>
      <c r="F578" s="57"/>
      <c r="G578" s="57"/>
      <c r="H578" s="57"/>
      <c r="M578" s="23">
        <v>1</v>
      </c>
    </row>
    <row r="579" spans="2:13" ht="18">
      <c r="B579" s="57"/>
      <c r="C579" s="57"/>
      <c r="D579" s="57"/>
      <c r="E579" s="57"/>
      <c r="F579" s="57"/>
      <c r="G579" s="57"/>
      <c r="H579" s="57"/>
      <c r="M579" s="23">
        <v>1</v>
      </c>
    </row>
    <row r="580" spans="2:13" ht="18">
      <c r="B580" s="57"/>
      <c r="C580" s="57"/>
      <c r="D580" s="57"/>
      <c r="E580" s="57"/>
      <c r="F580" s="57"/>
      <c r="G580" s="57"/>
      <c r="H580" s="57"/>
      <c r="M580" s="23">
        <v>1</v>
      </c>
    </row>
    <row r="581" spans="2:13" ht="18">
      <c r="B581" s="57"/>
      <c r="C581" s="57"/>
      <c r="D581" s="57"/>
      <c r="E581" s="57"/>
      <c r="F581" s="57"/>
      <c r="G581" s="57"/>
      <c r="H581" s="57"/>
      <c r="M581" s="23">
        <v>1</v>
      </c>
    </row>
    <row r="582" spans="2:13" ht="18">
      <c r="B582" s="57"/>
      <c r="C582" s="57"/>
      <c r="D582" s="57"/>
      <c r="E582" s="57"/>
      <c r="F582" s="57"/>
      <c r="G582" s="57"/>
      <c r="H582" s="57"/>
      <c r="M582" s="23">
        <v>1</v>
      </c>
    </row>
    <row r="583" spans="2:13" ht="18">
      <c r="B583" s="57"/>
      <c r="C583" s="57"/>
      <c r="D583" s="57"/>
      <c r="E583" s="57"/>
      <c r="F583" s="57"/>
      <c r="G583" s="57"/>
      <c r="H583" s="57"/>
      <c r="M583" s="23">
        <v>1</v>
      </c>
    </row>
    <row r="584" spans="2:13" ht="18">
      <c r="B584" s="57"/>
      <c r="C584" s="57"/>
      <c r="D584" s="57"/>
      <c r="E584" s="57"/>
      <c r="F584" s="57"/>
      <c r="G584" s="57"/>
      <c r="H584" s="57"/>
      <c r="M584" s="23">
        <v>1</v>
      </c>
    </row>
    <row r="585" spans="2:13" ht="18">
      <c r="B585" s="57"/>
      <c r="C585" s="57"/>
      <c r="D585" s="57"/>
      <c r="E585" s="57"/>
      <c r="F585" s="57"/>
      <c r="G585" s="57"/>
      <c r="H585" s="57"/>
      <c r="M585" s="23">
        <v>1</v>
      </c>
    </row>
    <row r="586" spans="2:13" ht="18">
      <c r="B586" s="57"/>
      <c r="C586" s="57"/>
      <c r="D586" s="57"/>
      <c r="E586" s="57"/>
      <c r="F586" s="57"/>
      <c r="G586" s="57"/>
      <c r="H586" s="57"/>
      <c r="M586" s="23">
        <v>1</v>
      </c>
    </row>
    <row r="587" spans="2:13" ht="18">
      <c r="B587" s="57"/>
      <c r="C587" s="57"/>
      <c r="D587" s="57"/>
      <c r="E587" s="57"/>
      <c r="F587" s="57"/>
      <c r="G587" s="57"/>
      <c r="H587" s="57"/>
      <c r="M587" s="23">
        <v>1</v>
      </c>
    </row>
    <row r="588" spans="2:13" ht="18">
      <c r="B588" s="57"/>
      <c r="C588" s="57"/>
      <c r="D588" s="57"/>
      <c r="E588" s="57"/>
      <c r="F588" s="57"/>
      <c r="G588" s="57"/>
      <c r="H588" s="57"/>
      <c r="M588" s="23">
        <v>1</v>
      </c>
    </row>
    <row r="589" spans="2:13" ht="18">
      <c r="B589" s="57"/>
      <c r="C589" s="57"/>
      <c r="D589" s="57"/>
      <c r="E589" s="57"/>
      <c r="F589" s="57"/>
      <c r="G589" s="57"/>
      <c r="H589" s="57"/>
      <c r="M589" s="23">
        <v>1</v>
      </c>
    </row>
    <row r="590" spans="2:13" ht="18">
      <c r="B590" s="57"/>
      <c r="C590" s="57"/>
      <c r="D590" s="57"/>
      <c r="E590" s="57"/>
      <c r="F590" s="57"/>
      <c r="G590" s="57"/>
      <c r="H590" s="57"/>
      <c r="M590" s="23">
        <v>1</v>
      </c>
    </row>
    <row r="591" spans="2:13" ht="18">
      <c r="B591" s="57"/>
      <c r="C591" s="57"/>
      <c r="D591" s="57"/>
      <c r="E591" s="57"/>
      <c r="F591" s="57"/>
      <c r="G591" s="57"/>
      <c r="H591" s="57"/>
      <c r="M591" s="23">
        <v>1</v>
      </c>
    </row>
    <row r="592" spans="2:13" ht="18">
      <c r="B592" s="57"/>
      <c r="C592" s="57"/>
      <c r="D592" s="57"/>
      <c r="E592" s="57"/>
      <c r="F592" s="57"/>
      <c r="G592" s="57"/>
      <c r="H592" s="57"/>
      <c r="M592" s="23">
        <v>1</v>
      </c>
    </row>
    <row r="593" spans="2:13" ht="18">
      <c r="B593" s="57"/>
      <c r="C593" s="57"/>
      <c r="D593" s="57"/>
      <c r="E593" s="57"/>
      <c r="F593" s="57"/>
      <c r="G593" s="57"/>
      <c r="H593" s="57"/>
      <c r="M593" s="23">
        <v>1</v>
      </c>
    </row>
    <row r="594" spans="2:13" ht="18">
      <c r="B594" s="57"/>
      <c r="C594" s="57"/>
      <c r="D594" s="57"/>
      <c r="E594" s="57"/>
      <c r="F594" s="57"/>
      <c r="G594" s="57"/>
      <c r="H594" s="57"/>
      <c r="M594" s="23">
        <v>1</v>
      </c>
    </row>
    <row r="595" spans="2:13" ht="18">
      <c r="B595" s="57"/>
      <c r="C595" s="57"/>
      <c r="D595" s="57"/>
      <c r="E595" s="57"/>
      <c r="F595" s="57"/>
      <c r="G595" s="57"/>
      <c r="H595" s="57"/>
      <c r="M595" s="23">
        <v>1</v>
      </c>
    </row>
    <row r="596" spans="2:13" ht="18">
      <c r="B596" s="57"/>
      <c r="C596" s="57"/>
      <c r="D596" s="57"/>
      <c r="E596" s="57"/>
      <c r="F596" s="57"/>
      <c r="G596" s="57"/>
      <c r="H596" s="57"/>
      <c r="M596" s="23">
        <v>1</v>
      </c>
    </row>
    <row r="597" spans="2:13" ht="18">
      <c r="B597" s="57"/>
      <c r="C597" s="57"/>
      <c r="D597" s="57"/>
      <c r="E597" s="57"/>
      <c r="F597" s="57"/>
      <c r="G597" s="57"/>
      <c r="H597" s="57"/>
      <c r="M597" s="23">
        <v>1</v>
      </c>
    </row>
    <row r="598" spans="2:13" ht="18">
      <c r="B598" s="57"/>
      <c r="C598" s="57"/>
      <c r="D598" s="57"/>
      <c r="E598" s="57"/>
      <c r="F598" s="57"/>
      <c r="G598" s="57"/>
      <c r="H598" s="57"/>
      <c r="M598" s="23">
        <v>1</v>
      </c>
    </row>
    <row r="599" spans="2:13" ht="18">
      <c r="B599" s="57"/>
      <c r="C599" s="57"/>
      <c r="D599" s="57"/>
      <c r="E599" s="57"/>
      <c r="F599" s="57"/>
      <c r="G599" s="57"/>
      <c r="H599" s="57"/>
      <c r="M599" s="23">
        <v>1</v>
      </c>
    </row>
    <row r="600" spans="2:13" ht="18">
      <c r="B600" s="57"/>
      <c r="C600" s="57"/>
      <c r="D600" s="57"/>
      <c r="E600" s="57"/>
      <c r="F600" s="57"/>
      <c r="G600" s="57"/>
      <c r="H600" s="57"/>
      <c r="M600" s="23">
        <v>1</v>
      </c>
    </row>
    <row r="601" spans="2:13" ht="18">
      <c r="B601" s="57"/>
      <c r="C601" s="57"/>
      <c r="D601" s="57"/>
      <c r="E601" s="57"/>
      <c r="F601" s="57"/>
      <c r="G601" s="57"/>
      <c r="H601" s="57"/>
      <c r="M601" s="23">
        <v>1</v>
      </c>
    </row>
    <row r="602" spans="2:13" ht="18">
      <c r="B602" s="57"/>
      <c r="C602" s="57"/>
      <c r="D602" s="57"/>
      <c r="E602" s="57"/>
      <c r="F602" s="57"/>
      <c r="G602" s="57"/>
      <c r="H602" s="57"/>
      <c r="M602" s="23">
        <v>1</v>
      </c>
    </row>
    <row r="603" spans="2:13" ht="18">
      <c r="B603" s="57"/>
      <c r="C603" s="57"/>
      <c r="D603" s="57"/>
      <c r="E603" s="57"/>
      <c r="F603" s="57"/>
      <c r="G603" s="57"/>
      <c r="H603" s="57"/>
      <c r="M603" s="23">
        <v>1</v>
      </c>
    </row>
    <row r="604" spans="2:13" ht="18">
      <c r="B604" s="57"/>
      <c r="C604" s="57"/>
      <c r="D604" s="57"/>
      <c r="E604" s="57"/>
      <c r="F604" s="57"/>
      <c r="G604" s="57"/>
      <c r="H604" s="57"/>
      <c r="M604" s="23">
        <v>1</v>
      </c>
    </row>
    <row r="605" spans="2:13" ht="18">
      <c r="B605" s="57"/>
      <c r="C605" s="57"/>
      <c r="D605" s="57"/>
      <c r="E605" s="57"/>
      <c r="F605" s="57"/>
      <c r="G605" s="57"/>
      <c r="H605" s="57"/>
      <c r="M605" s="23">
        <v>1</v>
      </c>
    </row>
    <row r="606" spans="2:13" ht="18">
      <c r="B606" s="57"/>
      <c r="C606" s="57"/>
      <c r="D606" s="57"/>
      <c r="E606" s="57"/>
      <c r="F606" s="57"/>
      <c r="G606" s="57"/>
      <c r="H606" s="57"/>
      <c r="M606" s="23">
        <v>1</v>
      </c>
    </row>
    <row r="607" spans="2:13" ht="18">
      <c r="B607" s="57"/>
      <c r="C607" s="57"/>
      <c r="D607" s="57"/>
      <c r="E607" s="57"/>
      <c r="F607" s="57"/>
      <c r="G607" s="57"/>
      <c r="H607" s="57"/>
      <c r="M607" s="23">
        <v>1</v>
      </c>
    </row>
    <row r="608" spans="2:13" ht="18">
      <c r="B608" s="57"/>
      <c r="C608" s="57"/>
      <c r="D608" s="57"/>
      <c r="E608" s="57"/>
      <c r="F608" s="57"/>
      <c r="G608" s="57"/>
      <c r="H608" s="57"/>
      <c r="M608" s="23">
        <v>1</v>
      </c>
    </row>
    <row r="609" spans="2:13" ht="18">
      <c r="B609" s="57"/>
      <c r="C609" s="57"/>
      <c r="D609" s="57"/>
      <c r="E609" s="57"/>
      <c r="F609" s="57"/>
      <c r="G609" s="57"/>
      <c r="H609" s="57"/>
      <c r="M609" s="23">
        <v>1</v>
      </c>
    </row>
    <row r="610" spans="2:13" ht="18">
      <c r="B610" s="57"/>
      <c r="C610" s="57"/>
      <c r="D610" s="57"/>
      <c r="E610" s="57"/>
      <c r="F610" s="57"/>
      <c r="G610" s="57"/>
      <c r="H610" s="57"/>
      <c r="M610" s="23">
        <v>1</v>
      </c>
    </row>
    <row r="611" spans="2:13" ht="18">
      <c r="B611" s="57"/>
      <c r="C611" s="57"/>
      <c r="D611" s="57"/>
      <c r="E611" s="57"/>
      <c r="F611" s="57"/>
      <c r="G611" s="57"/>
      <c r="H611" s="57"/>
      <c r="M611" s="23">
        <v>1</v>
      </c>
    </row>
    <row r="612" spans="2:13" ht="18">
      <c r="B612" s="57"/>
      <c r="C612" s="57"/>
      <c r="D612" s="57"/>
      <c r="E612" s="57"/>
      <c r="F612" s="57"/>
      <c r="G612" s="57"/>
      <c r="H612" s="57"/>
      <c r="M612" s="23">
        <v>1</v>
      </c>
    </row>
    <row r="613" spans="2:13" ht="18">
      <c r="B613" s="57"/>
      <c r="C613" s="57"/>
      <c r="D613" s="57"/>
      <c r="E613" s="57"/>
      <c r="F613" s="57"/>
      <c r="G613" s="57"/>
      <c r="H613" s="57"/>
      <c r="M613" s="23">
        <v>1</v>
      </c>
    </row>
    <row r="614" spans="2:13" ht="18">
      <c r="B614" s="57"/>
      <c r="C614" s="57"/>
      <c r="D614" s="57"/>
      <c r="E614" s="57"/>
      <c r="F614" s="57"/>
      <c r="G614" s="57"/>
      <c r="H614" s="57"/>
      <c r="M614" s="23">
        <v>1</v>
      </c>
    </row>
    <row r="615" spans="2:13" ht="18">
      <c r="B615" s="57"/>
      <c r="C615" s="57"/>
      <c r="D615" s="57"/>
      <c r="E615" s="57"/>
      <c r="F615" s="57"/>
      <c r="G615" s="57"/>
      <c r="H615" s="57"/>
      <c r="M615" s="23">
        <v>1</v>
      </c>
    </row>
    <row r="616" spans="2:13" ht="18">
      <c r="B616" s="57"/>
      <c r="C616" s="57"/>
      <c r="D616" s="57"/>
      <c r="E616" s="57"/>
      <c r="F616" s="57"/>
      <c r="G616" s="57"/>
      <c r="H616" s="57"/>
      <c r="M616" s="23">
        <v>1</v>
      </c>
    </row>
    <row r="617" spans="2:13" ht="18">
      <c r="B617" s="57"/>
      <c r="C617" s="57"/>
      <c r="D617" s="57"/>
      <c r="E617" s="57"/>
      <c r="F617" s="57"/>
      <c r="G617" s="57"/>
      <c r="H617" s="57"/>
      <c r="M617" s="23">
        <v>1</v>
      </c>
    </row>
    <row r="618" spans="2:13" ht="18">
      <c r="B618" s="57"/>
      <c r="C618" s="57"/>
      <c r="D618" s="57"/>
      <c r="E618" s="57"/>
      <c r="F618" s="57"/>
      <c r="G618" s="57"/>
      <c r="H618" s="57"/>
      <c r="M618" s="23">
        <v>1</v>
      </c>
    </row>
    <row r="619" spans="2:13" ht="18">
      <c r="B619" s="57"/>
      <c r="C619" s="57"/>
      <c r="D619" s="57"/>
      <c r="E619" s="57"/>
      <c r="F619" s="57"/>
      <c r="G619" s="57"/>
      <c r="H619" s="57"/>
      <c r="M619" s="23">
        <v>1</v>
      </c>
    </row>
    <row r="620" spans="2:13" ht="18">
      <c r="B620" s="57"/>
      <c r="C620" s="57"/>
      <c r="D620" s="57"/>
      <c r="E620" s="57"/>
      <c r="F620" s="57"/>
      <c r="G620" s="57"/>
      <c r="H620" s="57"/>
      <c r="M620" s="23">
        <v>1</v>
      </c>
    </row>
    <row r="621" spans="2:13" ht="18">
      <c r="B621" s="57"/>
      <c r="C621" s="57"/>
      <c r="D621" s="57"/>
      <c r="E621" s="57"/>
      <c r="F621" s="57"/>
      <c r="G621" s="57"/>
      <c r="H621" s="57"/>
      <c r="M621" s="23">
        <v>1</v>
      </c>
    </row>
    <row r="622" spans="2:13" ht="18">
      <c r="B622" s="57"/>
      <c r="C622" s="57"/>
      <c r="D622" s="57"/>
      <c r="E622" s="57"/>
      <c r="F622" s="57"/>
      <c r="G622" s="57"/>
      <c r="H622" s="57"/>
      <c r="M622" s="23">
        <v>1</v>
      </c>
    </row>
    <row r="623" spans="2:13" ht="18">
      <c r="B623" s="57"/>
      <c r="C623" s="57"/>
      <c r="D623" s="57"/>
      <c r="E623" s="57"/>
      <c r="F623" s="57"/>
      <c r="G623" s="57"/>
      <c r="H623" s="57"/>
      <c r="M623" s="23">
        <v>1</v>
      </c>
    </row>
    <row r="624" spans="2:13" ht="18">
      <c r="B624" s="57"/>
      <c r="C624" s="57"/>
      <c r="D624" s="57"/>
      <c r="E624" s="57"/>
      <c r="F624" s="57"/>
      <c r="G624" s="57"/>
      <c r="H624" s="57"/>
      <c r="M624" s="23">
        <v>1</v>
      </c>
    </row>
    <row r="625" spans="2:13" ht="18">
      <c r="B625" s="57"/>
      <c r="C625" s="57"/>
      <c r="D625" s="57"/>
      <c r="E625" s="57"/>
      <c r="F625" s="57"/>
      <c r="G625" s="57"/>
      <c r="H625" s="57"/>
      <c r="M625" s="23">
        <v>1</v>
      </c>
    </row>
    <row r="626" spans="2:13" ht="18">
      <c r="B626" s="57"/>
      <c r="C626" s="57"/>
      <c r="D626" s="57"/>
      <c r="E626" s="57"/>
      <c r="F626" s="57"/>
      <c r="G626" s="57"/>
      <c r="H626" s="57"/>
      <c r="M626" s="23">
        <v>1</v>
      </c>
    </row>
    <row r="627" spans="2:13" ht="18">
      <c r="B627" s="57"/>
      <c r="C627" s="57"/>
      <c r="D627" s="57"/>
      <c r="E627" s="57"/>
      <c r="F627" s="57"/>
      <c r="G627" s="57"/>
      <c r="H627" s="57"/>
      <c r="M627" s="23">
        <v>1</v>
      </c>
    </row>
    <row r="628" spans="2:13" ht="18">
      <c r="B628" s="57"/>
      <c r="C628" s="57"/>
      <c r="D628" s="57"/>
      <c r="E628" s="57"/>
      <c r="F628" s="57"/>
      <c r="G628" s="57"/>
      <c r="H628" s="57"/>
      <c r="M628" s="23">
        <v>1</v>
      </c>
    </row>
    <row r="629" spans="2:13" ht="18">
      <c r="B629" s="57"/>
      <c r="C629" s="57"/>
      <c r="D629" s="57"/>
      <c r="E629" s="57"/>
      <c r="F629" s="57"/>
      <c r="G629" s="57"/>
      <c r="H629" s="57"/>
      <c r="M629" s="23">
        <v>1</v>
      </c>
    </row>
    <row r="630" spans="2:13" ht="18">
      <c r="B630" s="57"/>
      <c r="C630" s="57"/>
      <c r="D630" s="57"/>
      <c r="E630" s="57"/>
      <c r="F630" s="57"/>
      <c r="G630" s="57"/>
      <c r="H630" s="57"/>
      <c r="M630" s="23">
        <v>1</v>
      </c>
    </row>
    <row r="631" spans="2:13" ht="18">
      <c r="B631" s="57"/>
      <c r="C631" s="57"/>
      <c r="D631" s="57"/>
      <c r="E631" s="57"/>
      <c r="F631" s="57"/>
      <c r="G631" s="57"/>
      <c r="H631" s="57"/>
      <c r="M631" s="23">
        <v>1</v>
      </c>
    </row>
    <row r="632" spans="2:13" ht="18">
      <c r="B632" s="57"/>
      <c r="C632" s="57"/>
      <c r="D632" s="57"/>
      <c r="E632" s="57"/>
      <c r="F632" s="57"/>
      <c r="G632" s="57"/>
      <c r="H632" s="57"/>
      <c r="M632" s="23">
        <v>1</v>
      </c>
    </row>
    <row r="633" spans="2:13" ht="18">
      <c r="B633" s="57"/>
      <c r="C633" s="57"/>
      <c r="D633" s="57"/>
      <c r="E633" s="57"/>
      <c r="F633" s="57"/>
      <c r="G633" s="57"/>
      <c r="H633" s="57"/>
      <c r="M633" s="23">
        <v>1</v>
      </c>
    </row>
    <row r="634" spans="2:13" ht="18">
      <c r="B634" s="57"/>
      <c r="C634" s="57"/>
      <c r="D634" s="57"/>
      <c r="E634" s="57"/>
      <c r="F634" s="57"/>
      <c r="G634" s="57"/>
      <c r="H634" s="57"/>
      <c r="M634" s="23">
        <v>1</v>
      </c>
    </row>
    <row r="635" spans="2:13" ht="18">
      <c r="B635" s="57"/>
      <c r="C635" s="57"/>
      <c r="D635" s="57"/>
      <c r="E635" s="57"/>
      <c r="F635" s="57"/>
      <c r="G635" s="57"/>
      <c r="H635" s="57"/>
      <c r="M635" s="23">
        <v>1</v>
      </c>
    </row>
    <row r="636" spans="2:13" ht="18">
      <c r="B636" s="57"/>
      <c r="C636" s="57"/>
      <c r="D636" s="57"/>
      <c r="E636" s="57"/>
      <c r="F636" s="57"/>
      <c r="G636" s="57"/>
      <c r="H636" s="57"/>
      <c r="M636" s="23">
        <v>1</v>
      </c>
    </row>
    <row r="637" spans="2:13" ht="18">
      <c r="B637" s="57"/>
      <c r="C637" s="57"/>
      <c r="D637" s="57"/>
      <c r="E637" s="57"/>
      <c r="F637" s="57"/>
      <c r="G637" s="57"/>
      <c r="H637" s="57"/>
      <c r="M637" s="23">
        <v>1</v>
      </c>
    </row>
    <row r="638" spans="2:13" ht="18">
      <c r="B638" s="57"/>
      <c r="C638" s="57"/>
      <c r="D638" s="57"/>
      <c r="E638" s="57"/>
      <c r="F638" s="57"/>
      <c r="G638" s="57"/>
      <c r="H638" s="57"/>
      <c r="M638" s="23">
        <v>1</v>
      </c>
    </row>
    <row r="639" spans="2:13" ht="18">
      <c r="B639" s="57"/>
      <c r="C639" s="57"/>
      <c r="D639" s="57"/>
      <c r="E639" s="57"/>
      <c r="F639" s="57"/>
      <c r="G639" s="57"/>
      <c r="H639" s="57"/>
      <c r="M639" s="23">
        <v>1</v>
      </c>
    </row>
    <row r="640" spans="2:13" ht="18">
      <c r="B640" s="57"/>
      <c r="C640" s="57"/>
      <c r="D640" s="57"/>
      <c r="E640" s="57"/>
      <c r="F640" s="57"/>
      <c r="G640" s="57"/>
      <c r="H640" s="57"/>
      <c r="M640" s="23">
        <v>1</v>
      </c>
    </row>
    <row r="641" spans="2:13" ht="18">
      <c r="B641" s="57"/>
      <c r="C641" s="57"/>
      <c r="D641" s="57"/>
      <c r="E641" s="57"/>
      <c r="F641" s="57"/>
      <c r="G641" s="57"/>
      <c r="H641" s="57"/>
      <c r="M641" s="23">
        <v>1</v>
      </c>
    </row>
    <row r="642" spans="2:13" ht="18">
      <c r="B642" s="57"/>
      <c r="C642" s="57"/>
      <c r="D642" s="57"/>
      <c r="E642" s="57"/>
      <c r="F642" s="57"/>
      <c r="G642" s="57"/>
      <c r="H642" s="57"/>
      <c r="M642" s="23">
        <v>1</v>
      </c>
    </row>
    <row r="643" spans="2:13" ht="18">
      <c r="B643" s="57"/>
      <c r="C643" s="57"/>
      <c r="D643" s="57"/>
      <c r="E643" s="57"/>
      <c r="F643" s="57"/>
      <c r="G643" s="57"/>
      <c r="H643" s="57"/>
      <c r="M643" s="23">
        <v>1</v>
      </c>
    </row>
    <row r="644" spans="2:13" ht="18">
      <c r="B644" s="57"/>
      <c r="C644" s="57"/>
      <c r="D644" s="57"/>
      <c r="E644" s="57"/>
      <c r="F644" s="57"/>
      <c r="G644" s="57"/>
      <c r="H644" s="57"/>
      <c r="M644" s="23">
        <v>1</v>
      </c>
    </row>
    <row r="645" spans="2:13" ht="18">
      <c r="B645" s="57"/>
      <c r="C645" s="57"/>
      <c r="D645" s="57"/>
      <c r="E645" s="57"/>
      <c r="F645" s="57"/>
      <c r="G645" s="57"/>
      <c r="H645" s="57"/>
      <c r="M645" s="23">
        <v>1</v>
      </c>
    </row>
    <row r="646" spans="2:13" ht="18">
      <c r="B646" s="57"/>
      <c r="C646" s="57"/>
      <c r="D646" s="57"/>
      <c r="E646" s="57"/>
      <c r="F646" s="57"/>
      <c r="G646" s="57"/>
      <c r="H646" s="57"/>
      <c r="M646" s="23">
        <v>1</v>
      </c>
    </row>
    <row r="647" spans="2:13" ht="18">
      <c r="B647" s="57"/>
      <c r="C647" s="57"/>
      <c r="D647" s="57"/>
      <c r="E647" s="57"/>
      <c r="F647" s="57"/>
      <c r="G647" s="57"/>
      <c r="H647" s="57"/>
      <c r="M647" s="23">
        <v>1</v>
      </c>
    </row>
    <row r="648" spans="2:13" ht="18">
      <c r="B648" s="57"/>
      <c r="C648" s="57"/>
      <c r="D648" s="57"/>
      <c r="E648" s="57"/>
      <c r="F648" s="57"/>
      <c r="G648" s="57"/>
      <c r="H648" s="57"/>
      <c r="M648" s="23">
        <v>1</v>
      </c>
    </row>
    <row r="649" spans="2:13" ht="18">
      <c r="B649" s="57"/>
      <c r="C649" s="57"/>
      <c r="D649" s="57"/>
      <c r="E649" s="57"/>
      <c r="F649" s="57"/>
      <c r="G649" s="57"/>
      <c r="H649" s="57"/>
      <c r="M649" s="23">
        <v>1</v>
      </c>
    </row>
    <row r="650" spans="2:13" ht="18">
      <c r="B650" s="57"/>
      <c r="C650" s="57"/>
      <c r="D650" s="57"/>
      <c r="E650" s="57"/>
      <c r="F650" s="57"/>
      <c r="G650" s="57"/>
      <c r="H650" s="57"/>
      <c r="M650" s="23">
        <v>1</v>
      </c>
    </row>
    <row r="651" spans="2:13" ht="18">
      <c r="B651" s="57"/>
      <c r="C651" s="57"/>
      <c r="D651" s="57"/>
      <c r="E651" s="57"/>
      <c r="F651" s="57"/>
      <c r="G651" s="57"/>
      <c r="H651" s="57"/>
      <c r="M651" s="23">
        <v>1</v>
      </c>
    </row>
    <row r="652" spans="2:13" ht="18">
      <c r="B652" s="57"/>
      <c r="C652" s="57"/>
      <c r="D652" s="57"/>
      <c r="E652" s="57"/>
      <c r="F652" s="57"/>
      <c r="G652" s="57"/>
      <c r="H652" s="57"/>
      <c r="M652" s="23">
        <v>1</v>
      </c>
    </row>
    <row r="653" spans="2:13" ht="18">
      <c r="B653" s="57"/>
      <c r="C653" s="57"/>
      <c r="D653" s="57"/>
      <c r="E653" s="57"/>
      <c r="F653" s="57"/>
      <c r="G653" s="57"/>
      <c r="H653" s="57"/>
      <c r="M653" s="23">
        <v>1</v>
      </c>
    </row>
    <row r="654" spans="2:13" ht="18">
      <c r="B654" s="57"/>
      <c r="C654" s="57"/>
      <c r="D654" s="57"/>
      <c r="E654" s="57"/>
      <c r="F654" s="57"/>
      <c r="G654" s="57"/>
      <c r="H654" s="57"/>
      <c r="M654" s="23">
        <v>1</v>
      </c>
    </row>
    <row r="655" spans="2:13" ht="18">
      <c r="B655" s="57"/>
      <c r="C655" s="57"/>
      <c r="D655" s="57"/>
      <c r="E655" s="57"/>
      <c r="F655" s="57"/>
      <c r="G655" s="57"/>
      <c r="H655" s="57"/>
      <c r="M655" s="23">
        <v>1</v>
      </c>
    </row>
    <row r="656" spans="2:13" ht="18">
      <c r="B656" s="57"/>
      <c r="C656" s="57"/>
      <c r="D656" s="57"/>
      <c r="E656" s="57"/>
      <c r="F656" s="57"/>
      <c r="G656" s="57"/>
      <c r="H656" s="57"/>
      <c r="M656" s="23">
        <v>1</v>
      </c>
    </row>
    <row r="657" spans="2:13" ht="18">
      <c r="B657" s="57"/>
      <c r="C657" s="57"/>
      <c r="D657" s="57"/>
      <c r="E657" s="57"/>
      <c r="F657" s="57"/>
      <c r="G657" s="57"/>
      <c r="H657" s="57"/>
      <c r="M657" s="23">
        <v>1</v>
      </c>
    </row>
    <row r="658" spans="2:13" ht="18">
      <c r="B658" s="57"/>
      <c r="C658" s="57"/>
      <c r="D658" s="57"/>
      <c r="E658" s="57"/>
      <c r="F658" s="57"/>
      <c r="G658" s="57"/>
      <c r="H658" s="57"/>
      <c r="M658" s="23">
        <v>1</v>
      </c>
    </row>
    <row r="659" spans="2:13" ht="18">
      <c r="B659" s="57"/>
      <c r="C659" s="57"/>
      <c r="D659" s="57"/>
      <c r="E659" s="57"/>
      <c r="F659" s="57"/>
      <c r="G659" s="57"/>
      <c r="H659" s="57"/>
      <c r="M659" s="23">
        <v>1</v>
      </c>
    </row>
    <row r="660" spans="2:13" ht="18">
      <c r="B660" s="57"/>
      <c r="C660" s="57"/>
      <c r="D660" s="57"/>
      <c r="E660" s="57"/>
      <c r="F660" s="57"/>
      <c r="G660" s="57"/>
      <c r="H660" s="57"/>
      <c r="M660" s="23">
        <v>1</v>
      </c>
    </row>
    <row r="661" spans="2:13" ht="18">
      <c r="B661" s="57"/>
      <c r="C661" s="57"/>
      <c r="D661" s="57"/>
      <c r="E661" s="57"/>
      <c r="F661" s="57"/>
      <c r="G661" s="57"/>
      <c r="H661" s="57"/>
      <c r="M661" s="23">
        <v>1</v>
      </c>
    </row>
    <row r="662" spans="2:13" ht="18">
      <c r="B662" s="57"/>
      <c r="C662" s="57"/>
      <c r="D662" s="57"/>
      <c r="E662" s="57"/>
      <c r="F662" s="57"/>
      <c r="G662" s="57"/>
      <c r="H662" s="57"/>
      <c r="M662" s="23">
        <v>1</v>
      </c>
    </row>
    <row r="663" spans="2:13" ht="18">
      <c r="B663" s="57"/>
      <c r="C663" s="57"/>
      <c r="D663" s="57"/>
      <c r="E663" s="57"/>
      <c r="F663" s="57"/>
      <c r="G663" s="57"/>
      <c r="H663" s="57"/>
      <c r="M663" s="23">
        <v>1</v>
      </c>
    </row>
    <row r="664" spans="2:13" ht="18">
      <c r="B664" s="57"/>
      <c r="C664" s="57"/>
      <c r="D664" s="57"/>
      <c r="E664" s="57"/>
      <c r="F664" s="57"/>
      <c r="G664" s="57"/>
      <c r="H664" s="57"/>
      <c r="M664" s="23">
        <v>1</v>
      </c>
    </row>
    <row r="665" spans="2:13" ht="18">
      <c r="B665" s="57"/>
      <c r="C665" s="57"/>
      <c r="D665" s="57"/>
      <c r="E665" s="57"/>
      <c r="F665" s="57"/>
      <c r="G665" s="57"/>
      <c r="H665" s="57"/>
      <c r="M665" s="23">
        <v>1</v>
      </c>
    </row>
    <row r="666" spans="2:13" ht="18">
      <c r="B666" s="57"/>
      <c r="C666" s="57"/>
      <c r="D666" s="57"/>
      <c r="E666" s="57"/>
      <c r="F666" s="57"/>
      <c r="G666" s="57"/>
      <c r="H666" s="57"/>
      <c r="M666" s="23">
        <v>1</v>
      </c>
    </row>
    <row r="667" spans="2:13" ht="18">
      <c r="B667" s="57"/>
      <c r="C667" s="57"/>
      <c r="D667" s="57"/>
      <c r="E667" s="57"/>
      <c r="F667" s="57"/>
      <c r="G667" s="57"/>
      <c r="H667" s="57"/>
      <c r="M667" s="23">
        <v>1</v>
      </c>
    </row>
    <row r="668" spans="2:13" ht="18">
      <c r="B668" s="57"/>
      <c r="C668" s="57"/>
      <c r="D668" s="57"/>
      <c r="E668" s="57"/>
      <c r="F668" s="57"/>
      <c r="G668" s="57"/>
      <c r="H668" s="57"/>
      <c r="M668" s="23">
        <v>1</v>
      </c>
    </row>
    <row r="669" spans="2:13" ht="18">
      <c r="B669" s="57"/>
      <c r="C669" s="57"/>
      <c r="D669" s="57"/>
      <c r="E669" s="57"/>
      <c r="F669" s="57"/>
      <c r="G669" s="57"/>
      <c r="H669" s="57"/>
      <c r="M669" s="23">
        <v>1</v>
      </c>
    </row>
    <row r="670" spans="2:13" ht="18">
      <c r="B670" s="57"/>
      <c r="C670" s="57"/>
      <c r="D670" s="57"/>
      <c r="E670" s="57"/>
      <c r="F670" s="57"/>
      <c r="G670" s="57"/>
      <c r="H670" s="57"/>
      <c r="M670" s="23">
        <v>1</v>
      </c>
    </row>
    <row r="671" spans="2:13" ht="18">
      <c r="B671" s="57"/>
      <c r="C671" s="57"/>
      <c r="D671" s="57"/>
      <c r="E671" s="57"/>
      <c r="F671" s="57"/>
      <c r="G671" s="57"/>
      <c r="H671" s="57"/>
      <c r="M671" s="23">
        <v>1</v>
      </c>
    </row>
    <row r="672" spans="2:13" ht="18">
      <c r="B672" s="57"/>
      <c r="C672" s="57"/>
      <c r="D672" s="57"/>
      <c r="E672" s="57"/>
      <c r="F672" s="57"/>
      <c r="G672" s="57"/>
      <c r="H672" s="57"/>
      <c r="M672" s="23">
        <v>1</v>
      </c>
    </row>
    <row r="673" spans="2:13" ht="18">
      <c r="B673" s="57"/>
      <c r="C673" s="57"/>
      <c r="D673" s="57"/>
      <c r="E673" s="57"/>
      <c r="F673" s="57"/>
      <c r="G673" s="57"/>
      <c r="H673" s="57"/>
      <c r="M673" s="23">
        <v>1</v>
      </c>
    </row>
    <row r="674" spans="2:13" ht="18">
      <c r="B674" s="57"/>
      <c r="C674" s="57"/>
      <c r="D674" s="57"/>
      <c r="E674" s="57"/>
      <c r="F674" s="57"/>
      <c r="G674" s="57"/>
      <c r="H674" s="57"/>
      <c r="M674" s="23">
        <v>1</v>
      </c>
    </row>
    <row r="675" spans="2:13" ht="18">
      <c r="B675" s="57"/>
      <c r="C675" s="57"/>
      <c r="D675" s="57"/>
      <c r="E675" s="57"/>
      <c r="F675" s="57"/>
      <c r="G675" s="57"/>
      <c r="H675" s="57"/>
      <c r="M675" s="23">
        <v>1</v>
      </c>
    </row>
    <row r="676" spans="2:13" ht="18">
      <c r="B676" s="57"/>
      <c r="C676" s="57"/>
      <c r="D676" s="57"/>
      <c r="E676" s="57"/>
      <c r="F676" s="57"/>
      <c r="G676" s="57"/>
      <c r="H676" s="57"/>
      <c r="M676" s="23">
        <v>1</v>
      </c>
    </row>
    <row r="677" spans="2:13" ht="18">
      <c r="B677" s="57"/>
      <c r="C677" s="57"/>
      <c r="D677" s="57"/>
      <c r="E677" s="57"/>
      <c r="F677" s="57"/>
      <c r="G677" s="57"/>
      <c r="H677" s="57"/>
      <c r="M677" s="23">
        <v>1</v>
      </c>
    </row>
    <row r="678" spans="2:13" ht="18">
      <c r="B678" s="57"/>
      <c r="C678" s="57"/>
      <c r="D678" s="57"/>
      <c r="E678" s="57"/>
      <c r="F678" s="57"/>
      <c r="G678" s="57"/>
      <c r="H678" s="57"/>
      <c r="M678" s="23">
        <v>1</v>
      </c>
    </row>
    <row r="679" spans="2:13" ht="18">
      <c r="B679" s="57"/>
      <c r="C679" s="57"/>
      <c r="D679" s="57"/>
      <c r="E679" s="57"/>
      <c r="F679" s="57"/>
      <c r="G679" s="57"/>
      <c r="H679" s="57"/>
      <c r="M679" s="23">
        <v>1</v>
      </c>
    </row>
    <row r="680" spans="2:13" ht="18">
      <c r="B680" s="57"/>
      <c r="C680" s="57"/>
      <c r="D680" s="57"/>
      <c r="E680" s="57"/>
      <c r="F680" s="57"/>
      <c r="G680" s="57"/>
      <c r="H680" s="57"/>
      <c r="M680" s="23">
        <v>1</v>
      </c>
    </row>
    <row r="681" spans="2:13" ht="18">
      <c r="B681" s="57"/>
      <c r="C681" s="57"/>
      <c r="D681" s="57"/>
      <c r="E681" s="57"/>
      <c r="F681" s="57"/>
      <c r="G681" s="57"/>
      <c r="H681" s="57"/>
      <c r="M681" s="23">
        <v>1</v>
      </c>
    </row>
    <row r="682" spans="2:13" ht="18">
      <c r="B682" s="57"/>
      <c r="C682" s="57"/>
      <c r="D682" s="57"/>
      <c r="E682" s="57"/>
      <c r="F682" s="57"/>
      <c r="G682" s="57"/>
      <c r="H682" s="57"/>
      <c r="M682" s="23">
        <v>1</v>
      </c>
    </row>
    <row r="683" spans="2:13" ht="18">
      <c r="B683" s="57"/>
      <c r="C683" s="57"/>
      <c r="D683" s="57"/>
      <c r="E683" s="57"/>
      <c r="F683" s="57"/>
      <c r="G683" s="57"/>
      <c r="H683" s="57"/>
      <c r="M683" s="23">
        <v>1</v>
      </c>
    </row>
    <row r="684" spans="2:13" ht="18">
      <c r="B684" s="57"/>
      <c r="C684" s="57"/>
      <c r="D684" s="57"/>
      <c r="E684" s="57"/>
      <c r="F684" s="57"/>
      <c r="G684" s="57"/>
      <c r="H684" s="57"/>
      <c r="M684" s="23">
        <v>1</v>
      </c>
    </row>
    <row r="685" spans="2:13" ht="18">
      <c r="B685" s="57"/>
      <c r="C685" s="57"/>
      <c r="D685" s="57"/>
      <c r="E685" s="57"/>
      <c r="F685" s="57"/>
      <c r="G685" s="57"/>
      <c r="H685" s="57"/>
      <c r="M685" s="23">
        <v>1</v>
      </c>
    </row>
    <row r="686" spans="2:13" ht="18">
      <c r="B686" s="57"/>
      <c r="C686" s="57"/>
      <c r="D686" s="57"/>
      <c r="E686" s="57"/>
      <c r="F686" s="57"/>
      <c r="G686" s="57"/>
      <c r="H686" s="57"/>
      <c r="M686" s="23">
        <v>1</v>
      </c>
    </row>
    <row r="687" spans="2:13" ht="18">
      <c r="B687" s="57"/>
      <c r="C687" s="57"/>
      <c r="D687" s="57"/>
      <c r="E687" s="57"/>
      <c r="F687" s="57"/>
      <c r="G687" s="57"/>
      <c r="H687" s="57"/>
      <c r="M687" s="23">
        <v>1</v>
      </c>
    </row>
    <row r="688" spans="2:13" ht="18">
      <c r="B688" s="57"/>
      <c r="C688" s="57"/>
      <c r="D688" s="57"/>
      <c r="E688" s="57"/>
      <c r="F688" s="57"/>
      <c r="G688" s="57"/>
      <c r="H688" s="57"/>
      <c r="M688" s="23">
        <v>1</v>
      </c>
    </row>
    <row r="689" spans="2:13" ht="18">
      <c r="B689" s="57"/>
      <c r="C689" s="57"/>
      <c r="D689" s="57"/>
      <c r="E689" s="57"/>
      <c r="F689" s="57"/>
      <c r="G689" s="57"/>
      <c r="H689" s="57"/>
      <c r="M689" s="23">
        <v>1</v>
      </c>
    </row>
    <row r="690" spans="2:13" ht="18">
      <c r="B690" s="57"/>
      <c r="C690" s="57"/>
      <c r="D690" s="57"/>
      <c r="E690" s="57"/>
      <c r="F690" s="57"/>
      <c r="G690" s="57"/>
      <c r="H690" s="57"/>
      <c r="M690" s="23">
        <v>1</v>
      </c>
    </row>
    <row r="691" spans="2:13" ht="18">
      <c r="B691" s="57"/>
      <c r="C691" s="57"/>
      <c r="D691" s="57"/>
      <c r="E691" s="57"/>
      <c r="F691" s="57"/>
      <c r="G691" s="57"/>
      <c r="H691" s="57"/>
      <c r="M691" s="23">
        <v>1</v>
      </c>
    </row>
    <row r="692" spans="2:13" ht="18">
      <c r="B692" s="57"/>
      <c r="C692" s="57"/>
      <c r="D692" s="57"/>
      <c r="E692" s="57"/>
      <c r="F692" s="57"/>
      <c r="G692" s="57"/>
      <c r="H692" s="57"/>
      <c r="M692" s="23">
        <v>1</v>
      </c>
    </row>
    <row r="693" spans="2:13" ht="18">
      <c r="B693" s="57"/>
      <c r="C693" s="57"/>
      <c r="D693" s="57"/>
      <c r="E693" s="57"/>
      <c r="F693" s="57"/>
      <c r="G693" s="57"/>
      <c r="H693" s="57"/>
      <c r="M693" s="23">
        <v>1</v>
      </c>
    </row>
    <row r="694" spans="2:13" ht="18">
      <c r="B694" s="57"/>
      <c r="C694" s="57"/>
      <c r="D694" s="57"/>
      <c r="E694" s="57"/>
      <c r="F694" s="57"/>
      <c r="G694" s="57"/>
      <c r="H694" s="57"/>
      <c r="M694" s="23">
        <v>1</v>
      </c>
    </row>
    <row r="695" spans="2:13" ht="18">
      <c r="B695" s="57"/>
      <c r="C695" s="57"/>
      <c r="D695" s="57"/>
      <c r="E695" s="57"/>
      <c r="F695" s="57"/>
      <c r="G695" s="57"/>
      <c r="H695" s="57"/>
      <c r="M695" s="23">
        <v>1</v>
      </c>
    </row>
    <row r="696" spans="2:13" ht="18">
      <c r="B696" s="57"/>
      <c r="C696" s="57"/>
      <c r="D696" s="57"/>
      <c r="E696" s="57"/>
      <c r="F696" s="57"/>
      <c r="G696" s="57"/>
      <c r="H696" s="57"/>
      <c r="M696" s="23">
        <v>1</v>
      </c>
    </row>
    <row r="697" spans="2:13" ht="18">
      <c r="B697" s="57"/>
      <c r="C697" s="57"/>
      <c r="D697" s="57"/>
      <c r="E697" s="57"/>
      <c r="F697" s="57"/>
      <c r="G697" s="57"/>
      <c r="H697" s="57"/>
      <c r="M697" s="23">
        <v>1</v>
      </c>
    </row>
    <row r="698" spans="2:13" ht="18">
      <c r="B698" s="57"/>
      <c r="C698" s="57"/>
      <c r="D698" s="57"/>
      <c r="E698" s="57"/>
      <c r="F698" s="57"/>
      <c r="G698" s="57"/>
      <c r="H698" s="57"/>
      <c r="M698" s="23">
        <v>1</v>
      </c>
    </row>
    <row r="699" spans="2:13" ht="18">
      <c r="B699" s="57"/>
      <c r="C699" s="57"/>
      <c r="D699" s="57"/>
      <c r="E699" s="57"/>
      <c r="F699" s="57"/>
      <c r="G699" s="57"/>
      <c r="H699" s="57"/>
      <c r="M699" s="23">
        <v>1</v>
      </c>
    </row>
    <row r="700" spans="2:13" ht="18">
      <c r="B700" s="57"/>
      <c r="C700" s="57"/>
      <c r="D700" s="57"/>
      <c r="E700" s="57"/>
      <c r="F700" s="57"/>
      <c r="G700" s="57"/>
      <c r="H700" s="57"/>
      <c r="M700" s="23">
        <v>1</v>
      </c>
    </row>
    <row r="701" spans="2:13" ht="18">
      <c r="B701" s="57"/>
      <c r="C701" s="57"/>
      <c r="D701" s="57"/>
      <c r="E701" s="57"/>
      <c r="F701" s="57"/>
      <c r="G701" s="57"/>
      <c r="H701" s="57"/>
      <c r="M701" s="23">
        <v>1</v>
      </c>
    </row>
    <row r="702" spans="2:13" ht="18">
      <c r="B702" s="57"/>
      <c r="C702" s="57"/>
      <c r="D702" s="57"/>
      <c r="E702" s="57"/>
      <c r="F702" s="57"/>
      <c r="G702" s="57"/>
      <c r="H702" s="57"/>
      <c r="M702" s="23">
        <v>1</v>
      </c>
    </row>
    <row r="703" spans="2:13" ht="18">
      <c r="B703" s="57"/>
      <c r="C703" s="57"/>
      <c r="D703" s="57"/>
      <c r="E703" s="57"/>
      <c r="F703" s="57"/>
      <c r="G703" s="57"/>
      <c r="H703" s="57"/>
      <c r="M703" s="23">
        <v>1</v>
      </c>
    </row>
    <row r="704" spans="2:13" ht="18">
      <c r="B704" s="57"/>
      <c r="C704" s="57"/>
      <c r="D704" s="57"/>
      <c r="E704" s="57"/>
      <c r="F704" s="57"/>
      <c r="G704" s="57"/>
      <c r="H704" s="57"/>
      <c r="M704" s="23">
        <v>1</v>
      </c>
    </row>
    <row r="705" spans="2:13" ht="18">
      <c r="B705" s="57"/>
      <c r="C705" s="57"/>
      <c r="D705" s="57"/>
      <c r="E705" s="57"/>
      <c r="F705" s="57"/>
      <c r="G705" s="57"/>
      <c r="H705" s="57"/>
      <c r="M705" s="23">
        <v>1</v>
      </c>
    </row>
    <row r="706" spans="2:13" ht="18">
      <c r="B706" s="57"/>
      <c r="C706" s="57"/>
      <c r="D706" s="57"/>
      <c r="E706" s="57"/>
      <c r="F706" s="57"/>
      <c r="G706" s="57"/>
      <c r="H706" s="57"/>
      <c r="M706" s="23">
        <v>1</v>
      </c>
    </row>
    <row r="707" spans="2:13" ht="18">
      <c r="B707" s="57"/>
      <c r="C707" s="57"/>
      <c r="D707" s="57"/>
      <c r="E707" s="57"/>
      <c r="F707" s="57"/>
      <c r="G707" s="57"/>
      <c r="H707" s="57"/>
      <c r="M707" s="23">
        <v>1</v>
      </c>
    </row>
    <row r="708" spans="2:13" ht="18">
      <c r="B708" s="57"/>
      <c r="C708" s="57"/>
      <c r="D708" s="57"/>
      <c r="E708" s="57"/>
      <c r="F708" s="57"/>
      <c r="G708" s="57"/>
      <c r="H708" s="57"/>
      <c r="M708" s="23">
        <v>1</v>
      </c>
    </row>
    <row r="709" spans="2:13" ht="18">
      <c r="B709" s="57"/>
      <c r="C709" s="57"/>
      <c r="D709" s="57"/>
      <c r="E709" s="57"/>
      <c r="F709" s="57"/>
      <c r="G709" s="57"/>
      <c r="H709" s="57"/>
      <c r="M709" s="23">
        <v>1</v>
      </c>
    </row>
    <row r="710" spans="2:13" ht="18">
      <c r="B710" s="57"/>
      <c r="C710" s="57"/>
      <c r="D710" s="57"/>
      <c r="E710" s="57"/>
      <c r="F710" s="57"/>
      <c r="G710" s="57"/>
      <c r="H710" s="57"/>
      <c r="M710" s="23">
        <v>1</v>
      </c>
    </row>
    <row r="711" spans="2:13" ht="18">
      <c r="B711" s="57"/>
      <c r="C711" s="57"/>
      <c r="D711" s="57"/>
      <c r="E711" s="57"/>
      <c r="F711" s="57"/>
      <c r="G711" s="57"/>
      <c r="H711" s="57"/>
      <c r="M711" s="23">
        <v>1</v>
      </c>
    </row>
    <row r="712" spans="2:13" ht="18">
      <c r="B712" s="57"/>
      <c r="C712" s="57"/>
      <c r="D712" s="57"/>
      <c r="E712" s="57"/>
      <c r="F712" s="57"/>
      <c r="G712" s="57"/>
      <c r="H712" s="57"/>
      <c r="M712" s="23">
        <v>1</v>
      </c>
    </row>
    <row r="713" spans="2:13" ht="18">
      <c r="B713" s="57"/>
      <c r="C713" s="57"/>
      <c r="D713" s="57"/>
      <c r="E713" s="57"/>
      <c r="F713" s="57"/>
      <c r="G713" s="57"/>
      <c r="H713" s="57"/>
      <c r="M713" s="23">
        <v>1</v>
      </c>
    </row>
    <row r="714" spans="2:13" ht="18">
      <c r="B714" s="57"/>
      <c r="C714" s="57"/>
      <c r="D714" s="57"/>
      <c r="E714" s="57"/>
      <c r="F714" s="57"/>
      <c r="G714" s="57"/>
      <c r="H714" s="57"/>
      <c r="M714" s="23">
        <v>1</v>
      </c>
    </row>
    <row r="715" spans="2:13" ht="18">
      <c r="B715" s="57"/>
      <c r="C715" s="57"/>
      <c r="D715" s="57"/>
      <c r="E715" s="57"/>
      <c r="F715" s="57"/>
      <c r="G715" s="57"/>
      <c r="H715" s="57"/>
      <c r="M715" s="23">
        <v>1</v>
      </c>
    </row>
    <row r="716" spans="2:13" ht="18">
      <c r="B716" s="57"/>
      <c r="C716" s="57"/>
      <c r="D716" s="57"/>
      <c r="E716" s="57"/>
      <c r="F716" s="57"/>
      <c r="G716" s="57"/>
      <c r="H716" s="57"/>
      <c r="M716" s="23">
        <v>1</v>
      </c>
    </row>
    <row r="717" spans="2:13" ht="18">
      <c r="B717" s="57"/>
      <c r="C717" s="57"/>
      <c r="D717" s="57"/>
      <c r="E717" s="57"/>
      <c r="F717" s="57"/>
      <c r="G717" s="57"/>
      <c r="H717" s="57"/>
      <c r="M717" s="23">
        <v>1</v>
      </c>
    </row>
    <row r="718" spans="2:13" ht="18">
      <c r="B718" s="57"/>
      <c r="C718" s="57"/>
      <c r="D718" s="57"/>
      <c r="E718" s="57"/>
      <c r="F718" s="57"/>
      <c r="G718" s="57"/>
      <c r="H718" s="57"/>
      <c r="M718" s="23">
        <v>1</v>
      </c>
    </row>
    <row r="719" spans="2:13" ht="18">
      <c r="B719" s="57"/>
      <c r="C719" s="57"/>
      <c r="D719" s="57"/>
      <c r="E719" s="57"/>
      <c r="F719" s="57"/>
      <c r="G719" s="57"/>
      <c r="H719" s="57"/>
      <c r="M719" s="23">
        <v>1</v>
      </c>
    </row>
    <row r="720" spans="2:13" ht="18">
      <c r="B720" s="57"/>
      <c r="C720" s="57"/>
      <c r="D720" s="57"/>
      <c r="E720" s="57"/>
      <c r="F720" s="57"/>
      <c r="G720" s="57"/>
      <c r="H720" s="57"/>
      <c r="M720" s="23">
        <v>1</v>
      </c>
    </row>
    <row r="721" spans="2:13" ht="18">
      <c r="B721" s="57"/>
      <c r="C721" s="57"/>
      <c r="D721" s="57"/>
      <c r="E721" s="57"/>
      <c r="F721" s="57"/>
      <c r="G721" s="57"/>
      <c r="H721" s="57"/>
      <c r="M721" s="23">
        <v>1</v>
      </c>
    </row>
    <row r="722" spans="2:13" ht="18">
      <c r="B722" s="57"/>
      <c r="C722" s="57"/>
      <c r="D722" s="57"/>
      <c r="E722" s="57"/>
      <c r="F722" s="57"/>
      <c r="G722" s="57"/>
      <c r="H722" s="57"/>
      <c r="M722" s="23">
        <v>1</v>
      </c>
    </row>
    <row r="723" spans="2:13" ht="18">
      <c r="B723" s="57"/>
      <c r="C723" s="57"/>
      <c r="D723" s="57"/>
      <c r="E723" s="57"/>
      <c r="F723" s="57"/>
      <c r="G723" s="57"/>
      <c r="H723" s="57"/>
      <c r="M723" s="23">
        <v>1</v>
      </c>
    </row>
    <row r="724" spans="2:13" ht="18">
      <c r="B724" s="57"/>
      <c r="C724" s="57"/>
      <c r="D724" s="57"/>
      <c r="E724" s="57"/>
      <c r="F724" s="57"/>
      <c r="G724" s="57"/>
      <c r="H724" s="57"/>
      <c r="M724" s="23">
        <v>1</v>
      </c>
    </row>
    <row r="725" spans="2:13" ht="18">
      <c r="B725" s="57"/>
      <c r="C725" s="57"/>
      <c r="D725" s="57"/>
      <c r="E725" s="57"/>
      <c r="F725" s="57"/>
      <c r="G725" s="57"/>
      <c r="H725" s="57"/>
      <c r="M725" s="23">
        <v>1</v>
      </c>
    </row>
    <row r="726" spans="2:13" ht="18">
      <c r="B726" s="57"/>
      <c r="C726" s="57"/>
      <c r="D726" s="57"/>
      <c r="E726" s="57"/>
      <c r="F726" s="57"/>
      <c r="G726" s="57"/>
      <c r="H726" s="57"/>
      <c r="M726" s="23">
        <v>1</v>
      </c>
    </row>
    <row r="727" spans="2:13" ht="18">
      <c r="B727" s="57"/>
      <c r="C727" s="57"/>
      <c r="D727" s="57"/>
      <c r="E727" s="57"/>
      <c r="F727" s="57"/>
      <c r="G727" s="57"/>
      <c r="H727" s="57"/>
      <c r="M727" s="23">
        <v>1</v>
      </c>
    </row>
    <row r="728" spans="2:13" ht="18">
      <c r="B728" s="57"/>
      <c r="C728" s="57"/>
      <c r="D728" s="57"/>
      <c r="E728" s="57"/>
      <c r="F728" s="57"/>
      <c r="G728" s="57"/>
      <c r="H728" s="57"/>
      <c r="M728" s="23">
        <v>1</v>
      </c>
    </row>
    <row r="729" spans="2:13" ht="18">
      <c r="B729" s="57"/>
      <c r="C729" s="57"/>
      <c r="D729" s="57"/>
      <c r="E729" s="57"/>
      <c r="F729" s="57"/>
      <c r="G729" s="57"/>
      <c r="H729" s="57"/>
      <c r="M729" s="23">
        <v>1</v>
      </c>
    </row>
    <row r="730" spans="2:13" ht="18">
      <c r="B730" s="57"/>
      <c r="C730" s="57"/>
      <c r="D730" s="57"/>
      <c r="E730" s="57"/>
      <c r="F730" s="57"/>
      <c r="G730" s="57"/>
      <c r="H730" s="57"/>
      <c r="M730" s="23">
        <v>1</v>
      </c>
    </row>
    <row r="731" spans="2:13" ht="18">
      <c r="B731" s="57"/>
      <c r="C731" s="57"/>
      <c r="D731" s="57"/>
      <c r="E731" s="57"/>
      <c r="F731" s="57"/>
      <c r="G731" s="57"/>
      <c r="H731" s="57"/>
      <c r="M731" s="23">
        <v>1</v>
      </c>
    </row>
    <row r="732" spans="2:13" ht="18">
      <c r="B732" s="57"/>
      <c r="C732" s="57"/>
      <c r="D732" s="57"/>
      <c r="E732" s="57"/>
      <c r="F732" s="57"/>
      <c r="G732" s="57"/>
      <c r="H732" s="57"/>
      <c r="M732" s="23">
        <v>1</v>
      </c>
    </row>
    <row r="733" spans="2:13" ht="18">
      <c r="B733" s="57"/>
      <c r="C733" s="57"/>
      <c r="D733" s="57"/>
      <c r="E733" s="57"/>
      <c r="F733" s="57"/>
      <c r="G733" s="57"/>
      <c r="H733" s="57"/>
      <c r="M733" s="23">
        <v>1</v>
      </c>
    </row>
    <row r="734" spans="2:13" ht="18">
      <c r="B734" s="57"/>
      <c r="C734" s="57"/>
      <c r="D734" s="57"/>
      <c r="E734" s="57"/>
      <c r="F734" s="57"/>
      <c r="G734" s="57"/>
      <c r="H734" s="57"/>
      <c r="M734" s="23">
        <v>1</v>
      </c>
    </row>
    <row r="735" spans="2:13" ht="18">
      <c r="B735" s="57"/>
      <c r="C735" s="57"/>
      <c r="D735" s="57"/>
      <c r="E735" s="57"/>
      <c r="F735" s="57"/>
      <c r="G735" s="57"/>
      <c r="H735" s="57"/>
      <c r="M735" s="23">
        <v>1</v>
      </c>
    </row>
    <row r="736" spans="2:13" ht="18">
      <c r="B736" s="57"/>
      <c r="C736" s="57"/>
      <c r="D736" s="57"/>
      <c r="E736" s="57"/>
      <c r="F736" s="57"/>
      <c r="G736" s="57"/>
      <c r="H736" s="57"/>
      <c r="M736" s="23">
        <v>1</v>
      </c>
    </row>
    <row r="737" spans="2:13" ht="18">
      <c r="B737" s="57"/>
      <c r="C737" s="57"/>
      <c r="D737" s="57"/>
      <c r="E737" s="57"/>
      <c r="F737" s="57"/>
      <c r="G737" s="57"/>
      <c r="H737" s="57"/>
      <c r="M737" s="23">
        <v>1</v>
      </c>
    </row>
    <row r="738" spans="2:13" ht="18">
      <c r="B738" s="57"/>
      <c r="C738" s="57"/>
      <c r="D738" s="57"/>
      <c r="E738" s="57"/>
      <c r="F738" s="57"/>
      <c r="G738" s="57"/>
      <c r="H738" s="57"/>
      <c r="M738" s="23">
        <v>1</v>
      </c>
    </row>
    <row r="739" spans="2:13" ht="18">
      <c r="B739" s="57"/>
      <c r="C739" s="57"/>
      <c r="D739" s="57"/>
      <c r="E739" s="57"/>
      <c r="F739" s="57"/>
      <c r="G739" s="57"/>
      <c r="H739" s="57"/>
      <c r="M739" s="23">
        <v>1</v>
      </c>
    </row>
    <row r="740" spans="2:13" ht="18">
      <c r="B740" s="57"/>
      <c r="C740" s="57"/>
      <c r="D740" s="57"/>
      <c r="E740" s="57"/>
      <c r="F740" s="57"/>
      <c r="G740" s="57"/>
      <c r="H740" s="57"/>
      <c r="M740" s="23">
        <v>1</v>
      </c>
    </row>
    <row r="741" spans="2:13" ht="18">
      <c r="B741" s="57"/>
      <c r="C741" s="57"/>
      <c r="D741" s="57"/>
      <c r="E741" s="57"/>
      <c r="F741" s="57"/>
      <c r="G741" s="57"/>
      <c r="H741" s="57"/>
      <c r="M741" s="23">
        <v>1</v>
      </c>
    </row>
    <row r="742" spans="2:13" ht="18">
      <c r="B742" s="57"/>
      <c r="C742" s="57"/>
      <c r="D742" s="57"/>
      <c r="E742" s="57"/>
      <c r="F742" s="57"/>
      <c r="G742" s="57"/>
      <c r="H742" s="57"/>
      <c r="M742" s="23">
        <v>1</v>
      </c>
    </row>
    <row r="743" spans="2:13" ht="18">
      <c r="B743" s="57"/>
      <c r="C743" s="57"/>
      <c r="D743" s="57"/>
      <c r="E743" s="57"/>
      <c r="F743" s="57"/>
      <c r="G743" s="57"/>
      <c r="H743" s="57"/>
      <c r="M743" s="23">
        <v>1</v>
      </c>
    </row>
    <row r="744" spans="2:13" ht="18">
      <c r="B744" s="57"/>
      <c r="C744" s="57"/>
      <c r="D744" s="57"/>
      <c r="E744" s="57"/>
      <c r="F744" s="57"/>
      <c r="G744" s="57"/>
      <c r="H744" s="57"/>
      <c r="M744" s="23">
        <v>1</v>
      </c>
    </row>
    <row r="745" spans="2:13" ht="18">
      <c r="B745" s="57"/>
      <c r="C745" s="57"/>
      <c r="D745" s="57"/>
      <c r="E745" s="57"/>
      <c r="F745" s="57"/>
      <c r="G745" s="57"/>
      <c r="H745" s="57"/>
      <c r="M745" s="23">
        <v>1</v>
      </c>
    </row>
    <row r="746" spans="2:13" ht="18">
      <c r="B746" s="57"/>
      <c r="C746" s="57"/>
      <c r="D746" s="57"/>
      <c r="E746" s="57"/>
      <c r="F746" s="57"/>
      <c r="G746" s="57"/>
      <c r="H746" s="57"/>
      <c r="M746" s="23">
        <v>1</v>
      </c>
    </row>
    <row r="747" spans="2:13" ht="18">
      <c r="B747" s="57"/>
      <c r="C747" s="57"/>
      <c r="D747" s="57"/>
      <c r="E747" s="57"/>
      <c r="F747" s="57"/>
      <c r="G747" s="57"/>
      <c r="H747" s="57"/>
      <c r="M747" s="23">
        <v>1</v>
      </c>
    </row>
    <row r="748" spans="2:13" ht="18">
      <c r="B748" s="57"/>
      <c r="C748" s="57"/>
      <c r="D748" s="57"/>
      <c r="E748" s="57"/>
      <c r="F748" s="57"/>
      <c r="G748" s="57"/>
      <c r="H748" s="57"/>
      <c r="M748" s="23">
        <v>1</v>
      </c>
    </row>
    <row r="749" spans="2:13" ht="18">
      <c r="B749" s="57"/>
      <c r="C749" s="57"/>
      <c r="D749" s="57"/>
      <c r="E749" s="57"/>
      <c r="F749" s="57"/>
      <c r="G749" s="57"/>
      <c r="H749" s="57"/>
      <c r="M749" s="23">
        <v>1</v>
      </c>
    </row>
    <row r="750" spans="2:13" ht="18">
      <c r="B750" s="57"/>
      <c r="C750" s="57"/>
      <c r="D750" s="57"/>
      <c r="E750" s="57"/>
      <c r="F750" s="57"/>
      <c r="G750" s="57"/>
      <c r="H750" s="57"/>
      <c r="M750" s="23">
        <v>1</v>
      </c>
    </row>
    <row r="751" spans="2:13" ht="18">
      <c r="B751" s="57"/>
      <c r="C751" s="57"/>
      <c r="D751" s="57"/>
      <c r="E751" s="57"/>
      <c r="F751" s="57"/>
      <c r="G751" s="57"/>
      <c r="H751" s="57"/>
      <c r="M751" s="23">
        <v>1</v>
      </c>
    </row>
    <row r="752" spans="2:13" ht="18">
      <c r="B752" s="57"/>
      <c r="C752" s="57"/>
      <c r="D752" s="57"/>
      <c r="E752" s="57"/>
      <c r="F752" s="57"/>
      <c r="G752" s="57"/>
      <c r="H752" s="57"/>
      <c r="M752" s="23">
        <v>1</v>
      </c>
    </row>
    <row r="753" spans="2:13" ht="18">
      <c r="B753" s="57"/>
      <c r="C753" s="57"/>
      <c r="D753" s="57"/>
      <c r="E753" s="57"/>
      <c r="F753" s="57"/>
      <c r="G753" s="57"/>
      <c r="H753" s="57"/>
      <c r="M753" s="23">
        <v>1</v>
      </c>
    </row>
    <row r="754" spans="2:13" ht="18">
      <c r="B754" s="57"/>
      <c r="C754" s="57"/>
      <c r="D754" s="57"/>
      <c r="E754" s="57"/>
      <c r="F754" s="57"/>
      <c r="G754" s="57"/>
      <c r="H754" s="57"/>
      <c r="M754" s="23">
        <v>1</v>
      </c>
    </row>
    <row r="755" spans="2:13" ht="18">
      <c r="B755" s="57"/>
      <c r="C755" s="57"/>
      <c r="D755" s="57"/>
      <c r="E755" s="57"/>
      <c r="F755" s="57"/>
      <c r="G755" s="57"/>
      <c r="H755" s="57"/>
      <c r="M755" s="23">
        <v>1</v>
      </c>
    </row>
    <row r="756" spans="2:13" ht="18">
      <c r="B756" s="57"/>
      <c r="C756" s="57"/>
      <c r="D756" s="57"/>
      <c r="E756" s="57"/>
      <c r="F756" s="57"/>
      <c r="G756" s="57"/>
      <c r="H756" s="57"/>
      <c r="M756" s="23">
        <v>1</v>
      </c>
    </row>
    <row r="757" spans="2:13" ht="18">
      <c r="B757" s="57"/>
      <c r="C757" s="57"/>
      <c r="D757" s="57"/>
      <c r="E757" s="57"/>
      <c r="F757" s="57"/>
      <c r="G757" s="57"/>
      <c r="H757" s="57"/>
      <c r="M757" s="23">
        <v>1</v>
      </c>
    </row>
    <row r="758" spans="2:13" ht="18">
      <c r="B758" s="57"/>
      <c r="C758" s="57"/>
      <c r="D758" s="57"/>
      <c r="E758" s="57"/>
      <c r="F758" s="57"/>
      <c r="G758" s="57"/>
      <c r="H758" s="57"/>
      <c r="M758" s="23">
        <v>1</v>
      </c>
    </row>
    <row r="759" spans="2:13" ht="18">
      <c r="B759" s="57"/>
      <c r="C759" s="57"/>
      <c r="D759" s="57"/>
      <c r="E759" s="57"/>
      <c r="F759" s="57"/>
      <c r="G759" s="57"/>
      <c r="H759" s="57"/>
      <c r="M759" s="23">
        <v>1</v>
      </c>
    </row>
    <row r="760" spans="2:13" ht="18">
      <c r="B760" s="57"/>
      <c r="C760" s="57"/>
      <c r="D760" s="57"/>
      <c r="E760" s="57"/>
      <c r="F760" s="57"/>
      <c r="G760" s="57"/>
      <c r="H760" s="57"/>
      <c r="M760" s="23">
        <v>1</v>
      </c>
    </row>
    <row r="761" spans="2:13" ht="18">
      <c r="B761" s="57"/>
      <c r="C761" s="57"/>
      <c r="D761" s="57"/>
      <c r="E761" s="57"/>
      <c r="F761" s="57"/>
      <c r="G761" s="57"/>
      <c r="H761" s="57"/>
      <c r="M761" s="23">
        <v>1</v>
      </c>
    </row>
    <row r="762" spans="2:13" ht="18">
      <c r="B762" s="57"/>
      <c r="C762" s="57"/>
      <c r="D762" s="57"/>
      <c r="E762" s="57"/>
      <c r="F762" s="57"/>
      <c r="G762" s="57"/>
      <c r="H762" s="57"/>
      <c r="M762" s="23">
        <v>1</v>
      </c>
    </row>
    <row r="763" spans="2:13" ht="18">
      <c r="B763" s="57"/>
      <c r="C763" s="57"/>
      <c r="D763" s="57"/>
      <c r="E763" s="57"/>
      <c r="F763" s="57"/>
      <c r="G763" s="57"/>
      <c r="H763" s="57"/>
      <c r="M763" s="23">
        <v>1</v>
      </c>
    </row>
    <row r="764" spans="2:13" ht="18">
      <c r="B764" s="57"/>
      <c r="C764" s="57"/>
      <c r="D764" s="57"/>
      <c r="E764" s="57"/>
      <c r="F764" s="57"/>
      <c r="G764" s="57"/>
      <c r="H764" s="57"/>
      <c r="M764" s="23">
        <v>1</v>
      </c>
    </row>
    <row r="765" spans="2:13" ht="18">
      <c r="B765" s="57"/>
      <c r="C765" s="57"/>
      <c r="D765" s="57"/>
      <c r="E765" s="57"/>
      <c r="F765" s="57"/>
      <c r="G765" s="57"/>
      <c r="H765" s="57"/>
      <c r="M765" s="23">
        <v>1</v>
      </c>
    </row>
    <row r="766" spans="2:13" ht="18">
      <c r="B766" s="57"/>
      <c r="C766" s="57"/>
      <c r="D766" s="57"/>
      <c r="E766" s="57"/>
      <c r="F766" s="57"/>
      <c r="G766" s="57"/>
      <c r="H766" s="57"/>
      <c r="M766" s="23">
        <v>1</v>
      </c>
    </row>
    <row r="767" spans="2:13" ht="18">
      <c r="B767" s="57"/>
      <c r="C767" s="57"/>
      <c r="D767" s="57"/>
      <c r="E767" s="57"/>
      <c r="F767" s="57"/>
      <c r="G767" s="57"/>
      <c r="H767" s="57"/>
      <c r="M767" s="23">
        <v>1</v>
      </c>
    </row>
    <row r="768" spans="2:13" ht="18">
      <c r="B768" s="57"/>
      <c r="C768" s="57"/>
      <c r="D768" s="57"/>
      <c r="E768" s="57"/>
      <c r="F768" s="57"/>
      <c r="G768" s="57"/>
      <c r="H768" s="57"/>
      <c r="M768" s="23">
        <v>1</v>
      </c>
    </row>
    <row r="769" spans="2:13" ht="18">
      <c r="B769" s="57"/>
      <c r="C769" s="57"/>
      <c r="D769" s="57"/>
      <c r="E769" s="57"/>
      <c r="F769" s="57"/>
      <c r="G769" s="57"/>
      <c r="H769" s="57"/>
      <c r="M769" s="23">
        <v>1</v>
      </c>
    </row>
    <row r="770" spans="2:13" ht="18">
      <c r="B770" s="57"/>
      <c r="C770" s="57"/>
      <c r="D770" s="57"/>
      <c r="E770" s="57"/>
      <c r="F770" s="57"/>
      <c r="G770" s="57"/>
      <c r="H770" s="57"/>
      <c r="M770" s="23">
        <v>1</v>
      </c>
    </row>
    <row r="771" spans="2:13" ht="18">
      <c r="B771" s="57"/>
      <c r="C771" s="57"/>
      <c r="D771" s="57"/>
      <c r="E771" s="57"/>
      <c r="F771" s="57"/>
      <c r="G771" s="57"/>
      <c r="H771" s="57"/>
      <c r="M771" s="23">
        <v>1</v>
      </c>
    </row>
    <row r="772" spans="2:13" ht="18">
      <c r="B772" s="57"/>
      <c r="C772" s="57"/>
      <c r="D772" s="57"/>
      <c r="E772" s="57"/>
      <c r="F772" s="57"/>
      <c r="G772" s="57"/>
      <c r="H772" s="57"/>
      <c r="M772" s="23">
        <v>1</v>
      </c>
    </row>
    <row r="773" spans="2:13" ht="18">
      <c r="B773" s="57"/>
      <c r="C773" s="57"/>
      <c r="D773" s="57"/>
      <c r="E773" s="57"/>
      <c r="F773" s="57"/>
      <c r="G773" s="57"/>
      <c r="H773" s="57"/>
      <c r="M773" s="23">
        <v>1</v>
      </c>
    </row>
    <row r="774" spans="2:13" ht="18">
      <c r="B774" s="57"/>
      <c r="C774" s="57"/>
      <c r="D774" s="57"/>
      <c r="E774" s="57"/>
      <c r="F774" s="57"/>
      <c r="G774" s="57"/>
      <c r="H774" s="57"/>
      <c r="M774" s="23">
        <v>1</v>
      </c>
    </row>
    <row r="775" spans="2:13" ht="18">
      <c r="B775" s="57"/>
      <c r="C775" s="57"/>
      <c r="D775" s="57"/>
      <c r="E775" s="57"/>
      <c r="F775" s="57"/>
      <c r="G775" s="57"/>
      <c r="H775" s="57"/>
      <c r="M775" s="23">
        <v>1</v>
      </c>
    </row>
    <row r="776" spans="2:13" ht="18">
      <c r="B776" s="57"/>
      <c r="C776" s="57"/>
      <c r="D776" s="57"/>
      <c r="E776" s="57"/>
      <c r="F776" s="57"/>
      <c r="G776" s="57"/>
      <c r="H776" s="57"/>
      <c r="M776" s="23">
        <v>1</v>
      </c>
    </row>
    <row r="777" spans="2:13" ht="18">
      <c r="B777" s="57"/>
      <c r="C777" s="57"/>
      <c r="D777" s="57"/>
      <c r="E777" s="57"/>
      <c r="F777" s="57"/>
      <c r="G777" s="57"/>
      <c r="H777" s="57"/>
      <c r="M777" s="23">
        <v>1</v>
      </c>
    </row>
    <row r="778" spans="2:13" ht="18">
      <c r="B778" s="57"/>
      <c r="C778" s="57"/>
      <c r="D778" s="57"/>
      <c r="E778" s="57"/>
      <c r="F778" s="57"/>
      <c r="G778" s="57"/>
      <c r="H778" s="57"/>
      <c r="M778" s="23">
        <v>1</v>
      </c>
    </row>
    <row r="779" spans="2:13" ht="18">
      <c r="B779" s="57"/>
      <c r="C779" s="57"/>
      <c r="D779" s="57"/>
      <c r="E779" s="57"/>
      <c r="F779" s="57"/>
      <c r="G779" s="57"/>
      <c r="H779" s="57"/>
      <c r="M779" s="23">
        <v>1</v>
      </c>
    </row>
    <row r="780" spans="2:13" ht="18">
      <c r="B780" s="57"/>
      <c r="C780" s="57"/>
      <c r="D780" s="57"/>
      <c r="E780" s="57"/>
      <c r="F780" s="57"/>
      <c r="G780" s="57"/>
      <c r="H780" s="57"/>
      <c r="M780" s="23">
        <v>1</v>
      </c>
    </row>
    <row r="781" spans="2:13" ht="18">
      <c r="B781" s="57"/>
      <c r="C781" s="57"/>
      <c r="D781" s="57"/>
      <c r="E781" s="57"/>
      <c r="F781" s="57"/>
      <c r="G781" s="57"/>
      <c r="H781" s="57"/>
      <c r="M781" s="23">
        <v>1</v>
      </c>
    </row>
    <row r="782" spans="2:13" ht="18">
      <c r="B782" s="57"/>
      <c r="C782" s="57"/>
      <c r="D782" s="57"/>
      <c r="E782" s="57"/>
      <c r="F782" s="57"/>
      <c r="G782" s="57"/>
      <c r="H782" s="57"/>
      <c r="M782" s="23">
        <v>1</v>
      </c>
    </row>
    <row r="783" spans="2:13" ht="18">
      <c r="B783" s="57"/>
      <c r="C783" s="57"/>
      <c r="D783" s="57"/>
      <c r="E783" s="57"/>
      <c r="F783" s="57"/>
      <c r="G783" s="57"/>
      <c r="H783" s="57"/>
      <c r="M783" s="23">
        <v>1</v>
      </c>
    </row>
    <row r="784" spans="2:13" ht="18">
      <c r="B784" s="57"/>
      <c r="C784" s="57"/>
      <c r="D784" s="57"/>
      <c r="E784" s="57"/>
      <c r="F784" s="57"/>
      <c r="G784" s="57"/>
      <c r="H784" s="57"/>
      <c r="M784" s="23">
        <v>1</v>
      </c>
    </row>
    <row r="785" spans="2:13" ht="18">
      <c r="B785" s="57"/>
      <c r="C785" s="57"/>
      <c r="D785" s="57"/>
      <c r="E785" s="57"/>
      <c r="F785" s="57"/>
      <c r="G785" s="57"/>
      <c r="H785" s="57"/>
      <c r="M785" s="23">
        <v>1</v>
      </c>
    </row>
    <row r="786" spans="2:13" ht="18">
      <c r="B786" s="57"/>
      <c r="C786" s="57"/>
      <c r="D786" s="57"/>
      <c r="E786" s="57"/>
      <c r="F786" s="57"/>
      <c r="G786" s="57"/>
      <c r="H786" s="57"/>
      <c r="M786" s="23">
        <v>1</v>
      </c>
    </row>
    <row r="787" spans="2:13" ht="18">
      <c r="B787" s="57"/>
      <c r="C787" s="57"/>
      <c r="D787" s="57"/>
      <c r="E787" s="57"/>
      <c r="F787" s="57"/>
      <c r="G787" s="57"/>
      <c r="H787" s="57"/>
      <c r="M787" s="23">
        <v>1</v>
      </c>
    </row>
    <row r="788" spans="2:13" ht="18">
      <c r="B788" s="57"/>
      <c r="C788" s="57"/>
      <c r="D788" s="57"/>
      <c r="E788" s="57"/>
      <c r="F788" s="57"/>
      <c r="G788" s="57"/>
      <c r="H788" s="57"/>
      <c r="M788" s="23">
        <v>1</v>
      </c>
    </row>
    <row r="789" spans="2:13" ht="18">
      <c r="B789" s="57"/>
      <c r="C789" s="57"/>
      <c r="D789" s="57"/>
      <c r="E789" s="57"/>
      <c r="F789" s="57"/>
      <c r="G789" s="57"/>
      <c r="H789" s="57"/>
      <c r="M789" s="23">
        <v>1</v>
      </c>
    </row>
    <row r="790" spans="2:13" ht="18">
      <c r="B790" s="57"/>
      <c r="C790" s="57"/>
      <c r="D790" s="57"/>
      <c r="E790" s="57"/>
      <c r="F790" s="57"/>
      <c r="G790" s="57"/>
      <c r="H790" s="57"/>
      <c r="M790" s="23">
        <v>1</v>
      </c>
    </row>
    <row r="791" spans="2:13" ht="18">
      <c r="B791" s="57"/>
      <c r="C791" s="57"/>
      <c r="D791" s="57"/>
      <c r="E791" s="57"/>
      <c r="F791" s="57"/>
      <c r="G791" s="57"/>
      <c r="H791" s="57"/>
      <c r="M791" s="23">
        <v>1</v>
      </c>
    </row>
    <row r="792" spans="2:13" ht="18">
      <c r="B792" s="57"/>
      <c r="C792" s="57"/>
      <c r="D792" s="57"/>
      <c r="E792" s="57"/>
      <c r="F792" s="57"/>
      <c r="G792" s="57"/>
      <c r="H792" s="57"/>
      <c r="M792" s="23">
        <v>1</v>
      </c>
    </row>
    <row r="793" spans="2:13" ht="18">
      <c r="B793" s="57"/>
      <c r="C793" s="57"/>
      <c r="D793" s="57"/>
      <c r="E793" s="57"/>
      <c r="F793" s="57"/>
      <c r="G793" s="57"/>
      <c r="H793" s="57"/>
      <c r="M793" s="23">
        <v>1</v>
      </c>
    </row>
    <row r="794" spans="2:13" ht="18">
      <c r="B794" s="57"/>
      <c r="C794" s="57"/>
      <c r="D794" s="57"/>
      <c r="E794" s="57"/>
      <c r="F794" s="57"/>
      <c r="G794" s="57"/>
      <c r="H794" s="57"/>
      <c r="M794" s="23">
        <v>1</v>
      </c>
    </row>
    <row r="795" spans="2:13" ht="18">
      <c r="B795" s="57"/>
      <c r="C795" s="57"/>
      <c r="D795" s="57"/>
      <c r="E795" s="57"/>
      <c r="F795" s="57"/>
      <c r="G795" s="57"/>
      <c r="H795" s="57"/>
      <c r="M795" s="23">
        <v>1</v>
      </c>
    </row>
    <row r="796" spans="2:13" ht="18">
      <c r="B796" s="57"/>
      <c r="C796" s="57"/>
      <c r="D796" s="57"/>
      <c r="E796" s="57"/>
      <c r="F796" s="57"/>
      <c r="G796" s="57"/>
      <c r="H796" s="57"/>
      <c r="M796" s="23">
        <v>1</v>
      </c>
    </row>
    <row r="797" spans="2:13" ht="18">
      <c r="B797" s="57"/>
      <c r="C797" s="57"/>
      <c r="D797" s="57"/>
      <c r="E797" s="57"/>
      <c r="F797" s="57"/>
      <c r="G797" s="57"/>
      <c r="H797" s="57"/>
      <c r="M797" s="23">
        <v>1</v>
      </c>
    </row>
    <row r="798" spans="2:13" ht="18">
      <c r="B798" s="57"/>
      <c r="C798" s="57"/>
      <c r="D798" s="57"/>
      <c r="E798" s="57"/>
      <c r="F798" s="57"/>
      <c r="G798" s="57"/>
      <c r="H798" s="57"/>
      <c r="M798" s="23">
        <v>1</v>
      </c>
    </row>
    <row r="799" spans="2:13" ht="18">
      <c r="B799" s="57"/>
      <c r="C799" s="57"/>
      <c r="D799" s="57"/>
      <c r="E799" s="57"/>
      <c r="F799" s="57"/>
      <c r="G799" s="57"/>
      <c r="H799" s="57"/>
      <c r="M799" s="23">
        <v>1</v>
      </c>
    </row>
    <row r="800" spans="2:13" ht="18">
      <c r="B800" s="57"/>
      <c r="C800" s="57"/>
      <c r="D800" s="57"/>
      <c r="E800" s="57"/>
      <c r="F800" s="57"/>
      <c r="G800" s="57"/>
      <c r="H800" s="57"/>
      <c r="M800" s="23">
        <v>1</v>
      </c>
    </row>
    <row r="801" spans="2:13" ht="18">
      <c r="B801" s="57"/>
      <c r="C801" s="57"/>
      <c r="D801" s="57"/>
      <c r="E801" s="57"/>
      <c r="F801" s="57"/>
      <c r="G801" s="57"/>
      <c r="H801" s="57"/>
      <c r="M801" s="23">
        <v>1</v>
      </c>
    </row>
    <row r="802" spans="2:13" ht="18">
      <c r="B802" s="57"/>
      <c r="C802" s="57"/>
      <c r="D802" s="57"/>
      <c r="E802" s="57"/>
      <c r="F802" s="57"/>
      <c r="G802" s="57"/>
      <c r="H802" s="57"/>
      <c r="M802" s="23">
        <v>1</v>
      </c>
    </row>
    <row r="803" spans="2:13" ht="18">
      <c r="B803" s="57"/>
      <c r="C803" s="57"/>
      <c r="D803" s="57"/>
      <c r="E803" s="57"/>
      <c r="F803" s="57"/>
      <c r="G803" s="57"/>
      <c r="H803" s="57"/>
      <c r="M803" s="23">
        <v>1</v>
      </c>
    </row>
    <row r="804" spans="2:13" ht="18">
      <c r="B804" s="57"/>
      <c r="C804" s="57"/>
      <c r="D804" s="57"/>
      <c r="E804" s="57"/>
      <c r="F804" s="57"/>
      <c r="G804" s="57"/>
      <c r="H804" s="57"/>
      <c r="M804" s="23">
        <v>1</v>
      </c>
    </row>
    <row r="805" spans="2:13" ht="18">
      <c r="B805" s="57"/>
      <c r="C805" s="57"/>
      <c r="D805" s="57"/>
      <c r="E805" s="57"/>
      <c r="F805" s="57"/>
      <c r="G805" s="57"/>
      <c r="H805" s="57"/>
      <c r="M805" s="23">
        <v>1</v>
      </c>
    </row>
    <row r="806" spans="2:13" ht="18">
      <c r="B806" s="57"/>
      <c r="C806" s="57"/>
      <c r="D806" s="57"/>
      <c r="E806" s="57"/>
      <c r="F806" s="57"/>
      <c r="G806" s="57"/>
      <c r="H806" s="57"/>
      <c r="M806" s="23">
        <v>1</v>
      </c>
    </row>
    <row r="807" spans="2:13" ht="18">
      <c r="B807" s="57"/>
      <c r="C807" s="57"/>
      <c r="D807" s="57"/>
      <c r="E807" s="57"/>
      <c r="F807" s="57"/>
      <c r="G807" s="57"/>
      <c r="H807" s="57"/>
      <c r="M807" s="23">
        <v>1</v>
      </c>
    </row>
    <row r="808" spans="2:13" ht="18">
      <c r="B808" s="57"/>
      <c r="C808" s="57"/>
      <c r="D808" s="57"/>
      <c r="E808" s="57"/>
      <c r="F808" s="57"/>
      <c r="G808" s="57"/>
      <c r="H808" s="57"/>
      <c r="M808" s="23">
        <v>1</v>
      </c>
    </row>
    <row r="809" spans="2:13" ht="18">
      <c r="B809" s="57"/>
      <c r="C809" s="57"/>
      <c r="D809" s="57"/>
      <c r="E809" s="57"/>
      <c r="F809" s="57"/>
      <c r="G809" s="57"/>
      <c r="H809" s="57"/>
      <c r="M809" s="23">
        <v>1</v>
      </c>
    </row>
    <row r="810" spans="2:13" ht="18">
      <c r="B810" s="57"/>
      <c r="C810" s="57"/>
      <c r="D810" s="57"/>
      <c r="E810" s="57"/>
      <c r="F810" s="57"/>
      <c r="G810" s="57"/>
      <c r="H810" s="57"/>
      <c r="M810" s="23">
        <v>1</v>
      </c>
    </row>
    <row r="811" spans="2:13" ht="18">
      <c r="B811" s="57"/>
      <c r="C811" s="57"/>
      <c r="D811" s="57"/>
      <c r="E811" s="57"/>
      <c r="F811" s="57"/>
      <c r="G811" s="57"/>
      <c r="H811" s="57"/>
      <c r="M811" s="23">
        <v>1</v>
      </c>
    </row>
    <row r="812" spans="2:13" ht="18">
      <c r="B812" s="57"/>
      <c r="C812" s="57"/>
      <c r="D812" s="57"/>
      <c r="E812" s="57"/>
      <c r="F812" s="57"/>
      <c r="G812" s="57"/>
      <c r="H812" s="57"/>
      <c r="M812" s="23">
        <v>1</v>
      </c>
    </row>
    <row r="813" spans="2:13" ht="18">
      <c r="B813" s="57"/>
      <c r="C813" s="57"/>
      <c r="D813" s="57"/>
      <c r="E813" s="57"/>
      <c r="F813" s="57"/>
      <c r="G813" s="57"/>
      <c r="H813" s="57"/>
      <c r="M813" s="23">
        <v>1</v>
      </c>
    </row>
    <row r="814" spans="2:13" ht="18">
      <c r="B814" s="57"/>
      <c r="C814" s="57"/>
      <c r="D814" s="57"/>
      <c r="E814" s="57"/>
      <c r="F814" s="57"/>
      <c r="G814" s="57"/>
      <c r="H814" s="57"/>
      <c r="M814" s="23">
        <v>1</v>
      </c>
    </row>
    <row r="815" spans="2:13" ht="18">
      <c r="B815" s="57"/>
      <c r="C815" s="57"/>
      <c r="D815" s="57"/>
      <c r="E815" s="57"/>
      <c r="F815" s="57"/>
      <c r="G815" s="57"/>
      <c r="H815" s="57"/>
      <c r="M815" s="23">
        <v>1</v>
      </c>
    </row>
    <row r="816" spans="2:13" ht="18">
      <c r="B816" s="57"/>
      <c r="C816" s="57"/>
      <c r="D816" s="57"/>
      <c r="E816" s="57"/>
      <c r="F816" s="57"/>
      <c r="G816" s="57"/>
      <c r="H816" s="57"/>
      <c r="M816" s="23">
        <v>1</v>
      </c>
    </row>
    <row r="817" spans="2:13" ht="18">
      <c r="B817" s="57"/>
      <c r="C817" s="57"/>
      <c r="D817" s="57"/>
      <c r="E817" s="57"/>
      <c r="F817" s="57"/>
      <c r="G817" s="57"/>
      <c r="H817" s="57"/>
      <c r="M817" s="23">
        <v>1</v>
      </c>
    </row>
    <row r="818" spans="2:13" ht="18">
      <c r="B818" s="57"/>
      <c r="C818" s="57"/>
      <c r="D818" s="57"/>
      <c r="E818" s="57"/>
      <c r="F818" s="57"/>
      <c r="G818" s="57"/>
      <c r="H818" s="57"/>
      <c r="M818" s="23">
        <v>1</v>
      </c>
    </row>
    <row r="819" spans="2:13" ht="18">
      <c r="B819" s="57"/>
      <c r="C819" s="57"/>
      <c r="D819" s="57"/>
      <c r="E819" s="57"/>
      <c r="F819" s="57"/>
      <c r="G819" s="57"/>
      <c r="H819" s="57"/>
      <c r="M819" s="23">
        <v>1</v>
      </c>
    </row>
    <row r="820" spans="2:13" ht="18">
      <c r="B820" s="57"/>
      <c r="C820" s="57"/>
      <c r="D820" s="57"/>
      <c r="E820" s="57"/>
      <c r="F820" s="57"/>
      <c r="G820" s="57"/>
      <c r="H820" s="57"/>
      <c r="M820" s="23">
        <v>1</v>
      </c>
    </row>
    <row r="821" spans="2:13" ht="18">
      <c r="B821" s="57"/>
      <c r="C821" s="57"/>
      <c r="D821" s="57"/>
      <c r="E821" s="57"/>
      <c r="F821" s="57"/>
      <c r="G821" s="57"/>
      <c r="H821" s="57"/>
      <c r="M821" s="23">
        <v>1</v>
      </c>
    </row>
    <row r="822" spans="2:13" ht="18">
      <c r="B822" s="57"/>
      <c r="C822" s="57"/>
      <c r="D822" s="57"/>
      <c r="E822" s="57"/>
      <c r="F822" s="57"/>
      <c r="G822" s="57"/>
      <c r="H822" s="57"/>
      <c r="M822" s="23">
        <v>1</v>
      </c>
    </row>
    <row r="823" spans="2:13" ht="18">
      <c r="B823" s="57"/>
      <c r="C823" s="57"/>
      <c r="D823" s="57"/>
      <c r="E823" s="57"/>
      <c r="F823" s="57"/>
      <c r="G823" s="57"/>
      <c r="H823" s="57"/>
      <c r="M823" s="23">
        <v>1</v>
      </c>
    </row>
    <row r="824" spans="2:13" ht="18">
      <c r="B824" s="57"/>
      <c r="C824" s="57"/>
      <c r="D824" s="57"/>
      <c r="E824" s="57"/>
      <c r="F824" s="57"/>
      <c r="G824" s="57"/>
      <c r="H824" s="57"/>
      <c r="M824" s="23">
        <v>1</v>
      </c>
    </row>
    <row r="825" spans="2:13" ht="18">
      <c r="B825" s="57"/>
      <c r="C825" s="57"/>
      <c r="D825" s="57"/>
      <c r="E825" s="57"/>
      <c r="F825" s="57"/>
      <c r="G825" s="57"/>
      <c r="H825" s="57"/>
      <c r="M825" s="23">
        <v>1</v>
      </c>
    </row>
    <row r="826" spans="2:13" ht="18">
      <c r="B826" s="57"/>
      <c r="C826" s="57"/>
      <c r="D826" s="57"/>
      <c r="E826" s="57"/>
      <c r="F826" s="57"/>
      <c r="G826" s="57"/>
      <c r="H826" s="57"/>
      <c r="M826" s="23">
        <v>1</v>
      </c>
    </row>
    <row r="827" spans="2:13" ht="18">
      <c r="B827" s="57"/>
      <c r="C827" s="57"/>
      <c r="D827" s="57"/>
      <c r="E827" s="57"/>
      <c r="F827" s="57"/>
      <c r="G827" s="57"/>
      <c r="H827" s="57"/>
      <c r="M827" s="23">
        <v>1</v>
      </c>
    </row>
    <row r="828" spans="2:13" ht="18">
      <c r="B828" s="57"/>
      <c r="C828" s="57"/>
      <c r="D828" s="57"/>
      <c r="E828" s="57"/>
      <c r="F828" s="57"/>
      <c r="G828" s="57"/>
      <c r="H828" s="57"/>
      <c r="M828" s="23">
        <v>1</v>
      </c>
    </row>
    <row r="829" spans="2:13" ht="18">
      <c r="B829" s="57"/>
      <c r="C829" s="57"/>
      <c r="D829" s="57"/>
      <c r="E829" s="57"/>
      <c r="F829" s="57"/>
      <c r="G829" s="57"/>
      <c r="H829" s="57"/>
      <c r="M829" s="23">
        <v>1</v>
      </c>
    </row>
    <row r="830" spans="2:13" ht="18">
      <c r="B830" s="57"/>
      <c r="C830" s="57"/>
      <c r="D830" s="57"/>
      <c r="E830" s="57"/>
      <c r="F830" s="57"/>
      <c r="G830" s="57"/>
      <c r="H830" s="57"/>
      <c r="M830" s="23">
        <v>1</v>
      </c>
    </row>
    <row r="831" spans="2:13" ht="18">
      <c r="B831" s="57"/>
      <c r="C831" s="57"/>
      <c r="D831" s="57"/>
      <c r="E831" s="57"/>
      <c r="F831" s="57"/>
      <c r="G831" s="57"/>
      <c r="H831" s="57"/>
      <c r="M831" s="23">
        <v>1</v>
      </c>
    </row>
    <row r="832" spans="2:13" ht="18">
      <c r="B832" s="57"/>
      <c r="C832" s="57"/>
      <c r="D832" s="57"/>
      <c r="E832" s="57"/>
      <c r="F832" s="57"/>
      <c r="G832" s="57"/>
      <c r="H832" s="57"/>
      <c r="M832" s="23">
        <v>1</v>
      </c>
    </row>
    <row r="833" spans="2:13" ht="18">
      <c r="B833" s="57"/>
      <c r="C833" s="57"/>
      <c r="D833" s="57"/>
      <c r="E833" s="57"/>
      <c r="F833" s="57"/>
      <c r="G833" s="57"/>
      <c r="H833" s="57"/>
      <c r="M833" s="23">
        <v>1</v>
      </c>
    </row>
    <row r="834" spans="2:13" ht="18">
      <c r="B834" s="57"/>
      <c r="C834" s="57"/>
      <c r="D834" s="57"/>
      <c r="E834" s="57"/>
      <c r="F834" s="57"/>
      <c r="G834" s="57"/>
      <c r="H834" s="57"/>
      <c r="M834" s="23">
        <v>1</v>
      </c>
    </row>
    <row r="835" spans="2:13" ht="18">
      <c r="B835" s="57"/>
      <c r="C835" s="57"/>
      <c r="D835" s="57"/>
      <c r="E835" s="57"/>
      <c r="F835" s="57"/>
      <c r="G835" s="57"/>
      <c r="H835" s="57"/>
      <c r="M835" s="23">
        <v>1</v>
      </c>
    </row>
    <row r="836" spans="2:13" ht="18">
      <c r="B836" s="57"/>
      <c r="C836" s="57"/>
      <c r="D836" s="57"/>
      <c r="E836" s="57"/>
      <c r="F836" s="57"/>
      <c r="G836" s="57"/>
      <c r="H836" s="57"/>
      <c r="M836" s="23">
        <v>1</v>
      </c>
    </row>
    <row r="837" spans="2:13" ht="18">
      <c r="B837" s="57"/>
      <c r="C837" s="57"/>
      <c r="D837" s="57"/>
      <c r="E837" s="57"/>
      <c r="F837" s="57"/>
      <c r="G837" s="57"/>
      <c r="H837" s="57"/>
      <c r="M837" s="23">
        <v>1</v>
      </c>
    </row>
    <row r="838" spans="2:13" ht="18">
      <c r="B838" s="57"/>
      <c r="C838" s="57"/>
      <c r="D838" s="57"/>
      <c r="E838" s="57"/>
      <c r="F838" s="57"/>
      <c r="G838" s="57"/>
      <c r="H838" s="57"/>
      <c r="M838" s="23">
        <v>1</v>
      </c>
    </row>
    <row r="839" spans="2:13" ht="18">
      <c r="B839" s="57"/>
      <c r="C839" s="57"/>
      <c r="D839" s="57"/>
      <c r="E839" s="57"/>
      <c r="F839" s="57"/>
      <c r="G839" s="57"/>
      <c r="H839" s="57"/>
      <c r="M839" s="23">
        <v>1</v>
      </c>
    </row>
    <row r="840" spans="2:13" ht="18">
      <c r="B840" s="57"/>
      <c r="C840" s="57"/>
      <c r="D840" s="57"/>
      <c r="E840" s="57"/>
      <c r="F840" s="57"/>
      <c r="G840" s="57"/>
      <c r="H840" s="57"/>
      <c r="M840" s="23">
        <v>1</v>
      </c>
    </row>
    <row r="841" spans="2:13" ht="18">
      <c r="B841" s="57"/>
      <c r="C841" s="57"/>
      <c r="D841" s="57"/>
      <c r="E841" s="57"/>
      <c r="F841" s="57"/>
      <c r="G841" s="57"/>
      <c r="H841" s="57"/>
      <c r="M841" s="23">
        <v>1</v>
      </c>
    </row>
    <row r="842" spans="2:13" ht="18">
      <c r="B842" s="57"/>
      <c r="C842" s="57"/>
      <c r="D842" s="57"/>
      <c r="E842" s="57"/>
      <c r="F842" s="57"/>
      <c r="G842" s="57"/>
      <c r="H842" s="57"/>
      <c r="M842" s="23">
        <v>1</v>
      </c>
    </row>
    <row r="843" spans="2:13" ht="18">
      <c r="B843" s="57"/>
      <c r="C843" s="57"/>
      <c r="D843" s="57"/>
      <c r="E843" s="57"/>
      <c r="F843" s="57"/>
      <c r="G843" s="57"/>
      <c r="H843" s="57"/>
      <c r="M843" s="23">
        <v>1</v>
      </c>
    </row>
    <row r="844" spans="2:13" ht="18">
      <c r="B844" s="57"/>
      <c r="C844" s="57"/>
      <c r="D844" s="57"/>
      <c r="E844" s="57"/>
      <c r="F844" s="57"/>
      <c r="G844" s="57"/>
      <c r="H844" s="57"/>
      <c r="M844" s="23">
        <v>1</v>
      </c>
    </row>
    <row r="845" spans="2:13" ht="18">
      <c r="B845" s="57"/>
      <c r="C845" s="57"/>
      <c r="D845" s="57"/>
      <c r="E845" s="57"/>
      <c r="F845" s="57"/>
      <c r="G845" s="57"/>
      <c r="H845" s="57"/>
      <c r="M845" s="23">
        <v>1</v>
      </c>
    </row>
    <row r="846" spans="2:13" ht="18">
      <c r="B846" s="57"/>
      <c r="C846" s="57"/>
      <c r="D846" s="57"/>
      <c r="E846" s="57"/>
      <c r="F846" s="57"/>
      <c r="G846" s="57"/>
      <c r="H846" s="57"/>
      <c r="M846" s="23">
        <v>1</v>
      </c>
    </row>
    <row r="847" spans="2:13" ht="18">
      <c r="B847" s="57"/>
      <c r="C847" s="57"/>
      <c r="D847" s="57"/>
      <c r="E847" s="57"/>
      <c r="F847" s="57"/>
      <c r="G847" s="57"/>
      <c r="H847" s="57"/>
      <c r="M847" s="23">
        <v>1</v>
      </c>
    </row>
    <row r="848" spans="2:13" ht="18">
      <c r="B848" s="57"/>
      <c r="C848" s="57"/>
      <c r="D848" s="57"/>
      <c r="E848" s="57"/>
      <c r="F848" s="57"/>
      <c r="G848" s="57"/>
      <c r="H848" s="57"/>
      <c r="M848" s="23">
        <v>1</v>
      </c>
    </row>
    <row r="849" spans="2:13" ht="18">
      <c r="B849" s="57"/>
      <c r="C849" s="57"/>
      <c r="D849" s="57"/>
      <c r="E849" s="57"/>
      <c r="F849" s="57"/>
      <c r="G849" s="57"/>
      <c r="H849" s="57"/>
      <c r="M849" s="23">
        <v>1</v>
      </c>
    </row>
    <row r="850" spans="2:13" ht="18">
      <c r="B850" s="57"/>
      <c r="C850" s="57"/>
      <c r="D850" s="57"/>
      <c r="E850" s="57"/>
      <c r="F850" s="57"/>
      <c r="G850" s="57"/>
      <c r="H850" s="57"/>
      <c r="M850" s="23">
        <v>1</v>
      </c>
    </row>
    <row r="851" spans="2:13" ht="18">
      <c r="B851" s="57"/>
      <c r="C851" s="57"/>
      <c r="D851" s="57"/>
      <c r="E851" s="57"/>
      <c r="F851" s="57"/>
      <c r="G851" s="57"/>
      <c r="H851" s="57"/>
      <c r="M851" s="23">
        <v>1</v>
      </c>
    </row>
    <row r="852" spans="2:13" ht="18">
      <c r="B852" s="57"/>
      <c r="C852" s="57"/>
      <c r="D852" s="57"/>
      <c r="E852" s="57"/>
      <c r="F852" s="57"/>
      <c r="G852" s="57"/>
      <c r="H852" s="57"/>
      <c r="M852" s="23">
        <v>1</v>
      </c>
    </row>
    <row r="853" spans="2:13" ht="18">
      <c r="B853" s="57"/>
      <c r="C853" s="57"/>
      <c r="D853" s="57"/>
      <c r="E853" s="57"/>
      <c r="F853" s="57"/>
      <c r="G853" s="57"/>
      <c r="H853" s="57"/>
      <c r="M853" s="23">
        <v>1</v>
      </c>
    </row>
    <row r="854" spans="2:13" ht="18">
      <c r="B854" s="57"/>
      <c r="C854" s="57"/>
      <c r="D854" s="57"/>
      <c r="E854" s="57"/>
      <c r="F854" s="57"/>
      <c r="G854" s="57"/>
      <c r="H854" s="57"/>
      <c r="M854" s="23">
        <v>1</v>
      </c>
    </row>
    <row r="855" spans="2:13" ht="18">
      <c r="B855" s="57"/>
      <c r="C855" s="57"/>
      <c r="D855" s="57"/>
      <c r="E855" s="57"/>
      <c r="F855" s="57"/>
      <c r="G855" s="57"/>
      <c r="H855" s="57"/>
      <c r="M855" s="23">
        <v>1</v>
      </c>
    </row>
    <row r="856" spans="2:13" ht="18">
      <c r="B856" s="57"/>
      <c r="C856" s="57"/>
      <c r="D856" s="57"/>
      <c r="E856" s="57"/>
      <c r="F856" s="57"/>
      <c r="G856" s="57"/>
      <c r="H856" s="57"/>
      <c r="M856" s="23">
        <v>1</v>
      </c>
    </row>
    <row r="857" spans="2:13" ht="18">
      <c r="B857" s="57"/>
      <c r="C857" s="57"/>
      <c r="D857" s="57"/>
      <c r="E857" s="57"/>
      <c r="F857" s="57"/>
      <c r="G857" s="57"/>
      <c r="H857" s="57"/>
      <c r="M857" s="23">
        <v>1</v>
      </c>
    </row>
    <row r="858" spans="2:13" ht="18">
      <c r="B858" s="57"/>
      <c r="C858" s="57"/>
      <c r="D858" s="57"/>
      <c r="E858" s="57"/>
      <c r="F858" s="57"/>
      <c r="G858" s="57"/>
      <c r="H858" s="57"/>
      <c r="M858" s="23">
        <v>1</v>
      </c>
    </row>
    <row r="859" spans="2:13" ht="18">
      <c r="B859" s="57"/>
      <c r="C859" s="57"/>
      <c r="D859" s="57"/>
      <c r="E859" s="57"/>
      <c r="F859" s="57"/>
      <c r="G859" s="57"/>
      <c r="H859" s="57"/>
      <c r="M859" s="23">
        <v>1</v>
      </c>
    </row>
    <row r="860" spans="2:13" ht="18">
      <c r="B860" s="57"/>
      <c r="C860" s="57"/>
      <c r="D860" s="57"/>
      <c r="E860" s="57"/>
      <c r="F860" s="57"/>
      <c r="G860" s="57"/>
      <c r="H860" s="57"/>
      <c r="M860" s="23">
        <v>1</v>
      </c>
    </row>
    <row r="861" spans="2:13" ht="18">
      <c r="B861" s="57"/>
      <c r="C861" s="57"/>
      <c r="D861" s="57"/>
      <c r="E861" s="57"/>
      <c r="F861" s="57"/>
      <c r="G861" s="57"/>
      <c r="H861" s="57"/>
      <c r="M861" s="23">
        <v>1</v>
      </c>
    </row>
    <row r="862" spans="2:13" ht="18">
      <c r="B862" s="57"/>
      <c r="C862" s="57"/>
      <c r="D862" s="57"/>
      <c r="E862" s="57"/>
      <c r="F862" s="57"/>
      <c r="G862" s="57"/>
      <c r="H862" s="57"/>
      <c r="M862" s="23">
        <v>1</v>
      </c>
    </row>
    <row r="863" spans="2:13" ht="18">
      <c r="B863" s="57"/>
      <c r="C863" s="57"/>
      <c r="D863" s="57"/>
      <c r="E863" s="57"/>
      <c r="F863" s="57"/>
      <c r="G863" s="57"/>
      <c r="H863" s="57"/>
      <c r="M863" s="23">
        <v>1</v>
      </c>
    </row>
    <row r="864" spans="2:13" ht="18">
      <c r="B864" s="57"/>
      <c r="C864" s="57"/>
      <c r="D864" s="57"/>
      <c r="E864" s="57"/>
      <c r="F864" s="57"/>
      <c r="G864" s="57"/>
      <c r="H864" s="57"/>
      <c r="M864" s="23">
        <v>1</v>
      </c>
    </row>
    <row r="865" spans="2:13" ht="18">
      <c r="B865" s="57"/>
      <c r="C865" s="57"/>
      <c r="D865" s="57"/>
      <c r="E865" s="57"/>
      <c r="F865" s="57"/>
      <c r="G865" s="57"/>
      <c r="H865" s="57"/>
      <c r="M865" s="23">
        <v>1</v>
      </c>
    </row>
    <row r="866" spans="2:13" ht="18">
      <c r="B866" s="57"/>
      <c r="C866" s="57"/>
      <c r="D866" s="57"/>
      <c r="E866" s="57"/>
      <c r="F866" s="57"/>
      <c r="G866" s="57"/>
      <c r="H866" s="57"/>
      <c r="M866" s="23">
        <v>1</v>
      </c>
    </row>
    <row r="867" spans="2:13" ht="18">
      <c r="B867" s="57"/>
      <c r="C867" s="57"/>
      <c r="D867" s="57"/>
      <c r="E867" s="57"/>
      <c r="F867" s="57"/>
      <c r="G867" s="57"/>
      <c r="H867" s="57"/>
      <c r="M867" s="23">
        <v>1</v>
      </c>
    </row>
    <row r="868" spans="2:13" ht="18">
      <c r="B868" s="57"/>
      <c r="C868" s="57"/>
      <c r="D868" s="57"/>
      <c r="E868" s="57"/>
      <c r="F868" s="57"/>
      <c r="G868" s="57"/>
      <c r="H868" s="57"/>
      <c r="M868" s="23">
        <v>1</v>
      </c>
    </row>
    <row r="869" spans="2:13" ht="18">
      <c r="B869" s="57"/>
      <c r="C869" s="57"/>
      <c r="D869" s="57"/>
      <c r="E869" s="57"/>
      <c r="F869" s="57"/>
      <c r="G869" s="57"/>
      <c r="H869" s="57"/>
      <c r="M869" s="23">
        <v>1</v>
      </c>
    </row>
    <row r="870" spans="2:13" ht="18">
      <c r="B870" s="57"/>
      <c r="C870" s="57"/>
      <c r="D870" s="57"/>
      <c r="E870" s="57"/>
      <c r="F870" s="57"/>
      <c r="G870" s="57"/>
      <c r="H870" s="57"/>
      <c r="M870" s="23">
        <v>1</v>
      </c>
    </row>
    <row r="871" spans="2:13" ht="18">
      <c r="B871" s="57"/>
      <c r="C871" s="57"/>
      <c r="D871" s="57"/>
      <c r="E871" s="57"/>
      <c r="F871" s="57"/>
      <c r="G871" s="57"/>
      <c r="H871" s="57"/>
      <c r="M871" s="23">
        <v>1</v>
      </c>
    </row>
    <row r="872" spans="2:13" ht="18">
      <c r="B872" s="57"/>
      <c r="C872" s="57"/>
      <c r="D872" s="57"/>
      <c r="E872" s="57"/>
      <c r="F872" s="57"/>
      <c r="G872" s="57"/>
      <c r="H872" s="57"/>
      <c r="M872" s="23">
        <v>1</v>
      </c>
    </row>
    <row r="873" spans="2:13" ht="18">
      <c r="B873" s="57"/>
      <c r="C873" s="57"/>
      <c r="D873" s="57"/>
      <c r="E873" s="57"/>
      <c r="F873" s="57"/>
      <c r="G873" s="57"/>
      <c r="H873" s="57"/>
      <c r="M873" s="23">
        <v>1</v>
      </c>
    </row>
    <row r="874" spans="2:13" ht="18">
      <c r="B874" s="57"/>
      <c r="C874" s="57"/>
      <c r="D874" s="57"/>
      <c r="E874" s="57"/>
      <c r="F874" s="57"/>
      <c r="G874" s="57"/>
      <c r="H874" s="57"/>
      <c r="M874" s="23">
        <v>1</v>
      </c>
    </row>
    <row r="875" spans="2:13" ht="18">
      <c r="B875" s="57"/>
      <c r="C875" s="57"/>
      <c r="D875" s="57"/>
      <c r="E875" s="57"/>
      <c r="F875" s="57"/>
      <c r="G875" s="57"/>
      <c r="H875" s="57"/>
      <c r="M875" s="23">
        <v>1</v>
      </c>
    </row>
    <row r="876" spans="2:13" ht="18">
      <c r="B876" s="57"/>
      <c r="C876" s="57"/>
      <c r="D876" s="57"/>
      <c r="E876" s="57"/>
      <c r="F876" s="57"/>
      <c r="G876" s="57"/>
      <c r="H876" s="57"/>
      <c r="M876" s="23">
        <v>1</v>
      </c>
    </row>
    <row r="877" spans="2:13" ht="18">
      <c r="B877" s="57"/>
      <c r="C877" s="57"/>
      <c r="D877" s="57"/>
      <c r="E877" s="57"/>
      <c r="F877" s="57"/>
      <c r="G877" s="57"/>
      <c r="H877" s="57"/>
      <c r="M877" s="23">
        <v>1</v>
      </c>
    </row>
    <row r="878" spans="2:13" ht="18">
      <c r="B878" s="57"/>
      <c r="C878" s="57"/>
      <c r="D878" s="57"/>
      <c r="E878" s="57"/>
      <c r="F878" s="57"/>
      <c r="G878" s="57"/>
      <c r="H878" s="57"/>
      <c r="M878" s="23">
        <v>1</v>
      </c>
    </row>
    <row r="879" spans="2:13" ht="18">
      <c r="B879" s="57"/>
      <c r="C879" s="57"/>
      <c r="D879" s="57"/>
      <c r="E879" s="57"/>
      <c r="F879" s="57"/>
      <c r="G879" s="57"/>
      <c r="H879" s="57"/>
      <c r="M879" s="23">
        <v>1</v>
      </c>
    </row>
    <row r="880" spans="2:13" ht="18">
      <c r="B880" s="57"/>
      <c r="C880" s="57"/>
      <c r="D880" s="57"/>
      <c r="E880" s="57"/>
      <c r="F880" s="57"/>
      <c r="G880" s="57"/>
      <c r="H880" s="57"/>
      <c r="M880" s="23">
        <v>1</v>
      </c>
    </row>
    <row r="881" spans="2:13" ht="18">
      <c r="B881" s="57"/>
      <c r="C881" s="57"/>
      <c r="D881" s="57"/>
      <c r="E881" s="57"/>
      <c r="F881" s="57"/>
      <c r="G881" s="57"/>
      <c r="H881" s="57"/>
      <c r="M881" s="23">
        <v>1</v>
      </c>
    </row>
    <row r="882" spans="2:13" ht="18">
      <c r="B882" s="57"/>
      <c r="C882" s="57"/>
      <c r="D882" s="57"/>
      <c r="E882" s="57"/>
      <c r="F882" s="57"/>
      <c r="G882" s="57"/>
      <c r="H882" s="57"/>
      <c r="M882" s="23">
        <v>1</v>
      </c>
    </row>
    <row r="883" spans="2:13" ht="18">
      <c r="B883" s="57"/>
      <c r="C883" s="57"/>
      <c r="D883" s="57"/>
      <c r="E883" s="57"/>
      <c r="F883" s="57"/>
      <c r="G883" s="57"/>
      <c r="H883" s="57"/>
      <c r="M883" s="23">
        <v>1</v>
      </c>
    </row>
    <row r="884" spans="2:13" ht="18">
      <c r="B884" s="57"/>
      <c r="C884" s="57"/>
      <c r="D884" s="57"/>
      <c r="E884" s="57"/>
      <c r="F884" s="57"/>
      <c r="G884" s="57"/>
      <c r="H884" s="57"/>
      <c r="M884" s="23">
        <v>1</v>
      </c>
    </row>
    <row r="885" spans="2:13" ht="18">
      <c r="B885" s="57"/>
      <c r="C885" s="57"/>
      <c r="D885" s="57"/>
      <c r="E885" s="57"/>
      <c r="F885" s="57"/>
      <c r="G885" s="57"/>
      <c r="H885" s="57"/>
      <c r="M885" s="23">
        <v>1</v>
      </c>
    </row>
    <row r="886" spans="2:13" ht="18">
      <c r="B886" s="57"/>
      <c r="C886" s="57"/>
      <c r="D886" s="57"/>
      <c r="E886" s="57"/>
      <c r="F886" s="57"/>
      <c r="G886" s="57"/>
      <c r="H886" s="57"/>
      <c r="M886" s="23">
        <v>1</v>
      </c>
    </row>
    <row r="887" spans="2:13" ht="18">
      <c r="B887" s="57"/>
      <c r="C887" s="57"/>
      <c r="D887" s="57"/>
      <c r="E887" s="57"/>
      <c r="F887" s="57"/>
      <c r="G887" s="57"/>
      <c r="H887" s="57"/>
      <c r="M887" s="23">
        <v>1</v>
      </c>
    </row>
    <row r="888" spans="2:13" ht="18">
      <c r="B888" s="57"/>
      <c r="C888" s="57"/>
      <c r="D888" s="57"/>
      <c r="E888" s="57"/>
      <c r="F888" s="57"/>
      <c r="G888" s="57"/>
      <c r="H888" s="57"/>
      <c r="M888" s="23">
        <v>1</v>
      </c>
    </row>
    <row r="889" spans="2:13" ht="18">
      <c r="B889" s="57"/>
      <c r="C889" s="57"/>
      <c r="D889" s="57"/>
      <c r="E889" s="57"/>
      <c r="F889" s="57"/>
      <c r="G889" s="57"/>
      <c r="H889" s="57"/>
      <c r="M889" s="23">
        <v>1</v>
      </c>
    </row>
    <row r="890" spans="2:13" ht="18">
      <c r="B890" s="57"/>
      <c r="C890" s="57"/>
      <c r="D890" s="57"/>
      <c r="E890" s="57"/>
      <c r="F890" s="57"/>
      <c r="G890" s="57"/>
      <c r="H890" s="57"/>
      <c r="M890" s="23">
        <v>1</v>
      </c>
    </row>
    <row r="891" spans="2:13" ht="18">
      <c r="B891" s="57"/>
      <c r="C891" s="57"/>
      <c r="D891" s="57"/>
      <c r="E891" s="57"/>
      <c r="F891" s="57"/>
      <c r="G891" s="57"/>
      <c r="H891" s="57"/>
      <c r="M891" s="23">
        <v>1</v>
      </c>
    </row>
    <row r="892" spans="2:13" ht="18">
      <c r="B892" s="57"/>
      <c r="C892" s="57"/>
      <c r="D892" s="57"/>
      <c r="E892" s="57"/>
      <c r="F892" s="57"/>
      <c r="G892" s="57"/>
      <c r="H892" s="57"/>
      <c r="M892" s="23">
        <v>1</v>
      </c>
    </row>
    <row r="893" spans="2:13" ht="18">
      <c r="B893" s="57"/>
      <c r="C893" s="57"/>
      <c r="D893" s="57"/>
      <c r="E893" s="57"/>
      <c r="F893" s="57"/>
      <c r="G893" s="57"/>
      <c r="H893" s="57"/>
      <c r="M893" s="23">
        <v>1</v>
      </c>
    </row>
    <row r="894" spans="2:13" ht="18">
      <c r="B894" s="57"/>
      <c r="C894" s="57"/>
      <c r="D894" s="57"/>
      <c r="E894" s="57"/>
      <c r="F894" s="57"/>
      <c r="G894" s="57"/>
      <c r="H894" s="57"/>
      <c r="M894" s="23">
        <v>1</v>
      </c>
    </row>
    <row r="895" spans="2:13" ht="18">
      <c r="B895" s="57"/>
      <c r="C895" s="57"/>
      <c r="D895" s="57"/>
      <c r="E895" s="57"/>
      <c r="F895" s="57"/>
      <c r="G895" s="57"/>
      <c r="H895" s="57"/>
      <c r="M895" s="23">
        <v>1</v>
      </c>
    </row>
    <row r="896" spans="2:13" ht="18">
      <c r="B896" s="57"/>
      <c r="C896" s="57"/>
      <c r="D896" s="57"/>
      <c r="E896" s="57"/>
      <c r="F896" s="57"/>
      <c r="G896" s="57"/>
      <c r="H896" s="57"/>
      <c r="M896" s="23">
        <v>1</v>
      </c>
    </row>
    <row r="897" spans="2:13" ht="18">
      <c r="B897" s="57"/>
      <c r="C897" s="57"/>
      <c r="D897" s="57"/>
      <c r="E897" s="57"/>
      <c r="F897" s="57"/>
      <c r="G897" s="57"/>
      <c r="H897" s="57"/>
      <c r="M897" s="23">
        <v>1</v>
      </c>
    </row>
    <row r="898" spans="2:13" ht="18">
      <c r="B898" s="57"/>
      <c r="C898" s="57"/>
      <c r="D898" s="57"/>
      <c r="E898" s="57"/>
      <c r="F898" s="57"/>
      <c r="G898" s="57"/>
      <c r="H898" s="57"/>
      <c r="M898" s="23">
        <v>1</v>
      </c>
    </row>
    <row r="899" spans="2:13" ht="18">
      <c r="B899" s="57"/>
      <c r="C899" s="57"/>
      <c r="D899" s="57"/>
      <c r="E899" s="57"/>
      <c r="F899" s="57"/>
      <c r="G899" s="57"/>
      <c r="H899" s="57"/>
      <c r="M899" s="23">
        <v>1</v>
      </c>
    </row>
    <row r="900" spans="2:13" ht="18">
      <c r="B900" s="57"/>
      <c r="C900" s="57"/>
      <c r="D900" s="57"/>
      <c r="E900" s="57"/>
      <c r="F900" s="57"/>
      <c r="G900" s="57"/>
      <c r="H900" s="57"/>
      <c r="M900" s="23">
        <v>1</v>
      </c>
    </row>
    <row r="901" spans="2:13" ht="18">
      <c r="B901" s="57"/>
      <c r="C901" s="57"/>
      <c r="D901" s="57"/>
      <c r="E901" s="57"/>
      <c r="F901" s="57"/>
      <c r="G901" s="57"/>
      <c r="H901" s="57"/>
      <c r="M901" s="23">
        <v>1</v>
      </c>
    </row>
    <row r="902" spans="2:13" ht="18">
      <c r="B902" s="57"/>
      <c r="C902" s="57"/>
      <c r="D902" s="57"/>
      <c r="E902" s="57"/>
      <c r="F902" s="57"/>
      <c r="G902" s="57"/>
      <c r="H902" s="57"/>
      <c r="M902" s="23">
        <v>1</v>
      </c>
    </row>
    <row r="903" spans="2:13" ht="18">
      <c r="B903" s="57"/>
      <c r="C903" s="57"/>
      <c r="D903" s="57"/>
      <c r="E903" s="57"/>
      <c r="F903" s="57"/>
      <c r="G903" s="57"/>
      <c r="H903" s="57"/>
      <c r="M903" s="23">
        <v>1</v>
      </c>
    </row>
    <row r="904" spans="2:13" ht="18">
      <c r="B904" s="57"/>
      <c r="C904" s="57"/>
      <c r="D904" s="57"/>
      <c r="E904" s="57"/>
      <c r="F904" s="57"/>
      <c r="G904" s="57"/>
      <c r="H904" s="57"/>
      <c r="M904" s="23">
        <v>1</v>
      </c>
    </row>
    <row r="905" spans="2:13" ht="18">
      <c r="B905" s="57"/>
      <c r="C905" s="57"/>
      <c r="D905" s="57"/>
      <c r="E905" s="57"/>
      <c r="F905" s="57"/>
      <c r="G905" s="57"/>
      <c r="H905" s="57"/>
      <c r="M905" s="23">
        <v>1</v>
      </c>
    </row>
    <row r="906" spans="2:13" ht="18">
      <c r="B906" s="57"/>
      <c r="C906" s="57"/>
      <c r="D906" s="57"/>
      <c r="E906" s="57"/>
      <c r="F906" s="57"/>
      <c r="G906" s="57"/>
      <c r="H906" s="57"/>
      <c r="M906" s="23">
        <v>1</v>
      </c>
    </row>
    <row r="907" spans="2:13" ht="18">
      <c r="B907" s="57"/>
      <c r="C907" s="57"/>
      <c r="D907" s="57"/>
      <c r="E907" s="57"/>
      <c r="F907" s="57"/>
      <c r="G907" s="57"/>
      <c r="H907" s="57"/>
      <c r="M907" s="23">
        <v>1</v>
      </c>
    </row>
    <row r="908" spans="2:13" ht="18">
      <c r="B908" s="57"/>
      <c r="C908" s="57"/>
      <c r="D908" s="57"/>
      <c r="E908" s="57"/>
      <c r="F908" s="57"/>
      <c r="G908" s="57"/>
      <c r="H908" s="57"/>
      <c r="M908" s="23">
        <v>1</v>
      </c>
    </row>
    <row r="909" spans="2:13" ht="18">
      <c r="B909" s="57"/>
      <c r="C909" s="57"/>
      <c r="D909" s="57"/>
      <c r="E909" s="57"/>
      <c r="F909" s="57"/>
      <c r="G909" s="57"/>
      <c r="H909" s="57"/>
      <c r="M909" s="23">
        <v>1</v>
      </c>
    </row>
    <row r="910" spans="2:13" ht="18">
      <c r="B910" s="57"/>
      <c r="C910" s="57"/>
      <c r="D910" s="57"/>
      <c r="E910" s="57"/>
      <c r="F910" s="57"/>
      <c r="G910" s="57"/>
      <c r="H910" s="57"/>
      <c r="M910" s="23">
        <v>1</v>
      </c>
    </row>
    <row r="911" spans="2:13" ht="18">
      <c r="B911" s="57"/>
      <c r="C911" s="57"/>
      <c r="D911" s="57"/>
      <c r="E911" s="57"/>
      <c r="F911" s="57"/>
      <c r="G911" s="57"/>
      <c r="H911" s="57"/>
      <c r="M911" s="23">
        <v>1</v>
      </c>
    </row>
    <row r="912" spans="2:13" ht="18">
      <c r="B912" s="57"/>
      <c r="C912" s="57"/>
      <c r="D912" s="57"/>
      <c r="E912" s="57"/>
      <c r="F912" s="57"/>
      <c r="G912" s="57"/>
      <c r="H912" s="57"/>
      <c r="M912" s="23">
        <v>1</v>
      </c>
    </row>
    <row r="913" spans="2:13" ht="18">
      <c r="B913" s="57"/>
      <c r="C913" s="57"/>
      <c r="D913" s="57"/>
      <c r="E913" s="57"/>
      <c r="F913" s="57"/>
      <c r="G913" s="57"/>
      <c r="H913" s="57"/>
      <c r="M913" s="23">
        <v>1</v>
      </c>
    </row>
    <row r="914" spans="2:13" ht="18">
      <c r="B914" s="57"/>
      <c r="C914" s="57"/>
      <c r="D914" s="57"/>
      <c r="E914" s="57"/>
      <c r="F914" s="57"/>
      <c r="G914" s="57"/>
      <c r="H914" s="57"/>
      <c r="M914" s="23">
        <v>1</v>
      </c>
    </row>
    <row r="915" spans="2:13" ht="18">
      <c r="B915" s="57"/>
      <c r="C915" s="57"/>
      <c r="D915" s="57"/>
      <c r="E915" s="57"/>
      <c r="F915" s="57"/>
      <c r="G915" s="57"/>
      <c r="H915" s="57"/>
      <c r="M915" s="23">
        <v>1</v>
      </c>
    </row>
    <row r="916" spans="2:13" ht="18">
      <c r="B916" s="57"/>
      <c r="C916" s="57"/>
      <c r="D916" s="57"/>
      <c r="E916" s="57"/>
      <c r="F916" s="57"/>
      <c r="G916" s="57"/>
      <c r="H916" s="57"/>
      <c r="M916" s="23">
        <v>1</v>
      </c>
    </row>
    <row r="917" spans="2:13" ht="18">
      <c r="B917" s="57"/>
      <c r="C917" s="57"/>
      <c r="D917" s="57"/>
      <c r="E917" s="57"/>
      <c r="F917" s="57"/>
      <c r="G917" s="57"/>
      <c r="H917" s="57"/>
      <c r="M917" s="23">
        <v>1</v>
      </c>
    </row>
    <row r="918" spans="2:13" ht="18">
      <c r="B918" s="57"/>
      <c r="C918" s="57"/>
      <c r="D918" s="57"/>
      <c r="E918" s="57"/>
      <c r="F918" s="57"/>
      <c r="G918" s="57"/>
      <c r="H918" s="57"/>
      <c r="M918" s="23">
        <v>1</v>
      </c>
    </row>
    <row r="919" spans="2:13" ht="18">
      <c r="B919" s="57"/>
      <c r="C919" s="57"/>
      <c r="D919" s="57"/>
      <c r="E919" s="57"/>
      <c r="F919" s="57"/>
      <c r="G919" s="57"/>
      <c r="H919" s="57"/>
      <c r="M919" s="23">
        <v>1</v>
      </c>
    </row>
    <row r="920" spans="2:13" ht="18">
      <c r="B920" s="57"/>
      <c r="C920" s="57"/>
      <c r="D920" s="57"/>
      <c r="E920" s="57"/>
      <c r="F920" s="57"/>
      <c r="G920" s="57"/>
      <c r="H920" s="57"/>
      <c r="M920" s="23">
        <v>1</v>
      </c>
    </row>
    <row r="921" spans="2:13" ht="18">
      <c r="B921" s="57"/>
      <c r="C921" s="57"/>
      <c r="D921" s="57"/>
      <c r="E921" s="57"/>
      <c r="F921" s="57"/>
      <c r="G921" s="57"/>
      <c r="H921" s="57"/>
      <c r="M921" s="23">
        <v>1</v>
      </c>
    </row>
    <row r="922" spans="2:13" ht="18">
      <c r="B922" s="57"/>
      <c r="C922" s="57"/>
      <c r="D922" s="57"/>
      <c r="E922" s="57"/>
      <c r="F922" s="57"/>
      <c r="G922" s="57"/>
      <c r="H922" s="57"/>
      <c r="M922" s="23">
        <v>1</v>
      </c>
    </row>
    <row r="923" spans="2:13" ht="18">
      <c r="B923" s="57"/>
      <c r="C923" s="57"/>
      <c r="D923" s="57"/>
      <c r="E923" s="57"/>
      <c r="F923" s="57"/>
      <c r="G923" s="57"/>
      <c r="H923" s="57"/>
      <c r="M923" s="23">
        <v>1</v>
      </c>
    </row>
    <row r="924" spans="2:13" ht="18">
      <c r="B924" s="57"/>
      <c r="C924" s="57"/>
      <c r="D924" s="57"/>
      <c r="E924" s="57"/>
      <c r="F924" s="57"/>
      <c r="G924" s="57"/>
      <c r="H924" s="57"/>
      <c r="M924" s="23">
        <v>1</v>
      </c>
    </row>
    <row r="925" spans="2:13" ht="18">
      <c r="B925" s="57"/>
      <c r="C925" s="57"/>
      <c r="D925" s="57"/>
      <c r="E925" s="57"/>
      <c r="F925" s="57"/>
      <c r="G925" s="57"/>
      <c r="H925" s="57"/>
      <c r="M925" s="23">
        <v>1</v>
      </c>
    </row>
    <row r="926" spans="2:13" ht="18">
      <c r="B926" s="57"/>
      <c r="C926" s="57"/>
      <c r="D926" s="57"/>
      <c r="E926" s="57"/>
      <c r="F926" s="57"/>
      <c r="G926" s="57"/>
      <c r="H926" s="57"/>
      <c r="M926" s="23">
        <v>1</v>
      </c>
    </row>
    <row r="927" spans="2:13" ht="18">
      <c r="B927" s="57"/>
      <c r="C927" s="57"/>
      <c r="D927" s="57"/>
      <c r="E927" s="57"/>
      <c r="F927" s="57"/>
      <c r="G927" s="57"/>
      <c r="H927" s="57"/>
      <c r="M927" s="23">
        <v>1</v>
      </c>
    </row>
    <row r="928" spans="2:13" ht="18">
      <c r="B928" s="57"/>
      <c r="C928" s="57"/>
      <c r="D928" s="57"/>
      <c r="E928" s="57"/>
      <c r="F928" s="57"/>
      <c r="G928" s="57"/>
      <c r="H928" s="57"/>
      <c r="M928" s="23">
        <v>1</v>
      </c>
    </row>
    <row r="929" spans="2:13" ht="18">
      <c r="B929" s="57"/>
      <c r="C929" s="57"/>
      <c r="D929" s="57"/>
      <c r="E929" s="57"/>
      <c r="F929" s="57"/>
      <c r="G929" s="57"/>
      <c r="H929" s="57"/>
      <c r="M929" s="23">
        <v>1</v>
      </c>
    </row>
    <row r="930" spans="2:13" ht="18">
      <c r="B930" s="57"/>
      <c r="C930" s="57"/>
      <c r="D930" s="57"/>
      <c r="E930" s="57"/>
      <c r="F930" s="57"/>
      <c r="G930" s="57"/>
      <c r="H930" s="57"/>
      <c r="M930" s="23">
        <v>1</v>
      </c>
    </row>
    <row r="931" spans="2:13" ht="18">
      <c r="B931" s="57"/>
      <c r="C931" s="57"/>
      <c r="D931" s="57"/>
      <c r="E931" s="57"/>
      <c r="F931" s="57"/>
      <c r="G931" s="57"/>
      <c r="H931" s="57"/>
      <c r="M931" s="23">
        <v>1</v>
      </c>
    </row>
    <row r="932" spans="2:13" ht="18">
      <c r="B932" s="57"/>
      <c r="C932" s="57"/>
      <c r="D932" s="57"/>
      <c r="E932" s="57"/>
      <c r="F932" s="57"/>
      <c r="G932" s="57"/>
      <c r="H932" s="57"/>
      <c r="M932" s="23">
        <v>1</v>
      </c>
    </row>
    <row r="933" spans="2:13" ht="18">
      <c r="B933" s="57"/>
      <c r="C933" s="57"/>
      <c r="D933" s="57"/>
      <c r="E933" s="57"/>
      <c r="F933" s="57"/>
      <c r="G933" s="57"/>
      <c r="H933" s="57"/>
      <c r="M933" s="23">
        <v>1</v>
      </c>
    </row>
    <row r="934" spans="2:13" ht="18">
      <c r="B934" s="57"/>
      <c r="C934" s="57"/>
      <c r="D934" s="57"/>
      <c r="E934" s="57"/>
      <c r="F934" s="57"/>
      <c r="G934" s="57"/>
      <c r="H934" s="57"/>
      <c r="M934" s="23">
        <v>1</v>
      </c>
    </row>
    <row r="935" spans="2:13" ht="18">
      <c r="B935" s="57"/>
      <c r="C935" s="57"/>
      <c r="D935" s="57"/>
      <c r="E935" s="57"/>
      <c r="F935" s="57"/>
      <c r="G935" s="57"/>
      <c r="H935" s="57"/>
      <c r="M935" s="23">
        <v>1</v>
      </c>
    </row>
    <row r="936" spans="2:13" ht="18">
      <c r="B936" s="57"/>
      <c r="C936" s="57"/>
      <c r="D936" s="57"/>
      <c r="E936" s="57"/>
      <c r="F936" s="57"/>
      <c r="G936" s="57"/>
      <c r="H936" s="57"/>
      <c r="M936" s="23">
        <v>1</v>
      </c>
    </row>
    <row r="937" spans="2:13" ht="18">
      <c r="B937" s="57"/>
      <c r="C937" s="57"/>
      <c r="D937" s="57"/>
      <c r="E937" s="57"/>
      <c r="F937" s="57"/>
      <c r="G937" s="57"/>
      <c r="H937" s="57"/>
      <c r="M937" s="23">
        <v>1</v>
      </c>
    </row>
    <row r="938" spans="2:13" ht="18">
      <c r="B938" s="57"/>
      <c r="C938" s="57"/>
      <c r="D938" s="57"/>
      <c r="E938" s="57"/>
      <c r="F938" s="57"/>
      <c r="G938" s="57"/>
      <c r="H938" s="57"/>
      <c r="M938" s="23">
        <v>1</v>
      </c>
    </row>
    <row r="939" spans="2:13" ht="18">
      <c r="B939" s="57"/>
      <c r="C939" s="57"/>
      <c r="D939" s="57"/>
      <c r="E939" s="57"/>
      <c r="F939" s="57"/>
      <c r="G939" s="57"/>
      <c r="H939" s="57"/>
      <c r="M939" s="23">
        <v>1</v>
      </c>
    </row>
    <row r="940" spans="2:13" ht="18">
      <c r="B940" s="57"/>
      <c r="C940" s="57"/>
      <c r="D940" s="57"/>
      <c r="E940" s="57"/>
      <c r="F940" s="57"/>
      <c r="G940" s="57"/>
      <c r="H940" s="57"/>
      <c r="M940" s="23">
        <v>1</v>
      </c>
    </row>
    <row r="941" spans="2:13" ht="18">
      <c r="B941" s="57"/>
      <c r="C941" s="57"/>
      <c r="D941" s="57"/>
      <c r="E941" s="57"/>
      <c r="F941" s="57"/>
      <c r="G941" s="57"/>
      <c r="H941" s="57"/>
      <c r="M941" s="23">
        <v>1</v>
      </c>
    </row>
    <row r="942" spans="2:13" ht="18">
      <c r="B942" s="57"/>
      <c r="C942" s="57"/>
      <c r="D942" s="57"/>
      <c r="E942" s="57"/>
      <c r="F942" s="57"/>
      <c r="G942" s="57"/>
      <c r="H942" s="57"/>
      <c r="M942" s="23">
        <v>1</v>
      </c>
    </row>
    <row r="943" spans="2:13" ht="18">
      <c r="B943" s="57"/>
      <c r="C943" s="57"/>
      <c r="D943" s="57"/>
      <c r="E943" s="57"/>
      <c r="F943" s="57"/>
      <c r="G943" s="57"/>
      <c r="H943" s="57"/>
      <c r="M943" s="23">
        <v>1</v>
      </c>
    </row>
    <row r="944" spans="2:13" ht="18">
      <c r="B944" s="57"/>
      <c r="C944" s="57"/>
      <c r="D944" s="57"/>
      <c r="E944" s="57"/>
      <c r="F944" s="57"/>
      <c r="G944" s="57"/>
      <c r="H944" s="57"/>
      <c r="M944" s="23">
        <v>1</v>
      </c>
    </row>
    <row r="945" spans="2:13" ht="18">
      <c r="B945" s="57"/>
      <c r="C945" s="57"/>
      <c r="D945" s="57"/>
      <c r="E945" s="57"/>
      <c r="F945" s="57"/>
      <c r="G945" s="57"/>
      <c r="H945" s="57"/>
      <c r="M945" s="23">
        <v>1</v>
      </c>
    </row>
    <row r="946" spans="2:13" ht="18">
      <c r="B946" s="57"/>
      <c r="C946" s="57"/>
      <c r="D946" s="57"/>
      <c r="E946" s="57"/>
      <c r="F946" s="57"/>
      <c r="G946" s="57"/>
      <c r="H946" s="57"/>
      <c r="M946" s="23">
        <v>1</v>
      </c>
    </row>
    <row r="947" spans="2:13" ht="18">
      <c r="B947" s="57"/>
      <c r="C947" s="57"/>
      <c r="D947" s="57"/>
      <c r="E947" s="57"/>
      <c r="F947" s="57"/>
      <c r="G947" s="57"/>
      <c r="H947" s="57"/>
      <c r="M947" s="23">
        <v>1</v>
      </c>
    </row>
    <row r="948" spans="2:13" ht="18">
      <c r="B948" s="57"/>
      <c r="C948" s="57"/>
      <c r="D948" s="57"/>
      <c r="E948" s="57"/>
      <c r="F948" s="57"/>
      <c r="G948" s="57"/>
      <c r="H948" s="57"/>
      <c r="M948" s="23">
        <v>1</v>
      </c>
    </row>
    <row r="949" spans="2:13" ht="18">
      <c r="B949" s="57"/>
      <c r="C949" s="57"/>
      <c r="D949" s="57"/>
      <c r="E949" s="57"/>
      <c r="F949" s="57"/>
      <c r="G949" s="57"/>
      <c r="H949" s="57"/>
      <c r="M949" s="23">
        <v>1</v>
      </c>
    </row>
    <row r="950" spans="2:13" ht="18">
      <c r="B950" s="57"/>
      <c r="C950" s="57"/>
      <c r="D950" s="57"/>
      <c r="E950" s="57"/>
      <c r="F950" s="57"/>
      <c r="G950" s="57"/>
      <c r="H950" s="57"/>
      <c r="M950" s="23">
        <v>1</v>
      </c>
    </row>
    <row r="951" spans="2:13" ht="18">
      <c r="B951" s="57"/>
      <c r="C951" s="57"/>
      <c r="D951" s="57"/>
      <c r="E951" s="57"/>
      <c r="F951" s="57"/>
      <c r="G951" s="57"/>
      <c r="H951" s="57"/>
      <c r="M951" s="23">
        <v>1</v>
      </c>
    </row>
    <row r="952" spans="2:13" ht="18">
      <c r="B952" s="57"/>
      <c r="C952" s="57"/>
      <c r="D952" s="57"/>
      <c r="E952" s="57"/>
      <c r="F952" s="57"/>
      <c r="G952" s="57"/>
      <c r="H952" s="57"/>
      <c r="M952" s="23">
        <v>1</v>
      </c>
    </row>
    <row r="953" spans="2:13" ht="18">
      <c r="B953" s="57"/>
      <c r="C953" s="57"/>
      <c r="D953" s="57"/>
      <c r="E953" s="57"/>
      <c r="F953" s="57"/>
      <c r="G953" s="57"/>
      <c r="H953" s="57"/>
      <c r="M953" s="23">
        <v>1</v>
      </c>
    </row>
    <row r="954" spans="2:13" ht="18">
      <c r="B954" s="57"/>
      <c r="C954" s="57"/>
      <c r="D954" s="57"/>
      <c r="E954" s="57"/>
      <c r="F954" s="57"/>
      <c r="G954" s="57"/>
      <c r="H954" s="57"/>
      <c r="M954" s="23">
        <v>1</v>
      </c>
    </row>
    <row r="955" spans="2:13" ht="18">
      <c r="B955" s="57"/>
      <c r="C955" s="57"/>
      <c r="D955" s="57"/>
      <c r="E955" s="57"/>
      <c r="F955" s="57"/>
      <c r="G955" s="57"/>
      <c r="H955" s="57"/>
      <c r="M955" s="23">
        <v>1</v>
      </c>
    </row>
    <row r="956" spans="2:13" ht="18">
      <c r="B956" s="57"/>
      <c r="C956" s="57"/>
      <c r="D956" s="57"/>
      <c r="E956" s="57"/>
      <c r="F956" s="57"/>
      <c r="G956" s="57"/>
      <c r="H956" s="57"/>
      <c r="M956" s="23">
        <v>1</v>
      </c>
    </row>
    <row r="957" spans="2:13" ht="18">
      <c r="B957" s="57"/>
      <c r="C957" s="57"/>
      <c r="D957" s="57"/>
      <c r="E957" s="57"/>
      <c r="F957" s="57"/>
      <c r="G957" s="57"/>
      <c r="H957" s="57"/>
      <c r="M957" s="23">
        <v>1</v>
      </c>
    </row>
    <row r="958" spans="2:13" ht="18">
      <c r="B958" s="57"/>
      <c r="C958" s="57"/>
      <c r="D958" s="57"/>
      <c r="E958" s="57"/>
      <c r="F958" s="57"/>
      <c r="G958" s="57"/>
      <c r="H958" s="57"/>
      <c r="M958" s="23">
        <v>1</v>
      </c>
    </row>
    <row r="959" spans="2:13" ht="18">
      <c r="B959" s="57"/>
      <c r="C959" s="57"/>
      <c r="D959" s="57"/>
      <c r="E959" s="57"/>
      <c r="F959" s="57"/>
      <c r="G959" s="57"/>
      <c r="H959" s="57"/>
      <c r="M959" s="23">
        <v>1</v>
      </c>
    </row>
    <row r="960" spans="2:13" ht="18">
      <c r="B960" s="57"/>
      <c r="C960" s="57"/>
      <c r="D960" s="57"/>
      <c r="E960" s="57"/>
      <c r="F960" s="57"/>
      <c r="G960" s="57"/>
      <c r="H960" s="57"/>
      <c r="M960" s="23">
        <v>1</v>
      </c>
    </row>
    <row r="961" spans="2:13" ht="18">
      <c r="B961" s="57"/>
      <c r="C961" s="57"/>
      <c r="D961" s="57"/>
      <c r="E961" s="57"/>
      <c r="F961" s="57"/>
      <c r="G961" s="57"/>
      <c r="H961" s="57"/>
      <c r="M961" s="23">
        <v>1</v>
      </c>
    </row>
    <row r="962" spans="2:13" ht="18">
      <c r="B962" s="57"/>
      <c r="C962" s="57"/>
      <c r="D962" s="57"/>
      <c r="E962" s="57"/>
      <c r="F962" s="57"/>
      <c r="G962" s="57"/>
      <c r="H962" s="57"/>
      <c r="M962" s="23">
        <v>1</v>
      </c>
    </row>
    <row r="963" spans="2:13" ht="18">
      <c r="B963" s="57"/>
      <c r="C963" s="57"/>
      <c r="D963" s="57"/>
      <c r="E963" s="57"/>
      <c r="F963" s="57"/>
      <c r="G963" s="57"/>
      <c r="H963" s="57"/>
      <c r="M963" s="23">
        <v>1</v>
      </c>
    </row>
    <row r="964" spans="2:13" ht="18">
      <c r="B964" s="57"/>
      <c r="C964" s="57"/>
      <c r="D964" s="57"/>
      <c r="E964" s="57"/>
      <c r="F964" s="57"/>
      <c r="G964" s="57"/>
      <c r="H964" s="57"/>
      <c r="M964" s="23">
        <v>1</v>
      </c>
    </row>
    <row r="965" spans="2:13" ht="18">
      <c r="B965" s="57"/>
      <c r="C965" s="57"/>
      <c r="D965" s="57"/>
      <c r="E965" s="57"/>
      <c r="F965" s="57"/>
      <c r="G965" s="57"/>
      <c r="H965" s="57"/>
      <c r="M965" s="23">
        <v>1</v>
      </c>
    </row>
    <row r="966" spans="2:13" ht="18">
      <c r="B966" s="57"/>
      <c r="C966" s="57"/>
      <c r="D966" s="57"/>
      <c r="E966" s="57"/>
      <c r="F966" s="57"/>
      <c r="G966" s="57"/>
      <c r="H966" s="57"/>
      <c r="M966" s="23">
        <v>1</v>
      </c>
    </row>
    <row r="967" spans="2:13" ht="18">
      <c r="B967" s="57"/>
      <c r="C967" s="57"/>
      <c r="D967" s="57"/>
      <c r="E967" s="57"/>
      <c r="F967" s="57"/>
      <c r="G967" s="57"/>
      <c r="H967" s="57"/>
      <c r="M967" s="23">
        <v>1</v>
      </c>
    </row>
    <row r="968" spans="2:13" ht="18">
      <c r="B968" s="57"/>
      <c r="C968" s="57"/>
      <c r="D968" s="57"/>
      <c r="E968" s="57"/>
      <c r="F968" s="57"/>
      <c r="G968" s="57"/>
      <c r="H968" s="57"/>
      <c r="M968" s="23">
        <v>1</v>
      </c>
    </row>
    <row r="969" spans="2:13" ht="18">
      <c r="B969" s="57"/>
      <c r="C969" s="57"/>
      <c r="D969" s="57"/>
      <c r="E969" s="57"/>
      <c r="F969" s="57"/>
      <c r="G969" s="57"/>
      <c r="H969" s="57"/>
      <c r="M969" s="23">
        <v>1</v>
      </c>
    </row>
    <row r="970" spans="2:13" ht="18">
      <c r="B970" s="57"/>
      <c r="C970" s="57"/>
      <c r="D970" s="57"/>
      <c r="E970" s="57"/>
      <c r="F970" s="57"/>
      <c r="G970" s="57"/>
      <c r="H970" s="57"/>
      <c r="M970" s="23">
        <v>1</v>
      </c>
    </row>
    <row r="971" spans="2:13" ht="18">
      <c r="B971" s="57"/>
      <c r="C971" s="57"/>
      <c r="D971" s="57"/>
      <c r="E971" s="57"/>
      <c r="F971" s="57"/>
      <c r="G971" s="57"/>
      <c r="H971" s="57"/>
      <c r="M971" s="23">
        <v>1</v>
      </c>
    </row>
    <row r="972" spans="2:13" ht="18">
      <c r="B972" s="57"/>
      <c r="C972" s="57"/>
      <c r="D972" s="57"/>
      <c r="E972" s="57"/>
      <c r="F972" s="57"/>
      <c r="G972" s="57"/>
      <c r="H972" s="57"/>
      <c r="M972" s="23">
        <v>1</v>
      </c>
    </row>
    <row r="973" spans="2:13" ht="18">
      <c r="B973" s="57"/>
      <c r="C973" s="57"/>
      <c r="D973" s="57"/>
      <c r="E973" s="57"/>
      <c r="F973" s="57"/>
      <c r="G973" s="57"/>
      <c r="H973" s="57"/>
      <c r="M973" s="23">
        <v>1</v>
      </c>
    </row>
    <row r="974" spans="2:13" ht="18">
      <c r="B974" s="57"/>
      <c r="C974" s="57"/>
      <c r="D974" s="57"/>
      <c r="E974" s="57"/>
      <c r="F974" s="57"/>
      <c r="G974" s="57"/>
      <c r="H974" s="57"/>
      <c r="M974" s="23">
        <v>1</v>
      </c>
    </row>
    <row r="975" spans="2:13" ht="18">
      <c r="B975" s="57"/>
      <c r="C975" s="57"/>
      <c r="D975" s="57"/>
      <c r="E975" s="57"/>
      <c r="F975" s="57"/>
      <c r="G975" s="57"/>
      <c r="H975" s="57"/>
      <c r="M975" s="23">
        <v>1</v>
      </c>
    </row>
    <row r="976" spans="2:13" ht="18">
      <c r="B976" s="57"/>
      <c r="C976" s="57"/>
      <c r="D976" s="57"/>
      <c r="E976" s="57"/>
      <c r="F976" s="57"/>
      <c r="G976" s="57"/>
      <c r="H976" s="57"/>
      <c r="M976" s="23">
        <v>1</v>
      </c>
    </row>
    <row r="977" spans="2:13" ht="18">
      <c r="B977" s="57"/>
      <c r="C977" s="57"/>
      <c r="D977" s="57"/>
      <c r="E977" s="57"/>
      <c r="F977" s="57"/>
      <c r="G977" s="57"/>
      <c r="H977" s="57"/>
      <c r="M977" s="23">
        <v>1</v>
      </c>
    </row>
    <row r="978" spans="2:13" ht="18">
      <c r="B978" s="57"/>
      <c r="C978" s="57"/>
      <c r="D978" s="57"/>
      <c r="E978" s="57"/>
      <c r="F978" s="57"/>
      <c r="G978" s="57"/>
      <c r="H978" s="57"/>
      <c r="M978" s="23">
        <v>1</v>
      </c>
    </row>
    <row r="979" spans="2:13" ht="18">
      <c r="B979" s="57"/>
      <c r="C979" s="57"/>
      <c r="D979" s="57"/>
      <c r="E979" s="57"/>
      <c r="F979" s="57"/>
      <c r="G979" s="57"/>
      <c r="H979" s="57"/>
      <c r="M979" s="23">
        <v>1</v>
      </c>
    </row>
    <row r="980" spans="2:13" ht="18">
      <c r="B980" s="57"/>
      <c r="C980" s="57"/>
      <c r="D980" s="57"/>
      <c r="E980" s="57"/>
      <c r="F980" s="57"/>
      <c r="G980" s="57"/>
      <c r="H980" s="57"/>
      <c r="M980" s="23">
        <v>1</v>
      </c>
    </row>
    <row r="981" spans="2:13" ht="18">
      <c r="B981" s="57"/>
      <c r="C981" s="57"/>
      <c r="D981" s="57"/>
      <c r="E981" s="57"/>
      <c r="F981" s="57"/>
      <c r="G981" s="57"/>
      <c r="H981" s="57"/>
      <c r="M981" s="23">
        <v>1</v>
      </c>
    </row>
    <row r="982" spans="2:13" ht="18">
      <c r="B982" s="57"/>
      <c r="C982" s="57"/>
      <c r="D982" s="57"/>
      <c r="E982" s="57"/>
      <c r="F982" s="57"/>
      <c r="G982" s="57"/>
      <c r="H982" s="57"/>
      <c r="M982" s="23">
        <v>1</v>
      </c>
    </row>
    <row r="983" spans="2:13" ht="18">
      <c r="B983" s="57"/>
      <c r="C983" s="57"/>
      <c r="D983" s="57"/>
      <c r="E983" s="57"/>
      <c r="F983" s="57"/>
      <c r="G983" s="57"/>
      <c r="H983" s="57"/>
      <c r="M983" s="23">
        <v>1</v>
      </c>
    </row>
    <row r="984" spans="2:13" ht="18">
      <c r="B984" s="57"/>
      <c r="C984" s="57"/>
      <c r="D984" s="57"/>
      <c r="E984" s="57"/>
      <c r="F984" s="57"/>
      <c r="G984" s="57"/>
      <c r="H984" s="57"/>
      <c r="M984" s="23">
        <v>1</v>
      </c>
    </row>
    <row r="985" spans="2:13" ht="18">
      <c r="B985" s="57"/>
      <c r="C985" s="57"/>
      <c r="D985" s="57"/>
      <c r="E985" s="57"/>
      <c r="F985" s="57"/>
      <c r="G985" s="57"/>
      <c r="H985" s="57"/>
      <c r="M985" s="23">
        <v>1</v>
      </c>
    </row>
    <row r="986" spans="2:13" ht="18">
      <c r="B986" s="57"/>
      <c r="C986" s="57"/>
      <c r="D986" s="57"/>
      <c r="E986" s="57"/>
      <c r="F986" s="57"/>
      <c r="G986" s="57"/>
      <c r="H986" s="57"/>
      <c r="M986" s="23">
        <v>1</v>
      </c>
    </row>
    <row r="987" spans="2:13" ht="18">
      <c r="B987" s="57"/>
      <c r="C987" s="57"/>
      <c r="D987" s="57"/>
      <c r="E987" s="57"/>
      <c r="F987" s="57"/>
      <c r="G987" s="57"/>
      <c r="H987" s="57"/>
      <c r="M987" s="23">
        <v>1</v>
      </c>
    </row>
    <row r="988" spans="2:13" ht="18">
      <c r="B988" s="57"/>
      <c r="C988" s="57"/>
      <c r="D988" s="57"/>
      <c r="E988" s="57"/>
      <c r="F988" s="57"/>
      <c r="G988" s="57"/>
      <c r="H988" s="57"/>
      <c r="M988" s="23">
        <v>1</v>
      </c>
    </row>
    <row r="989" spans="2:13" ht="18">
      <c r="B989" s="57"/>
      <c r="C989" s="57"/>
      <c r="D989" s="57"/>
      <c r="E989" s="57"/>
      <c r="F989" s="57"/>
      <c r="G989" s="57"/>
      <c r="H989" s="57"/>
      <c r="M989" s="23">
        <v>1</v>
      </c>
    </row>
    <row r="990" spans="2:13" ht="18">
      <c r="B990" s="57"/>
      <c r="C990" s="57"/>
      <c r="D990" s="57"/>
      <c r="E990" s="57"/>
      <c r="F990" s="57"/>
      <c r="G990" s="57"/>
      <c r="H990" s="57"/>
      <c r="M990" s="23">
        <v>1</v>
      </c>
    </row>
    <row r="991" spans="2:13" ht="18">
      <c r="B991" s="57"/>
      <c r="C991" s="57"/>
      <c r="D991" s="57"/>
      <c r="E991" s="57"/>
      <c r="F991" s="57"/>
      <c r="G991" s="57"/>
      <c r="H991" s="57"/>
      <c r="M991" s="23">
        <v>1</v>
      </c>
    </row>
    <row r="992" spans="2:13" ht="18">
      <c r="B992" s="57"/>
      <c r="C992" s="57"/>
      <c r="D992" s="57"/>
      <c r="E992" s="57"/>
      <c r="F992" s="57"/>
      <c r="G992" s="57"/>
      <c r="H992" s="57"/>
      <c r="M992" s="23">
        <v>1</v>
      </c>
    </row>
    <row r="993" spans="2:13" ht="18">
      <c r="B993" s="57"/>
      <c r="C993" s="57"/>
      <c r="D993" s="57"/>
      <c r="E993" s="57"/>
      <c r="F993" s="57"/>
      <c r="G993" s="57"/>
      <c r="H993" s="57"/>
      <c r="M993" s="23">
        <v>1</v>
      </c>
    </row>
    <row r="994" spans="2:13" ht="18">
      <c r="B994" s="57"/>
      <c r="C994" s="57"/>
      <c r="D994" s="57"/>
      <c r="E994" s="57"/>
      <c r="F994" s="57"/>
      <c r="G994" s="57"/>
      <c r="H994" s="57"/>
      <c r="M994" s="23">
        <v>1</v>
      </c>
    </row>
    <row r="995" spans="2:13" ht="18">
      <c r="B995" s="57"/>
      <c r="C995" s="57"/>
      <c r="D995" s="57"/>
      <c r="E995" s="57"/>
      <c r="F995" s="57"/>
      <c r="G995" s="57"/>
      <c r="H995" s="57"/>
      <c r="M995" s="23">
        <v>1</v>
      </c>
    </row>
    <row r="996" spans="2:13" ht="18">
      <c r="B996" s="57"/>
      <c r="C996" s="57"/>
      <c r="D996" s="57"/>
      <c r="E996" s="57"/>
      <c r="F996" s="57"/>
      <c r="G996" s="57"/>
      <c r="H996" s="57"/>
      <c r="M996" s="23">
        <v>1</v>
      </c>
    </row>
    <row r="997" spans="2:13" ht="18">
      <c r="B997" s="57"/>
      <c r="C997" s="57"/>
      <c r="D997" s="57"/>
      <c r="E997" s="57"/>
      <c r="F997" s="57"/>
      <c r="G997" s="57"/>
      <c r="H997" s="57"/>
      <c r="M997" s="23">
        <v>1</v>
      </c>
    </row>
    <row r="998" spans="2:13" ht="18">
      <c r="B998" s="57"/>
      <c r="C998" s="57"/>
      <c r="D998" s="57"/>
      <c r="E998" s="57"/>
      <c r="F998" s="57"/>
      <c r="G998" s="57"/>
      <c r="H998" s="57"/>
      <c r="M998" s="23">
        <v>1</v>
      </c>
    </row>
    <row r="999" spans="2:13" ht="18">
      <c r="B999" s="57"/>
      <c r="C999" s="57"/>
      <c r="D999" s="57"/>
      <c r="E999" s="57"/>
      <c r="F999" s="57"/>
      <c r="G999" s="57"/>
      <c r="H999" s="57"/>
      <c r="M999" s="23">
        <v>1</v>
      </c>
    </row>
    <row r="1000" spans="2:13" ht="18">
      <c r="B1000" s="57"/>
      <c r="C1000" s="57"/>
      <c r="D1000" s="57"/>
      <c r="E1000" s="57"/>
      <c r="F1000" s="57"/>
      <c r="G1000" s="57"/>
      <c r="H1000" s="57"/>
      <c r="M1000" s="23">
        <v>1</v>
      </c>
    </row>
    <row r="1001" spans="2:13" ht="18">
      <c r="B1001" s="57"/>
      <c r="C1001" s="57"/>
      <c r="D1001" s="57"/>
      <c r="E1001" s="57"/>
      <c r="F1001" s="57"/>
      <c r="G1001" s="57"/>
      <c r="H1001" s="57"/>
      <c r="M1001" s="23">
        <v>1</v>
      </c>
    </row>
    <row r="1002" spans="2:13" ht="18">
      <c r="B1002" s="57"/>
      <c r="C1002" s="57"/>
      <c r="D1002" s="57"/>
      <c r="E1002" s="57"/>
      <c r="F1002" s="57"/>
      <c r="G1002" s="57"/>
      <c r="H1002" s="57"/>
      <c r="M1002" s="23">
        <v>1</v>
      </c>
    </row>
    <row r="1003" spans="2:13" ht="18">
      <c r="B1003" s="57"/>
      <c r="C1003" s="57"/>
      <c r="D1003" s="57"/>
      <c r="E1003" s="57"/>
      <c r="F1003" s="57"/>
      <c r="G1003" s="57"/>
      <c r="H1003" s="57"/>
      <c r="M1003" s="23">
        <v>1</v>
      </c>
    </row>
    <row r="1004" spans="2:13" ht="18">
      <c r="B1004" s="57"/>
      <c r="C1004" s="57"/>
      <c r="D1004" s="57"/>
      <c r="E1004" s="57"/>
      <c r="F1004" s="57"/>
      <c r="G1004" s="57"/>
      <c r="H1004" s="57"/>
      <c r="M1004" s="23">
        <v>1</v>
      </c>
    </row>
    <row r="1005" spans="2:13" ht="18">
      <c r="B1005" s="57"/>
      <c r="C1005" s="57"/>
      <c r="D1005" s="57"/>
      <c r="E1005" s="57"/>
      <c r="F1005" s="57"/>
      <c r="G1005" s="57"/>
      <c r="H1005" s="57"/>
      <c r="M1005" s="23">
        <v>1</v>
      </c>
    </row>
    <row r="1006" spans="2:13" ht="18">
      <c r="B1006" s="57"/>
      <c r="C1006" s="57"/>
      <c r="D1006" s="57"/>
      <c r="E1006" s="57"/>
      <c r="F1006" s="57"/>
      <c r="G1006" s="57"/>
      <c r="H1006" s="57"/>
      <c r="M1006" s="23">
        <v>1</v>
      </c>
    </row>
    <row r="1007" spans="2:13" ht="18">
      <c r="B1007" s="57"/>
      <c r="C1007" s="57"/>
      <c r="D1007" s="57"/>
      <c r="E1007" s="57"/>
      <c r="F1007" s="57"/>
      <c r="G1007" s="57"/>
      <c r="H1007" s="57"/>
      <c r="M1007" s="23">
        <v>1</v>
      </c>
    </row>
    <row r="1008" spans="2:13" ht="18">
      <c r="B1008" s="57"/>
      <c r="C1008" s="57"/>
      <c r="D1008" s="57"/>
      <c r="E1008" s="57"/>
      <c r="F1008" s="57"/>
      <c r="G1008" s="57"/>
      <c r="H1008" s="57"/>
      <c r="M1008" s="23">
        <v>1</v>
      </c>
    </row>
    <row r="1009" spans="2:13" ht="18">
      <c r="B1009" s="57"/>
      <c r="C1009" s="57"/>
      <c r="D1009" s="57"/>
      <c r="E1009" s="57"/>
      <c r="F1009" s="57"/>
      <c r="G1009" s="57"/>
      <c r="H1009" s="57"/>
      <c r="M1009" s="23">
        <v>1</v>
      </c>
    </row>
    <row r="1010" spans="2:13" ht="18">
      <c r="B1010" s="57"/>
      <c r="C1010" s="57"/>
      <c r="D1010" s="57"/>
      <c r="E1010" s="57"/>
      <c r="F1010" s="57"/>
      <c r="G1010" s="57"/>
      <c r="H1010" s="57"/>
      <c r="M1010" s="23">
        <v>1</v>
      </c>
    </row>
    <row r="1011" spans="2:13" ht="18">
      <c r="B1011" s="57"/>
      <c r="C1011" s="57"/>
      <c r="D1011" s="57"/>
      <c r="E1011" s="57"/>
      <c r="F1011" s="57"/>
      <c r="G1011" s="57"/>
      <c r="H1011" s="57"/>
      <c r="M1011" s="23">
        <v>1</v>
      </c>
    </row>
    <row r="1012" spans="2:13" ht="18">
      <c r="B1012" s="57"/>
      <c r="C1012" s="57"/>
      <c r="D1012" s="57"/>
      <c r="E1012" s="57"/>
      <c r="F1012" s="57"/>
      <c r="G1012" s="57"/>
      <c r="H1012" s="57"/>
      <c r="M1012" s="23">
        <v>1</v>
      </c>
    </row>
    <row r="1013" spans="2:13" ht="18">
      <c r="B1013" s="57"/>
      <c r="C1013" s="57"/>
      <c r="D1013" s="57"/>
      <c r="E1013" s="57"/>
      <c r="F1013" s="57"/>
      <c r="G1013" s="57"/>
      <c r="H1013" s="57"/>
      <c r="M1013" s="23">
        <v>1</v>
      </c>
    </row>
    <row r="1014" spans="2:13" ht="18">
      <c r="B1014" s="57"/>
      <c r="C1014" s="57"/>
      <c r="D1014" s="57"/>
      <c r="E1014" s="57"/>
      <c r="F1014" s="57"/>
      <c r="G1014" s="57"/>
      <c r="H1014" s="57"/>
      <c r="M1014" s="23">
        <v>1</v>
      </c>
    </row>
    <row r="1015" spans="2:13" ht="18">
      <c r="B1015" s="57"/>
      <c r="C1015" s="57"/>
      <c r="D1015" s="57"/>
      <c r="E1015" s="57"/>
      <c r="F1015" s="57"/>
      <c r="G1015" s="57"/>
      <c r="H1015" s="57"/>
      <c r="M1015" s="23">
        <v>1</v>
      </c>
    </row>
    <row r="1016" spans="2:13" ht="18">
      <c r="B1016" s="57"/>
      <c r="C1016" s="57"/>
      <c r="D1016" s="57"/>
      <c r="E1016" s="57"/>
      <c r="F1016" s="57"/>
      <c r="G1016" s="57"/>
      <c r="H1016" s="57"/>
      <c r="M1016" s="23">
        <v>1</v>
      </c>
    </row>
    <row r="1017" spans="2:13" ht="18">
      <c r="B1017" s="57"/>
      <c r="C1017" s="57"/>
      <c r="D1017" s="57"/>
      <c r="E1017" s="57"/>
      <c r="F1017" s="57"/>
      <c r="G1017" s="57"/>
      <c r="H1017" s="57"/>
      <c r="M1017" s="23">
        <v>1</v>
      </c>
    </row>
    <row r="1018" spans="2:13" ht="18">
      <c r="B1018" s="57"/>
      <c r="C1018" s="57"/>
      <c r="D1018" s="57"/>
      <c r="E1018" s="57"/>
      <c r="F1018" s="57"/>
      <c r="G1018" s="57"/>
      <c r="H1018" s="57"/>
      <c r="M1018" s="23">
        <v>1</v>
      </c>
    </row>
    <row r="1019" spans="2:13" ht="18">
      <c r="B1019" s="57"/>
      <c r="C1019" s="57"/>
      <c r="D1019" s="57"/>
      <c r="E1019" s="57"/>
      <c r="F1019" s="57"/>
      <c r="G1019" s="57"/>
      <c r="H1019" s="57"/>
      <c r="M1019" s="23">
        <v>1</v>
      </c>
    </row>
    <row r="1020" spans="2:13" ht="18">
      <c r="B1020" s="57"/>
      <c r="C1020" s="57"/>
      <c r="D1020" s="57"/>
      <c r="E1020" s="57"/>
      <c r="F1020" s="57"/>
      <c r="G1020" s="57"/>
      <c r="H1020" s="57"/>
      <c r="M1020" s="23">
        <v>1</v>
      </c>
    </row>
    <row r="1021" spans="2:13" ht="18">
      <c r="B1021" s="57"/>
      <c r="C1021" s="57"/>
      <c r="D1021" s="57"/>
      <c r="E1021" s="57"/>
      <c r="F1021" s="57"/>
      <c r="G1021" s="57"/>
      <c r="H1021" s="57"/>
      <c r="M1021" s="23">
        <v>1</v>
      </c>
    </row>
    <row r="1022" spans="2:13" ht="18">
      <c r="B1022" s="57"/>
      <c r="C1022" s="57"/>
      <c r="D1022" s="57"/>
      <c r="E1022" s="57"/>
      <c r="F1022" s="57"/>
      <c r="G1022" s="57"/>
      <c r="H1022" s="57"/>
      <c r="M1022" s="23">
        <v>1</v>
      </c>
    </row>
    <row r="1023" spans="2:13" ht="18">
      <c r="B1023" s="57"/>
      <c r="C1023" s="57"/>
      <c r="D1023" s="57"/>
      <c r="E1023" s="57"/>
      <c r="F1023" s="57"/>
      <c r="G1023" s="57"/>
      <c r="H1023" s="57"/>
      <c r="M1023" s="23">
        <v>1</v>
      </c>
    </row>
    <row r="1024" spans="2:13" ht="18">
      <c r="B1024" s="57"/>
      <c r="C1024" s="57"/>
      <c r="D1024" s="57"/>
      <c r="E1024" s="57"/>
      <c r="F1024" s="57"/>
      <c r="G1024" s="57"/>
      <c r="H1024" s="57"/>
      <c r="M1024" s="23">
        <v>1</v>
      </c>
    </row>
    <row r="1025" spans="2:13" ht="18">
      <c r="B1025" s="57"/>
      <c r="C1025" s="57"/>
      <c r="D1025" s="57"/>
      <c r="E1025" s="57"/>
      <c r="F1025" s="57"/>
      <c r="G1025" s="57"/>
      <c r="H1025" s="57"/>
      <c r="M1025" s="23">
        <v>1</v>
      </c>
    </row>
    <row r="1026" spans="2:13" ht="18">
      <c r="B1026" s="57"/>
      <c r="C1026" s="57"/>
      <c r="D1026" s="57"/>
      <c r="E1026" s="57"/>
      <c r="F1026" s="57"/>
      <c r="G1026" s="57"/>
      <c r="H1026" s="57"/>
      <c r="M1026" s="23">
        <v>1</v>
      </c>
    </row>
    <row r="1027" spans="2:13" ht="18">
      <c r="B1027" s="57"/>
      <c r="C1027" s="57"/>
      <c r="D1027" s="57"/>
      <c r="E1027" s="57"/>
      <c r="F1027" s="57"/>
      <c r="G1027" s="57"/>
      <c r="H1027" s="57"/>
      <c r="M1027" s="23">
        <v>1</v>
      </c>
    </row>
    <row r="1028" spans="2:13" ht="18">
      <c r="B1028" s="57"/>
      <c r="C1028" s="57"/>
      <c r="D1028" s="57"/>
      <c r="E1028" s="57"/>
      <c r="F1028" s="57"/>
      <c r="G1028" s="57"/>
      <c r="H1028" s="57"/>
      <c r="M1028" s="23">
        <v>1</v>
      </c>
    </row>
    <row r="1029" spans="2:13" ht="18">
      <c r="B1029" s="57"/>
      <c r="C1029" s="57"/>
      <c r="D1029" s="57"/>
      <c r="E1029" s="57"/>
      <c r="F1029" s="57"/>
      <c r="G1029" s="57"/>
      <c r="H1029" s="57"/>
      <c r="M1029" s="23">
        <v>1</v>
      </c>
    </row>
    <row r="1030" spans="2:13" ht="18">
      <c r="B1030" s="57"/>
      <c r="C1030" s="57"/>
      <c r="D1030" s="57"/>
      <c r="E1030" s="57"/>
      <c r="F1030" s="57"/>
      <c r="G1030" s="57"/>
      <c r="H1030" s="57"/>
      <c r="M1030" s="23">
        <v>1</v>
      </c>
    </row>
    <row r="1031" spans="2:13" ht="18">
      <c r="B1031" s="57"/>
      <c r="C1031" s="57"/>
      <c r="D1031" s="57"/>
      <c r="E1031" s="57"/>
      <c r="F1031" s="57"/>
      <c r="G1031" s="57"/>
      <c r="H1031" s="57"/>
      <c r="M1031" s="23">
        <v>1</v>
      </c>
    </row>
    <row r="1032" spans="2:13" ht="18">
      <c r="B1032" s="57"/>
      <c r="C1032" s="57"/>
      <c r="D1032" s="57"/>
      <c r="E1032" s="57"/>
      <c r="F1032" s="57"/>
      <c r="G1032" s="57"/>
      <c r="H1032" s="57"/>
      <c r="M1032" s="23">
        <v>1</v>
      </c>
    </row>
    <row r="1033" spans="2:13" ht="18">
      <c r="B1033" s="57"/>
      <c r="C1033" s="57"/>
      <c r="D1033" s="57"/>
      <c r="E1033" s="57"/>
      <c r="F1033" s="57"/>
      <c r="G1033" s="57"/>
      <c r="H1033" s="57"/>
      <c r="M1033" s="23">
        <v>1</v>
      </c>
    </row>
    <row r="1034" spans="2:13" ht="18">
      <c r="B1034" s="57"/>
      <c r="C1034" s="57"/>
      <c r="D1034" s="57"/>
      <c r="E1034" s="57"/>
      <c r="F1034" s="57"/>
      <c r="G1034" s="57"/>
      <c r="H1034" s="57"/>
      <c r="M1034" s="23">
        <v>1</v>
      </c>
    </row>
    <row r="1035" spans="2:13" ht="18">
      <c r="B1035" s="57"/>
      <c r="C1035" s="57"/>
      <c r="D1035" s="57"/>
      <c r="E1035" s="57"/>
      <c r="F1035" s="57"/>
      <c r="G1035" s="57"/>
      <c r="H1035" s="57"/>
      <c r="M1035" s="23">
        <v>1</v>
      </c>
    </row>
    <row r="1036" spans="2:13" ht="18">
      <c r="B1036" s="57"/>
      <c r="C1036" s="57"/>
      <c r="D1036" s="57"/>
      <c r="E1036" s="57"/>
      <c r="F1036" s="57"/>
      <c r="G1036" s="57"/>
      <c r="H1036" s="57"/>
      <c r="M1036" s="23">
        <v>1</v>
      </c>
    </row>
    <row r="1037" spans="2:13" ht="18">
      <c r="B1037" s="57"/>
      <c r="C1037" s="57"/>
      <c r="D1037" s="57"/>
      <c r="E1037" s="57"/>
      <c r="F1037" s="57"/>
      <c r="G1037" s="57"/>
      <c r="H1037" s="57"/>
      <c r="M1037" s="23">
        <v>1</v>
      </c>
    </row>
    <row r="1038" spans="2:13" ht="18">
      <c r="B1038" s="57"/>
      <c r="C1038" s="57"/>
      <c r="D1038" s="57"/>
      <c r="E1038" s="57"/>
      <c r="F1038" s="57"/>
      <c r="G1038" s="57"/>
      <c r="H1038" s="57"/>
      <c r="M1038" s="23">
        <v>1</v>
      </c>
    </row>
    <row r="1039" spans="2:13" ht="18">
      <c r="B1039" s="57"/>
      <c r="C1039" s="57"/>
      <c r="D1039" s="57"/>
      <c r="E1039" s="57"/>
      <c r="F1039" s="57"/>
      <c r="G1039" s="57"/>
      <c r="H1039" s="57"/>
      <c r="M1039" s="23">
        <v>1</v>
      </c>
    </row>
    <row r="1040" spans="2:13" ht="18">
      <c r="B1040" s="57"/>
      <c r="C1040" s="57"/>
      <c r="D1040" s="57"/>
      <c r="E1040" s="57"/>
      <c r="F1040" s="57"/>
      <c r="G1040" s="57"/>
      <c r="H1040" s="57"/>
      <c r="M1040" s="23">
        <v>1</v>
      </c>
    </row>
    <row r="1041" spans="2:13" ht="18">
      <c r="B1041" s="57"/>
      <c r="C1041" s="57"/>
      <c r="D1041" s="57"/>
      <c r="E1041" s="57"/>
      <c r="F1041" s="57"/>
      <c r="G1041" s="57"/>
      <c r="H1041" s="57"/>
      <c r="M1041" s="23">
        <v>1</v>
      </c>
    </row>
    <row r="1042" spans="2:13" ht="18">
      <c r="B1042" s="57"/>
      <c r="C1042" s="57"/>
      <c r="D1042" s="57"/>
      <c r="E1042" s="57"/>
      <c r="F1042" s="57"/>
      <c r="G1042" s="57"/>
      <c r="H1042" s="57"/>
      <c r="M1042" s="23">
        <v>1</v>
      </c>
    </row>
    <row r="1043" spans="2:13" ht="18">
      <c r="B1043" s="57"/>
      <c r="C1043" s="57"/>
      <c r="D1043" s="57"/>
      <c r="E1043" s="57"/>
      <c r="F1043" s="57"/>
      <c r="G1043" s="57"/>
      <c r="H1043" s="57"/>
      <c r="M1043" s="23">
        <v>1</v>
      </c>
    </row>
    <row r="1044" spans="2:13" ht="18">
      <c r="B1044" s="57"/>
      <c r="C1044" s="57"/>
      <c r="D1044" s="57"/>
      <c r="E1044" s="57"/>
      <c r="F1044" s="57"/>
      <c r="G1044" s="57"/>
      <c r="H1044" s="57"/>
      <c r="M1044" s="23">
        <v>1</v>
      </c>
    </row>
    <row r="1045" spans="2:13" ht="18">
      <c r="B1045" s="57"/>
      <c r="C1045" s="57"/>
      <c r="D1045" s="57"/>
      <c r="E1045" s="57"/>
      <c r="F1045" s="57"/>
      <c r="G1045" s="57"/>
      <c r="H1045" s="57"/>
      <c r="M1045" s="23">
        <v>1</v>
      </c>
    </row>
    <row r="1046" spans="2:13" ht="18">
      <c r="B1046" s="57"/>
      <c r="C1046" s="57"/>
      <c r="D1046" s="57"/>
      <c r="E1046" s="57"/>
      <c r="F1046" s="57"/>
      <c r="G1046" s="57"/>
      <c r="H1046" s="57"/>
      <c r="M1046" s="23">
        <v>1</v>
      </c>
    </row>
    <row r="1047" spans="2:13" ht="18">
      <c r="B1047" s="57"/>
      <c r="C1047" s="57"/>
      <c r="D1047" s="57"/>
      <c r="E1047" s="57"/>
      <c r="F1047" s="57"/>
      <c r="G1047" s="57"/>
      <c r="H1047" s="57"/>
      <c r="M1047" s="23">
        <v>1</v>
      </c>
    </row>
    <row r="1048" spans="2:13" ht="18">
      <c r="B1048" s="57"/>
      <c r="C1048" s="57"/>
      <c r="D1048" s="57"/>
      <c r="E1048" s="57"/>
      <c r="F1048" s="57"/>
      <c r="G1048" s="57"/>
      <c r="H1048" s="57"/>
      <c r="M1048" s="23">
        <v>1</v>
      </c>
    </row>
    <row r="1049" spans="2:13" ht="18">
      <c r="B1049" s="57"/>
      <c r="C1049" s="57"/>
      <c r="D1049" s="57"/>
      <c r="E1049" s="57"/>
      <c r="F1049" s="57"/>
      <c r="G1049" s="57"/>
      <c r="H1049" s="57"/>
      <c r="M1049" s="23">
        <v>1</v>
      </c>
    </row>
    <row r="1050" spans="2:13" ht="18">
      <c r="B1050" s="57"/>
      <c r="C1050" s="57"/>
      <c r="D1050" s="57"/>
      <c r="E1050" s="57"/>
      <c r="F1050" s="57"/>
      <c r="G1050" s="57"/>
      <c r="H1050" s="57"/>
      <c r="M1050" s="23">
        <v>1</v>
      </c>
    </row>
    <row r="1051" spans="2:13" ht="18">
      <c r="B1051" s="57"/>
      <c r="C1051" s="57"/>
      <c r="D1051" s="57"/>
      <c r="E1051" s="57"/>
      <c r="F1051" s="57"/>
      <c r="G1051" s="57"/>
      <c r="H1051" s="57"/>
      <c r="M1051" s="23">
        <v>1</v>
      </c>
    </row>
    <row r="1052" spans="2:13" ht="18">
      <c r="B1052" s="57"/>
      <c r="C1052" s="57"/>
      <c r="D1052" s="57"/>
      <c r="E1052" s="57"/>
      <c r="F1052" s="57"/>
      <c r="G1052" s="57"/>
      <c r="H1052" s="57"/>
      <c r="M1052" s="23">
        <v>1</v>
      </c>
    </row>
    <row r="1053" spans="2:13" ht="18">
      <c r="B1053" s="57"/>
      <c r="C1053" s="57"/>
      <c r="D1053" s="57"/>
      <c r="E1053" s="57"/>
      <c r="F1053" s="57"/>
      <c r="G1053" s="57"/>
      <c r="H1053" s="57"/>
      <c r="M1053" s="23">
        <v>1</v>
      </c>
    </row>
    <row r="1054" spans="2:13" ht="18">
      <c r="B1054" s="57"/>
      <c r="C1054" s="57"/>
      <c r="D1054" s="57"/>
      <c r="E1054" s="57"/>
      <c r="F1054" s="57"/>
      <c r="G1054" s="57"/>
      <c r="H1054" s="57"/>
      <c r="M1054" s="23">
        <v>1</v>
      </c>
    </row>
    <row r="1055" spans="2:13" ht="18">
      <c r="B1055" s="57"/>
      <c r="C1055" s="57"/>
      <c r="D1055" s="57"/>
      <c r="E1055" s="57"/>
      <c r="F1055" s="57"/>
      <c r="G1055" s="57"/>
      <c r="H1055" s="57"/>
      <c r="M1055" s="23">
        <v>1</v>
      </c>
    </row>
    <row r="1056" spans="2:13" ht="18">
      <c r="B1056" s="57"/>
      <c r="C1056" s="57"/>
      <c r="D1056" s="57"/>
      <c r="E1056" s="57"/>
      <c r="F1056" s="57"/>
      <c r="G1056" s="57"/>
      <c r="H1056" s="57"/>
      <c r="M1056" s="23">
        <v>1</v>
      </c>
    </row>
    <row r="1057" spans="2:13" ht="18">
      <c r="B1057" s="57"/>
      <c r="C1057" s="57"/>
      <c r="D1057" s="57"/>
      <c r="E1057" s="57"/>
      <c r="F1057" s="57"/>
      <c r="G1057" s="57"/>
      <c r="H1057" s="57"/>
      <c r="M1057" s="23">
        <v>1</v>
      </c>
    </row>
    <row r="1058" spans="2:13" ht="18">
      <c r="B1058" s="57"/>
      <c r="C1058" s="57"/>
      <c r="D1058" s="57"/>
      <c r="E1058" s="57"/>
      <c r="F1058" s="57"/>
      <c r="G1058" s="57"/>
      <c r="H1058" s="57"/>
      <c r="M1058" s="23">
        <v>1</v>
      </c>
    </row>
    <row r="1059" spans="2:13" ht="18">
      <c r="B1059" s="57"/>
      <c r="C1059" s="57"/>
      <c r="D1059" s="57"/>
      <c r="E1059" s="57"/>
      <c r="F1059" s="57"/>
      <c r="G1059" s="57"/>
      <c r="H1059" s="57"/>
      <c r="M1059" s="23">
        <v>1</v>
      </c>
    </row>
    <row r="1060" spans="2:13" ht="18">
      <c r="B1060" s="57"/>
      <c r="C1060" s="57"/>
      <c r="D1060" s="57"/>
      <c r="E1060" s="57"/>
      <c r="F1060" s="57"/>
      <c r="G1060" s="57"/>
      <c r="H1060" s="57"/>
      <c r="M1060" s="23">
        <v>1</v>
      </c>
    </row>
    <row r="1061" spans="2:13" ht="18">
      <c r="B1061" s="57"/>
      <c r="C1061" s="57"/>
      <c r="D1061" s="57"/>
      <c r="E1061" s="57"/>
      <c r="F1061" s="57"/>
      <c r="G1061" s="57"/>
      <c r="H1061" s="57"/>
      <c r="M1061" s="23">
        <v>1</v>
      </c>
    </row>
    <row r="1062" spans="2:13" ht="18">
      <c r="B1062" s="57"/>
      <c r="C1062" s="57"/>
      <c r="D1062" s="57"/>
      <c r="E1062" s="57"/>
      <c r="F1062" s="57"/>
      <c r="G1062" s="57"/>
      <c r="H1062" s="57"/>
      <c r="M1062" s="23">
        <v>1</v>
      </c>
    </row>
    <row r="1063" spans="2:13" ht="18">
      <c r="B1063" s="57"/>
      <c r="C1063" s="57"/>
      <c r="D1063" s="57"/>
      <c r="E1063" s="57"/>
      <c r="F1063" s="57"/>
      <c r="G1063" s="57"/>
      <c r="H1063" s="57"/>
      <c r="M1063" s="23">
        <v>1</v>
      </c>
    </row>
    <row r="1064" spans="2:13" ht="18">
      <c r="B1064" s="57"/>
      <c r="C1064" s="57"/>
      <c r="D1064" s="57"/>
      <c r="E1064" s="57"/>
      <c r="F1064" s="57"/>
      <c r="G1064" s="57"/>
      <c r="H1064" s="57"/>
      <c r="M1064" s="23">
        <v>1</v>
      </c>
    </row>
    <row r="1065" spans="2:13" ht="18">
      <c r="B1065" s="57"/>
      <c r="C1065" s="57"/>
      <c r="D1065" s="57"/>
      <c r="E1065" s="57"/>
      <c r="F1065" s="57"/>
      <c r="G1065" s="57"/>
      <c r="H1065" s="57"/>
      <c r="M1065" s="23">
        <v>1</v>
      </c>
    </row>
    <row r="1066" spans="2:13" ht="18">
      <c r="B1066" s="57"/>
      <c r="C1066" s="57"/>
      <c r="D1066" s="57"/>
      <c r="E1066" s="57"/>
      <c r="F1066" s="57"/>
      <c r="G1066" s="57"/>
      <c r="H1066" s="57"/>
      <c r="M1066" s="23">
        <v>1</v>
      </c>
    </row>
    <row r="1067" spans="2:13" ht="18">
      <c r="B1067" s="57"/>
      <c r="C1067" s="57"/>
      <c r="D1067" s="57"/>
      <c r="E1067" s="57"/>
      <c r="F1067" s="57"/>
      <c r="G1067" s="57"/>
      <c r="H1067" s="57"/>
      <c r="M1067" s="23">
        <v>1</v>
      </c>
    </row>
    <row r="1068" spans="2:13" ht="18">
      <c r="B1068" s="57"/>
      <c r="C1068" s="57"/>
      <c r="D1068" s="57"/>
      <c r="E1068" s="57"/>
      <c r="F1068" s="57"/>
      <c r="G1068" s="57"/>
      <c r="H1068" s="57"/>
      <c r="M1068" s="23">
        <v>1</v>
      </c>
    </row>
    <row r="1069" spans="2:13" ht="18">
      <c r="B1069" s="57"/>
      <c r="C1069" s="57"/>
      <c r="D1069" s="57"/>
      <c r="E1069" s="57"/>
      <c r="F1069" s="57"/>
      <c r="G1069" s="57"/>
      <c r="H1069" s="57"/>
      <c r="M1069" s="23">
        <v>1</v>
      </c>
    </row>
    <row r="1070" spans="2:13" ht="18">
      <c r="B1070" s="57"/>
      <c r="C1070" s="57"/>
      <c r="D1070" s="57"/>
      <c r="E1070" s="57"/>
      <c r="F1070" s="57"/>
      <c r="G1070" s="57"/>
      <c r="H1070" s="57"/>
      <c r="M1070" s="23">
        <v>1</v>
      </c>
    </row>
    <row r="1071" spans="2:13" ht="18">
      <c r="B1071" s="57"/>
      <c r="C1071" s="57"/>
      <c r="D1071" s="57"/>
      <c r="E1071" s="57"/>
      <c r="F1071" s="57"/>
      <c r="G1071" s="57"/>
      <c r="H1071" s="57"/>
      <c r="M1071" s="23">
        <v>1</v>
      </c>
    </row>
    <row r="1072" spans="2:13" ht="18">
      <c r="B1072" s="57"/>
      <c r="C1072" s="57"/>
      <c r="D1072" s="57"/>
      <c r="E1072" s="57"/>
      <c r="F1072" s="57"/>
      <c r="G1072" s="57"/>
      <c r="H1072" s="57"/>
      <c r="M1072" s="23">
        <v>1</v>
      </c>
    </row>
    <row r="1073" spans="2:13" ht="18">
      <c r="B1073" s="57"/>
      <c r="C1073" s="57"/>
      <c r="D1073" s="57"/>
      <c r="E1073" s="57"/>
      <c r="F1073" s="57"/>
      <c r="G1073" s="57"/>
      <c r="H1073" s="57"/>
      <c r="M1073" s="23">
        <v>1</v>
      </c>
    </row>
    <row r="1074" spans="2:13" ht="18">
      <c r="B1074" s="57"/>
      <c r="C1074" s="57"/>
      <c r="D1074" s="57"/>
      <c r="E1074" s="57"/>
      <c r="F1074" s="57"/>
      <c r="G1074" s="57"/>
      <c r="H1074" s="57"/>
      <c r="M1074" s="23">
        <v>1</v>
      </c>
    </row>
    <row r="1075" spans="2:13" ht="18">
      <c r="B1075" s="57"/>
      <c r="C1075" s="57"/>
      <c r="D1075" s="57"/>
      <c r="E1075" s="57"/>
      <c r="F1075" s="57"/>
      <c r="G1075" s="57"/>
      <c r="H1075" s="57"/>
      <c r="M1075" s="23">
        <v>1</v>
      </c>
    </row>
    <row r="1076" spans="2:13" ht="18">
      <c r="B1076" s="57"/>
      <c r="C1076" s="57"/>
      <c r="D1076" s="57"/>
      <c r="E1076" s="57"/>
      <c r="F1076" s="57"/>
      <c r="G1076" s="57"/>
      <c r="H1076" s="57"/>
      <c r="M1076" s="23">
        <v>1</v>
      </c>
    </row>
    <row r="1077" spans="2:13" ht="18">
      <c r="B1077" s="57"/>
      <c r="C1077" s="57"/>
      <c r="D1077" s="57"/>
      <c r="E1077" s="57"/>
      <c r="F1077" s="57"/>
      <c r="G1077" s="57"/>
      <c r="H1077" s="57"/>
      <c r="M1077" s="23">
        <v>1</v>
      </c>
    </row>
    <row r="1078" spans="2:13" ht="18">
      <c r="B1078" s="57"/>
      <c r="C1078" s="57"/>
      <c r="D1078" s="57"/>
      <c r="E1078" s="57"/>
      <c r="F1078" s="57"/>
      <c r="G1078" s="57"/>
      <c r="H1078" s="57"/>
      <c r="M1078" s="23">
        <v>1</v>
      </c>
    </row>
    <row r="1079" spans="2:13" ht="18">
      <c r="B1079" s="57"/>
      <c r="C1079" s="57"/>
      <c r="D1079" s="57"/>
      <c r="E1079" s="57"/>
      <c r="F1079" s="57"/>
      <c r="G1079" s="57"/>
      <c r="H1079" s="57"/>
      <c r="M1079" s="23">
        <v>1</v>
      </c>
    </row>
    <row r="1080" spans="2:13" ht="18">
      <c r="B1080" s="57"/>
      <c r="C1080" s="57"/>
      <c r="D1080" s="57"/>
      <c r="E1080" s="57"/>
      <c r="F1080" s="57"/>
      <c r="G1080" s="57"/>
      <c r="H1080" s="57"/>
      <c r="M1080" s="23">
        <v>1</v>
      </c>
    </row>
    <row r="1081" spans="2:13" ht="18">
      <c r="B1081" s="57"/>
      <c r="C1081" s="57"/>
      <c r="D1081" s="57"/>
      <c r="E1081" s="57"/>
      <c r="F1081" s="57"/>
      <c r="G1081" s="57"/>
      <c r="H1081" s="57"/>
      <c r="M1081" s="23">
        <v>1</v>
      </c>
    </row>
    <row r="1082" spans="2:13" ht="18">
      <c r="B1082" s="57"/>
      <c r="C1082" s="57"/>
      <c r="D1082" s="57"/>
      <c r="E1082" s="57"/>
      <c r="F1082" s="57"/>
      <c r="G1082" s="57"/>
      <c r="H1082" s="57"/>
      <c r="M1082" s="23">
        <v>1</v>
      </c>
    </row>
    <row r="1083" spans="2:13" ht="18">
      <c r="B1083" s="57"/>
      <c r="C1083" s="57"/>
      <c r="D1083" s="57"/>
      <c r="E1083" s="57"/>
      <c r="F1083" s="57"/>
      <c r="G1083" s="57"/>
      <c r="H1083" s="57"/>
      <c r="M1083" s="23">
        <v>1</v>
      </c>
    </row>
    <row r="1084" spans="2:13" ht="18">
      <c r="B1084" s="57"/>
      <c r="C1084" s="57"/>
      <c r="D1084" s="57"/>
      <c r="E1084" s="57"/>
      <c r="F1084" s="57"/>
      <c r="G1084" s="57"/>
      <c r="H1084" s="57"/>
      <c r="M1084" s="23">
        <v>1</v>
      </c>
    </row>
    <row r="1085" spans="2:13" ht="18">
      <c r="B1085" s="57"/>
      <c r="C1085" s="57"/>
      <c r="D1085" s="57"/>
      <c r="E1085" s="57"/>
      <c r="F1085" s="57"/>
      <c r="G1085" s="57"/>
      <c r="H1085" s="57"/>
      <c r="M1085" s="23">
        <v>1</v>
      </c>
    </row>
    <row r="1086" spans="2:13" ht="18">
      <c r="B1086" s="57"/>
      <c r="C1086" s="57"/>
      <c r="D1086" s="57"/>
      <c r="E1086" s="57"/>
      <c r="F1086" s="57"/>
      <c r="G1086" s="57"/>
      <c r="H1086" s="57"/>
      <c r="M1086" s="23">
        <v>1</v>
      </c>
    </row>
    <row r="1087" spans="2:13" ht="18">
      <c r="B1087" s="57"/>
      <c r="C1087" s="57"/>
      <c r="D1087" s="57"/>
      <c r="E1087" s="57"/>
      <c r="F1087" s="57"/>
      <c r="G1087" s="57"/>
      <c r="H1087" s="57"/>
      <c r="M1087" s="23">
        <v>1</v>
      </c>
    </row>
    <row r="1088" spans="2:13" ht="18">
      <c r="B1088" s="57"/>
      <c r="C1088" s="57"/>
      <c r="D1088" s="57"/>
      <c r="E1088" s="57"/>
      <c r="F1088" s="57"/>
      <c r="G1088" s="57"/>
      <c r="H1088" s="57"/>
      <c r="M1088" s="23">
        <v>1</v>
      </c>
    </row>
    <row r="1089" spans="2:13" ht="18">
      <c r="B1089" s="57"/>
      <c r="C1089" s="57"/>
      <c r="D1089" s="57"/>
      <c r="E1089" s="57"/>
      <c r="F1089" s="57"/>
      <c r="G1089" s="57"/>
      <c r="H1089" s="57"/>
      <c r="M1089" s="23">
        <v>1</v>
      </c>
    </row>
    <row r="1090" spans="2:13" ht="18">
      <c r="B1090" s="57"/>
      <c r="C1090" s="57"/>
      <c r="D1090" s="57"/>
      <c r="E1090" s="57"/>
      <c r="F1090" s="57"/>
      <c r="G1090" s="57"/>
      <c r="H1090" s="57"/>
      <c r="M1090" s="23">
        <v>1</v>
      </c>
    </row>
    <row r="1091" spans="2:13" ht="18">
      <c r="B1091" s="57"/>
      <c r="C1091" s="57"/>
      <c r="D1091" s="57"/>
      <c r="E1091" s="57"/>
      <c r="F1091" s="57"/>
      <c r="G1091" s="57"/>
      <c r="H1091" s="57"/>
      <c r="M1091" s="23">
        <v>1</v>
      </c>
    </row>
    <row r="1092" spans="2:13" ht="18">
      <c r="B1092" s="57"/>
      <c r="C1092" s="57"/>
      <c r="D1092" s="57"/>
      <c r="E1092" s="57"/>
      <c r="F1092" s="57"/>
      <c r="G1092" s="57"/>
      <c r="H1092" s="57"/>
      <c r="M1092" s="23">
        <v>1</v>
      </c>
    </row>
    <row r="1093" spans="2:13" ht="18">
      <c r="B1093" s="57"/>
      <c r="C1093" s="57"/>
      <c r="D1093" s="57"/>
      <c r="E1093" s="57"/>
      <c r="F1093" s="57"/>
      <c r="G1093" s="57"/>
      <c r="H1093" s="57"/>
      <c r="M1093" s="23">
        <v>1</v>
      </c>
    </row>
    <row r="1094" spans="2:13" ht="18">
      <c r="B1094" s="57"/>
      <c r="C1094" s="57"/>
      <c r="D1094" s="57"/>
      <c r="E1094" s="57"/>
      <c r="F1094" s="57"/>
      <c r="G1094" s="57"/>
      <c r="H1094" s="57"/>
      <c r="M1094" s="23">
        <v>1</v>
      </c>
    </row>
    <row r="1095" spans="2:13" ht="18">
      <c r="B1095" s="57"/>
      <c r="C1095" s="57"/>
      <c r="D1095" s="57"/>
      <c r="E1095" s="57"/>
      <c r="F1095" s="57"/>
      <c r="G1095" s="57"/>
      <c r="H1095" s="57"/>
      <c r="M1095" s="23">
        <v>1</v>
      </c>
    </row>
    <row r="1096" spans="2:13" ht="18">
      <c r="B1096" s="57"/>
      <c r="C1096" s="57"/>
      <c r="D1096" s="57"/>
      <c r="E1096" s="57"/>
      <c r="F1096" s="57"/>
      <c r="G1096" s="57"/>
      <c r="H1096" s="57"/>
      <c r="M1096" s="23">
        <v>1</v>
      </c>
    </row>
    <row r="1097" spans="2:13" ht="18">
      <c r="B1097" s="57"/>
      <c r="C1097" s="57"/>
      <c r="D1097" s="57"/>
      <c r="E1097" s="57"/>
      <c r="F1097" s="57"/>
      <c r="G1097" s="57"/>
      <c r="H1097" s="57"/>
      <c r="M1097" s="23">
        <v>1</v>
      </c>
    </row>
    <row r="1098" spans="2:13" ht="18">
      <c r="B1098" s="57"/>
      <c r="C1098" s="57"/>
      <c r="D1098" s="57"/>
      <c r="E1098" s="57"/>
      <c r="F1098" s="57"/>
      <c r="G1098" s="57"/>
      <c r="H1098" s="57"/>
      <c r="M1098" s="23">
        <v>1</v>
      </c>
    </row>
    <row r="1099" spans="2:13" ht="18">
      <c r="B1099" s="57"/>
      <c r="C1099" s="57"/>
      <c r="D1099" s="57"/>
      <c r="E1099" s="57"/>
      <c r="F1099" s="57"/>
      <c r="G1099" s="57"/>
      <c r="H1099" s="57"/>
      <c r="M1099" s="23">
        <v>1</v>
      </c>
    </row>
    <row r="1100" spans="2:13" ht="18">
      <c r="B1100" s="57"/>
      <c r="C1100" s="57"/>
      <c r="D1100" s="57"/>
      <c r="E1100" s="57"/>
      <c r="F1100" s="57"/>
      <c r="G1100" s="57"/>
      <c r="H1100" s="57"/>
      <c r="M1100" s="23">
        <v>1</v>
      </c>
    </row>
    <row r="1101" spans="2:13" ht="18">
      <c r="B1101" s="57"/>
      <c r="C1101" s="57"/>
      <c r="D1101" s="57"/>
      <c r="E1101" s="57"/>
      <c r="F1101" s="57"/>
      <c r="G1101" s="57"/>
      <c r="H1101" s="57"/>
      <c r="M1101" s="23">
        <v>1</v>
      </c>
    </row>
    <row r="1102" spans="2:13" ht="18">
      <c r="B1102" s="57"/>
      <c r="C1102" s="57"/>
      <c r="D1102" s="57"/>
      <c r="E1102" s="57"/>
      <c r="F1102" s="57"/>
      <c r="G1102" s="57"/>
      <c r="H1102" s="57"/>
      <c r="M1102" s="23">
        <v>1</v>
      </c>
    </row>
    <row r="1103" spans="2:13" ht="18">
      <c r="B1103" s="57"/>
      <c r="C1103" s="57"/>
      <c r="D1103" s="57"/>
      <c r="E1103" s="57"/>
      <c r="F1103" s="57"/>
      <c r="G1103" s="57"/>
      <c r="H1103" s="57"/>
      <c r="M1103" s="23">
        <v>1</v>
      </c>
    </row>
    <row r="1104" spans="2:13" ht="18">
      <c r="B1104" s="57"/>
      <c r="C1104" s="57"/>
      <c r="D1104" s="57"/>
      <c r="E1104" s="57"/>
      <c r="F1104" s="57"/>
      <c r="G1104" s="57"/>
      <c r="H1104" s="57"/>
      <c r="M1104" s="23">
        <v>1</v>
      </c>
    </row>
    <row r="1105" spans="2:13" ht="18">
      <c r="B1105" s="57"/>
      <c r="C1105" s="57"/>
      <c r="D1105" s="57"/>
      <c r="E1105" s="57"/>
      <c r="F1105" s="57"/>
      <c r="G1105" s="57"/>
      <c r="H1105" s="57"/>
      <c r="M1105" s="23">
        <v>1</v>
      </c>
    </row>
    <row r="1106" spans="2:13" ht="18">
      <c r="B1106" s="57"/>
      <c r="C1106" s="57"/>
      <c r="D1106" s="57"/>
      <c r="E1106" s="57"/>
      <c r="F1106" s="57"/>
      <c r="G1106" s="57"/>
      <c r="H1106" s="57"/>
      <c r="M1106" s="23">
        <v>1</v>
      </c>
    </row>
    <row r="1107" spans="2:13" ht="18">
      <c r="B1107" s="57"/>
      <c r="C1107" s="57"/>
      <c r="D1107" s="57"/>
      <c r="E1107" s="57"/>
      <c r="F1107" s="57"/>
      <c r="G1107" s="57"/>
      <c r="H1107" s="57"/>
      <c r="M1107" s="23">
        <v>1</v>
      </c>
    </row>
    <row r="1108" spans="2:13" ht="18">
      <c r="B1108" s="57"/>
      <c r="C1108" s="57"/>
      <c r="D1108" s="57"/>
      <c r="E1108" s="57"/>
      <c r="F1108" s="57"/>
      <c r="G1108" s="57"/>
      <c r="H1108" s="57"/>
      <c r="M1108" s="23">
        <v>1</v>
      </c>
    </row>
    <row r="1109" spans="2:13" ht="18">
      <c r="B1109" s="57"/>
      <c r="C1109" s="57"/>
      <c r="D1109" s="57"/>
      <c r="E1109" s="57"/>
      <c r="F1109" s="57"/>
      <c r="G1109" s="57"/>
      <c r="H1109" s="57"/>
      <c r="M1109" s="23">
        <v>1</v>
      </c>
    </row>
    <row r="1110" spans="2:13" ht="18">
      <c r="B1110" s="57"/>
      <c r="C1110" s="57"/>
      <c r="D1110" s="57"/>
      <c r="E1110" s="57"/>
      <c r="F1110" s="57"/>
      <c r="G1110" s="57"/>
      <c r="H1110" s="57"/>
      <c r="M1110" s="23">
        <v>1</v>
      </c>
    </row>
    <row r="1111" spans="2:13" ht="18">
      <c r="B1111" s="57"/>
      <c r="C1111" s="57"/>
      <c r="D1111" s="57"/>
      <c r="E1111" s="57"/>
      <c r="F1111" s="57"/>
      <c r="G1111" s="57"/>
      <c r="H1111" s="57"/>
      <c r="M1111" s="23">
        <v>1</v>
      </c>
    </row>
    <row r="1112" spans="2:13" ht="18">
      <c r="B1112" s="57"/>
      <c r="C1112" s="57"/>
      <c r="D1112" s="57"/>
      <c r="E1112" s="57"/>
      <c r="F1112" s="57"/>
      <c r="G1112" s="57"/>
      <c r="H1112" s="57"/>
      <c r="M1112" s="23">
        <v>1</v>
      </c>
    </row>
    <row r="1113" spans="2:13" ht="18">
      <c r="B1113" s="57"/>
      <c r="C1113" s="57"/>
      <c r="D1113" s="57"/>
      <c r="E1113" s="57"/>
      <c r="F1113" s="57"/>
      <c r="G1113" s="57"/>
      <c r="H1113" s="57"/>
      <c r="M1113" s="23">
        <v>1</v>
      </c>
    </row>
    <row r="1114" spans="2:13" ht="18">
      <c r="B1114" s="57"/>
      <c r="C1114" s="57"/>
      <c r="D1114" s="57"/>
      <c r="E1114" s="57"/>
      <c r="F1114" s="57"/>
      <c r="G1114" s="57"/>
      <c r="H1114" s="57"/>
      <c r="M1114" s="23">
        <v>1</v>
      </c>
    </row>
    <row r="1115" spans="2:13" ht="18">
      <c r="B1115" s="57"/>
      <c r="C1115" s="57"/>
      <c r="D1115" s="57"/>
      <c r="E1115" s="57"/>
      <c r="F1115" s="57"/>
      <c r="G1115" s="57"/>
      <c r="H1115" s="57"/>
      <c r="M1115" s="23">
        <v>1</v>
      </c>
    </row>
    <row r="1116" spans="2:13" ht="18">
      <c r="B1116" s="57"/>
      <c r="C1116" s="57"/>
      <c r="D1116" s="57"/>
      <c r="E1116" s="57"/>
      <c r="F1116" s="57"/>
      <c r="G1116" s="57"/>
      <c r="H1116" s="57"/>
      <c r="M1116" s="23">
        <v>1</v>
      </c>
    </row>
    <row r="1117" spans="2:13" ht="18">
      <c r="B1117" s="57"/>
      <c r="C1117" s="57"/>
      <c r="D1117" s="57"/>
      <c r="E1117" s="57"/>
      <c r="F1117" s="57"/>
      <c r="G1117" s="57"/>
      <c r="H1117" s="57"/>
      <c r="M1117" s="23">
        <v>1</v>
      </c>
    </row>
    <row r="1118" spans="2:13" ht="18">
      <c r="B1118" s="57"/>
      <c r="C1118" s="57"/>
      <c r="D1118" s="57"/>
      <c r="E1118" s="57"/>
      <c r="F1118" s="57"/>
      <c r="G1118" s="57"/>
      <c r="H1118" s="57"/>
      <c r="M1118" s="23">
        <v>1</v>
      </c>
    </row>
    <row r="1119" spans="2:13" ht="18">
      <c r="B1119" s="57"/>
      <c r="C1119" s="57"/>
      <c r="D1119" s="57"/>
      <c r="E1119" s="57"/>
      <c r="F1119" s="57"/>
      <c r="G1119" s="57"/>
      <c r="H1119" s="57"/>
      <c r="M1119" s="23">
        <v>1</v>
      </c>
    </row>
    <row r="1120" spans="2:13" ht="18">
      <c r="B1120" s="57"/>
      <c r="C1120" s="57"/>
      <c r="D1120" s="57"/>
      <c r="E1120" s="57"/>
      <c r="F1120" s="57"/>
      <c r="G1120" s="57"/>
      <c r="H1120" s="57"/>
      <c r="M1120" s="23">
        <v>1</v>
      </c>
    </row>
    <row r="1121" spans="2:13" ht="18">
      <c r="B1121" s="57"/>
      <c r="C1121" s="57"/>
      <c r="D1121" s="57"/>
      <c r="E1121" s="57"/>
      <c r="F1121" s="57"/>
      <c r="G1121" s="57"/>
      <c r="H1121" s="57"/>
      <c r="M1121" s="23">
        <v>1</v>
      </c>
    </row>
    <row r="1122" spans="2:13" ht="18">
      <c r="B1122" s="57"/>
      <c r="C1122" s="57"/>
      <c r="D1122" s="57"/>
      <c r="E1122" s="57"/>
      <c r="F1122" s="57"/>
      <c r="G1122" s="57"/>
      <c r="H1122" s="57"/>
      <c r="M1122" s="23">
        <v>1</v>
      </c>
    </row>
    <row r="1123" spans="2:13" ht="18">
      <c r="B1123" s="57"/>
      <c r="C1123" s="57"/>
      <c r="D1123" s="57"/>
      <c r="E1123" s="57"/>
      <c r="F1123" s="57"/>
      <c r="G1123" s="57"/>
      <c r="H1123" s="57"/>
      <c r="M1123" s="23">
        <v>1</v>
      </c>
    </row>
    <row r="1124" spans="2:13" ht="18">
      <c r="B1124" s="57"/>
      <c r="C1124" s="57"/>
      <c r="D1124" s="57"/>
      <c r="E1124" s="57"/>
      <c r="F1124" s="57"/>
      <c r="G1124" s="57"/>
      <c r="H1124" s="57"/>
      <c r="M1124" s="23">
        <v>1</v>
      </c>
    </row>
    <row r="1125" spans="2:13" ht="18">
      <c r="B1125" s="57"/>
      <c r="C1125" s="57"/>
      <c r="D1125" s="57"/>
      <c r="E1125" s="57"/>
      <c r="F1125" s="57"/>
      <c r="G1125" s="57"/>
      <c r="H1125" s="57"/>
      <c r="M1125" s="23">
        <v>1</v>
      </c>
    </row>
    <row r="1126" spans="2:13" ht="18">
      <c r="B1126" s="57"/>
      <c r="C1126" s="57"/>
      <c r="D1126" s="57"/>
      <c r="E1126" s="57"/>
      <c r="F1126" s="57"/>
      <c r="G1126" s="57"/>
      <c r="H1126" s="57"/>
      <c r="M1126" s="23">
        <v>1</v>
      </c>
    </row>
    <row r="1127" spans="2:13" ht="18">
      <c r="B1127" s="57"/>
      <c r="C1127" s="57"/>
      <c r="D1127" s="57"/>
      <c r="E1127" s="57"/>
      <c r="F1127" s="57"/>
      <c r="G1127" s="57"/>
      <c r="H1127" s="57"/>
      <c r="M1127" s="23">
        <v>1</v>
      </c>
    </row>
    <row r="1128" spans="2:13" ht="18">
      <c r="B1128" s="57"/>
      <c r="C1128" s="57"/>
      <c r="D1128" s="57"/>
      <c r="E1128" s="57"/>
      <c r="F1128" s="57"/>
      <c r="G1128" s="57"/>
      <c r="H1128" s="57"/>
      <c r="M1128" s="23">
        <v>1</v>
      </c>
    </row>
    <row r="1129" spans="2:13" ht="18">
      <c r="B1129" s="57"/>
      <c r="C1129" s="57"/>
      <c r="D1129" s="57"/>
      <c r="E1129" s="57"/>
      <c r="F1129" s="57"/>
      <c r="G1129" s="57"/>
      <c r="H1129" s="57"/>
      <c r="M1129" s="23">
        <v>1</v>
      </c>
    </row>
    <row r="1130" spans="2:13" ht="18">
      <c r="B1130" s="57"/>
      <c r="C1130" s="57"/>
      <c r="D1130" s="57"/>
      <c r="E1130" s="57"/>
      <c r="F1130" s="57"/>
      <c r="G1130" s="57"/>
      <c r="H1130" s="57"/>
      <c r="M1130" s="23">
        <v>1</v>
      </c>
    </row>
    <row r="1131" spans="2:13" ht="18">
      <c r="B1131" s="57"/>
      <c r="C1131" s="57"/>
      <c r="D1131" s="57"/>
      <c r="E1131" s="57"/>
      <c r="F1131" s="57"/>
      <c r="G1131" s="57"/>
      <c r="H1131" s="57"/>
      <c r="M1131" s="23">
        <v>1</v>
      </c>
    </row>
    <row r="1132" spans="2:13" ht="18">
      <c r="B1132" s="57"/>
      <c r="C1132" s="57"/>
      <c r="D1132" s="57"/>
      <c r="E1132" s="57"/>
      <c r="F1132" s="57"/>
      <c r="G1132" s="57"/>
      <c r="H1132" s="57"/>
      <c r="M1132" s="23">
        <v>1</v>
      </c>
    </row>
    <row r="1133" spans="2:13" ht="18">
      <c r="B1133" s="57"/>
      <c r="C1133" s="57"/>
      <c r="D1133" s="57"/>
      <c r="E1133" s="57"/>
      <c r="F1133" s="57"/>
      <c r="G1133" s="57"/>
      <c r="H1133" s="57"/>
      <c r="M1133" s="23">
        <v>1</v>
      </c>
    </row>
    <row r="1134" spans="2:13" ht="18">
      <c r="B1134" s="57"/>
      <c r="C1134" s="57"/>
      <c r="D1134" s="57"/>
      <c r="E1134" s="57"/>
      <c r="F1134" s="57"/>
      <c r="G1134" s="57"/>
      <c r="H1134" s="57"/>
      <c r="M1134" s="23">
        <v>1</v>
      </c>
    </row>
    <row r="1135" spans="2:13" ht="18">
      <c r="B1135" s="57"/>
      <c r="C1135" s="57"/>
      <c r="D1135" s="57"/>
      <c r="E1135" s="57"/>
      <c r="F1135" s="57"/>
      <c r="G1135" s="57"/>
      <c r="H1135" s="57"/>
      <c r="M1135" s="23">
        <v>1</v>
      </c>
    </row>
    <row r="1136" spans="2:13" ht="18">
      <c r="B1136" s="57"/>
      <c r="C1136" s="57"/>
      <c r="D1136" s="57"/>
      <c r="E1136" s="57"/>
      <c r="F1136" s="57"/>
      <c r="G1136" s="57"/>
      <c r="H1136" s="57"/>
      <c r="M1136" s="23">
        <v>1</v>
      </c>
    </row>
    <row r="1137" spans="2:13" ht="18">
      <c r="B1137" s="57"/>
      <c r="C1137" s="57"/>
      <c r="D1137" s="57"/>
      <c r="E1137" s="57"/>
      <c r="F1137" s="57"/>
      <c r="G1137" s="57"/>
      <c r="H1137" s="57"/>
      <c r="M1137" s="23">
        <v>1</v>
      </c>
    </row>
    <row r="1138" spans="2:13" ht="18">
      <c r="B1138" s="57"/>
      <c r="C1138" s="57"/>
      <c r="D1138" s="57"/>
      <c r="E1138" s="57"/>
      <c r="F1138" s="57"/>
      <c r="G1138" s="57"/>
      <c r="H1138" s="57"/>
      <c r="M1138" s="23">
        <v>1</v>
      </c>
    </row>
    <row r="1139" spans="2:13" ht="18">
      <c r="B1139" s="57"/>
      <c r="C1139" s="57"/>
      <c r="D1139" s="57"/>
      <c r="E1139" s="57"/>
      <c r="F1139" s="57"/>
      <c r="G1139" s="57"/>
      <c r="H1139" s="57"/>
      <c r="M1139" s="23">
        <v>1</v>
      </c>
    </row>
    <row r="1140" spans="2:13" ht="18">
      <c r="B1140" s="57"/>
      <c r="C1140" s="57"/>
      <c r="D1140" s="57"/>
      <c r="E1140" s="57"/>
      <c r="F1140" s="57"/>
      <c r="G1140" s="57"/>
      <c r="H1140" s="57"/>
      <c r="M1140" s="23">
        <v>1</v>
      </c>
    </row>
    <row r="1141" spans="2:13" ht="18">
      <c r="B1141" s="57"/>
      <c r="C1141" s="57"/>
      <c r="D1141" s="57"/>
      <c r="E1141" s="57"/>
      <c r="F1141" s="57"/>
      <c r="G1141" s="57"/>
      <c r="H1141" s="57"/>
      <c r="M1141" s="23">
        <v>1</v>
      </c>
    </row>
    <row r="1142" spans="2:13" ht="18">
      <c r="B1142" s="57"/>
      <c r="C1142" s="57"/>
      <c r="D1142" s="57"/>
      <c r="E1142" s="57"/>
      <c r="F1142" s="57"/>
      <c r="G1142" s="57"/>
      <c r="H1142" s="57"/>
      <c r="M1142" s="23">
        <v>1</v>
      </c>
    </row>
    <row r="1143" spans="2:13" ht="18">
      <c r="B1143" s="57"/>
      <c r="C1143" s="57"/>
      <c r="D1143" s="57"/>
      <c r="E1143" s="57"/>
      <c r="F1143" s="57"/>
      <c r="G1143" s="57"/>
      <c r="H1143" s="57"/>
      <c r="M1143" s="23">
        <v>1</v>
      </c>
    </row>
    <row r="1144" spans="2:13" ht="18">
      <c r="B1144" s="57"/>
      <c r="C1144" s="57"/>
      <c r="D1144" s="57"/>
      <c r="E1144" s="57"/>
      <c r="F1144" s="57"/>
      <c r="G1144" s="57"/>
      <c r="H1144" s="57"/>
      <c r="M1144" s="23">
        <v>1</v>
      </c>
    </row>
    <row r="1145" spans="2:13" ht="18">
      <c r="B1145" s="57"/>
      <c r="C1145" s="57"/>
      <c r="D1145" s="57"/>
      <c r="E1145" s="57"/>
      <c r="F1145" s="57"/>
      <c r="G1145" s="57"/>
      <c r="H1145" s="57"/>
      <c r="M1145" s="23">
        <v>1</v>
      </c>
    </row>
    <row r="1146" spans="2:13" ht="18">
      <c r="B1146" s="57"/>
      <c r="C1146" s="57"/>
      <c r="D1146" s="57"/>
      <c r="E1146" s="57"/>
      <c r="F1146" s="57"/>
      <c r="G1146" s="57"/>
      <c r="H1146" s="57"/>
      <c r="M1146" s="23">
        <v>1</v>
      </c>
    </row>
    <row r="1147" spans="2:13" ht="18">
      <c r="B1147" s="57"/>
      <c r="C1147" s="57"/>
      <c r="D1147" s="57"/>
      <c r="E1147" s="57"/>
      <c r="F1147" s="57"/>
      <c r="G1147" s="57"/>
      <c r="H1147" s="57"/>
      <c r="M1147" s="23">
        <v>1</v>
      </c>
    </row>
    <row r="1148" spans="2:13" ht="18">
      <c r="B1148" s="57"/>
      <c r="C1148" s="57"/>
      <c r="D1148" s="57"/>
      <c r="E1148" s="57"/>
      <c r="F1148" s="57"/>
      <c r="G1148" s="57"/>
      <c r="H1148" s="57"/>
      <c r="M1148" s="23">
        <v>1</v>
      </c>
    </row>
    <row r="1149" spans="2:13" ht="18">
      <c r="B1149" s="57"/>
      <c r="C1149" s="57"/>
      <c r="D1149" s="57"/>
      <c r="E1149" s="57"/>
      <c r="F1149" s="57"/>
      <c r="G1149" s="57"/>
      <c r="H1149" s="57"/>
      <c r="M1149" s="23">
        <v>1</v>
      </c>
    </row>
    <row r="1150" spans="2:13" ht="18">
      <c r="B1150" s="57"/>
      <c r="C1150" s="57"/>
      <c r="D1150" s="57"/>
      <c r="E1150" s="57"/>
      <c r="F1150" s="57"/>
      <c r="G1150" s="57"/>
      <c r="H1150" s="57"/>
      <c r="M1150" s="23">
        <v>1</v>
      </c>
    </row>
    <row r="1151" spans="2:13" ht="18">
      <c r="B1151" s="57"/>
      <c r="C1151" s="57"/>
      <c r="D1151" s="57"/>
      <c r="E1151" s="57"/>
      <c r="F1151" s="57"/>
      <c r="G1151" s="57"/>
      <c r="H1151" s="57"/>
      <c r="M1151" s="23">
        <v>1</v>
      </c>
    </row>
    <row r="1152" spans="2:13" ht="18">
      <c r="B1152" s="57"/>
      <c r="C1152" s="57"/>
      <c r="D1152" s="57"/>
      <c r="E1152" s="57"/>
      <c r="F1152" s="57"/>
      <c r="G1152" s="57"/>
      <c r="H1152" s="57"/>
      <c r="M1152" s="23">
        <v>1</v>
      </c>
    </row>
    <row r="1153" spans="2:13" ht="18">
      <c r="B1153" s="57"/>
      <c r="C1153" s="57"/>
      <c r="D1153" s="57"/>
      <c r="E1153" s="57"/>
      <c r="F1153" s="57"/>
      <c r="G1153" s="57"/>
      <c r="H1153" s="57"/>
      <c r="M1153" s="23">
        <v>1</v>
      </c>
    </row>
    <row r="1154" spans="2:13" ht="18">
      <c r="B1154" s="57"/>
      <c r="C1154" s="57"/>
      <c r="D1154" s="57"/>
      <c r="E1154" s="57"/>
      <c r="F1154" s="57"/>
      <c r="G1154" s="57"/>
      <c r="H1154" s="57"/>
      <c r="M1154" s="23">
        <v>1</v>
      </c>
    </row>
    <row r="1155" spans="2:13" ht="18">
      <c r="B1155" s="57"/>
      <c r="C1155" s="57"/>
      <c r="D1155" s="57"/>
      <c r="E1155" s="57"/>
      <c r="F1155" s="57"/>
      <c r="G1155" s="57"/>
      <c r="H1155" s="57"/>
      <c r="M1155" s="23">
        <v>1</v>
      </c>
    </row>
    <row r="1156" spans="2:13" ht="18">
      <c r="B1156" s="57"/>
      <c r="C1156" s="57"/>
      <c r="D1156" s="57"/>
      <c r="E1156" s="57"/>
      <c r="F1156" s="57"/>
      <c r="G1156" s="57"/>
      <c r="H1156" s="57"/>
      <c r="M1156" s="23">
        <v>1</v>
      </c>
    </row>
    <row r="1157" spans="2:13" ht="18">
      <c r="B1157" s="57"/>
      <c r="C1157" s="57"/>
      <c r="D1157" s="57"/>
      <c r="E1157" s="57"/>
      <c r="F1157" s="57"/>
      <c r="G1157" s="57"/>
      <c r="H1157" s="57"/>
      <c r="M1157" s="23">
        <v>1</v>
      </c>
    </row>
    <row r="1158" spans="2:13" ht="18">
      <c r="B1158" s="57"/>
      <c r="C1158" s="57"/>
      <c r="D1158" s="57"/>
      <c r="E1158" s="57"/>
      <c r="F1158" s="57"/>
      <c r="G1158" s="57"/>
      <c r="H1158" s="57"/>
      <c r="M1158" s="23">
        <v>1</v>
      </c>
    </row>
    <row r="1159" spans="2:13" ht="18">
      <c r="B1159" s="57"/>
      <c r="C1159" s="57"/>
      <c r="D1159" s="57"/>
      <c r="E1159" s="57"/>
      <c r="F1159" s="57"/>
      <c r="G1159" s="57"/>
      <c r="H1159" s="57"/>
      <c r="M1159" s="23">
        <v>1</v>
      </c>
    </row>
    <row r="1160" spans="2:13" ht="18">
      <c r="B1160" s="57"/>
      <c r="C1160" s="57"/>
      <c r="D1160" s="57"/>
      <c r="E1160" s="57"/>
      <c r="F1160" s="57"/>
      <c r="G1160" s="57"/>
      <c r="H1160" s="57"/>
      <c r="M1160" s="23">
        <v>1</v>
      </c>
    </row>
    <row r="1161" spans="2:13" ht="18">
      <c r="B1161" s="57"/>
      <c r="C1161" s="57"/>
      <c r="D1161" s="57"/>
      <c r="E1161" s="57"/>
      <c r="F1161" s="57"/>
      <c r="G1161" s="57"/>
      <c r="H1161" s="57"/>
      <c r="M1161" s="23">
        <v>1</v>
      </c>
    </row>
    <row r="1162" spans="2:13" ht="18">
      <c r="B1162" s="57"/>
      <c r="C1162" s="57"/>
      <c r="D1162" s="57"/>
      <c r="E1162" s="57"/>
      <c r="F1162" s="57"/>
      <c r="G1162" s="57"/>
      <c r="H1162" s="57"/>
      <c r="M1162" s="23">
        <v>1</v>
      </c>
    </row>
    <row r="1163" spans="2:13" ht="18">
      <c r="B1163" s="57"/>
      <c r="C1163" s="57"/>
      <c r="D1163" s="57"/>
      <c r="E1163" s="57"/>
      <c r="F1163" s="57"/>
      <c r="G1163" s="57"/>
      <c r="H1163" s="57"/>
      <c r="M1163" s="23">
        <v>1</v>
      </c>
    </row>
    <row r="1164" spans="2:13" ht="18">
      <c r="B1164" s="57"/>
      <c r="C1164" s="57"/>
      <c r="D1164" s="57"/>
      <c r="E1164" s="57"/>
      <c r="F1164" s="57"/>
      <c r="G1164" s="57"/>
      <c r="H1164" s="57"/>
      <c r="M1164" s="23">
        <v>1</v>
      </c>
    </row>
    <row r="1165" spans="2:13" ht="18">
      <c r="B1165" s="57"/>
      <c r="C1165" s="57"/>
      <c r="D1165" s="57"/>
      <c r="E1165" s="57"/>
      <c r="F1165" s="57"/>
      <c r="G1165" s="57"/>
      <c r="H1165" s="57"/>
      <c r="M1165" s="23">
        <v>1</v>
      </c>
    </row>
    <row r="1166" spans="2:13" ht="18">
      <c r="B1166" s="57"/>
      <c r="C1166" s="57"/>
      <c r="D1166" s="57"/>
      <c r="E1166" s="57"/>
      <c r="F1166" s="57"/>
      <c r="G1166" s="57"/>
      <c r="H1166" s="57"/>
      <c r="M1166" s="23">
        <v>1</v>
      </c>
    </row>
    <row r="1167" spans="2:13" ht="18">
      <c r="B1167" s="57"/>
      <c r="C1167" s="57"/>
      <c r="D1167" s="57"/>
      <c r="E1167" s="57"/>
      <c r="F1167" s="57"/>
      <c r="G1167" s="57"/>
      <c r="H1167" s="57"/>
      <c r="M1167" s="23">
        <v>1</v>
      </c>
    </row>
    <row r="1168" spans="2:13" ht="18">
      <c r="B1168" s="57"/>
      <c r="C1168" s="57"/>
      <c r="D1168" s="57"/>
      <c r="E1168" s="57"/>
      <c r="F1168" s="57"/>
      <c r="G1168" s="57"/>
      <c r="H1168" s="57"/>
      <c r="M1168" s="23">
        <v>1</v>
      </c>
    </row>
    <row r="1169" spans="2:13" ht="18">
      <c r="B1169" s="57"/>
      <c r="C1169" s="57"/>
      <c r="D1169" s="57"/>
      <c r="E1169" s="57"/>
      <c r="F1169" s="57"/>
      <c r="G1169" s="57"/>
      <c r="H1169" s="57"/>
      <c r="M1169" s="23">
        <v>1</v>
      </c>
    </row>
    <row r="1170" spans="2:13" ht="18">
      <c r="B1170" s="57"/>
      <c r="C1170" s="57"/>
      <c r="D1170" s="57"/>
      <c r="E1170" s="57"/>
      <c r="F1170" s="57"/>
      <c r="G1170" s="57"/>
      <c r="H1170" s="57"/>
      <c r="M1170" s="23">
        <v>1</v>
      </c>
    </row>
    <row r="1171" spans="2:13" ht="18">
      <c r="B1171" s="57"/>
      <c r="C1171" s="57"/>
      <c r="D1171" s="57"/>
      <c r="E1171" s="57"/>
      <c r="F1171" s="57"/>
      <c r="G1171" s="57"/>
      <c r="H1171" s="57"/>
      <c r="M1171" s="23">
        <v>1</v>
      </c>
    </row>
    <row r="1172" spans="2:13" ht="18">
      <c r="B1172" s="57"/>
      <c r="C1172" s="57"/>
      <c r="D1172" s="57"/>
      <c r="E1172" s="57"/>
      <c r="F1172" s="57"/>
      <c r="G1172" s="57"/>
      <c r="H1172" s="57"/>
      <c r="M1172" s="23">
        <v>1</v>
      </c>
    </row>
    <row r="1173" spans="2:13" ht="18">
      <c r="B1173" s="57"/>
      <c r="C1173" s="57"/>
      <c r="D1173" s="57"/>
      <c r="E1173" s="57"/>
      <c r="F1173" s="57"/>
      <c r="G1173" s="57"/>
      <c r="H1173" s="57"/>
      <c r="M1173" s="23">
        <v>1</v>
      </c>
    </row>
    <row r="1174" spans="2:13" ht="18">
      <c r="B1174" s="57"/>
      <c r="C1174" s="57"/>
      <c r="D1174" s="57"/>
      <c r="E1174" s="57"/>
      <c r="F1174" s="57"/>
      <c r="G1174" s="57"/>
      <c r="H1174" s="57"/>
      <c r="M1174" s="23">
        <v>1</v>
      </c>
    </row>
    <row r="1175" spans="2:13" ht="18">
      <c r="B1175" s="57"/>
      <c r="C1175" s="57"/>
      <c r="D1175" s="57"/>
      <c r="E1175" s="57"/>
      <c r="F1175" s="57"/>
      <c r="G1175" s="57"/>
      <c r="H1175" s="57"/>
      <c r="M1175" s="23">
        <v>1</v>
      </c>
    </row>
    <row r="1176" spans="2:13" ht="18">
      <c r="B1176" s="57"/>
      <c r="C1176" s="57"/>
      <c r="D1176" s="57"/>
      <c r="E1176" s="57"/>
      <c r="F1176" s="57"/>
      <c r="G1176" s="57"/>
      <c r="H1176" s="57"/>
      <c r="M1176" s="23">
        <v>1</v>
      </c>
    </row>
    <row r="1177" spans="2:13" ht="18">
      <c r="B1177" s="57"/>
      <c r="C1177" s="57"/>
      <c r="D1177" s="57"/>
      <c r="E1177" s="57"/>
      <c r="F1177" s="57"/>
      <c r="G1177" s="57"/>
      <c r="H1177" s="57"/>
      <c r="M1177" s="23">
        <v>1</v>
      </c>
    </row>
    <row r="1178" spans="2:13" ht="18">
      <c r="B1178" s="57"/>
      <c r="C1178" s="57"/>
      <c r="D1178" s="57"/>
      <c r="E1178" s="57"/>
      <c r="F1178" s="57"/>
      <c r="G1178" s="57"/>
      <c r="H1178" s="57"/>
      <c r="M1178" s="23">
        <v>1</v>
      </c>
    </row>
    <row r="1179" spans="2:13" ht="18">
      <c r="B1179" s="57"/>
      <c r="C1179" s="57"/>
      <c r="D1179" s="57"/>
      <c r="E1179" s="57"/>
      <c r="F1179" s="57"/>
      <c r="G1179" s="57"/>
      <c r="H1179" s="57"/>
      <c r="M1179" s="23">
        <v>1</v>
      </c>
    </row>
    <row r="1180" spans="2:13" ht="18">
      <c r="B1180" s="57"/>
      <c r="C1180" s="57"/>
      <c r="D1180" s="57"/>
      <c r="E1180" s="57"/>
      <c r="F1180" s="57"/>
      <c r="G1180" s="57"/>
      <c r="H1180" s="57"/>
      <c r="M1180" s="23">
        <v>1</v>
      </c>
    </row>
    <row r="1181" spans="2:13" ht="18">
      <c r="B1181" s="57"/>
      <c r="C1181" s="57"/>
      <c r="D1181" s="57"/>
      <c r="E1181" s="57"/>
      <c r="F1181" s="57"/>
      <c r="G1181" s="57"/>
      <c r="H1181" s="57"/>
      <c r="M1181" s="23">
        <v>1</v>
      </c>
    </row>
    <row r="1182" spans="2:13" ht="18">
      <c r="B1182" s="57"/>
      <c r="C1182" s="57"/>
      <c r="D1182" s="57"/>
      <c r="E1182" s="57"/>
      <c r="F1182" s="57"/>
      <c r="G1182" s="57"/>
      <c r="H1182" s="57"/>
      <c r="M1182" s="23">
        <v>1</v>
      </c>
    </row>
    <row r="1183" spans="2:13" ht="18">
      <c r="B1183" s="57"/>
      <c r="C1183" s="57"/>
      <c r="D1183" s="57"/>
      <c r="E1183" s="57"/>
      <c r="F1183" s="57"/>
      <c r="G1183" s="57"/>
      <c r="H1183" s="57"/>
      <c r="M1183" s="23">
        <v>1</v>
      </c>
    </row>
    <row r="1184" spans="2:13" ht="18">
      <c r="B1184" s="57"/>
      <c r="C1184" s="57"/>
      <c r="D1184" s="57"/>
      <c r="E1184" s="57"/>
      <c r="F1184" s="57"/>
      <c r="G1184" s="57"/>
      <c r="H1184" s="57"/>
      <c r="M1184" s="23">
        <v>1</v>
      </c>
    </row>
    <row r="1185" spans="2:13" ht="18">
      <c r="B1185" s="57"/>
      <c r="C1185" s="57"/>
      <c r="D1185" s="57"/>
      <c r="E1185" s="57"/>
      <c r="F1185" s="57"/>
      <c r="G1185" s="57"/>
      <c r="H1185" s="57"/>
      <c r="M1185" s="23">
        <v>1</v>
      </c>
    </row>
    <row r="1186" spans="2:13" ht="18">
      <c r="B1186" s="57"/>
      <c r="C1186" s="57"/>
      <c r="D1186" s="57"/>
      <c r="E1186" s="57"/>
      <c r="F1186" s="57"/>
      <c r="G1186" s="57"/>
      <c r="H1186" s="57"/>
      <c r="M1186" s="23">
        <v>1</v>
      </c>
    </row>
    <row r="1187" spans="2:13" ht="18">
      <c r="B1187" s="57"/>
      <c r="C1187" s="57"/>
      <c r="D1187" s="57"/>
      <c r="E1187" s="57"/>
      <c r="F1187" s="57"/>
      <c r="G1187" s="57"/>
      <c r="H1187" s="57"/>
      <c r="M1187" s="23">
        <v>1</v>
      </c>
    </row>
    <row r="1188" spans="2:13" ht="18">
      <c r="B1188" s="57"/>
      <c r="C1188" s="57"/>
      <c r="D1188" s="57"/>
      <c r="E1188" s="57"/>
      <c r="F1188" s="57"/>
      <c r="G1188" s="57"/>
      <c r="H1188" s="57"/>
      <c r="M1188" s="23">
        <v>1</v>
      </c>
    </row>
    <row r="1189" spans="2:13" ht="27.75" thickBot="1">
      <c r="B1189" s="29" t="s">
        <v>3</v>
      </c>
      <c r="C1189" s="29" t="s">
        <v>3</v>
      </c>
      <c r="D1189" s="29" t="s">
        <v>3</v>
      </c>
      <c r="E1189" s="30" t="s">
        <v>3</v>
      </c>
      <c r="F1189" s="30" t="s">
        <v>3</v>
      </c>
      <c r="G1189" s="30" t="s">
        <v>3</v>
      </c>
      <c r="H1189" s="30" t="s">
        <v>3</v>
      </c>
      <c r="M1189" s="23" t="s">
        <v>3</v>
      </c>
    </row>
    <row r="1190" spans="2:13" ht="13.5" thickTop="1"/>
  </sheetData>
  <sheetProtection sheet="1" objects="1" scenarios="1" selectLockedCells="1"/>
  <customSheetViews>
    <customSheetView guid="{2387E3E5-DC3A-4E55-B9FB-E509729F4507}" showGridLines="0" showRowCol="0">
      <pane ySplit="8" topLeftCell="A285" activePane="bottomLeft" state="frozen"/>
      <selection pane="bottomLeft" activeCell="I2" sqref="I2"/>
      <pageMargins left="0.7" right="0.7" top="0.75" bottom="0.75" header="0.3" footer="0.3"/>
    </customSheetView>
    <customSheetView guid="{E8E9C221-0224-4E73-8F39-1821F41C5BD3}" showGridLines="0" showRowCol="0">
      <pane ySplit="8" topLeftCell="A9" activePane="bottomLeft" state="frozen"/>
      <selection pane="bottomLeft" activeCell="I4" sqref="I4"/>
      <pageMargins left="0.7" right="0.7" top="0.75" bottom="0.75" header="0.3" footer="0.3"/>
    </customSheetView>
  </customSheetViews>
  <mergeCells count="5">
    <mergeCell ref="N9:O9"/>
    <mergeCell ref="P8:R8"/>
    <mergeCell ref="S8:U8"/>
    <mergeCell ref="V8:X8"/>
    <mergeCell ref="Y8:AA8"/>
  </mergeCells>
  <dataValidations count="4">
    <dataValidation type="list" allowBlank="1" showDropDown="1" showInputMessage="1" showErrorMessage="1" sqref="D9:D1188">
      <formula1>$O$10:$O$29</formula1>
    </dataValidation>
    <dataValidation type="list" allowBlank="1" showDropDown="1" showInputMessage="1" showErrorMessage="1" sqref="C9:C1188">
      <formula1>$O$32:$O$90</formula1>
    </dataValidation>
    <dataValidation type="list" allowBlank="1" showDropDown="1" showInputMessage="1" showErrorMessage="1" sqref="B9:B1188">
      <formula1>$C$6</formula1>
    </dataValidation>
    <dataValidation allowBlank="1" showInputMessage="1" showErrorMessage="1" errorTitle="Dato no valido" error="El valor esta fuera de rango [0,30] o No es un numero" sqref="E9:H1188"/>
  </dataValidations>
  <hyperlinks>
    <hyperlink ref="I2" location="PPrincipal!A1" display="* Pagina Principal"/>
    <hyperlink ref="I4" location="Miranda!A1" display="Miranda"/>
    <hyperlink ref="I3" location="'A Mayor'!A1" display="Alcaldía Mayor"/>
    <hyperlink ref="I5" location="Vargas!A1" display="Vargas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3" sqref="J3"/>
    </sheetView>
  </sheetViews>
  <sheetFormatPr baseColWidth="10" defaultColWidth="15.7109375" defaultRowHeight="22.5" customHeight="1"/>
  <cols>
    <col min="1" max="16384" width="15.7109375" style="58"/>
  </cols>
  <sheetData>
    <row r="1" spans="1:11" ht="15" customHeight="1">
      <c r="J1" s="86"/>
    </row>
    <row r="2" spans="1:11" ht="15" customHeight="1">
      <c r="J2" s="88" t="s">
        <v>8</v>
      </c>
      <c r="K2" s="116"/>
    </row>
    <row r="3" spans="1:11" ht="15" customHeight="1">
      <c r="J3" s="88" t="s">
        <v>24</v>
      </c>
      <c r="K3" s="116"/>
    </row>
    <row r="4" spans="1:11" ht="15" customHeight="1">
      <c r="J4" s="88" t="s">
        <v>49</v>
      </c>
      <c r="K4" s="116"/>
    </row>
    <row r="5" spans="1:11" ht="15" customHeight="1">
      <c r="G5" s="61"/>
      <c r="J5" s="88" t="s">
        <v>50</v>
      </c>
      <c r="K5" s="116"/>
    </row>
    <row r="6" spans="1:11" ht="15" customHeight="1">
      <c r="A6" s="171" t="s">
        <v>95</v>
      </c>
      <c r="B6" s="171"/>
      <c r="C6" s="171"/>
      <c r="D6" s="171"/>
      <c r="E6" s="171"/>
      <c r="F6" s="171"/>
    </row>
    <row r="25" spans="2:7" ht="22.5" customHeight="1">
      <c r="B25" s="171"/>
      <c r="C25" s="171"/>
      <c r="D25" s="171"/>
      <c r="E25" s="171"/>
      <c r="F25" s="171"/>
      <c r="G25" s="171"/>
    </row>
    <row r="44" spans="7:7" ht="22.5" customHeight="1">
      <c r="G44" s="61"/>
    </row>
  </sheetData>
  <customSheetViews>
    <customSheetView guid="{2387E3E5-DC3A-4E55-B9FB-E509729F4507}" showPageBreaks="1" showGridLines="0" showRowCol="0" printArea="1" view="pageBreakPreview">
      <selection activeCell="J2" sqref="J2"/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verticalDpi="0" r:id="rId1"/>
    </customSheetView>
    <customSheetView guid="{E8E9C221-0224-4E73-8F39-1821F41C5BD3}" showGridLines="0" showRowCol="0">
      <selection activeCell="J3" sqref="J3"/>
      <pageMargins left="0.7" right="0.7" top="0.75" bottom="0.75" header="0.3" footer="0.3"/>
    </customSheetView>
  </customSheetViews>
  <mergeCells count="2">
    <mergeCell ref="A6:F6"/>
    <mergeCell ref="B25:G25"/>
  </mergeCells>
  <hyperlinks>
    <hyperlink ref="J2" location="PPrincipal!A1" display="* Pagina Principal"/>
    <hyperlink ref="J4" location="GMiranda!A1" display="Miranda"/>
    <hyperlink ref="J3" location="'GA Mayor'!A1" display="Alcaldía Mayor"/>
    <hyperlink ref="J5" location="GVargas!A1" display="Vargas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91"/>
  <sheetViews>
    <sheetView showGridLines="0" showRowColHeaders="0" workbookViewId="0">
      <selection activeCell="Y3" sqref="Y3"/>
    </sheetView>
  </sheetViews>
  <sheetFormatPr baseColWidth="10" defaultRowHeight="15" customHeight="1"/>
  <cols>
    <col min="1" max="1" width="0.85546875" style="72" customWidth="1"/>
    <col min="2" max="2" width="7.7109375" style="72" customWidth="1"/>
    <col min="3" max="13" width="5.5703125" style="72" customWidth="1"/>
    <col min="14" max="14" width="5.5703125" style="73" customWidth="1"/>
    <col min="15" max="22" width="5.5703125" style="72" customWidth="1"/>
    <col min="23" max="23" width="1" style="72" customWidth="1"/>
    <col min="24" max="24" width="13.7109375" style="72" customWidth="1"/>
    <col min="25" max="25" width="11.28515625" style="72" customWidth="1"/>
    <col min="26" max="26" width="13.140625" style="72" customWidth="1"/>
    <col min="27" max="27" width="11" style="72" customWidth="1"/>
    <col min="28" max="28" width="6.5703125" style="72" customWidth="1"/>
    <col min="29" max="44" width="5" style="72" customWidth="1"/>
    <col min="45" max="45" width="3.140625" style="72" customWidth="1"/>
    <col min="46" max="48" width="11.28515625" style="72" customWidth="1"/>
    <col min="49" max="16384" width="11.42578125" style="72"/>
  </cols>
  <sheetData>
    <row r="1" spans="1:36" ht="31.5" customHeight="1">
      <c r="B1" s="172" t="s">
        <v>96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</row>
    <row r="2" spans="1:36" ht="15" customHeight="1">
      <c r="X2" s="93"/>
      <c r="Y2" s="88" t="s">
        <v>8</v>
      </c>
      <c r="Z2" s="93"/>
      <c r="AA2" s="94"/>
      <c r="AB2" s="96"/>
    </row>
    <row r="3" spans="1:36" ht="15" customHeight="1">
      <c r="X3" s="93"/>
      <c r="Y3" s="88" t="s">
        <v>24</v>
      </c>
      <c r="AA3" s="94"/>
      <c r="AB3" s="96"/>
    </row>
    <row r="4" spans="1:36" ht="15" customHeight="1">
      <c r="X4" s="93"/>
      <c r="Y4" s="88" t="s">
        <v>49</v>
      </c>
      <c r="Z4" s="93"/>
      <c r="AA4" s="94"/>
      <c r="AB4" s="96"/>
    </row>
    <row r="5" spans="1:36" ht="15" customHeight="1">
      <c r="X5" s="93"/>
      <c r="Y5" s="88" t="s">
        <v>50</v>
      </c>
      <c r="Z5" s="93"/>
      <c r="AA5" s="94"/>
      <c r="AB5" s="96"/>
    </row>
    <row r="6" spans="1:36" s="1" customFormat="1" ht="15" customHeight="1" thickBot="1">
      <c r="A6" s="62"/>
      <c r="B6" s="69"/>
      <c r="C6" s="69"/>
      <c r="E6" s="69"/>
      <c r="F6" s="69"/>
      <c r="G6" s="69"/>
      <c r="H6" s="69"/>
      <c r="I6" s="69"/>
      <c r="J6" s="69"/>
      <c r="K6" s="69"/>
      <c r="L6" s="72"/>
      <c r="M6" s="72"/>
      <c r="N6" s="73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</row>
    <row r="7" spans="1:36" s="70" customFormat="1" ht="15" customHeight="1">
      <c r="A7" s="63"/>
      <c r="B7" s="124" t="s">
        <v>0</v>
      </c>
      <c r="C7" s="89">
        <v>0.3125</v>
      </c>
      <c r="D7" s="90">
        <v>0.33333333333333298</v>
      </c>
      <c r="E7" s="90">
        <v>0.35416666666666702</v>
      </c>
      <c r="F7" s="90">
        <v>0.375</v>
      </c>
      <c r="G7" s="90">
        <v>0.39583333333333298</v>
      </c>
      <c r="H7" s="90">
        <v>0.41666666666666702</v>
      </c>
      <c r="I7" s="90">
        <v>0.4375</v>
      </c>
      <c r="J7" s="90">
        <v>0.45833333333333298</v>
      </c>
      <c r="K7" s="90">
        <v>0.47916666666666702</v>
      </c>
      <c r="L7" s="90">
        <v>0.5</v>
      </c>
      <c r="M7" s="90">
        <v>0.52083333333333304</v>
      </c>
      <c r="N7" s="90">
        <v>4.1666666666666664E-2</v>
      </c>
      <c r="O7" s="90">
        <v>6.25E-2</v>
      </c>
      <c r="P7" s="90">
        <v>8.3333333333333329E-2</v>
      </c>
      <c r="Q7" s="90">
        <v>0.104166666666667</v>
      </c>
      <c r="R7" s="90">
        <v>0.125</v>
      </c>
      <c r="S7" s="90">
        <v>0.14583333333333301</v>
      </c>
      <c r="T7" s="90">
        <v>0.16666666666666599</v>
      </c>
      <c r="U7" s="90">
        <v>0.187499999999999</v>
      </c>
      <c r="V7" s="91">
        <v>0.20833333333333201</v>
      </c>
      <c r="W7" s="72"/>
      <c r="X7" s="177" t="s">
        <v>7</v>
      </c>
      <c r="Y7" s="173" t="s">
        <v>91</v>
      </c>
      <c r="Z7" s="173" t="s">
        <v>92</v>
      </c>
      <c r="AA7" s="173" t="s">
        <v>93</v>
      </c>
      <c r="AB7" s="175" t="s">
        <v>4</v>
      </c>
    </row>
    <row r="8" spans="1:36" ht="15" customHeight="1" thickBot="1">
      <c r="B8" s="155" t="s">
        <v>2</v>
      </c>
      <c r="C8" s="98">
        <v>1</v>
      </c>
      <c r="D8" s="99">
        <v>2</v>
      </c>
      <c r="E8" s="99">
        <v>3</v>
      </c>
      <c r="F8" s="99">
        <v>4</v>
      </c>
      <c r="G8" s="99">
        <v>5</v>
      </c>
      <c r="H8" s="99">
        <v>6</v>
      </c>
      <c r="I8" s="99">
        <v>7</v>
      </c>
      <c r="J8" s="99">
        <v>8</v>
      </c>
      <c r="K8" s="99">
        <v>9</v>
      </c>
      <c r="L8" s="99">
        <v>10</v>
      </c>
      <c r="M8" s="99">
        <v>11</v>
      </c>
      <c r="N8" s="99">
        <v>12</v>
      </c>
      <c r="O8" s="99">
        <v>13</v>
      </c>
      <c r="P8" s="99">
        <v>14</v>
      </c>
      <c r="Q8" s="99">
        <v>15</v>
      </c>
      <c r="R8" s="99">
        <v>16</v>
      </c>
      <c r="S8" s="99">
        <v>17</v>
      </c>
      <c r="T8" s="99">
        <v>18</v>
      </c>
      <c r="U8" s="99">
        <v>19</v>
      </c>
      <c r="V8" s="103">
        <v>20</v>
      </c>
      <c r="X8" s="178"/>
      <c r="Y8" s="174" t="s">
        <v>91</v>
      </c>
      <c r="Z8" s="174" t="s">
        <v>92</v>
      </c>
      <c r="AA8" s="174" t="s">
        <v>93</v>
      </c>
      <c r="AB8" s="176" t="s">
        <v>4</v>
      </c>
      <c r="AE8" s="73"/>
      <c r="AF8" s="73"/>
      <c r="AG8" s="73"/>
      <c r="AH8" s="73"/>
      <c r="AI8" s="73"/>
      <c r="AJ8" s="73"/>
    </row>
    <row r="9" spans="1:36" ht="15" customHeight="1">
      <c r="B9" s="124">
        <v>1</v>
      </c>
      <c r="C9" s="77">
        <f t="shared" ref="C9:L18" si="0">SUMIFS(SumaLI,CentroLI,$B9,TurnoLI,C$8)</f>
        <v>0</v>
      </c>
      <c r="D9" s="77">
        <f t="shared" si="0"/>
        <v>0</v>
      </c>
      <c r="E9" s="77">
        <f t="shared" si="0"/>
        <v>0</v>
      </c>
      <c r="F9" s="77">
        <f t="shared" si="0"/>
        <v>0</v>
      </c>
      <c r="G9" s="77">
        <f t="shared" si="0"/>
        <v>0</v>
      </c>
      <c r="H9" s="77">
        <f t="shared" si="0"/>
        <v>0</v>
      </c>
      <c r="I9" s="77">
        <f t="shared" si="0"/>
        <v>0</v>
      </c>
      <c r="J9" s="77">
        <f t="shared" si="0"/>
        <v>0</v>
      </c>
      <c r="K9" s="77">
        <f t="shared" si="0"/>
        <v>0</v>
      </c>
      <c r="L9" s="77">
        <f t="shared" si="0"/>
        <v>0</v>
      </c>
      <c r="M9" s="77">
        <f t="shared" ref="M9:V18" si="1">SUMIFS(SumaLI,CentroLI,$B9,TurnoLI,M$8)</f>
        <v>0</v>
      </c>
      <c r="N9" s="77">
        <f t="shared" si="1"/>
        <v>0</v>
      </c>
      <c r="O9" s="77">
        <f t="shared" si="1"/>
        <v>0</v>
      </c>
      <c r="P9" s="77">
        <f t="shared" si="1"/>
        <v>0</v>
      </c>
      <c r="Q9" s="77">
        <f t="shared" si="1"/>
        <v>0</v>
      </c>
      <c r="R9" s="77">
        <f t="shared" si="1"/>
        <v>0</v>
      </c>
      <c r="S9" s="77">
        <f t="shared" si="1"/>
        <v>0</v>
      </c>
      <c r="T9" s="77">
        <f t="shared" si="1"/>
        <v>0</v>
      </c>
      <c r="U9" s="77">
        <f t="shared" si="1"/>
        <v>0</v>
      </c>
      <c r="V9" s="77">
        <f t="shared" si="1"/>
        <v>0</v>
      </c>
      <c r="X9" s="145" t="s">
        <v>27</v>
      </c>
      <c r="Y9" s="127">
        <f t="shared" ref="Y9:Y40" si="2">SUMIF(CentroLI,$B9,Jorge_Rodriguez)</f>
        <v>0</v>
      </c>
      <c r="Z9" s="127">
        <f t="shared" ref="Z9:Z40" si="3">SUMIF(CentroLI,$B9,Stalin_Gonzalez)</f>
        <v>0</v>
      </c>
      <c r="AA9" s="127">
        <f t="shared" ref="AA9:AA40" si="4">SUMIF(CentroLI,$B9,Claudio_Fermin)</f>
        <v>0</v>
      </c>
      <c r="AB9" s="147">
        <f t="shared" ref="AB9:AB67" si="5">SUMIF(CentroLI,$B9,OtroLI)</f>
        <v>0</v>
      </c>
    </row>
    <row r="10" spans="1:36" ht="15" customHeight="1">
      <c r="B10" s="78">
        <v>2</v>
      </c>
      <c r="C10" s="77">
        <f t="shared" si="0"/>
        <v>0</v>
      </c>
      <c r="D10" s="77">
        <f t="shared" si="0"/>
        <v>2</v>
      </c>
      <c r="E10" s="77">
        <f t="shared" si="0"/>
        <v>2</v>
      </c>
      <c r="F10" s="77">
        <f t="shared" si="0"/>
        <v>1</v>
      </c>
      <c r="G10" s="77">
        <f t="shared" si="0"/>
        <v>1</v>
      </c>
      <c r="H10" s="77">
        <f t="shared" si="0"/>
        <v>1</v>
      </c>
      <c r="I10" s="77">
        <f t="shared" si="0"/>
        <v>1</v>
      </c>
      <c r="J10" s="77">
        <f t="shared" si="0"/>
        <v>1</v>
      </c>
      <c r="K10" s="77">
        <f t="shared" si="0"/>
        <v>2</v>
      </c>
      <c r="L10" s="77">
        <f t="shared" si="0"/>
        <v>1</v>
      </c>
      <c r="M10" s="77">
        <f t="shared" si="1"/>
        <v>1</v>
      </c>
      <c r="N10" s="77">
        <f t="shared" si="1"/>
        <v>1</v>
      </c>
      <c r="O10" s="77">
        <f t="shared" si="1"/>
        <v>1</v>
      </c>
      <c r="P10" s="77">
        <f t="shared" si="1"/>
        <v>1</v>
      </c>
      <c r="Q10" s="77">
        <f t="shared" si="1"/>
        <v>0</v>
      </c>
      <c r="R10" s="77">
        <f t="shared" si="1"/>
        <v>0</v>
      </c>
      <c r="S10" s="77">
        <f t="shared" si="1"/>
        <v>0</v>
      </c>
      <c r="T10" s="77">
        <f t="shared" si="1"/>
        <v>0</v>
      </c>
      <c r="U10" s="77">
        <f t="shared" si="1"/>
        <v>0</v>
      </c>
      <c r="V10" s="77">
        <f t="shared" si="1"/>
        <v>0</v>
      </c>
      <c r="X10" s="145" t="s">
        <v>27</v>
      </c>
      <c r="Y10" s="127">
        <f t="shared" si="2"/>
        <v>112</v>
      </c>
      <c r="Z10" s="127">
        <f t="shared" si="3"/>
        <v>30</v>
      </c>
      <c r="AA10" s="127">
        <f t="shared" si="4"/>
        <v>5</v>
      </c>
      <c r="AB10" s="147">
        <f t="shared" si="5"/>
        <v>20</v>
      </c>
    </row>
    <row r="11" spans="1:36" ht="15" customHeight="1">
      <c r="B11" s="78">
        <v>3</v>
      </c>
      <c r="C11" s="77">
        <f t="shared" si="0"/>
        <v>1</v>
      </c>
      <c r="D11" s="77">
        <f t="shared" si="0"/>
        <v>0</v>
      </c>
      <c r="E11" s="77">
        <f t="shared" si="0"/>
        <v>0</v>
      </c>
      <c r="F11" s="77">
        <f t="shared" si="0"/>
        <v>0</v>
      </c>
      <c r="G11" s="77">
        <f t="shared" si="0"/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1"/>
        <v>0</v>
      </c>
      <c r="N11" s="77">
        <f t="shared" si="1"/>
        <v>0</v>
      </c>
      <c r="O11" s="77">
        <f t="shared" si="1"/>
        <v>0</v>
      </c>
      <c r="P11" s="77">
        <f t="shared" si="1"/>
        <v>0</v>
      </c>
      <c r="Q11" s="77">
        <f t="shared" si="1"/>
        <v>0</v>
      </c>
      <c r="R11" s="77">
        <f t="shared" si="1"/>
        <v>0</v>
      </c>
      <c r="S11" s="77">
        <f t="shared" si="1"/>
        <v>0</v>
      </c>
      <c r="T11" s="77">
        <f t="shared" si="1"/>
        <v>0</v>
      </c>
      <c r="U11" s="77">
        <f t="shared" si="1"/>
        <v>0</v>
      </c>
      <c r="V11" s="77">
        <f t="shared" si="1"/>
        <v>0</v>
      </c>
      <c r="X11" s="145" t="s">
        <v>27</v>
      </c>
      <c r="Y11" s="127">
        <f t="shared" si="2"/>
        <v>3</v>
      </c>
      <c r="Z11" s="127">
        <f t="shared" si="3"/>
        <v>2</v>
      </c>
      <c r="AA11" s="127">
        <f t="shared" si="4"/>
        <v>1</v>
      </c>
      <c r="AB11" s="147">
        <f t="shared" si="5"/>
        <v>0</v>
      </c>
    </row>
    <row r="12" spans="1:36" ht="15" customHeight="1">
      <c r="B12" s="78">
        <v>4</v>
      </c>
      <c r="C12" s="77">
        <f t="shared" si="0"/>
        <v>2</v>
      </c>
      <c r="D12" s="77">
        <f t="shared" si="0"/>
        <v>0</v>
      </c>
      <c r="E12" s="77">
        <f t="shared" si="0"/>
        <v>2</v>
      </c>
      <c r="F12" s="77">
        <f t="shared" si="0"/>
        <v>1</v>
      </c>
      <c r="G12" s="77">
        <f t="shared" si="0"/>
        <v>1</v>
      </c>
      <c r="H12" s="77">
        <f t="shared" si="0"/>
        <v>1</v>
      </c>
      <c r="I12" s="77">
        <f t="shared" si="0"/>
        <v>1</v>
      </c>
      <c r="J12" s="77">
        <f t="shared" si="0"/>
        <v>1</v>
      </c>
      <c r="K12" s="77">
        <f t="shared" si="0"/>
        <v>1</v>
      </c>
      <c r="L12" s="77">
        <f t="shared" si="0"/>
        <v>1</v>
      </c>
      <c r="M12" s="77">
        <f t="shared" si="1"/>
        <v>1</v>
      </c>
      <c r="N12" s="77">
        <f t="shared" si="1"/>
        <v>2</v>
      </c>
      <c r="O12" s="77">
        <f t="shared" si="1"/>
        <v>1</v>
      </c>
      <c r="P12" s="77">
        <f t="shared" si="1"/>
        <v>1</v>
      </c>
      <c r="Q12" s="77">
        <f t="shared" si="1"/>
        <v>0</v>
      </c>
      <c r="R12" s="77">
        <f t="shared" si="1"/>
        <v>0</v>
      </c>
      <c r="S12" s="77">
        <f t="shared" si="1"/>
        <v>0</v>
      </c>
      <c r="T12" s="77">
        <f t="shared" si="1"/>
        <v>0</v>
      </c>
      <c r="U12" s="77">
        <f t="shared" si="1"/>
        <v>0</v>
      </c>
      <c r="V12" s="77">
        <f t="shared" si="1"/>
        <v>0</v>
      </c>
      <c r="X12" s="145" t="s">
        <v>28</v>
      </c>
      <c r="Y12" s="127">
        <f t="shared" si="2"/>
        <v>102</v>
      </c>
      <c r="Z12" s="127">
        <f t="shared" si="3"/>
        <v>104</v>
      </c>
      <c r="AA12" s="127">
        <f t="shared" si="4"/>
        <v>13</v>
      </c>
      <c r="AB12" s="147">
        <f t="shared" si="5"/>
        <v>4</v>
      </c>
    </row>
    <row r="13" spans="1:36" ht="15" customHeight="1">
      <c r="B13" s="78">
        <v>5</v>
      </c>
      <c r="C13" s="77">
        <f t="shared" si="0"/>
        <v>0</v>
      </c>
      <c r="D13" s="77">
        <f t="shared" si="0"/>
        <v>0</v>
      </c>
      <c r="E13" s="77">
        <f t="shared" si="0"/>
        <v>0</v>
      </c>
      <c r="F13" s="77">
        <f t="shared" si="0"/>
        <v>0</v>
      </c>
      <c r="G13" s="77">
        <f t="shared" si="0"/>
        <v>0</v>
      </c>
      <c r="H13" s="77">
        <f t="shared" si="0"/>
        <v>0</v>
      </c>
      <c r="I13" s="77">
        <f t="shared" si="0"/>
        <v>0</v>
      </c>
      <c r="J13" s="77">
        <f t="shared" si="0"/>
        <v>0</v>
      </c>
      <c r="K13" s="77">
        <f t="shared" si="0"/>
        <v>0</v>
      </c>
      <c r="L13" s="77">
        <f t="shared" si="0"/>
        <v>0</v>
      </c>
      <c r="M13" s="77">
        <f t="shared" si="1"/>
        <v>0</v>
      </c>
      <c r="N13" s="77">
        <f t="shared" si="1"/>
        <v>0</v>
      </c>
      <c r="O13" s="77">
        <f t="shared" si="1"/>
        <v>0</v>
      </c>
      <c r="P13" s="77">
        <f t="shared" si="1"/>
        <v>0</v>
      </c>
      <c r="Q13" s="77">
        <f t="shared" si="1"/>
        <v>0</v>
      </c>
      <c r="R13" s="77">
        <f t="shared" si="1"/>
        <v>0</v>
      </c>
      <c r="S13" s="77">
        <f t="shared" si="1"/>
        <v>0</v>
      </c>
      <c r="T13" s="77">
        <f t="shared" si="1"/>
        <v>0</v>
      </c>
      <c r="U13" s="77">
        <f t="shared" si="1"/>
        <v>0</v>
      </c>
      <c r="V13" s="77">
        <f t="shared" si="1"/>
        <v>0</v>
      </c>
      <c r="X13" s="145" t="s">
        <v>29</v>
      </c>
      <c r="Y13" s="127">
        <f t="shared" si="2"/>
        <v>0</v>
      </c>
      <c r="Z13" s="127">
        <f t="shared" si="3"/>
        <v>0</v>
      </c>
      <c r="AA13" s="127">
        <f t="shared" si="4"/>
        <v>0</v>
      </c>
      <c r="AB13" s="147">
        <f t="shared" si="5"/>
        <v>0</v>
      </c>
    </row>
    <row r="14" spans="1:36" ht="15" customHeight="1">
      <c r="B14" s="78">
        <v>6</v>
      </c>
      <c r="C14" s="77">
        <f t="shared" si="0"/>
        <v>0</v>
      </c>
      <c r="D14" s="77">
        <f t="shared" si="0"/>
        <v>0</v>
      </c>
      <c r="E14" s="77">
        <f t="shared" si="0"/>
        <v>0</v>
      </c>
      <c r="F14" s="77">
        <f t="shared" si="0"/>
        <v>0</v>
      </c>
      <c r="G14" s="77">
        <f t="shared" si="0"/>
        <v>0</v>
      </c>
      <c r="H14" s="77">
        <f t="shared" si="0"/>
        <v>0</v>
      </c>
      <c r="I14" s="77">
        <f t="shared" si="0"/>
        <v>0</v>
      </c>
      <c r="J14" s="77">
        <f t="shared" si="0"/>
        <v>0</v>
      </c>
      <c r="K14" s="77">
        <f t="shared" si="0"/>
        <v>0</v>
      </c>
      <c r="L14" s="77">
        <f t="shared" si="0"/>
        <v>0</v>
      </c>
      <c r="M14" s="77">
        <f t="shared" si="1"/>
        <v>0</v>
      </c>
      <c r="N14" s="77">
        <f t="shared" si="1"/>
        <v>0</v>
      </c>
      <c r="O14" s="77">
        <f t="shared" si="1"/>
        <v>0</v>
      </c>
      <c r="P14" s="77">
        <f t="shared" si="1"/>
        <v>0</v>
      </c>
      <c r="Q14" s="77">
        <f t="shared" si="1"/>
        <v>0</v>
      </c>
      <c r="R14" s="77">
        <f t="shared" si="1"/>
        <v>0</v>
      </c>
      <c r="S14" s="77">
        <f t="shared" si="1"/>
        <v>0</v>
      </c>
      <c r="T14" s="77">
        <f t="shared" si="1"/>
        <v>0</v>
      </c>
      <c r="U14" s="77">
        <f t="shared" si="1"/>
        <v>0</v>
      </c>
      <c r="V14" s="77">
        <f t="shared" si="1"/>
        <v>0</v>
      </c>
      <c r="X14" s="145" t="s">
        <v>29</v>
      </c>
      <c r="Y14" s="127">
        <f t="shared" si="2"/>
        <v>0</v>
      </c>
      <c r="Z14" s="127">
        <f t="shared" si="3"/>
        <v>0</v>
      </c>
      <c r="AA14" s="127">
        <f t="shared" si="4"/>
        <v>0</v>
      </c>
      <c r="AB14" s="147">
        <f t="shared" si="5"/>
        <v>0</v>
      </c>
    </row>
    <row r="15" spans="1:36" ht="15" customHeight="1">
      <c r="B15" s="78">
        <v>7</v>
      </c>
      <c r="C15" s="77">
        <f t="shared" si="0"/>
        <v>0</v>
      </c>
      <c r="D15" s="77">
        <f t="shared" si="0"/>
        <v>0</v>
      </c>
      <c r="E15" s="77">
        <f t="shared" si="0"/>
        <v>0</v>
      </c>
      <c r="F15" s="77">
        <f t="shared" si="0"/>
        <v>0</v>
      </c>
      <c r="G15" s="77">
        <f t="shared" si="0"/>
        <v>0</v>
      </c>
      <c r="H15" s="77">
        <f t="shared" si="0"/>
        <v>0</v>
      </c>
      <c r="I15" s="77">
        <f t="shared" si="0"/>
        <v>0</v>
      </c>
      <c r="J15" s="77">
        <f t="shared" si="0"/>
        <v>0</v>
      </c>
      <c r="K15" s="77">
        <f t="shared" si="0"/>
        <v>0</v>
      </c>
      <c r="L15" s="77">
        <f t="shared" si="0"/>
        <v>0</v>
      </c>
      <c r="M15" s="77">
        <f t="shared" si="1"/>
        <v>0</v>
      </c>
      <c r="N15" s="77">
        <f t="shared" si="1"/>
        <v>0</v>
      </c>
      <c r="O15" s="77">
        <f t="shared" si="1"/>
        <v>0</v>
      </c>
      <c r="P15" s="77">
        <f t="shared" si="1"/>
        <v>0</v>
      </c>
      <c r="Q15" s="77">
        <f t="shared" si="1"/>
        <v>0</v>
      </c>
      <c r="R15" s="77">
        <f t="shared" si="1"/>
        <v>0</v>
      </c>
      <c r="S15" s="77">
        <f t="shared" si="1"/>
        <v>0</v>
      </c>
      <c r="T15" s="77">
        <f t="shared" si="1"/>
        <v>0</v>
      </c>
      <c r="U15" s="77">
        <f t="shared" si="1"/>
        <v>0</v>
      </c>
      <c r="V15" s="77">
        <f t="shared" si="1"/>
        <v>0</v>
      </c>
      <c r="X15" s="145" t="s">
        <v>29</v>
      </c>
      <c r="Y15" s="127">
        <f t="shared" si="2"/>
        <v>0</v>
      </c>
      <c r="Z15" s="127">
        <f t="shared" si="3"/>
        <v>0</v>
      </c>
      <c r="AA15" s="127">
        <f t="shared" si="4"/>
        <v>0</v>
      </c>
      <c r="AB15" s="147">
        <f t="shared" si="5"/>
        <v>0</v>
      </c>
    </row>
    <row r="16" spans="1:36" ht="15" customHeight="1">
      <c r="B16" s="78">
        <v>8</v>
      </c>
      <c r="C16" s="77">
        <f t="shared" si="0"/>
        <v>0</v>
      </c>
      <c r="D16" s="77">
        <f t="shared" si="0"/>
        <v>1</v>
      </c>
      <c r="E16" s="77">
        <f t="shared" si="0"/>
        <v>1</v>
      </c>
      <c r="F16" s="77">
        <f t="shared" si="0"/>
        <v>1</v>
      </c>
      <c r="G16" s="77">
        <f t="shared" si="0"/>
        <v>1</v>
      </c>
      <c r="H16" s="77">
        <f t="shared" si="0"/>
        <v>1</v>
      </c>
      <c r="I16" s="77">
        <f t="shared" si="0"/>
        <v>1</v>
      </c>
      <c r="J16" s="77">
        <f t="shared" si="0"/>
        <v>0</v>
      </c>
      <c r="K16" s="77">
        <f t="shared" si="0"/>
        <v>2</v>
      </c>
      <c r="L16" s="77">
        <f t="shared" si="0"/>
        <v>1</v>
      </c>
      <c r="M16" s="77">
        <f t="shared" si="1"/>
        <v>1</v>
      </c>
      <c r="N16" s="77">
        <f t="shared" si="1"/>
        <v>1</v>
      </c>
      <c r="O16" s="77">
        <f t="shared" si="1"/>
        <v>0</v>
      </c>
      <c r="P16" s="77">
        <f t="shared" si="1"/>
        <v>0</v>
      </c>
      <c r="Q16" s="77">
        <f t="shared" si="1"/>
        <v>0</v>
      </c>
      <c r="R16" s="77">
        <f t="shared" si="1"/>
        <v>0</v>
      </c>
      <c r="S16" s="77">
        <f t="shared" si="1"/>
        <v>0</v>
      </c>
      <c r="T16" s="77">
        <f t="shared" si="1"/>
        <v>0</v>
      </c>
      <c r="U16" s="77">
        <f t="shared" si="1"/>
        <v>0</v>
      </c>
      <c r="V16" s="77">
        <f t="shared" si="1"/>
        <v>0</v>
      </c>
      <c r="X16" s="145" t="s">
        <v>29</v>
      </c>
      <c r="Y16" s="127">
        <f t="shared" si="2"/>
        <v>83</v>
      </c>
      <c r="Z16" s="127">
        <f t="shared" si="3"/>
        <v>80</v>
      </c>
      <c r="AA16" s="127">
        <f t="shared" si="4"/>
        <v>15</v>
      </c>
      <c r="AB16" s="147">
        <f t="shared" si="5"/>
        <v>0</v>
      </c>
    </row>
    <row r="17" spans="2:28" ht="15" customHeight="1">
      <c r="B17" s="78">
        <v>9</v>
      </c>
      <c r="C17" s="77">
        <f t="shared" si="0"/>
        <v>0</v>
      </c>
      <c r="D17" s="77">
        <f t="shared" si="0"/>
        <v>0</v>
      </c>
      <c r="E17" s="77">
        <f t="shared" si="0"/>
        <v>1</v>
      </c>
      <c r="F17" s="77">
        <f t="shared" si="0"/>
        <v>1</v>
      </c>
      <c r="G17" s="77">
        <f t="shared" si="0"/>
        <v>1</v>
      </c>
      <c r="H17" s="77">
        <f t="shared" si="0"/>
        <v>2</v>
      </c>
      <c r="I17" s="77">
        <f t="shared" si="0"/>
        <v>0</v>
      </c>
      <c r="J17" s="77">
        <f t="shared" si="0"/>
        <v>2</v>
      </c>
      <c r="K17" s="77">
        <f t="shared" si="0"/>
        <v>1</v>
      </c>
      <c r="L17" s="77">
        <f t="shared" si="0"/>
        <v>1</v>
      </c>
      <c r="M17" s="77">
        <f t="shared" si="1"/>
        <v>1</v>
      </c>
      <c r="N17" s="77">
        <f t="shared" si="1"/>
        <v>1</v>
      </c>
      <c r="O17" s="77">
        <f t="shared" si="1"/>
        <v>2</v>
      </c>
      <c r="P17" s="77">
        <f t="shared" si="1"/>
        <v>2</v>
      </c>
      <c r="Q17" s="77">
        <f t="shared" si="1"/>
        <v>0</v>
      </c>
      <c r="R17" s="77">
        <f t="shared" si="1"/>
        <v>0</v>
      </c>
      <c r="S17" s="77">
        <f t="shared" si="1"/>
        <v>0</v>
      </c>
      <c r="T17" s="77">
        <f t="shared" si="1"/>
        <v>0</v>
      </c>
      <c r="U17" s="77">
        <f t="shared" si="1"/>
        <v>0</v>
      </c>
      <c r="V17" s="77">
        <f t="shared" si="1"/>
        <v>0</v>
      </c>
      <c r="X17" s="145" t="s">
        <v>30</v>
      </c>
      <c r="Y17" s="127">
        <f t="shared" si="2"/>
        <v>72</v>
      </c>
      <c r="Z17" s="127">
        <f t="shared" si="3"/>
        <v>283</v>
      </c>
      <c r="AA17" s="127">
        <f t="shared" si="4"/>
        <v>5</v>
      </c>
      <c r="AB17" s="147">
        <f t="shared" si="5"/>
        <v>0</v>
      </c>
    </row>
    <row r="18" spans="2:28" ht="15" customHeight="1">
      <c r="B18" s="78">
        <v>10</v>
      </c>
      <c r="C18" s="77">
        <f t="shared" si="0"/>
        <v>0</v>
      </c>
      <c r="D18" s="77">
        <f t="shared" si="0"/>
        <v>0</v>
      </c>
      <c r="E18" s="77">
        <f t="shared" si="0"/>
        <v>0</v>
      </c>
      <c r="F18" s="77">
        <f t="shared" si="0"/>
        <v>0</v>
      </c>
      <c r="G18" s="77">
        <f t="shared" si="0"/>
        <v>0</v>
      </c>
      <c r="H18" s="77">
        <f t="shared" si="0"/>
        <v>0</v>
      </c>
      <c r="I18" s="77">
        <f t="shared" si="0"/>
        <v>0</v>
      </c>
      <c r="J18" s="77">
        <f t="shared" si="0"/>
        <v>0</v>
      </c>
      <c r="K18" s="77">
        <f t="shared" si="0"/>
        <v>0</v>
      </c>
      <c r="L18" s="77">
        <f t="shared" si="0"/>
        <v>0</v>
      </c>
      <c r="M18" s="77">
        <f t="shared" si="1"/>
        <v>0</v>
      </c>
      <c r="N18" s="77">
        <f t="shared" si="1"/>
        <v>0</v>
      </c>
      <c r="O18" s="77">
        <f t="shared" si="1"/>
        <v>0</v>
      </c>
      <c r="P18" s="77">
        <f t="shared" si="1"/>
        <v>0</v>
      </c>
      <c r="Q18" s="77">
        <f t="shared" si="1"/>
        <v>0</v>
      </c>
      <c r="R18" s="77">
        <f t="shared" si="1"/>
        <v>0</v>
      </c>
      <c r="S18" s="77">
        <f t="shared" si="1"/>
        <v>0</v>
      </c>
      <c r="T18" s="77">
        <f t="shared" si="1"/>
        <v>0</v>
      </c>
      <c r="U18" s="77">
        <f t="shared" si="1"/>
        <v>0</v>
      </c>
      <c r="V18" s="77">
        <f t="shared" si="1"/>
        <v>0</v>
      </c>
      <c r="X18" s="145" t="s">
        <v>30</v>
      </c>
      <c r="Y18" s="127">
        <f t="shared" si="2"/>
        <v>0</v>
      </c>
      <c r="Z18" s="127">
        <f t="shared" si="3"/>
        <v>0</v>
      </c>
      <c r="AA18" s="127">
        <f t="shared" si="4"/>
        <v>0</v>
      </c>
      <c r="AB18" s="147">
        <f t="shared" si="5"/>
        <v>0</v>
      </c>
    </row>
    <row r="19" spans="2:28" ht="15" customHeight="1">
      <c r="B19" s="78">
        <v>11</v>
      </c>
      <c r="C19" s="77">
        <f t="shared" ref="C19:L34" si="6">SUMIFS(SumaLI,CentroLI,$B19,TurnoLI,C$8)</f>
        <v>0</v>
      </c>
      <c r="D19" s="77">
        <f t="shared" si="6"/>
        <v>0</v>
      </c>
      <c r="E19" s="77">
        <f t="shared" si="6"/>
        <v>0</v>
      </c>
      <c r="F19" s="77">
        <f t="shared" si="6"/>
        <v>0</v>
      </c>
      <c r="G19" s="77">
        <f t="shared" si="6"/>
        <v>0</v>
      </c>
      <c r="H19" s="77">
        <f t="shared" si="6"/>
        <v>1</v>
      </c>
      <c r="I19" s="77">
        <f t="shared" si="6"/>
        <v>1</v>
      </c>
      <c r="J19" s="77">
        <f t="shared" si="6"/>
        <v>1</v>
      </c>
      <c r="K19" s="77">
        <f t="shared" si="6"/>
        <v>0</v>
      </c>
      <c r="L19" s="77">
        <f t="shared" si="6"/>
        <v>0</v>
      </c>
      <c r="M19" s="77">
        <f t="shared" ref="M19:V34" si="7">SUMIFS(SumaLI,CentroLI,$B19,TurnoLI,M$8)</f>
        <v>0</v>
      </c>
      <c r="N19" s="77">
        <f t="shared" si="7"/>
        <v>0</v>
      </c>
      <c r="O19" s="77">
        <f t="shared" si="7"/>
        <v>0</v>
      </c>
      <c r="P19" s="77">
        <f t="shared" si="7"/>
        <v>0</v>
      </c>
      <c r="Q19" s="77">
        <f t="shared" si="7"/>
        <v>0</v>
      </c>
      <c r="R19" s="77">
        <f t="shared" si="7"/>
        <v>0</v>
      </c>
      <c r="S19" s="77">
        <f t="shared" si="7"/>
        <v>0</v>
      </c>
      <c r="T19" s="77">
        <f t="shared" si="7"/>
        <v>0</v>
      </c>
      <c r="U19" s="77">
        <f t="shared" si="7"/>
        <v>0</v>
      </c>
      <c r="V19" s="77">
        <f t="shared" si="7"/>
        <v>0</v>
      </c>
      <c r="X19" s="145" t="s">
        <v>31</v>
      </c>
      <c r="Y19" s="127">
        <f t="shared" si="2"/>
        <v>14</v>
      </c>
      <c r="Z19" s="127">
        <f t="shared" si="3"/>
        <v>25</v>
      </c>
      <c r="AA19" s="127">
        <f t="shared" si="4"/>
        <v>1</v>
      </c>
      <c r="AB19" s="147">
        <f t="shared" si="5"/>
        <v>2</v>
      </c>
    </row>
    <row r="20" spans="2:28" ht="15" customHeight="1">
      <c r="B20" s="78">
        <v>12</v>
      </c>
      <c r="C20" s="77">
        <f t="shared" si="6"/>
        <v>0</v>
      </c>
      <c r="D20" s="77">
        <f t="shared" si="6"/>
        <v>0</v>
      </c>
      <c r="E20" s="77">
        <f t="shared" si="6"/>
        <v>1</v>
      </c>
      <c r="F20" s="77">
        <f t="shared" si="6"/>
        <v>1</v>
      </c>
      <c r="G20" s="77">
        <f t="shared" si="6"/>
        <v>2</v>
      </c>
      <c r="H20" s="77">
        <f t="shared" si="6"/>
        <v>0</v>
      </c>
      <c r="I20" s="77">
        <f t="shared" si="6"/>
        <v>1</v>
      </c>
      <c r="J20" s="77">
        <f t="shared" si="6"/>
        <v>3</v>
      </c>
      <c r="K20" s="77">
        <f t="shared" si="6"/>
        <v>3</v>
      </c>
      <c r="L20" s="77">
        <f t="shared" si="6"/>
        <v>3</v>
      </c>
      <c r="M20" s="77">
        <f t="shared" si="7"/>
        <v>1</v>
      </c>
      <c r="N20" s="77">
        <f t="shared" si="7"/>
        <v>1</v>
      </c>
      <c r="O20" s="77">
        <f t="shared" si="7"/>
        <v>1</v>
      </c>
      <c r="P20" s="77">
        <f t="shared" si="7"/>
        <v>1</v>
      </c>
      <c r="Q20" s="77">
        <f t="shared" si="7"/>
        <v>1</v>
      </c>
      <c r="R20" s="77">
        <f t="shared" si="7"/>
        <v>0</v>
      </c>
      <c r="S20" s="77">
        <f t="shared" si="7"/>
        <v>0</v>
      </c>
      <c r="T20" s="77">
        <f t="shared" si="7"/>
        <v>0</v>
      </c>
      <c r="U20" s="77">
        <f t="shared" si="7"/>
        <v>0</v>
      </c>
      <c r="V20" s="77">
        <f t="shared" si="7"/>
        <v>0</v>
      </c>
      <c r="X20" s="145" t="s">
        <v>31</v>
      </c>
      <c r="Y20" s="127">
        <f t="shared" si="2"/>
        <v>161</v>
      </c>
      <c r="Z20" s="127">
        <f t="shared" si="3"/>
        <v>134</v>
      </c>
      <c r="AA20" s="127">
        <f t="shared" si="4"/>
        <v>37</v>
      </c>
      <c r="AB20" s="147">
        <f t="shared" si="5"/>
        <v>16</v>
      </c>
    </row>
    <row r="21" spans="2:28" ht="15" customHeight="1">
      <c r="B21" s="78">
        <v>13</v>
      </c>
      <c r="C21" s="77">
        <f t="shared" si="6"/>
        <v>0</v>
      </c>
      <c r="D21" s="77">
        <f t="shared" si="6"/>
        <v>0</v>
      </c>
      <c r="E21" s="77">
        <f t="shared" si="6"/>
        <v>0</v>
      </c>
      <c r="F21" s="77">
        <f t="shared" si="6"/>
        <v>0</v>
      </c>
      <c r="G21" s="77">
        <f t="shared" si="6"/>
        <v>0</v>
      </c>
      <c r="H21" s="77">
        <f t="shared" si="6"/>
        <v>0</v>
      </c>
      <c r="I21" s="77">
        <f t="shared" si="6"/>
        <v>0</v>
      </c>
      <c r="J21" s="77">
        <f t="shared" si="6"/>
        <v>0</v>
      </c>
      <c r="K21" s="77">
        <f t="shared" si="6"/>
        <v>0</v>
      </c>
      <c r="L21" s="77">
        <f t="shared" si="6"/>
        <v>0</v>
      </c>
      <c r="M21" s="77">
        <f t="shared" si="7"/>
        <v>0</v>
      </c>
      <c r="N21" s="77">
        <f t="shared" si="7"/>
        <v>0</v>
      </c>
      <c r="O21" s="77">
        <f t="shared" si="7"/>
        <v>0</v>
      </c>
      <c r="P21" s="77">
        <f t="shared" si="7"/>
        <v>0</v>
      </c>
      <c r="Q21" s="77">
        <f t="shared" si="7"/>
        <v>0</v>
      </c>
      <c r="R21" s="77">
        <f t="shared" si="7"/>
        <v>0</v>
      </c>
      <c r="S21" s="77">
        <f t="shared" si="7"/>
        <v>0</v>
      </c>
      <c r="T21" s="77">
        <f t="shared" si="7"/>
        <v>0</v>
      </c>
      <c r="U21" s="77">
        <f t="shared" si="7"/>
        <v>0</v>
      </c>
      <c r="V21" s="77">
        <f t="shared" si="7"/>
        <v>0</v>
      </c>
      <c r="X21" s="145" t="s">
        <v>31</v>
      </c>
      <c r="Y21" s="127">
        <f t="shared" si="2"/>
        <v>0</v>
      </c>
      <c r="Z21" s="127">
        <f t="shared" si="3"/>
        <v>0</v>
      </c>
      <c r="AA21" s="127">
        <f t="shared" si="4"/>
        <v>0</v>
      </c>
      <c r="AB21" s="147">
        <f t="shared" si="5"/>
        <v>0</v>
      </c>
    </row>
    <row r="22" spans="2:28" ht="15" customHeight="1">
      <c r="B22" s="78">
        <v>14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0</v>
      </c>
      <c r="J22" s="77">
        <f t="shared" si="6"/>
        <v>0</v>
      </c>
      <c r="K22" s="77">
        <f t="shared" si="6"/>
        <v>0</v>
      </c>
      <c r="L22" s="77">
        <f t="shared" si="6"/>
        <v>0</v>
      </c>
      <c r="M22" s="77">
        <f t="shared" si="7"/>
        <v>0</v>
      </c>
      <c r="N22" s="77">
        <f t="shared" si="7"/>
        <v>0</v>
      </c>
      <c r="O22" s="77">
        <f t="shared" si="7"/>
        <v>0</v>
      </c>
      <c r="P22" s="77">
        <f t="shared" si="7"/>
        <v>0</v>
      </c>
      <c r="Q22" s="77">
        <f t="shared" si="7"/>
        <v>0</v>
      </c>
      <c r="R22" s="77">
        <f t="shared" si="7"/>
        <v>0</v>
      </c>
      <c r="S22" s="77">
        <f t="shared" si="7"/>
        <v>0</v>
      </c>
      <c r="T22" s="77">
        <f t="shared" si="7"/>
        <v>0</v>
      </c>
      <c r="U22" s="77">
        <f t="shared" si="7"/>
        <v>0</v>
      </c>
      <c r="V22" s="77">
        <f t="shared" si="7"/>
        <v>0</v>
      </c>
      <c r="X22" s="145" t="s">
        <v>31</v>
      </c>
      <c r="Y22" s="127">
        <f t="shared" si="2"/>
        <v>0</v>
      </c>
      <c r="Z22" s="127">
        <f t="shared" si="3"/>
        <v>0</v>
      </c>
      <c r="AA22" s="127">
        <f t="shared" si="4"/>
        <v>0</v>
      </c>
      <c r="AB22" s="147">
        <f t="shared" si="5"/>
        <v>0</v>
      </c>
    </row>
    <row r="23" spans="2:28" ht="15" customHeight="1">
      <c r="B23" s="78">
        <v>15</v>
      </c>
      <c r="C23" s="77">
        <f t="shared" si="6"/>
        <v>0</v>
      </c>
      <c r="D23" s="77">
        <f t="shared" si="6"/>
        <v>0</v>
      </c>
      <c r="E23" s="77">
        <f t="shared" si="6"/>
        <v>1</v>
      </c>
      <c r="F23" s="77">
        <f t="shared" si="6"/>
        <v>1</v>
      </c>
      <c r="G23" s="77">
        <f t="shared" si="6"/>
        <v>1</v>
      </c>
      <c r="H23" s="77">
        <f t="shared" si="6"/>
        <v>1</v>
      </c>
      <c r="I23" s="77">
        <f t="shared" si="6"/>
        <v>1</v>
      </c>
      <c r="J23" s="77">
        <f t="shared" si="6"/>
        <v>1</v>
      </c>
      <c r="K23" s="77">
        <f t="shared" si="6"/>
        <v>1</v>
      </c>
      <c r="L23" s="77">
        <f t="shared" si="6"/>
        <v>0</v>
      </c>
      <c r="M23" s="77">
        <f t="shared" si="7"/>
        <v>4</v>
      </c>
      <c r="N23" s="77">
        <f t="shared" si="7"/>
        <v>2</v>
      </c>
      <c r="O23" s="77">
        <f t="shared" si="7"/>
        <v>3</v>
      </c>
      <c r="P23" s="77">
        <f t="shared" si="7"/>
        <v>3</v>
      </c>
      <c r="Q23" s="77">
        <f t="shared" si="7"/>
        <v>0</v>
      </c>
      <c r="R23" s="77">
        <f t="shared" si="7"/>
        <v>0</v>
      </c>
      <c r="S23" s="77">
        <f t="shared" si="7"/>
        <v>0</v>
      </c>
      <c r="T23" s="77">
        <f t="shared" si="7"/>
        <v>0</v>
      </c>
      <c r="U23" s="77">
        <f t="shared" si="7"/>
        <v>0</v>
      </c>
      <c r="V23" s="77">
        <f t="shared" si="7"/>
        <v>0</v>
      </c>
      <c r="X23" s="145" t="s">
        <v>32</v>
      </c>
      <c r="Y23" s="127">
        <f t="shared" si="2"/>
        <v>331</v>
      </c>
      <c r="Z23" s="127">
        <f t="shared" si="3"/>
        <v>14</v>
      </c>
      <c r="AA23" s="127">
        <f t="shared" si="4"/>
        <v>2</v>
      </c>
      <c r="AB23" s="147">
        <f t="shared" si="5"/>
        <v>1</v>
      </c>
    </row>
    <row r="24" spans="2:28" ht="15" customHeight="1">
      <c r="B24" s="78">
        <v>16</v>
      </c>
      <c r="C24" s="77">
        <f t="shared" si="6"/>
        <v>0</v>
      </c>
      <c r="D24" s="77">
        <f t="shared" si="6"/>
        <v>0</v>
      </c>
      <c r="E24" s="77">
        <f t="shared" si="6"/>
        <v>0</v>
      </c>
      <c r="F24" s="77">
        <f t="shared" si="6"/>
        <v>0</v>
      </c>
      <c r="G24" s="77">
        <f t="shared" si="6"/>
        <v>0</v>
      </c>
      <c r="H24" s="77">
        <f t="shared" si="6"/>
        <v>0</v>
      </c>
      <c r="I24" s="77">
        <f t="shared" si="6"/>
        <v>0</v>
      </c>
      <c r="J24" s="77">
        <f t="shared" si="6"/>
        <v>0</v>
      </c>
      <c r="K24" s="77">
        <f t="shared" si="6"/>
        <v>0</v>
      </c>
      <c r="L24" s="77">
        <f t="shared" si="6"/>
        <v>0</v>
      </c>
      <c r="M24" s="77">
        <f t="shared" si="7"/>
        <v>0</v>
      </c>
      <c r="N24" s="77">
        <f t="shared" si="7"/>
        <v>0</v>
      </c>
      <c r="O24" s="77">
        <f t="shared" si="7"/>
        <v>0</v>
      </c>
      <c r="P24" s="77">
        <f t="shared" si="7"/>
        <v>0</v>
      </c>
      <c r="Q24" s="77">
        <f t="shared" si="7"/>
        <v>0</v>
      </c>
      <c r="R24" s="77">
        <f t="shared" si="7"/>
        <v>0</v>
      </c>
      <c r="S24" s="77">
        <f t="shared" si="7"/>
        <v>0</v>
      </c>
      <c r="T24" s="77">
        <f t="shared" si="7"/>
        <v>0</v>
      </c>
      <c r="U24" s="77">
        <f t="shared" si="7"/>
        <v>0</v>
      </c>
      <c r="V24" s="77">
        <f t="shared" si="7"/>
        <v>0</v>
      </c>
      <c r="X24" s="145" t="s">
        <v>32</v>
      </c>
      <c r="Y24" s="127">
        <f t="shared" si="2"/>
        <v>0</v>
      </c>
      <c r="Z24" s="127">
        <f t="shared" si="3"/>
        <v>0</v>
      </c>
      <c r="AA24" s="127">
        <f t="shared" si="4"/>
        <v>0</v>
      </c>
      <c r="AB24" s="147">
        <f t="shared" si="5"/>
        <v>0</v>
      </c>
    </row>
    <row r="25" spans="2:28" ht="15" customHeight="1">
      <c r="B25" s="78">
        <v>17</v>
      </c>
      <c r="C25" s="77">
        <f t="shared" si="6"/>
        <v>1</v>
      </c>
      <c r="D25" s="77">
        <f t="shared" si="6"/>
        <v>0</v>
      </c>
      <c r="E25" s="77">
        <f t="shared" si="6"/>
        <v>0</v>
      </c>
      <c r="F25" s="77">
        <f t="shared" si="6"/>
        <v>0</v>
      </c>
      <c r="G25" s="77">
        <f t="shared" si="6"/>
        <v>0</v>
      </c>
      <c r="H25" s="77">
        <f t="shared" si="6"/>
        <v>0</v>
      </c>
      <c r="I25" s="77">
        <f t="shared" si="6"/>
        <v>0</v>
      </c>
      <c r="J25" s="77">
        <f t="shared" si="6"/>
        <v>0</v>
      </c>
      <c r="K25" s="77">
        <f t="shared" si="6"/>
        <v>0</v>
      </c>
      <c r="L25" s="77">
        <f t="shared" si="6"/>
        <v>0</v>
      </c>
      <c r="M25" s="77">
        <f t="shared" si="7"/>
        <v>0</v>
      </c>
      <c r="N25" s="77">
        <f t="shared" si="7"/>
        <v>0</v>
      </c>
      <c r="O25" s="77">
        <f t="shared" si="7"/>
        <v>0</v>
      </c>
      <c r="P25" s="77">
        <f t="shared" si="7"/>
        <v>0</v>
      </c>
      <c r="Q25" s="77">
        <f t="shared" si="7"/>
        <v>0</v>
      </c>
      <c r="R25" s="77">
        <f t="shared" si="7"/>
        <v>0</v>
      </c>
      <c r="S25" s="77">
        <f t="shared" si="7"/>
        <v>0</v>
      </c>
      <c r="T25" s="77">
        <f t="shared" si="7"/>
        <v>0</v>
      </c>
      <c r="U25" s="77">
        <f t="shared" si="7"/>
        <v>0</v>
      </c>
      <c r="V25" s="77">
        <f t="shared" si="7"/>
        <v>0</v>
      </c>
      <c r="X25" s="145" t="s">
        <v>33</v>
      </c>
      <c r="Y25" s="127">
        <f t="shared" si="2"/>
        <v>17</v>
      </c>
      <c r="Z25" s="127">
        <f t="shared" si="3"/>
        <v>8</v>
      </c>
      <c r="AA25" s="127">
        <f t="shared" si="4"/>
        <v>3</v>
      </c>
      <c r="AB25" s="147">
        <f t="shared" si="5"/>
        <v>0</v>
      </c>
    </row>
    <row r="26" spans="2:28" ht="15" customHeight="1">
      <c r="B26" s="78">
        <v>18</v>
      </c>
      <c r="C26" s="77">
        <f t="shared" si="6"/>
        <v>0</v>
      </c>
      <c r="D26" s="77">
        <f t="shared" si="6"/>
        <v>0</v>
      </c>
      <c r="E26" s="77">
        <f t="shared" si="6"/>
        <v>0</v>
      </c>
      <c r="F26" s="77">
        <f t="shared" si="6"/>
        <v>0</v>
      </c>
      <c r="G26" s="77">
        <f t="shared" si="6"/>
        <v>0</v>
      </c>
      <c r="H26" s="77">
        <f t="shared" si="6"/>
        <v>0</v>
      </c>
      <c r="I26" s="77">
        <f t="shared" si="6"/>
        <v>0</v>
      </c>
      <c r="J26" s="77">
        <f t="shared" si="6"/>
        <v>0</v>
      </c>
      <c r="K26" s="77">
        <f t="shared" si="6"/>
        <v>0</v>
      </c>
      <c r="L26" s="77">
        <f t="shared" si="6"/>
        <v>0</v>
      </c>
      <c r="M26" s="77">
        <f t="shared" si="7"/>
        <v>0</v>
      </c>
      <c r="N26" s="77">
        <f t="shared" si="7"/>
        <v>0</v>
      </c>
      <c r="O26" s="77">
        <f t="shared" si="7"/>
        <v>0</v>
      </c>
      <c r="P26" s="77">
        <f t="shared" si="7"/>
        <v>0</v>
      </c>
      <c r="Q26" s="77">
        <f t="shared" si="7"/>
        <v>0</v>
      </c>
      <c r="R26" s="77">
        <f t="shared" si="7"/>
        <v>0</v>
      </c>
      <c r="S26" s="77">
        <f t="shared" si="7"/>
        <v>0</v>
      </c>
      <c r="T26" s="77">
        <f t="shared" si="7"/>
        <v>0</v>
      </c>
      <c r="U26" s="77">
        <f t="shared" si="7"/>
        <v>0</v>
      </c>
      <c r="V26" s="77">
        <f t="shared" si="7"/>
        <v>0</v>
      </c>
      <c r="X26" s="145" t="s">
        <v>33</v>
      </c>
      <c r="Y26" s="127">
        <f t="shared" si="2"/>
        <v>0</v>
      </c>
      <c r="Z26" s="127">
        <f t="shared" si="3"/>
        <v>0</v>
      </c>
      <c r="AA26" s="127">
        <f t="shared" si="4"/>
        <v>0</v>
      </c>
      <c r="AB26" s="147">
        <f t="shared" si="5"/>
        <v>0</v>
      </c>
    </row>
    <row r="27" spans="2:28" ht="15" customHeight="1">
      <c r="B27" s="78">
        <v>19</v>
      </c>
      <c r="C27" s="77">
        <f t="shared" si="6"/>
        <v>2</v>
      </c>
      <c r="D27" s="77">
        <f t="shared" si="6"/>
        <v>0</v>
      </c>
      <c r="E27" s="77">
        <f t="shared" si="6"/>
        <v>0</v>
      </c>
      <c r="F27" s="77">
        <f t="shared" si="6"/>
        <v>1</v>
      </c>
      <c r="G27" s="77">
        <f t="shared" si="6"/>
        <v>0</v>
      </c>
      <c r="H27" s="77">
        <f t="shared" si="6"/>
        <v>1</v>
      </c>
      <c r="I27" s="77">
        <f t="shared" si="6"/>
        <v>1</v>
      </c>
      <c r="J27" s="77">
        <f t="shared" si="6"/>
        <v>1</v>
      </c>
      <c r="K27" s="77">
        <f t="shared" si="6"/>
        <v>1</v>
      </c>
      <c r="L27" s="77">
        <f t="shared" si="6"/>
        <v>0</v>
      </c>
      <c r="M27" s="77">
        <f t="shared" si="7"/>
        <v>1</v>
      </c>
      <c r="N27" s="77">
        <f t="shared" si="7"/>
        <v>1</v>
      </c>
      <c r="O27" s="77">
        <f t="shared" si="7"/>
        <v>1</v>
      </c>
      <c r="P27" s="77">
        <f t="shared" si="7"/>
        <v>0</v>
      </c>
      <c r="Q27" s="77">
        <f t="shared" si="7"/>
        <v>1</v>
      </c>
      <c r="R27" s="77">
        <f t="shared" si="7"/>
        <v>0</v>
      </c>
      <c r="S27" s="77">
        <f t="shared" si="7"/>
        <v>0</v>
      </c>
      <c r="T27" s="77">
        <f t="shared" si="7"/>
        <v>0</v>
      </c>
      <c r="U27" s="77">
        <f t="shared" si="7"/>
        <v>0</v>
      </c>
      <c r="V27" s="77">
        <f t="shared" si="7"/>
        <v>0</v>
      </c>
      <c r="X27" s="145" t="s">
        <v>34</v>
      </c>
      <c r="Y27" s="127">
        <f t="shared" si="2"/>
        <v>5</v>
      </c>
      <c r="Z27" s="127">
        <f t="shared" si="3"/>
        <v>109</v>
      </c>
      <c r="AA27" s="127">
        <f t="shared" si="4"/>
        <v>12</v>
      </c>
      <c r="AB27" s="147">
        <f t="shared" si="5"/>
        <v>1</v>
      </c>
    </row>
    <row r="28" spans="2:28" ht="15" customHeight="1">
      <c r="B28" s="78">
        <v>20</v>
      </c>
      <c r="C28" s="77">
        <f t="shared" si="6"/>
        <v>0</v>
      </c>
      <c r="D28" s="77">
        <f t="shared" si="6"/>
        <v>0</v>
      </c>
      <c r="E28" s="77">
        <f t="shared" si="6"/>
        <v>0</v>
      </c>
      <c r="F28" s="77">
        <f t="shared" si="6"/>
        <v>0</v>
      </c>
      <c r="G28" s="77">
        <f t="shared" si="6"/>
        <v>0</v>
      </c>
      <c r="H28" s="77">
        <f t="shared" si="6"/>
        <v>0</v>
      </c>
      <c r="I28" s="77">
        <f t="shared" si="6"/>
        <v>0</v>
      </c>
      <c r="J28" s="77">
        <f t="shared" si="6"/>
        <v>0</v>
      </c>
      <c r="K28" s="77">
        <f t="shared" si="6"/>
        <v>0</v>
      </c>
      <c r="L28" s="77">
        <f t="shared" si="6"/>
        <v>0</v>
      </c>
      <c r="M28" s="77">
        <f t="shared" si="7"/>
        <v>0</v>
      </c>
      <c r="N28" s="77">
        <f t="shared" si="7"/>
        <v>0</v>
      </c>
      <c r="O28" s="77">
        <f t="shared" si="7"/>
        <v>0</v>
      </c>
      <c r="P28" s="77">
        <f t="shared" si="7"/>
        <v>0</v>
      </c>
      <c r="Q28" s="77">
        <f t="shared" si="7"/>
        <v>0</v>
      </c>
      <c r="R28" s="77">
        <f t="shared" si="7"/>
        <v>0</v>
      </c>
      <c r="S28" s="77">
        <f t="shared" si="7"/>
        <v>0</v>
      </c>
      <c r="T28" s="77">
        <f t="shared" si="7"/>
        <v>0</v>
      </c>
      <c r="U28" s="77">
        <f t="shared" si="7"/>
        <v>0</v>
      </c>
      <c r="V28" s="77">
        <f t="shared" si="7"/>
        <v>0</v>
      </c>
      <c r="X28" s="145" t="s">
        <v>34</v>
      </c>
      <c r="Y28" s="127">
        <f t="shared" si="2"/>
        <v>0</v>
      </c>
      <c r="Z28" s="127">
        <f t="shared" si="3"/>
        <v>0</v>
      </c>
      <c r="AA28" s="127">
        <f t="shared" si="4"/>
        <v>0</v>
      </c>
      <c r="AB28" s="147">
        <f t="shared" si="5"/>
        <v>0</v>
      </c>
    </row>
    <row r="29" spans="2:28" ht="15" customHeight="1">
      <c r="B29" s="78">
        <v>21</v>
      </c>
      <c r="C29" s="77">
        <f t="shared" si="6"/>
        <v>0</v>
      </c>
      <c r="D29" s="77">
        <f t="shared" si="6"/>
        <v>1</v>
      </c>
      <c r="E29" s="77">
        <f t="shared" si="6"/>
        <v>1</v>
      </c>
      <c r="F29" s="77">
        <f t="shared" si="6"/>
        <v>1</v>
      </c>
      <c r="G29" s="77">
        <f t="shared" si="6"/>
        <v>1</v>
      </c>
      <c r="H29" s="77">
        <f t="shared" si="6"/>
        <v>1</v>
      </c>
      <c r="I29" s="77">
        <f t="shared" si="6"/>
        <v>1</v>
      </c>
      <c r="J29" s="77">
        <f t="shared" si="6"/>
        <v>1</v>
      </c>
      <c r="K29" s="77">
        <f t="shared" si="6"/>
        <v>1</v>
      </c>
      <c r="L29" s="77">
        <f t="shared" si="6"/>
        <v>1</v>
      </c>
      <c r="M29" s="77">
        <f t="shared" si="7"/>
        <v>1</v>
      </c>
      <c r="N29" s="77">
        <f t="shared" si="7"/>
        <v>1</v>
      </c>
      <c r="O29" s="77">
        <f t="shared" si="7"/>
        <v>1</v>
      </c>
      <c r="P29" s="77">
        <f t="shared" si="7"/>
        <v>1</v>
      </c>
      <c r="Q29" s="77">
        <f t="shared" si="7"/>
        <v>1</v>
      </c>
      <c r="R29" s="77">
        <f t="shared" si="7"/>
        <v>0</v>
      </c>
      <c r="S29" s="77">
        <f t="shared" si="7"/>
        <v>0</v>
      </c>
      <c r="T29" s="77">
        <f t="shared" si="7"/>
        <v>0</v>
      </c>
      <c r="U29" s="77">
        <f t="shared" si="7"/>
        <v>0</v>
      </c>
      <c r="V29" s="77">
        <f t="shared" si="7"/>
        <v>0</v>
      </c>
      <c r="X29" s="145" t="s">
        <v>34</v>
      </c>
      <c r="Y29" s="127">
        <f t="shared" si="2"/>
        <v>21</v>
      </c>
      <c r="Z29" s="127">
        <f t="shared" si="3"/>
        <v>324</v>
      </c>
      <c r="AA29" s="127">
        <f t="shared" si="4"/>
        <v>5</v>
      </c>
      <c r="AB29" s="147">
        <f t="shared" si="5"/>
        <v>2</v>
      </c>
    </row>
    <row r="30" spans="2:28" ht="15" customHeight="1">
      <c r="B30" s="78">
        <v>22</v>
      </c>
      <c r="C30" s="77">
        <f t="shared" si="6"/>
        <v>1</v>
      </c>
      <c r="D30" s="77">
        <f t="shared" si="6"/>
        <v>1</v>
      </c>
      <c r="E30" s="77">
        <f t="shared" si="6"/>
        <v>1</v>
      </c>
      <c r="F30" s="77">
        <f t="shared" si="6"/>
        <v>1</v>
      </c>
      <c r="G30" s="77">
        <f t="shared" si="6"/>
        <v>1</v>
      </c>
      <c r="H30" s="77">
        <f t="shared" si="6"/>
        <v>1</v>
      </c>
      <c r="I30" s="77">
        <f t="shared" si="6"/>
        <v>1</v>
      </c>
      <c r="J30" s="77">
        <f t="shared" si="6"/>
        <v>1</v>
      </c>
      <c r="K30" s="77">
        <f t="shared" si="6"/>
        <v>1</v>
      </c>
      <c r="L30" s="77">
        <f t="shared" si="6"/>
        <v>1</v>
      </c>
      <c r="M30" s="77">
        <f t="shared" si="7"/>
        <v>1</v>
      </c>
      <c r="N30" s="77">
        <f t="shared" si="7"/>
        <v>1</v>
      </c>
      <c r="O30" s="77">
        <f t="shared" si="7"/>
        <v>1</v>
      </c>
      <c r="P30" s="77">
        <f t="shared" si="7"/>
        <v>1</v>
      </c>
      <c r="Q30" s="77">
        <f t="shared" si="7"/>
        <v>1</v>
      </c>
      <c r="R30" s="77">
        <f t="shared" si="7"/>
        <v>0</v>
      </c>
      <c r="S30" s="77">
        <f t="shared" si="7"/>
        <v>0</v>
      </c>
      <c r="T30" s="77">
        <f t="shared" si="7"/>
        <v>0</v>
      </c>
      <c r="U30" s="77">
        <f t="shared" si="7"/>
        <v>0</v>
      </c>
      <c r="V30" s="77">
        <f t="shared" si="7"/>
        <v>0</v>
      </c>
      <c r="X30" s="145" t="s">
        <v>35</v>
      </c>
      <c r="Y30" s="127">
        <f t="shared" si="2"/>
        <v>16</v>
      </c>
      <c r="Z30" s="127">
        <f t="shared" si="3"/>
        <v>225</v>
      </c>
      <c r="AA30" s="127">
        <f t="shared" si="4"/>
        <v>2</v>
      </c>
      <c r="AB30" s="147">
        <f t="shared" si="5"/>
        <v>0</v>
      </c>
    </row>
    <row r="31" spans="2:28" ht="15" customHeight="1">
      <c r="B31" s="78">
        <v>23</v>
      </c>
      <c r="C31" s="77">
        <f t="shared" si="6"/>
        <v>0</v>
      </c>
      <c r="D31" s="77">
        <f t="shared" si="6"/>
        <v>0</v>
      </c>
      <c r="E31" s="77">
        <f t="shared" si="6"/>
        <v>0</v>
      </c>
      <c r="F31" s="77">
        <f t="shared" si="6"/>
        <v>0</v>
      </c>
      <c r="G31" s="77">
        <f t="shared" si="6"/>
        <v>2</v>
      </c>
      <c r="H31" s="77">
        <f t="shared" si="6"/>
        <v>1</v>
      </c>
      <c r="I31" s="77">
        <f t="shared" si="6"/>
        <v>1</v>
      </c>
      <c r="J31" s="77">
        <f t="shared" si="6"/>
        <v>1</v>
      </c>
      <c r="K31" s="77">
        <f t="shared" si="6"/>
        <v>1</v>
      </c>
      <c r="L31" s="77">
        <f t="shared" si="6"/>
        <v>1</v>
      </c>
      <c r="M31" s="77">
        <f t="shared" si="7"/>
        <v>1</v>
      </c>
      <c r="N31" s="77">
        <f t="shared" si="7"/>
        <v>1</v>
      </c>
      <c r="O31" s="77">
        <f t="shared" si="7"/>
        <v>1</v>
      </c>
      <c r="P31" s="77">
        <f t="shared" si="7"/>
        <v>1</v>
      </c>
      <c r="Q31" s="77">
        <f t="shared" si="7"/>
        <v>1</v>
      </c>
      <c r="R31" s="77">
        <f t="shared" si="7"/>
        <v>0</v>
      </c>
      <c r="S31" s="77">
        <f t="shared" si="7"/>
        <v>0</v>
      </c>
      <c r="T31" s="77">
        <f t="shared" si="7"/>
        <v>0</v>
      </c>
      <c r="U31" s="77">
        <f t="shared" si="7"/>
        <v>0</v>
      </c>
      <c r="V31" s="77">
        <f t="shared" si="7"/>
        <v>0</v>
      </c>
      <c r="X31" s="145" t="s">
        <v>35</v>
      </c>
      <c r="Y31" s="127">
        <f t="shared" si="2"/>
        <v>88</v>
      </c>
      <c r="Z31" s="127">
        <f t="shared" si="3"/>
        <v>146</v>
      </c>
      <c r="AA31" s="127">
        <f t="shared" si="4"/>
        <v>8</v>
      </c>
      <c r="AB31" s="147">
        <f t="shared" si="5"/>
        <v>3</v>
      </c>
    </row>
    <row r="32" spans="2:28" ht="15" customHeight="1">
      <c r="B32" s="78">
        <v>24</v>
      </c>
      <c r="C32" s="77">
        <f t="shared" si="6"/>
        <v>1</v>
      </c>
      <c r="D32" s="77">
        <f t="shared" si="6"/>
        <v>0</v>
      </c>
      <c r="E32" s="77">
        <f t="shared" si="6"/>
        <v>1</v>
      </c>
      <c r="F32" s="77">
        <f t="shared" si="6"/>
        <v>1</v>
      </c>
      <c r="G32" s="77">
        <f t="shared" si="6"/>
        <v>2</v>
      </c>
      <c r="H32" s="77">
        <f t="shared" si="6"/>
        <v>0</v>
      </c>
      <c r="I32" s="77">
        <f t="shared" si="6"/>
        <v>2</v>
      </c>
      <c r="J32" s="77">
        <f t="shared" si="6"/>
        <v>0</v>
      </c>
      <c r="K32" s="77">
        <f t="shared" si="6"/>
        <v>1</v>
      </c>
      <c r="L32" s="77">
        <f t="shared" si="6"/>
        <v>1</v>
      </c>
      <c r="M32" s="77">
        <f t="shared" si="7"/>
        <v>1</v>
      </c>
      <c r="N32" s="77">
        <f t="shared" si="7"/>
        <v>1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X32" s="145" t="s">
        <v>35</v>
      </c>
      <c r="Y32" s="127">
        <f t="shared" si="2"/>
        <v>19</v>
      </c>
      <c r="Z32" s="127">
        <f t="shared" si="3"/>
        <v>201</v>
      </c>
      <c r="AA32" s="127">
        <f t="shared" si="4"/>
        <v>7</v>
      </c>
      <c r="AB32" s="147">
        <f t="shared" si="5"/>
        <v>5</v>
      </c>
    </row>
    <row r="33" spans="2:28" ht="15" customHeight="1">
      <c r="B33" s="78">
        <v>25</v>
      </c>
      <c r="C33" s="77">
        <f t="shared" si="6"/>
        <v>1</v>
      </c>
      <c r="D33" s="77">
        <f t="shared" si="6"/>
        <v>0</v>
      </c>
      <c r="E33" s="77">
        <f t="shared" si="6"/>
        <v>1</v>
      </c>
      <c r="F33" s="77">
        <f t="shared" si="6"/>
        <v>0</v>
      </c>
      <c r="G33" s="77">
        <f t="shared" si="6"/>
        <v>0</v>
      </c>
      <c r="H33" s="77">
        <f t="shared" si="6"/>
        <v>1</v>
      </c>
      <c r="I33" s="77">
        <f t="shared" si="6"/>
        <v>1</v>
      </c>
      <c r="J33" s="77">
        <f t="shared" si="6"/>
        <v>1</v>
      </c>
      <c r="K33" s="77">
        <f t="shared" si="6"/>
        <v>0</v>
      </c>
      <c r="L33" s="77">
        <f t="shared" si="6"/>
        <v>1</v>
      </c>
      <c r="M33" s="77">
        <f t="shared" si="7"/>
        <v>1</v>
      </c>
      <c r="N33" s="77">
        <f t="shared" si="7"/>
        <v>1</v>
      </c>
      <c r="O33" s="77">
        <f t="shared" si="7"/>
        <v>1</v>
      </c>
      <c r="P33" s="77">
        <f t="shared" si="7"/>
        <v>1</v>
      </c>
      <c r="Q33" s="77">
        <f t="shared" si="7"/>
        <v>0</v>
      </c>
      <c r="R33" s="77">
        <f t="shared" si="7"/>
        <v>0</v>
      </c>
      <c r="S33" s="77">
        <f t="shared" si="7"/>
        <v>0</v>
      </c>
      <c r="T33" s="77">
        <f t="shared" si="7"/>
        <v>0</v>
      </c>
      <c r="U33" s="77">
        <f t="shared" si="7"/>
        <v>0</v>
      </c>
      <c r="V33" s="77">
        <f t="shared" si="7"/>
        <v>0</v>
      </c>
      <c r="X33" s="145" t="s">
        <v>35</v>
      </c>
      <c r="Y33" s="127">
        <f t="shared" si="2"/>
        <v>126</v>
      </c>
      <c r="Z33" s="127">
        <f t="shared" si="3"/>
        <v>16</v>
      </c>
      <c r="AA33" s="127">
        <f t="shared" si="4"/>
        <v>28</v>
      </c>
      <c r="AB33" s="147">
        <f t="shared" si="5"/>
        <v>0</v>
      </c>
    </row>
    <row r="34" spans="2:28" ht="15" customHeight="1">
      <c r="B34" s="78">
        <v>26</v>
      </c>
      <c r="C34" s="77">
        <f t="shared" si="6"/>
        <v>0</v>
      </c>
      <c r="D34" s="77">
        <f t="shared" si="6"/>
        <v>0</v>
      </c>
      <c r="E34" s="77">
        <f t="shared" si="6"/>
        <v>0</v>
      </c>
      <c r="F34" s="77">
        <f t="shared" si="6"/>
        <v>0</v>
      </c>
      <c r="G34" s="77">
        <f t="shared" si="6"/>
        <v>0</v>
      </c>
      <c r="H34" s="77">
        <f t="shared" si="6"/>
        <v>0</v>
      </c>
      <c r="I34" s="77">
        <f t="shared" si="6"/>
        <v>0</v>
      </c>
      <c r="J34" s="77">
        <f t="shared" si="6"/>
        <v>0</v>
      </c>
      <c r="K34" s="77">
        <f t="shared" si="6"/>
        <v>0</v>
      </c>
      <c r="L34" s="77">
        <f t="shared" si="6"/>
        <v>0</v>
      </c>
      <c r="M34" s="77">
        <f t="shared" si="7"/>
        <v>0</v>
      </c>
      <c r="N34" s="77">
        <f t="shared" si="7"/>
        <v>0</v>
      </c>
      <c r="O34" s="77">
        <f t="shared" si="7"/>
        <v>0</v>
      </c>
      <c r="P34" s="77">
        <f t="shared" si="7"/>
        <v>0</v>
      </c>
      <c r="Q34" s="77">
        <f t="shared" si="7"/>
        <v>0</v>
      </c>
      <c r="R34" s="77">
        <f t="shared" si="7"/>
        <v>0</v>
      </c>
      <c r="S34" s="77">
        <f t="shared" si="7"/>
        <v>0</v>
      </c>
      <c r="T34" s="77">
        <f t="shared" si="7"/>
        <v>0</v>
      </c>
      <c r="U34" s="77">
        <f t="shared" si="7"/>
        <v>0</v>
      </c>
      <c r="V34" s="77">
        <f t="shared" si="7"/>
        <v>0</v>
      </c>
      <c r="X34" s="145" t="s">
        <v>36</v>
      </c>
      <c r="Y34" s="127">
        <f t="shared" si="2"/>
        <v>0</v>
      </c>
      <c r="Z34" s="127">
        <f t="shared" si="3"/>
        <v>0</v>
      </c>
      <c r="AA34" s="127">
        <f t="shared" si="4"/>
        <v>0</v>
      </c>
      <c r="AB34" s="147">
        <f t="shared" si="5"/>
        <v>0</v>
      </c>
    </row>
    <row r="35" spans="2:28" ht="15" customHeight="1">
      <c r="B35" s="78">
        <v>27</v>
      </c>
      <c r="C35" s="77">
        <f t="shared" ref="C35:R59" si="8">SUMIFS(SumaLI,CentroLI,$B35,TurnoLI,C$8)</f>
        <v>0</v>
      </c>
      <c r="D35" s="77">
        <f t="shared" si="8"/>
        <v>0</v>
      </c>
      <c r="E35" s="77">
        <f t="shared" si="8"/>
        <v>1</v>
      </c>
      <c r="F35" s="77">
        <f t="shared" si="8"/>
        <v>1</v>
      </c>
      <c r="G35" s="77">
        <f t="shared" si="8"/>
        <v>1</v>
      </c>
      <c r="H35" s="77">
        <f t="shared" si="8"/>
        <v>1</v>
      </c>
      <c r="I35" s="77">
        <f t="shared" si="8"/>
        <v>1</v>
      </c>
      <c r="J35" s="77">
        <f t="shared" si="8"/>
        <v>1</v>
      </c>
      <c r="K35" s="77">
        <f t="shared" si="8"/>
        <v>1</v>
      </c>
      <c r="L35" s="77">
        <f t="shared" si="8"/>
        <v>1</v>
      </c>
      <c r="M35" s="77">
        <f t="shared" si="8"/>
        <v>1</v>
      </c>
      <c r="N35" s="77">
        <f t="shared" si="8"/>
        <v>1</v>
      </c>
      <c r="O35" s="77">
        <f t="shared" si="8"/>
        <v>1</v>
      </c>
      <c r="P35" s="77">
        <f t="shared" si="8"/>
        <v>1</v>
      </c>
      <c r="Q35" s="77">
        <f t="shared" si="8"/>
        <v>0</v>
      </c>
      <c r="R35" s="77">
        <f t="shared" si="8"/>
        <v>0</v>
      </c>
      <c r="S35" s="77">
        <f t="shared" ref="M35:V61" si="9">SUMIFS(SumaLI,CentroLI,$B35,TurnoLI,S$8)</f>
        <v>0</v>
      </c>
      <c r="T35" s="77">
        <f t="shared" si="9"/>
        <v>0</v>
      </c>
      <c r="U35" s="77">
        <f t="shared" si="9"/>
        <v>0</v>
      </c>
      <c r="V35" s="77">
        <f t="shared" si="9"/>
        <v>0</v>
      </c>
      <c r="X35" s="145" t="s">
        <v>36</v>
      </c>
      <c r="Y35" s="127">
        <f t="shared" si="2"/>
        <v>336</v>
      </c>
      <c r="Z35" s="127">
        <f t="shared" si="3"/>
        <v>143</v>
      </c>
      <c r="AA35" s="127">
        <f t="shared" si="4"/>
        <v>0</v>
      </c>
      <c r="AB35" s="147">
        <f t="shared" si="5"/>
        <v>0</v>
      </c>
    </row>
    <row r="36" spans="2:28" ht="15" customHeight="1">
      <c r="B36" s="78">
        <v>28</v>
      </c>
      <c r="C36" s="77">
        <f t="shared" si="8"/>
        <v>0</v>
      </c>
      <c r="D36" s="77">
        <f t="shared" si="8"/>
        <v>0</v>
      </c>
      <c r="E36" s="77">
        <f t="shared" si="8"/>
        <v>0</v>
      </c>
      <c r="F36" s="77">
        <f t="shared" si="8"/>
        <v>1</v>
      </c>
      <c r="G36" s="77">
        <f t="shared" si="8"/>
        <v>1</v>
      </c>
      <c r="H36" s="77">
        <f t="shared" si="8"/>
        <v>0</v>
      </c>
      <c r="I36" s="77">
        <f t="shared" si="8"/>
        <v>1</v>
      </c>
      <c r="J36" s="77">
        <f t="shared" si="8"/>
        <v>1</v>
      </c>
      <c r="K36" s="77">
        <f t="shared" si="8"/>
        <v>1</v>
      </c>
      <c r="L36" s="77">
        <f t="shared" si="8"/>
        <v>0</v>
      </c>
      <c r="M36" s="77">
        <f t="shared" si="9"/>
        <v>1</v>
      </c>
      <c r="N36" s="77">
        <f t="shared" si="9"/>
        <v>0</v>
      </c>
      <c r="O36" s="77">
        <f t="shared" si="9"/>
        <v>1</v>
      </c>
      <c r="P36" s="77">
        <f t="shared" si="9"/>
        <v>1</v>
      </c>
      <c r="Q36" s="77">
        <f t="shared" si="9"/>
        <v>0</v>
      </c>
      <c r="R36" s="77">
        <f t="shared" si="9"/>
        <v>0</v>
      </c>
      <c r="S36" s="77">
        <f t="shared" si="9"/>
        <v>0</v>
      </c>
      <c r="T36" s="77">
        <f t="shared" si="9"/>
        <v>0</v>
      </c>
      <c r="U36" s="77">
        <f t="shared" si="9"/>
        <v>0</v>
      </c>
      <c r="V36" s="77">
        <f t="shared" si="9"/>
        <v>0</v>
      </c>
      <c r="X36" s="145" t="s">
        <v>36</v>
      </c>
      <c r="Y36" s="127">
        <f t="shared" si="2"/>
        <v>76</v>
      </c>
      <c r="Z36" s="127">
        <f t="shared" si="3"/>
        <v>63</v>
      </c>
      <c r="AA36" s="127">
        <f t="shared" si="4"/>
        <v>3</v>
      </c>
      <c r="AB36" s="147">
        <f t="shared" si="5"/>
        <v>9</v>
      </c>
    </row>
    <row r="37" spans="2:28" ht="15" customHeight="1">
      <c r="B37" s="78">
        <v>29</v>
      </c>
      <c r="C37" s="77">
        <f t="shared" si="8"/>
        <v>0</v>
      </c>
      <c r="D37" s="77">
        <f t="shared" si="8"/>
        <v>0</v>
      </c>
      <c r="E37" s="77">
        <f t="shared" si="8"/>
        <v>1</v>
      </c>
      <c r="F37" s="77">
        <f t="shared" si="8"/>
        <v>1</v>
      </c>
      <c r="G37" s="77">
        <f t="shared" si="8"/>
        <v>1</v>
      </c>
      <c r="H37" s="77">
        <f t="shared" si="8"/>
        <v>0</v>
      </c>
      <c r="I37" s="77">
        <f t="shared" si="8"/>
        <v>0</v>
      </c>
      <c r="J37" s="77">
        <f t="shared" si="8"/>
        <v>0</v>
      </c>
      <c r="K37" s="77">
        <f t="shared" si="8"/>
        <v>0</v>
      </c>
      <c r="L37" s="77">
        <f t="shared" si="8"/>
        <v>0</v>
      </c>
      <c r="M37" s="77">
        <f t="shared" si="9"/>
        <v>0</v>
      </c>
      <c r="N37" s="77">
        <f t="shared" si="9"/>
        <v>0</v>
      </c>
      <c r="O37" s="77">
        <f t="shared" si="9"/>
        <v>0</v>
      </c>
      <c r="P37" s="77">
        <f t="shared" si="9"/>
        <v>0</v>
      </c>
      <c r="Q37" s="77">
        <f t="shared" si="9"/>
        <v>0</v>
      </c>
      <c r="R37" s="77">
        <f t="shared" si="9"/>
        <v>0</v>
      </c>
      <c r="S37" s="77">
        <f t="shared" si="9"/>
        <v>0</v>
      </c>
      <c r="T37" s="77">
        <f t="shared" si="9"/>
        <v>0</v>
      </c>
      <c r="U37" s="77">
        <f t="shared" si="9"/>
        <v>0</v>
      </c>
      <c r="V37" s="77">
        <f t="shared" si="9"/>
        <v>0</v>
      </c>
      <c r="X37" s="145" t="s">
        <v>36</v>
      </c>
      <c r="Y37" s="127">
        <f t="shared" si="2"/>
        <v>43</v>
      </c>
      <c r="Z37" s="127">
        <f t="shared" si="3"/>
        <v>66</v>
      </c>
      <c r="AA37" s="127">
        <f t="shared" si="4"/>
        <v>6</v>
      </c>
      <c r="AB37" s="147">
        <f t="shared" si="5"/>
        <v>0</v>
      </c>
    </row>
    <row r="38" spans="2:28" ht="15" customHeight="1">
      <c r="B38" s="78">
        <v>30</v>
      </c>
      <c r="C38" s="77">
        <f t="shared" si="8"/>
        <v>0</v>
      </c>
      <c r="D38" s="77">
        <f t="shared" si="8"/>
        <v>0</v>
      </c>
      <c r="E38" s="77">
        <f t="shared" si="8"/>
        <v>0</v>
      </c>
      <c r="F38" s="77">
        <f t="shared" si="8"/>
        <v>0</v>
      </c>
      <c r="G38" s="77">
        <f t="shared" si="8"/>
        <v>0</v>
      </c>
      <c r="H38" s="77">
        <f t="shared" si="8"/>
        <v>0</v>
      </c>
      <c r="I38" s="77">
        <f t="shared" si="8"/>
        <v>0</v>
      </c>
      <c r="J38" s="77">
        <f t="shared" si="8"/>
        <v>0</v>
      </c>
      <c r="K38" s="77">
        <f t="shared" si="8"/>
        <v>0</v>
      </c>
      <c r="L38" s="77">
        <f t="shared" si="8"/>
        <v>0</v>
      </c>
      <c r="M38" s="77">
        <f t="shared" si="9"/>
        <v>0</v>
      </c>
      <c r="N38" s="77">
        <f t="shared" si="9"/>
        <v>0</v>
      </c>
      <c r="O38" s="77">
        <f t="shared" si="9"/>
        <v>0</v>
      </c>
      <c r="P38" s="77">
        <f t="shared" si="9"/>
        <v>0</v>
      </c>
      <c r="Q38" s="77">
        <f t="shared" si="9"/>
        <v>0</v>
      </c>
      <c r="R38" s="77">
        <f t="shared" si="9"/>
        <v>0</v>
      </c>
      <c r="S38" s="77">
        <f t="shared" si="9"/>
        <v>0</v>
      </c>
      <c r="T38" s="77">
        <f t="shared" si="9"/>
        <v>0</v>
      </c>
      <c r="U38" s="77">
        <f t="shared" si="9"/>
        <v>0</v>
      </c>
      <c r="V38" s="77">
        <f t="shared" si="9"/>
        <v>0</v>
      </c>
      <c r="X38" s="145" t="s">
        <v>37</v>
      </c>
      <c r="Y38" s="127">
        <f t="shared" si="2"/>
        <v>0</v>
      </c>
      <c r="Z38" s="127">
        <f t="shared" si="3"/>
        <v>0</v>
      </c>
      <c r="AA38" s="127">
        <f t="shared" si="4"/>
        <v>0</v>
      </c>
      <c r="AB38" s="147">
        <f t="shared" si="5"/>
        <v>0</v>
      </c>
    </row>
    <row r="39" spans="2:28" ht="15" customHeight="1">
      <c r="B39" s="78">
        <v>31</v>
      </c>
      <c r="C39" s="77">
        <f t="shared" si="8"/>
        <v>0</v>
      </c>
      <c r="D39" s="77">
        <f t="shared" si="8"/>
        <v>0</v>
      </c>
      <c r="E39" s="77">
        <f t="shared" si="8"/>
        <v>0</v>
      </c>
      <c r="F39" s="77">
        <f t="shared" si="8"/>
        <v>0</v>
      </c>
      <c r="G39" s="77">
        <f t="shared" si="8"/>
        <v>0</v>
      </c>
      <c r="H39" s="77">
        <f t="shared" si="8"/>
        <v>0</v>
      </c>
      <c r="I39" s="77">
        <f t="shared" si="8"/>
        <v>0</v>
      </c>
      <c r="J39" s="77">
        <f t="shared" si="8"/>
        <v>0</v>
      </c>
      <c r="K39" s="77">
        <f t="shared" si="8"/>
        <v>0</v>
      </c>
      <c r="L39" s="77">
        <f t="shared" si="8"/>
        <v>0</v>
      </c>
      <c r="M39" s="77">
        <f t="shared" si="9"/>
        <v>0</v>
      </c>
      <c r="N39" s="77">
        <f t="shared" si="9"/>
        <v>0</v>
      </c>
      <c r="O39" s="77">
        <f t="shared" si="9"/>
        <v>0</v>
      </c>
      <c r="P39" s="77">
        <f t="shared" si="9"/>
        <v>0</v>
      </c>
      <c r="Q39" s="77">
        <f t="shared" si="9"/>
        <v>0</v>
      </c>
      <c r="R39" s="77">
        <f t="shared" si="9"/>
        <v>0</v>
      </c>
      <c r="S39" s="77">
        <f t="shared" si="9"/>
        <v>0</v>
      </c>
      <c r="T39" s="77">
        <f t="shared" si="9"/>
        <v>0</v>
      </c>
      <c r="U39" s="77">
        <f t="shared" si="9"/>
        <v>0</v>
      </c>
      <c r="V39" s="77">
        <f t="shared" si="9"/>
        <v>0</v>
      </c>
      <c r="X39" s="145" t="s">
        <v>37</v>
      </c>
      <c r="Y39" s="127">
        <f t="shared" si="2"/>
        <v>0</v>
      </c>
      <c r="Z39" s="127">
        <f t="shared" si="3"/>
        <v>0</v>
      </c>
      <c r="AA39" s="127">
        <f t="shared" si="4"/>
        <v>0</v>
      </c>
      <c r="AB39" s="147">
        <f t="shared" si="5"/>
        <v>0</v>
      </c>
    </row>
    <row r="40" spans="2:28" ht="15" customHeight="1">
      <c r="B40" s="78">
        <v>32</v>
      </c>
      <c r="C40" s="77">
        <f t="shared" si="8"/>
        <v>0</v>
      </c>
      <c r="D40" s="77">
        <f t="shared" si="8"/>
        <v>0</v>
      </c>
      <c r="E40" s="77">
        <f t="shared" si="8"/>
        <v>0</v>
      </c>
      <c r="F40" s="77">
        <f t="shared" si="8"/>
        <v>0</v>
      </c>
      <c r="G40" s="77">
        <f t="shared" si="8"/>
        <v>0</v>
      </c>
      <c r="H40" s="77">
        <f t="shared" si="8"/>
        <v>0</v>
      </c>
      <c r="I40" s="77">
        <f t="shared" si="8"/>
        <v>0</v>
      </c>
      <c r="J40" s="77">
        <f t="shared" si="8"/>
        <v>0</v>
      </c>
      <c r="K40" s="77">
        <f t="shared" si="8"/>
        <v>0</v>
      </c>
      <c r="L40" s="77">
        <f t="shared" si="8"/>
        <v>0</v>
      </c>
      <c r="M40" s="77">
        <f t="shared" si="9"/>
        <v>0</v>
      </c>
      <c r="N40" s="77">
        <f t="shared" si="9"/>
        <v>0</v>
      </c>
      <c r="O40" s="77">
        <f t="shared" si="9"/>
        <v>0</v>
      </c>
      <c r="P40" s="77">
        <f t="shared" si="9"/>
        <v>0</v>
      </c>
      <c r="Q40" s="77">
        <f t="shared" si="9"/>
        <v>0</v>
      </c>
      <c r="R40" s="77">
        <f t="shared" si="9"/>
        <v>0</v>
      </c>
      <c r="S40" s="77">
        <f t="shared" si="9"/>
        <v>0</v>
      </c>
      <c r="T40" s="77">
        <f t="shared" si="9"/>
        <v>0</v>
      </c>
      <c r="U40" s="77">
        <f t="shared" si="9"/>
        <v>0</v>
      </c>
      <c r="V40" s="77">
        <f t="shared" si="9"/>
        <v>0</v>
      </c>
      <c r="X40" s="145" t="s">
        <v>38</v>
      </c>
      <c r="Y40" s="127">
        <f t="shared" si="2"/>
        <v>0</v>
      </c>
      <c r="Z40" s="127">
        <f t="shared" si="3"/>
        <v>0</v>
      </c>
      <c r="AA40" s="127">
        <f t="shared" si="4"/>
        <v>0</v>
      </c>
      <c r="AB40" s="147">
        <f t="shared" si="5"/>
        <v>0</v>
      </c>
    </row>
    <row r="41" spans="2:28" ht="15" customHeight="1">
      <c r="B41" s="78">
        <v>33</v>
      </c>
      <c r="C41" s="77">
        <f t="shared" si="8"/>
        <v>0</v>
      </c>
      <c r="D41" s="77">
        <f t="shared" si="8"/>
        <v>0</v>
      </c>
      <c r="E41" s="77">
        <f t="shared" si="8"/>
        <v>0</v>
      </c>
      <c r="F41" s="77">
        <f t="shared" si="8"/>
        <v>0</v>
      </c>
      <c r="G41" s="77">
        <f t="shared" si="8"/>
        <v>0</v>
      </c>
      <c r="H41" s="77">
        <f t="shared" si="8"/>
        <v>0</v>
      </c>
      <c r="I41" s="77">
        <f t="shared" si="8"/>
        <v>0</v>
      </c>
      <c r="J41" s="77">
        <f t="shared" si="8"/>
        <v>0</v>
      </c>
      <c r="K41" s="77">
        <f t="shared" si="8"/>
        <v>0</v>
      </c>
      <c r="L41" s="77">
        <f t="shared" si="8"/>
        <v>0</v>
      </c>
      <c r="M41" s="77">
        <f t="shared" si="9"/>
        <v>0</v>
      </c>
      <c r="N41" s="77">
        <f t="shared" si="9"/>
        <v>0</v>
      </c>
      <c r="O41" s="77">
        <f t="shared" si="9"/>
        <v>0</v>
      </c>
      <c r="P41" s="77">
        <f t="shared" si="9"/>
        <v>0</v>
      </c>
      <c r="Q41" s="77">
        <f t="shared" si="9"/>
        <v>0</v>
      </c>
      <c r="R41" s="77">
        <f t="shared" si="9"/>
        <v>0</v>
      </c>
      <c r="S41" s="77">
        <f t="shared" si="9"/>
        <v>0</v>
      </c>
      <c r="T41" s="77">
        <f t="shared" si="9"/>
        <v>0</v>
      </c>
      <c r="U41" s="77">
        <f t="shared" si="9"/>
        <v>0</v>
      </c>
      <c r="V41" s="77">
        <f t="shared" si="9"/>
        <v>0</v>
      </c>
      <c r="X41" s="145" t="s">
        <v>38</v>
      </c>
      <c r="Y41" s="127">
        <f t="shared" ref="Y41:Y67" si="10">SUMIF(CentroLI,$B41,Jorge_Rodriguez)</f>
        <v>0</v>
      </c>
      <c r="Z41" s="127">
        <f t="shared" ref="Z41:Z67" si="11">SUMIF(CentroLI,$B41,Stalin_Gonzalez)</f>
        <v>0</v>
      </c>
      <c r="AA41" s="127">
        <f t="shared" ref="AA41:AA67" si="12">SUMIF(CentroLI,$B41,Claudio_Fermin)</f>
        <v>0</v>
      </c>
      <c r="AB41" s="147">
        <f t="shared" si="5"/>
        <v>0</v>
      </c>
    </row>
    <row r="42" spans="2:28" ht="15" customHeight="1">
      <c r="B42" s="78">
        <v>34</v>
      </c>
      <c r="C42" s="77">
        <f t="shared" si="8"/>
        <v>1</v>
      </c>
      <c r="D42" s="77">
        <f t="shared" si="8"/>
        <v>1</v>
      </c>
      <c r="E42" s="77">
        <f t="shared" si="8"/>
        <v>1</v>
      </c>
      <c r="F42" s="77">
        <f t="shared" si="8"/>
        <v>1</v>
      </c>
      <c r="G42" s="77">
        <f t="shared" si="8"/>
        <v>1</v>
      </c>
      <c r="H42" s="77">
        <f t="shared" si="8"/>
        <v>1</v>
      </c>
      <c r="I42" s="77">
        <f t="shared" si="8"/>
        <v>1</v>
      </c>
      <c r="J42" s="77">
        <f t="shared" si="8"/>
        <v>2</v>
      </c>
      <c r="K42" s="77">
        <f t="shared" si="8"/>
        <v>2</v>
      </c>
      <c r="L42" s="77">
        <f t="shared" si="8"/>
        <v>1</v>
      </c>
      <c r="M42" s="77">
        <f t="shared" si="9"/>
        <v>1</v>
      </c>
      <c r="N42" s="77">
        <f t="shared" si="9"/>
        <v>1</v>
      </c>
      <c r="O42" s="77">
        <f t="shared" si="9"/>
        <v>1</v>
      </c>
      <c r="P42" s="77">
        <f t="shared" si="9"/>
        <v>1</v>
      </c>
      <c r="Q42" s="77">
        <f t="shared" si="9"/>
        <v>2</v>
      </c>
      <c r="R42" s="77">
        <f t="shared" si="9"/>
        <v>0</v>
      </c>
      <c r="S42" s="77">
        <f t="shared" si="9"/>
        <v>0</v>
      </c>
      <c r="T42" s="77">
        <f t="shared" si="9"/>
        <v>0</v>
      </c>
      <c r="U42" s="77">
        <f t="shared" si="9"/>
        <v>0</v>
      </c>
      <c r="V42" s="77">
        <f t="shared" si="9"/>
        <v>0</v>
      </c>
      <c r="X42" s="145" t="s">
        <v>38</v>
      </c>
      <c r="Y42" s="127">
        <f t="shared" si="10"/>
        <v>210</v>
      </c>
      <c r="Z42" s="127">
        <f t="shared" si="11"/>
        <v>117</v>
      </c>
      <c r="AA42" s="127">
        <f t="shared" si="12"/>
        <v>48</v>
      </c>
      <c r="AB42" s="147">
        <f t="shared" si="5"/>
        <v>17</v>
      </c>
    </row>
    <row r="43" spans="2:28" ht="15" customHeight="1">
      <c r="B43" s="78">
        <v>35</v>
      </c>
      <c r="C43" s="77">
        <f t="shared" si="8"/>
        <v>0</v>
      </c>
      <c r="D43" s="77">
        <f t="shared" si="8"/>
        <v>0</v>
      </c>
      <c r="E43" s="77">
        <f t="shared" si="8"/>
        <v>0</v>
      </c>
      <c r="F43" s="77">
        <f t="shared" si="8"/>
        <v>1</v>
      </c>
      <c r="G43" s="77">
        <f t="shared" si="8"/>
        <v>1</v>
      </c>
      <c r="H43" s="77">
        <f t="shared" si="8"/>
        <v>1</v>
      </c>
      <c r="I43" s="77">
        <f t="shared" si="8"/>
        <v>1</v>
      </c>
      <c r="J43" s="77">
        <f t="shared" si="8"/>
        <v>1</v>
      </c>
      <c r="K43" s="77">
        <f t="shared" si="8"/>
        <v>1</v>
      </c>
      <c r="L43" s="77">
        <f t="shared" si="8"/>
        <v>1</v>
      </c>
      <c r="M43" s="77">
        <f t="shared" si="9"/>
        <v>1</v>
      </c>
      <c r="N43" s="77">
        <f t="shared" si="9"/>
        <v>1</v>
      </c>
      <c r="O43" s="77">
        <f t="shared" si="9"/>
        <v>1</v>
      </c>
      <c r="P43" s="77">
        <f t="shared" si="9"/>
        <v>1</v>
      </c>
      <c r="Q43" s="77">
        <f t="shared" si="9"/>
        <v>0</v>
      </c>
      <c r="R43" s="77">
        <f t="shared" si="9"/>
        <v>0</v>
      </c>
      <c r="S43" s="77">
        <f t="shared" si="9"/>
        <v>0</v>
      </c>
      <c r="T43" s="77">
        <f t="shared" si="9"/>
        <v>0</v>
      </c>
      <c r="U43" s="77">
        <f t="shared" si="9"/>
        <v>0</v>
      </c>
      <c r="V43" s="77">
        <f t="shared" si="9"/>
        <v>0</v>
      </c>
      <c r="X43" s="145" t="s">
        <v>39</v>
      </c>
      <c r="Y43" s="127">
        <f t="shared" si="10"/>
        <v>122</v>
      </c>
      <c r="Z43" s="127">
        <f t="shared" si="11"/>
        <v>95</v>
      </c>
      <c r="AA43" s="127">
        <f t="shared" si="12"/>
        <v>83</v>
      </c>
      <c r="AB43" s="147">
        <f t="shared" si="5"/>
        <v>0</v>
      </c>
    </row>
    <row r="44" spans="2:28" ht="15" customHeight="1">
      <c r="B44" s="78">
        <v>36</v>
      </c>
      <c r="C44" s="77">
        <f t="shared" si="8"/>
        <v>0</v>
      </c>
      <c r="D44" s="77">
        <f t="shared" si="8"/>
        <v>0</v>
      </c>
      <c r="E44" s="77">
        <f t="shared" si="8"/>
        <v>0</v>
      </c>
      <c r="F44" s="77">
        <f t="shared" si="8"/>
        <v>0</v>
      </c>
      <c r="G44" s="77">
        <f t="shared" si="8"/>
        <v>0</v>
      </c>
      <c r="H44" s="77">
        <f t="shared" si="8"/>
        <v>0</v>
      </c>
      <c r="I44" s="77">
        <f t="shared" si="8"/>
        <v>0</v>
      </c>
      <c r="J44" s="77">
        <f t="shared" si="8"/>
        <v>0</v>
      </c>
      <c r="K44" s="77">
        <f t="shared" si="8"/>
        <v>0</v>
      </c>
      <c r="L44" s="77">
        <f t="shared" si="8"/>
        <v>1</v>
      </c>
      <c r="M44" s="77">
        <f t="shared" si="9"/>
        <v>0</v>
      </c>
      <c r="N44" s="77">
        <f t="shared" si="9"/>
        <v>0</v>
      </c>
      <c r="O44" s="77">
        <f t="shared" si="9"/>
        <v>0</v>
      </c>
      <c r="P44" s="77">
        <f t="shared" si="9"/>
        <v>1</v>
      </c>
      <c r="Q44" s="77">
        <f t="shared" si="9"/>
        <v>1</v>
      </c>
      <c r="R44" s="77">
        <f t="shared" si="9"/>
        <v>0</v>
      </c>
      <c r="S44" s="77">
        <f t="shared" si="9"/>
        <v>0</v>
      </c>
      <c r="T44" s="77">
        <f t="shared" si="9"/>
        <v>0</v>
      </c>
      <c r="U44" s="77">
        <f t="shared" si="9"/>
        <v>0</v>
      </c>
      <c r="V44" s="77">
        <f t="shared" si="9"/>
        <v>0</v>
      </c>
      <c r="X44" s="145" t="s">
        <v>39</v>
      </c>
      <c r="Y44" s="127">
        <f t="shared" si="10"/>
        <v>48</v>
      </c>
      <c r="Z44" s="127">
        <f t="shared" si="11"/>
        <v>17</v>
      </c>
      <c r="AA44" s="127">
        <f t="shared" si="12"/>
        <v>10</v>
      </c>
      <c r="AB44" s="147">
        <f t="shared" si="5"/>
        <v>0</v>
      </c>
    </row>
    <row r="45" spans="2:28" ht="15" customHeight="1">
      <c r="B45" s="78">
        <v>37</v>
      </c>
      <c r="C45" s="77">
        <f t="shared" si="8"/>
        <v>1</v>
      </c>
      <c r="D45" s="77">
        <f t="shared" si="8"/>
        <v>1</v>
      </c>
      <c r="E45" s="77">
        <f t="shared" si="8"/>
        <v>1</v>
      </c>
      <c r="F45" s="77">
        <f t="shared" si="8"/>
        <v>1</v>
      </c>
      <c r="G45" s="77">
        <f t="shared" si="8"/>
        <v>1</v>
      </c>
      <c r="H45" s="77">
        <f t="shared" si="8"/>
        <v>1</v>
      </c>
      <c r="I45" s="77">
        <f t="shared" si="8"/>
        <v>0</v>
      </c>
      <c r="J45" s="77">
        <f t="shared" si="8"/>
        <v>0</v>
      </c>
      <c r="K45" s="77">
        <f t="shared" si="8"/>
        <v>0</v>
      </c>
      <c r="L45" s="77">
        <f t="shared" si="8"/>
        <v>0</v>
      </c>
      <c r="M45" s="77">
        <f t="shared" si="9"/>
        <v>0</v>
      </c>
      <c r="N45" s="77">
        <f t="shared" si="9"/>
        <v>0</v>
      </c>
      <c r="O45" s="77">
        <f t="shared" si="9"/>
        <v>0</v>
      </c>
      <c r="P45" s="77">
        <f t="shared" si="9"/>
        <v>0</v>
      </c>
      <c r="Q45" s="77">
        <f t="shared" si="9"/>
        <v>0</v>
      </c>
      <c r="R45" s="77">
        <f t="shared" si="9"/>
        <v>0</v>
      </c>
      <c r="S45" s="77">
        <f t="shared" si="9"/>
        <v>0</v>
      </c>
      <c r="T45" s="77">
        <f t="shared" si="9"/>
        <v>0</v>
      </c>
      <c r="U45" s="77">
        <f t="shared" si="9"/>
        <v>0</v>
      </c>
      <c r="V45" s="77">
        <f t="shared" si="9"/>
        <v>0</v>
      </c>
      <c r="X45" s="145" t="s">
        <v>40</v>
      </c>
      <c r="Y45" s="127">
        <f t="shared" si="10"/>
        <v>44</v>
      </c>
      <c r="Z45" s="127">
        <f t="shared" si="11"/>
        <v>87</v>
      </c>
      <c r="AA45" s="127">
        <f t="shared" si="12"/>
        <v>6</v>
      </c>
      <c r="AB45" s="147">
        <f t="shared" si="5"/>
        <v>3</v>
      </c>
    </row>
    <row r="46" spans="2:28" ht="15" customHeight="1">
      <c r="B46" s="78">
        <v>38</v>
      </c>
      <c r="C46" s="77">
        <f t="shared" si="8"/>
        <v>0</v>
      </c>
      <c r="D46" s="77">
        <f t="shared" si="8"/>
        <v>2</v>
      </c>
      <c r="E46" s="77">
        <f t="shared" si="8"/>
        <v>0</v>
      </c>
      <c r="F46" s="77">
        <f t="shared" si="8"/>
        <v>0</v>
      </c>
      <c r="G46" s="77">
        <f t="shared" si="8"/>
        <v>1</v>
      </c>
      <c r="H46" s="77">
        <f t="shared" si="8"/>
        <v>1</v>
      </c>
      <c r="I46" s="77">
        <f t="shared" si="8"/>
        <v>1</v>
      </c>
      <c r="J46" s="77">
        <f t="shared" si="8"/>
        <v>1</v>
      </c>
      <c r="K46" s="77">
        <f t="shared" si="8"/>
        <v>0</v>
      </c>
      <c r="L46" s="77">
        <f t="shared" si="8"/>
        <v>1</v>
      </c>
      <c r="M46" s="77">
        <f t="shared" si="9"/>
        <v>1</v>
      </c>
      <c r="N46" s="77">
        <f t="shared" si="9"/>
        <v>1</v>
      </c>
      <c r="O46" s="77">
        <f t="shared" si="9"/>
        <v>1</v>
      </c>
      <c r="P46" s="77">
        <f t="shared" si="9"/>
        <v>1</v>
      </c>
      <c r="Q46" s="77">
        <f t="shared" si="9"/>
        <v>1</v>
      </c>
      <c r="R46" s="77">
        <f t="shared" si="9"/>
        <v>1</v>
      </c>
      <c r="S46" s="77">
        <f t="shared" si="9"/>
        <v>0</v>
      </c>
      <c r="T46" s="77">
        <f t="shared" si="9"/>
        <v>0</v>
      </c>
      <c r="U46" s="77">
        <f t="shared" si="9"/>
        <v>0</v>
      </c>
      <c r="V46" s="77">
        <f t="shared" si="9"/>
        <v>0</v>
      </c>
      <c r="X46" s="145" t="s">
        <v>41</v>
      </c>
      <c r="Y46" s="127">
        <f t="shared" si="10"/>
        <v>51</v>
      </c>
      <c r="Z46" s="127">
        <f t="shared" si="11"/>
        <v>280</v>
      </c>
      <c r="AA46" s="127">
        <f t="shared" si="12"/>
        <v>2</v>
      </c>
      <c r="AB46" s="147">
        <f t="shared" si="5"/>
        <v>3</v>
      </c>
    </row>
    <row r="47" spans="2:28" ht="15" customHeight="1">
      <c r="B47" s="78">
        <v>39</v>
      </c>
      <c r="C47" s="77">
        <f t="shared" si="8"/>
        <v>0</v>
      </c>
      <c r="D47" s="77">
        <f t="shared" si="8"/>
        <v>0</v>
      </c>
      <c r="E47" s="77">
        <f t="shared" si="8"/>
        <v>0</v>
      </c>
      <c r="F47" s="77">
        <f t="shared" si="8"/>
        <v>0</v>
      </c>
      <c r="G47" s="77">
        <f t="shared" si="8"/>
        <v>0</v>
      </c>
      <c r="H47" s="77">
        <f t="shared" si="8"/>
        <v>0</v>
      </c>
      <c r="I47" s="77">
        <f t="shared" si="8"/>
        <v>0</v>
      </c>
      <c r="J47" s="77">
        <f t="shared" si="8"/>
        <v>0</v>
      </c>
      <c r="K47" s="77">
        <f t="shared" si="8"/>
        <v>0</v>
      </c>
      <c r="L47" s="77">
        <f t="shared" si="8"/>
        <v>0</v>
      </c>
      <c r="M47" s="77">
        <f t="shared" si="9"/>
        <v>0</v>
      </c>
      <c r="N47" s="77">
        <f t="shared" si="9"/>
        <v>0</v>
      </c>
      <c r="O47" s="77">
        <f t="shared" si="9"/>
        <v>0</v>
      </c>
      <c r="P47" s="77">
        <f t="shared" si="9"/>
        <v>0</v>
      </c>
      <c r="Q47" s="77">
        <f t="shared" si="9"/>
        <v>0</v>
      </c>
      <c r="R47" s="77">
        <f t="shared" si="9"/>
        <v>0</v>
      </c>
      <c r="S47" s="77">
        <f t="shared" si="9"/>
        <v>0</v>
      </c>
      <c r="T47" s="77">
        <f t="shared" si="9"/>
        <v>0</v>
      </c>
      <c r="U47" s="77">
        <f t="shared" si="9"/>
        <v>0</v>
      </c>
      <c r="V47" s="77">
        <f t="shared" si="9"/>
        <v>0</v>
      </c>
      <c r="X47" s="145" t="s">
        <v>42</v>
      </c>
      <c r="Y47" s="127">
        <f t="shared" si="10"/>
        <v>0</v>
      </c>
      <c r="Z47" s="127">
        <f t="shared" si="11"/>
        <v>0</v>
      </c>
      <c r="AA47" s="127">
        <f t="shared" si="12"/>
        <v>0</v>
      </c>
      <c r="AB47" s="147">
        <f t="shared" si="5"/>
        <v>0</v>
      </c>
    </row>
    <row r="48" spans="2:28" ht="15" customHeight="1">
      <c r="B48" s="78">
        <v>40</v>
      </c>
      <c r="C48" s="77">
        <f t="shared" si="8"/>
        <v>0</v>
      </c>
      <c r="D48" s="77">
        <f t="shared" si="8"/>
        <v>0</v>
      </c>
      <c r="E48" s="77">
        <f t="shared" si="8"/>
        <v>0</v>
      </c>
      <c r="F48" s="77">
        <f t="shared" si="8"/>
        <v>0</v>
      </c>
      <c r="G48" s="77">
        <f t="shared" si="8"/>
        <v>0</v>
      </c>
      <c r="H48" s="77">
        <f t="shared" si="8"/>
        <v>0</v>
      </c>
      <c r="I48" s="77">
        <f t="shared" si="8"/>
        <v>0</v>
      </c>
      <c r="J48" s="77">
        <f t="shared" si="8"/>
        <v>0</v>
      </c>
      <c r="K48" s="77">
        <f t="shared" si="8"/>
        <v>0</v>
      </c>
      <c r="L48" s="77">
        <f t="shared" si="8"/>
        <v>0</v>
      </c>
      <c r="M48" s="77">
        <f t="shared" si="9"/>
        <v>0</v>
      </c>
      <c r="N48" s="77">
        <f t="shared" si="9"/>
        <v>0</v>
      </c>
      <c r="O48" s="77">
        <f t="shared" si="9"/>
        <v>0</v>
      </c>
      <c r="P48" s="77">
        <f t="shared" si="9"/>
        <v>0</v>
      </c>
      <c r="Q48" s="77">
        <f t="shared" si="9"/>
        <v>0</v>
      </c>
      <c r="R48" s="77">
        <f t="shared" si="9"/>
        <v>0</v>
      </c>
      <c r="S48" s="77">
        <f t="shared" si="9"/>
        <v>0</v>
      </c>
      <c r="T48" s="77">
        <f t="shared" si="9"/>
        <v>0</v>
      </c>
      <c r="U48" s="77">
        <f t="shared" si="9"/>
        <v>0</v>
      </c>
      <c r="V48" s="77">
        <f t="shared" si="9"/>
        <v>0</v>
      </c>
      <c r="X48" s="145" t="s">
        <v>43</v>
      </c>
      <c r="Y48" s="127">
        <f t="shared" si="10"/>
        <v>0</v>
      </c>
      <c r="Z48" s="127">
        <f t="shared" si="11"/>
        <v>0</v>
      </c>
      <c r="AA48" s="127">
        <f t="shared" si="12"/>
        <v>0</v>
      </c>
      <c r="AB48" s="147">
        <f t="shared" si="5"/>
        <v>0</v>
      </c>
    </row>
    <row r="49" spans="2:28" ht="15" customHeight="1">
      <c r="B49" s="78">
        <v>41</v>
      </c>
      <c r="C49" s="77">
        <f t="shared" si="8"/>
        <v>0</v>
      </c>
      <c r="D49" s="77">
        <f t="shared" si="8"/>
        <v>0</v>
      </c>
      <c r="E49" s="77">
        <f t="shared" si="8"/>
        <v>0</v>
      </c>
      <c r="F49" s="77">
        <f t="shared" si="8"/>
        <v>1</v>
      </c>
      <c r="G49" s="77">
        <f t="shared" si="8"/>
        <v>1</v>
      </c>
      <c r="H49" s="77">
        <f t="shared" si="8"/>
        <v>1</v>
      </c>
      <c r="I49" s="77">
        <f t="shared" si="8"/>
        <v>1</v>
      </c>
      <c r="J49" s="77">
        <f t="shared" si="8"/>
        <v>1</v>
      </c>
      <c r="K49" s="77">
        <f t="shared" si="8"/>
        <v>1</v>
      </c>
      <c r="L49" s="77">
        <f t="shared" si="8"/>
        <v>1</v>
      </c>
      <c r="M49" s="77">
        <f t="shared" si="9"/>
        <v>1</v>
      </c>
      <c r="N49" s="77">
        <f t="shared" si="9"/>
        <v>0</v>
      </c>
      <c r="O49" s="77">
        <f t="shared" si="9"/>
        <v>1</v>
      </c>
      <c r="P49" s="77">
        <f t="shared" si="9"/>
        <v>0</v>
      </c>
      <c r="Q49" s="77">
        <f t="shared" si="9"/>
        <v>0</v>
      </c>
      <c r="R49" s="77">
        <f t="shared" si="9"/>
        <v>0</v>
      </c>
      <c r="S49" s="77">
        <f t="shared" si="9"/>
        <v>0</v>
      </c>
      <c r="T49" s="77">
        <f t="shared" si="9"/>
        <v>0</v>
      </c>
      <c r="U49" s="77">
        <f t="shared" si="9"/>
        <v>0</v>
      </c>
      <c r="V49" s="77">
        <f t="shared" si="9"/>
        <v>0</v>
      </c>
      <c r="X49" s="145" t="s">
        <v>43</v>
      </c>
      <c r="Y49" s="127">
        <f t="shared" si="10"/>
        <v>55</v>
      </c>
      <c r="Z49" s="127">
        <f t="shared" si="11"/>
        <v>30</v>
      </c>
      <c r="AA49" s="127">
        <f t="shared" si="12"/>
        <v>2</v>
      </c>
      <c r="AB49" s="147">
        <f t="shared" si="5"/>
        <v>0</v>
      </c>
    </row>
    <row r="50" spans="2:28" ht="15" customHeight="1">
      <c r="B50" s="78">
        <v>42</v>
      </c>
      <c r="C50" s="77">
        <f t="shared" si="8"/>
        <v>0</v>
      </c>
      <c r="D50" s="77">
        <f t="shared" si="8"/>
        <v>0</v>
      </c>
      <c r="E50" s="77">
        <f t="shared" si="8"/>
        <v>0</v>
      </c>
      <c r="F50" s="77">
        <f t="shared" si="8"/>
        <v>0</v>
      </c>
      <c r="G50" s="77">
        <f t="shared" si="8"/>
        <v>0</v>
      </c>
      <c r="H50" s="77">
        <f t="shared" si="8"/>
        <v>0</v>
      </c>
      <c r="I50" s="77">
        <f t="shared" si="8"/>
        <v>0</v>
      </c>
      <c r="J50" s="77">
        <f t="shared" si="8"/>
        <v>0</v>
      </c>
      <c r="K50" s="77">
        <f t="shared" si="8"/>
        <v>0</v>
      </c>
      <c r="L50" s="77">
        <f t="shared" si="8"/>
        <v>0</v>
      </c>
      <c r="M50" s="77">
        <f t="shared" si="9"/>
        <v>0</v>
      </c>
      <c r="N50" s="77">
        <f t="shared" si="9"/>
        <v>0</v>
      </c>
      <c r="O50" s="77">
        <f t="shared" si="9"/>
        <v>0</v>
      </c>
      <c r="P50" s="77">
        <f t="shared" si="9"/>
        <v>0</v>
      </c>
      <c r="Q50" s="77">
        <f t="shared" si="9"/>
        <v>0</v>
      </c>
      <c r="R50" s="77">
        <f t="shared" si="9"/>
        <v>0</v>
      </c>
      <c r="S50" s="77">
        <f t="shared" si="9"/>
        <v>0</v>
      </c>
      <c r="T50" s="77">
        <f t="shared" si="9"/>
        <v>0</v>
      </c>
      <c r="U50" s="77">
        <f t="shared" si="9"/>
        <v>0</v>
      </c>
      <c r="V50" s="77">
        <f t="shared" si="9"/>
        <v>0</v>
      </c>
      <c r="X50" s="145" t="s">
        <v>43</v>
      </c>
      <c r="Y50" s="127">
        <f t="shared" si="10"/>
        <v>0</v>
      </c>
      <c r="Z50" s="127">
        <f t="shared" si="11"/>
        <v>0</v>
      </c>
      <c r="AA50" s="127">
        <f t="shared" si="12"/>
        <v>0</v>
      </c>
      <c r="AB50" s="147">
        <f t="shared" si="5"/>
        <v>0</v>
      </c>
    </row>
    <row r="51" spans="2:28" ht="15" customHeight="1">
      <c r="B51" s="78">
        <v>43</v>
      </c>
      <c r="C51" s="77">
        <f t="shared" si="8"/>
        <v>0</v>
      </c>
      <c r="D51" s="77">
        <f t="shared" si="8"/>
        <v>1</v>
      </c>
      <c r="E51" s="77">
        <f t="shared" si="8"/>
        <v>1</v>
      </c>
      <c r="F51" s="77">
        <f t="shared" si="8"/>
        <v>0</v>
      </c>
      <c r="G51" s="77">
        <f t="shared" si="8"/>
        <v>0</v>
      </c>
      <c r="H51" s="77">
        <f t="shared" si="8"/>
        <v>0</v>
      </c>
      <c r="I51" s="77">
        <f t="shared" si="8"/>
        <v>1</v>
      </c>
      <c r="J51" s="77">
        <f t="shared" si="8"/>
        <v>0</v>
      </c>
      <c r="K51" s="77">
        <f t="shared" si="8"/>
        <v>0</v>
      </c>
      <c r="L51" s="77">
        <f t="shared" si="8"/>
        <v>0</v>
      </c>
      <c r="M51" s="77">
        <f t="shared" si="9"/>
        <v>0</v>
      </c>
      <c r="N51" s="77">
        <f t="shared" si="9"/>
        <v>0</v>
      </c>
      <c r="O51" s="77">
        <f t="shared" si="9"/>
        <v>0</v>
      </c>
      <c r="P51" s="77">
        <f t="shared" si="9"/>
        <v>0</v>
      </c>
      <c r="Q51" s="77">
        <f t="shared" si="9"/>
        <v>0</v>
      </c>
      <c r="R51" s="77">
        <f t="shared" si="9"/>
        <v>0</v>
      </c>
      <c r="S51" s="77">
        <f t="shared" si="9"/>
        <v>0</v>
      </c>
      <c r="T51" s="77">
        <f t="shared" si="9"/>
        <v>0</v>
      </c>
      <c r="U51" s="77">
        <f t="shared" si="9"/>
        <v>0</v>
      </c>
      <c r="V51" s="77">
        <f t="shared" si="9"/>
        <v>0</v>
      </c>
      <c r="X51" s="145" t="s">
        <v>44</v>
      </c>
      <c r="Y51" s="127">
        <f t="shared" si="10"/>
        <v>13</v>
      </c>
      <c r="Z51" s="127">
        <f t="shared" si="11"/>
        <v>29</v>
      </c>
      <c r="AA51" s="127">
        <f t="shared" si="12"/>
        <v>3</v>
      </c>
      <c r="AB51" s="147">
        <f t="shared" si="5"/>
        <v>0</v>
      </c>
    </row>
    <row r="52" spans="2:28" ht="15" customHeight="1">
      <c r="B52" s="78">
        <v>44</v>
      </c>
      <c r="C52" s="77">
        <f t="shared" si="8"/>
        <v>0</v>
      </c>
      <c r="D52" s="77">
        <f t="shared" si="8"/>
        <v>0</v>
      </c>
      <c r="E52" s="77">
        <f t="shared" si="8"/>
        <v>0</v>
      </c>
      <c r="F52" s="77">
        <f t="shared" si="8"/>
        <v>0</v>
      </c>
      <c r="G52" s="77">
        <f t="shared" si="8"/>
        <v>0</v>
      </c>
      <c r="H52" s="77">
        <f t="shared" si="8"/>
        <v>0</v>
      </c>
      <c r="I52" s="77">
        <f t="shared" si="8"/>
        <v>0</v>
      </c>
      <c r="J52" s="77">
        <f t="shared" si="8"/>
        <v>0</v>
      </c>
      <c r="K52" s="77">
        <f t="shared" si="8"/>
        <v>0</v>
      </c>
      <c r="L52" s="77">
        <f t="shared" si="8"/>
        <v>0</v>
      </c>
      <c r="M52" s="77">
        <f t="shared" si="9"/>
        <v>0</v>
      </c>
      <c r="N52" s="77">
        <f t="shared" si="9"/>
        <v>0</v>
      </c>
      <c r="O52" s="77">
        <f t="shared" si="9"/>
        <v>1</v>
      </c>
      <c r="P52" s="77">
        <f t="shared" si="9"/>
        <v>1</v>
      </c>
      <c r="Q52" s="77">
        <f t="shared" si="9"/>
        <v>0</v>
      </c>
      <c r="R52" s="77">
        <f t="shared" si="9"/>
        <v>0</v>
      </c>
      <c r="S52" s="77">
        <f t="shared" si="9"/>
        <v>0</v>
      </c>
      <c r="T52" s="77">
        <f t="shared" si="9"/>
        <v>0</v>
      </c>
      <c r="U52" s="77">
        <f t="shared" si="9"/>
        <v>0</v>
      </c>
      <c r="V52" s="77">
        <f t="shared" si="9"/>
        <v>0</v>
      </c>
      <c r="X52" s="145" t="s">
        <v>44</v>
      </c>
      <c r="Y52" s="127">
        <f t="shared" si="10"/>
        <v>9</v>
      </c>
      <c r="Z52" s="127">
        <f t="shared" si="11"/>
        <v>16</v>
      </c>
      <c r="AA52" s="127">
        <f t="shared" si="12"/>
        <v>1</v>
      </c>
      <c r="AB52" s="147">
        <f t="shared" si="5"/>
        <v>0</v>
      </c>
    </row>
    <row r="53" spans="2:28" ht="15" customHeight="1">
      <c r="B53" s="78">
        <v>45</v>
      </c>
      <c r="C53" s="77">
        <f t="shared" si="8"/>
        <v>1</v>
      </c>
      <c r="D53" s="77">
        <f t="shared" si="8"/>
        <v>1</v>
      </c>
      <c r="E53" s="77">
        <f t="shared" si="8"/>
        <v>1</v>
      </c>
      <c r="F53" s="77">
        <f t="shared" si="8"/>
        <v>1</v>
      </c>
      <c r="G53" s="77">
        <f t="shared" si="8"/>
        <v>1</v>
      </c>
      <c r="H53" s="77">
        <f t="shared" si="8"/>
        <v>1</v>
      </c>
      <c r="I53" s="77">
        <f t="shared" si="8"/>
        <v>1</v>
      </c>
      <c r="J53" s="77">
        <f t="shared" si="8"/>
        <v>1</v>
      </c>
      <c r="K53" s="77">
        <f t="shared" si="8"/>
        <v>1</v>
      </c>
      <c r="L53" s="77">
        <f t="shared" si="8"/>
        <v>1</v>
      </c>
      <c r="M53" s="77">
        <f t="shared" si="9"/>
        <v>1</v>
      </c>
      <c r="N53" s="77">
        <f t="shared" si="9"/>
        <v>1</v>
      </c>
      <c r="O53" s="77">
        <f t="shared" si="9"/>
        <v>1</v>
      </c>
      <c r="P53" s="77">
        <f t="shared" si="9"/>
        <v>1</v>
      </c>
      <c r="Q53" s="77">
        <f t="shared" si="9"/>
        <v>0</v>
      </c>
      <c r="R53" s="77">
        <f t="shared" si="9"/>
        <v>0</v>
      </c>
      <c r="S53" s="77">
        <f t="shared" si="9"/>
        <v>0</v>
      </c>
      <c r="T53" s="77">
        <f t="shared" si="9"/>
        <v>0</v>
      </c>
      <c r="U53" s="77">
        <f t="shared" si="9"/>
        <v>0</v>
      </c>
      <c r="V53" s="77">
        <f t="shared" si="9"/>
        <v>0</v>
      </c>
      <c r="X53" s="145" t="s">
        <v>45</v>
      </c>
      <c r="Y53" s="127">
        <f t="shared" si="10"/>
        <v>183</v>
      </c>
      <c r="Z53" s="127">
        <f t="shared" si="11"/>
        <v>75</v>
      </c>
      <c r="AA53" s="127">
        <f t="shared" si="12"/>
        <v>12</v>
      </c>
      <c r="AB53" s="147">
        <f t="shared" si="5"/>
        <v>20</v>
      </c>
    </row>
    <row r="54" spans="2:28" ht="15" customHeight="1">
      <c r="B54" s="78">
        <v>46</v>
      </c>
      <c r="C54" s="77">
        <f t="shared" si="8"/>
        <v>0</v>
      </c>
      <c r="D54" s="77">
        <f t="shared" si="8"/>
        <v>0</v>
      </c>
      <c r="E54" s="77">
        <f t="shared" si="8"/>
        <v>0</v>
      </c>
      <c r="F54" s="77">
        <f t="shared" si="8"/>
        <v>0</v>
      </c>
      <c r="G54" s="77">
        <f t="shared" si="8"/>
        <v>0</v>
      </c>
      <c r="H54" s="77">
        <f t="shared" si="8"/>
        <v>1</v>
      </c>
      <c r="I54" s="77">
        <f t="shared" si="8"/>
        <v>1</v>
      </c>
      <c r="J54" s="77">
        <f t="shared" si="8"/>
        <v>1</v>
      </c>
      <c r="K54" s="77">
        <f t="shared" si="8"/>
        <v>1</v>
      </c>
      <c r="L54" s="77">
        <f t="shared" si="8"/>
        <v>0</v>
      </c>
      <c r="M54" s="77">
        <f t="shared" si="9"/>
        <v>0</v>
      </c>
      <c r="N54" s="77">
        <f t="shared" si="9"/>
        <v>0</v>
      </c>
      <c r="O54" s="77">
        <f t="shared" si="9"/>
        <v>0</v>
      </c>
      <c r="P54" s="77">
        <f t="shared" si="9"/>
        <v>0</v>
      </c>
      <c r="Q54" s="77">
        <f t="shared" si="9"/>
        <v>0</v>
      </c>
      <c r="R54" s="77">
        <f t="shared" si="9"/>
        <v>0</v>
      </c>
      <c r="S54" s="77">
        <f t="shared" si="9"/>
        <v>0</v>
      </c>
      <c r="T54" s="77">
        <f t="shared" si="9"/>
        <v>0</v>
      </c>
      <c r="U54" s="77">
        <f t="shared" si="9"/>
        <v>0</v>
      </c>
      <c r="V54" s="77">
        <f t="shared" si="9"/>
        <v>0</v>
      </c>
      <c r="X54" s="145" t="s">
        <v>45</v>
      </c>
      <c r="Y54" s="127">
        <f t="shared" si="10"/>
        <v>5</v>
      </c>
      <c r="Z54" s="127">
        <f t="shared" si="11"/>
        <v>6</v>
      </c>
      <c r="AA54" s="127">
        <f t="shared" si="12"/>
        <v>0</v>
      </c>
      <c r="AB54" s="147">
        <f t="shared" si="5"/>
        <v>0</v>
      </c>
    </row>
    <row r="55" spans="2:28" ht="15" customHeight="1">
      <c r="B55" s="78">
        <v>47</v>
      </c>
      <c r="C55" s="77">
        <f t="shared" si="8"/>
        <v>0</v>
      </c>
      <c r="D55" s="77">
        <f t="shared" si="8"/>
        <v>0</v>
      </c>
      <c r="E55" s="77">
        <f t="shared" si="8"/>
        <v>0</v>
      </c>
      <c r="F55" s="77">
        <f t="shared" si="8"/>
        <v>0</v>
      </c>
      <c r="G55" s="77">
        <f t="shared" si="8"/>
        <v>0</v>
      </c>
      <c r="H55" s="77">
        <f t="shared" si="8"/>
        <v>0</v>
      </c>
      <c r="I55" s="77">
        <f t="shared" si="8"/>
        <v>0</v>
      </c>
      <c r="J55" s="77">
        <f t="shared" si="8"/>
        <v>0</v>
      </c>
      <c r="K55" s="77">
        <f t="shared" si="8"/>
        <v>0</v>
      </c>
      <c r="L55" s="77">
        <f t="shared" si="8"/>
        <v>0</v>
      </c>
      <c r="M55" s="77">
        <f t="shared" si="9"/>
        <v>0</v>
      </c>
      <c r="N55" s="77">
        <f t="shared" si="9"/>
        <v>0</v>
      </c>
      <c r="O55" s="77">
        <f t="shared" si="9"/>
        <v>0</v>
      </c>
      <c r="P55" s="77">
        <f t="shared" si="9"/>
        <v>0</v>
      </c>
      <c r="Q55" s="77">
        <f t="shared" si="9"/>
        <v>0</v>
      </c>
      <c r="R55" s="77">
        <f t="shared" si="9"/>
        <v>0</v>
      </c>
      <c r="S55" s="77">
        <f t="shared" si="9"/>
        <v>0</v>
      </c>
      <c r="T55" s="77">
        <f t="shared" si="9"/>
        <v>0</v>
      </c>
      <c r="U55" s="77">
        <f t="shared" si="9"/>
        <v>0</v>
      </c>
      <c r="V55" s="77">
        <f t="shared" si="9"/>
        <v>0</v>
      </c>
      <c r="X55" s="145" t="s">
        <v>45</v>
      </c>
      <c r="Y55" s="127">
        <f t="shared" si="10"/>
        <v>0</v>
      </c>
      <c r="Z55" s="127">
        <f t="shared" si="11"/>
        <v>0</v>
      </c>
      <c r="AA55" s="127">
        <f t="shared" si="12"/>
        <v>0</v>
      </c>
      <c r="AB55" s="147">
        <f t="shared" si="5"/>
        <v>0</v>
      </c>
    </row>
    <row r="56" spans="2:28" ht="15" customHeight="1">
      <c r="B56" s="78">
        <v>48</v>
      </c>
      <c r="C56" s="77">
        <f t="shared" si="8"/>
        <v>0</v>
      </c>
      <c r="D56" s="77">
        <f t="shared" si="8"/>
        <v>0</v>
      </c>
      <c r="E56" s="77">
        <f t="shared" si="8"/>
        <v>1</v>
      </c>
      <c r="F56" s="77">
        <f t="shared" si="8"/>
        <v>0</v>
      </c>
      <c r="G56" s="77">
        <f t="shared" si="8"/>
        <v>0</v>
      </c>
      <c r="H56" s="77">
        <f t="shared" si="8"/>
        <v>0</v>
      </c>
      <c r="I56" s="77">
        <f t="shared" si="8"/>
        <v>0</v>
      </c>
      <c r="J56" s="77">
        <f t="shared" si="8"/>
        <v>1</v>
      </c>
      <c r="K56" s="77">
        <f t="shared" si="8"/>
        <v>1</v>
      </c>
      <c r="L56" s="77">
        <f t="shared" si="8"/>
        <v>1</v>
      </c>
      <c r="M56" s="77">
        <f t="shared" si="9"/>
        <v>1</v>
      </c>
      <c r="N56" s="77">
        <f t="shared" si="9"/>
        <v>1</v>
      </c>
      <c r="O56" s="77">
        <f t="shared" si="9"/>
        <v>1</v>
      </c>
      <c r="P56" s="77">
        <f t="shared" si="9"/>
        <v>0</v>
      </c>
      <c r="Q56" s="77">
        <f t="shared" si="9"/>
        <v>0</v>
      </c>
      <c r="R56" s="77">
        <f t="shared" si="9"/>
        <v>0</v>
      </c>
      <c r="S56" s="77">
        <f t="shared" si="9"/>
        <v>0</v>
      </c>
      <c r="T56" s="77">
        <f t="shared" si="9"/>
        <v>0</v>
      </c>
      <c r="U56" s="77">
        <f t="shared" si="9"/>
        <v>0</v>
      </c>
      <c r="V56" s="77">
        <f t="shared" si="9"/>
        <v>0</v>
      </c>
      <c r="X56" s="145" t="s">
        <v>46</v>
      </c>
      <c r="Y56" s="127">
        <f t="shared" si="10"/>
        <v>42</v>
      </c>
      <c r="Z56" s="127">
        <f t="shared" si="11"/>
        <v>80</v>
      </c>
      <c r="AA56" s="127">
        <f t="shared" si="12"/>
        <v>1</v>
      </c>
      <c r="AB56" s="147">
        <f t="shared" si="5"/>
        <v>0</v>
      </c>
    </row>
    <row r="57" spans="2:28" ht="15" customHeight="1">
      <c r="B57" s="78">
        <v>49</v>
      </c>
      <c r="C57" s="77">
        <f t="shared" si="8"/>
        <v>1</v>
      </c>
      <c r="D57" s="77">
        <f t="shared" si="8"/>
        <v>1</v>
      </c>
      <c r="E57" s="77">
        <f t="shared" si="8"/>
        <v>1</v>
      </c>
      <c r="F57" s="77">
        <f t="shared" si="8"/>
        <v>2</v>
      </c>
      <c r="G57" s="77">
        <f t="shared" si="8"/>
        <v>0</v>
      </c>
      <c r="H57" s="77">
        <f t="shared" si="8"/>
        <v>1</v>
      </c>
      <c r="I57" s="77">
        <f t="shared" si="8"/>
        <v>1</v>
      </c>
      <c r="J57" s="77">
        <f t="shared" si="8"/>
        <v>0</v>
      </c>
      <c r="K57" s="77">
        <f t="shared" si="8"/>
        <v>1</v>
      </c>
      <c r="L57" s="77">
        <f t="shared" si="8"/>
        <v>1</v>
      </c>
      <c r="M57" s="77">
        <f t="shared" si="9"/>
        <v>1</v>
      </c>
      <c r="N57" s="77">
        <f t="shared" si="9"/>
        <v>1</v>
      </c>
      <c r="O57" s="77">
        <f t="shared" si="9"/>
        <v>1</v>
      </c>
      <c r="P57" s="77">
        <f t="shared" si="9"/>
        <v>1</v>
      </c>
      <c r="Q57" s="77">
        <f t="shared" si="9"/>
        <v>0</v>
      </c>
      <c r="R57" s="77">
        <f t="shared" si="9"/>
        <v>0</v>
      </c>
      <c r="S57" s="77">
        <f t="shared" si="9"/>
        <v>0</v>
      </c>
      <c r="T57" s="77">
        <f t="shared" si="9"/>
        <v>0</v>
      </c>
      <c r="U57" s="77">
        <f t="shared" si="9"/>
        <v>0</v>
      </c>
      <c r="V57" s="77">
        <f t="shared" si="9"/>
        <v>0</v>
      </c>
      <c r="X57" s="145" t="s">
        <v>69</v>
      </c>
      <c r="Y57" s="127">
        <f t="shared" si="10"/>
        <v>121</v>
      </c>
      <c r="Z57" s="127">
        <f t="shared" si="11"/>
        <v>52</v>
      </c>
      <c r="AA57" s="127">
        <f t="shared" si="12"/>
        <v>7</v>
      </c>
      <c r="AB57" s="147">
        <f t="shared" si="5"/>
        <v>1</v>
      </c>
    </row>
    <row r="58" spans="2:28" ht="15" customHeight="1">
      <c r="B58" s="78">
        <v>50</v>
      </c>
      <c r="C58" s="77">
        <f t="shared" si="8"/>
        <v>0</v>
      </c>
      <c r="D58" s="77">
        <f t="shared" si="8"/>
        <v>0</v>
      </c>
      <c r="E58" s="77">
        <f t="shared" si="8"/>
        <v>0</v>
      </c>
      <c r="F58" s="77">
        <f t="shared" si="8"/>
        <v>0</v>
      </c>
      <c r="G58" s="77">
        <f t="shared" si="8"/>
        <v>0</v>
      </c>
      <c r="H58" s="77">
        <f t="shared" si="8"/>
        <v>0</v>
      </c>
      <c r="I58" s="77">
        <f t="shared" si="8"/>
        <v>0</v>
      </c>
      <c r="J58" s="77">
        <f t="shared" si="8"/>
        <v>0</v>
      </c>
      <c r="K58" s="77">
        <f t="shared" si="8"/>
        <v>0</v>
      </c>
      <c r="L58" s="77">
        <f t="shared" si="8"/>
        <v>0</v>
      </c>
      <c r="M58" s="77">
        <f t="shared" si="9"/>
        <v>0</v>
      </c>
      <c r="N58" s="77">
        <f t="shared" si="9"/>
        <v>0</v>
      </c>
      <c r="O58" s="77">
        <f t="shared" si="9"/>
        <v>0</v>
      </c>
      <c r="P58" s="77">
        <f t="shared" si="9"/>
        <v>0</v>
      </c>
      <c r="Q58" s="77">
        <f t="shared" si="9"/>
        <v>0</v>
      </c>
      <c r="R58" s="77">
        <f t="shared" si="9"/>
        <v>0</v>
      </c>
      <c r="S58" s="77">
        <f t="shared" si="9"/>
        <v>0</v>
      </c>
      <c r="T58" s="77">
        <f t="shared" si="9"/>
        <v>0</v>
      </c>
      <c r="U58" s="77">
        <f t="shared" si="9"/>
        <v>0</v>
      </c>
      <c r="V58" s="77">
        <f t="shared" si="9"/>
        <v>0</v>
      </c>
      <c r="X58" s="145" t="s">
        <v>69</v>
      </c>
      <c r="Y58" s="127">
        <f t="shared" si="10"/>
        <v>0</v>
      </c>
      <c r="Z58" s="127">
        <f t="shared" si="11"/>
        <v>0</v>
      </c>
      <c r="AA58" s="127">
        <f t="shared" si="12"/>
        <v>0</v>
      </c>
      <c r="AB58" s="147">
        <f t="shared" si="5"/>
        <v>0</v>
      </c>
    </row>
    <row r="59" spans="2:28" ht="15" customHeight="1">
      <c r="B59" s="78">
        <v>51</v>
      </c>
      <c r="C59" s="77">
        <f t="shared" si="8"/>
        <v>0</v>
      </c>
      <c r="D59" s="77">
        <f t="shared" si="8"/>
        <v>0</v>
      </c>
      <c r="E59" s="77">
        <f t="shared" si="8"/>
        <v>0</v>
      </c>
      <c r="F59" s="77">
        <f t="shared" si="8"/>
        <v>0</v>
      </c>
      <c r="G59" s="77">
        <f t="shared" si="8"/>
        <v>0</v>
      </c>
      <c r="H59" s="77">
        <f t="shared" si="8"/>
        <v>0</v>
      </c>
      <c r="I59" s="77">
        <f t="shared" si="8"/>
        <v>0</v>
      </c>
      <c r="J59" s="77">
        <f t="shared" si="8"/>
        <v>0</v>
      </c>
      <c r="K59" s="77">
        <f t="shared" si="8"/>
        <v>0</v>
      </c>
      <c r="L59" s="77">
        <f t="shared" ref="C59:L67" si="13">SUMIFS(SumaLI,CentroLI,$B59,TurnoLI,L$8)</f>
        <v>0</v>
      </c>
      <c r="M59" s="77">
        <f t="shared" si="9"/>
        <v>1</v>
      </c>
      <c r="N59" s="77">
        <f t="shared" si="9"/>
        <v>1</v>
      </c>
      <c r="O59" s="77">
        <f t="shared" si="9"/>
        <v>1</v>
      </c>
      <c r="P59" s="77">
        <f t="shared" si="9"/>
        <v>1</v>
      </c>
      <c r="Q59" s="77">
        <f t="shared" si="9"/>
        <v>0</v>
      </c>
      <c r="R59" s="77">
        <f t="shared" si="9"/>
        <v>0</v>
      </c>
      <c r="S59" s="77">
        <f t="shared" si="9"/>
        <v>0</v>
      </c>
      <c r="T59" s="77">
        <f t="shared" si="9"/>
        <v>0</v>
      </c>
      <c r="U59" s="77">
        <f t="shared" si="9"/>
        <v>0</v>
      </c>
      <c r="V59" s="77">
        <f t="shared" si="9"/>
        <v>0</v>
      </c>
      <c r="X59" s="145" t="s">
        <v>69</v>
      </c>
      <c r="Y59" s="127">
        <f t="shared" si="10"/>
        <v>25</v>
      </c>
      <c r="Z59" s="127">
        <f t="shared" si="11"/>
        <v>9</v>
      </c>
      <c r="AA59" s="127">
        <f t="shared" si="12"/>
        <v>0</v>
      </c>
      <c r="AB59" s="147">
        <f t="shared" si="5"/>
        <v>0</v>
      </c>
    </row>
    <row r="60" spans="2:28" ht="15" customHeight="1">
      <c r="B60" s="78">
        <v>52</v>
      </c>
      <c r="C60" s="77">
        <f t="shared" si="13"/>
        <v>0</v>
      </c>
      <c r="D60" s="77">
        <f t="shared" si="13"/>
        <v>0</v>
      </c>
      <c r="E60" s="77">
        <f t="shared" si="13"/>
        <v>0</v>
      </c>
      <c r="F60" s="77">
        <f t="shared" si="13"/>
        <v>0</v>
      </c>
      <c r="G60" s="77">
        <f t="shared" si="13"/>
        <v>0</v>
      </c>
      <c r="H60" s="77">
        <f t="shared" si="13"/>
        <v>0</v>
      </c>
      <c r="I60" s="77">
        <f t="shared" si="13"/>
        <v>0</v>
      </c>
      <c r="J60" s="77">
        <f t="shared" si="13"/>
        <v>0</v>
      </c>
      <c r="K60" s="77">
        <f t="shared" si="13"/>
        <v>0</v>
      </c>
      <c r="L60" s="77">
        <f t="shared" si="13"/>
        <v>0</v>
      </c>
      <c r="M60" s="77">
        <f t="shared" si="9"/>
        <v>0</v>
      </c>
      <c r="N60" s="77">
        <f t="shared" si="9"/>
        <v>0</v>
      </c>
      <c r="O60" s="77">
        <f t="shared" si="9"/>
        <v>0</v>
      </c>
      <c r="P60" s="77">
        <f t="shared" si="9"/>
        <v>0</v>
      </c>
      <c r="Q60" s="77">
        <f t="shared" si="9"/>
        <v>0</v>
      </c>
      <c r="R60" s="77">
        <f t="shared" si="9"/>
        <v>0</v>
      </c>
      <c r="S60" s="77">
        <f t="shared" si="9"/>
        <v>0</v>
      </c>
      <c r="T60" s="77">
        <f t="shared" si="9"/>
        <v>0</v>
      </c>
      <c r="U60" s="77">
        <f t="shared" si="9"/>
        <v>0</v>
      </c>
      <c r="V60" s="77">
        <f t="shared" si="9"/>
        <v>0</v>
      </c>
      <c r="X60" s="145" t="s">
        <v>69</v>
      </c>
      <c r="Y60" s="127">
        <f t="shared" si="10"/>
        <v>0</v>
      </c>
      <c r="Z60" s="127">
        <f t="shared" si="11"/>
        <v>0</v>
      </c>
      <c r="AA60" s="127">
        <f t="shared" si="12"/>
        <v>0</v>
      </c>
      <c r="AB60" s="147">
        <f t="shared" si="5"/>
        <v>0</v>
      </c>
    </row>
    <row r="61" spans="2:28" ht="15" customHeight="1">
      <c r="B61" s="78">
        <v>53</v>
      </c>
      <c r="C61" s="77">
        <f t="shared" si="13"/>
        <v>0</v>
      </c>
      <c r="D61" s="77">
        <f t="shared" si="13"/>
        <v>0</v>
      </c>
      <c r="E61" s="77">
        <f t="shared" si="13"/>
        <v>0</v>
      </c>
      <c r="F61" s="77">
        <f t="shared" si="13"/>
        <v>0</v>
      </c>
      <c r="G61" s="77">
        <f t="shared" si="13"/>
        <v>0</v>
      </c>
      <c r="H61" s="77">
        <f t="shared" si="13"/>
        <v>0</v>
      </c>
      <c r="I61" s="77">
        <f t="shared" si="13"/>
        <v>0</v>
      </c>
      <c r="J61" s="77">
        <f t="shared" si="13"/>
        <v>0</v>
      </c>
      <c r="K61" s="77">
        <f t="shared" si="13"/>
        <v>0</v>
      </c>
      <c r="L61" s="77">
        <f t="shared" si="13"/>
        <v>0</v>
      </c>
      <c r="M61" s="77">
        <f t="shared" si="9"/>
        <v>0</v>
      </c>
      <c r="N61" s="77">
        <f t="shared" ref="M61:V67" si="14">SUMIFS(SumaLI,CentroLI,$B61,TurnoLI,N$8)</f>
        <v>0</v>
      </c>
      <c r="O61" s="77">
        <f t="shared" si="14"/>
        <v>0</v>
      </c>
      <c r="P61" s="77">
        <f t="shared" si="14"/>
        <v>0</v>
      </c>
      <c r="Q61" s="77">
        <f t="shared" si="14"/>
        <v>0</v>
      </c>
      <c r="R61" s="77">
        <f t="shared" si="14"/>
        <v>0</v>
      </c>
      <c r="S61" s="77">
        <f t="shared" si="14"/>
        <v>0</v>
      </c>
      <c r="T61" s="77">
        <f t="shared" si="14"/>
        <v>0</v>
      </c>
      <c r="U61" s="77">
        <f t="shared" si="14"/>
        <v>0</v>
      </c>
      <c r="V61" s="77">
        <f t="shared" si="14"/>
        <v>0</v>
      </c>
      <c r="X61" s="145" t="s">
        <v>69</v>
      </c>
      <c r="Y61" s="127">
        <f t="shared" si="10"/>
        <v>0</v>
      </c>
      <c r="Z61" s="127">
        <f t="shared" si="11"/>
        <v>0</v>
      </c>
      <c r="AA61" s="127">
        <f t="shared" si="12"/>
        <v>0</v>
      </c>
      <c r="AB61" s="147">
        <f t="shared" si="5"/>
        <v>0</v>
      </c>
    </row>
    <row r="62" spans="2:28" ht="15" customHeight="1">
      <c r="B62" s="78">
        <v>54</v>
      </c>
      <c r="C62" s="77">
        <f t="shared" si="13"/>
        <v>0</v>
      </c>
      <c r="D62" s="77">
        <f t="shared" si="13"/>
        <v>1</v>
      </c>
      <c r="E62" s="77">
        <f t="shared" si="13"/>
        <v>1</v>
      </c>
      <c r="F62" s="77">
        <f t="shared" si="13"/>
        <v>1</v>
      </c>
      <c r="G62" s="77">
        <f t="shared" si="13"/>
        <v>1</v>
      </c>
      <c r="H62" s="77">
        <f t="shared" si="13"/>
        <v>1</v>
      </c>
      <c r="I62" s="77">
        <f t="shared" si="13"/>
        <v>1</v>
      </c>
      <c r="J62" s="77">
        <f t="shared" si="13"/>
        <v>2</v>
      </c>
      <c r="K62" s="77">
        <f t="shared" si="13"/>
        <v>1</v>
      </c>
      <c r="L62" s="77">
        <f t="shared" si="13"/>
        <v>0</v>
      </c>
      <c r="M62" s="77">
        <f t="shared" si="14"/>
        <v>0</v>
      </c>
      <c r="N62" s="77">
        <f t="shared" si="14"/>
        <v>0</v>
      </c>
      <c r="O62" s="77">
        <f t="shared" si="14"/>
        <v>0</v>
      </c>
      <c r="P62" s="77">
        <f t="shared" si="14"/>
        <v>0</v>
      </c>
      <c r="Q62" s="77">
        <f t="shared" si="14"/>
        <v>0</v>
      </c>
      <c r="R62" s="77">
        <f t="shared" si="14"/>
        <v>0</v>
      </c>
      <c r="S62" s="77">
        <f t="shared" si="14"/>
        <v>0</v>
      </c>
      <c r="T62" s="77">
        <f t="shared" si="14"/>
        <v>0</v>
      </c>
      <c r="U62" s="77">
        <f t="shared" si="14"/>
        <v>0</v>
      </c>
      <c r="V62" s="77">
        <f t="shared" si="14"/>
        <v>0</v>
      </c>
      <c r="X62" s="145" t="s">
        <v>69</v>
      </c>
      <c r="Y62" s="127">
        <f t="shared" si="10"/>
        <v>37</v>
      </c>
      <c r="Z62" s="127">
        <f t="shared" si="11"/>
        <v>6</v>
      </c>
      <c r="AA62" s="127">
        <f t="shared" si="12"/>
        <v>2</v>
      </c>
      <c r="AB62" s="147">
        <f t="shared" si="5"/>
        <v>4</v>
      </c>
    </row>
    <row r="63" spans="2:28" ht="15" customHeight="1">
      <c r="B63" s="78">
        <v>55</v>
      </c>
      <c r="C63" s="77">
        <f t="shared" si="13"/>
        <v>0</v>
      </c>
      <c r="D63" s="77">
        <f t="shared" si="13"/>
        <v>0</v>
      </c>
      <c r="E63" s="77">
        <f t="shared" si="13"/>
        <v>0</v>
      </c>
      <c r="F63" s="77">
        <f t="shared" si="13"/>
        <v>1</v>
      </c>
      <c r="G63" s="77">
        <f t="shared" si="13"/>
        <v>0</v>
      </c>
      <c r="H63" s="77">
        <f t="shared" si="13"/>
        <v>0</v>
      </c>
      <c r="I63" s="77">
        <f t="shared" si="13"/>
        <v>0</v>
      </c>
      <c r="J63" s="77">
        <f t="shared" si="13"/>
        <v>0</v>
      </c>
      <c r="K63" s="77">
        <f t="shared" si="13"/>
        <v>0</v>
      </c>
      <c r="L63" s="77">
        <f t="shared" si="13"/>
        <v>0</v>
      </c>
      <c r="M63" s="77">
        <f t="shared" si="14"/>
        <v>0</v>
      </c>
      <c r="N63" s="77">
        <f t="shared" si="14"/>
        <v>0</v>
      </c>
      <c r="O63" s="77">
        <f t="shared" si="14"/>
        <v>0</v>
      </c>
      <c r="P63" s="77">
        <f t="shared" si="14"/>
        <v>0</v>
      </c>
      <c r="Q63" s="77">
        <f t="shared" si="14"/>
        <v>0</v>
      </c>
      <c r="R63" s="77">
        <f t="shared" si="14"/>
        <v>0</v>
      </c>
      <c r="S63" s="77">
        <f t="shared" si="14"/>
        <v>0</v>
      </c>
      <c r="T63" s="77">
        <f t="shared" si="14"/>
        <v>0</v>
      </c>
      <c r="U63" s="77">
        <f t="shared" si="14"/>
        <v>0</v>
      </c>
      <c r="V63" s="77">
        <f t="shared" si="14"/>
        <v>0</v>
      </c>
      <c r="X63" s="145" t="s">
        <v>69</v>
      </c>
      <c r="Y63" s="127">
        <f t="shared" si="10"/>
        <v>3</v>
      </c>
      <c r="Z63" s="127">
        <f t="shared" si="11"/>
        <v>0</v>
      </c>
      <c r="AA63" s="127">
        <f t="shared" si="12"/>
        <v>0</v>
      </c>
      <c r="AB63" s="147">
        <f t="shared" si="5"/>
        <v>0</v>
      </c>
    </row>
    <row r="64" spans="2:28" ht="15" customHeight="1">
      <c r="B64" s="78">
        <v>56</v>
      </c>
      <c r="C64" s="77">
        <f t="shared" si="13"/>
        <v>0</v>
      </c>
      <c r="D64" s="77">
        <f t="shared" si="13"/>
        <v>1</v>
      </c>
      <c r="E64" s="77">
        <f t="shared" si="13"/>
        <v>1</v>
      </c>
      <c r="F64" s="77">
        <f t="shared" si="13"/>
        <v>1</v>
      </c>
      <c r="G64" s="77">
        <f t="shared" si="13"/>
        <v>1</v>
      </c>
      <c r="H64" s="77">
        <f t="shared" si="13"/>
        <v>0</v>
      </c>
      <c r="I64" s="77">
        <f t="shared" si="13"/>
        <v>1</v>
      </c>
      <c r="J64" s="77">
        <f t="shared" si="13"/>
        <v>1</v>
      </c>
      <c r="K64" s="77">
        <f t="shared" si="13"/>
        <v>1</v>
      </c>
      <c r="L64" s="77">
        <f t="shared" si="13"/>
        <v>1</v>
      </c>
      <c r="M64" s="77">
        <f t="shared" si="14"/>
        <v>1</v>
      </c>
      <c r="N64" s="77">
        <f t="shared" si="14"/>
        <v>1</v>
      </c>
      <c r="O64" s="77">
        <f t="shared" si="14"/>
        <v>1</v>
      </c>
      <c r="P64" s="77">
        <f t="shared" si="14"/>
        <v>1</v>
      </c>
      <c r="Q64" s="77">
        <f t="shared" si="14"/>
        <v>0</v>
      </c>
      <c r="R64" s="77">
        <f t="shared" si="14"/>
        <v>0</v>
      </c>
      <c r="S64" s="77">
        <f t="shared" si="14"/>
        <v>0</v>
      </c>
      <c r="T64" s="77">
        <f t="shared" si="14"/>
        <v>0</v>
      </c>
      <c r="U64" s="77">
        <f t="shared" si="14"/>
        <v>0</v>
      </c>
      <c r="V64" s="77">
        <f t="shared" si="14"/>
        <v>0</v>
      </c>
      <c r="X64" s="145" t="s">
        <v>69</v>
      </c>
      <c r="Y64" s="127">
        <f t="shared" si="10"/>
        <v>46</v>
      </c>
      <c r="Z64" s="127">
        <f t="shared" si="11"/>
        <v>24</v>
      </c>
      <c r="AA64" s="127">
        <f t="shared" si="12"/>
        <v>8</v>
      </c>
      <c r="AB64" s="147">
        <f t="shared" si="5"/>
        <v>22</v>
      </c>
    </row>
    <row r="65" spans="2:28" ht="15" customHeight="1">
      <c r="B65" s="78">
        <v>57</v>
      </c>
      <c r="C65" s="77">
        <f t="shared" si="13"/>
        <v>0</v>
      </c>
      <c r="D65" s="77">
        <f t="shared" si="13"/>
        <v>0</v>
      </c>
      <c r="E65" s="77">
        <f t="shared" si="13"/>
        <v>0</v>
      </c>
      <c r="F65" s="77">
        <f t="shared" si="13"/>
        <v>1</v>
      </c>
      <c r="G65" s="77">
        <f t="shared" si="13"/>
        <v>1</v>
      </c>
      <c r="H65" s="77">
        <f t="shared" si="13"/>
        <v>1</v>
      </c>
      <c r="I65" s="77">
        <f t="shared" si="13"/>
        <v>1</v>
      </c>
      <c r="J65" s="77">
        <f t="shared" si="13"/>
        <v>1</v>
      </c>
      <c r="K65" s="77">
        <f t="shared" si="13"/>
        <v>1</v>
      </c>
      <c r="L65" s="77">
        <f t="shared" si="13"/>
        <v>1</v>
      </c>
      <c r="M65" s="77">
        <f t="shared" si="14"/>
        <v>1</v>
      </c>
      <c r="N65" s="77">
        <f t="shared" si="14"/>
        <v>0</v>
      </c>
      <c r="O65" s="77">
        <f t="shared" si="14"/>
        <v>0</v>
      </c>
      <c r="P65" s="77">
        <f t="shared" si="14"/>
        <v>0</v>
      </c>
      <c r="Q65" s="77">
        <f t="shared" si="14"/>
        <v>0</v>
      </c>
      <c r="R65" s="77">
        <f t="shared" si="14"/>
        <v>0</v>
      </c>
      <c r="S65" s="77">
        <f t="shared" si="14"/>
        <v>0</v>
      </c>
      <c r="T65" s="77">
        <f t="shared" si="14"/>
        <v>0</v>
      </c>
      <c r="U65" s="77">
        <f t="shared" si="14"/>
        <v>0</v>
      </c>
      <c r="V65" s="77">
        <f t="shared" si="14"/>
        <v>0</v>
      </c>
      <c r="X65" s="145" t="s">
        <v>69</v>
      </c>
      <c r="Y65" s="127">
        <f t="shared" si="10"/>
        <v>19</v>
      </c>
      <c r="Z65" s="127">
        <f t="shared" si="11"/>
        <v>9</v>
      </c>
      <c r="AA65" s="127">
        <f t="shared" si="12"/>
        <v>0</v>
      </c>
      <c r="AB65" s="147">
        <f t="shared" si="5"/>
        <v>2</v>
      </c>
    </row>
    <row r="66" spans="2:28" ht="15" customHeight="1">
      <c r="B66" s="78">
        <v>58</v>
      </c>
      <c r="C66" s="77">
        <f t="shared" si="13"/>
        <v>0</v>
      </c>
      <c r="D66" s="77">
        <f t="shared" si="13"/>
        <v>0</v>
      </c>
      <c r="E66" s="77">
        <f t="shared" si="13"/>
        <v>0</v>
      </c>
      <c r="F66" s="77">
        <f t="shared" si="13"/>
        <v>0</v>
      </c>
      <c r="G66" s="77">
        <f t="shared" si="13"/>
        <v>0</v>
      </c>
      <c r="H66" s="77">
        <f t="shared" si="13"/>
        <v>0</v>
      </c>
      <c r="I66" s="77">
        <f t="shared" si="13"/>
        <v>0</v>
      </c>
      <c r="J66" s="77">
        <f t="shared" si="13"/>
        <v>0</v>
      </c>
      <c r="K66" s="77">
        <f t="shared" si="13"/>
        <v>0</v>
      </c>
      <c r="L66" s="77">
        <f t="shared" si="13"/>
        <v>0</v>
      </c>
      <c r="M66" s="77">
        <f t="shared" si="14"/>
        <v>0</v>
      </c>
      <c r="N66" s="77">
        <f t="shared" si="14"/>
        <v>0</v>
      </c>
      <c r="O66" s="77">
        <f t="shared" si="14"/>
        <v>0</v>
      </c>
      <c r="P66" s="77">
        <f t="shared" si="14"/>
        <v>0</v>
      </c>
      <c r="Q66" s="77">
        <f t="shared" si="14"/>
        <v>0</v>
      </c>
      <c r="R66" s="77">
        <f t="shared" si="14"/>
        <v>0</v>
      </c>
      <c r="S66" s="77">
        <f t="shared" si="14"/>
        <v>0</v>
      </c>
      <c r="T66" s="77">
        <f t="shared" si="14"/>
        <v>0</v>
      </c>
      <c r="U66" s="77">
        <f t="shared" si="14"/>
        <v>0</v>
      </c>
      <c r="V66" s="77">
        <f t="shared" si="14"/>
        <v>0</v>
      </c>
      <c r="X66" s="145" t="s">
        <v>69</v>
      </c>
      <c r="Y66" s="127">
        <f t="shared" si="10"/>
        <v>0</v>
      </c>
      <c r="Z66" s="127">
        <f t="shared" si="11"/>
        <v>0</v>
      </c>
      <c r="AA66" s="127">
        <f t="shared" si="12"/>
        <v>0</v>
      </c>
      <c r="AB66" s="147">
        <f t="shared" si="5"/>
        <v>0</v>
      </c>
    </row>
    <row r="67" spans="2:28" ht="15" customHeight="1" thickBot="1">
      <c r="B67" s="79">
        <v>59</v>
      </c>
      <c r="C67" s="77">
        <f t="shared" si="13"/>
        <v>1</v>
      </c>
      <c r="D67" s="77">
        <f t="shared" si="13"/>
        <v>1</v>
      </c>
      <c r="E67" s="77">
        <f t="shared" si="13"/>
        <v>0</v>
      </c>
      <c r="F67" s="77">
        <f t="shared" si="13"/>
        <v>1</v>
      </c>
      <c r="G67" s="77">
        <f t="shared" si="13"/>
        <v>1</v>
      </c>
      <c r="H67" s="77">
        <f t="shared" si="13"/>
        <v>0</v>
      </c>
      <c r="I67" s="77">
        <f t="shared" si="13"/>
        <v>0</v>
      </c>
      <c r="J67" s="77">
        <f t="shared" si="13"/>
        <v>1</v>
      </c>
      <c r="K67" s="77">
        <f t="shared" si="13"/>
        <v>1</v>
      </c>
      <c r="L67" s="77">
        <f t="shared" si="13"/>
        <v>0</v>
      </c>
      <c r="M67" s="77">
        <f t="shared" si="14"/>
        <v>1</v>
      </c>
      <c r="N67" s="77">
        <f t="shared" si="14"/>
        <v>1</v>
      </c>
      <c r="O67" s="77">
        <f t="shared" si="14"/>
        <v>1</v>
      </c>
      <c r="P67" s="77">
        <f t="shared" si="14"/>
        <v>2</v>
      </c>
      <c r="Q67" s="77">
        <f t="shared" si="14"/>
        <v>2</v>
      </c>
      <c r="R67" s="77">
        <f t="shared" si="14"/>
        <v>0</v>
      </c>
      <c r="S67" s="77">
        <f t="shared" si="14"/>
        <v>0</v>
      </c>
      <c r="T67" s="77">
        <f t="shared" si="14"/>
        <v>0</v>
      </c>
      <c r="U67" s="77">
        <f t="shared" si="14"/>
        <v>0</v>
      </c>
      <c r="V67" s="77">
        <f t="shared" si="14"/>
        <v>0</v>
      </c>
      <c r="X67" s="146" t="s">
        <v>69</v>
      </c>
      <c r="Y67" s="128">
        <f t="shared" si="10"/>
        <v>42</v>
      </c>
      <c r="Z67" s="128">
        <f t="shared" si="11"/>
        <v>22</v>
      </c>
      <c r="AA67" s="128">
        <f t="shared" si="12"/>
        <v>4</v>
      </c>
      <c r="AB67" s="148">
        <f t="shared" si="5"/>
        <v>5</v>
      </c>
    </row>
    <row r="69" spans="2:28" ht="15" customHeight="1" thickBot="1"/>
    <row r="70" spans="2:28" ht="15" customHeight="1">
      <c r="X70" s="149" t="s">
        <v>27</v>
      </c>
      <c r="Y70" s="118">
        <f t="shared" ref="Y70:AB91" si="15">SUMIF(ParroquiasLI,$X70,Y$9:Y$67)</f>
        <v>115</v>
      </c>
      <c r="Z70" s="118">
        <f t="shared" si="15"/>
        <v>32</v>
      </c>
      <c r="AA70" s="118">
        <f t="shared" si="15"/>
        <v>6</v>
      </c>
      <c r="AB70" s="119">
        <f t="shared" si="15"/>
        <v>20</v>
      </c>
    </row>
    <row r="71" spans="2:28" ht="15" customHeight="1">
      <c r="X71" s="145" t="s">
        <v>28</v>
      </c>
      <c r="Y71" s="74">
        <f t="shared" si="15"/>
        <v>102</v>
      </c>
      <c r="Z71" s="74">
        <f t="shared" si="15"/>
        <v>104</v>
      </c>
      <c r="AA71" s="74">
        <f t="shared" si="15"/>
        <v>13</v>
      </c>
      <c r="AB71" s="92">
        <f t="shared" si="15"/>
        <v>4</v>
      </c>
    </row>
    <row r="72" spans="2:28" ht="15" customHeight="1">
      <c r="X72" s="145" t="s">
        <v>29</v>
      </c>
      <c r="Y72" s="74">
        <f t="shared" si="15"/>
        <v>83</v>
      </c>
      <c r="Z72" s="74">
        <f t="shared" si="15"/>
        <v>80</v>
      </c>
      <c r="AA72" s="74">
        <f t="shared" si="15"/>
        <v>15</v>
      </c>
      <c r="AB72" s="92">
        <f t="shared" si="15"/>
        <v>0</v>
      </c>
    </row>
    <row r="73" spans="2:28" ht="15" customHeight="1">
      <c r="X73" s="145" t="s">
        <v>30</v>
      </c>
      <c r="Y73" s="74">
        <f t="shared" si="15"/>
        <v>72</v>
      </c>
      <c r="Z73" s="74">
        <f t="shared" si="15"/>
        <v>283</v>
      </c>
      <c r="AA73" s="74">
        <f t="shared" si="15"/>
        <v>5</v>
      </c>
      <c r="AB73" s="92">
        <f t="shared" si="15"/>
        <v>0</v>
      </c>
    </row>
    <row r="74" spans="2:28" ht="15" customHeight="1">
      <c r="X74" s="145" t="s">
        <v>30</v>
      </c>
      <c r="Y74" s="74">
        <f t="shared" si="15"/>
        <v>72</v>
      </c>
      <c r="Z74" s="74">
        <f t="shared" si="15"/>
        <v>283</v>
      </c>
      <c r="AA74" s="74">
        <f t="shared" si="15"/>
        <v>5</v>
      </c>
      <c r="AB74" s="92">
        <f t="shared" si="15"/>
        <v>0</v>
      </c>
    </row>
    <row r="75" spans="2:28" ht="15" customHeight="1">
      <c r="X75" s="145" t="s">
        <v>31</v>
      </c>
      <c r="Y75" s="74">
        <f t="shared" si="15"/>
        <v>175</v>
      </c>
      <c r="Z75" s="74">
        <f t="shared" si="15"/>
        <v>159</v>
      </c>
      <c r="AA75" s="74">
        <f t="shared" si="15"/>
        <v>38</v>
      </c>
      <c r="AB75" s="92">
        <f t="shared" si="15"/>
        <v>18</v>
      </c>
    </row>
    <row r="76" spans="2:28" ht="15" customHeight="1">
      <c r="X76" s="145" t="s">
        <v>32</v>
      </c>
      <c r="Y76" s="74">
        <f t="shared" si="15"/>
        <v>331</v>
      </c>
      <c r="Z76" s="74">
        <f t="shared" si="15"/>
        <v>14</v>
      </c>
      <c r="AA76" s="74">
        <f t="shared" si="15"/>
        <v>2</v>
      </c>
      <c r="AB76" s="92">
        <f t="shared" si="15"/>
        <v>1</v>
      </c>
    </row>
    <row r="77" spans="2:28" ht="15" customHeight="1">
      <c r="X77" s="145" t="s">
        <v>33</v>
      </c>
      <c r="Y77" s="74">
        <f t="shared" si="15"/>
        <v>17</v>
      </c>
      <c r="Z77" s="74">
        <f t="shared" si="15"/>
        <v>8</v>
      </c>
      <c r="AA77" s="74">
        <f t="shared" si="15"/>
        <v>3</v>
      </c>
      <c r="AB77" s="92">
        <f t="shared" si="15"/>
        <v>0</v>
      </c>
    </row>
    <row r="78" spans="2:28" ht="15" customHeight="1">
      <c r="X78" s="145" t="s">
        <v>34</v>
      </c>
      <c r="Y78" s="74">
        <f t="shared" si="15"/>
        <v>26</v>
      </c>
      <c r="Z78" s="74">
        <f t="shared" si="15"/>
        <v>433</v>
      </c>
      <c r="AA78" s="74">
        <f t="shared" si="15"/>
        <v>17</v>
      </c>
      <c r="AB78" s="92">
        <f t="shared" si="15"/>
        <v>3</v>
      </c>
    </row>
    <row r="79" spans="2:28" ht="15" customHeight="1">
      <c r="X79" s="145" t="s">
        <v>35</v>
      </c>
      <c r="Y79" s="74">
        <f t="shared" si="15"/>
        <v>249</v>
      </c>
      <c r="Z79" s="74">
        <f t="shared" si="15"/>
        <v>588</v>
      </c>
      <c r="AA79" s="74">
        <f t="shared" si="15"/>
        <v>45</v>
      </c>
      <c r="AB79" s="92">
        <f t="shared" si="15"/>
        <v>8</v>
      </c>
    </row>
    <row r="80" spans="2:28" ht="15" customHeight="1">
      <c r="X80" s="145" t="s">
        <v>36</v>
      </c>
      <c r="Y80" s="74">
        <f t="shared" si="15"/>
        <v>455</v>
      </c>
      <c r="Z80" s="74">
        <f t="shared" si="15"/>
        <v>272</v>
      </c>
      <c r="AA80" s="74">
        <f t="shared" si="15"/>
        <v>9</v>
      </c>
      <c r="AB80" s="92">
        <f t="shared" si="15"/>
        <v>9</v>
      </c>
    </row>
    <row r="81" spans="24:28" ht="15" customHeight="1">
      <c r="X81" s="145" t="s">
        <v>37</v>
      </c>
      <c r="Y81" s="74">
        <f t="shared" si="15"/>
        <v>0</v>
      </c>
      <c r="Z81" s="74">
        <f t="shared" si="15"/>
        <v>0</v>
      </c>
      <c r="AA81" s="74">
        <f t="shared" si="15"/>
        <v>0</v>
      </c>
      <c r="AB81" s="92">
        <f t="shared" si="15"/>
        <v>0</v>
      </c>
    </row>
    <row r="82" spans="24:28" ht="15" customHeight="1">
      <c r="X82" s="145" t="s">
        <v>38</v>
      </c>
      <c r="Y82" s="74">
        <f t="shared" si="15"/>
        <v>210</v>
      </c>
      <c r="Z82" s="74">
        <f t="shared" si="15"/>
        <v>117</v>
      </c>
      <c r="AA82" s="74">
        <f t="shared" si="15"/>
        <v>48</v>
      </c>
      <c r="AB82" s="92">
        <f t="shared" si="15"/>
        <v>17</v>
      </c>
    </row>
    <row r="83" spans="24:28" ht="15" customHeight="1">
      <c r="X83" s="145" t="s">
        <v>39</v>
      </c>
      <c r="Y83" s="74">
        <f t="shared" si="15"/>
        <v>170</v>
      </c>
      <c r="Z83" s="74">
        <f t="shared" si="15"/>
        <v>112</v>
      </c>
      <c r="AA83" s="74">
        <f t="shared" si="15"/>
        <v>93</v>
      </c>
      <c r="AB83" s="92">
        <f t="shared" si="15"/>
        <v>0</v>
      </c>
    </row>
    <row r="84" spans="24:28" ht="15" customHeight="1">
      <c r="X84" s="145" t="s">
        <v>40</v>
      </c>
      <c r="Y84" s="74">
        <f t="shared" si="15"/>
        <v>44</v>
      </c>
      <c r="Z84" s="74">
        <f t="shared" si="15"/>
        <v>87</v>
      </c>
      <c r="AA84" s="74">
        <f t="shared" si="15"/>
        <v>6</v>
      </c>
      <c r="AB84" s="92">
        <f t="shared" si="15"/>
        <v>3</v>
      </c>
    </row>
    <row r="85" spans="24:28" ht="15" customHeight="1">
      <c r="X85" s="145" t="s">
        <v>41</v>
      </c>
      <c r="Y85" s="74">
        <f t="shared" si="15"/>
        <v>51</v>
      </c>
      <c r="Z85" s="74">
        <f t="shared" si="15"/>
        <v>280</v>
      </c>
      <c r="AA85" s="74">
        <f t="shared" si="15"/>
        <v>2</v>
      </c>
      <c r="AB85" s="92">
        <f t="shared" si="15"/>
        <v>3</v>
      </c>
    </row>
    <row r="86" spans="24:28" ht="15" customHeight="1">
      <c r="X86" s="145" t="s">
        <v>42</v>
      </c>
      <c r="Y86" s="74">
        <f t="shared" si="15"/>
        <v>0</v>
      </c>
      <c r="Z86" s="74">
        <f t="shared" si="15"/>
        <v>0</v>
      </c>
      <c r="AA86" s="74">
        <f t="shared" si="15"/>
        <v>0</v>
      </c>
      <c r="AB86" s="92">
        <f t="shared" si="15"/>
        <v>0</v>
      </c>
    </row>
    <row r="87" spans="24:28" ht="15" customHeight="1">
      <c r="X87" s="145" t="s">
        <v>43</v>
      </c>
      <c r="Y87" s="74">
        <f t="shared" si="15"/>
        <v>55</v>
      </c>
      <c r="Z87" s="74">
        <f t="shared" si="15"/>
        <v>30</v>
      </c>
      <c r="AA87" s="74">
        <f t="shared" si="15"/>
        <v>2</v>
      </c>
      <c r="AB87" s="92">
        <f t="shared" si="15"/>
        <v>0</v>
      </c>
    </row>
    <row r="88" spans="24:28" ht="15" customHeight="1">
      <c r="X88" s="145" t="s">
        <v>44</v>
      </c>
      <c r="Y88" s="74">
        <f t="shared" si="15"/>
        <v>22</v>
      </c>
      <c r="Z88" s="74">
        <f t="shared" si="15"/>
        <v>45</v>
      </c>
      <c r="AA88" s="74">
        <f t="shared" si="15"/>
        <v>4</v>
      </c>
      <c r="AB88" s="92">
        <f t="shared" si="15"/>
        <v>0</v>
      </c>
    </row>
    <row r="89" spans="24:28" ht="15" customHeight="1">
      <c r="X89" s="145" t="s">
        <v>45</v>
      </c>
      <c r="Y89" s="74">
        <f t="shared" si="15"/>
        <v>188</v>
      </c>
      <c r="Z89" s="74">
        <f t="shared" si="15"/>
        <v>81</v>
      </c>
      <c r="AA89" s="74">
        <f t="shared" si="15"/>
        <v>12</v>
      </c>
      <c r="AB89" s="92">
        <f t="shared" si="15"/>
        <v>20</v>
      </c>
    </row>
    <row r="90" spans="24:28" ht="15" customHeight="1">
      <c r="X90" s="145" t="s">
        <v>46</v>
      </c>
      <c r="Y90" s="74">
        <f t="shared" si="15"/>
        <v>42</v>
      </c>
      <c r="Z90" s="74">
        <f t="shared" si="15"/>
        <v>80</v>
      </c>
      <c r="AA90" s="74">
        <f t="shared" si="15"/>
        <v>1</v>
      </c>
      <c r="AB90" s="92">
        <f t="shared" si="15"/>
        <v>0</v>
      </c>
    </row>
    <row r="91" spans="24:28" ht="15" customHeight="1" thickBot="1">
      <c r="X91" s="146" t="s">
        <v>69</v>
      </c>
      <c r="Y91" s="100">
        <f t="shared" si="15"/>
        <v>251</v>
      </c>
      <c r="Z91" s="100">
        <f t="shared" si="15"/>
        <v>100</v>
      </c>
      <c r="AA91" s="100">
        <f t="shared" si="15"/>
        <v>17</v>
      </c>
      <c r="AB91" s="101">
        <f t="shared" si="15"/>
        <v>29</v>
      </c>
    </row>
  </sheetData>
  <customSheetViews>
    <customSheetView guid="{2387E3E5-DC3A-4E55-B9FB-E509729F4507}" showGridLines="0" showRowCol="0" topLeftCell="Y68">
      <selection activeCell="Y70" sqref="Y70:AB91"/>
      <pageMargins left="0.7" right="0.7" top="0.75" bottom="0.75" header="0.3" footer="0.3"/>
    </customSheetView>
    <customSheetView guid="{E8E9C221-0224-4E73-8F39-1821F41C5BD3}" showGridLines="0" showRowCol="0">
      <selection activeCell="Y3" sqref="Y3"/>
      <pageMargins left="0.7" right="0.7" top="0.75" bottom="0.75" header="0.3" footer="0.3"/>
    </customSheetView>
  </customSheetViews>
  <mergeCells count="6">
    <mergeCell ref="AA7:AA8"/>
    <mergeCell ref="AB7:AB8"/>
    <mergeCell ref="B1:V1"/>
    <mergeCell ref="X7:X8"/>
    <mergeCell ref="Y7:Y8"/>
    <mergeCell ref="Z7:Z8"/>
  </mergeCells>
  <conditionalFormatting sqref="C8:V8 B6:C6 E6:K6">
    <cfRule type="cellIs" dxfId="5" priority="4" stopIfTrue="1" operator="equal">
      <formula>"F"</formula>
    </cfRule>
    <cfRule type="cellIs" dxfId="4" priority="5" stopIfTrue="1" operator="equal">
      <formula>"C"</formula>
    </cfRule>
    <cfRule type="cellIs" dxfId="3" priority="6" stopIfTrue="1" operator="equal">
      <formula>"C"</formula>
    </cfRule>
  </conditionalFormatting>
  <conditionalFormatting sqref="C9:V67">
    <cfRule type="cellIs" dxfId="2" priority="1" stopIfTrue="1" operator="equal">
      <formula>0</formula>
    </cfRule>
    <cfRule type="cellIs" dxfId="1" priority="2" stopIfTrue="1" operator="equal">
      <formula>1</formula>
    </cfRule>
    <cfRule type="cellIs" dxfId="0" priority="3" stopIfTrue="1" operator="greaterThan">
      <formula>1</formula>
    </cfRule>
  </conditionalFormatting>
  <hyperlinks>
    <hyperlink ref="Y2" location="PPrincipal!A1" display="* Pagina Principal"/>
    <hyperlink ref="Y4" location="CMiranda!A1" display="Miranda"/>
    <hyperlink ref="Y3" location="'CA Mayor'!A1" display="Alcaldía Mayor"/>
    <hyperlink ref="Y5" location="CVargas!A1" display="Varga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32</vt:i4>
      </vt:variant>
    </vt:vector>
  </HeadingPairs>
  <TitlesOfParts>
    <vt:vector size="45" baseType="lpstr">
      <vt:lpstr>PPrincipal</vt:lpstr>
      <vt:lpstr>A Mayor</vt:lpstr>
      <vt:lpstr>GA Mayor</vt:lpstr>
      <vt:lpstr>CA Mayor</vt:lpstr>
      <vt:lpstr>Miranda</vt:lpstr>
      <vt:lpstr>GMiranda</vt:lpstr>
      <vt:lpstr>CMiranda</vt:lpstr>
      <vt:lpstr>Vargas</vt:lpstr>
      <vt:lpstr>GVargas</vt:lpstr>
      <vt:lpstr>CVargas</vt:lpstr>
      <vt:lpstr>Libertador</vt:lpstr>
      <vt:lpstr>GLibertador</vt:lpstr>
      <vt:lpstr>CLibertador</vt:lpstr>
      <vt:lpstr>Antonio_Ledezma</vt:lpstr>
      <vt:lpstr>Aristobulo_Izturiz</vt:lpstr>
      <vt:lpstr>Augusto_Uribe</vt:lpstr>
      <vt:lpstr>CentroAM</vt:lpstr>
      <vt:lpstr>CentroLI</vt:lpstr>
      <vt:lpstr>CentroMI</vt:lpstr>
      <vt:lpstr>CentroVA</vt:lpstr>
      <vt:lpstr>Claudio_Fermin</vt:lpstr>
      <vt:lpstr>Diosdado_Cabello</vt:lpstr>
      <vt:lpstr>Henrique_Capriles_Radonski</vt:lpstr>
      <vt:lpstr>Jorge_Garcia_Carneiro</vt:lpstr>
      <vt:lpstr>Jorge_Rodriguez</vt:lpstr>
      <vt:lpstr>MunicipiosAM</vt:lpstr>
      <vt:lpstr>MunicipiosBo</vt:lpstr>
      <vt:lpstr>MunicipiosDA</vt:lpstr>
      <vt:lpstr>MunicipiosMI</vt:lpstr>
      <vt:lpstr>OtroAM</vt:lpstr>
      <vt:lpstr>OtroLI</vt:lpstr>
      <vt:lpstr>OtroMI</vt:lpstr>
      <vt:lpstr>OtroVA</vt:lpstr>
      <vt:lpstr>ParroquiasLI</vt:lpstr>
      <vt:lpstr>ParroquiaVA</vt:lpstr>
      <vt:lpstr>Roberto_Smith</vt:lpstr>
      <vt:lpstr>Stalin_Gonzalez</vt:lpstr>
      <vt:lpstr>SumaAM</vt:lpstr>
      <vt:lpstr>SumaLI</vt:lpstr>
      <vt:lpstr>SumaMI</vt:lpstr>
      <vt:lpstr>SumaVA</vt:lpstr>
      <vt:lpstr>TurnoAM</vt:lpstr>
      <vt:lpstr>TurnoLI</vt:lpstr>
      <vt:lpstr>TurnoMI</vt:lpstr>
      <vt:lpstr>TurnoVA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Usuario</cp:lastModifiedBy>
  <cp:lastPrinted>2008-11-15T23:58:31Z</cp:lastPrinted>
  <dcterms:created xsi:type="dcterms:W3CDTF">2007-11-27T23:12:28Z</dcterms:created>
  <dcterms:modified xsi:type="dcterms:W3CDTF">2008-11-23T06:14:40Z</dcterms:modified>
</cp:coreProperties>
</file>