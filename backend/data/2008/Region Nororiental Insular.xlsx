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revisions/revisionLog12111.xml" ContentType="application/vnd.openxmlformats-officedocument.spreadsheetml.revisionLo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revisions/userNames.xml" ContentType="application/vnd.openxmlformats-officedocument.spreadsheetml.userNam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Override PartName="/xl/revisions/revisionLog18.xml" ContentType="application/vnd.openxmlformats-officedocument.spreadsheetml.revisionLog+xml"/>
  <Override PartName="/xl/revisions/revisionLog121111.xml" ContentType="application/vnd.openxmlformats-officedocument.spreadsheetml.revisionLog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revisions/revisionLog16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1.xml" ContentType="application/vnd.openxmlformats-officedocument.spreadsheetml.revisionLog+xml"/>
  <Override PartName="/xl/worksheets/sheet3.xml" ContentType="application/vnd.openxmlformats-officedocument.spreadsheetml.worksheet+xml"/>
  <Override PartName="/xl/revisions/revisionLog121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10.xml" ContentType="application/vnd.openxmlformats-officedocument.spreadsheetml.revisionLog+xml"/>
  <Override PartName="/xl/worksheets/sheet1.xml" ContentType="application/vnd.openxmlformats-officedocument.spreadsheetml.worksheet+xml"/>
  <Override PartName="/xl/revisions/revisionLog1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511.xml" ContentType="application/vnd.openxmlformats-officedocument.spreadsheetml.revisionLog+xml"/>
  <Override PartName="/xl/revisions/revisionLog21.xml" ContentType="application/vnd.openxmlformats-officedocument.spreadsheetml.revisionLog+xml"/>
  <Override PartName="/xl/sharedStrings.xml" ContentType="application/vnd.openxmlformats-officedocument.spreadsheetml.sharedStrings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charts/chart8.xml" ContentType="application/vnd.openxmlformats-officedocument.drawingml.chart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11111.xml" ContentType="application/vnd.openxmlformats-officedocument.spreadsheetml.revisionLog+xml"/>
  <Override PartName="/xl/revisions/revisionLog3.xml" ContentType="application/vnd.openxmlformats-officedocument.spreadsheetml.revisionLog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revisions/revisionLog1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13111.xml" ContentType="application/vnd.openxmlformats-officedocument.spreadsheetml.revisionLo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revisions/revisionLog191.xml" ContentType="application/vnd.openxmlformats-officedocument.spreadsheetml.revisionLo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revisions/revisionLog17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411.xml" ContentType="application/vnd.openxmlformats-officedocument.spreadsheetml.revisionLo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revisions/revisionLog13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711.xml" ContentType="application/vnd.openxmlformats-officedocument.spreadsheetml.revisionLo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211111.xml" ContentType="application/vnd.openxmlformats-officedocument.spreadsheetml.revisionLog+xml"/>
  <Override PartName="/xl/revisions/revisionLog17111.xml" ContentType="application/vnd.openxmlformats-officedocument.spreadsheetml.revisionLog+xml"/>
  <Override PartName="/xl/calcChain.xml" ContentType="application/vnd.openxmlformats-officedocument.spreadsheetml.calcChain+xml"/>
  <Override PartName="/xl/revisions/revisionLog13.xml" ContentType="application/vnd.openxmlformats-officedocument.spreadsheetml.revisionLog+xml"/>
  <Override PartName="/xl/revisions/revisionLog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360" yWindow="360" windowWidth="1845" windowHeight="2235" activeTab="4"/>
  </bookViews>
  <sheets>
    <sheet name="PPrincipal" sheetId="1" r:id="rId1"/>
    <sheet name="Nueva Esparta" sheetId="2" r:id="rId2"/>
    <sheet name="GNueva Esparta" sheetId="3" r:id="rId3"/>
    <sheet name="CNueva Esparta" sheetId="4" r:id="rId4"/>
    <sheet name="Monagas" sheetId="5" r:id="rId5"/>
    <sheet name="GMonagas" sheetId="6" r:id="rId6"/>
    <sheet name="CMonagas" sheetId="7" r:id="rId7"/>
    <sheet name="Sucre" sheetId="8" r:id="rId8"/>
    <sheet name="GSucre" sheetId="9" r:id="rId9"/>
    <sheet name="CSucre" sheetId="10" r:id="rId10"/>
    <sheet name="Anzoategui" sheetId="11" r:id="rId11"/>
    <sheet name="GAnzoategui" sheetId="12" r:id="rId12"/>
    <sheet name="CAnzoategui" sheetId="13" r:id="rId13"/>
  </sheets>
  <definedNames>
    <definedName name="Benjamin_Rausseo">Anzoategui!$G$9:$G$688</definedName>
    <definedName name="CentroAN">Anzoategui!$C$9:$C$688</definedName>
    <definedName name="CentroMO">Monagas!$C$9:$C$408</definedName>
    <definedName name="CentroNA">'Nueva Esparta'!$C$9:$C$228</definedName>
    <definedName name="CentroSU">Sucre!$C$9:$C$448</definedName>
    <definedName name="Domingo_Urbina">Monagas!$F$9:$F$408</definedName>
    <definedName name="Eduardo_Morales_Gil">Sucre!$F$9:$F$448</definedName>
    <definedName name="Enrique_Maestre">Sucre!$E$9:$E$448</definedName>
    <definedName name="Gustavo_Marcano">Anzoategui!$F$9:$F$688</definedName>
    <definedName name="Jose_Gregorio_Briceño">Monagas!$E$9:$E$408</definedName>
    <definedName name="Morel_Rodriguez">'Nueva Esparta'!$F$9:$F$228</definedName>
    <definedName name="MunicipioAN">CAnzoategui!$X$9:$X$42</definedName>
    <definedName name="MunicipioMO">CMonagas!$X$9:$X$28</definedName>
    <definedName name="MunicipiosNA">'CNueva Esparta'!$X$9:$X$19</definedName>
    <definedName name="MunicipiosSU">CSucre!$X$9:$X$28</definedName>
    <definedName name="OtroAN">Anzoategui!$H$9:$H$688</definedName>
    <definedName name="OtroMO">Monagas!$G$9:$G$408</definedName>
    <definedName name="OtroNA">'Nueva Esparta'!$G$9:$G$228</definedName>
    <definedName name="OtroSU">Sucre!$G$9:$G$448</definedName>
    <definedName name="SumaAN">Anzoategui!$M$9:$M$688</definedName>
    <definedName name="SumaMO">Monagas!$L$9:$L$408</definedName>
    <definedName name="SumaNA">'Nueva Esparta'!$L$9:$L$228</definedName>
    <definedName name="SumaSU">Sucre!$M$9:$M$448</definedName>
    <definedName name="Tarek_Willians_Saab">Anzoategui!$E$9:$E$688</definedName>
    <definedName name="TurnoAN">Anzoategui!$D$9:$D$688</definedName>
    <definedName name="TurnoMO">Monagas!$D$9:$D$408</definedName>
    <definedName name="TurnoNA">'Nueva Esparta'!$D$9:$D$228</definedName>
    <definedName name="TurnoSU">Sucre!$D$9:$D$448</definedName>
    <definedName name="William_Fariñas">'Nueva Esparta'!$E$9:$E$228</definedName>
    <definedName name="Z_0A4EA429_3B60_4229_BB25_AADA8CCE0D84_.wvu.PrintArea" localSheetId="11" hidden="1">GAnzoategui!$A$1:$K$25</definedName>
    <definedName name="Z_0A4EA429_3B60_4229_BB25_AADA8CCE0D84_.wvu.PrintArea" localSheetId="5" hidden="1">GMonagas!$A$1:$K$24</definedName>
    <definedName name="Z_0A4EA429_3B60_4229_BB25_AADA8CCE0D84_.wvu.PrintArea" localSheetId="2" hidden="1">'GNueva Esparta'!$A$1:$K$22</definedName>
    <definedName name="Z_0A4EA429_3B60_4229_BB25_AADA8CCE0D84_.wvu.PrintArea" localSheetId="8" hidden="1">GSucre!$A$1:$K$25</definedName>
  </definedNames>
  <calcPr calcId="124519"/>
  <customWorkbookViews>
    <customWorkbookView name="  - Vista personalizada" guid="{43751384-8D2C-4877-853C-4CE893CAF1E6}" autoUpdate="1" mergeInterval="5" personalView="1" maximized="1" showHorizontalScroll="0" showVerticalScroll="0" showSheetTabs="0" xWindow="1" yWindow="1" windowWidth="1280" windowHeight="579" activeSheetId="5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3 - Vista personalizada" guid="{57DF099C-2F69-48FA-8FC1-A9D4BE3C4B9B}" autoUpdate="1" mergeInterval="5" personalView="1" maximized="1" windowWidth="1020" windowHeight="622" activeSheetId="4"/>
    <customWorkbookView name="equipo de trabajo 8 - Vista personalizada" guid="{6E31FC92-C3FF-4227-932A-BABD82E820B9}" autoUpdate="1" mergeInterval="5" personalView="1" maximized="1" windowWidth="1276" windowHeight="654" activeSheetId="4"/>
    <customWorkbookView name="Usuario - Vista personalizada" guid="{D80F4FD6-7D6D-4832-9A2E-4DEB1E783FB1}" mergeInterval="0" personalView="1" maximized="1" showHorizontalScroll="0" showVerticalScroll="0" showSheetTabs="0" xWindow="1" yWindow="1" windowWidth="1280" windowHeight="579" activeSheetId="11"/>
    <customWorkbookView name="PLM - Vista personalizada" guid="{0A4EA429-3B60-4229-BB25-AADA8CCE0D84}" autoUpdate="1" mergeInterval="5" personalView="1" maximized="1" showHorizontalScroll="0" showVerticalScroll="0" showSheetTabs="0" xWindow="1" yWindow="1" windowWidth="1280" windowHeight="545" activeSheetId="6"/>
  </customWorkbookViews>
</workbook>
</file>

<file path=xl/calcChain.xml><?xml version="1.0" encoding="utf-8"?>
<calcChain xmlns="http://schemas.openxmlformats.org/spreadsheetml/2006/main">
  <c r="Y10" i="13"/>
  <c r="Z10"/>
  <c r="AA10"/>
  <c r="AB10"/>
  <c r="Y11"/>
  <c r="Z11"/>
  <c r="AA11"/>
  <c r="AB11"/>
  <c r="Y12"/>
  <c r="Y46" s="1"/>
  <c r="Z12"/>
  <c r="Z46" s="1"/>
  <c r="AA12"/>
  <c r="AA46" s="1"/>
  <c r="AB12"/>
  <c r="AB46" s="1"/>
  <c r="Y13"/>
  <c r="Z13"/>
  <c r="AA13"/>
  <c r="AB13"/>
  <c r="Y14"/>
  <c r="Z14"/>
  <c r="AA14"/>
  <c r="AB14"/>
  <c r="Y15"/>
  <c r="Z15"/>
  <c r="AA15"/>
  <c r="AB15"/>
  <c r="Y16"/>
  <c r="Z16"/>
  <c r="AA16"/>
  <c r="AB16"/>
  <c r="Y17"/>
  <c r="Z17"/>
  <c r="AA17"/>
  <c r="AB17"/>
  <c r="Y18"/>
  <c r="Z18"/>
  <c r="AA18"/>
  <c r="AB18"/>
  <c r="Y19"/>
  <c r="Z19"/>
  <c r="AA19"/>
  <c r="AB19"/>
  <c r="Y20"/>
  <c r="Z20"/>
  <c r="AA20"/>
  <c r="AB20"/>
  <c r="Y21"/>
  <c r="Z21"/>
  <c r="AA21"/>
  <c r="AB21"/>
  <c r="Y22"/>
  <c r="Y48" s="1"/>
  <c r="Z22"/>
  <c r="Z48" s="1"/>
  <c r="AA22"/>
  <c r="AA48" s="1"/>
  <c r="AB22"/>
  <c r="AB48" s="1"/>
  <c r="Y23"/>
  <c r="Z23"/>
  <c r="AA23"/>
  <c r="AB23"/>
  <c r="Y24"/>
  <c r="Z24"/>
  <c r="AA24"/>
  <c r="AB24"/>
  <c r="Y25"/>
  <c r="Z25"/>
  <c r="AA25"/>
  <c r="AB25"/>
  <c r="Y26"/>
  <c r="Z26"/>
  <c r="AA26"/>
  <c r="AB26"/>
  <c r="Y27"/>
  <c r="Y50" s="1"/>
  <c r="Z27"/>
  <c r="Z50" s="1"/>
  <c r="AA27"/>
  <c r="AA50" s="1"/>
  <c r="AB27"/>
  <c r="AB50" s="1"/>
  <c r="Y28"/>
  <c r="Y51" s="1"/>
  <c r="Z28"/>
  <c r="Z51" s="1"/>
  <c r="AA28"/>
  <c r="AA51" s="1"/>
  <c r="AB28"/>
  <c r="AB51" s="1"/>
  <c r="Y29"/>
  <c r="Y52" s="1"/>
  <c r="Z29"/>
  <c r="Z52" s="1"/>
  <c r="AA29"/>
  <c r="AA52" s="1"/>
  <c r="AB29"/>
  <c r="AB52" s="1"/>
  <c r="Y30"/>
  <c r="Y53" s="1"/>
  <c r="Z30"/>
  <c r="Z53" s="1"/>
  <c r="AA30"/>
  <c r="AA53" s="1"/>
  <c r="AB30"/>
  <c r="AB53" s="1"/>
  <c r="Y31"/>
  <c r="Y54" s="1"/>
  <c r="Z31"/>
  <c r="Z54" s="1"/>
  <c r="AA31"/>
  <c r="AA54" s="1"/>
  <c r="AB31"/>
  <c r="AB54" s="1"/>
  <c r="Y32"/>
  <c r="Y55" s="1"/>
  <c r="Z32"/>
  <c r="Z55" s="1"/>
  <c r="AA32"/>
  <c r="AA55" s="1"/>
  <c r="AB32"/>
  <c r="AB55" s="1"/>
  <c r="Y33"/>
  <c r="Z33"/>
  <c r="AA33"/>
  <c r="AB33"/>
  <c r="Y34"/>
  <c r="Z34"/>
  <c r="AA34"/>
  <c r="AB34"/>
  <c r="Y35"/>
  <c r="Z35"/>
  <c r="AA35"/>
  <c r="AB35"/>
  <c r="Y36"/>
  <c r="Z36"/>
  <c r="AA36"/>
  <c r="AB36"/>
  <c r="Y37"/>
  <c r="Z37"/>
  <c r="AA37"/>
  <c r="AB37"/>
  <c r="Y38"/>
  <c r="Z38"/>
  <c r="AA38"/>
  <c r="AB38"/>
  <c r="Y39"/>
  <c r="Z39"/>
  <c r="AA39"/>
  <c r="AB39"/>
  <c r="Y40"/>
  <c r="Z40"/>
  <c r="AA40"/>
  <c r="AB40"/>
  <c r="Y41"/>
  <c r="Z41"/>
  <c r="AA41"/>
  <c r="AB41"/>
  <c r="Y42"/>
  <c r="Z42"/>
  <c r="AA42"/>
  <c r="AB42"/>
  <c r="AA9"/>
  <c r="AA45" s="1"/>
  <c r="Z9"/>
  <c r="Z45" s="1"/>
  <c r="Y9"/>
  <c r="Y45" s="1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V11" i="11"/>
  <c r="V12"/>
  <c r="V13"/>
  <c r="V14"/>
  <c r="V15"/>
  <c r="V16"/>
  <c r="V17"/>
  <c r="V18"/>
  <c r="V19"/>
  <c r="V20"/>
  <c r="V21"/>
  <c r="V22"/>
  <c r="V23"/>
  <c r="V24"/>
  <c r="V25"/>
  <c r="V26"/>
  <c r="X26" s="1"/>
  <c r="V27"/>
  <c r="V28"/>
  <c r="V29"/>
  <c r="V10"/>
  <c r="V9"/>
  <c r="S11"/>
  <c r="S12"/>
  <c r="S13"/>
  <c r="S14"/>
  <c r="S15"/>
  <c r="S16"/>
  <c r="S17"/>
  <c r="S18"/>
  <c r="S19"/>
  <c r="S20"/>
  <c r="S21"/>
  <c r="S22"/>
  <c r="S23"/>
  <c r="S24"/>
  <c r="S25"/>
  <c r="S26"/>
  <c r="U26" s="1"/>
  <c r="S27"/>
  <c r="S28"/>
  <c r="S29"/>
  <c r="S10"/>
  <c r="T10" s="1"/>
  <c r="T11" s="1"/>
  <c r="T12" s="1"/>
  <c r="T13" s="1"/>
  <c r="T14" s="1"/>
  <c r="T15" s="1"/>
  <c r="T16" s="1"/>
  <c r="S9"/>
  <c r="P11"/>
  <c r="P12"/>
  <c r="P13"/>
  <c r="P14"/>
  <c r="P15"/>
  <c r="P16"/>
  <c r="P17"/>
  <c r="P18"/>
  <c r="P19"/>
  <c r="P20"/>
  <c r="P21"/>
  <c r="P22"/>
  <c r="P23"/>
  <c r="P24"/>
  <c r="P25"/>
  <c r="P26"/>
  <c r="R26" s="1"/>
  <c r="P27"/>
  <c r="P28"/>
  <c r="P29"/>
  <c r="P10"/>
  <c r="Q10" s="1"/>
  <c r="P9"/>
  <c r="Z30" i="10"/>
  <c r="Y30"/>
  <c r="Z29"/>
  <c r="Y29"/>
  <c r="Z28"/>
  <c r="Y28"/>
  <c r="Z27"/>
  <c r="Y27"/>
  <c r="Z26"/>
  <c r="Y26"/>
  <c r="Z25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Y9"/>
  <c r="Y33" s="1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AA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AA30"/>
  <c r="S29" i="8"/>
  <c r="U29" s="1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T9" s="1"/>
  <c r="P29"/>
  <c r="R29" s="1"/>
  <c r="P28"/>
  <c r="R28" s="1"/>
  <c r="P27"/>
  <c r="P26"/>
  <c r="R26" s="1"/>
  <c r="P25"/>
  <c r="P24"/>
  <c r="P23"/>
  <c r="P22"/>
  <c r="P21"/>
  <c r="P20"/>
  <c r="P19"/>
  <c r="P18"/>
  <c r="P17"/>
  <c r="P16"/>
  <c r="P15"/>
  <c r="P14"/>
  <c r="P13"/>
  <c r="P12"/>
  <c r="P11"/>
  <c r="P10"/>
  <c r="Q10" s="1"/>
  <c r="P9"/>
  <c r="Z28" i="7"/>
  <c r="Y28"/>
  <c r="Z27"/>
  <c r="Z35" s="1"/>
  <c r="Y27"/>
  <c r="Z26"/>
  <c r="Z34" s="1"/>
  <c r="Y26"/>
  <c r="Z25"/>
  <c r="Z33" s="1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Z30" s="1"/>
  <c r="Y9"/>
  <c r="Y30" s="1"/>
  <c r="R29" i="5"/>
  <c r="R28"/>
  <c r="R27"/>
  <c r="T27" s="1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S9" s="1"/>
  <c r="O29"/>
  <c r="O28"/>
  <c r="Q28" s="1"/>
  <c r="O27"/>
  <c r="Q27" s="1"/>
  <c r="O26"/>
  <c r="Q26" s="1"/>
  <c r="O25"/>
  <c r="O24"/>
  <c r="O23"/>
  <c r="O22"/>
  <c r="O21"/>
  <c r="O20"/>
  <c r="O19"/>
  <c r="O18"/>
  <c r="O17"/>
  <c r="O16"/>
  <c r="O15"/>
  <c r="O14"/>
  <c r="O13"/>
  <c r="O12"/>
  <c r="O11"/>
  <c r="O10"/>
  <c r="O9"/>
  <c r="P9" s="1"/>
  <c r="Y10" i="4"/>
  <c r="Y22" s="1"/>
  <c r="Z10"/>
  <c r="Z22" s="1"/>
  <c r="AA10"/>
  <c r="AA22" s="1"/>
  <c r="Y11"/>
  <c r="Y23" s="1"/>
  <c r="Z11"/>
  <c r="Z23" s="1"/>
  <c r="AA11"/>
  <c r="AA23" s="1"/>
  <c r="Y12"/>
  <c r="Y24" s="1"/>
  <c r="Z12"/>
  <c r="Z24" s="1"/>
  <c r="AA12"/>
  <c r="AA24" s="1"/>
  <c r="Y13"/>
  <c r="Y25" s="1"/>
  <c r="Z13"/>
  <c r="Z25" s="1"/>
  <c r="AA13"/>
  <c r="AA25" s="1"/>
  <c r="Y14"/>
  <c r="Y26" s="1"/>
  <c r="Z14"/>
  <c r="Z26" s="1"/>
  <c r="AA14"/>
  <c r="AA26" s="1"/>
  <c r="Y15"/>
  <c r="Z15"/>
  <c r="AA15"/>
  <c r="Y16"/>
  <c r="Z16"/>
  <c r="AA16"/>
  <c r="Y17"/>
  <c r="Z17"/>
  <c r="AA17"/>
  <c r="Y18"/>
  <c r="Z18"/>
  <c r="AA18"/>
  <c r="Y19"/>
  <c r="Z19"/>
  <c r="AA19"/>
  <c r="Z9"/>
  <c r="Y9"/>
  <c r="R11" i="2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10"/>
  <c r="R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10"/>
  <c r="O9"/>
  <c r="AA10" i="7"/>
  <c r="AA11"/>
  <c r="AA12"/>
  <c r="AA13"/>
  <c r="AA14"/>
  <c r="AA15"/>
  <c r="AA16"/>
  <c r="AA17"/>
  <c r="AA18"/>
  <c r="AA19"/>
  <c r="AA20"/>
  <c r="AA21"/>
  <c r="AA22"/>
  <c r="AA23"/>
  <c r="AA24"/>
  <c r="AA25"/>
  <c r="AA33" s="1"/>
  <c r="AA26"/>
  <c r="AA34" s="1"/>
  <c r="AA27"/>
  <c r="AA35" s="1"/>
  <c r="AA28"/>
  <c r="AA10" i="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U26" i="8"/>
  <c r="U28"/>
  <c r="V24" i="13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X27" i="11"/>
  <c r="X29"/>
  <c r="U27"/>
  <c r="U29"/>
  <c r="R27"/>
  <c r="R29"/>
  <c r="C18" i="10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V29" i="8"/>
  <c r="X29" s="1"/>
  <c r="V28"/>
  <c r="X28" s="1"/>
  <c r="V27"/>
  <c r="X27" s="1"/>
  <c r="V26"/>
  <c r="X26" s="1"/>
  <c r="V25"/>
  <c r="X25" s="1"/>
  <c r="V24"/>
  <c r="X24" s="1"/>
  <c r="V23"/>
  <c r="V22"/>
  <c r="V21"/>
  <c r="V20"/>
  <c r="V19"/>
  <c r="V18"/>
  <c r="V17"/>
  <c r="V16"/>
  <c r="V15"/>
  <c r="V14"/>
  <c r="V13"/>
  <c r="V12"/>
  <c r="V11"/>
  <c r="V10"/>
  <c r="V9"/>
  <c r="W9" s="1"/>
  <c r="T27" i="2"/>
  <c r="T29"/>
  <c r="T26"/>
  <c r="T28"/>
  <c r="Q26"/>
  <c r="Q28"/>
  <c r="C13" i="10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U11" i="5"/>
  <c r="U12"/>
  <c r="U13"/>
  <c r="U14"/>
  <c r="U15"/>
  <c r="U16"/>
  <c r="U17"/>
  <c r="U18"/>
  <c r="U19"/>
  <c r="U20"/>
  <c r="U21"/>
  <c r="U22"/>
  <c r="U23"/>
  <c r="U24"/>
  <c r="U25"/>
  <c r="U26"/>
  <c r="W26" s="1"/>
  <c r="U27"/>
  <c r="W27" s="1"/>
  <c r="U28"/>
  <c r="W28" s="1"/>
  <c r="U29"/>
  <c r="W29" s="1"/>
  <c r="T26"/>
  <c r="T28"/>
  <c r="U10"/>
  <c r="U9"/>
  <c r="V9" s="1"/>
  <c r="AA9" i="4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U11" i="2"/>
  <c r="U12"/>
  <c r="U13"/>
  <c r="U14"/>
  <c r="W14" s="1"/>
  <c r="U15"/>
  <c r="W15" s="1"/>
  <c r="U16"/>
  <c r="W16" s="1"/>
  <c r="U17"/>
  <c r="W17" s="1"/>
  <c r="U18"/>
  <c r="U19"/>
  <c r="W19" s="1"/>
  <c r="U20"/>
  <c r="W20" s="1"/>
  <c r="U21"/>
  <c r="W21" s="1"/>
  <c r="U22"/>
  <c r="W22" s="1"/>
  <c r="U23"/>
  <c r="W23" s="1"/>
  <c r="U24"/>
  <c r="U25"/>
  <c r="W25" s="1"/>
  <c r="U26"/>
  <c r="W26" s="1"/>
  <c r="U27"/>
  <c r="W27" s="1"/>
  <c r="U28"/>
  <c r="W28" s="1"/>
  <c r="U29"/>
  <c r="W29" s="1"/>
  <c r="U10"/>
  <c r="V10" s="1"/>
  <c r="S10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U9"/>
  <c r="V9" s="1"/>
  <c r="S9"/>
  <c r="P9"/>
  <c r="AB9" i="13"/>
  <c r="AB45" s="1"/>
  <c r="AA9" i="10"/>
  <c r="AA33" s="1"/>
  <c r="AA9" i="7"/>
  <c r="C10" i="13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Q9" i="11"/>
  <c r="T9"/>
  <c r="Y9"/>
  <c r="Z9" s="1"/>
  <c r="W10"/>
  <c r="Y10"/>
  <c r="Z10" s="1"/>
  <c r="Y11"/>
  <c r="Y12"/>
  <c r="Y13"/>
  <c r="Y14"/>
  <c r="Y15"/>
  <c r="Y16"/>
  <c r="Y17"/>
  <c r="Y18"/>
  <c r="Y19"/>
  <c r="Y20"/>
  <c r="Y21"/>
  <c r="Y22"/>
  <c r="Y23"/>
  <c r="Y24"/>
  <c r="Y25"/>
  <c r="AA25" s="1"/>
  <c r="Y26"/>
  <c r="AA26" s="1"/>
  <c r="Y27"/>
  <c r="AA27" s="1"/>
  <c r="Y28"/>
  <c r="AA28" s="1"/>
  <c r="Y29"/>
  <c r="AA29" s="1"/>
  <c r="T10" i="8"/>
  <c r="P10" i="5"/>
  <c r="S10"/>
  <c r="V10"/>
  <c r="W9" i="11"/>
  <c r="Z33" i="10" l="1"/>
  <c r="Z37"/>
  <c r="Y36"/>
  <c r="Z36"/>
  <c r="Z32" i="7"/>
  <c r="Y37" i="10"/>
  <c r="T17" i="11"/>
  <c r="Z34" i="10"/>
  <c r="Z35"/>
  <c r="Y35"/>
  <c r="Y32" i="7"/>
  <c r="V11" i="5"/>
  <c r="V12" s="1"/>
  <c r="V13" s="1"/>
  <c r="V14" s="1"/>
  <c r="V15" s="1"/>
  <c r="S11"/>
  <c r="S12" s="1"/>
  <c r="S13" s="1"/>
  <c r="S14" s="1"/>
  <c r="S15" s="1"/>
  <c r="AA30" i="7"/>
  <c r="Y34" i="10"/>
  <c r="Q11" i="8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Y27" i="4"/>
  <c r="AA27"/>
  <c r="Z27"/>
  <c r="P11" i="5"/>
  <c r="P12" s="1"/>
  <c r="AA57" i="13"/>
  <c r="AA56"/>
  <c r="AA49"/>
  <c r="Y49"/>
  <c r="AA47"/>
  <c r="Z49"/>
  <c r="AB57"/>
  <c r="AB49"/>
  <c r="AB56"/>
  <c r="AB47"/>
  <c r="Z57"/>
  <c r="Z56"/>
  <c r="Z47"/>
  <c r="Y57"/>
  <c r="Y56"/>
  <c r="Y47"/>
  <c r="AA37" i="10"/>
  <c r="AA36"/>
  <c r="AA35"/>
  <c r="AA34"/>
  <c r="Q11" i="11"/>
  <c r="Q12" s="1"/>
  <c r="Q13" s="1"/>
  <c r="AA32" i="7"/>
  <c r="P29" i="2"/>
  <c r="Q29"/>
  <c r="Q27"/>
  <c r="U9" i="8"/>
  <c r="Q3" s="1"/>
  <c r="Y33" i="7"/>
  <c r="Z31"/>
  <c r="Y35"/>
  <c r="Y34"/>
  <c r="AA31"/>
  <c r="Y31"/>
  <c r="X9" i="8"/>
  <c r="Q4" s="1"/>
  <c r="R9"/>
  <c r="Q2" s="1"/>
  <c r="T10" i="2"/>
  <c r="W10" i="8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9" i="2"/>
  <c r="Q10"/>
  <c r="Q9"/>
  <c r="P2" s="1"/>
  <c r="T9"/>
  <c r="W10"/>
  <c r="V1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AA9" i="11"/>
  <c r="Q5" s="1"/>
  <c r="Y21" i="4"/>
  <c r="AA21"/>
  <c r="Z21"/>
  <c r="AA10" i="11"/>
  <c r="W9" i="5"/>
  <c r="P4" s="1"/>
  <c r="T9"/>
  <c r="P3" s="1"/>
  <c r="Q9"/>
  <c r="P2" s="1"/>
  <c r="Z11" i="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W11"/>
  <c r="W12" s="1"/>
  <c r="W13" s="1"/>
  <c r="X10"/>
  <c r="U10"/>
  <c r="R10"/>
  <c r="U9"/>
  <c r="Q3" s="1"/>
  <c r="X9"/>
  <c r="Q4" s="1"/>
  <c r="R9"/>
  <c r="Q2" s="1"/>
  <c r="T11" i="8"/>
  <c r="T10" i="5"/>
  <c r="Q10"/>
  <c r="W10"/>
  <c r="S11" i="2"/>
  <c r="P3"/>
  <c r="P4"/>
  <c r="Q9" i="8"/>
  <c r="T18" i="11" l="1"/>
  <c r="W14"/>
  <c r="X13"/>
  <c r="Q14"/>
  <c r="R13"/>
  <c r="U13"/>
  <c r="AA13"/>
  <c r="U11" i="8"/>
  <c r="W11" i="5"/>
  <c r="T12"/>
  <c r="T11"/>
  <c r="Q11"/>
  <c r="P13"/>
  <c r="Q12"/>
  <c r="W12"/>
  <c r="R10" i="8"/>
  <c r="U10"/>
  <c r="X11"/>
  <c r="X10"/>
  <c r="R11"/>
  <c r="R12" i="11"/>
  <c r="T12" i="8"/>
  <c r="X12" s="1"/>
  <c r="W11" i="2"/>
  <c r="Q11"/>
  <c r="T11"/>
  <c r="AA11" i="11"/>
  <c r="R11"/>
  <c r="X11"/>
  <c r="AA12"/>
  <c r="U11"/>
  <c r="U12"/>
  <c r="X12"/>
  <c r="S16" i="5"/>
  <c r="V16"/>
  <c r="S12" i="2"/>
  <c r="T19" i="11" l="1"/>
  <c r="Q15"/>
  <c r="U14"/>
  <c r="R14"/>
  <c r="W15"/>
  <c r="X14"/>
  <c r="AA14"/>
  <c r="T13" i="8"/>
  <c r="X13" s="1"/>
  <c r="U12"/>
  <c r="R12"/>
  <c r="P14" i="5"/>
  <c r="Q13"/>
  <c r="W13"/>
  <c r="T13"/>
  <c r="W12" i="2"/>
  <c r="Q12"/>
  <c r="T12"/>
  <c r="V17" i="5"/>
  <c r="S17"/>
  <c r="S13" i="2"/>
  <c r="T20" i="11" l="1"/>
  <c r="AA15"/>
  <c r="W16"/>
  <c r="X15"/>
  <c r="S14" i="2"/>
  <c r="T13"/>
  <c r="Q13"/>
  <c r="W13"/>
  <c r="Q16" i="11"/>
  <c r="AA16" s="1"/>
  <c r="U15"/>
  <c r="R15"/>
  <c r="T14" i="8"/>
  <c r="X14" s="1"/>
  <c r="U13"/>
  <c r="R13"/>
  <c r="W14" i="5"/>
  <c r="T14"/>
  <c r="P15"/>
  <c r="Q14"/>
  <c r="S18"/>
  <c r="V18"/>
  <c r="T21" i="11" l="1"/>
  <c r="Q17"/>
  <c r="R16"/>
  <c r="U16"/>
  <c r="S15" i="2"/>
  <c r="T14"/>
  <c r="Q14"/>
  <c r="W17" i="11"/>
  <c r="X16"/>
  <c r="W15" i="5"/>
  <c r="T15"/>
  <c r="P16"/>
  <c r="Q15"/>
  <c r="T15" i="8"/>
  <c r="X15" s="1"/>
  <c r="U14"/>
  <c r="R14"/>
  <c r="S19" i="5"/>
  <c r="V19"/>
  <c r="T22" i="11" l="1"/>
  <c r="W18"/>
  <c r="W19" s="1"/>
  <c r="X17"/>
  <c r="AA17"/>
  <c r="Q18"/>
  <c r="R17"/>
  <c r="U17"/>
  <c r="S16" i="2"/>
  <c r="T15"/>
  <c r="Q15"/>
  <c r="T16" i="8"/>
  <c r="X16" s="1"/>
  <c r="U15"/>
  <c r="R15"/>
  <c r="T16" i="5"/>
  <c r="W16"/>
  <c r="P17"/>
  <c r="Q16"/>
  <c r="V20"/>
  <c r="S20"/>
  <c r="T23" i="11" l="1"/>
  <c r="W20"/>
  <c r="X18"/>
  <c r="AA18"/>
  <c r="Q19"/>
  <c r="AA19" s="1"/>
  <c r="R18"/>
  <c r="U18"/>
  <c r="T17" i="8"/>
  <c r="X17" s="1"/>
  <c r="U16"/>
  <c r="R16"/>
  <c r="S17" i="2"/>
  <c r="T16"/>
  <c r="Q16"/>
  <c r="T17" i="5"/>
  <c r="W17"/>
  <c r="P18"/>
  <c r="Q17"/>
  <c r="S21"/>
  <c r="V21"/>
  <c r="T24" i="11" l="1"/>
  <c r="T25" s="1"/>
  <c r="X19"/>
  <c r="W21"/>
  <c r="Q20"/>
  <c r="X20" s="1"/>
  <c r="R19"/>
  <c r="U19"/>
  <c r="S18" i="2"/>
  <c r="T17"/>
  <c r="Q17"/>
  <c r="T18" i="8"/>
  <c r="X18" s="1"/>
  <c r="U17"/>
  <c r="R17"/>
  <c r="T18" i="5"/>
  <c r="W18"/>
  <c r="P19"/>
  <c r="Q18"/>
  <c r="V22"/>
  <c r="S22"/>
  <c r="T26" i="11" l="1"/>
  <c r="T27" s="1"/>
  <c r="T28" s="1"/>
  <c r="T29"/>
  <c r="W22"/>
  <c r="Q21"/>
  <c r="AA21" s="1"/>
  <c r="R20"/>
  <c r="AA20"/>
  <c r="U20"/>
  <c r="S19" i="2"/>
  <c r="T18"/>
  <c r="Q18"/>
  <c r="W18"/>
  <c r="T19" i="8"/>
  <c r="X19" s="1"/>
  <c r="U18"/>
  <c r="R18"/>
  <c r="T19" i="5"/>
  <c r="W19"/>
  <c r="P20"/>
  <c r="Q19"/>
  <c r="S23"/>
  <c r="V23"/>
  <c r="W23" i="11" l="1"/>
  <c r="X21"/>
  <c r="Q22"/>
  <c r="R21"/>
  <c r="U21"/>
  <c r="S20" i="2"/>
  <c r="T19"/>
  <c r="Q19"/>
  <c r="T20" i="8"/>
  <c r="X20" s="1"/>
  <c r="R19"/>
  <c r="U19"/>
  <c r="T20" i="5"/>
  <c r="W20"/>
  <c r="P21"/>
  <c r="Q20"/>
  <c r="V24"/>
  <c r="S24"/>
  <c r="W24" i="11" l="1"/>
  <c r="Q23"/>
  <c r="AA23" s="1"/>
  <c r="R22"/>
  <c r="AA22"/>
  <c r="U22"/>
  <c r="X22"/>
  <c r="S21" i="2"/>
  <c r="T20"/>
  <c r="Q20"/>
  <c r="T21" i="8"/>
  <c r="X21" s="1"/>
  <c r="U20"/>
  <c r="R20"/>
  <c r="W21" i="5"/>
  <c r="T21"/>
  <c r="P22"/>
  <c r="Q21"/>
  <c r="S25"/>
  <c r="V25"/>
  <c r="W25" i="11" l="1"/>
  <c r="Q24"/>
  <c r="AA24" s="1"/>
  <c r="R23"/>
  <c r="U23"/>
  <c r="X23"/>
  <c r="S22" i="2"/>
  <c r="T21"/>
  <c r="Q21"/>
  <c r="T22" i="5"/>
  <c r="W22"/>
  <c r="P23"/>
  <c r="Q22"/>
  <c r="T22" i="8"/>
  <c r="X22" s="1"/>
  <c r="U21"/>
  <c r="R21"/>
  <c r="V26" i="5"/>
  <c r="S26"/>
  <c r="W26" i="11" l="1"/>
  <c r="W27" s="1"/>
  <c r="W28" s="1"/>
  <c r="W29" s="1"/>
  <c r="X25"/>
  <c r="X24"/>
  <c r="R24"/>
  <c r="Q25"/>
  <c r="U24"/>
  <c r="S23" i="2"/>
  <c r="T22"/>
  <c r="Q22"/>
  <c r="T23" i="5"/>
  <c r="W23"/>
  <c r="P24"/>
  <c r="Q23"/>
  <c r="T23" i="8"/>
  <c r="X23" s="1"/>
  <c r="U22"/>
  <c r="R22"/>
  <c r="S27" i="5"/>
  <c r="V27"/>
  <c r="Q26" i="11" l="1"/>
  <c r="Q27" s="1"/>
  <c r="Q28" s="1"/>
  <c r="R25"/>
  <c r="U25"/>
  <c r="S24" i="2"/>
  <c r="T23"/>
  <c r="Q23"/>
  <c r="T24" i="8"/>
  <c r="U23"/>
  <c r="R23"/>
  <c r="Q29" i="11"/>
  <c r="R28"/>
  <c r="U28"/>
  <c r="X28"/>
  <c r="T24" i="5"/>
  <c r="W24"/>
  <c r="P25"/>
  <c r="W25" s="1"/>
  <c r="Q24"/>
  <c r="T25"/>
  <c r="V28"/>
  <c r="S28"/>
  <c r="S25" i="2" l="1"/>
  <c r="T24"/>
  <c r="Q24"/>
  <c r="W24"/>
  <c r="T25" i="8"/>
  <c r="U24"/>
  <c r="R24"/>
  <c r="Q25" i="5"/>
  <c r="P26"/>
  <c r="P27" s="1"/>
  <c r="P28" s="1"/>
  <c r="P29" s="1"/>
  <c r="S29"/>
  <c r="V29"/>
  <c r="S26" i="2" l="1"/>
  <c r="S27" s="1"/>
  <c r="S28" s="1"/>
  <c r="S29" s="1"/>
  <c r="T25"/>
  <c r="Q25"/>
  <c r="T26" i="8"/>
  <c r="T27" s="1"/>
  <c r="U25"/>
  <c r="R25"/>
  <c r="T29" i="5"/>
  <c r="Q29"/>
  <c r="T28" i="8" l="1"/>
  <c r="T29" s="1"/>
  <c r="U27"/>
  <c r="R27"/>
</calcChain>
</file>

<file path=xl/sharedStrings.xml><?xml version="1.0" encoding="utf-8"?>
<sst xmlns="http://schemas.openxmlformats.org/spreadsheetml/2006/main" count="311" uniqueCount="84">
  <si>
    <t>Turno</t>
  </si>
  <si>
    <t>Entidad</t>
  </si>
  <si>
    <t>Centro</t>
  </si>
  <si>
    <t>.</t>
  </si>
  <si>
    <t>Otro</t>
  </si>
  <si>
    <t xml:space="preserve"> </t>
  </si>
  <si>
    <t>Municipio</t>
  </si>
  <si>
    <t>Pagina Principal</t>
  </si>
  <si>
    <t>SUCRE</t>
  </si>
  <si>
    <t>INDEPENDENCIA</t>
  </si>
  <si>
    <t>Jorge Rodriguez</t>
  </si>
  <si>
    <t>Stalin Gonzalez</t>
  </si>
  <si>
    <t>Claudio Fermin</t>
  </si>
  <si>
    <t>|</t>
  </si>
  <si>
    <t>Exit Poll Regional Noviembre 2008</t>
  </si>
  <si>
    <t>BARINAS</t>
  </si>
  <si>
    <t>BOLIVAR</t>
  </si>
  <si>
    <t>LIBERTADOR</t>
  </si>
  <si>
    <t>Estado Nueva Esparta</t>
  </si>
  <si>
    <t>William Fariñas</t>
  </si>
  <si>
    <t>Morel Rodriguez</t>
  </si>
  <si>
    <t>SumaNA</t>
  </si>
  <si>
    <t>GOBERNACION DE NUEVA ESPARTA</t>
  </si>
  <si>
    <t>ARISMENDI</t>
  </si>
  <si>
    <t>DIAZ</t>
  </si>
  <si>
    <t>GARCIA</t>
  </si>
  <si>
    <t>GOMEZ</t>
  </si>
  <si>
    <t>MANEIRO</t>
  </si>
  <si>
    <t>MARCANO</t>
  </si>
  <si>
    <t>MARIÑO</t>
  </si>
  <si>
    <t>NUEVA ESPARTA</t>
  </si>
  <si>
    <t>Estado Monagas</t>
  </si>
  <si>
    <t>Jose Gregorio Briceño</t>
  </si>
  <si>
    <t>Domingo Urbina</t>
  </si>
  <si>
    <t>SumaMO</t>
  </si>
  <si>
    <t>GOBERNACION DE MONAGAS</t>
  </si>
  <si>
    <t>MONAGAS</t>
  </si>
  <si>
    <t>EZEQUIEL ZAMORA</t>
  </si>
  <si>
    <t>MATURIN</t>
  </si>
  <si>
    <t>PIAR</t>
  </si>
  <si>
    <t>CEDEÑO</t>
  </si>
  <si>
    <t>Estado Sucre</t>
  </si>
  <si>
    <t>Enrique Maestre</t>
  </si>
  <si>
    <t>Eduardo Morales Gil</t>
  </si>
  <si>
    <t>SumaSU</t>
  </si>
  <si>
    <t>GOBERNACION DE SUCRE</t>
  </si>
  <si>
    <t>BERMUDEZ</t>
  </si>
  <si>
    <t>MONTES</t>
  </si>
  <si>
    <t>RIBERO</t>
  </si>
  <si>
    <t>SumaAN</t>
  </si>
  <si>
    <t>Tarek Willians Saab</t>
  </si>
  <si>
    <t xml:space="preserve"> Gustavo Marcano</t>
  </si>
  <si>
    <t xml:space="preserve"> Benjamin Rausseo</t>
  </si>
  <si>
    <t>GOBERNACIÓN DE ANZOATEGUI</t>
  </si>
  <si>
    <t>ANACO</t>
  </si>
  <si>
    <t>ARAGUA</t>
  </si>
  <si>
    <t>BRUZUAL</t>
  </si>
  <si>
    <t>FREITES</t>
  </si>
  <si>
    <t>GUANIPA</t>
  </si>
  <si>
    <t>GUANTA</t>
  </si>
  <si>
    <t>LIC. DIEGO BAUTISTA URBANEJA</t>
  </si>
  <si>
    <t>MIRANDA</t>
  </si>
  <si>
    <t>PEÑALVER</t>
  </si>
  <si>
    <t>PIRITU</t>
  </si>
  <si>
    <t>SIMON RODRIGUEZ</t>
  </si>
  <si>
    <t>SOTILLO</t>
  </si>
  <si>
    <t>Transcripción Anzoátegui</t>
  </si>
  <si>
    <t>Supervisor Anzoátegui</t>
  </si>
  <si>
    <t>Gráficos de Anzoátegui</t>
  </si>
  <si>
    <t>Transcripción Monagas</t>
  </si>
  <si>
    <t>Supervisor de Monagas</t>
  </si>
  <si>
    <t>Gráficos de Monagas</t>
  </si>
  <si>
    <t>Transcripción Nueva Esparta</t>
  </si>
  <si>
    <t>Supervisor de Nueva Esparta</t>
  </si>
  <si>
    <t>Gráficos de Nueva Esparta</t>
  </si>
  <si>
    <t>Transcripción Sucre</t>
  </si>
  <si>
    <t>Supervisor de Sucre</t>
  </si>
  <si>
    <t>Gráficos de Sucre</t>
  </si>
  <si>
    <t>Anzoátegui</t>
  </si>
  <si>
    <t>Monagas</t>
  </si>
  <si>
    <t>Nueva Esparta</t>
  </si>
  <si>
    <t>Sucre</t>
  </si>
  <si>
    <t>Estado Anzoátegui</t>
  </si>
  <si>
    <t>Region Nororiental e Insular</t>
  </si>
</sst>
</file>

<file path=xl/styles.xml><?xml version="1.0" encoding="utf-8"?>
<styleSheet xmlns="http://schemas.openxmlformats.org/spreadsheetml/2006/main">
  <numFmts count="1">
    <numFmt numFmtId="164" formatCode="0.0%"/>
  </numFmts>
  <fonts count="3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theme="9" tint="-0.249977111117893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u/>
      <sz val="10"/>
      <color rgb="FFFF000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i/>
      <sz val="2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99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" fontId="5" fillId="6" borderId="10" xfId="0" applyNumberFormat="1" applyFont="1" applyFill="1" applyBorder="1" applyAlignment="1" applyProtection="1">
      <alignment horizontal="right" vertical="center" indent="2"/>
      <protection locked="0"/>
    </xf>
    <xf numFmtId="1" fontId="5" fillId="6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9" xfId="0" applyNumberFormat="1" applyFont="1" applyFill="1" applyBorder="1" applyAlignment="1" applyProtection="1">
      <alignment horizontal="right" vertical="center" indent="2"/>
      <protection locked="0"/>
    </xf>
    <xf numFmtId="1" fontId="5" fillId="6" borderId="15" xfId="0" applyNumberFormat="1" applyFont="1" applyFill="1" applyBorder="1" applyAlignment="1" applyProtection="1">
      <alignment horizontal="right" vertical="center" indent="2"/>
      <protection locked="0"/>
    </xf>
    <xf numFmtId="1" fontId="5" fillId="6" borderId="16" xfId="0" applyNumberFormat="1" applyFont="1" applyFill="1" applyBorder="1" applyAlignment="1" applyProtection="1">
      <alignment horizontal="right" vertical="center" indent="2"/>
      <protection locked="0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11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1" fontId="3" fillId="7" borderId="21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Border="1" applyAlignment="1" applyProtection="1">
      <alignment horizontal="center"/>
      <protection locked="0"/>
    </xf>
    <xf numFmtId="0" fontId="25" fillId="0" borderId="0" xfId="1" applyFont="1" applyAlignment="1" applyProtection="1">
      <alignment vertical="center"/>
    </xf>
    <xf numFmtId="20" fontId="3" fillId="0" borderId="24" xfId="0" applyNumberFormat="1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Border="1" applyAlignment="1" applyProtection="1">
      <alignment horizontal="center"/>
      <protection locked="0"/>
    </xf>
    <xf numFmtId="0" fontId="25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20" fontId="0" fillId="0" borderId="0" xfId="0" applyNumberFormat="1" applyAlignment="1">
      <alignment horizontal="center" vertical="center"/>
    </xf>
    <xf numFmtId="0" fontId="10" fillId="0" borderId="23" xfId="0" applyFont="1" applyBorder="1" applyAlignment="1">
      <alignment horizontal="left" indent="1"/>
    </xf>
    <xf numFmtId="0" fontId="10" fillId="0" borderId="22" xfId="0" applyFont="1" applyBorder="1" applyAlignment="1">
      <alignment horizontal="left" indent="1"/>
    </xf>
    <xf numFmtId="0" fontId="3" fillId="0" borderId="22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7" fillId="0" borderId="0" xfId="1" applyFont="1" applyAlignment="1" applyProtection="1">
      <alignment vertical="center"/>
    </xf>
    <xf numFmtId="0" fontId="30" fillId="0" borderId="0" xfId="0" applyFont="1" applyAlignment="1">
      <alignment vertical="center"/>
    </xf>
    <xf numFmtId="0" fontId="25" fillId="0" borderId="0" xfId="0" applyFont="1" applyBorder="1"/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1" fillId="0" borderId="0" xfId="0" applyFont="1" applyAlignment="1">
      <alignment vertical="center"/>
    </xf>
    <xf numFmtId="0" fontId="10" fillId="0" borderId="18" xfId="0" applyFont="1" applyBorder="1" applyAlignment="1">
      <alignment horizontal="left" indent="1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17" xfId="0" applyFont="1" applyBorder="1" applyAlignment="1">
      <alignment horizontal="center"/>
    </xf>
    <xf numFmtId="20" fontId="3" fillId="0" borderId="33" xfId="0" applyNumberFormat="1" applyFont="1" applyBorder="1" applyAlignment="1">
      <alignment horizontal="center" vertical="center"/>
    </xf>
    <xf numFmtId="20" fontId="3" fillId="0" borderId="34" xfId="0" applyNumberFormat="1" applyFont="1" applyBorder="1" applyAlignment="1">
      <alignment horizontal="center" vertical="center"/>
    </xf>
    <xf numFmtId="20" fontId="3" fillId="0" borderId="35" xfId="0" applyNumberFormat="1" applyFont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>
      <alignment horizontal="left" vertical="center" wrapText="1"/>
    </xf>
    <xf numFmtId="1" fontId="5" fillId="4" borderId="36" xfId="0" applyNumberFormat="1" applyFont="1" applyFill="1" applyBorder="1" applyAlignment="1" applyProtection="1">
      <alignment horizontal="right" vertical="center" indent="2"/>
      <protection locked="0"/>
    </xf>
    <xf numFmtId="0" fontId="35" fillId="0" borderId="0" xfId="0" applyFont="1" applyAlignment="1">
      <alignment vertical="center"/>
    </xf>
    <xf numFmtId="1" fontId="5" fillId="4" borderId="37" xfId="0" applyNumberFormat="1" applyFont="1" applyFill="1" applyBorder="1" applyAlignment="1" applyProtection="1">
      <alignment horizontal="right" vertical="center" indent="2"/>
      <protection locked="0"/>
    </xf>
    <xf numFmtId="1" fontId="5" fillId="4" borderId="38" xfId="0" applyNumberFormat="1" applyFont="1" applyFill="1" applyBorder="1" applyAlignment="1" applyProtection="1">
      <alignment horizontal="right" vertical="center" indent="2"/>
      <protection locked="0"/>
    </xf>
    <xf numFmtId="49" fontId="6" fillId="4" borderId="39" xfId="0" applyNumberFormat="1" applyFont="1" applyFill="1" applyBorder="1" applyAlignment="1" applyProtection="1">
      <alignment horizontal="center" vertical="center"/>
      <protection locked="0"/>
    </xf>
    <xf numFmtId="0" fontId="6" fillId="4" borderId="39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1" fontId="3" fillId="0" borderId="24" xfId="0" applyNumberFormat="1" applyFont="1" applyFill="1" applyBorder="1" applyAlignment="1">
      <alignment horizontal="center" vertical="center"/>
    </xf>
    <xf numFmtId="1" fontId="3" fillId="7" borderId="41" xfId="0" applyNumberFormat="1" applyFont="1" applyFill="1" applyBorder="1" applyAlignment="1">
      <alignment horizontal="center" vertical="center"/>
    </xf>
    <xf numFmtId="0" fontId="3" fillId="0" borderId="42" xfId="0" applyFont="1" applyBorder="1" applyAlignment="1" applyProtection="1">
      <alignment horizontal="center"/>
      <protection locked="0"/>
    </xf>
    <xf numFmtId="1" fontId="3" fillId="0" borderId="43" xfId="0" applyNumberFormat="1" applyFont="1" applyFill="1" applyBorder="1" applyAlignment="1">
      <alignment horizontal="center" vertical="center"/>
    </xf>
    <xf numFmtId="1" fontId="3" fillId="0" borderId="44" xfId="0" applyNumberFormat="1" applyFont="1" applyFill="1" applyBorder="1" applyAlignment="1">
      <alignment horizontal="center" vertical="center"/>
    </xf>
    <xf numFmtId="1" fontId="3" fillId="0" borderId="45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1" fontId="3" fillId="7" borderId="24" xfId="0" applyNumberFormat="1" applyFont="1" applyFill="1" applyBorder="1" applyAlignment="1">
      <alignment horizontal="center" vertical="center"/>
    </xf>
    <xf numFmtId="1" fontId="3" fillId="7" borderId="46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47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7" xfId="0" applyFont="1" applyBorder="1" applyAlignment="1" applyProtection="1">
      <alignment horizontal="center"/>
      <protection locked="0"/>
    </xf>
    <xf numFmtId="1" fontId="3" fillId="7" borderId="49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10" fillId="0" borderId="51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" fontId="3" fillId="7" borderId="54" xfId="0" applyNumberFormat="1" applyFont="1" applyFill="1" applyBorder="1" applyAlignment="1">
      <alignment horizontal="center" vertical="center"/>
    </xf>
    <xf numFmtId="1" fontId="3" fillId="7" borderId="5" xfId="0" applyNumberFormat="1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3" fillId="0" borderId="48" xfId="0" applyFont="1" applyBorder="1" applyAlignment="1" applyProtection="1">
      <alignment horizontal="center"/>
      <protection locked="0"/>
    </xf>
    <xf numFmtId="1" fontId="3" fillId="0" borderId="50" xfId="0" applyNumberFormat="1" applyFont="1" applyFill="1" applyBorder="1" applyAlignment="1">
      <alignment horizontal="center" vertical="center"/>
    </xf>
    <xf numFmtId="1" fontId="3" fillId="0" borderId="28" xfId="0" applyNumberFormat="1" applyFont="1" applyFill="1" applyBorder="1" applyAlignment="1">
      <alignment horizontal="center" vertical="center"/>
    </xf>
    <xf numFmtId="1" fontId="3" fillId="0" borderId="29" xfId="0" applyNumberFormat="1" applyFont="1" applyFill="1" applyBorder="1" applyAlignment="1">
      <alignment horizontal="center" vertical="center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49" xfId="0" applyFont="1" applyBorder="1" applyAlignment="1" applyProtection="1">
      <alignment horizontal="center"/>
      <protection locked="0"/>
    </xf>
    <xf numFmtId="0" fontId="3" fillId="0" borderId="50" xfId="0" applyFont="1" applyBorder="1" applyAlignment="1" applyProtection="1">
      <alignment horizontal="center"/>
      <protection locked="0"/>
    </xf>
    <xf numFmtId="0" fontId="10" fillId="0" borderId="48" xfId="0" applyFont="1" applyBorder="1" applyAlignment="1">
      <alignment horizontal="left" indent="1"/>
    </xf>
    <xf numFmtId="0" fontId="25" fillId="0" borderId="0" xfId="1" applyFont="1" applyAlignment="1" applyProtection="1">
      <alignment vertical="center"/>
      <protection locked="0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3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/>
      <protection locked="0"/>
    </xf>
    <xf numFmtId="0" fontId="10" fillId="0" borderId="24" xfId="0" applyNumberFormat="1" applyFont="1" applyBorder="1" applyAlignment="1">
      <alignment horizontal="center" vertical="center" wrapText="1"/>
    </xf>
    <xf numFmtId="0" fontId="10" fillId="0" borderId="50" xfId="0" applyNumberFormat="1" applyFont="1" applyBorder="1" applyAlignment="1">
      <alignment horizontal="center" vertical="center" wrapText="1"/>
    </xf>
    <xf numFmtId="0" fontId="10" fillId="0" borderId="32" xfId="0" applyNumberFormat="1" applyFont="1" applyBorder="1" applyAlignment="1">
      <alignment horizontal="center" vertical="center" wrapText="1"/>
    </xf>
    <xf numFmtId="0" fontId="10" fillId="0" borderId="20" xfId="0" applyNumberFormat="1" applyFont="1" applyBorder="1" applyAlignment="1">
      <alignment horizontal="center" vertical="center" wrapText="1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29" xfId="0" applyNumberFormat="1" applyFont="1" applyBorder="1" applyAlignment="1">
      <alignment horizontal="center" vertical="center" wrapText="1"/>
    </xf>
    <xf numFmtId="0" fontId="10" fillId="0" borderId="23" xfId="0" applyNumberFormat="1" applyFont="1" applyBorder="1" applyAlignment="1">
      <alignment horizontal="center" vertical="center" wrapText="1"/>
    </xf>
    <xf numFmtId="0" fontId="10" fillId="0" borderId="48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24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73"/>
        </c:manualLayout>
      </c:layout>
      <c:lineChart>
        <c:grouping val="standard"/>
        <c:ser>
          <c:idx val="0"/>
          <c:order val="0"/>
          <c:tx>
            <c:strRef>
              <c:f>'Nueva Esparta'!$O$8:$Q$8</c:f>
              <c:strCache>
                <c:ptCount val="1"/>
                <c:pt idx="0">
                  <c:v>William Fariñas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Monagas!$M$10:$M$29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'Nueva Esparta'!$Q$10:$Q$29</c:f>
              <c:numCache>
                <c:formatCode>0.00</c:formatCode>
                <c:ptCount val="20"/>
                <c:pt idx="0">
                  <c:v>0.31770833333333331</c:v>
                </c:pt>
                <c:pt idx="1">
                  <c:v>0.34662576687116564</c:v>
                </c:pt>
                <c:pt idx="2">
                  <c:v>0.42731277533039647</c:v>
                </c:pt>
                <c:pt idx="3">
                  <c:v>0.43344155844155846</c:v>
                </c:pt>
                <c:pt idx="4">
                  <c:v>0.43989071038251365</c:v>
                </c:pt>
                <c:pt idx="5">
                  <c:v>0.44212962962962965</c:v>
                </c:pt>
                <c:pt idx="6">
                  <c:v>0.4482051282051282</c:v>
                </c:pt>
                <c:pt idx="7">
                  <c:v>0.43738489871086556</c:v>
                </c:pt>
                <c:pt idx="8">
                  <c:v>0.4373401534526854</c:v>
                </c:pt>
                <c:pt idx="9">
                  <c:v>0.43122977346278318</c:v>
                </c:pt>
                <c:pt idx="10">
                  <c:v>0.42912172573189522</c:v>
                </c:pt>
                <c:pt idx="11">
                  <c:v>0.40612244897959182</c:v>
                </c:pt>
                <c:pt idx="12">
                  <c:v>0.40490006447453258</c:v>
                </c:pt>
                <c:pt idx="13">
                  <c:v>0.40476190476190477</c:v>
                </c:pt>
                <c:pt idx="14">
                  <c:v>0.40379901960784315</c:v>
                </c:pt>
                <c:pt idx="15">
                  <c:v>0.40340218712029163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'Nueva Esparta'!$R$8:$T$8</c:f>
              <c:strCache>
                <c:ptCount val="1"/>
                <c:pt idx="0">
                  <c:v>Morel Rodriguez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Monagas!$M$10:$M$29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'Nueva Esparta'!$T$10:$T$29</c:f>
              <c:numCache>
                <c:formatCode>0.00</c:formatCode>
                <c:ptCount val="20"/>
                <c:pt idx="0">
                  <c:v>0.546875</c:v>
                </c:pt>
                <c:pt idx="1">
                  <c:v>0.5214723926380368</c:v>
                </c:pt>
                <c:pt idx="2">
                  <c:v>0.46696035242290751</c:v>
                </c:pt>
                <c:pt idx="3">
                  <c:v>0.45616883116883117</c:v>
                </c:pt>
                <c:pt idx="4">
                  <c:v>0.46721311475409838</c:v>
                </c:pt>
                <c:pt idx="5">
                  <c:v>0.47916666666666669</c:v>
                </c:pt>
                <c:pt idx="6">
                  <c:v>0.48205128205128206</c:v>
                </c:pt>
                <c:pt idx="7">
                  <c:v>0.5</c:v>
                </c:pt>
                <c:pt idx="8">
                  <c:v>0.50213128729752776</c:v>
                </c:pt>
                <c:pt idx="9">
                  <c:v>0.51132686084142398</c:v>
                </c:pt>
                <c:pt idx="10">
                  <c:v>0.51617873651771962</c:v>
                </c:pt>
                <c:pt idx="11">
                  <c:v>0.54557823129251704</c:v>
                </c:pt>
                <c:pt idx="12">
                  <c:v>0.54932301740812384</c:v>
                </c:pt>
                <c:pt idx="13">
                  <c:v>0.5507518796992481</c:v>
                </c:pt>
                <c:pt idx="14">
                  <c:v>0.55147058823529416</c:v>
                </c:pt>
                <c:pt idx="15">
                  <c:v>0.55224787363304984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'Nueva Esparta'!$U$8:$W$8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'Nueva Esparta'!$W$10:$W$29</c:f>
              <c:numCache>
                <c:formatCode>0.00</c:formatCode>
                <c:ptCount val="20"/>
                <c:pt idx="0">
                  <c:v>0.13541666666666666</c:v>
                </c:pt>
                <c:pt idx="1">
                  <c:v>0.13190184049079753</c:v>
                </c:pt>
                <c:pt idx="2">
                  <c:v>0.10572687224669604</c:v>
                </c:pt>
                <c:pt idx="3">
                  <c:v>0.11038961038961038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6.0528559249786874E-2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4.4730392156862746E-2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</c:ser>
        <c:marker val="1"/>
        <c:axId val="106941824"/>
        <c:axId val="108299776"/>
      </c:lineChart>
      <c:catAx>
        <c:axId val="106941824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08299776"/>
        <c:crosses val="autoZero"/>
        <c:auto val="1"/>
        <c:lblAlgn val="ctr"/>
        <c:lblOffset val="100"/>
      </c:catAx>
      <c:valAx>
        <c:axId val="108299776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106941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89" r="0.75000000000000289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layout>
                <c:manualLayout>
                  <c:x val="3.5381750465549424E-3"/>
                  <c:y val="-0.22631800092233617"/>
                </c:manualLayout>
              </c:layout>
              <c:showVal val="1"/>
            </c:dLbl>
            <c:dLbl>
              <c:idx val="1"/>
              <c:layout>
                <c:manualLayout>
                  <c:x val="2.9629629629629697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34"/>
                </c:manualLayout>
              </c:layout>
              <c:showVal val="1"/>
            </c:dLbl>
            <c:dLbl>
              <c:idx val="3"/>
              <c:layout>
                <c:manualLayout>
                  <c:x val="1.489757914338923E-2"/>
                  <c:y val="-0.21717047841904788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'Nueva Esparta'!$O$2:$O$4</c:f>
              <c:strCache>
                <c:ptCount val="3"/>
                <c:pt idx="0">
                  <c:v>William Fariñas</c:v>
                </c:pt>
                <c:pt idx="1">
                  <c:v>Morel Rodriguez</c:v>
                </c:pt>
                <c:pt idx="2">
                  <c:v>Otro</c:v>
                </c:pt>
              </c:strCache>
            </c:strRef>
          </c:cat>
          <c:val>
            <c:numRef>
              <c:f>'Nueva Esparta'!$P$2:$P$4</c:f>
              <c:numCache>
                <c:formatCode>0.0%</c:formatCode>
                <c:ptCount val="3"/>
                <c:pt idx="0">
                  <c:v>0.40340218712029163</c:v>
                </c:pt>
                <c:pt idx="1">
                  <c:v>0.55224787363304984</c:v>
                </c:pt>
                <c:pt idx="2">
                  <c:v>4.4349939246658567E-2</c:v>
                </c:pt>
              </c:numCache>
            </c:numRef>
          </c:val>
        </c:ser>
        <c:dLbls>
          <c:showVal val="1"/>
        </c:dLbls>
        <c:gapWidth val="75"/>
        <c:shape val="box"/>
        <c:axId val="50031616"/>
        <c:axId val="50037504"/>
        <c:axId val="0"/>
      </c:bar3DChart>
      <c:catAx>
        <c:axId val="500316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037504"/>
        <c:crosses val="autoZero"/>
        <c:auto val="1"/>
        <c:lblAlgn val="ctr"/>
        <c:lblOffset val="100"/>
      </c:catAx>
      <c:valAx>
        <c:axId val="50037504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031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Monagas!$E$8</c:f>
              <c:strCache>
                <c:ptCount val="1"/>
                <c:pt idx="0">
                  <c:v>Jose Gregorio Briceño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Monagas!$M$10:$M$29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Monagas!$Q$10:$Q$29</c:f>
              <c:numCache>
                <c:formatCode>0.00</c:formatCode>
                <c:ptCount val="20"/>
                <c:pt idx="0">
                  <c:v>0.68338557993730409</c:v>
                </c:pt>
                <c:pt idx="1">
                  <c:v>0.66356589147286826</c:v>
                </c:pt>
                <c:pt idx="2">
                  <c:v>0.6271529888551165</c:v>
                </c:pt>
                <c:pt idx="3">
                  <c:v>0.62831241283124128</c:v>
                </c:pt>
                <c:pt idx="4">
                  <c:v>0.63367875647668392</c:v>
                </c:pt>
                <c:pt idx="5">
                  <c:v>0.63712026633374952</c:v>
                </c:pt>
                <c:pt idx="6">
                  <c:v>0.63499298737727905</c:v>
                </c:pt>
                <c:pt idx="7">
                  <c:v>0.63869047619047614</c:v>
                </c:pt>
                <c:pt idx="8">
                  <c:v>0.63764705882352946</c:v>
                </c:pt>
                <c:pt idx="9">
                  <c:v>0.63698630136986301</c:v>
                </c:pt>
                <c:pt idx="10">
                  <c:v>0.63144069508991718</c:v>
                </c:pt>
                <c:pt idx="11">
                  <c:v>0.63408708652588297</c:v>
                </c:pt>
                <c:pt idx="12">
                  <c:v>0.6364271980423003</c:v>
                </c:pt>
                <c:pt idx="13">
                  <c:v>0.63595166163141992</c:v>
                </c:pt>
                <c:pt idx="14">
                  <c:v>0.63619834710743806</c:v>
                </c:pt>
                <c:pt idx="15">
                  <c:v>0.63627386438446343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Monagas!$F$8</c:f>
              <c:strCache>
                <c:ptCount val="1"/>
                <c:pt idx="0">
                  <c:v>Domingo Urbina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Monagas!$M$10:$M$29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Monagas!$T$10:$T$29</c:f>
              <c:numCache>
                <c:formatCode>0.00</c:formatCode>
                <c:ptCount val="20"/>
                <c:pt idx="0">
                  <c:v>0.20376175548589343</c:v>
                </c:pt>
                <c:pt idx="1">
                  <c:v>0.22170542635658916</c:v>
                </c:pt>
                <c:pt idx="2">
                  <c:v>0.23910840932117527</c:v>
                </c:pt>
                <c:pt idx="3">
                  <c:v>0.24198047419804741</c:v>
                </c:pt>
                <c:pt idx="4">
                  <c:v>0.23678756476683938</c:v>
                </c:pt>
                <c:pt idx="5">
                  <c:v>0.2305451518934665</c:v>
                </c:pt>
                <c:pt idx="6">
                  <c:v>0.23211781206171109</c:v>
                </c:pt>
                <c:pt idx="7">
                  <c:v>0.22886904761904761</c:v>
                </c:pt>
                <c:pt idx="8">
                  <c:v>0.22954248366013072</c:v>
                </c:pt>
                <c:pt idx="9">
                  <c:v>0.2267123287671233</c:v>
                </c:pt>
                <c:pt idx="10">
                  <c:v>0.22853101636694281</c:v>
                </c:pt>
                <c:pt idx="11">
                  <c:v>0.22687348159222576</c:v>
                </c:pt>
                <c:pt idx="12">
                  <c:v>0.22408669812969761</c:v>
                </c:pt>
                <c:pt idx="13">
                  <c:v>0.2233971131252098</c:v>
                </c:pt>
                <c:pt idx="14">
                  <c:v>0.22247933884297522</c:v>
                </c:pt>
                <c:pt idx="15">
                  <c:v>0.22218564845292957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Monagas!$G$8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Monagas!$M$10:$M$29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Monagas!$W$10:$W$29</c:f>
              <c:numCache>
                <c:formatCode>0.00</c:formatCode>
                <c:ptCount val="20"/>
                <c:pt idx="0">
                  <c:v>0.11285266457680251</c:v>
                </c:pt>
                <c:pt idx="1">
                  <c:v>0.11472868217054263</c:v>
                </c:pt>
                <c:pt idx="2">
                  <c:v>0.1337386018237082</c:v>
                </c:pt>
                <c:pt idx="3">
                  <c:v>0.1297071129707113</c:v>
                </c:pt>
                <c:pt idx="4">
                  <c:v>0.12953367875647667</c:v>
                </c:pt>
                <c:pt idx="5">
                  <c:v>0.13233458177278401</c:v>
                </c:pt>
                <c:pt idx="6">
                  <c:v>0.13288920056100981</c:v>
                </c:pt>
                <c:pt idx="7">
                  <c:v>0.13244047619047619</c:v>
                </c:pt>
                <c:pt idx="8">
                  <c:v>0.13281045751633988</c:v>
                </c:pt>
                <c:pt idx="9">
                  <c:v>0.13630136986301369</c:v>
                </c:pt>
                <c:pt idx="10">
                  <c:v>0.14002828854314003</c:v>
                </c:pt>
                <c:pt idx="11">
                  <c:v>0.13903943188189125</c:v>
                </c:pt>
                <c:pt idx="12">
                  <c:v>0.13948610382800208</c:v>
                </c:pt>
                <c:pt idx="13">
                  <c:v>0.14065122524337026</c:v>
                </c:pt>
                <c:pt idx="14">
                  <c:v>0.14132231404958678</c:v>
                </c:pt>
                <c:pt idx="15">
                  <c:v>0.14154048716260698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50194688"/>
        <c:axId val="50213248"/>
      </c:lineChart>
      <c:catAx>
        <c:axId val="50194688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50213248"/>
        <c:crosses val="autoZero"/>
        <c:auto val="1"/>
        <c:lblAlgn val="ctr"/>
        <c:lblOffset val="100"/>
      </c:catAx>
      <c:valAx>
        <c:axId val="50213248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50194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9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6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Monagas!$O$2:$O$4</c:f>
              <c:strCache>
                <c:ptCount val="3"/>
                <c:pt idx="0">
                  <c:v>Jose Gregorio Briceño</c:v>
                </c:pt>
                <c:pt idx="1">
                  <c:v>Domingo Urbina</c:v>
                </c:pt>
                <c:pt idx="2">
                  <c:v>Otro</c:v>
                </c:pt>
              </c:strCache>
            </c:strRef>
          </c:cat>
          <c:val>
            <c:numRef>
              <c:f>Monagas!$P$2:$P$4</c:f>
              <c:numCache>
                <c:formatCode>0.0%</c:formatCode>
                <c:ptCount val="3"/>
                <c:pt idx="0">
                  <c:v>0.63627386438446343</c:v>
                </c:pt>
                <c:pt idx="1">
                  <c:v>0.22218564845292957</c:v>
                </c:pt>
                <c:pt idx="2">
                  <c:v>0.14154048716260698</c:v>
                </c:pt>
              </c:numCache>
            </c:numRef>
          </c:val>
        </c:ser>
        <c:dLbls>
          <c:showVal val="1"/>
        </c:dLbls>
        <c:gapWidth val="75"/>
        <c:shape val="box"/>
        <c:axId val="50264320"/>
        <c:axId val="50270208"/>
        <c:axId val="0"/>
      </c:bar3DChart>
      <c:catAx>
        <c:axId val="502643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270208"/>
        <c:crosses val="autoZero"/>
        <c:auto val="1"/>
        <c:lblAlgn val="ctr"/>
        <c:lblOffset val="100"/>
      </c:catAx>
      <c:valAx>
        <c:axId val="50270208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264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73"/>
        </c:manualLayout>
      </c:layout>
      <c:lineChart>
        <c:grouping val="standard"/>
        <c:ser>
          <c:idx val="0"/>
          <c:order val="0"/>
          <c:tx>
            <c:strRef>
              <c:f>Sucre!$E$8</c:f>
              <c:strCache>
                <c:ptCount val="1"/>
                <c:pt idx="0">
                  <c:v>Enrique Maestre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Sucre!$N$10:$N$29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Sucre!$R$10:$R$29</c:f>
              <c:numCache>
                <c:formatCode>0.00</c:formatCode>
                <c:ptCount val="20"/>
                <c:pt idx="0">
                  <c:v>0.61152416356877326</c:v>
                </c:pt>
                <c:pt idx="1">
                  <c:v>0.62209842154131845</c:v>
                </c:pt>
                <c:pt idx="2">
                  <c:v>0.64027865737808742</c:v>
                </c:pt>
                <c:pt idx="3">
                  <c:v>0.62494289629968025</c:v>
                </c:pt>
                <c:pt idx="4">
                  <c:v>0.61750465549348232</c:v>
                </c:pt>
                <c:pt idx="5">
                  <c:v>0.60255268625704961</c:v>
                </c:pt>
                <c:pt idx="6">
                  <c:v>0.60645325203252032</c:v>
                </c:pt>
                <c:pt idx="7">
                  <c:v>0.60233918128654973</c:v>
                </c:pt>
                <c:pt idx="8">
                  <c:v>0.60448619631901845</c:v>
                </c:pt>
                <c:pt idx="9">
                  <c:v>0.60919143054595715</c:v>
                </c:pt>
                <c:pt idx="10">
                  <c:v>0.60665209244222362</c:v>
                </c:pt>
                <c:pt idx="11">
                  <c:v>0.61006006006006008</c:v>
                </c:pt>
                <c:pt idx="12">
                  <c:v>0.61141344315340496</c:v>
                </c:pt>
                <c:pt idx="13">
                  <c:v>0.61082100377139537</c:v>
                </c:pt>
                <c:pt idx="14">
                  <c:v>0.61143927387984442</c:v>
                </c:pt>
                <c:pt idx="15">
                  <c:v>0.61173425366695422</c:v>
                </c:pt>
                <c:pt idx="16">
                  <c:v>#N/A</c:v>
                </c:pt>
                <c:pt idx="17">
                  <c:v>0.61240865453503368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Sucre!$F$8</c:f>
              <c:strCache>
                <c:ptCount val="1"/>
                <c:pt idx="0">
                  <c:v>Eduardo Morales Gil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Sucre!$N$10:$N$29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Sucre!$U$10:$U$29</c:f>
              <c:numCache>
                <c:formatCode>0.00</c:formatCode>
                <c:ptCount val="20"/>
                <c:pt idx="0">
                  <c:v>0.37546468401486988</c:v>
                </c:pt>
                <c:pt idx="1">
                  <c:v>0.36118848653667596</c:v>
                </c:pt>
                <c:pt idx="2">
                  <c:v>0.34515516149461684</c:v>
                </c:pt>
                <c:pt idx="3">
                  <c:v>0.36089538602101418</c:v>
                </c:pt>
                <c:pt idx="4">
                  <c:v>0.36275605214152701</c:v>
                </c:pt>
                <c:pt idx="5">
                  <c:v>0.35678242802018401</c:v>
                </c:pt>
                <c:pt idx="6">
                  <c:v>0.35365853658536583</c:v>
                </c:pt>
                <c:pt idx="7">
                  <c:v>0.35737491877842753</c:v>
                </c:pt>
                <c:pt idx="8">
                  <c:v>0.35467791411042943</c:v>
                </c:pt>
                <c:pt idx="9">
                  <c:v>0.34882515549412579</c:v>
                </c:pt>
                <c:pt idx="10">
                  <c:v>0.34837601499063087</c:v>
                </c:pt>
                <c:pt idx="11">
                  <c:v>0.34534534534534533</c:v>
                </c:pt>
                <c:pt idx="12">
                  <c:v>0.34431534049124873</c:v>
                </c:pt>
                <c:pt idx="13">
                  <c:v>0.34508268059181896</c:v>
                </c:pt>
                <c:pt idx="14">
                  <c:v>0.34476300244921482</c:v>
                </c:pt>
                <c:pt idx="15">
                  <c:v>0.34454989933851021</c:v>
                </c:pt>
                <c:pt idx="16">
                  <c:v>#N/A</c:v>
                </c:pt>
                <c:pt idx="17">
                  <c:v>0.34403209628886661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Sucre!$G$8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Sucre!$N$10:$N$29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Sucre!$X$10:$X$29</c:f>
              <c:numCache>
                <c:formatCode>0.00</c:formatCode>
                <c:ptCount val="20"/>
                <c:pt idx="0">
                  <c:v>1.3011152416356878E-2</c:v>
                </c:pt>
                <c:pt idx="1">
                  <c:v>1.6713091922005572E-2</c:v>
                </c:pt>
                <c:pt idx="2">
                  <c:v>1.4566181127295756E-2</c:v>
                </c:pt>
                <c:pt idx="3">
                  <c:v>1.4161717679305619E-2</c:v>
                </c:pt>
                <c:pt idx="4">
                  <c:v>1.9739292364990689E-2</c:v>
                </c:pt>
                <c:pt idx="5">
                  <c:v>4.06648857227664E-2</c:v>
                </c:pt>
                <c:pt idx="6">
                  <c:v>3.988821138211382E-2</c:v>
                </c:pt>
                <c:pt idx="7">
                  <c:v>4.028589993502274E-2</c:v>
                </c:pt>
                <c:pt idx="8">
                  <c:v>4.0835889570552147E-2</c:v>
                </c:pt>
                <c:pt idx="9">
                  <c:v>4.1983413959917067E-2</c:v>
                </c:pt>
                <c:pt idx="10">
                  <c:v>4.4971892567145531E-2</c:v>
                </c:pt>
                <c:pt idx="11">
                  <c:v>4.4594594594594597E-2</c:v>
                </c:pt>
                <c:pt idx="12">
                  <c:v>4.4271216355346373E-2</c:v>
                </c:pt>
                <c:pt idx="13">
                  <c:v>4.4096315636785607E-2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50464640"/>
        <c:axId val="50487296"/>
      </c:lineChart>
      <c:catAx>
        <c:axId val="50464640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50487296"/>
        <c:crosses val="autoZero"/>
        <c:auto val="1"/>
        <c:lblAlgn val="ctr"/>
        <c:lblOffset val="100"/>
      </c:catAx>
      <c:valAx>
        <c:axId val="50487296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50464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89" r="0.75000000000000289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57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697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34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3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Sucre!$P$2:$P$4</c:f>
              <c:strCache>
                <c:ptCount val="3"/>
                <c:pt idx="0">
                  <c:v>Enrique Maestre</c:v>
                </c:pt>
                <c:pt idx="1">
                  <c:v>Eduardo Morales Gil</c:v>
                </c:pt>
                <c:pt idx="2">
                  <c:v>Otro</c:v>
                </c:pt>
              </c:strCache>
            </c:strRef>
          </c:cat>
          <c:val>
            <c:numRef>
              <c:f>Sucre!$Q$2:$Q$4</c:f>
              <c:numCache>
                <c:formatCode>0.00</c:formatCode>
                <c:ptCount val="3"/>
                <c:pt idx="0">
                  <c:v>0.61240865453503368</c:v>
                </c:pt>
                <c:pt idx="1">
                  <c:v>0.34403209628886661</c:v>
                </c:pt>
                <c:pt idx="2">
                  <c:v>4.3559249176099726E-2</c:v>
                </c:pt>
              </c:numCache>
            </c:numRef>
          </c:val>
        </c:ser>
        <c:dLbls>
          <c:showVal val="1"/>
        </c:dLbls>
        <c:gapWidth val="75"/>
        <c:shape val="box"/>
        <c:axId val="50505600"/>
        <c:axId val="50507136"/>
        <c:axId val="0"/>
      </c:bar3DChart>
      <c:catAx>
        <c:axId val="505056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507136"/>
        <c:crosses val="autoZero"/>
        <c:auto val="1"/>
        <c:lblAlgn val="ctr"/>
        <c:lblOffset val="100"/>
      </c:catAx>
      <c:valAx>
        <c:axId val="50507136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50505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73"/>
        </c:manualLayout>
      </c:layout>
      <c:lineChart>
        <c:grouping val="standard"/>
        <c:ser>
          <c:idx val="0"/>
          <c:order val="0"/>
          <c:tx>
            <c:strRef>
              <c:f>Anzoategui!$E$8</c:f>
              <c:strCache>
                <c:ptCount val="1"/>
                <c:pt idx="0">
                  <c:v>Tarek Willians Saab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Anzoategui!$N$10:$N$29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Anzoategui!$R$10:$R$29</c:f>
              <c:numCache>
                <c:formatCode>0.00</c:formatCode>
                <c:ptCount val="20"/>
                <c:pt idx="0">
                  <c:v>0.53013698630136985</c:v>
                </c:pt>
                <c:pt idx="1">
                  <c:v>0.52279825109306688</c:v>
                </c:pt>
                <c:pt idx="2">
                  <c:v>0.53469715202567192</c:v>
                </c:pt>
                <c:pt idx="3">
                  <c:v>0.558160237388724</c:v>
                </c:pt>
                <c:pt idx="4">
                  <c:v>0.54947418738049714</c:v>
                </c:pt>
                <c:pt idx="5">
                  <c:v>0.54358667464592059</c:v>
                </c:pt>
                <c:pt idx="6">
                  <c:v>0.539815590947192</c:v>
                </c:pt>
                <c:pt idx="7">
                  <c:v>0.53810065396644868</c:v>
                </c:pt>
                <c:pt idx="8">
                  <c:v>0.53912828132738977</c:v>
                </c:pt>
                <c:pt idx="9">
                  <c:v>0.53733480176211457</c:v>
                </c:pt>
                <c:pt idx="10">
                  <c:v>0.534531218630797</c:v>
                </c:pt>
                <c:pt idx="11">
                  <c:v>0.5303511393350766</c:v>
                </c:pt>
                <c:pt idx="12">
                  <c:v>0.52649899921677834</c:v>
                </c:pt>
                <c:pt idx="13">
                  <c:v>0.52247833905509233</c:v>
                </c:pt>
                <c:pt idx="14">
                  <c:v>0.51930685235005536</c:v>
                </c:pt>
                <c:pt idx="15">
                  <c:v>0.51878635434680087</c:v>
                </c:pt>
                <c:pt idx="16">
                  <c:v>#N/A</c:v>
                </c:pt>
                <c:pt idx="17">
                  <c:v>#N/A</c:v>
                </c:pt>
                <c:pt idx="18">
                  <c:v>0.51904985888993416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Anzoategui!$F$8</c:f>
              <c:strCache>
                <c:ptCount val="1"/>
                <c:pt idx="0">
                  <c:v> Gustavo Marcano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Anzoategui!$N$10:$N$29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Anzoategui!$U$10:$U$29</c:f>
              <c:numCache>
                <c:formatCode>0.00</c:formatCode>
                <c:ptCount val="20"/>
                <c:pt idx="0">
                  <c:v>0.31643835616438354</c:v>
                </c:pt>
                <c:pt idx="1">
                  <c:v>0.32604622111180515</c:v>
                </c:pt>
                <c:pt idx="2">
                  <c:v>0.32250300842358604</c:v>
                </c:pt>
                <c:pt idx="3">
                  <c:v>0.31246290801186943</c:v>
                </c:pt>
                <c:pt idx="4">
                  <c:v>0.32480879541108987</c:v>
                </c:pt>
                <c:pt idx="5">
                  <c:v>0.33333333333333331</c:v>
                </c:pt>
                <c:pt idx="6">
                  <c:v>0.33998323554065379</c:v>
                </c:pt>
                <c:pt idx="7">
                  <c:v>0.34603355132214958</c:v>
                </c:pt>
                <c:pt idx="8">
                  <c:v>0.34633481921743436</c:v>
                </c:pt>
                <c:pt idx="9">
                  <c:v>0.35066079295154184</c:v>
                </c:pt>
                <c:pt idx="10">
                  <c:v>0.35404537241517769</c:v>
                </c:pt>
                <c:pt idx="11">
                  <c:v>0.35767650354874858</c:v>
                </c:pt>
                <c:pt idx="12">
                  <c:v>0.36028195979462185</c:v>
                </c:pt>
                <c:pt idx="13">
                  <c:v>0.36406735327775053</c:v>
                </c:pt>
                <c:pt idx="14">
                  <c:v>0.36793796486785885</c:v>
                </c:pt>
                <c:pt idx="15">
                  <c:v>0.3683383115862286</c:v>
                </c:pt>
                <c:pt idx="16">
                  <c:v>#N/A</c:v>
                </c:pt>
                <c:pt idx="17">
                  <c:v>#N/A</c:v>
                </c:pt>
                <c:pt idx="18">
                  <c:v>0.36821887739103165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Anzoategui!$G$8</c:f>
              <c:strCache>
                <c:ptCount val="1"/>
                <c:pt idx="0">
                  <c:v> Benjamin Rausseo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Anzoategui!$N$10:$N$29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Anzoategui!$X$10:$X$29</c:f>
              <c:numCache>
                <c:formatCode>0.00</c:formatCode>
                <c:ptCount val="20"/>
                <c:pt idx="0">
                  <c:v>0.14657534246575343</c:v>
                </c:pt>
                <c:pt idx="1">
                  <c:v>0.14428482198625858</c:v>
                </c:pt>
                <c:pt idx="2">
                  <c:v>0.13357400722021662</c:v>
                </c:pt>
                <c:pt idx="3">
                  <c:v>0.12077151335311573</c:v>
                </c:pt>
                <c:pt idx="4">
                  <c:v>0.11711281070745698</c:v>
                </c:pt>
                <c:pt idx="5">
                  <c:v>0.11330540594454419</c:v>
                </c:pt>
                <c:pt idx="6">
                  <c:v>0.11114836546521374</c:v>
                </c:pt>
                <c:pt idx="7">
                  <c:v>0.10648279783906739</c:v>
                </c:pt>
                <c:pt idx="8">
                  <c:v>0.10562159484893512</c:v>
                </c:pt>
                <c:pt idx="9">
                  <c:v>0.10275330396475771</c:v>
                </c:pt>
                <c:pt idx="10">
                  <c:v>0.101987552700261</c:v>
                </c:pt>
                <c:pt idx="11">
                  <c:v>0.10235338064998133</c:v>
                </c:pt>
                <c:pt idx="12">
                  <c:v>0.10321120877208249</c:v>
                </c:pt>
                <c:pt idx="13">
                  <c:v>0.10348209906817067</c:v>
                </c:pt>
                <c:pt idx="14">
                  <c:v>0.10270612438677006</c:v>
                </c:pt>
                <c:pt idx="15">
                  <c:v>0.10289262694544883</c:v>
                </c:pt>
                <c:pt idx="16">
                  <c:v>#N/A</c:v>
                </c:pt>
                <c:pt idx="17">
                  <c:v>#N/A</c:v>
                </c:pt>
                <c:pt idx="18">
                  <c:v>0.10277516462841016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Anzoategui!$H$8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Anzoategui!$N$10:$N$29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Anzoategui!$AA$10:$AA$29</c:f>
              <c:numCache>
                <c:formatCode>0.00</c:formatCode>
                <c:ptCount val="20"/>
                <c:pt idx="0">
                  <c:v>6.8493150684931503E-3</c:v>
                </c:pt>
                <c:pt idx="1">
                  <c:v>6.8707058088694562E-3</c:v>
                </c:pt>
                <c:pt idx="2">
                  <c:v>9.2258323305254714E-3</c:v>
                </c:pt>
                <c:pt idx="3">
                  <c:v>8.605341246290801E-3</c:v>
                </c:pt>
                <c:pt idx="4">
                  <c:v>8.6042065009560229E-3</c:v>
                </c:pt>
                <c:pt idx="5">
                  <c:v>9.7745860762018747E-3</c:v>
                </c:pt>
                <c:pt idx="6">
                  <c:v>9.0528080469404869E-3</c:v>
                </c:pt>
                <c:pt idx="7">
                  <c:v>9.382996872334376E-3</c:v>
                </c:pt>
                <c:pt idx="8">
                  <c:v>8.9153046062407128E-3</c:v>
                </c:pt>
                <c:pt idx="9">
                  <c:v>9.2511013215859032E-3</c:v>
                </c:pt>
                <c:pt idx="10">
                  <c:v>9.4358562537643041E-3</c:v>
                </c:pt>
                <c:pt idx="11">
                  <c:v>9.6189764661935E-3</c:v>
                </c:pt>
                <c:pt idx="12">
                  <c:v>1.0007832216517274E-2</c:v>
                </c:pt>
                <c:pt idx="13">
                  <c:v>9.9722085989864314E-3</c:v>
                </c:pt>
                <c:pt idx="14">
                  <c:v>1.0049058395315714E-2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00927360"/>
        <c:axId val="100933632"/>
      </c:lineChart>
      <c:catAx>
        <c:axId val="100927360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00933632"/>
        <c:crosses val="autoZero"/>
        <c:auto val="1"/>
        <c:lblAlgn val="ctr"/>
        <c:lblOffset val="100"/>
      </c:catAx>
      <c:valAx>
        <c:axId val="10093363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100927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89" r="0.75000000000000289" t="1" header="0" footer="0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57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97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34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3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Anzoategui!$P$2:$P$5</c:f>
              <c:strCache>
                <c:ptCount val="4"/>
                <c:pt idx="0">
                  <c:v>Tarek Willians Saab</c:v>
                </c:pt>
                <c:pt idx="1">
                  <c:v> Gustavo Marcano</c:v>
                </c:pt>
                <c:pt idx="2">
                  <c:v> Benjamin Rausseo</c:v>
                </c:pt>
                <c:pt idx="3">
                  <c:v>Otro</c:v>
                </c:pt>
              </c:strCache>
            </c:strRef>
          </c:cat>
          <c:val>
            <c:numRef>
              <c:f>Anzoategui!$Q$2:$Q$5</c:f>
              <c:numCache>
                <c:formatCode>0.00</c:formatCode>
                <c:ptCount val="4"/>
                <c:pt idx="0">
                  <c:v>0.51904985888993416</c:v>
                </c:pt>
                <c:pt idx="1">
                  <c:v>0.36821887739103165</c:v>
                </c:pt>
                <c:pt idx="2">
                  <c:v>0.10277516462841016</c:v>
                </c:pt>
                <c:pt idx="3">
                  <c:v>9.9560990906240199E-3</c:v>
                </c:pt>
              </c:numCache>
            </c:numRef>
          </c:val>
        </c:ser>
        <c:dLbls>
          <c:showVal val="1"/>
        </c:dLbls>
        <c:gapWidth val="75"/>
        <c:shape val="box"/>
        <c:axId val="100968704"/>
        <c:axId val="100970496"/>
        <c:axId val="0"/>
      </c:bar3DChart>
      <c:catAx>
        <c:axId val="1009687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0970496"/>
        <c:crosses val="autoZero"/>
        <c:auto val="1"/>
        <c:lblAlgn val="ctr"/>
        <c:lblOffset val="100"/>
      </c:catAx>
      <c:valAx>
        <c:axId val="100970496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0968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61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847725</xdr:colOff>
      <xdr:row>5</xdr:row>
      <xdr:rowOff>161925</xdr:rowOff>
    </xdr:from>
    <xdr:to>
      <xdr:col>11</xdr:col>
      <xdr:colOff>66675</xdr:colOff>
      <xdr:row>21</xdr:row>
      <xdr:rowOff>76200</xdr:rowOff>
    </xdr:to>
    <xdr:graphicFrame macro="">
      <xdr:nvGraphicFramePr>
        <xdr:cNvPr id="919616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90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90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119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120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11.xml"/><Relationship Id="rId13" Type="http://schemas.openxmlformats.org/officeDocument/2006/relationships/revisionLog" Target="revisionLog5.xml"/><Relationship Id="rId18" Type="http://schemas.openxmlformats.org/officeDocument/2006/relationships/revisionLog" Target="revisionLog8.xml"/><Relationship Id="rId26" Type="http://schemas.openxmlformats.org/officeDocument/2006/relationships/revisionLog" Target="revisionLog16.xml"/><Relationship Id="rId39" Type="http://schemas.openxmlformats.org/officeDocument/2006/relationships/revisionLog" Target="revisionLog12.xml"/><Relationship Id="rId3" Type="http://schemas.openxmlformats.org/officeDocument/2006/relationships/revisionLog" Target="revisionLog2.xml"/><Relationship Id="rId21" Type="http://schemas.openxmlformats.org/officeDocument/2006/relationships/revisionLog" Target="revisionLog121.xml"/><Relationship Id="rId34" Type="http://schemas.openxmlformats.org/officeDocument/2006/relationships/revisionLog" Target="revisionLog13.xml"/><Relationship Id="rId7" Type="http://schemas.openxmlformats.org/officeDocument/2006/relationships/revisionLog" Target="revisionLog111.xml"/><Relationship Id="rId12" Type="http://schemas.openxmlformats.org/officeDocument/2006/relationships/revisionLog" Target="revisionLog1211.xml"/><Relationship Id="rId17" Type="http://schemas.openxmlformats.org/officeDocument/2006/relationships/revisionLog" Target="revisionLog131.xml"/><Relationship Id="rId25" Type="http://schemas.openxmlformats.org/officeDocument/2006/relationships/revisionLog" Target="revisionLog14.xml"/><Relationship Id="rId33" Type="http://schemas.openxmlformats.org/officeDocument/2006/relationships/revisionLog" Target="revisionLog15.xml"/><Relationship Id="rId38" Type="http://schemas.openxmlformats.org/officeDocument/2006/relationships/revisionLog" Target="revisionLog17.xml"/><Relationship Id="rId2" Type="http://schemas.openxmlformats.org/officeDocument/2006/relationships/revisionLog" Target="revisionLog1111.xml"/><Relationship Id="rId16" Type="http://schemas.openxmlformats.org/officeDocument/2006/relationships/revisionLog" Target="revisionLog1311.xml"/><Relationship Id="rId20" Type="http://schemas.openxmlformats.org/officeDocument/2006/relationships/revisionLog" Target="revisionLog9.xml"/><Relationship Id="rId29" Type="http://schemas.openxmlformats.org/officeDocument/2006/relationships/revisionLog" Target="revisionLog18.xml"/><Relationship Id="rId41" Type="http://schemas.openxmlformats.org/officeDocument/2006/relationships/revisionLog" Target="revisionLog1.xml"/><Relationship Id="rId1" Type="http://schemas.openxmlformats.org/officeDocument/2006/relationships/revisionLog" Target="revisionLog11111.xml"/><Relationship Id="rId6" Type="http://schemas.openxmlformats.org/officeDocument/2006/relationships/revisionLog" Target="revisionLog3.xml"/><Relationship Id="rId11" Type="http://schemas.openxmlformats.org/officeDocument/2006/relationships/revisionLog" Target="revisionLog12111.xml"/><Relationship Id="rId24" Type="http://schemas.openxmlformats.org/officeDocument/2006/relationships/revisionLog" Target="revisionLog141.xml"/><Relationship Id="rId32" Type="http://schemas.openxmlformats.org/officeDocument/2006/relationships/revisionLog" Target="revisionLog20.xml"/><Relationship Id="rId37" Type="http://schemas.openxmlformats.org/officeDocument/2006/relationships/revisionLog" Target="revisionLog171.xml"/><Relationship Id="rId40" Type="http://schemas.openxmlformats.org/officeDocument/2006/relationships/revisionLog" Target="revisionLog19.xml"/><Relationship Id="rId5" Type="http://schemas.openxmlformats.org/officeDocument/2006/relationships/revisionLog" Target="revisionLog121111.xml"/><Relationship Id="rId15" Type="http://schemas.openxmlformats.org/officeDocument/2006/relationships/revisionLog" Target="revisionLog7.xml"/><Relationship Id="rId23" Type="http://schemas.openxmlformats.org/officeDocument/2006/relationships/revisionLog" Target="revisionLog10.xml"/><Relationship Id="rId28" Type="http://schemas.openxmlformats.org/officeDocument/2006/relationships/revisionLog" Target="revisionLog151.xml"/><Relationship Id="rId36" Type="http://schemas.openxmlformats.org/officeDocument/2006/relationships/revisionLog" Target="revisionLog1711.xml"/><Relationship Id="rId10" Type="http://schemas.openxmlformats.org/officeDocument/2006/relationships/revisionLog" Target="revisionLog13111.xml"/><Relationship Id="rId19" Type="http://schemas.openxmlformats.org/officeDocument/2006/relationships/revisionLog" Target="revisionLog1411.xml"/><Relationship Id="rId31" Type="http://schemas.openxmlformats.org/officeDocument/2006/relationships/revisionLog" Target="revisionLog191.xml"/><Relationship Id="rId4" Type="http://schemas.openxmlformats.org/officeDocument/2006/relationships/revisionLog" Target="revisionLog1211111.xml"/><Relationship Id="rId9" Type="http://schemas.openxmlformats.org/officeDocument/2006/relationships/revisionLog" Target="revisionLog4.xml"/><Relationship Id="rId14" Type="http://schemas.openxmlformats.org/officeDocument/2006/relationships/revisionLog" Target="revisionLog6.xml"/><Relationship Id="rId22" Type="http://schemas.openxmlformats.org/officeDocument/2006/relationships/revisionLog" Target="revisionLog1511.xml"/><Relationship Id="rId27" Type="http://schemas.openxmlformats.org/officeDocument/2006/relationships/revisionLog" Target="revisionLog17111.xml"/><Relationship Id="rId30" Type="http://schemas.openxmlformats.org/officeDocument/2006/relationships/revisionLog" Target="revisionLog110.xml"/><Relationship Id="rId35" Type="http://schemas.openxmlformats.org/officeDocument/2006/relationships/revisionLog" Target="revisionLog21.xml"/></Relationships>
</file>

<file path=xl/revisions/revisionHeaders.xml><?xml version="1.0" encoding="utf-8"?>
<headers xmlns="http://schemas.openxmlformats.org/spreadsheetml/2006/main" xmlns:r="http://schemas.openxmlformats.org/officeDocument/2006/relationships" guid="{A341EA49-E122-4FC6-A351-A42BEF06510C}" diskRevisions="1" revisionId="2035" version="27">
  <header guid="{D34DEFE0-0B54-40F6-8AE2-CFDA2D4079DE}" dateTime="2008-11-23T01:25:59" maxSheetId="14" userName=" 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CCC639-26F8-4FC9-B9A4-DB28051467AB}" dateTime="2008-11-23T12:35:24" maxSheetId="14" userName="Usuario" r:id="rId2" minRId="1" maxRId="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E4B170-028B-4F92-B3D6-7194132DAD54}" dateTime="2008-11-23T01:35:58" maxSheetId="14" userName=" " r:id="rId3" minRId="2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829B29-30E5-4FFF-8008-9B20F80B02D8}" dateTime="2008-11-23T01:38:19" maxSheetId="14" userName=" " r:id="rId4" minRId="212" maxRId="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57ECEE-4F69-48BB-97F4-FEC7B4D89BE0}" dateTime="2008-11-23T12:44:54" maxSheetId="14" userName="Usuario" r:id="rId5" minRId="215" maxRId="2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750EBB-FDC6-4828-B39B-7FD0FCC5910C}" dateTime="2008-11-23T01:55:57" maxSheetId="14" userName=" " r:id="rId6" minRId="233" maxRId="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9AB444-4DFC-4080-94CD-947BF1F02774}" dateTime="2008-11-23T01:57:13" maxSheetId="14" userName=" " r:id="rId7" minRId="268" maxRId="2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F36EF9-024F-47B7-A0BF-23484989A19C}" dateTime="2008-11-23T02:00:02" maxSheetId="14" userName=" " r:id="rId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44F4A5-B68B-441B-BC62-BB23C470CAB4}" dateTime="2008-11-23T02:00:57" maxSheetId="14" userName=" " r:id="rId9" minRId="292" maxRId="2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D4A2B0-869E-4CB7-9BC8-263B7AA2DF47}" dateTime="2008-11-23T02:03:49" maxSheetId="14" userName=" " r:id="rId10" minRId="299" maxRId="3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24A632-A324-4896-B84B-AC8C3259CD9E}" dateTime="2008-11-23T13:05:15" maxSheetId="14" userName="Usuario" r:id="rId11" minRId="334" maxRId="7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285C05-C932-436E-A214-EAD41CD1A6E4}" dateTime="2008-11-23T13:07:01" maxSheetId="14" userName="Usuario" r:id="rId12" minRId="722" maxRId="7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F3C76C-B4A3-4AF1-BE76-BAB9ABA25BC0}" dateTime="2008-11-23T02:11:00" maxSheetId="14" userName=" " r:id="rId13" minRId="736" maxRId="8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823379-399A-4BBE-9F6D-1FD7F5B3113C}" dateTime="2008-11-23T02:15:57" maxSheetId="14" userName=" " r:id="rId14" minRId="846" maxRId="8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F0D215-30AD-4C06-804F-2878DE44A7FB}" dateTime="2008-11-23T02:20:57" maxSheetId="14" userName=" " r:id="rId15" minRId="899" maxRId="9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3A8E88-800F-4F9C-9C8F-62EE981A31CF}" dateTime="2008-11-23T13:21:46" maxSheetId="14" userName="Usuario" r:id="rId16" minRId="982" maxRId="1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A0CDAA-4181-4825-BC19-D07E242A9F56}" dateTime="2008-11-23T13:26:05" maxSheetId="14" userName="Usuario" r:id="rId17" minRId="1140" maxRId="12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66E9E2-78FE-44BC-98C8-61AB12DD3ADD}" dateTime="2008-11-23T02:26:58" maxSheetId="14" userName=" " r:id="rId18" minRId="1203" maxRId="1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98D05F-C43B-4919-BD27-B067D9FAD0B3}" dateTime="2008-11-23T02:30:25" maxSheetId="14" userName=" " r:id="rId19" minRId="1288" maxRId="13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88F27B-D1AF-4E79-9424-0EB985C58FE0}" dateTime="2008-11-23T02:31:57" maxSheetId="14" userName=" " r:id="rId20" minRId="1354" maxRId="13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2CCA5F-9A55-4207-BBBB-FEF1AF0FFEFE}" dateTime="2008-11-23T02:33:24" maxSheetId="14" userName=" " r:id="rId21" minRId="1358" maxRId="13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43C1F2-4761-47EB-9269-FE4825792620}" dateTime="2008-11-23T13:35:40" maxSheetId="14" userName="Usuario" r:id="rId22" minRId="1384" maxRId="1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F93A7F-4768-480C-93B0-86A0316D24EE}" dateTime="2008-11-23T02:36:58" maxSheetId="14" userName=" " r:id="rId23" minRId="1431" maxRId="1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724262-C33B-417E-8EE1-9A68667CAEB5}" dateTime="2008-11-23T02:40:46" maxSheetId="14" userName=" " r:id="rId24" minRId="1437" maxRId="14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7C39DD-F6E2-49EA-A749-1E9B9C6964D1}" dateTime="2008-11-23T13:41:17" maxSheetId="14" userName="Usuario" r:id="rId25" minRId="1473" maxRId="15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AFA621-D2D9-4F53-A411-D8CCFED4A03C}" dateTime="2008-11-23T02:41:58" maxSheetId="14" userName=" " r:id="rId26" minRId="1569" maxRId="15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61321A-71B6-4737-A531-13885FF9B553}" dateTime="2008-11-23T13:43:03" maxSheetId="14" userName="Usuario" r:id="rId27" minRId="1575" maxRId="15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81CCCD-92E4-40EE-BBB9-99DAB4A969FE}" dateTime="2008-11-23T13:45:45" maxSheetId="14" userName="Usuario" r:id="rId28" minRId="1596" maxRId="16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B95DF8-B3C9-4C7E-BCC0-E42CEA49FD43}" dateTime="2008-11-23T02:46:58" maxSheetId="14" userName=" " r:id="rId29" minRId="1603" maxRId="16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7469AA-4A09-4D7F-9D4F-B4288204CA05}" dateTime="2008-11-23T13:47:57" maxSheetId="14" userName="Usuario" r:id="rId30" minRId="1657" maxRId="16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6DC387-E7F5-4E6F-A167-71285BD14D8E}" dateTime="2008-11-23T02:51:58" maxSheetId="14" userName=" " r:id="rId31" minRId="1678" maxRId="17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58A606-3E8B-4352-83BC-E2DF40ED4385}" dateTime="2008-11-23T02:56:57" maxSheetId="14" userName=" " r:id="rId32" minRId="1702" maxRId="17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D8DABC-7C3D-4FF2-8B4F-613333F2D505}" dateTime="2008-11-23T13:58:09" maxSheetId="14" userName="Usuario" r:id="rId33" minRId="1756" maxRId="1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260A6B-AFCD-4DED-A4BC-FD1E4CE6B5EE}" dateTime="2008-11-23T03:01:08" maxSheetId="14" userName=" " r:id="rId34" minRId="1819" maxRId="18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095793-7353-4A42-B5D6-DEFD257ED707}" dateTime="2008-11-23T03:06:57" maxSheetId="14" userName=" " r:id="rId35" minRId="1855" maxRId="1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6ECEF5-20B7-4359-BDE3-27A373F7093B}" dateTime="2008-11-23T03:09:03" maxSheetId="14" userName=" " r:id="rId36" minRId="1873" maxRId="18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90EA15-E993-4FB4-855D-CFEEDEACA944}" dateTime="2008-11-23T14:09:03" maxSheetId="14" userName="Usuario" r:id="rId37" minRId="1885" maxRId="19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2DD2B5-AF31-455F-AC09-1617EA9A4550}" dateTime="2008-11-23T03:10:17" maxSheetId="14" userName=" " r:id="rId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F6EF94-9CA4-4D85-A5FE-1F9E4889ACA3}" dateTime="2008-11-23T14:10:27" maxSheetId="14" userName="Usuario" r:id="rId39" minRId="1959" maxRId="2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362A6D-E40B-4DF8-A067-F3122F1033A5}" dateTime="2008-11-23T14:12:43" maxSheetId="14" userName="Usuario" r:id="rId40" minRId="2001" maxRId="20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41EA49-E122-4FC6-A351-A42BEF06510C}" dateTime="2008-11-23T03:22:18" maxSheetId="14" userName=" " r:id="rId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v guid="{43751384-8D2C-4877-853C-4CE893CAF1E6}" action="delete"/>
  <rcv guid="{43751384-8D2C-4877-853C-4CE893CAF1E6}" action="add"/>
</revisions>
</file>

<file path=xl/revisions/revisionLog2.xml><?xml version="1.0" encoding="utf-8"?>
<revisions xmlns="http://schemas.openxmlformats.org/spreadsheetml/2006/main" xmlns:r="http://schemas.openxmlformats.org/officeDocument/2006/relationships">
  <rcc rId="211" sId="5" numFmtId="4">
    <oc r="D172">
      <v>13</v>
    </oc>
    <nc r="D172">
      <v>10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233" sId="5" numFmtId="4">
    <nc r="C191">
      <v>7</v>
    </nc>
  </rcc>
  <rcc rId="234" sId="5" numFmtId="4">
    <nc r="D191">
      <v>11</v>
    </nc>
  </rcc>
  <rcc rId="235" sId="5" numFmtId="4">
    <nc r="E191">
      <v>23</v>
    </nc>
  </rcc>
  <rcc rId="236" sId="5" numFmtId="4">
    <nc r="F191">
      <v>2</v>
    </nc>
  </rcc>
  <rcc rId="237" sId="5" numFmtId="4">
    <nc r="G191">
      <v>1</v>
    </nc>
  </rcc>
  <rcc rId="238" sId="5" numFmtId="4">
    <nc r="B192">
      <v>14</v>
    </nc>
  </rcc>
  <rcc rId="239" sId="5" numFmtId="4">
    <nc r="C192">
      <v>6</v>
    </nc>
  </rcc>
  <rcc rId="240" sId="5" numFmtId="4">
    <nc r="D192">
      <v>10</v>
    </nc>
  </rcc>
  <rcc rId="241" sId="5" numFmtId="4">
    <nc r="E192">
      <v>15</v>
    </nc>
  </rcc>
  <rcc rId="242" sId="5" numFmtId="4">
    <nc r="F192">
      <v>4</v>
    </nc>
  </rcc>
  <rcc rId="243" sId="5" numFmtId="4">
    <nc r="G192">
      <v>10</v>
    </nc>
  </rcc>
  <rcc rId="244" sId="5" numFmtId="4">
    <nc r="B193">
      <v>14</v>
    </nc>
  </rcc>
  <rcc rId="245" sId="5" numFmtId="4">
    <nc r="C193">
      <v>6</v>
    </nc>
  </rcc>
  <rcc rId="246" sId="5" numFmtId="4">
    <nc r="D193">
      <v>11</v>
    </nc>
  </rcc>
  <rcc rId="247" sId="5" numFmtId="4">
    <nc r="E193">
      <v>17</v>
    </nc>
  </rcc>
  <rcc rId="248" sId="5" numFmtId="4">
    <nc r="F193">
      <v>6</v>
    </nc>
  </rcc>
  <rcc rId="249" sId="5" numFmtId="4">
    <nc r="G193">
      <v>13</v>
    </nc>
  </rcc>
  <rcc rId="250" sId="5" numFmtId="4">
    <nc r="B194">
      <v>14</v>
    </nc>
  </rcc>
  <rcc rId="251" sId="5" numFmtId="4">
    <nc r="C194">
      <v>7</v>
    </nc>
  </rcc>
  <rcc rId="252" sId="5" numFmtId="4">
    <nc r="D194">
      <v>12</v>
    </nc>
  </rcc>
  <rcc rId="253" sId="5" numFmtId="4">
    <nc r="E194">
      <v>19</v>
    </nc>
  </rcc>
  <rcc rId="254" sId="5" numFmtId="4">
    <nc r="F194">
      <v>6</v>
    </nc>
  </rcc>
  <rcc rId="255" sId="5" numFmtId="4">
    <nc r="G194">
      <v>0</v>
    </nc>
  </rcc>
  <rcc rId="256" sId="5" numFmtId="4">
    <nc r="B195">
      <v>14</v>
    </nc>
  </rcc>
  <rcc rId="257" sId="5" numFmtId="4">
    <nc r="C195">
      <v>10</v>
    </nc>
  </rcc>
  <rcc rId="258" sId="5" numFmtId="4">
    <nc r="D195">
      <v>11</v>
    </nc>
  </rcc>
  <rcc rId="259" sId="5" numFmtId="4">
    <nc r="E195">
      <v>15</v>
    </nc>
  </rcc>
  <rcc rId="260" sId="5" numFmtId="4">
    <nc r="F195">
      <v>6</v>
    </nc>
  </rcc>
  <rcc rId="261" sId="5" numFmtId="4">
    <nc r="G195">
      <v>4</v>
    </nc>
  </rcc>
  <rcc rId="262" sId="5" numFmtId="4">
    <nc r="B196">
      <v>14</v>
    </nc>
  </rcc>
  <rcc rId="263" sId="5" numFmtId="4">
    <nc r="C196">
      <v>37</v>
    </nc>
  </rcc>
  <rcc rId="264" sId="5" numFmtId="4">
    <nc r="D196">
      <v>12</v>
    </nc>
  </rcc>
  <rcc rId="265" sId="5" numFmtId="4">
    <nc r="E196">
      <v>14</v>
    </nc>
  </rcc>
  <rcc rId="266" sId="5" numFmtId="4">
    <nc r="F196">
      <v>3</v>
    </nc>
  </rcc>
  <rcc rId="267" sId="5" numFmtId="4">
    <nc r="G196">
      <v>2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292" sId="5" numFmtId="4">
    <nc r="B197">
      <v>14</v>
    </nc>
  </rcc>
  <rcc rId="293" sId="5" numFmtId="4">
    <nc r="C197">
      <v>35</v>
    </nc>
  </rcc>
  <rcc rId="294" sId="5" numFmtId="4">
    <nc r="D197">
      <v>13</v>
    </nc>
  </rcc>
  <rcc rId="295" sId="5" numFmtId="4">
    <nc r="E197">
      <v>15</v>
    </nc>
  </rcc>
  <rcc rId="296" sId="5" numFmtId="4">
    <nc r="F197">
      <v>8</v>
    </nc>
  </rcc>
  <rcc rId="297" sId="5" numFmtId="4">
    <nc r="G197">
      <v>2</v>
    </nc>
  </rcc>
  <rcc rId="298" sId="5" numFmtId="4">
    <nc r="B198">
      <v>14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736" sId="8" numFmtId="4">
    <nc r="B213">
      <v>17</v>
    </nc>
  </rcc>
  <rcc rId="737" sId="8" numFmtId="4">
    <nc r="C213">
      <v>33</v>
    </nc>
  </rcc>
  <rcc rId="738" sId="8" numFmtId="4">
    <nc r="D213">
      <v>1</v>
    </nc>
  </rcc>
  <rcc rId="739" sId="8" numFmtId="4">
    <nc r="E213">
      <v>0</v>
    </nc>
  </rcc>
  <rcc rId="740" sId="8" numFmtId="4">
    <nc r="F213">
      <v>0</v>
    </nc>
  </rcc>
  <rcc rId="741" sId="8" numFmtId="4">
    <nc r="G213">
      <v>0</v>
    </nc>
  </rcc>
  <rcc rId="742" sId="8" numFmtId="4">
    <nc r="B214">
      <v>17</v>
    </nc>
  </rcc>
  <rcc rId="743" sId="8" numFmtId="4">
    <nc r="C214">
      <v>33</v>
    </nc>
  </rcc>
  <rcc rId="744" sId="8" numFmtId="4">
    <nc r="D214">
      <v>2</v>
    </nc>
  </rcc>
  <rcc rId="745" sId="8" numFmtId="4">
    <nc r="E214">
      <v>0</v>
    </nc>
  </rcc>
  <rcc rId="746" sId="8" numFmtId="4">
    <nc r="F214">
      <v>0</v>
    </nc>
  </rcc>
  <rcc rId="747" sId="8" numFmtId="4">
    <nc r="G214">
      <v>0</v>
    </nc>
  </rcc>
  <rcc rId="748" sId="8" numFmtId="4">
    <nc r="B215">
      <v>17</v>
    </nc>
  </rcc>
  <rcc rId="749" sId="8" numFmtId="4">
    <nc r="C215">
      <v>33</v>
    </nc>
  </rcc>
  <rcc rId="750" sId="8" numFmtId="4">
    <nc r="D215">
      <v>3</v>
    </nc>
  </rcc>
  <rcc rId="751" sId="8" numFmtId="4">
    <nc r="E215">
      <v>20</v>
    </nc>
  </rcc>
  <rcc rId="752" sId="8" numFmtId="4">
    <nc r="F215">
      <v>5</v>
    </nc>
  </rcc>
  <rcc rId="753" sId="8" numFmtId="4">
    <nc r="G215">
      <v>1</v>
    </nc>
  </rcc>
  <rcc rId="754" sId="8" numFmtId="4">
    <nc r="B216">
      <v>17</v>
    </nc>
  </rcc>
  <rcc rId="755" sId="8" numFmtId="4">
    <nc r="C216">
      <v>33</v>
    </nc>
  </rcc>
  <rcc rId="756" sId="8" numFmtId="4">
    <nc r="D216">
      <v>4</v>
    </nc>
  </rcc>
  <rcc rId="757" sId="8" numFmtId="4">
    <nc r="E216">
      <v>12</v>
    </nc>
  </rcc>
  <rcc rId="758" sId="8" numFmtId="4">
    <nc r="F216">
      <v>3</v>
    </nc>
  </rcc>
  <rcc rId="759" sId="8" numFmtId="4">
    <nc r="G216">
      <v>0</v>
    </nc>
  </rcc>
  <rcc rId="760" sId="8" numFmtId="4">
    <nc r="B217">
      <v>17</v>
    </nc>
  </rcc>
  <rcc rId="761" sId="8" numFmtId="4">
    <nc r="C217">
      <v>33</v>
    </nc>
  </rcc>
  <rcc rId="762" sId="8" numFmtId="4">
    <nc r="D217">
      <v>5</v>
    </nc>
  </rcc>
  <rcc rId="763" sId="8" numFmtId="4">
    <nc r="E217">
      <v>25</v>
    </nc>
  </rcc>
  <rcc rId="764" sId="8" numFmtId="4">
    <nc r="F217">
      <v>0</v>
    </nc>
  </rcc>
  <rcc rId="765" sId="8" numFmtId="4">
    <nc r="G217">
      <v>1</v>
    </nc>
  </rcc>
  <rcc rId="766" sId="8" numFmtId="4">
    <nc r="B218">
      <v>17</v>
    </nc>
  </rcc>
  <rcc rId="767" sId="8" numFmtId="4">
    <nc r="C218">
      <v>33</v>
    </nc>
  </rcc>
  <rcc rId="768" sId="8" numFmtId="4">
    <nc r="D218">
      <v>6</v>
    </nc>
  </rcc>
  <rcc rId="769" sId="8" numFmtId="4">
    <nc r="E218">
      <v>12</v>
    </nc>
  </rcc>
  <rcc rId="770" sId="8" numFmtId="4">
    <nc r="F218">
      <v>8</v>
    </nc>
  </rcc>
  <rcc rId="771" sId="8" numFmtId="4">
    <nc r="G218">
      <v>2</v>
    </nc>
  </rcc>
  <rcc rId="772" sId="8" numFmtId="4">
    <nc r="B219">
      <v>17</v>
    </nc>
  </rcc>
  <rcc rId="773" sId="8" numFmtId="4">
    <nc r="C219">
      <v>33</v>
    </nc>
  </rcc>
  <rcc rId="774" sId="8" numFmtId="4">
    <nc r="D219">
      <v>7</v>
    </nc>
  </rcc>
  <rcc rId="775" sId="8" numFmtId="4">
    <nc r="E219">
      <v>8</v>
    </nc>
  </rcc>
  <rcc rId="776" sId="8" numFmtId="4">
    <nc r="F219">
      <v>3</v>
    </nc>
  </rcc>
  <rcc rId="777" sId="8" numFmtId="4">
    <nc r="G219">
      <v>0</v>
    </nc>
  </rcc>
  <rcc rId="778" sId="8" numFmtId="4">
    <nc r="B220">
      <v>17</v>
    </nc>
  </rcc>
  <rcc rId="779" sId="8" numFmtId="4">
    <nc r="C220">
      <v>33</v>
    </nc>
  </rcc>
  <rcc rId="780" sId="8" numFmtId="4">
    <nc r="D220">
      <v>9</v>
    </nc>
  </rcc>
  <rcc rId="781" sId="8" numFmtId="4">
    <nc r="E220">
      <v>18</v>
    </nc>
  </rcc>
  <rcc rId="782" sId="8" numFmtId="4">
    <nc r="F220">
      <v>12</v>
    </nc>
  </rcc>
  <rcc rId="783" sId="8" numFmtId="4">
    <nc r="G220">
      <v>1</v>
    </nc>
  </rcc>
  <rcc rId="784" sId="8" numFmtId="4">
    <nc r="B221">
      <v>17</v>
    </nc>
  </rcc>
  <rcc rId="785" sId="8" numFmtId="4">
    <nc r="C221">
      <v>33</v>
    </nc>
  </rcc>
  <rcc rId="786" sId="8" numFmtId="4">
    <nc r="D221">
      <v>8</v>
    </nc>
  </rcc>
  <rcc rId="787" sId="8" numFmtId="4">
    <nc r="E221">
      <v>14</v>
    </nc>
  </rcc>
  <rcc rId="788" sId="8" numFmtId="4">
    <nc r="F221">
      <v>7</v>
    </nc>
  </rcc>
  <rcc rId="789" sId="8" numFmtId="4">
    <nc r="G221">
      <v>3</v>
    </nc>
  </rcc>
  <rcc rId="790" sId="8" numFmtId="4">
    <nc r="B222">
      <v>17</v>
    </nc>
  </rcc>
  <rcc rId="791" sId="8" numFmtId="4">
    <nc r="C222">
      <v>33</v>
    </nc>
  </rcc>
  <rcc rId="792" sId="8" numFmtId="4">
    <nc r="D222">
      <v>10</v>
    </nc>
  </rcc>
  <rcc rId="793" sId="8" numFmtId="4">
    <nc r="E222">
      <v>7</v>
    </nc>
  </rcc>
  <rcc rId="794" sId="8" numFmtId="4">
    <nc r="F222">
      <v>2</v>
    </nc>
  </rcc>
  <rcc rId="795" sId="8" numFmtId="4">
    <nc r="G222">
      <v>0</v>
    </nc>
  </rcc>
  <rcc rId="796" sId="8" numFmtId="4">
    <nc r="B223">
      <v>17</v>
    </nc>
  </rcc>
  <rcc rId="797" sId="8" numFmtId="4">
    <nc r="C223">
      <v>33</v>
    </nc>
  </rcc>
  <rcc rId="798" sId="8" numFmtId="4">
    <nc r="D223">
      <v>11</v>
    </nc>
  </rcc>
  <rcc rId="799" sId="8" numFmtId="4">
    <nc r="E223">
      <v>9</v>
    </nc>
  </rcc>
  <rcc rId="800" sId="8" numFmtId="4">
    <nc r="F223">
      <v>12</v>
    </nc>
  </rcc>
  <rcc rId="801" sId="8" numFmtId="4">
    <nc r="G223">
      <v>2</v>
    </nc>
  </rcc>
  <rcc rId="802" sId="8" numFmtId="4">
    <nc r="B224">
      <v>17</v>
    </nc>
  </rcc>
  <rcc rId="803" sId="8" numFmtId="4">
    <nc r="C224">
      <v>33</v>
    </nc>
  </rcc>
  <rcc rId="804" sId="8" numFmtId="4">
    <nc r="D224">
      <v>12</v>
    </nc>
  </rcc>
  <rcc rId="805" sId="8" numFmtId="4">
    <nc r="E224">
      <v>8</v>
    </nc>
  </rcc>
  <rcc rId="806" sId="8" numFmtId="4">
    <nc r="F224">
      <v>3</v>
    </nc>
  </rcc>
  <rcc rId="807" sId="8" numFmtId="4">
    <nc r="G224">
      <v>0</v>
    </nc>
  </rcc>
  <rcc rId="808" sId="8" numFmtId="4">
    <nc r="B225">
      <v>17</v>
    </nc>
  </rcc>
  <rcc rId="809" sId="8" numFmtId="4">
    <nc r="C225">
      <v>44</v>
    </nc>
  </rcc>
  <rcc rId="810" sId="8" numFmtId="4">
    <nc r="D225">
      <v>12</v>
    </nc>
  </rcc>
  <rcc rId="811" sId="8" numFmtId="4">
    <nc r="E225">
      <v>10</v>
    </nc>
  </rcc>
  <rcc rId="812" sId="8" numFmtId="4">
    <nc r="F225">
      <v>2</v>
    </nc>
  </rcc>
  <rcc rId="813" sId="8" numFmtId="4">
    <nc r="G225">
      <v>0</v>
    </nc>
  </rcc>
  <rcc rId="814" sId="8" numFmtId="4">
    <nc r="B226">
      <v>17</v>
    </nc>
  </rcc>
  <rcc rId="815" sId="8" numFmtId="4">
    <nc r="C226">
      <v>44</v>
    </nc>
  </rcc>
  <rcc rId="816" sId="8" numFmtId="4">
    <nc r="D226">
      <v>13</v>
    </nc>
  </rcc>
  <rcc rId="817" sId="8" numFmtId="4">
    <nc r="E226">
      <v>8</v>
    </nc>
  </rcc>
  <rcc rId="818" sId="8" numFmtId="4">
    <nc r="F226">
      <v>2</v>
    </nc>
  </rcc>
  <rcc rId="819" sId="8" numFmtId="4">
    <nc r="G226">
      <v>1</v>
    </nc>
  </rcc>
  <rcc rId="820" sId="8" numFmtId="4">
    <nc r="B227">
      <v>17</v>
    </nc>
  </rcc>
  <rcc rId="821" sId="8" numFmtId="4">
    <nc r="C227">
      <v>44</v>
    </nc>
  </rcc>
  <rcc rId="822" sId="8" numFmtId="4">
    <nc r="D227">
      <v>10</v>
    </nc>
  </rcc>
  <rcc rId="823" sId="8" numFmtId="4">
    <nc r="E227">
      <v>13</v>
    </nc>
  </rcc>
  <rcc rId="824" sId="8" numFmtId="4">
    <nc r="F227">
      <v>4</v>
    </nc>
  </rcc>
  <rcc rId="825" sId="8" numFmtId="4">
    <nc r="G227">
      <v>1</v>
    </nc>
  </rcc>
  <rcc rId="826" sId="8" numFmtId="4">
    <nc r="B228">
      <v>17</v>
    </nc>
  </rcc>
  <rcc rId="827" sId="8" numFmtId="4">
    <nc r="C228">
      <v>44</v>
    </nc>
  </rcc>
  <rcc rId="828" sId="8" numFmtId="4">
    <nc r="D228">
      <v>11</v>
    </nc>
  </rcc>
  <rcc rId="829" sId="8" numFmtId="4">
    <nc r="E228">
      <v>19</v>
    </nc>
  </rcc>
  <rcc rId="830" sId="8" numFmtId="4">
    <nc r="F228">
      <v>8</v>
    </nc>
  </rcc>
  <rcc rId="831" sId="8" numFmtId="4">
    <nc r="G228">
      <v>2</v>
    </nc>
  </rcc>
  <rcc rId="832" sId="8" numFmtId="4">
    <nc r="B229">
      <v>17</v>
    </nc>
  </rcc>
  <rcc rId="833" sId="8" numFmtId="4">
    <nc r="C229">
      <v>44</v>
    </nc>
  </rcc>
  <rcc rId="834" sId="8" numFmtId="4">
    <nc r="D229">
      <v>8</v>
    </nc>
  </rcc>
  <rcc rId="835" sId="8" numFmtId="4">
    <nc r="E229">
      <v>21</v>
    </nc>
  </rcc>
  <rcc rId="836" sId="8" numFmtId="4">
    <nc r="F229">
      <v>3</v>
    </nc>
  </rcc>
  <rcc rId="837" sId="8" numFmtId="4">
    <nc r="G229">
      <v>0</v>
    </nc>
  </rcc>
  <rcc rId="838" sId="8" numFmtId="4">
    <nc r="B230">
      <v>17</v>
    </nc>
  </rcc>
  <rcc rId="839" sId="8" numFmtId="4">
    <nc r="C230">
      <v>44</v>
    </nc>
  </rcc>
  <rcc rId="840" sId="8" numFmtId="4">
    <nc r="D230">
      <v>9</v>
    </nc>
  </rcc>
  <rcc rId="841" sId="8" numFmtId="4">
    <nc r="E230">
      <v>15</v>
    </nc>
  </rcc>
  <rcc rId="842" sId="8" numFmtId="4">
    <nc r="F230">
      <v>6</v>
    </nc>
  </rcc>
  <rcc rId="843" sId="8" numFmtId="4">
    <nc r="G230">
      <v>3</v>
    </nc>
  </rcc>
  <rcc rId="844" sId="8" numFmtId="4">
    <nc r="B231">
      <v>17</v>
    </nc>
  </rcc>
  <rcc rId="845" sId="8" numFmtId="4">
    <nc r="C231">
      <v>44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846" sId="5" numFmtId="4">
    <nc r="B204">
      <v>14</v>
    </nc>
  </rcc>
  <rcc rId="847" sId="5" numFmtId="4">
    <nc r="C204">
      <v>37</v>
    </nc>
  </rcc>
  <rcc rId="848" sId="5" numFmtId="4">
    <nc r="D204">
      <v>13</v>
    </nc>
  </rcc>
  <rcc rId="849" sId="5" numFmtId="4">
    <nc r="E204">
      <v>19</v>
    </nc>
  </rcc>
  <rcc rId="850" sId="5" numFmtId="4">
    <nc r="F204">
      <v>2</v>
    </nc>
  </rcc>
  <rcc rId="851" sId="5" numFmtId="4">
    <nc r="G204">
      <v>4</v>
    </nc>
  </rcc>
  <rcc rId="852" sId="5" numFmtId="4">
    <nc r="B205">
      <v>14</v>
    </nc>
  </rcc>
  <rcc rId="853" sId="5" numFmtId="4">
    <nc r="C205">
      <v>7</v>
    </nc>
  </rcc>
  <rcc rId="854" sId="5" numFmtId="4">
    <nc r="D205">
      <v>13</v>
    </nc>
  </rcc>
  <rcc rId="855" sId="5" numFmtId="4">
    <nc r="E205">
      <v>18</v>
    </nc>
  </rcc>
  <rcc rId="856" sId="5" numFmtId="4">
    <nc r="F205">
      <v>0</v>
    </nc>
  </rcc>
  <rcc rId="857" sId="5" numFmtId="4">
    <nc r="G205">
      <v>5</v>
    </nc>
  </rcc>
  <rcc rId="858" sId="5" numFmtId="4">
    <nc r="B206">
      <v>14</v>
    </nc>
  </rcc>
  <rcc rId="859" sId="5" numFmtId="4">
    <nc r="C206">
      <v>9</v>
    </nc>
  </rcc>
  <rcc rId="860" sId="5" numFmtId="4">
    <nc r="D206">
      <v>12</v>
    </nc>
  </rcc>
  <rcc rId="861" sId="5" numFmtId="4">
    <nc r="E206">
      <v>14</v>
    </nc>
  </rcc>
  <rcc rId="862" sId="5" numFmtId="4">
    <nc r="F206">
      <v>7</v>
    </nc>
  </rcc>
  <rcc rId="863" sId="5" numFmtId="4">
    <nc r="G206">
      <v>4</v>
    </nc>
  </rcc>
  <rcc rId="864" sId="5" numFmtId="4">
    <nc r="B207">
      <v>14</v>
    </nc>
  </rcc>
  <rcc rId="865" sId="5" numFmtId="4">
    <nc r="C207">
      <v>9</v>
    </nc>
  </rcc>
  <rcc rId="866" sId="5" numFmtId="4">
    <nc r="D207">
      <v>13</v>
    </nc>
  </rcc>
  <rcc rId="867" sId="5" numFmtId="4">
    <nc r="E207">
      <v>8</v>
    </nc>
  </rcc>
  <rcc rId="868" sId="5" numFmtId="4">
    <nc r="F207">
      <v>14</v>
    </nc>
  </rcc>
  <rcc rId="869" sId="5" numFmtId="4">
    <nc r="G207">
      <v>3</v>
    </nc>
  </rcc>
  <rcc rId="870" sId="5" numFmtId="4">
    <nc r="B208">
      <v>14</v>
    </nc>
  </rcc>
  <rcc rId="871" sId="5" numFmtId="4">
    <nc r="C208">
      <v>5</v>
    </nc>
  </rcc>
  <rcc rId="872" sId="5" numFmtId="4">
    <nc r="D208">
      <v>13</v>
    </nc>
  </rcc>
  <rcc rId="873" sId="5" numFmtId="4">
    <nc r="E208">
      <v>17</v>
    </nc>
  </rcc>
  <rcc rId="874" sId="5" numFmtId="4">
    <nc r="F208">
      <v>4</v>
    </nc>
  </rcc>
  <rcc rId="875" sId="5" numFmtId="4">
    <nc r="G208">
      <v>2</v>
    </nc>
  </rcc>
  <rcc rId="876" sId="5" numFmtId="4">
    <nc r="B209">
      <v>14</v>
    </nc>
  </rcc>
  <rcc rId="877" sId="5" numFmtId="4">
    <nc r="C209">
      <v>5</v>
    </nc>
  </rcc>
  <rcc rId="878" sId="5" numFmtId="4">
    <nc r="D209">
      <v>12</v>
    </nc>
  </rcc>
  <rcc rId="879" sId="5" numFmtId="4">
    <nc r="E209">
      <v>19</v>
    </nc>
  </rcc>
  <rcc rId="880" sId="5" numFmtId="4">
    <nc r="F209">
      <v>4</v>
    </nc>
  </rcc>
  <rcc rId="881" sId="5" numFmtId="4">
    <nc r="G209">
      <v>2</v>
    </nc>
  </rcc>
  <rcc rId="882" sId="5" numFmtId="4">
    <nc r="B210">
      <v>14</v>
    </nc>
  </rcc>
  <rcc rId="883" sId="5" numFmtId="4">
    <nc r="C210">
      <v>5</v>
    </nc>
  </rcc>
  <rcc rId="884" sId="5" numFmtId="4">
    <nc r="D210">
      <v>11</v>
    </nc>
  </rcc>
  <rcc rId="885" sId="5" numFmtId="4">
    <nc r="E210">
      <v>23</v>
    </nc>
  </rcc>
  <rcc rId="886" sId="5" numFmtId="4">
    <nc r="F210">
      <v>2</v>
    </nc>
  </rcc>
  <rcc rId="887" sId="5" numFmtId="4">
    <nc r="G210">
      <v>5</v>
    </nc>
  </rcc>
  <rcc rId="888" sId="5" numFmtId="4">
    <nc r="B211">
      <v>14</v>
    </nc>
  </rcc>
  <rcc rId="889" sId="5" numFmtId="4">
    <nc r="C211">
      <v>5</v>
    </nc>
  </rcc>
  <rcc rId="890" sId="5" numFmtId="4">
    <nc r="D211">
      <v>10</v>
    </nc>
  </rcc>
  <rcc rId="891" sId="5" numFmtId="4">
    <nc r="E211">
      <v>22</v>
    </nc>
  </rcc>
  <rcc rId="892" sId="5" numFmtId="4">
    <nc r="F211">
      <v>0</v>
    </nc>
  </rcc>
  <rcc rId="893" sId="5" numFmtId="4">
    <nc r="G211">
      <v>3</v>
    </nc>
  </rcc>
  <rcc rId="894" sId="8" numFmtId="4">
    <oc r="C231">
      <v>44</v>
    </oc>
    <nc r="C231">
      <v>37</v>
    </nc>
  </rcc>
  <rcc rId="895" sId="8" numFmtId="4">
    <nc r="D231">
      <v>10</v>
    </nc>
  </rcc>
  <rcc rId="896" sId="8" numFmtId="4">
    <nc r="E231">
      <v>18</v>
    </nc>
  </rcc>
  <rcc rId="897" sId="8" numFmtId="4">
    <nc r="F231">
      <v>12</v>
    </nc>
  </rcc>
  <rcc rId="898" sId="8" numFmtId="4">
    <nc r="G231">
      <v>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899" sId="8" numFmtId="4">
    <nc r="B232">
      <v>17</v>
    </nc>
  </rcc>
  <rcc rId="900" sId="8" numFmtId="4">
    <nc r="C232">
      <v>47</v>
    </nc>
  </rcc>
  <rcc rId="901" sId="8" numFmtId="4">
    <nc r="D232">
      <v>6</v>
    </nc>
  </rcc>
  <rcc rId="902" sId="8" numFmtId="4">
    <nc r="E232">
      <v>16</v>
    </nc>
  </rcc>
  <rcc rId="903" sId="8" numFmtId="4">
    <nc r="F232">
      <v>9</v>
    </nc>
  </rcc>
  <rcc rId="904" sId="8" numFmtId="4">
    <nc r="G232">
      <v>0</v>
    </nc>
  </rcc>
  <rcc rId="905" sId="8" numFmtId="4">
    <nc r="B233">
      <v>17</v>
    </nc>
  </rcc>
  <rcc rId="906" sId="8" numFmtId="4">
    <nc r="C233">
      <v>47</v>
    </nc>
  </rcc>
  <rcc rId="907" sId="8" numFmtId="4">
    <nc r="D233">
      <v>4</v>
    </nc>
  </rcc>
  <rcc rId="908" sId="8" numFmtId="4">
    <nc r="E233">
      <v>15</v>
    </nc>
  </rcc>
  <rcc rId="909" sId="8" numFmtId="4">
    <nc r="F233">
      <v>5</v>
    </nc>
  </rcc>
  <rcc rId="910" sId="8" numFmtId="4">
    <nc r="G233">
      <v>0</v>
    </nc>
  </rcc>
  <rcc rId="911" sId="8" numFmtId="4">
    <nc r="B234">
      <v>17</v>
    </nc>
  </rcc>
  <rcc rId="912" sId="8" numFmtId="4">
    <nc r="C234">
      <v>47</v>
    </nc>
  </rcc>
  <rcc rId="913" sId="8" numFmtId="4">
    <nc r="D234">
      <v>7</v>
    </nc>
  </rcc>
  <rcc rId="914" sId="8" numFmtId="4">
    <nc r="E234">
      <v>15</v>
    </nc>
  </rcc>
  <rcc rId="915" sId="8" numFmtId="4">
    <nc r="F234">
      <v>7</v>
    </nc>
  </rcc>
  <rcc rId="916" sId="8" numFmtId="4">
    <nc r="G234">
      <v>0</v>
    </nc>
  </rcc>
  <rcc rId="917" sId="8" numFmtId="4">
    <nc r="B235">
      <v>17</v>
    </nc>
  </rcc>
  <rcc rId="918" sId="8" numFmtId="4">
    <nc r="C235">
      <v>47</v>
    </nc>
  </rcc>
  <rcc rId="919" sId="8" numFmtId="4">
    <nc r="D235">
      <v>8</v>
    </nc>
  </rcc>
  <rcc rId="920" sId="8" numFmtId="4">
    <nc r="E235">
      <v>25</v>
    </nc>
  </rcc>
  <rcc rId="921" sId="8" numFmtId="4">
    <nc r="F235">
      <v>13</v>
    </nc>
  </rcc>
  <rcc rId="922" sId="8" numFmtId="4">
    <nc r="G235">
      <v>0</v>
    </nc>
  </rcc>
  <rcc rId="923" sId="8" numFmtId="4">
    <nc r="B236">
      <v>17</v>
    </nc>
  </rcc>
  <rcc rId="924" sId="8" numFmtId="4">
    <nc r="C236">
      <v>47</v>
    </nc>
  </rcc>
  <rcc rId="925" sId="8" numFmtId="4">
    <nc r="D236">
      <v>3</v>
    </nc>
  </rcc>
  <rcc rId="926" sId="8" numFmtId="4">
    <nc r="E236">
      <v>20</v>
    </nc>
  </rcc>
  <rcc rId="927" sId="8" numFmtId="4">
    <nc r="F236">
      <v>5</v>
    </nc>
  </rcc>
  <rcc rId="928" sId="8" numFmtId="4">
    <nc r="G236">
      <v>0</v>
    </nc>
  </rcc>
  <rcc rId="929" sId="8" numFmtId="4">
    <nc r="B237">
      <v>17</v>
    </nc>
  </rcc>
  <rcc rId="930" sId="8" numFmtId="4">
    <nc r="C237">
      <v>47</v>
    </nc>
  </rcc>
  <rcc rId="931" sId="8" numFmtId="4">
    <nc r="D237">
      <v>10</v>
    </nc>
  </rcc>
  <rcc rId="932" sId="8" numFmtId="4">
    <nc r="E237">
      <v>14</v>
    </nc>
  </rcc>
  <rcc rId="933" sId="8" numFmtId="4">
    <nc r="F237">
      <v>15</v>
    </nc>
  </rcc>
  <rcc rId="934" sId="8" numFmtId="4">
    <nc r="G237">
      <v>2</v>
    </nc>
  </rcc>
  <rcc rId="935" sId="8" numFmtId="4">
    <nc r="B238">
      <v>17</v>
    </nc>
  </rcc>
  <rcc rId="936" sId="8" numFmtId="4">
    <nc r="C238">
      <v>47</v>
    </nc>
  </rcc>
  <rcc rId="937" sId="8" numFmtId="4">
    <nc r="D238">
      <v>9</v>
    </nc>
  </rcc>
  <rcc rId="938" sId="8" numFmtId="4">
    <nc r="E238">
      <v>17</v>
    </nc>
  </rcc>
  <rcc rId="939" sId="8" numFmtId="4">
    <nc r="F238">
      <v>9</v>
    </nc>
  </rcc>
  <rcc rId="940" sId="8" numFmtId="4">
    <nc r="G238">
      <v>0</v>
    </nc>
  </rcc>
  <rcc rId="941" sId="8" numFmtId="4">
    <nc r="B239">
      <v>17</v>
    </nc>
  </rcc>
  <rcc rId="942" sId="8" numFmtId="4">
    <nc r="C239">
      <v>47</v>
    </nc>
  </rcc>
  <rcc rId="943" sId="8" numFmtId="4">
    <nc r="D239">
      <v>11</v>
    </nc>
  </rcc>
  <rcc rId="944" sId="8" numFmtId="4">
    <nc r="E239">
      <v>18</v>
    </nc>
  </rcc>
  <rcc rId="945" sId="8" numFmtId="4">
    <nc r="F239">
      <v>12</v>
    </nc>
  </rcc>
  <rcc rId="946" sId="8" numFmtId="4">
    <nc r="G239">
      <v>1</v>
    </nc>
  </rcc>
  <rcc rId="947" sId="8" numFmtId="4">
    <nc r="B240">
      <v>17</v>
    </nc>
  </rcc>
  <rcc rId="948" sId="8" numFmtId="4">
    <nc r="C240">
      <v>47</v>
    </nc>
  </rcc>
  <rcc rId="949" sId="8" numFmtId="4">
    <nc r="D240">
      <v>2</v>
    </nc>
  </rcc>
  <rcc rId="950" sId="8" numFmtId="4">
    <nc r="E240">
      <v>20</v>
    </nc>
  </rcc>
  <rcc rId="951" sId="8" numFmtId="4">
    <nc r="F240">
      <v>10</v>
    </nc>
  </rcc>
  <rcc rId="952" sId="8" numFmtId="4">
    <nc r="G240">
      <v>0</v>
    </nc>
  </rcc>
  <rcc rId="953" sId="8" numFmtId="4">
    <nc r="B241">
      <v>17</v>
    </nc>
  </rcc>
  <rcc rId="954" sId="8" numFmtId="4">
    <nc r="C241">
      <v>47</v>
    </nc>
  </rcc>
  <rcc rId="955" sId="8" numFmtId="4">
    <nc r="D241">
      <v>1</v>
    </nc>
  </rcc>
  <rcc rId="956" sId="8" numFmtId="4">
    <nc r="E241">
      <v>25</v>
    </nc>
  </rcc>
  <rcc rId="957" sId="8" numFmtId="4">
    <nc r="F241">
      <v>0</v>
    </nc>
  </rcc>
  <rcc rId="958" sId="8" numFmtId="4">
    <nc r="G241">
      <v>0</v>
    </nc>
  </rcc>
  <rcc rId="959" sId="8" numFmtId="4">
    <nc r="B242">
      <v>17</v>
    </nc>
  </rcc>
  <rcc rId="960" sId="8" numFmtId="4">
    <nc r="C242">
      <v>49</v>
    </nc>
  </rcc>
  <rcc rId="961" sId="8" numFmtId="4">
    <nc r="D242">
      <v>8</v>
    </nc>
  </rcc>
  <rcc rId="962" sId="8" numFmtId="4">
    <nc r="E242">
      <v>14</v>
    </nc>
  </rcc>
  <rcc rId="963" sId="8" numFmtId="4">
    <nc r="F242">
      <v>11</v>
    </nc>
  </rcc>
  <rcc rId="964" sId="8" numFmtId="4">
    <nc r="G242">
      <v>10</v>
    </nc>
  </rcc>
  <rcc rId="965" sId="8" numFmtId="4">
    <nc r="B243">
      <v>17</v>
    </nc>
  </rcc>
  <rcc rId="966" sId="8" numFmtId="4">
    <nc r="C243">
      <v>49</v>
    </nc>
  </rcc>
  <rcc rId="967" sId="8" numFmtId="4">
    <nc r="D243">
      <v>9</v>
    </nc>
  </rcc>
  <rcc rId="968" sId="8" numFmtId="4">
    <nc r="E243">
      <v>15</v>
    </nc>
  </rcc>
  <rcc rId="969" sId="8" numFmtId="4">
    <nc r="F243">
      <v>10</v>
    </nc>
  </rcc>
  <rcc rId="970" sId="8" numFmtId="4">
    <nc r="G243">
      <v>0</v>
    </nc>
  </rcc>
  <rcc rId="971" sId="8" numFmtId="4">
    <nc r="B244">
      <v>17</v>
    </nc>
  </rcc>
  <rcc rId="972" sId="8" numFmtId="4">
    <nc r="C244">
      <v>49</v>
    </nc>
  </rcc>
  <rcc rId="973" sId="8" numFmtId="4">
    <nc r="D244">
      <v>10</v>
    </nc>
  </rcc>
  <rcc rId="974" sId="8" numFmtId="4">
    <nc r="E244">
      <v>20</v>
    </nc>
  </rcc>
  <rcc rId="975" sId="8" numFmtId="4">
    <nc r="F244">
      <v>5</v>
    </nc>
  </rcc>
  <rcc rId="976" sId="8" numFmtId="4">
    <nc r="G244">
      <v>11</v>
    </nc>
  </rcc>
  <rcc rId="977" sId="8" numFmtId="4">
    <nc r="B245">
      <v>17</v>
    </nc>
  </rcc>
  <rcc rId="978" sId="8" numFmtId="4">
    <nc r="C245">
      <v>49</v>
    </nc>
  </rcc>
  <rcc rId="979" sId="8" numFmtId="4">
    <nc r="D245">
      <v>7</v>
    </nc>
  </rcc>
  <rcc rId="980" sId="8" numFmtId="4">
    <nc r="E245">
      <v>10</v>
    </nc>
  </rcc>
  <rcc rId="981" sId="8" numFmtId="4">
    <nc r="F245">
      <v>10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203" sId="8" numFmtId="4">
    <nc r="G245">
      <v>5</v>
    </nc>
  </rcc>
  <rcc rId="1204" sId="8" numFmtId="4">
    <nc r="B246">
      <v>17</v>
    </nc>
  </rcc>
  <rcc rId="1205" sId="8" numFmtId="4">
    <nc r="C246">
      <v>49</v>
    </nc>
  </rcc>
  <rcc rId="1206" sId="8" numFmtId="4">
    <nc r="D246">
      <v>6</v>
    </nc>
  </rcc>
  <rcc rId="1207" sId="8" numFmtId="4">
    <nc r="E246">
      <v>15</v>
    </nc>
  </rcc>
  <rcc rId="1208" sId="8" numFmtId="4">
    <nc r="F246">
      <v>10</v>
    </nc>
  </rcc>
  <rcc rId="1209" sId="8" numFmtId="4">
    <nc r="G246">
      <v>0</v>
    </nc>
  </rcc>
  <rcc rId="1210" sId="8" numFmtId="4">
    <nc r="B247">
      <v>17</v>
    </nc>
  </rcc>
  <rcc rId="1211" sId="8" numFmtId="4">
    <nc r="C247">
      <v>49</v>
    </nc>
  </rcc>
  <rcc rId="1212" sId="8" numFmtId="4">
    <nc r="D247">
      <v>5</v>
    </nc>
  </rcc>
  <rcc rId="1213" sId="8" numFmtId="4">
    <nc r="E247">
      <v>12</v>
    </nc>
  </rcc>
  <rcc rId="1214" sId="8" numFmtId="4">
    <nc r="F247">
      <v>9</v>
    </nc>
  </rcc>
  <rcc rId="1215" sId="8" numFmtId="4">
    <nc r="G247">
      <v>4</v>
    </nc>
  </rcc>
  <rcc rId="1216" sId="8" numFmtId="4">
    <nc r="B248">
      <v>17</v>
    </nc>
  </rcc>
  <rcc rId="1217" sId="8" numFmtId="4">
    <nc r="C248">
      <v>49</v>
    </nc>
  </rcc>
  <rcc rId="1218" sId="8" numFmtId="4">
    <nc r="D248">
      <v>4</v>
    </nc>
  </rcc>
  <rcc rId="1219" sId="8" numFmtId="4">
    <nc r="E248">
      <v>17</v>
    </nc>
  </rcc>
  <rcc rId="1220" sId="8" numFmtId="4">
    <nc r="F248">
      <v>8</v>
    </nc>
  </rcc>
  <rcc rId="1221" sId="8" numFmtId="4">
    <nc r="G248">
      <v>0</v>
    </nc>
  </rcc>
  <rcc rId="1222" sId="8" numFmtId="4">
    <nc r="B249">
      <v>17</v>
    </nc>
  </rcc>
  <rcc rId="1223" sId="8" numFmtId="4">
    <nc r="C249">
      <v>49</v>
    </nc>
  </rcc>
  <rcc rId="1224" sId="8" numFmtId="4">
    <nc r="D249">
      <v>3</v>
    </nc>
  </rcc>
  <rcc rId="1225" sId="8" numFmtId="4">
    <nc r="E249">
      <v>20</v>
    </nc>
  </rcc>
  <rcc rId="1226" sId="8" numFmtId="4">
    <nc r="F249">
      <v>5</v>
    </nc>
  </rcc>
  <rcc rId="1227" sId="8" numFmtId="4">
    <nc r="G249">
      <v>0</v>
    </nc>
  </rcc>
  <rcc rId="1228" sId="8" numFmtId="4">
    <nc r="B250">
      <v>17</v>
    </nc>
  </rcc>
  <rcc rId="1229" sId="8" numFmtId="4">
    <nc r="C250">
      <v>49</v>
    </nc>
  </rcc>
  <rcc rId="1230" sId="8" numFmtId="4">
    <nc r="D250">
      <v>2</v>
    </nc>
  </rcc>
  <rcc rId="1231" sId="8" numFmtId="4">
    <nc r="E250">
      <v>15</v>
    </nc>
  </rcc>
  <rcc rId="1232" sId="8" numFmtId="4">
    <nc r="F250">
      <v>10</v>
    </nc>
  </rcc>
  <rcc rId="1233" sId="8" numFmtId="4">
    <nc r="G250">
      <v>0</v>
    </nc>
  </rcc>
  <rcc rId="1234" sId="8" numFmtId="4">
    <nc r="B251">
      <v>17</v>
    </nc>
  </rcc>
  <rcc rId="1235" sId="8" numFmtId="4">
    <nc r="C251">
      <v>49</v>
    </nc>
  </rcc>
  <rcc rId="1236" sId="8" numFmtId="4">
    <nc r="D251">
      <v>1</v>
    </nc>
  </rcc>
  <rcc rId="1237" sId="8" numFmtId="4">
    <nc r="E251">
      <v>18</v>
    </nc>
  </rcc>
  <rcc rId="1238" sId="8" numFmtId="4">
    <nc r="F251">
      <v>7</v>
    </nc>
  </rcc>
  <rcc rId="1239" sId="8" numFmtId="4">
    <nc r="G251">
      <v>0</v>
    </nc>
  </rcc>
  <rcc rId="1240" sId="8" numFmtId="4">
    <nc r="B252">
      <v>17</v>
    </nc>
  </rcc>
  <rcc rId="1241" sId="8" numFmtId="4">
    <nc r="C252">
      <v>49</v>
    </nc>
  </rcc>
  <rcc rId="1242" sId="8" numFmtId="4">
    <nc r="D252">
      <v>13</v>
    </nc>
  </rcc>
  <rcc rId="1243" sId="8" numFmtId="4">
    <nc r="E252">
      <v>15</v>
    </nc>
  </rcc>
  <rcc rId="1244" sId="8" numFmtId="4">
    <nc r="F252">
      <v>10</v>
    </nc>
  </rcc>
  <rcc rId="1245" sId="8" numFmtId="4">
    <nc r="G252">
      <v>0</v>
    </nc>
  </rcc>
  <rcc rId="1246" sId="8" numFmtId="4">
    <nc r="B253">
      <v>17</v>
    </nc>
  </rcc>
  <rcc rId="1247" sId="8" numFmtId="4">
    <nc r="C253">
      <v>49</v>
    </nc>
  </rcc>
  <rcc rId="1248" sId="8" numFmtId="4">
    <nc r="D253">
      <v>11</v>
    </nc>
  </rcc>
  <rcc rId="1249" sId="8" numFmtId="4">
    <nc r="E253">
      <v>28</v>
    </nc>
  </rcc>
  <rcc rId="1250" sId="8" numFmtId="4">
    <nc r="F253">
      <v>14</v>
    </nc>
  </rcc>
  <rcc rId="1251" sId="8" numFmtId="4">
    <nc r="G253">
      <v>0</v>
    </nc>
  </rcc>
  <rcc rId="1252" sId="8" numFmtId="4">
    <nc r="B254">
      <v>17</v>
    </nc>
  </rcc>
  <rcc rId="1253" sId="8" numFmtId="4">
    <nc r="C254">
      <v>29</v>
    </nc>
  </rcc>
  <rcc rId="1254" sId="8" numFmtId="4">
    <nc r="D254">
      <v>13</v>
    </nc>
  </rcc>
  <rcc rId="1255" sId="8" numFmtId="4">
    <nc r="E254">
      <v>7</v>
    </nc>
  </rcc>
  <rcc rId="1256" sId="8" numFmtId="4">
    <nc r="F254">
      <v>2</v>
    </nc>
  </rcc>
  <rcc rId="1257" sId="8" numFmtId="4">
    <nc r="G254">
      <v>2</v>
    </nc>
  </rcc>
  <rcc rId="1258" sId="8" numFmtId="4">
    <nc r="B255">
      <v>17</v>
    </nc>
  </rcc>
  <rcc rId="1259" sId="8" numFmtId="4">
    <nc r="C255">
      <v>38</v>
    </nc>
  </rcc>
  <rcc rId="1260" sId="8" numFmtId="4">
    <nc r="D255">
      <v>11</v>
    </nc>
  </rcc>
  <rcc rId="1261" sId="8" numFmtId="4">
    <nc r="E255">
      <v>13</v>
    </nc>
  </rcc>
  <rcc rId="1262" sId="8" numFmtId="4">
    <nc r="F255">
      <v>16</v>
    </nc>
  </rcc>
  <rcc rId="1263" sId="8" numFmtId="4">
    <nc r="G255">
      <v>0</v>
    </nc>
  </rcc>
  <rcc rId="1264" sId="8" numFmtId="4">
    <nc r="B256">
      <v>17</v>
    </nc>
  </rcc>
  <rcc rId="1265" sId="8" numFmtId="4">
    <nc r="C256">
      <v>38</v>
    </nc>
  </rcc>
  <rcc rId="1266" sId="8" numFmtId="4">
    <nc r="D256">
      <v>12</v>
    </nc>
  </rcc>
  <rcc rId="1267" sId="8" numFmtId="4">
    <nc r="E256">
      <v>24</v>
    </nc>
  </rcc>
  <rcc rId="1268" sId="8" numFmtId="4">
    <nc r="F256">
      <v>11</v>
    </nc>
  </rcc>
  <rcc rId="1269" sId="8" numFmtId="4">
    <nc r="G256">
      <v>0</v>
    </nc>
  </rcc>
  <rcc rId="1270" sId="5" numFmtId="4">
    <nc r="B212">
      <v>14</v>
    </nc>
  </rcc>
  <rcc rId="1271" sId="5" numFmtId="4">
    <nc r="C212">
      <v>14</v>
    </nc>
  </rcc>
  <rcc rId="1272" sId="5" numFmtId="4">
    <nc r="D212">
      <v>13</v>
    </nc>
  </rcc>
  <rcc rId="1273" sId="5" numFmtId="4">
    <nc r="E212">
      <v>10</v>
    </nc>
  </rcc>
  <rcc rId="1274" sId="5" numFmtId="4">
    <nc r="F212">
      <v>2</v>
    </nc>
  </rcc>
  <rcc rId="1275" sId="5" numFmtId="4">
    <nc r="G212">
      <v>9</v>
    </nc>
  </rcc>
  <rcc rId="1276" sId="5" numFmtId="4">
    <nc r="B213">
      <v>14</v>
    </nc>
  </rcc>
  <rcc rId="1277" sId="5" numFmtId="4">
    <nc r="C213">
      <v>6</v>
    </nc>
  </rcc>
  <rcc rId="1278" sId="5" numFmtId="4">
    <nc r="D213">
      <v>13</v>
    </nc>
  </rcc>
  <rcc rId="1279" sId="5" numFmtId="4">
    <nc r="E213">
      <v>17</v>
    </nc>
  </rcc>
  <rcc rId="1280" sId="5" numFmtId="4">
    <nc r="F213">
      <v>1</v>
    </nc>
  </rcc>
  <rcc rId="1281" sId="5" numFmtId="4">
    <nc r="G213">
      <v>8</v>
    </nc>
  </rcc>
  <rcc rId="1282" sId="5" numFmtId="4">
    <nc r="B214">
      <v>14</v>
    </nc>
  </rcc>
  <rcc rId="1283" sId="5" numFmtId="4">
    <nc r="C214">
      <v>12</v>
    </nc>
  </rcc>
  <rcc rId="1284" sId="5" numFmtId="4">
    <nc r="D214">
      <v>12</v>
    </nc>
  </rcc>
  <rcc rId="1285" sId="5" numFmtId="4">
    <nc r="E214">
      <v>19</v>
    </nc>
  </rcc>
  <rcc rId="1286" sId="5" numFmtId="4">
    <nc r="F214">
      <v>4</v>
    </nc>
  </rcc>
  <rcc rId="1287" sId="5" numFmtId="4">
    <nc r="G214">
      <v>2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354" sId="8" numFmtId="4">
    <nc r="B259">
      <v>17</v>
    </nc>
  </rcc>
  <rcc rId="1355" sId="8" numFmtId="4">
    <nc r="C259">
      <v>39</v>
    </nc>
  </rcc>
  <rcc rId="1356" sId="8" numFmtId="4">
    <nc r="D259">
      <v>12</v>
    </nc>
  </rcc>
  <rcc rId="1357" sId="8" numFmtId="4">
    <nc r="E259">
      <v>23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1431" sId="5" numFmtId="4">
    <nc r="B225">
      <v>14</v>
    </nc>
  </rcc>
  <rcc rId="1432" sId="5" numFmtId="4">
    <nc r="C225">
      <v>9</v>
    </nc>
  </rcc>
  <rcc rId="1433" sId="5" numFmtId="4">
    <nc r="D225">
      <v>14</v>
    </nc>
  </rcc>
  <rcc rId="1434" sId="5" numFmtId="4">
    <nc r="E225">
      <v>16</v>
    </nc>
  </rcc>
  <rcc rId="1435" sId="5" numFmtId="4">
    <nc r="F225">
      <v>9</v>
    </nc>
  </rcc>
  <rcc rId="1436" sId="5" numFmtId="4">
    <nc r="G225">
      <v>0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v guid="{43751384-8D2C-4877-853C-4CE893CAF1E6}" action="delete"/>
  <rcv guid="{43751384-8D2C-4877-853C-4CE893CAF1E6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c rId="1959" sId="11" numFmtId="4">
    <nc r="B457">
      <v>2</v>
    </nc>
  </rcc>
  <rcc rId="1960" sId="11" numFmtId="4">
    <nc r="C457">
      <v>26</v>
    </nc>
  </rcc>
  <rcc rId="1961" sId="11" numFmtId="4">
    <nc r="D457">
      <v>15</v>
    </nc>
  </rcc>
  <rcc rId="1962" sId="11" numFmtId="4">
    <nc r="E457">
      <v>20</v>
    </nc>
  </rcc>
  <rcc rId="1963" sId="11" numFmtId="4">
    <nc r="F457">
      <v>11</v>
    </nc>
  </rcc>
  <rcc rId="1964" sId="11" numFmtId="4">
    <nc r="G457">
      <v>4</v>
    </nc>
  </rcc>
  <rcc rId="1965" sId="11" numFmtId="4">
    <nc r="H457">
      <v>2</v>
    </nc>
  </rcc>
  <rcc rId="1966" sId="11" numFmtId="4">
    <nc r="B458">
      <v>2</v>
    </nc>
  </rcc>
  <rcc rId="1967" sId="11" numFmtId="4">
    <nc r="C458">
      <v>26</v>
    </nc>
  </rcc>
  <rcc rId="1968" sId="11" numFmtId="4">
    <nc r="D458">
      <v>14</v>
    </nc>
  </rcc>
  <rcc rId="1969" sId="11" numFmtId="4">
    <nc r="E458">
      <v>15</v>
    </nc>
  </rcc>
  <rcc rId="1970" sId="11" numFmtId="4">
    <nc r="F458">
      <v>0</v>
    </nc>
  </rcc>
  <rcc rId="1971" sId="11" numFmtId="4">
    <nc r="G458">
      <v>0</v>
    </nc>
  </rcc>
  <rcc rId="1972" sId="11" numFmtId="4">
    <nc r="H458">
      <v>0</v>
    </nc>
  </rcc>
  <rcc rId="1973" sId="11" numFmtId="4">
    <nc r="B459">
      <v>2</v>
    </nc>
  </rcc>
  <rcc rId="1974" sId="11" numFmtId="4">
    <nc r="C459">
      <v>26</v>
    </nc>
  </rcc>
  <rcc rId="1975" sId="11" numFmtId="4">
    <nc r="D459">
      <v>13</v>
    </nc>
  </rcc>
  <rcc rId="1976" sId="11" numFmtId="4">
    <nc r="E459">
      <v>20</v>
    </nc>
  </rcc>
  <rcc rId="1977" sId="11" numFmtId="4">
    <nc r="F459">
      <v>0</v>
    </nc>
  </rcc>
  <rcc rId="1978" sId="11" numFmtId="4">
    <nc r="G459">
      <v>0</v>
    </nc>
  </rcc>
  <rcc rId="1979" sId="11" numFmtId="4">
    <nc r="H459">
      <v>0</v>
    </nc>
  </rcc>
  <rcc rId="1980" sId="11" numFmtId="4">
    <nc r="B460">
      <v>2</v>
    </nc>
  </rcc>
  <rcc rId="1981" sId="11" numFmtId="4">
    <nc r="C460">
      <v>26</v>
    </nc>
  </rcc>
  <rcc rId="1982" sId="11" numFmtId="4">
    <nc r="D460">
      <v>12</v>
    </nc>
  </rcc>
  <rcc rId="1983" sId="11" numFmtId="4">
    <nc r="E460">
      <v>14</v>
    </nc>
  </rcc>
  <rcc rId="1984" sId="11" numFmtId="4">
    <nc r="F460">
      <v>3</v>
    </nc>
  </rcc>
  <rcc rId="1985" sId="11" numFmtId="4">
    <nc r="G460">
      <v>2</v>
    </nc>
  </rcc>
  <rcc rId="1986" sId="11" numFmtId="4">
    <nc r="H460">
      <v>0</v>
    </nc>
  </rcc>
  <rcc rId="1987" sId="11" numFmtId="4">
    <nc r="B461">
      <v>2</v>
    </nc>
  </rcc>
  <rcc rId="1988" sId="11" numFmtId="4">
    <nc r="C461">
      <v>26</v>
    </nc>
  </rcc>
  <rcc rId="1989" sId="11" numFmtId="4">
    <nc r="D461">
      <v>11</v>
    </nc>
  </rcc>
  <rcc rId="1990" sId="11" numFmtId="4">
    <nc r="E461">
      <v>10</v>
    </nc>
  </rcc>
  <rcc rId="1991" sId="11" numFmtId="4">
    <nc r="F461">
      <v>4</v>
    </nc>
  </rcc>
  <rcc rId="1992" sId="11" numFmtId="4">
    <nc r="G461">
      <v>0</v>
    </nc>
  </rcc>
  <rcc rId="1993" sId="11" numFmtId="4">
    <nc r="H461">
      <v>1</v>
    </nc>
  </rcc>
  <rcc rId="1994" sId="11" numFmtId="4">
    <nc r="B462">
      <v>2</v>
    </nc>
  </rcc>
  <rcc rId="1995" sId="11" numFmtId="4">
    <nc r="C462">
      <v>26</v>
    </nc>
  </rcc>
  <rcc rId="1996" sId="11" numFmtId="4">
    <nc r="D462">
      <v>10</v>
    </nc>
  </rcc>
  <rcc rId="1997" sId="11" numFmtId="4">
    <nc r="E462">
      <v>15</v>
    </nc>
  </rcc>
  <rcc rId="1998" sId="11" numFmtId="4">
    <nc r="F462">
      <v>10</v>
    </nc>
  </rcc>
  <rcc rId="1999" sId="11" numFmtId="4">
    <nc r="G462">
      <v>3</v>
    </nc>
  </rcc>
  <rcc rId="2000" sId="11" numFmtId="4">
    <nc r="H462">
      <v>2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1819" sId="8" numFmtId="4">
    <nc r="B277">
      <v>17</v>
    </nc>
  </rcc>
  <rcc rId="1820" sId="8" numFmtId="4">
    <nc r="C277">
      <v>48</v>
    </nc>
  </rcc>
  <rcc rId="1821" sId="8" numFmtId="4">
    <nc r="D277">
      <v>13</v>
    </nc>
  </rcc>
  <rcc rId="1822" sId="8" numFmtId="4">
    <nc r="E277">
      <v>10</v>
    </nc>
  </rcc>
  <rcc rId="1823" sId="8" numFmtId="4">
    <nc r="F277">
      <v>2</v>
    </nc>
  </rcc>
  <rcc rId="1824" sId="8" numFmtId="4">
    <nc r="G277">
      <v>0</v>
    </nc>
  </rcc>
  <rcc rId="1825" sId="8" numFmtId="4">
    <nc r="B278">
      <v>17</v>
    </nc>
  </rcc>
  <rcc rId="1826" sId="8" numFmtId="4">
    <nc r="C278">
      <v>48</v>
    </nc>
  </rcc>
  <rcc rId="1827" sId="8" numFmtId="4">
    <nc r="D278">
      <v>14</v>
    </nc>
  </rcc>
  <rcc rId="1828" sId="8" numFmtId="4">
    <nc r="E278">
      <v>15</v>
    </nc>
  </rcc>
  <rcc rId="1829" sId="8" numFmtId="4">
    <nc r="F278">
      <v>17</v>
    </nc>
  </rcc>
  <rcc rId="1830" sId="8" numFmtId="4">
    <nc r="G278">
      <v>1</v>
    </nc>
  </rcc>
  <rcc rId="1831" sId="5" numFmtId="4">
    <nc r="B241">
      <v>14</v>
    </nc>
  </rcc>
  <rcc rId="1832" sId="5" numFmtId="4">
    <nc r="C241">
      <v>10</v>
    </nc>
  </rcc>
  <rcc rId="1833" sId="5" numFmtId="4">
    <nc r="D241">
      <v>15</v>
    </nc>
  </rcc>
  <rcc rId="1834" sId="5" numFmtId="4">
    <nc r="E241">
      <v>20</v>
    </nc>
  </rcc>
  <rcc rId="1835" sId="5" numFmtId="4">
    <nc r="F241">
      <v>3</v>
    </nc>
  </rcc>
  <rcc rId="1836" sId="5" numFmtId="4">
    <nc r="G241">
      <v>2</v>
    </nc>
  </rcc>
  <rcc rId="1837" sId="5" numFmtId="4">
    <nc r="B242">
      <v>14</v>
    </nc>
  </rcc>
  <rcc rId="1838" sId="5" numFmtId="4">
    <nc r="C242">
      <v>35</v>
    </nc>
  </rcc>
  <rcc rId="1839" sId="5" numFmtId="4">
    <nc r="D242">
      <v>15</v>
    </nc>
  </rcc>
  <rcc rId="1840" sId="5" numFmtId="4">
    <nc r="E242">
      <v>12</v>
    </nc>
  </rcc>
  <rcc rId="1841" sId="5" numFmtId="4">
    <nc r="F242">
      <v>7</v>
    </nc>
  </rcc>
  <rcc rId="1842" sId="5" numFmtId="4">
    <nc r="G242">
      <v>6</v>
    </nc>
  </rcc>
  <rcc rId="1843" sId="5" numFmtId="4">
    <nc r="B243">
      <v>14</v>
    </nc>
  </rcc>
  <rcc rId="1844" sId="5" numFmtId="4">
    <nc r="C243">
      <v>10</v>
    </nc>
  </rcc>
  <rcc rId="1845" sId="5" numFmtId="4">
    <nc r="D243">
      <v>14</v>
    </nc>
  </rcc>
  <rcc rId="1846" sId="5" numFmtId="4">
    <nc r="E243">
      <v>19</v>
    </nc>
  </rcc>
  <rcc rId="1847" sId="5" numFmtId="4">
    <nc r="F243">
      <v>6</v>
    </nc>
  </rcc>
  <rcc rId="1848" sId="5" numFmtId="4">
    <nc r="G243">
      <v>0</v>
    </nc>
  </rcc>
  <rcc rId="1849" sId="5" numFmtId="4">
    <nc r="B244">
      <v>14</v>
    </nc>
  </rcc>
  <rcc rId="1850" sId="5" numFmtId="4">
    <nc r="C244">
      <v>10</v>
    </nc>
  </rcc>
  <rcc rId="1851" sId="5" numFmtId="4">
    <nc r="D244">
      <v>13</v>
    </nc>
  </rcc>
  <rcc rId="1852" sId="5" numFmtId="4">
    <nc r="E244">
      <v>16</v>
    </nc>
  </rcc>
  <rcc rId="1853" sId="5" numFmtId="4">
    <nc r="F244">
      <v>4</v>
    </nc>
  </rcc>
  <rcc rId="1854" sId="5" numFmtId="4">
    <nc r="G244">
      <v>5</v>
    </nc>
  </rcc>
  <rcv guid="{43751384-8D2C-4877-853C-4CE893CAF1E6}" action="delete"/>
  <rcv guid="{43751384-8D2C-4877-853C-4CE893CAF1E6}" action="add"/>
</revisions>
</file>

<file path=xl/revisions/revisionLog14.xml><?xml version="1.0" encoding="utf-8"?>
<revisions xmlns="http://schemas.openxmlformats.org/spreadsheetml/2006/main" xmlns:r="http://schemas.openxmlformats.org/officeDocument/2006/relationships">
  <rcc rId="1473" sId="11" numFmtId="4">
    <nc r="B421">
      <v>2</v>
    </nc>
  </rcc>
  <rcc rId="1474" sId="11" numFmtId="4">
    <nc r="C421">
      <v>18</v>
    </nc>
  </rcc>
  <rcc rId="1475" sId="11" numFmtId="4">
    <nc r="D421">
      <v>14</v>
    </nc>
  </rcc>
  <rcc rId="1476" sId="11" numFmtId="4">
    <nc r="E421">
      <v>13</v>
    </nc>
  </rcc>
  <rcc rId="1477" sId="11" numFmtId="4">
    <nc r="F421">
      <v>12</v>
    </nc>
  </rcc>
  <rcc rId="1478" sId="11" numFmtId="4">
    <nc r="G421">
      <v>16</v>
    </nc>
  </rcc>
  <rcc rId="1479" sId="11" numFmtId="4">
    <nc r="H421">
      <v>0</v>
    </nc>
  </rcc>
  <rcc rId="1480" sId="11" numFmtId="4">
    <nc r="B422">
      <v>2</v>
    </nc>
  </rcc>
  <rcc rId="1481" sId="11" numFmtId="4">
    <nc r="C422">
      <v>10</v>
    </nc>
  </rcc>
  <rcc rId="1482" sId="11" numFmtId="4">
    <nc r="D422">
      <v>9</v>
    </nc>
  </rcc>
  <rcc rId="1483" sId="11" numFmtId="4">
    <nc r="E422">
      <v>27</v>
    </nc>
  </rcc>
  <rcc rId="1484" sId="11" numFmtId="4">
    <nc r="F422">
      <v>14</v>
    </nc>
  </rcc>
  <rcc rId="1485" sId="11" numFmtId="4">
    <nc r="G422">
      <v>9</v>
    </nc>
  </rcc>
  <rcc rId="1486" sId="11" numFmtId="4">
    <nc r="H422">
      <v>0</v>
    </nc>
  </rcc>
  <rcc rId="1487" sId="11" numFmtId="4">
    <nc r="B423">
      <v>2</v>
    </nc>
  </rcc>
  <rcc rId="1488" sId="11" numFmtId="4">
    <nc r="C423">
      <v>22</v>
    </nc>
  </rcc>
  <rcc rId="1489" sId="11" numFmtId="4">
    <nc r="D423">
      <v>14</v>
    </nc>
  </rcc>
  <rcc rId="1490" sId="11" numFmtId="4">
    <nc r="E423">
      <v>2</v>
    </nc>
  </rcc>
  <rcc rId="1491" sId="11" numFmtId="4">
    <nc r="F423">
      <v>6</v>
    </nc>
  </rcc>
  <rcc rId="1492" sId="11" numFmtId="4">
    <nc r="G423">
      <v>0</v>
    </nc>
  </rcc>
  <rcc rId="1493" sId="11" numFmtId="4">
    <nc r="H423">
      <v>0</v>
    </nc>
  </rcc>
  <rcc rId="1494" sId="11" numFmtId="4">
    <nc r="B424">
      <v>2</v>
    </nc>
  </rcc>
  <rcc rId="1495" sId="11" numFmtId="4">
    <nc r="C424">
      <v>6</v>
    </nc>
  </rcc>
  <rcc rId="1496" sId="11" numFmtId="4">
    <nc r="D424">
      <v>14</v>
    </nc>
  </rcc>
  <rcc rId="1497" sId="11" numFmtId="4">
    <nc r="E424">
      <v>7</v>
    </nc>
  </rcc>
  <rcc rId="1498" sId="11" numFmtId="4">
    <nc r="F424">
      <v>2</v>
    </nc>
  </rcc>
  <rcc rId="1499" sId="11" numFmtId="4">
    <nc r="G424">
      <v>5</v>
    </nc>
  </rcc>
  <rcc rId="1500" sId="11" numFmtId="4">
    <nc r="H424">
      <v>0</v>
    </nc>
  </rcc>
  <rcc rId="1501" sId="11" numFmtId="4">
    <nc r="B425">
      <v>2</v>
    </nc>
  </rcc>
  <rcc rId="1502" sId="11" numFmtId="4">
    <nc r="C425">
      <v>6</v>
    </nc>
  </rcc>
  <rcc rId="1503" sId="11" numFmtId="4">
    <nc r="D425">
      <v>15</v>
    </nc>
  </rcc>
  <rcc rId="1504" sId="11" numFmtId="4">
    <nc r="E425">
      <v>11</v>
    </nc>
  </rcc>
  <rcc rId="1505" sId="11" numFmtId="4">
    <nc r="F425">
      <v>5</v>
    </nc>
  </rcc>
  <rcc rId="1506" sId="11" numFmtId="4">
    <nc r="G425">
      <v>6</v>
    </nc>
  </rcc>
  <rcc rId="1507" sId="11" numFmtId="4">
    <nc r="H425">
      <v>1</v>
    </nc>
  </rcc>
  <rcc rId="1508" sId="11" numFmtId="4">
    <nc r="B426">
      <v>2</v>
    </nc>
  </rcc>
  <rcc rId="1509" sId="11" numFmtId="4">
    <nc r="C426">
      <v>5</v>
    </nc>
  </rcc>
  <rcc rId="1510" sId="11" numFmtId="4">
    <nc r="D426">
      <v>14</v>
    </nc>
  </rcc>
  <rcc rId="1511" sId="11" numFmtId="4">
    <nc r="E426">
      <v>12</v>
    </nc>
  </rcc>
  <rcc rId="1512" sId="11" numFmtId="4">
    <nc r="F426">
      <v>7</v>
    </nc>
  </rcc>
  <rcc rId="1513" sId="11" numFmtId="4">
    <nc r="G426">
      <v>7</v>
    </nc>
  </rcc>
  <rcc rId="1514" sId="11" numFmtId="4">
    <nc r="H426">
      <v>2</v>
    </nc>
  </rcc>
  <rcc rId="1515" sId="11" numFmtId="4">
    <nc r="B427">
      <v>2</v>
    </nc>
  </rcc>
  <rcc rId="1516" sId="11" numFmtId="4">
    <nc r="C427">
      <v>3</v>
    </nc>
  </rcc>
  <rcc rId="1517" sId="11" numFmtId="4">
    <nc r="D427">
      <v>13</v>
    </nc>
  </rcc>
  <rcc rId="1518" sId="11" numFmtId="4">
    <nc r="E427">
      <v>7</v>
    </nc>
  </rcc>
  <rcc rId="1519" sId="11" numFmtId="4">
    <nc r="F427">
      <v>9</v>
    </nc>
  </rcc>
  <rcc rId="1520" sId="11" numFmtId="4">
    <nc r="G427">
      <v>2</v>
    </nc>
  </rcc>
  <rcc rId="1521" sId="11" numFmtId="4">
    <nc r="H427">
      <v>0</v>
    </nc>
  </rcc>
  <rcc rId="1522" sId="11" numFmtId="4">
    <nc r="B428">
      <v>2</v>
    </nc>
  </rcc>
  <rcc rId="1523" sId="11" numFmtId="4">
    <nc r="C428">
      <v>3</v>
    </nc>
  </rcc>
  <rcc rId="1524" sId="11" numFmtId="4">
    <nc r="D428">
      <v>14</v>
    </nc>
  </rcc>
  <rcc rId="1525" sId="11" numFmtId="4">
    <nc r="E428">
      <v>6</v>
    </nc>
  </rcc>
  <rcc rId="1526" sId="11" numFmtId="4">
    <nc r="F428">
      <v>4</v>
    </nc>
  </rcc>
  <rcc rId="1527" sId="11" numFmtId="4">
    <nc r="G428">
      <v>5</v>
    </nc>
  </rcc>
  <rcc rId="1528" sId="11" numFmtId="4">
    <nc r="H428">
      <v>0</v>
    </nc>
  </rcc>
  <rcc rId="1529" sId="11" numFmtId="4">
    <nc r="B429">
      <v>2</v>
    </nc>
  </rcc>
  <rcc rId="1530" sId="11" numFmtId="4">
    <nc r="C429">
      <v>31</v>
    </nc>
  </rcc>
  <rcc rId="1531" sId="11" numFmtId="4">
    <nc r="D429">
      <v>13</v>
    </nc>
  </rcc>
  <rcc rId="1532" sId="11" numFmtId="4">
    <nc r="E429">
      <v>24</v>
    </nc>
  </rcc>
  <rcc rId="1533" sId="11" numFmtId="4">
    <nc r="F429">
      <v>10</v>
    </nc>
  </rcc>
  <rcc rId="1534" sId="11" numFmtId="4">
    <nc r="G429">
      <v>5</v>
    </nc>
  </rcc>
  <rcc rId="1535" sId="11" numFmtId="4">
    <nc r="H429">
      <v>2</v>
    </nc>
  </rcc>
  <rcc rId="1536" sId="11" numFmtId="4">
    <nc r="B430">
      <v>2</v>
    </nc>
  </rcc>
  <rcc rId="1537" sId="11" numFmtId="4">
    <nc r="C430">
      <v>31</v>
    </nc>
  </rcc>
  <rcc rId="1538" sId="11" numFmtId="4">
    <nc r="D430">
      <v>14</v>
    </nc>
  </rcc>
  <rcc rId="1539" sId="11" numFmtId="4">
    <nc r="E430">
      <v>15</v>
    </nc>
  </rcc>
  <rcc rId="1540" sId="11" numFmtId="4">
    <nc r="F430">
      <v>25</v>
    </nc>
  </rcc>
  <rcc rId="1541" sId="11" numFmtId="4">
    <nc r="G430">
      <v>5</v>
    </nc>
  </rcc>
  <rcc rId="1542" sId="11" numFmtId="4">
    <nc r="H430">
      <v>2</v>
    </nc>
  </rcc>
  <rcc rId="1543" sId="11" numFmtId="4">
    <nc r="B431">
      <v>2</v>
    </nc>
  </rcc>
  <rcc rId="1544" sId="11" numFmtId="4">
    <nc r="C431">
      <v>33</v>
    </nc>
  </rcc>
  <rcc rId="1545" sId="11" numFmtId="4">
    <nc r="D431">
      <v>14</v>
    </nc>
  </rcc>
  <rcc rId="1546" sId="11" numFmtId="4">
    <nc r="E431">
      <v>14</v>
    </nc>
  </rcc>
  <rcc rId="1547" sId="11" numFmtId="4">
    <nc r="F431">
      <v>22</v>
    </nc>
  </rcc>
  <rcc rId="1548" sId="11" numFmtId="4">
    <nc r="G431">
      <v>0</v>
    </nc>
  </rcc>
  <rcc rId="1549" sId="11" numFmtId="4">
    <nc r="H431">
      <v>0</v>
    </nc>
  </rcc>
  <rcc rId="1550" sId="11" numFmtId="4">
    <nc r="B432">
      <v>2</v>
    </nc>
  </rcc>
  <rcc rId="1551" sId="11" numFmtId="4">
    <nc r="C432">
      <v>33</v>
    </nc>
  </rcc>
  <rcc rId="1552" sId="11" numFmtId="4">
    <nc r="D432">
      <v>15</v>
    </nc>
  </rcc>
  <rcc rId="1553" sId="11" numFmtId="4">
    <nc r="E432">
      <v>15</v>
    </nc>
  </rcc>
  <rcc rId="1554" sId="11" numFmtId="4">
    <nc r="F432">
      <v>35</v>
    </nc>
  </rcc>
  <rcc rId="1555" sId="11" numFmtId="4">
    <nc r="G432">
      <v>0</v>
    </nc>
  </rcc>
  <rcc rId="1556" sId="11" numFmtId="4">
    <nc r="H432">
      <v>0</v>
    </nc>
  </rcc>
  <rcc rId="1557" sId="2" numFmtId="4">
    <nc r="B82">
      <v>15</v>
    </nc>
  </rcc>
  <rcc rId="1558" sId="2" numFmtId="4">
    <nc r="C82">
      <v>24</v>
    </nc>
  </rcc>
  <rcc rId="1559" sId="2" numFmtId="4">
    <nc r="D82">
      <v>15</v>
    </nc>
  </rcc>
  <rcc rId="1560" sId="2" numFmtId="4">
    <nc r="E82">
      <v>3</v>
    </nc>
  </rcc>
  <rcc rId="1561" sId="2" numFmtId="4">
    <nc r="F82">
      <v>7</v>
    </nc>
  </rcc>
  <rcc rId="1562" sId="2" numFmtId="4">
    <nc r="G82">
      <v>2</v>
    </nc>
  </rcc>
  <rcc rId="1563" sId="2" numFmtId="4">
    <nc r="B83">
      <v>15</v>
    </nc>
  </rcc>
  <rcc rId="1564" sId="2" numFmtId="4">
    <nc r="C83">
      <v>24</v>
    </nc>
  </rcc>
  <rcc rId="1565" sId="2" numFmtId="4">
    <nc r="D83">
      <v>14</v>
    </nc>
  </rcc>
  <rcc rId="1566" sId="2" numFmtId="4">
    <nc r="E83">
      <v>6</v>
    </nc>
  </rcc>
  <rcc rId="1567" sId="2" numFmtId="4">
    <nc r="F83">
      <v>16</v>
    </nc>
  </rcc>
  <rcc rId="1568" sId="2" numFmtId="4">
    <nc r="G83">
      <v>0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1756" sId="11" numFmtId="4">
    <nc r="B440">
      <v>2</v>
    </nc>
  </rcc>
  <rcc rId="1757" sId="11" numFmtId="4">
    <nc r="C440">
      <v>8</v>
    </nc>
  </rcc>
  <rcc rId="1758" sId="11" numFmtId="4">
    <nc r="D440">
      <v>14</v>
    </nc>
  </rcc>
  <rcc rId="1759" sId="11" numFmtId="4">
    <nc r="E440">
      <v>12</v>
    </nc>
  </rcc>
  <rcc rId="1760" sId="11" numFmtId="4">
    <nc r="F440">
      <v>11</v>
    </nc>
  </rcc>
  <rcc rId="1761" sId="11" numFmtId="4">
    <nc r="G440">
      <v>1</v>
    </nc>
  </rcc>
  <rcc rId="1762" sId="11" numFmtId="4">
    <nc r="H440">
      <v>0</v>
    </nc>
  </rcc>
  <rcc rId="1763" sId="11" numFmtId="4">
    <nc r="B441">
      <v>2</v>
    </nc>
  </rcc>
  <rcc rId="1764" sId="11" numFmtId="4">
    <nc r="C441">
      <v>8</v>
    </nc>
  </rcc>
  <rcc rId="1765" sId="11" numFmtId="4">
    <nc r="D441">
      <v>19</v>
    </nc>
  </rcc>
  <rcc rId="1766" sId="11" numFmtId="4">
    <nc r="E441">
      <v>16</v>
    </nc>
  </rcc>
  <rcc rId="1767" sId="11" numFmtId="4">
    <nc r="F441">
      <v>10</v>
    </nc>
  </rcc>
  <rcc rId="1768" sId="11" numFmtId="4">
    <nc r="G441">
      <v>1</v>
    </nc>
  </rcc>
  <rcc rId="1769" sId="11" numFmtId="4">
    <nc r="H441">
      <v>0</v>
    </nc>
  </rcc>
  <rcc rId="1770" sId="11" numFmtId="4">
    <nc r="B442">
      <v>2</v>
    </nc>
  </rcc>
  <rcc rId="1771" sId="11" numFmtId="4">
    <nc r="C442">
      <v>8</v>
    </nc>
  </rcc>
  <rcc rId="1772" sId="11" numFmtId="4">
    <nc r="D442">
      <v>12</v>
    </nc>
  </rcc>
  <rcc rId="1773" sId="11" numFmtId="4">
    <nc r="E442">
      <v>14</v>
    </nc>
  </rcc>
  <rcc rId="1774" sId="11" numFmtId="4">
    <nc r="F442">
      <v>13</v>
    </nc>
  </rcc>
  <rcc rId="1775" sId="11" numFmtId="4">
    <nc r="G442">
      <v>2</v>
    </nc>
  </rcc>
  <rcc rId="1776" sId="11" numFmtId="4">
    <nc r="H442">
      <v>0</v>
    </nc>
  </rcc>
  <rcc rId="1777" sId="11" numFmtId="4">
    <nc r="B443">
      <v>2</v>
    </nc>
  </rcc>
  <rcc rId="1778" sId="11" numFmtId="4">
    <nc r="C443">
      <v>8</v>
    </nc>
  </rcc>
  <rcc rId="1779" sId="11" numFmtId="4">
    <nc r="D443">
      <v>11</v>
    </nc>
  </rcc>
  <rcc rId="1780" sId="11" numFmtId="4">
    <nc r="E443">
      <v>13</v>
    </nc>
  </rcc>
  <rcc rId="1781" sId="11" numFmtId="4">
    <nc r="F443">
      <v>10</v>
    </nc>
  </rcc>
  <rcc rId="1782" sId="11" numFmtId="4">
    <nc r="G443">
      <v>2</v>
    </nc>
  </rcc>
  <rcc rId="1783" sId="11" numFmtId="4">
    <nc r="H443">
      <v>0</v>
    </nc>
  </rcc>
  <rcc rId="1784" sId="11" numFmtId="4">
    <nc r="B444">
      <v>2</v>
    </nc>
  </rcc>
  <rcc rId="1785" sId="11" numFmtId="4">
    <nc r="C444">
      <v>28</v>
    </nc>
  </rcc>
  <rcc rId="1786" sId="11" numFmtId="4">
    <nc r="D444">
      <v>11</v>
    </nc>
  </rcc>
  <rcc rId="1787" sId="11" numFmtId="4">
    <nc r="E444">
      <v>43</v>
    </nc>
  </rcc>
  <rcc rId="1788" sId="11" numFmtId="4">
    <nc r="F444">
      <v>22</v>
    </nc>
  </rcc>
  <rcc rId="1789" sId="11" numFmtId="4">
    <nc r="G444">
      <v>0</v>
    </nc>
  </rcc>
  <rcc rId="1790" sId="11" numFmtId="4">
    <nc r="H444">
      <v>0</v>
    </nc>
  </rcc>
  <rcc rId="1791" sId="11" numFmtId="4">
    <nc r="B445">
      <v>2</v>
    </nc>
  </rcc>
  <rcc rId="1792" sId="11" numFmtId="4">
    <nc r="C445">
      <v>18</v>
    </nc>
  </rcc>
  <rcc rId="1793" sId="11" numFmtId="4">
    <nc r="D445">
      <v>12</v>
    </nc>
  </rcc>
  <rcc rId="1794" sId="11" numFmtId="4">
    <nc r="E445">
      <v>12</v>
    </nc>
  </rcc>
  <rcc rId="1795" sId="11" numFmtId="4">
    <nc r="F445">
      <v>5</v>
    </nc>
  </rcc>
  <rcc rId="1796" sId="11" numFmtId="4">
    <nc r="G445">
      <v>13</v>
    </nc>
  </rcc>
  <rcc rId="1797" sId="11" numFmtId="4">
    <nc r="H445">
      <v>0</v>
    </nc>
  </rcc>
  <rcc rId="1798" sId="11" numFmtId="4">
    <nc r="B446">
      <v>2</v>
    </nc>
  </rcc>
  <rcc rId="1799" sId="11" numFmtId="4">
    <nc r="C446">
      <v>18</v>
    </nc>
  </rcc>
  <rcc rId="1800" sId="11" numFmtId="4">
    <nc r="D446">
      <v>13</v>
    </nc>
  </rcc>
  <rcc rId="1801" sId="11" numFmtId="4">
    <nc r="E446">
      <v>10</v>
    </nc>
  </rcc>
  <rcc rId="1802" sId="11" numFmtId="4">
    <nc r="F446">
      <v>13</v>
    </nc>
  </rcc>
  <rcc rId="1803" sId="11" numFmtId="4">
    <nc r="G446">
      <v>14</v>
    </nc>
  </rcc>
  <rcc rId="1804" sId="11" numFmtId="4">
    <nc r="H446">
      <v>0</v>
    </nc>
  </rcc>
  <rcc rId="1805" sId="11" numFmtId="4">
    <nc r="B447">
      <v>2</v>
    </nc>
  </rcc>
  <rcc rId="1806" sId="11" numFmtId="4">
    <nc r="C447">
      <v>18</v>
    </nc>
  </rcc>
  <rcc rId="1807" sId="11" numFmtId="4">
    <nc r="D447">
      <v>15</v>
    </nc>
  </rcc>
  <rcc rId="1808" sId="11" numFmtId="4">
    <nc r="E447">
      <v>7</v>
    </nc>
  </rcc>
  <rcc rId="1809" sId="11" numFmtId="4">
    <nc r="F447">
      <v>8</v>
    </nc>
  </rcc>
  <rcc rId="1810" sId="11" numFmtId="4">
    <nc r="G447">
      <v>9</v>
    </nc>
  </rcc>
  <rcc rId="1811" sId="11" numFmtId="4">
    <nc r="H447">
      <v>0</v>
    </nc>
  </rcc>
  <rcc rId="1812" sId="11" numFmtId="4">
    <nc r="B448">
      <v>2</v>
    </nc>
  </rcc>
  <rcc rId="1813" sId="11" numFmtId="4">
    <nc r="C448">
      <v>25</v>
    </nc>
  </rcc>
  <rcc rId="1814" sId="11" numFmtId="4">
    <nc r="D448">
      <v>15</v>
    </nc>
  </rcc>
  <rcc rId="1815" sId="11" numFmtId="4">
    <nc r="E448">
      <v>18</v>
    </nc>
  </rcc>
  <rcc rId="1816" sId="11" numFmtId="4">
    <nc r="F448">
      <v>10</v>
    </nc>
  </rcc>
  <rcc rId="1817" sId="11" numFmtId="4">
    <nc r="G448">
      <v>0</v>
    </nc>
  </rcc>
  <rcc rId="1818" sId="11" numFmtId="4">
    <nc r="H448">
      <v>0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569" sId="5" numFmtId="4">
    <nc r="B227">
      <v>14</v>
    </nc>
  </rcc>
  <rcc rId="1570" sId="5" numFmtId="4">
    <nc r="C227">
      <v>37</v>
    </nc>
  </rcc>
  <rcc rId="1571" sId="5" numFmtId="4">
    <nc r="D227">
      <v>14</v>
    </nc>
  </rcc>
  <rcc rId="1572" sId="5" numFmtId="4">
    <nc r="E227">
      <v>14</v>
    </nc>
  </rcc>
  <rcc rId="1573" sId="5" numFmtId="4">
    <nc r="F227">
      <v>3</v>
    </nc>
  </rcc>
  <rcc rId="1574" sId="5" numFmtId="4">
    <nc r="G227">
      <v>6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v guid="{43751384-8D2C-4877-853C-4CE893CAF1E6}" action="delete"/>
  <rcv guid="{43751384-8D2C-4877-853C-4CE893CAF1E6}" action="add"/>
</revisions>
</file>

<file path=xl/revisions/revisionLog18.xml><?xml version="1.0" encoding="utf-8"?>
<revisions xmlns="http://schemas.openxmlformats.org/spreadsheetml/2006/main" xmlns:r="http://schemas.openxmlformats.org/officeDocument/2006/relationships">
  <rcc rId="1603" sId="5" numFmtId="4">
    <nc r="B228">
      <v>14</v>
    </nc>
  </rcc>
  <rcc rId="1604" sId="5" numFmtId="4">
    <nc r="C228">
      <v>2</v>
    </nc>
  </rcc>
  <rcc rId="1605" sId="5" numFmtId="4">
    <nc r="D228">
      <v>14</v>
    </nc>
  </rcc>
  <rcc rId="1606" sId="5" numFmtId="4">
    <nc r="E228">
      <v>3</v>
    </nc>
  </rcc>
  <rcc rId="1607" sId="5" numFmtId="4">
    <nc r="F228">
      <v>4</v>
    </nc>
  </rcc>
  <rcc rId="1608" sId="5" numFmtId="4">
    <nc r="G228">
      <v>1</v>
    </nc>
  </rcc>
  <rcc rId="1609" sId="5" numFmtId="4">
    <nc r="B229">
      <v>14</v>
    </nc>
  </rcc>
  <rcc rId="1610" sId="5" numFmtId="4">
    <nc r="C229">
      <v>2</v>
    </nc>
  </rcc>
  <rcc rId="1611" sId="5" numFmtId="4">
    <nc r="D229">
      <v>13</v>
    </nc>
  </rcc>
  <rcc rId="1612" sId="5" numFmtId="4">
    <nc r="E229">
      <v>5</v>
    </nc>
  </rcc>
  <rcc rId="1613" sId="5" numFmtId="4">
    <nc r="F229">
      <v>2</v>
    </nc>
  </rcc>
  <rcc rId="1614" sId="5" numFmtId="4">
    <nc r="G229">
      <v>0</v>
    </nc>
  </rcc>
  <rcc rId="1615" sId="5" numFmtId="4">
    <nc r="B230">
      <v>14</v>
    </nc>
  </rcc>
  <rcc rId="1616" sId="5" numFmtId="4">
    <nc r="C230">
      <v>13</v>
    </nc>
  </rcc>
  <rcc rId="1617" sId="5" numFmtId="4">
    <nc r="D230">
      <v>10</v>
    </nc>
  </rcc>
  <rcc rId="1618" sId="5" numFmtId="4">
    <nc r="E230">
      <v>9</v>
    </nc>
  </rcc>
  <rcc rId="1619" sId="5" numFmtId="4">
    <nc r="F230">
      <v>0</v>
    </nc>
  </rcc>
  <rcc rId="1620" sId="5" numFmtId="4">
    <nc r="G230">
      <v>5</v>
    </nc>
  </rcc>
  <rcc rId="1621" sId="5" numFmtId="4">
    <nc r="B231">
      <v>14</v>
    </nc>
  </rcc>
  <rcc rId="1622" sId="5" numFmtId="4">
    <nc r="C231">
      <v>13</v>
    </nc>
  </rcc>
  <rcc rId="1623" sId="5" numFmtId="4">
    <nc r="D231">
      <v>11</v>
    </nc>
  </rcc>
  <rcc rId="1624" sId="5" numFmtId="4">
    <nc r="E231">
      <v>8</v>
    </nc>
  </rcc>
  <rcc rId="1625" sId="5" numFmtId="4">
    <nc r="F231">
      <v>2</v>
    </nc>
  </rcc>
  <rcc rId="1626" sId="5" numFmtId="4">
    <nc r="G231">
      <v>6</v>
    </nc>
  </rcc>
  <rcc rId="1627" sId="5" numFmtId="4">
    <nc r="B232">
      <v>14</v>
    </nc>
  </rcc>
  <rcc rId="1628" sId="5" numFmtId="4">
    <nc r="C232">
      <v>13</v>
    </nc>
  </rcc>
  <rcc rId="1629" sId="5" numFmtId="4">
    <nc r="D232">
      <v>12</v>
    </nc>
  </rcc>
  <rcc rId="1630" sId="5" numFmtId="4">
    <nc r="E232">
      <v>16</v>
    </nc>
  </rcc>
  <rcc rId="1631" sId="5" numFmtId="4">
    <nc r="F232">
      <v>3</v>
    </nc>
  </rcc>
  <rcc rId="1632" sId="5" numFmtId="4">
    <nc r="G232">
      <v>10</v>
    </nc>
  </rcc>
  <rcc rId="1633" sId="5" numFmtId="4">
    <nc r="B233">
      <v>14</v>
    </nc>
  </rcc>
  <rcc rId="1634" sId="5" numFmtId="4">
    <nc r="C233">
      <v>13</v>
    </nc>
  </rcc>
  <rcc rId="1635" sId="5" numFmtId="4">
    <nc r="D233">
      <v>13</v>
    </nc>
  </rcc>
  <rcc rId="1636" sId="5" numFmtId="4">
    <nc r="E233">
      <v>12</v>
    </nc>
  </rcc>
  <rcc rId="1637" sId="5" numFmtId="4">
    <nc r="F233">
      <v>0</v>
    </nc>
  </rcc>
  <rcc rId="1638" sId="5" numFmtId="4">
    <nc r="G233">
      <v>6</v>
    </nc>
  </rcc>
  <rcc rId="1639" sId="5" numFmtId="4">
    <nc r="B234">
      <v>14</v>
    </nc>
  </rcc>
  <rcc rId="1640" sId="5" numFmtId="4">
    <nc r="C234">
      <v>13</v>
    </nc>
  </rcc>
  <rcc rId="1641" sId="5" numFmtId="4">
    <nc r="D234">
      <v>14</v>
    </nc>
  </rcc>
  <rcc rId="1642" sId="5" numFmtId="4">
    <nc r="E234">
      <v>17</v>
    </nc>
  </rcc>
  <rcc rId="1643" sId="5" numFmtId="4">
    <nc r="F234">
      <v>0</v>
    </nc>
  </rcc>
  <rcc rId="1644" sId="5" numFmtId="4">
    <nc r="G234">
      <v>8</v>
    </nc>
  </rcc>
  <rcc rId="1645" sId="5" numFmtId="4">
    <nc r="B235">
      <v>14</v>
    </nc>
  </rcc>
  <rcc rId="1646" sId="5" numFmtId="4">
    <nc r="C235">
      <v>13</v>
    </nc>
  </rcc>
  <rcc rId="1647" sId="5" numFmtId="4">
    <nc r="D235">
      <v>15</v>
    </nc>
  </rcc>
  <rcc rId="1648" sId="5" numFmtId="4">
    <nc r="E235">
      <v>12</v>
    </nc>
  </rcc>
  <rcc rId="1649" sId="5" numFmtId="4">
    <nc r="F235">
      <v>2</v>
    </nc>
  </rcc>
  <rcc rId="1650" sId="5" numFmtId="4">
    <nc r="G235">
      <v>3</v>
    </nc>
  </rcc>
  <rcc rId="1651" sId="5" numFmtId="4">
    <nc r="B236">
      <v>14</v>
    </nc>
  </rcc>
  <rcc rId="1652" sId="5" numFmtId="4">
    <nc r="C236">
      <v>14</v>
    </nc>
  </rcc>
  <rcc rId="1653" sId="5" numFmtId="4">
    <nc r="D236">
      <v>14</v>
    </nc>
  </rcc>
  <rcc rId="1654" sId="5" numFmtId="4">
    <nc r="E236">
      <v>13</v>
    </nc>
  </rcc>
  <rcc rId="1655" sId="5" numFmtId="4">
    <nc r="F236">
      <v>7</v>
    </nc>
  </rcc>
  <rcc rId="1656" sId="5" numFmtId="4">
    <nc r="G236">
      <v>12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2001" sId="11" numFmtId="4">
    <nc r="B463">
      <v>2</v>
    </nc>
  </rcc>
  <rcc rId="2002" sId="11" numFmtId="4">
    <nc r="C463">
      <v>27</v>
    </nc>
  </rcc>
  <rcc rId="2003" sId="11" numFmtId="4">
    <nc r="D463">
      <v>14</v>
    </nc>
  </rcc>
  <rcc rId="2004" sId="11" numFmtId="4">
    <nc r="E463">
      <v>13</v>
    </nc>
  </rcc>
  <rcc rId="2005" sId="11" numFmtId="4">
    <nc r="F463">
      <v>18</v>
    </nc>
  </rcc>
  <rcc rId="2006" sId="11" numFmtId="4">
    <nc r="G463">
      <v>0</v>
    </nc>
  </rcc>
  <rcc rId="2007" sId="11" numFmtId="4">
    <nc r="H463">
      <v>0</v>
    </nc>
  </rcc>
  <rcc rId="2008" sId="11" numFmtId="4">
    <nc r="B464">
      <v>2</v>
    </nc>
  </rcc>
  <rcc rId="2009" sId="11" numFmtId="4">
    <nc r="C464">
      <v>27</v>
    </nc>
  </rcc>
  <rcc rId="2010" sId="11" numFmtId="4">
    <nc r="D464">
      <v>15</v>
    </nc>
  </rcc>
  <rcc rId="2011" sId="11" numFmtId="4">
    <nc r="E464">
      <v>10</v>
    </nc>
  </rcc>
  <rcc rId="2012" sId="11" numFmtId="4">
    <nc r="F464">
      <v>9</v>
    </nc>
  </rcc>
  <rcc rId="2013" sId="11" numFmtId="4">
    <nc r="G464">
      <v>6</v>
    </nc>
  </rcc>
  <rcc rId="2014" sId="11" numFmtId="4">
    <nc r="H464">
      <v>0</v>
    </nc>
  </rcc>
  <rcc rId="2015" sId="11" numFmtId="4">
    <nc r="B465">
      <v>2</v>
    </nc>
  </rcc>
  <rcc rId="2016" sId="11" numFmtId="4">
    <nc r="C465">
      <v>30</v>
    </nc>
  </rcc>
  <rcc rId="2017" sId="11" numFmtId="4">
    <nc r="D465">
      <v>15</v>
    </nc>
  </rcc>
  <rcc rId="2018" sId="11" numFmtId="4">
    <nc r="E465">
      <v>10</v>
    </nc>
  </rcc>
  <rcc rId="2019" sId="11" numFmtId="4">
    <nc r="F465">
      <v>23</v>
    </nc>
  </rcc>
  <rcc rId="2020" sId="11" numFmtId="4">
    <nc r="G465">
      <v>0</v>
    </nc>
  </rcc>
  <rcc rId="2021" sId="11" numFmtId="4">
    <nc r="H465">
      <v>0</v>
    </nc>
  </rcc>
  <rcc rId="2022" sId="11" numFmtId="4">
    <nc r="B466">
      <v>2</v>
    </nc>
  </rcc>
  <rcc rId="2023" sId="11" numFmtId="4">
    <nc r="C466">
      <v>30</v>
    </nc>
  </rcc>
  <rcc rId="2024" sId="11" numFmtId="4">
    <nc r="D466">
      <v>16</v>
    </nc>
  </rcc>
  <rcc rId="2025" sId="11" numFmtId="4">
    <nc r="E466">
      <v>26</v>
    </nc>
  </rcc>
  <rcc rId="2026" sId="11" numFmtId="4">
    <nc r="F466">
      <v>29</v>
    </nc>
  </rcc>
  <rcc rId="2027" sId="11" numFmtId="4">
    <nc r="G466">
      <v>6</v>
    </nc>
  </rcc>
  <rcc rId="2028" sId="11" numFmtId="4">
    <nc r="H466">
      <v>0</v>
    </nc>
  </rcc>
  <rcc rId="2029" sId="11" numFmtId="4">
    <nc r="B467">
      <v>2</v>
    </nc>
  </rcc>
  <rcc rId="2030" sId="11" numFmtId="4">
    <nc r="C467">
      <v>30</v>
    </nc>
  </rcc>
  <rcc rId="2031" sId="11" numFmtId="4">
    <nc r="D467">
      <v>14</v>
    </nc>
  </rcc>
  <rcc rId="2032" sId="11" numFmtId="4">
    <nc r="E467">
      <v>17</v>
    </nc>
  </rcc>
  <rcc rId="2033" sId="11" numFmtId="4">
    <nc r="F467">
      <v>23</v>
    </nc>
  </rcc>
  <rcc rId="2034" sId="11" numFmtId="4">
    <nc r="G467">
      <v>1</v>
    </nc>
  </rcc>
  <rcc rId="2035" sId="11" numFmtId="4">
    <nc r="H467">
      <v>0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702" sId="8" numFmtId="4">
    <nc r="B268">
      <v>17</v>
    </nc>
  </rcc>
  <rcc rId="1703" sId="8" numFmtId="4">
    <nc r="C268">
      <v>33</v>
    </nc>
  </rcc>
  <rcc rId="1704" sId="8" numFmtId="4">
    <nc r="D268">
      <v>13</v>
    </nc>
  </rcc>
  <rcc rId="1705" sId="8" numFmtId="4">
    <nc r="E268">
      <v>7</v>
    </nc>
  </rcc>
  <rcc rId="1706" sId="8" numFmtId="4">
    <nc r="F268">
      <v>3</v>
    </nc>
  </rcc>
  <rcc rId="1707" sId="8" numFmtId="4">
    <nc r="G268">
      <v>1</v>
    </nc>
  </rcc>
  <rcc rId="1708" sId="8" numFmtId="4">
    <nc r="B269">
      <v>17</v>
    </nc>
  </rcc>
  <rcc rId="1709" sId="8" numFmtId="4">
    <nc r="C269">
      <v>33</v>
    </nc>
  </rcc>
  <rcc rId="1710" sId="8" numFmtId="4">
    <nc r="D269">
      <v>14</v>
    </nc>
  </rcc>
  <rcc rId="1711" sId="8" numFmtId="4">
    <nc r="E269">
      <v>5</v>
    </nc>
  </rcc>
  <rcc rId="1712" sId="8" numFmtId="4">
    <nc r="F269">
      <v>7</v>
    </nc>
  </rcc>
  <rcc rId="1713" sId="8" numFmtId="4">
    <nc r="G269">
      <v>2</v>
    </nc>
  </rcc>
  <rcc rId="1714" sId="8" numFmtId="4">
    <nc r="B270">
      <v>17</v>
    </nc>
  </rcc>
  <rcc rId="1715" sId="8" numFmtId="4">
    <nc r="C270">
      <v>48</v>
    </nc>
  </rcc>
  <rcc rId="1716" sId="8" numFmtId="4">
    <nc r="D270">
      <v>10</v>
    </nc>
  </rcc>
  <rcc rId="1717" sId="8" numFmtId="4">
    <nc r="E270">
      <v>14</v>
    </nc>
  </rcc>
  <rcc rId="1718" sId="8" numFmtId="4">
    <nc r="F270">
      <v>4</v>
    </nc>
  </rcc>
  <rcc rId="1719" sId="8" numFmtId="4">
    <nc r="G270">
      <v>0</v>
    </nc>
  </rcc>
  <rcc rId="1720" sId="8" numFmtId="4">
    <nc r="B271">
      <v>17</v>
    </nc>
  </rcc>
  <rcc rId="1721" sId="8" numFmtId="4">
    <nc r="C271">
      <v>29</v>
    </nc>
  </rcc>
  <rcc rId="1722" sId="8" numFmtId="4">
    <nc r="D271">
      <v>9</v>
    </nc>
  </rcc>
  <rcc rId="1723" sId="8" numFmtId="4">
    <nc r="E271">
      <v>15</v>
    </nc>
  </rcc>
  <rcc rId="1724" sId="8" numFmtId="4">
    <nc r="F271">
      <v>10</v>
    </nc>
  </rcc>
  <rcc rId="1725" sId="8" numFmtId="4">
    <nc r="G271">
      <v>0</v>
    </nc>
  </rcc>
  <rcc rId="1726" sId="8" numFmtId="4">
    <nc r="B272">
      <v>17</v>
    </nc>
  </rcc>
  <rcc rId="1727" sId="8" numFmtId="4">
    <nc r="C272">
      <v>29</v>
    </nc>
  </rcc>
  <rcc rId="1728" sId="8" numFmtId="4">
    <nc r="D272">
      <v>18</v>
    </nc>
  </rcc>
  <rcc rId="1729" sId="8" numFmtId="4">
    <nc r="E272">
      <v>20</v>
    </nc>
  </rcc>
  <rcc rId="1730" sId="8" numFmtId="4">
    <nc r="G272">
      <v>0</v>
    </nc>
  </rcc>
  <rcc rId="1731" sId="8" numFmtId="4">
    <nc r="F272">
      <v>5</v>
    </nc>
  </rcc>
  <rcc rId="1732" sId="8" numFmtId="4">
    <nc r="B273">
      <v>17</v>
    </nc>
  </rcc>
  <rcc rId="1733" sId="8" numFmtId="4">
    <nc r="C273">
      <v>29</v>
    </nc>
  </rcc>
  <rcc rId="1734" sId="8" numFmtId="4">
    <nc r="D273">
      <v>11</v>
    </nc>
  </rcc>
  <rcc rId="1735" sId="8" numFmtId="4">
    <nc r="E273">
      <v>28</v>
    </nc>
  </rcc>
  <rcc rId="1736" sId="8" numFmtId="4">
    <nc r="F273">
      <v>14</v>
    </nc>
  </rcc>
  <rcc rId="1737" sId="8" numFmtId="4">
    <nc r="G273">
      <v>0</v>
    </nc>
  </rcc>
  <rcc rId="1738" sId="8" numFmtId="4">
    <nc r="B274">
      <v>17</v>
    </nc>
  </rcc>
  <rcc rId="1739" sId="8" numFmtId="4">
    <nc r="C274">
      <v>48</v>
    </nc>
  </rcc>
  <rcc rId="1740" sId="8" numFmtId="4">
    <nc r="D274">
      <v>10</v>
    </nc>
  </rcc>
  <rcc rId="1741" sId="8" numFmtId="4">
    <nc r="E274">
      <v>14</v>
    </nc>
  </rcc>
  <rcc rId="1742" sId="8" numFmtId="4">
    <nc r="F274">
      <v>4</v>
    </nc>
  </rcc>
  <rcc rId="1743" sId="8" numFmtId="4">
    <nc r="G274">
      <v>0</v>
    </nc>
  </rcc>
  <rcc rId="1744" sId="8" numFmtId="4">
    <nc r="B275">
      <v>17</v>
    </nc>
  </rcc>
  <rcc rId="1745" sId="8" numFmtId="4">
    <nc r="C275">
      <v>48</v>
    </nc>
  </rcc>
  <rcc rId="1746" sId="8" numFmtId="4">
    <nc r="D275">
      <v>11</v>
    </nc>
  </rcc>
  <rcc rId="1747" sId="8" numFmtId="4">
    <nc r="E275">
      <v>19</v>
    </nc>
  </rcc>
  <rcc rId="1748" sId="8" numFmtId="4">
    <nc r="F275">
      <v>10</v>
    </nc>
  </rcc>
  <rcc rId="1749" sId="8" numFmtId="4">
    <nc r="G275">
      <v>0</v>
    </nc>
  </rcc>
  <rcc rId="1750" sId="8" numFmtId="4">
    <nc r="B276">
      <v>17</v>
    </nc>
  </rcc>
  <rcc rId="1751" sId="8" numFmtId="4">
    <nc r="C276">
      <v>48</v>
    </nc>
  </rcc>
  <rcc rId="1752" sId="8" numFmtId="4">
    <nc r="D276">
      <v>12</v>
    </nc>
  </rcc>
  <rcc rId="1753" sId="8" numFmtId="4">
    <nc r="E276">
      <v>28</v>
    </nc>
  </rcc>
  <rcc rId="1754" sId="8" numFmtId="4">
    <nc r="F276">
      <v>14</v>
    </nc>
  </rcc>
  <rcc rId="1755" sId="8" numFmtId="4">
    <nc r="G276">
      <v>0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1855" sId="8" numFmtId="4">
    <nc r="B279">
      <v>17</v>
    </nc>
  </rcc>
  <rcc rId="1856" sId="8" numFmtId="4">
    <nc r="C279">
      <v>37</v>
    </nc>
  </rcc>
  <rcc rId="1857" sId="8" numFmtId="4">
    <nc r="D279">
      <v>11</v>
    </nc>
  </rcc>
  <rcc rId="1858" sId="8" numFmtId="4">
    <nc r="E279">
      <v>12</v>
    </nc>
  </rcc>
  <rcc rId="1859" sId="8" numFmtId="4">
    <nc r="F279">
      <v>8</v>
    </nc>
  </rcc>
  <rcc rId="1860" sId="8" numFmtId="4">
    <nc r="G279">
      <v>0</v>
    </nc>
  </rcc>
  <rcc rId="1861" sId="8" numFmtId="4">
    <nc r="B280">
      <v>17</v>
    </nc>
  </rcc>
  <rcc rId="1862" sId="8" numFmtId="4">
    <nc r="C280">
      <v>29</v>
    </nc>
  </rcc>
  <rcc rId="1863" sId="8" numFmtId="4">
    <nc r="D280">
      <v>12</v>
    </nc>
  </rcc>
  <rcc rId="1864" sId="8" numFmtId="4">
    <nc r="E280">
      <v>17</v>
    </nc>
  </rcc>
  <rcc rId="1865" sId="8" numFmtId="4">
    <nc r="F280">
      <v>19</v>
    </nc>
  </rcc>
  <rcc rId="1866" sId="8" numFmtId="4">
    <nc r="G280">
      <v>0</v>
    </nc>
  </rcc>
  <rcc rId="1867" sId="8" numFmtId="4">
    <nc r="B281">
      <v>17</v>
    </nc>
  </rcc>
  <rcc rId="1868" sId="8" numFmtId="4">
    <nc r="C281">
      <v>29</v>
    </nc>
  </rcc>
  <rcc rId="1869" sId="8" numFmtId="4">
    <nc r="D281">
      <v>13</v>
    </nc>
  </rcc>
  <rcc rId="1870" sId="8" numFmtId="4">
    <nc r="E281">
      <v>15</v>
    </nc>
  </rcc>
  <rcc rId="1871" sId="8" numFmtId="4">
    <nc r="F281">
      <v>10</v>
    </nc>
  </rcc>
  <rcc rId="1872" sId="8" numFmtId="4">
    <nc r="G281">
      <v>0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1657" sId="11" numFmtId="4">
    <nc r="B437">
      <v>2</v>
    </nc>
  </rcc>
  <rcc rId="1658" sId="11" numFmtId="4">
    <nc r="C437">
      <v>11</v>
    </nc>
  </rcc>
  <rcc rId="1659" sId="11" numFmtId="4">
    <nc r="D437">
      <v>14</v>
    </nc>
  </rcc>
  <rcc rId="1660" sId="11" numFmtId="4">
    <nc r="E437">
      <v>9</v>
    </nc>
  </rcc>
  <rcc rId="1661" sId="11" numFmtId="4">
    <nc r="F437">
      <v>6</v>
    </nc>
  </rcc>
  <rcc rId="1662" sId="11" numFmtId="4">
    <nc r="G437">
      <v>5</v>
    </nc>
  </rcc>
  <rcc rId="1663" sId="11" numFmtId="4">
    <nc r="H437">
      <v>0</v>
    </nc>
  </rcc>
  <rcc rId="1664" sId="11" numFmtId="4">
    <nc r="B438">
      <v>2</v>
    </nc>
  </rcc>
  <rcc rId="1665" sId="11" numFmtId="4">
    <nc r="C438">
      <v>11</v>
    </nc>
  </rcc>
  <rcc rId="1666" sId="11" numFmtId="4">
    <nc r="D438">
      <v>13</v>
    </nc>
  </rcc>
  <rcc rId="1667" sId="11" numFmtId="4">
    <nc r="E438">
      <v>2</v>
    </nc>
  </rcc>
  <rcc rId="1668" sId="11" numFmtId="4">
    <nc r="F438">
      <v>2</v>
    </nc>
  </rcc>
  <rcc rId="1669" sId="11" numFmtId="4">
    <nc r="G438">
      <v>1</v>
    </nc>
  </rcc>
  <rcc rId="1670" sId="11" numFmtId="4">
    <nc r="H438">
      <v>0</v>
    </nc>
  </rcc>
  <rcc rId="1671" sId="11" numFmtId="4">
    <nc r="B439">
      <v>2</v>
    </nc>
  </rcc>
  <rcc rId="1672" sId="11" numFmtId="4">
    <nc r="C439">
      <v>11</v>
    </nc>
  </rcc>
  <rcc rId="1673" sId="11" numFmtId="4">
    <nc r="D439">
      <v>12</v>
    </nc>
  </rcc>
  <rcc rId="1674" sId="11" numFmtId="4">
    <nc r="E439">
      <v>6</v>
    </nc>
  </rcc>
  <rcc rId="1675" sId="11" numFmtId="4">
    <nc r="F439">
      <v>3</v>
    </nc>
  </rcc>
  <rcc rId="1676" sId="11" numFmtId="4">
    <nc r="G439">
      <v>1</v>
    </nc>
  </rcc>
  <rcc rId="1677" sId="11" numFmtId="4">
    <nc r="H439">
      <v>0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cc rId="268" sId="8" numFmtId="4">
    <nc r="B209">
      <v>17</v>
    </nc>
  </rcc>
  <rcc rId="269" sId="8" numFmtId="4">
    <nc r="C209">
      <v>43</v>
    </nc>
  </rcc>
  <rcc rId="270" sId="8" numFmtId="4">
    <nc r="D209">
      <v>11</v>
    </nc>
  </rcc>
  <rcc rId="271" sId="8" numFmtId="4">
    <nc r="E209">
      <v>14</v>
    </nc>
  </rcc>
  <rcc rId="272" sId="8" numFmtId="4">
    <nc r="F209">
      <v>31</v>
    </nc>
  </rcc>
  <rcc rId="273" sId="8" numFmtId="4">
    <nc r="G209">
      <v>5</v>
    </nc>
  </rcc>
  <rcc rId="274" sId="8" numFmtId="4">
    <nc r="B210">
      <v>17</v>
    </nc>
  </rcc>
  <rcc rId="275" sId="8" numFmtId="4">
    <nc r="C210">
      <v>31</v>
    </nc>
  </rcc>
  <rcc rId="276" sId="8" numFmtId="4">
    <nc r="D210">
      <v>10</v>
    </nc>
  </rcc>
  <rcc rId="277" sId="8" numFmtId="4">
    <nc r="E210">
      <v>13</v>
    </nc>
  </rcc>
  <rcc rId="278" sId="8" numFmtId="4">
    <nc r="F210">
      <v>12</v>
    </nc>
  </rcc>
  <rcc rId="279" sId="8" numFmtId="4">
    <nc r="G210">
      <v>0</v>
    </nc>
  </rcc>
  <rcc rId="280" sId="8" numFmtId="4">
    <nc r="B211">
      <v>17</v>
    </nc>
  </rcc>
  <rcc rId="281" sId="8" numFmtId="4">
    <nc r="C211">
      <v>36</v>
    </nc>
  </rcc>
  <rcc rId="282" sId="8" numFmtId="4">
    <nc r="D211">
      <v>12</v>
    </nc>
  </rcc>
  <rcc rId="283" sId="8" numFmtId="4">
    <nc r="E211">
      <v>6</v>
    </nc>
  </rcc>
  <rcc rId="284" sId="8" numFmtId="4">
    <nc r="F211">
      <v>4</v>
    </nc>
  </rcc>
  <rcc rId="285" sId="8" numFmtId="4">
    <nc r="G211">
      <v>0</v>
    </nc>
  </rcc>
  <rcc rId="286" sId="8" numFmtId="4">
    <nc r="B212">
      <v>17</v>
    </nc>
  </rcc>
  <rcc rId="287" sId="8" numFmtId="4">
    <nc r="C212">
      <v>36</v>
    </nc>
  </rcc>
  <rcc rId="288" sId="8" numFmtId="4">
    <nc r="D212">
      <v>13</v>
    </nc>
  </rcc>
  <rcc rId="289" sId="8" numFmtId="4">
    <nc r="E212">
      <v>8</v>
    </nc>
  </rcc>
  <rcc rId="290" sId="8" numFmtId="4">
    <nc r="F212">
      <v>5</v>
    </nc>
  </rcc>
  <rcc rId="291" sId="8" numFmtId="4">
    <nc r="G212">
      <v>0</v>
    </nc>
  </rcc>
  <rcv guid="{43751384-8D2C-4877-853C-4CE893CAF1E6}" action="delete"/>
  <rcv guid="{43751384-8D2C-4877-853C-4CE893CAF1E6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c rId="1358" sId="8" numFmtId="4">
    <nc r="F259">
      <v>0</v>
    </nc>
  </rcc>
  <rcc rId="1359" sId="8" numFmtId="4">
    <nc r="G259">
      <v>0</v>
    </nc>
  </rcc>
  <rcc rId="1360" sId="8" numFmtId="4">
    <nc r="B260">
      <v>17</v>
    </nc>
  </rcc>
  <rcc rId="1361" sId="8" numFmtId="4">
    <nc r="C260">
      <v>39</v>
    </nc>
  </rcc>
  <rcc rId="1362" sId="8" numFmtId="4">
    <nc r="D260">
      <v>13</v>
    </nc>
  </rcc>
  <rcc rId="1363" sId="8" numFmtId="4">
    <nc r="E260">
      <v>18</v>
    </nc>
  </rcc>
  <rcc rId="1364" sId="8" numFmtId="4">
    <nc r="F260">
      <v>3</v>
    </nc>
  </rcc>
  <rcc rId="1365" sId="8" numFmtId="4">
    <nc r="G260">
      <v>0</v>
    </nc>
  </rcc>
  <rcc rId="1366" sId="8" numFmtId="4">
    <nc r="B261">
      <v>17</v>
    </nc>
  </rcc>
  <rcc rId="1367" sId="8" numFmtId="4">
    <nc r="C261">
      <v>39</v>
    </nc>
  </rcc>
  <rcc rId="1368" sId="8" numFmtId="4">
    <nc r="D261">
      <v>14</v>
    </nc>
  </rcc>
  <rcc rId="1369" sId="8" numFmtId="4">
    <nc r="E261">
      <v>21</v>
    </nc>
  </rcc>
  <rcc rId="1370" sId="8" numFmtId="4">
    <nc r="F261">
      <v>7</v>
    </nc>
  </rcc>
  <rcc rId="1371" sId="8" numFmtId="4">
    <nc r="G261">
      <v>0</v>
    </nc>
  </rcc>
  <rcc rId="1372" sId="8" numFmtId="4">
    <nc r="B262">
      <v>17</v>
    </nc>
  </rcc>
  <rcc rId="1373" sId="8" numFmtId="4">
    <nc r="C262">
      <v>39</v>
    </nc>
  </rcc>
  <rcc rId="1374" sId="8" numFmtId="4">
    <nc r="D262">
      <v>15</v>
    </nc>
  </rcc>
  <rcc rId="1375" sId="8" numFmtId="4">
    <nc r="E262">
      <v>18</v>
    </nc>
  </rcc>
  <rcc rId="1376" sId="8" numFmtId="4">
    <nc r="F262">
      <v>5</v>
    </nc>
  </rcc>
  <rcc rId="1377" sId="8" numFmtId="4">
    <nc r="G262">
      <v>0</v>
    </nc>
  </rcc>
  <rcc rId="1378" sId="5" numFmtId="4">
    <nc r="B224">
      <v>14</v>
    </nc>
  </rcc>
  <rcc rId="1379" sId="5" numFmtId="4">
    <nc r="C224">
      <v>35</v>
    </nc>
  </rcc>
  <rcc rId="1380" sId="5" numFmtId="4">
    <nc r="D224">
      <v>14</v>
    </nc>
  </rcc>
  <rcc rId="1381" sId="5" numFmtId="4">
    <nc r="E224">
      <v>11</v>
    </nc>
  </rcc>
  <rcc rId="1382" sId="5" numFmtId="4">
    <nc r="F224">
      <v>10</v>
    </nc>
  </rcc>
  <rcc rId="1383" sId="5" numFmtId="4">
    <nc r="G224">
      <v>4</v>
    </nc>
  </rcc>
  <rcv guid="{43751384-8D2C-4877-853C-4CE893CAF1E6}" action="delete"/>
  <rcv guid="{43751384-8D2C-4877-853C-4CE893CAF1E6}" action="add"/>
</revisions>
</file>

<file path=xl/revisions/revisionLog131.xml><?xml version="1.0" encoding="utf-8"?>
<revisions xmlns="http://schemas.openxmlformats.org/spreadsheetml/2006/main" xmlns:r="http://schemas.openxmlformats.org/officeDocument/2006/relationships">
  <rcc rId="1140" sId="11" numFmtId="4">
    <nc r="B407">
      <v>2</v>
    </nc>
  </rcc>
  <rcc rId="1141" sId="11" numFmtId="4">
    <nc r="C407">
      <v>23</v>
    </nc>
  </rcc>
  <rcc rId="1142" sId="11" numFmtId="4">
    <nc r="D407">
      <v>13</v>
    </nc>
  </rcc>
  <rcc rId="1143" sId="11" numFmtId="4">
    <nc r="E407">
      <v>11</v>
    </nc>
  </rcc>
  <rcc rId="1144" sId="11" numFmtId="4">
    <nc r="F407">
      <v>10</v>
    </nc>
  </rcc>
  <rcc rId="1145" sId="11" numFmtId="4">
    <nc r="G407">
      <v>0</v>
    </nc>
  </rcc>
  <rcc rId="1146" sId="11" numFmtId="4">
    <nc r="H407">
      <v>0</v>
    </nc>
  </rcc>
  <rcc rId="1147" sId="11" numFmtId="4">
    <nc r="B408">
      <v>2</v>
    </nc>
  </rcc>
  <rcc rId="1148" sId="11" numFmtId="4">
    <nc r="C408">
      <v>23</v>
    </nc>
  </rcc>
  <rcc rId="1149" sId="11" numFmtId="4">
    <nc r="D408">
      <v>12</v>
    </nc>
  </rcc>
  <rcc rId="1150" sId="11" numFmtId="4">
    <nc r="E408">
      <v>1</v>
    </nc>
  </rcc>
  <rcc rId="1151" sId="11" numFmtId="4">
    <nc r="F408">
      <v>4</v>
    </nc>
  </rcc>
  <rcc rId="1152" sId="11" numFmtId="4">
    <nc r="G408">
      <v>1</v>
    </nc>
  </rcc>
  <rcc rId="1153" sId="11" numFmtId="4">
    <nc r="H408">
      <v>0</v>
    </nc>
  </rcc>
  <rcc rId="1154" sId="11" numFmtId="4">
    <nc r="B409">
      <v>2</v>
    </nc>
  </rcc>
  <rcc rId="1155" sId="11" numFmtId="4">
    <nc r="C409">
      <v>23</v>
    </nc>
  </rcc>
  <rcc rId="1156" sId="11" numFmtId="4">
    <nc r="D409">
      <v>11</v>
    </nc>
  </rcc>
  <rcc rId="1157" sId="11" numFmtId="4">
    <nc r="E409">
      <v>0</v>
    </nc>
  </rcc>
  <rcc rId="1158" sId="11" numFmtId="4">
    <nc r="F409">
      <v>2</v>
    </nc>
  </rcc>
  <rcc rId="1159" sId="11" numFmtId="4">
    <nc r="G409">
      <v>0</v>
    </nc>
  </rcc>
  <rcc rId="1160" sId="11" numFmtId="4">
    <nc r="H409">
      <v>0</v>
    </nc>
  </rcc>
  <rcc rId="1161" sId="11" numFmtId="4">
    <nc r="B410">
      <v>2</v>
    </nc>
  </rcc>
  <rcc rId="1162" sId="11" numFmtId="4">
    <nc r="C410">
      <v>23</v>
    </nc>
  </rcc>
  <rcc rId="1163" sId="11" numFmtId="4">
    <nc r="D410">
      <v>10</v>
    </nc>
  </rcc>
  <rcc rId="1164" sId="11" numFmtId="4">
    <nc r="E410">
      <v>3</v>
    </nc>
  </rcc>
  <rcc rId="1165" sId="11" numFmtId="4">
    <nc r="F410">
      <v>6</v>
    </nc>
  </rcc>
  <rcc rId="1166" sId="11" numFmtId="4">
    <nc r="G410">
      <v>1</v>
    </nc>
  </rcc>
  <rcc rId="1167" sId="11" numFmtId="4">
    <nc r="H410">
      <v>0</v>
    </nc>
  </rcc>
  <rcc rId="1168" sId="11" numFmtId="4">
    <nc r="B411">
      <v>2</v>
    </nc>
  </rcc>
  <rcc rId="1169" sId="11" numFmtId="4">
    <nc r="C411">
      <v>23</v>
    </nc>
  </rcc>
  <rcc rId="1170" sId="11" numFmtId="4">
    <nc r="D411">
      <v>9</v>
    </nc>
  </rcc>
  <rcc rId="1171" sId="11" numFmtId="4">
    <nc r="E411">
      <v>4</v>
    </nc>
  </rcc>
  <rcc rId="1172" sId="11" numFmtId="4">
    <nc r="F411">
      <v>7</v>
    </nc>
  </rcc>
  <rcc rId="1173" sId="11" numFmtId="4">
    <nc r="G411">
      <v>0</v>
    </nc>
  </rcc>
  <rcc rId="1174" sId="11" numFmtId="4">
    <nc r="H411">
      <v>0</v>
    </nc>
  </rcc>
  <rcc rId="1175" sId="11" numFmtId="4">
    <nc r="B412">
      <v>2</v>
    </nc>
  </rcc>
  <rcc rId="1176" sId="11" numFmtId="4">
    <nc r="C412">
      <v>23</v>
    </nc>
  </rcc>
  <rcc rId="1177" sId="11" numFmtId="4">
    <nc r="D412">
      <v>8</v>
    </nc>
  </rcc>
  <rcc rId="1178" sId="11" numFmtId="4">
    <nc r="E412">
      <v>5</v>
    </nc>
  </rcc>
  <rcc rId="1179" sId="11" numFmtId="4">
    <nc r="F412">
      <v>9</v>
    </nc>
  </rcc>
  <rcc rId="1180" sId="11" numFmtId="4">
    <nc r="G412">
      <v>0</v>
    </nc>
  </rcc>
  <rcc rId="1181" sId="11" numFmtId="4">
    <nc r="H412">
      <v>0</v>
    </nc>
  </rcc>
  <rcc rId="1182" sId="11" numFmtId="4">
    <nc r="B413">
      <v>2</v>
    </nc>
  </rcc>
  <rcc rId="1183" sId="11" numFmtId="4">
    <nc r="C413">
      <v>17</v>
    </nc>
  </rcc>
  <rcc rId="1184" sId="11" numFmtId="4">
    <nc r="D413">
      <v>13</v>
    </nc>
  </rcc>
  <rcc rId="1185" sId="11" numFmtId="4">
    <nc r="E413">
      <v>15</v>
    </nc>
  </rcc>
  <rcc rId="1186" sId="11" numFmtId="4">
    <nc r="F413">
      <v>14</v>
    </nc>
  </rcc>
  <rcc rId="1187" sId="11" numFmtId="4">
    <nc r="G413">
      <v>8</v>
    </nc>
  </rcc>
  <rcc rId="1188" sId="11" numFmtId="4">
    <nc r="H413">
      <v>0</v>
    </nc>
  </rcc>
  <rcc rId="1189" sId="11" numFmtId="4">
    <nc r="B414">
      <v>2</v>
    </nc>
  </rcc>
  <rcc rId="1190" sId="11" numFmtId="4">
    <nc r="C414">
      <v>17</v>
    </nc>
  </rcc>
  <rcc rId="1191" sId="11" numFmtId="4">
    <nc r="D414">
      <v>14</v>
    </nc>
  </rcc>
  <rcc rId="1192" sId="11" numFmtId="4">
    <nc r="E414">
      <v>8</v>
    </nc>
  </rcc>
  <rcc rId="1193" sId="11" numFmtId="4">
    <nc r="F414">
      <v>5</v>
    </nc>
  </rcc>
  <rcc rId="1194" sId="11" numFmtId="4">
    <nc r="G414">
      <v>2</v>
    </nc>
  </rcc>
  <rcc rId="1195" sId="11" numFmtId="4">
    <nc r="H414">
      <v>0</v>
    </nc>
  </rcc>
  <rcc rId="1196" sId="11" numFmtId="4">
    <nc r="B415">
      <v>2</v>
    </nc>
  </rcc>
  <rcc rId="1197" sId="11" numFmtId="4">
    <nc r="C415">
      <v>14</v>
    </nc>
  </rcc>
  <rcc rId="1198" sId="11" numFmtId="4">
    <nc r="D415">
      <v>14</v>
    </nc>
  </rcc>
  <rcc rId="1199" sId="11" numFmtId="4">
    <nc r="E415">
      <v>16</v>
    </nc>
  </rcc>
  <rcc rId="1200" sId="11" numFmtId="4">
    <nc r="F415">
      <v>7</v>
    </nc>
  </rcc>
  <rcc rId="1201" sId="11" numFmtId="4">
    <nc r="G415">
      <v>2</v>
    </nc>
  </rcc>
  <rcc rId="1202" sId="11" numFmtId="4">
    <nc r="H415">
      <v>0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1437" sId="5" numFmtId="4">
    <nc r="B226">
      <v>14</v>
    </nc>
  </rcc>
  <rcc rId="1438" sId="5" numFmtId="4">
    <nc r="C226">
      <v>7</v>
    </nc>
  </rcc>
  <rcc rId="1439" sId="5" numFmtId="4">
    <nc r="D226">
      <v>14</v>
    </nc>
  </rcc>
  <rcc rId="1440" sId="5" numFmtId="4">
    <nc r="E226">
      <v>21</v>
    </nc>
  </rcc>
  <rcc rId="1441" sId="5" numFmtId="4">
    <nc r="F226">
      <v>3</v>
    </nc>
  </rcc>
  <rcc rId="1442" sId="5" numFmtId="4">
    <nc r="G226">
      <v>1</v>
    </nc>
  </rcc>
  <rcc rId="1443" sId="8" numFmtId="4">
    <nc r="B263">
      <v>17</v>
    </nc>
  </rcc>
  <rcc rId="1444" sId="8" numFmtId="4">
    <nc r="C263">
      <v>42</v>
    </nc>
  </rcc>
  <rcc rId="1445" sId="8" numFmtId="4">
    <nc r="D263">
      <v>16</v>
    </nc>
  </rcc>
  <rcc rId="1446" sId="8" numFmtId="4">
    <nc r="E263">
      <v>10</v>
    </nc>
  </rcc>
  <rcc rId="1447" sId="8" numFmtId="4">
    <nc r="F263">
      <v>3</v>
    </nc>
  </rcc>
  <rcc rId="1448" sId="8" numFmtId="4">
    <nc r="G263">
      <v>0</v>
    </nc>
  </rcc>
  <rcc rId="1449" sId="8" numFmtId="4">
    <nc r="B264">
      <v>17</v>
    </nc>
  </rcc>
  <rcc rId="1450" sId="8" numFmtId="4">
    <nc r="C264">
      <v>42</v>
    </nc>
  </rcc>
  <rcc rId="1451" sId="8" numFmtId="4">
    <nc r="D264">
      <v>14</v>
    </nc>
  </rcc>
  <rcc rId="1452" sId="8" numFmtId="4">
    <nc r="E264">
      <v>7</v>
    </nc>
  </rcc>
  <rcc rId="1453" sId="8" numFmtId="4">
    <nc r="F264">
      <v>4</v>
    </nc>
  </rcc>
  <rcc rId="1454" sId="8" numFmtId="4">
    <nc r="G264">
      <v>0</v>
    </nc>
  </rcc>
  <rcc rId="1455" sId="8" numFmtId="4">
    <nc r="B265">
      <v>17</v>
    </nc>
  </rcc>
  <rcc rId="1456" sId="8" numFmtId="4">
    <nc r="C265">
      <v>42</v>
    </nc>
  </rcc>
  <rcc rId="1457" sId="8" numFmtId="4">
    <nc r="D265">
      <v>15</v>
    </nc>
  </rcc>
  <rcc rId="1458" sId="8" numFmtId="4">
    <nc r="E265">
      <v>8</v>
    </nc>
  </rcc>
  <rcc rId="1459" sId="8" numFmtId="4">
    <nc r="F265">
      <v>5</v>
    </nc>
  </rcc>
  <rcc rId="1460" sId="8" numFmtId="4">
    <nc r="G265">
      <v>0</v>
    </nc>
  </rcc>
  <rcc rId="1461" sId="8" numFmtId="4">
    <nc r="B266">
      <v>17</v>
    </nc>
  </rcc>
  <rcc rId="1462" sId="8" numFmtId="4">
    <nc r="C266">
      <v>36</v>
    </nc>
  </rcc>
  <rcc rId="1463" sId="8" numFmtId="4">
    <nc r="D266">
      <v>14</v>
    </nc>
  </rcc>
  <rcc rId="1464" sId="8" numFmtId="4">
    <nc r="E266">
      <v>6</v>
    </nc>
  </rcc>
  <rcc rId="1465" sId="8" numFmtId="4">
    <nc r="F266">
      <v>3</v>
    </nc>
  </rcc>
  <rcc rId="1466" sId="8" numFmtId="4">
    <nc r="G266">
      <v>0</v>
    </nc>
  </rcc>
  <rcc rId="1467" sId="8" numFmtId="4">
    <nc r="B267">
      <v>17</v>
    </nc>
  </rcc>
  <rcc rId="1468" sId="8" numFmtId="4">
    <nc r="C267">
      <v>36</v>
    </nc>
  </rcc>
  <rcc rId="1469" sId="8" numFmtId="4">
    <nc r="D267">
      <v>15</v>
    </nc>
  </rcc>
  <rcc rId="1470" sId="8" numFmtId="4">
    <nc r="E267">
      <v>7</v>
    </nc>
  </rcc>
  <rcc rId="1471" sId="8" numFmtId="4">
    <nc r="F267">
      <v>4</v>
    </nc>
  </rcc>
  <rcc rId="1472" sId="8" numFmtId="4">
    <nc r="G267">
      <v>0</v>
    </nc>
  </rcc>
  <rcv guid="{43751384-8D2C-4877-853C-4CE893CAF1E6}" action="delete"/>
  <rcv guid="{43751384-8D2C-4877-853C-4CE893CAF1E6}" action="add"/>
</revisions>
</file>

<file path=xl/revisions/revisionLog151.xml><?xml version="1.0" encoding="utf-8"?>
<revisions xmlns="http://schemas.openxmlformats.org/spreadsheetml/2006/main" xmlns:r="http://schemas.openxmlformats.org/officeDocument/2006/relationships">
  <rcc rId="1596" sId="11" numFmtId="4">
    <nc r="B436">
      <v>2</v>
    </nc>
  </rcc>
  <rcc rId="1597" sId="11" numFmtId="4">
    <nc r="C436">
      <v>29</v>
    </nc>
  </rcc>
  <rcc rId="1598" sId="11" numFmtId="4">
    <nc r="D436">
      <v>15</v>
    </nc>
  </rcc>
  <rcc rId="1599" sId="11" numFmtId="4">
    <nc r="E436">
      <v>13</v>
    </nc>
  </rcc>
  <rcc rId="1600" sId="11" numFmtId="4">
    <nc r="F436">
      <v>12</v>
    </nc>
  </rcc>
  <rcc rId="1601" sId="11" numFmtId="4">
    <nc r="G436">
      <v>0</v>
    </nc>
  </rcc>
  <rcc rId="1602" sId="11" numFmtId="4">
    <nc r="H436">
      <v>0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cc rId="1885" sId="11" numFmtId="4">
    <nc r="B449">
      <v>2</v>
    </nc>
  </rcc>
  <rcc rId="1886" sId="11" numFmtId="4">
    <nc r="C449">
      <v>32</v>
    </nc>
  </rcc>
  <rcc rId="1887" sId="11" numFmtId="4">
    <nc r="D449">
      <v>15</v>
    </nc>
  </rcc>
  <rcc rId="1888" sId="11" numFmtId="4">
    <nc r="E449">
      <v>11</v>
    </nc>
  </rcc>
  <rcc rId="1889" sId="11" numFmtId="4">
    <nc r="F449">
      <v>14</v>
    </nc>
  </rcc>
  <rcc rId="1890" sId="11" numFmtId="4">
    <nc r="G449">
      <v>0</v>
    </nc>
  </rcc>
  <rcc rId="1891" sId="11" numFmtId="4">
    <nc r="H449">
      <v>0</v>
    </nc>
  </rcc>
  <rcc rId="1892" sId="11" numFmtId="4">
    <nc r="B450">
      <v>2</v>
    </nc>
  </rcc>
  <rcc rId="1893" sId="11" numFmtId="4">
    <nc r="C450">
      <v>22</v>
    </nc>
  </rcc>
  <rcc rId="1894" sId="11" numFmtId="4">
    <nc r="D450">
      <v>15</v>
    </nc>
  </rcc>
  <rcc rId="1895" sId="11" numFmtId="4">
    <nc r="E450">
      <v>2</v>
    </nc>
  </rcc>
  <rcc rId="1896" sId="11" numFmtId="4">
    <nc r="F450">
      <v>4</v>
    </nc>
  </rcc>
  <rcc rId="1897" sId="11" numFmtId="4">
    <nc r="G450">
      <v>0</v>
    </nc>
  </rcc>
  <rcc rId="1898" sId="11" numFmtId="4">
    <nc r="H450">
      <v>0</v>
    </nc>
  </rcc>
  <rcc rId="1899" sId="11" numFmtId="4">
    <nc r="B451">
      <v>2</v>
    </nc>
  </rcc>
  <rcc rId="1900" sId="11" numFmtId="4">
    <nc r="C451">
      <v>10</v>
    </nc>
  </rcc>
  <rcc rId="1901" sId="11" numFmtId="4">
    <nc r="D451">
      <v>9</v>
    </nc>
  </rcc>
  <rcc rId="1902" sId="11" numFmtId="4">
    <nc r="E451">
      <v>31</v>
    </nc>
  </rcc>
  <rcc rId="1903" sId="11" numFmtId="4">
    <nc r="F451">
      <v>10</v>
    </nc>
  </rcc>
  <rcc rId="1904" sId="11" numFmtId="4">
    <nc r="G451">
      <v>9</v>
    </nc>
  </rcc>
  <rcc rId="1905" sId="11" numFmtId="4">
    <nc r="H451">
      <v>0</v>
    </nc>
  </rcc>
  <rcc rId="1906" sId="11" numFmtId="4">
    <nc r="B452">
      <v>2</v>
    </nc>
  </rcc>
  <rcc rId="1907" sId="11" numFmtId="4">
    <nc r="C452">
      <v>10</v>
    </nc>
  </rcc>
  <rcc rId="1908" sId="11" numFmtId="4">
    <nc r="D452">
      <v>10</v>
    </nc>
  </rcc>
  <rcc rId="1909" sId="11" numFmtId="4">
    <nc r="E452">
      <v>13</v>
    </nc>
  </rcc>
  <rcc rId="1910" sId="11" numFmtId="4">
    <nc r="F452">
      <v>4</v>
    </nc>
  </rcc>
  <rcc rId="1911" sId="11" numFmtId="4">
    <nc r="G452">
      <v>5</v>
    </nc>
  </rcc>
  <rcc rId="1912" sId="11" numFmtId="4">
    <nc r="H452">
      <v>0</v>
    </nc>
  </rcc>
  <rcc rId="1913" sId="11" numFmtId="4">
    <nc r="B453">
      <v>2</v>
    </nc>
  </rcc>
  <rcc rId="1914" sId="11" numFmtId="4">
    <nc r="C453">
      <v>34</v>
    </nc>
  </rcc>
  <rcc rId="1915" sId="11" numFmtId="4">
    <nc r="D453">
      <v>15</v>
    </nc>
  </rcc>
  <rcc rId="1916" sId="11" numFmtId="4">
    <nc r="E453">
      <v>4</v>
    </nc>
  </rcc>
  <rcc rId="1917" sId="11" numFmtId="4">
    <nc r="F453">
      <v>20</v>
    </nc>
  </rcc>
  <rcc rId="1918" sId="11" numFmtId="4">
    <nc r="G453">
      <v>0</v>
    </nc>
  </rcc>
  <rcc rId="1919" sId="11" numFmtId="4">
    <nc r="H453">
      <v>0</v>
    </nc>
  </rcc>
  <rcc rId="1920" sId="2" numFmtId="4">
    <nc r="B84">
      <v>15</v>
    </nc>
  </rcc>
  <rcc rId="1921" sId="2" numFmtId="4">
    <nc r="C84">
      <v>21</v>
    </nc>
  </rcc>
  <rcc rId="1922" sId="2" numFmtId="4">
    <nc r="D84">
      <v>15</v>
    </nc>
  </rcc>
  <rcc rId="1923" sId="2" numFmtId="4">
    <nc r="E84">
      <v>10</v>
    </nc>
  </rcc>
  <rcc rId="1924" sId="2" numFmtId="4">
    <nc r="F84">
      <v>14</v>
    </nc>
  </rcc>
  <rcc rId="1925" sId="2" numFmtId="4">
    <nc r="G84">
      <v>0</v>
    </nc>
  </rcc>
  <rcc rId="1926" sId="2" numFmtId="4">
    <nc r="B85">
      <v>15</v>
    </nc>
  </rcc>
  <rcc rId="1927" sId="2" numFmtId="4">
    <nc r="C85">
      <v>21</v>
    </nc>
  </rcc>
  <rcc rId="1928" sId="2" numFmtId="4">
    <nc r="D85">
      <v>16</v>
    </nc>
  </rcc>
  <rcc rId="1929" sId="2" numFmtId="4">
    <nc r="E85">
      <v>5</v>
    </nc>
  </rcc>
  <rcc rId="1930" sId="2" numFmtId="4">
    <nc r="F85">
      <v>9</v>
    </nc>
  </rcc>
  <rcc rId="1931" sId="2" numFmtId="4">
    <nc r="G85">
      <v>0</v>
    </nc>
  </rcc>
  <rcc rId="1932" sId="2" numFmtId="4">
    <nc r="B86">
      <v>15</v>
    </nc>
  </rcc>
  <rcc rId="1933" sId="2" numFmtId="4">
    <nc r="C86">
      <v>21</v>
    </nc>
  </rcc>
  <rcc rId="1934" sId="2" numFmtId="4">
    <nc r="D86">
      <v>14</v>
    </nc>
  </rcc>
  <rcc rId="1935" sId="2" numFmtId="4">
    <nc r="E86">
      <v>12</v>
    </nc>
  </rcc>
  <rcc rId="1936" sId="2" numFmtId="4">
    <nc r="F86">
      <v>11</v>
    </nc>
  </rcc>
  <rcc rId="1937" sId="2" numFmtId="4">
    <nc r="G86">
      <v>0</v>
    </nc>
  </rcc>
  <rcc rId="1938" sId="11" numFmtId="4">
    <nc r="B454">
      <v>2</v>
    </nc>
  </rcc>
  <rcc rId="1939" sId="11" numFmtId="4">
    <nc r="C454">
      <v>17</v>
    </nc>
  </rcc>
  <rcc rId="1940" sId="11" numFmtId="4">
    <nc r="D454">
      <v>15</v>
    </nc>
  </rcc>
  <rcc rId="1941" sId="11" numFmtId="4">
    <nc r="E454">
      <v>5</v>
    </nc>
  </rcc>
  <rcc rId="1942" sId="11" numFmtId="4">
    <nc r="F454">
      <v>8</v>
    </nc>
  </rcc>
  <rcc rId="1943" sId="11" numFmtId="4">
    <nc r="G454">
      <v>4</v>
    </nc>
  </rcc>
  <rcc rId="1944" sId="11" numFmtId="4">
    <nc r="H454">
      <v>0</v>
    </nc>
  </rcc>
  <rcc rId="1945" sId="11" numFmtId="4">
    <nc r="B455">
      <v>2</v>
    </nc>
  </rcc>
  <rcc rId="1946" sId="11" numFmtId="4">
    <nc r="C455">
      <v>17</v>
    </nc>
  </rcc>
  <rcc rId="1947" sId="11" numFmtId="4">
    <nc r="D455">
      <v>16</v>
    </nc>
  </rcc>
  <rcc rId="1948" sId="11" numFmtId="4">
    <nc r="E455">
      <v>11</v>
    </nc>
  </rcc>
  <rcc rId="1949" sId="11" numFmtId="4">
    <nc r="F455">
      <v>7</v>
    </nc>
  </rcc>
  <rcc rId="1950" sId="11" numFmtId="4">
    <nc r="G455">
      <v>5</v>
    </nc>
  </rcc>
  <rcc rId="1951" sId="11" numFmtId="4">
    <nc r="H455">
      <v>0</v>
    </nc>
  </rcc>
  <rcc rId="1952" sId="11" numFmtId="4">
    <nc r="B456">
      <v>2</v>
    </nc>
  </rcc>
  <rcc rId="1953" sId="11" numFmtId="4">
    <nc r="C456">
      <v>12</v>
    </nc>
  </rcc>
  <rcc rId="1954" sId="11" numFmtId="4">
    <nc r="D456">
      <v>15</v>
    </nc>
  </rcc>
  <rcc rId="1955" sId="11" numFmtId="4">
    <nc r="E456">
      <v>16</v>
    </nc>
  </rcc>
  <rcc rId="1956" sId="11" numFmtId="4">
    <nc r="F456">
      <v>10</v>
    </nc>
  </rcc>
  <rcc rId="1957" sId="11" numFmtId="4">
    <nc r="G456">
      <v>0</v>
    </nc>
  </rcc>
  <rcc rId="1958" sId="11" numFmtId="4">
    <nc r="H456">
      <v>0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>
  <rcc rId="1678" sId="5" numFmtId="4">
    <nc r="B237">
      <v>14</v>
    </nc>
  </rcc>
  <rcc rId="1679" sId="5" numFmtId="4">
    <nc r="C237">
      <v>4</v>
    </nc>
  </rcc>
  <rcc rId="1680" sId="5" numFmtId="4">
    <nc r="D237">
      <v>11</v>
    </nc>
  </rcc>
  <rcc rId="1681" sId="5" numFmtId="4">
    <nc r="E237">
      <v>13</v>
    </nc>
  </rcc>
  <rcc rId="1682" sId="5" numFmtId="4">
    <nc r="F237">
      <v>8</v>
    </nc>
  </rcc>
  <rcc rId="1683" sId="5" numFmtId="4">
    <nc r="G237">
      <v>4</v>
    </nc>
  </rcc>
  <rcc rId="1684" sId="5" numFmtId="4">
    <nc r="B238">
      <v>14</v>
    </nc>
  </rcc>
  <rcc rId="1685" sId="5" numFmtId="4">
    <nc r="C238">
      <v>4</v>
    </nc>
  </rcc>
  <rcc rId="1686" sId="5" numFmtId="4">
    <nc r="D238">
      <v>12</v>
    </nc>
  </rcc>
  <rcc rId="1687" sId="5" numFmtId="4">
    <nc r="E238">
      <v>15</v>
    </nc>
  </rcc>
  <rcc rId="1688" sId="5" numFmtId="4">
    <nc r="F238">
      <v>6</v>
    </nc>
  </rcc>
  <rcc rId="1689" sId="5" numFmtId="4">
    <nc r="G238">
      <v>4</v>
    </nc>
  </rcc>
  <rcc rId="1690" sId="5" numFmtId="4">
    <nc r="B239">
      <v>14</v>
    </nc>
  </rcc>
  <rcc rId="1691" sId="5" numFmtId="4">
    <nc r="C239">
      <v>4</v>
    </nc>
  </rcc>
  <rcc rId="1692" sId="5" numFmtId="4">
    <nc r="D239">
      <v>13</v>
    </nc>
  </rcc>
  <rcc rId="1693" sId="5" numFmtId="4">
    <nc r="E239">
      <v>13</v>
    </nc>
  </rcc>
  <rcc rId="1694" sId="5" numFmtId="4">
    <nc r="F239">
      <v>9</v>
    </nc>
  </rcc>
  <rcc rId="1695" sId="5" numFmtId="4">
    <nc r="G239">
      <v>3</v>
    </nc>
  </rcc>
  <rcc rId="1696" sId="5" numFmtId="4">
    <nc r="B240">
      <v>14</v>
    </nc>
  </rcc>
  <rcc rId="1697" sId="5" numFmtId="4">
    <nc r="C240">
      <v>4</v>
    </nc>
  </rcc>
  <rcc rId="1698" sId="5" numFmtId="4">
    <nc r="D240">
      <v>10</v>
    </nc>
  </rcc>
  <rcc rId="1699" sId="5" numFmtId="4">
    <nc r="E240">
      <v>15</v>
    </nc>
  </rcc>
  <rcc rId="1700" sId="5" numFmtId="4">
    <nc r="F240">
      <v>7</v>
    </nc>
  </rcc>
  <rcc rId="1701" sId="5" numFmtId="4">
    <nc r="G240">
      <v>3</v>
    </nc>
  </rcc>
</revisions>
</file>

<file path=xl/revisions/revisionLog1111.xml><?xml version="1.0" encoding="utf-8"?>
<revisions xmlns="http://schemas.openxmlformats.org/spreadsheetml/2006/main" xmlns:r="http://schemas.openxmlformats.org/officeDocument/2006/relationships">
  <rcc rId="1" sId="11" numFmtId="4">
    <nc r="B315">
      <v>2</v>
    </nc>
  </rcc>
  <rcc rId="2" sId="11" numFmtId="4">
    <nc r="C315">
      <v>28</v>
    </nc>
  </rcc>
  <rcc rId="3" sId="11" numFmtId="4">
    <nc r="D315">
      <v>10</v>
    </nc>
  </rcc>
  <rcc rId="4" sId="11" numFmtId="4">
    <nc r="E315">
      <v>43</v>
    </nc>
  </rcc>
  <rcc rId="5" sId="11" numFmtId="4">
    <nc r="F315">
      <v>22</v>
    </nc>
  </rcc>
  <rcc rId="6" sId="11" numFmtId="4">
    <nc r="G315">
      <v>0</v>
    </nc>
  </rcc>
  <rcc rId="7" sId="11" numFmtId="4">
    <nc r="H315">
      <v>0</v>
    </nc>
  </rcc>
  <rcc rId="8" sId="11" numFmtId="4">
    <nc r="B316">
      <v>2</v>
    </nc>
  </rcc>
  <rcc rId="9" sId="11" numFmtId="4">
    <nc r="C316">
      <v>28</v>
    </nc>
  </rcc>
  <rcc rId="10" sId="11" numFmtId="4">
    <nc r="D316">
      <v>9</v>
    </nc>
  </rcc>
  <rcc rId="11" sId="11" numFmtId="4">
    <nc r="E316">
      <v>30</v>
    </nc>
  </rcc>
  <rcc rId="12" sId="11" numFmtId="4">
    <nc r="F316">
      <v>5</v>
    </nc>
  </rcc>
  <rcc rId="13" sId="11" numFmtId="4">
    <nc r="G316">
      <v>1</v>
    </nc>
  </rcc>
  <rcc rId="14" sId="11" numFmtId="4">
    <nc r="H316">
      <v>0</v>
    </nc>
  </rcc>
  <rcc rId="15" sId="11" numFmtId="4">
    <nc r="B317">
      <v>2</v>
    </nc>
  </rcc>
  <rcc rId="16" sId="11" numFmtId="4">
    <nc r="C317">
      <v>28</v>
    </nc>
  </rcc>
  <rcc rId="17" sId="11" numFmtId="4">
    <nc r="D317">
      <v>8</v>
    </nc>
  </rcc>
  <rcc rId="18" sId="11" numFmtId="4">
    <nc r="E317">
      <v>33</v>
    </nc>
  </rcc>
  <rcc rId="19" sId="11" numFmtId="4">
    <nc r="F317">
      <v>25</v>
    </nc>
  </rcc>
  <rcc rId="20" sId="11" numFmtId="4">
    <nc r="G317">
      <v>0</v>
    </nc>
  </rcc>
  <rcc rId="21" sId="11" numFmtId="4">
    <nc r="H317">
      <v>0</v>
    </nc>
  </rcc>
  <rcc rId="22" sId="11" numFmtId="4">
    <nc r="B318">
      <v>2</v>
    </nc>
  </rcc>
  <rcc rId="23" sId="11" numFmtId="4">
    <nc r="C318">
      <v>28</v>
    </nc>
  </rcc>
  <rcc rId="24" sId="11" numFmtId="4">
    <nc r="D318">
      <v>7</v>
    </nc>
  </rcc>
  <rcc rId="25" sId="11" numFmtId="4">
    <nc r="E318">
      <v>18</v>
    </nc>
  </rcc>
  <rcc rId="26" sId="11" numFmtId="4">
    <nc r="F318">
      <v>12</v>
    </nc>
  </rcc>
  <rcc rId="27" sId="11" numFmtId="4">
    <nc r="G318">
      <v>0</v>
    </nc>
  </rcc>
  <rcc rId="28" sId="11" numFmtId="4">
    <nc r="H318">
      <v>0</v>
    </nc>
  </rcc>
  <rcc rId="29" sId="11" numFmtId="4">
    <nc r="B319">
      <v>2</v>
    </nc>
  </rcc>
  <rcc rId="30" sId="11" numFmtId="4">
    <nc r="C319">
      <v>28</v>
    </nc>
  </rcc>
  <rcc rId="31" sId="11" numFmtId="4">
    <nc r="D319">
      <v>5</v>
    </nc>
  </rcc>
  <rcc rId="32" sId="11" numFmtId="4">
    <nc r="E319">
      <v>20</v>
    </nc>
  </rcc>
  <rcc rId="33" sId="11" numFmtId="4">
    <nc r="F319">
      <v>10</v>
    </nc>
  </rcc>
  <rcc rId="34" sId="11" numFmtId="4">
    <nc r="G319">
      <v>5</v>
    </nc>
  </rcc>
  <rcc rId="35" sId="11" numFmtId="4">
    <nc r="H319">
      <v>0</v>
    </nc>
  </rcc>
  <rcc rId="36" sId="11" numFmtId="4">
    <nc r="B320">
      <v>2</v>
    </nc>
  </rcc>
  <rcc rId="37" sId="11" numFmtId="4">
    <nc r="C320">
      <v>28</v>
    </nc>
  </rcc>
  <rcc rId="38" sId="11" numFmtId="4">
    <nc r="D320">
      <v>4</v>
    </nc>
  </rcc>
  <rcc rId="39" sId="11" numFmtId="4">
    <nc r="E320">
      <v>16</v>
    </nc>
  </rcc>
  <rcc rId="40" sId="11" numFmtId="4">
    <nc r="F320">
      <v>8</v>
    </nc>
  </rcc>
  <rcc rId="41" sId="11" numFmtId="4">
    <nc r="G320">
      <v>2</v>
    </nc>
  </rcc>
  <rcc rId="42" sId="11" numFmtId="4">
    <nc r="H320">
      <v>0</v>
    </nc>
  </rcc>
  <rcc rId="43" sId="11" numFmtId="4">
    <nc r="B321">
      <v>2</v>
    </nc>
  </rcc>
  <rcc rId="44" sId="11" numFmtId="4">
    <nc r="C321">
      <v>27</v>
    </nc>
  </rcc>
  <rcc rId="45" sId="11" numFmtId="4">
    <nc r="D321">
      <v>11</v>
    </nc>
  </rcc>
  <rcc rId="46" sId="11" numFmtId="4">
    <nc r="E321">
      <v>10</v>
    </nc>
  </rcc>
  <rcc rId="47" sId="11" numFmtId="4">
    <nc r="F321">
      <v>11</v>
    </nc>
  </rcc>
  <rcc rId="48" sId="11" numFmtId="4">
    <nc r="G321">
      <v>0</v>
    </nc>
  </rcc>
  <rcc rId="49" sId="11" numFmtId="4">
    <nc r="H321">
      <v>0</v>
    </nc>
  </rcc>
  <rcc rId="50" sId="11" numFmtId="4">
    <nc r="B322">
      <v>2</v>
    </nc>
  </rcc>
  <rcc rId="51" sId="11" numFmtId="4">
    <nc r="C322">
      <v>27</v>
    </nc>
  </rcc>
  <rcc rId="52" sId="11" numFmtId="4">
    <nc r="D322">
      <v>12</v>
    </nc>
  </rcc>
  <rcc rId="53" sId="11" numFmtId="4">
    <nc r="E322">
      <v>26</v>
    </nc>
  </rcc>
  <rcc rId="54" sId="11" numFmtId="4">
    <nc r="F322">
      <v>28</v>
    </nc>
  </rcc>
  <rcc rId="55" sId="11" numFmtId="4">
    <nc r="G322">
      <v>3</v>
    </nc>
  </rcc>
  <rcc rId="56" sId="11" numFmtId="4">
    <nc r="H322">
      <v>0</v>
    </nc>
  </rcc>
  <rcc rId="57" sId="11" numFmtId="4">
    <nc r="B323">
      <v>2</v>
    </nc>
  </rcc>
  <rcc rId="58" sId="11" numFmtId="4">
    <nc r="C323">
      <v>27</v>
    </nc>
  </rcc>
  <rcc rId="59" sId="11" numFmtId="4">
    <nc r="D323">
      <v>10</v>
    </nc>
  </rcc>
  <rcc rId="60" sId="11" numFmtId="4">
    <nc r="E323">
      <v>20</v>
    </nc>
  </rcc>
  <rcc rId="61" sId="11" numFmtId="4">
    <nc r="F323">
      <v>8</v>
    </nc>
  </rcc>
  <rcc rId="62" sId="11" numFmtId="4">
    <nc r="G323">
      <v>0</v>
    </nc>
  </rcc>
  <rcc rId="63" sId="11" numFmtId="4">
    <nc r="H323">
      <v>0</v>
    </nc>
  </rcc>
  <rcc rId="64" sId="11" numFmtId="4">
    <nc r="B324">
      <v>2</v>
    </nc>
  </rcc>
  <rcc rId="65" sId="11" numFmtId="4">
    <nc r="C324">
      <v>27</v>
    </nc>
  </rcc>
  <rcc rId="66" sId="11" numFmtId="4">
    <nc r="D324">
      <v>15</v>
    </nc>
  </rcc>
  <rcc rId="67" sId="11" numFmtId="4">
    <nc r="E324">
      <v>9</v>
    </nc>
  </rcc>
  <rcc rId="68" sId="11" numFmtId="4">
    <nc r="F324">
      <v>9</v>
    </nc>
  </rcc>
  <rcc rId="69" sId="11" numFmtId="4">
    <nc r="G324">
      <v>0</v>
    </nc>
  </rcc>
  <rcc rId="70" sId="11" numFmtId="4">
    <nc r="H324">
      <v>0</v>
    </nc>
  </rcc>
  <rcc rId="71" sId="11" numFmtId="4">
    <nc r="B325">
      <v>2</v>
    </nc>
  </rcc>
  <rcc rId="72" sId="11" numFmtId="4">
    <nc r="C325">
      <v>27</v>
    </nc>
  </rcc>
  <rcc rId="73" sId="11" numFmtId="4">
    <nc r="D325">
      <v>8</v>
    </nc>
  </rcc>
  <rcc rId="74" sId="11" numFmtId="4">
    <nc r="E325">
      <v>13</v>
    </nc>
  </rcc>
  <rcc rId="75" sId="11" numFmtId="4">
    <nc r="F325">
      <v>7</v>
    </nc>
  </rcc>
  <rcc rId="76" sId="11" numFmtId="4">
    <nc r="G325">
      <v>0</v>
    </nc>
  </rcc>
  <rcc rId="77" sId="11" numFmtId="4">
    <nc r="H325">
      <v>0</v>
    </nc>
  </rcc>
  <rcc rId="78" sId="11" numFmtId="4">
    <nc r="B326">
      <v>2</v>
    </nc>
  </rcc>
  <rcc rId="79" sId="11" numFmtId="4">
    <nc r="C326">
      <v>27</v>
    </nc>
  </rcc>
  <rcc rId="80" sId="11" numFmtId="4">
    <nc r="D326">
      <v>7</v>
    </nc>
  </rcc>
  <rcc rId="81" sId="11" numFmtId="4">
    <nc r="E326">
      <v>9</v>
    </nc>
  </rcc>
  <rcc rId="82" sId="11" numFmtId="4">
    <nc r="F326">
      <v>13</v>
    </nc>
  </rcc>
  <rcc rId="83" sId="11" numFmtId="4">
    <nc r="G326">
      <v>0</v>
    </nc>
  </rcc>
  <rcc rId="84" sId="11" numFmtId="4">
    <nc r="H326">
      <v>0</v>
    </nc>
  </rcc>
  <rcc rId="85" sId="11" numFmtId="4">
    <nc r="B327">
      <v>2</v>
    </nc>
  </rcc>
  <rcc rId="86" sId="11" numFmtId="4">
    <nc r="C327">
      <v>27</v>
    </nc>
  </rcc>
  <rcc rId="87" sId="11" numFmtId="4">
    <nc r="D327">
      <v>6</v>
    </nc>
  </rcc>
  <rcc rId="88" sId="11" numFmtId="4">
    <nc r="E327">
      <v>9</v>
    </nc>
  </rcc>
  <rcc rId="89" sId="11" numFmtId="4">
    <nc r="F327">
      <v>11</v>
    </nc>
  </rcc>
  <rcc rId="90" sId="11" numFmtId="4">
    <nc r="G327">
      <v>1</v>
    </nc>
  </rcc>
  <rcc rId="91" sId="11" numFmtId="4">
    <nc r="H327">
      <v>1</v>
    </nc>
  </rcc>
  <rcc rId="92" sId="11" numFmtId="4">
    <nc r="B328">
      <v>2</v>
    </nc>
  </rcc>
  <rcc rId="93" sId="11" numFmtId="4">
    <nc r="C328">
      <v>26</v>
    </nc>
  </rcc>
  <rcc rId="94" sId="11" numFmtId="4">
    <nc r="D328">
      <v>5</v>
    </nc>
  </rcc>
  <rcc rId="95" sId="11" numFmtId="4">
    <nc r="E328">
      <v>15</v>
    </nc>
  </rcc>
  <rcc rId="96" sId="11" numFmtId="4">
    <nc r="F328">
      <v>5</v>
    </nc>
  </rcc>
  <rcc rId="97" sId="11" numFmtId="4">
    <nc r="G328">
      <v>2</v>
    </nc>
  </rcc>
  <rcc rId="98" sId="11" numFmtId="4">
    <nc r="H328">
      <v>1</v>
    </nc>
  </rcc>
  <rcc rId="99" sId="11" numFmtId="4">
    <nc r="B329">
      <v>2</v>
    </nc>
  </rcc>
  <rcc rId="100" sId="11" numFmtId="4">
    <nc r="C329">
      <v>14</v>
    </nc>
  </rcc>
  <rcc rId="101" sId="11" numFmtId="4">
    <nc r="D329">
      <v>12</v>
    </nc>
  </rcc>
  <rcc rId="102" sId="11" numFmtId="4">
    <nc r="E329">
      <v>6</v>
    </nc>
  </rcc>
  <rcc rId="103" sId="11" numFmtId="4">
    <nc r="F329">
      <v>3</v>
    </nc>
  </rcc>
  <rcc rId="104" sId="11" numFmtId="4">
    <nc r="G329">
      <v>1</v>
    </nc>
  </rcc>
  <rcc rId="105" sId="11" numFmtId="4">
    <nc r="H329">
      <v>0</v>
    </nc>
  </rcc>
  <rcc rId="106" sId="11" numFmtId="4">
    <nc r="B330">
      <v>2</v>
    </nc>
  </rcc>
  <rcc rId="107" sId="11" numFmtId="4">
    <nc r="C330">
      <v>14</v>
    </nc>
  </rcc>
  <rcc rId="108" sId="11" numFmtId="4">
    <nc r="D330">
      <v>11</v>
    </nc>
  </rcc>
  <rcc rId="109" sId="11" numFmtId="4">
    <nc r="E330">
      <v>16</v>
    </nc>
  </rcc>
  <rcc rId="110" sId="11" numFmtId="4">
    <nc r="F330">
      <v>7</v>
    </nc>
  </rcc>
  <rcc rId="111" sId="11" numFmtId="4">
    <nc r="G330">
      <v>4</v>
    </nc>
  </rcc>
  <rcc rId="112" sId="11" numFmtId="4">
    <nc r="H330">
      <v>0</v>
    </nc>
  </rcc>
  <rcc rId="113" sId="11" numFmtId="4">
    <nc r="B331">
      <v>2</v>
    </nc>
  </rcc>
  <rcc rId="114" sId="11" numFmtId="4">
    <nc r="C331">
      <v>11</v>
    </nc>
  </rcc>
  <rcc rId="115" sId="11" numFmtId="4">
    <nc r="D331">
      <v>10</v>
    </nc>
  </rcc>
  <rcc rId="116" sId="11" numFmtId="4">
    <nc r="E331">
      <v>18</v>
    </nc>
  </rcc>
  <rcc rId="117" sId="11" numFmtId="4">
    <nc r="F331">
      <v>6</v>
    </nc>
  </rcc>
  <rcc rId="118" sId="11" numFmtId="4">
    <nc r="G331">
      <v>1</v>
    </nc>
  </rcc>
  <rcc rId="119" sId="11" numFmtId="4">
    <nc r="H331">
      <v>1</v>
    </nc>
  </rcc>
  <rcc rId="120" sId="11" numFmtId="4">
    <nc r="B332">
      <v>2</v>
    </nc>
  </rcc>
  <rcc rId="121" sId="11" numFmtId="4">
    <nc r="C332">
      <v>4</v>
    </nc>
  </rcc>
  <rcc rId="122" sId="11" numFmtId="4">
    <nc r="D332">
      <v>11</v>
    </nc>
  </rcc>
  <rcc rId="123" sId="11" numFmtId="4">
    <nc r="E332">
      <v>15</v>
    </nc>
  </rcc>
  <rcc rId="124" sId="11" numFmtId="4">
    <nc r="F332">
      <v>6</v>
    </nc>
  </rcc>
  <rcc rId="125" sId="11" numFmtId="4">
    <nc r="G332">
      <v>2</v>
    </nc>
  </rcc>
  <rcc rId="126" sId="11" numFmtId="4">
    <nc r="H332">
      <v>0</v>
    </nc>
  </rcc>
  <rcc rId="127" sId="11" numFmtId="4">
    <nc r="B333">
      <v>2</v>
    </nc>
  </rcc>
  <rcc rId="128" sId="11" numFmtId="4">
    <nc r="C333">
      <v>4</v>
    </nc>
  </rcc>
  <rcc rId="129" sId="11" numFmtId="4">
    <nc r="D333">
      <v>10</v>
    </nc>
  </rcc>
  <rcc rId="130" sId="11" numFmtId="4">
    <nc r="E333">
      <v>20</v>
    </nc>
  </rcc>
  <rcc rId="131" sId="11" numFmtId="4">
    <nc r="F333">
      <v>11</v>
    </nc>
  </rcc>
  <rcc rId="132" sId="11" numFmtId="4">
    <nc r="G333">
      <v>5</v>
    </nc>
  </rcc>
  <rcc rId="133" sId="11" numFmtId="4">
    <nc r="H333">
      <v>0</v>
    </nc>
  </rcc>
  <rcc rId="134" sId="11" numFmtId="4">
    <nc r="B334">
      <v>2</v>
    </nc>
  </rcc>
  <rcc rId="135" sId="11" numFmtId="4">
    <nc r="C334">
      <v>6</v>
    </nc>
  </rcc>
  <rcc rId="136" sId="11" numFmtId="4">
    <nc r="D334">
      <v>11</v>
    </nc>
  </rcc>
  <rcc rId="137" sId="11" numFmtId="4">
    <nc r="E334">
      <v>7</v>
    </nc>
  </rcc>
  <rcc rId="138" sId="11" numFmtId="4">
    <nc r="F334">
      <v>3</v>
    </nc>
  </rcc>
  <rcc rId="139" sId="11" numFmtId="4">
    <nc r="G334">
      <v>3</v>
    </nc>
  </rcc>
  <rcc rId="140" sId="11" numFmtId="4">
    <nc r="H334">
      <v>0</v>
    </nc>
  </rcc>
  <rcc rId="141" sId="11" numFmtId="4">
    <nc r="B335">
      <v>2</v>
    </nc>
  </rcc>
  <rcc rId="142" sId="11" numFmtId="4">
    <nc r="C335">
      <v>6</v>
    </nc>
  </rcc>
  <rcc rId="143" sId="11" numFmtId="4">
    <nc r="D335">
      <v>10</v>
    </nc>
  </rcc>
  <rcc rId="144" sId="11" numFmtId="4">
    <nc r="E335">
      <v>5</v>
    </nc>
  </rcc>
  <rcc rId="145" sId="11" numFmtId="4">
    <nc r="F335">
      <v>2</v>
    </nc>
  </rcc>
  <rcc rId="146" sId="11" numFmtId="4">
    <nc r="G335">
      <v>3</v>
    </nc>
  </rcc>
  <rcc rId="147" sId="11" numFmtId="4">
    <nc r="H335">
      <v>1</v>
    </nc>
  </rcc>
  <rcc rId="148" sId="11" numFmtId="4">
    <nc r="B336">
      <v>2</v>
    </nc>
  </rcc>
  <rcc rId="149" sId="11" numFmtId="4">
    <nc r="C336">
      <v>6</v>
    </nc>
  </rcc>
  <rcc rId="150" sId="11" numFmtId="4">
    <nc r="D336">
      <v>9</v>
    </nc>
  </rcc>
  <rcc rId="151" sId="11" numFmtId="4">
    <nc r="E336">
      <v>14</v>
    </nc>
  </rcc>
  <rcc rId="152" sId="11" numFmtId="4">
    <nc r="F336">
      <v>4</v>
    </nc>
  </rcc>
  <rcc rId="153" sId="11" numFmtId="4">
    <nc r="G336">
      <v>4</v>
    </nc>
  </rcc>
  <rcc rId="154" sId="11" numFmtId="4">
    <nc r="H336">
      <v>0</v>
    </nc>
  </rcc>
  <rcc rId="155" sId="11" numFmtId="4">
    <nc r="B337">
      <v>2</v>
    </nc>
  </rcc>
  <rcc rId="156" sId="11" numFmtId="4">
    <nc r="C337">
      <v>6</v>
    </nc>
  </rcc>
  <rcc rId="157" sId="11" numFmtId="4">
    <nc r="D337">
      <v>8</v>
    </nc>
  </rcc>
  <rcc rId="158" sId="11" numFmtId="4">
    <nc r="E337">
      <v>10</v>
    </nc>
  </rcc>
  <rcc rId="159" sId="11" numFmtId="4">
    <nc r="F337">
      <v>3</v>
    </nc>
  </rcc>
  <rcc rId="160" sId="11" numFmtId="4">
    <nc r="G337">
      <v>6</v>
    </nc>
  </rcc>
  <rcc rId="161" sId="11" numFmtId="4">
    <nc r="H337">
      <v>1</v>
    </nc>
  </rcc>
  <rcc rId="162" sId="11" numFmtId="4">
    <nc r="B338">
      <v>2</v>
    </nc>
  </rcc>
  <rcc rId="163" sId="11" numFmtId="4">
    <nc r="C338">
      <v>14</v>
    </nc>
  </rcc>
  <rcc rId="164" sId="11" numFmtId="4">
    <nc r="D338">
      <v>11</v>
    </nc>
  </rcc>
  <rcc rId="165" sId="11" numFmtId="4">
    <nc r="E338">
      <v>6</v>
    </nc>
  </rcc>
  <rcc rId="166" sId="11" numFmtId="4">
    <nc r="G338">
      <v>0</v>
    </nc>
  </rcc>
  <rcc rId="167" sId="11" numFmtId="4">
    <nc r="H338">
      <v>1</v>
    </nc>
  </rcc>
  <rcc rId="168" sId="11" numFmtId="4">
    <nc r="F338">
      <v>6</v>
    </nc>
  </rcc>
  <rcc rId="169" sId="11" numFmtId="4">
    <nc r="B339">
      <v>2</v>
    </nc>
  </rcc>
  <rcc rId="170" sId="11" numFmtId="4">
    <nc r="C339">
      <v>6</v>
    </nc>
  </rcc>
  <rcc rId="171" sId="11" numFmtId="4">
    <nc r="D339">
      <v>7</v>
    </nc>
  </rcc>
  <rcc rId="172" sId="11" numFmtId="4">
    <nc r="E339">
      <v>9</v>
    </nc>
  </rcc>
  <rcc rId="173" sId="11" numFmtId="4">
    <nc r="F339">
      <v>5</v>
    </nc>
  </rcc>
  <rcc rId="174" sId="11" numFmtId="4">
    <nc r="G339">
      <v>7</v>
    </nc>
  </rcc>
  <rcc rId="175" sId="11" numFmtId="4">
    <nc r="H339">
      <v>0</v>
    </nc>
  </rcc>
  <rcc rId="176" sId="11" numFmtId="4">
    <nc r="B340">
      <v>2</v>
    </nc>
  </rcc>
  <rcc rId="177" sId="11" numFmtId="4">
    <nc r="C340">
      <v>14</v>
    </nc>
  </rcc>
  <rcc rId="178" sId="11" numFmtId="4">
    <nc r="D340">
      <v>10</v>
    </nc>
  </rcc>
  <rcc rId="179" sId="11" numFmtId="4">
    <nc r="E340">
      <v>7</v>
    </nc>
  </rcc>
  <rcc rId="180" sId="11" numFmtId="4">
    <nc r="F340">
      <v>4</v>
    </nc>
  </rcc>
  <rcc rId="181" sId="11" numFmtId="4">
    <nc r="G340">
      <v>0</v>
    </nc>
  </rcc>
  <rcc rId="182" sId="11" numFmtId="4">
    <nc r="H340">
      <v>0</v>
    </nc>
  </rcc>
  <rcc rId="183" sId="11" numFmtId="4">
    <nc r="B341">
      <v>2</v>
    </nc>
  </rcc>
  <rcc rId="184" sId="11" numFmtId="4">
    <nc r="C341">
      <v>26</v>
    </nc>
  </rcc>
  <rcc rId="185" sId="11" numFmtId="4">
    <nc r="D341">
      <v>8</v>
    </nc>
  </rcc>
  <rcc rId="186" sId="11" numFmtId="4">
    <nc r="E341">
      <v>21</v>
    </nc>
  </rcc>
  <rcc rId="187" sId="11" numFmtId="4">
    <nc r="F341">
      <v>12</v>
    </nc>
  </rcc>
  <rcc rId="188" sId="11" numFmtId="4">
    <nc r="G341">
      <v>0</v>
    </nc>
  </rcc>
  <rcc rId="189" sId="11" numFmtId="4">
    <nc r="H341">
      <v>0</v>
    </nc>
  </rcc>
  <rcc rId="190" sId="11" numFmtId="4">
    <nc r="B342">
      <v>2</v>
    </nc>
  </rcc>
  <rcc rId="191" sId="11" numFmtId="4">
    <nc r="C342">
      <v>26</v>
    </nc>
  </rcc>
  <rcc rId="192" sId="11" numFmtId="4">
    <nc r="D342">
      <v>6</v>
    </nc>
  </rcc>
  <rcc rId="193" sId="11" numFmtId="4">
    <nc r="E342">
      <v>30</v>
    </nc>
  </rcc>
  <rcc rId="194" sId="11" numFmtId="4">
    <nc r="F342">
      <v>10</v>
    </nc>
  </rcc>
  <rcc rId="195" sId="11" numFmtId="4">
    <nc r="G342">
      <v>3</v>
    </nc>
  </rcc>
  <rcc rId="196" sId="11" numFmtId="4">
    <nc r="H342">
      <v>0</v>
    </nc>
  </rcc>
  <rcc rId="197" sId="11" numFmtId="4">
    <nc r="B343">
      <v>2</v>
    </nc>
  </rcc>
  <rcc rId="198" sId="11" numFmtId="4">
    <nc r="C343">
      <v>26</v>
    </nc>
  </rcc>
  <rcc rId="199" sId="11" numFmtId="4">
    <nc r="D343">
      <v>7</v>
    </nc>
  </rcc>
  <rcc rId="200" sId="11" numFmtId="4">
    <nc r="E343">
      <v>10</v>
    </nc>
  </rcc>
  <rcc rId="201" sId="11" numFmtId="4">
    <nc r="F343">
      <v>5</v>
    </nc>
  </rcc>
  <rcc rId="202" sId="11" numFmtId="4">
    <nc r="G343">
      <v>1</v>
    </nc>
  </rcc>
  <rcc rId="203" sId="11" numFmtId="4">
    <nc r="H343">
      <v>0</v>
    </nc>
  </rcc>
  <rcc rId="204" sId="11" numFmtId="4">
    <nc r="B344">
      <v>2</v>
    </nc>
  </rcc>
  <rcc rId="205" sId="11" numFmtId="4">
    <nc r="C344">
      <v>14</v>
    </nc>
  </rcc>
  <rcc rId="206" sId="11" numFmtId="4">
    <nc r="D344">
      <v>12</v>
    </nc>
  </rcc>
  <rcc rId="207" sId="11" numFmtId="4">
    <nc r="E344">
      <v>11</v>
    </nc>
  </rcc>
  <rcc rId="208" sId="11" numFmtId="4">
    <nc r="F344">
      <v>0</v>
    </nc>
  </rcc>
  <rcc rId="209" sId="11" numFmtId="4">
    <nc r="G344">
      <v>0</v>
    </nc>
  </rcc>
  <rcc rId="210" sId="11" numFmtId="4">
    <nc r="H344">
      <v>1</v>
    </nc>
  </rcc>
</revisions>
</file>

<file path=xl/revisions/revisionLog1211.xml><?xml version="1.0" encoding="utf-8"?>
<revisions xmlns="http://schemas.openxmlformats.org/spreadsheetml/2006/main" xmlns:r="http://schemas.openxmlformats.org/officeDocument/2006/relationships">
  <rcc rId="722" sId="11" numFmtId="4">
    <nc r="B391">
      <v>2</v>
    </nc>
  </rcc>
  <rcc rId="723" sId="11" numFmtId="4">
    <nc r="C391">
      <v>31</v>
    </nc>
  </rcc>
  <rcc rId="724" sId="11" numFmtId="4">
    <nc r="D391">
      <v>12</v>
    </nc>
  </rcc>
  <rcc rId="725" sId="11" numFmtId="4">
    <nc r="E391">
      <v>40</v>
    </nc>
  </rcc>
  <rcc rId="726" sId="11" numFmtId="4">
    <nc r="F391">
      <v>18</v>
    </nc>
  </rcc>
  <rcc rId="727" sId="11" numFmtId="4">
    <nc r="G391">
      <v>2</v>
    </nc>
  </rcc>
  <rcc rId="728" sId="11" numFmtId="4">
    <nc r="H391">
      <v>0</v>
    </nc>
  </rcc>
  <rcc rId="729" sId="11" numFmtId="4">
    <nc r="B392">
      <v>2</v>
    </nc>
  </rcc>
  <rcc rId="730" sId="11" numFmtId="4">
    <nc r="C392">
      <v>5</v>
    </nc>
  </rcc>
  <rcc rId="731" sId="11" numFmtId="4">
    <nc r="D392">
      <v>13</v>
    </nc>
  </rcc>
  <rcc rId="732" sId="11" numFmtId="4">
    <nc r="E392">
      <v>4</v>
    </nc>
  </rcc>
  <rcc rId="733" sId="11" numFmtId="4">
    <nc r="F392">
      <v>7</v>
    </nc>
  </rcc>
  <rcc rId="734" sId="11" numFmtId="4">
    <nc r="G392">
      <v>1</v>
    </nc>
  </rcc>
  <rcc rId="735" sId="11" numFmtId="4">
    <nc r="H392">
      <v>2</v>
    </nc>
  </rcc>
</revisions>
</file>

<file path=xl/revisions/revisionLog1311.xml><?xml version="1.0" encoding="utf-8"?>
<revisions xmlns="http://schemas.openxmlformats.org/spreadsheetml/2006/main" xmlns:r="http://schemas.openxmlformats.org/officeDocument/2006/relationships">
  <rcc rId="982" sId="11" numFmtId="4">
    <nc r="B393">
      <v>2</v>
    </nc>
  </rcc>
  <rcc rId="983" sId="11" numFmtId="4">
    <nc r="C393">
      <v>32</v>
    </nc>
  </rcc>
  <rcc rId="984" sId="11" numFmtId="4">
    <nc r="D393">
      <v>13</v>
    </nc>
  </rcc>
  <rcc rId="985" sId="11" numFmtId="4">
    <nc r="E393">
      <v>9</v>
    </nc>
  </rcc>
  <rcc rId="986" sId="11" numFmtId="4">
    <nc r="F393">
      <v>15</v>
    </nc>
  </rcc>
  <rcc rId="987" sId="11" numFmtId="4">
    <nc r="G393">
      <v>0</v>
    </nc>
  </rcc>
  <rcc rId="988" sId="11" numFmtId="4">
    <nc r="H393">
      <v>0</v>
    </nc>
  </rcc>
  <rcc rId="989" sId="11" numFmtId="4">
    <nc r="B394">
      <v>2</v>
    </nc>
  </rcc>
  <rcc rId="990" sId="11" numFmtId="4">
    <nc r="C394">
      <v>32</v>
    </nc>
  </rcc>
  <rcc rId="991" sId="11" numFmtId="4">
    <nc r="D394">
      <v>14</v>
    </nc>
  </rcc>
  <rcc rId="992" sId="11" numFmtId="4">
    <nc r="E394">
      <v>7</v>
    </nc>
  </rcc>
  <rcc rId="993" sId="11" numFmtId="4">
    <nc r="F394">
      <v>13</v>
    </nc>
  </rcc>
  <rcc rId="994" sId="11" numFmtId="4">
    <nc r="G394">
      <v>0</v>
    </nc>
  </rcc>
  <rcc rId="995" sId="11" numFmtId="4">
    <nc r="H394">
      <v>0</v>
    </nc>
  </rcc>
  <rcc rId="996" sId="11" numFmtId="4">
    <nc r="B395">
      <v>2</v>
    </nc>
  </rcc>
  <rcc rId="997" sId="11" numFmtId="4">
    <nc r="C395">
      <v>32</v>
    </nc>
  </rcc>
  <rcc rId="998" sId="11" numFmtId="4">
    <nc r="D395">
      <v>12</v>
    </nc>
  </rcc>
  <rcc rId="999" sId="11" numFmtId="4">
    <nc r="E395">
      <v>11</v>
    </nc>
  </rcc>
  <rcc rId="1000" sId="11" numFmtId="4">
    <nc r="F395">
      <v>14</v>
    </nc>
  </rcc>
  <rcc rId="1001" sId="11" numFmtId="4">
    <nc r="G395">
      <v>0</v>
    </nc>
  </rcc>
  <rcc rId="1002" sId="11" numFmtId="4">
    <nc r="H395">
      <v>0</v>
    </nc>
  </rcc>
  <rcc rId="1003" sId="11" numFmtId="4">
    <nc r="B396">
      <v>2</v>
    </nc>
  </rcc>
  <rcc rId="1004" sId="11" numFmtId="4">
    <nc r="C396">
      <v>3</v>
    </nc>
  </rcc>
  <rcc rId="1005" sId="11" numFmtId="4">
    <nc r="D396">
      <v>13</v>
    </nc>
  </rcc>
  <rcc rId="1006" sId="11" numFmtId="4">
    <nc r="E396">
      <v>10</v>
    </nc>
  </rcc>
  <rcc rId="1007" sId="11" numFmtId="4">
    <nc r="F396">
      <v>7</v>
    </nc>
  </rcc>
  <rcc rId="1008" sId="11" numFmtId="4">
    <nc r="G396">
      <v>1</v>
    </nc>
  </rcc>
  <rcc rId="1009" sId="11" numFmtId="4">
    <nc r="H396">
      <v>0</v>
    </nc>
  </rcc>
  <rcc rId="1010" sId="11" numFmtId="4">
    <nc r="B397">
      <v>2</v>
    </nc>
  </rcc>
  <rcc rId="1011" sId="11" numFmtId="4">
    <nc r="C397">
      <v>3</v>
    </nc>
  </rcc>
  <rcc rId="1012" sId="11" numFmtId="4">
    <nc r="D397">
      <v>12</v>
    </nc>
  </rcc>
  <rcc rId="1013" sId="11" numFmtId="4">
    <nc r="E397">
      <v>6</v>
    </nc>
  </rcc>
  <rcc rId="1014" sId="11" numFmtId="4">
    <nc r="F397">
      <v>6</v>
    </nc>
  </rcc>
  <rcc rId="1015" sId="11" numFmtId="4">
    <nc r="G397">
      <v>2</v>
    </nc>
  </rcc>
  <rcc rId="1016" sId="11" numFmtId="4">
    <nc r="H397">
      <v>0</v>
    </nc>
  </rcc>
  <rcc rId="1017" sId="11" numFmtId="4">
    <nc r="B398">
      <v>2</v>
    </nc>
  </rcc>
  <rcc rId="1018" sId="11" numFmtId="4">
    <nc r="C398">
      <v>3</v>
    </nc>
  </rcc>
  <rcc rId="1019" sId="11" numFmtId="4">
    <nc r="D398">
      <v>11</v>
    </nc>
  </rcc>
  <rcc rId="1020" sId="11" numFmtId="4">
    <nc r="E398">
      <v>11</v>
    </nc>
  </rcc>
  <rcc rId="1021" sId="11" numFmtId="4">
    <nc r="F398">
      <v>8</v>
    </nc>
  </rcc>
  <rcc rId="1022" sId="11" numFmtId="4">
    <nc r="G398">
      <v>3</v>
    </nc>
  </rcc>
  <rcc rId="1023" sId="11" numFmtId="4">
    <nc r="H398">
      <v>0</v>
    </nc>
  </rcc>
  <rcc rId="1024" sId="11" numFmtId="4">
    <nc r="B399">
      <v>2</v>
    </nc>
  </rcc>
  <rcc rId="1025" sId="11" numFmtId="4">
    <nc r="C399">
      <v>3</v>
    </nc>
  </rcc>
  <rcc rId="1026" sId="11" numFmtId="4">
    <nc r="D399">
      <v>10</v>
    </nc>
  </rcc>
  <rcc rId="1027" sId="11" numFmtId="4">
    <nc r="E399">
      <v>11</v>
    </nc>
  </rcc>
  <rcc rId="1028" sId="11" numFmtId="4">
    <nc r="F399">
      <v>8</v>
    </nc>
  </rcc>
  <rcc rId="1029" sId="11" numFmtId="4">
    <nc r="G399">
      <v>3</v>
    </nc>
  </rcc>
  <rcc rId="1030" sId="11" numFmtId="4">
    <nc r="H399">
      <v>0</v>
    </nc>
  </rcc>
  <rcc rId="1031" sId="11" numFmtId="4">
    <nc r="B400">
      <v>2</v>
    </nc>
  </rcc>
  <rcc rId="1032" sId="11" numFmtId="4">
    <nc r="C400">
      <v>3</v>
    </nc>
  </rcc>
  <rcc rId="1033" sId="11" numFmtId="4">
    <nc r="D400">
      <v>9</v>
    </nc>
  </rcc>
  <rcc rId="1034" sId="11" numFmtId="4">
    <nc r="F400">
      <v>11</v>
    </nc>
  </rcc>
  <rcc rId="1035" sId="11" numFmtId="4">
    <nc r="G400">
      <v>3</v>
    </nc>
  </rcc>
  <rcc rId="1036" sId="11" numFmtId="4">
    <nc r="H400">
      <v>0</v>
    </nc>
  </rcc>
  <rcc rId="1037" sId="11" numFmtId="4">
    <nc r="E400">
      <v>20</v>
    </nc>
  </rcc>
  <rcc rId="1038" sId="11" numFmtId="4">
    <nc r="B401">
      <v>2</v>
    </nc>
  </rcc>
  <rcc rId="1039" sId="11" numFmtId="4">
    <nc r="C401">
      <v>29</v>
    </nc>
  </rcc>
  <rcc rId="1040" sId="11" numFmtId="4">
    <nc r="D401">
      <v>13</v>
    </nc>
  </rcc>
  <rcc rId="1041" sId="11" numFmtId="4">
    <nc r="E401">
      <v>8</v>
    </nc>
  </rcc>
  <rcc rId="1042" sId="11" numFmtId="4">
    <nc r="F401">
      <v>16</v>
    </nc>
  </rcc>
  <rcc rId="1043" sId="11" numFmtId="4">
    <nc r="G401">
      <v>0</v>
    </nc>
  </rcc>
  <rcc rId="1044" sId="11" numFmtId="4">
    <nc r="H401">
      <v>0</v>
    </nc>
  </rcc>
  <rcc rId="1045" sId="11" numFmtId="4">
    <nc r="B402">
      <v>2</v>
    </nc>
  </rcc>
  <rcc rId="1046" sId="11" numFmtId="4">
    <nc r="C402">
      <v>29</v>
    </nc>
  </rcc>
  <rcc rId="1047" sId="11" numFmtId="4">
    <nc r="D402">
      <v>12</v>
    </nc>
  </rcc>
  <rcc rId="1048" sId="11" numFmtId="4">
    <nc r="E402">
      <v>14</v>
    </nc>
  </rcc>
  <rcc rId="1049" sId="11" numFmtId="4">
    <nc r="F402">
      <v>11</v>
    </nc>
  </rcc>
  <rcc rId="1050" sId="11" numFmtId="4">
    <nc r="G402">
      <v>0</v>
    </nc>
  </rcc>
  <rcc rId="1051" sId="11" numFmtId="4">
    <nc r="H402">
      <v>0</v>
    </nc>
  </rcc>
  <rcc rId="1052" sId="11" numFmtId="4">
    <nc r="B403">
      <v>2</v>
    </nc>
  </rcc>
  <rcc rId="1053" sId="11" numFmtId="4">
    <nc r="C403">
      <v>29</v>
    </nc>
  </rcc>
  <rcc rId="1054" sId="11" numFmtId="4">
    <nc r="D403">
      <v>14</v>
    </nc>
  </rcc>
  <rcc rId="1055" sId="11" numFmtId="4">
    <nc r="F403">
      <v>12</v>
    </nc>
  </rcc>
  <rcc rId="1056" sId="11" numFmtId="4">
    <nc r="G403">
      <v>0</v>
    </nc>
  </rcc>
  <rcc rId="1057" sId="11" numFmtId="4">
    <nc r="H403">
      <v>0</v>
    </nc>
  </rcc>
  <rcc rId="1058" sId="11" numFmtId="4">
    <nc r="E403">
      <v>8</v>
    </nc>
  </rcc>
  <rcc rId="1059" sId="11" numFmtId="4">
    <nc r="B404">
      <v>2</v>
    </nc>
  </rcc>
  <rcc rId="1060" sId="11" numFmtId="4">
    <nc r="C404">
      <v>20</v>
    </nc>
  </rcc>
  <rcc rId="1061" sId="11" numFmtId="4">
    <nc r="D404">
      <v>13</v>
    </nc>
  </rcc>
  <rcc rId="1062" sId="11" numFmtId="4">
    <nc r="E404">
      <v>19</v>
    </nc>
  </rcc>
  <rcc rId="1063" sId="11" numFmtId="4">
    <nc r="F404">
      <v>13</v>
    </nc>
  </rcc>
  <rcc rId="1064" sId="11" numFmtId="4">
    <nc r="G404">
      <v>8</v>
    </nc>
  </rcc>
  <rcc rId="1065" sId="11" numFmtId="4">
    <nc r="H404">
      <v>2</v>
    </nc>
  </rcc>
  <rcc rId="1066" sId="11" numFmtId="4">
    <nc r="B405">
      <v>2</v>
    </nc>
  </rcc>
  <rcc rId="1067" sId="11" numFmtId="4">
    <nc r="C405">
      <v>20</v>
    </nc>
  </rcc>
  <rcc rId="1068" sId="11" numFmtId="4">
    <nc r="D405">
      <v>12</v>
    </nc>
  </rcc>
  <rcc rId="1069" sId="11" numFmtId="4">
    <nc r="E405">
      <v>16</v>
    </nc>
  </rcc>
  <rcc rId="1070" sId="11" numFmtId="4">
    <nc r="F405">
      <v>10</v>
    </nc>
  </rcc>
  <rcc rId="1071" sId="11" numFmtId="4">
    <nc r="G405">
      <v>5</v>
    </nc>
  </rcc>
  <rcc rId="1072" sId="11" numFmtId="4">
    <nc r="H405">
      <v>3</v>
    </nc>
  </rcc>
  <rcc rId="1073" sId="11" numFmtId="4">
    <nc r="B406">
      <v>2</v>
    </nc>
  </rcc>
  <rcc rId="1074" sId="11" numFmtId="4">
    <nc r="C406">
      <v>20</v>
    </nc>
  </rcc>
  <rcc rId="1075" sId="11" numFmtId="4">
    <nc r="D406">
      <v>11</v>
    </nc>
  </rcc>
  <rcc rId="1076" sId="11" numFmtId="4">
    <nc r="E406">
      <v>18</v>
    </nc>
  </rcc>
  <rcc rId="1077" sId="11" numFmtId="4">
    <nc r="F406">
      <v>7</v>
    </nc>
  </rcc>
  <rcc rId="1078" sId="11" numFmtId="4">
    <nc r="G406">
      <v>10</v>
    </nc>
  </rcc>
  <rcc rId="1079" sId="11" numFmtId="4">
    <nc r="H406">
      <v>6</v>
    </nc>
  </rcc>
  <rcc rId="1080" sId="2" numFmtId="4">
    <nc r="B70">
      <v>15</v>
    </nc>
  </rcc>
  <rcc rId="1081" sId="2" numFmtId="4">
    <nc r="C70">
      <v>25</v>
    </nc>
  </rcc>
  <rcc rId="1082" sId="2" numFmtId="4">
    <nc r="D70">
      <v>6</v>
    </nc>
  </rcc>
  <rcc rId="1083" sId="2" numFmtId="4">
    <nc r="E70">
      <v>11</v>
    </nc>
  </rcc>
  <rcc rId="1084" sId="2" numFmtId="4">
    <nc r="F70">
      <v>14</v>
    </nc>
  </rcc>
  <rcc rId="1085" sId="2" numFmtId="4">
    <nc r="G70">
      <v>0</v>
    </nc>
  </rcc>
  <rcc rId="1086" sId="2" numFmtId="4">
    <nc r="B71">
      <v>15</v>
    </nc>
  </rcc>
  <rcc rId="1087" sId="2" numFmtId="4">
    <nc r="C71">
      <v>25</v>
    </nc>
  </rcc>
  <rcc rId="1088" sId="2" numFmtId="4">
    <nc r="D71">
      <v>7</v>
    </nc>
  </rcc>
  <rcc rId="1089" sId="2" numFmtId="4">
    <nc r="E71">
      <v>15</v>
    </nc>
  </rcc>
  <rcc rId="1090" sId="2" numFmtId="4">
    <nc r="F71">
      <v>7</v>
    </nc>
  </rcc>
  <rcc rId="1091" sId="2" numFmtId="4">
    <nc r="G71">
      <v>0</v>
    </nc>
  </rcc>
  <rcc rId="1092" sId="2" numFmtId="4">
    <nc r="B72">
      <v>15</v>
    </nc>
  </rcc>
  <rcc rId="1093" sId="2" numFmtId="4">
    <nc r="C72">
      <v>23</v>
    </nc>
  </rcc>
  <rcc rId="1094" sId="2" numFmtId="4">
    <nc r="D72">
      <v>12</v>
    </nc>
  </rcc>
  <rcc rId="1095" sId="2" numFmtId="4">
    <nc r="E72">
      <v>10</v>
    </nc>
  </rcc>
  <rcc rId="1096" sId="2" numFmtId="4">
    <nc r="F72">
      <v>15</v>
    </nc>
  </rcc>
  <rcc rId="1097" sId="2" numFmtId="4">
    <nc r="G72">
      <v>0</v>
    </nc>
  </rcc>
  <rcc rId="1098" sId="2" numFmtId="4">
    <nc r="B73">
      <v>15</v>
    </nc>
  </rcc>
  <rcc rId="1099" sId="2" numFmtId="4">
    <nc r="C73">
      <v>23</v>
    </nc>
  </rcc>
  <rcc rId="1100" sId="2" numFmtId="4">
    <nc r="D73">
      <v>11</v>
    </nc>
  </rcc>
  <rcc rId="1101" sId="2" numFmtId="4">
    <nc r="E73">
      <v>15</v>
    </nc>
  </rcc>
  <rcc rId="1102" sId="2" numFmtId="4">
    <nc r="F73">
      <v>8</v>
    </nc>
  </rcc>
  <rcc rId="1103" sId="2" numFmtId="4">
    <nc r="G73">
      <v>0</v>
    </nc>
  </rcc>
  <rcc rId="1104" sId="2" numFmtId="4">
    <nc r="B74">
      <v>15</v>
    </nc>
  </rcc>
  <rcc rId="1105" sId="2" numFmtId="4">
    <nc r="C74">
      <v>23</v>
    </nc>
  </rcc>
  <rcc rId="1106" sId="2" numFmtId="4">
    <nc r="D74">
      <v>10</v>
    </nc>
  </rcc>
  <rcc rId="1107" sId="2" numFmtId="4">
    <nc r="E74">
      <v>6</v>
    </nc>
  </rcc>
  <rcc rId="1108" sId="2" numFmtId="4">
    <nc r="F74">
      <v>0</v>
    </nc>
  </rcc>
  <rcc rId="1109" sId="2" numFmtId="4">
    <nc r="G74">
      <v>0</v>
    </nc>
  </rcc>
  <rcc rId="1110" sId="2" numFmtId="4">
    <nc r="B75">
      <v>15</v>
    </nc>
  </rcc>
  <rcc rId="1111" sId="2" numFmtId="4">
    <nc r="C75">
      <v>23</v>
    </nc>
  </rcc>
  <rcc rId="1112" sId="2" numFmtId="4">
    <nc r="D75">
      <v>8</v>
    </nc>
  </rcc>
  <rcc rId="1113" sId="2" numFmtId="4">
    <nc r="E75">
      <v>19</v>
    </nc>
  </rcc>
  <rcc rId="1114" sId="2" numFmtId="4">
    <nc r="F75">
      <v>11</v>
    </nc>
  </rcc>
  <rcc rId="1115" sId="2" numFmtId="4">
    <nc r="G75">
      <v>0</v>
    </nc>
  </rcc>
  <rcc rId="1116" sId="2" numFmtId="4">
    <nc r="B76">
      <v>15</v>
    </nc>
  </rcc>
  <rcc rId="1117" sId="2" numFmtId="4">
    <nc r="C76">
      <v>23</v>
    </nc>
  </rcc>
  <rcc rId="1118" sId="2" numFmtId="4">
    <nc r="D76">
      <v>9</v>
    </nc>
  </rcc>
  <rcc rId="1119" sId="2" numFmtId="4">
    <nc r="E76">
      <v>16</v>
    </nc>
  </rcc>
  <rcc rId="1120" sId="2" numFmtId="4">
    <nc r="F76">
      <v>8</v>
    </nc>
  </rcc>
  <rcc rId="1121" sId="2" numFmtId="4">
    <nc r="G76">
      <v>0</v>
    </nc>
  </rcc>
  <rcc rId="1122" sId="2" numFmtId="4">
    <nc r="B77">
      <v>15</v>
    </nc>
  </rcc>
  <rcc rId="1123" sId="2" numFmtId="4">
    <nc r="C77">
      <v>23</v>
    </nc>
  </rcc>
  <rcc rId="1124" sId="2" numFmtId="4">
    <nc r="D77">
      <v>7</v>
    </nc>
  </rcc>
  <rcc rId="1125" sId="2" numFmtId="4">
    <nc r="E77">
      <v>10</v>
    </nc>
  </rcc>
  <rcc rId="1126" sId="2" numFmtId="4">
    <nc r="F77">
      <v>17</v>
    </nc>
  </rcc>
  <rcc rId="1127" sId="2" numFmtId="4">
    <nc r="G77">
      <v>0</v>
    </nc>
  </rcc>
  <rcc rId="1128" sId="2" numFmtId="4">
    <nc r="B78">
      <v>15</v>
    </nc>
  </rcc>
  <rcc rId="1129" sId="2" numFmtId="4">
    <nc r="C78">
      <v>23</v>
    </nc>
  </rcc>
  <rcc rId="1130" sId="2" numFmtId="4">
    <nc r="D78">
      <v>6</v>
    </nc>
  </rcc>
  <rcc rId="1131" sId="2" numFmtId="4">
    <nc r="E78">
      <v>14</v>
    </nc>
  </rcc>
  <rcc rId="1132" sId="2" numFmtId="4">
    <nc r="F78">
      <v>12</v>
    </nc>
  </rcc>
  <rcc rId="1133" sId="2" numFmtId="4">
    <nc r="G78">
      <v>0</v>
    </nc>
  </rcc>
  <rcc rId="1134" sId="2" numFmtId="4">
    <nc r="B79">
      <v>15</v>
    </nc>
  </rcc>
  <rcc rId="1135" sId="2" numFmtId="4">
    <nc r="C79">
      <v>23</v>
    </nc>
  </rcc>
  <rcc rId="1136" sId="2" numFmtId="4">
    <nc r="D79">
      <v>13</v>
    </nc>
  </rcc>
  <rcc rId="1137" sId="2" numFmtId="4">
    <nc r="E79">
      <v>9</v>
    </nc>
  </rcc>
  <rcc rId="1138" sId="2" numFmtId="4">
    <nc r="F79">
      <v>6</v>
    </nc>
  </rcc>
  <rcc rId="1139" sId="2" numFmtId="4">
    <nc r="G79">
      <v>0</v>
    </nc>
  </rcc>
</revisions>
</file>

<file path=xl/revisions/revisionLog1411.xml><?xml version="1.0" encoding="utf-8"?>
<revisions xmlns="http://schemas.openxmlformats.org/spreadsheetml/2006/main" xmlns:r="http://schemas.openxmlformats.org/officeDocument/2006/relationships">
  <rcc rId="1288" sId="5" numFmtId="4">
    <nc r="B215">
      <v>14</v>
    </nc>
  </rcc>
  <rcc rId="1289" sId="5" numFmtId="4">
    <nc r="C215">
      <v>12</v>
    </nc>
  </rcc>
  <rcc rId="1290" sId="5" numFmtId="4">
    <nc r="D215">
      <v>13</v>
    </nc>
  </rcc>
  <rcc rId="1291" sId="5" numFmtId="4">
    <nc r="E215">
      <v>20</v>
    </nc>
  </rcc>
  <rcc rId="1292" sId="5" numFmtId="4">
    <nc r="F215">
      <v>3</v>
    </nc>
  </rcc>
  <rcc rId="1293" sId="5" numFmtId="4">
    <nc r="G215">
      <v>2</v>
    </nc>
  </rcc>
  <rcc rId="1294" sId="5" numFmtId="4">
    <nc r="B216">
      <v>14</v>
    </nc>
  </rcc>
  <rcc rId="1295" sId="5" numFmtId="4">
    <nc r="C216">
      <v>12</v>
    </nc>
  </rcc>
  <rcc rId="1296" sId="5" numFmtId="4">
    <nc r="D216">
      <v>14</v>
    </nc>
  </rcc>
  <rcc rId="1297" sId="5" numFmtId="4">
    <nc r="E216">
      <v>19</v>
    </nc>
  </rcc>
  <rcc rId="1298" sId="5" numFmtId="4">
    <nc r="F216">
      <v>5</v>
    </nc>
  </rcc>
  <rcc rId="1299" sId="5" numFmtId="4">
    <nc r="G216">
      <v>1</v>
    </nc>
  </rcc>
  <rcc rId="1300" sId="5" numFmtId="4">
    <nc r="B217">
      <v>14</v>
    </nc>
  </rcc>
  <rcc rId="1301" sId="5" numFmtId="4">
    <nc r="C217">
      <v>6</v>
    </nc>
  </rcc>
  <rcc rId="1302" sId="5" numFmtId="4">
    <nc r="D217">
      <v>14</v>
    </nc>
  </rcc>
  <rcc rId="1303" sId="5" numFmtId="4">
    <nc r="E217">
      <v>15</v>
    </nc>
  </rcc>
  <rcc rId="1304" sId="5" numFmtId="4">
    <nc r="F217">
      <v>2</v>
    </nc>
  </rcc>
  <rcc rId="1305" sId="5" numFmtId="4">
    <nc r="G217">
      <v>7</v>
    </nc>
  </rcc>
  <rcc rId="1306" sId="5" numFmtId="4">
    <nc r="B218">
      <v>14</v>
    </nc>
  </rcc>
  <rcc rId="1307" sId="5" numFmtId="4">
    <nc r="C218">
      <v>17</v>
    </nc>
  </rcc>
  <rcc rId="1308" sId="5" numFmtId="4">
    <nc r="D218">
      <v>8</v>
    </nc>
  </rcc>
  <rcc rId="1309" sId="5" numFmtId="4">
    <nc r="E218">
      <v>15</v>
    </nc>
  </rcc>
  <rcc rId="1310" sId="5" numFmtId="4">
    <nc r="F218">
      <v>7</v>
    </nc>
  </rcc>
  <rcc rId="1311" sId="5" numFmtId="4">
    <nc r="G218">
      <v>5</v>
    </nc>
  </rcc>
  <rcc rId="1312" sId="5" numFmtId="4">
    <nc r="B219">
      <v>14</v>
    </nc>
  </rcc>
  <rcc rId="1313" sId="5" numFmtId="4">
    <nc r="C219">
      <v>17</v>
    </nc>
  </rcc>
  <rcc rId="1314" sId="5" numFmtId="4">
    <nc r="D219">
      <v>9</v>
    </nc>
  </rcc>
  <rcc rId="1315" sId="5" numFmtId="4">
    <nc r="E219">
      <v>17</v>
    </nc>
  </rcc>
  <rcc rId="1316" sId="5" numFmtId="4">
    <nc r="F219">
      <v>11</v>
    </nc>
  </rcc>
  <rcc rId="1317" sId="5" numFmtId="4">
    <nc r="G219">
      <v>7</v>
    </nc>
  </rcc>
  <rcc rId="1318" sId="5" numFmtId="4">
    <nc r="B220">
      <v>14</v>
    </nc>
  </rcc>
  <rcc rId="1319" sId="5" numFmtId="4">
    <nc r="C220">
      <v>17</v>
    </nc>
  </rcc>
  <rcc rId="1320" sId="5" numFmtId="4">
    <nc r="D220">
      <v>10</v>
    </nc>
  </rcc>
  <rcc rId="1321" sId="5" numFmtId="4">
    <nc r="E220">
      <v>7</v>
    </nc>
  </rcc>
  <rcc rId="1322" sId="5" numFmtId="4">
    <nc r="F220">
      <v>4</v>
    </nc>
  </rcc>
  <rcc rId="1323" sId="5" numFmtId="4">
    <nc r="G220">
      <v>2</v>
    </nc>
  </rcc>
  <rcc rId="1324" sId="5" numFmtId="4">
    <nc r="B221">
      <v>14</v>
    </nc>
  </rcc>
  <rcc rId="1325" sId="5" numFmtId="4">
    <nc r="C221">
      <v>17</v>
    </nc>
  </rcc>
  <rcc rId="1326" sId="5" numFmtId="4">
    <nc r="D221">
      <v>11</v>
    </nc>
  </rcc>
  <rcc rId="1327" sId="5" numFmtId="4">
    <nc r="E221">
      <v>5</v>
    </nc>
  </rcc>
  <rcc rId="1328" sId="5" numFmtId="4">
    <nc r="F221">
      <v>7</v>
    </nc>
  </rcc>
  <rcc rId="1329" sId="5" numFmtId="4">
    <nc r="G221">
      <v>4</v>
    </nc>
  </rcc>
  <rcc rId="1330" sId="5" numFmtId="4">
    <nc r="B222">
      <v>14</v>
    </nc>
  </rcc>
  <rcc rId="1331" sId="5" numFmtId="4">
    <nc r="C222">
      <v>17</v>
    </nc>
  </rcc>
  <rcc rId="1332" sId="5" numFmtId="4">
    <nc r="D222">
      <v>12</v>
    </nc>
  </rcc>
  <rcc rId="1333" sId="5" numFmtId="4">
    <nc r="E222">
      <v>9</v>
    </nc>
  </rcc>
  <rcc rId="1334" sId="5" numFmtId="4">
    <nc r="F222">
      <v>8</v>
    </nc>
  </rcc>
  <rcc rId="1335" sId="5" numFmtId="4">
    <nc r="G222">
      <v>4</v>
    </nc>
  </rcc>
  <rcc rId="1336" sId="5" numFmtId="4">
    <nc r="B223">
      <v>14</v>
    </nc>
  </rcc>
  <rcc rId="1337" sId="5" numFmtId="4">
    <nc r="C223">
      <v>17</v>
    </nc>
  </rcc>
  <rcc rId="1338" sId="5" numFmtId="4">
    <nc r="D223">
      <v>13</v>
    </nc>
  </rcc>
  <rcc rId="1339" sId="5" numFmtId="4">
    <nc r="E223">
      <v>16</v>
    </nc>
  </rcc>
  <rcc rId="1340" sId="5" numFmtId="4">
    <nc r="F223">
      <v>2</v>
    </nc>
  </rcc>
  <rcc rId="1341" sId="5" numFmtId="4">
    <nc r="G223">
      <v>1</v>
    </nc>
  </rcc>
  <rcc rId="1342" sId="8" numFmtId="4">
    <nc r="B257">
      <v>17</v>
    </nc>
  </rcc>
  <rcc rId="1343" sId="8" numFmtId="4">
    <nc r="C257">
      <v>46</v>
    </nc>
  </rcc>
  <rcc rId="1344" sId="8" numFmtId="4">
    <nc r="D257">
      <v>11</v>
    </nc>
  </rcc>
  <rcc rId="1345" sId="8" numFmtId="4">
    <nc r="E257">
      <v>14</v>
    </nc>
  </rcc>
  <rcc rId="1346" sId="8" numFmtId="4">
    <nc r="F257">
      <v>11</v>
    </nc>
  </rcc>
  <rcc rId="1347" sId="8" numFmtId="4">
    <nc r="G257">
      <v>8</v>
    </nc>
  </rcc>
  <rcc rId="1348" sId="8" numFmtId="4">
    <nc r="B258">
      <v>17</v>
    </nc>
  </rcc>
  <rcc rId="1349" sId="8" numFmtId="4">
    <nc r="C258">
      <v>46</v>
    </nc>
  </rcc>
  <rcc rId="1350" sId="8" numFmtId="4">
    <nc r="D258">
      <v>12</v>
    </nc>
  </rcc>
  <rcc rId="1351" sId="8" numFmtId="4">
    <nc r="E258">
      <v>21</v>
    </nc>
  </rcc>
  <rcc rId="1352" sId="8" numFmtId="4">
    <nc r="F258">
      <v>12</v>
    </nc>
  </rcc>
  <rcc rId="1353" sId="8" numFmtId="4">
    <nc r="G258">
      <v>7</v>
    </nc>
  </rcc>
  <rcv guid="{43751384-8D2C-4877-853C-4CE893CAF1E6}" action="delete"/>
  <rcv guid="{43751384-8D2C-4877-853C-4CE893CAF1E6}" action="add"/>
</revisions>
</file>

<file path=xl/revisions/revisionLog1511.xml><?xml version="1.0" encoding="utf-8"?>
<revisions xmlns="http://schemas.openxmlformats.org/spreadsheetml/2006/main" xmlns:r="http://schemas.openxmlformats.org/officeDocument/2006/relationships">
  <rcc rId="1384" sId="2" numFmtId="4">
    <nc r="B80">
      <v>15</v>
    </nc>
  </rcc>
  <rcc rId="1385" sId="2" numFmtId="4">
    <nc r="C80">
      <v>18</v>
    </nc>
  </rcc>
  <rcc rId="1386" sId="2" numFmtId="4">
    <nc r="D80">
      <v>13</v>
    </nc>
  </rcc>
  <rcc rId="1387" sId="2" numFmtId="4">
    <nc r="E80">
      <v>1</v>
    </nc>
  </rcc>
  <rcc rId="1388" sId="2" numFmtId="4">
    <nc r="F80">
      <v>3</v>
    </nc>
  </rcc>
  <rcc rId="1389" sId="2" numFmtId="4">
    <nc r="G80">
      <v>0</v>
    </nc>
  </rcc>
  <rcc rId="1390" sId="2" numFmtId="4">
    <nc r="B81">
      <v>15</v>
    </nc>
  </rcc>
  <rcc rId="1391" sId="2" numFmtId="4">
    <nc r="C81">
      <v>18</v>
    </nc>
  </rcc>
  <rcc rId="1392" sId="2" numFmtId="4">
    <nc r="D81">
      <v>12</v>
    </nc>
  </rcc>
  <rcc rId="1393" sId="2" numFmtId="4">
    <nc r="E81">
      <v>8</v>
    </nc>
  </rcc>
  <rcc rId="1394" sId="2" numFmtId="4">
    <nc r="F81">
      <v>38</v>
    </nc>
  </rcc>
  <rcc rId="1395" sId="2" numFmtId="4">
    <nc r="G81">
      <v>0</v>
    </nc>
  </rcc>
  <rcc rId="1396" sId="11" numFmtId="4">
    <nc r="B416">
      <v>2</v>
    </nc>
  </rcc>
  <rcc rId="1397" sId="11" numFmtId="4">
    <nc r="C416">
      <v>6</v>
    </nc>
  </rcc>
  <rcc rId="1398" sId="11" numFmtId="4">
    <nc r="D416">
      <v>13</v>
    </nc>
  </rcc>
  <rcc rId="1399" sId="11" numFmtId="4">
    <nc r="E416">
      <v>8</v>
    </nc>
  </rcc>
  <rcc rId="1400" sId="11" numFmtId="4">
    <nc r="F416">
      <v>3</v>
    </nc>
  </rcc>
  <rcc rId="1401" sId="11" numFmtId="4">
    <nc r="G416">
      <v>9</v>
    </nc>
  </rcc>
  <rcc rId="1402" sId="11" numFmtId="4">
    <nc r="H416">
      <v>1</v>
    </nc>
  </rcc>
  <rcc rId="1403" sId="11" numFmtId="4">
    <nc r="B417">
      <v>2</v>
    </nc>
  </rcc>
  <rcc rId="1404" sId="11" numFmtId="4">
    <nc r="C417">
      <v>25</v>
    </nc>
  </rcc>
  <rcc rId="1405" sId="11" numFmtId="4">
    <nc r="D417">
      <v>14</v>
    </nc>
  </rcc>
  <rcc rId="1406" sId="11" numFmtId="4">
    <nc r="E417">
      <v>12</v>
    </nc>
  </rcc>
  <rcc rId="1407" sId="11" numFmtId="4">
    <nc r="F417">
      <v>0</v>
    </nc>
  </rcc>
  <rcc rId="1408" sId="11" numFmtId="4">
    <nc r="G417">
      <v>0</v>
    </nc>
  </rcc>
  <rcc rId="1409" sId="11" numFmtId="4">
    <nc r="H417">
      <v>0</v>
    </nc>
  </rcc>
  <rcc rId="1410" sId="11" numFmtId="4">
    <nc r="B418">
      <v>2</v>
    </nc>
  </rcc>
  <rcc rId="1411" sId="11" numFmtId="4">
    <nc r="C418">
      <v>34</v>
    </nc>
  </rcc>
  <rcc rId="1412" sId="11" numFmtId="4">
    <nc r="D418">
      <v>14</v>
    </nc>
  </rcc>
  <rcc rId="1413" sId="11" numFmtId="4">
    <nc r="E418">
      <v>5</v>
    </nc>
  </rcc>
  <rcc rId="1414" sId="11" numFmtId="4">
    <nc r="F418">
      <v>15</v>
    </nc>
  </rcc>
  <rcc rId="1415" sId="11" numFmtId="4">
    <nc r="G418">
      <v>0</v>
    </nc>
  </rcc>
  <rcc rId="1416" sId="11" numFmtId="4">
    <nc r="H418">
      <v>0</v>
    </nc>
  </rcc>
  <rcc rId="1417" sId="11" numFmtId="4">
    <nc r="B419">
      <v>2</v>
    </nc>
  </rcc>
  <rcc rId="1418" sId="11" numFmtId="4">
    <nc r="C419">
      <v>27</v>
    </nc>
  </rcc>
  <rcc rId="1419" sId="11" numFmtId="4">
    <nc r="D419">
      <v>14</v>
    </nc>
  </rcc>
  <rcc rId="1420" sId="11" numFmtId="4">
    <nc r="E419">
      <v>23</v>
    </nc>
  </rcc>
  <rcc rId="1421" sId="11" numFmtId="4">
    <nc r="F419">
      <v>27</v>
    </nc>
  </rcc>
  <rcc rId="1422" sId="11" numFmtId="4">
    <nc r="G419">
      <v>6</v>
    </nc>
  </rcc>
  <rcc rId="1423" sId="11" numFmtId="4">
    <nc r="H419">
      <v>0</v>
    </nc>
  </rcc>
  <rcc rId="1424" sId="11" numFmtId="4">
    <nc r="B420">
      <v>2</v>
    </nc>
  </rcc>
  <rcc rId="1425" sId="11" numFmtId="4">
    <nc r="C420">
      <v>12</v>
    </nc>
  </rcc>
  <rcc rId="1426" sId="11" numFmtId="4">
    <nc r="D420">
      <v>14</v>
    </nc>
  </rcc>
  <rcc rId="1427" sId="11" numFmtId="4">
    <nc r="E420">
      <v>23</v>
    </nc>
  </rcc>
  <rcc rId="1428" sId="11" numFmtId="4">
    <nc r="F420">
      <v>26</v>
    </nc>
  </rcc>
  <rcc rId="1429" sId="11" numFmtId="4">
    <nc r="G420">
      <v>0</v>
    </nc>
  </rcc>
  <rcc rId="1430" sId="11" numFmtId="4">
    <nc r="H420">
      <v>0</v>
    </nc>
  </rcc>
</revisions>
</file>

<file path=xl/revisions/revisionLog1711.xml><?xml version="1.0" encoding="utf-8"?>
<revisions xmlns="http://schemas.openxmlformats.org/spreadsheetml/2006/main" xmlns:r="http://schemas.openxmlformats.org/officeDocument/2006/relationships">
  <rcc rId="1873" sId="5" numFmtId="4">
    <nc r="B245">
      <v>14</v>
    </nc>
  </rcc>
  <rcc rId="1874" sId="5" numFmtId="4">
    <nc r="C245">
      <v>12</v>
    </nc>
  </rcc>
  <rcc rId="1875" sId="5" numFmtId="4">
    <nc r="D245">
      <v>16</v>
    </nc>
  </rcc>
  <rcc rId="1876" sId="5" numFmtId="4">
    <nc r="E245">
      <v>17</v>
    </nc>
  </rcc>
  <rcc rId="1877" sId="5" numFmtId="4">
    <nc r="F245">
      <v>4</v>
    </nc>
  </rcc>
  <rcc rId="1878" sId="5" numFmtId="4">
    <nc r="G245">
      <v>5</v>
    </nc>
  </rcc>
  <rcc rId="1879" sId="5" numFmtId="4">
    <nc r="B246">
      <v>14</v>
    </nc>
  </rcc>
  <rcc rId="1880" sId="5" numFmtId="4">
    <nc r="C246">
      <v>12</v>
    </nc>
  </rcc>
  <rcc rId="1881" sId="5" numFmtId="4">
    <nc r="D246">
      <v>15</v>
    </nc>
  </rcc>
  <rcc rId="1882" sId="5" numFmtId="4">
    <nc r="E246">
      <v>16</v>
    </nc>
  </rcc>
  <rcc rId="1883" sId="5" numFmtId="4">
    <nc r="F246">
      <v>3</v>
    </nc>
  </rcc>
  <rcc rId="1884" sId="5" numFmtId="4">
    <nc r="G246">
      <v>6</v>
    </nc>
  </rcc>
  <rcv guid="{43751384-8D2C-4877-853C-4CE893CAF1E6}" action="delete"/>
  <rcv guid="{43751384-8D2C-4877-853C-4CE893CAF1E6}" action="add"/>
</revisions>
</file>

<file path=xl/revisions/revisionLog11111.xml><?xml version="1.0" encoding="utf-8"?>
<revisions xmlns="http://schemas.openxmlformats.org/spreadsheetml/2006/main" xmlns:r="http://schemas.openxmlformats.org/officeDocument/2006/relationships"/>
</file>

<file path=xl/revisions/revisionLog12111.xml><?xml version="1.0" encoding="utf-8"?>
<revisions xmlns="http://schemas.openxmlformats.org/spreadsheetml/2006/main" xmlns:r="http://schemas.openxmlformats.org/officeDocument/2006/relationships">
  <rcc rId="334" sId="11" numFmtId="4">
    <nc r="B345">
      <v>2</v>
    </nc>
  </rcc>
  <rcc rId="335" sId="11" numFmtId="4">
    <nc r="C345">
      <v>33</v>
    </nc>
  </rcc>
  <rcc rId="336" sId="11" numFmtId="4">
    <nc r="D345">
      <v>12</v>
    </nc>
  </rcc>
  <rcc rId="337" sId="11" numFmtId="4">
    <nc r="E345">
      <v>13</v>
    </nc>
  </rcc>
  <rcc rId="338" sId="11" numFmtId="4">
    <nc r="F345">
      <v>21</v>
    </nc>
  </rcc>
  <rcc rId="339" sId="11" numFmtId="4">
    <nc r="G345">
      <v>0</v>
    </nc>
  </rcc>
  <rcc rId="340" sId="11" numFmtId="4">
    <nc r="H345">
      <v>0</v>
    </nc>
  </rcc>
  <rcc rId="341" sId="11" numFmtId="4">
    <nc r="B346">
      <v>2</v>
    </nc>
  </rcc>
  <rcc rId="342" sId="11" numFmtId="4">
    <nc r="C346">
      <v>31</v>
    </nc>
  </rcc>
  <rcc rId="343" sId="11" numFmtId="4">
    <nc r="D346">
      <v>11</v>
    </nc>
  </rcc>
  <rcc rId="344" sId="11" numFmtId="4">
    <nc r="E346">
      <v>19</v>
    </nc>
  </rcc>
  <rcc rId="345" sId="11" numFmtId="4">
    <nc r="F346">
      <v>10</v>
    </nc>
  </rcc>
  <rcc rId="346" sId="11" numFmtId="4">
    <nc r="G346">
      <v>0</v>
    </nc>
  </rcc>
  <rcc rId="347" sId="11" numFmtId="4">
    <nc r="H346">
      <v>0</v>
    </nc>
  </rcc>
  <rcc rId="348" sId="11" numFmtId="4">
    <nc r="B347">
      <v>2</v>
    </nc>
  </rcc>
  <rcc rId="349" sId="11" numFmtId="4">
    <nc r="C347">
      <v>30</v>
    </nc>
  </rcc>
  <rcc rId="350" sId="11" numFmtId="4">
    <nc r="D347">
      <v>12</v>
    </nc>
  </rcc>
  <rcc rId="351" sId="11" numFmtId="4">
    <nc r="E347">
      <v>17</v>
    </nc>
  </rcc>
  <rcc rId="352" sId="11" numFmtId="4">
    <nc r="F347">
      <v>21</v>
    </nc>
  </rcc>
  <rcc rId="353" sId="11" numFmtId="4">
    <nc r="G347">
      <v>12</v>
    </nc>
  </rcc>
  <rcc rId="354" sId="11" numFmtId="4">
    <nc r="H347">
      <v>0</v>
    </nc>
  </rcc>
  <rcc rId="355" sId="11" numFmtId="4">
    <nc r="B348">
      <v>2</v>
    </nc>
  </rcc>
  <rcc rId="356" sId="11" numFmtId="4">
    <nc r="C348">
      <v>30</v>
    </nc>
  </rcc>
  <rcc rId="357" sId="11" numFmtId="4">
    <nc r="D348">
      <v>13</v>
    </nc>
  </rcc>
  <rcc rId="358" sId="11" numFmtId="4">
    <nc r="E348">
      <v>23</v>
    </nc>
  </rcc>
  <rcc rId="359" sId="11" numFmtId="4">
    <nc r="F348">
      <v>21</v>
    </nc>
  </rcc>
  <rcc rId="360" sId="11" numFmtId="4">
    <nc r="G348">
      <v>3</v>
    </nc>
  </rcc>
  <rcc rId="361" sId="11" numFmtId="4">
    <nc r="H348">
      <v>0</v>
    </nc>
  </rcc>
  <rcc rId="362" sId="11" numFmtId="4">
    <nc r="B349">
      <v>2</v>
    </nc>
  </rcc>
  <rcc rId="363" sId="11" numFmtId="4">
    <nc r="C349">
      <v>5</v>
    </nc>
  </rcc>
  <rcc rId="364" sId="11" numFmtId="4">
    <nc r="D349">
      <v>12</v>
    </nc>
  </rcc>
  <rcc rId="365" sId="11" numFmtId="4">
    <nc r="E349">
      <v>5</v>
    </nc>
  </rcc>
  <rcc rId="366" sId="11" numFmtId="4">
    <nc r="F349">
      <v>2</v>
    </nc>
  </rcc>
  <rcc rId="367" sId="11" numFmtId="4">
    <nc r="G349">
      <v>3</v>
    </nc>
  </rcc>
  <rcc rId="368" sId="11" numFmtId="4">
    <nc r="H349">
      <v>0</v>
    </nc>
  </rcc>
  <rcc rId="369" sId="2" numFmtId="4">
    <nc r="B59">
      <v>15</v>
    </nc>
  </rcc>
  <rcc rId="370" sId="2" numFmtId="4">
    <nc r="C59">
      <v>24</v>
    </nc>
  </rcc>
  <rcc rId="371" sId="2" numFmtId="4">
    <nc r="D59">
      <v>12</v>
    </nc>
  </rcc>
  <rcc rId="372" sId="2" numFmtId="4">
    <nc r="E59">
      <v>3</v>
    </nc>
  </rcc>
  <rcc rId="373" sId="2" numFmtId="4">
    <nc r="F59">
      <v>10</v>
    </nc>
  </rcc>
  <rcc rId="374" sId="2" numFmtId="4">
    <nc r="G59">
      <v>0</v>
    </nc>
  </rcc>
  <rcc rId="375" sId="2" numFmtId="4">
    <nc r="B60">
      <v>15</v>
    </nc>
  </rcc>
  <rcc rId="376" sId="2" numFmtId="4">
    <nc r="C60">
      <v>24</v>
    </nc>
  </rcc>
  <rcc rId="377" sId="2" numFmtId="4">
    <nc r="D60">
      <v>13</v>
    </nc>
  </rcc>
  <rcc rId="378" sId="2" numFmtId="4">
    <nc r="E60">
      <v>8</v>
    </nc>
  </rcc>
  <rcc rId="379" sId="2" numFmtId="4">
    <nc r="F60">
      <v>12</v>
    </nc>
  </rcc>
  <rcc rId="380" sId="2" numFmtId="4">
    <nc r="G60">
      <v>0</v>
    </nc>
  </rcc>
  <rcc rId="381" sId="11" numFmtId="4">
    <nc r="B350">
      <v>2</v>
    </nc>
  </rcc>
  <rcc rId="382" sId="11" numFmtId="4">
    <nc r="C350">
      <v>17</v>
    </nc>
  </rcc>
  <rcc rId="383" sId="11" numFmtId="4">
    <nc r="D350">
      <v>12</v>
    </nc>
  </rcc>
  <rcc rId="384" sId="11" numFmtId="4">
    <nc r="E350">
      <v>19</v>
    </nc>
  </rcc>
  <rcc rId="385" sId="11" numFmtId="4">
    <nc r="F350">
      <v>10</v>
    </nc>
  </rcc>
  <rcc rId="386" sId="11" numFmtId="4">
    <nc r="G350">
      <v>4</v>
    </nc>
  </rcc>
  <rcc rId="387" sId="11" numFmtId="4">
    <nc r="H350">
      <v>0</v>
    </nc>
  </rcc>
  <rcc rId="388" sId="11" numFmtId="4">
    <nc r="B351">
      <v>2</v>
    </nc>
  </rcc>
  <rcc rId="389" sId="11" numFmtId="4">
    <nc r="C351">
      <v>17</v>
    </nc>
  </rcc>
  <rcc rId="390" sId="11" numFmtId="4">
    <nc r="D351">
      <v>11</v>
    </nc>
  </rcc>
  <rcc rId="391" sId="11" numFmtId="4">
    <nc r="E351">
      <v>10</v>
    </nc>
  </rcc>
  <rcc rId="392" sId="11" numFmtId="4">
    <nc r="F351">
      <v>13</v>
    </nc>
  </rcc>
  <rcc rId="393" sId="11" numFmtId="4">
    <nc r="G351">
      <v>7</v>
    </nc>
  </rcc>
  <rcc rId="394" sId="11" numFmtId="4">
    <nc r="H351">
      <v>0</v>
    </nc>
  </rcc>
  <rcc rId="395" sId="11" numFmtId="4">
    <nc r="B352">
      <v>2</v>
    </nc>
  </rcc>
  <rcc rId="396" sId="11" numFmtId="4">
    <nc r="C352">
      <v>17</v>
    </nc>
  </rcc>
  <rcc rId="397" sId="11" numFmtId="4">
    <nc r="D352">
      <v>10</v>
    </nc>
  </rcc>
  <rcc rId="398" sId="11" numFmtId="4">
    <nc r="E352">
      <v>8</v>
    </nc>
  </rcc>
  <rcc rId="399" sId="11" numFmtId="4">
    <nc r="F352">
      <v>11</v>
    </nc>
  </rcc>
  <rcc rId="400" sId="11" numFmtId="4">
    <nc r="G352">
      <v>5</v>
    </nc>
  </rcc>
  <rcc rId="401" sId="11" numFmtId="4">
    <nc r="H352">
      <v>0</v>
    </nc>
  </rcc>
  <rcc rId="402" sId="11" numFmtId="4">
    <nc r="B353">
      <v>2</v>
    </nc>
  </rcc>
  <rcc rId="403" sId="11" numFmtId="4">
    <nc r="C353">
      <v>14</v>
    </nc>
  </rcc>
  <rcc rId="404" sId="11" numFmtId="4">
    <nc r="D353">
      <v>13</v>
    </nc>
  </rcc>
  <rcc rId="405" sId="11" numFmtId="4">
    <nc r="E353">
      <v>9</v>
    </nc>
  </rcc>
  <rcc rId="406" sId="11" numFmtId="4">
    <nc r="F353">
      <v>5</v>
    </nc>
  </rcc>
  <rcc rId="407" sId="11" numFmtId="4">
    <nc r="G353">
      <v>7</v>
    </nc>
  </rcc>
  <rcc rId="408" sId="11" numFmtId="4">
    <nc r="H353">
      <v>0</v>
    </nc>
  </rcc>
  <rcc rId="409" sId="11" numFmtId="4">
    <nc r="B354">
      <v>2</v>
    </nc>
  </rcc>
  <rcc rId="410" sId="11" numFmtId="4">
    <nc r="C354">
      <v>11</v>
    </nc>
  </rcc>
  <rcc rId="411" sId="11" numFmtId="4">
    <nc r="D354">
      <v>13</v>
    </nc>
  </rcc>
  <rcc rId="412" sId="11" numFmtId="4">
    <nc r="E354">
      <v>6</v>
    </nc>
  </rcc>
  <rcc rId="413" sId="11" numFmtId="4">
    <nc r="F354">
      <v>7</v>
    </nc>
  </rcc>
  <rcc rId="414" sId="11" numFmtId="4">
    <nc r="G354">
      <v>0</v>
    </nc>
  </rcc>
  <rcc rId="415" sId="11" numFmtId="4">
    <nc r="H354">
      <v>0</v>
    </nc>
  </rcc>
  <rcc rId="416" sId="11" numFmtId="4">
    <nc r="B355">
      <v>2</v>
    </nc>
  </rcc>
  <rcc rId="417" sId="11" numFmtId="4">
    <nc r="C355">
      <v>11</v>
    </nc>
  </rcc>
  <rcc rId="418" sId="11" numFmtId="4">
    <nc r="D355">
      <v>12</v>
    </nc>
  </rcc>
  <rcc rId="419" sId="11" numFmtId="4">
    <nc r="E355">
      <v>5</v>
    </nc>
  </rcc>
  <rcc rId="420" sId="11" numFmtId="4">
    <nc r="F355">
      <v>3</v>
    </nc>
  </rcc>
  <rcc rId="421" sId="11" numFmtId="4">
    <nc r="G355">
      <v>0</v>
    </nc>
  </rcc>
  <rcc rId="422" sId="11" numFmtId="4">
    <nc r="H355">
      <v>0</v>
    </nc>
  </rcc>
  <rcc rId="423" sId="11" numFmtId="4">
    <nc r="B356">
      <v>2</v>
    </nc>
  </rcc>
  <rcc rId="424" sId="11" numFmtId="4">
    <nc r="C356">
      <v>11</v>
    </nc>
  </rcc>
  <rcc rId="425" sId="11" numFmtId="4">
    <nc r="D356">
      <v>11</v>
    </nc>
  </rcc>
  <rcc rId="426" sId="11" numFmtId="4">
    <nc r="E356">
      <v>18</v>
    </nc>
  </rcc>
  <rcc rId="427" sId="11" numFmtId="4">
    <nc r="F356">
      <v>6</v>
    </nc>
  </rcc>
  <rcc rId="428" sId="11" numFmtId="4">
    <nc r="G356">
      <v>0</v>
    </nc>
  </rcc>
  <rcc rId="429" sId="11" numFmtId="4">
    <nc r="H356">
      <v>0</v>
    </nc>
  </rcc>
  <rcc rId="430" sId="11" numFmtId="4">
    <nc r="B357">
      <v>2</v>
    </nc>
  </rcc>
  <rcc rId="431" sId="11" numFmtId="4">
    <nc r="C357">
      <v>4</v>
    </nc>
  </rcc>
  <rcc rId="432" sId="11" numFmtId="4">
    <nc r="D357">
      <v>13</v>
    </nc>
  </rcc>
  <rcc rId="433" sId="11" numFmtId="4">
    <nc r="E357">
      <v>21</v>
    </nc>
  </rcc>
  <rcc rId="434" sId="11" numFmtId="4">
    <nc r="F357">
      <v>13</v>
    </nc>
  </rcc>
  <rcc rId="435" sId="11" numFmtId="4">
    <nc r="G357">
      <v>0</v>
    </nc>
  </rcc>
  <rcc rId="436" sId="11" numFmtId="4">
    <nc r="H357">
      <v>0</v>
    </nc>
  </rcc>
  <rcc rId="437" sId="11" numFmtId="4">
    <nc r="B358">
      <v>2</v>
    </nc>
  </rcc>
  <rcc rId="438" sId="11" numFmtId="4">
    <nc r="C358">
      <v>4</v>
    </nc>
  </rcc>
  <rcc rId="439" sId="11" numFmtId="4">
    <nc r="D358">
      <v>12</v>
    </nc>
  </rcc>
  <rcc rId="440" sId="11" numFmtId="4">
    <nc r="E358">
      <v>7</v>
    </nc>
  </rcc>
  <rcc rId="441" sId="11" numFmtId="4">
    <nc r="F358">
      <v>5</v>
    </nc>
  </rcc>
  <rcc rId="442" sId="11" numFmtId="4">
    <nc r="G358">
      <v>0</v>
    </nc>
  </rcc>
  <rcc rId="443" sId="11" numFmtId="4">
    <nc r="H358">
      <v>0</v>
    </nc>
  </rcc>
  <rcc rId="444" sId="11" numFmtId="4">
    <nc r="B359">
      <v>2</v>
    </nc>
  </rcc>
  <rcc rId="445" sId="11" numFmtId="4">
    <nc r="C359">
      <v>5</v>
    </nc>
  </rcc>
  <rcc rId="446" sId="11" numFmtId="4">
    <nc r="D359">
      <v>13</v>
    </nc>
  </rcc>
  <rcc rId="447" sId="11" numFmtId="4">
    <nc r="E359">
      <v>4</v>
    </nc>
  </rcc>
  <rcc rId="448" sId="11" numFmtId="4">
    <nc r="F359">
      <v>7</v>
    </nc>
  </rcc>
  <rcc rId="449" sId="11" numFmtId="4">
    <nc r="G359">
      <v>1</v>
    </nc>
  </rcc>
  <rcc rId="450" sId="11" numFmtId="4">
    <nc r="H359">
      <v>2</v>
    </nc>
  </rcc>
  <rcc rId="451" sId="11" numFmtId="4">
    <nc r="B360">
      <v>2</v>
    </nc>
  </rcc>
  <rcc rId="452" sId="11" numFmtId="4">
    <nc r="C360">
      <v>2</v>
    </nc>
  </rcc>
  <rcc rId="453" sId="11" numFmtId="4">
    <nc r="D360">
      <v>14</v>
    </nc>
  </rcc>
  <rcc rId="454" sId="11" numFmtId="4">
    <nc r="E360">
      <v>8</v>
    </nc>
  </rcc>
  <rcc rId="455" sId="11" numFmtId="4">
    <nc r="F360">
      <v>4</v>
    </nc>
  </rcc>
  <rcc rId="456" sId="11" numFmtId="4">
    <nc r="G360">
      <v>6</v>
    </nc>
  </rcc>
  <rcc rId="457" sId="11" numFmtId="4">
    <nc r="H360">
      <v>0</v>
    </nc>
  </rcc>
  <rcc rId="458" sId="11" numFmtId="4">
    <nc r="B361">
      <v>2</v>
    </nc>
  </rcc>
  <rcc rId="459" sId="11" numFmtId="4">
    <nc r="C361">
      <v>2</v>
    </nc>
  </rcc>
  <rcc rId="460" sId="11" numFmtId="4">
    <nc r="D361">
      <v>12</v>
    </nc>
  </rcc>
  <rcc rId="461" sId="11" numFmtId="4">
    <nc r="E361">
      <v>7</v>
    </nc>
  </rcc>
  <rcc rId="462" sId="11" numFmtId="4">
    <nc r="F361">
      <v>2</v>
    </nc>
  </rcc>
  <rcc rId="463" sId="11" numFmtId="4">
    <nc r="G361">
      <v>9</v>
    </nc>
  </rcc>
  <rcc rId="464" sId="11" numFmtId="4">
    <nc r="H361">
      <v>0</v>
    </nc>
  </rcc>
  <rcc rId="465" sId="11" numFmtId="4">
    <nc r="B362">
      <v>2</v>
    </nc>
  </rcc>
  <rcc rId="466" sId="11" numFmtId="4">
    <nc r="C362">
      <v>9</v>
    </nc>
  </rcc>
  <rcc rId="467" sId="11" numFmtId="4">
    <nc r="D362">
      <v>12</v>
    </nc>
  </rcc>
  <rcc rId="468" sId="11" numFmtId="4">
    <nc r="E362">
      <v>16</v>
    </nc>
  </rcc>
  <rcc rId="469" sId="11" numFmtId="4">
    <nc r="F362">
      <v>56</v>
    </nc>
  </rcc>
  <rcc rId="470" sId="11" numFmtId="4">
    <nc r="G362">
      <v>13</v>
    </nc>
  </rcc>
  <rcc rId="471" sId="11" numFmtId="4">
    <nc r="H362">
      <v>1</v>
    </nc>
  </rcc>
  <rcc rId="472" sId="11" numFmtId="4">
    <nc r="B363">
      <v>2</v>
    </nc>
  </rcc>
  <rcc rId="473" sId="11" numFmtId="4">
    <nc r="C363">
      <v>9</v>
    </nc>
  </rcc>
  <rcc rId="474" sId="11" numFmtId="4">
    <nc r="D363">
      <v>13</v>
    </nc>
  </rcc>
  <rcc rId="475" sId="11" numFmtId="4">
    <nc r="E363">
      <v>80</v>
    </nc>
  </rcc>
  <rcc rId="476" sId="11" numFmtId="4">
    <nc r="F363">
      <v>61</v>
    </nc>
  </rcc>
  <rcc rId="477" sId="11" numFmtId="4">
    <nc r="G363">
      <v>13</v>
    </nc>
  </rcc>
  <rcc rId="478" sId="11" numFmtId="4">
    <nc r="H363">
      <v>1</v>
    </nc>
  </rcc>
  <rcc rId="479" sId="11" numFmtId="4">
    <nc r="B364">
      <v>2</v>
    </nc>
  </rcc>
  <rcc rId="480" sId="11" numFmtId="4">
    <nc r="C364">
      <v>27</v>
    </nc>
  </rcc>
  <rcc rId="481" sId="11" numFmtId="4">
    <nc r="D364">
      <v>6</v>
    </nc>
  </rcc>
  <rcc rId="482" sId="11" numFmtId="4">
    <nc r="E364">
      <v>9</v>
    </nc>
  </rcc>
  <rcc rId="483" sId="11" numFmtId="4">
    <nc r="F364">
      <v>13</v>
    </nc>
  </rcc>
  <rcc rId="484" sId="11" numFmtId="4">
    <nc r="G364">
      <v>0</v>
    </nc>
  </rcc>
  <rcc rId="485" sId="11" numFmtId="4">
    <nc r="H364">
      <v>0</v>
    </nc>
  </rcc>
  <rcc rId="486" sId="11" numFmtId="4">
    <nc r="B365">
      <v>2</v>
    </nc>
  </rcc>
  <rcc rId="487" sId="11" numFmtId="4">
    <nc r="C365">
      <v>27</v>
    </nc>
  </rcc>
  <rcc rId="488" sId="11" numFmtId="4">
    <nc r="D365">
      <v>10</v>
    </nc>
  </rcc>
  <rcc rId="489" sId="11" numFmtId="4">
    <nc r="E365">
      <v>20</v>
    </nc>
  </rcc>
  <rcc rId="490" sId="11" numFmtId="4">
    <nc r="F365">
      <v>8</v>
    </nc>
  </rcc>
  <rcc rId="491" sId="11" numFmtId="4">
    <nc r="G365">
      <v>0</v>
    </nc>
  </rcc>
  <rcc rId="492" sId="11" numFmtId="4">
    <nc r="H365">
      <v>0</v>
    </nc>
  </rcc>
  <rcc rId="493" sId="11" numFmtId="4">
    <nc r="B366">
      <v>2</v>
    </nc>
  </rcc>
  <rcc rId="494" sId="11" numFmtId="4">
    <nc r="C366">
      <v>27</v>
    </nc>
  </rcc>
  <rcc rId="495" sId="11" numFmtId="4">
    <nc r="D366">
      <v>9</v>
    </nc>
  </rcc>
  <rcc rId="496" sId="11" numFmtId="4">
    <nc r="E366">
      <v>15</v>
    </nc>
  </rcc>
  <rcc rId="497" sId="11" numFmtId="4">
    <nc r="F366">
      <v>9</v>
    </nc>
  </rcc>
  <rcc rId="498" sId="11" numFmtId="4">
    <nc r="G366">
      <v>0</v>
    </nc>
  </rcc>
  <rcc rId="499" sId="11" numFmtId="4">
    <nc r="H366">
      <v>0</v>
    </nc>
  </rcc>
  <rcc rId="500" sId="11" numFmtId="4">
    <nc r="B367">
      <v>2</v>
    </nc>
  </rcc>
  <rcc rId="501" sId="11" numFmtId="4">
    <nc r="C367">
      <v>27</v>
    </nc>
  </rcc>
  <rcc rId="502" sId="11" numFmtId="4">
    <nc r="D367">
      <v>8</v>
    </nc>
  </rcc>
  <rcc rId="503" sId="11" numFmtId="4">
    <nc r="E367">
      <v>13</v>
    </nc>
  </rcc>
  <rcc rId="504" sId="11" numFmtId="4">
    <nc r="F367">
      <v>7</v>
    </nc>
  </rcc>
  <rcc rId="505" sId="11" numFmtId="4">
    <nc r="G367">
      <v>0</v>
    </nc>
  </rcc>
  <rcc rId="506" sId="11" numFmtId="4">
    <nc r="H367">
      <v>0</v>
    </nc>
  </rcc>
  <rcc rId="507" sId="11" numFmtId="4">
    <nc r="B368">
      <v>2</v>
    </nc>
  </rcc>
  <rcc rId="508" sId="11" numFmtId="4">
    <nc r="C368">
      <v>27</v>
    </nc>
  </rcc>
  <rcc rId="509" sId="11" numFmtId="4">
    <nc r="D368">
      <v>7</v>
    </nc>
  </rcc>
  <rcc rId="510" sId="11" numFmtId="4">
    <nc r="E368">
      <v>9</v>
    </nc>
  </rcc>
  <rcc rId="511" sId="11" numFmtId="4">
    <nc r="F368">
      <v>11</v>
    </nc>
  </rcc>
  <rcc rId="512" sId="11" numFmtId="4">
    <nc r="G368">
      <v>1</v>
    </nc>
  </rcc>
  <rcc rId="513" sId="11" numFmtId="4">
    <nc r="H368">
      <v>1</v>
    </nc>
  </rcc>
  <rcc rId="514" sId="11" numFmtId="4">
    <nc r="B369">
      <v>2</v>
    </nc>
  </rcc>
  <rcc rId="515" sId="11" numFmtId="4">
    <nc r="C369">
      <v>27</v>
    </nc>
  </rcc>
  <rcc rId="516" sId="11" numFmtId="4">
    <nc r="D369">
      <v>12</v>
    </nc>
  </rcc>
  <rcc rId="517" sId="11" numFmtId="4">
    <nc r="E369">
      <v>18</v>
    </nc>
  </rcc>
  <rcc rId="518" sId="11" numFmtId="4">
    <nc r="F369">
      <v>13</v>
    </nc>
  </rcc>
  <rcc rId="519" sId="11" numFmtId="4">
    <nc r="G369">
      <v>0</v>
    </nc>
  </rcc>
  <rcc rId="520" sId="11" numFmtId="4">
    <nc r="H369">
      <v>1</v>
    </nc>
  </rcc>
  <rcc rId="521" sId="11" numFmtId="4">
    <nc r="B370">
      <v>2</v>
    </nc>
  </rcc>
  <rcc rId="522" sId="11" numFmtId="4">
    <nc r="C370">
      <v>27</v>
    </nc>
  </rcc>
  <rcc rId="523" sId="11" numFmtId="4">
    <nc r="D370">
      <v>13</v>
    </nc>
  </rcc>
  <rcc rId="524" sId="11" numFmtId="4">
    <nc r="E370">
      <v>13</v>
    </nc>
  </rcc>
  <rcc rId="525" sId="11" numFmtId="4">
    <nc r="F370">
      <v>14</v>
    </nc>
  </rcc>
  <rcc rId="526" sId="11" numFmtId="4">
    <nc r="G370">
      <v>3</v>
    </nc>
  </rcc>
  <rcc rId="527" sId="11" numFmtId="4">
    <nc r="H370">
      <v>0</v>
    </nc>
  </rcc>
  <rcc rId="528" sId="11" numFmtId="4">
    <nc r="B371">
      <v>2</v>
    </nc>
  </rcc>
  <rcc rId="529" sId="11" numFmtId="4">
    <nc r="C371">
      <v>27</v>
    </nc>
  </rcc>
  <rcc rId="530" sId="11" numFmtId="4">
    <nc r="D371">
      <v>11</v>
    </nc>
  </rcc>
  <rcc rId="531" sId="11" numFmtId="4">
    <nc r="E371">
      <v>10</v>
    </nc>
  </rcc>
  <rcc rId="532" sId="11" numFmtId="4">
    <nc r="F371">
      <v>11</v>
    </nc>
  </rcc>
  <rcc rId="533" sId="11" numFmtId="4">
    <nc r="G371">
      <v>0</v>
    </nc>
  </rcc>
  <rcc rId="534" sId="11" numFmtId="4">
    <nc r="H371">
      <v>0</v>
    </nc>
  </rcc>
  <rcc rId="535" sId="11" numFmtId="4">
    <nc r="B372">
      <v>2</v>
    </nc>
  </rcc>
  <rcc rId="536" sId="11" numFmtId="4">
    <nc r="C372">
      <v>10</v>
    </nc>
  </rcc>
  <rcc rId="537" sId="11" numFmtId="4">
    <nc r="D372">
      <v>8</v>
    </nc>
  </rcc>
  <rcc rId="538" sId="11" numFmtId="4">
    <nc r="E372">
      <v>25</v>
    </nc>
  </rcc>
  <rcc rId="539" sId="11" numFmtId="4">
    <nc r="F372">
      <v>8</v>
    </nc>
  </rcc>
  <rcc rId="540" sId="11" numFmtId="4">
    <nc r="G372">
      <v>5</v>
    </nc>
  </rcc>
  <rcc rId="541" sId="11" numFmtId="4">
    <nc r="H372">
      <v>0</v>
    </nc>
  </rcc>
  <rcc rId="542" sId="11" numFmtId="4">
    <nc r="B373">
      <v>2</v>
    </nc>
  </rcc>
  <rcc rId="543" sId="11" numFmtId="4">
    <nc r="C373">
      <v>13</v>
    </nc>
  </rcc>
  <rcc rId="544" sId="11" numFmtId="4">
    <nc r="D373">
      <v>12</v>
    </nc>
  </rcc>
  <rcc rId="545" sId="11" numFmtId="4">
    <nc r="E373">
      <v>11</v>
    </nc>
  </rcc>
  <rcc rId="546" sId="11" numFmtId="4">
    <nc r="F373">
      <v>7</v>
    </nc>
  </rcc>
  <rcc rId="547" sId="11" numFmtId="4">
    <nc r="G373">
      <v>1</v>
    </nc>
  </rcc>
  <rcc rId="548" sId="11" numFmtId="4">
    <nc r="H373">
      <v>3</v>
    </nc>
  </rcc>
  <rcc rId="549" sId="11" numFmtId="4">
    <nc r="B374">
      <v>2</v>
    </nc>
  </rcc>
  <rcc rId="550" sId="11" numFmtId="4">
    <nc r="C374">
      <v>13</v>
    </nc>
  </rcc>
  <rcc rId="551" sId="11" numFmtId="4">
    <nc r="D374">
      <v>13</v>
    </nc>
  </rcc>
  <rcc rId="552" sId="11" numFmtId="4">
    <nc r="E374">
      <v>15</v>
    </nc>
  </rcc>
  <rcc rId="553" sId="11" numFmtId="4">
    <nc r="F374">
      <v>6</v>
    </nc>
  </rcc>
  <rcc rId="554" sId="11" numFmtId="4">
    <nc r="G374">
      <v>3</v>
    </nc>
  </rcc>
  <rcc rId="555" sId="11" numFmtId="4">
    <nc r="H374">
      <v>2</v>
    </nc>
  </rcc>
  <rcc rId="556" sId="11" numFmtId="4">
    <nc r="B375">
      <v>2</v>
    </nc>
  </rcc>
  <rcc rId="557" sId="11" numFmtId="4">
    <nc r="C375">
      <v>25</v>
    </nc>
  </rcc>
  <rcc rId="558" sId="11" numFmtId="4">
    <nc r="D375">
      <v>12</v>
    </nc>
  </rcc>
  <rcc rId="559" sId="11" numFmtId="4">
    <nc r="E375">
      <v>24</v>
    </nc>
  </rcc>
  <rcc rId="560" sId="11" numFmtId="4">
    <nc r="F375">
      <v>0</v>
    </nc>
  </rcc>
  <rcc rId="561" sId="11" numFmtId="4">
    <nc r="G375">
      <v>0</v>
    </nc>
  </rcc>
  <rcc rId="562" sId="11" numFmtId="4">
    <nc r="H375">
      <v>0</v>
    </nc>
  </rcc>
  <rcc rId="563" sId="11" numFmtId="4">
    <nc r="B376">
      <v>2</v>
    </nc>
  </rcc>
  <rcc rId="564" sId="11" numFmtId="4">
    <nc r="C376">
      <v>25</v>
    </nc>
  </rcc>
  <rcc rId="565" sId="11" numFmtId="4">
    <nc r="D376">
      <v>13</v>
    </nc>
  </rcc>
  <rcc rId="566" sId="11" numFmtId="4">
    <nc r="E376">
      <v>23</v>
    </nc>
  </rcc>
  <rcc rId="567" sId="11" numFmtId="4">
    <nc r="F376">
      <v>0</v>
    </nc>
  </rcc>
  <rcc rId="568" sId="11" numFmtId="4">
    <nc r="G376">
      <v>0</v>
    </nc>
  </rcc>
  <rcc rId="569" sId="11" numFmtId="4">
    <nc r="H376">
      <v>0</v>
    </nc>
  </rcc>
  <rcc rId="570" sId="11" numFmtId="4">
    <nc r="B377">
      <v>2</v>
    </nc>
  </rcc>
  <rcc rId="571" sId="11" numFmtId="4">
    <nc r="C377">
      <v>2</v>
    </nc>
  </rcc>
  <rcc rId="572" sId="11" numFmtId="4">
    <nc r="D377">
      <v>13</v>
    </nc>
  </rcc>
  <rcc rId="573" sId="11" numFmtId="4">
    <nc r="E377">
      <v>9</v>
    </nc>
  </rcc>
  <rcc rId="574" sId="11" numFmtId="4">
    <nc r="F377">
      <v>2</v>
    </nc>
  </rcc>
  <rcc rId="575" sId="11" numFmtId="4">
    <nc r="G377">
      <v>7</v>
    </nc>
  </rcc>
  <rcc rId="576" sId="11" numFmtId="4">
    <nc r="H377">
      <v>0</v>
    </nc>
  </rcc>
  <rcc rId="577" sId="11" numFmtId="4">
    <nc r="B378">
      <v>2</v>
    </nc>
  </rcc>
  <rcc rId="578" sId="11" numFmtId="4">
    <nc r="C378">
      <v>22</v>
    </nc>
  </rcc>
  <rcc rId="579" sId="11" numFmtId="4">
    <nc r="D378">
      <v>13</v>
    </nc>
  </rcc>
  <rcc rId="580" sId="11" numFmtId="4">
    <nc r="E378">
      <v>3</v>
    </nc>
  </rcc>
  <rcc rId="581" sId="11" numFmtId="4">
    <nc r="F378">
      <v>5</v>
    </nc>
  </rcc>
  <rcc rId="582" sId="11" numFmtId="4">
    <nc r="G378">
      <v>1</v>
    </nc>
  </rcc>
  <rcc rId="583" sId="11" numFmtId="4">
    <nc r="H378">
      <v>0</v>
    </nc>
  </rcc>
  <rcc rId="584" sId="11" numFmtId="4">
    <nc r="B379">
      <v>2</v>
    </nc>
  </rcc>
  <rcc rId="585" sId="11" numFmtId="4">
    <nc r="C379">
      <v>22</v>
    </nc>
  </rcc>
  <rcc rId="586" sId="11" numFmtId="4">
    <nc r="D379">
      <v>12</v>
    </nc>
  </rcc>
  <rcc rId="587" sId="11" numFmtId="4">
    <nc r="E379">
      <v>4</v>
    </nc>
  </rcc>
  <rcc rId="588" sId="11" numFmtId="4">
    <nc r="F379">
      <v>7</v>
    </nc>
  </rcc>
  <rcc rId="589" sId="11" numFmtId="4">
    <nc r="G379">
      <v>0</v>
    </nc>
  </rcc>
  <rcc rId="590" sId="11" numFmtId="4">
    <nc r="H379">
      <v>0</v>
    </nc>
  </rcc>
  <rcc rId="591" sId="11" numFmtId="4">
    <nc r="B380">
      <v>2</v>
    </nc>
  </rcc>
  <rcc rId="592" sId="11" numFmtId="4">
    <nc r="C380">
      <v>22</v>
    </nc>
  </rcc>
  <rcc rId="593" sId="11" numFmtId="4">
    <nc r="D380">
      <v>11</v>
    </nc>
  </rcc>
  <rcc rId="594" sId="11" numFmtId="4">
    <nc r="E380">
      <v>3</v>
    </nc>
  </rcc>
  <rcc rId="595" sId="11" numFmtId="4">
    <nc r="F380">
      <v>10</v>
    </nc>
  </rcc>
  <rcc rId="596" sId="11" numFmtId="4">
    <nc r="G380">
      <v>0</v>
    </nc>
  </rcc>
  <rcc rId="597" sId="11" numFmtId="4">
    <nc r="H380">
      <v>0</v>
    </nc>
  </rcc>
  <rcc rId="598" sId="2" numFmtId="4">
    <nc r="B61">
      <v>15</v>
    </nc>
  </rcc>
  <rcc rId="599" sId="2" numFmtId="4">
    <nc r="C61">
      <v>18</v>
    </nc>
  </rcc>
  <rcc rId="600" sId="2" numFmtId="4">
    <nc r="D61">
      <v>10</v>
    </nc>
  </rcc>
  <rcc rId="601" sId="2" numFmtId="4">
    <nc r="E61">
      <v>6</v>
    </nc>
  </rcc>
  <rcc rId="602" sId="2" numFmtId="4">
    <nc r="F61">
      <v>15</v>
    </nc>
  </rcc>
  <rcc rId="603" sId="2" numFmtId="4">
    <nc r="G61">
      <v>0</v>
    </nc>
  </rcc>
  <rcc rId="604" sId="2" numFmtId="4">
    <nc r="B62">
      <v>15</v>
    </nc>
  </rcc>
  <rcc rId="605" sId="2" numFmtId="4">
    <nc r="C62">
      <v>18</v>
    </nc>
  </rcc>
  <rcc rId="606" sId="2" numFmtId="4">
    <nc r="D62">
      <v>11</v>
    </nc>
  </rcc>
  <rcc rId="607" sId="2" numFmtId="4">
    <nc r="E62">
      <v>4</v>
    </nc>
  </rcc>
  <rcc rId="608" sId="2" numFmtId="4">
    <nc r="F62">
      <v>12</v>
    </nc>
  </rcc>
  <rcc rId="609" sId="2" numFmtId="4">
    <nc r="G62">
      <v>0</v>
    </nc>
  </rcc>
  <rcc rId="610" sId="2" numFmtId="4">
    <nc r="B63">
      <v>15</v>
    </nc>
  </rcc>
  <rcc rId="611" sId="2" numFmtId="4">
    <nc r="C63">
      <v>18</v>
    </nc>
  </rcc>
  <rcc rId="612" sId="2" numFmtId="4">
    <nc r="D63">
      <v>12</v>
    </nc>
  </rcc>
  <rcc rId="613" sId="2" numFmtId="4">
    <nc r="E63">
      <v>8</v>
    </nc>
  </rcc>
  <rcc rId="614" sId="2" numFmtId="4">
    <nc r="F63">
      <v>38</v>
    </nc>
  </rcc>
  <rcc rId="615" sId="2" numFmtId="4">
    <nc r="G63">
      <v>0</v>
    </nc>
  </rcc>
  <rcc rId="616" sId="2" numFmtId="4">
    <nc r="B64">
      <v>15</v>
    </nc>
  </rcc>
  <rcc rId="617" sId="2" numFmtId="4">
    <nc r="C64">
      <v>26</v>
    </nc>
  </rcc>
  <rcc rId="618" sId="2" numFmtId="4">
    <nc r="D64">
      <v>8</v>
    </nc>
  </rcc>
  <rcc rId="619" sId="2" numFmtId="4">
    <nc r="E64">
      <v>10</v>
    </nc>
  </rcc>
  <rcc rId="620" sId="2" numFmtId="4">
    <nc r="F64">
      <v>9</v>
    </nc>
  </rcc>
  <rcc rId="621" sId="2" numFmtId="4">
    <nc r="G64">
      <v>0</v>
    </nc>
  </rcc>
  <rcc rId="622" sId="2" numFmtId="4">
    <nc r="B65">
      <v>15</v>
    </nc>
  </rcc>
  <rcc rId="623" sId="2" numFmtId="4">
    <nc r="C65">
      <v>26</v>
    </nc>
  </rcc>
  <rcc rId="624" sId="2" numFmtId="4">
    <nc r="D65">
      <v>9</v>
    </nc>
  </rcc>
  <rcc rId="625" sId="2" numFmtId="4">
    <nc r="E65">
      <v>7</v>
    </nc>
  </rcc>
  <rcc rId="626" sId="2" numFmtId="4">
    <nc r="F65">
      <v>11</v>
    </nc>
  </rcc>
  <rcc rId="627" sId="2" numFmtId="4">
    <nc r="G65">
      <v>0</v>
    </nc>
  </rcc>
  <rcc rId="628" sId="2" numFmtId="4">
    <nc r="B66">
      <v>15</v>
    </nc>
  </rcc>
  <rcc rId="629" sId="2" numFmtId="4">
    <nc r="C66">
      <v>26</v>
    </nc>
  </rcc>
  <rcc rId="630" sId="2" numFmtId="4">
    <nc r="D66">
      <v>10</v>
    </nc>
  </rcc>
  <rcc rId="631" sId="2" numFmtId="4">
    <nc r="E66">
      <v>4</v>
    </nc>
  </rcc>
  <rcc rId="632" sId="2" numFmtId="4">
    <nc r="F66">
      <v>17</v>
    </nc>
  </rcc>
  <rcc rId="633" sId="2" numFmtId="4">
    <nc r="G66">
      <v>0</v>
    </nc>
  </rcc>
  <rcc rId="634" sId="2" numFmtId="4">
    <nc r="B67">
      <v>15</v>
    </nc>
  </rcc>
  <rcc rId="635" sId="2" numFmtId="4">
    <nc r="C67">
      <v>26</v>
    </nc>
  </rcc>
  <rcc rId="636" sId="2" numFmtId="4">
    <nc r="D67">
      <v>11</v>
    </nc>
  </rcc>
  <rcc rId="637" sId="2" numFmtId="4">
    <nc r="E67">
      <v>3</v>
    </nc>
  </rcc>
  <rcc rId="638" sId="2" numFmtId="4">
    <nc r="F67">
      <v>14</v>
    </nc>
  </rcc>
  <rcc rId="639" sId="2" numFmtId="4">
    <nc r="G67">
      <v>0</v>
    </nc>
  </rcc>
  <rcc rId="640" sId="2" numFmtId="4">
    <nc r="B68">
      <v>15</v>
    </nc>
  </rcc>
  <rcc rId="641" sId="2" numFmtId="4">
    <nc r="C68">
      <v>23</v>
    </nc>
  </rcc>
  <rcc rId="642" sId="2" numFmtId="4">
    <nc r="D68">
      <v>12</v>
    </nc>
  </rcc>
  <rcc rId="643" sId="2" numFmtId="4">
    <nc r="E68">
      <v>5</v>
    </nc>
  </rcc>
  <rcc rId="644" sId="2" numFmtId="4">
    <nc r="F68">
      <v>14</v>
    </nc>
  </rcc>
  <rcc rId="645" sId="2" numFmtId="4">
    <nc r="G68">
      <v>0</v>
    </nc>
  </rcc>
  <rcc rId="646" sId="2" numFmtId="4">
    <nc r="B69">
      <v>15</v>
    </nc>
  </rcc>
  <rcc rId="647" sId="2" numFmtId="4">
    <nc r="C69">
      <v>26</v>
    </nc>
  </rcc>
  <rcc rId="648" sId="2" numFmtId="4">
    <nc r="D69">
      <v>13</v>
    </nc>
  </rcc>
  <rcc rId="649" sId="2" numFmtId="4">
    <nc r="E69">
      <v>4</v>
    </nc>
  </rcc>
  <rcc rId="650" sId="2" numFmtId="4">
    <nc r="F69">
      <v>13</v>
    </nc>
  </rcc>
  <rcc rId="651" sId="2" numFmtId="4">
    <nc r="G69">
      <v>0</v>
    </nc>
  </rcc>
  <rcc rId="652" sId="11" numFmtId="4">
    <nc r="B381">
      <v>2</v>
    </nc>
  </rcc>
  <rcc rId="653" sId="11" numFmtId="4">
    <nc r="C381">
      <v>34</v>
    </nc>
  </rcc>
  <rcc rId="654" sId="11" numFmtId="4">
    <nc r="D381">
      <v>12</v>
    </nc>
  </rcc>
  <rcc rId="655" sId="11" numFmtId="4">
    <nc r="E381">
      <v>2</v>
    </nc>
  </rcc>
  <rcc rId="656" sId="11" numFmtId="4">
    <nc r="F381">
      <v>16</v>
    </nc>
  </rcc>
  <rcc rId="657" sId="11" numFmtId="4">
    <nc r="G381">
      <v>0</v>
    </nc>
  </rcc>
  <rcc rId="658" sId="11" numFmtId="4">
    <nc r="H381">
      <v>0</v>
    </nc>
  </rcc>
  <rcc rId="659" sId="11" numFmtId="4">
    <nc r="B382">
      <v>2</v>
    </nc>
  </rcc>
  <rcc rId="660" sId="11" numFmtId="4">
    <nc r="C382">
      <v>34</v>
    </nc>
  </rcc>
  <rcc rId="661" sId="11" numFmtId="4">
    <nc r="D382">
      <v>13</v>
    </nc>
  </rcc>
  <rcc rId="662" sId="11" numFmtId="4">
    <nc r="E382">
      <v>3</v>
    </nc>
  </rcc>
  <rcc rId="663" sId="11" numFmtId="4">
    <nc r="F382">
      <v>23</v>
    </nc>
  </rcc>
  <rcc rId="664" sId="11" numFmtId="4">
    <nc r="G382">
      <v>0</v>
    </nc>
  </rcc>
  <rcc rId="665" sId="11" numFmtId="4">
    <nc r="H382">
      <v>0</v>
    </nc>
  </rcc>
  <rcc rId="666" sId="11" numFmtId="4">
    <nc r="B383">
      <v>2</v>
    </nc>
  </rcc>
  <rcc rId="667" sId="11" numFmtId="4">
    <nc r="C383">
      <v>12</v>
    </nc>
  </rcc>
  <rcc rId="668" sId="11" numFmtId="4">
    <nc r="D383">
      <v>13</v>
    </nc>
  </rcc>
  <rcc rId="669" sId="11" numFmtId="4">
    <nc r="E383">
      <v>13</v>
    </nc>
  </rcc>
  <rcc rId="670" sId="11" numFmtId="4">
    <nc r="F383">
      <v>25</v>
    </nc>
  </rcc>
  <rcc rId="671" sId="11" numFmtId="4">
    <nc r="G383">
      <v>0</v>
    </nc>
  </rcc>
  <rcc rId="672" sId="11" numFmtId="4">
    <nc r="H383">
      <v>0</v>
    </nc>
  </rcc>
  <rcc rId="673" sId="11" numFmtId="4">
    <nc r="B384">
      <v>2</v>
    </nc>
  </rcc>
  <rcc rId="674" sId="11" numFmtId="4">
    <nc r="C384">
      <v>12</v>
    </nc>
  </rcc>
  <rcc rId="675" sId="11" numFmtId="4">
    <nc r="D384">
      <v>12</v>
    </nc>
  </rcc>
  <rcc rId="676" sId="11" numFmtId="4">
    <nc r="E384">
      <v>17</v>
    </nc>
  </rcc>
  <rcc rId="677" sId="11" numFmtId="4">
    <nc r="F384">
      <v>15</v>
    </nc>
  </rcc>
  <rcc rId="678" sId="11" numFmtId="4">
    <nc r="G384">
      <v>0</v>
    </nc>
  </rcc>
  <rcc rId="679" sId="11" numFmtId="4">
    <nc r="H384">
      <v>0</v>
    </nc>
  </rcc>
  <rcc rId="680" sId="11" numFmtId="4">
    <nc r="B385">
      <v>2</v>
    </nc>
  </rcc>
  <rcc rId="681" sId="11" numFmtId="4">
    <nc r="C385">
      <v>16</v>
    </nc>
  </rcc>
  <rcc rId="682" sId="11" numFmtId="4">
    <nc r="D385">
      <v>8</v>
    </nc>
  </rcc>
  <rcc rId="683" sId="11" numFmtId="4">
    <nc r="E385">
      <v>5</v>
    </nc>
  </rcc>
  <rcc rId="684" sId="11" numFmtId="4">
    <nc r="F385">
      <v>4</v>
    </nc>
  </rcc>
  <rcc rId="685" sId="11" numFmtId="4">
    <nc r="G385">
      <v>3</v>
    </nc>
  </rcc>
  <rcc rId="686" sId="11" numFmtId="4">
    <nc r="H385">
      <v>0</v>
    </nc>
  </rcc>
  <rcc rId="687" sId="11" numFmtId="4">
    <nc r="B386">
      <v>2</v>
    </nc>
  </rcc>
  <rcc rId="688" sId="11" numFmtId="4">
    <nc r="C386">
      <v>16</v>
    </nc>
  </rcc>
  <rcc rId="689" sId="11" numFmtId="4">
    <nc r="D386">
      <v>9</v>
    </nc>
  </rcc>
  <rcc rId="690" sId="11" numFmtId="4">
    <nc r="E386">
      <v>11</v>
    </nc>
  </rcc>
  <rcc rId="691" sId="11" numFmtId="4">
    <nc r="F386">
      <v>2</v>
    </nc>
  </rcc>
  <rcc rId="692" sId="11" numFmtId="4">
    <nc r="G386">
      <v>5</v>
    </nc>
  </rcc>
  <rcc rId="693" sId="11" numFmtId="4">
    <nc r="H386">
      <v>0</v>
    </nc>
  </rcc>
  <rcc rId="694" sId="11" numFmtId="4">
    <nc r="B387">
      <v>2</v>
    </nc>
  </rcc>
  <rcc rId="695" sId="11" numFmtId="4">
    <nc r="C387">
      <v>16</v>
    </nc>
  </rcc>
  <rcc rId="696" sId="11" numFmtId="4">
    <nc r="D387">
      <v>10</v>
    </nc>
  </rcc>
  <rcc rId="697" sId="11" numFmtId="4">
    <nc r="E387">
      <v>10</v>
    </nc>
  </rcc>
  <rcc rId="698" sId="11" numFmtId="4">
    <nc r="F387">
      <v>10</v>
    </nc>
  </rcc>
  <rcc rId="699" sId="11" numFmtId="4">
    <nc r="G387">
      <v>0</v>
    </nc>
  </rcc>
  <rcc rId="700" sId="11" numFmtId="4">
    <nc r="H387">
      <v>0</v>
    </nc>
  </rcc>
  <rcc rId="701" sId="11" numFmtId="4">
    <nc r="B388">
      <v>2</v>
    </nc>
  </rcc>
  <rcc rId="702" sId="11" numFmtId="4">
    <nc r="C388">
      <v>16</v>
    </nc>
  </rcc>
  <rcc rId="703" sId="11" numFmtId="4">
    <nc r="D388">
      <v>19</v>
    </nc>
  </rcc>
  <rcc rId="704" sId="11" numFmtId="4">
    <nc r="E388">
      <v>5</v>
    </nc>
  </rcc>
  <rcc rId="705" sId="11" numFmtId="4">
    <nc r="F388">
      <v>1</v>
    </nc>
  </rcc>
  <rcc rId="706" sId="11" numFmtId="4">
    <nc r="G388">
      <v>1</v>
    </nc>
  </rcc>
  <rcc rId="707" sId="11" numFmtId="4">
    <nc r="H388">
      <v>0</v>
    </nc>
  </rcc>
  <rcc rId="708" sId="11" numFmtId="4">
    <nc r="B389">
      <v>2</v>
    </nc>
  </rcc>
  <rcc rId="709" sId="11" numFmtId="4">
    <nc r="C389">
      <v>16</v>
    </nc>
  </rcc>
  <rcc rId="710" sId="11" numFmtId="4">
    <nc r="D389">
      <v>12</v>
    </nc>
  </rcc>
  <rcc rId="711" sId="11" numFmtId="4">
    <nc r="E389">
      <v>4</v>
    </nc>
  </rcc>
  <rcc rId="712" sId="11" numFmtId="4">
    <nc r="F389">
      <v>3</v>
    </nc>
  </rcc>
  <rcc rId="713" sId="11" numFmtId="4">
    <nc r="G389">
      <v>0</v>
    </nc>
  </rcc>
  <rcc rId="714" sId="11" numFmtId="4">
    <nc r="H389">
      <v>0</v>
    </nc>
  </rcc>
  <rcc rId="715" sId="11" numFmtId="4">
    <nc r="B390">
      <v>2</v>
    </nc>
  </rcc>
  <rcc rId="716" sId="11" numFmtId="4">
    <nc r="C390">
      <v>16</v>
    </nc>
  </rcc>
  <rcc rId="717" sId="11" numFmtId="4">
    <nc r="D390">
      <v>13</v>
    </nc>
  </rcc>
  <rcc rId="718" sId="11" numFmtId="4">
    <nc r="E390">
      <v>2</v>
    </nc>
  </rcc>
  <rcc rId="719" sId="11" numFmtId="4">
    <nc r="F390">
      <v>2</v>
    </nc>
  </rcc>
  <rcc rId="720" sId="11" numFmtId="4">
    <nc r="G390">
      <v>3</v>
    </nc>
  </rcc>
  <rcc rId="721" sId="11" numFmtId="4">
    <nc r="H390">
      <v>0</v>
    </nc>
  </rcc>
</revisions>
</file>

<file path=xl/revisions/revisionLog13111.xml><?xml version="1.0" encoding="utf-8"?>
<revisions xmlns="http://schemas.openxmlformats.org/spreadsheetml/2006/main" xmlns:r="http://schemas.openxmlformats.org/officeDocument/2006/relationships">
  <rcc rId="299" sId="5" numFmtId="4">
    <nc r="C198">
      <v>16</v>
    </nc>
  </rcc>
  <rcc rId="300" sId="5" numFmtId="4">
    <nc r="D198">
      <v>13</v>
    </nc>
  </rcc>
  <rcc rId="301" sId="5" numFmtId="4">
    <nc r="E198">
      <v>62</v>
    </nc>
  </rcc>
  <rcc rId="302" sId="5" numFmtId="4">
    <nc r="F198">
      <v>17</v>
    </nc>
  </rcc>
  <rcc rId="303" sId="5" numFmtId="4">
    <nc r="G198">
      <v>4</v>
    </nc>
  </rcc>
  <rcc rId="304" sId="5" numFmtId="4">
    <nc r="B199">
      <v>14</v>
    </nc>
  </rcc>
  <rcc rId="305" sId="5" numFmtId="4">
    <nc r="C199">
      <v>16</v>
    </nc>
  </rcc>
  <rcc rId="306" sId="5" numFmtId="4">
    <nc r="D199">
      <v>9</v>
    </nc>
  </rcc>
  <rcc rId="307" sId="5" numFmtId="4">
    <nc r="E199">
      <v>48</v>
    </nc>
  </rcc>
  <rcc rId="308" sId="5" numFmtId="4">
    <nc r="F199">
      <v>29</v>
    </nc>
  </rcc>
  <rcc rId="309" sId="5" numFmtId="4">
    <nc r="G199">
      <v>3</v>
    </nc>
  </rcc>
  <rcc rId="310" sId="5" numFmtId="4">
    <nc r="B200">
      <v>14</v>
    </nc>
  </rcc>
  <rcc rId="311" sId="5" numFmtId="4">
    <nc r="C200">
      <v>16</v>
    </nc>
  </rcc>
  <rcc rId="312" sId="5" numFmtId="4">
    <nc r="D200">
      <v>10</v>
    </nc>
  </rcc>
  <rcc rId="313" sId="5" numFmtId="4">
    <nc r="E200">
      <v>37</v>
    </nc>
  </rcc>
  <rcc rId="314" sId="5" numFmtId="4">
    <nc r="F200">
      <v>19</v>
    </nc>
  </rcc>
  <rcc rId="315" sId="5" numFmtId="4">
    <nc r="G200">
      <v>4</v>
    </nc>
  </rcc>
  <rcc rId="316" sId="5" numFmtId="4">
    <nc r="B201">
      <v>14</v>
    </nc>
  </rcc>
  <rcc rId="317" sId="5" numFmtId="4">
    <nc r="C201">
      <v>16</v>
    </nc>
  </rcc>
  <rcc rId="318" sId="5" numFmtId="4">
    <nc r="D201">
      <v>11</v>
    </nc>
  </rcc>
  <rcc rId="319" sId="5" numFmtId="4">
    <nc r="E201">
      <v>49</v>
    </nc>
  </rcc>
  <rcc rId="320" sId="5" numFmtId="4">
    <nc r="F201">
      <v>18</v>
    </nc>
  </rcc>
  <rcc rId="321" sId="5" numFmtId="4">
    <nc r="G201">
      <v>2</v>
    </nc>
  </rcc>
  <rcc rId="322" sId="5" numFmtId="4">
    <nc r="B202">
      <v>14</v>
    </nc>
  </rcc>
  <rcc rId="323" sId="5" numFmtId="4">
    <nc r="C202">
      <v>16</v>
    </nc>
  </rcc>
  <rcc rId="324" sId="5" numFmtId="4">
    <nc r="D202">
      <v>12</v>
    </nc>
  </rcc>
  <rcc rId="325" sId="5" numFmtId="4">
    <nc r="E202">
      <v>59</v>
    </nc>
  </rcc>
  <rcc rId="326" sId="5" numFmtId="4">
    <nc r="F202">
      <v>23</v>
    </nc>
  </rcc>
  <rcc rId="327" sId="5" numFmtId="4">
    <nc r="G202">
      <v>6</v>
    </nc>
  </rcc>
  <rcc rId="328" sId="5" numFmtId="4">
    <nc r="B203">
      <v>14</v>
    </nc>
  </rcc>
  <rcc rId="329" sId="5" numFmtId="4">
    <nc r="C203">
      <v>16</v>
    </nc>
  </rcc>
  <rcc rId="330" sId="5" numFmtId="4">
    <nc r="D203">
      <v>8</v>
    </nc>
  </rcc>
  <rcc rId="331" sId="5" numFmtId="4">
    <nc r="E203">
      <v>57</v>
    </nc>
  </rcc>
  <rcc rId="332" sId="5" numFmtId="4">
    <nc r="F203">
      <v>28</v>
    </nc>
  </rcc>
  <rcc rId="333" sId="5" numFmtId="4">
    <nc r="G203">
      <v>4</v>
    </nc>
  </rcc>
  <rcv guid="{43751384-8D2C-4877-853C-4CE893CAF1E6}" action="delete"/>
  <rcv guid="{43751384-8D2C-4877-853C-4CE893CAF1E6}" action="add"/>
</revisions>
</file>

<file path=xl/revisions/revisionLog17111.xml><?xml version="1.0" encoding="utf-8"?>
<revisions xmlns="http://schemas.openxmlformats.org/spreadsheetml/2006/main" xmlns:r="http://schemas.openxmlformats.org/officeDocument/2006/relationships">
  <rcc rId="1575" sId="11" numFmtId="4">
    <nc r="B433">
      <v>2</v>
    </nc>
  </rcc>
  <rcc rId="1576" sId="11" numFmtId="4">
    <nc r="C433">
      <v>9</v>
    </nc>
  </rcc>
  <rcc rId="1577" sId="11" numFmtId="4">
    <nc r="D433">
      <v>14</v>
    </nc>
  </rcc>
  <rcc rId="1578" sId="11" numFmtId="4">
    <nc r="E433">
      <v>80</v>
    </nc>
  </rcc>
  <rcc rId="1579" sId="11" numFmtId="4">
    <nc r="F433">
      <v>61</v>
    </nc>
  </rcc>
  <rcc rId="1580" sId="11" numFmtId="4">
    <nc r="G433">
      <v>13</v>
    </nc>
  </rcc>
  <rcc rId="1581" sId="11" numFmtId="4">
    <nc r="H433">
      <v>1</v>
    </nc>
  </rcc>
  <rcc rId="1582" sId="11" numFmtId="4">
    <nc r="B434">
      <v>2</v>
    </nc>
  </rcc>
  <rcc rId="1583" sId="11" numFmtId="4">
    <nc r="C434">
      <v>13</v>
    </nc>
  </rcc>
  <rcc rId="1584" sId="11" numFmtId="4">
    <nc r="D434">
      <v>14</v>
    </nc>
  </rcc>
  <rcc rId="1585" sId="11" numFmtId="4">
    <nc r="E434">
      <v>17</v>
    </nc>
  </rcc>
  <rcc rId="1586" sId="11" numFmtId="4">
    <nc r="F434">
      <v>8</v>
    </nc>
  </rcc>
  <rcc rId="1587" sId="11" numFmtId="4">
    <nc r="G434">
      <v>6</v>
    </nc>
  </rcc>
  <rcc rId="1588" sId="11" numFmtId="4">
    <nc r="H434">
      <v>2</v>
    </nc>
  </rcc>
  <rcc rId="1589" sId="11" numFmtId="4">
    <nc r="B435">
      <v>2</v>
    </nc>
  </rcc>
  <rcc rId="1590" sId="11" numFmtId="4">
    <nc r="C435">
      <v>13</v>
    </nc>
  </rcc>
  <rcc rId="1591" sId="11" numFmtId="4">
    <nc r="D435">
      <v>15</v>
    </nc>
  </rcc>
  <rcc rId="1592" sId="11" numFmtId="4">
    <nc r="E435">
      <v>20</v>
    </nc>
  </rcc>
  <rcc rId="1593" sId="11" numFmtId="4">
    <nc r="F435">
      <v>18</v>
    </nc>
  </rcc>
  <rcc rId="1594" sId="11" numFmtId="4">
    <nc r="G435">
      <v>3</v>
    </nc>
  </rcc>
  <rcc rId="1595" sId="11" numFmtId="4">
    <nc r="H435">
      <v>2</v>
    </nc>
  </rcc>
</revisions>
</file>

<file path=xl/revisions/revisionLog121111.xml><?xml version="1.0" encoding="utf-8"?>
<revisions xmlns="http://schemas.openxmlformats.org/spreadsheetml/2006/main" xmlns:r="http://schemas.openxmlformats.org/officeDocument/2006/relationships">
  <rcc rId="215" sId="2" numFmtId="4">
    <nc r="B56">
      <v>15</v>
    </nc>
  </rcc>
  <rcc rId="216" sId="2" numFmtId="4">
    <nc r="C56">
      <v>21</v>
    </nc>
  </rcc>
  <rcc rId="217" sId="2" numFmtId="4">
    <nc r="D56">
      <v>12</v>
    </nc>
  </rcc>
  <rcc rId="218" sId="2" numFmtId="4">
    <nc r="E56">
      <v>6</v>
    </nc>
  </rcc>
  <rcc rId="219" sId="2" numFmtId="4">
    <nc r="F56">
      <v>17</v>
    </nc>
  </rcc>
  <rcc rId="220" sId="2" numFmtId="4">
    <nc r="G56">
      <v>0</v>
    </nc>
  </rcc>
  <rcc rId="221" sId="2" numFmtId="4">
    <nc r="B57">
      <v>15</v>
    </nc>
  </rcc>
  <rcc rId="222" sId="2" numFmtId="4">
    <nc r="C57">
      <v>21</v>
    </nc>
  </rcc>
  <rcc rId="223" sId="2" numFmtId="4">
    <nc r="D57">
      <v>13</v>
    </nc>
  </rcc>
  <rcc rId="224" sId="2" numFmtId="4">
    <nc r="E57">
      <v>9</v>
    </nc>
  </rcc>
  <rcc rId="225" sId="2" numFmtId="4">
    <nc r="F57">
      <v>16</v>
    </nc>
  </rcc>
  <rcc rId="226" sId="2" numFmtId="4">
    <nc r="G57">
      <v>0</v>
    </nc>
  </rcc>
  <rcc rId="227" sId="2" numFmtId="4">
    <nc r="B58">
      <v>15</v>
    </nc>
  </rcc>
  <rcc rId="228" sId="2" numFmtId="4">
    <nc r="C58">
      <v>24</v>
    </nc>
  </rcc>
  <rcc rId="229" sId="2" numFmtId="4">
    <nc r="D58">
      <v>11</v>
    </nc>
  </rcc>
  <rcc rId="230" sId="2" numFmtId="4">
    <nc r="E58">
      <v>2</v>
    </nc>
  </rcc>
  <rcc rId="231" sId="2" numFmtId="4">
    <nc r="F58">
      <v>4</v>
    </nc>
  </rcc>
  <rcc rId="232" sId="2" numFmtId="4">
    <nc r="G58">
      <v>0</v>
    </nc>
  </rcc>
</revisions>
</file>

<file path=xl/revisions/revisionLog1211111.xml><?xml version="1.0" encoding="utf-8"?>
<revisions xmlns="http://schemas.openxmlformats.org/spreadsheetml/2006/main" xmlns:r="http://schemas.openxmlformats.org/officeDocument/2006/relationships">
  <rcc rId="212" sId="5" numFmtId="4">
    <oc r="D174">
      <v>16</v>
    </oc>
    <nc r="D174">
      <v>11</v>
    </nc>
  </rcc>
  <rcc rId="213" sId="5" numFmtId="4">
    <oc r="D175">
      <v>14</v>
    </oc>
    <nc r="D175">
      <v>12</v>
    </nc>
  </rcc>
  <rcc rId="214" sId="5" numFmtId="4">
    <oc r="D176">
      <v>15</v>
    </oc>
    <nc r="D176">
      <v>10</v>
    </nc>
  </rcc>
  <rcv guid="{43751384-8D2C-4877-853C-4CE893CAF1E6}" action="delete"/>
  <rcv guid="{43751384-8D2C-4877-853C-4CE893CAF1E6}" action="add"/>
</revisions>
</file>

<file path=xl/revisions/userNames.xml><?xml version="1.0" encoding="utf-8"?>
<users xmlns="http://schemas.openxmlformats.org/spreadsheetml/2006/main" xmlns:r="http://schemas.openxmlformats.org/officeDocument/2006/relationships" count="2">
  <userInfo guid="{D34DEFE0-0B54-40F6-8AE2-CFDA2D4079DE}" name="PLM" id="-844060120" dateTime="2008-11-23T13:27:38"/>
  <userInfo guid="{A8829B29-30E5-4FFF-8008-9B20F80B02D8}" name="PLM" id="-844087432" dateTime="2008-11-23T13:38:4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0"/>
  <sheetViews>
    <sheetView showGridLines="0" showRowColHeaders="0" workbookViewId="0">
      <selection activeCell="E13" sqref="E13"/>
    </sheetView>
  </sheetViews>
  <sheetFormatPr baseColWidth="10" defaultColWidth="11.5703125" defaultRowHeight="12.75"/>
  <cols>
    <col min="1" max="16384" width="11.5703125" style="13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spans="3:14" s="76" customFormat="1" ht="42" customHeight="1">
      <c r="C7" s="179" t="s">
        <v>14</v>
      </c>
      <c r="D7" s="179"/>
      <c r="E7" s="179"/>
      <c r="F7" s="179"/>
      <c r="G7" s="179"/>
      <c r="H7" s="179"/>
      <c r="I7" s="179"/>
      <c r="J7" s="179"/>
      <c r="K7" s="179"/>
      <c r="L7" s="179"/>
      <c r="M7" s="179"/>
    </row>
    <row r="8" spans="3:14" s="35" customFormat="1"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3:14" s="35" customFormat="1" ht="27.75">
      <c r="C9" s="102"/>
      <c r="D9" s="178" t="s">
        <v>83</v>
      </c>
      <c r="E9" s="178"/>
      <c r="F9" s="178"/>
      <c r="G9" s="178"/>
      <c r="H9" s="178"/>
      <c r="I9" s="178"/>
      <c r="J9" s="178"/>
      <c r="K9" s="178"/>
      <c r="L9" s="178"/>
      <c r="M9" s="102"/>
    </row>
    <row r="10" spans="3:14" s="35" customFormat="1" ht="36" customHeight="1">
      <c r="C10" s="102"/>
      <c r="D10" s="103"/>
      <c r="E10" s="103"/>
      <c r="F10" s="103"/>
      <c r="G10" s="103"/>
      <c r="H10" s="103"/>
      <c r="I10" s="103"/>
      <c r="J10" s="103"/>
      <c r="K10" s="103"/>
      <c r="L10" s="103"/>
      <c r="M10" s="104"/>
      <c r="N10" s="74"/>
    </row>
    <row r="11" spans="3:14" s="37" customFormat="1" ht="27" customHeight="1">
      <c r="C11" s="105"/>
      <c r="D11" s="106"/>
      <c r="E11" s="106" t="s">
        <v>66</v>
      </c>
      <c r="F11" s="106"/>
      <c r="G11" s="106"/>
      <c r="H11" s="106" t="s">
        <v>67</v>
      </c>
      <c r="I11" s="106"/>
      <c r="J11" s="106"/>
      <c r="K11" s="106" t="s">
        <v>68</v>
      </c>
      <c r="L11" s="106"/>
      <c r="M11" s="106"/>
      <c r="N11" s="75"/>
    </row>
    <row r="12" spans="3:14" s="37" customFormat="1" ht="17.25" customHeight="1">
      <c r="C12" s="105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75"/>
    </row>
    <row r="13" spans="3:14" s="37" customFormat="1" ht="24.6" customHeight="1">
      <c r="C13" s="105"/>
      <c r="D13" s="106"/>
      <c r="E13" s="106" t="s">
        <v>69</v>
      </c>
      <c r="F13" s="106"/>
      <c r="G13" s="106"/>
      <c r="H13" s="106" t="s">
        <v>70</v>
      </c>
      <c r="I13" s="106"/>
      <c r="J13" s="106"/>
      <c r="K13" s="106" t="s">
        <v>71</v>
      </c>
      <c r="L13" s="106"/>
      <c r="M13" s="106"/>
      <c r="N13" s="75"/>
    </row>
    <row r="14" spans="3:14" s="37" customFormat="1" ht="17.25" customHeight="1">
      <c r="C14" s="105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75"/>
    </row>
    <row r="15" spans="3:14" s="37" customFormat="1" ht="24.6" customHeight="1">
      <c r="C15" s="105"/>
      <c r="D15" s="106"/>
      <c r="E15" s="106" t="s">
        <v>72</v>
      </c>
      <c r="F15" s="106"/>
      <c r="G15" s="106"/>
      <c r="H15" s="106" t="s">
        <v>73</v>
      </c>
      <c r="I15" s="106"/>
      <c r="J15" s="106"/>
      <c r="K15" s="106" t="s">
        <v>74</v>
      </c>
      <c r="L15" s="106"/>
      <c r="M15" s="106"/>
      <c r="N15" s="75"/>
    </row>
    <row r="16" spans="3:14" s="37" customFormat="1" ht="17.25" customHeight="1"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75"/>
    </row>
    <row r="17" spans="3:14" s="37" customFormat="1" ht="24.6" customHeight="1">
      <c r="C17" s="105"/>
      <c r="D17" s="103"/>
      <c r="E17" s="106" t="s">
        <v>75</v>
      </c>
      <c r="F17" s="106"/>
      <c r="G17" s="106"/>
      <c r="H17" s="106" t="s">
        <v>76</v>
      </c>
      <c r="I17" s="106"/>
      <c r="J17" s="106"/>
      <c r="K17" s="106" t="s">
        <v>77</v>
      </c>
      <c r="L17" s="103"/>
      <c r="M17" s="107"/>
      <c r="N17" s="75"/>
    </row>
    <row r="18" spans="3:14" s="35" customFormat="1" ht="24.6" customHeight="1">
      <c r="C18" s="38"/>
      <c r="E18" s="36"/>
      <c r="F18" s="36"/>
    </row>
    <row r="19" spans="3:14" s="35" customFormat="1" ht="24.6" customHeight="1">
      <c r="C19" s="36"/>
      <c r="E19" s="36"/>
    </row>
    <row r="20" spans="3:14" ht="24.6" customHeight="1"/>
  </sheetData>
  <customSheetViews>
    <customSheetView guid="{43751384-8D2C-4877-853C-4CE893CAF1E6}" showGridLines="0" showRowCol="0">
      <selection activeCell="E13" sqref="E13"/>
      <pageMargins left="0.7" right="0.7" top="0.75" bottom="0.75" header="0.3" footer="0.3"/>
      <pageSetup paperSize="9" orientation="portrait" horizontalDpi="0" verticalDpi="0" r:id="rId1"/>
    </customSheetView>
    <customSheetView guid="{D80F4FD6-7D6D-4832-9A2E-4DEB1E783FB1}" showGridLines="0" showRowCol="0">
      <selection activeCell="E11" sqref="E11"/>
      <pageMargins left="0.7" right="0.7" top="0.75" bottom="0.75" header="0.3" footer="0.3"/>
      <pageSetup paperSize="9" orientation="portrait" horizontalDpi="0" verticalDpi="0" r:id="rId2"/>
    </customSheetView>
    <customSheetView guid="{0A4EA429-3B60-4229-BB25-AADA8CCE0D84}" showGridLines="0" showRowCol="0">
      <selection activeCell="K11" sqref="K11"/>
      <pageMargins left="0.7" right="0.7" top="0.75" bottom="0.75" header="0.3" footer="0.3"/>
      <pageSetup paperSize="9" orientation="portrait" horizontalDpi="0" verticalDpi="0" r:id="rId3"/>
    </customSheetView>
  </customSheetViews>
  <mergeCells count="2">
    <mergeCell ref="D9:L9"/>
    <mergeCell ref="C7:M7"/>
  </mergeCells>
  <hyperlinks>
    <hyperlink ref="E13" location="Monagas!A1" display="Transcripción Monagas"/>
    <hyperlink ref="E15" location="'Nueva Esparta'!A1" display="Transcripción Nueva Esparta"/>
    <hyperlink ref="E11" location="Anzoategui!A1" display="Transcripción Anzoátegui"/>
    <hyperlink ref="H11" location="CAnzoategui!A1" display="Supervisor Anzoátegui"/>
    <hyperlink ref="H13" location="CMonagas!A1" display="Supervisor de Monagas"/>
    <hyperlink ref="H15" location="'CNueva Esparta'!A1" display="Supervisor de Nueva Esparta"/>
    <hyperlink ref="K11" location="GAnzoategui!A1" display="Gráficos de Anzoátegui"/>
    <hyperlink ref="K13" location="GMonagas!A1" display="Gráficos de Monagas"/>
    <hyperlink ref="K15" location="'GNueva Esparta'!A1" display="Gráficos de Nueva Esparta"/>
    <hyperlink ref="E17" location="Sucre!A1" display="Transcripción Sucre"/>
    <hyperlink ref="H17" location="CSucre!A1" display="Supervisor de Sucre"/>
    <hyperlink ref="K17" location="GSucre!A1" display="Gráficos de Sucre"/>
  </hyperlinks>
  <pageMargins left="0.7" right="0.7" top="0.75" bottom="0.75" header="0.3" footer="0.3"/>
  <pageSetup paperSize="9" orientation="portrait" horizontalDpi="0" verticalDpi="0" r:id="rId4"/>
  <picture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B1:W229"/>
  <sheetViews>
    <sheetView showGridLines="0" showRowColHeaders="0" workbookViewId="0">
      <pane ySplit="8" topLeftCell="A9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11" width="13.7109375" customWidth="1"/>
    <col min="12" max="12" width="13.85546875" style="21" customWidth="1"/>
    <col min="13" max="14" width="13.7109375" style="21" customWidth="1"/>
    <col min="15" max="31" width="13.7109375" customWidth="1"/>
  </cols>
  <sheetData>
    <row r="1" spans="2:23" s="13" customFormat="1">
      <c r="I1" s="111"/>
      <c r="L1" s="26"/>
      <c r="M1" s="26"/>
      <c r="N1" s="26"/>
    </row>
    <row r="2" spans="2:23" s="13" customFormat="1">
      <c r="G2" s="77"/>
      <c r="I2" s="174" t="s">
        <v>7</v>
      </c>
      <c r="L2" s="26"/>
      <c r="M2" s="26"/>
      <c r="N2" s="26"/>
      <c r="O2" s="61" t="s">
        <v>19</v>
      </c>
      <c r="P2" s="62">
        <f>Q9</f>
        <v>0.40340218712029163</v>
      </c>
    </row>
    <row r="3" spans="2:23" s="13" customFormat="1">
      <c r="G3" s="77"/>
      <c r="I3" s="174" t="s">
        <v>78</v>
      </c>
      <c r="L3" s="26"/>
      <c r="M3" s="26"/>
      <c r="N3" s="26"/>
      <c r="O3" s="61" t="s">
        <v>20</v>
      </c>
      <c r="P3" s="62">
        <f>T9</f>
        <v>0.55224787363304984</v>
      </c>
      <c r="Q3" s="59"/>
    </row>
    <row r="4" spans="2:23" s="13" customFormat="1">
      <c r="G4" s="77"/>
      <c r="I4" s="174" t="s">
        <v>79</v>
      </c>
      <c r="L4" s="26"/>
      <c r="M4" s="26"/>
      <c r="N4" s="26"/>
      <c r="O4" s="63" t="s">
        <v>4</v>
      </c>
      <c r="P4" s="62">
        <f>W9</f>
        <v>4.4349939246658567E-2</v>
      </c>
      <c r="Q4" s="59"/>
    </row>
    <row r="5" spans="2:23" s="13" customFormat="1">
      <c r="G5" s="77"/>
      <c r="I5" s="174" t="s">
        <v>81</v>
      </c>
      <c r="L5" s="26"/>
      <c r="M5" s="26"/>
      <c r="N5" s="26"/>
      <c r="Q5" s="59"/>
    </row>
    <row r="6" spans="2:23" s="13" customFormat="1" ht="33">
      <c r="B6" s="124"/>
      <c r="C6" s="16">
        <v>15</v>
      </c>
      <c r="D6" s="16" t="s">
        <v>18</v>
      </c>
      <c r="E6" s="14"/>
      <c r="F6" s="14"/>
      <c r="G6" s="14"/>
      <c r="L6" s="26"/>
      <c r="M6" s="26"/>
      <c r="N6" s="26"/>
      <c r="Q6" s="60"/>
    </row>
    <row r="7" spans="2:23" ht="13.5" thickBot="1"/>
    <row r="8" spans="2:23" ht="34.5" customHeight="1" thickBot="1">
      <c r="B8" s="47" t="s">
        <v>1</v>
      </c>
      <c r="C8" s="48" t="s">
        <v>2</v>
      </c>
      <c r="D8" s="47" t="s">
        <v>0</v>
      </c>
      <c r="E8" s="49" t="s">
        <v>19</v>
      </c>
      <c r="F8" s="49" t="s">
        <v>20</v>
      </c>
      <c r="G8" s="47" t="s">
        <v>4</v>
      </c>
      <c r="L8" s="146" t="s">
        <v>21</v>
      </c>
      <c r="O8" s="182" t="s">
        <v>19</v>
      </c>
      <c r="P8" s="183"/>
      <c r="Q8" s="184"/>
      <c r="R8" s="182" t="s">
        <v>20</v>
      </c>
      <c r="S8" s="183"/>
      <c r="T8" s="184"/>
      <c r="U8" s="182" t="s">
        <v>4</v>
      </c>
      <c r="V8" s="183"/>
      <c r="W8" s="184"/>
    </row>
    <row r="9" spans="2:23" ht="18">
      <c r="B9" s="123">
        <v>15</v>
      </c>
      <c r="C9" s="123">
        <v>25</v>
      </c>
      <c r="D9" s="123">
        <v>1</v>
      </c>
      <c r="E9" s="123">
        <v>1</v>
      </c>
      <c r="F9" s="123">
        <v>1</v>
      </c>
      <c r="G9" s="125">
        <v>1</v>
      </c>
      <c r="L9" s="21">
        <v>1</v>
      </c>
      <c r="M9" s="180" t="s">
        <v>0</v>
      </c>
      <c r="N9" s="181"/>
      <c r="O9" s="31">
        <f>SUM(William_Fariñas)</f>
        <v>664</v>
      </c>
      <c r="P9" s="32">
        <f>O9</f>
        <v>664</v>
      </c>
      <c r="Q9" s="34">
        <f>O9/($O$9+$R$9+$U$9)</f>
        <v>0.40340218712029163</v>
      </c>
      <c r="R9" s="31">
        <f>SUM(Morel_Rodriguez)</f>
        <v>909</v>
      </c>
      <c r="S9" s="32">
        <f>R9</f>
        <v>909</v>
      </c>
      <c r="T9" s="34">
        <f>R9/($O$9+$R$9+$U$9)</f>
        <v>0.55224787363304984</v>
      </c>
      <c r="U9" s="31">
        <f>SUM(OtroNA)</f>
        <v>73</v>
      </c>
      <c r="V9" s="32">
        <f>U9</f>
        <v>73</v>
      </c>
      <c r="W9" s="34">
        <f>U9/($O$9+$R$9+$U$9)</f>
        <v>4.4349939246658567E-2</v>
      </c>
    </row>
    <row r="10" spans="2:23" ht="18">
      <c r="B10" s="50">
        <v>15</v>
      </c>
      <c r="C10" s="50">
        <v>25</v>
      </c>
      <c r="D10" s="50">
        <v>2</v>
      </c>
      <c r="E10" s="50">
        <v>6</v>
      </c>
      <c r="F10" s="50">
        <v>13</v>
      </c>
      <c r="G10" s="126">
        <v>0</v>
      </c>
      <c r="K10" s="21"/>
      <c r="L10" s="21">
        <v>1</v>
      </c>
      <c r="M10" s="96">
        <v>0.3125</v>
      </c>
      <c r="N10" s="2">
        <v>1</v>
      </c>
      <c r="O10" s="4">
        <f t="shared" ref="O10:O29" si="0">SUMIF(TurnoNA,$N10,William_Fariñas)</f>
        <v>61</v>
      </c>
      <c r="P10" s="5">
        <f>O10</f>
        <v>61</v>
      </c>
      <c r="Q10" s="3">
        <f>IF(O10&lt;&gt;0,P10/($P10+$S10+$V10),LOOKUP(2121,$Q$3:$Q$6))</f>
        <v>0.31770833333333331</v>
      </c>
      <c r="R10" s="4">
        <f t="shared" ref="R10:R29" si="1">SUMIF(TurnoNA,$N10,Morel_Rodriguez)</f>
        <v>105</v>
      </c>
      <c r="S10" s="5">
        <f>R10</f>
        <v>105</v>
      </c>
      <c r="T10" s="3">
        <f>IF(R10&lt;&gt;0,S10/($P10+$S10+$V10),LOOKUP(2121,$Q$3:$Q$6))</f>
        <v>0.546875</v>
      </c>
      <c r="U10" s="4">
        <f t="shared" ref="U10:U29" si="2">SUMIF(TurnoNA,$N10,OtroNA)</f>
        <v>26</v>
      </c>
      <c r="V10" s="5">
        <f>U10</f>
        <v>26</v>
      </c>
      <c r="W10" s="3">
        <f>IF(U10&lt;&gt;0,V10/($P10+$S10+$V10),LOOKUP(2121,$Q$3:$Q$6))</f>
        <v>0.13541666666666666</v>
      </c>
    </row>
    <row r="11" spans="2:23" ht="18">
      <c r="B11" s="50">
        <v>15</v>
      </c>
      <c r="C11" s="50">
        <v>25</v>
      </c>
      <c r="D11" s="50">
        <v>3</v>
      </c>
      <c r="E11" s="50">
        <v>12</v>
      </c>
      <c r="F11" s="50">
        <v>8</v>
      </c>
      <c r="G11" s="126">
        <v>0</v>
      </c>
      <c r="K11" s="21"/>
      <c r="L11" s="21">
        <v>1</v>
      </c>
      <c r="M11" s="96">
        <v>0.33333333333333298</v>
      </c>
      <c r="N11" s="2">
        <v>2</v>
      </c>
      <c r="O11" s="4">
        <f t="shared" si="0"/>
        <v>52</v>
      </c>
      <c r="P11" s="5">
        <f>P10+O11</f>
        <v>113</v>
      </c>
      <c r="Q11" s="3">
        <f t="shared" ref="Q11:Q29" si="3">IF(O11&lt;&gt;0,P11/($P11+$S11+$V11),LOOKUP(2121,$Q$3:$Q$6))</f>
        <v>0.34662576687116564</v>
      </c>
      <c r="R11" s="4">
        <f t="shared" si="1"/>
        <v>65</v>
      </c>
      <c r="S11" s="5">
        <f>S10+R11</f>
        <v>170</v>
      </c>
      <c r="T11" s="3">
        <f>IF(R11&lt;&gt;0,S11/($P11+$S11+$V11),LOOKUP(2121,$Q$3:$Q$6))</f>
        <v>0.5214723926380368</v>
      </c>
      <c r="U11" s="4">
        <f t="shared" si="2"/>
        <v>17</v>
      </c>
      <c r="V11" s="5">
        <f>V10+U11</f>
        <v>43</v>
      </c>
      <c r="W11" s="3">
        <f t="shared" ref="W11:W29" si="4">IF(U11&lt;&gt;0,V11/($P11+$S11+$V11),LOOKUP(2121,$Q$3:$Q$6))</f>
        <v>0.13190184049079753</v>
      </c>
    </row>
    <row r="12" spans="2:23" ht="18">
      <c r="B12" s="50">
        <v>15</v>
      </c>
      <c r="C12" s="50">
        <v>24</v>
      </c>
      <c r="D12" s="50">
        <v>3</v>
      </c>
      <c r="E12" s="50">
        <v>3</v>
      </c>
      <c r="F12" s="50">
        <v>4</v>
      </c>
      <c r="G12" s="126">
        <v>0</v>
      </c>
      <c r="K12" s="21"/>
      <c r="L12" s="21">
        <v>1</v>
      </c>
      <c r="M12" s="96">
        <v>0.35416666666666702</v>
      </c>
      <c r="N12" s="2">
        <v>3</v>
      </c>
      <c r="O12" s="4">
        <f t="shared" si="0"/>
        <v>81</v>
      </c>
      <c r="P12" s="5">
        <f t="shared" ref="P12:P29" si="5">P11+O12</f>
        <v>194</v>
      </c>
      <c r="Q12" s="3">
        <f t="shared" si="3"/>
        <v>0.42731277533039647</v>
      </c>
      <c r="R12" s="4">
        <f t="shared" si="1"/>
        <v>42</v>
      </c>
      <c r="S12" s="5">
        <f t="shared" ref="S12:S29" si="6">S11+R12</f>
        <v>212</v>
      </c>
      <c r="T12" s="3">
        <f t="shared" ref="T12:T29" si="7">IF(R12&lt;&gt;0,S12/($P12+$S12+$V12),LOOKUP(2121,$Q$3:$Q$6))</f>
        <v>0.46696035242290751</v>
      </c>
      <c r="U12" s="4">
        <f t="shared" si="2"/>
        <v>5</v>
      </c>
      <c r="V12" s="5">
        <f t="shared" ref="V12:V29" si="8">V11+U12</f>
        <v>48</v>
      </c>
      <c r="W12" s="3">
        <f t="shared" si="4"/>
        <v>0.10572687224669604</v>
      </c>
    </row>
    <row r="13" spans="2:23" ht="18">
      <c r="B13" s="50">
        <v>15</v>
      </c>
      <c r="C13" s="50">
        <v>24</v>
      </c>
      <c r="D13" s="50">
        <v>2</v>
      </c>
      <c r="E13" s="50">
        <v>4</v>
      </c>
      <c r="F13" s="50">
        <v>7</v>
      </c>
      <c r="G13" s="126">
        <v>0</v>
      </c>
      <c r="K13" s="21"/>
      <c r="L13" s="21">
        <v>1</v>
      </c>
      <c r="M13" s="96">
        <v>0.375</v>
      </c>
      <c r="N13" s="2">
        <v>4</v>
      </c>
      <c r="O13" s="4">
        <f t="shared" si="0"/>
        <v>73</v>
      </c>
      <c r="P13" s="5">
        <f t="shared" si="5"/>
        <v>267</v>
      </c>
      <c r="Q13" s="3">
        <f t="shared" si="3"/>
        <v>0.43344155844155846</v>
      </c>
      <c r="R13" s="4">
        <f t="shared" si="1"/>
        <v>69</v>
      </c>
      <c r="S13" s="5">
        <f t="shared" si="6"/>
        <v>281</v>
      </c>
      <c r="T13" s="3">
        <f t="shared" si="7"/>
        <v>0.45616883116883117</v>
      </c>
      <c r="U13" s="4">
        <f t="shared" si="2"/>
        <v>20</v>
      </c>
      <c r="V13" s="5">
        <f t="shared" si="8"/>
        <v>68</v>
      </c>
      <c r="W13" s="3">
        <f t="shared" si="4"/>
        <v>0.11038961038961038</v>
      </c>
    </row>
    <row r="14" spans="2:23" ht="18">
      <c r="B14" s="50">
        <v>15</v>
      </c>
      <c r="C14" s="50">
        <v>25</v>
      </c>
      <c r="D14" s="50">
        <v>1</v>
      </c>
      <c r="E14" s="50">
        <v>6</v>
      </c>
      <c r="F14" s="50">
        <v>9</v>
      </c>
      <c r="G14" s="126">
        <v>0</v>
      </c>
      <c r="K14" s="21"/>
      <c r="L14" s="21">
        <v>1</v>
      </c>
      <c r="M14" s="96">
        <v>0.39583333333333298</v>
      </c>
      <c r="N14" s="2">
        <v>5</v>
      </c>
      <c r="O14" s="4">
        <f t="shared" si="0"/>
        <v>55</v>
      </c>
      <c r="P14" s="5">
        <f t="shared" si="5"/>
        <v>322</v>
      </c>
      <c r="Q14" s="3">
        <f t="shared" si="3"/>
        <v>0.43989071038251365</v>
      </c>
      <c r="R14" s="4">
        <f t="shared" si="1"/>
        <v>61</v>
      </c>
      <c r="S14" s="5">
        <f t="shared" si="6"/>
        <v>342</v>
      </c>
      <c r="T14" s="3">
        <f t="shared" si="7"/>
        <v>0.46721311475409838</v>
      </c>
      <c r="U14" s="4">
        <f t="shared" si="2"/>
        <v>0</v>
      </c>
      <c r="V14" s="5">
        <f t="shared" si="8"/>
        <v>68</v>
      </c>
      <c r="W14" s="3" t="e">
        <f t="shared" si="4"/>
        <v>#N/A</v>
      </c>
    </row>
    <row r="15" spans="2:23" ht="18">
      <c r="B15" s="50">
        <v>15</v>
      </c>
      <c r="C15" s="50">
        <v>18</v>
      </c>
      <c r="D15" s="50">
        <v>2</v>
      </c>
      <c r="E15" s="50">
        <v>0</v>
      </c>
      <c r="F15" s="50">
        <v>0</v>
      </c>
      <c r="G15" s="126">
        <v>0</v>
      </c>
      <c r="K15" s="21"/>
      <c r="L15" s="21">
        <v>1</v>
      </c>
      <c r="M15" s="96">
        <v>0.41666666666666702</v>
      </c>
      <c r="N15" s="2">
        <v>6</v>
      </c>
      <c r="O15" s="4">
        <f t="shared" si="0"/>
        <v>60</v>
      </c>
      <c r="P15" s="5">
        <f t="shared" si="5"/>
        <v>382</v>
      </c>
      <c r="Q15" s="3">
        <f t="shared" si="3"/>
        <v>0.44212962962962965</v>
      </c>
      <c r="R15" s="4">
        <f t="shared" si="1"/>
        <v>72</v>
      </c>
      <c r="S15" s="5">
        <f t="shared" si="6"/>
        <v>414</v>
      </c>
      <c r="T15" s="3">
        <f t="shared" si="7"/>
        <v>0.47916666666666669</v>
      </c>
      <c r="U15" s="4">
        <f t="shared" si="2"/>
        <v>0</v>
      </c>
      <c r="V15" s="5">
        <f t="shared" si="8"/>
        <v>68</v>
      </c>
      <c r="W15" s="3" t="e">
        <f t="shared" si="4"/>
        <v>#N/A</v>
      </c>
    </row>
    <row r="16" spans="2:23" ht="18">
      <c r="B16" s="50">
        <v>15</v>
      </c>
      <c r="C16" s="50">
        <v>18</v>
      </c>
      <c r="D16" s="50">
        <v>3</v>
      </c>
      <c r="E16" s="50">
        <v>11</v>
      </c>
      <c r="F16" s="50">
        <v>2</v>
      </c>
      <c r="G16" s="126">
        <v>0</v>
      </c>
      <c r="K16" s="21"/>
      <c r="L16" s="21">
        <v>1</v>
      </c>
      <c r="M16" s="96">
        <v>0.4375</v>
      </c>
      <c r="N16" s="2">
        <v>7</v>
      </c>
      <c r="O16" s="4">
        <f t="shared" si="0"/>
        <v>55</v>
      </c>
      <c r="P16" s="5">
        <f t="shared" si="5"/>
        <v>437</v>
      </c>
      <c r="Q16" s="3">
        <f t="shared" si="3"/>
        <v>0.4482051282051282</v>
      </c>
      <c r="R16" s="4">
        <f t="shared" si="1"/>
        <v>56</v>
      </c>
      <c r="S16" s="5">
        <f t="shared" si="6"/>
        <v>470</v>
      </c>
      <c r="T16" s="3">
        <f t="shared" si="7"/>
        <v>0.48205128205128206</v>
      </c>
      <c r="U16" s="4">
        <f t="shared" si="2"/>
        <v>0</v>
      </c>
      <c r="V16" s="5">
        <f t="shared" si="8"/>
        <v>68</v>
      </c>
      <c r="W16" s="3" t="e">
        <f t="shared" si="4"/>
        <v>#N/A</v>
      </c>
    </row>
    <row r="17" spans="2:23" ht="18">
      <c r="B17" s="50">
        <v>15</v>
      </c>
      <c r="C17" s="50">
        <v>18</v>
      </c>
      <c r="D17" s="50">
        <v>4</v>
      </c>
      <c r="E17" s="50">
        <v>17</v>
      </c>
      <c r="F17" s="50">
        <v>7</v>
      </c>
      <c r="G17" s="126">
        <v>0</v>
      </c>
      <c r="K17" s="21"/>
      <c r="L17" s="21">
        <v>1</v>
      </c>
      <c r="M17" s="96">
        <v>0.45833333333333298</v>
      </c>
      <c r="N17" s="2">
        <v>8</v>
      </c>
      <c r="O17" s="4">
        <f t="shared" si="0"/>
        <v>38</v>
      </c>
      <c r="P17" s="5">
        <f t="shared" si="5"/>
        <v>475</v>
      </c>
      <c r="Q17" s="3">
        <f t="shared" si="3"/>
        <v>0.43738489871086556</v>
      </c>
      <c r="R17" s="4">
        <f t="shared" si="1"/>
        <v>73</v>
      </c>
      <c r="S17" s="5">
        <f t="shared" si="6"/>
        <v>543</v>
      </c>
      <c r="T17" s="3">
        <f t="shared" si="7"/>
        <v>0.5</v>
      </c>
      <c r="U17" s="4">
        <f t="shared" si="2"/>
        <v>0</v>
      </c>
      <c r="V17" s="5">
        <f t="shared" si="8"/>
        <v>68</v>
      </c>
      <c r="W17" s="3" t="e">
        <f t="shared" si="4"/>
        <v>#N/A</v>
      </c>
    </row>
    <row r="18" spans="2:23" ht="18">
      <c r="B18" s="50">
        <v>15</v>
      </c>
      <c r="C18" s="50">
        <v>18</v>
      </c>
      <c r="D18" s="50">
        <v>1</v>
      </c>
      <c r="E18" s="50">
        <v>1</v>
      </c>
      <c r="F18" s="50">
        <v>32</v>
      </c>
      <c r="G18" s="126">
        <v>0</v>
      </c>
      <c r="K18" s="21"/>
      <c r="L18" s="21">
        <v>1</v>
      </c>
      <c r="M18" s="96">
        <v>0.47916666666666702</v>
      </c>
      <c r="N18" s="2">
        <v>9</v>
      </c>
      <c r="O18" s="4">
        <f t="shared" si="0"/>
        <v>38</v>
      </c>
      <c r="P18" s="5">
        <f t="shared" si="5"/>
        <v>513</v>
      </c>
      <c r="Q18" s="3">
        <f t="shared" si="3"/>
        <v>0.4373401534526854</v>
      </c>
      <c r="R18" s="4">
        <f t="shared" si="1"/>
        <v>46</v>
      </c>
      <c r="S18" s="5">
        <f t="shared" si="6"/>
        <v>589</v>
      </c>
      <c r="T18" s="3">
        <f t="shared" si="7"/>
        <v>0.50213128729752776</v>
      </c>
      <c r="U18" s="4">
        <f t="shared" si="2"/>
        <v>3</v>
      </c>
      <c r="V18" s="5">
        <f t="shared" si="8"/>
        <v>71</v>
      </c>
      <c r="W18" s="3">
        <f t="shared" si="4"/>
        <v>6.0528559249786874E-2</v>
      </c>
    </row>
    <row r="19" spans="2:23" ht="18">
      <c r="B19" s="50">
        <v>15</v>
      </c>
      <c r="C19" s="50">
        <v>24</v>
      </c>
      <c r="D19" s="50">
        <v>1</v>
      </c>
      <c r="E19" s="50">
        <v>10</v>
      </c>
      <c r="F19" s="50">
        <v>10</v>
      </c>
      <c r="G19" s="126">
        <v>5</v>
      </c>
      <c r="K19" s="21"/>
      <c r="L19" s="21">
        <v>1</v>
      </c>
      <c r="M19" s="96">
        <v>0.5</v>
      </c>
      <c r="N19" s="2">
        <v>10</v>
      </c>
      <c r="O19" s="4">
        <f t="shared" si="0"/>
        <v>20</v>
      </c>
      <c r="P19" s="5">
        <f t="shared" si="5"/>
        <v>533</v>
      </c>
      <c r="Q19" s="3">
        <f t="shared" si="3"/>
        <v>0.43122977346278318</v>
      </c>
      <c r="R19" s="4">
        <f t="shared" si="1"/>
        <v>43</v>
      </c>
      <c r="S19" s="5">
        <f t="shared" si="6"/>
        <v>632</v>
      </c>
      <c r="T19" s="3">
        <f t="shared" si="7"/>
        <v>0.51132686084142398</v>
      </c>
      <c r="U19" s="4">
        <f t="shared" si="2"/>
        <v>0</v>
      </c>
      <c r="V19" s="5">
        <f t="shared" si="8"/>
        <v>71</v>
      </c>
      <c r="W19" s="3" t="e">
        <f t="shared" si="4"/>
        <v>#N/A</v>
      </c>
    </row>
    <row r="20" spans="2:23" ht="18">
      <c r="B20" s="50">
        <v>15</v>
      </c>
      <c r="C20" s="50">
        <v>24</v>
      </c>
      <c r="D20" s="50">
        <v>4</v>
      </c>
      <c r="E20" s="50">
        <v>7</v>
      </c>
      <c r="F20" s="50">
        <v>10</v>
      </c>
      <c r="G20" s="126">
        <v>0</v>
      </c>
      <c r="K20" s="21"/>
      <c r="L20" s="21">
        <v>1</v>
      </c>
      <c r="M20" s="96">
        <v>0.52083333333333304</v>
      </c>
      <c r="N20" s="2">
        <v>11</v>
      </c>
      <c r="O20" s="4">
        <f t="shared" si="0"/>
        <v>24</v>
      </c>
      <c r="P20" s="5">
        <f t="shared" si="5"/>
        <v>557</v>
      </c>
      <c r="Q20" s="3">
        <f t="shared" si="3"/>
        <v>0.42912172573189522</v>
      </c>
      <c r="R20" s="4">
        <f t="shared" si="1"/>
        <v>38</v>
      </c>
      <c r="S20" s="5">
        <f t="shared" si="6"/>
        <v>670</v>
      </c>
      <c r="T20" s="3">
        <f t="shared" si="7"/>
        <v>0.51617873651771962</v>
      </c>
      <c r="U20" s="4">
        <f t="shared" si="2"/>
        <v>0</v>
      </c>
      <c r="V20" s="5">
        <f t="shared" si="8"/>
        <v>71</v>
      </c>
      <c r="W20" s="3" t="e">
        <f t="shared" si="4"/>
        <v>#N/A</v>
      </c>
    </row>
    <row r="21" spans="2:23" ht="18">
      <c r="B21" s="50">
        <v>15</v>
      </c>
      <c r="C21" s="50">
        <v>24</v>
      </c>
      <c r="D21" s="50">
        <v>5</v>
      </c>
      <c r="E21" s="50">
        <v>7</v>
      </c>
      <c r="F21" s="50">
        <v>4</v>
      </c>
      <c r="G21" s="126">
        <v>0</v>
      </c>
      <c r="L21" s="21">
        <v>1</v>
      </c>
      <c r="M21" s="96">
        <v>4.1666666666666664E-2</v>
      </c>
      <c r="N21" s="2">
        <v>12</v>
      </c>
      <c r="O21" s="4">
        <f t="shared" si="0"/>
        <v>40</v>
      </c>
      <c r="P21" s="5">
        <f t="shared" si="5"/>
        <v>597</v>
      </c>
      <c r="Q21" s="3">
        <f t="shared" si="3"/>
        <v>0.40612244897959182</v>
      </c>
      <c r="R21" s="4">
        <f t="shared" si="1"/>
        <v>132</v>
      </c>
      <c r="S21" s="5">
        <f t="shared" si="6"/>
        <v>802</v>
      </c>
      <c r="T21" s="3">
        <f t="shared" si="7"/>
        <v>0.54557823129251704</v>
      </c>
      <c r="U21" s="4">
        <f t="shared" si="2"/>
        <v>0</v>
      </c>
      <c r="V21" s="5">
        <f t="shared" si="8"/>
        <v>71</v>
      </c>
      <c r="W21" s="3" t="e">
        <f t="shared" si="4"/>
        <v>#N/A</v>
      </c>
    </row>
    <row r="22" spans="2:23" ht="18">
      <c r="B22" s="50">
        <v>15</v>
      </c>
      <c r="C22" s="50">
        <v>24</v>
      </c>
      <c r="D22" s="50">
        <v>6</v>
      </c>
      <c r="E22" s="50">
        <v>3</v>
      </c>
      <c r="F22" s="50">
        <v>4</v>
      </c>
      <c r="G22" s="126">
        <v>0</v>
      </c>
      <c r="L22" s="21">
        <v>1</v>
      </c>
      <c r="M22" s="96">
        <v>6.25E-2</v>
      </c>
      <c r="N22" s="2">
        <v>13</v>
      </c>
      <c r="O22" s="4">
        <f t="shared" si="0"/>
        <v>31</v>
      </c>
      <c r="P22" s="5">
        <f t="shared" si="5"/>
        <v>628</v>
      </c>
      <c r="Q22" s="3">
        <f t="shared" si="3"/>
        <v>0.40490006447453258</v>
      </c>
      <c r="R22" s="4">
        <f t="shared" si="1"/>
        <v>50</v>
      </c>
      <c r="S22" s="5">
        <f t="shared" si="6"/>
        <v>852</v>
      </c>
      <c r="T22" s="3">
        <f t="shared" si="7"/>
        <v>0.54932301740812384</v>
      </c>
      <c r="U22" s="4">
        <f t="shared" si="2"/>
        <v>0</v>
      </c>
      <c r="V22" s="5">
        <f t="shared" si="8"/>
        <v>71</v>
      </c>
      <c r="W22" s="3" t="e">
        <f t="shared" si="4"/>
        <v>#N/A</v>
      </c>
    </row>
    <row r="23" spans="2:23" ht="18">
      <c r="B23" s="50">
        <v>15</v>
      </c>
      <c r="C23" s="50">
        <v>24</v>
      </c>
      <c r="D23" s="50">
        <v>7</v>
      </c>
      <c r="E23" s="50">
        <v>3</v>
      </c>
      <c r="F23" s="50">
        <v>10</v>
      </c>
      <c r="G23" s="126">
        <v>0</v>
      </c>
      <c r="L23" s="21">
        <v>1</v>
      </c>
      <c r="M23" s="96">
        <v>8.3333333333333329E-2</v>
      </c>
      <c r="N23" s="2">
        <v>14</v>
      </c>
      <c r="O23" s="4">
        <f t="shared" si="0"/>
        <v>18</v>
      </c>
      <c r="P23" s="5">
        <f t="shared" si="5"/>
        <v>646</v>
      </c>
      <c r="Q23" s="3">
        <f t="shared" si="3"/>
        <v>0.40476190476190477</v>
      </c>
      <c r="R23" s="4">
        <f t="shared" si="1"/>
        <v>27</v>
      </c>
      <c r="S23" s="5">
        <f t="shared" si="6"/>
        <v>879</v>
      </c>
      <c r="T23" s="3">
        <f t="shared" si="7"/>
        <v>0.5507518796992481</v>
      </c>
      <c r="U23" s="4">
        <f t="shared" si="2"/>
        <v>0</v>
      </c>
      <c r="V23" s="5">
        <f t="shared" si="8"/>
        <v>71</v>
      </c>
      <c r="W23" s="3" t="e">
        <f t="shared" si="4"/>
        <v>#N/A</v>
      </c>
    </row>
    <row r="24" spans="2:23" ht="18">
      <c r="B24" s="50">
        <v>15</v>
      </c>
      <c r="C24" s="50">
        <v>23</v>
      </c>
      <c r="D24" s="50">
        <v>1</v>
      </c>
      <c r="E24" s="50">
        <v>18</v>
      </c>
      <c r="F24" s="50">
        <v>7</v>
      </c>
      <c r="G24" s="126">
        <v>20</v>
      </c>
      <c r="L24" s="21">
        <v>1</v>
      </c>
      <c r="M24" s="96">
        <v>0.104166666666667</v>
      </c>
      <c r="N24" s="2">
        <v>15</v>
      </c>
      <c r="O24" s="4">
        <f t="shared" si="0"/>
        <v>13</v>
      </c>
      <c r="P24" s="5">
        <f t="shared" si="5"/>
        <v>659</v>
      </c>
      <c r="Q24" s="3">
        <f t="shared" si="3"/>
        <v>0.40379901960784315</v>
      </c>
      <c r="R24" s="4">
        <f t="shared" si="1"/>
        <v>21</v>
      </c>
      <c r="S24" s="5">
        <f t="shared" si="6"/>
        <v>900</v>
      </c>
      <c r="T24" s="3">
        <f t="shared" si="7"/>
        <v>0.55147058823529416</v>
      </c>
      <c r="U24" s="4">
        <f t="shared" si="2"/>
        <v>2</v>
      </c>
      <c r="V24" s="5">
        <f t="shared" si="8"/>
        <v>73</v>
      </c>
      <c r="W24" s="3">
        <f t="shared" si="4"/>
        <v>4.4730392156862746E-2</v>
      </c>
    </row>
    <row r="25" spans="2:23" ht="18">
      <c r="B25" s="50">
        <v>15</v>
      </c>
      <c r="C25" s="50">
        <v>23</v>
      </c>
      <c r="D25" s="50">
        <v>2</v>
      </c>
      <c r="E25" s="50">
        <v>20</v>
      </c>
      <c r="F25" s="50">
        <v>3</v>
      </c>
      <c r="G25" s="126">
        <v>17</v>
      </c>
      <c r="L25" s="21">
        <v>1</v>
      </c>
      <c r="M25" s="96">
        <v>0.125</v>
      </c>
      <c r="N25" s="2">
        <v>16</v>
      </c>
      <c r="O25" s="4">
        <f t="shared" si="0"/>
        <v>5</v>
      </c>
      <c r="P25" s="5">
        <f t="shared" si="5"/>
        <v>664</v>
      </c>
      <c r="Q25" s="3">
        <f t="shared" si="3"/>
        <v>0.40340218712029163</v>
      </c>
      <c r="R25" s="4">
        <f t="shared" si="1"/>
        <v>9</v>
      </c>
      <c r="S25" s="5">
        <f t="shared" si="6"/>
        <v>909</v>
      </c>
      <c r="T25" s="3">
        <f t="shared" si="7"/>
        <v>0.55224787363304984</v>
      </c>
      <c r="U25" s="4">
        <f t="shared" si="2"/>
        <v>0</v>
      </c>
      <c r="V25" s="5">
        <f t="shared" si="8"/>
        <v>73</v>
      </c>
      <c r="W25" s="3" t="e">
        <f t="shared" si="4"/>
        <v>#N/A</v>
      </c>
    </row>
    <row r="26" spans="2:23" ht="18">
      <c r="B26" s="50">
        <v>15</v>
      </c>
      <c r="C26" s="50">
        <v>23</v>
      </c>
      <c r="D26" s="50">
        <v>3</v>
      </c>
      <c r="E26" s="50">
        <v>17</v>
      </c>
      <c r="F26" s="50">
        <v>2</v>
      </c>
      <c r="G26" s="126">
        <v>5</v>
      </c>
      <c r="L26" s="21">
        <v>1</v>
      </c>
      <c r="M26" s="96">
        <v>0.14583333333333301</v>
      </c>
      <c r="N26" s="2">
        <v>17</v>
      </c>
      <c r="O26" s="4">
        <f t="shared" si="0"/>
        <v>0</v>
      </c>
      <c r="P26" s="5">
        <f t="shared" si="5"/>
        <v>664</v>
      </c>
      <c r="Q26" s="3" t="e">
        <f t="shared" si="3"/>
        <v>#N/A</v>
      </c>
      <c r="R26" s="4">
        <f t="shared" si="1"/>
        <v>0</v>
      </c>
      <c r="S26" s="5">
        <f t="shared" si="6"/>
        <v>909</v>
      </c>
      <c r="T26" s="3" t="e">
        <f t="shared" si="7"/>
        <v>#N/A</v>
      </c>
      <c r="U26" s="4">
        <f t="shared" si="2"/>
        <v>0</v>
      </c>
      <c r="V26" s="5">
        <f t="shared" si="8"/>
        <v>73</v>
      </c>
      <c r="W26" s="3" t="e">
        <f t="shared" si="4"/>
        <v>#N/A</v>
      </c>
    </row>
    <row r="27" spans="2:23" ht="18">
      <c r="B27" s="50">
        <v>15</v>
      </c>
      <c r="C27" s="50">
        <v>23</v>
      </c>
      <c r="D27" s="50">
        <v>4</v>
      </c>
      <c r="E27" s="50">
        <v>5</v>
      </c>
      <c r="F27" s="50">
        <v>18</v>
      </c>
      <c r="G27" s="126">
        <v>16</v>
      </c>
      <c r="L27" s="21">
        <v>1</v>
      </c>
      <c r="M27" s="96">
        <v>0.16666666666666599</v>
      </c>
      <c r="N27" s="2">
        <v>18</v>
      </c>
      <c r="O27" s="4">
        <f t="shared" si="0"/>
        <v>0</v>
      </c>
      <c r="P27" s="5">
        <f t="shared" si="5"/>
        <v>664</v>
      </c>
      <c r="Q27" s="3" t="e">
        <f t="shared" si="3"/>
        <v>#N/A</v>
      </c>
      <c r="R27" s="4">
        <f t="shared" si="1"/>
        <v>0</v>
      </c>
      <c r="S27" s="5">
        <f t="shared" si="6"/>
        <v>909</v>
      </c>
      <c r="T27" s="3" t="e">
        <f t="shared" si="7"/>
        <v>#N/A</v>
      </c>
      <c r="U27" s="4">
        <f t="shared" si="2"/>
        <v>0</v>
      </c>
      <c r="V27" s="5">
        <f t="shared" si="8"/>
        <v>73</v>
      </c>
      <c r="W27" s="3" t="e">
        <f t="shared" si="4"/>
        <v>#N/A</v>
      </c>
    </row>
    <row r="28" spans="2:23" ht="18">
      <c r="B28" s="50">
        <v>15</v>
      </c>
      <c r="C28" s="50">
        <v>23</v>
      </c>
      <c r="D28" s="50">
        <v>5</v>
      </c>
      <c r="E28" s="50">
        <v>16</v>
      </c>
      <c r="F28" s="50">
        <v>8</v>
      </c>
      <c r="G28" s="126">
        <v>0</v>
      </c>
      <c r="L28" s="21">
        <v>1</v>
      </c>
      <c r="M28" s="96">
        <v>0.187499999999999</v>
      </c>
      <c r="N28" s="2">
        <v>19</v>
      </c>
      <c r="O28" s="4">
        <f t="shared" si="0"/>
        <v>0</v>
      </c>
      <c r="P28" s="5">
        <f t="shared" si="5"/>
        <v>664</v>
      </c>
      <c r="Q28" s="3" t="e">
        <f t="shared" si="3"/>
        <v>#N/A</v>
      </c>
      <c r="R28" s="4">
        <f t="shared" si="1"/>
        <v>0</v>
      </c>
      <c r="S28" s="5">
        <f t="shared" si="6"/>
        <v>909</v>
      </c>
      <c r="T28" s="3" t="e">
        <f t="shared" si="7"/>
        <v>#N/A</v>
      </c>
      <c r="U28" s="4">
        <f t="shared" si="2"/>
        <v>0</v>
      </c>
      <c r="V28" s="5">
        <f t="shared" si="8"/>
        <v>73</v>
      </c>
      <c r="W28" s="3" t="e">
        <f t="shared" si="4"/>
        <v>#N/A</v>
      </c>
    </row>
    <row r="29" spans="2:23" ht="18.75" thickBot="1">
      <c r="B29" s="50">
        <v>15</v>
      </c>
      <c r="C29" s="50">
        <v>18</v>
      </c>
      <c r="D29" s="50">
        <v>5</v>
      </c>
      <c r="E29" s="50">
        <v>5</v>
      </c>
      <c r="F29" s="50">
        <v>29</v>
      </c>
      <c r="G29" s="126">
        <v>0</v>
      </c>
      <c r="L29" s="21">
        <v>1</v>
      </c>
      <c r="M29" s="96">
        <v>0.20833333333333201</v>
      </c>
      <c r="N29" s="2">
        <v>20</v>
      </c>
      <c r="O29" s="7">
        <f t="shared" si="0"/>
        <v>0</v>
      </c>
      <c r="P29" s="8">
        <f t="shared" si="5"/>
        <v>664</v>
      </c>
      <c r="Q29" s="9" t="e">
        <f t="shared" si="3"/>
        <v>#N/A</v>
      </c>
      <c r="R29" s="7">
        <f t="shared" si="1"/>
        <v>0</v>
      </c>
      <c r="S29" s="8">
        <f t="shared" si="6"/>
        <v>909</v>
      </c>
      <c r="T29" s="9" t="e">
        <f t="shared" si="7"/>
        <v>#N/A</v>
      </c>
      <c r="U29" s="7">
        <f t="shared" si="2"/>
        <v>0</v>
      </c>
      <c r="V29" s="8">
        <f t="shared" si="8"/>
        <v>73</v>
      </c>
      <c r="W29" s="9" t="e">
        <f t="shared" si="4"/>
        <v>#N/A</v>
      </c>
    </row>
    <row r="30" spans="2:23" ht="18">
      <c r="B30" s="50">
        <v>15</v>
      </c>
      <c r="C30" s="50">
        <v>18</v>
      </c>
      <c r="D30" s="50">
        <v>4</v>
      </c>
      <c r="E30" s="50">
        <v>19</v>
      </c>
      <c r="F30" s="50">
        <v>7</v>
      </c>
      <c r="G30" s="126">
        <v>0</v>
      </c>
      <c r="L30" s="21">
        <v>1</v>
      </c>
    </row>
    <row r="31" spans="2:23" ht="18">
      <c r="B31" s="50">
        <v>15</v>
      </c>
      <c r="C31" s="50">
        <v>18</v>
      </c>
      <c r="D31" s="50">
        <v>3</v>
      </c>
      <c r="E31" s="50">
        <v>11</v>
      </c>
      <c r="F31" s="50">
        <v>12</v>
      </c>
      <c r="G31" s="126">
        <v>0</v>
      </c>
      <c r="L31" s="21">
        <v>1</v>
      </c>
    </row>
    <row r="32" spans="2:23" ht="18">
      <c r="B32" s="50">
        <v>15</v>
      </c>
      <c r="C32" s="50">
        <v>18</v>
      </c>
      <c r="D32" s="50">
        <v>2</v>
      </c>
      <c r="E32" s="50">
        <v>0</v>
      </c>
      <c r="F32" s="50">
        <v>21</v>
      </c>
      <c r="G32" s="126">
        <v>0</v>
      </c>
      <c r="L32" s="21">
        <v>1</v>
      </c>
      <c r="N32" s="21">
        <v>18</v>
      </c>
    </row>
    <row r="33" spans="2:14" ht="18">
      <c r="B33" s="50">
        <v>15</v>
      </c>
      <c r="C33" s="50">
        <v>18</v>
      </c>
      <c r="D33" s="50">
        <v>1</v>
      </c>
      <c r="E33" s="50">
        <v>1</v>
      </c>
      <c r="F33" s="50">
        <v>32</v>
      </c>
      <c r="G33" s="126">
        <v>0</v>
      </c>
      <c r="L33" s="21">
        <v>1</v>
      </c>
      <c r="N33" s="21">
        <v>19</v>
      </c>
    </row>
    <row r="34" spans="2:14" ht="18">
      <c r="B34" s="50">
        <v>15</v>
      </c>
      <c r="C34" s="50">
        <v>26</v>
      </c>
      <c r="D34" s="50">
        <v>7</v>
      </c>
      <c r="E34" s="50">
        <v>15</v>
      </c>
      <c r="F34" s="50">
        <v>8</v>
      </c>
      <c r="G34" s="126">
        <v>0</v>
      </c>
      <c r="L34" s="21">
        <v>1</v>
      </c>
      <c r="N34" s="21">
        <v>20</v>
      </c>
    </row>
    <row r="35" spans="2:14" ht="18">
      <c r="B35" s="50">
        <v>15</v>
      </c>
      <c r="C35" s="50">
        <v>26</v>
      </c>
      <c r="D35" s="50">
        <v>6</v>
      </c>
      <c r="E35" s="50">
        <v>11</v>
      </c>
      <c r="F35" s="50">
        <v>6</v>
      </c>
      <c r="G35" s="126">
        <v>0</v>
      </c>
      <c r="L35" s="21">
        <v>1</v>
      </c>
      <c r="N35" s="21">
        <v>21</v>
      </c>
    </row>
    <row r="36" spans="2:14" ht="18">
      <c r="B36" s="50">
        <v>15</v>
      </c>
      <c r="C36" s="50">
        <v>26</v>
      </c>
      <c r="D36" s="50">
        <v>4</v>
      </c>
      <c r="E36" s="50">
        <v>7</v>
      </c>
      <c r="F36" s="50">
        <v>7</v>
      </c>
      <c r="G36" s="126">
        <v>0</v>
      </c>
      <c r="L36" s="21">
        <v>1</v>
      </c>
      <c r="N36" s="21">
        <v>22</v>
      </c>
    </row>
    <row r="37" spans="2:14" ht="18">
      <c r="B37" s="50">
        <v>15</v>
      </c>
      <c r="C37" s="50">
        <v>26</v>
      </c>
      <c r="D37" s="50">
        <v>3</v>
      </c>
      <c r="E37" s="50">
        <v>4</v>
      </c>
      <c r="F37" s="50">
        <v>14</v>
      </c>
      <c r="G37" s="126">
        <v>0</v>
      </c>
      <c r="L37" s="21">
        <v>1</v>
      </c>
      <c r="N37" s="21">
        <v>23</v>
      </c>
    </row>
    <row r="38" spans="2:14" ht="18">
      <c r="B38" s="50">
        <v>15</v>
      </c>
      <c r="C38" s="50">
        <v>26</v>
      </c>
      <c r="D38" s="50">
        <v>2</v>
      </c>
      <c r="E38" s="50">
        <v>4</v>
      </c>
      <c r="F38" s="50">
        <v>14</v>
      </c>
      <c r="G38" s="126">
        <v>0</v>
      </c>
      <c r="L38" s="21">
        <v>1</v>
      </c>
      <c r="N38" s="21">
        <v>24</v>
      </c>
    </row>
    <row r="39" spans="2:14" ht="18">
      <c r="B39" s="50">
        <v>15</v>
      </c>
      <c r="C39" s="50">
        <v>26</v>
      </c>
      <c r="D39" s="50">
        <v>1</v>
      </c>
      <c r="E39" s="50">
        <v>3</v>
      </c>
      <c r="F39" s="50">
        <v>10</v>
      </c>
      <c r="G39" s="126">
        <v>0</v>
      </c>
      <c r="L39" s="21">
        <v>1</v>
      </c>
      <c r="N39" s="21">
        <v>25</v>
      </c>
    </row>
    <row r="40" spans="2:14" ht="18">
      <c r="B40" s="50">
        <v>15</v>
      </c>
      <c r="C40" s="50">
        <v>24</v>
      </c>
      <c r="D40" s="50">
        <v>8</v>
      </c>
      <c r="E40" s="50">
        <v>2</v>
      </c>
      <c r="F40" s="50">
        <v>7</v>
      </c>
      <c r="G40" s="126">
        <v>0</v>
      </c>
      <c r="L40" s="21">
        <v>1</v>
      </c>
      <c r="N40" s="21">
        <v>26</v>
      </c>
    </row>
    <row r="41" spans="2:14" ht="18">
      <c r="B41" s="50">
        <v>15</v>
      </c>
      <c r="C41" s="50">
        <v>24</v>
      </c>
      <c r="D41" s="50">
        <v>9</v>
      </c>
      <c r="E41" s="50">
        <v>5</v>
      </c>
      <c r="F41" s="50">
        <v>12</v>
      </c>
      <c r="G41" s="126">
        <v>3</v>
      </c>
      <c r="L41" s="21">
        <v>1</v>
      </c>
      <c r="N41" s="21">
        <v>27</v>
      </c>
    </row>
    <row r="42" spans="2:14" ht="18">
      <c r="B42" s="50">
        <v>15</v>
      </c>
      <c r="C42" s="50">
        <v>25</v>
      </c>
      <c r="D42" s="50">
        <v>4</v>
      </c>
      <c r="E42" s="50">
        <v>8</v>
      </c>
      <c r="F42" s="50">
        <v>8</v>
      </c>
      <c r="G42" s="126">
        <v>4</v>
      </c>
      <c r="L42" s="21">
        <v>1</v>
      </c>
      <c r="N42" s="21">
        <v>28</v>
      </c>
    </row>
    <row r="43" spans="2:14" ht="18">
      <c r="B43" s="50">
        <v>15</v>
      </c>
      <c r="C43" s="50">
        <v>18</v>
      </c>
      <c r="D43" s="50">
        <v>6</v>
      </c>
      <c r="E43" s="50">
        <v>12</v>
      </c>
      <c r="F43" s="50">
        <v>19</v>
      </c>
      <c r="G43" s="126">
        <v>0</v>
      </c>
      <c r="L43" s="21">
        <v>1</v>
      </c>
    </row>
    <row r="44" spans="2:14" ht="18">
      <c r="B44" s="50">
        <v>15</v>
      </c>
      <c r="C44" s="50">
        <v>18</v>
      </c>
      <c r="D44" s="50">
        <v>8</v>
      </c>
      <c r="E44" s="50">
        <v>1</v>
      </c>
      <c r="F44" s="50">
        <v>41</v>
      </c>
      <c r="G44" s="126">
        <v>0</v>
      </c>
      <c r="L44" s="21">
        <v>1</v>
      </c>
    </row>
    <row r="45" spans="2:14" ht="18">
      <c r="B45" s="50">
        <v>15</v>
      </c>
      <c r="C45" s="50">
        <v>21</v>
      </c>
      <c r="D45" s="50">
        <v>9</v>
      </c>
      <c r="E45" s="50">
        <v>10</v>
      </c>
      <c r="F45" s="50">
        <v>15</v>
      </c>
      <c r="G45" s="126">
        <v>0</v>
      </c>
      <c r="L45" s="21">
        <v>1</v>
      </c>
    </row>
    <row r="46" spans="2:14" ht="18">
      <c r="B46" s="50">
        <v>15</v>
      </c>
      <c r="C46" s="50">
        <v>21</v>
      </c>
      <c r="D46" s="50">
        <v>8</v>
      </c>
      <c r="E46" s="50">
        <v>6</v>
      </c>
      <c r="F46" s="50">
        <v>5</v>
      </c>
      <c r="G46" s="126">
        <v>0</v>
      </c>
      <c r="L46" s="21">
        <v>1</v>
      </c>
    </row>
    <row r="47" spans="2:14" ht="18">
      <c r="B47" s="50">
        <v>15</v>
      </c>
      <c r="C47" s="50">
        <v>21</v>
      </c>
      <c r="D47" s="50">
        <v>7</v>
      </c>
      <c r="E47" s="50">
        <v>12</v>
      </c>
      <c r="F47" s="50">
        <v>14</v>
      </c>
      <c r="G47" s="126">
        <v>0</v>
      </c>
      <c r="L47" s="21">
        <v>1</v>
      </c>
    </row>
    <row r="48" spans="2:14" ht="18">
      <c r="B48" s="50">
        <v>15</v>
      </c>
      <c r="C48" s="50">
        <v>21</v>
      </c>
      <c r="D48" s="50">
        <v>6</v>
      </c>
      <c r="E48" s="50">
        <v>9</v>
      </c>
      <c r="F48" s="50">
        <v>17</v>
      </c>
      <c r="G48" s="126">
        <v>0</v>
      </c>
      <c r="L48" s="21">
        <v>1</v>
      </c>
    </row>
    <row r="49" spans="2:12" ht="18">
      <c r="B49" s="50">
        <v>15</v>
      </c>
      <c r="C49" s="50">
        <v>21</v>
      </c>
      <c r="D49" s="50">
        <v>5</v>
      </c>
      <c r="E49" s="50">
        <v>19</v>
      </c>
      <c r="F49" s="50">
        <v>11</v>
      </c>
      <c r="G49" s="126">
        <v>0</v>
      </c>
      <c r="L49" s="21">
        <v>1</v>
      </c>
    </row>
    <row r="50" spans="2:12" ht="18">
      <c r="B50" s="50">
        <v>15</v>
      </c>
      <c r="C50" s="50">
        <v>21</v>
      </c>
      <c r="D50" s="50">
        <v>4</v>
      </c>
      <c r="E50" s="50">
        <v>10</v>
      </c>
      <c r="F50" s="50">
        <v>12</v>
      </c>
      <c r="G50" s="126">
        <v>0</v>
      </c>
      <c r="L50" s="21">
        <v>1</v>
      </c>
    </row>
    <row r="51" spans="2:12" ht="18">
      <c r="B51" s="50">
        <v>15</v>
      </c>
      <c r="C51" s="50">
        <v>21</v>
      </c>
      <c r="D51" s="50">
        <v>3</v>
      </c>
      <c r="E51" s="50">
        <v>23</v>
      </c>
      <c r="F51" s="50">
        <v>0</v>
      </c>
      <c r="G51" s="126">
        <v>0</v>
      </c>
      <c r="L51" s="21">
        <v>1</v>
      </c>
    </row>
    <row r="52" spans="2:12" ht="18">
      <c r="B52" s="50">
        <v>15</v>
      </c>
      <c r="C52" s="50">
        <v>21</v>
      </c>
      <c r="D52" s="50">
        <v>2</v>
      </c>
      <c r="E52" s="50">
        <v>18</v>
      </c>
      <c r="F52" s="50">
        <v>7</v>
      </c>
      <c r="G52" s="126">
        <v>0</v>
      </c>
      <c r="L52" s="21">
        <v>1</v>
      </c>
    </row>
    <row r="53" spans="2:12" ht="18">
      <c r="B53" s="50">
        <v>15</v>
      </c>
      <c r="C53" s="50">
        <v>21</v>
      </c>
      <c r="D53" s="50">
        <v>1</v>
      </c>
      <c r="E53" s="50">
        <v>21</v>
      </c>
      <c r="F53" s="50">
        <v>4</v>
      </c>
      <c r="G53" s="126">
        <v>0</v>
      </c>
      <c r="L53" s="21">
        <v>1</v>
      </c>
    </row>
    <row r="54" spans="2:12" ht="18">
      <c r="B54" s="50">
        <v>15</v>
      </c>
      <c r="C54" s="50">
        <v>25</v>
      </c>
      <c r="D54" s="50">
        <v>5</v>
      </c>
      <c r="E54" s="50">
        <v>8</v>
      </c>
      <c r="F54" s="50">
        <v>9</v>
      </c>
      <c r="G54" s="126">
        <v>0</v>
      </c>
      <c r="L54" s="21">
        <v>1</v>
      </c>
    </row>
    <row r="55" spans="2:12" ht="18">
      <c r="B55" s="50">
        <v>15</v>
      </c>
      <c r="C55" s="50">
        <v>24</v>
      </c>
      <c r="D55" s="50">
        <v>10</v>
      </c>
      <c r="E55" s="50">
        <v>4</v>
      </c>
      <c r="F55" s="50">
        <v>11</v>
      </c>
      <c r="G55" s="126">
        <v>0</v>
      </c>
      <c r="L55" s="21">
        <v>1</v>
      </c>
    </row>
    <row r="56" spans="2:12" ht="18">
      <c r="B56" s="50">
        <v>15</v>
      </c>
      <c r="C56" s="50">
        <v>21</v>
      </c>
      <c r="D56" s="50">
        <v>12</v>
      </c>
      <c r="E56" s="50">
        <v>6</v>
      </c>
      <c r="F56" s="50">
        <v>17</v>
      </c>
      <c r="G56" s="126">
        <v>0</v>
      </c>
      <c r="L56" s="21">
        <v>1</v>
      </c>
    </row>
    <row r="57" spans="2:12" ht="18">
      <c r="B57" s="50">
        <v>15</v>
      </c>
      <c r="C57" s="50">
        <v>21</v>
      </c>
      <c r="D57" s="50">
        <v>13</v>
      </c>
      <c r="E57" s="50">
        <v>9</v>
      </c>
      <c r="F57" s="50">
        <v>16</v>
      </c>
      <c r="G57" s="126">
        <v>0</v>
      </c>
      <c r="L57" s="21">
        <v>1</v>
      </c>
    </row>
    <row r="58" spans="2:12" ht="18">
      <c r="B58" s="50">
        <v>15</v>
      </c>
      <c r="C58" s="50">
        <v>24</v>
      </c>
      <c r="D58" s="50">
        <v>11</v>
      </c>
      <c r="E58" s="50">
        <v>2</v>
      </c>
      <c r="F58" s="50">
        <v>4</v>
      </c>
      <c r="G58" s="126">
        <v>0</v>
      </c>
      <c r="L58" s="21">
        <v>1</v>
      </c>
    </row>
    <row r="59" spans="2:12" ht="18">
      <c r="B59" s="50">
        <v>15</v>
      </c>
      <c r="C59" s="50">
        <v>24</v>
      </c>
      <c r="D59" s="50">
        <v>12</v>
      </c>
      <c r="E59" s="50">
        <v>3</v>
      </c>
      <c r="F59" s="50">
        <v>10</v>
      </c>
      <c r="G59" s="126">
        <v>0</v>
      </c>
      <c r="L59" s="21">
        <v>1</v>
      </c>
    </row>
    <row r="60" spans="2:12" ht="18">
      <c r="B60" s="50">
        <v>15</v>
      </c>
      <c r="C60" s="50">
        <v>24</v>
      </c>
      <c r="D60" s="50">
        <v>13</v>
      </c>
      <c r="E60" s="50">
        <v>8</v>
      </c>
      <c r="F60" s="50">
        <v>12</v>
      </c>
      <c r="G60" s="126">
        <v>0</v>
      </c>
      <c r="L60" s="21">
        <v>1</v>
      </c>
    </row>
    <row r="61" spans="2:12" ht="18">
      <c r="B61" s="50">
        <v>15</v>
      </c>
      <c r="C61" s="50">
        <v>18</v>
      </c>
      <c r="D61" s="50">
        <v>10</v>
      </c>
      <c r="E61" s="50">
        <v>6</v>
      </c>
      <c r="F61" s="50">
        <v>15</v>
      </c>
      <c r="G61" s="126">
        <v>0</v>
      </c>
      <c r="L61" s="21">
        <v>1</v>
      </c>
    </row>
    <row r="62" spans="2:12" ht="18">
      <c r="B62" s="50">
        <v>15</v>
      </c>
      <c r="C62" s="50">
        <v>18</v>
      </c>
      <c r="D62" s="50">
        <v>11</v>
      </c>
      <c r="E62" s="50">
        <v>4</v>
      </c>
      <c r="F62" s="50">
        <v>12</v>
      </c>
      <c r="G62" s="126">
        <v>0</v>
      </c>
      <c r="L62" s="21">
        <v>1</v>
      </c>
    </row>
    <row r="63" spans="2:12" ht="18">
      <c r="B63" s="50">
        <v>15</v>
      </c>
      <c r="C63" s="50">
        <v>18</v>
      </c>
      <c r="D63" s="50">
        <v>12</v>
      </c>
      <c r="E63" s="50">
        <v>8</v>
      </c>
      <c r="F63" s="50">
        <v>38</v>
      </c>
      <c r="G63" s="126">
        <v>0</v>
      </c>
      <c r="L63" s="21">
        <v>1</v>
      </c>
    </row>
    <row r="64" spans="2:12" ht="18">
      <c r="B64" s="50">
        <v>15</v>
      </c>
      <c r="C64" s="50">
        <v>26</v>
      </c>
      <c r="D64" s="50">
        <v>8</v>
      </c>
      <c r="E64" s="50">
        <v>10</v>
      </c>
      <c r="F64" s="50">
        <v>9</v>
      </c>
      <c r="G64" s="126">
        <v>0</v>
      </c>
      <c r="L64" s="21">
        <v>1</v>
      </c>
    </row>
    <row r="65" spans="2:12" ht="18">
      <c r="B65" s="50">
        <v>15</v>
      </c>
      <c r="C65" s="50">
        <v>26</v>
      </c>
      <c r="D65" s="50">
        <v>9</v>
      </c>
      <c r="E65" s="50">
        <v>7</v>
      </c>
      <c r="F65" s="50">
        <v>11</v>
      </c>
      <c r="G65" s="126">
        <v>0</v>
      </c>
      <c r="L65" s="21">
        <v>1</v>
      </c>
    </row>
    <row r="66" spans="2:12" ht="18">
      <c r="B66" s="50">
        <v>15</v>
      </c>
      <c r="C66" s="50">
        <v>26</v>
      </c>
      <c r="D66" s="50">
        <v>10</v>
      </c>
      <c r="E66" s="50">
        <v>4</v>
      </c>
      <c r="F66" s="50">
        <v>17</v>
      </c>
      <c r="G66" s="126">
        <v>0</v>
      </c>
      <c r="L66" s="21">
        <v>1</v>
      </c>
    </row>
    <row r="67" spans="2:12" ht="18">
      <c r="B67" s="50">
        <v>15</v>
      </c>
      <c r="C67" s="50">
        <v>26</v>
      </c>
      <c r="D67" s="50">
        <v>11</v>
      </c>
      <c r="E67" s="50">
        <v>3</v>
      </c>
      <c r="F67" s="50">
        <v>14</v>
      </c>
      <c r="G67" s="126">
        <v>0</v>
      </c>
      <c r="L67" s="21">
        <v>1</v>
      </c>
    </row>
    <row r="68" spans="2:12" ht="18">
      <c r="B68" s="50">
        <v>15</v>
      </c>
      <c r="C68" s="50">
        <v>23</v>
      </c>
      <c r="D68" s="50">
        <v>12</v>
      </c>
      <c r="E68" s="50">
        <v>5</v>
      </c>
      <c r="F68" s="50">
        <v>14</v>
      </c>
      <c r="G68" s="126">
        <v>0</v>
      </c>
      <c r="L68" s="21">
        <v>1</v>
      </c>
    </row>
    <row r="69" spans="2:12" ht="18">
      <c r="B69" s="50">
        <v>15</v>
      </c>
      <c r="C69" s="50">
        <v>26</v>
      </c>
      <c r="D69" s="50">
        <v>13</v>
      </c>
      <c r="E69" s="50">
        <v>4</v>
      </c>
      <c r="F69" s="50">
        <v>13</v>
      </c>
      <c r="G69" s="126">
        <v>0</v>
      </c>
      <c r="L69" s="21">
        <v>1</v>
      </c>
    </row>
    <row r="70" spans="2:12" ht="18">
      <c r="B70" s="50">
        <v>15</v>
      </c>
      <c r="C70" s="50">
        <v>25</v>
      </c>
      <c r="D70" s="50">
        <v>6</v>
      </c>
      <c r="E70" s="50">
        <v>11</v>
      </c>
      <c r="F70" s="50">
        <v>14</v>
      </c>
      <c r="G70" s="126">
        <v>0</v>
      </c>
      <c r="L70" s="21">
        <v>1</v>
      </c>
    </row>
    <row r="71" spans="2:12" ht="18">
      <c r="B71" s="50">
        <v>15</v>
      </c>
      <c r="C71" s="50">
        <v>25</v>
      </c>
      <c r="D71" s="50">
        <v>7</v>
      </c>
      <c r="E71" s="50">
        <v>15</v>
      </c>
      <c r="F71" s="50">
        <v>7</v>
      </c>
      <c r="G71" s="126">
        <v>0</v>
      </c>
      <c r="L71" s="21">
        <v>1</v>
      </c>
    </row>
    <row r="72" spans="2:12" ht="18">
      <c r="B72" s="50">
        <v>15</v>
      </c>
      <c r="C72" s="50">
        <v>23</v>
      </c>
      <c r="D72" s="50">
        <v>12</v>
      </c>
      <c r="E72" s="50">
        <v>10</v>
      </c>
      <c r="F72" s="50">
        <v>15</v>
      </c>
      <c r="G72" s="126">
        <v>0</v>
      </c>
      <c r="L72" s="21">
        <v>1</v>
      </c>
    </row>
    <row r="73" spans="2:12" ht="18">
      <c r="B73" s="50">
        <v>15</v>
      </c>
      <c r="C73" s="50">
        <v>23</v>
      </c>
      <c r="D73" s="50">
        <v>11</v>
      </c>
      <c r="E73" s="50">
        <v>15</v>
      </c>
      <c r="F73" s="50">
        <v>8</v>
      </c>
      <c r="G73" s="126">
        <v>0</v>
      </c>
      <c r="L73" s="21">
        <v>1</v>
      </c>
    </row>
    <row r="74" spans="2:12" ht="18">
      <c r="B74" s="50">
        <v>15</v>
      </c>
      <c r="C74" s="50">
        <v>23</v>
      </c>
      <c r="D74" s="50">
        <v>10</v>
      </c>
      <c r="E74" s="50">
        <v>6</v>
      </c>
      <c r="F74" s="50">
        <v>0</v>
      </c>
      <c r="G74" s="126">
        <v>0</v>
      </c>
      <c r="L74" s="21">
        <v>1</v>
      </c>
    </row>
    <row r="75" spans="2:12" ht="18">
      <c r="B75" s="50">
        <v>15</v>
      </c>
      <c r="C75" s="50">
        <v>23</v>
      </c>
      <c r="D75" s="50">
        <v>8</v>
      </c>
      <c r="E75" s="50">
        <v>19</v>
      </c>
      <c r="F75" s="50">
        <v>11</v>
      </c>
      <c r="G75" s="126">
        <v>0</v>
      </c>
      <c r="L75" s="21">
        <v>1</v>
      </c>
    </row>
    <row r="76" spans="2:12" ht="18">
      <c r="B76" s="50">
        <v>15</v>
      </c>
      <c r="C76" s="50">
        <v>23</v>
      </c>
      <c r="D76" s="50">
        <v>9</v>
      </c>
      <c r="E76" s="50">
        <v>16</v>
      </c>
      <c r="F76" s="50">
        <v>8</v>
      </c>
      <c r="G76" s="126">
        <v>0</v>
      </c>
      <c r="L76" s="21">
        <v>1</v>
      </c>
    </row>
    <row r="77" spans="2:12" ht="18">
      <c r="B77" s="50">
        <v>15</v>
      </c>
      <c r="C77" s="50">
        <v>23</v>
      </c>
      <c r="D77" s="50">
        <v>7</v>
      </c>
      <c r="E77" s="50">
        <v>10</v>
      </c>
      <c r="F77" s="50">
        <v>17</v>
      </c>
      <c r="G77" s="126">
        <v>0</v>
      </c>
      <c r="L77" s="21">
        <v>1</v>
      </c>
    </row>
    <row r="78" spans="2:12" ht="18">
      <c r="B78" s="50">
        <v>15</v>
      </c>
      <c r="C78" s="50">
        <v>23</v>
      </c>
      <c r="D78" s="50">
        <v>6</v>
      </c>
      <c r="E78" s="50">
        <v>14</v>
      </c>
      <c r="F78" s="50">
        <v>12</v>
      </c>
      <c r="G78" s="126">
        <v>0</v>
      </c>
      <c r="L78" s="21">
        <v>1</v>
      </c>
    </row>
    <row r="79" spans="2:12" ht="18">
      <c r="B79" s="50">
        <v>15</v>
      </c>
      <c r="C79" s="50">
        <v>23</v>
      </c>
      <c r="D79" s="50">
        <v>13</v>
      </c>
      <c r="E79" s="50">
        <v>9</v>
      </c>
      <c r="F79" s="50">
        <v>6</v>
      </c>
      <c r="G79" s="126">
        <v>0</v>
      </c>
      <c r="L79" s="21">
        <v>1</v>
      </c>
    </row>
    <row r="80" spans="2:12" ht="18">
      <c r="B80" s="50">
        <v>15</v>
      </c>
      <c r="C80" s="50">
        <v>18</v>
      </c>
      <c r="D80" s="50">
        <v>13</v>
      </c>
      <c r="E80" s="50">
        <v>1</v>
      </c>
      <c r="F80" s="50">
        <v>3</v>
      </c>
      <c r="G80" s="126">
        <v>0</v>
      </c>
      <c r="L80" s="21">
        <v>1</v>
      </c>
    </row>
    <row r="81" spans="2:12" ht="18">
      <c r="B81" s="50">
        <v>15</v>
      </c>
      <c r="C81" s="50">
        <v>18</v>
      </c>
      <c r="D81" s="50">
        <v>12</v>
      </c>
      <c r="E81" s="50">
        <v>8</v>
      </c>
      <c r="F81" s="50">
        <v>38</v>
      </c>
      <c r="G81" s="126">
        <v>0</v>
      </c>
      <c r="L81" s="21">
        <v>1</v>
      </c>
    </row>
    <row r="82" spans="2:12" ht="18">
      <c r="B82" s="50">
        <v>15</v>
      </c>
      <c r="C82" s="50">
        <v>24</v>
      </c>
      <c r="D82" s="50">
        <v>15</v>
      </c>
      <c r="E82" s="50">
        <v>3</v>
      </c>
      <c r="F82" s="50">
        <v>7</v>
      </c>
      <c r="G82" s="126">
        <v>2</v>
      </c>
      <c r="L82" s="21">
        <v>1</v>
      </c>
    </row>
    <row r="83" spans="2:12" ht="18">
      <c r="B83" s="50">
        <v>15</v>
      </c>
      <c r="C83" s="50">
        <v>24</v>
      </c>
      <c r="D83" s="50">
        <v>14</v>
      </c>
      <c r="E83" s="50">
        <v>6</v>
      </c>
      <c r="F83" s="50">
        <v>16</v>
      </c>
      <c r="G83" s="126">
        <v>0</v>
      </c>
      <c r="L83" s="21">
        <v>1</v>
      </c>
    </row>
    <row r="84" spans="2:12" ht="18">
      <c r="B84" s="50">
        <v>15</v>
      </c>
      <c r="C84" s="50">
        <v>21</v>
      </c>
      <c r="D84" s="50">
        <v>15</v>
      </c>
      <c r="E84" s="50">
        <v>10</v>
      </c>
      <c r="F84" s="50">
        <v>14</v>
      </c>
      <c r="G84" s="126">
        <v>0</v>
      </c>
      <c r="L84" s="21">
        <v>1</v>
      </c>
    </row>
    <row r="85" spans="2:12" ht="18">
      <c r="B85" s="50">
        <v>15</v>
      </c>
      <c r="C85" s="50">
        <v>21</v>
      </c>
      <c r="D85" s="50">
        <v>16</v>
      </c>
      <c r="E85" s="50">
        <v>5</v>
      </c>
      <c r="F85" s="50">
        <v>9</v>
      </c>
      <c r="G85" s="126">
        <v>0</v>
      </c>
      <c r="L85" s="21">
        <v>1</v>
      </c>
    </row>
    <row r="86" spans="2:12" ht="18">
      <c r="B86" s="50">
        <v>15</v>
      </c>
      <c r="C86" s="50">
        <v>21</v>
      </c>
      <c r="D86" s="50">
        <v>14</v>
      </c>
      <c r="E86" s="50">
        <v>12</v>
      </c>
      <c r="F86" s="50">
        <v>11</v>
      </c>
      <c r="G86" s="126">
        <v>0</v>
      </c>
      <c r="L86" s="21">
        <v>1</v>
      </c>
    </row>
    <row r="87" spans="2:12" ht="18">
      <c r="B87" s="50"/>
      <c r="C87" s="50"/>
      <c r="D87" s="50"/>
      <c r="E87" s="50"/>
      <c r="F87" s="50"/>
      <c r="G87" s="126"/>
      <c r="L87" s="21">
        <v>1</v>
      </c>
    </row>
    <row r="88" spans="2:12" ht="18">
      <c r="B88" s="50"/>
      <c r="C88" s="50"/>
      <c r="D88" s="50"/>
      <c r="E88" s="50"/>
      <c r="F88" s="50"/>
      <c r="G88" s="126"/>
      <c r="L88" s="21">
        <v>1</v>
      </c>
    </row>
    <row r="89" spans="2:12" ht="18">
      <c r="B89" s="50"/>
      <c r="C89" s="50"/>
      <c r="D89" s="50"/>
      <c r="E89" s="50"/>
      <c r="F89" s="50"/>
      <c r="G89" s="126"/>
      <c r="L89" s="21">
        <v>1</v>
      </c>
    </row>
    <row r="90" spans="2:12" ht="18">
      <c r="B90" s="50"/>
      <c r="C90" s="50"/>
      <c r="D90" s="50"/>
      <c r="E90" s="50"/>
      <c r="F90" s="50"/>
      <c r="G90" s="126"/>
      <c r="L90" s="21">
        <v>1</v>
      </c>
    </row>
    <row r="91" spans="2:12" ht="18">
      <c r="B91" s="50"/>
      <c r="C91" s="50"/>
      <c r="D91" s="50"/>
      <c r="E91" s="50"/>
      <c r="F91" s="50"/>
      <c r="G91" s="126"/>
      <c r="L91" s="21">
        <v>1</v>
      </c>
    </row>
    <row r="92" spans="2:12" ht="18">
      <c r="B92" s="50"/>
      <c r="C92" s="50"/>
      <c r="D92" s="50"/>
      <c r="E92" s="50"/>
      <c r="F92" s="50"/>
      <c r="G92" s="126"/>
      <c r="L92" s="21">
        <v>1</v>
      </c>
    </row>
    <row r="93" spans="2:12" ht="18">
      <c r="B93" s="50"/>
      <c r="C93" s="50"/>
      <c r="D93" s="50"/>
      <c r="E93" s="50"/>
      <c r="F93" s="50"/>
      <c r="G93" s="126"/>
      <c r="L93" s="21">
        <v>1</v>
      </c>
    </row>
    <row r="94" spans="2:12" ht="18">
      <c r="B94" s="50"/>
      <c r="C94" s="50"/>
      <c r="D94" s="50"/>
      <c r="E94" s="50"/>
      <c r="F94" s="50"/>
      <c r="G94" s="126"/>
      <c r="L94" s="21">
        <v>1</v>
      </c>
    </row>
    <row r="95" spans="2:12" ht="18">
      <c r="B95" s="50"/>
      <c r="C95" s="50"/>
      <c r="D95" s="50"/>
      <c r="E95" s="50"/>
      <c r="F95" s="50"/>
      <c r="G95" s="126"/>
      <c r="L95" s="21">
        <v>1</v>
      </c>
    </row>
    <row r="96" spans="2:12" ht="18">
      <c r="B96" s="50"/>
      <c r="C96" s="50"/>
      <c r="D96" s="50"/>
      <c r="E96" s="50"/>
      <c r="F96" s="50"/>
      <c r="G96" s="126"/>
      <c r="L96" s="21">
        <v>1</v>
      </c>
    </row>
    <row r="97" spans="2:12" ht="18">
      <c r="B97" s="50"/>
      <c r="C97" s="50"/>
      <c r="D97" s="50"/>
      <c r="E97" s="50"/>
      <c r="F97" s="50"/>
      <c r="G97" s="126"/>
      <c r="L97" s="21">
        <v>1</v>
      </c>
    </row>
    <row r="98" spans="2:12" ht="18">
      <c r="B98" s="50"/>
      <c r="C98" s="50"/>
      <c r="D98" s="50"/>
      <c r="E98" s="50"/>
      <c r="F98" s="50"/>
      <c r="G98" s="126"/>
      <c r="L98" s="21">
        <v>1</v>
      </c>
    </row>
    <row r="99" spans="2:12" ht="18">
      <c r="B99" s="50"/>
      <c r="C99" s="50"/>
      <c r="D99" s="50"/>
      <c r="E99" s="50"/>
      <c r="F99" s="50"/>
      <c r="G99" s="126"/>
      <c r="L99" s="21">
        <v>1</v>
      </c>
    </row>
    <row r="100" spans="2:12" ht="18">
      <c r="B100" s="50"/>
      <c r="C100" s="50"/>
      <c r="D100" s="50"/>
      <c r="E100" s="50"/>
      <c r="F100" s="50"/>
      <c r="G100" s="126"/>
      <c r="L100" s="21">
        <v>1</v>
      </c>
    </row>
    <row r="101" spans="2:12" ht="18">
      <c r="B101" s="50"/>
      <c r="C101" s="50"/>
      <c r="D101" s="50"/>
      <c r="E101" s="50"/>
      <c r="F101" s="50"/>
      <c r="G101" s="126"/>
      <c r="L101" s="21">
        <v>1</v>
      </c>
    </row>
    <row r="102" spans="2:12" ht="18">
      <c r="B102" s="50"/>
      <c r="C102" s="50"/>
      <c r="D102" s="50"/>
      <c r="E102" s="50"/>
      <c r="F102" s="50"/>
      <c r="G102" s="126"/>
      <c r="L102" s="21">
        <v>1</v>
      </c>
    </row>
    <row r="103" spans="2:12" ht="18">
      <c r="B103" s="50"/>
      <c r="C103" s="50"/>
      <c r="D103" s="50"/>
      <c r="E103" s="50"/>
      <c r="F103" s="50"/>
      <c r="G103" s="126"/>
      <c r="L103" s="21">
        <v>1</v>
      </c>
    </row>
    <row r="104" spans="2:12" ht="18">
      <c r="B104" s="50"/>
      <c r="C104" s="50"/>
      <c r="D104" s="50"/>
      <c r="E104" s="50"/>
      <c r="F104" s="50"/>
      <c r="G104" s="126"/>
      <c r="L104" s="21">
        <v>1</v>
      </c>
    </row>
    <row r="105" spans="2:12" ht="18">
      <c r="B105" s="50"/>
      <c r="C105" s="50"/>
      <c r="D105" s="50"/>
      <c r="E105" s="50"/>
      <c r="F105" s="50"/>
      <c r="G105" s="126"/>
      <c r="L105" s="21">
        <v>1</v>
      </c>
    </row>
    <row r="106" spans="2:12" ht="18">
      <c r="B106" s="50"/>
      <c r="C106" s="50"/>
      <c r="D106" s="50"/>
      <c r="E106" s="50"/>
      <c r="F106" s="50"/>
      <c r="G106" s="126"/>
      <c r="L106" s="21">
        <v>1</v>
      </c>
    </row>
    <row r="107" spans="2:12" ht="18">
      <c r="B107" s="50"/>
      <c r="C107" s="50"/>
      <c r="D107" s="50"/>
      <c r="E107" s="50"/>
      <c r="F107" s="50"/>
      <c r="G107" s="126"/>
      <c r="L107" s="21">
        <v>1</v>
      </c>
    </row>
    <row r="108" spans="2:12" ht="18">
      <c r="B108" s="50"/>
      <c r="C108" s="50"/>
      <c r="D108" s="50"/>
      <c r="E108" s="50"/>
      <c r="F108" s="50"/>
      <c r="G108" s="126"/>
      <c r="L108" s="21">
        <v>1</v>
      </c>
    </row>
    <row r="109" spans="2:12" ht="18">
      <c r="B109" s="50"/>
      <c r="C109" s="50"/>
      <c r="D109" s="50"/>
      <c r="E109" s="50"/>
      <c r="F109" s="50"/>
      <c r="G109" s="126"/>
      <c r="L109" s="21">
        <v>1</v>
      </c>
    </row>
    <row r="110" spans="2:12" ht="18">
      <c r="B110" s="50"/>
      <c r="C110" s="50"/>
      <c r="D110" s="50"/>
      <c r="E110" s="50"/>
      <c r="F110" s="50"/>
      <c r="G110" s="126"/>
      <c r="L110" s="21">
        <v>1</v>
      </c>
    </row>
    <row r="111" spans="2:12" ht="18">
      <c r="B111" s="50"/>
      <c r="C111" s="50"/>
      <c r="D111" s="50"/>
      <c r="E111" s="50"/>
      <c r="F111" s="50"/>
      <c r="G111" s="126"/>
      <c r="L111" s="21">
        <v>1</v>
      </c>
    </row>
    <row r="112" spans="2:12" ht="18">
      <c r="B112" s="50"/>
      <c r="C112" s="50"/>
      <c r="D112" s="50"/>
      <c r="E112" s="50"/>
      <c r="F112" s="50"/>
      <c r="G112" s="126"/>
      <c r="L112" s="21">
        <v>1</v>
      </c>
    </row>
    <row r="113" spans="2:12" ht="18">
      <c r="B113" s="50"/>
      <c r="C113" s="50"/>
      <c r="D113" s="50"/>
      <c r="E113" s="50"/>
      <c r="F113" s="50"/>
      <c r="G113" s="126"/>
      <c r="L113" s="21">
        <v>1</v>
      </c>
    </row>
    <row r="114" spans="2:12" ht="18">
      <c r="B114" s="50"/>
      <c r="C114" s="50"/>
      <c r="D114" s="50"/>
      <c r="E114" s="50"/>
      <c r="F114" s="50"/>
      <c r="G114" s="126"/>
      <c r="L114" s="21">
        <v>1</v>
      </c>
    </row>
    <row r="115" spans="2:12" ht="18">
      <c r="B115" s="50"/>
      <c r="C115" s="50"/>
      <c r="D115" s="50"/>
      <c r="E115" s="50"/>
      <c r="F115" s="50"/>
      <c r="G115" s="126"/>
      <c r="L115" s="21">
        <v>1</v>
      </c>
    </row>
    <row r="116" spans="2:12" ht="18">
      <c r="B116" s="50"/>
      <c r="C116" s="50"/>
      <c r="D116" s="50"/>
      <c r="E116" s="50"/>
      <c r="F116" s="50"/>
      <c r="G116" s="126"/>
      <c r="L116" s="21">
        <v>1</v>
      </c>
    </row>
    <row r="117" spans="2:12" ht="18">
      <c r="B117" s="50"/>
      <c r="C117" s="50"/>
      <c r="D117" s="50"/>
      <c r="E117" s="50"/>
      <c r="F117" s="50"/>
      <c r="G117" s="126"/>
      <c r="L117" s="21">
        <v>1</v>
      </c>
    </row>
    <row r="118" spans="2:12" ht="18">
      <c r="B118" s="50"/>
      <c r="C118" s="50"/>
      <c r="D118" s="50"/>
      <c r="E118" s="50"/>
      <c r="F118" s="50"/>
      <c r="G118" s="126"/>
      <c r="L118" s="21">
        <v>1</v>
      </c>
    </row>
    <row r="119" spans="2:12" ht="18">
      <c r="B119" s="50"/>
      <c r="C119" s="50"/>
      <c r="D119" s="50"/>
      <c r="E119" s="50"/>
      <c r="F119" s="50"/>
      <c r="G119" s="126"/>
      <c r="L119" s="21">
        <v>1</v>
      </c>
    </row>
    <row r="120" spans="2:12" ht="18">
      <c r="B120" s="50"/>
      <c r="C120" s="50"/>
      <c r="D120" s="50"/>
      <c r="E120" s="50"/>
      <c r="F120" s="50"/>
      <c r="G120" s="126"/>
      <c r="L120" s="21">
        <v>1</v>
      </c>
    </row>
    <row r="121" spans="2:12" ht="18">
      <c r="B121" s="50"/>
      <c r="C121" s="50"/>
      <c r="D121" s="50"/>
      <c r="E121" s="50"/>
      <c r="F121" s="50"/>
      <c r="G121" s="126"/>
      <c r="L121" s="21">
        <v>1</v>
      </c>
    </row>
    <row r="122" spans="2:12" ht="18">
      <c r="B122" s="50"/>
      <c r="C122" s="50"/>
      <c r="D122" s="50"/>
      <c r="E122" s="50"/>
      <c r="F122" s="50"/>
      <c r="G122" s="126"/>
      <c r="L122" s="21">
        <v>1</v>
      </c>
    </row>
    <row r="123" spans="2:12" ht="18">
      <c r="B123" s="50"/>
      <c r="C123" s="50"/>
      <c r="D123" s="50"/>
      <c r="E123" s="50"/>
      <c r="F123" s="50"/>
      <c r="G123" s="126"/>
      <c r="L123" s="21">
        <v>1</v>
      </c>
    </row>
    <row r="124" spans="2:12" ht="18">
      <c r="B124" s="50"/>
      <c r="C124" s="50"/>
      <c r="D124" s="50"/>
      <c r="E124" s="50"/>
      <c r="F124" s="50"/>
      <c r="G124" s="126"/>
      <c r="L124" s="21">
        <v>1</v>
      </c>
    </row>
    <row r="125" spans="2:12" ht="18">
      <c r="B125" s="50"/>
      <c r="C125" s="50"/>
      <c r="D125" s="50"/>
      <c r="E125" s="50"/>
      <c r="F125" s="50"/>
      <c r="G125" s="126"/>
      <c r="L125" s="21">
        <v>1</v>
      </c>
    </row>
    <row r="126" spans="2:12" ht="18">
      <c r="B126" s="50"/>
      <c r="C126" s="50"/>
      <c r="D126" s="50"/>
      <c r="E126" s="50"/>
      <c r="F126" s="50"/>
      <c r="G126" s="126"/>
      <c r="L126" s="21">
        <v>1</v>
      </c>
    </row>
    <row r="127" spans="2:12" ht="18">
      <c r="B127" s="50"/>
      <c r="C127" s="50"/>
      <c r="D127" s="50"/>
      <c r="E127" s="50"/>
      <c r="F127" s="50"/>
      <c r="G127" s="126"/>
      <c r="L127" s="21">
        <v>1</v>
      </c>
    </row>
    <row r="128" spans="2:12" ht="18">
      <c r="B128" s="50"/>
      <c r="C128" s="50"/>
      <c r="D128" s="50"/>
      <c r="E128" s="50"/>
      <c r="F128" s="50"/>
      <c r="G128" s="126"/>
      <c r="L128" s="21">
        <v>1</v>
      </c>
    </row>
    <row r="129" spans="2:12" ht="18">
      <c r="B129" s="50"/>
      <c r="C129" s="50"/>
      <c r="D129" s="50"/>
      <c r="E129" s="50"/>
      <c r="F129" s="50"/>
      <c r="G129" s="126"/>
      <c r="L129" s="21">
        <v>1</v>
      </c>
    </row>
    <row r="130" spans="2:12" ht="18">
      <c r="B130" s="50"/>
      <c r="C130" s="50"/>
      <c r="D130" s="50"/>
      <c r="E130" s="50"/>
      <c r="F130" s="50"/>
      <c r="G130" s="126"/>
      <c r="L130" s="21">
        <v>1</v>
      </c>
    </row>
    <row r="131" spans="2:12" ht="18">
      <c r="B131" s="50"/>
      <c r="C131" s="50"/>
      <c r="D131" s="50"/>
      <c r="E131" s="50"/>
      <c r="F131" s="50"/>
      <c r="G131" s="126"/>
      <c r="L131" s="21">
        <v>1</v>
      </c>
    </row>
    <row r="132" spans="2:12" ht="18">
      <c r="B132" s="50"/>
      <c r="C132" s="50"/>
      <c r="D132" s="50"/>
      <c r="E132" s="50"/>
      <c r="F132" s="50"/>
      <c r="G132" s="126"/>
      <c r="L132" s="21">
        <v>1</v>
      </c>
    </row>
    <row r="133" spans="2:12" ht="18">
      <c r="B133" s="50"/>
      <c r="C133" s="50"/>
      <c r="D133" s="50"/>
      <c r="E133" s="50"/>
      <c r="F133" s="50"/>
      <c r="G133" s="126"/>
      <c r="L133" s="21">
        <v>1</v>
      </c>
    </row>
    <row r="134" spans="2:12" ht="18">
      <c r="B134" s="50"/>
      <c r="C134" s="50"/>
      <c r="D134" s="50"/>
      <c r="E134" s="50"/>
      <c r="F134" s="50"/>
      <c r="G134" s="126"/>
      <c r="L134" s="21">
        <v>1</v>
      </c>
    </row>
    <row r="135" spans="2:12" ht="18">
      <c r="B135" s="50"/>
      <c r="C135" s="50"/>
      <c r="D135" s="50"/>
      <c r="E135" s="50"/>
      <c r="F135" s="50"/>
      <c r="G135" s="126"/>
      <c r="L135" s="21">
        <v>1</v>
      </c>
    </row>
    <row r="136" spans="2:12" ht="18">
      <c r="B136" s="50"/>
      <c r="C136" s="50"/>
      <c r="D136" s="50"/>
      <c r="E136" s="50"/>
      <c r="F136" s="50"/>
      <c r="G136" s="126"/>
      <c r="L136" s="21">
        <v>1</v>
      </c>
    </row>
    <row r="137" spans="2:12" ht="18">
      <c r="B137" s="50"/>
      <c r="C137" s="50"/>
      <c r="D137" s="50"/>
      <c r="E137" s="50"/>
      <c r="F137" s="50"/>
      <c r="G137" s="126"/>
      <c r="L137" s="21">
        <v>1</v>
      </c>
    </row>
    <row r="138" spans="2:12" ht="18">
      <c r="B138" s="50"/>
      <c r="C138" s="50"/>
      <c r="D138" s="50"/>
      <c r="E138" s="50"/>
      <c r="F138" s="50"/>
      <c r="G138" s="126"/>
      <c r="L138" s="21">
        <v>1</v>
      </c>
    </row>
    <row r="139" spans="2:12" ht="18">
      <c r="B139" s="50"/>
      <c r="C139" s="50"/>
      <c r="D139" s="50"/>
      <c r="E139" s="50"/>
      <c r="F139" s="50"/>
      <c r="G139" s="126"/>
      <c r="L139" s="21">
        <v>1</v>
      </c>
    </row>
    <row r="140" spans="2:12" ht="18">
      <c r="B140" s="50"/>
      <c r="C140" s="50"/>
      <c r="D140" s="50"/>
      <c r="E140" s="50"/>
      <c r="F140" s="50"/>
      <c r="G140" s="126"/>
      <c r="L140" s="21">
        <v>1</v>
      </c>
    </row>
    <row r="141" spans="2:12" ht="18">
      <c r="B141" s="50"/>
      <c r="C141" s="50"/>
      <c r="D141" s="50"/>
      <c r="E141" s="50"/>
      <c r="F141" s="50"/>
      <c r="G141" s="126"/>
      <c r="L141" s="21">
        <v>1</v>
      </c>
    </row>
    <row r="142" spans="2:12" ht="18">
      <c r="B142" s="50"/>
      <c r="C142" s="50"/>
      <c r="D142" s="50"/>
      <c r="E142" s="50"/>
      <c r="F142" s="50"/>
      <c r="G142" s="126"/>
      <c r="L142" s="21">
        <v>1</v>
      </c>
    </row>
    <row r="143" spans="2:12" ht="18">
      <c r="B143" s="50"/>
      <c r="C143" s="50"/>
      <c r="D143" s="50"/>
      <c r="E143" s="50"/>
      <c r="F143" s="50"/>
      <c r="G143" s="126"/>
      <c r="L143" s="21">
        <v>1</v>
      </c>
    </row>
    <row r="144" spans="2:12" ht="18">
      <c r="B144" s="50"/>
      <c r="C144" s="50"/>
      <c r="D144" s="50"/>
      <c r="E144" s="50"/>
      <c r="F144" s="50"/>
      <c r="G144" s="126"/>
      <c r="L144" s="21">
        <v>1</v>
      </c>
    </row>
    <row r="145" spans="2:12" ht="18">
      <c r="B145" s="50"/>
      <c r="C145" s="50"/>
      <c r="D145" s="50"/>
      <c r="E145" s="50"/>
      <c r="F145" s="50"/>
      <c r="G145" s="126"/>
      <c r="L145" s="21">
        <v>1</v>
      </c>
    </row>
    <row r="146" spans="2:12" ht="18">
      <c r="B146" s="50"/>
      <c r="C146" s="50"/>
      <c r="D146" s="50"/>
      <c r="E146" s="50"/>
      <c r="F146" s="50"/>
      <c r="G146" s="126"/>
      <c r="L146" s="21">
        <v>1</v>
      </c>
    </row>
    <row r="147" spans="2:12" ht="18">
      <c r="B147" s="50"/>
      <c r="C147" s="50"/>
      <c r="D147" s="50"/>
      <c r="E147" s="50"/>
      <c r="F147" s="50"/>
      <c r="G147" s="126"/>
      <c r="L147" s="21">
        <v>1</v>
      </c>
    </row>
    <row r="148" spans="2:12" ht="18">
      <c r="B148" s="50"/>
      <c r="C148" s="50"/>
      <c r="D148" s="50"/>
      <c r="E148" s="50"/>
      <c r="F148" s="50"/>
      <c r="G148" s="126"/>
      <c r="L148" s="21">
        <v>1</v>
      </c>
    </row>
    <row r="149" spans="2:12" ht="18">
      <c r="B149" s="50"/>
      <c r="C149" s="50"/>
      <c r="D149" s="50"/>
      <c r="E149" s="50"/>
      <c r="F149" s="50"/>
      <c r="G149" s="126"/>
      <c r="L149" s="21">
        <v>1</v>
      </c>
    </row>
    <row r="150" spans="2:12" ht="18">
      <c r="B150" s="50"/>
      <c r="C150" s="50"/>
      <c r="D150" s="50"/>
      <c r="E150" s="50"/>
      <c r="F150" s="50"/>
      <c r="G150" s="126"/>
      <c r="L150" s="21">
        <v>1</v>
      </c>
    </row>
    <row r="151" spans="2:12" ht="18">
      <c r="B151" s="50"/>
      <c r="C151" s="50"/>
      <c r="D151" s="50"/>
      <c r="E151" s="50"/>
      <c r="F151" s="50"/>
      <c r="G151" s="126"/>
      <c r="L151" s="21">
        <v>1</v>
      </c>
    </row>
    <row r="152" spans="2:12" ht="18">
      <c r="B152" s="50"/>
      <c r="C152" s="50"/>
      <c r="D152" s="50"/>
      <c r="E152" s="50"/>
      <c r="F152" s="50"/>
      <c r="G152" s="126"/>
      <c r="L152" s="21">
        <v>1</v>
      </c>
    </row>
    <row r="153" spans="2:12" ht="18">
      <c r="B153" s="50"/>
      <c r="C153" s="50"/>
      <c r="D153" s="50"/>
      <c r="E153" s="50"/>
      <c r="F153" s="50"/>
      <c r="G153" s="126"/>
      <c r="L153" s="21">
        <v>1</v>
      </c>
    </row>
    <row r="154" spans="2:12" ht="18">
      <c r="B154" s="50"/>
      <c r="C154" s="50"/>
      <c r="D154" s="50"/>
      <c r="E154" s="50"/>
      <c r="F154" s="50"/>
      <c r="G154" s="126"/>
      <c r="L154" s="21">
        <v>1</v>
      </c>
    </row>
    <row r="155" spans="2:12" ht="18">
      <c r="B155" s="50"/>
      <c r="C155" s="50"/>
      <c r="D155" s="50"/>
      <c r="E155" s="50"/>
      <c r="F155" s="50"/>
      <c r="G155" s="126"/>
      <c r="L155" s="21">
        <v>1</v>
      </c>
    </row>
    <row r="156" spans="2:12" ht="18">
      <c r="B156" s="50"/>
      <c r="C156" s="50"/>
      <c r="D156" s="50"/>
      <c r="E156" s="50"/>
      <c r="F156" s="50"/>
      <c r="G156" s="126"/>
      <c r="L156" s="21">
        <v>1</v>
      </c>
    </row>
    <row r="157" spans="2:12" ht="18">
      <c r="B157" s="50"/>
      <c r="C157" s="50"/>
      <c r="D157" s="50"/>
      <c r="E157" s="50"/>
      <c r="F157" s="50"/>
      <c r="G157" s="126"/>
      <c r="L157" s="21">
        <v>1</v>
      </c>
    </row>
    <row r="158" spans="2:12" ht="18">
      <c r="B158" s="50"/>
      <c r="C158" s="50"/>
      <c r="D158" s="50"/>
      <c r="E158" s="50"/>
      <c r="F158" s="50"/>
      <c r="G158" s="126"/>
      <c r="L158" s="21">
        <v>1</v>
      </c>
    </row>
    <row r="159" spans="2:12" ht="18">
      <c r="B159" s="50"/>
      <c r="C159" s="50"/>
      <c r="D159" s="50"/>
      <c r="E159" s="50"/>
      <c r="F159" s="50"/>
      <c r="G159" s="126"/>
      <c r="L159" s="21">
        <v>1</v>
      </c>
    </row>
    <row r="160" spans="2:12" ht="18">
      <c r="B160" s="50"/>
      <c r="C160" s="50"/>
      <c r="D160" s="50"/>
      <c r="E160" s="50"/>
      <c r="F160" s="50"/>
      <c r="G160" s="126"/>
      <c r="L160" s="21">
        <v>1</v>
      </c>
    </row>
    <row r="161" spans="2:12" ht="18">
      <c r="B161" s="50"/>
      <c r="C161" s="50"/>
      <c r="D161" s="50"/>
      <c r="E161" s="50"/>
      <c r="F161" s="50"/>
      <c r="G161" s="126"/>
      <c r="L161" s="21">
        <v>1</v>
      </c>
    </row>
    <row r="162" spans="2:12" ht="18">
      <c r="B162" s="50"/>
      <c r="C162" s="50"/>
      <c r="D162" s="50"/>
      <c r="E162" s="50"/>
      <c r="F162" s="50"/>
      <c r="G162" s="126"/>
      <c r="L162" s="21">
        <v>1</v>
      </c>
    </row>
    <row r="163" spans="2:12" ht="18">
      <c r="B163" s="50"/>
      <c r="C163" s="50"/>
      <c r="D163" s="50"/>
      <c r="E163" s="50"/>
      <c r="F163" s="50"/>
      <c r="G163" s="126"/>
      <c r="L163" s="21">
        <v>1</v>
      </c>
    </row>
    <row r="164" spans="2:12" ht="18">
      <c r="B164" s="50"/>
      <c r="C164" s="50"/>
      <c r="D164" s="50"/>
      <c r="E164" s="50"/>
      <c r="F164" s="50"/>
      <c r="G164" s="126"/>
      <c r="L164" s="21">
        <v>1</v>
      </c>
    </row>
    <row r="165" spans="2:12" ht="18">
      <c r="B165" s="50"/>
      <c r="C165" s="50"/>
      <c r="D165" s="50"/>
      <c r="E165" s="50"/>
      <c r="F165" s="50"/>
      <c r="G165" s="126"/>
      <c r="L165" s="21">
        <v>1</v>
      </c>
    </row>
    <row r="166" spans="2:12" ht="18">
      <c r="B166" s="50"/>
      <c r="C166" s="50"/>
      <c r="D166" s="50"/>
      <c r="E166" s="50"/>
      <c r="F166" s="50"/>
      <c r="G166" s="126"/>
      <c r="L166" s="21">
        <v>1</v>
      </c>
    </row>
    <row r="167" spans="2:12" ht="18">
      <c r="B167" s="50"/>
      <c r="C167" s="50"/>
      <c r="D167" s="50"/>
      <c r="E167" s="50"/>
      <c r="F167" s="50"/>
      <c r="G167" s="126"/>
      <c r="L167" s="21">
        <v>1</v>
      </c>
    </row>
    <row r="168" spans="2:12" ht="18">
      <c r="B168" s="50"/>
      <c r="C168" s="50"/>
      <c r="D168" s="50"/>
      <c r="E168" s="50"/>
      <c r="F168" s="50"/>
      <c r="G168" s="126"/>
      <c r="L168" s="21">
        <v>1</v>
      </c>
    </row>
    <row r="169" spans="2:12" ht="18">
      <c r="B169" s="50"/>
      <c r="C169" s="50"/>
      <c r="D169" s="50"/>
      <c r="E169" s="50"/>
      <c r="F169" s="50"/>
      <c r="G169" s="126"/>
      <c r="L169" s="21">
        <v>1</v>
      </c>
    </row>
    <row r="170" spans="2:12" ht="18">
      <c r="B170" s="50"/>
      <c r="C170" s="50"/>
      <c r="D170" s="50"/>
      <c r="E170" s="50"/>
      <c r="F170" s="50"/>
      <c r="G170" s="126"/>
      <c r="L170" s="21">
        <v>1</v>
      </c>
    </row>
    <row r="171" spans="2:12" ht="18">
      <c r="B171" s="50"/>
      <c r="C171" s="50"/>
      <c r="D171" s="50"/>
      <c r="E171" s="50"/>
      <c r="F171" s="50"/>
      <c r="G171" s="126"/>
      <c r="L171" s="21">
        <v>1</v>
      </c>
    </row>
    <row r="172" spans="2:12" ht="18">
      <c r="B172" s="50"/>
      <c r="C172" s="50"/>
      <c r="D172" s="50"/>
      <c r="E172" s="50"/>
      <c r="F172" s="50"/>
      <c r="G172" s="126"/>
      <c r="L172" s="21">
        <v>1</v>
      </c>
    </row>
    <row r="173" spans="2:12" ht="18">
      <c r="B173" s="50"/>
      <c r="C173" s="50"/>
      <c r="D173" s="50"/>
      <c r="E173" s="50"/>
      <c r="F173" s="50"/>
      <c r="G173" s="126"/>
      <c r="L173" s="21">
        <v>1</v>
      </c>
    </row>
    <row r="174" spans="2:12" ht="18">
      <c r="B174" s="50"/>
      <c r="C174" s="50"/>
      <c r="D174" s="50"/>
      <c r="E174" s="50"/>
      <c r="F174" s="50"/>
      <c r="G174" s="126"/>
      <c r="L174" s="21">
        <v>1</v>
      </c>
    </row>
    <row r="175" spans="2:12" ht="18">
      <c r="B175" s="50"/>
      <c r="C175" s="50"/>
      <c r="D175" s="50"/>
      <c r="E175" s="50"/>
      <c r="F175" s="50"/>
      <c r="G175" s="126"/>
      <c r="L175" s="21">
        <v>1</v>
      </c>
    </row>
    <row r="176" spans="2:12" ht="18">
      <c r="B176" s="50"/>
      <c r="C176" s="50"/>
      <c r="D176" s="50"/>
      <c r="E176" s="50"/>
      <c r="F176" s="50"/>
      <c r="G176" s="126"/>
      <c r="L176" s="21">
        <v>1</v>
      </c>
    </row>
    <row r="177" spans="2:12" ht="18">
      <c r="B177" s="50"/>
      <c r="C177" s="50"/>
      <c r="D177" s="50"/>
      <c r="E177" s="50"/>
      <c r="F177" s="50"/>
      <c r="G177" s="126"/>
      <c r="L177" s="21">
        <v>1</v>
      </c>
    </row>
    <row r="178" spans="2:12" ht="18">
      <c r="B178" s="50"/>
      <c r="C178" s="50"/>
      <c r="D178" s="50"/>
      <c r="E178" s="50"/>
      <c r="F178" s="50"/>
      <c r="G178" s="126"/>
      <c r="L178" s="21">
        <v>1</v>
      </c>
    </row>
    <row r="179" spans="2:12" ht="18">
      <c r="B179" s="50"/>
      <c r="C179" s="50"/>
      <c r="D179" s="50"/>
      <c r="E179" s="50"/>
      <c r="F179" s="50"/>
      <c r="G179" s="126"/>
      <c r="L179" s="21">
        <v>1</v>
      </c>
    </row>
    <row r="180" spans="2:12" ht="18">
      <c r="B180" s="50"/>
      <c r="C180" s="50"/>
      <c r="D180" s="50"/>
      <c r="E180" s="50"/>
      <c r="F180" s="50"/>
      <c r="G180" s="126"/>
      <c r="L180" s="21">
        <v>1</v>
      </c>
    </row>
    <row r="181" spans="2:12" ht="18">
      <c r="B181" s="50"/>
      <c r="C181" s="50"/>
      <c r="D181" s="50"/>
      <c r="E181" s="50"/>
      <c r="F181" s="50"/>
      <c r="G181" s="126"/>
      <c r="L181" s="21">
        <v>1</v>
      </c>
    </row>
    <row r="182" spans="2:12" ht="18">
      <c r="B182" s="50"/>
      <c r="C182" s="50"/>
      <c r="D182" s="50"/>
      <c r="E182" s="50"/>
      <c r="F182" s="50"/>
      <c r="G182" s="126"/>
      <c r="L182" s="21">
        <v>1</v>
      </c>
    </row>
    <row r="183" spans="2:12" ht="18">
      <c r="B183" s="50"/>
      <c r="C183" s="50"/>
      <c r="D183" s="50"/>
      <c r="E183" s="50"/>
      <c r="F183" s="50"/>
      <c r="G183" s="126"/>
      <c r="L183" s="21">
        <v>1</v>
      </c>
    </row>
    <row r="184" spans="2:12" ht="18">
      <c r="B184" s="50"/>
      <c r="C184" s="50"/>
      <c r="D184" s="50"/>
      <c r="E184" s="50"/>
      <c r="F184" s="50"/>
      <c r="G184" s="126"/>
      <c r="L184" s="21">
        <v>1</v>
      </c>
    </row>
    <row r="185" spans="2:12" ht="18">
      <c r="B185" s="50"/>
      <c r="C185" s="50"/>
      <c r="D185" s="50"/>
      <c r="E185" s="50"/>
      <c r="F185" s="50"/>
      <c r="G185" s="126"/>
      <c r="L185" s="21">
        <v>1</v>
      </c>
    </row>
    <row r="186" spans="2:12" ht="18">
      <c r="B186" s="50"/>
      <c r="C186" s="50"/>
      <c r="D186" s="50"/>
      <c r="E186" s="50"/>
      <c r="F186" s="50"/>
      <c r="G186" s="126"/>
      <c r="L186" s="21">
        <v>1</v>
      </c>
    </row>
    <row r="187" spans="2:12" ht="18">
      <c r="B187" s="50"/>
      <c r="C187" s="50"/>
      <c r="D187" s="50"/>
      <c r="E187" s="50"/>
      <c r="F187" s="50"/>
      <c r="G187" s="126"/>
      <c r="L187" s="21">
        <v>1</v>
      </c>
    </row>
    <row r="188" spans="2:12" ht="18">
      <c r="B188" s="50"/>
      <c r="C188" s="50"/>
      <c r="D188" s="50"/>
      <c r="E188" s="50"/>
      <c r="F188" s="50"/>
      <c r="G188" s="126"/>
      <c r="L188" s="21">
        <v>1</v>
      </c>
    </row>
    <row r="189" spans="2:12" ht="18">
      <c r="B189" s="50"/>
      <c r="C189" s="50"/>
      <c r="D189" s="50"/>
      <c r="E189" s="50"/>
      <c r="F189" s="50"/>
      <c r="G189" s="126"/>
      <c r="L189" s="21">
        <v>1</v>
      </c>
    </row>
    <row r="190" spans="2:12" ht="18">
      <c r="B190" s="50"/>
      <c r="C190" s="50"/>
      <c r="D190" s="50"/>
      <c r="E190" s="50"/>
      <c r="F190" s="50"/>
      <c r="G190" s="126"/>
      <c r="L190" s="21">
        <v>1</v>
      </c>
    </row>
    <row r="191" spans="2:12" ht="18">
      <c r="B191" s="50"/>
      <c r="C191" s="50"/>
      <c r="D191" s="50"/>
      <c r="E191" s="50"/>
      <c r="F191" s="50"/>
      <c r="G191" s="126"/>
      <c r="L191" s="21">
        <v>1</v>
      </c>
    </row>
    <row r="192" spans="2:12" ht="18">
      <c r="B192" s="50"/>
      <c r="C192" s="50"/>
      <c r="D192" s="50"/>
      <c r="E192" s="50"/>
      <c r="F192" s="50"/>
      <c r="G192" s="126"/>
      <c r="L192" s="21">
        <v>1</v>
      </c>
    </row>
    <row r="193" spans="2:12" ht="18">
      <c r="B193" s="50"/>
      <c r="C193" s="50"/>
      <c r="D193" s="50"/>
      <c r="E193" s="50"/>
      <c r="F193" s="50"/>
      <c r="G193" s="126"/>
      <c r="L193" s="21">
        <v>1</v>
      </c>
    </row>
    <row r="194" spans="2:12" ht="18">
      <c r="B194" s="50"/>
      <c r="C194" s="50"/>
      <c r="D194" s="50"/>
      <c r="E194" s="50"/>
      <c r="F194" s="50"/>
      <c r="G194" s="126"/>
      <c r="L194" s="21">
        <v>1</v>
      </c>
    </row>
    <row r="195" spans="2:12" ht="18">
      <c r="B195" s="50"/>
      <c r="C195" s="50"/>
      <c r="D195" s="50"/>
      <c r="E195" s="50"/>
      <c r="F195" s="50"/>
      <c r="G195" s="126"/>
      <c r="L195" s="21">
        <v>1</v>
      </c>
    </row>
    <row r="196" spans="2:12" ht="18">
      <c r="B196" s="50"/>
      <c r="C196" s="50"/>
      <c r="D196" s="50"/>
      <c r="E196" s="50"/>
      <c r="F196" s="50"/>
      <c r="G196" s="126"/>
      <c r="L196" s="21">
        <v>1</v>
      </c>
    </row>
    <row r="197" spans="2:12" ht="18">
      <c r="B197" s="50"/>
      <c r="C197" s="50"/>
      <c r="D197" s="50"/>
      <c r="E197" s="50"/>
      <c r="F197" s="50"/>
      <c r="G197" s="126"/>
      <c r="L197" s="21">
        <v>1</v>
      </c>
    </row>
    <row r="198" spans="2:12" ht="18">
      <c r="B198" s="50"/>
      <c r="C198" s="50"/>
      <c r="D198" s="50"/>
      <c r="E198" s="50"/>
      <c r="F198" s="50"/>
      <c r="G198" s="126"/>
      <c r="L198" s="21">
        <v>1</v>
      </c>
    </row>
    <row r="199" spans="2:12" ht="18">
      <c r="B199" s="50"/>
      <c r="C199" s="50"/>
      <c r="D199" s="50"/>
      <c r="E199" s="50"/>
      <c r="F199" s="50"/>
      <c r="G199" s="126"/>
      <c r="L199" s="21">
        <v>1</v>
      </c>
    </row>
    <row r="200" spans="2:12" ht="18">
      <c r="B200" s="50"/>
      <c r="C200" s="50"/>
      <c r="D200" s="50"/>
      <c r="E200" s="50"/>
      <c r="F200" s="50"/>
      <c r="G200" s="126"/>
      <c r="L200" s="21">
        <v>1</v>
      </c>
    </row>
    <row r="201" spans="2:12" ht="18">
      <c r="B201" s="50"/>
      <c r="C201" s="50"/>
      <c r="D201" s="50"/>
      <c r="E201" s="50"/>
      <c r="F201" s="50"/>
      <c r="G201" s="126"/>
      <c r="L201" s="21">
        <v>1</v>
      </c>
    </row>
    <row r="202" spans="2:12" ht="18">
      <c r="B202" s="50"/>
      <c r="C202" s="50"/>
      <c r="D202" s="50"/>
      <c r="E202" s="50"/>
      <c r="F202" s="50"/>
      <c r="G202" s="126"/>
      <c r="L202" s="21">
        <v>1</v>
      </c>
    </row>
    <row r="203" spans="2:12" ht="18">
      <c r="B203" s="50"/>
      <c r="C203" s="50"/>
      <c r="D203" s="50"/>
      <c r="E203" s="50"/>
      <c r="F203" s="50"/>
      <c r="G203" s="126"/>
      <c r="L203" s="21">
        <v>1</v>
      </c>
    </row>
    <row r="204" spans="2:12" ht="18">
      <c r="B204" s="50"/>
      <c r="C204" s="50"/>
      <c r="D204" s="50"/>
      <c r="E204" s="50"/>
      <c r="F204" s="50"/>
      <c r="G204" s="126"/>
      <c r="L204" s="21">
        <v>1</v>
      </c>
    </row>
    <row r="205" spans="2:12" ht="18">
      <c r="B205" s="50"/>
      <c r="C205" s="50"/>
      <c r="D205" s="50"/>
      <c r="E205" s="50"/>
      <c r="F205" s="50"/>
      <c r="G205" s="126"/>
      <c r="L205" s="21">
        <v>1</v>
      </c>
    </row>
    <row r="206" spans="2:12" ht="18">
      <c r="B206" s="50"/>
      <c r="C206" s="50"/>
      <c r="D206" s="50"/>
      <c r="E206" s="50"/>
      <c r="F206" s="50"/>
      <c r="G206" s="126"/>
      <c r="L206" s="21">
        <v>1</v>
      </c>
    </row>
    <row r="207" spans="2:12" ht="18">
      <c r="B207" s="50"/>
      <c r="C207" s="50"/>
      <c r="D207" s="50"/>
      <c r="E207" s="50"/>
      <c r="F207" s="50"/>
      <c r="G207" s="126"/>
      <c r="L207" s="21">
        <v>1</v>
      </c>
    </row>
    <row r="208" spans="2:12" ht="18">
      <c r="B208" s="50"/>
      <c r="C208" s="50"/>
      <c r="D208" s="50"/>
      <c r="E208" s="50"/>
      <c r="F208" s="50"/>
      <c r="G208" s="126"/>
      <c r="L208" s="21">
        <v>1</v>
      </c>
    </row>
    <row r="209" spans="2:12" ht="18">
      <c r="B209" s="50"/>
      <c r="C209" s="50"/>
      <c r="D209" s="50"/>
      <c r="E209" s="50"/>
      <c r="F209" s="50"/>
      <c r="G209" s="126"/>
      <c r="L209" s="21">
        <v>1</v>
      </c>
    </row>
    <row r="210" spans="2:12" ht="18">
      <c r="B210" s="50"/>
      <c r="C210" s="50"/>
      <c r="D210" s="50"/>
      <c r="E210" s="50"/>
      <c r="F210" s="50"/>
      <c r="G210" s="126"/>
      <c r="L210" s="21">
        <v>1</v>
      </c>
    </row>
    <row r="211" spans="2:12" ht="18">
      <c r="B211" s="50"/>
      <c r="C211" s="50"/>
      <c r="D211" s="50"/>
      <c r="E211" s="50"/>
      <c r="F211" s="50"/>
      <c r="G211" s="126"/>
      <c r="L211" s="21">
        <v>1</v>
      </c>
    </row>
    <row r="212" spans="2:12" ht="18">
      <c r="B212" s="50"/>
      <c r="C212" s="50"/>
      <c r="D212" s="50"/>
      <c r="E212" s="50"/>
      <c r="F212" s="50"/>
      <c r="G212" s="126"/>
      <c r="L212" s="21">
        <v>1</v>
      </c>
    </row>
    <row r="213" spans="2:12" ht="18">
      <c r="B213" s="50"/>
      <c r="C213" s="50"/>
      <c r="D213" s="50"/>
      <c r="E213" s="50"/>
      <c r="F213" s="50"/>
      <c r="G213" s="126"/>
      <c r="L213" s="21">
        <v>1</v>
      </c>
    </row>
    <row r="214" spans="2:12" ht="18">
      <c r="B214" s="50"/>
      <c r="C214" s="50"/>
      <c r="D214" s="50"/>
      <c r="E214" s="50"/>
      <c r="F214" s="50"/>
      <c r="G214" s="126"/>
      <c r="L214" s="21">
        <v>1</v>
      </c>
    </row>
    <row r="215" spans="2:12" ht="18">
      <c r="B215" s="50"/>
      <c r="C215" s="50"/>
      <c r="D215" s="50"/>
      <c r="E215" s="50"/>
      <c r="F215" s="50"/>
      <c r="G215" s="126"/>
      <c r="L215" s="21">
        <v>1</v>
      </c>
    </row>
    <row r="216" spans="2:12" ht="18">
      <c r="B216" s="50"/>
      <c r="C216" s="50"/>
      <c r="D216" s="50"/>
      <c r="E216" s="50"/>
      <c r="F216" s="50"/>
      <c r="G216" s="126"/>
      <c r="L216" s="21">
        <v>1</v>
      </c>
    </row>
    <row r="217" spans="2:12" ht="18">
      <c r="B217" s="50"/>
      <c r="C217" s="50"/>
      <c r="D217" s="50"/>
      <c r="E217" s="50"/>
      <c r="F217" s="50"/>
      <c r="G217" s="126"/>
      <c r="L217" s="21">
        <v>1</v>
      </c>
    </row>
    <row r="218" spans="2:12" ht="18">
      <c r="B218" s="50"/>
      <c r="C218" s="50"/>
      <c r="D218" s="50"/>
      <c r="E218" s="50"/>
      <c r="F218" s="50"/>
      <c r="G218" s="126"/>
      <c r="L218" s="21">
        <v>1</v>
      </c>
    </row>
    <row r="219" spans="2:12" ht="18">
      <c r="B219" s="50"/>
      <c r="C219" s="50"/>
      <c r="D219" s="50"/>
      <c r="E219" s="50"/>
      <c r="F219" s="50"/>
      <c r="G219" s="126"/>
      <c r="L219" s="21">
        <v>1</v>
      </c>
    </row>
    <row r="220" spans="2:12" ht="18">
      <c r="B220" s="50"/>
      <c r="C220" s="50"/>
      <c r="D220" s="50"/>
      <c r="E220" s="50"/>
      <c r="F220" s="50"/>
      <c r="G220" s="126"/>
      <c r="L220" s="21">
        <v>1</v>
      </c>
    </row>
    <row r="221" spans="2:12" ht="18">
      <c r="B221" s="50"/>
      <c r="C221" s="50"/>
      <c r="D221" s="50"/>
      <c r="E221" s="50"/>
      <c r="F221" s="50"/>
      <c r="G221" s="126"/>
      <c r="L221" s="21">
        <v>1</v>
      </c>
    </row>
    <row r="222" spans="2:12" ht="18">
      <c r="B222" s="50"/>
      <c r="C222" s="50"/>
      <c r="D222" s="50"/>
      <c r="E222" s="50"/>
      <c r="F222" s="50"/>
      <c r="G222" s="126"/>
      <c r="L222" s="21">
        <v>1</v>
      </c>
    </row>
    <row r="223" spans="2:12" ht="18">
      <c r="B223" s="50"/>
      <c r="C223" s="50"/>
      <c r="D223" s="50"/>
      <c r="E223" s="50"/>
      <c r="F223" s="50"/>
      <c r="G223" s="126"/>
      <c r="L223" s="21">
        <v>1</v>
      </c>
    </row>
    <row r="224" spans="2:12" ht="18">
      <c r="B224" s="50"/>
      <c r="C224" s="50"/>
      <c r="D224" s="50"/>
      <c r="E224" s="50"/>
      <c r="F224" s="50"/>
      <c r="G224" s="126"/>
      <c r="L224" s="21">
        <v>1</v>
      </c>
    </row>
    <row r="225" spans="2:12" ht="18">
      <c r="B225" s="50"/>
      <c r="C225" s="50"/>
      <c r="D225" s="50"/>
      <c r="E225" s="50"/>
      <c r="F225" s="50"/>
      <c r="G225" s="126"/>
      <c r="L225" s="21">
        <v>1</v>
      </c>
    </row>
    <row r="226" spans="2:12" ht="18">
      <c r="B226" s="50"/>
      <c r="C226" s="50"/>
      <c r="D226" s="50"/>
      <c r="E226" s="50"/>
      <c r="F226" s="50"/>
      <c r="G226" s="126"/>
      <c r="L226" s="21">
        <v>1</v>
      </c>
    </row>
    <row r="227" spans="2:12" ht="18">
      <c r="B227" s="50"/>
      <c r="C227" s="50"/>
      <c r="D227" s="50"/>
      <c r="E227" s="50"/>
      <c r="F227" s="50"/>
      <c r="G227" s="126"/>
      <c r="L227" s="21">
        <v>1</v>
      </c>
    </row>
    <row r="228" spans="2:12" ht="18">
      <c r="B228" s="50"/>
      <c r="C228" s="50"/>
      <c r="D228" s="50"/>
      <c r="E228" s="50"/>
      <c r="F228" s="50"/>
      <c r="G228" s="126"/>
      <c r="L228" s="21">
        <v>1</v>
      </c>
    </row>
    <row r="229" spans="2:12" ht="27.75" thickBot="1">
      <c r="B229" s="127" t="s">
        <v>3</v>
      </c>
      <c r="C229" s="127" t="s">
        <v>3</v>
      </c>
      <c r="D229" s="127" t="s">
        <v>3</v>
      </c>
      <c r="E229" s="128" t="s">
        <v>3</v>
      </c>
      <c r="F229" s="128" t="s">
        <v>3</v>
      </c>
      <c r="G229" s="129" t="s">
        <v>3</v>
      </c>
      <c r="K229" s="54" t="s">
        <v>5</v>
      </c>
      <c r="L229" s="55" t="s">
        <v>3</v>
      </c>
    </row>
  </sheetData>
  <sheetProtection sheet="1" objects="1" scenarios="1" selectLockedCells="1"/>
  <customSheetViews>
    <customSheetView guid="{43751384-8D2C-4877-853C-4CE893CAF1E6}" showGridLines="0" showRowCol="0">
      <pane ySplit="8" topLeftCell="A9" activePane="bottomLeft" state="frozen"/>
      <selection pane="bottomLeft" activeCell="I4" sqref="I4"/>
      <pageMargins left="0.7" right="0.7" top="0.75" bottom="0.75" header="0.3" footer="0.3"/>
      <pageSetup paperSize="9" orientation="portrait" r:id="rId1"/>
    </customSheetView>
    <customSheetView guid="{D80F4FD6-7D6D-4832-9A2E-4DEB1E783FB1}" showGridLines="0" showRowCol="0">
      <pane ySplit="8" topLeftCell="A45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0A4EA429-3B60-4229-BB25-AADA8CCE0D84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3"/>
    </customSheetView>
  </customSheetViews>
  <mergeCells count="4">
    <mergeCell ref="M9:N9"/>
    <mergeCell ref="O8:Q8"/>
    <mergeCell ref="R8:T8"/>
    <mergeCell ref="U8:W8"/>
  </mergeCells>
  <dataValidations count="4">
    <dataValidation type="list" allowBlank="1" showDropDown="1" showInputMessage="1" showErrorMessage="1" sqref="D9:D228">
      <formula1>$N$10:$N$29</formula1>
    </dataValidation>
    <dataValidation type="list" allowBlank="1" showDropDown="1" showInputMessage="1" showErrorMessage="1" sqref="B9:B228">
      <formula1>$C$6</formula1>
    </dataValidation>
    <dataValidation allowBlank="1" showInputMessage="1" showErrorMessage="1" errorTitle="Dato no valido" error="El valor esta fuera de rango [0,30] o No es un numero" sqref="E9:G228"/>
    <dataValidation type="list" allowBlank="1" showDropDown="1" showInputMessage="1" showErrorMessage="1" sqref="C9:C228">
      <formula1>$N$32:$N$42</formula1>
    </dataValidation>
  </dataValidations>
  <hyperlinks>
    <hyperlink ref="I2" location="PPrincipal!A1" display="* Pagina Principal"/>
    <hyperlink ref="I3" location="Anzoategui!A1" display="Anzoátegui"/>
    <hyperlink ref="I4" location="Monagas!A1" display="Monagas"/>
    <hyperlink ref="I5" location="Sucre!A1" display="Sucre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53"/>
  </cols>
  <sheetData>
    <row r="1" spans="2:11" ht="15" customHeight="1">
      <c r="J1" s="86"/>
      <c r="K1" s="108"/>
    </row>
    <row r="2" spans="2:11" ht="15" customHeight="1">
      <c r="I2" s="13"/>
      <c r="J2" s="79" t="s">
        <v>7</v>
      </c>
      <c r="K2" s="108"/>
    </row>
    <row r="3" spans="2:11" ht="15" customHeight="1">
      <c r="I3" s="13"/>
      <c r="J3" s="79" t="s">
        <v>78</v>
      </c>
      <c r="K3" s="108"/>
    </row>
    <row r="4" spans="2:11" ht="15" customHeight="1">
      <c r="I4" s="13"/>
      <c r="J4" s="79" t="s">
        <v>79</v>
      </c>
      <c r="K4" s="108"/>
    </row>
    <row r="5" spans="2:11" ht="15" customHeight="1">
      <c r="G5" s="56"/>
      <c r="I5" s="13"/>
      <c r="J5" s="79" t="s">
        <v>81</v>
      </c>
      <c r="K5" s="108"/>
    </row>
    <row r="6" spans="2:11" ht="15" customHeight="1">
      <c r="B6" s="185" t="s">
        <v>22</v>
      </c>
      <c r="C6" s="185"/>
      <c r="D6" s="185"/>
      <c r="E6" s="185"/>
      <c r="F6" s="185"/>
      <c r="G6" s="185"/>
    </row>
    <row r="27" spans="2:7" ht="22.5" customHeight="1">
      <c r="B27" s="185"/>
      <c r="C27" s="185"/>
      <c r="D27" s="185"/>
      <c r="E27" s="185"/>
      <c r="F27" s="185"/>
      <c r="G27" s="185"/>
    </row>
    <row r="46" spans="7:7" ht="22.5" customHeight="1">
      <c r="G46" s="56"/>
    </row>
  </sheetData>
  <customSheetViews>
    <customSheetView guid="{43751384-8D2C-4877-853C-4CE893CAF1E6}" showGridLines="0" showRowCol="0">
      <selection activeCell="J2" sqref="J2"/>
      <pageMargins left="0.7" right="0.7" top="0.75" bottom="0.75" header="0.3" footer="0.3"/>
    </customSheetView>
    <customSheetView guid="{D80F4FD6-7D6D-4832-9A2E-4DEB1E783FB1}" showGridLines="0" showRowCol="0">
      <selection activeCell="J2" sqref="J2"/>
      <pageMargins left="0.7" right="0.7" top="0.75" bottom="0.75" header="0.3" footer="0.3"/>
    </customSheetView>
    <customSheetView guid="{0A4EA429-3B60-4229-BB25-AADA8CCE0D84}" scale="60" showPageBreaks="1" showGridLines="0" showRowCol="0" printArea="1" view="pageBreakPreview">
      <selection activeCell="J5" sqref="J5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Anzoategui!A1" display="Anzoátegui"/>
    <hyperlink ref="J4" location="GMonagas!A1" display="Monagas"/>
    <hyperlink ref="J5" location="GSucre!A1" display="Sucre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1.7109375" style="67" customWidth="1"/>
    <col min="2" max="2" width="7.28515625" style="67" customWidth="1"/>
    <col min="3" max="3" width="5.5703125" style="67" customWidth="1"/>
    <col min="4" max="4" width="5.42578125" style="67" customWidth="1"/>
    <col min="5" max="5" width="5.5703125" style="67" bestFit="1" customWidth="1"/>
    <col min="6" max="6" width="5.42578125" style="67" customWidth="1"/>
    <col min="7" max="13" width="5.5703125" style="67" bestFit="1" customWidth="1"/>
    <col min="14" max="14" width="5.5703125" style="68" bestFit="1" customWidth="1"/>
    <col min="15" max="22" width="5.5703125" style="67" bestFit="1" customWidth="1"/>
    <col min="23" max="23" width="1.42578125" style="67" customWidth="1"/>
    <col min="24" max="24" width="14" style="121" bestFit="1" customWidth="1"/>
    <col min="25" max="27" width="10.42578125" style="67" customWidth="1"/>
    <col min="28" max="16384" width="5.85546875" style="67"/>
  </cols>
  <sheetData>
    <row r="1" spans="1:27" ht="31.5" customHeight="1">
      <c r="B1" s="186" t="s">
        <v>30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7" ht="15" customHeight="1">
      <c r="C2" s="84"/>
      <c r="F2" s="85"/>
      <c r="G2" s="85"/>
      <c r="H2" s="85"/>
      <c r="I2" s="78"/>
      <c r="J2" s="78"/>
      <c r="X2" s="13"/>
      <c r="Y2" s="79" t="s">
        <v>7</v>
      </c>
      <c r="Z2" s="84"/>
    </row>
    <row r="3" spans="1:27" ht="15" customHeight="1">
      <c r="C3" s="84"/>
      <c r="F3" s="85"/>
      <c r="G3" s="85"/>
      <c r="H3" s="85"/>
      <c r="I3" s="78"/>
      <c r="J3" s="78"/>
      <c r="X3" s="13"/>
      <c r="Y3" s="79" t="s">
        <v>78</v>
      </c>
      <c r="Z3" s="84"/>
    </row>
    <row r="4" spans="1:27" ht="15" customHeight="1">
      <c r="C4" s="84"/>
      <c r="F4" s="85"/>
      <c r="G4" s="85"/>
      <c r="H4" s="85"/>
      <c r="I4" s="78"/>
      <c r="J4" s="78"/>
      <c r="X4" s="13"/>
      <c r="Y4" s="79" t="s">
        <v>79</v>
      </c>
      <c r="Z4" s="84"/>
    </row>
    <row r="5" spans="1:27" ht="15" customHeight="1">
      <c r="C5" s="84"/>
      <c r="F5" s="85"/>
      <c r="G5" s="85"/>
      <c r="H5" s="85"/>
      <c r="I5" s="78"/>
      <c r="J5" s="78"/>
      <c r="X5" s="13"/>
      <c r="Y5" s="79" t="s">
        <v>81</v>
      </c>
      <c r="Z5" s="84"/>
    </row>
    <row r="6" spans="1:27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X6" s="122"/>
    </row>
    <row r="7" spans="1:27" s="65" customFormat="1" ht="15" customHeight="1" thickBot="1">
      <c r="A7" s="58"/>
      <c r="B7" s="88" t="s">
        <v>0</v>
      </c>
      <c r="C7" s="115">
        <v>0.3125</v>
      </c>
      <c r="D7" s="116">
        <v>0.33333333333333298</v>
      </c>
      <c r="E7" s="116">
        <v>0.35416666666666702</v>
      </c>
      <c r="F7" s="116">
        <v>0.375</v>
      </c>
      <c r="G7" s="116">
        <v>0.39583333333333298</v>
      </c>
      <c r="H7" s="116">
        <v>0.41666666666666702</v>
      </c>
      <c r="I7" s="116">
        <v>0.4375</v>
      </c>
      <c r="J7" s="116">
        <v>0.45833333333333298</v>
      </c>
      <c r="K7" s="116">
        <v>0.47916666666666702</v>
      </c>
      <c r="L7" s="116">
        <v>0.5</v>
      </c>
      <c r="M7" s="116">
        <v>0.52083333333333304</v>
      </c>
      <c r="N7" s="116">
        <v>4.1666666666666664E-2</v>
      </c>
      <c r="O7" s="116">
        <v>6.25E-2</v>
      </c>
      <c r="P7" s="116">
        <v>8.3333333333333329E-2</v>
      </c>
      <c r="Q7" s="116">
        <v>0.104166666666667</v>
      </c>
      <c r="R7" s="116">
        <v>0.125</v>
      </c>
      <c r="S7" s="116">
        <v>0.14583333333333301</v>
      </c>
      <c r="T7" s="116">
        <v>0.16666666666666599</v>
      </c>
      <c r="U7" s="116">
        <v>0.187499999999999</v>
      </c>
      <c r="V7" s="117">
        <v>0.20833333333333201</v>
      </c>
      <c r="X7" s="193" t="s">
        <v>6</v>
      </c>
      <c r="Y7" s="187" t="s">
        <v>19</v>
      </c>
      <c r="Z7" s="189" t="s">
        <v>20</v>
      </c>
      <c r="AA7" s="191" t="s">
        <v>4</v>
      </c>
    </row>
    <row r="8" spans="1:27" ht="15" customHeight="1" thickBot="1">
      <c r="A8" s="66"/>
      <c r="B8" s="149" t="s">
        <v>2</v>
      </c>
      <c r="C8" s="134">
        <v>1</v>
      </c>
      <c r="D8" s="118">
        <v>2</v>
      </c>
      <c r="E8" s="118">
        <v>3</v>
      </c>
      <c r="F8" s="118">
        <v>4</v>
      </c>
      <c r="G8" s="118">
        <v>5</v>
      </c>
      <c r="H8" s="118">
        <v>6</v>
      </c>
      <c r="I8" s="118">
        <v>7</v>
      </c>
      <c r="J8" s="118">
        <v>8</v>
      </c>
      <c r="K8" s="118">
        <v>9</v>
      </c>
      <c r="L8" s="118">
        <v>10</v>
      </c>
      <c r="M8" s="118">
        <v>11</v>
      </c>
      <c r="N8" s="118">
        <v>12</v>
      </c>
      <c r="O8" s="118">
        <v>13</v>
      </c>
      <c r="P8" s="118">
        <v>14</v>
      </c>
      <c r="Q8" s="118">
        <v>15</v>
      </c>
      <c r="R8" s="118">
        <v>16</v>
      </c>
      <c r="S8" s="118">
        <v>17</v>
      </c>
      <c r="T8" s="118">
        <v>18</v>
      </c>
      <c r="U8" s="118">
        <v>19</v>
      </c>
      <c r="V8" s="119">
        <v>20</v>
      </c>
      <c r="X8" s="194"/>
      <c r="Y8" s="188"/>
      <c r="Z8" s="190"/>
      <c r="AA8" s="192"/>
    </row>
    <row r="9" spans="1:27" ht="15" customHeight="1">
      <c r="A9" s="66"/>
      <c r="B9" s="147">
        <v>18</v>
      </c>
      <c r="C9" s="150">
        <f t="shared" ref="C9:L18" si="0">SUMIFS(SumaNA,CentroNA,$B9,TurnoNA,C$8)</f>
        <v>2</v>
      </c>
      <c r="D9" s="120">
        <f t="shared" si="0"/>
        <v>2</v>
      </c>
      <c r="E9" s="120">
        <f t="shared" si="0"/>
        <v>2</v>
      </c>
      <c r="F9" s="120">
        <f t="shared" si="0"/>
        <v>2</v>
      </c>
      <c r="G9" s="120">
        <f t="shared" si="0"/>
        <v>1</v>
      </c>
      <c r="H9" s="120">
        <f t="shared" si="0"/>
        <v>1</v>
      </c>
      <c r="I9" s="120">
        <f t="shared" si="0"/>
        <v>0</v>
      </c>
      <c r="J9" s="120">
        <f t="shared" si="0"/>
        <v>1</v>
      </c>
      <c r="K9" s="120">
        <f t="shared" si="0"/>
        <v>0</v>
      </c>
      <c r="L9" s="120">
        <f t="shared" si="0"/>
        <v>1</v>
      </c>
      <c r="M9" s="120">
        <f t="shared" ref="M9:V18" si="1">SUMIFS(SumaNA,CentroNA,$B9,TurnoNA,M$8)</f>
        <v>1</v>
      </c>
      <c r="N9" s="120">
        <f t="shared" si="1"/>
        <v>2</v>
      </c>
      <c r="O9" s="120">
        <f t="shared" si="1"/>
        <v>1</v>
      </c>
      <c r="P9" s="120">
        <f t="shared" si="1"/>
        <v>0</v>
      </c>
      <c r="Q9" s="120">
        <f t="shared" si="1"/>
        <v>0</v>
      </c>
      <c r="R9" s="120">
        <f t="shared" si="1"/>
        <v>0</v>
      </c>
      <c r="S9" s="120">
        <f t="shared" si="1"/>
        <v>0</v>
      </c>
      <c r="T9" s="120">
        <f t="shared" si="1"/>
        <v>0</v>
      </c>
      <c r="U9" s="120">
        <f t="shared" si="1"/>
        <v>0</v>
      </c>
      <c r="V9" s="120">
        <f t="shared" si="1"/>
        <v>0</v>
      </c>
      <c r="X9" s="157" t="s">
        <v>23</v>
      </c>
      <c r="Y9" s="158">
        <f t="shared" ref="Y9:Y19" si="2">SUMIF(CentroNA,$B9,William_Fariñas)</f>
        <v>105</v>
      </c>
      <c r="Z9" s="159">
        <f t="shared" ref="Z9:Z19" si="3">SUMIF(CentroNA,$B9,Morel_Rodriguez)</f>
        <v>308</v>
      </c>
      <c r="AA9" s="160">
        <f t="shared" ref="AA9:AA19" si="4">SUMIF(CentroNA,$B9,OtroNA)</f>
        <v>0</v>
      </c>
    </row>
    <row r="10" spans="1:27" ht="15" customHeight="1">
      <c r="A10" s="66"/>
      <c r="B10" s="148">
        <v>19</v>
      </c>
      <c r="C10" s="150">
        <f t="shared" si="0"/>
        <v>0</v>
      </c>
      <c r="D10" s="120">
        <f t="shared" si="0"/>
        <v>0</v>
      </c>
      <c r="E10" s="120">
        <f t="shared" si="0"/>
        <v>0</v>
      </c>
      <c r="F10" s="120">
        <f t="shared" si="0"/>
        <v>0</v>
      </c>
      <c r="G10" s="120">
        <f t="shared" si="0"/>
        <v>0</v>
      </c>
      <c r="H10" s="120">
        <f t="shared" si="0"/>
        <v>0</v>
      </c>
      <c r="I10" s="120">
        <f t="shared" si="0"/>
        <v>0</v>
      </c>
      <c r="J10" s="120">
        <f t="shared" si="0"/>
        <v>0</v>
      </c>
      <c r="K10" s="120">
        <f t="shared" si="0"/>
        <v>0</v>
      </c>
      <c r="L10" s="120">
        <f t="shared" si="0"/>
        <v>0</v>
      </c>
      <c r="M10" s="120">
        <f t="shared" si="1"/>
        <v>0</v>
      </c>
      <c r="N10" s="120">
        <f t="shared" si="1"/>
        <v>0</v>
      </c>
      <c r="O10" s="120">
        <f t="shared" si="1"/>
        <v>0</v>
      </c>
      <c r="P10" s="120">
        <f t="shared" si="1"/>
        <v>0</v>
      </c>
      <c r="Q10" s="120">
        <f t="shared" si="1"/>
        <v>0</v>
      </c>
      <c r="R10" s="120">
        <f t="shared" si="1"/>
        <v>0</v>
      </c>
      <c r="S10" s="120">
        <f t="shared" si="1"/>
        <v>0</v>
      </c>
      <c r="T10" s="120">
        <f t="shared" si="1"/>
        <v>0</v>
      </c>
      <c r="U10" s="120">
        <f t="shared" si="1"/>
        <v>0</v>
      </c>
      <c r="V10" s="120">
        <f t="shared" si="1"/>
        <v>0</v>
      </c>
      <c r="X10" s="155" t="s">
        <v>24</v>
      </c>
      <c r="Y10" s="153">
        <f t="shared" si="2"/>
        <v>0</v>
      </c>
      <c r="Z10" s="114">
        <f t="shared" si="3"/>
        <v>0</v>
      </c>
      <c r="AA10" s="132">
        <f t="shared" si="4"/>
        <v>0</v>
      </c>
    </row>
    <row r="11" spans="1:27" ht="15" customHeight="1">
      <c r="A11" s="66"/>
      <c r="B11" s="148">
        <v>20</v>
      </c>
      <c r="C11" s="150">
        <f t="shared" si="0"/>
        <v>0</v>
      </c>
      <c r="D11" s="120">
        <f t="shared" si="0"/>
        <v>0</v>
      </c>
      <c r="E11" s="120">
        <f t="shared" si="0"/>
        <v>0</v>
      </c>
      <c r="F11" s="120">
        <f t="shared" si="0"/>
        <v>0</v>
      </c>
      <c r="G11" s="120">
        <f t="shared" si="0"/>
        <v>0</v>
      </c>
      <c r="H11" s="120">
        <f t="shared" si="0"/>
        <v>0</v>
      </c>
      <c r="I11" s="120">
        <f t="shared" si="0"/>
        <v>0</v>
      </c>
      <c r="J11" s="120">
        <f t="shared" si="0"/>
        <v>0</v>
      </c>
      <c r="K11" s="120">
        <f t="shared" si="0"/>
        <v>0</v>
      </c>
      <c r="L11" s="120">
        <f t="shared" si="0"/>
        <v>0</v>
      </c>
      <c r="M11" s="120">
        <f t="shared" si="1"/>
        <v>0</v>
      </c>
      <c r="N11" s="120">
        <f t="shared" si="1"/>
        <v>0</v>
      </c>
      <c r="O11" s="120">
        <f t="shared" si="1"/>
        <v>0</v>
      </c>
      <c r="P11" s="120">
        <f t="shared" si="1"/>
        <v>0</v>
      </c>
      <c r="Q11" s="120">
        <f t="shared" si="1"/>
        <v>0</v>
      </c>
      <c r="R11" s="120">
        <f t="shared" si="1"/>
        <v>0</v>
      </c>
      <c r="S11" s="120">
        <f t="shared" si="1"/>
        <v>0</v>
      </c>
      <c r="T11" s="120">
        <f t="shared" si="1"/>
        <v>0</v>
      </c>
      <c r="U11" s="120">
        <f t="shared" si="1"/>
        <v>0</v>
      </c>
      <c r="V11" s="120">
        <f t="shared" si="1"/>
        <v>0</v>
      </c>
      <c r="X11" s="155" t="s">
        <v>25</v>
      </c>
      <c r="Y11" s="153">
        <f t="shared" si="2"/>
        <v>0</v>
      </c>
      <c r="Z11" s="114">
        <f t="shared" si="3"/>
        <v>0</v>
      </c>
      <c r="AA11" s="132">
        <f t="shared" si="4"/>
        <v>0</v>
      </c>
    </row>
    <row r="12" spans="1:27" ht="15" customHeight="1">
      <c r="A12" s="66"/>
      <c r="B12" s="148">
        <v>21</v>
      </c>
      <c r="C12" s="150">
        <f t="shared" si="0"/>
        <v>1</v>
      </c>
      <c r="D12" s="120">
        <f t="shared" si="0"/>
        <v>1</v>
      </c>
      <c r="E12" s="120">
        <f t="shared" si="0"/>
        <v>1</v>
      </c>
      <c r="F12" s="120">
        <f t="shared" si="0"/>
        <v>1</v>
      </c>
      <c r="G12" s="120">
        <f t="shared" si="0"/>
        <v>1</v>
      </c>
      <c r="H12" s="120">
        <f t="shared" si="0"/>
        <v>1</v>
      </c>
      <c r="I12" s="120">
        <f t="shared" si="0"/>
        <v>1</v>
      </c>
      <c r="J12" s="120">
        <f t="shared" si="0"/>
        <v>1</v>
      </c>
      <c r="K12" s="120">
        <f t="shared" si="0"/>
        <v>1</v>
      </c>
      <c r="L12" s="120">
        <f t="shared" si="0"/>
        <v>0</v>
      </c>
      <c r="M12" s="120">
        <f t="shared" si="1"/>
        <v>0</v>
      </c>
      <c r="N12" s="120">
        <f t="shared" si="1"/>
        <v>1</v>
      </c>
      <c r="O12" s="120">
        <f t="shared" si="1"/>
        <v>1</v>
      </c>
      <c r="P12" s="120">
        <f t="shared" si="1"/>
        <v>1</v>
      </c>
      <c r="Q12" s="120">
        <f t="shared" si="1"/>
        <v>1</v>
      </c>
      <c r="R12" s="120">
        <f t="shared" si="1"/>
        <v>1</v>
      </c>
      <c r="S12" s="120">
        <f t="shared" si="1"/>
        <v>0</v>
      </c>
      <c r="T12" s="120">
        <f t="shared" si="1"/>
        <v>0</v>
      </c>
      <c r="U12" s="120">
        <f t="shared" si="1"/>
        <v>0</v>
      </c>
      <c r="V12" s="120">
        <f t="shared" si="1"/>
        <v>0</v>
      </c>
      <c r="X12" s="155" t="s">
        <v>26</v>
      </c>
      <c r="Y12" s="153">
        <f t="shared" si="2"/>
        <v>170</v>
      </c>
      <c r="Z12" s="114">
        <f t="shared" si="3"/>
        <v>152</v>
      </c>
      <c r="AA12" s="132">
        <f t="shared" si="4"/>
        <v>0</v>
      </c>
    </row>
    <row r="13" spans="1:27" ht="15" customHeight="1">
      <c r="A13" s="66"/>
      <c r="B13" s="148">
        <v>22</v>
      </c>
      <c r="C13" s="150">
        <f t="shared" si="0"/>
        <v>0</v>
      </c>
      <c r="D13" s="120">
        <f t="shared" si="0"/>
        <v>0</v>
      </c>
      <c r="E13" s="120">
        <f t="shared" si="0"/>
        <v>0</v>
      </c>
      <c r="F13" s="120">
        <f t="shared" si="0"/>
        <v>0</v>
      </c>
      <c r="G13" s="120">
        <f t="shared" si="0"/>
        <v>0</v>
      </c>
      <c r="H13" s="120">
        <f t="shared" si="0"/>
        <v>0</v>
      </c>
      <c r="I13" s="120">
        <f t="shared" si="0"/>
        <v>0</v>
      </c>
      <c r="J13" s="120">
        <f t="shared" si="0"/>
        <v>0</v>
      </c>
      <c r="K13" s="120">
        <f t="shared" si="0"/>
        <v>0</v>
      </c>
      <c r="L13" s="120">
        <f t="shared" si="0"/>
        <v>0</v>
      </c>
      <c r="M13" s="120">
        <f t="shared" si="1"/>
        <v>0</v>
      </c>
      <c r="N13" s="120">
        <f t="shared" si="1"/>
        <v>0</v>
      </c>
      <c r="O13" s="120">
        <f t="shared" si="1"/>
        <v>0</v>
      </c>
      <c r="P13" s="120">
        <f t="shared" si="1"/>
        <v>0</v>
      </c>
      <c r="Q13" s="120">
        <f t="shared" si="1"/>
        <v>0</v>
      </c>
      <c r="R13" s="120">
        <f t="shared" si="1"/>
        <v>0</v>
      </c>
      <c r="S13" s="120">
        <f t="shared" si="1"/>
        <v>0</v>
      </c>
      <c r="T13" s="120">
        <f t="shared" si="1"/>
        <v>0</v>
      </c>
      <c r="U13" s="120">
        <f t="shared" si="1"/>
        <v>0</v>
      </c>
      <c r="V13" s="120">
        <f t="shared" si="1"/>
        <v>0</v>
      </c>
      <c r="X13" s="155" t="s">
        <v>27</v>
      </c>
      <c r="Y13" s="153">
        <f t="shared" si="2"/>
        <v>0</v>
      </c>
      <c r="Z13" s="114">
        <f t="shared" si="3"/>
        <v>0</v>
      </c>
      <c r="AA13" s="132">
        <f t="shared" si="4"/>
        <v>0</v>
      </c>
    </row>
    <row r="14" spans="1:27" ht="15" customHeight="1">
      <c r="B14" s="148">
        <v>23</v>
      </c>
      <c r="C14" s="150">
        <f t="shared" si="0"/>
        <v>1</v>
      </c>
      <c r="D14" s="120">
        <f t="shared" si="0"/>
        <v>1</v>
      </c>
      <c r="E14" s="120">
        <f t="shared" si="0"/>
        <v>1</v>
      </c>
      <c r="F14" s="120">
        <f t="shared" si="0"/>
        <v>1</v>
      </c>
      <c r="G14" s="120">
        <f t="shared" si="0"/>
        <v>1</v>
      </c>
      <c r="H14" s="120">
        <f t="shared" si="0"/>
        <v>1</v>
      </c>
      <c r="I14" s="120">
        <f t="shared" si="0"/>
        <v>1</v>
      </c>
      <c r="J14" s="120">
        <f t="shared" si="0"/>
        <v>1</v>
      </c>
      <c r="K14" s="120">
        <f t="shared" si="0"/>
        <v>1</v>
      </c>
      <c r="L14" s="120">
        <f t="shared" si="0"/>
        <v>1</v>
      </c>
      <c r="M14" s="120">
        <f t="shared" si="1"/>
        <v>1</v>
      </c>
      <c r="N14" s="120">
        <f t="shared" si="1"/>
        <v>2</v>
      </c>
      <c r="O14" s="120">
        <f t="shared" si="1"/>
        <v>1</v>
      </c>
      <c r="P14" s="120">
        <f t="shared" si="1"/>
        <v>0</v>
      </c>
      <c r="Q14" s="120">
        <f t="shared" si="1"/>
        <v>0</v>
      </c>
      <c r="R14" s="120">
        <f t="shared" si="1"/>
        <v>0</v>
      </c>
      <c r="S14" s="120">
        <f t="shared" si="1"/>
        <v>0</v>
      </c>
      <c r="T14" s="120">
        <f t="shared" si="1"/>
        <v>0</v>
      </c>
      <c r="U14" s="120">
        <f t="shared" si="1"/>
        <v>0</v>
      </c>
      <c r="V14" s="120">
        <f t="shared" si="1"/>
        <v>0</v>
      </c>
      <c r="X14" s="155" t="s">
        <v>28</v>
      </c>
      <c r="Y14" s="153">
        <f t="shared" si="2"/>
        <v>180</v>
      </c>
      <c r="Z14" s="114">
        <f t="shared" si="3"/>
        <v>129</v>
      </c>
      <c r="AA14" s="132">
        <f t="shared" si="4"/>
        <v>58</v>
      </c>
    </row>
    <row r="15" spans="1:27" ht="15" customHeight="1">
      <c r="B15" s="148">
        <v>24</v>
      </c>
      <c r="C15" s="150">
        <f t="shared" si="0"/>
        <v>1</v>
      </c>
      <c r="D15" s="120">
        <f t="shared" si="0"/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  <c r="H15" s="120">
        <f t="shared" si="0"/>
        <v>1</v>
      </c>
      <c r="I15" s="120">
        <f t="shared" si="0"/>
        <v>1</v>
      </c>
      <c r="J15" s="120">
        <f t="shared" si="0"/>
        <v>1</v>
      </c>
      <c r="K15" s="120">
        <f t="shared" si="0"/>
        <v>1</v>
      </c>
      <c r="L15" s="120">
        <f t="shared" si="0"/>
        <v>1</v>
      </c>
      <c r="M15" s="120">
        <f t="shared" si="1"/>
        <v>1</v>
      </c>
      <c r="N15" s="120">
        <f t="shared" si="1"/>
        <v>1</v>
      </c>
      <c r="O15" s="120">
        <f t="shared" si="1"/>
        <v>1</v>
      </c>
      <c r="P15" s="120">
        <f t="shared" si="1"/>
        <v>1</v>
      </c>
      <c r="Q15" s="120">
        <f t="shared" si="1"/>
        <v>1</v>
      </c>
      <c r="R15" s="120">
        <f t="shared" si="1"/>
        <v>0</v>
      </c>
      <c r="S15" s="120">
        <f t="shared" si="1"/>
        <v>0</v>
      </c>
      <c r="T15" s="120">
        <f t="shared" si="1"/>
        <v>0</v>
      </c>
      <c r="U15" s="120">
        <f t="shared" si="1"/>
        <v>0</v>
      </c>
      <c r="V15" s="120">
        <f t="shared" si="1"/>
        <v>0</v>
      </c>
      <c r="X15" s="155" t="s">
        <v>29</v>
      </c>
      <c r="Y15" s="153">
        <f t="shared" si="2"/>
        <v>70</v>
      </c>
      <c r="Z15" s="114">
        <f t="shared" si="3"/>
        <v>128</v>
      </c>
      <c r="AA15" s="132">
        <f t="shared" si="4"/>
        <v>10</v>
      </c>
    </row>
    <row r="16" spans="1:27" ht="15" customHeight="1">
      <c r="B16" s="148">
        <v>25</v>
      </c>
      <c r="C16" s="150">
        <f t="shared" si="0"/>
        <v>2</v>
      </c>
      <c r="D16" s="120">
        <f t="shared" si="0"/>
        <v>1</v>
      </c>
      <c r="E16" s="120">
        <f t="shared" si="0"/>
        <v>1</v>
      </c>
      <c r="F16" s="120">
        <f t="shared" si="0"/>
        <v>1</v>
      </c>
      <c r="G16" s="120">
        <f t="shared" si="0"/>
        <v>1</v>
      </c>
      <c r="H16" s="120">
        <f t="shared" si="0"/>
        <v>1</v>
      </c>
      <c r="I16" s="120">
        <f t="shared" si="0"/>
        <v>1</v>
      </c>
      <c r="J16" s="120">
        <f t="shared" si="0"/>
        <v>0</v>
      </c>
      <c r="K16" s="120">
        <f t="shared" si="0"/>
        <v>0</v>
      </c>
      <c r="L16" s="120">
        <f t="shared" si="0"/>
        <v>0</v>
      </c>
      <c r="M16" s="120">
        <f t="shared" si="1"/>
        <v>0</v>
      </c>
      <c r="N16" s="120">
        <f t="shared" si="1"/>
        <v>0</v>
      </c>
      <c r="O16" s="120">
        <f t="shared" si="1"/>
        <v>0</v>
      </c>
      <c r="P16" s="120">
        <f t="shared" si="1"/>
        <v>0</v>
      </c>
      <c r="Q16" s="120">
        <f t="shared" si="1"/>
        <v>0</v>
      </c>
      <c r="R16" s="120">
        <f t="shared" si="1"/>
        <v>0</v>
      </c>
      <c r="S16" s="120">
        <f t="shared" si="1"/>
        <v>0</v>
      </c>
      <c r="T16" s="120">
        <f t="shared" si="1"/>
        <v>0</v>
      </c>
      <c r="U16" s="120">
        <f t="shared" si="1"/>
        <v>0</v>
      </c>
      <c r="V16" s="120">
        <f t="shared" si="1"/>
        <v>0</v>
      </c>
      <c r="X16" s="155" t="s">
        <v>29</v>
      </c>
      <c r="Y16" s="153">
        <f t="shared" si="2"/>
        <v>67</v>
      </c>
      <c r="Z16" s="114">
        <f t="shared" si="3"/>
        <v>69</v>
      </c>
      <c r="AA16" s="132">
        <f t="shared" si="4"/>
        <v>5</v>
      </c>
    </row>
    <row r="17" spans="2:27" ht="15" customHeight="1">
      <c r="B17" s="148">
        <v>26</v>
      </c>
      <c r="C17" s="150">
        <f t="shared" si="0"/>
        <v>1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0</v>
      </c>
      <c r="H17" s="120">
        <f t="shared" si="0"/>
        <v>1</v>
      </c>
      <c r="I17" s="120">
        <f t="shared" si="0"/>
        <v>1</v>
      </c>
      <c r="J17" s="120">
        <f t="shared" si="0"/>
        <v>1</v>
      </c>
      <c r="K17" s="120">
        <f t="shared" si="0"/>
        <v>1</v>
      </c>
      <c r="L17" s="120">
        <f t="shared" si="0"/>
        <v>1</v>
      </c>
      <c r="M17" s="120">
        <f t="shared" si="1"/>
        <v>1</v>
      </c>
      <c r="N17" s="120">
        <f t="shared" si="1"/>
        <v>0</v>
      </c>
      <c r="O17" s="120">
        <f t="shared" si="1"/>
        <v>1</v>
      </c>
      <c r="P17" s="120">
        <f t="shared" si="1"/>
        <v>0</v>
      </c>
      <c r="Q17" s="120">
        <f t="shared" si="1"/>
        <v>0</v>
      </c>
      <c r="R17" s="120">
        <f t="shared" si="1"/>
        <v>0</v>
      </c>
      <c r="S17" s="120">
        <f t="shared" si="1"/>
        <v>0</v>
      </c>
      <c r="T17" s="120">
        <f t="shared" si="1"/>
        <v>0</v>
      </c>
      <c r="U17" s="120">
        <f t="shared" si="1"/>
        <v>0</v>
      </c>
      <c r="V17" s="120">
        <f t="shared" si="1"/>
        <v>0</v>
      </c>
      <c r="X17" s="155" t="s">
        <v>29</v>
      </c>
      <c r="Y17" s="153">
        <f t="shared" si="2"/>
        <v>72</v>
      </c>
      <c r="Z17" s="114">
        <f t="shared" si="3"/>
        <v>123</v>
      </c>
      <c r="AA17" s="132">
        <f t="shared" si="4"/>
        <v>0</v>
      </c>
    </row>
    <row r="18" spans="2:27" ht="15" customHeight="1">
      <c r="B18" s="148">
        <v>27</v>
      </c>
      <c r="C18" s="150">
        <f t="shared" si="0"/>
        <v>0</v>
      </c>
      <c r="D18" s="120">
        <f t="shared" si="0"/>
        <v>0</v>
      </c>
      <c r="E18" s="120">
        <f t="shared" si="0"/>
        <v>0</v>
      </c>
      <c r="F18" s="120">
        <f t="shared" si="0"/>
        <v>0</v>
      </c>
      <c r="G18" s="120">
        <f t="shared" si="0"/>
        <v>0</v>
      </c>
      <c r="H18" s="120">
        <f t="shared" si="0"/>
        <v>0</v>
      </c>
      <c r="I18" s="120">
        <f t="shared" si="0"/>
        <v>0</v>
      </c>
      <c r="J18" s="120">
        <f t="shared" si="0"/>
        <v>0</v>
      </c>
      <c r="K18" s="120">
        <f t="shared" si="0"/>
        <v>0</v>
      </c>
      <c r="L18" s="120">
        <f t="shared" si="0"/>
        <v>0</v>
      </c>
      <c r="M18" s="120">
        <f t="shared" si="1"/>
        <v>0</v>
      </c>
      <c r="N18" s="120">
        <f t="shared" si="1"/>
        <v>0</v>
      </c>
      <c r="O18" s="120">
        <f t="shared" si="1"/>
        <v>0</v>
      </c>
      <c r="P18" s="120">
        <f t="shared" si="1"/>
        <v>0</v>
      </c>
      <c r="Q18" s="120">
        <f t="shared" si="1"/>
        <v>0</v>
      </c>
      <c r="R18" s="120">
        <f t="shared" si="1"/>
        <v>0</v>
      </c>
      <c r="S18" s="120">
        <f t="shared" si="1"/>
        <v>0</v>
      </c>
      <c r="T18" s="120">
        <f t="shared" si="1"/>
        <v>0</v>
      </c>
      <c r="U18" s="120">
        <f t="shared" si="1"/>
        <v>0</v>
      </c>
      <c r="V18" s="120">
        <f t="shared" si="1"/>
        <v>0</v>
      </c>
      <c r="X18" s="155" t="s">
        <v>29</v>
      </c>
      <c r="Y18" s="153">
        <f t="shared" si="2"/>
        <v>0</v>
      </c>
      <c r="Z18" s="114">
        <f t="shared" si="3"/>
        <v>0</v>
      </c>
      <c r="AA18" s="132">
        <f t="shared" si="4"/>
        <v>0</v>
      </c>
    </row>
    <row r="19" spans="2:27" ht="15" customHeight="1" thickBot="1">
      <c r="B19" s="148">
        <v>28</v>
      </c>
      <c r="C19" s="150">
        <f t="shared" ref="C19:L19" si="5">SUMIFS(SumaNA,CentroNA,$B19,TurnoNA,C$8)</f>
        <v>0</v>
      </c>
      <c r="D19" s="120">
        <f t="shared" si="5"/>
        <v>0</v>
      </c>
      <c r="E19" s="120">
        <f t="shared" si="5"/>
        <v>0</v>
      </c>
      <c r="F19" s="120">
        <f t="shared" si="5"/>
        <v>0</v>
      </c>
      <c r="G19" s="120">
        <f t="shared" si="5"/>
        <v>0</v>
      </c>
      <c r="H19" s="120">
        <f t="shared" si="5"/>
        <v>0</v>
      </c>
      <c r="I19" s="120">
        <f t="shared" si="5"/>
        <v>0</v>
      </c>
      <c r="J19" s="120">
        <f t="shared" si="5"/>
        <v>0</v>
      </c>
      <c r="K19" s="120">
        <f t="shared" si="5"/>
        <v>0</v>
      </c>
      <c r="L19" s="120">
        <f t="shared" si="5"/>
        <v>0</v>
      </c>
      <c r="M19" s="120">
        <f t="shared" ref="M19:V19" si="6">SUMIFS(SumaNA,CentroNA,$B19,TurnoNA,M$8)</f>
        <v>0</v>
      </c>
      <c r="N19" s="120">
        <f t="shared" si="6"/>
        <v>0</v>
      </c>
      <c r="O19" s="120">
        <f t="shared" si="6"/>
        <v>0</v>
      </c>
      <c r="P19" s="120">
        <f t="shared" si="6"/>
        <v>0</v>
      </c>
      <c r="Q19" s="120">
        <f t="shared" si="6"/>
        <v>0</v>
      </c>
      <c r="R19" s="120">
        <f t="shared" si="6"/>
        <v>0</v>
      </c>
      <c r="S19" s="120">
        <f t="shared" si="6"/>
        <v>0</v>
      </c>
      <c r="T19" s="120">
        <f t="shared" si="6"/>
        <v>0</v>
      </c>
      <c r="U19" s="120">
        <f t="shared" si="6"/>
        <v>0</v>
      </c>
      <c r="V19" s="120">
        <f t="shared" si="6"/>
        <v>0</v>
      </c>
      <c r="X19" s="156" t="s">
        <v>29</v>
      </c>
      <c r="Y19" s="154">
        <f t="shared" si="2"/>
        <v>0</v>
      </c>
      <c r="Z19" s="151">
        <f t="shared" si="3"/>
        <v>0</v>
      </c>
      <c r="AA19" s="152">
        <f t="shared" si="4"/>
        <v>0</v>
      </c>
    </row>
    <row r="20" spans="2:27" ht="15" customHeight="1" thickBot="1"/>
    <row r="21" spans="2:27" ht="15" customHeight="1">
      <c r="X21" s="133" t="s">
        <v>23</v>
      </c>
      <c r="Y21" s="109">
        <f t="shared" ref="Y21:AA27" si="7">SUMIF(MunicipiosNA,$X21,Y$9:Y$19)</f>
        <v>105</v>
      </c>
      <c r="Z21" s="109">
        <f t="shared" si="7"/>
        <v>308</v>
      </c>
      <c r="AA21" s="110">
        <f t="shared" si="7"/>
        <v>0</v>
      </c>
    </row>
    <row r="22" spans="2:27" ht="15" customHeight="1">
      <c r="X22" s="130" t="s">
        <v>24</v>
      </c>
      <c r="Y22" s="69">
        <f t="shared" si="7"/>
        <v>0</v>
      </c>
      <c r="Z22" s="69">
        <f t="shared" si="7"/>
        <v>0</v>
      </c>
      <c r="AA22" s="83">
        <f t="shared" si="7"/>
        <v>0</v>
      </c>
    </row>
    <row r="23" spans="2:27" ht="15" customHeight="1">
      <c r="X23" s="130" t="s">
        <v>25</v>
      </c>
      <c r="Y23" s="69">
        <f t="shared" si="7"/>
        <v>0</v>
      </c>
      <c r="Z23" s="69">
        <f t="shared" si="7"/>
        <v>0</v>
      </c>
      <c r="AA23" s="83">
        <f t="shared" si="7"/>
        <v>0</v>
      </c>
    </row>
    <row r="24" spans="2:27" ht="15" customHeight="1">
      <c r="X24" s="130" t="s">
        <v>26</v>
      </c>
      <c r="Y24" s="69">
        <f t="shared" si="7"/>
        <v>170</v>
      </c>
      <c r="Z24" s="69">
        <f t="shared" si="7"/>
        <v>152</v>
      </c>
      <c r="AA24" s="83">
        <f t="shared" si="7"/>
        <v>0</v>
      </c>
    </row>
    <row r="25" spans="2:27" ht="15" customHeight="1">
      <c r="X25" s="130" t="s">
        <v>27</v>
      </c>
      <c r="Y25" s="69">
        <f t="shared" si="7"/>
        <v>0</v>
      </c>
      <c r="Z25" s="69">
        <f t="shared" si="7"/>
        <v>0</v>
      </c>
      <c r="AA25" s="83">
        <f t="shared" si="7"/>
        <v>0</v>
      </c>
    </row>
    <row r="26" spans="2:27" ht="15" customHeight="1">
      <c r="X26" s="130" t="s">
        <v>28</v>
      </c>
      <c r="Y26" s="69">
        <f t="shared" si="7"/>
        <v>180</v>
      </c>
      <c r="Z26" s="69">
        <f t="shared" si="7"/>
        <v>129</v>
      </c>
      <c r="AA26" s="83">
        <f t="shared" si="7"/>
        <v>58</v>
      </c>
    </row>
    <row r="27" spans="2:27" ht="15" customHeight="1" thickBot="1">
      <c r="X27" s="131" t="s">
        <v>29</v>
      </c>
      <c r="Y27" s="89">
        <f t="shared" si="7"/>
        <v>209</v>
      </c>
      <c r="Z27" s="89">
        <f t="shared" si="7"/>
        <v>320</v>
      </c>
      <c r="AA27" s="90">
        <f t="shared" si="7"/>
        <v>15</v>
      </c>
    </row>
  </sheetData>
  <sheetProtection selectLockedCells="1"/>
  <customSheetViews>
    <customSheetView guid="{43751384-8D2C-4877-853C-4CE893CAF1E6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  <customSheetView guid="{D80F4FD6-7D6D-4832-9A2E-4DEB1E783FB1}" showGridLines="0" showRowCol="0">
      <selection activeCell="Y2" sqref="Y2"/>
      <pageMargins left="0.75" right="0.75" top="1" bottom="1" header="0" footer="0"/>
      <pageSetup paperSize="9" orientation="portrait" r:id="rId2"/>
      <headerFooter alignWithMargins="0"/>
    </customSheetView>
    <customSheetView guid="{0A4EA429-3B60-4229-BB25-AADA8CCE0D84}" showGridLines="0" showRowCol="0">
      <selection activeCell="Y5" sqref="Y5"/>
      <pageMargins left="0.75" right="0.75" top="1" bottom="1" header="0" footer="0"/>
      <pageSetup paperSize="9" orientation="portrait" r:id="rId3"/>
      <headerFooter alignWithMargins="0"/>
    </customSheetView>
  </customSheetViews>
  <mergeCells count="5">
    <mergeCell ref="B1:V1"/>
    <mergeCell ref="Y7:Y8"/>
    <mergeCell ref="Z7:Z8"/>
    <mergeCell ref="AA7:AA8"/>
    <mergeCell ref="X7:X8"/>
  </mergeCells>
  <phoneticPr fontId="0" type="noConversion"/>
  <conditionalFormatting sqref="C8:V8 B6:K6">
    <cfRule type="cellIs" dxfId="23" priority="6" stopIfTrue="1" operator="equal">
      <formula>"F"</formula>
    </cfRule>
    <cfRule type="cellIs" dxfId="22" priority="7" stopIfTrue="1" operator="equal">
      <formula>"C"</formula>
    </cfRule>
    <cfRule type="cellIs" dxfId="21" priority="8" stopIfTrue="1" operator="equal">
      <formula>"C"</formula>
    </cfRule>
  </conditionalFormatting>
  <conditionalFormatting sqref="C9:V19">
    <cfRule type="cellIs" dxfId="20" priority="3" stopIfTrue="1" operator="equal">
      <formula>0</formula>
    </cfRule>
    <cfRule type="cellIs" dxfId="19" priority="4" stopIfTrue="1" operator="equal">
      <formula>1</formula>
    </cfRule>
    <cfRule type="cellIs" dxfId="18" priority="5" stopIfTrue="1" operator="greaterThan">
      <formula>1</formula>
    </cfRule>
  </conditionalFormatting>
  <hyperlinks>
    <hyperlink ref="Y2" location="PPrincipal!A1" display="* Pagina Principal"/>
    <hyperlink ref="Y3" location="CAnzoategui!A1" display="Anzoátegui"/>
    <hyperlink ref="Y4" location="CMonagas!A1" display="Monagas"/>
    <hyperlink ref="Y5" location="CSucre!A1" display="Sucre"/>
  </hyperlinks>
  <pageMargins left="0.75" right="0.75" top="1" bottom="1" header="0" footer="0"/>
  <pageSetup paperSize="9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W410"/>
  <sheetViews>
    <sheetView showGridLines="0" showRowColHeaders="0" tabSelected="1" workbookViewId="0">
      <pane ySplit="8" topLeftCell="A233" activePane="bottomLeft" state="frozen"/>
      <selection pane="bottomLeft" activeCell="B247" sqref="B247"/>
    </sheetView>
  </sheetViews>
  <sheetFormatPr baseColWidth="10" defaultRowHeight="12.75"/>
  <cols>
    <col min="1" max="1" width="42.7109375" customWidth="1"/>
    <col min="2" max="7" width="13.7109375" customWidth="1"/>
    <col min="8" max="8" width="13.7109375" style="177" customWidth="1"/>
    <col min="9" max="10" width="13.7109375" customWidth="1"/>
    <col min="11" max="11" width="13.7109375" style="21" customWidth="1"/>
    <col min="12" max="24" width="13.7109375" customWidth="1"/>
  </cols>
  <sheetData>
    <row r="1" spans="2:23" s="13" customFormat="1">
      <c r="H1" s="91"/>
      <c r="I1" s="111"/>
      <c r="K1" s="26"/>
    </row>
    <row r="2" spans="2:23" s="13" customFormat="1">
      <c r="H2" s="95"/>
      <c r="I2" s="174" t="s">
        <v>7</v>
      </c>
      <c r="K2" s="26"/>
      <c r="O2" s="61" t="s">
        <v>32</v>
      </c>
      <c r="P2" s="62">
        <f>Q9</f>
        <v>0.63627386438446343</v>
      </c>
      <c r="Q2" s="59"/>
    </row>
    <row r="3" spans="2:23" s="13" customFormat="1">
      <c r="H3" s="95"/>
      <c r="I3" s="174" t="s">
        <v>78</v>
      </c>
      <c r="K3" s="26"/>
      <c r="O3" s="61" t="s">
        <v>33</v>
      </c>
      <c r="P3" s="62">
        <f>T9</f>
        <v>0.22218564845292957</v>
      </c>
      <c r="Q3" s="59"/>
    </row>
    <row r="4" spans="2:23" s="13" customFormat="1">
      <c r="H4" s="95"/>
      <c r="I4" s="174" t="s">
        <v>80</v>
      </c>
      <c r="K4" s="26"/>
      <c r="O4" s="61" t="s">
        <v>4</v>
      </c>
      <c r="P4" s="62">
        <f>W9</f>
        <v>0.14154048716260698</v>
      </c>
      <c r="Q4" s="59"/>
    </row>
    <row r="5" spans="2:23" s="13" customFormat="1">
      <c r="H5" s="95"/>
      <c r="I5" s="174" t="s">
        <v>81</v>
      </c>
      <c r="K5" s="26"/>
      <c r="O5" s="61"/>
      <c r="P5" s="62"/>
      <c r="Q5" s="59"/>
    </row>
    <row r="6" spans="2:23" s="13" customFormat="1" ht="33">
      <c r="C6" s="22">
        <v>14</v>
      </c>
      <c r="D6" s="18" t="s">
        <v>31</v>
      </c>
      <c r="E6" s="14"/>
      <c r="F6" s="14"/>
      <c r="H6" s="92"/>
      <c r="K6" s="26"/>
    </row>
    <row r="7" spans="2:23" ht="13.5" thickBot="1">
      <c r="H7" s="93"/>
    </row>
    <row r="8" spans="2:23" ht="45.75" thickBot="1">
      <c r="B8" s="23" t="s">
        <v>1</v>
      </c>
      <c r="C8" s="24" t="s">
        <v>2</v>
      </c>
      <c r="D8" s="25" t="s">
        <v>0</v>
      </c>
      <c r="E8" s="12" t="s">
        <v>32</v>
      </c>
      <c r="F8" s="12" t="s">
        <v>33</v>
      </c>
      <c r="G8" s="12" t="s">
        <v>4</v>
      </c>
      <c r="H8" s="94"/>
      <c r="J8" s="21"/>
      <c r="L8" s="72" t="s">
        <v>34</v>
      </c>
      <c r="O8" s="182" t="s">
        <v>32</v>
      </c>
      <c r="P8" s="183"/>
      <c r="Q8" s="184"/>
      <c r="R8" s="182" t="s">
        <v>33</v>
      </c>
      <c r="S8" s="183"/>
      <c r="T8" s="184"/>
      <c r="U8" s="182" t="s">
        <v>4</v>
      </c>
      <c r="V8" s="183"/>
      <c r="W8" s="184"/>
    </row>
    <row r="9" spans="2:23" ht="18">
      <c r="B9" s="29">
        <v>14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175"/>
      <c r="L9" s="21">
        <v>1</v>
      </c>
      <c r="M9" s="180" t="s">
        <v>0</v>
      </c>
      <c r="N9" s="180"/>
      <c r="O9" s="31">
        <f>SUM(Jose_Gregorio_Briceño)</f>
        <v>3866</v>
      </c>
      <c r="P9" s="32">
        <f>O9</f>
        <v>3866</v>
      </c>
      <c r="Q9" s="34">
        <f>O9/($O$9+$R$9+$U$9)</f>
        <v>0.63627386438446343</v>
      </c>
      <c r="R9" s="31">
        <f>SUM(Domingo_Urbina)</f>
        <v>1350</v>
      </c>
      <c r="S9" s="32">
        <f>R9</f>
        <v>1350</v>
      </c>
      <c r="T9" s="34">
        <f>R9/($O$9+$R$9+$U$9)</f>
        <v>0.22218564845292957</v>
      </c>
      <c r="U9" s="31">
        <f>SUM(OtroMO)</f>
        <v>860</v>
      </c>
      <c r="V9" s="32">
        <f>U9</f>
        <v>860</v>
      </c>
      <c r="W9" s="34">
        <f>U9/($O$9+$R$9+$U$9)</f>
        <v>0.14154048716260698</v>
      </c>
    </row>
    <row r="10" spans="2:23" ht="18">
      <c r="B10" s="30">
        <v>14</v>
      </c>
      <c r="C10" s="30">
        <v>9</v>
      </c>
      <c r="D10" s="30">
        <v>2</v>
      </c>
      <c r="E10" s="30">
        <v>19</v>
      </c>
      <c r="F10" s="30">
        <v>6</v>
      </c>
      <c r="G10" s="30">
        <v>0</v>
      </c>
      <c r="H10" s="175"/>
      <c r="L10" s="21">
        <v>1</v>
      </c>
      <c r="M10" s="6">
        <v>0.3125</v>
      </c>
      <c r="N10" s="2">
        <v>1</v>
      </c>
      <c r="O10" s="4">
        <f t="shared" ref="O10:O29" si="0">SUMIF(TurnoMO,$N10,Jose_Gregorio_Briceño)</f>
        <v>218</v>
      </c>
      <c r="P10" s="5">
        <f>O10</f>
        <v>218</v>
      </c>
      <c r="Q10" s="3">
        <f>IF(O10&lt;&gt;0,P10/($P10+$S10+$V10),LOOKUP(2121,$Q$3:$Q$6))</f>
        <v>0.68338557993730409</v>
      </c>
      <c r="R10" s="4">
        <f t="shared" ref="R10:R29" si="1">SUMIF(TurnoMO,$N10,Domingo_Urbina)</f>
        <v>65</v>
      </c>
      <c r="S10" s="5">
        <f>R10</f>
        <v>65</v>
      </c>
      <c r="T10" s="3">
        <f>IF(R10&lt;&gt;0,S10/($P10+$S10+$V10),LOOKUP(2121,$Q$3:$Q$6))</f>
        <v>0.20376175548589343</v>
      </c>
      <c r="U10" s="4">
        <f t="shared" ref="U10:U29" si="2">SUMIF(TurnoMO,$N10,OtroMO)</f>
        <v>36</v>
      </c>
      <c r="V10" s="5">
        <f>U10</f>
        <v>36</v>
      </c>
      <c r="W10" s="3">
        <f>IF(U10&lt;&gt;0,V10/($P10+$S10+$V10),LOOKUP(2121,$Q$3:$Q$6))</f>
        <v>0.11285266457680251</v>
      </c>
    </row>
    <row r="11" spans="2:23" ht="18">
      <c r="B11" s="30">
        <v>14</v>
      </c>
      <c r="C11" s="30">
        <v>35</v>
      </c>
      <c r="D11" s="30">
        <v>1</v>
      </c>
      <c r="E11" s="30">
        <v>20</v>
      </c>
      <c r="F11" s="30">
        <v>4</v>
      </c>
      <c r="G11" s="30">
        <v>0</v>
      </c>
      <c r="H11" s="175"/>
      <c r="L11" s="21">
        <v>1</v>
      </c>
      <c r="M11" s="6">
        <v>0.33333333333333298</v>
      </c>
      <c r="N11" s="2">
        <v>2</v>
      </c>
      <c r="O11" s="4">
        <f t="shared" si="0"/>
        <v>210</v>
      </c>
      <c r="P11" s="5">
        <f>P10+O11</f>
        <v>428</v>
      </c>
      <c r="Q11" s="3">
        <f t="shared" ref="Q11:Q29" si="3">IF(O11&lt;&gt;0,P11/($P11+$S11+$V11),LOOKUP(2121,$Q$3:$Q$6))</f>
        <v>0.66356589147286826</v>
      </c>
      <c r="R11" s="4">
        <f t="shared" si="1"/>
        <v>78</v>
      </c>
      <c r="S11" s="5">
        <f>S10+R11</f>
        <v>143</v>
      </c>
      <c r="T11" s="3">
        <f t="shared" ref="T11:T29" si="4">IF(R11&lt;&gt;0,S11/($P11+$S11+$V11),LOOKUP(2121,$Q$3:$Q$6))</f>
        <v>0.22170542635658916</v>
      </c>
      <c r="U11" s="4">
        <f t="shared" si="2"/>
        <v>38</v>
      </c>
      <c r="V11" s="5">
        <f>V10+U11</f>
        <v>74</v>
      </c>
      <c r="W11" s="3">
        <f t="shared" ref="W11:W29" si="5">IF(U11&lt;&gt;0,V11/($P11+$S11+$V11),LOOKUP(2121,$Q$3:$Q$6))</f>
        <v>0.11472868217054263</v>
      </c>
    </row>
    <row r="12" spans="2:23" ht="18">
      <c r="B12" s="30">
        <v>14</v>
      </c>
      <c r="C12" s="30">
        <v>1</v>
      </c>
      <c r="D12" s="30">
        <v>1</v>
      </c>
      <c r="E12" s="30">
        <v>18</v>
      </c>
      <c r="F12" s="30">
        <v>4</v>
      </c>
      <c r="G12" s="30">
        <v>2</v>
      </c>
      <c r="H12" s="175"/>
      <c r="L12" s="21">
        <v>1</v>
      </c>
      <c r="M12" s="6">
        <v>0.35416666666666702</v>
      </c>
      <c r="N12" s="2">
        <v>3</v>
      </c>
      <c r="O12" s="4">
        <f t="shared" si="0"/>
        <v>191</v>
      </c>
      <c r="P12" s="5">
        <f t="shared" ref="P12:P29" si="6">P11+O12</f>
        <v>619</v>
      </c>
      <c r="Q12" s="3">
        <f t="shared" si="3"/>
        <v>0.6271529888551165</v>
      </c>
      <c r="R12" s="4">
        <f t="shared" si="1"/>
        <v>93</v>
      </c>
      <c r="S12" s="5">
        <f t="shared" ref="S12:S29" si="7">S11+R12</f>
        <v>236</v>
      </c>
      <c r="T12" s="3">
        <f t="shared" si="4"/>
        <v>0.23910840932117527</v>
      </c>
      <c r="U12" s="4">
        <f t="shared" si="2"/>
        <v>58</v>
      </c>
      <c r="V12" s="5">
        <f t="shared" ref="V12:V29" si="8">V11+U12</f>
        <v>132</v>
      </c>
      <c r="W12" s="3">
        <f t="shared" si="5"/>
        <v>0.1337386018237082</v>
      </c>
    </row>
    <row r="13" spans="2:23" ht="18">
      <c r="B13" s="30">
        <v>14</v>
      </c>
      <c r="C13" s="30">
        <v>1</v>
      </c>
      <c r="D13" s="30">
        <v>2</v>
      </c>
      <c r="E13" s="30">
        <v>10</v>
      </c>
      <c r="F13" s="30">
        <v>2</v>
      </c>
      <c r="G13" s="30">
        <v>3</v>
      </c>
      <c r="H13" s="175"/>
      <c r="L13" s="21">
        <v>1</v>
      </c>
      <c r="M13" s="6">
        <v>0.375</v>
      </c>
      <c r="N13" s="2">
        <v>4</v>
      </c>
      <c r="O13" s="4">
        <f t="shared" si="0"/>
        <v>282</v>
      </c>
      <c r="P13" s="5">
        <f t="shared" si="6"/>
        <v>901</v>
      </c>
      <c r="Q13" s="3">
        <f t="shared" si="3"/>
        <v>0.62831241283124128</v>
      </c>
      <c r="R13" s="4">
        <f t="shared" si="1"/>
        <v>111</v>
      </c>
      <c r="S13" s="5">
        <f t="shared" si="7"/>
        <v>347</v>
      </c>
      <c r="T13" s="3">
        <f t="shared" si="4"/>
        <v>0.24198047419804741</v>
      </c>
      <c r="U13" s="4">
        <f t="shared" si="2"/>
        <v>54</v>
      </c>
      <c r="V13" s="5">
        <f t="shared" si="8"/>
        <v>186</v>
      </c>
      <c r="W13" s="3">
        <f t="shared" si="5"/>
        <v>0.1297071129707113</v>
      </c>
    </row>
    <row r="14" spans="2:23" ht="18">
      <c r="B14" s="30">
        <v>14</v>
      </c>
      <c r="C14" s="30">
        <v>9</v>
      </c>
      <c r="D14" s="30">
        <v>3</v>
      </c>
      <c r="E14" s="30">
        <v>14</v>
      </c>
      <c r="F14" s="30">
        <v>8</v>
      </c>
      <c r="G14" s="30">
        <v>3</v>
      </c>
      <c r="H14" s="175"/>
      <c r="L14" s="21">
        <v>1</v>
      </c>
      <c r="M14" s="6">
        <v>0.39583333333333298</v>
      </c>
      <c r="N14" s="2">
        <v>5</v>
      </c>
      <c r="O14" s="4">
        <f t="shared" si="0"/>
        <v>322</v>
      </c>
      <c r="P14" s="5">
        <f t="shared" si="6"/>
        <v>1223</v>
      </c>
      <c r="Q14" s="3">
        <f t="shared" si="3"/>
        <v>0.63367875647668392</v>
      </c>
      <c r="R14" s="4">
        <f t="shared" si="1"/>
        <v>110</v>
      </c>
      <c r="S14" s="5">
        <f t="shared" si="7"/>
        <v>457</v>
      </c>
      <c r="T14" s="3">
        <f t="shared" si="4"/>
        <v>0.23678756476683938</v>
      </c>
      <c r="U14" s="4">
        <f t="shared" si="2"/>
        <v>64</v>
      </c>
      <c r="V14" s="5">
        <f t="shared" si="8"/>
        <v>250</v>
      </c>
      <c r="W14" s="3">
        <f t="shared" si="5"/>
        <v>0.12953367875647667</v>
      </c>
    </row>
    <row r="15" spans="2:23" ht="18">
      <c r="B15" s="30">
        <v>14</v>
      </c>
      <c r="C15" s="30">
        <v>7</v>
      </c>
      <c r="D15" s="30">
        <v>1</v>
      </c>
      <c r="E15" s="30">
        <v>22</v>
      </c>
      <c r="F15" s="30">
        <v>0</v>
      </c>
      <c r="G15" s="30">
        <v>3</v>
      </c>
      <c r="H15" s="175"/>
      <c r="L15" s="21">
        <v>1</v>
      </c>
      <c r="M15" s="6">
        <v>0.41666666666666702</v>
      </c>
      <c r="N15" s="2">
        <v>6</v>
      </c>
      <c r="O15" s="4">
        <f t="shared" si="0"/>
        <v>308</v>
      </c>
      <c r="P15" s="5">
        <f t="shared" si="6"/>
        <v>1531</v>
      </c>
      <c r="Q15" s="3">
        <f t="shared" si="3"/>
        <v>0.63712026633374952</v>
      </c>
      <c r="R15" s="4">
        <f t="shared" si="1"/>
        <v>97</v>
      </c>
      <c r="S15" s="5">
        <f t="shared" si="7"/>
        <v>554</v>
      </c>
      <c r="T15" s="3">
        <f t="shared" si="4"/>
        <v>0.2305451518934665</v>
      </c>
      <c r="U15" s="4">
        <f t="shared" si="2"/>
        <v>68</v>
      </c>
      <c r="V15" s="5">
        <f t="shared" si="8"/>
        <v>318</v>
      </c>
      <c r="W15" s="3">
        <f t="shared" si="5"/>
        <v>0.13233458177278401</v>
      </c>
    </row>
    <row r="16" spans="2:23" ht="18">
      <c r="B16" s="30">
        <v>14</v>
      </c>
      <c r="C16" s="30">
        <v>35</v>
      </c>
      <c r="D16" s="30">
        <v>2</v>
      </c>
      <c r="E16" s="30">
        <v>18</v>
      </c>
      <c r="F16" s="30">
        <v>6</v>
      </c>
      <c r="G16" s="30">
        <v>0</v>
      </c>
      <c r="H16" s="175"/>
      <c r="L16" s="21">
        <v>1</v>
      </c>
      <c r="M16" s="6">
        <v>0.4375</v>
      </c>
      <c r="N16" s="2">
        <v>7</v>
      </c>
      <c r="O16" s="4">
        <f t="shared" si="0"/>
        <v>280</v>
      </c>
      <c r="P16" s="5">
        <f t="shared" si="6"/>
        <v>1811</v>
      </c>
      <c r="Q16" s="3">
        <f t="shared" si="3"/>
        <v>0.63499298737727905</v>
      </c>
      <c r="R16" s="4">
        <f t="shared" si="1"/>
        <v>108</v>
      </c>
      <c r="S16" s="5">
        <f t="shared" si="7"/>
        <v>662</v>
      </c>
      <c r="T16" s="3">
        <f t="shared" si="4"/>
        <v>0.23211781206171109</v>
      </c>
      <c r="U16" s="4">
        <f t="shared" si="2"/>
        <v>61</v>
      </c>
      <c r="V16" s="5">
        <f t="shared" si="8"/>
        <v>379</v>
      </c>
      <c r="W16" s="3">
        <f t="shared" si="5"/>
        <v>0.13288920056100981</v>
      </c>
    </row>
    <row r="17" spans="2:23" ht="18">
      <c r="B17" s="30">
        <v>14</v>
      </c>
      <c r="C17" s="30">
        <v>12</v>
      </c>
      <c r="D17" s="30">
        <v>1</v>
      </c>
      <c r="E17" s="30">
        <v>23</v>
      </c>
      <c r="F17" s="30">
        <v>1</v>
      </c>
      <c r="G17" s="30">
        <v>1</v>
      </c>
      <c r="H17" s="175"/>
      <c r="L17" s="21">
        <v>1</v>
      </c>
      <c r="M17" s="6">
        <v>0.45833333333333298</v>
      </c>
      <c r="N17" s="2">
        <v>8</v>
      </c>
      <c r="O17" s="4">
        <f t="shared" si="0"/>
        <v>335</v>
      </c>
      <c r="P17" s="5">
        <f t="shared" si="6"/>
        <v>2146</v>
      </c>
      <c r="Q17" s="3">
        <f t="shared" si="3"/>
        <v>0.63869047619047614</v>
      </c>
      <c r="R17" s="4">
        <f t="shared" si="1"/>
        <v>107</v>
      </c>
      <c r="S17" s="5">
        <f t="shared" si="7"/>
        <v>769</v>
      </c>
      <c r="T17" s="3">
        <f t="shared" si="4"/>
        <v>0.22886904761904761</v>
      </c>
      <c r="U17" s="4">
        <f t="shared" si="2"/>
        <v>66</v>
      </c>
      <c r="V17" s="5">
        <f t="shared" si="8"/>
        <v>445</v>
      </c>
      <c r="W17" s="3">
        <f t="shared" si="5"/>
        <v>0.13244047619047619</v>
      </c>
    </row>
    <row r="18" spans="2:23" ht="18">
      <c r="B18" s="30">
        <v>14</v>
      </c>
      <c r="C18" s="30">
        <v>12</v>
      </c>
      <c r="D18" s="30">
        <v>2</v>
      </c>
      <c r="E18" s="30">
        <v>20</v>
      </c>
      <c r="F18" s="30">
        <v>0</v>
      </c>
      <c r="G18" s="30">
        <v>5</v>
      </c>
      <c r="H18" s="175"/>
      <c r="L18" s="21">
        <v>1</v>
      </c>
      <c r="M18" s="6">
        <v>0.47916666666666702</v>
      </c>
      <c r="N18" s="2">
        <v>9</v>
      </c>
      <c r="O18" s="4">
        <f t="shared" si="0"/>
        <v>293</v>
      </c>
      <c r="P18" s="5">
        <f t="shared" si="6"/>
        <v>2439</v>
      </c>
      <c r="Q18" s="3">
        <f t="shared" si="3"/>
        <v>0.63764705882352946</v>
      </c>
      <c r="R18" s="4">
        <f t="shared" si="1"/>
        <v>109</v>
      </c>
      <c r="S18" s="5">
        <f t="shared" si="7"/>
        <v>878</v>
      </c>
      <c r="T18" s="3">
        <f t="shared" si="4"/>
        <v>0.22954248366013072</v>
      </c>
      <c r="U18" s="4">
        <f t="shared" si="2"/>
        <v>63</v>
      </c>
      <c r="V18" s="5">
        <f t="shared" si="8"/>
        <v>508</v>
      </c>
      <c r="W18" s="3">
        <f t="shared" si="5"/>
        <v>0.13281045751633988</v>
      </c>
    </row>
    <row r="19" spans="2:23" ht="18">
      <c r="B19" s="30">
        <v>14</v>
      </c>
      <c r="C19" s="30">
        <v>12</v>
      </c>
      <c r="D19" s="30">
        <v>3</v>
      </c>
      <c r="E19" s="30">
        <v>15</v>
      </c>
      <c r="F19" s="30">
        <v>5</v>
      </c>
      <c r="G19" s="30">
        <v>5</v>
      </c>
      <c r="H19" s="175"/>
      <c r="L19" s="21">
        <v>1</v>
      </c>
      <c r="M19" s="6">
        <v>0.5</v>
      </c>
      <c r="N19" s="2">
        <v>10</v>
      </c>
      <c r="O19" s="4">
        <f t="shared" si="0"/>
        <v>351</v>
      </c>
      <c r="P19" s="5">
        <f t="shared" si="6"/>
        <v>2790</v>
      </c>
      <c r="Q19" s="3">
        <f t="shared" si="3"/>
        <v>0.63698630136986301</v>
      </c>
      <c r="R19" s="4">
        <f t="shared" si="1"/>
        <v>115</v>
      </c>
      <c r="S19" s="5">
        <f t="shared" si="7"/>
        <v>993</v>
      </c>
      <c r="T19" s="3">
        <f t="shared" si="4"/>
        <v>0.2267123287671233</v>
      </c>
      <c r="U19" s="4">
        <f t="shared" si="2"/>
        <v>89</v>
      </c>
      <c r="V19" s="5">
        <f t="shared" si="8"/>
        <v>597</v>
      </c>
      <c r="W19" s="3">
        <f t="shared" si="5"/>
        <v>0.13630136986301369</v>
      </c>
    </row>
    <row r="20" spans="2:23" ht="18">
      <c r="B20" s="30">
        <v>14</v>
      </c>
      <c r="C20" s="30">
        <v>12</v>
      </c>
      <c r="D20" s="30">
        <v>4</v>
      </c>
      <c r="E20" s="30">
        <v>12</v>
      </c>
      <c r="F20" s="30">
        <v>7</v>
      </c>
      <c r="G20" s="30">
        <v>6</v>
      </c>
      <c r="H20" s="175"/>
      <c r="L20" s="21">
        <v>1</v>
      </c>
      <c r="M20" s="6">
        <v>0.52083333333333304</v>
      </c>
      <c r="N20" s="2">
        <v>11</v>
      </c>
      <c r="O20" s="4">
        <f t="shared" si="0"/>
        <v>335</v>
      </c>
      <c r="P20" s="5">
        <f t="shared" si="6"/>
        <v>3125</v>
      </c>
      <c r="Q20" s="3">
        <f t="shared" si="3"/>
        <v>0.63144069508991718</v>
      </c>
      <c r="R20" s="4">
        <f t="shared" si="1"/>
        <v>138</v>
      </c>
      <c r="S20" s="5">
        <f t="shared" si="7"/>
        <v>1131</v>
      </c>
      <c r="T20" s="3">
        <f t="shared" si="4"/>
        <v>0.22853101636694281</v>
      </c>
      <c r="U20" s="4">
        <f t="shared" si="2"/>
        <v>96</v>
      </c>
      <c r="V20" s="5">
        <f t="shared" si="8"/>
        <v>693</v>
      </c>
      <c r="W20" s="3">
        <f t="shared" si="5"/>
        <v>0.14002828854314003</v>
      </c>
    </row>
    <row r="21" spans="2:23" ht="18">
      <c r="B21" s="30">
        <v>14</v>
      </c>
      <c r="C21" s="30">
        <v>9</v>
      </c>
      <c r="D21" s="30">
        <v>4</v>
      </c>
      <c r="E21" s="30">
        <v>10</v>
      </c>
      <c r="F21" s="30">
        <v>11</v>
      </c>
      <c r="G21" s="30">
        <v>4</v>
      </c>
      <c r="H21" s="175"/>
      <c r="L21" s="21">
        <v>1</v>
      </c>
      <c r="M21" s="6">
        <v>4.1666666666666664E-2</v>
      </c>
      <c r="N21" s="2">
        <v>12</v>
      </c>
      <c r="O21" s="4">
        <f t="shared" si="0"/>
        <v>268</v>
      </c>
      <c r="P21" s="5">
        <f t="shared" si="6"/>
        <v>3393</v>
      </c>
      <c r="Q21" s="3">
        <f t="shared" si="3"/>
        <v>0.63408708652588297</v>
      </c>
      <c r="R21" s="4">
        <f t="shared" si="1"/>
        <v>83</v>
      </c>
      <c r="S21" s="5">
        <f t="shared" si="7"/>
        <v>1214</v>
      </c>
      <c r="T21" s="3">
        <f t="shared" si="4"/>
        <v>0.22687348159222576</v>
      </c>
      <c r="U21" s="4">
        <f t="shared" si="2"/>
        <v>51</v>
      </c>
      <c r="V21" s="5">
        <f t="shared" si="8"/>
        <v>744</v>
      </c>
      <c r="W21" s="3">
        <f t="shared" si="5"/>
        <v>0.13903943188189125</v>
      </c>
    </row>
    <row r="22" spans="2:23" ht="18">
      <c r="B22" s="30">
        <v>14</v>
      </c>
      <c r="C22" s="30">
        <v>9</v>
      </c>
      <c r="D22" s="30">
        <v>5</v>
      </c>
      <c r="E22" s="30">
        <v>21</v>
      </c>
      <c r="F22" s="30">
        <v>3</v>
      </c>
      <c r="G22" s="30">
        <v>1</v>
      </c>
      <c r="H22" s="175"/>
      <c r="L22" s="21">
        <v>1</v>
      </c>
      <c r="M22" s="6">
        <v>6.25E-2</v>
      </c>
      <c r="N22" s="2">
        <v>13</v>
      </c>
      <c r="O22" s="4">
        <f t="shared" si="0"/>
        <v>248</v>
      </c>
      <c r="P22" s="5">
        <f t="shared" si="6"/>
        <v>3641</v>
      </c>
      <c r="Q22" s="3">
        <f t="shared" si="3"/>
        <v>0.6364271980423003</v>
      </c>
      <c r="R22" s="4">
        <f t="shared" si="1"/>
        <v>68</v>
      </c>
      <c r="S22" s="5">
        <f t="shared" si="7"/>
        <v>1282</v>
      </c>
      <c r="T22" s="3">
        <f t="shared" si="4"/>
        <v>0.22408669812969761</v>
      </c>
      <c r="U22" s="4">
        <f t="shared" si="2"/>
        <v>54</v>
      </c>
      <c r="V22" s="5">
        <f t="shared" si="8"/>
        <v>798</v>
      </c>
      <c r="W22" s="3">
        <f t="shared" si="5"/>
        <v>0.13948610382800208</v>
      </c>
    </row>
    <row r="23" spans="2:23" ht="18">
      <c r="B23" s="30">
        <v>14</v>
      </c>
      <c r="C23" s="30">
        <v>5</v>
      </c>
      <c r="D23" s="30">
        <v>2</v>
      </c>
      <c r="E23" s="30">
        <v>10</v>
      </c>
      <c r="F23" s="30">
        <v>5</v>
      </c>
      <c r="G23" s="30">
        <v>6</v>
      </c>
      <c r="H23" s="175"/>
      <c r="L23" s="21">
        <v>1</v>
      </c>
      <c r="M23" s="6">
        <v>8.3333333333333329E-2</v>
      </c>
      <c r="N23" s="2">
        <v>14</v>
      </c>
      <c r="O23" s="4">
        <f t="shared" si="0"/>
        <v>148</v>
      </c>
      <c r="P23" s="5">
        <f t="shared" si="6"/>
        <v>3789</v>
      </c>
      <c r="Q23" s="3">
        <f t="shared" si="3"/>
        <v>0.63595166163141992</v>
      </c>
      <c r="R23" s="4">
        <f t="shared" si="1"/>
        <v>49</v>
      </c>
      <c r="S23" s="5">
        <f t="shared" si="7"/>
        <v>1331</v>
      </c>
      <c r="T23" s="3">
        <f t="shared" si="4"/>
        <v>0.2233971131252098</v>
      </c>
      <c r="U23" s="4">
        <f t="shared" si="2"/>
        <v>40</v>
      </c>
      <c r="V23" s="5">
        <f t="shared" si="8"/>
        <v>838</v>
      </c>
      <c r="W23" s="3">
        <f t="shared" si="5"/>
        <v>0.14065122524337026</v>
      </c>
    </row>
    <row r="24" spans="2:23" ht="18">
      <c r="B24" s="30">
        <v>14</v>
      </c>
      <c r="C24" s="30">
        <v>35</v>
      </c>
      <c r="D24" s="30">
        <v>5</v>
      </c>
      <c r="E24" s="30">
        <v>17</v>
      </c>
      <c r="F24" s="30">
        <v>10</v>
      </c>
      <c r="G24" s="30">
        <v>3</v>
      </c>
      <c r="H24" s="175"/>
      <c r="L24" s="21">
        <v>1</v>
      </c>
      <c r="M24" s="6">
        <v>0.104166666666667</v>
      </c>
      <c r="N24" s="2">
        <v>15</v>
      </c>
      <c r="O24" s="4">
        <f t="shared" si="0"/>
        <v>60</v>
      </c>
      <c r="P24" s="5">
        <f t="shared" si="6"/>
        <v>3849</v>
      </c>
      <c r="Q24" s="3">
        <f t="shared" si="3"/>
        <v>0.63619834710743806</v>
      </c>
      <c r="R24" s="4">
        <f t="shared" si="1"/>
        <v>15</v>
      </c>
      <c r="S24" s="5">
        <f t="shared" si="7"/>
        <v>1346</v>
      </c>
      <c r="T24" s="3">
        <f t="shared" si="4"/>
        <v>0.22247933884297522</v>
      </c>
      <c r="U24" s="4">
        <f t="shared" si="2"/>
        <v>17</v>
      </c>
      <c r="V24" s="5">
        <f t="shared" si="8"/>
        <v>855</v>
      </c>
      <c r="W24" s="3">
        <f t="shared" si="5"/>
        <v>0.14132231404958678</v>
      </c>
    </row>
    <row r="25" spans="2:23" ht="18">
      <c r="B25" s="30">
        <v>14</v>
      </c>
      <c r="C25" s="30">
        <v>35</v>
      </c>
      <c r="D25" s="30">
        <v>4</v>
      </c>
      <c r="E25" s="30">
        <v>21</v>
      </c>
      <c r="F25" s="30">
        <v>2</v>
      </c>
      <c r="G25" s="30">
        <v>2</v>
      </c>
      <c r="H25" s="175"/>
      <c r="L25" s="21">
        <v>1</v>
      </c>
      <c r="M25" s="6">
        <v>0.125</v>
      </c>
      <c r="N25" s="2">
        <v>16</v>
      </c>
      <c r="O25" s="4">
        <f t="shared" si="0"/>
        <v>17</v>
      </c>
      <c r="P25" s="5">
        <f t="shared" si="6"/>
        <v>3866</v>
      </c>
      <c r="Q25" s="3">
        <f t="shared" si="3"/>
        <v>0.63627386438446343</v>
      </c>
      <c r="R25" s="4">
        <f t="shared" si="1"/>
        <v>4</v>
      </c>
      <c r="S25" s="5">
        <f t="shared" si="7"/>
        <v>1350</v>
      </c>
      <c r="T25" s="3">
        <f t="shared" si="4"/>
        <v>0.22218564845292957</v>
      </c>
      <c r="U25" s="4">
        <f t="shared" si="2"/>
        <v>5</v>
      </c>
      <c r="V25" s="5">
        <f t="shared" si="8"/>
        <v>860</v>
      </c>
      <c r="W25" s="3">
        <f t="shared" si="5"/>
        <v>0.14154048716260698</v>
      </c>
    </row>
    <row r="26" spans="2:23" ht="18">
      <c r="B26" s="30">
        <v>14</v>
      </c>
      <c r="C26" s="30">
        <v>35</v>
      </c>
      <c r="D26" s="30">
        <v>3</v>
      </c>
      <c r="E26" s="30">
        <v>16</v>
      </c>
      <c r="F26" s="30">
        <v>5</v>
      </c>
      <c r="G26" s="30">
        <v>4</v>
      </c>
      <c r="H26" s="175"/>
      <c r="L26" s="21">
        <v>1</v>
      </c>
      <c r="M26" s="6">
        <v>0.14583333333333301</v>
      </c>
      <c r="N26" s="2">
        <v>17</v>
      </c>
      <c r="O26" s="4">
        <f t="shared" si="0"/>
        <v>0</v>
      </c>
      <c r="P26" s="5">
        <f t="shared" si="6"/>
        <v>3866</v>
      </c>
      <c r="Q26" s="3" t="e">
        <f t="shared" si="3"/>
        <v>#N/A</v>
      </c>
      <c r="R26" s="4">
        <f t="shared" si="1"/>
        <v>0</v>
      </c>
      <c r="S26" s="5">
        <f t="shared" si="7"/>
        <v>1350</v>
      </c>
      <c r="T26" s="3" t="e">
        <f t="shared" si="4"/>
        <v>#N/A</v>
      </c>
      <c r="U26" s="4">
        <f t="shared" si="2"/>
        <v>0</v>
      </c>
      <c r="V26" s="5">
        <f t="shared" si="8"/>
        <v>860</v>
      </c>
      <c r="W26" s="3" t="e">
        <f t="shared" si="5"/>
        <v>#N/A</v>
      </c>
    </row>
    <row r="27" spans="2:23" ht="18">
      <c r="B27" s="30">
        <v>14</v>
      </c>
      <c r="C27" s="30">
        <v>35</v>
      </c>
      <c r="D27" s="30">
        <v>1</v>
      </c>
      <c r="E27" s="30">
        <v>20</v>
      </c>
      <c r="F27" s="30">
        <v>5</v>
      </c>
      <c r="G27" s="30">
        <v>0</v>
      </c>
      <c r="H27" s="175"/>
      <c r="L27" s="21">
        <v>1</v>
      </c>
      <c r="M27" s="6">
        <v>0.16666666666666599</v>
      </c>
      <c r="N27" s="2">
        <v>18</v>
      </c>
      <c r="O27" s="4">
        <f t="shared" si="0"/>
        <v>0</v>
      </c>
      <c r="P27" s="5">
        <f t="shared" si="6"/>
        <v>3866</v>
      </c>
      <c r="Q27" s="3" t="e">
        <f t="shared" si="3"/>
        <v>#N/A</v>
      </c>
      <c r="R27" s="4">
        <f t="shared" si="1"/>
        <v>0</v>
      </c>
      <c r="S27" s="5">
        <f t="shared" si="7"/>
        <v>1350</v>
      </c>
      <c r="T27" s="3" t="e">
        <f t="shared" si="4"/>
        <v>#N/A</v>
      </c>
      <c r="U27" s="4">
        <f t="shared" si="2"/>
        <v>0</v>
      </c>
      <c r="V27" s="5">
        <f t="shared" si="8"/>
        <v>860</v>
      </c>
      <c r="W27" s="3" t="e">
        <f t="shared" si="5"/>
        <v>#N/A</v>
      </c>
    </row>
    <row r="28" spans="2:23" ht="18">
      <c r="B28" s="30">
        <v>14</v>
      </c>
      <c r="C28" s="30">
        <v>5</v>
      </c>
      <c r="D28" s="30">
        <v>1</v>
      </c>
      <c r="E28" s="30">
        <v>13</v>
      </c>
      <c r="F28" s="30">
        <v>4</v>
      </c>
      <c r="G28" s="30">
        <v>4</v>
      </c>
      <c r="H28" s="175"/>
      <c r="L28" s="21">
        <v>1</v>
      </c>
      <c r="M28" s="6">
        <v>0.187499999999999</v>
      </c>
      <c r="N28" s="2">
        <v>19</v>
      </c>
      <c r="O28" s="4">
        <f t="shared" si="0"/>
        <v>0</v>
      </c>
      <c r="P28" s="5">
        <f t="shared" si="6"/>
        <v>3866</v>
      </c>
      <c r="Q28" s="3" t="e">
        <f t="shared" si="3"/>
        <v>#N/A</v>
      </c>
      <c r="R28" s="4">
        <f t="shared" si="1"/>
        <v>0</v>
      </c>
      <c r="S28" s="5">
        <f t="shared" si="7"/>
        <v>1350</v>
      </c>
      <c r="T28" s="3" t="e">
        <f t="shared" si="4"/>
        <v>#N/A</v>
      </c>
      <c r="U28" s="4">
        <f t="shared" si="2"/>
        <v>0</v>
      </c>
      <c r="V28" s="5">
        <f t="shared" si="8"/>
        <v>860</v>
      </c>
      <c r="W28" s="3" t="e">
        <f t="shared" si="5"/>
        <v>#N/A</v>
      </c>
    </row>
    <row r="29" spans="2:23" ht="18.75" thickBot="1">
      <c r="B29" s="30">
        <v>14</v>
      </c>
      <c r="C29" s="30">
        <v>5</v>
      </c>
      <c r="D29" s="30">
        <v>3</v>
      </c>
      <c r="E29" s="30">
        <v>8</v>
      </c>
      <c r="F29" s="30">
        <v>4</v>
      </c>
      <c r="G29" s="30">
        <v>3</v>
      </c>
      <c r="H29" s="175"/>
      <c r="L29" s="21">
        <v>1</v>
      </c>
      <c r="M29" s="6">
        <v>0.20833333333333201</v>
      </c>
      <c r="N29" s="2">
        <v>20</v>
      </c>
      <c r="O29" s="7">
        <f t="shared" si="0"/>
        <v>0</v>
      </c>
      <c r="P29" s="8">
        <f t="shared" si="6"/>
        <v>3866</v>
      </c>
      <c r="Q29" s="9" t="e">
        <f t="shared" si="3"/>
        <v>#N/A</v>
      </c>
      <c r="R29" s="7">
        <f t="shared" si="1"/>
        <v>0</v>
      </c>
      <c r="S29" s="8">
        <f t="shared" si="7"/>
        <v>1350</v>
      </c>
      <c r="T29" s="9" t="e">
        <f t="shared" si="4"/>
        <v>#N/A</v>
      </c>
      <c r="U29" s="7">
        <f t="shared" si="2"/>
        <v>0</v>
      </c>
      <c r="V29" s="8">
        <f t="shared" si="8"/>
        <v>860</v>
      </c>
      <c r="W29" s="9" t="e">
        <f t="shared" si="5"/>
        <v>#N/A</v>
      </c>
    </row>
    <row r="30" spans="2:23" ht="18">
      <c r="B30" s="30">
        <v>14</v>
      </c>
      <c r="C30" s="30">
        <v>7</v>
      </c>
      <c r="D30" s="30">
        <v>2</v>
      </c>
      <c r="E30" s="30">
        <v>20</v>
      </c>
      <c r="F30" s="30">
        <v>1</v>
      </c>
      <c r="G30" s="30">
        <v>4</v>
      </c>
      <c r="H30" s="175"/>
      <c r="L30" s="21">
        <v>1</v>
      </c>
    </row>
    <row r="31" spans="2:23" ht="18">
      <c r="B31" s="30">
        <v>14</v>
      </c>
      <c r="C31" s="30">
        <v>7</v>
      </c>
      <c r="D31" s="30">
        <v>3</v>
      </c>
      <c r="E31" s="30">
        <v>19</v>
      </c>
      <c r="F31" s="30">
        <v>3</v>
      </c>
      <c r="G31" s="30">
        <v>3</v>
      </c>
      <c r="H31" s="175"/>
      <c r="L31" s="21">
        <v>1</v>
      </c>
    </row>
    <row r="32" spans="2:23" ht="18">
      <c r="B32" s="30">
        <v>14</v>
      </c>
      <c r="C32" s="30">
        <v>7</v>
      </c>
      <c r="D32" s="30">
        <v>4</v>
      </c>
      <c r="E32" s="30">
        <v>22</v>
      </c>
      <c r="F32" s="30">
        <v>2</v>
      </c>
      <c r="G32" s="30">
        <v>1</v>
      </c>
      <c r="H32" s="175"/>
      <c r="L32" s="21">
        <v>1</v>
      </c>
      <c r="N32" s="21">
        <v>1</v>
      </c>
    </row>
    <row r="33" spans="2:14" ht="18">
      <c r="B33" s="30">
        <v>14</v>
      </c>
      <c r="C33" s="30">
        <v>7</v>
      </c>
      <c r="D33" s="30">
        <v>5</v>
      </c>
      <c r="E33" s="30">
        <v>25</v>
      </c>
      <c r="F33" s="30">
        <v>0</v>
      </c>
      <c r="G33" s="30">
        <v>0</v>
      </c>
      <c r="H33" s="175"/>
      <c r="L33" s="21">
        <v>1</v>
      </c>
      <c r="N33" s="21">
        <v>2</v>
      </c>
    </row>
    <row r="34" spans="2:14" ht="18">
      <c r="B34" s="30">
        <v>14</v>
      </c>
      <c r="C34" s="30">
        <v>15</v>
      </c>
      <c r="D34" s="30">
        <v>5</v>
      </c>
      <c r="E34" s="30">
        <v>15</v>
      </c>
      <c r="F34" s="30">
        <v>12</v>
      </c>
      <c r="G34" s="30">
        <v>0</v>
      </c>
      <c r="H34" s="175"/>
      <c r="L34" s="21">
        <v>1</v>
      </c>
      <c r="N34" s="21">
        <v>3</v>
      </c>
    </row>
    <row r="35" spans="2:14" ht="18">
      <c r="B35" s="30">
        <v>14</v>
      </c>
      <c r="C35" s="30">
        <v>15</v>
      </c>
      <c r="D35" s="30">
        <v>4</v>
      </c>
      <c r="E35" s="30">
        <v>21</v>
      </c>
      <c r="F35" s="30">
        <v>10</v>
      </c>
      <c r="G35" s="30">
        <v>0</v>
      </c>
      <c r="H35" s="175"/>
      <c r="L35" s="21">
        <v>1</v>
      </c>
      <c r="N35" s="21">
        <v>4</v>
      </c>
    </row>
    <row r="36" spans="2:14" ht="18">
      <c r="B36" s="30">
        <v>14</v>
      </c>
      <c r="C36" s="30">
        <v>15</v>
      </c>
      <c r="D36" s="30">
        <v>3</v>
      </c>
      <c r="E36" s="30">
        <v>18</v>
      </c>
      <c r="F36" s="30">
        <v>11</v>
      </c>
      <c r="G36" s="30">
        <v>0</v>
      </c>
      <c r="H36" s="175"/>
      <c r="L36" s="21">
        <v>1</v>
      </c>
      <c r="N36" s="21">
        <v>5</v>
      </c>
    </row>
    <row r="37" spans="2:14" ht="18">
      <c r="B37" s="30">
        <v>14</v>
      </c>
      <c r="C37" s="30">
        <v>15</v>
      </c>
      <c r="D37" s="30">
        <v>2</v>
      </c>
      <c r="E37" s="30">
        <v>22</v>
      </c>
      <c r="F37" s="30">
        <v>9</v>
      </c>
      <c r="G37" s="30">
        <v>1</v>
      </c>
      <c r="H37" s="175"/>
      <c r="L37" s="21">
        <v>1</v>
      </c>
      <c r="N37" s="21">
        <v>6</v>
      </c>
    </row>
    <row r="38" spans="2:14" ht="18">
      <c r="B38" s="30">
        <v>14</v>
      </c>
      <c r="C38" s="30">
        <v>2</v>
      </c>
      <c r="D38" s="30">
        <v>2</v>
      </c>
      <c r="E38" s="30">
        <v>2</v>
      </c>
      <c r="F38" s="30">
        <v>11</v>
      </c>
      <c r="G38" s="30">
        <v>1</v>
      </c>
      <c r="H38" s="175"/>
      <c r="L38" s="21">
        <v>1</v>
      </c>
      <c r="N38" s="21">
        <v>7</v>
      </c>
    </row>
    <row r="39" spans="2:14" ht="18">
      <c r="B39" s="30">
        <v>14</v>
      </c>
      <c r="C39" s="30">
        <v>2</v>
      </c>
      <c r="D39" s="30">
        <v>3</v>
      </c>
      <c r="E39" s="30">
        <v>5</v>
      </c>
      <c r="F39" s="30">
        <v>14</v>
      </c>
      <c r="G39" s="30">
        <v>6</v>
      </c>
      <c r="H39" s="175"/>
      <c r="L39" s="21">
        <v>1</v>
      </c>
      <c r="N39" s="21">
        <v>8</v>
      </c>
    </row>
    <row r="40" spans="2:14" ht="18">
      <c r="B40" s="30">
        <v>14</v>
      </c>
      <c r="C40" s="30">
        <v>2</v>
      </c>
      <c r="D40" s="30">
        <v>4</v>
      </c>
      <c r="E40" s="30">
        <v>11</v>
      </c>
      <c r="F40" s="30">
        <v>9</v>
      </c>
      <c r="G40" s="30">
        <v>5</v>
      </c>
      <c r="H40" s="175"/>
      <c r="L40" s="21">
        <v>1</v>
      </c>
      <c r="N40" s="21">
        <v>9</v>
      </c>
    </row>
    <row r="41" spans="2:14" ht="18">
      <c r="B41" s="30">
        <v>14</v>
      </c>
      <c r="C41" s="30">
        <v>15</v>
      </c>
      <c r="D41" s="30">
        <v>1</v>
      </c>
      <c r="E41" s="30">
        <v>19</v>
      </c>
      <c r="F41" s="30">
        <v>8</v>
      </c>
      <c r="G41" s="30">
        <v>2</v>
      </c>
      <c r="H41" s="175"/>
      <c r="L41" s="21">
        <v>1</v>
      </c>
      <c r="N41" s="21">
        <v>10</v>
      </c>
    </row>
    <row r="42" spans="2:14" ht="18">
      <c r="B42" s="30">
        <v>14</v>
      </c>
      <c r="C42" s="30">
        <v>35</v>
      </c>
      <c r="D42" s="30">
        <v>5</v>
      </c>
      <c r="E42" s="30">
        <v>17</v>
      </c>
      <c r="F42" s="30">
        <v>5</v>
      </c>
      <c r="G42" s="30">
        <v>3</v>
      </c>
      <c r="H42" s="175"/>
      <c r="L42" s="21">
        <v>1</v>
      </c>
      <c r="N42" s="21">
        <v>11</v>
      </c>
    </row>
    <row r="43" spans="2:14" ht="18">
      <c r="B43" s="30">
        <v>14</v>
      </c>
      <c r="C43" s="30">
        <v>35</v>
      </c>
      <c r="D43" s="30">
        <v>6</v>
      </c>
      <c r="E43" s="30">
        <v>22</v>
      </c>
      <c r="F43" s="30">
        <v>2</v>
      </c>
      <c r="G43" s="30">
        <v>1</v>
      </c>
      <c r="H43" s="175"/>
      <c r="L43" s="21">
        <v>1</v>
      </c>
      <c r="N43" s="21">
        <v>12</v>
      </c>
    </row>
    <row r="44" spans="2:14" ht="18">
      <c r="B44" s="30">
        <v>14</v>
      </c>
      <c r="C44" s="30">
        <v>35</v>
      </c>
      <c r="D44" s="30">
        <v>7</v>
      </c>
      <c r="E44" s="30">
        <v>15</v>
      </c>
      <c r="F44" s="30">
        <v>4</v>
      </c>
      <c r="G44" s="30">
        <v>6</v>
      </c>
      <c r="H44" s="175"/>
      <c r="L44" s="21">
        <v>1</v>
      </c>
      <c r="N44" s="21">
        <v>13</v>
      </c>
    </row>
    <row r="45" spans="2:14" ht="18">
      <c r="B45" s="30">
        <v>14</v>
      </c>
      <c r="C45" s="30">
        <v>35</v>
      </c>
      <c r="D45" s="30">
        <v>8</v>
      </c>
      <c r="E45" s="30">
        <v>19</v>
      </c>
      <c r="F45" s="30">
        <v>3</v>
      </c>
      <c r="G45" s="30">
        <v>3</v>
      </c>
      <c r="H45" s="175"/>
      <c r="L45" s="21">
        <v>1</v>
      </c>
      <c r="N45" s="21">
        <v>14</v>
      </c>
    </row>
    <row r="46" spans="2:14" ht="18">
      <c r="B46" s="30">
        <v>14</v>
      </c>
      <c r="C46" s="30">
        <v>12</v>
      </c>
      <c r="D46" s="30">
        <v>5</v>
      </c>
      <c r="E46" s="30">
        <v>18</v>
      </c>
      <c r="F46" s="30">
        <v>2</v>
      </c>
      <c r="G46" s="30">
        <v>5</v>
      </c>
      <c r="H46" s="175"/>
      <c r="L46" s="21">
        <v>1</v>
      </c>
      <c r="N46" s="21">
        <v>15</v>
      </c>
    </row>
    <row r="47" spans="2:14" ht="18">
      <c r="B47" s="30">
        <v>14</v>
      </c>
      <c r="C47" s="30">
        <v>16</v>
      </c>
      <c r="D47" s="30">
        <v>1</v>
      </c>
      <c r="E47" s="30">
        <v>11</v>
      </c>
      <c r="F47" s="30">
        <v>6</v>
      </c>
      <c r="G47" s="30">
        <v>1</v>
      </c>
      <c r="H47" s="175"/>
      <c r="L47" s="21">
        <v>1</v>
      </c>
      <c r="N47" s="21">
        <v>16</v>
      </c>
    </row>
    <row r="48" spans="2:14" ht="18">
      <c r="B48" s="30">
        <v>14</v>
      </c>
      <c r="C48" s="30">
        <v>16</v>
      </c>
      <c r="D48" s="30">
        <v>2</v>
      </c>
      <c r="E48" s="30">
        <v>15</v>
      </c>
      <c r="F48" s="30">
        <v>9</v>
      </c>
      <c r="G48" s="30">
        <v>2</v>
      </c>
      <c r="H48" s="175"/>
      <c r="L48" s="21">
        <v>1</v>
      </c>
      <c r="N48" s="21">
        <v>17</v>
      </c>
    </row>
    <row r="49" spans="2:14" ht="18">
      <c r="B49" s="30">
        <v>14</v>
      </c>
      <c r="C49" s="30">
        <v>16</v>
      </c>
      <c r="D49" s="30">
        <v>3</v>
      </c>
      <c r="E49" s="30">
        <v>18</v>
      </c>
      <c r="F49" s="30">
        <v>11</v>
      </c>
      <c r="G49" s="30">
        <v>3</v>
      </c>
      <c r="H49" s="175"/>
      <c r="L49" s="21">
        <v>1</v>
      </c>
      <c r="N49" s="21">
        <v>35</v>
      </c>
    </row>
    <row r="50" spans="2:14" ht="18">
      <c r="B50" s="30">
        <v>14</v>
      </c>
      <c r="C50" s="30">
        <v>16</v>
      </c>
      <c r="D50" s="30">
        <v>4</v>
      </c>
      <c r="E50" s="30">
        <v>21</v>
      </c>
      <c r="F50" s="30">
        <v>17</v>
      </c>
      <c r="G50" s="30">
        <v>2</v>
      </c>
      <c r="H50" s="175"/>
      <c r="L50" s="21">
        <v>1</v>
      </c>
      <c r="N50" s="21">
        <v>36</v>
      </c>
    </row>
    <row r="51" spans="2:14" ht="18">
      <c r="B51" s="30">
        <v>14</v>
      </c>
      <c r="C51" s="30">
        <v>16</v>
      </c>
      <c r="D51" s="30">
        <v>5</v>
      </c>
      <c r="E51" s="30">
        <v>23</v>
      </c>
      <c r="F51" s="30">
        <v>24</v>
      </c>
      <c r="G51" s="30">
        <v>3</v>
      </c>
      <c r="H51" s="175"/>
      <c r="L51" s="21">
        <v>1</v>
      </c>
      <c r="N51" s="21">
        <v>37</v>
      </c>
    </row>
    <row r="52" spans="2:14" ht="18">
      <c r="B52" s="30">
        <v>14</v>
      </c>
      <c r="C52" s="30">
        <v>9</v>
      </c>
      <c r="D52" s="30">
        <v>6</v>
      </c>
      <c r="E52" s="30">
        <v>18</v>
      </c>
      <c r="F52" s="30">
        <v>7</v>
      </c>
      <c r="G52" s="30">
        <v>0</v>
      </c>
      <c r="H52" s="175"/>
      <c r="L52" s="21">
        <v>1</v>
      </c>
      <c r="N52" s="21"/>
    </row>
    <row r="53" spans="2:14" ht="18">
      <c r="B53" s="30">
        <v>14</v>
      </c>
      <c r="C53" s="30">
        <v>12</v>
      </c>
      <c r="D53" s="30">
        <v>5</v>
      </c>
      <c r="E53" s="30">
        <v>18</v>
      </c>
      <c r="F53" s="30">
        <v>2</v>
      </c>
      <c r="G53" s="30">
        <v>5</v>
      </c>
      <c r="H53" s="175"/>
      <c r="L53" s="21">
        <v>1</v>
      </c>
      <c r="N53" s="21"/>
    </row>
    <row r="54" spans="2:14" ht="18">
      <c r="B54" s="30">
        <v>14</v>
      </c>
      <c r="C54" s="30">
        <v>12</v>
      </c>
      <c r="D54" s="30">
        <v>6</v>
      </c>
      <c r="E54" s="30">
        <v>19</v>
      </c>
      <c r="F54" s="30">
        <v>2</v>
      </c>
      <c r="G54" s="30">
        <v>4</v>
      </c>
      <c r="H54" s="175"/>
      <c r="L54" s="21">
        <v>1</v>
      </c>
      <c r="N54" s="21"/>
    </row>
    <row r="55" spans="2:14" ht="18">
      <c r="B55" s="30">
        <v>14</v>
      </c>
      <c r="C55" s="30">
        <v>7</v>
      </c>
      <c r="D55" s="30">
        <v>7</v>
      </c>
      <c r="E55" s="30">
        <v>21</v>
      </c>
      <c r="F55" s="30">
        <v>1</v>
      </c>
      <c r="G55" s="30">
        <v>3</v>
      </c>
      <c r="H55" s="175"/>
      <c r="L55" s="21">
        <v>1</v>
      </c>
      <c r="N55" s="21"/>
    </row>
    <row r="56" spans="2:14" ht="18">
      <c r="B56" s="30">
        <v>14</v>
      </c>
      <c r="C56" s="30">
        <v>7</v>
      </c>
      <c r="D56" s="30">
        <v>4</v>
      </c>
      <c r="E56" s="30">
        <v>22</v>
      </c>
      <c r="F56" s="30">
        <v>2</v>
      </c>
      <c r="G56" s="30">
        <v>1</v>
      </c>
      <c r="H56" s="175"/>
      <c r="L56" s="21">
        <v>1</v>
      </c>
      <c r="N56" s="21"/>
    </row>
    <row r="57" spans="2:14" ht="18">
      <c r="B57" s="30">
        <v>14</v>
      </c>
      <c r="C57" s="30">
        <v>7</v>
      </c>
      <c r="D57" s="30">
        <v>5</v>
      </c>
      <c r="E57" s="30">
        <v>25</v>
      </c>
      <c r="F57" s="30">
        <v>0</v>
      </c>
      <c r="G57" s="30">
        <v>0</v>
      </c>
      <c r="H57" s="175"/>
      <c r="L57" s="21">
        <v>1</v>
      </c>
      <c r="N57" s="21"/>
    </row>
    <row r="58" spans="2:14" ht="18">
      <c r="B58" s="30">
        <v>14</v>
      </c>
      <c r="C58" s="30">
        <v>7</v>
      </c>
      <c r="D58" s="30">
        <v>6</v>
      </c>
      <c r="E58" s="30">
        <v>16</v>
      </c>
      <c r="F58" s="30">
        <v>4</v>
      </c>
      <c r="G58" s="30">
        <v>5</v>
      </c>
      <c r="H58" s="175"/>
      <c r="L58" s="21">
        <v>1</v>
      </c>
      <c r="N58" s="21"/>
    </row>
    <row r="59" spans="2:14" ht="18">
      <c r="B59" s="30">
        <v>14</v>
      </c>
      <c r="C59" s="30">
        <v>14</v>
      </c>
      <c r="D59" s="30">
        <v>1</v>
      </c>
      <c r="E59" s="30">
        <v>4</v>
      </c>
      <c r="F59" s="30">
        <v>2</v>
      </c>
      <c r="G59" s="30">
        <v>3</v>
      </c>
      <c r="H59" s="175"/>
      <c r="L59" s="21">
        <v>1</v>
      </c>
      <c r="N59" s="21"/>
    </row>
    <row r="60" spans="2:14" ht="18">
      <c r="B60" s="30">
        <v>14</v>
      </c>
      <c r="C60" s="30">
        <v>14</v>
      </c>
      <c r="D60" s="30">
        <v>2</v>
      </c>
      <c r="E60" s="30">
        <v>8</v>
      </c>
      <c r="F60" s="30">
        <v>5</v>
      </c>
      <c r="G60" s="30">
        <v>7</v>
      </c>
      <c r="H60" s="175"/>
      <c r="L60" s="21">
        <v>1</v>
      </c>
      <c r="N60" s="21"/>
    </row>
    <row r="61" spans="2:14" ht="18">
      <c r="B61" s="30">
        <v>14</v>
      </c>
      <c r="C61" s="30">
        <v>14</v>
      </c>
      <c r="D61" s="30">
        <v>4</v>
      </c>
      <c r="E61" s="30">
        <v>9</v>
      </c>
      <c r="F61" s="30">
        <v>5</v>
      </c>
      <c r="G61" s="30">
        <v>9</v>
      </c>
      <c r="H61" s="175"/>
      <c r="L61" s="21">
        <v>1</v>
      </c>
      <c r="N61" s="21"/>
    </row>
    <row r="62" spans="2:14" ht="18">
      <c r="B62" s="30">
        <v>14</v>
      </c>
      <c r="C62" s="30">
        <v>14</v>
      </c>
      <c r="D62" s="30">
        <v>5</v>
      </c>
      <c r="E62" s="30">
        <v>8</v>
      </c>
      <c r="F62" s="30">
        <v>4</v>
      </c>
      <c r="G62" s="30">
        <v>9</v>
      </c>
      <c r="H62" s="175"/>
      <c r="L62" s="21">
        <v>1</v>
      </c>
      <c r="N62" s="21"/>
    </row>
    <row r="63" spans="2:14" ht="18">
      <c r="B63" s="30">
        <v>14</v>
      </c>
      <c r="C63" s="30">
        <v>14</v>
      </c>
      <c r="D63" s="30">
        <v>6</v>
      </c>
      <c r="E63" s="30">
        <v>6</v>
      </c>
      <c r="F63" s="30">
        <v>3</v>
      </c>
      <c r="G63" s="30">
        <v>5</v>
      </c>
      <c r="H63" s="175"/>
      <c r="L63" s="21">
        <v>1</v>
      </c>
      <c r="N63" s="21"/>
    </row>
    <row r="64" spans="2:14" ht="18">
      <c r="B64" s="30">
        <v>14</v>
      </c>
      <c r="C64" s="30">
        <v>14</v>
      </c>
      <c r="D64" s="30">
        <v>3</v>
      </c>
      <c r="E64" s="30">
        <v>9</v>
      </c>
      <c r="F64" s="30">
        <v>3</v>
      </c>
      <c r="G64" s="30">
        <v>8</v>
      </c>
      <c r="H64" s="175"/>
      <c r="L64" s="21">
        <v>1</v>
      </c>
      <c r="N64" s="21"/>
    </row>
    <row r="65" spans="2:14" ht="18">
      <c r="B65" s="30">
        <v>14</v>
      </c>
      <c r="C65" s="30">
        <v>17</v>
      </c>
      <c r="D65" s="30">
        <v>4</v>
      </c>
      <c r="E65" s="30">
        <v>9</v>
      </c>
      <c r="F65" s="30">
        <v>6</v>
      </c>
      <c r="G65" s="30">
        <v>4</v>
      </c>
      <c r="H65" s="175"/>
      <c r="L65" s="21">
        <v>1</v>
      </c>
      <c r="N65" s="21"/>
    </row>
    <row r="66" spans="2:14" ht="18">
      <c r="B66" s="30">
        <v>14</v>
      </c>
      <c r="C66" s="30">
        <v>17</v>
      </c>
      <c r="D66" s="30">
        <v>5</v>
      </c>
      <c r="E66" s="30">
        <v>11</v>
      </c>
      <c r="F66" s="30">
        <v>4</v>
      </c>
      <c r="G66" s="30">
        <v>5</v>
      </c>
      <c r="H66" s="175"/>
      <c r="L66" s="21">
        <v>1</v>
      </c>
      <c r="N66" s="21"/>
    </row>
    <row r="67" spans="2:14" ht="18">
      <c r="B67" s="30">
        <v>14</v>
      </c>
      <c r="C67" s="30">
        <v>17</v>
      </c>
      <c r="D67" s="30">
        <v>6</v>
      </c>
      <c r="E67" s="30">
        <v>13</v>
      </c>
      <c r="F67" s="30">
        <v>9</v>
      </c>
      <c r="G67" s="30">
        <v>7</v>
      </c>
      <c r="H67" s="175"/>
      <c r="L67" s="21">
        <v>1</v>
      </c>
      <c r="N67" s="21"/>
    </row>
    <row r="68" spans="2:14" ht="18">
      <c r="B68" s="30">
        <v>14</v>
      </c>
      <c r="C68" s="30">
        <v>17</v>
      </c>
      <c r="D68" s="30">
        <v>7</v>
      </c>
      <c r="E68" s="30">
        <v>10</v>
      </c>
      <c r="F68" s="30">
        <v>8</v>
      </c>
      <c r="G68" s="30">
        <v>6</v>
      </c>
      <c r="H68" s="175"/>
      <c r="L68" s="21">
        <v>1</v>
      </c>
      <c r="N68" s="21"/>
    </row>
    <row r="69" spans="2:14" ht="18">
      <c r="B69" s="30">
        <v>14</v>
      </c>
      <c r="C69" s="30">
        <v>3</v>
      </c>
      <c r="D69" s="30">
        <v>1</v>
      </c>
      <c r="E69" s="30">
        <v>14</v>
      </c>
      <c r="F69" s="30">
        <v>6</v>
      </c>
      <c r="G69" s="30">
        <v>3</v>
      </c>
      <c r="H69" s="175"/>
      <c r="L69" s="21">
        <v>1</v>
      </c>
      <c r="N69" s="21"/>
    </row>
    <row r="70" spans="2:14" ht="18">
      <c r="B70" s="30">
        <v>14</v>
      </c>
      <c r="C70" s="30">
        <v>3</v>
      </c>
      <c r="D70" s="30">
        <v>2</v>
      </c>
      <c r="E70" s="30">
        <v>20</v>
      </c>
      <c r="F70" s="30">
        <v>11</v>
      </c>
      <c r="G70" s="30">
        <v>0</v>
      </c>
      <c r="H70" s="175"/>
      <c r="L70" s="21">
        <v>1</v>
      </c>
      <c r="N70" s="21"/>
    </row>
    <row r="71" spans="2:14" ht="18">
      <c r="B71" s="30">
        <v>14</v>
      </c>
      <c r="C71" s="30">
        <v>3</v>
      </c>
      <c r="D71" s="30">
        <v>3</v>
      </c>
      <c r="E71" s="30">
        <v>16</v>
      </c>
      <c r="F71" s="30">
        <v>4</v>
      </c>
      <c r="G71" s="30">
        <v>5</v>
      </c>
      <c r="H71" s="175"/>
      <c r="L71" s="21">
        <v>1</v>
      </c>
      <c r="N71" s="21"/>
    </row>
    <row r="72" spans="2:14" ht="18">
      <c r="B72" s="30">
        <v>14</v>
      </c>
      <c r="C72" s="30">
        <v>3</v>
      </c>
      <c r="D72" s="30">
        <v>4</v>
      </c>
      <c r="E72" s="30">
        <v>25</v>
      </c>
      <c r="F72" s="30">
        <v>8</v>
      </c>
      <c r="G72" s="30">
        <v>2</v>
      </c>
      <c r="H72" s="175"/>
      <c r="L72" s="21">
        <v>1</v>
      </c>
      <c r="N72" s="21"/>
    </row>
    <row r="73" spans="2:14" ht="18">
      <c r="B73" s="30">
        <v>14</v>
      </c>
      <c r="C73" s="30">
        <v>3</v>
      </c>
      <c r="D73" s="30">
        <v>5</v>
      </c>
      <c r="E73" s="30">
        <v>11</v>
      </c>
      <c r="F73" s="30">
        <v>3</v>
      </c>
      <c r="G73" s="30">
        <v>0</v>
      </c>
      <c r="H73" s="175"/>
      <c r="L73" s="21">
        <v>1</v>
      </c>
      <c r="N73" s="21"/>
    </row>
    <row r="74" spans="2:14" ht="18">
      <c r="B74" s="30">
        <v>14</v>
      </c>
      <c r="C74" s="30">
        <v>3</v>
      </c>
      <c r="D74" s="30">
        <v>6</v>
      </c>
      <c r="E74" s="30">
        <v>21</v>
      </c>
      <c r="F74" s="30">
        <v>7</v>
      </c>
      <c r="G74" s="30">
        <v>8</v>
      </c>
      <c r="H74" s="175"/>
      <c r="L74" s="21">
        <v>1</v>
      </c>
    </row>
    <row r="75" spans="2:14" ht="18">
      <c r="B75" s="30">
        <v>14</v>
      </c>
      <c r="C75" s="30">
        <v>6</v>
      </c>
      <c r="D75" s="30">
        <v>5</v>
      </c>
      <c r="E75" s="30">
        <v>10</v>
      </c>
      <c r="F75" s="30">
        <v>3</v>
      </c>
      <c r="G75" s="30">
        <v>4</v>
      </c>
      <c r="H75" s="175"/>
      <c r="L75" s="21">
        <v>1</v>
      </c>
    </row>
    <row r="76" spans="2:14" ht="18">
      <c r="B76" s="30">
        <v>14</v>
      </c>
      <c r="C76" s="30">
        <v>6</v>
      </c>
      <c r="D76" s="30">
        <v>6</v>
      </c>
      <c r="E76" s="30">
        <v>15</v>
      </c>
      <c r="F76" s="30">
        <v>4</v>
      </c>
      <c r="G76" s="30">
        <v>8</v>
      </c>
      <c r="H76" s="175"/>
      <c r="L76" s="21">
        <v>1</v>
      </c>
    </row>
    <row r="77" spans="2:14" ht="18">
      <c r="B77" s="30">
        <v>14</v>
      </c>
      <c r="C77" s="30">
        <v>6</v>
      </c>
      <c r="D77" s="30">
        <v>7</v>
      </c>
      <c r="E77" s="30">
        <v>18</v>
      </c>
      <c r="F77" s="30">
        <v>2</v>
      </c>
      <c r="G77" s="30">
        <v>10</v>
      </c>
      <c r="H77" s="175"/>
      <c r="L77" s="21">
        <v>1</v>
      </c>
    </row>
    <row r="78" spans="2:14" ht="18">
      <c r="B78" s="30">
        <v>14</v>
      </c>
      <c r="C78" s="30">
        <v>12</v>
      </c>
      <c r="D78" s="30">
        <v>7</v>
      </c>
      <c r="E78" s="30">
        <v>20</v>
      </c>
      <c r="F78" s="30">
        <v>2</v>
      </c>
      <c r="G78" s="30">
        <v>3</v>
      </c>
      <c r="H78" s="175"/>
      <c r="L78" s="21">
        <v>1</v>
      </c>
    </row>
    <row r="79" spans="2:14" ht="18">
      <c r="B79" s="30">
        <v>14</v>
      </c>
      <c r="C79" s="30">
        <v>10</v>
      </c>
      <c r="D79" s="30">
        <v>8</v>
      </c>
      <c r="E79" s="30">
        <v>19</v>
      </c>
      <c r="F79" s="30">
        <v>2</v>
      </c>
      <c r="G79" s="30">
        <v>4</v>
      </c>
      <c r="H79" s="175"/>
      <c r="L79" s="21">
        <v>1</v>
      </c>
    </row>
    <row r="80" spans="2:14" ht="18">
      <c r="B80" s="30">
        <v>14</v>
      </c>
      <c r="C80" s="30">
        <v>10</v>
      </c>
      <c r="D80" s="30">
        <v>7</v>
      </c>
      <c r="E80" s="30">
        <v>20</v>
      </c>
      <c r="F80" s="30">
        <v>1</v>
      </c>
      <c r="G80" s="30">
        <v>4</v>
      </c>
      <c r="H80" s="175"/>
      <c r="L80" s="21">
        <v>1</v>
      </c>
    </row>
    <row r="81" spans="2:12" ht="18">
      <c r="B81" s="30">
        <v>14</v>
      </c>
      <c r="C81" s="30">
        <v>10</v>
      </c>
      <c r="D81" s="30">
        <v>6</v>
      </c>
      <c r="E81" s="30">
        <v>19</v>
      </c>
      <c r="F81" s="30">
        <v>4</v>
      </c>
      <c r="G81" s="30">
        <v>1</v>
      </c>
      <c r="H81" s="175"/>
      <c r="L81" s="21">
        <v>1</v>
      </c>
    </row>
    <row r="82" spans="2:12" ht="18">
      <c r="B82" s="30">
        <v>14</v>
      </c>
      <c r="C82" s="30">
        <v>10</v>
      </c>
      <c r="D82" s="30">
        <v>5</v>
      </c>
      <c r="E82" s="30">
        <v>18</v>
      </c>
      <c r="F82" s="30">
        <v>3</v>
      </c>
      <c r="G82" s="30">
        <v>4</v>
      </c>
      <c r="H82" s="175"/>
      <c r="L82" s="21">
        <v>1</v>
      </c>
    </row>
    <row r="83" spans="2:12" ht="18">
      <c r="B83" s="30">
        <v>14</v>
      </c>
      <c r="C83" s="30">
        <v>10</v>
      </c>
      <c r="D83" s="30">
        <v>4</v>
      </c>
      <c r="E83" s="30">
        <v>22</v>
      </c>
      <c r="F83" s="30">
        <v>2</v>
      </c>
      <c r="G83" s="30">
        <v>3</v>
      </c>
      <c r="H83" s="175"/>
      <c r="L83" s="21">
        <v>1</v>
      </c>
    </row>
    <row r="84" spans="2:12" ht="18">
      <c r="B84" s="30">
        <v>14</v>
      </c>
      <c r="C84" s="30">
        <v>10</v>
      </c>
      <c r="D84" s="30">
        <v>3</v>
      </c>
      <c r="E84" s="30">
        <v>19</v>
      </c>
      <c r="F84" s="30">
        <v>1</v>
      </c>
      <c r="G84" s="30">
        <v>5</v>
      </c>
      <c r="H84" s="175"/>
      <c r="L84" s="21">
        <v>1</v>
      </c>
    </row>
    <row r="85" spans="2:12" ht="18">
      <c r="B85" s="30">
        <v>14</v>
      </c>
      <c r="C85" s="30">
        <v>10</v>
      </c>
      <c r="D85" s="30">
        <v>2</v>
      </c>
      <c r="E85" s="30">
        <v>21</v>
      </c>
      <c r="F85" s="30">
        <v>2</v>
      </c>
      <c r="G85" s="30">
        <v>2</v>
      </c>
      <c r="H85" s="175"/>
      <c r="L85" s="21">
        <v>1</v>
      </c>
    </row>
    <row r="86" spans="2:12" ht="18">
      <c r="B86" s="30">
        <v>14</v>
      </c>
      <c r="C86" s="30">
        <v>10</v>
      </c>
      <c r="D86" s="30">
        <v>1</v>
      </c>
      <c r="E86" s="30">
        <v>20</v>
      </c>
      <c r="F86" s="30">
        <v>3</v>
      </c>
      <c r="G86" s="30">
        <v>2</v>
      </c>
      <c r="H86" s="175"/>
      <c r="L86" s="21">
        <v>1</v>
      </c>
    </row>
    <row r="87" spans="2:12" ht="18">
      <c r="B87" s="30">
        <v>14</v>
      </c>
      <c r="C87" s="30">
        <v>35</v>
      </c>
      <c r="D87" s="30">
        <v>9</v>
      </c>
      <c r="E87" s="30">
        <v>17</v>
      </c>
      <c r="F87" s="30">
        <v>5</v>
      </c>
      <c r="G87" s="30">
        <v>3</v>
      </c>
      <c r="H87" s="175"/>
      <c r="L87" s="21">
        <v>1</v>
      </c>
    </row>
    <row r="88" spans="2:12" ht="18">
      <c r="B88" s="30">
        <v>14</v>
      </c>
      <c r="C88" s="30">
        <v>35</v>
      </c>
      <c r="D88" s="30">
        <v>10</v>
      </c>
      <c r="E88" s="30">
        <v>18</v>
      </c>
      <c r="F88" s="30">
        <v>4</v>
      </c>
      <c r="G88" s="30">
        <v>3</v>
      </c>
      <c r="H88" s="175"/>
      <c r="L88" s="21">
        <v>1</v>
      </c>
    </row>
    <row r="89" spans="2:12" ht="18">
      <c r="B89" s="30">
        <v>14</v>
      </c>
      <c r="C89" s="30">
        <v>35</v>
      </c>
      <c r="D89" s="30">
        <v>11</v>
      </c>
      <c r="E89" s="30">
        <v>15</v>
      </c>
      <c r="F89" s="30">
        <v>6</v>
      </c>
      <c r="G89" s="30">
        <v>4</v>
      </c>
      <c r="H89" s="175"/>
      <c r="L89" s="21">
        <v>1</v>
      </c>
    </row>
    <row r="90" spans="2:12" ht="18">
      <c r="B90" s="30">
        <v>14</v>
      </c>
      <c r="C90" s="30">
        <v>3</v>
      </c>
      <c r="D90" s="30">
        <v>7</v>
      </c>
      <c r="E90" s="30">
        <v>9</v>
      </c>
      <c r="F90" s="30">
        <v>2</v>
      </c>
      <c r="G90" s="30">
        <v>1</v>
      </c>
      <c r="H90" s="175"/>
      <c r="L90" s="21">
        <v>1</v>
      </c>
    </row>
    <row r="91" spans="2:12" ht="18">
      <c r="B91" s="30">
        <v>14</v>
      </c>
      <c r="C91" s="30">
        <v>16</v>
      </c>
      <c r="D91" s="30">
        <v>6</v>
      </c>
      <c r="E91" s="30">
        <v>36</v>
      </c>
      <c r="F91" s="30">
        <v>16</v>
      </c>
      <c r="G91" s="30">
        <v>2</v>
      </c>
      <c r="H91" s="175"/>
      <c r="L91" s="21">
        <v>1</v>
      </c>
    </row>
    <row r="92" spans="2:12" ht="18">
      <c r="B92" s="30">
        <v>14</v>
      </c>
      <c r="C92" s="30">
        <v>16</v>
      </c>
      <c r="D92" s="30">
        <v>7</v>
      </c>
      <c r="E92" s="30">
        <v>38</v>
      </c>
      <c r="F92" s="30">
        <v>22</v>
      </c>
      <c r="G92" s="30">
        <v>1</v>
      </c>
      <c r="H92" s="175"/>
      <c r="L92" s="21">
        <v>1</v>
      </c>
    </row>
    <row r="93" spans="2:12" ht="18">
      <c r="B93" s="30">
        <v>14</v>
      </c>
      <c r="C93" s="30">
        <v>35</v>
      </c>
      <c r="D93" s="30">
        <v>12</v>
      </c>
      <c r="E93" s="30">
        <v>13</v>
      </c>
      <c r="F93" s="30">
        <v>7</v>
      </c>
      <c r="G93" s="30">
        <v>5</v>
      </c>
      <c r="H93" s="175"/>
      <c r="L93" s="21">
        <v>1</v>
      </c>
    </row>
    <row r="94" spans="2:12" ht="18">
      <c r="B94" s="30">
        <v>14</v>
      </c>
      <c r="C94" s="30">
        <v>14</v>
      </c>
      <c r="D94" s="30">
        <v>7</v>
      </c>
      <c r="E94" s="30">
        <v>5</v>
      </c>
      <c r="F94" s="30">
        <v>1</v>
      </c>
      <c r="G94" s="30">
        <v>3</v>
      </c>
      <c r="H94" s="175"/>
      <c r="L94" s="21">
        <v>1</v>
      </c>
    </row>
    <row r="95" spans="2:12" ht="18">
      <c r="B95" s="30">
        <v>14</v>
      </c>
      <c r="C95" s="30">
        <v>14</v>
      </c>
      <c r="D95" s="30">
        <v>6</v>
      </c>
      <c r="E95" s="30">
        <v>6</v>
      </c>
      <c r="F95" s="30">
        <v>3</v>
      </c>
      <c r="G95" s="30">
        <v>5</v>
      </c>
      <c r="H95" s="175"/>
      <c r="L95" s="21">
        <v>1</v>
      </c>
    </row>
    <row r="96" spans="2:12" ht="18">
      <c r="B96" s="30">
        <v>14</v>
      </c>
      <c r="C96" s="30">
        <v>4</v>
      </c>
      <c r="D96" s="30">
        <v>8</v>
      </c>
      <c r="E96" s="30">
        <v>10</v>
      </c>
      <c r="F96" s="30">
        <v>3</v>
      </c>
      <c r="G96" s="30">
        <v>3</v>
      </c>
      <c r="H96" s="175"/>
      <c r="L96" s="21">
        <v>1</v>
      </c>
    </row>
    <row r="97" spans="2:12" ht="18">
      <c r="B97" s="30">
        <v>14</v>
      </c>
      <c r="C97" s="30">
        <v>3</v>
      </c>
      <c r="D97" s="30">
        <v>9</v>
      </c>
      <c r="E97" s="30">
        <v>8</v>
      </c>
      <c r="F97" s="30">
        <v>1</v>
      </c>
      <c r="G97" s="30">
        <v>1</v>
      </c>
      <c r="H97" s="175"/>
      <c r="L97" s="21">
        <v>1</v>
      </c>
    </row>
    <row r="98" spans="2:12" ht="18">
      <c r="B98" s="30">
        <v>14</v>
      </c>
      <c r="C98" s="30">
        <v>2</v>
      </c>
      <c r="D98" s="30">
        <v>5</v>
      </c>
      <c r="E98" s="30">
        <v>13</v>
      </c>
      <c r="F98" s="30">
        <v>9</v>
      </c>
      <c r="G98" s="30">
        <v>3</v>
      </c>
      <c r="H98" s="175"/>
      <c r="L98" s="21">
        <v>1</v>
      </c>
    </row>
    <row r="99" spans="2:12" ht="18">
      <c r="B99" s="30">
        <v>14</v>
      </c>
      <c r="C99" s="30">
        <v>2</v>
      </c>
      <c r="D99" s="30">
        <v>6</v>
      </c>
      <c r="E99" s="30">
        <v>15</v>
      </c>
      <c r="F99" s="30">
        <v>9</v>
      </c>
      <c r="G99" s="30">
        <v>1</v>
      </c>
      <c r="H99" s="175"/>
      <c r="L99" s="21">
        <v>1</v>
      </c>
    </row>
    <row r="100" spans="2:12" ht="18">
      <c r="B100" s="30">
        <v>14</v>
      </c>
      <c r="C100" s="30">
        <v>2</v>
      </c>
      <c r="D100" s="30">
        <v>7</v>
      </c>
      <c r="E100" s="30">
        <v>8</v>
      </c>
      <c r="F100" s="30">
        <v>11</v>
      </c>
      <c r="G100" s="30">
        <v>6</v>
      </c>
      <c r="H100" s="175"/>
      <c r="L100" s="21">
        <v>1</v>
      </c>
    </row>
    <row r="101" spans="2:12" ht="18">
      <c r="B101" s="30">
        <v>14</v>
      </c>
      <c r="C101" s="30">
        <v>2</v>
      </c>
      <c r="D101" s="30">
        <v>8</v>
      </c>
      <c r="E101" s="30">
        <v>9</v>
      </c>
      <c r="F101" s="30">
        <v>13</v>
      </c>
      <c r="G101" s="30">
        <v>3</v>
      </c>
      <c r="H101" s="175"/>
      <c r="L101" s="21">
        <v>1</v>
      </c>
    </row>
    <row r="102" spans="2:12" ht="18">
      <c r="B102" s="30">
        <v>14</v>
      </c>
      <c r="C102" s="30">
        <v>2</v>
      </c>
      <c r="D102" s="30">
        <v>9</v>
      </c>
      <c r="E102" s="30">
        <v>13</v>
      </c>
      <c r="F102" s="30">
        <v>10</v>
      </c>
      <c r="G102" s="30">
        <v>2</v>
      </c>
      <c r="H102" s="175"/>
      <c r="L102" s="21">
        <v>1</v>
      </c>
    </row>
    <row r="103" spans="2:12" ht="18">
      <c r="B103" s="30">
        <v>14</v>
      </c>
      <c r="C103" s="30">
        <v>4</v>
      </c>
      <c r="D103" s="30">
        <v>1</v>
      </c>
      <c r="E103" s="30">
        <v>14</v>
      </c>
      <c r="F103" s="30">
        <v>7</v>
      </c>
      <c r="G103" s="30">
        <v>4</v>
      </c>
      <c r="H103" s="175"/>
      <c r="L103" s="21">
        <v>1</v>
      </c>
    </row>
    <row r="104" spans="2:12" ht="18">
      <c r="B104" s="30">
        <v>14</v>
      </c>
      <c r="C104" s="30">
        <v>4</v>
      </c>
      <c r="D104" s="30">
        <v>2</v>
      </c>
      <c r="E104" s="30">
        <v>16</v>
      </c>
      <c r="F104" s="30">
        <v>8</v>
      </c>
      <c r="G104" s="30">
        <v>3</v>
      </c>
      <c r="H104" s="175"/>
      <c r="L104" s="21">
        <v>1</v>
      </c>
    </row>
    <row r="105" spans="2:12" ht="18">
      <c r="B105" s="30">
        <v>14</v>
      </c>
      <c r="C105" s="30">
        <v>4</v>
      </c>
      <c r="D105" s="30">
        <v>3</v>
      </c>
      <c r="E105" s="30">
        <v>11</v>
      </c>
      <c r="F105" s="30">
        <v>9</v>
      </c>
      <c r="G105" s="30">
        <v>5</v>
      </c>
      <c r="H105" s="175"/>
      <c r="L105" s="21">
        <v>1</v>
      </c>
    </row>
    <row r="106" spans="2:12" ht="18">
      <c r="B106" s="30">
        <v>14</v>
      </c>
      <c r="C106" s="30">
        <v>4</v>
      </c>
      <c r="D106" s="30">
        <v>4</v>
      </c>
      <c r="E106" s="30">
        <v>11</v>
      </c>
      <c r="F106" s="30">
        <v>10</v>
      </c>
      <c r="G106" s="30">
        <v>4</v>
      </c>
      <c r="H106" s="175"/>
      <c r="L106" s="21">
        <v>1</v>
      </c>
    </row>
    <row r="107" spans="2:12" ht="18">
      <c r="B107" s="30">
        <v>14</v>
      </c>
      <c r="C107" s="30">
        <v>4</v>
      </c>
      <c r="D107" s="30">
        <v>5</v>
      </c>
      <c r="E107" s="30">
        <v>14</v>
      </c>
      <c r="F107" s="30">
        <v>7</v>
      </c>
      <c r="G107" s="30">
        <v>4</v>
      </c>
      <c r="H107" s="175"/>
      <c r="L107" s="21">
        <v>1</v>
      </c>
    </row>
    <row r="108" spans="2:12" ht="18">
      <c r="B108" s="30">
        <v>14</v>
      </c>
      <c r="C108" s="30">
        <v>4</v>
      </c>
      <c r="D108" s="30">
        <v>6</v>
      </c>
      <c r="E108" s="30">
        <v>16</v>
      </c>
      <c r="F108" s="30">
        <v>6</v>
      </c>
      <c r="G108" s="30">
        <v>3</v>
      </c>
      <c r="H108" s="175"/>
      <c r="L108" s="21">
        <v>1</v>
      </c>
    </row>
    <row r="109" spans="2:12" ht="18">
      <c r="B109" s="30">
        <v>14</v>
      </c>
      <c r="C109" s="30">
        <v>6</v>
      </c>
      <c r="D109" s="30">
        <v>8</v>
      </c>
      <c r="E109" s="30">
        <v>13</v>
      </c>
      <c r="F109" s="30">
        <v>1</v>
      </c>
      <c r="G109" s="30">
        <v>7</v>
      </c>
      <c r="H109" s="175"/>
      <c r="L109" s="21">
        <v>1</v>
      </c>
    </row>
    <row r="110" spans="2:12" ht="18">
      <c r="B110" s="30">
        <v>14</v>
      </c>
      <c r="C110" s="30">
        <v>6</v>
      </c>
      <c r="D110" s="30">
        <v>9</v>
      </c>
      <c r="E110" s="30">
        <v>14</v>
      </c>
      <c r="F110" s="30">
        <v>5</v>
      </c>
      <c r="G110" s="30">
        <v>8</v>
      </c>
      <c r="H110" s="175"/>
      <c r="L110" s="21">
        <v>1</v>
      </c>
    </row>
    <row r="111" spans="2:12" ht="18">
      <c r="B111" s="30">
        <v>14</v>
      </c>
      <c r="C111" s="30">
        <v>37</v>
      </c>
      <c r="D111" s="30">
        <v>1</v>
      </c>
      <c r="E111" s="30">
        <v>10</v>
      </c>
      <c r="F111" s="30">
        <v>5</v>
      </c>
      <c r="G111" s="30">
        <v>3</v>
      </c>
      <c r="H111" s="175"/>
      <c r="L111" s="21">
        <v>1</v>
      </c>
    </row>
    <row r="112" spans="2:12" ht="18">
      <c r="B112" s="30">
        <v>14</v>
      </c>
      <c r="C112" s="30">
        <v>37</v>
      </c>
      <c r="D112" s="30">
        <v>2</v>
      </c>
      <c r="E112" s="30">
        <v>9</v>
      </c>
      <c r="F112" s="30">
        <v>3</v>
      </c>
      <c r="G112" s="30">
        <v>4</v>
      </c>
      <c r="H112" s="175"/>
      <c r="L112" s="21">
        <v>1</v>
      </c>
    </row>
    <row r="113" spans="2:12" ht="18">
      <c r="B113" s="30">
        <v>14</v>
      </c>
      <c r="C113" s="30">
        <v>37</v>
      </c>
      <c r="D113" s="30">
        <v>3</v>
      </c>
      <c r="E113" s="30">
        <v>13</v>
      </c>
      <c r="F113" s="30">
        <v>2</v>
      </c>
      <c r="G113" s="30">
        <v>6</v>
      </c>
      <c r="H113" s="175"/>
      <c r="L113" s="21">
        <v>1</v>
      </c>
    </row>
    <row r="114" spans="2:12" ht="18">
      <c r="B114" s="30">
        <v>14</v>
      </c>
      <c r="C114" s="30">
        <v>37</v>
      </c>
      <c r="D114" s="30">
        <v>4</v>
      </c>
      <c r="E114" s="30">
        <v>15</v>
      </c>
      <c r="F114" s="30">
        <v>6</v>
      </c>
      <c r="G114" s="30">
        <v>4</v>
      </c>
      <c r="H114" s="175"/>
      <c r="L114" s="21">
        <v>1</v>
      </c>
    </row>
    <row r="115" spans="2:12" ht="18">
      <c r="B115" s="30">
        <v>14</v>
      </c>
      <c r="C115" s="30">
        <v>37</v>
      </c>
      <c r="D115" s="30">
        <v>5</v>
      </c>
      <c r="E115" s="30">
        <v>11</v>
      </c>
      <c r="F115" s="30">
        <v>5</v>
      </c>
      <c r="G115" s="30">
        <v>8</v>
      </c>
      <c r="H115" s="175"/>
      <c r="L115" s="21">
        <v>1</v>
      </c>
    </row>
    <row r="116" spans="2:12" ht="18">
      <c r="B116" s="30">
        <v>14</v>
      </c>
      <c r="C116" s="30">
        <v>37</v>
      </c>
      <c r="D116" s="30">
        <v>7</v>
      </c>
      <c r="E116" s="30">
        <v>9</v>
      </c>
      <c r="F116" s="30">
        <v>3</v>
      </c>
      <c r="G116" s="30">
        <v>2</v>
      </c>
      <c r="H116" s="175"/>
      <c r="L116" s="21">
        <v>1</v>
      </c>
    </row>
    <row r="117" spans="2:12" ht="18">
      <c r="B117" s="30">
        <v>14</v>
      </c>
      <c r="C117" s="30">
        <v>7</v>
      </c>
      <c r="D117" s="30">
        <v>8</v>
      </c>
      <c r="E117" s="30">
        <v>23</v>
      </c>
      <c r="F117" s="30">
        <v>2</v>
      </c>
      <c r="G117" s="30">
        <v>0</v>
      </c>
      <c r="H117" s="175"/>
      <c r="L117" s="21">
        <v>1</v>
      </c>
    </row>
    <row r="118" spans="2:12" ht="18">
      <c r="B118" s="30">
        <v>14</v>
      </c>
      <c r="C118" s="30">
        <v>7</v>
      </c>
      <c r="D118" s="30">
        <v>9</v>
      </c>
      <c r="E118" s="30">
        <v>20</v>
      </c>
      <c r="F118" s="30">
        <v>3</v>
      </c>
      <c r="G118" s="30">
        <v>2</v>
      </c>
      <c r="H118" s="175"/>
      <c r="L118" s="21">
        <v>1</v>
      </c>
    </row>
    <row r="119" spans="2:12" ht="18">
      <c r="B119" s="30">
        <v>14</v>
      </c>
      <c r="C119" s="30">
        <v>1</v>
      </c>
      <c r="D119" s="30">
        <v>4</v>
      </c>
      <c r="E119" s="30">
        <v>19</v>
      </c>
      <c r="F119" s="30">
        <v>2</v>
      </c>
      <c r="G119" s="30">
        <v>1</v>
      </c>
      <c r="H119" s="175"/>
      <c r="L119" s="21">
        <v>1</v>
      </c>
    </row>
    <row r="120" spans="2:12" ht="18">
      <c r="B120" s="30">
        <v>14</v>
      </c>
      <c r="C120" s="30">
        <v>1</v>
      </c>
      <c r="D120" s="30">
        <v>5</v>
      </c>
      <c r="E120" s="30">
        <v>18</v>
      </c>
      <c r="F120" s="30">
        <v>0</v>
      </c>
      <c r="G120" s="30">
        <v>0</v>
      </c>
      <c r="H120" s="175"/>
      <c r="L120" s="21">
        <v>1</v>
      </c>
    </row>
    <row r="121" spans="2:12" ht="18">
      <c r="B121" s="30">
        <v>14</v>
      </c>
      <c r="C121" s="30">
        <v>3</v>
      </c>
      <c r="D121" s="30">
        <v>6</v>
      </c>
      <c r="E121" s="30">
        <v>9</v>
      </c>
      <c r="F121" s="30">
        <v>10</v>
      </c>
      <c r="G121" s="30">
        <v>5</v>
      </c>
      <c r="H121" s="175"/>
      <c r="L121" s="21">
        <v>1</v>
      </c>
    </row>
    <row r="122" spans="2:12" ht="18">
      <c r="B122" s="30">
        <v>14</v>
      </c>
      <c r="C122" s="30">
        <v>3</v>
      </c>
      <c r="D122" s="30">
        <v>7</v>
      </c>
      <c r="E122" s="30">
        <v>12</v>
      </c>
      <c r="F122" s="30">
        <v>13</v>
      </c>
      <c r="G122" s="30">
        <v>0</v>
      </c>
      <c r="H122" s="175"/>
      <c r="L122" s="21">
        <v>1</v>
      </c>
    </row>
    <row r="123" spans="2:12" ht="18">
      <c r="B123" s="30">
        <v>14</v>
      </c>
      <c r="C123" s="30">
        <v>3</v>
      </c>
      <c r="D123" s="30">
        <v>8</v>
      </c>
      <c r="E123" s="30">
        <v>10</v>
      </c>
      <c r="F123" s="30">
        <v>11</v>
      </c>
      <c r="G123" s="30">
        <v>4</v>
      </c>
      <c r="H123" s="175"/>
      <c r="L123" s="21">
        <v>1</v>
      </c>
    </row>
    <row r="124" spans="2:12" ht="18">
      <c r="B124" s="30">
        <v>14</v>
      </c>
      <c r="C124" s="30">
        <v>3</v>
      </c>
      <c r="D124" s="30">
        <v>5</v>
      </c>
      <c r="E124" s="30">
        <v>9</v>
      </c>
      <c r="F124" s="30">
        <v>12</v>
      </c>
      <c r="G124" s="30">
        <v>4</v>
      </c>
      <c r="H124" s="175"/>
      <c r="L124" s="21">
        <v>1</v>
      </c>
    </row>
    <row r="125" spans="2:12" ht="18">
      <c r="B125" s="30">
        <v>14</v>
      </c>
      <c r="C125" s="30">
        <v>3</v>
      </c>
      <c r="D125" s="30">
        <v>4</v>
      </c>
      <c r="E125" s="30">
        <v>14</v>
      </c>
      <c r="F125" s="30">
        <v>9</v>
      </c>
      <c r="G125" s="30">
        <v>2</v>
      </c>
      <c r="H125" s="175"/>
      <c r="L125" s="21">
        <v>1</v>
      </c>
    </row>
    <row r="126" spans="2:12" ht="18">
      <c r="B126" s="30">
        <v>14</v>
      </c>
      <c r="C126" s="30">
        <v>3</v>
      </c>
      <c r="D126" s="30">
        <v>3</v>
      </c>
      <c r="E126" s="30">
        <v>10</v>
      </c>
      <c r="F126" s="30">
        <v>13</v>
      </c>
      <c r="G126" s="30">
        <v>2</v>
      </c>
      <c r="H126" s="175"/>
      <c r="L126" s="21">
        <v>1</v>
      </c>
    </row>
    <row r="127" spans="2:12" ht="18">
      <c r="B127" s="30">
        <v>14</v>
      </c>
      <c r="C127" s="30">
        <v>3</v>
      </c>
      <c r="D127" s="30">
        <v>1</v>
      </c>
      <c r="E127" s="30">
        <v>9</v>
      </c>
      <c r="F127" s="30">
        <v>9</v>
      </c>
      <c r="G127" s="30">
        <v>7</v>
      </c>
      <c r="H127" s="175"/>
      <c r="L127" s="21">
        <v>1</v>
      </c>
    </row>
    <row r="128" spans="2:12" ht="18">
      <c r="B128" s="30">
        <v>14</v>
      </c>
      <c r="C128" s="30">
        <v>9</v>
      </c>
      <c r="D128" s="30">
        <v>7</v>
      </c>
      <c r="E128" s="30">
        <v>9</v>
      </c>
      <c r="F128" s="30">
        <v>12</v>
      </c>
      <c r="G128" s="30">
        <v>0</v>
      </c>
      <c r="H128" s="175"/>
      <c r="L128" s="21">
        <v>1</v>
      </c>
    </row>
    <row r="129" spans="2:12" ht="18">
      <c r="B129" s="30">
        <v>14</v>
      </c>
      <c r="C129" s="30">
        <v>9</v>
      </c>
      <c r="D129" s="30">
        <v>8</v>
      </c>
      <c r="E129" s="30">
        <v>13</v>
      </c>
      <c r="F129" s="30">
        <v>10</v>
      </c>
      <c r="G129" s="30">
        <v>2</v>
      </c>
      <c r="H129" s="175"/>
      <c r="L129" s="21">
        <v>1</v>
      </c>
    </row>
    <row r="130" spans="2:12" ht="18">
      <c r="B130" s="30">
        <v>14</v>
      </c>
      <c r="C130" s="30">
        <v>37</v>
      </c>
      <c r="D130" s="30">
        <v>8</v>
      </c>
      <c r="E130" s="30">
        <v>16</v>
      </c>
      <c r="F130" s="30">
        <v>4</v>
      </c>
      <c r="G130" s="30">
        <v>3</v>
      </c>
      <c r="H130" s="175"/>
      <c r="L130" s="21">
        <v>1</v>
      </c>
    </row>
    <row r="131" spans="2:12" ht="18">
      <c r="B131" s="30">
        <v>14</v>
      </c>
      <c r="C131" s="30">
        <v>37</v>
      </c>
      <c r="D131" s="30">
        <v>9</v>
      </c>
      <c r="E131" s="30">
        <v>9</v>
      </c>
      <c r="F131" s="30">
        <v>3</v>
      </c>
      <c r="G131" s="30">
        <v>2</v>
      </c>
      <c r="H131" s="175"/>
      <c r="L131" s="21">
        <v>1</v>
      </c>
    </row>
    <row r="132" spans="2:12" ht="18">
      <c r="B132" s="30">
        <v>14</v>
      </c>
      <c r="C132" s="30">
        <v>5</v>
      </c>
      <c r="D132" s="30">
        <v>4</v>
      </c>
      <c r="E132" s="30">
        <v>18</v>
      </c>
      <c r="F132" s="30">
        <v>3</v>
      </c>
      <c r="G132" s="30">
        <v>4</v>
      </c>
      <c r="H132" s="175"/>
      <c r="L132" s="21">
        <v>1</v>
      </c>
    </row>
    <row r="133" spans="2:12" ht="18">
      <c r="B133" s="30">
        <v>14</v>
      </c>
      <c r="C133" s="30">
        <v>5</v>
      </c>
      <c r="D133" s="30">
        <v>5</v>
      </c>
      <c r="E133" s="30">
        <v>20</v>
      </c>
      <c r="F133" s="30">
        <v>2</v>
      </c>
      <c r="G133" s="30">
        <v>3</v>
      </c>
      <c r="H133" s="175"/>
      <c r="L133" s="21">
        <v>1</v>
      </c>
    </row>
    <row r="134" spans="2:12" ht="18">
      <c r="B134" s="30">
        <v>14</v>
      </c>
      <c r="C134" s="30">
        <v>6</v>
      </c>
      <c r="D134" s="30">
        <v>6</v>
      </c>
      <c r="E134" s="30">
        <v>21</v>
      </c>
      <c r="F134" s="30">
        <v>1</v>
      </c>
      <c r="G134" s="30">
        <v>3</v>
      </c>
      <c r="H134" s="175"/>
      <c r="L134" s="21">
        <v>1</v>
      </c>
    </row>
    <row r="135" spans="2:12" ht="18">
      <c r="B135" s="30">
        <v>14</v>
      </c>
      <c r="C135" s="30">
        <v>5</v>
      </c>
      <c r="D135" s="30">
        <v>7</v>
      </c>
      <c r="E135" s="30">
        <v>19</v>
      </c>
      <c r="F135" s="30">
        <v>4</v>
      </c>
      <c r="G135" s="30">
        <v>1</v>
      </c>
      <c r="H135" s="175"/>
      <c r="L135" s="21">
        <v>1</v>
      </c>
    </row>
    <row r="136" spans="2:12" ht="18">
      <c r="B136" s="30">
        <v>14</v>
      </c>
      <c r="C136" s="30">
        <v>5</v>
      </c>
      <c r="D136" s="30">
        <v>8</v>
      </c>
      <c r="E136" s="30">
        <v>19</v>
      </c>
      <c r="F136" s="30">
        <v>6</v>
      </c>
      <c r="G136" s="30">
        <v>0</v>
      </c>
      <c r="H136" s="175"/>
      <c r="L136" s="21">
        <v>1</v>
      </c>
    </row>
    <row r="137" spans="2:12" ht="18">
      <c r="B137" s="30">
        <v>14</v>
      </c>
      <c r="C137" s="30">
        <v>5</v>
      </c>
      <c r="D137" s="30">
        <v>9</v>
      </c>
      <c r="E137" s="30">
        <v>20</v>
      </c>
      <c r="F137" s="30">
        <v>1</v>
      </c>
      <c r="G137" s="30">
        <v>4</v>
      </c>
      <c r="H137" s="175"/>
      <c r="L137" s="21">
        <v>1</v>
      </c>
    </row>
    <row r="138" spans="2:12" ht="18">
      <c r="B138" s="30">
        <v>14</v>
      </c>
      <c r="C138" s="30">
        <v>12</v>
      </c>
      <c r="D138" s="30">
        <v>8</v>
      </c>
      <c r="E138" s="30">
        <v>24</v>
      </c>
      <c r="F138" s="30">
        <v>0</v>
      </c>
      <c r="G138" s="30">
        <v>1</v>
      </c>
      <c r="H138" s="175"/>
      <c r="L138" s="21">
        <v>1</v>
      </c>
    </row>
    <row r="139" spans="2:12" ht="18">
      <c r="B139" s="30">
        <v>14</v>
      </c>
      <c r="C139" s="30">
        <v>12</v>
      </c>
      <c r="D139" s="30">
        <v>9</v>
      </c>
      <c r="E139" s="30">
        <v>23</v>
      </c>
      <c r="F139" s="30">
        <v>1</v>
      </c>
      <c r="G139" s="30">
        <v>1</v>
      </c>
      <c r="H139" s="175"/>
      <c r="L139" s="21">
        <v>1</v>
      </c>
    </row>
    <row r="140" spans="2:12" ht="18">
      <c r="B140" s="30">
        <v>14</v>
      </c>
      <c r="C140" s="30">
        <v>1</v>
      </c>
      <c r="D140" s="30">
        <v>6</v>
      </c>
      <c r="E140" s="30">
        <v>18</v>
      </c>
      <c r="F140" s="30">
        <v>1</v>
      </c>
      <c r="G140" s="30">
        <v>0</v>
      </c>
      <c r="H140" s="175"/>
      <c r="L140" s="21">
        <v>1</v>
      </c>
    </row>
    <row r="141" spans="2:12" ht="18">
      <c r="B141" s="30">
        <v>14</v>
      </c>
      <c r="C141" s="30">
        <v>1</v>
      </c>
      <c r="D141" s="30">
        <v>10</v>
      </c>
      <c r="E141" s="30">
        <v>10</v>
      </c>
      <c r="F141" s="30">
        <v>10</v>
      </c>
      <c r="G141" s="30">
        <v>4</v>
      </c>
      <c r="H141" s="175"/>
      <c r="L141" s="21">
        <v>1</v>
      </c>
    </row>
    <row r="142" spans="2:12" ht="18">
      <c r="B142" s="30">
        <v>14</v>
      </c>
      <c r="C142" s="30">
        <v>1</v>
      </c>
      <c r="D142" s="30">
        <v>9</v>
      </c>
      <c r="E142" s="30">
        <v>16</v>
      </c>
      <c r="F142" s="30">
        <v>0</v>
      </c>
      <c r="G142" s="30">
        <v>5</v>
      </c>
      <c r="H142" s="175"/>
      <c r="L142" s="21">
        <v>1</v>
      </c>
    </row>
    <row r="143" spans="2:12" ht="18">
      <c r="B143" s="30">
        <v>14</v>
      </c>
      <c r="C143" s="30">
        <v>1</v>
      </c>
      <c r="D143" s="30">
        <v>8</v>
      </c>
      <c r="E143" s="30">
        <v>17</v>
      </c>
      <c r="F143" s="30">
        <v>1</v>
      </c>
      <c r="G143" s="30">
        <v>10</v>
      </c>
      <c r="H143" s="175"/>
      <c r="L143" s="21">
        <v>1</v>
      </c>
    </row>
    <row r="144" spans="2:12" ht="18">
      <c r="B144" s="30">
        <v>14</v>
      </c>
      <c r="C144" s="30">
        <v>1</v>
      </c>
      <c r="D144" s="30">
        <v>7</v>
      </c>
      <c r="E144" s="30">
        <v>20</v>
      </c>
      <c r="F144" s="30">
        <v>2</v>
      </c>
      <c r="G144" s="30">
        <v>2</v>
      </c>
      <c r="H144" s="175"/>
      <c r="L144" s="21">
        <v>1</v>
      </c>
    </row>
    <row r="145" spans="2:12" ht="18">
      <c r="B145" s="30">
        <v>14</v>
      </c>
      <c r="C145" s="30">
        <v>12</v>
      </c>
      <c r="D145" s="30">
        <v>11</v>
      </c>
      <c r="E145" s="30">
        <v>17</v>
      </c>
      <c r="F145" s="30">
        <v>5</v>
      </c>
      <c r="G145" s="30">
        <v>3</v>
      </c>
      <c r="H145" s="175"/>
      <c r="L145" s="21">
        <v>1</v>
      </c>
    </row>
    <row r="146" spans="2:12" ht="18">
      <c r="B146" s="30">
        <v>14</v>
      </c>
      <c r="C146" s="30">
        <v>12</v>
      </c>
      <c r="D146" s="30">
        <v>10</v>
      </c>
      <c r="E146" s="30">
        <v>25</v>
      </c>
      <c r="F146" s="30">
        <v>0</v>
      </c>
      <c r="G146" s="30">
        <v>0</v>
      </c>
      <c r="H146" s="175"/>
      <c r="L146" s="21">
        <v>1</v>
      </c>
    </row>
    <row r="147" spans="2:12" ht="18">
      <c r="B147" s="30">
        <v>14</v>
      </c>
      <c r="C147" s="30">
        <v>9</v>
      </c>
      <c r="D147" s="30">
        <v>9</v>
      </c>
      <c r="E147" s="30">
        <v>16</v>
      </c>
      <c r="F147" s="30">
        <v>6</v>
      </c>
      <c r="G147" s="30">
        <v>3</v>
      </c>
      <c r="H147" s="175"/>
      <c r="L147" s="21">
        <v>1</v>
      </c>
    </row>
    <row r="148" spans="2:12" ht="18">
      <c r="B148" s="30">
        <v>14</v>
      </c>
      <c r="C148" s="30">
        <v>9</v>
      </c>
      <c r="D148" s="30">
        <v>10</v>
      </c>
      <c r="E148" s="30">
        <v>8</v>
      </c>
      <c r="F148" s="30">
        <v>12</v>
      </c>
      <c r="G148" s="30">
        <v>5</v>
      </c>
      <c r="H148" s="175"/>
      <c r="L148" s="21">
        <v>1</v>
      </c>
    </row>
    <row r="149" spans="2:12" ht="18">
      <c r="B149" s="30">
        <v>14</v>
      </c>
      <c r="C149" s="30">
        <v>13</v>
      </c>
      <c r="D149" s="30">
        <v>6</v>
      </c>
      <c r="E149" s="30">
        <v>21</v>
      </c>
      <c r="F149" s="30">
        <v>0</v>
      </c>
      <c r="G149" s="30">
        <v>9</v>
      </c>
      <c r="H149" s="175"/>
      <c r="L149" s="21">
        <v>1</v>
      </c>
    </row>
    <row r="150" spans="2:12" ht="18">
      <c r="B150" s="30">
        <v>14</v>
      </c>
      <c r="C150" s="30">
        <v>13</v>
      </c>
      <c r="D150" s="30">
        <v>7</v>
      </c>
      <c r="E150" s="30">
        <v>20</v>
      </c>
      <c r="F150" s="30">
        <v>2</v>
      </c>
      <c r="G150" s="30">
        <v>9</v>
      </c>
      <c r="H150" s="175"/>
      <c r="L150" s="21">
        <v>1</v>
      </c>
    </row>
    <row r="151" spans="2:12" ht="18">
      <c r="B151" s="30">
        <v>14</v>
      </c>
      <c r="C151" s="30">
        <v>13</v>
      </c>
      <c r="D151" s="30">
        <v>8</v>
      </c>
      <c r="E151" s="30">
        <v>14</v>
      </c>
      <c r="F151" s="30">
        <v>0</v>
      </c>
      <c r="G151" s="30">
        <v>9</v>
      </c>
      <c r="H151" s="175"/>
      <c r="L151" s="21">
        <v>1</v>
      </c>
    </row>
    <row r="152" spans="2:12" ht="18">
      <c r="B152" s="30">
        <v>14</v>
      </c>
      <c r="C152" s="30">
        <v>13</v>
      </c>
      <c r="D152" s="30">
        <v>9</v>
      </c>
      <c r="E152" s="30">
        <v>12</v>
      </c>
      <c r="F152" s="30">
        <v>1</v>
      </c>
      <c r="G152" s="30">
        <v>9</v>
      </c>
      <c r="H152" s="175"/>
      <c r="L152" s="21">
        <v>1</v>
      </c>
    </row>
    <row r="153" spans="2:12" ht="18">
      <c r="B153" s="30">
        <v>14</v>
      </c>
      <c r="C153" s="30">
        <v>13</v>
      </c>
      <c r="D153" s="30">
        <v>10</v>
      </c>
      <c r="E153" s="30">
        <v>9</v>
      </c>
      <c r="F153" s="30">
        <v>0</v>
      </c>
      <c r="G153" s="30">
        <v>5</v>
      </c>
      <c r="H153" s="175"/>
      <c r="L153" s="21">
        <v>1</v>
      </c>
    </row>
    <row r="154" spans="2:12" ht="18">
      <c r="B154" s="30">
        <v>14</v>
      </c>
      <c r="C154" s="30">
        <v>2</v>
      </c>
      <c r="D154" s="30">
        <v>10</v>
      </c>
      <c r="E154" s="30">
        <v>15</v>
      </c>
      <c r="F154" s="30">
        <v>5</v>
      </c>
      <c r="G154" s="30">
        <v>5</v>
      </c>
      <c r="H154" s="175"/>
      <c r="L154" s="21">
        <v>1</v>
      </c>
    </row>
    <row r="155" spans="2:12" ht="18">
      <c r="B155" s="30">
        <v>14</v>
      </c>
      <c r="C155" s="30">
        <v>37</v>
      </c>
      <c r="D155" s="30">
        <v>10</v>
      </c>
      <c r="E155" s="30">
        <v>17</v>
      </c>
      <c r="F155" s="30">
        <v>3</v>
      </c>
      <c r="G155" s="30">
        <v>4</v>
      </c>
      <c r="H155" s="175"/>
      <c r="L155" s="21">
        <v>1</v>
      </c>
    </row>
    <row r="156" spans="2:12" ht="18">
      <c r="B156" s="30">
        <v>14</v>
      </c>
      <c r="C156" s="30">
        <v>7</v>
      </c>
      <c r="D156" s="30">
        <v>10</v>
      </c>
      <c r="E156" s="30">
        <v>25</v>
      </c>
      <c r="F156" s="30">
        <v>0</v>
      </c>
      <c r="G156" s="30">
        <v>0</v>
      </c>
      <c r="H156" s="175"/>
      <c r="L156" s="21">
        <v>1</v>
      </c>
    </row>
    <row r="157" spans="2:12" ht="18">
      <c r="B157" s="30">
        <v>14</v>
      </c>
      <c r="C157" s="30">
        <v>15</v>
      </c>
      <c r="D157" s="30">
        <v>11</v>
      </c>
      <c r="E157" s="30">
        <v>17</v>
      </c>
      <c r="F157" s="30">
        <v>14</v>
      </c>
      <c r="G157" s="30">
        <v>1</v>
      </c>
      <c r="H157" s="175"/>
      <c r="L157" s="21">
        <v>1</v>
      </c>
    </row>
    <row r="158" spans="2:12" ht="18">
      <c r="B158" s="30">
        <v>14</v>
      </c>
      <c r="C158" s="30">
        <v>15</v>
      </c>
      <c r="D158" s="30">
        <v>10</v>
      </c>
      <c r="E158" s="30">
        <v>18</v>
      </c>
      <c r="F158" s="30">
        <v>4</v>
      </c>
      <c r="G158" s="30">
        <v>3</v>
      </c>
      <c r="H158" s="175"/>
      <c r="L158" s="21">
        <v>1</v>
      </c>
    </row>
    <row r="159" spans="2:12" ht="18">
      <c r="B159" s="30">
        <v>14</v>
      </c>
      <c r="C159" s="30">
        <v>15</v>
      </c>
      <c r="D159" s="30">
        <v>9</v>
      </c>
      <c r="E159" s="30">
        <v>19</v>
      </c>
      <c r="F159" s="30">
        <v>11</v>
      </c>
      <c r="G159" s="30">
        <v>1</v>
      </c>
      <c r="H159" s="175"/>
      <c r="L159" s="21">
        <v>1</v>
      </c>
    </row>
    <row r="160" spans="2:12" ht="18">
      <c r="B160" s="30">
        <v>14</v>
      </c>
      <c r="C160" s="30">
        <v>15</v>
      </c>
      <c r="D160" s="30">
        <v>8</v>
      </c>
      <c r="E160" s="30">
        <v>21</v>
      </c>
      <c r="F160" s="30">
        <v>8</v>
      </c>
      <c r="G160" s="30">
        <v>2</v>
      </c>
      <c r="H160" s="175"/>
      <c r="L160" s="21">
        <v>1</v>
      </c>
    </row>
    <row r="161" spans="2:12" ht="18">
      <c r="B161" s="30">
        <v>14</v>
      </c>
      <c r="C161" s="30">
        <v>15</v>
      </c>
      <c r="D161" s="30">
        <v>7</v>
      </c>
      <c r="E161" s="30">
        <v>13</v>
      </c>
      <c r="F161" s="30">
        <v>11</v>
      </c>
      <c r="G161" s="30">
        <v>0</v>
      </c>
      <c r="H161" s="175"/>
      <c r="L161" s="21">
        <v>1</v>
      </c>
    </row>
    <row r="162" spans="2:12" ht="18">
      <c r="B162" s="30">
        <v>14</v>
      </c>
      <c r="C162" s="30">
        <v>15</v>
      </c>
      <c r="D162" s="30">
        <v>6</v>
      </c>
      <c r="E162" s="30">
        <v>17</v>
      </c>
      <c r="F162" s="30">
        <v>9</v>
      </c>
      <c r="G162" s="30">
        <v>1</v>
      </c>
      <c r="H162" s="175"/>
      <c r="L162" s="21">
        <v>1</v>
      </c>
    </row>
    <row r="163" spans="2:12" ht="18">
      <c r="B163" s="30">
        <v>14</v>
      </c>
      <c r="C163" s="30">
        <v>4</v>
      </c>
      <c r="D163" s="30">
        <v>7</v>
      </c>
      <c r="E163" s="30">
        <v>14</v>
      </c>
      <c r="F163" s="30">
        <v>7</v>
      </c>
      <c r="G163" s="30">
        <v>4</v>
      </c>
      <c r="H163" s="175"/>
      <c r="L163" s="21">
        <v>1</v>
      </c>
    </row>
    <row r="164" spans="2:12" ht="18">
      <c r="B164" s="30">
        <v>14</v>
      </c>
      <c r="C164" s="30">
        <v>4</v>
      </c>
      <c r="D164" s="30">
        <v>8</v>
      </c>
      <c r="E164" s="30">
        <v>17</v>
      </c>
      <c r="F164" s="30">
        <v>6</v>
      </c>
      <c r="G164" s="30">
        <v>2</v>
      </c>
      <c r="H164" s="175"/>
      <c r="L164" s="21">
        <v>1</v>
      </c>
    </row>
    <row r="165" spans="2:12" ht="18">
      <c r="B165" s="30">
        <v>14</v>
      </c>
      <c r="C165" s="30">
        <v>4</v>
      </c>
      <c r="D165" s="30">
        <v>9</v>
      </c>
      <c r="E165" s="30">
        <v>17</v>
      </c>
      <c r="F165" s="30">
        <v>6</v>
      </c>
      <c r="G165" s="30">
        <v>2</v>
      </c>
      <c r="H165" s="175"/>
      <c r="L165" s="21">
        <v>1</v>
      </c>
    </row>
    <row r="166" spans="2:12" ht="18">
      <c r="B166" s="30">
        <v>14</v>
      </c>
      <c r="C166" s="30">
        <v>10</v>
      </c>
      <c r="D166" s="30">
        <v>9</v>
      </c>
      <c r="E166" s="30">
        <v>16</v>
      </c>
      <c r="F166" s="30">
        <v>4</v>
      </c>
      <c r="G166" s="30">
        <v>5</v>
      </c>
      <c r="H166" s="175"/>
      <c r="L166" s="21">
        <v>1</v>
      </c>
    </row>
    <row r="167" spans="2:12" ht="18">
      <c r="B167" s="30">
        <v>14</v>
      </c>
      <c r="C167" s="30">
        <v>10</v>
      </c>
      <c r="D167" s="30">
        <v>10</v>
      </c>
      <c r="E167" s="30">
        <v>23</v>
      </c>
      <c r="F167" s="30">
        <v>1</v>
      </c>
      <c r="G167" s="30">
        <v>2</v>
      </c>
      <c r="H167" s="175"/>
      <c r="L167" s="21">
        <v>1</v>
      </c>
    </row>
    <row r="168" spans="2:12" ht="18">
      <c r="B168" s="30">
        <v>14</v>
      </c>
      <c r="C168" s="30">
        <v>10</v>
      </c>
      <c r="D168" s="30">
        <v>11</v>
      </c>
      <c r="E168" s="30">
        <v>15</v>
      </c>
      <c r="F168" s="30">
        <v>6</v>
      </c>
      <c r="G168" s="30">
        <v>4</v>
      </c>
      <c r="H168" s="175"/>
      <c r="L168" s="21">
        <v>1</v>
      </c>
    </row>
    <row r="169" spans="2:12" ht="18">
      <c r="B169" s="30">
        <v>14</v>
      </c>
      <c r="C169" s="30">
        <v>37</v>
      </c>
      <c r="D169" s="30">
        <v>11</v>
      </c>
      <c r="E169" s="30">
        <v>16</v>
      </c>
      <c r="F169" s="30">
        <v>5</v>
      </c>
      <c r="G169" s="30">
        <v>6</v>
      </c>
      <c r="H169" s="175"/>
      <c r="L169" s="21">
        <v>1</v>
      </c>
    </row>
    <row r="170" spans="2:12" ht="18">
      <c r="B170" s="30">
        <v>14</v>
      </c>
      <c r="C170" s="30">
        <v>9</v>
      </c>
      <c r="D170" s="30">
        <v>11</v>
      </c>
      <c r="E170" s="30">
        <v>11</v>
      </c>
      <c r="F170" s="30">
        <v>9</v>
      </c>
      <c r="G170" s="30">
        <v>6</v>
      </c>
      <c r="H170" s="175"/>
      <c r="L170" s="21">
        <v>1</v>
      </c>
    </row>
    <row r="171" spans="2:12" ht="18">
      <c r="B171" s="30">
        <v>14</v>
      </c>
      <c r="C171" s="30">
        <v>10</v>
      </c>
      <c r="D171" s="30">
        <v>12</v>
      </c>
      <c r="E171" s="30">
        <v>25</v>
      </c>
      <c r="F171" s="30">
        <v>0</v>
      </c>
      <c r="G171" s="30">
        <v>0</v>
      </c>
      <c r="H171" s="175"/>
      <c r="L171" s="21">
        <v>1</v>
      </c>
    </row>
    <row r="172" spans="2:12" ht="18">
      <c r="B172" s="30">
        <v>14</v>
      </c>
      <c r="C172" s="30">
        <v>10</v>
      </c>
      <c r="D172" s="30">
        <v>10</v>
      </c>
      <c r="E172" s="30">
        <v>16</v>
      </c>
      <c r="F172" s="30">
        <v>4</v>
      </c>
      <c r="G172" s="30">
        <v>5</v>
      </c>
      <c r="H172" s="175"/>
      <c r="L172" s="21">
        <v>1</v>
      </c>
    </row>
    <row r="173" spans="2:12" ht="18">
      <c r="B173" s="30">
        <v>14</v>
      </c>
      <c r="C173" s="30">
        <v>10</v>
      </c>
      <c r="D173" s="30">
        <v>8</v>
      </c>
      <c r="E173" s="30">
        <v>19</v>
      </c>
      <c r="F173" s="30">
        <v>2</v>
      </c>
      <c r="G173" s="30">
        <v>4</v>
      </c>
      <c r="H173" s="175"/>
      <c r="L173" s="21">
        <v>1</v>
      </c>
    </row>
    <row r="174" spans="2:12" ht="18">
      <c r="B174" s="30">
        <v>14</v>
      </c>
      <c r="C174" s="30">
        <v>10</v>
      </c>
      <c r="D174" s="30">
        <v>11</v>
      </c>
      <c r="E174" s="30">
        <v>23</v>
      </c>
      <c r="F174" s="30">
        <v>1</v>
      </c>
      <c r="G174" s="30">
        <v>1</v>
      </c>
      <c r="H174" s="175"/>
      <c r="L174" s="21">
        <v>1</v>
      </c>
    </row>
    <row r="175" spans="2:12" ht="18">
      <c r="B175" s="30">
        <v>14</v>
      </c>
      <c r="C175" s="30">
        <v>10</v>
      </c>
      <c r="D175" s="30">
        <v>12</v>
      </c>
      <c r="E175" s="30">
        <v>19</v>
      </c>
      <c r="F175" s="30">
        <v>6</v>
      </c>
      <c r="G175" s="30">
        <v>0</v>
      </c>
      <c r="H175" s="175"/>
      <c r="L175" s="21">
        <v>1</v>
      </c>
    </row>
    <row r="176" spans="2:12" ht="18">
      <c r="B176" s="30">
        <v>14</v>
      </c>
      <c r="C176" s="30">
        <v>10</v>
      </c>
      <c r="D176" s="30">
        <v>10</v>
      </c>
      <c r="E176" s="30">
        <v>20</v>
      </c>
      <c r="F176" s="30">
        <v>3</v>
      </c>
      <c r="G176" s="30">
        <v>2</v>
      </c>
      <c r="H176" s="175"/>
      <c r="L176" s="21">
        <v>1</v>
      </c>
    </row>
    <row r="177" spans="2:12" ht="18">
      <c r="B177" s="30">
        <v>14</v>
      </c>
      <c r="C177" s="30">
        <v>2</v>
      </c>
      <c r="D177" s="30">
        <v>12</v>
      </c>
      <c r="E177" s="30">
        <v>8</v>
      </c>
      <c r="F177" s="30">
        <v>6</v>
      </c>
      <c r="G177" s="30">
        <v>2</v>
      </c>
      <c r="H177" s="175"/>
      <c r="L177" s="21">
        <v>1</v>
      </c>
    </row>
    <row r="178" spans="2:12" ht="18">
      <c r="B178" s="30">
        <v>14</v>
      </c>
      <c r="C178" s="30">
        <v>2</v>
      </c>
      <c r="D178" s="30">
        <v>11</v>
      </c>
      <c r="E178" s="30">
        <v>9</v>
      </c>
      <c r="F178" s="30">
        <v>5</v>
      </c>
      <c r="G178" s="30">
        <v>4</v>
      </c>
      <c r="H178" s="175"/>
      <c r="L178" s="21">
        <v>1</v>
      </c>
    </row>
    <row r="179" spans="2:12" ht="18">
      <c r="B179" s="30">
        <v>14</v>
      </c>
      <c r="C179" s="30">
        <v>3</v>
      </c>
      <c r="D179" s="30">
        <v>9</v>
      </c>
      <c r="E179" s="30">
        <v>8</v>
      </c>
      <c r="F179" s="30">
        <v>12</v>
      </c>
      <c r="G179" s="30">
        <v>5</v>
      </c>
      <c r="H179" s="175"/>
      <c r="L179" s="21">
        <v>1</v>
      </c>
    </row>
    <row r="180" spans="2:12" ht="18">
      <c r="B180" s="30">
        <v>14</v>
      </c>
      <c r="C180" s="30">
        <v>3</v>
      </c>
      <c r="D180" s="30">
        <v>10</v>
      </c>
      <c r="E180" s="30">
        <v>9</v>
      </c>
      <c r="F180" s="30">
        <v>15</v>
      </c>
      <c r="G180" s="30">
        <v>1</v>
      </c>
      <c r="H180" s="175"/>
      <c r="L180" s="21">
        <v>1</v>
      </c>
    </row>
    <row r="181" spans="2:12" ht="18">
      <c r="B181" s="30">
        <v>14</v>
      </c>
      <c r="C181" s="30">
        <v>3</v>
      </c>
      <c r="D181" s="30">
        <v>11</v>
      </c>
      <c r="E181" s="30">
        <v>10</v>
      </c>
      <c r="F181" s="30">
        <v>13</v>
      </c>
      <c r="G181" s="30">
        <v>2</v>
      </c>
      <c r="H181" s="175"/>
      <c r="L181" s="21">
        <v>1</v>
      </c>
    </row>
    <row r="182" spans="2:12" ht="18">
      <c r="B182" s="30">
        <v>14</v>
      </c>
      <c r="C182" s="30">
        <v>3</v>
      </c>
      <c r="D182" s="30">
        <v>10</v>
      </c>
      <c r="E182" s="30">
        <v>9</v>
      </c>
      <c r="F182" s="30">
        <v>11</v>
      </c>
      <c r="G182" s="30">
        <v>5</v>
      </c>
      <c r="H182" s="175"/>
      <c r="L182" s="21">
        <v>1</v>
      </c>
    </row>
    <row r="183" spans="2:12" ht="18">
      <c r="B183" s="30">
        <v>14</v>
      </c>
      <c r="C183" s="30">
        <v>14</v>
      </c>
      <c r="D183" s="30">
        <v>10</v>
      </c>
      <c r="E183" s="30">
        <v>4</v>
      </c>
      <c r="F183" s="30">
        <v>2</v>
      </c>
      <c r="G183" s="30">
        <v>3</v>
      </c>
      <c r="H183" s="175"/>
      <c r="L183" s="21">
        <v>1</v>
      </c>
    </row>
    <row r="184" spans="2:12" ht="18">
      <c r="B184" s="30">
        <v>14</v>
      </c>
      <c r="C184" s="30">
        <v>14</v>
      </c>
      <c r="D184" s="30">
        <v>11</v>
      </c>
      <c r="E184" s="30">
        <v>7</v>
      </c>
      <c r="F184" s="30">
        <v>0</v>
      </c>
      <c r="G184" s="30">
        <v>5</v>
      </c>
      <c r="H184" s="175"/>
      <c r="L184" s="21">
        <v>1</v>
      </c>
    </row>
    <row r="185" spans="2:12" ht="18">
      <c r="B185" s="30">
        <v>14</v>
      </c>
      <c r="C185" s="30">
        <v>14</v>
      </c>
      <c r="D185" s="30">
        <v>10</v>
      </c>
      <c r="E185" s="30">
        <v>8</v>
      </c>
      <c r="F185" s="30">
        <v>0</v>
      </c>
      <c r="G185" s="30">
        <v>9</v>
      </c>
      <c r="H185" s="175"/>
      <c r="L185" s="21">
        <v>1</v>
      </c>
    </row>
    <row r="186" spans="2:12" ht="18">
      <c r="B186" s="30">
        <v>14</v>
      </c>
      <c r="C186" s="30">
        <v>35</v>
      </c>
      <c r="D186" s="30">
        <v>11</v>
      </c>
      <c r="E186" s="30">
        <v>15</v>
      </c>
      <c r="F186" s="30">
        <v>8</v>
      </c>
      <c r="G186" s="30">
        <v>2</v>
      </c>
      <c r="H186" s="175"/>
      <c r="L186" s="21">
        <v>1</v>
      </c>
    </row>
    <row r="187" spans="2:12" ht="18">
      <c r="B187" s="30">
        <v>14</v>
      </c>
      <c r="C187" s="30">
        <v>35</v>
      </c>
      <c r="D187" s="30">
        <v>11</v>
      </c>
      <c r="E187" s="30">
        <v>11</v>
      </c>
      <c r="F187" s="30">
        <v>10</v>
      </c>
      <c r="G187" s="30">
        <v>8</v>
      </c>
      <c r="H187" s="175"/>
      <c r="L187" s="21">
        <v>1</v>
      </c>
    </row>
    <row r="188" spans="2:12" ht="18">
      <c r="B188" s="30">
        <v>14</v>
      </c>
      <c r="C188" s="30">
        <v>35</v>
      </c>
      <c r="D188" s="30">
        <v>10</v>
      </c>
      <c r="E188" s="30">
        <v>12</v>
      </c>
      <c r="F188" s="30">
        <v>7</v>
      </c>
      <c r="G188" s="30">
        <v>6</v>
      </c>
      <c r="H188" s="175"/>
      <c r="L188" s="21">
        <v>1</v>
      </c>
    </row>
    <row r="189" spans="2:12" ht="18">
      <c r="B189" s="30">
        <v>14</v>
      </c>
      <c r="C189" s="30">
        <v>35</v>
      </c>
      <c r="D189" s="30">
        <v>11</v>
      </c>
      <c r="E189" s="30">
        <v>16</v>
      </c>
      <c r="F189" s="30">
        <v>5</v>
      </c>
      <c r="G189" s="30">
        <v>11</v>
      </c>
      <c r="H189" s="175"/>
      <c r="L189" s="21">
        <v>1</v>
      </c>
    </row>
    <row r="190" spans="2:12" ht="18">
      <c r="B190" s="30">
        <v>14</v>
      </c>
      <c r="C190" s="30">
        <v>6</v>
      </c>
      <c r="D190" s="30">
        <v>12</v>
      </c>
      <c r="E190" s="30">
        <v>19</v>
      </c>
      <c r="F190" s="30">
        <v>0</v>
      </c>
      <c r="G190" s="30">
        <v>10</v>
      </c>
      <c r="H190" s="175"/>
      <c r="L190" s="21">
        <v>1</v>
      </c>
    </row>
    <row r="191" spans="2:12" ht="18">
      <c r="B191" s="30">
        <v>14</v>
      </c>
      <c r="C191" s="30">
        <v>7</v>
      </c>
      <c r="D191" s="30">
        <v>11</v>
      </c>
      <c r="E191" s="30">
        <v>23</v>
      </c>
      <c r="F191" s="30">
        <v>2</v>
      </c>
      <c r="G191" s="30">
        <v>1</v>
      </c>
      <c r="H191" s="175"/>
      <c r="L191" s="21">
        <v>1</v>
      </c>
    </row>
    <row r="192" spans="2:12" ht="18">
      <c r="B192" s="30">
        <v>14</v>
      </c>
      <c r="C192" s="30">
        <v>6</v>
      </c>
      <c r="D192" s="30">
        <v>10</v>
      </c>
      <c r="E192" s="30">
        <v>15</v>
      </c>
      <c r="F192" s="30">
        <v>4</v>
      </c>
      <c r="G192" s="30">
        <v>10</v>
      </c>
      <c r="H192" s="175"/>
      <c r="L192" s="21">
        <v>1</v>
      </c>
    </row>
    <row r="193" spans="2:12" ht="18">
      <c r="B193" s="30">
        <v>14</v>
      </c>
      <c r="C193" s="30">
        <v>6</v>
      </c>
      <c r="D193" s="30">
        <v>11</v>
      </c>
      <c r="E193" s="30">
        <v>17</v>
      </c>
      <c r="F193" s="30">
        <v>6</v>
      </c>
      <c r="G193" s="30">
        <v>13</v>
      </c>
      <c r="H193" s="175"/>
      <c r="L193" s="21">
        <v>1</v>
      </c>
    </row>
    <row r="194" spans="2:12" ht="18">
      <c r="B194" s="30">
        <v>14</v>
      </c>
      <c r="C194" s="30">
        <v>7</v>
      </c>
      <c r="D194" s="30">
        <v>12</v>
      </c>
      <c r="E194" s="30">
        <v>19</v>
      </c>
      <c r="F194" s="30">
        <v>6</v>
      </c>
      <c r="G194" s="30">
        <v>0</v>
      </c>
      <c r="H194" s="175"/>
      <c r="L194" s="21">
        <v>1</v>
      </c>
    </row>
    <row r="195" spans="2:12" ht="18">
      <c r="B195" s="30">
        <v>14</v>
      </c>
      <c r="C195" s="30">
        <v>10</v>
      </c>
      <c r="D195" s="30">
        <v>11</v>
      </c>
      <c r="E195" s="30">
        <v>15</v>
      </c>
      <c r="F195" s="30">
        <v>6</v>
      </c>
      <c r="G195" s="30">
        <v>4</v>
      </c>
      <c r="H195" s="175"/>
      <c r="L195" s="21">
        <v>1</v>
      </c>
    </row>
    <row r="196" spans="2:12" ht="18">
      <c r="B196" s="30">
        <v>14</v>
      </c>
      <c r="C196" s="30">
        <v>37</v>
      </c>
      <c r="D196" s="30">
        <v>12</v>
      </c>
      <c r="E196" s="30">
        <v>14</v>
      </c>
      <c r="F196" s="30">
        <v>3</v>
      </c>
      <c r="G196" s="30">
        <v>2</v>
      </c>
      <c r="H196" s="175"/>
      <c r="L196" s="21">
        <v>1</v>
      </c>
    </row>
    <row r="197" spans="2:12" ht="18">
      <c r="B197" s="30">
        <v>14</v>
      </c>
      <c r="C197" s="30">
        <v>35</v>
      </c>
      <c r="D197" s="30">
        <v>13</v>
      </c>
      <c r="E197" s="30">
        <v>15</v>
      </c>
      <c r="F197" s="30">
        <v>8</v>
      </c>
      <c r="G197" s="30">
        <v>2</v>
      </c>
      <c r="H197" s="175"/>
      <c r="L197" s="21">
        <v>1</v>
      </c>
    </row>
    <row r="198" spans="2:12" ht="18">
      <c r="B198" s="30">
        <v>14</v>
      </c>
      <c r="C198" s="30">
        <v>16</v>
      </c>
      <c r="D198" s="30">
        <v>13</v>
      </c>
      <c r="E198" s="30">
        <v>62</v>
      </c>
      <c r="F198" s="30">
        <v>17</v>
      </c>
      <c r="G198" s="30">
        <v>4</v>
      </c>
      <c r="H198" s="175"/>
      <c r="L198" s="21">
        <v>1</v>
      </c>
    </row>
    <row r="199" spans="2:12" ht="18">
      <c r="B199" s="30">
        <v>14</v>
      </c>
      <c r="C199" s="30">
        <v>16</v>
      </c>
      <c r="D199" s="30">
        <v>9</v>
      </c>
      <c r="E199" s="30">
        <v>48</v>
      </c>
      <c r="F199" s="30">
        <v>29</v>
      </c>
      <c r="G199" s="30">
        <v>3</v>
      </c>
      <c r="H199" s="175"/>
      <c r="L199" s="21">
        <v>1</v>
      </c>
    </row>
    <row r="200" spans="2:12" ht="18">
      <c r="B200" s="30">
        <v>14</v>
      </c>
      <c r="C200" s="30">
        <v>16</v>
      </c>
      <c r="D200" s="30">
        <v>10</v>
      </c>
      <c r="E200" s="30">
        <v>37</v>
      </c>
      <c r="F200" s="30">
        <v>19</v>
      </c>
      <c r="G200" s="30">
        <v>4</v>
      </c>
      <c r="H200" s="175"/>
      <c r="L200" s="21">
        <v>1</v>
      </c>
    </row>
    <row r="201" spans="2:12" ht="18">
      <c r="B201" s="30">
        <v>14</v>
      </c>
      <c r="C201" s="30">
        <v>16</v>
      </c>
      <c r="D201" s="30">
        <v>11</v>
      </c>
      <c r="E201" s="30">
        <v>49</v>
      </c>
      <c r="F201" s="30">
        <v>18</v>
      </c>
      <c r="G201" s="30">
        <v>2</v>
      </c>
      <c r="H201" s="175"/>
      <c r="L201" s="21">
        <v>1</v>
      </c>
    </row>
    <row r="202" spans="2:12" ht="18">
      <c r="B202" s="30">
        <v>14</v>
      </c>
      <c r="C202" s="30">
        <v>16</v>
      </c>
      <c r="D202" s="30">
        <v>12</v>
      </c>
      <c r="E202" s="30">
        <v>59</v>
      </c>
      <c r="F202" s="30">
        <v>23</v>
      </c>
      <c r="G202" s="30">
        <v>6</v>
      </c>
      <c r="H202" s="175"/>
      <c r="L202" s="21">
        <v>1</v>
      </c>
    </row>
    <row r="203" spans="2:12" ht="18">
      <c r="B203" s="30">
        <v>14</v>
      </c>
      <c r="C203" s="30">
        <v>16</v>
      </c>
      <c r="D203" s="30">
        <v>8</v>
      </c>
      <c r="E203" s="30">
        <v>57</v>
      </c>
      <c r="F203" s="30">
        <v>28</v>
      </c>
      <c r="G203" s="30">
        <v>4</v>
      </c>
      <c r="H203" s="175"/>
      <c r="L203" s="21">
        <v>1</v>
      </c>
    </row>
    <row r="204" spans="2:12" ht="18">
      <c r="B204" s="30">
        <v>14</v>
      </c>
      <c r="C204" s="30">
        <v>37</v>
      </c>
      <c r="D204" s="30">
        <v>13</v>
      </c>
      <c r="E204" s="30">
        <v>19</v>
      </c>
      <c r="F204" s="30">
        <v>2</v>
      </c>
      <c r="G204" s="30">
        <v>4</v>
      </c>
      <c r="H204" s="175"/>
      <c r="L204" s="21">
        <v>1</v>
      </c>
    </row>
    <row r="205" spans="2:12" ht="18">
      <c r="B205" s="30">
        <v>14</v>
      </c>
      <c r="C205" s="30">
        <v>7</v>
      </c>
      <c r="D205" s="30">
        <v>13</v>
      </c>
      <c r="E205" s="30">
        <v>18</v>
      </c>
      <c r="F205" s="30">
        <v>0</v>
      </c>
      <c r="G205" s="30">
        <v>5</v>
      </c>
      <c r="H205" s="175"/>
      <c r="L205" s="21">
        <v>1</v>
      </c>
    </row>
    <row r="206" spans="2:12" ht="18">
      <c r="B206" s="30">
        <v>14</v>
      </c>
      <c r="C206" s="30">
        <v>9</v>
      </c>
      <c r="D206" s="30">
        <v>12</v>
      </c>
      <c r="E206" s="30">
        <v>14</v>
      </c>
      <c r="F206" s="30">
        <v>7</v>
      </c>
      <c r="G206" s="30">
        <v>4</v>
      </c>
      <c r="H206" s="175"/>
      <c r="L206" s="21">
        <v>1</v>
      </c>
    </row>
    <row r="207" spans="2:12" ht="18">
      <c r="B207" s="30">
        <v>14</v>
      </c>
      <c r="C207" s="30">
        <v>9</v>
      </c>
      <c r="D207" s="30">
        <v>13</v>
      </c>
      <c r="E207" s="30">
        <v>8</v>
      </c>
      <c r="F207" s="30">
        <v>14</v>
      </c>
      <c r="G207" s="30">
        <v>3</v>
      </c>
      <c r="H207" s="175"/>
      <c r="L207" s="21">
        <v>1</v>
      </c>
    </row>
    <row r="208" spans="2:12" ht="18">
      <c r="B208" s="30">
        <v>14</v>
      </c>
      <c r="C208" s="30">
        <v>5</v>
      </c>
      <c r="D208" s="30">
        <v>13</v>
      </c>
      <c r="E208" s="30">
        <v>17</v>
      </c>
      <c r="F208" s="30">
        <v>4</v>
      </c>
      <c r="G208" s="30">
        <v>2</v>
      </c>
      <c r="H208" s="175"/>
      <c r="L208" s="21">
        <v>1</v>
      </c>
    </row>
    <row r="209" spans="2:12" ht="18">
      <c r="B209" s="30">
        <v>14</v>
      </c>
      <c r="C209" s="30">
        <v>5</v>
      </c>
      <c r="D209" s="30">
        <v>12</v>
      </c>
      <c r="E209" s="30">
        <v>19</v>
      </c>
      <c r="F209" s="30">
        <v>4</v>
      </c>
      <c r="G209" s="30">
        <v>2</v>
      </c>
      <c r="H209" s="175"/>
      <c r="L209" s="21">
        <v>1</v>
      </c>
    </row>
    <row r="210" spans="2:12" ht="18">
      <c r="B210" s="30">
        <v>14</v>
      </c>
      <c r="C210" s="30">
        <v>5</v>
      </c>
      <c r="D210" s="30">
        <v>11</v>
      </c>
      <c r="E210" s="30">
        <v>23</v>
      </c>
      <c r="F210" s="30">
        <v>2</v>
      </c>
      <c r="G210" s="30">
        <v>5</v>
      </c>
      <c r="H210" s="175"/>
      <c r="L210" s="21">
        <v>1</v>
      </c>
    </row>
    <row r="211" spans="2:12" ht="18">
      <c r="B211" s="30">
        <v>14</v>
      </c>
      <c r="C211" s="30">
        <v>5</v>
      </c>
      <c r="D211" s="30">
        <v>10</v>
      </c>
      <c r="E211" s="30">
        <v>22</v>
      </c>
      <c r="F211" s="30">
        <v>0</v>
      </c>
      <c r="G211" s="30">
        <v>3</v>
      </c>
      <c r="H211" s="175"/>
      <c r="L211" s="21">
        <v>1</v>
      </c>
    </row>
    <row r="212" spans="2:12" ht="18">
      <c r="B212" s="30">
        <v>14</v>
      </c>
      <c r="C212" s="30">
        <v>14</v>
      </c>
      <c r="D212" s="30">
        <v>13</v>
      </c>
      <c r="E212" s="30">
        <v>10</v>
      </c>
      <c r="F212" s="30">
        <v>2</v>
      </c>
      <c r="G212" s="30">
        <v>9</v>
      </c>
      <c r="H212" s="175"/>
      <c r="L212" s="21">
        <v>1</v>
      </c>
    </row>
    <row r="213" spans="2:12" ht="18">
      <c r="B213" s="30">
        <v>14</v>
      </c>
      <c r="C213" s="30">
        <v>6</v>
      </c>
      <c r="D213" s="30">
        <v>13</v>
      </c>
      <c r="E213" s="30">
        <v>17</v>
      </c>
      <c r="F213" s="30">
        <v>1</v>
      </c>
      <c r="G213" s="30">
        <v>8</v>
      </c>
      <c r="H213" s="175"/>
      <c r="L213" s="21">
        <v>1</v>
      </c>
    </row>
    <row r="214" spans="2:12" ht="18">
      <c r="B214" s="30">
        <v>14</v>
      </c>
      <c r="C214" s="30">
        <v>12</v>
      </c>
      <c r="D214" s="30">
        <v>12</v>
      </c>
      <c r="E214" s="30">
        <v>19</v>
      </c>
      <c r="F214" s="30">
        <v>4</v>
      </c>
      <c r="G214" s="30">
        <v>2</v>
      </c>
      <c r="H214" s="175"/>
      <c r="L214" s="21">
        <v>1</v>
      </c>
    </row>
    <row r="215" spans="2:12" ht="18">
      <c r="B215" s="30">
        <v>14</v>
      </c>
      <c r="C215" s="30">
        <v>12</v>
      </c>
      <c r="D215" s="30">
        <v>13</v>
      </c>
      <c r="E215" s="30">
        <v>20</v>
      </c>
      <c r="F215" s="30">
        <v>3</v>
      </c>
      <c r="G215" s="30">
        <v>2</v>
      </c>
      <c r="H215" s="175"/>
      <c r="L215" s="21">
        <v>1</v>
      </c>
    </row>
    <row r="216" spans="2:12" ht="18">
      <c r="B216" s="30">
        <v>14</v>
      </c>
      <c r="C216" s="30">
        <v>12</v>
      </c>
      <c r="D216" s="30">
        <v>14</v>
      </c>
      <c r="E216" s="30">
        <v>19</v>
      </c>
      <c r="F216" s="30">
        <v>5</v>
      </c>
      <c r="G216" s="30">
        <v>1</v>
      </c>
      <c r="H216" s="175"/>
      <c r="L216" s="21">
        <v>1</v>
      </c>
    </row>
    <row r="217" spans="2:12" ht="18">
      <c r="B217" s="30">
        <v>14</v>
      </c>
      <c r="C217" s="30">
        <v>6</v>
      </c>
      <c r="D217" s="30">
        <v>14</v>
      </c>
      <c r="E217" s="30">
        <v>15</v>
      </c>
      <c r="F217" s="30">
        <v>2</v>
      </c>
      <c r="G217" s="30">
        <v>7</v>
      </c>
      <c r="H217" s="175"/>
      <c r="L217" s="21">
        <v>1</v>
      </c>
    </row>
    <row r="218" spans="2:12" ht="18">
      <c r="B218" s="30">
        <v>14</v>
      </c>
      <c r="C218" s="30">
        <v>17</v>
      </c>
      <c r="D218" s="30">
        <v>8</v>
      </c>
      <c r="E218" s="30">
        <v>15</v>
      </c>
      <c r="F218" s="30">
        <v>7</v>
      </c>
      <c r="G218" s="30">
        <v>5</v>
      </c>
      <c r="H218" s="175"/>
      <c r="L218" s="21">
        <v>1</v>
      </c>
    </row>
    <row r="219" spans="2:12" ht="18">
      <c r="B219" s="30">
        <v>14</v>
      </c>
      <c r="C219" s="30">
        <v>17</v>
      </c>
      <c r="D219" s="30">
        <v>9</v>
      </c>
      <c r="E219" s="30">
        <v>17</v>
      </c>
      <c r="F219" s="30">
        <v>11</v>
      </c>
      <c r="G219" s="30">
        <v>7</v>
      </c>
      <c r="H219" s="175"/>
      <c r="L219" s="21">
        <v>1</v>
      </c>
    </row>
    <row r="220" spans="2:12" ht="18">
      <c r="B220" s="30">
        <v>14</v>
      </c>
      <c r="C220" s="30">
        <v>17</v>
      </c>
      <c r="D220" s="30">
        <v>10</v>
      </c>
      <c r="E220" s="30">
        <v>7</v>
      </c>
      <c r="F220" s="30">
        <v>4</v>
      </c>
      <c r="G220" s="30">
        <v>2</v>
      </c>
      <c r="H220" s="175"/>
      <c r="L220" s="21">
        <v>1</v>
      </c>
    </row>
    <row r="221" spans="2:12" ht="18">
      <c r="B221" s="30">
        <v>14</v>
      </c>
      <c r="C221" s="30">
        <v>17</v>
      </c>
      <c r="D221" s="30">
        <v>11</v>
      </c>
      <c r="E221" s="30">
        <v>5</v>
      </c>
      <c r="F221" s="30">
        <v>7</v>
      </c>
      <c r="G221" s="30">
        <v>4</v>
      </c>
      <c r="H221" s="175"/>
      <c r="L221" s="21">
        <v>1</v>
      </c>
    </row>
    <row r="222" spans="2:12" ht="18">
      <c r="B222" s="30">
        <v>14</v>
      </c>
      <c r="C222" s="30">
        <v>17</v>
      </c>
      <c r="D222" s="30">
        <v>12</v>
      </c>
      <c r="E222" s="30">
        <v>9</v>
      </c>
      <c r="F222" s="30">
        <v>8</v>
      </c>
      <c r="G222" s="30">
        <v>4</v>
      </c>
      <c r="H222" s="175"/>
      <c r="L222" s="21">
        <v>1</v>
      </c>
    </row>
    <row r="223" spans="2:12" ht="18">
      <c r="B223" s="30">
        <v>14</v>
      </c>
      <c r="C223" s="30">
        <v>17</v>
      </c>
      <c r="D223" s="30">
        <v>13</v>
      </c>
      <c r="E223" s="30">
        <v>16</v>
      </c>
      <c r="F223" s="30">
        <v>2</v>
      </c>
      <c r="G223" s="30">
        <v>1</v>
      </c>
      <c r="H223" s="175"/>
      <c r="L223" s="21">
        <v>1</v>
      </c>
    </row>
    <row r="224" spans="2:12" ht="18">
      <c r="B224" s="30">
        <v>14</v>
      </c>
      <c r="C224" s="30">
        <v>35</v>
      </c>
      <c r="D224" s="30">
        <v>14</v>
      </c>
      <c r="E224" s="30">
        <v>11</v>
      </c>
      <c r="F224" s="30">
        <v>10</v>
      </c>
      <c r="G224" s="30">
        <v>4</v>
      </c>
      <c r="H224" s="175"/>
      <c r="L224" s="21">
        <v>1</v>
      </c>
    </row>
    <row r="225" spans="2:12" ht="18">
      <c r="B225" s="30">
        <v>14</v>
      </c>
      <c r="C225" s="30">
        <v>9</v>
      </c>
      <c r="D225" s="30">
        <v>14</v>
      </c>
      <c r="E225" s="30">
        <v>16</v>
      </c>
      <c r="F225" s="30">
        <v>9</v>
      </c>
      <c r="G225" s="30">
        <v>0</v>
      </c>
      <c r="H225" s="175"/>
      <c r="L225" s="21">
        <v>1</v>
      </c>
    </row>
    <row r="226" spans="2:12" ht="18">
      <c r="B226" s="30">
        <v>14</v>
      </c>
      <c r="C226" s="30">
        <v>7</v>
      </c>
      <c r="D226" s="30">
        <v>14</v>
      </c>
      <c r="E226" s="30">
        <v>21</v>
      </c>
      <c r="F226" s="30">
        <v>3</v>
      </c>
      <c r="G226" s="30">
        <v>1</v>
      </c>
      <c r="H226" s="175"/>
      <c r="L226" s="21">
        <v>1</v>
      </c>
    </row>
    <row r="227" spans="2:12" ht="18">
      <c r="B227" s="30">
        <v>14</v>
      </c>
      <c r="C227" s="30">
        <v>37</v>
      </c>
      <c r="D227" s="30">
        <v>14</v>
      </c>
      <c r="E227" s="30">
        <v>14</v>
      </c>
      <c r="F227" s="30">
        <v>3</v>
      </c>
      <c r="G227" s="30">
        <v>6</v>
      </c>
      <c r="H227" s="175"/>
      <c r="L227" s="21">
        <v>1</v>
      </c>
    </row>
    <row r="228" spans="2:12" ht="18">
      <c r="B228" s="30">
        <v>14</v>
      </c>
      <c r="C228" s="30">
        <v>2</v>
      </c>
      <c r="D228" s="30">
        <v>14</v>
      </c>
      <c r="E228" s="30">
        <v>3</v>
      </c>
      <c r="F228" s="30">
        <v>4</v>
      </c>
      <c r="G228" s="30">
        <v>1</v>
      </c>
      <c r="H228" s="175"/>
      <c r="L228" s="21">
        <v>1</v>
      </c>
    </row>
    <row r="229" spans="2:12" ht="18">
      <c r="B229" s="30">
        <v>14</v>
      </c>
      <c r="C229" s="30">
        <v>2</v>
      </c>
      <c r="D229" s="30">
        <v>13</v>
      </c>
      <c r="E229" s="30">
        <v>5</v>
      </c>
      <c r="F229" s="30">
        <v>2</v>
      </c>
      <c r="G229" s="30">
        <v>0</v>
      </c>
      <c r="H229" s="175"/>
      <c r="L229" s="21">
        <v>1</v>
      </c>
    </row>
    <row r="230" spans="2:12" ht="18">
      <c r="B230" s="30">
        <v>14</v>
      </c>
      <c r="C230" s="30">
        <v>13</v>
      </c>
      <c r="D230" s="30">
        <v>10</v>
      </c>
      <c r="E230" s="30">
        <v>9</v>
      </c>
      <c r="F230" s="30">
        <v>0</v>
      </c>
      <c r="G230" s="30">
        <v>5</v>
      </c>
      <c r="H230" s="175"/>
      <c r="L230" s="21">
        <v>1</v>
      </c>
    </row>
    <row r="231" spans="2:12" ht="18">
      <c r="B231" s="30">
        <v>14</v>
      </c>
      <c r="C231" s="30">
        <v>13</v>
      </c>
      <c r="D231" s="30">
        <v>11</v>
      </c>
      <c r="E231" s="30">
        <v>8</v>
      </c>
      <c r="F231" s="30">
        <v>2</v>
      </c>
      <c r="G231" s="30">
        <v>6</v>
      </c>
      <c r="H231" s="175"/>
      <c r="L231" s="21">
        <v>1</v>
      </c>
    </row>
    <row r="232" spans="2:12" ht="18">
      <c r="B232" s="30">
        <v>14</v>
      </c>
      <c r="C232" s="30">
        <v>13</v>
      </c>
      <c r="D232" s="30">
        <v>12</v>
      </c>
      <c r="E232" s="30">
        <v>16</v>
      </c>
      <c r="F232" s="30">
        <v>3</v>
      </c>
      <c r="G232" s="30">
        <v>10</v>
      </c>
      <c r="H232" s="175"/>
      <c r="L232" s="21">
        <v>1</v>
      </c>
    </row>
    <row r="233" spans="2:12" ht="18">
      <c r="B233" s="30">
        <v>14</v>
      </c>
      <c r="C233" s="30">
        <v>13</v>
      </c>
      <c r="D233" s="30">
        <v>13</v>
      </c>
      <c r="E233" s="30">
        <v>12</v>
      </c>
      <c r="F233" s="30">
        <v>0</v>
      </c>
      <c r="G233" s="30">
        <v>6</v>
      </c>
      <c r="H233" s="175"/>
      <c r="L233" s="21">
        <v>1</v>
      </c>
    </row>
    <row r="234" spans="2:12" ht="18">
      <c r="B234" s="30">
        <v>14</v>
      </c>
      <c r="C234" s="30">
        <v>13</v>
      </c>
      <c r="D234" s="30">
        <v>14</v>
      </c>
      <c r="E234" s="30">
        <v>17</v>
      </c>
      <c r="F234" s="30">
        <v>0</v>
      </c>
      <c r="G234" s="30">
        <v>8</v>
      </c>
      <c r="H234" s="175"/>
      <c r="L234" s="21">
        <v>1</v>
      </c>
    </row>
    <row r="235" spans="2:12" ht="18">
      <c r="B235" s="30">
        <v>14</v>
      </c>
      <c r="C235" s="30">
        <v>13</v>
      </c>
      <c r="D235" s="30">
        <v>15</v>
      </c>
      <c r="E235" s="30">
        <v>12</v>
      </c>
      <c r="F235" s="30">
        <v>2</v>
      </c>
      <c r="G235" s="30">
        <v>3</v>
      </c>
      <c r="H235" s="175"/>
      <c r="L235" s="21">
        <v>1</v>
      </c>
    </row>
    <row r="236" spans="2:12" ht="18">
      <c r="B236" s="30">
        <v>14</v>
      </c>
      <c r="C236" s="30">
        <v>14</v>
      </c>
      <c r="D236" s="30">
        <v>14</v>
      </c>
      <c r="E236" s="30">
        <v>13</v>
      </c>
      <c r="F236" s="30">
        <v>7</v>
      </c>
      <c r="G236" s="30">
        <v>12</v>
      </c>
      <c r="H236" s="175"/>
      <c r="L236" s="21">
        <v>1</v>
      </c>
    </row>
    <row r="237" spans="2:12" ht="18">
      <c r="B237" s="30">
        <v>14</v>
      </c>
      <c r="C237" s="30">
        <v>4</v>
      </c>
      <c r="D237" s="30">
        <v>11</v>
      </c>
      <c r="E237" s="30">
        <v>13</v>
      </c>
      <c r="F237" s="30">
        <v>8</v>
      </c>
      <c r="G237" s="30">
        <v>4</v>
      </c>
      <c r="H237" s="175"/>
      <c r="L237" s="21">
        <v>1</v>
      </c>
    </row>
    <row r="238" spans="2:12" ht="18">
      <c r="B238" s="30">
        <v>14</v>
      </c>
      <c r="C238" s="30">
        <v>4</v>
      </c>
      <c r="D238" s="30">
        <v>12</v>
      </c>
      <c r="E238" s="30">
        <v>15</v>
      </c>
      <c r="F238" s="30">
        <v>6</v>
      </c>
      <c r="G238" s="30">
        <v>4</v>
      </c>
      <c r="H238" s="175"/>
      <c r="L238" s="21">
        <v>1</v>
      </c>
    </row>
    <row r="239" spans="2:12" ht="18">
      <c r="B239" s="30">
        <v>14</v>
      </c>
      <c r="C239" s="30">
        <v>4</v>
      </c>
      <c r="D239" s="30">
        <v>13</v>
      </c>
      <c r="E239" s="30">
        <v>13</v>
      </c>
      <c r="F239" s="30">
        <v>9</v>
      </c>
      <c r="G239" s="30">
        <v>3</v>
      </c>
      <c r="H239" s="175"/>
      <c r="L239" s="21">
        <v>1</v>
      </c>
    </row>
    <row r="240" spans="2:12" ht="18">
      <c r="B240" s="30">
        <v>14</v>
      </c>
      <c r="C240" s="30">
        <v>4</v>
      </c>
      <c r="D240" s="30">
        <v>10</v>
      </c>
      <c r="E240" s="30">
        <v>15</v>
      </c>
      <c r="F240" s="30">
        <v>7</v>
      </c>
      <c r="G240" s="30">
        <v>3</v>
      </c>
      <c r="H240" s="175"/>
      <c r="L240" s="21">
        <v>1</v>
      </c>
    </row>
    <row r="241" spans="2:12" ht="18">
      <c r="B241" s="30">
        <v>14</v>
      </c>
      <c r="C241" s="30">
        <v>10</v>
      </c>
      <c r="D241" s="30">
        <v>15</v>
      </c>
      <c r="E241" s="30">
        <v>20</v>
      </c>
      <c r="F241" s="30">
        <v>3</v>
      </c>
      <c r="G241" s="30">
        <v>2</v>
      </c>
      <c r="H241" s="175"/>
      <c r="L241" s="21">
        <v>1</v>
      </c>
    </row>
    <row r="242" spans="2:12" ht="18">
      <c r="B242" s="30">
        <v>14</v>
      </c>
      <c r="C242" s="30">
        <v>35</v>
      </c>
      <c r="D242" s="30">
        <v>15</v>
      </c>
      <c r="E242" s="30">
        <v>12</v>
      </c>
      <c r="F242" s="30">
        <v>7</v>
      </c>
      <c r="G242" s="30">
        <v>6</v>
      </c>
      <c r="H242" s="175"/>
      <c r="L242" s="21">
        <v>1</v>
      </c>
    </row>
    <row r="243" spans="2:12" ht="18">
      <c r="B243" s="30">
        <v>14</v>
      </c>
      <c r="C243" s="30">
        <v>10</v>
      </c>
      <c r="D243" s="30">
        <v>14</v>
      </c>
      <c r="E243" s="30">
        <v>19</v>
      </c>
      <c r="F243" s="30">
        <v>6</v>
      </c>
      <c r="G243" s="30">
        <v>0</v>
      </c>
      <c r="H243" s="175"/>
      <c r="L243" s="21">
        <v>1</v>
      </c>
    </row>
    <row r="244" spans="2:12" ht="18">
      <c r="B244" s="30">
        <v>14</v>
      </c>
      <c r="C244" s="30">
        <v>10</v>
      </c>
      <c r="D244" s="30">
        <v>13</v>
      </c>
      <c r="E244" s="30">
        <v>16</v>
      </c>
      <c r="F244" s="30">
        <v>4</v>
      </c>
      <c r="G244" s="30">
        <v>5</v>
      </c>
      <c r="H244" s="175"/>
      <c r="L244" s="21">
        <v>1</v>
      </c>
    </row>
    <row r="245" spans="2:12" ht="18">
      <c r="B245" s="30">
        <v>14</v>
      </c>
      <c r="C245" s="30">
        <v>12</v>
      </c>
      <c r="D245" s="30">
        <v>16</v>
      </c>
      <c r="E245" s="30">
        <v>17</v>
      </c>
      <c r="F245" s="30">
        <v>4</v>
      </c>
      <c r="G245" s="30">
        <v>5</v>
      </c>
      <c r="H245" s="175"/>
      <c r="L245" s="21">
        <v>1</v>
      </c>
    </row>
    <row r="246" spans="2:12" ht="18">
      <c r="B246" s="30">
        <v>14</v>
      </c>
      <c r="C246" s="30">
        <v>12</v>
      </c>
      <c r="D246" s="30">
        <v>15</v>
      </c>
      <c r="E246" s="30">
        <v>16</v>
      </c>
      <c r="F246" s="30">
        <v>3</v>
      </c>
      <c r="G246" s="30">
        <v>6</v>
      </c>
      <c r="H246" s="175"/>
      <c r="L246" s="21">
        <v>1</v>
      </c>
    </row>
    <row r="247" spans="2:12" ht="18">
      <c r="B247" s="30"/>
      <c r="C247" s="30"/>
      <c r="D247" s="30"/>
      <c r="E247" s="30"/>
      <c r="F247" s="30"/>
      <c r="G247" s="30"/>
      <c r="H247" s="175"/>
      <c r="L247" s="21">
        <v>1</v>
      </c>
    </row>
    <row r="248" spans="2:12" ht="18">
      <c r="B248" s="30"/>
      <c r="C248" s="30"/>
      <c r="D248" s="30"/>
      <c r="E248" s="30"/>
      <c r="F248" s="30"/>
      <c r="G248" s="30"/>
      <c r="H248" s="175"/>
      <c r="L248" s="21">
        <v>1</v>
      </c>
    </row>
    <row r="249" spans="2:12" ht="18">
      <c r="B249" s="30"/>
      <c r="C249" s="30"/>
      <c r="D249" s="30"/>
      <c r="E249" s="30"/>
      <c r="F249" s="30"/>
      <c r="G249" s="30"/>
      <c r="H249" s="175"/>
      <c r="L249" s="21">
        <v>1</v>
      </c>
    </row>
    <row r="250" spans="2:12" ht="18">
      <c r="B250" s="30"/>
      <c r="C250" s="30"/>
      <c r="D250" s="30"/>
      <c r="E250" s="30"/>
      <c r="F250" s="30"/>
      <c r="G250" s="30"/>
      <c r="H250" s="175"/>
      <c r="L250" s="21">
        <v>1</v>
      </c>
    </row>
    <row r="251" spans="2:12" ht="18">
      <c r="B251" s="30"/>
      <c r="C251" s="30"/>
      <c r="D251" s="30"/>
      <c r="E251" s="30"/>
      <c r="F251" s="30"/>
      <c r="G251" s="30"/>
      <c r="H251" s="175"/>
      <c r="L251" s="21">
        <v>1</v>
      </c>
    </row>
    <row r="252" spans="2:12" ht="18">
      <c r="B252" s="30"/>
      <c r="C252" s="30"/>
      <c r="D252" s="30"/>
      <c r="E252" s="30"/>
      <c r="F252" s="30"/>
      <c r="G252" s="30"/>
      <c r="H252" s="175"/>
      <c r="L252" s="21">
        <v>1</v>
      </c>
    </row>
    <row r="253" spans="2:12" ht="18">
      <c r="B253" s="30"/>
      <c r="C253" s="30"/>
      <c r="D253" s="30"/>
      <c r="E253" s="30"/>
      <c r="F253" s="30"/>
      <c r="G253" s="30"/>
      <c r="H253" s="175"/>
      <c r="L253" s="21">
        <v>1</v>
      </c>
    </row>
    <row r="254" spans="2:12" ht="18">
      <c r="B254" s="30"/>
      <c r="C254" s="30"/>
      <c r="D254" s="30"/>
      <c r="E254" s="30"/>
      <c r="F254" s="30"/>
      <c r="G254" s="30"/>
      <c r="H254" s="175"/>
      <c r="L254" s="21">
        <v>1</v>
      </c>
    </row>
    <row r="255" spans="2:12" ht="18">
      <c r="B255" s="30"/>
      <c r="C255" s="30"/>
      <c r="D255" s="30"/>
      <c r="E255" s="30"/>
      <c r="F255" s="30"/>
      <c r="G255" s="30"/>
      <c r="H255" s="175"/>
      <c r="L255" s="21">
        <v>1</v>
      </c>
    </row>
    <row r="256" spans="2:12" ht="18">
      <c r="B256" s="30"/>
      <c r="C256" s="30"/>
      <c r="D256" s="30"/>
      <c r="E256" s="30"/>
      <c r="F256" s="30"/>
      <c r="G256" s="30"/>
      <c r="H256" s="175"/>
      <c r="L256" s="21">
        <v>1</v>
      </c>
    </row>
    <row r="257" spans="2:12" ht="18">
      <c r="B257" s="30"/>
      <c r="C257" s="30"/>
      <c r="D257" s="30"/>
      <c r="E257" s="30"/>
      <c r="F257" s="30"/>
      <c r="G257" s="30"/>
      <c r="H257" s="175"/>
      <c r="L257" s="21">
        <v>1</v>
      </c>
    </row>
    <row r="258" spans="2:12" ht="18">
      <c r="B258" s="30"/>
      <c r="C258" s="30"/>
      <c r="D258" s="30"/>
      <c r="E258" s="30"/>
      <c r="F258" s="30"/>
      <c r="G258" s="30"/>
      <c r="H258" s="175"/>
      <c r="L258" s="21">
        <v>1</v>
      </c>
    </row>
    <row r="259" spans="2:12" ht="18">
      <c r="B259" s="30"/>
      <c r="C259" s="30"/>
      <c r="D259" s="30"/>
      <c r="E259" s="30"/>
      <c r="F259" s="30"/>
      <c r="G259" s="30"/>
      <c r="H259" s="175"/>
      <c r="L259" s="21">
        <v>1</v>
      </c>
    </row>
    <row r="260" spans="2:12" ht="18">
      <c r="B260" s="30"/>
      <c r="C260" s="30"/>
      <c r="D260" s="30"/>
      <c r="E260" s="30"/>
      <c r="F260" s="30"/>
      <c r="G260" s="30"/>
      <c r="H260" s="175"/>
      <c r="L260" s="21">
        <v>1</v>
      </c>
    </row>
    <row r="261" spans="2:12" ht="18">
      <c r="B261" s="30"/>
      <c r="C261" s="30"/>
      <c r="D261" s="30"/>
      <c r="E261" s="30"/>
      <c r="F261" s="30"/>
      <c r="G261" s="30"/>
      <c r="H261" s="175"/>
      <c r="L261" s="21">
        <v>1</v>
      </c>
    </row>
    <row r="262" spans="2:12" ht="18">
      <c r="B262" s="30"/>
      <c r="C262" s="30"/>
      <c r="D262" s="30"/>
      <c r="E262" s="30"/>
      <c r="F262" s="30"/>
      <c r="G262" s="30"/>
      <c r="H262" s="175"/>
      <c r="L262" s="21">
        <v>1</v>
      </c>
    </row>
    <row r="263" spans="2:12" ht="18">
      <c r="B263" s="30"/>
      <c r="C263" s="30"/>
      <c r="D263" s="30"/>
      <c r="E263" s="30"/>
      <c r="F263" s="30"/>
      <c r="G263" s="30"/>
      <c r="H263" s="175"/>
      <c r="L263" s="21">
        <v>1</v>
      </c>
    </row>
    <row r="264" spans="2:12" ht="18">
      <c r="B264" s="30"/>
      <c r="C264" s="30"/>
      <c r="D264" s="30"/>
      <c r="E264" s="30"/>
      <c r="F264" s="30"/>
      <c r="G264" s="30"/>
      <c r="H264" s="175"/>
      <c r="L264" s="21">
        <v>1</v>
      </c>
    </row>
    <row r="265" spans="2:12" ht="18">
      <c r="B265" s="30"/>
      <c r="C265" s="30"/>
      <c r="D265" s="30"/>
      <c r="E265" s="30"/>
      <c r="F265" s="30"/>
      <c r="G265" s="30"/>
      <c r="H265" s="175"/>
      <c r="L265" s="21">
        <v>1</v>
      </c>
    </row>
    <row r="266" spans="2:12" ht="18">
      <c r="B266" s="30"/>
      <c r="C266" s="30"/>
      <c r="D266" s="30"/>
      <c r="E266" s="30"/>
      <c r="F266" s="30"/>
      <c r="G266" s="30"/>
      <c r="H266" s="175"/>
      <c r="L266" s="21">
        <v>1</v>
      </c>
    </row>
    <row r="267" spans="2:12" ht="18">
      <c r="B267" s="30"/>
      <c r="C267" s="30"/>
      <c r="D267" s="30"/>
      <c r="E267" s="30"/>
      <c r="F267" s="30"/>
      <c r="G267" s="30"/>
      <c r="H267" s="175"/>
      <c r="L267" s="21">
        <v>1</v>
      </c>
    </row>
    <row r="268" spans="2:12" ht="18">
      <c r="B268" s="30"/>
      <c r="C268" s="30"/>
      <c r="D268" s="30"/>
      <c r="E268" s="30"/>
      <c r="F268" s="30"/>
      <c r="G268" s="30"/>
      <c r="H268" s="175"/>
      <c r="L268" s="21">
        <v>1</v>
      </c>
    </row>
    <row r="269" spans="2:12" ht="18">
      <c r="B269" s="30"/>
      <c r="C269" s="30"/>
      <c r="D269" s="30"/>
      <c r="E269" s="30"/>
      <c r="F269" s="30"/>
      <c r="G269" s="30"/>
      <c r="H269" s="175"/>
      <c r="L269" s="21">
        <v>1</v>
      </c>
    </row>
    <row r="270" spans="2:12" ht="18">
      <c r="B270" s="30"/>
      <c r="C270" s="30"/>
      <c r="D270" s="30"/>
      <c r="E270" s="30"/>
      <c r="F270" s="30"/>
      <c r="G270" s="30"/>
      <c r="H270" s="175"/>
      <c r="L270" s="21">
        <v>1</v>
      </c>
    </row>
    <row r="271" spans="2:12" ht="18">
      <c r="B271" s="30"/>
      <c r="C271" s="30"/>
      <c r="D271" s="30"/>
      <c r="E271" s="30"/>
      <c r="F271" s="30"/>
      <c r="G271" s="30"/>
      <c r="H271" s="175"/>
      <c r="L271" s="21">
        <v>1</v>
      </c>
    </row>
    <row r="272" spans="2:12" ht="18">
      <c r="B272" s="30"/>
      <c r="C272" s="30"/>
      <c r="D272" s="30"/>
      <c r="E272" s="30"/>
      <c r="F272" s="30"/>
      <c r="G272" s="30"/>
      <c r="H272" s="175"/>
      <c r="L272" s="21">
        <v>1</v>
      </c>
    </row>
    <row r="273" spans="2:12" ht="18">
      <c r="B273" s="30"/>
      <c r="C273" s="30"/>
      <c r="D273" s="30"/>
      <c r="E273" s="30"/>
      <c r="F273" s="30"/>
      <c r="G273" s="30"/>
      <c r="H273" s="175"/>
      <c r="L273" s="21">
        <v>1</v>
      </c>
    </row>
    <row r="274" spans="2:12" ht="18">
      <c r="B274" s="30"/>
      <c r="C274" s="30"/>
      <c r="D274" s="30"/>
      <c r="E274" s="30"/>
      <c r="F274" s="30"/>
      <c r="G274" s="30"/>
      <c r="H274" s="175"/>
      <c r="L274" s="21">
        <v>1</v>
      </c>
    </row>
    <row r="275" spans="2:12" ht="18">
      <c r="B275" s="30"/>
      <c r="C275" s="30"/>
      <c r="D275" s="30"/>
      <c r="E275" s="30"/>
      <c r="F275" s="30"/>
      <c r="G275" s="30"/>
      <c r="H275" s="175"/>
      <c r="L275" s="21">
        <v>1</v>
      </c>
    </row>
    <row r="276" spans="2:12" ht="18">
      <c r="B276" s="30"/>
      <c r="C276" s="30"/>
      <c r="D276" s="30"/>
      <c r="E276" s="30"/>
      <c r="F276" s="30"/>
      <c r="G276" s="30"/>
      <c r="H276" s="175"/>
      <c r="L276" s="21">
        <v>1</v>
      </c>
    </row>
    <row r="277" spans="2:12" ht="18">
      <c r="B277" s="30"/>
      <c r="C277" s="30"/>
      <c r="D277" s="30"/>
      <c r="E277" s="30"/>
      <c r="F277" s="30"/>
      <c r="G277" s="30"/>
      <c r="H277" s="175"/>
      <c r="L277" s="21">
        <v>1</v>
      </c>
    </row>
    <row r="278" spans="2:12" ht="18">
      <c r="B278" s="30"/>
      <c r="C278" s="30"/>
      <c r="D278" s="30"/>
      <c r="E278" s="30"/>
      <c r="F278" s="30"/>
      <c r="G278" s="30"/>
      <c r="H278" s="175"/>
      <c r="L278" s="21">
        <v>1</v>
      </c>
    </row>
    <row r="279" spans="2:12" ht="18">
      <c r="B279" s="30"/>
      <c r="C279" s="30"/>
      <c r="D279" s="30"/>
      <c r="E279" s="30"/>
      <c r="F279" s="30"/>
      <c r="G279" s="30"/>
      <c r="H279" s="175"/>
      <c r="L279" s="21">
        <v>1</v>
      </c>
    </row>
    <row r="280" spans="2:12" ht="18">
      <c r="B280" s="30"/>
      <c r="C280" s="30"/>
      <c r="D280" s="30"/>
      <c r="E280" s="30"/>
      <c r="F280" s="30"/>
      <c r="G280" s="30"/>
      <c r="H280" s="175"/>
      <c r="L280" s="21">
        <v>1</v>
      </c>
    </row>
    <row r="281" spans="2:12" ht="18">
      <c r="B281" s="30"/>
      <c r="C281" s="30"/>
      <c r="D281" s="30"/>
      <c r="E281" s="30"/>
      <c r="F281" s="30"/>
      <c r="G281" s="30"/>
      <c r="H281" s="175"/>
      <c r="L281" s="21">
        <v>1</v>
      </c>
    </row>
    <row r="282" spans="2:12" ht="18">
      <c r="B282" s="30"/>
      <c r="C282" s="30"/>
      <c r="D282" s="30"/>
      <c r="E282" s="30"/>
      <c r="F282" s="30"/>
      <c r="G282" s="30"/>
      <c r="H282" s="175"/>
      <c r="L282" s="21">
        <v>1</v>
      </c>
    </row>
    <row r="283" spans="2:12" ht="18">
      <c r="B283" s="30"/>
      <c r="C283" s="30"/>
      <c r="D283" s="30"/>
      <c r="E283" s="30"/>
      <c r="F283" s="30"/>
      <c r="G283" s="30"/>
      <c r="H283" s="175"/>
      <c r="L283" s="21">
        <v>1</v>
      </c>
    </row>
    <row r="284" spans="2:12" ht="18">
      <c r="B284" s="30"/>
      <c r="C284" s="30"/>
      <c r="D284" s="30"/>
      <c r="E284" s="30"/>
      <c r="F284" s="30"/>
      <c r="G284" s="30"/>
      <c r="H284" s="175"/>
      <c r="L284" s="21">
        <v>1</v>
      </c>
    </row>
    <row r="285" spans="2:12" ht="18">
      <c r="B285" s="30"/>
      <c r="C285" s="30"/>
      <c r="D285" s="30"/>
      <c r="E285" s="30"/>
      <c r="F285" s="30"/>
      <c r="G285" s="30"/>
      <c r="H285" s="175"/>
      <c r="L285" s="21">
        <v>1</v>
      </c>
    </row>
    <row r="286" spans="2:12" ht="18">
      <c r="B286" s="30"/>
      <c r="C286" s="30"/>
      <c r="D286" s="30"/>
      <c r="E286" s="30"/>
      <c r="F286" s="30"/>
      <c r="G286" s="30"/>
      <c r="H286" s="175"/>
      <c r="L286" s="21">
        <v>1</v>
      </c>
    </row>
    <row r="287" spans="2:12" ht="18">
      <c r="B287" s="30"/>
      <c r="C287" s="30"/>
      <c r="D287" s="30"/>
      <c r="E287" s="30"/>
      <c r="F287" s="30"/>
      <c r="G287" s="30"/>
      <c r="H287" s="175"/>
      <c r="L287" s="21">
        <v>1</v>
      </c>
    </row>
    <row r="288" spans="2:12" ht="18">
      <c r="B288" s="30"/>
      <c r="C288" s="30"/>
      <c r="D288" s="30"/>
      <c r="E288" s="30"/>
      <c r="F288" s="30"/>
      <c r="G288" s="30"/>
      <c r="H288" s="175"/>
      <c r="L288" s="21">
        <v>1</v>
      </c>
    </row>
    <row r="289" spans="2:12" ht="18">
      <c r="B289" s="30"/>
      <c r="C289" s="30"/>
      <c r="D289" s="30"/>
      <c r="E289" s="30"/>
      <c r="F289" s="30"/>
      <c r="G289" s="30"/>
      <c r="H289" s="175"/>
      <c r="L289" s="21">
        <v>1</v>
      </c>
    </row>
    <row r="290" spans="2:12" ht="18">
      <c r="B290" s="30"/>
      <c r="C290" s="30"/>
      <c r="D290" s="30"/>
      <c r="E290" s="30"/>
      <c r="F290" s="30"/>
      <c r="G290" s="30"/>
      <c r="H290" s="175"/>
      <c r="L290" s="21">
        <v>1</v>
      </c>
    </row>
    <row r="291" spans="2:12" ht="18">
      <c r="B291" s="30"/>
      <c r="C291" s="30"/>
      <c r="D291" s="30"/>
      <c r="E291" s="30"/>
      <c r="F291" s="30"/>
      <c r="G291" s="30"/>
      <c r="H291" s="175"/>
      <c r="L291" s="21">
        <v>1</v>
      </c>
    </row>
    <row r="292" spans="2:12" ht="18">
      <c r="B292" s="30"/>
      <c r="C292" s="30"/>
      <c r="D292" s="30"/>
      <c r="E292" s="30"/>
      <c r="F292" s="30"/>
      <c r="G292" s="30"/>
      <c r="H292" s="175"/>
      <c r="L292" s="21">
        <v>1</v>
      </c>
    </row>
    <row r="293" spans="2:12" ht="18">
      <c r="B293" s="30"/>
      <c r="C293" s="30"/>
      <c r="D293" s="30"/>
      <c r="E293" s="30"/>
      <c r="F293" s="30"/>
      <c r="G293" s="30"/>
      <c r="H293" s="175"/>
      <c r="L293" s="21">
        <v>1</v>
      </c>
    </row>
    <row r="294" spans="2:12" ht="18">
      <c r="B294" s="30"/>
      <c r="C294" s="30"/>
      <c r="D294" s="30"/>
      <c r="E294" s="30"/>
      <c r="F294" s="30"/>
      <c r="G294" s="30"/>
      <c r="H294" s="175"/>
      <c r="L294" s="21">
        <v>1</v>
      </c>
    </row>
    <row r="295" spans="2:12" ht="18">
      <c r="B295" s="30"/>
      <c r="C295" s="30"/>
      <c r="D295" s="30"/>
      <c r="E295" s="30"/>
      <c r="F295" s="30"/>
      <c r="G295" s="30"/>
      <c r="H295" s="175"/>
      <c r="L295" s="21">
        <v>1</v>
      </c>
    </row>
    <row r="296" spans="2:12" ht="18">
      <c r="B296" s="30"/>
      <c r="C296" s="30"/>
      <c r="D296" s="30"/>
      <c r="E296" s="30"/>
      <c r="F296" s="30"/>
      <c r="G296" s="30"/>
      <c r="H296" s="175"/>
      <c r="L296" s="21">
        <v>1</v>
      </c>
    </row>
    <row r="297" spans="2:12" ht="18">
      <c r="B297" s="30"/>
      <c r="C297" s="30"/>
      <c r="D297" s="30"/>
      <c r="E297" s="30"/>
      <c r="F297" s="30"/>
      <c r="G297" s="30"/>
      <c r="H297" s="175"/>
      <c r="L297" s="21">
        <v>1</v>
      </c>
    </row>
    <row r="298" spans="2:12" ht="18">
      <c r="B298" s="30"/>
      <c r="C298" s="30"/>
      <c r="D298" s="30"/>
      <c r="E298" s="30"/>
      <c r="F298" s="30"/>
      <c r="G298" s="30"/>
      <c r="H298" s="175"/>
      <c r="L298" s="21">
        <v>1</v>
      </c>
    </row>
    <row r="299" spans="2:12" ht="18">
      <c r="B299" s="30"/>
      <c r="C299" s="30"/>
      <c r="D299" s="30"/>
      <c r="E299" s="30"/>
      <c r="F299" s="30"/>
      <c r="G299" s="30"/>
      <c r="H299" s="175"/>
      <c r="L299" s="21">
        <v>1</v>
      </c>
    </row>
    <row r="300" spans="2:12" ht="18">
      <c r="B300" s="30"/>
      <c r="C300" s="30"/>
      <c r="D300" s="30"/>
      <c r="E300" s="30"/>
      <c r="F300" s="30"/>
      <c r="G300" s="30"/>
      <c r="H300" s="175"/>
      <c r="L300" s="21">
        <v>1</v>
      </c>
    </row>
    <row r="301" spans="2:12" ht="18">
      <c r="B301" s="30"/>
      <c r="C301" s="30"/>
      <c r="D301" s="30"/>
      <c r="E301" s="30"/>
      <c r="F301" s="30"/>
      <c r="G301" s="30"/>
      <c r="H301" s="175"/>
      <c r="L301" s="21">
        <v>1</v>
      </c>
    </row>
    <row r="302" spans="2:12" ht="18">
      <c r="B302" s="30"/>
      <c r="C302" s="30"/>
      <c r="D302" s="30"/>
      <c r="E302" s="30"/>
      <c r="F302" s="30"/>
      <c r="G302" s="30"/>
      <c r="H302" s="175"/>
      <c r="L302" s="21">
        <v>1</v>
      </c>
    </row>
    <row r="303" spans="2:12" ht="18">
      <c r="B303" s="30"/>
      <c r="C303" s="30"/>
      <c r="D303" s="30"/>
      <c r="E303" s="30"/>
      <c r="F303" s="30"/>
      <c r="G303" s="30"/>
      <c r="H303" s="175"/>
      <c r="L303" s="21">
        <v>1</v>
      </c>
    </row>
    <row r="304" spans="2:12" ht="18">
      <c r="B304" s="30"/>
      <c r="C304" s="30"/>
      <c r="D304" s="30"/>
      <c r="E304" s="30"/>
      <c r="F304" s="30"/>
      <c r="G304" s="30"/>
      <c r="H304" s="175"/>
      <c r="L304" s="21">
        <v>1</v>
      </c>
    </row>
    <row r="305" spans="2:12" ht="18">
      <c r="B305" s="30"/>
      <c r="C305" s="30"/>
      <c r="D305" s="30"/>
      <c r="E305" s="30"/>
      <c r="F305" s="30"/>
      <c r="G305" s="30"/>
      <c r="H305" s="175"/>
      <c r="L305" s="21">
        <v>1</v>
      </c>
    </row>
    <row r="306" spans="2:12" ht="18">
      <c r="B306" s="30"/>
      <c r="C306" s="30"/>
      <c r="D306" s="30"/>
      <c r="E306" s="30"/>
      <c r="F306" s="30"/>
      <c r="G306" s="30"/>
      <c r="H306" s="175"/>
      <c r="L306" s="21">
        <v>1</v>
      </c>
    </row>
    <row r="307" spans="2:12" ht="18">
      <c r="B307" s="30"/>
      <c r="C307" s="30"/>
      <c r="D307" s="30"/>
      <c r="E307" s="30"/>
      <c r="F307" s="30"/>
      <c r="G307" s="30"/>
      <c r="H307" s="175"/>
      <c r="L307" s="21">
        <v>1</v>
      </c>
    </row>
    <row r="308" spans="2:12" ht="18">
      <c r="B308" s="30"/>
      <c r="C308" s="30"/>
      <c r="D308" s="30"/>
      <c r="E308" s="30"/>
      <c r="F308" s="30"/>
      <c r="G308" s="30"/>
      <c r="H308" s="175"/>
      <c r="L308" s="21">
        <v>1</v>
      </c>
    </row>
    <row r="309" spans="2:12" ht="18">
      <c r="B309" s="30"/>
      <c r="C309" s="30"/>
      <c r="D309" s="30"/>
      <c r="E309" s="30"/>
      <c r="F309" s="30"/>
      <c r="G309" s="30"/>
      <c r="H309" s="175"/>
      <c r="L309" s="21">
        <v>1</v>
      </c>
    </row>
    <row r="310" spans="2:12" ht="18">
      <c r="B310" s="30"/>
      <c r="C310" s="30"/>
      <c r="D310" s="30"/>
      <c r="E310" s="30"/>
      <c r="F310" s="30"/>
      <c r="G310" s="30"/>
      <c r="H310" s="175"/>
      <c r="L310" s="21">
        <v>1</v>
      </c>
    </row>
    <row r="311" spans="2:12" ht="18">
      <c r="B311" s="30"/>
      <c r="C311" s="30"/>
      <c r="D311" s="30"/>
      <c r="E311" s="30"/>
      <c r="F311" s="30"/>
      <c r="G311" s="30"/>
      <c r="H311" s="175"/>
      <c r="L311" s="21">
        <v>1</v>
      </c>
    </row>
    <row r="312" spans="2:12" ht="18">
      <c r="B312" s="30"/>
      <c r="C312" s="30"/>
      <c r="D312" s="30"/>
      <c r="E312" s="30"/>
      <c r="F312" s="30"/>
      <c r="G312" s="30"/>
      <c r="H312" s="175"/>
      <c r="L312" s="21">
        <v>1</v>
      </c>
    </row>
    <row r="313" spans="2:12" ht="18">
      <c r="B313" s="30"/>
      <c r="C313" s="30"/>
      <c r="D313" s="30"/>
      <c r="E313" s="30"/>
      <c r="F313" s="30"/>
      <c r="G313" s="30"/>
      <c r="H313" s="175"/>
      <c r="L313" s="21">
        <v>1</v>
      </c>
    </row>
    <row r="314" spans="2:12" ht="18">
      <c r="B314" s="30"/>
      <c r="C314" s="30"/>
      <c r="D314" s="30"/>
      <c r="E314" s="30"/>
      <c r="F314" s="30"/>
      <c r="G314" s="30"/>
      <c r="H314" s="175"/>
      <c r="L314" s="21">
        <v>1</v>
      </c>
    </row>
    <row r="315" spans="2:12" ht="18">
      <c r="B315" s="30"/>
      <c r="C315" s="30"/>
      <c r="D315" s="30"/>
      <c r="E315" s="30"/>
      <c r="F315" s="30"/>
      <c r="G315" s="30"/>
      <c r="H315" s="175"/>
      <c r="L315" s="21">
        <v>1</v>
      </c>
    </row>
    <row r="316" spans="2:12" ht="18">
      <c r="B316" s="30"/>
      <c r="C316" s="30"/>
      <c r="D316" s="30"/>
      <c r="E316" s="30"/>
      <c r="F316" s="30"/>
      <c r="G316" s="30"/>
      <c r="H316" s="175"/>
      <c r="L316" s="21">
        <v>1</v>
      </c>
    </row>
    <row r="317" spans="2:12" ht="18">
      <c r="B317" s="30"/>
      <c r="C317" s="30"/>
      <c r="D317" s="30"/>
      <c r="E317" s="30"/>
      <c r="F317" s="30"/>
      <c r="G317" s="30"/>
      <c r="H317" s="175"/>
      <c r="L317" s="21">
        <v>1</v>
      </c>
    </row>
    <row r="318" spans="2:12" ht="18">
      <c r="B318" s="30"/>
      <c r="C318" s="30"/>
      <c r="D318" s="30"/>
      <c r="E318" s="30"/>
      <c r="F318" s="30"/>
      <c r="G318" s="30"/>
      <c r="H318" s="175"/>
      <c r="L318" s="21">
        <v>1</v>
      </c>
    </row>
    <row r="319" spans="2:12" ht="18">
      <c r="B319" s="30"/>
      <c r="C319" s="30"/>
      <c r="D319" s="30"/>
      <c r="E319" s="30"/>
      <c r="F319" s="30"/>
      <c r="G319" s="30"/>
      <c r="H319" s="175"/>
      <c r="L319" s="21">
        <v>1</v>
      </c>
    </row>
    <row r="320" spans="2:12" ht="18">
      <c r="B320" s="30"/>
      <c r="C320" s="30"/>
      <c r="D320" s="30"/>
      <c r="E320" s="30"/>
      <c r="F320" s="30"/>
      <c r="G320" s="30"/>
      <c r="H320" s="175"/>
      <c r="L320" s="21">
        <v>1</v>
      </c>
    </row>
    <row r="321" spans="2:12" ht="18">
      <c r="B321" s="30"/>
      <c r="C321" s="30"/>
      <c r="D321" s="30"/>
      <c r="E321" s="30"/>
      <c r="F321" s="30"/>
      <c r="G321" s="30"/>
      <c r="H321" s="175"/>
      <c r="L321" s="21">
        <v>1</v>
      </c>
    </row>
    <row r="322" spans="2:12" ht="18">
      <c r="B322" s="30"/>
      <c r="C322" s="30"/>
      <c r="D322" s="30"/>
      <c r="E322" s="30"/>
      <c r="F322" s="30"/>
      <c r="G322" s="30"/>
      <c r="H322" s="175"/>
      <c r="L322" s="21">
        <v>1</v>
      </c>
    </row>
    <row r="323" spans="2:12" ht="18">
      <c r="B323" s="30"/>
      <c r="C323" s="30"/>
      <c r="D323" s="30"/>
      <c r="E323" s="30"/>
      <c r="F323" s="30"/>
      <c r="G323" s="30"/>
      <c r="H323" s="175"/>
      <c r="L323" s="21">
        <v>1</v>
      </c>
    </row>
    <row r="324" spans="2:12" ht="18">
      <c r="B324" s="30"/>
      <c r="C324" s="30"/>
      <c r="D324" s="30"/>
      <c r="E324" s="30"/>
      <c r="F324" s="30"/>
      <c r="G324" s="30"/>
      <c r="H324" s="175"/>
      <c r="L324" s="21">
        <v>1</v>
      </c>
    </row>
    <row r="325" spans="2:12" ht="18">
      <c r="B325" s="30"/>
      <c r="C325" s="30"/>
      <c r="D325" s="30"/>
      <c r="E325" s="30"/>
      <c r="F325" s="30"/>
      <c r="G325" s="30"/>
      <c r="H325" s="175"/>
      <c r="L325" s="21">
        <v>1</v>
      </c>
    </row>
    <row r="326" spans="2:12" ht="18">
      <c r="B326" s="30"/>
      <c r="C326" s="30"/>
      <c r="D326" s="30"/>
      <c r="E326" s="30"/>
      <c r="F326" s="30"/>
      <c r="G326" s="30"/>
      <c r="H326" s="175"/>
      <c r="L326" s="21">
        <v>1</v>
      </c>
    </row>
    <row r="327" spans="2:12" ht="18">
      <c r="B327" s="30"/>
      <c r="C327" s="30"/>
      <c r="D327" s="30"/>
      <c r="E327" s="30"/>
      <c r="F327" s="30"/>
      <c r="G327" s="30"/>
      <c r="H327" s="175"/>
      <c r="L327" s="21">
        <v>1</v>
      </c>
    </row>
    <row r="328" spans="2:12" ht="18">
      <c r="B328" s="30"/>
      <c r="C328" s="30"/>
      <c r="D328" s="30"/>
      <c r="E328" s="30"/>
      <c r="F328" s="30"/>
      <c r="G328" s="30"/>
      <c r="H328" s="175"/>
      <c r="L328" s="21">
        <v>1</v>
      </c>
    </row>
    <row r="329" spans="2:12" ht="18">
      <c r="B329" s="30"/>
      <c r="C329" s="30"/>
      <c r="D329" s="30"/>
      <c r="E329" s="30"/>
      <c r="F329" s="30"/>
      <c r="G329" s="30"/>
      <c r="H329" s="175"/>
      <c r="L329" s="21">
        <v>1</v>
      </c>
    </row>
    <row r="330" spans="2:12" ht="18">
      <c r="B330" s="30"/>
      <c r="C330" s="30"/>
      <c r="D330" s="30"/>
      <c r="E330" s="30"/>
      <c r="F330" s="30"/>
      <c r="G330" s="30"/>
      <c r="H330" s="175"/>
      <c r="L330" s="21">
        <v>1</v>
      </c>
    </row>
    <row r="331" spans="2:12" ht="18">
      <c r="B331" s="30"/>
      <c r="C331" s="30"/>
      <c r="D331" s="30"/>
      <c r="E331" s="30"/>
      <c r="F331" s="30"/>
      <c r="G331" s="30"/>
      <c r="H331" s="175"/>
      <c r="L331" s="21">
        <v>1</v>
      </c>
    </row>
    <row r="332" spans="2:12" ht="18">
      <c r="B332" s="30"/>
      <c r="C332" s="30"/>
      <c r="D332" s="30"/>
      <c r="E332" s="30"/>
      <c r="F332" s="30"/>
      <c r="G332" s="30"/>
      <c r="H332" s="175"/>
      <c r="L332" s="21">
        <v>1</v>
      </c>
    </row>
    <row r="333" spans="2:12" ht="18">
      <c r="B333" s="30"/>
      <c r="C333" s="30"/>
      <c r="D333" s="30"/>
      <c r="E333" s="30"/>
      <c r="F333" s="30"/>
      <c r="G333" s="30"/>
      <c r="H333" s="175"/>
      <c r="L333" s="21">
        <v>1</v>
      </c>
    </row>
    <row r="334" spans="2:12" ht="18">
      <c r="B334" s="30"/>
      <c r="C334" s="30"/>
      <c r="D334" s="30"/>
      <c r="E334" s="30"/>
      <c r="F334" s="30"/>
      <c r="G334" s="30"/>
      <c r="H334" s="175"/>
      <c r="L334" s="21">
        <v>1</v>
      </c>
    </row>
    <row r="335" spans="2:12" ht="18">
      <c r="B335" s="30"/>
      <c r="C335" s="30"/>
      <c r="D335" s="30"/>
      <c r="E335" s="30"/>
      <c r="F335" s="30"/>
      <c r="G335" s="30"/>
      <c r="H335" s="175"/>
      <c r="L335" s="21">
        <v>1</v>
      </c>
    </row>
    <row r="336" spans="2:12" ht="18">
      <c r="B336" s="30"/>
      <c r="C336" s="30"/>
      <c r="D336" s="30"/>
      <c r="E336" s="30"/>
      <c r="F336" s="30"/>
      <c r="G336" s="30"/>
      <c r="H336" s="175"/>
      <c r="L336" s="21">
        <v>1</v>
      </c>
    </row>
    <row r="337" spans="2:12" ht="18">
      <c r="B337" s="30"/>
      <c r="C337" s="30"/>
      <c r="D337" s="30"/>
      <c r="E337" s="30"/>
      <c r="F337" s="30"/>
      <c r="G337" s="30"/>
      <c r="H337" s="175"/>
      <c r="L337" s="21">
        <v>1</v>
      </c>
    </row>
    <row r="338" spans="2:12" ht="18">
      <c r="B338" s="30"/>
      <c r="C338" s="30"/>
      <c r="D338" s="30"/>
      <c r="E338" s="30"/>
      <c r="F338" s="30"/>
      <c r="G338" s="30"/>
      <c r="H338" s="175"/>
      <c r="L338" s="21">
        <v>1</v>
      </c>
    </row>
    <row r="339" spans="2:12" ht="18">
      <c r="B339" s="30"/>
      <c r="C339" s="30"/>
      <c r="D339" s="30"/>
      <c r="E339" s="30"/>
      <c r="F339" s="30"/>
      <c r="G339" s="30"/>
      <c r="H339" s="175"/>
      <c r="L339" s="21">
        <v>1</v>
      </c>
    </row>
    <row r="340" spans="2:12" ht="18">
      <c r="B340" s="30"/>
      <c r="C340" s="30"/>
      <c r="D340" s="30"/>
      <c r="E340" s="30"/>
      <c r="F340" s="30"/>
      <c r="G340" s="30"/>
      <c r="H340" s="175"/>
      <c r="L340" s="21">
        <v>1</v>
      </c>
    </row>
    <row r="341" spans="2:12" ht="18">
      <c r="B341" s="30"/>
      <c r="C341" s="30"/>
      <c r="D341" s="30"/>
      <c r="E341" s="30"/>
      <c r="F341" s="30"/>
      <c r="G341" s="30"/>
      <c r="H341" s="175"/>
      <c r="L341" s="21">
        <v>1</v>
      </c>
    </row>
    <row r="342" spans="2:12" ht="18">
      <c r="B342" s="30"/>
      <c r="C342" s="30"/>
      <c r="D342" s="30"/>
      <c r="E342" s="30"/>
      <c r="F342" s="30"/>
      <c r="G342" s="30"/>
      <c r="H342" s="175"/>
      <c r="L342" s="21">
        <v>1</v>
      </c>
    </row>
    <row r="343" spans="2:12" ht="18">
      <c r="B343" s="30"/>
      <c r="C343" s="30"/>
      <c r="D343" s="30"/>
      <c r="E343" s="30"/>
      <c r="F343" s="30"/>
      <c r="G343" s="30"/>
      <c r="H343" s="175"/>
      <c r="L343" s="21">
        <v>1</v>
      </c>
    </row>
    <row r="344" spans="2:12" ht="18">
      <c r="B344" s="30"/>
      <c r="C344" s="30"/>
      <c r="D344" s="30"/>
      <c r="E344" s="30"/>
      <c r="F344" s="30"/>
      <c r="G344" s="30"/>
      <c r="H344" s="175"/>
      <c r="L344" s="21">
        <v>1</v>
      </c>
    </row>
    <row r="345" spans="2:12" ht="18">
      <c r="B345" s="30"/>
      <c r="C345" s="30"/>
      <c r="D345" s="30"/>
      <c r="E345" s="30"/>
      <c r="F345" s="30"/>
      <c r="G345" s="30"/>
      <c r="H345" s="175"/>
      <c r="L345" s="21">
        <v>1</v>
      </c>
    </row>
    <row r="346" spans="2:12" ht="18">
      <c r="B346" s="30"/>
      <c r="C346" s="30"/>
      <c r="D346" s="30"/>
      <c r="E346" s="30"/>
      <c r="F346" s="30"/>
      <c r="G346" s="30"/>
      <c r="H346" s="175"/>
      <c r="L346" s="21">
        <v>1</v>
      </c>
    </row>
    <row r="347" spans="2:12" ht="18">
      <c r="B347" s="30"/>
      <c r="C347" s="30"/>
      <c r="D347" s="30"/>
      <c r="E347" s="30"/>
      <c r="F347" s="30"/>
      <c r="G347" s="30"/>
      <c r="H347" s="175"/>
      <c r="L347" s="21">
        <v>1</v>
      </c>
    </row>
    <row r="348" spans="2:12" ht="18">
      <c r="B348" s="30"/>
      <c r="C348" s="30"/>
      <c r="D348" s="30"/>
      <c r="E348" s="30"/>
      <c r="F348" s="30"/>
      <c r="G348" s="30"/>
      <c r="H348" s="175"/>
      <c r="L348" s="21">
        <v>1</v>
      </c>
    </row>
    <row r="349" spans="2:12" ht="18">
      <c r="B349" s="30"/>
      <c r="C349" s="30"/>
      <c r="D349" s="30"/>
      <c r="E349" s="30"/>
      <c r="F349" s="30"/>
      <c r="G349" s="30"/>
      <c r="H349" s="175"/>
      <c r="L349" s="21">
        <v>1</v>
      </c>
    </row>
    <row r="350" spans="2:12" ht="18">
      <c r="B350" s="30"/>
      <c r="C350" s="30"/>
      <c r="D350" s="30"/>
      <c r="E350" s="30"/>
      <c r="F350" s="30"/>
      <c r="G350" s="30"/>
      <c r="H350" s="175"/>
      <c r="L350" s="21">
        <v>1</v>
      </c>
    </row>
    <row r="351" spans="2:12" ht="18">
      <c r="B351" s="30"/>
      <c r="C351" s="30"/>
      <c r="D351" s="30"/>
      <c r="E351" s="30"/>
      <c r="F351" s="30"/>
      <c r="G351" s="30"/>
      <c r="H351" s="175"/>
      <c r="L351" s="21">
        <v>1</v>
      </c>
    </row>
    <row r="352" spans="2:12" ht="18">
      <c r="B352" s="30"/>
      <c r="C352" s="30"/>
      <c r="D352" s="30"/>
      <c r="E352" s="30"/>
      <c r="F352" s="30"/>
      <c r="G352" s="30"/>
      <c r="H352" s="175"/>
      <c r="L352" s="21">
        <v>1</v>
      </c>
    </row>
    <row r="353" spans="2:12" ht="18">
      <c r="B353" s="30"/>
      <c r="C353" s="30"/>
      <c r="D353" s="30"/>
      <c r="E353" s="30"/>
      <c r="F353" s="30"/>
      <c r="G353" s="30"/>
      <c r="H353" s="175"/>
      <c r="L353" s="21">
        <v>1</v>
      </c>
    </row>
    <row r="354" spans="2:12" ht="18">
      <c r="B354" s="30"/>
      <c r="C354" s="30"/>
      <c r="D354" s="30"/>
      <c r="E354" s="30"/>
      <c r="F354" s="30"/>
      <c r="G354" s="30"/>
      <c r="H354" s="175"/>
      <c r="L354" s="21">
        <v>1</v>
      </c>
    </row>
    <row r="355" spans="2:12" ht="18">
      <c r="B355" s="30"/>
      <c r="C355" s="30"/>
      <c r="D355" s="30"/>
      <c r="E355" s="30"/>
      <c r="F355" s="30"/>
      <c r="G355" s="30"/>
      <c r="H355" s="175"/>
      <c r="L355" s="21">
        <v>1</v>
      </c>
    </row>
    <row r="356" spans="2:12" ht="18">
      <c r="B356" s="30"/>
      <c r="C356" s="30"/>
      <c r="D356" s="30"/>
      <c r="E356" s="30"/>
      <c r="F356" s="30"/>
      <c r="G356" s="30"/>
      <c r="H356" s="175"/>
      <c r="L356" s="21">
        <v>1</v>
      </c>
    </row>
    <row r="357" spans="2:12" ht="18">
      <c r="B357" s="30"/>
      <c r="C357" s="30"/>
      <c r="D357" s="30"/>
      <c r="E357" s="30"/>
      <c r="F357" s="30"/>
      <c r="G357" s="30"/>
      <c r="H357" s="175"/>
      <c r="L357" s="21">
        <v>1</v>
      </c>
    </row>
    <row r="358" spans="2:12" ht="18">
      <c r="B358" s="30"/>
      <c r="C358" s="30"/>
      <c r="D358" s="30"/>
      <c r="E358" s="30"/>
      <c r="F358" s="30"/>
      <c r="G358" s="30"/>
      <c r="H358" s="175"/>
      <c r="L358" s="21">
        <v>1</v>
      </c>
    </row>
    <row r="359" spans="2:12" ht="18">
      <c r="B359" s="30"/>
      <c r="C359" s="30"/>
      <c r="D359" s="30"/>
      <c r="E359" s="30"/>
      <c r="F359" s="30"/>
      <c r="G359" s="30"/>
      <c r="H359" s="175"/>
      <c r="L359" s="21">
        <v>1</v>
      </c>
    </row>
    <row r="360" spans="2:12" ht="18">
      <c r="B360" s="30"/>
      <c r="C360" s="30"/>
      <c r="D360" s="30"/>
      <c r="E360" s="30"/>
      <c r="F360" s="30"/>
      <c r="G360" s="30"/>
      <c r="H360" s="175"/>
      <c r="L360" s="21">
        <v>1</v>
      </c>
    </row>
    <row r="361" spans="2:12" ht="18">
      <c r="B361" s="30"/>
      <c r="C361" s="30"/>
      <c r="D361" s="30"/>
      <c r="E361" s="30"/>
      <c r="F361" s="30"/>
      <c r="G361" s="30"/>
      <c r="H361" s="175"/>
      <c r="L361" s="21">
        <v>1</v>
      </c>
    </row>
    <row r="362" spans="2:12" ht="18">
      <c r="B362" s="30"/>
      <c r="C362" s="30"/>
      <c r="D362" s="30"/>
      <c r="E362" s="30"/>
      <c r="F362" s="30"/>
      <c r="G362" s="30"/>
      <c r="H362" s="175"/>
      <c r="L362" s="21">
        <v>1</v>
      </c>
    </row>
    <row r="363" spans="2:12" ht="18">
      <c r="B363" s="30"/>
      <c r="C363" s="30"/>
      <c r="D363" s="30"/>
      <c r="E363" s="30"/>
      <c r="F363" s="30"/>
      <c r="G363" s="30"/>
      <c r="H363" s="175"/>
      <c r="L363" s="21">
        <v>1</v>
      </c>
    </row>
    <row r="364" spans="2:12" ht="18">
      <c r="B364" s="30"/>
      <c r="C364" s="30"/>
      <c r="D364" s="30"/>
      <c r="E364" s="30"/>
      <c r="F364" s="30"/>
      <c r="G364" s="30"/>
      <c r="H364" s="175"/>
      <c r="L364" s="21">
        <v>1</v>
      </c>
    </row>
    <row r="365" spans="2:12" ht="18">
      <c r="B365" s="30"/>
      <c r="C365" s="30"/>
      <c r="D365" s="30"/>
      <c r="E365" s="30"/>
      <c r="F365" s="30"/>
      <c r="G365" s="30"/>
      <c r="H365" s="175"/>
      <c r="L365" s="21">
        <v>1</v>
      </c>
    </row>
    <row r="366" spans="2:12" ht="18">
      <c r="B366" s="30"/>
      <c r="C366" s="30"/>
      <c r="D366" s="30"/>
      <c r="E366" s="30"/>
      <c r="F366" s="30"/>
      <c r="G366" s="30"/>
      <c r="H366" s="175"/>
      <c r="L366" s="21">
        <v>1</v>
      </c>
    </row>
    <row r="367" spans="2:12" ht="18">
      <c r="B367" s="30"/>
      <c r="C367" s="30"/>
      <c r="D367" s="30"/>
      <c r="E367" s="30"/>
      <c r="F367" s="30"/>
      <c r="G367" s="30"/>
      <c r="H367" s="175"/>
      <c r="L367" s="21">
        <v>1</v>
      </c>
    </row>
    <row r="368" spans="2:12" ht="18">
      <c r="B368" s="30"/>
      <c r="C368" s="30"/>
      <c r="D368" s="30"/>
      <c r="E368" s="30"/>
      <c r="F368" s="30"/>
      <c r="G368" s="30"/>
      <c r="H368" s="175"/>
      <c r="L368" s="21">
        <v>1</v>
      </c>
    </row>
    <row r="369" spans="2:12" ht="18">
      <c r="B369" s="30"/>
      <c r="C369" s="30"/>
      <c r="D369" s="30"/>
      <c r="E369" s="30"/>
      <c r="F369" s="30"/>
      <c r="G369" s="30"/>
      <c r="H369" s="175"/>
      <c r="L369" s="21">
        <v>1</v>
      </c>
    </row>
    <row r="370" spans="2:12" ht="18">
      <c r="B370" s="30"/>
      <c r="C370" s="30"/>
      <c r="D370" s="30"/>
      <c r="E370" s="30"/>
      <c r="F370" s="30"/>
      <c r="G370" s="30"/>
      <c r="H370" s="175"/>
      <c r="L370" s="21">
        <v>1</v>
      </c>
    </row>
    <row r="371" spans="2:12" ht="18">
      <c r="B371" s="30"/>
      <c r="C371" s="30"/>
      <c r="D371" s="30"/>
      <c r="E371" s="30"/>
      <c r="F371" s="30"/>
      <c r="G371" s="30"/>
      <c r="H371" s="175"/>
      <c r="L371" s="21">
        <v>1</v>
      </c>
    </row>
    <row r="372" spans="2:12" ht="18">
      <c r="B372" s="30"/>
      <c r="C372" s="30"/>
      <c r="D372" s="30"/>
      <c r="E372" s="30"/>
      <c r="F372" s="30"/>
      <c r="G372" s="30"/>
      <c r="H372" s="175"/>
      <c r="L372" s="21">
        <v>1</v>
      </c>
    </row>
    <row r="373" spans="2:12" ht="18">
      <c r="B373" s="30"/>
      <c r="C373" s="30"/>
      <c r="D373" s="30"/>
      <c r="E373" s="30"/>
      <c r="F373" s="30"/>
      <c r="G373" s="30"/>
      <c r="H373" s="175"/>
      <c r="L373" s="21">
        <v>1</v>
      </c>
    </row>
    <row r="374" spans="2:12" ht="18">
      <c r="B374" s="30"/>
      <c r="C374" s="30"/>
      <c r="D374" s="30"/>
      <c r="E374" s="30"/>
      <c r="F374" s="30"/>
      <c r="G374" s="30"/>
      <c r="H374" s="175"/>
      <c r="L374" s="21">
        <v>1</v>
      </c>
    </row>
    <row r="375" spans="2:12" ht="18">
      <c r="B375" s="30"/>
      <c r="C375" s="30"/>
      <c r="D375" s="30"/>
      <c r="E375" s="30"/>
      <c r="F375" s="30"/>
      <c r="G375" s="30"/>
      <c r="H375" s="175"/>
      <c r="L375" s="21">
        <v>1</v>
      </c>
    </row>
    <row r="376" spans="2:12" ht="18">
      <c r="B376" s="30"/>
      <c r="C376" s="30"/>
      <c r="D376" s="30"/>
      <c r="E376" s="30"/>
      <c r="F376" s="30"/>
      <c r="G376" s="30"/>
      <c r="H376" s="175"/>
      <c r="L376" s="21">
        <v>1</v>
      </c>
    </row>
    <row r="377" spans="2:12" ht="18">
      <c r="B377" s="30"/>
      <c r="C377" s="30"/>
      <c r="D377" s="30"/>
      <c r="E377" s="30"/>
      <c r="F377" s="30"/>
      <c r="G377" s="30"/>
      <c r="H377" s="175"/>
      <c r="L377" s="21">
        <v>1</v>
      </c>
    </row>
    <row r="378" spans="2:12" ht="18">
      <c r="B378" s="30"/>
      <c r="C378" s="30"/>
      <c r="D378" s="30"/>
      <c r="E378" s="30"/>
      <c r="F378" s="30"/>
      <c r="G378" s="30"/>
      <c r="H378" s="175"/>
      <c r="L378" s="21">
        <v>1</v>
      </c>
    </row>
    <row r="379" spans="2:12" ht="18">
      <c r="B379" s="30"/>
      <c r="C379" s="30"/>
      <c r="D379" s="30"/>
      <c r="E379" s="30"/>
      <c r="F379" s="30"/>
      <c r="G379" s="30"/>
      <c r="H379" s="175"/>
      <c r="L379" s="21">
        <v>1</v>
      </c>
    </row>
    <row r="380" spans="2:12" ht="18">
      <c r="B380" s="30"/>
      <c r="C380" s="30"/>
      <c r="D380" s="30"/>
      <c r="E380" s="30"/>
      <c r="F380" s="30"/>
      <c r="G380" s="30"/>
      <c r="H380" s="175"/>
      <c r="L380" s="21">
        <v>1</v>
      </c>
    </row>
    <row r="381" spans="2:12" ht="18">
      <c r="B381" s="30"/>
      <c r="C381" s="30"/>
      <c r="D381" s="30"/>
      <c r="E381" s="30"/>
      <c r="F381" s="30"/>
      <c r="G381" s="30"/>
      <c r="H381" s="175"/>
      <c r="L381" s="21">
        <v>1</v>
      </c>
    </row>
    <row r="382" spans="2:12" ht="18">
      <c r="B382" s="30"/>
      <c r="C382" s="30"/>
      <c r="D382" s="30"/>
      <c r="E382" s="30"/>
      <c r="F382" s="30"/>
      <c r="G382" s="30"/>
      <c r="H382" s="175"/>
      <c r="L382" s="21">
        <v>1</v>
      </c>
    </row>
    <row r="383" spans="2:12" ht="18">
      <c r="B383" s="30"/>
      <c r="C383" s="30"/>
      <c r="D383" s="30"/>
      <c r="E383" s="30"/>
      <c r="F383" s="30"/>
      <c r="G383" s="30"/>
      <c r="H383" s="175"/>
      <c r="L383" s="21">
        <v>1</v>
      </c>
    </row>
    <row r="384" spans="2:12" ht="18">
      <c r="B384" s="30"/>
      <c r="C384" s="30"/>
      <c r="D384" s="30"/>
      <c r="E384" s="30"/>
      <c r="F384" s="30"/>
      <c r="G384" s="30"/>
      <c r="H384" s="175"/>
      <c r="L384" s="21">
        <v>1</v>
      </c>
    </row>
    <row r="385" spans="2:12" ht="18">
      <c r="B385" s="30"/>
      <c r="C385" s="30"/>
      <c r="D385" s="30"/>
      <c r="E385" s="30"/>
      <c r="F385" s="30"/>
      <c r="G385" s="30"/>
      <c r="H385" s="175"/>
      <c r="L385" s="21">
        <v>1</v>
      </c>
    </row>
    <row r="386" spans="2:12" ht="18">
      <c r="B386" s="30"/>
      <c r="C386" s="30"/>
      <c r="D386" s="30"/>
      <c r="E386" s="30"/>
      <c r="F386" s="30"/>
      <c r="G386" s="30"/>
      <c r="H386" s="175"/>
      <c r="L386" s="21">
        <v>1</v>
      </c>
    </row>
    <row r="387" spans="2:12" ht="18">
      <c r="B387" s="30"/>
      <c r="C387" s="30"/>
      <c r="D387" s="30"/>
      <c r="E387" s="30"/>
      <c r="F387" s="30"/>
      <c r="G387" s="30"/>
      <c r="H387" s="175"/>
      <c r="L387" s="21">
        <v>1</v>
      </c>
    </row>
    <row r="388" spans="2:12" ht="18">
      <c r="B388" s="30"/>
      <c r="C388" s="30"/>
      <c r="D388" s="30"/>
      <c r="E388" s="30"/>
      <c r="F388" s="30"/>
      <c r="G388" s="30"/>
      <c r="H388" s="175"/>
      <c r="L388" s="21">
        <v>1</v>
      </c>
    </row>
    <row r="389" spans="2:12" ht="18">
      <c r="B389" s="30"/>
      <c r="C389" s="30"/>
      <c r="D389" s="30"/>
      <c r="E389" s="30"/>
      <c r="F389" s="30"/>
      <c r="G389" s="30"/>
      <c r="H389" s="175"/>
      <c r="L389" s="21">
        <v>1</v>
      </c>
    </row>
    <row r="390" spans="2:12" ht="18">
      <c r="B390" s="30"/>
      <c r="C390" s="30"/>
      <c r="D390" s="30"/>
      <c r="E390" s="30"/>
      <c r="F390" s="30"/>
      <c r="G390" s="30"/>
      <c r="H390" s="175"/>
      <c r="L390" s="21">
        <v>1</v>
      </c>
    </row>
    <row r="391" spans="2:12" ht="18">
      <c r="B391" s="30"/>
      <c r="C391" s="30"/>
      <c r="D391" s="30"/>
      <c r="E391" s="30"/>
      <c r="F391" s="30"/>
      <c r="G391" s="30"/>
      <c r="H391" s="175"/>
      <c r="L391" s="21">
        <v>1</v>
      </c>
    </row>
    <row r="392" spans="2:12" ht="18">
      <c r="B392" s="30"/>
      <c r="C392" s="30"/>
      <c r="D392" s="30"/>
      <c r="E392" s="30"/>
      <c r="F392" s="30"/>
      <c r="G392" s="30"/>
      <c r="H392" s="175"/>
      <c r="L392" s="21">
        <v>1</v>
      </c>
    </row>
    <row r="393" spans="2:12" ht="18">
      <c r="B393" s="30"/>
      <c r="C393" s="30"/>
      <c r="D393" s="30"/>
      <c r="E393" s="30"/>
      <c r="F393" s="30"/>
      <c r="G393" s="30"/>
      <c r="H393" s="175"/>
      <c r="L393" s="21">
        <v>1</v>
      </c>
    </row>
    <row r="394" spans="2:12" ht="18">
      <c r="B394" s="30"/>
      <c r="C394" s="30"/>
      <c r="D394" s="30"/>
      <c r="E394" s="30"/>
      <c r="F394" s="30"/>
      <c r="G394" s="30"/>
      <c r="H394" s="175"/>
      <c r="L394" s="21">
        <v>1</v>
      </c>
    </row>
    <row r="395" spans="2:12" ht="18">
      <c r="B395" s="30"/>
      <c r="C395" s="30"/>
      <c r="D395" s="30"/>
      <c r="E395" s="30"/>
      <c r="F395" s="30"/>
      <c r="G395" s="30"/>
      <c r="H395" s="175"/>
      <c r="L395" s="21">
        <v>1</v>
      </c>
    </row>
    <row r="396" spans="2:12" ht="18">
      <c r="B396" s="30"/>
      <c r="C396" s="30"/>
      <c r="D396" s="30"/>
      <c r="E396" s="30"/>
      <c r="F396" s="30"/>
      <c r="G396" s="30"/>
      <c r="H396" s="175"/>
      <c r="L396" s="21">
        <v>1</v>
      </c>
    </row>
    <row r="397" spans="2:12" ht="18">
      <c r="B397" s="30"/>
      <c r="C397" s="30"/>
      <c r="D397" s="30"/>
      <c r="E397" s="30"/>
      <c r="F397" s="30"/>
      <c r="G397" s="30"/>
      <c r="H397" s="175"/>
      <c r="L397" s="21">
        <v>1</v>
      </c>
    </row>
    <row r="398" spans="2:12" ht="18">
      <c r="B398" s="30"/>
      <c r="C398" s="30"/>
      <c r="D398" s="30"/>
      <c r="E398" s="30"/>
      <c r="F398" s="30"/>
      <c r="G398" s="30"/>
      <c r="H398" s="175"/>
      <c r="L398" s="21">
        <v>1</v>
      </c>
    </row>
    <row r="399" spans="2:12" ht="18">
      <c r="B399" s="30"/>
      <c r="C399" s="30"/>
      <c r="D399" s="30"/>
      <c r="E399" s="30"/>
      <c r="F399" s="30"/>
      <c r="G399" s="30"/>
      <c r="H399" s="175"/>
      <c r="L399" s="21">
        <v>1</v>
      </c>
    </row>
    <row r="400" spans="2:12" ht="18">
      <c r="B400" s="30"/>
      <c r="C400" s="30"/>
      <c r="D400" s="30"/>
      <c r="E400" s="30"/>
      <c r="F400" s="30"/>
      <c r="G400" s="30"/>
      <c r="H400" s="175"/>
      <c r="L400" s="21">
        <v>1</v>
      </c>
    </row>
    <row r="401" spans="2:12" ht="18">
      <c r="B401" s="30"/>
      <c r="C401" s="30"/>
      <c r="D401" s="30"/>
      <c r="E401" s="30"/>
      <c r="F401" s="30"/>
      <c r="G401" s="30"/>
      <c r="H401" s="175"/>
      <c r="L401" s="21">
        <v>1</v>
      </c>
    </row>
    <row r="402" spans="2:12" ht="18">
      <c r="B402" s="30"/>
      <c r="C402" s="30"/>
      <c r="D402" s="30"/>
      <c r="E402" s="30"/>
      <c r="F402" s="30"/>
      <c r="G402" s="30"/>
      <c r="H402" s="175"/>
      <c r="L402" s="21">
        <v>1</v>
      </c>
    </row>
    <row r="403" spans="2:12" ht="18">
      <c r="B403" s="30"/>
      <c r="C403" s="30"/>
      <c r="D403" s="30"/>
      <c r="E403" s="30"/>
      <c r="F403" s="30"/>
      <c r="G403" s="30"/>
      <c r="H403" s="175"/>
      <c r="L403" s="21">
        <v>1</v>
      </c>
    </row>
    <row r="404" spans="2:12" ht="18">
      <c r="B404" s="30"/>
      <c r="C404" s="30"/>
      <c r="D404" s="30"/>
      <c r="E404" s="30"/>
      <c r="F404" s="30"/>
      <c r="G404" s="30"/>
      <c r="H404" s="175"/>
      <c r="L404" s="21">
        <v>1</v>
      </c>
    </row>
    <row r="405" spans="2:12" ht="18">
      <c r="B405" s="30"/>
      <c r="C405" s="30"/>
      <c r="D405" s="30"/>
      <c r="E405" s="30"/>
      <c r="F405" s="30"/>
      <c r="G405" s="30"/>
      <c r="H405" s="175"/>
      <c r="L405" s="21">
        <v>1</v>
      </c>
    </row>
    <row r="406" spans="2:12" ht="18">
      <c r="B406" s="30"/>
      <c r="C406" s="30"/>
      <c r="D406" s="30"/>
      <c r="E406" s="30"/>
      <c r="F406" s="30"/>
      <c r="G406" s="30"/>
      <c r="H406" s="175"/>
      <c r="L406" s="21">
        <v>1</v>
      </c>
    </row>
    <row r="407" spans="2:12" ht="18">
      <c r="B407" s="30"/>
      <c r="C407" s="30"/>
      <c r="D407" s="30"/>
      <c r="E407" s="30"/>
      <c r="F407" s="30"/>
      <c r="G407" s="30"/>
      <c r="H407" s="175"/>
      <c r="L407" s="21">
        <v>1</v>
      </c>
    </row>
    <row r="408" spans="2:12" ht="18">
      <c r="B408" s="30"/>
      <c r="C408" s="30"/>
      <c r="D408" s="30"/>
      <c r="E408" s="30"/>
      <c r="F408" s="30"/>
      <c r="G408" s="30"/>
      <c r="H408" s="175"/>
      <c r="L408" s="21">
        <v>1</v>
      </c>
    </row>
    <row r="409" spans="2:12" ht="27.75" thickBot="1">
      <c r="B409" s="19" t="s">
        <v>3</v>
      </c>
      <c r="C409" s="19" t="s">
        <v>3</v>
      </c>
      <c r="D409" s="19" t="s">
        <v>3</v>
      </c>
      <c r="E409" s="20" t="s">
        <v>3</v>
      </c>
      <c r="F409" s="20" t="s">
        <v>3</v>
      </c>
      <c r="G409" s="20" t="s">
        <v>3</v>
      </c>
      <c r="H409" s="176"/>
      <c r="L409" s="73" t="s">
        <v>3</v>
      </c>
    </row>
    <row r="410" spans="2:12" ht="13.5" thickTop="1"/>
  </sheetData>
  <sheetProtection sheet="1" objects="1" scenarios="1" selectLockedCells="1"/>
  <customSheetViews>
    <customSheetView guid="{43751384-8D2C-4877-853C-4CE893CAF1E6}" showGridLines="0" showRowCol="0">
      <pane ySplit="8" topLeftCell="A233" activePane="bottomLeft" state="frozen"/>
      <selection pane="bottomLeft" activeCell="B247" sqref="B247"/>
      <pageMargins left="0.7" right="0.7" top="0.75" bottom="0.75" header="0.3" footer="0.3"/>
      <pageSetup paperSize="9" orientation="portrait" r:id="rId1"/>
    </customSheetView>
    <customSheetView guid="{D80F4FD6-7D6D-4832-9A2E-4DEB1E783FB1}" showGridLines="0" showRowCol="0">
      <pane ySplit="8" topLeftCell="A141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0A4EA429-3B60-4229-BB25-AADA8CCE0D84}" showGridLines="0" showRowCol="0">
      <pane ySplit="7" topLeftCell="A9" activePane="bottomLeft" state="frozen"/>
      <selection pane="bottomLeft" activeCell="I4" sqref="I4"/>
      <pageMargins left="0.7" right="0.7" top="0.75" bottom="0.75" header="0.3" footer="0.3"/>
      <pageSetup paperSize="9" orientation="portrait" r:id="rId3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408">
      <formula1>$N$32:$N$58</formula1>
    </dataValidation>
    <dataValidation type="list" allowBlank="1" showDropDown="1" showInputMessage="1" showErrorMessage="1" sqref="B9:B408">
      <formula1>$C$6</formula1>
    </dataValidation>
    <dataValidation allowBlank="1" showInputMessage="1" showErrorMessage="1" errorTitle="Dato no valido" error="El valor esta fuera de rango [0,30] o No es un numero" sqref="E9:H408"/>
    <dataValidation type="list" allowBlank="1" showDropDown="1" showInputMessage="1" showErrorMessage="1" sqref="D9:D408">
      <formula1>$N$10:$N$29</formula1>
    </dataValidation>
  </dataValidations>
  <hyperlinks>
    <hyperlink ref="I2" location="PPrincipal!A1" display="* Pagina Principal"/>
    <hyperlink ref="I3" location="Anzoategui!A1" display="Anzoátegui"/>
    <hyperlink ref="I4" location="'Nueva Esparta'!A1" display="Nueva Esparta"/>
    <hyperlink ref="I5" location="Sucre!A1" display="Sucre"/>
  </hyperlinks>
  <pageMargins left="0.7" right="0.7" top="0.75" bottom="0.75" header="0.3" footer="0.3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6"/>
      <c r="K1" s="108"/>
    </row>
    <row r="2" spans="1:11" ht="15" customHeight="1">
      <c r="J2" s="79" t="s">
        <v>7</v>
      </c>
      <c r="K2" s="108"/>
    </row>
    <row r="3" spans="1:11" ht="15" customHeight="1">
      <c r="J3" s="79" t="s">
        <v>78</v>
      </c>
      <c r="K3" s="108"/>
    </row>
    <row r="4" spans="1:11" ht="15" customHeight="1">
      <c r="J4" s="79" t="s">
        <v>80</v>
      </c>
      <c r="K4" s="108"/>
    </row>
    <row r="5" spans="1:11" ht="15" customHeight="1">
      <c r="G5" s="56"/>
      <c r="J5" s="79" t="s">
        <v>81</v>
      </c>
      <c r="K5" s="108"/>
    </row>
    <row r="6" spans="1:11" ht="15" customHeight="1">
      <c r="A6" s="185" t="s">
        <v>35</v>
      </c>
      <c r="B6" s="185"/>
      <c r="C6" s="185"/>
      <c r="D6" s="185"/>
      <c r="E6" s="185"/>
      <c r="F6" s="185"/>
    </row>
    <row r="25" spans="2:7" ht="22.5" customHeight="1">
      <c r="B25" s="185"/>
      <c r="C25" s="185"/>
      <c r="D25" s="185"/>
      <c r="E25" s="185"/>
      <c r="F25" s="185"/>
      <c r="G25" s="185"/>
    </row>
    <row r="44" spans="7:7" ht="22.5" customHeight="1">
      <c r="G44" s="56"/>
    </row>
  </sheetData>
  <customSheetViews>
    <customSheetView guid="{43751384-8D2C-4877-853C-4CE893CAF1E6}" showGridLines="0" showRowCol="0">
      <selection activeCell="J2" sqref="J2"/>
      <pageMargins left="0.7" right="0.7" top="0.75" bottom="0.75" header="0.3" footer="0.3"/>
      <pageSetup paperSize="9" orientation="portrait" r:id="rId1"/>
    </customSheetView>
    <customSheetView guid="{D80F4FD6-7D6D-4832-9A2E-4DEB1E783FB1}" showGridLines="0" showRowCol="0">
      <selection activeCell="J5" sqref="J5"/>
      <pageMargins left="0.7" right="0.7" top="0.75" bottom="0.75" header="0.3" footer="0.3"/>
      <pageSetup paperSize="9" orientation="portrait" r:id="rId2"/>
    </customSheetView>
    <customSheetView guid="{0A4EA429-3B60-4229-BB25-AADA8CCE0D84}" scale="60" showPageBreaks="1" showGridLines="0" showRowCol="0" printArea="1" view="pageBreakPreview"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r:id="rId3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Anzoategui!A1" display="Anzoátegui"/>
    <hyperlink ref="J4" location="'GNueva Esparta'!A1" display="Nueva Esparta"/>
    <hyperlink ref="J5" location="GSucre!A1" display="Sucre"/>
  </hyperlinks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5"/>
  <sheetViews>
    <sheetView showGridLines="0" showRowColHeaders="0" workbookViewId="0">
      <selection activeCell="Y5" sqref="Y5"/>
    </sheetView>
  </sheetViews>
  <sheetFormatPr baseColWidth="10" defaultRowHeight="15" customHeight="1"/>
  <cols>
    <col min="1" max="1" width="0.85546875" style="67" customWidth="1"/>
    <col min="2" max="2" width="7.140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0.7109375" style="67" customWidth="1"/>
    <col min="24" max="24" width="16.85546875" style="67" customWidth="1"/>
    <col min="25" max="25" width="13.7109375" style="67" customWidth="1"/>
    <col min="26" max="26" width="13.5703125" style="67" customWidth="1"/>
    <col min="27" max="27" width="12.5703125" style="67" customWidth="1"/>
    <col min="28" max="42" width="5" style="67" customWidth="1"/>
    <col min="43" max="43" width="3.140625" style="67" customWidth="1"/>
    <col min="44" max="46" width="11.28515625" style="67" customWidth="1"/>
    <col min="47" max="16384" width="11.42578125" style="67"/>
  </cols>
  <sheetData>
    <row r="1" spans="1:34" ht="31.5" customHeight="1">
      <c r="B1" s="186" t="s">
        <v>36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34" ht="15" customHeight="1">
      <c r="C2" s="84"/>
      <c r="Y2" s="79" t="s">
        <v>7</v>
      </c>
      <c r="Z2" s="84"/>
      <c r="AA2" s="87"/>
    </row>
    <row r="3" spans="1:34" ht="15" customHeight="1">
      <c r="C3" s="84"/>
      <c r="Y3" s="79" t="s">
        <v>78</v>
      </c>
      <c r="AA3" s="87"/>
    </row>
    <row r="4" spans="1:34" ht="15" customHeight="1">
      <c r="C4" s="84"/>
      <c r="Y4" s="79" t="s">
        <v>80</v>
      </c>
      <c r="Z4" s="84"/>
      <c r="AA4" s="87"/>
    </row>
    <row r="5" spans="1:34" ht="15" customHeight="1">
      <c r="C5" s="84"/>
      <c r="Y5" s="79" t="s">
        <v>81</v>
      </c>
      <c r="Z5" s="84"/>
      <c r="AA5" s="87"/>
    </row>
    <row r="6" spans="1:34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Z6" s="67"/>
      <c r="AA6" s="67"/>
      <c r="AB6" s="67"/>
      <c r="AC6" s="67"/>
    </row>
    <row r="7" spans="1:34" s="65" customFormat="1" ht="15" customHeight="1" thickBot="1">
      <c r="A7" s="58"/>
      <c r="B7" s="88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W7" s="67"/>
      <c r="X7" s="189" t="s">
        <v>6</v>
      </c>
      <c r="Y7" s="189" t="s">
        <v>32</v>
      </c>
      <c r="Z7" s="189" t="s">
        <v>33</v>
      </c>
      <c r="AA7" s="191" t="s">
        <v>4</v>
      </c>
    </row>
    <row r="8" spans="1:34" ht="15" customHeight="1" thickBot="1">
      <c r="B8" s="88" t="s">
        <v>2</v>
      </c>
      <c r="C8" s="137">
        <v>1</v>
      </c>
      <c r="D8" s="138">
        <v>2</v>
      </c>
      <c r="E8" s="138">
        <v>3</v>
      </c>
      <c r="F8" s="138">
        <v>4</v>
      </c>
      <c r="G8" s="138">
        <v>5</v>
      </c>
      <c r="H8" s="138">
        <v>6</v>
      </c>
      <c r="I8" s="138">
        <v>7</v>
      </c>
      <c r="J8" s="138">
        <v>8</v>
      </c>
      <c r="K8" s="138">
        <v>9</v>
      </c>
      <c r="L8" s="138">
        <v>10</v>
      </c>
      <c r="M8" s="138">
        <v>11</v>
      </c>
      <c r="N8" s="138">
        <v>12</v>
      </c>
      <c r="O8" s="138">
        <v>13</v>
      </c>
      <c r="P8" s="138">
        <v>14</v>
      </c>
      <c r="Q8" s="138">
        <v>15</v>
      </c>
      <c r="R8" s="138">
        <v>16</v>
      </c>
      <c r="S8" s="138">
        <v>17</v>
      </c>
      <c r="T8" s="138">
        <v>18</v>
      </c>
      <c r="U8" s="138">
        <v>19</v>
      </c>
      <c r="V8" s="139">
        <v>20</v>
      </c>
      <c r="X8" s="195"/>
      <c r="Y8" s="195"/>
      <c r="Z8" s="195"/>
      <c r="AA8" s="196"/>
      <c r="AC8" s="68"/>
      <c r="AD8" s="68"/>
      <c r="AE8" s="68"/>
      <c r="AF8" s="68"/>
      <c r="AG8" s="68"/>
      <c r="AH8" s="68"/>
    </row>
    <row r="9" spans="1:34" ht="15" customHeight="1">
      <c r="A9" s="136"/>
      <c r="B9" s="147">
        <v>1</v>
      </c>
      <c r="C9" s="141">
        <f t="shared" ref="C9:L18" si="0">SUMIFS(SumaMO,CentroMO,$B9,TurnoMO,C$8)</f>
        <v>2</v>
      </c>
      <c r="D9" s="141">
        <f t="shared" si="0"/>
        <v>1</v>
      </c>
      <c r="E9" s="141">
        <f t="shared" si="0"/>
        <v>0</v>
      </c>
      <c r="F9" s="141">
        <f t="shared" si="0"/>
        <v>1</v>
      </c>
      <c r="G9" s="141">
        <f t="shared" si="0"/>
        <v>1</v>
      </c>
      <c r="H9" s="141">
        <f t="shared" si="0"/>
        <v>1</v>
      </c>
      <c r="I9" s="141">
        <f t="shared" si="0"/>
        <v>1</v>
      </c>
      <c r="J9" s="141">
        <f t="shared" si="0"/>
        <v>1</v>
      </c>
      <c r="K9" s="141">
        <f t="shared" si="0"/>
        <v>1</v>
      </c>
      <c r="L9" s="141">
        <f t="shared" si="0"/>
        <v>1</v>
      </c>
      <c r="M9" s="141">
        <f t="shared" ref="M9:V18" si="1">SUMIFS(SumaMO,CentroMO,$B9,TurnoMO,M$8)</f>
        <v>0</v>
      </c>
      <c r="N9" s="141">
        <f t="shared" si="1"/>
        <v>0</v>
      </c>
      <c r="O9" s="141">
        <f t="shared" si="1"/>
        <v>0</v>
      </c>
      <c r="P9" s="141">
        <f t="shared" si="1"/>
        <v>0</v>
      </c>
      <c r="Q9" s="141">
        <f t="shared" si="1"/>
        <v>0</v>
      </c>
      <c r="R9" s="141">
        <f t="shared" si="1"/>
        <v>0</v>
      </c>
      <c r="S9" s="141">
        <f t="shared" si="1"/>
        <v>0</v>
      </c>
      <c r="T9" s="141">
        <f t="shared" si="1"/>
        <v>0</v>
      </c>
      <c r="U9" s="141">
        <f t="shared" si="1"/>
        <v>0</v>
      </c>
      <c r="V9" s="142">
        <f t="shared" si="1"/>
        <v>0</v>
      </c>
      <c r="X9" s="112" t="s">
        <v>37</v>
      </c>
      <c r="Y9" s="114">
        <f t="shared" ref="Y9:Y28" si="2">SUMIF(CentroMO,$B9,Jose_Gregorio_Briceño)</f>
        <v>147</v>
      </c>
      <c r="Z9" s="114">
        <f t="shared" ref="Z9:Z28" si="3">SUMIF(CentroMO,$B9,Domingo_Urbina)</f>
        <v>23</v>
      </c>
      <c r="AA9" s="132">
        <f t="shared" ref="AA9:AA28" si="4">SUMIF(CentroMO,$B9,OtroMO)</f>
        <v>28</v>
      </c>
    </row>
    <row r="10" spans="1:34" ht="15" customHeight="1">
      <c r="A10" s="136"/>
      <c r="B10" s="148">
        <v>2</v>
      </c>
      <c r="C10" s="70">
        <f t="shared" si="0"/>
        <v>0</v>
      </c>
      <c r="D10" s="70">
        <f t="shared" si="0"/>
        <v>1</v>
      </c>
      <c r="E10" s="70">
        <f t="shared" si="0"/>
        <v>1</v>
      </c>
      <c r="F10" s="70">
        <f t="shared" si="0"/>
        <v>1</v>
      </c>
      <c r="G10" s="70">
        <f t="shared" si="0"/>
        <v>1</v>
      </c>
      <c r="H10" s="70">
        <f t="shared" si="0"/>
        <v>1</v>
      </c>
      <c r="I10" s="70">
        <f t="shared" si="0"/>
        <v>1</v>
      </c>
      <c r="J10" s="70">
        <f t="shared" si="0"/>
        <v>1</v>
      </c>
      <c r="K10" s="70">
        <f t="shared" si="0"/>
        <v>1</v>
      </c>
      <c r="L10" s="70">
        <f t="shared" si="0"/>
        <v>1</v>
      </c>
      <c r="M10" s="70">
        <f t="shared" si="1"/>
        <v>1</v>
      </c>
      <c r="N10" s="70">
        <f t="shared" si="1"/>
        <v>1</v>
      </c>
      <c r="O10" s="70">
        <f t="shared" si="1"/>
        <v>1</v>
      </c>
      <c r="P10" s="70">
        <f t="shared" si="1"/>
        <v>1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5">
        <f t="shared" si="1"/>
        <v>0</v>
      </c>
      <c r="X10" s="112" t="s">
        <v>17</v>
      </c>
      <c r="Y10" s="114">
        <f t="shared" si="2"/>
        <v>116</v>
      </c>
      <c r="Z10" s="114">
        <f t="shared" si="3"/>
        <v>108</v>
      </c>
      <c r="AA10" s="132">
        <f t="shared" si="4"/>
        <v>39</v>
      </c>
    </row>
    <row r="11" spans="1:34" ht="15" customHeight="1">
      <c r="A11" s="136"/>
      <c r="B11" s="148">
        <v>3</v>
      </c>
      <c r="C11" s="70">
        <f t="shared" si="0"/>
        <v>2</v>
      </c>
      <c r="D11" s="70">
        <f t="shared" si="0"/>
        <v>1</v>
      </c>
      <c r="E11" s="70">
        <f t="shared" si="0"/>
        <v>2</v>
      </c>
      <c r="F11" s="70">
        <f t="shared" si="0"/>
        <v>2</v>
      </c>
      <c r="G11" s="70">
        <f t="shared" si="0"/>
        <v>2</v>
      </c>
      <c r="H11" s="70">
        <f t="shared" si="0"/>
        <v>2</v>
      </c>
      <c r="I11" s="70">
        <f t="shared" si="0"/>
        <v>2</v>
      </c>
      <c r="J11" s="70">
        <f t="shared" si="0"/>
        <v>1</v>
      </c>
      <c r="K11" s="70">
        <f t="shared" si="0"/>
        <v>2</v>
      </c>
      <c r="L11" s="70">
        <f t="shared" si="0"/>
        <v>2</v>
      </c>
      <c r="M11" s="70">
        <f t="shared" si="1"/>
        <v>1</v>
      </c>
      <c r="N11" s="70">
        <f t="shared" si="1"/>
        <v>0</v>
      </c>
      <c r="O11" s="70">
        <f t="shared" si="1"/>
        <v>0</v>
      </c>
      <c r="P11" s="70">
        <f t="shared" si="1"/>
        <v>0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5">
        <f t="shared" si="1"/>
        <v>0</v>
      </c>
      <c r="X11" s="112" t="s">
        <v>38</v>
      </c>
      <c r="Y11" s="114">
        <f t="shared" si="2"/>
        <v>233</v>
      </c>
      <c r="Z11" s="114">
        <f t="shared" si="3"/>
        <v>170</v>
      </c>
      <c r="AA11" s="132">
        <f t="shared" si="4"/>
        <v>57</v>
      </c>
    </row>
    <row r="12" spans="1:34" ht="15" customHeight="1">
      <c r="A12" s="136"/>
      <c r="B12" s="148">
        <v>4</v>
      </c>
      <c r="C12" s="70">
        <f t="shared" si="0"/>
        <v>1</v>
      </c>
      <c r="D12" s="70">
        <f t="shared" si="0"/>
        <v>1</v>
      </c>
      <c r="E12" s="70">
        <f t="shared" si="0"/>
        <v>1</v>
      </c>
      <c r="F12" s="70">
        <f t="shared" si="0"/>
        <v>1</v>
      </c>
      <c r="G12" s="70">
        <f t="shared" si="0"/>
        <v>1</v>
      </c>
      <c r="H12" s="70">
        <f t="shared" si="0"/>
        <v>1</v>
      </c>
      <c r="I12" s="70">
        <f t="shared" si="0"/>
        <v>1</v>
      </c>
      <c r="J12" s="70">
        <f t="shared" si="0"/>
        <v>2</v>
      </c>
      <c r="K12" s="70">
        <f t="shared" si="0"/>
        <v>1</v>
      </c>
      <c r="L12" s="70">
        <f t="shared" si="0"/>
        <v>1</v>
      </c>
      <c r="M12" s="70">
        <f t="shared" si="1"/>
        <v>1</v>
      </c>
      <c r="N12" s="70">
        <f t="shared" si="1"/>
        <v>1</v>
      </c>
      <c r="O12" s="70">
        <f t="shared" si="1"/>
        <v>1</v>
      </c>
      <c r="P12" s="70">
        <f t="shared" si="1"/>
        <v>0</v>
      </c>
      <c r="Q12" s="70">
        <f t="shared" si="1"/>
        <v>0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135">
        <f t="shared" si="1"/>
        <v>0</v>
      </c>
      <c r="X12" s="112" t="s">
        <v>38</v>
      </c>
      <c r="Y12" s="114">
        <f t="shared" si="2"/>
        <v>196</v>
      </c>
      <c r="Z12" s="114">
        <f t="shared" si="3"/>
        <v>99</v>
      </c>
      <c r="AA12" s="132">
        <f t="shared" si="4"/>
        <v>48</v>
      </c>
    </row>
    <row r="13" spans="1:34" ht="15" customHeight="1">
      <c r="A13" s="136"/>
      <c r="B13" s="148">
        <v>5</v>
      </c>
      <c r="C13" s="70">
        <f t="shared" si="0"/>
        <v>1</v>
      </c>
      <c r="D13" s="70">
        <f t="shared" si="0"/>
        <v>1</v>
      </c>
      <c r="E13" s="70">
        <f t="shared" si="0"/>
        <v>1</v>
      </c>
      <c r="F13" s="70">
        <f t="shared" si="0"/>
        <v>1</v>
      </c>
      <c r="G13" s="70">
        <f t="shared" si="0"/>
        <v>1</v>
      </c>
      <c r="H13" s="70">
        <f t="shared" si="0"/>
        <v>0</v>
      </c>
      <c r="I13" s="70">
        <f t="shared" si="0"/>
        <v>1</v>
      </c>
      <c r="J13" s="70">
        <f t="shared" si="0"/>
        <v>1</v>
      </c>
      <c r="K13" s="70">
        <f t="shared" si="0"/>
        <v>1</v>
      </c>
      <c r="L13" s="70">
        <f t="shared" si="0"/>
        <v>1</v>
      </c>
      <c r="M13" s="70">
        <f t="shared" si="1"/>
        <v>1</v>
      </c>
      <c r="N13" s="70">
        <f t="shared" si="1"/>
        <v>1</v>
      </c>
      <c r="O13" s="70">
        <f t="shared" si="1"/>
        <v>1</v>
      </c>
      <c r="P13" s="70">
        <f t="shared" si="1"/>
        <v>0</v>
      </c>
      <c r="Q13" s="70">
        <f t="shared" si="1"/>
        <v>0</v>
      </c>
      <c r="R13" s="70">
        <f t="shared" si="1"/>
        <v>0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5">
        <f t="shared" si="1"/>
        <v>0</v>
      </c>
      <c r="X13" s="112" t="s">
        <v>38</v>
      </c>
      <c r="Y13" s="114">
        <f t="shared" si="2"/>
        <v>208</v>
      </c>
      <c r="Z13" s="114">
        <f t="shared" si="3"/>
        <v>39</v>
      </c>
      <c r="AA13" s="132">
        <f t="shared" si="4"/>
        <v>37</v>
      </c>
    </row>
    <row r="14" spans="1:34" ht="15" customHeight="1">
      <c r="A14" s="136"/>
      <c r="B14" s="148">
        <v>6</v>
      </c>
      <c r="C14" s="70">
        <f t="shared" si="0"/>
        <v>0</v>
      </c>
      <c r="D14" s="70">
        <f t="shared" si="0"/>
        <v>0</v>
      </c>
      <c r="E14" s="70">
        <f t="shared" si="0"/>
        <v>0</v>
      </c>
      <c r="F14" s="70">
        <f t="shared" si="0"/>
        <v>0</v>
      </c>
      <c r="G14" s="70">
        <f t="shared" si="0"/>
        <v>1</v>
      </c>
      <c r="H14" s="70">
        <f t="shared" si="0"/>
        <v>2</v>
      </c>
      <c r="I14" s="70">
        <f t="shared" si="0"/>
        <v>1</v>
      </c>
      <c r="J14" s="70">
        <f t="shared" si="0"/>
        <v>1</v>
      </c>
      <c r="K14" s="70">
        <f t="shared" si="0"/>
        <v>1</v>
      </c>
      <c r="L14" s="70">
        <f t="shared" si="0"/>
        <v>1</v>
      </c>
      <c r="M14" s="70">
        <f t="shared" si="1"/>
        <v>1</v>
      </c>
      <c r="N14" s="70">
        <f t="shared" si="1"/>
        <v>1</v>
      </c>
      <c r="O14" s="70">
        <f t="shared" si="1"/>
        <v>1</v>
      </c>
      <c r="P14" s="70">
        <f t="shared" si="1"/>
        <v>1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5">
        <f t="shared" si="1"/>
        <v>0</v>
      </c>
      <c r="X14" s="112" t="s">
        <v>38</v>
      </c>
      <c r="Y14" s="114">
        <f t="shared" si="2"/>
        <v>174</v>
      </c>
      <c r="Z14" s="114">
        <f t="shared" si="3"/>
        <v>29</v>
      </c>
      <c r="AA14" s="132">
        <f t="shared" si="4"/>
        <v>88</v>
      </c>
    </row>
    <row r="15" spans="1:34" ht="15" customHeight="1">
      <c r="A15" s="136"/>
      <c r="B15" s="148">
        <v>7</v>
      </c>
      <c r="C15" s="70">
        <f t="shared" si="0"/>
        <v>1</v>
      </c>
      <c r="D15" s="70">
        <f t="shared" si="0"/>
        <v>1</v>
      </c>
      <c r="E15" s="70">
        <f t="shared" si="0"/>
        <v>1</v>
      </c>
      <c r="F15" s="70">
        <f t="shared" si="0"/>
        <v>2</v>
      </c>
      <c r="G15" s="70">
        <f t="shared" si="0"/>
        <v>2</v>
      </c>
      <c r="H15" s="70">
        <f t="shared" si="0"/>
        <v>1</v>
      </c>
      <c r="I15" s="70">
        <f t="shared" si="0"/>
        <v>1</v>
      </c>
      <c r="J15" s="70">
        <f t="shared" si="0"/>
        <v>1</v>
      </c>
      <c r="K15" s="70">
        <f t="shared" si="0"/>
        <v>1</v>
      </c>
      <c r="L15" s="70">
        <f t="shared" si="0"/>
        <v>1</v>
      </c>
      <c r="M15" s="70">
        <f t="shared" si="1"/>
        <v>1</v>
      </c>
      <c r="N15" s="70">
        <f t="shared" si="1"/>
        <v>1</v>
      </c>
      <c r="O15" s="70">
        <f t="shared" si="1"/>
        <v>1</v>
      </c>
      <c r="P15" s="70">
        <f t="shared" si="1"/>
        <v>1</v>
      </c>
      <c r="Q15" s="70">
        <f t="shared" si="1"/>
        <v>0</v>
      </c>
      <c r="R15" s="70">
        <f t="shared" si="1"/>
        <v>0</v>
      </c>
      <c r="S15" s="70">
        <f t="shared" si="1"/>
        <v>0</v>
      </c>
      <c r="T15" s="70">
        <f t="shared" si="1"/>
        <v>0</v>
      </c>
      <c r="U15" s="70">
        <f t="shared" si="1"/>
        <v>0</v>
      </c>
      <c r="V15" s="135">
        <f t="shared" si="1"/>
        <v>0</v>
      </c>
      <c r="X15" s="112" t="s">
        <v>38</v>
      </c>
      <c r="Y15" s="114">
        <f t="shared" si="2"/>
        <v>341</v>
      </c>
      <c r="Z15" s="114">
        <f t="shared" si="3"/>
        <v>29</v>
      </c>
      <c r="AA15" s="132">
        <f t="shared" si="4"/>
        <v>29</v>
      </c>
    </row>
    <row r="16" spans="1:34" ht="15" customHeight="1">
      <c r="A16" s="136"/>
      <c r="B16" s="148">
        <v>8</v>
      </c>
      <c r="C16" s="70">
        <f t="shared" si="0"/>
        <v>0</v>
      </c>
      <c r="D16" s="70">
        <f t="shared" si="0"/>
        <v>0</v>
      </c>
      <c r="E16" s="70">
        <f t="shared" si="0"/>
        <v>0</v>
      </c>
      <c r="F16" s="70">
        <f t="shared" si="0"/>
        <v>0</v>
      </c>
      <c r="G16" s="70">
        <f t="shared" si="0"/>
        <v>0</v>
      </c>
      <c r="H16" s="70">
        <f t="shared" si="0"/>
        <v>0</v>
      </c>
      <c r="I16" s="70">
        <f t="shared" si="0"/>
        <v>0</v>
      </c>
      <c r="J16" s="70">
        <f t="shared" si="0"/>
        <v>0</v>
      </c>
      <c r="K16" s="70">
        <f t="shared" si="0"/>
        <v>0</v>
      </c>
      <c r="L16" s="70">
        <f t="shared" si="0"/>
        <v>0</v>
      </c>
      <c r="M16" s="70">
        <f t="shared" si="1"/>
        <v>0</v>
      </c>
      <c r="N16" s="70">
        <f t="shared" si="1"/>
        <v>0</v>
      </c>
      <c r="O16" s="70">
        <f t="shared" si="1"/>
        <v>0</v>
      </c>
      <c r="P16" s="70">
        <f t="shared" si="1"/>
        <v>0</v>
      </c>
      <c r="Q16" s="70">
        <f t="shared" si="1"/>
        <v>0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0</v>
      </c>
      <c r="V16" s="135">
        <f t="shared" si="1"/>
        <v>0</v>
      </c>
      <c r="X16" s="112" t="s">
        <v>38</v>
      </c>
      <c r="Y16" s="114">
        <f t="shared" si="2"/>
        <v>0</v>
      </c>
      <c r="Z16" s="114">
        <f t="shared" si="3"/>
        <v>0</v>
      </c>
      <c r="AA16" s="132">
        <f t="shared" si="4"/>
        <v>0</v>
      </c>
    </row>
    <row r="17" spans="1:27" ht="15" customHeight="1">
      <c r="A17" s="136"/>
      <c r="B17" s="148">
        <v>9</v>
      </c>
      <c r="C17" s="70">
        <f t="shared" si="0"/>
        <v>0</v>
      </c>
      <c r="D17" s="70">
        <f t="shared" si="0"/>
        <v>1</v>
      </c>
      <c r="E17" s="70">
        <f t="shared" si="0"/>
        <v>1</v>
      </c>
      <c r="F17" s="70">
        <f t="shared" si="0"/>
        <v>1</v>
      </c>
      <c r="G17" s="70">
        <f t="shared" si="0"/>
        <v>1</v>
      </c>
      <c r="H17" s="70">
        <f t="shared" si="0"/>
        <v>1</v>
      </c>
      <c r="I17" s="70">
        <f t="shared" si="0"/>
        <v>1</v>
      </c>
      <c r="J17" s="70">
        <f t="shared" si="0"/>
        <v>1</v>
      </c>
      <c r="K17" s="70">
        <f t="shared" si="0"/>
        <v>1</v>
      </c>
      <c r="L17" s="70">
        <f t="shared" si="0"/>
        <v>1</v>
      </c>
      <c r="M17" s="70">
        <f t="shared" si="1"/>
        <v>1</v>
      </c>
      <c r="N17" s="70">
        <f t="shared" si="1"/>
        <v>1</v>
      </c>
      <c r="O17" s="70">
        <f t="shared" si="1"/>
        <v>1</v>
      </c>
      <c r="P17" s="70">
        <f t="shared" si="1"/>
        <v>1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5">
        <f t="shared" si="1"/>
        <v>0</v>
      </c>
      <c r="X17" s="112" t="s">
        <v>38</v>
      </c>
      <c r="Y17" s="114">
        <f t="shared" si="2"/>
        <v>177</v>
      </c>
      <c r="Z17" s="114">
        <f t="shared" si="3"/>
        <v>114</v>
      </c>
      <c r="AA17" s="132">
        <f t="shared" si="4"/>
        <v>31</v>
      </c>
    </row>
    <row r="18" spans="1:27" ht="15" customHeight="1">
      <c r="A18" s="136"/>
      <c r="B18" s="148">
        <v>10</v>
      </c>
      <c r="C18" s="70">
        <f t="shared" si="0"/>
        <v>1</v>
      </c>
      <c r="D18" s="70">
        <f t="shared" si="0"/>
        <v>1</v>
      </c>
      <c r="E18" s="70">
        <f t="shared" si="0"/>
        <v>1</v>
      </c>
      <c r="F18" s="70">
        <f t="shared" si="0"/>
        <v>1</v>
      </c>
      <c r="G18" s="70">
        <f t="shared" si="0"/>
        <v>1</v>
      </c>
      <c r="H18" s="70">
        <f t="shared" si="0"/>
        <v>1</v>
      </c>
      <c r="I18" s="70">
        <f t="shared" si="0"/>
        <v>1</v>
      </c>
      <c r="J18" s="70">
        <f t="shared" si="0"/>
        <v>2</v>
      </c>
      <c r="K18" s="70">
        <f t="shared" si="0"/>
        <v>1</v>
      </c>
      <c r="L18" s="70">
        <f t="shared" si="0"/>
        <v>3</v>
      </c>
      <c r="M18" s="70">
        <f t="shared" si="1"/>
        <v>3</v>
      </c>
      <c r="N18" s="70">
        <f t="shared" si="1"/>
        <v>2</v>
      </c>
      <c r="O18" s="70">
        <f t="shared" si="1"/>
        <v>1</v>
      </c>
      <c r="P18" s="70">
        <f t="shared" si="1"/>
        <v>1</v>
      </c>
      <c r="Q18" s="70">
        <f t="shared" si="1"/>
        <v>1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5">
        <f t="shared" si="1"/>
        <v>0</v>
      </c>
      <c r="X18" s="112" t="s">
        <v>38</v>
      </c>
      <c r="Y18" s="114">
        <f t="shared" si="2"/>
        <v>404</v>
      </c>
      <c r="Z18" s="114">
        <f t="shared" si="3"/>
        <v>64</v>
      </c>
      <c r="AA18" s="132">
        <f t="shared" si="4"/>
        <v>59</v>
      </c>
    </row>
    <row r="19" spans="1:27" ht="15" customHeight="1">
      <c r="A19" s="136"/>
      <c r="B19" s="148">
        <v>11</v>
      </c>
      <c r="C19" s="70">
        <f t="shared" ref="C19:L28" si="5">SUMIFS(SumaMO,CentroMO,$B19,TurnoMO,C$8)</f>
        <v>0</v>
      </c>
      <c r="D19" s="70">
        <f t="shared" si="5"/>
        <v>0</v>
      </c>
      <c r="E19" s="70">
        <f t="shared" si="5"/>
        <v>0</v>
      </c>
      <c r="F19" s="70">
        <f t="shared" si="5"/>
        <v>0</v>
      </c>
      <c r="G19" s="70">
        <f t="shared" si="5"/>
        <v>0</v>
      </c>
      <c r="H19" s="70">
        <f t="shared" si="5"/>
        <v>0</v>
      </c>
      <c r="I19" s="70">
        <f t="shared" si="5"/>
        <v>0</v>
      </c>
      <c r="J19" s="70">
        <f t="shared" si="5"/>
        <v>0</v>
      </c>
      <c r="K19" s="70">
        <f t="shared" si="5"/>
        <v>0</v>
      </c>
      <c r="L19" s="70">
        <f t="shared" si="5"/>
        <v>0</v>
      </c>
      <c r="M19" s="70">
        <f t="shared" ref="M19:V28" si="6">SUMIFS(SumaMO,CentroMO,$B19,TurnoMO,M$8)</f>
        <v>0</v>
      </c>
      <c r="N19" s="70">
        <f t="shared" si="6"/>
        <v>0</v>
      </c>
      <c r="O19" s="70">
        <f t="shared" si="6"/>
        <v>0</v>
      </c>
      <c r="P19" s="70">
        <f t="shared" si="6"/>
        <v>0</v>
      </c>
      <c r="Q19" s="70">
        <f t="shared" si="6"/>
        <v>0</v>
      </c>
      <c r="R19" s="70">
        <f t="shared" si="6"/>
        <v>0</v>
      </c>
      <c r="S19" s="70">
        <f t="shared" si="6"/>
        <v>0</v>
      </c>
      <c r="T19" s="70">
        <f t="shared" si="6"/>
        <v>0</v>
      </c>
      <c r="U19" s="70">
        <f t="shared" si="6"/>
        <v>0</v>
      </c>
      <c r="V19" s="135">
        <f t="shared" si="6"/>
        <v>0</v>
      </c>
      <c r="X19" s="112" t="s">
        <v>38</v>
      </c>
      <c r="Y19" s="114">
        <f t="shared" si="2"/>
        <v>0</v>
      </c>
      <c r="Z19" s="114">
        <f t="shared" si="3"/>
        <v>0</v>
      </c>
      <c r="AA19" s="132">
        <f t="shared" si="4"/>
        <v>0</v>
      </c>
    </row>
    <row r="20" spans="1:27" ht="15" customHeight="1">
      <c r="A20" s="136"/>
      <c r="B20" s="148">
        <v>12</v>
      </c>
      <c r="C20" s="70">
        <f t="shared" si="5"/>
        <v>1</v>
      </c>
      <c r="D20" s="70">
        <f t="shared" si="5"/>
        <v>1</v>
      </c>
      <c r="E20" s="70">
        <f t="shared" si="5"/>
        <v>1</v>
      </c>
      <c r="F20" s="70">
        <f t="shared" si="5"/>
        <v>1</v>
      </c>
      <c r="G20" s="70">
        <f t="shared" si="5"/>
        <v>2</v>
      </c>
      <c r="H20" s="70">
        <f t="shared" si="5"/>
        <v>1</v>
      </c>
      <c r="I20" s="70">
        <f t="shared" si="5"/>
        <v>1</v>
      </c>
      <c r="J20" s="70">
        <f t="shared" si="5"/>
        <v>1</v>
      </c>
      <c r="K20" s="70">
        <f t="shared" si="5"/>
        <v>1</v>
      </c>
      <c r="L20" s="70">
        <f t="shared" si="5"/>
        <v>1</v>
      </c>
      <c r="M20" s="70">
        <f t="shared" si="6"/>
        <v>1</v>
      </c>
      <c r="N20" s="70">
        <f t="shared" si="6"/>
        <v>1</v>
      </c>
      <c r="O20" s="70">
        <f t="shared" si="6"/>
        <v>1</v>
      </c>
      <c r="P20" s="70">
        <f t="shared" si="6"/>
        <v>1</v>
      </c>
      <c r="Q20" s="70">
        <f t="shared" si="6"/>
        <v>1</v>
      </c>
      <c r="R20" s="70">
        <f t="shared" si="6"/>
        <v>1</v>
      </c>
      <c r="S20" s="70">
        <f t="shared" si="6"/>
        <v>0</v>
      </c>
      <c r="T20" s="70">
        <f t="shared" si="6"/>
        <v>0</v>
      </c>
      <c r="U20" s="70">
        <f t="shared" si="6"/>
        <v>0</v>
      </c>
      <c r="V20" s="135">
        <f t="shared" si="6"/>
        <v>0</v>
      </c>
      <c r="X20" s="112" t="s">
        <v>38</v>
      </c>
      <c r="Y20" s="114">
        <f t="shared" si="2"/>
        <v>325</v>
      </c>
      <c r="Z20" s="114">
        <f t="shared" si="3"/>
        <v>46</v>
      </c>
      <c r="AA20" s="132">
        <f t="shared" si="4"/>
        <v>55</v>
      </c>
    </row>
    <row r="21" spans="1:27" ht="15" customHeight="1">
      <c r="A21" s="136"/>
      <c r="B21" s="148">
        <v>13</v>
      </c>
      <c r="C21" s="70">
        <f t="shared" si="5"/>
        <v>0</v>
      </c>
      <c r="D21" s="70">
        <f t="shared" si="5"/>
        <v>0</v>
      </c>
      <c r="E21" s="70">
        <f t="shared" si="5"/>
        <v>0</v>
      </c>
      <c r="F21" s="70">
        <f t="shared" si="5"/>
        <v>0</v>
      </c>
      <c r="G21" s="70">
        <f t="shared" si="5"/>
        <v>0</v>
      </c>
      <c r="H21" s="70">
        <f t="shared" si="5"/>
        <v>1</v>
      </c>
      <c r="I21" s="70">
        <f t="shared" si="5"/>
        <v>1</v>
      </c>
      <c r="J21" s="70">
        <f t="shared" si="5"/>
        <v>1</v>
      </c>
      <c r="K21" s="70">
        <f t="shared" si="5"/>
        <v>1</v>
      </c>
      <c r="L21" s="70">
        <f t="shared" si="5"/>
        <v>2</v>
      </c>
      <c r="M21" s="70">
        <f t="shared" si="6"/>
        <v>1</v>
      </c>
      <c r="N21" s="70">
        <f t="shared" si="6"/>
        <v>1</v>
      </c>
      <c r="O21" s="70">
        <f t="shared" si="6"/>
        <v>1</v>
      </c>
      <c r="P21" s="70">
        <f t="shared" si="6"/>
        <v>1</v>
      </c>
      <c r="Q21" s="70">
        <f t="shared" si="6"/>
        <v>1</v>
      </c>
      <c r="R21" s="70">
        <f t="shared" si="6"/>
        <v>0</v>
      </c>
      <c r="S21" s="70">
        <f t="shared" si="6"/>
        <v>0</v>
      </c>
      <c r="T21" s="70">
        <f t="shared" si="6"/>
        <v>0</v>
      </c>
      <c r="U21" s="70">
        <f t="shared" si="6"/>
        <v>0</v>
      </c>
      <c r="V21" s="135">
        <f t="shared" si="6"/>
        <v>0</v>
      </c>
      <c r="X21" s="112" t="s">
        <v>38</v>
      </c>
      <c r="Y21" s="114">
        <f t="shared" si="2"/>
        <v>150</v>
      </c>
      <c r="Z21" s="114">
        <f t="shared" si="3"/>
        <v>10</v>
      </c>
      <c r="AA21" s="132">
        <f t="shared" si="4"/>
        <v>79</v>
      </c>
    </row>
    <row r="22" spans="1:27" ht="15" customHeight="1">
      <c r="A22" s="136"/>
      <c r="B22" s="148">
        <v>14</v>
      </c>
      <c r="C22" s="70">
        <f t="shared" si="5"/>
        <v>1</v>
      </c>
      <c r="D22" s="70">
        <f t="shared" si="5"/>
        <v>1</v>
      </c>
      <c r="E22" s="70">
        <f t="shared" si="5"/>
        <v>1</v>
      </c>
      <c r="F22" s="70">
        <f t="shared" si="5"/>
        <v>1</v>
      </c>
      <c r="G22" s="70">
        <f t="shared" si="5"/>
        <v>1</v>
      </c>
      <c r="H22" s="70">
        <f t="shared" si="5"/>
        <v>2</v>
      </c>
      <c r="I22" s="70">
        <f t="shared" si="5"/>
        <v>1</v>
      </c>
      <c r="J22" s="70">
        <f t="shared" si="5"/>
        <v>0</v>
      </c>
      <c r="K22" s="70">
        <f t="shared" si="5"/>
        <v>0</v>
      </c>
      <c r="L22" s="70">
        <f t="shared" si="5"/>
        <v>2</v>
      </c>
      <c r="M22" s="70">
        <f t="shared" si="6"/>
        <v>1</v>
      </c>
      <c r="N22" s="70">
        <f t="shared" si="6"/>
        <v>0</v>
      </c>
      <c r="O22" s="70">
        <f t="shared" si="6"/>
        <v>1</v>
      </c>
      <c r="P22" s="70">
        <f t="shared" si="6"/>
        <v>1</v>
      </c>
      <c r="Q22" s="70">
        <f t="shared" si="6"/>
        <v>0</v>
      </c>
      <c r="R22" s="70">
        <f t="shared" si="6"/>
        <v>0</v>
      </c>
      <c r="S22" s="70">
        <f t="shared" si="6"/>
        <v>0</v>
      </c>
      <c r="T22" s="70">
        <f t="shared" si="6"/>
        <v>0</v>
      </c>
      <c r="U22" s="70">
        <f t="shared" si="6"/>
        <v>0</v>
      </c>
      <c r="V22" s="135">
        <f t="shared" si="6"/>
        <v>0</v>
      </c>
      <c r="X22" s="112" t="s">
        <v>38</v>
      </c>
      <c r="Y22" s="114">
        <f t="shared" si="2"/>
        <v>97</v>
      </c>
      <c r="Z22" s="114">
        <f t="shared" si="3"/>
        <v>37</v>
      </c>
      <c r="AA22" s="132">
        <f t="shared" si="4"/>
        <v>87</v>
      </c>
    </row>
    <row r="23" spans="1:27" ht="15" customHeight="1">
      <c r="A23" s="136"/>
      <c r="B23" s="148">
        <v>15</v>
      </c>
      <c r="C23" s="70">
        <f t="shared" si="5"/>
        <v>1</v>
      </c>
      <c r="D23" s="70">
        <f t="shared" si="5"/>
        <v>1</v>
      </c>
      <c r="E23" s="70">
        <f t="shared" si="5"/>
        <v>1</v>
      </c>
      <c r="F23" s="70">
        <f t="shared" si="5"/>
        <v>1</v>
      </c>
      <c r="G23" s="70">
        <f t="shared" si="5"/>
        <v>1</v>
      </c>
      <c r="H23" s="70">
        <f t="shared" si="5"/>
        <v>1</v>
      </c>
      <c r="I23" s="70">
        <f t="shared" si="5"/>
        <v>1</v>
      </c>
      <c r="J23" s="70">
        <f t="shared" si="5"/>
        <v>1</v>
      </c>
      <c r="K23" s="70">
        <f t="shared" si="5"/>
        <v>1</v>
      </c>
      <c r="L23" s="70">
        <f t="shared" si="5"/>
        <v>1</v>
      </c>
      <c r="M23" s="70">
        <f t="shared" si="6"/>
        <v>1</v>
      </c>
      <c r="N23" s="70">
        <f t="shared" si="6"/>
        <v>0</v>
      </c>
      <c r="O23" s="70">
        <f t="shared" si="6"/>
        <v>0</v>
      </c>
      <c r="P23" s="70">
        <f t="shared" si="6"/>
        <v>0</v>
      </c>
      <c r="Q23" s="70">
        <f t="shared" si="6"/>
        <v>0</v>
      </c>
      <c r="R23" s="70">
        <f t="shared" si="6"/>
        <v>0</v>
      </c>
      <c r="S23" s="70">
        <f t="shared" si="6"/>
        <v>0</v>
      </c>
      <c r="T23" s="70">
        <f t="shared" si="6"/>
        <v>0</v>
      </c>
      <c r="U23" s="70">
        <f t="shared" si="6"/>
        <v>0</v>
      </c>
      <c r="V23" s="135">
        <f t="shared" si="6"/>
        <v>0</v>
      </c>
      <c r="X23" s="112" t="s">
        <v>38</v>
      </c>
      <c r="Y23" s="114">
        <f t="shared" si="2"/>
        <v>200</v>
      </c>
      <c r="Z23" s="114">
        <f t="shared" si="3"/>
        <v>107</v>
      </c>
      <c r="AA23" s="132">
        <f t="shared" si="4"/>
        <v>11</v>
      </c>
    </row>
    <row r="24" spans="1:27" ht="15" customHeight="1">
      <c r="A24" s="136"/>
      <c r="B24" s="148">
        <v>16</v>
      </c>
      <c r="C24" s="70">
        <f t="shared" si="5"/>
        <v>1</v>
      </c>
      <c r="D24" s="70">
        <f t="shared" si="5"/>
        <v>1</v>
      </c>
      <c r="E24" s="70">
        <f t="shared" si="5"/>
        <v>1</v>
      </c>
      <c r="F24" s="70">
        <f t="shared" si="5"/>
        <v>1</v>
      </c>
      <c r="G24" s="70">
        <f t="shared" si="5"/>
        <v>1</v>
      </c>
      <c r="H24" s="70">
        <f t="shared" si="5"/>
        <v>1</v>
      </c>
      <c r="I24" s="70">
        <f t="shared" si="5"/>
        <v>1</v>
      </c>
      <c r="J24" s="70">
        <f t="shared" si="5"/>
        <v>1</v>
      </c>
      <c r="K24" s="70">
        <f t="shared" si="5"/>
        <v>1</v>
      </c>
      <c r="L24" s="70">
        <f t="shared" si="5"/>
        <v>1</v>
      </c>
      <c r="M24" s="70">
        <f t="shared" si="6"/>
        <v>1</v>
      </c>
      <c r="N24" s="70">
        <f t="shared" si="6"/>
        <v>1</v>
      </c>
      <c r="O24" s="70">
        <f t="shared" si="6"/>
        <v>1</v>
      </c>
      <c r="P24" s="70">
        <f t="shared" si="6"/>
        <v>0</v>
      </c>
      <c r="Q24" s="70">
        <f t="shared" si="6"/>
        <v>0</v>
      </c>
      <c r="R24" s="70">
        <f t="shared" si="6"/>
        <v>0</v>
      </c>
      <c r="S24" s="70">
        <f t="shared" si="6"/>
        <v>0</v>
      </c>
      <c r="T24" s="70">
        <f t="shared" si="6"/>
        <v>0</v>
      </c>
      <c r="U24" s="70">
        <f t="shared" si="6"/>
        <v>0</v>
      </c>
      <c r="V24" s="135">
        <f t="shared" si="6"/>
        <v>0</v>
      </c>
      <c r="X24" s="112" t="s">
        <v>38</v>
      </c>
      <c r="Y24" s="114">
        <f t="shared" si="2"/>
        <v>474</v>
      </c>
      <c r="Z24" s="114">
        <f t="shared" si="3"/>
        <v>239</v>
      </c>
      <c r="AA24" s="132">
        <f t="shared" si="4"/>
        <v>37</v>
      </c>
    </row>
    <row r="25" spans="1:27" ht="15" customHeight="1">
      <c r="A25" s="136"/>
      <c r="B25" s="148">
        <v>17</v>
      </c>
      <c r="C25" s="70">
        <f t="shared" si="5"/>
        <v>0</v>
      </c>
      <c r="D25" s="70">
        <f t="shared" si="5"/>
        <v>0</v>
      </c>
      <c r="E25" s="70">
        <f t="shared" si="5"/>
        <v>0</v>
      </c>
      <c r="F25" s="70">
        <f t="shared" si="5"/>
        <v>1</v>
      </c>
      <c r="G25" s="70">
        <f t="shared" si="5"/>
        <v>1</v>
      </c>
      <c r="H25" s="70">
        <f t="shared" si="5"/>
        <v>1</v>
      </c>
      <c r="I25" s="70">
        <f t="shared" si="5"/>
        <v>1</v>
      </c>
      <c r="J25" s="70">
        <f t="shared" si="5"/>
        <v>1</v>
      </c>
      <c r="K25" s="70">
        <f t="shared" si="5"/>
        <v>1</v>
      </c>
      <c r="L25" s="70">
        <f t="shared" si="5"/>
        <v>1</v>
      </c>
      <c r="M25" s="70">
        <f t="shared" si="6"/>
        <v>1</v>
      </c>
      <c r="N25" s="70">
        <f t="shared" si="6"/>
        <v>1</v>
      </c>
      <c r="O25" s="70">
        <f t="shared" si="6"/>
        <v>1</v>
      </c>
      <c r="P25" s="70">
        <f t="shared" si="6"/>
        <v>0</v>
      </c>
      <c r="Q25" s="70">
        <f t="shared" si="6"/>
        <v>0</v>
      </c>
      <c r="R25" s="70">
        <f t="shared" si="6"/>
        <v>0</v>
      </c>
      <c r="S25" s="70">
        <f t="shared" si="6"/>
        <v>0</v>
      </c>
      <c r="T25" s="70">
        <f t="shared" si="6"/>
        <v>0</v>
      </c>
      <c r="U25" s="70">
        <f t="shared" si="6"/>
        <v>0</v>
      </c>
      <c r="V25" s="135">
        <f t="shared" si="6"/>
        <v>0</v>
      </c>
      <c r="X25" s="112" t="s">
        <v>39</v>
      </c>
      <c r="Y25" s="114">
        <f t="shared" si="2"/>
        <v>112</v>
      </c>
      <c r="Z25" s="114">
        <f t="shared" si="3"/>
        <v>66</v>
      </c>
      <c r="AA25" s="132">
        <f t="shared" si="4"/>
        <v>45</v>
      </c>
    </row>
    <row r="26" spans="1:27" ht="15" customHeight="1">
      <c r="A26" s="136"/>
      <c r="B26" s="148">
        <v>35</v>
      </c>
      <c r="C26" s="70">
        <f t="shared" si="5"/>
        <v>2</v>
      </c>
      <c r="D26" s="70">
        <f t="shared" si="5"/>
        <v>1</v>
      </c>
      <c r="E26" s="70">
        <f t="shared" si="5"/>
        <v>1</v>
      </c>
      <c r="F26" s="70">
        <f t="shared" si="5"/>
        <v>1</v>
      </c>
      <c r="G26" s="70">
        <f t="shared" si="5"/>
        <v>2</v>
      </c>
      <c r="H26" s="70">
        <f t="shared" si="5"/>
        <v>1</v>
      </c>
      <c r="I26" s="70">
        <f t="shared" si="5"/>
        <v>1</v>
      </c>
      <c r="J26" s="70">
        <f t="shared" si="5"/>
        <v>1</v>
      </c>
      <c r="K26" s="70">
        <f t="shared" si="5"/>
        <v>1</v>
      </c>
      <c r="L26" s="70">
        <f t="shared" si="5"/>
        <v>2</v>
      </c>
      <c r="M26" s="70">
        <f t="shared" si="6"/>
        <v>4</v>
      </c>
      <c r="N26" s="70">
        <f t="shared" si="6"/>
        <v>1</v>
      </c>
      <c r="O26" s="70">
        <f t="shared" si="6"/>
        <v>1</v>
      </c>
      <c r="P26" s="70">
        <f t="shared" si="6"/>
        <v>1</v>
      </c>
      <c r="Q26" s="70">
        <f t="shared" si="6"/>
        <v>1</v>
      </c>
      <c r="R26" s="70">
        <f t="shared" si="6"/>
        <v>0</v>
      </c>
      <c r="S26" s="70">
        <f t="shared" si="6"/>
        <v>0</v>
      </c>
      <c r="T26" s="70">
        <f t="shared" si="6"/>
        <v>0</v>
      </c>
      <c r="U26" s="70">
        <f t="shared" si="6"/>
        <v>0</v>
      </c>
      <c r="V26" s="135">
        <f t="shared" si="6"/>
        <v>0</v>
      </c>
      <c r="X26" s="112" t="s">
        <v>16</v>
      </c>
      <c r="Y26" s="114">
        <f t="shared" si="2"/>
        <v>340</v>
      </c>
      <c r="Z26" s="114">
        <f t="shared" si="3"/>
        <v>123</v>
      </c>
      <c r="AA26" s="132">
        <f t="shared" si="4"/>
        <v>76</v>
      </c>
    </row>
    <row r="27" spans="1:27" ht="15" customHeight="1">
      <c r="A27" s="136"/>
      <c r="B27" s="148">
        <v>36</v>
      </c>
      <c r="C27" s="70">
        <f t="shared" si="5"/>
        <v>0</v>
      </c>
      <c r="D27" s="70">
        <f t="shared" si="5"/>
        <v>0</v>
      </c>
      <c r="E27" s="70">
        <f t="shared" si="5"/>
        <v>0</v>
      </c>
      <c r="F27" s="70">
        <f t="shared" si="5"/>
        <v>0</v>
      </c>
      <c r="G27" s="70">
        <f t="shared" si="5"/>
        <v>0</v>
      </c>
      <c r="H27" s="70">
        <f t="shared" si="5"/>
        <v>0</v>
      </c>
      <c r="I27" s="70">
        <f t="shared" si="5"/>
        <v>0</v>
      </c>
      <c r="J27" s="70">
        <f t="shared" si="5"/>
        <v>0</v>
      </c>
      <c r="K27" s="70">
        <f t="shared" si="5"/>
        <v>0</v>
      </c>
      <c r="L27" s="70">
        <f t="shared" si="5"/>
        <v>0</v>
      </c>
      <c r="M27" s="70">
        <f t="shared" si="6"/>
        <v>0</v>
      </c>
      <c r="N27" s="70">
        <f t="shared" si="6"/>
        <v>0</v>
      </c>
      <c r="O27" s="70">
        <f t="shared" si="6"/>
        <v>0</v>
      </c>
      <c r="P27" s="70">
        <f t="shared" si="6"/>
        <v>0</v>
      </c>
      <c r="Q27" s="70">
        <f t="shared" si="6"/>
        <v>0</v>
      </c>
      <c r="R27" s="70">
        <f t="shared" si="6"/>
        <v>0</v>
      </c>
      <c r="S27" s="70">
        <f t="shared" si="6"/>
        <v>0</v>
      </c>
      <c r="T27" s="70">
        <f t="shared" si="6"/>
        <v>0</v>
      </c>
      <c r="U27" s="70">
        <f t="shared" si="6"/>
        <v>0</v>
      </c>
      <c r="V27" s="135">
        <f t="shared" si="6"/>
        <v>0</v>
      </c>
      <c r="X27" s="112" t="s">
        <v>40</v>
      </c>
      <c r="Y27" s="114">
        <f t="shared" si="2"/>
        <v>0</v>
      </c>
      <c r="Z27" s="114">
        <f t="shared" si="3"/>
        <v>0</v>
      </c>
      <c r="AA27" s="132">
        <f t="shared" si="4"/>
        <v>0</v>
      </c>
    </row>
    <row r="28" spans="1:27" ht="15" customHeight="1">
      <c r="A28" s="136"/>
      <c r="B28" s="148">
        <v>37</v>
      </c>
      <c r="C28" s="70">
        <f t="shared" si="5"/>
        <v>1</v>
      </c>
      <c r="D28" s="70">
        <f t="shared" si="5"/>
        <v>1</v>
      </c>
      <c r="E28" s="70">
        <f t="shared" si="5"/>
        <v>1</v>
      </c>
      <c r="F28" s="70">
        <f t="shared" si="5"/>
        <v>1</v>
      </c>
      <c r="G28" s="70">
        <f t="shared" si="5"/>
        <v>1</v>
      </c>
      <c r="H28" s="70">
        <f t="shared" si="5"/>
        <v>0</v>
      </c>
      <c r="I28" s="70">
        <f t="shared" si="5"/>
        <v>1</v>
      </c>
      <c r="J28" s="70">
        <f t="shared" si="5"/>
        <v>1</v>
      </c>
      <c r="K28" s="70">
        <f t="shared" si="5"/>
        <v>1</v>
      </c>
      <c r="L28" s="70">
        <f t="shared" si="5"/>
        <v>1</v>
      </c>
      <c r="M28" s="70">
        <f t="shared" si="6"/>
        <v>1</v>
      </c>
      <c r="N28" s="70">
        <f t="shared" si="6"/>
        <v>1</v>
      </c>
      <c r="O28" s="70">
        <f t="shared" si="6"/>
        <v>1</v>
      </c>
      <c r="P28" s="70">
        <f t="shared" si="6"/>
        <v>1</v>
      </c>
      <c r="Q28" s="70">
        <f t="shared" si="6"/>
        <v>0</v>
      </c>
      <c r="R28" s="70">
        <f t="shared" si="6"/>
        <v>0</v>
      </c>
      <c r="S28" s="70">
        <f t="shared" si="6"/>
        <v>0</v>
      </c>
      <c r="T28" s="70">
        <f t="shared" si="6"/>
        <v>0</v>
      </c>
      <c r="U28" s="70">
        <f t="shared" si="6"/>
        <v>0</v>
      </c>
      <c r="V28" s="135">
        <f t="shared" si="6"/>
        <v>0</v>
      </c>
      <c r="X28" s="112" t="s">
        <v>37</v>
      </c>
      <c r="Y28" s="114">
        <f t="shared" si="2"/>
        <v>172</v>
      </c>
      <c r="Z28" s="114">
        <f t="shared" si="3"/>
        <v>47</v>
      </c>
      <c r="AA28" s="132">
        <f t="shared" si="4"/>
        <v>54</v>
      </c>
    </row>
    <row r="30" spans="1:27" ht="15" customHeight="1">
      <c r="X30" s="112" t="s">
        <v>37</v>
      </c>
      <c r="Y30" s="69">
        <f t="shared" ref="Y30:AA32" si="7">SUMIF(MunicipioMO,$X30,Y$9:Y$28)</f>
        <v>319</v>
      </c>
      <c r="Z30" s="69">
        <f t="shared" si="7"/>
        <v>70</v>
      </c>
      <c r="AA30" s="69">
        <f t="shared" si="7"/>
        <v>82</v>
      </c>
    </row>
    <row r="31" spans="1:27" ht="15" customHeight="1">
      <c r="X31" s="112" t="s">
        <v>17</v>
      </c>
      <c r="Y31" s="69">
        <f t="shared" si="7"/>
        <v>116</v>
      </c>
      <c r="Z31" s="69">
        <f t="shared" si="7"/>
        <v>108</v>
      </c>
      <c r="AA31" s="69">
        <f t="shared" si="7"/>
        <v>39</v>
      </c>
    </row>
    <row r="32" spans="1:27" ht="15" customHeight="1">
      <c r="X32" s="112" t="s">
        <v>38</v>
      </c>
      <c r="Y32" s="69">
        <f t="shared" si="7"/>
        <v>2979</v>
      </c>
      <c r="Z32" s="69">
        <f t="shared" si="7"/>
        <v>983</v>
      </c>
      <c r="AA32" s="69">
        <f t="shared" si="7"/>
        <v>618</v>
      </c>
    </row>
    <row r="33" spans="24:27" ht="15" customHeight="1">
      <c r="X33" s="112" t="s">
        <v>39</v>
      </c>
      <c r="Y33" s="69">
        <f>SUMIF(MunicipioMO,#REF!,Y$9:Y$28)</f>
        <v>0</v>
      </c>
      <c r="Z33" s="69">
        <f t="shared" ref="Z33:AA35" si="8">SUMIF(MunicipioMO,$X33,Z$9:Z$28)</f>
        <v>66</v>
      </c>
      <c r="AA33" s="69">
        <f t="shared" si="8"/>
        <v>45</v>
      </c>
    </row>
    <row r="34" spans="24:27" ht="15" customHeight="1">
      <c r="X34" s="112" t="s">
        <v>16</v>
      </c>
      <c r="Y34" s="69">
        <f>SUMIF(MunicipioMO,#REF!,Y$9:Y$28)</f>
        <v>0</v>
      </c>
      <c r="Z34" s="69">
        <f t="shared" si="8"/>
        <v>123</v>
      </c>
      <c r="AA34" s="69">
        <f t="shared" si="8"/>
        <v>76</v>
      </c>
    </row>
    <row r="35" spans="24:27" ht="15" customHeight="1">
      <c r="X35" s="112" t="s">
        <v>40</v>
      </c>
      <c r="Y35" s="69">
        <f>SUMIF(MunicipioMO,#REF!,Y$9:Y$28)</f>
        <v>0</v>
      </c>
      <c r="Z35" s="69">
        <f t="shared" si="8"/>
        <v>0</v>
      </c>
      <c r="AA35" s="69">
        <f t="shared" si="8"/>
        <v>0</v>
      </c>
    </row>
  </sheetData>
  <customSheetViews>
    <customSheetView guid="{43751384-8D2C-4877-853C-4CE893CAF1E6}" showGridLines="0" showRowCol="0">
      <selection activeCell="Y5" sqref="Y5"/>
      <pageMargins left="0.7" right="0.7" top="0.75" bottom="0.75" header="0.3" footer="0.3"/>
    </customSheetView>
    <customSheetView guid="{D80F4FD6-7D6D-4832-9A2E-4DEB1E783FB1}" showGridLines="0" showRowCol="0">
      <selection activeCell="Y5" sqref="Y5"/>
      <pageMargins left="0.7" right="0.7" top="0.75" bottom="0.75" header="0.3" footer="0.3"/>
    </customSheetView>
    <customSheetView guid="{0A4EA429-3B60-4229-BB25-AADA8CCE0D84}" showGridLines="0" showRowCol="0">
      <selection activeCell="Y4" sqref="Y4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7" priority="7" stopIfTrue="1" operator="equal">
      <formula>"F"</formula>
    </cfRule>
    <cfRule type="cellIs" dxfId="16" priority="8" stopIfTrue="1" operator="equal">
      <formula>"C"</formula>
    </cfRule>
    <cfRule type="cellIs" dxfId="15" priority="9" stopIfTrue="1" operator="equal">
      <formula>"C"</formula>
    </cfRule>
  </conditionalFormatting>
  <conditionalFormatting sqref="C9:V28">
    <cfRule type="cellIs" dxfId="14" priority="1" stopIfTrue="1" operator="equal">
      <formula>0</formula>
    </cfRule>
    <cfRule type="cellIs" dxfId="13" priority="2" stopIfTrue="1" operator="equal">
      <formula>1</formula>
    </cfRule>
    <cfRule type="cellIs" dxfId="12" priority="3" stopIfTrue="1" operator="greaterThan">
      <formula>1</formula>
    </cfRule>
  </conditionalFormatting>
  <hyperlinks>
    <hyperlink ref="Y2" location="PPrincipal!A1" display="* Pagina Principal"/>
    <hyperlink ref="Y3" location="CAnzoategui!A1" display="Anzoátegui"/>
    <hyperlink ref="Y4" location="'CNueva Esparta'!A1" display="Nueva Esparta"/>
    <hyperlink ref="Y5" location="CSucre!A1" display="Sucr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X450"/>
  <sheetViews>
    <sheetView showGridLines="0" showRowColHeaders="0" workbookViewId="0">
      <pane ySplit="8" topLeftCell="A267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11" width="13.7109375" customWidth="1"/>
    <col min="12" max="13" width="13.7109375" style="21" customWidth="1"/>
    <col min="14" max="24" width="13.7109375" customWidth="1"/>
  </cols>
  <sheetData>
    <row r="1" spans="2:24" s="13" customFormat="1">
      <c r="H1" s="111"/>
      <c r="J1" s="39"/>
      <c r="L1" s="26"/>
      <c r="M1" s="26"/>
    </row>
    <row r="2" spans="2:24" s="13" customFormat="1">
      <c r="H2" s="79"/>
      <c r="I2" s="174" t="s">
        <v>7</v>
      </c>
      <c r="J2" s="79"/>
      <c r="L2" s="26"/>
      <c r="M2" s="26"/>
      <c r="P2" s="61" t="s">
        <v>42</v>
      </c>
      <c r="Q2" s="100">
        <f>R9</f>
        <v>0.61240865453503368</v>
      </c>
      <c r="R2" s="59"/>
    </row>
    <row r="3" spans="2:24" s="13" customFormat="1">
      <c r="H3" s="79"/>
      <c r="I3" s="174" t="s">
        <v>78</v>
      </c>
      <c r="J3" s="79"/>
      <c r="L3" s="26"/>
      <c r="M3" s="26"/>
      <c r="P3" s="61" t="s">
        <v>43</v>
      </c>
      <c r="Q3" s="100">
        <f>U9</f>
        <v>0.34403209628886661</v>
      </c>
      <c r="R3" s="59"/>
    </row>
    <row r="4" spans="2:24" s="13" customFormat="1">
      <c r="H4" s="79"/>
      <c r="I4" s="174" t="s">
        <v>79</v>
      </c>
      <c r="J4" s="79"/>
      <c r="L4" s="26"/>
      <c r="M4" s="26"/>
      <c r="P4" s="101" t="s">
        <v>4</v>
      </c>
      <c r="Q4" s="100">
        <f>X9</f>
        <v>4.3559249176099726E-2</v>
      </c>
      <c r="R4" s="59"/>
    </row>
    <row r="5" spans="2:24" s="13" customFormat="1">
      <c r="H5" s="79"/>
      <c r="I5" s="174" t="s">
        <v>80</v>
      </c>
      <c r="J5" s="79"/>
      <c r="L5" s="26"/>
      <c r="M5" s="26"/>
    </row>
    <row r="6" spans="2:24" s="13" customFormat="1" ht="33">
      <c r="B6" s="17">
        <v>17</v>
      </c>
      <c r="C6" s="17" t="s">
        <v>41</v>
      </c>
      <c r="D6" s="17"/>
      <c r="E6" s="17"/>
      <c r="F6" s="17"/>
      <c r="G6" s="17"/>
      <c r="H6"/>
      <c r="I6" s="79"/>
      <c r="J6" s="39"/>
      <c r="L6" s="26"/>
      <c r="M6" s="26"/>
    </row>
    <row r="7" spans="2:24" ht="13.5" thickBot="1"/>
    <row r="8" spans="2:24" ht="30.75" thickBot="1">
      <c r="B8" s="23" t="s">
        <v>1</v>
      </c>
      <c r="C8" s="24" t="s">
        <v>2</v>
      </c>
      <c r="D8" s="25" t="s">
        <v>0</v>
      </c>
      <c r="E8" s="12" t="s">
        <v>42</v>
      </c>
      <c r="F8" s="12" t="s">
        <v>43</v>
      </c>
      <c r="G8" s="12" t="s">
        <v>4</v>
      </c>
      <c r="M8" s="55" t="s">
        <v>44</v>
      </c>
      <c r="P8" s="182" t="s">
        <v>42</v>
      </c>
      <c r="Q8" s="183"/>
      <c r="R8" s="184"/>
      <c r="S8" s="182" t="s">
        <v>43</v>
      </c>
      <c r="T8" s="183"/>
      <c r="U8" s="184"/>
      <c r="V8" s="182" t="s">
        <v>4</v>
      </c>
      <c r="W8" s="183"/>
      <c r="X8" s="184"/>
    </row>
    <row r="9" spans="2:24" ht="18">
      <c r="B9" s="40">
        <v>17</v>
      </c>
      <c r="C9" s="40">
        <v>29</v>
      </c>
      <c r="D9" s="40">
        <v>1</v>
      </c>
      <c r="E9" s="40">
        <v>1</v>
      </c>
      <c r="F9" s="40">
        <v>1</v>
      </c>
      <c r="G9" s="45">
        <v>1</v>
      </c>
      <c r="M9" s="21">
        <v>1</v>
      </c>
      <c r="N9" s="180" t="s">
        <v>0</v>
      </c>
      <c r="O9" s="180"/>
      <c r="P9" s="31">
        <f>SUM(Enrique_Maestre)</f>
        <v>4274</v>
      </c>
      <c r="Q9" s="32">
        <f>P9</f>
        <v>4274</v>
      </c>
      <c r="R9" s="34">
        <f>P9/($P$9+$S$9+$V$9)</f>
        <v>0.61240865453503368</v>
      </c>
      <c r="S9" s="31">
        <f>SUM(Eduardo_Morales_Gil)</f>
        <v>2401</v>
      </c>
      <c r="T9" s="32">
        <f>S9</f>
        <v>2401</v>
      </c>
      <c r="U9" s="34">
        <f>S9/($P$9+$S$9+$V$9)</f>
        <v>0.34403209628886661</v>
      </c>
      <c r="V9" s="31">
        <f>SUM(OtroSU)</f>
        <v>304</v>
      </c>
      <c r="W9" s="32">
        <f>V9</f>
        <v>304</v>
      </c>
      <c r="X9" s="34">
        <f>V9/($P$9+$S$9+$V$9)</f>
        <v>4.3559249176099726E-2</v>
      </c>
    </row>
    <row r="10" spans="2:24" ht="18">
      <c r="B10" s="41">
        <v>17</v>
      </c>
      <c r="C10" s="41">
        <v>48</v>
      </c>
      <c r="D10" s="41">
        <v>1</v>
      </c>
      <c r="E10" s="41">
        <v>6</v>
      </c>
      <c r="F10" s="41">
        <v>1</v>
      </c>
      <c r="G10" s="46">
        <v>0</v>
      </c>
      <c r="M10" s="21">
        <v>1</v>
      </c>
      <c r="N10" s="6">
        <v>0.3125</v>
      </c>
      <c r="O10" s="2">
        <v>1</v>
      </c>
      <c r="P10" s="4">
        <f t="shared" ref="P10:P29" si="0">SUMIF(TurnoSU,$O10,Enrique_Maestre)</f>
        <v>329</v>
      </c>
      <c r="Q10" s="5">
        <f>P10</f>
        <v>329</v>
      </c>
      <c r="R10" s="3">
        <f>IF(P10&lt;&gt;0,Q10/($Q10+$T10+W10),LOOKUP(2121,$R$3:$R$6))</f>
        <v>0.61152416356877326</v>
      </c>
      <c r="S10" s="4">
        <f t="shared" ref="S10:S29" si="1">SUMIF(TurnoSU,$O10,Eduardo_Morales_Gil)</f>
        <v>202</v>
      </c>
      <c r="T10" s="5">
        <f>S10</f>
        <v>202</v>
      </c>
      <c r="U10" s="3">
        <f>IF(S10&lt;&gt;0,T10/($Q10+$T10+$W10),LOOKUP(2121,$R$3:$R$6))</f>
        <v>0.37546468401486988</v>
      </c>
      <c r="V10" s="4">
        <f t="shared" ref="V10:V29" si="2">SUMIF(TurnoSU,$O10,OtroSU)</f>
        <v>7</v>
      </c>
      <c r="W10" s="5">
        <f>V10</f>
        <v>7</v>
      </c>
      <c r="X10" s="3">
        <f>IF(V10&lt;&gt;0,W10/($Q10+$T10+$W10),LOOKUP(2121,$R$3:$R$6))</f>
        <v>1.3011152416356878E-2</v>
      </c>
    </row>
    <row r="11" spans="2:24" ht="18">
      <c r="B11" s="41">
        <v>17</v>
      </c>
      <c r="C11" s="41">
        <v>39</v>
      </c>
      <c r="D11" s="41">
        <v>1</v>
      </c>
      <c r="E11" s="41">
        <v>7</v>
      </c>
      <c r="F11" s="41">
        <v>3</v>
      </c>
      <c r="G11" s="46">
        <v>0</v>
      </c>
      <c r="M11" s="21">
        <v>1</v>
      </c>
      <c r="N11" s="6">
        <v>0.33333333333333298</v>
      </c>
      <c r="O11" s="2">
        <v>2</v>
      </c>
      <c r="P11" s="4">
        <f t="shared" si="0"/>
        <v>341</v>
      </c>
      <c r="Q11" s="5">
        <f>Q10+P11</f>
        <v>670</v>
      </c>
      <c r="R11" s="3">
        <f t="shared" ref="R11:R29" si="3">IF(P11&lt;&gt;0,Q11/($Q11+$T11+W11),LOOKUP(2121,$R$3:$R$6))</f>
        <v>0.62209842154131845</v>
      </c>
      <c r="S11" s="4">
        <f t="shared" si="1"/>
        <v>187</v>
      </c>
      <c r="T11" s="5">
        <f>T10+S11</f>
        <v>389</v>
      </c>
      <c r="U11" s="3">
        <f t="shared" ref="U11:U29" si="4">IF(S11&lt;&gt;0,T11/($Q11+$T11+$W11),LOOKUP(2121,$R$3:$R$6))</f>
        <v>0.36118848653667596</v>
      </c>
      <c r="V11" s="4">
        <f t="shared" si="2"/>
        <v>11</v>
      </c>
      <c r="W11" s="5">
        <f>W10+V11</f>
        <v>18</v>
      </c>
      <c r="X11" s="3">
        <f t="shared" ref="X11:X29" si="5">IF(V11&lt;&gt;0,W11/($Q11+$T11+$W11),LOOKUP(2121,$R$3:$R$6))</f>
        <v>1.6713091922005572E-2</v>
      </c>
    </row>
    <row r="12" spans="2:24" ht="18">
      <c r="B12" s="41">
        <v>17</v>
      </c>
      <c r="C12" s="41">
        <v>29</v>
      </c>
      <c r="D12" s="41">
        <v>1</v>
      </c>
      <c r="E12" s="41">
        <v>25</v>
      </c>
      <c r="F12" s="41">
        <v>0</v>
      </c>
      <c r="G12" s="46">
        <v>0</v>
      </c>
      <c r="M12" s="21">
        <v>1</v>
      </c>
      <c r="N12" s="6">
        <v>0.35416666666666702</v>
      </c>
      <c r="O12" s="2">
        <v>3</v>
      </c>
      <c r="P12" s="4">
        <f t="shared" si="0"/>
        <v>341</v>
      </c>
      <c r="Q12" s="5">
        <f t="shared" ref="Q12:Q29" si="6">Q11+P12</f>
        <v>1011</v>
      </c>
      <c r="R12" s="3">
        <f t="shared" si="3"/>
        <v>0.64027865737808742</v>
      </c>
      <c r="S12" s="4">
        <f t="shared" si="1"/>
        <v>156</v>
      </c>
      <c r="T12" s="5">
        <f t="shared" ref="T12:T29" si="7">T11+S12</f>
        <v>545</v>
      </c>
      <c r="U12" s="3">
        <f t="shared" si="4"/>
        <v>0.34515516149461684</v>
      </c>
      <c r="V12" s="4">
        <f t="shared" si="2"/>
        <v>5</v>
      </c>
      <c r="W12" s="5">
        <f t="shared" ref="W12:W29" si="8">W11+V12</f>
        <v>23</v>
      </c>
      <c r="X12" s="3">
        <f t="shared" si="5"/>
        <v>1.4566181127295756E-2</v>
      </c>
    </row>
    <row r="13" spans="2:24" ht="18">
      <c r="B13" s="41">
        <v>17</v>
      </c>
      <c r="C13" s="41">
        <v>29</v>
      </c>
      <c r="D13" s="41">
        <v>2</v>
      </c>
      <c r="E13" s="41">
        <v>25</v>
      </c>
      <c r="F13" s="41">
        <v>0</v>
      </c>
      <c r="G13" s="46">
        <v>0</v>
      </c>
      <c r="M13" s="21">
        <v>1</v>
      </c>
      <c r="N13" s="6">
        <v>0.375</v>
      </c>
      <c r="O13" s="2">
        <v>4</v>
      </c>
      <c r="P13" s="4">
        <f t="shared" si="0"/>
        <v>357</v>
      </c>
      <c r="Q13" s="5">
        <f t="shared" si="6"/>
        <v>1368</v>
      </c>
      <c r="R13" s="3">
        <f t="shared" si="3"/>
        <v>0.62494289629968025</v>
      </c>
      <c r="S13" s="4">
        <f t="shared" si="1"/>
        <v>245</v>
      </c>
      <c r="T13" s="5">
        <f t="shared" si="7"/>
        <v>790</v>
      </c>
      <c r="U13" s="3">
        <f t="shared" si="4"/>
        <v>0.36089538602101418</v>
      </c>
      <c r="V13" s="4">
        <f t="shared" si="2"/>
        <v>8</v>
      </c>
      <c r="W13" s="5">
        <f t="shared" si="8"/>
        <v>31</v>
      </c>
      <c r="X13" s="3">
        <f t="shared" si="5"/>
        <v>1.4161717679305619E-2</v>
      </c>
    </row>
    <row r="14" spans="2:24" ht="18">
      <c r="B14" s="41">
        <v>17</v>
      </c>
      <c r="C14" s="41">
        <v>43</v>
      </c>
      <c r="D14" s="41">
        <v>1</v>
      </c>
      <c r="E14" s="41">
        <v>10</v>
      </c>
      <c r="F14" s="41">
        <v>40</v>
      </c>
      <c r="G14" s="46">
        <v>0</v>
      </c>
      <c r="M14" s="21">
        <v>1</v>
      </c>
      <c r="N14" s="6">
        <v>0.39583333333333298</v>
      </c>
      <c r="O14" s="2">
        <v>5</v>
      </c>
      <c r="P14" s="4">
        <f t="shared" si="0"/>
        <v>290</v>
      </c>
      <c r="Q14" s="5">
        <f t="shared" si="6"/>
        <v>1658</v>
      </c>
      <c r="R14" s="3">
        <f t="shared" si="3"/>
        <v>0.61750465549348232</v>
      </c>
      <c r="S14" s="4">
        <f t="shared" si="1"/>
        <v>184</v>
      </c>
      <c r="T14" s="5">
        <f t="shared" si="7"/>
        <v>974</v>
      </c>
      <c r="U14" s="3">
        <f t="shared" si="4"/>
        <v>0.36275605214152701</v>
      </c>
      <c r="V14" s="4">
        <f t="shared" si="2"/>
        <v>22</v>
      </c>
      <c r="W14" s="5">
        <f t="shared" si="8"/>
        <v>53</v>
      </c>
      <c r="X14" s="3">
        <f t="shared" si="5"/>
        <v>1.9739292364990689E-2</v>
      </c>
    </row>
    <row r="15" spans="2:24" ht="18">
      <c r="B15" s="41">
        <v>17</v>
      </c>
      <c r="C15" s="41">
        <v>43</v>
      </c>
      <c r="D15" s="41">
        <v>2</v>
      </c>
      <c r="E15" s="41">
        <v>26</v>
      </c>
      <c r="F15" s="41">
        <v>24</v>
      </c>
      <c r="G15" s="46">
        <v>0</v>
      </c>
      <c r="M15" s="21">
        <v>1</v>
      </c>
      <c r="N15" s="6">
        <v>0.41666666666666702</v>
      </c>
      <c r="O15" s="2">
        <v>6</v>
      </c>
      <c r="P15" s="4">
        <f t="shared" si="0"/>
        <v>372</v>
      </c>
      <c r="Q15" s="5">
        <f t="shared" si="6"/>
        <v>2030</v>
      </c>
      <c r="R15" s="3">
        <f t="shared" si="3"/>
        <v>0.60255268625704961</v>
      </c>
      <c r="S15" s="4">
        <f t="shared" si="1"/>
        <v>228</v>
      </c>
      <c r="T15" s="5">
        <f t="shared" si="7"/>
        <v>1202</v>
      </c>
      <c r="U15" s="3">
        <f t="shared" si="4"/>
        <v>0.35678242802018401</v>
      </c>
      <c r="V15" s="4">
        <f t="shared" si="2"/>
        <v>84</v>
      </c>
      <c r="W15" s="5">
        <f t="shared" si="8"/>
        <v>137</v>
      </c>
      <c r="X15" s="3">
        <f t="shared" si="5"/>
        <v>4.06648857227664E-2</v>
      </c>
    </row>
    <row r="16" spans="2:24" ht="18">
      <c r="B16" s="41">
        <v>17</v>
      </c>
      <c r="C16" s="41">
        <v>50</v>
      </c>
      <c r="D16" s="41">
        <v>3</v>
      </c>
      <c r="E16" s="41">
        <v>22</v>
      </c>
      <c r="F16" s="41">
        <v>4</v>
      </c>
      <c r="G16" s="46">
        <v>0</v>
      </c>
      <c r="M16" s="21">
        <v>1</v>
      </c>
      <c r="N16" s="6">
        <v>0.4375</v>
      </c>
      <c r="O16" s="2">
        <v>7</v>
      </c>
      <c r="P16" s="4">
        <f t="shared" si="0"/>
        <v>357</v>
      </c>
      <c r="Q16" s="5">
        <f t="shared" si="6"/>
        <v>2387</v>
      </c>
      <c r="R16" s="3">
        <f t="shared" si="3"/>
        <v>0.60645325203252032</v>
      </c>
      <c r="S16" s="4">
        <f t="shared" si="1"/>
        <v>190</v>
      </c>
      <c r="T16" s="5">
        <f t="shared" si="7"/>
        <v>1392</v>
      </c>
      <c r="U16" s="3">
        <f t="shared" si="4"/>
        <v>0.35365853658536583</v>
      </c>
      <c r="V16" s="4">
        <f t="shared" si="2"/>
        <v>20</v>
      </c>
      <c r="W16" s="5">
        <f t="shared" si="8"/>
        <v>157</v>
      </c>
      <c r="X16" s="3">
        <f t="shared" si="5"/>
        <v>3.988821138211382E-2</v>
      </c>
    </row>
    <row r="17" spans="2:24" ht="18">
      <c r="B17" s="41">
        <v>17</v>
      </c>
      <c r="C17" s="41">
        <v>50</v>
      </c>
      <c r="D17" s="41">
        <v>2</v>
      </c>
      <c r="E17" s="41">
        <v>21</v>
      </c>
      <c r="F17" s="41">
        <v>4</v>
      </c>
      <c r="G17" s="46">
        <v>0</v>
      </c>
      <c r="M17" s="21">
        <v>1</v>
      </c>
      <c r="N17" s="6">
        <v>0.45833333333333298</v>
      </c>
      <c r="O17" s="2">
        <v>8</v>
      </c>
      <c r="P17" s="4">
        <f t="shared" si="0"/>
        <v>394</v>
      </c>
      <c r="Q17" s="5">
        <f t="shared" si="6"/>
        <v>2781</v>
      </c>
      <c r="R17" s="3">
        <f t="shared" si="3"/>
        <v>0.60233918128654973</v>
      </c>
      <c r="S17" s="4">
        <f t="shared" si="1"/>
        <v>258</v>
      </c>
      <c r="T17" s="5">
        <f t="shared" si="7"/>
        <v>1650</v>
      </c>
      <c r="U17" s="3">
        <f t="shared" si="4"/>
        <v>0.35737491877842753</v>
      </c>
      <c r="V17" s="4">
        <f t="shared" si="2"/>
        <v>29</v>
      </c>
      <c r="W17" s="5">
        <f t="shared" si="8"/>
        <v>186</v>
      </c>
      <c r="X17" s="3">
        <f t="shared" si="5"/>
        <v>4.028589993502274E-2</v>
      </c>
    </row>
    <row r="18" spans="2:24" ht="18">
      <c r="B18" s="41">
        <v>17</v>
      </c>
      <c r="C18" s="41">
        <v>32</v>
      </c>
      <c r="D18" s="41">
        <v>2</v>
      </c>
      <c r="E18" s="41">
        <v>9</v>
      </c>
      <c r="F18" s="41">
        <v>3</v>
      </c>
      <c r="G18" s="46">
        <v>4</v>
      </c>
      <c r="M18" s="21">
        <v>1</v>
      </c>
      <c r="N18" s="6">
        <v>0.47916666666666702</v>
      </c>
      <c r="O18" s="2">
        <v>9</v>
      </c>
      <c r="P18" s="4">
        <f t="shared" si="0"/>
        <v>372</v>
      </c>
      <c r="Q18" s="5">
        <f t="shared" si="6"/>
        <v>3153</v>
      </c>
      <c r="R18" s="3">
        <f t="shared" si="3"/>
        <v>0.60448619631901845</v>
      </c>
      <c r="S18" s="4">
        <f t="shared" si="1"/>
        <v>200</v>
      </c>
      <c r="T18" s="5">
        <f t="shared" si="7"/>
        <v>1850</v>
      </c>
      <c r="U18" s="3">
        <f t="shared" si="4"/>
        <v>0.35467791411042943</v>
      </c>
      <c r="V18" s="4">
        <f t="shared" si="2"/>
        <v>27</v>
      </c>
      <c r="W18" s="5">
        <f t="shared" si="8"/>
        <v>213</v>
      </c>
      <c r="X18" s="3">
        <f t="shared" si="5"/>
        <v>4.0835889570552147E-2</v>
      </c>
    </row>
    <row r="19" spans="2:24" ht="18">
      <c r="B19" s="41">
        <v>17</v>
      </c>
      <c r="C19" s="41">
        <v>32</v>
      </c>
      <c r="D19" s="41">
        <v>3</v>
      </c>
      <c r="E19" s="41">
        <v>12</v>
      </c>
      <c r="F19" s="41">
        <v>5</v>
      </c>
      <c r="G19" s="46">
        <v>4</v>
      </c>
      <c r="M19" s="21">
        <v>1</v>
      </c>
      <c r="N19" s="6">
        <v>0.5</v>
      </c>
      <c r="O19" s="2">
        <v>10</v>
      </c>
      <c r="P19" s="4">
        <f t="shared" si="0"/>
        <v>373</v>
      </c>
      <c r="Q19" s="5">
        <f t="shared" si="6"/>
        <v>3526</v>
      </c>
      <c r="R19" s="3">
        <f t="shared" si="3"/>
        <v>0.60919143054595715</v>
      </c>
      <c r="S19" s="4">
        <f t="shared" si="1"/>
        <v>169</v>
      </c>
      <c r="T19" s="5">
        <f t="shared" si="7"/>
        <v>2019</v>
      </c>
      <c r="U19" s="3">
        <f t="shared" si="4"/>
        <v>0.34882515549412579</v>
      </c>
      <c r="V19" s="4">
        <f t="shared" si="2"/>
        <v>30</v>
      </c>
      <c r="W19" s="5">
        <f t="shared" si="8"/>
        <v>243</v>
      </c>
      <c r="X19" s="3">
        <f t="shared" si="5"/>
        <v>4.1983413959917067E-2</v>
      </c>
    </row>
    <row r="20" spans="2:24" ht="18">
      <c r="B20" s="41">
        <v>17</v>
      </c>
      <c r="C20" s="41">
        <v>50</v>
      </c>
      <c r="D20" s="41">
        <v>1</v>
      </c>
      <c r="E20" s="41">
        <v>20</v>
      </c>
      <c r="F20" s="41">
        <v>5</v>
      </c>
      <c r="G20" s="46">
        <v>0</v>
      </c>
      <c r="M20" s="21">
        <v>1</v>
      </c>
      <c r="N20" s="6">
        <v>0.52083333333333304</v>
      </c>
      <c r="O20" s="2">
        <v>11</v>
      </c>
      <c r="P20" s="4">
        <f t="shared" si="0"/>
        <v>359</v>
      </c>
      <c r="Q20" s="5">
        <f t="shared" si="6"/>
        <v>3885</v>
      </c>
      <c r="R20" s="3">
        <f t="shared" si="3"/>
        <v>0.60665209244222362</v>
      </c>
      <c r="S20" s="4">
        <f t="shared" si="1"/>
        <v>212</v>
      </c>
      <c r="T20" s="5">
        <f t="shared" si="7"/>
        <v>2231</v>
      </c>
      <c r="U20" s="3">
        <f t="shared" si="4"/>
        <v>0.34837601499063087</v>
      </c>
      <c r="V20" s="4">
        <f t="shared" si="2"/>
        <v>45</v>
      </c>
      <c r="W20" s="5">
        <f t="shared" si="8"/>
        <v>288</v>
      </c>
      <c r="X20" s="3">
        <f t="shared" si="5"/>
        <v>4.4971892567145531E-2</v>
      </c>
    </row>
    <row r="21" spans="2:24" ht="18">
      <c r="B21" s="41">
        <v>17</v>
      </c>
      <c r="C21" s="41">
        <v>29</v>
      </c>
      <c r="D21" s="41">
        <v>3</v>
      </c>
      <c r="E21" s="41">
        <v>15</v>
      </c>
      <c r="F21" s="41">
        <v>2</v>
      </c>
      <c r="G21" s="46">
        <v>0</v>
      </c>
      <c r="M21" s="21">
        <v>1</v>
      </c>
      <c r="N21" s="6">
        <v>4.1666666666666664E-2</v>
      </c>
      <c r="O21" s="2">
        <v>12</v>
      </c>
      <c r="P21" s="4">
        <f t="shared" si="0"/>
        <v>178</v>
      </c>
      <c r="Q21" s="5">
        <f t="shared" si="6"/>
        <v>4063</v>
      </c>
      <c r="R21" s="3">
        <f t="shared" si="3"/>
        <v>0.61006006006006008</v>
      </c>
      <c r="S21" s="4">
        <f t="shared" si="1"/>
        <v>69</v>
      </c>
      <c r="T21" s="5">
        <f t="shared" si="7"/>
        <v>2300</v>
      </c>
      <c r="U21" s="3">
        <f t="shared" si="4"/>
        <v>0.34534534534534533</v>
      </c>
      <c r="V21" s="4">
        <f t="shared" si="2"/>
        <v>9</v>
      </c>
      <c r="W21" s="5">
        <f t="shared" si="8"/>
        <v>297</v>
      </c>
      <c r="X21" s="3">
        <f t="shared" si="5"/>
        <v>4.4594594594594597E-2</v>
      </c>
    </row>
    <row r="22" spans="2:24" ht="18">
      <c r="B22" s="41">
        <v>17</v>
      </c>
      <c r="C22" s="41">
        <v>29</v>
      </c>
      <c r="D22" s="41">
        <v>4</v>
      </c>
      <c r="E22" s="41">
        <v>27</v>
      </c>
      <c r="F22" s="41">
        <v>1</v>
      </c>
      <c r="G22" s="46">
        <v>0</v>
      </c>
      <c r="M22" s="21">
        <v>1</v>
      </c>
      <c r="N22" s="6">
        <v>6.25E-2</v>
      </c>
      <c r="O22" s="2">
        <v>13</v>
      </c>
      <c r="P22" s="4">
        <f t="shared" si="0"/>
        <v>94</v>
      </c>
      <c r="Q22" s="5">
        <f t="shared" si="6"/>
        <v>4157</v>
      </c>
      <c r="R22" s="3">
        <f t="shared" si="3"/>
        <v>0.61141344315340496</v>
      </c>
      <c r="S22" s="4">
        <f t="shared" si="1"/>
        <v>41</v>
      </c>
      <c r="T22" s="5">
        <f t="shared" si="7"/>
        <v>2341</v>
      </c>
      <c r="U22" s="3">
        <f t="shared" si="4"/>
        <v>0.34431534049124873</v>
      </c>
      <c r="V22" s="4">
        <f t="shared" si="2"/>
        <v>4</v>
      </c>
      <c r="W22" s="5">
        <f t="shared" si="8"/>
        <v>301</v>
      </c>
      <c r="X22" s="3">
        <f t="shared" si="5"/>
        <v>4.4271216355346373E-2</v>
      </c>
    </row>
    <row r="23" spans="2:24" ht="18">
      <c r="B23" s="41">
        <v>17</v>
      </c>
      <c r="C23" s="41">
        <v>46</v>
      </c>
      <c r="D23" s="41">
        <v>2</v>
      </c>
      <c r="E23" s="41">
        <v>7</v>
      </c>
      <c r="F23" s="41">
        <v>6</v>
      </c>
      <c r="G23" s="46">
        <v>0</v>
      </c>
      <c r="M23" s="21">
        <v>1</v>
      </c>
      <c r="N23" s="6">
        <v>8.3333333333333329E-2</v>
      </c>
      <c r="O23" s="2">
        <v>14</v>
      </c>
      <c r="P23" s="4">
        <f t="shared" si="0"/>
        <v>54</v>
      </c>
      <c r="Q23" s="5">
        <f t="shared" si="6"/>
        <v>4211</v>
      </c>
      <c r="R23" s="3">
        <f t="shared" si="3"/>
        <v>0.61082100377139537</v>
      </c>
      <c r="S23" s="4">
        <f t="shared" si="1"/>
        <v>38</v>
      </c>
      <c r="T23" s="5">
        <f t="shared" si="7"/>
        <v>2379</v>
      </c>
      <c r="U23" s="3">
        <f t="shared" si="4"/>
        <v>0.34508268059181896</v>
      </c>
      <c r="V23" s="4">
        <f t="shared" si="2"/>
        <v>3</v>
      </c>
      <c r="W23" s="5">
        <f t="shared" si="8"/>
        <v>304</v>
      </c>
      <c r="X23" s="3">
        <f t="shared" si="5"/>
        <v>4.4096315636785607E-2</v>
      </c>
    </row>
    <row r="24" spans="2:24" ht="18">
      <c r="B24" s="41">
        <v>17</v>
      </c>
      <c r="C24" s="41">
        <v>46</v>
      </c>
      <c r="D24" s="41">
        <v>3</v>
      </c>
      <c r="E24" s="41">
        <v>10</v>
      </c>
      <c r="F24" s="41">
        <v>3</v>
      </c>
      <c r="G24" s="46">
        <v>0</v>
      </c>
      <c r="M24" s="21">
        <v>1</v>
      </c>
      <c r="N24" s="6">
        <v>0.104166666666667</v>
      </c>
      <c r="O24" s="2">
        <v>15</v>
      </c>
      <c r="P24" s="4">
        <f t="shared" si="0"/>
        <v>33</v>
      </c>
      <c r="Q24" s="5">
        <f t="shared" si="6"/>
        <v>4244</v>
      </c>
      <c r="R24" s="3">
        <f t="shared" si="3"/>
        <v>0.61143927387984442</v>
      </c>
      <c r="S24" s="4">
        <f t="shared" si="1"/>
        <v>14</v>
      </c>
      <c r="T24" s="5">
        <f t="shared" si="7"/>
        <v>2393</v>
      </c>
      <c r="U24" s="3">
        <f t="shared" si="4"/>
        <v>0.34476300244921482</v>
      </c>
      <c r="V24" s="4">
        <f t="shared" si="2"/>
        <v>0</v>
      </c>
      <c r="W24" s="5">
        <f t="shared" si="8"/>
        <v>304</v>
      </c>
      <c r="X24" s="3" t="e">
        <f t="shared" si="5"/>
        <v>#N/A</v>
      </c>
    </row>
    <row r="25" spans="2:24" ht="18">
      <c r="B25" s="41">
        <v>17</v>
      </c>
      <c r="C25" s="41">
        <v>46</v>
      </c>
      <c r="D25" s="41">
        <v>4</v>
      </c>
      <c r="E25" s="41">
        <v>4</v>
      </c>
      <c r="F25" s="41">
        <v>1</v>
      </c>
      <c r="G25" s="46">
        <v>0</v>
      </c>
      <c r="M25" s="21">
        <v>1</v>
      </c>
      <c r="N25" s="6">
        <v>0.125</v>
      </c>
      <c r="O25" s="2">
        <v>16</v>
      </c>
      <c r="P25" s="4">
        <f t="shared" si="0"/>
        <v>10</v>
      </c>
      <c r="Q25" s="5">
        <f t="shared" si="6"/>
        <v>4254</v>
      </c>
      <c r="R25" s="3">
        <f t="shared" si="3"/>
        <v>0.61173425366695422</v>
      </c>
      <c r="S25" s="4">
        <f t="shared" si="1"/>
        <v>3</v>
      </c>
      <c r="T25" s="5">
        <f t="shared" si="7"/>
        <v>2396</v>
      </c>
      <c r="U25" s="3">
        <f t="shared" si="4"/>
        <v>0.34454989933851021</v>
      </c>
      <c r="V25" s="4">
        <f t="shared" si="2"/>
        <v>0</v>
      </c>
      <c r="W25" s="5">
        <f t="shared" si="8"/>
        <v>304</v>
      </c>
      <c r="X25" s="3" t="e">
        <f t="shared" si="5"/>
        <v>#N/A</v>
      </c>
    </row>
    <row r="26" spans="2:24" ht="18">
      <c r="B26" s="41">
        <v>17</v>
      </c>
      <c r="C26" s="41">
        <v>46</v>
      </c>
      <c r="D26" s="41">
        <v>5</v>
      </c>
      <c r="E26" s="41">
        <v>13</v>
      </c>
      <c r="F26" s="41">
        <v>4</v>
      </c>
      <c r="G26" s="46">
        <v>0</v>
      </c>
      <c r="M26" s="21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6"/>
        <v>4254</v>
      </c>
      <c r="R26" s="3" t="e">
        <f t="shared" si="3"/>
        <v>#N/A</v>
      </c>
      <c r="S26" s="4">
        <f t="shared" si="1"/>
        <v>0</v>
      </c>
      <c r="T26" s="5">
        <f t="shared" si="7"/>
        <v>2396</v>
      </c>
      <c r="U26" s="3" t="e">
        <f t="shared" si="4"/>
        <v>#N/A</v>
      </c>
      <c r="V26" s="4">
        <f t="shared" si="2"/>
        <v>0</v>
      </c>
      <c r="W26" s="5">
        <f t="shared" si="8"/>
        <v>304</v>
      </c>
      <c r="X26" s="3" t="e">
        <f t="shared" si="5"/>
        <v>#N/A</v>
      </c>
    </row>
    <row r="27" spans="2:24" ht="18">
      <c r="B27" s="41">
        <v>17</v>
      </c>
      <c r="C27" s="41">
        <v>35</v>
      </c>
      <c r="D27" s="41">
        <v>2</v>
      </c>
      <c r="E27" s="41">
        <v>5</v>
      </c>
      <c r="F27" s="41">
        <v>3</v>
      </c>
      <c r="G27" s="46">
        <v>1</v>
      </c>
      <c r="M27" s="21">
        <v>1</v>
      </c>
      <c r="N27" s="6">
        <v>0.16666666666666599</v>
      </c>
      <c r="O27" s="2">
        <v>18</v>
      </c>
      <c r="P27" s="4">
        <f t="shared" si="0"/>
        <v>20</v>
      </c>
      <c r="Q27" s="5">
        <f t="shared" si="6"/>
        <v>4274</v>
      </c>
      <c r="R27" s="3">
        <f t="shared" si="3"/>
        <v>0.61240865453503368</v>
      </c>
      <c r="S27" s="4">
        <f t="shared" si="1"/>
        <v>5</v>
      </c>
      <c r="T27" s="5">
        <f t="shared" si="7"/>
        <v>2401</v>
      </c>
      <c r="U27" s="3">
        <f t="shared" si="4"/>
        <v>0.34403209628886661</v>
      </c>
      <c r="V27" s="4">
        <f t="shared" si="2"/>
        <v>0</v>
      </c>
      <c r="W27" s="5">
        <f t="shared" si="8"/>
        <v>304</v>
      </c>
      <c r="X27" s="3" t="e">
        <f t="shared" si="5"/>
        <v>#N/A</v>
      </c>
    </row>
    <row r="28" spans="2:24" ht="18">
      <c r="B28" s="41">
        <v>17</v>
      </c>
      <c r="C28" s="41">
        <v>42</v>
      </c>
      <c r="D28" s="41">
        <v>2</v>
      </c>
      <c r="E28" s="41">
        <v>4</v>
      </c>
      <c r="F28" s="41">
        <v>3</v>
      </c>
      <c r="G28" s="46">
        <v>1</v>
      </c>
      <c r="M28" s="21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6"/>
        <v>4274</v>
      </c>
      <c r="R28" s="3" t="e">
        <f t="shared" si="3"/>
        <v>#N/A</v>
      </c>
      <c r="S28" s="4">
        <f t="shared" si="1"/>
        <v>0</v>
      </c>
      <c r="T28" s="5">
        <f t="shared" si="7"/>
        <v>2401</v>
      </c>
      <c r="U28" s="3" t="e">
        <f t="shared" si="4"/>
        <v>#N/A</v>
      </c>
      <c r="V28" s="4">
        <f t="shared" si="2"/>
        <v>0</v>
      </c>
      <c r="W28" s="5">
        <f t="shared" si="8"/>
        <v>304</v>
      </c>
      <c r="X28" s="3" t="e">
        <f t="shared" si="5"/>
        <v>#N/A</v>
      </c>
    </row>
    <row r="29" spans="2:24" ht="18.75" thickBot="1">
      <c r="B29" s="41">
        <v>17</v>
      </c>
      <c r="C29" s="41">
        <v>46</v>
      </c>
      <c r="D29" s="41">
        <v>1</v>
      </c>
      <c r="E29" s="41">
        <v>6</v>
      </c>
      <c r="F29" s="41">
        <v>5</v>
      </c>
      <c r="G29" s="46">
        <v>1</v>
      </c>
      <c r="M29" s="21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6"/>
        <v>4274</v>
      </c>
      <c r="R29" s="9" t="e">
        <f t="shared" si="3"/>
        <v>#N/A</v>
      </c>
      <c r="S29" s="7">
        <f t="shared" si="1"/>
        <v>0</v>
      </c>
      <c r="T29" s="8">
        <f t="shared" si="7"/>
        <v>2401</v>
      </c>
      <c r="U29" s="9" t="e">
        <f t="shared" si="4"/>
        <v>#N/A</v>
      </c>
      <c r="V29" s="7">
        <f t="shared" si="2"/>
        <v>0</v>
      </c>
      <c r="W29" s="8">
        <f t="shared" si="8"/>
        <v>304</v>
      </c>
      <c r="X29" s="9" t="e">
        <f t="shared" si="5"/>
        <v>#N/A</v>
      </c>
    </row>
    <row r="30" spans="2:24" ht="18">
      <c r="B30" s="41">
        <v>17</v>
      </c>
      <c r="C30" s="41">
        <v>38</v>
      </c>
      <c r="D30" s="41">
        <v>1</v>
      </c>
      <c r="E30" s="41">
        <v>21</v>
      </c>
      <c r="F30" s="41">
        <v>14</v>
      </c>
      <c r="G30" s="46">
        <v>0</v>
      </c>
      <c r="M30" s="21">
        <v>1</v>
      </c>
    </row>
    <row r="31" spans="2:24" ht="18">
      <c r="B31" s="41">
        <v>17</v>
      </c>
      <c r="C31" s="41">
        <v>37</v>
      </c>
      <c r="D31" s="41">
        <v>1</v>
      </c>
      <c r="E31" s="41">
        <v>8</v>
      </c>
      <c r="F31" s="41">
        <v>8</v>
      </c>
      <c r="G31" s="46">
        <v>0</v>
      </c>
      <c r="M31" s="21">
        <v>1</v>
      </c>
    </row>
    <row r="32" spans="2:24" ht="18">
      <c r="B32" s="41">
        <v>17</v>
      </c>
      <c r="C32" s="41">
        <v>35</v>
      </c>
      <c r="D32" s="41">
        <v>1</v>
      </c>
      <c r="E32" s="41">
        <v>5</v>
      </c>
      <c r="F32" s="41">
        <v>5</v>
      </c>
      <c r="G32" s="46">
        <v>0</v>
      </c>
      <c r="M32" s="21">
        <v>1</v>
      </c>
      <c r="O32" s="21">
        <v>29</v>
      </c>
    </row>
    <row r="33" spans="2:15" ht="18">
      <c r="B33" s="41">
        <v>17</v>
      </c>
      <c r="C33" s="41">
        <v>42</v>
      </c>
      <c r="D33" s="41">
        <v>1</v>
      </c>
      <c r="E33" s="41">
        <v>5</v>
      </c>
      <c r="F33" s="41">
        <v>5</v>
      </c>
      <c r="G33" s="46">
        <v>0</v>
      </c>
      <c r="M33" s="21">
        <v>1</v>
      </c>
      <c r="O33" s="21">
        <v>30</v>
      </c>
    </row>
    <row r="34" spans="2:15" ht="18">
      <c r="B34" s="41">
        <v>17</v>
      </c>
      <c r="C34" s="41">
        <v>36</v>
      </c>
      <c r="D34" s="41">
        <v>2</v>
      </c>
      <c r="E34" s="41">
        <v>16</v>
      </c>
      <c r="F34" s="41">
        <v>3</v>
      </c>
      <c r="G34" s="46">
        <v>0</v>
      </c>
      <c r="M34" s="21">
        <v>1</v>
      </c>
      <c r="O34" s="21">
        <v>31</v>
      </c>
    </row>
    <row r="35" spans="2:15" ht="18">
      <c r="B35" s="41">
        <v>17</v>
      </c>
      <c r="C35" s="41">
        <v>48</v>
      </c>
      <c r="D35" s="41">
        <v>5</v>
      </c>
      <c r="E35" s="41">
        <v>6</v>
      </c>
      <c r="F35" s="41">
        <v>5</v>
      </c>
      <c r="G35" s="46">
        <v>0</v>
      </c>
      <c r="M35" s="21">
        <v>1</v>
      </c>
      <c r="O35" s="21">
        <v>32</v>
      </c>
    </row>
    <row r="36" spans="2:15" ht="18">
      <c r="B36" s="41">
        <v>17</v>
      </c>
      <c r="C36" s="41">
        <v>48</v>
      </c>
      <c r="D36" s="41">
        <v>4</v>
      </c>
      <c r="E36" s="41">
        <v>5</v>
      </c>
      <c r="F36" s="41">
        <v>2</v>
      </c>
      <c r="G36" s="46">
        <v>1</v>
      </c>
      <c r="M36" s="21">
        <v>1</v>
      </c>
      <c r="O36" s="21">
        <v>33</v>
      </c>
    </row>
    <row r="37" spans="2:15" ht="18">
      <c r="B37" s="41">
        <v>17</v>
      </c>
      <c r="C37" s="41">
        <v>48</v>
      </c>
      <c r="D37" s="41">
        <v>3</v>
      </c>
      <c r="E37" s="41">
        <v>0</v>
      </c>
      <c r="F37" s="41">
        <v>1</v>
      </c>
      <c r="G37" s="46">
        <v>0</v>
      </c>
      <c r="M37" s="21">
        <v>1</v>
      </c>
      <c r="O37" s="21">
        <v>34</v>
      </c>
    </row>
    <row r="38" spans="2:15" ht="18">
      <c r="B38" s="41">
        <v>17</v>
      </c>
      <c r="C38" s="41">
        <v>48</v>
      </c>
      <c r="D38" s="41">
        <v>2</v>
      </c>
      <c r="E38" s="41">
        <v>6</v>
      </c>
      <c r="F38" s="41">
        <v>2</v>
      </c>
      <c r="G38" s="46">
        <v>0</v>
      </c>
      <c r="M38" s="21">
        <v>1</v>
      </c>
      <c r="O38" s="21">
        <v>35</v>
      </c>
    </row>
    <row r="39" spans="2:15" ht="18">
      <c r="B39" s="41">
        <v>17</v>
      </c>
      <c r="C39" s="41">
        <v>45</v>
      </c>
      <c r="D39" s="41">
        <v>2</v>
      </c>
      <c r="E39" s="41">
        <v>12</v>
      </c>
      <c r="F39" s="41">
        <v>7</v>
      </c>
      <c r="G39" s="46">
        <v>4</v>
      </c>
      <c r="M39" s="21">
        <v>1</v>
      </c>
      <c r="O39" s="21">
        <v>36</v>
      </c>
    </row>
    <row r="40" spans="2:15" ht="18">
      <c r="B40" s="41">
        <v>17</v>
      </c>
      <c r="C40" s="41">
        <v>44</v>
      </c>
      <c r="D40" s="41">
        <v>1</v>
      </c>
      <c r="E40" s="41">
        <v>16</v>
      </c>
      <c r="F40" s="41">
        <v>4</v>
      </c>
      <c r="G40" s="46">
        <v>0</v>
      </c>
      <c r="M40" s="21">
        <v>1</v>
      </c>
      <c r="O40" s="21">
        <v>37</v>
      </c>
    </row>
    <row r="41" spans="2:15" ht="18">
      <c r="B41" s="41">
        <v>17</v>
      </c>
      <c r="C41" s="41">
        <v>45</v>
      </c>
      <c r="D41" s="41">
        <v>3</v>
      </c>
      <c r="E41" s="41">
        <v>14</v>
      </c>
      <c r="F41" s="41">
        <v>13</v>
      </c>
      <c r="G41" s="46">
        <v>0</v>
      </c>
      <c r="M41" s="21">
        <v>1</v>
      </c>
      <c r="O41" s="21">
        <v>38</v>
      </c>
    </row>
    <row r="42" spans="2:15" ht="18">
      <c r="B42" s="41">
        <v>17</v>
      </c>
      <c r="C42" s="41">
        <v>45</v>
      </c>
      <c r="D42" s="41">
        <v>4</v>
      </c>
      <c r="E42" s="41">
        <v>24</v>
      </c>
      <c r="F42" s="41">
        <v>1</v>
      </c>
      <c r="G42" s="46">
        <v>0</v>
      </c>
      <c r="M42" s="21">
        <v>1</v>
      </c>
      <c r="O42" s="21">
        <v>39</v>
      </c>
    </row>
    <row r="43" spans="2:15" ht="18">
      <c r="B43" s="41">
        <v>17</v>
      </c>
      <c r="C43" s="41">
        <v>43</v>
      </c>
      <c r="D43" s="41">
        <v>3</v>
      </c>
      <c r="E43" s="41">
        <v>12</v>
      </c>
      <c r="F43" s="41">
        <v>35</v>
      </c>
      <c r="G43" s="46">
        <v>0</v>
      </c>
      <c r="M43" s="21">
        <v>1</v>
      </c>
      <c r="O43" s="21">
        <v>40</v>
      </c>
    </row>
    <row r="44" spans="2:15" ht="18">
      <c r="B44" s="41">
        <v>17</v>
      </c>
      <c r="C44" s="41">
        <v>50</v>
      </c>
      <c r="D44" s="41">
        <v>4</v>
      </c>
      <c r="E44" s="41">
        <v>25</v>
      </c>
      <c r="F44" s="41">
        <v>0</v>
      </c>
      <c r="G44" s="46">
        <v>0</v>
      </c>
      <c r="M44" s="21">
        <v>1</v>
      </c>
      <c r="O44" s="21">
        <v>41</v>
      </c>
    </row>
    <row r="45" spans="2:15" ht="18">
      <c r="B45" s="41">
        <v>17</v>
      </c>
      <c r="C45" s="41">
        <v>50</v>
      </c>
      <c r="D45" s="41">
        <v>5</v>
      </c>
      <c r="E45" s="41">
        <v>17</v>
      </c>
      <c r="F45" s="41">
        <v>8</v>
      </c>
      <c r="G45" s="46">
        <v>0</v>
      </c>
      <c r="M45" s="21">
        <v>1</v>
      </c>
      <c r="O45" s="21">
        <v>42</v>
      </c>
    </row>
    <row r="46" spans="2:15" ht="18">
      <c r="B46" s="41">
        <v>17</v>
      </c>
      <c r="C46" s="41">
        <v>36</v>
      </c>
      <c r="D46" s="41">
        <v>5</v>
      </c>
      <c r="E46" s="41">
        <v>4</v>
      </c>
      <c r="F46" s="41">
        <v>1</v>
      </c>
      <c r="G46" s="46">
        <v>0</v>
      </c>
      <c r="M46" s="21">
        <v>1</v>
      </c>
      <c r="O46" s="21">
        <v>43</v>
      </c>
    </row>
    <row r="47" spans="2:15" ht="18">
      <c r="B47" s="41">
        <v>17</v>
      </c>
      <c r="C47" s="41">
        <v>36</v>
      </c>
      <c r="D47" s="41">
        <v>4</v>
      </c>
      <c r="E47" s="41">
        <v>11</v>
      </c>
      <c r="F47" s="41">
        <v>7</v>
      </c>
      <c r="G47" s="46">
        <v>1</v>
      </c>
      <c r="M47" s="21">
        <v>1</v>
      </c>
      <c r="O47" s="21">
        <v>44</v>
      </c>
    </row>
    <row r="48" spans="2:15" ht="18">
      <c r="B48" s="41">
        <v>17</v>
      </c>
      <c r="C48" s="41">
        <v>42</v>
      </c>
      <c r="D48" s="41">
        <v>3</v>
      </c>
      <c r="E48" s="41">
        <v>9</v>
      </c>
      <c r="F48" s="41">
        <v>0</v>
      </c>
      <c r="G48" s="46">
        <v>0</v>
      </c>
      <c r="M48" s="21">
        <v>1</v>
      </c>
      <c r="O48" s="21">
        <v>45</v>
      </c>
    </row>
    <row r="49" spans="2:15" ht="18">
      <c r="B49" s="41">
        <v>17</v>
      </c>
      <c r="C49" s="41">
        <v>42</v>
      </c>
      <c r="D49" s="41">
        <v>4</v>
      </c>
      <c r="E49" s="41">
        <v>5</v>
      </c>
      <c r="F49" s="41">
        <v>5</v>
      </c>
      <c r="G49" s="46">
        <v>0</v>
      </c>
      <c r="M49" s="21">
        <v>1</v>
      </c>
      <c r="O49" s="21">
        <v>46</v>
      </c>
    </row>
    <row r="50" spans="2:15" ht="18">
      <c r="B50" s="41">
        <v>17</v>
      </c>
      <c r="C50" s="41">
        <v>42</v>
      </c>
      <c r="D50" s="41">
        <v>5</v>
      </c>
      <c r="E50" s="41">
        <v>4</v>
      </c>
      <c r="F50" s="41">
        <v>3</v>
      </c>
      <c r="G50" s="46">
        <v>2</v>
      </c>
      <c r="M50" s="21">
        <v>1</v>
      </c>
      <c r="O50" s="21">
        <v>47</v>
      </c>
    </row>
    <row r="51" spans="2:15" ht="18">
      <c r="B51" s="41">
        <v>17</v>
      </c>
      <c r="C51" s="41">
        <v>42</v>
      </c>
      <c r="D51" s="41">
        <v>6</v>
      </c>
      <c r="E51" s="41">
        <v>7</v>
      </c>
      <c r="F51" s="41">
        <v>2</v>
      </c>
      <c r="G51" s="46">
        <v>0</v>
      </c>
      <c r="M51" s="21">
        <v>1</v>
      </c>
      <c r="O51" s="21">
        <v>48</v>
      </c>
    </row>
    <row r="52" spans="2:15" ht="18">
      <c r="B52" s="41">
        <v>17</v>
      </c>
      <c r="C52" s="41">
        <v>39</v>
      </c>
      <c r="D52" s="41">
        <v>2</v>
      </c>
      <c r="E52" s="41">
        <v>12</v>
      </c>
      <c r="F52" s="41">
        <v>5</v>
      </c>
      <c r="G52" s="46">
        <v>0</v>
      </c>
      <c r="M52" s="21">
        <v>1</v>
      </c>
      <c r="O52" s="21">
        <v>49</v>
      </c>
    </row>
    <row r="53" spans="2:15" ht="18">
      <c r="B53" s="41">
        <v>17</v>
      </c>
      <c r="C53" s="41">
        <v>39</v>
      </c>
      <c r="D53" s="41">
        <v>3</v>
      </c>
      <c r="E53" s="41">
        <v>15</v>
      </c>
      <c r="F53" s="41">
        <v>5</v>
      </c>
      <c r="G53" s="46">
        <v>0</v>
      </c>
      <c r="M53" s="21">
        <v>1</v>
      </c>
      <c r="O53" s="21">
        <v>50</v>
      </c>
    </row>
    <row r="54" spans="2:15" ht="18">
      <c r="B54" s="41">
        <v>17</v>
      </c>
      <c r="C54" s="41">
        <v>39</v>
      </c>
      <c r="D54" s="41">
        <v>4</v>
      </c>
      <c r="E54" s="41">
        <v>22</v>
      </c>
      <c r="F54" s="41">
        <v>5</v>
      </c>
      <c r="G54" s="46">
        <v>0</v>
      </c>
      <c r="M54" s="21">
        <v>1</v>
      </c>
    </row>
    <row r="55" spans="2:15" ht="18">
      <c r="B55" s="41">
        <v>17</v>
      </c>
      <c r="C55" s="41">
        <v>39</v>
      </c>
      <c r="D55" s="41">
        <v>5</v>
      </c>
      <c r="E55" s="41">
        <v>20</v>
      </c>
      <c r="F55" s="41">
        <v>8</v>
      </c>
      <c r="G55" s="46">
        <v>0</v>
      </c>
      <c r="M55" s="21">
        <v>1</v>
      </c>
    </row>
    <row r="56" spans="2:15" ht="18">
      <c r="B56" s="41">
        <v>17</v>
      </c>
      <c r="C56" s="41">
        <v>39</v>
      </c>
      <c r="D56" s="41">
        <v>6</v>
      </c>
      <c r="E56" s="41">
        <v>23</v>
      </c>
      <c r="F56" s="41">
        <v>10</v>
      </c>
      <c r="G56" s="46">
        <v>0</v>
      </c>
      <c r="M56" s="21">
        <v>1</v>
      </c>
    </row>
    <row r="57" spans="2:15" ht="18">
      <c r="B57" s="41">
        <v>17</v>
      </c>
      <c r="C57" s="41">
        <v>37</v>
      </c>
      <c r="D57" s="41">
        <v>2</v>
      </c>
      <c r="E57" s="41">
        <v>23</v>
      </c>
      <c r="F57" s="41">
        <v>11</v>
      </c>
      <c r="G57" s="46">
        <v>0</v>
      </c>
      <c r="M57" s="21">
        <v>1</v>
      </c>
    </row>
    <row r="58" spans="2:15" ht="18">
      <c r="B58" s="41">
        <v>17</v>
      </c>
      <c r="C58" s="41">
        <v>32</v>
      </c>
      <c r="D58" s="41">
        <v>4</v>
      </c>
      <c r="E58" s="41">
        <v>12</v>
      </c>
      <c r="F58" s="41">
        <v>10</v>
      </c>
      <c r="G58" s="46">
        <v>1</v>
      </c>
      <c r="M58" s="21">
        <v>1</v>
      </c>
    </row>
    <row r="59" spans="2:15" ht="18">
      <c r="B59" s="41">
        <v>17</v>
      </c>
      <c r="C59" s="41">
        <v>32</v>
      </c>
      <c r="D59" s="41">
        <v>5</v>
      </c>
      <c r="E59" s="41">
        <v>17</v>
      </c>
      <c r="F59" s="41">
        <v>1</v>
      </c>
      <c r="G59" s="46">
        <v>5</v>
      </c>
      <c r="M59" s="21">
        <v>1</v>
      </c>
    </row>
    <row r="60" spans="2:15" ht="18">
      <c r="B60" s="41">
        <v>17</v>
      </c>
      <c r="C60" s="41">
        <v>32</v>
      </c>
      <c r="D60" s="41">
        <v>6</v>
      </c>
      <c r="E60" s="41">
        <v>17</v>
      </c>
      <c r="F60" s="41">
        <v>2</v>
      </c>
      <c r="G60" s="46">
        <v>6</v>
      </c>
      <c r="M60" s="21">
        <v>1</v>
      </c>
    </row>
    <row r="61" spans="2:15" ht="18">
      <c r="B61" s="41">
        <v>17</v>
      </c>
      <c r="C61" s="41">
        <v>32</v>
      </c>
      <c r="D61" s="41">
        <v>7</v>
      </c>
      <c r="E61" s="41">
        <v>15</v>
      </c>
      <c r="F61" s="41">
        <v>5</v>
      </c>
      <c r="G61" s="46">
        <v>4</v>
      </c>
      <c r="M61" s="21">
        <v>1</v>
      </c>
    </row>
    <row r="62" spans="2:15" ht="18">
      <c r="B62" s="41">
        <v>17</v>
      </c>
      <c r="C62" s="41">
        <v>50</v>
      </c>
      <c r="D62" s="41">
        <v>6</v>
      </c>
      <c r="E62" s="41">
        <v>15</v>
      </c>
      <c r="F62" s="41">
        <v>10</v>
      </c>
      <c r="G62" s="46">
        <v>0</v>
      </c>
      <c r="M62" s="21">
        <v>1</v>
      </c>
    </row>
    <row r="63" spans="2:15" ht="18">
      <c r="B63" s="41">
        <v>17</v>
      </c>
      <c r="C63" s="41">
        <v>36</v>
      </c>
      <c r="D63" s="41">
        <v>6</v>
      </c>
      <c r="E63" s="41">
        <v>17</v>
      </c>
      <c r="F63" s="41">
        <v>6</v>
      </c>
      <c r="G63" s="46">
        <v>0</v>
      </c>
      <c r="M63" s="21">
        <v>1</v>
      </c>
    </row>
    <row r="64" spans="2:15" ht="18">
      <c r="B64" s="41">
        <v>17</v>
      </c>
      <c r="C64" s="41">
        <v>42</v>
      </c>
      <c r="D64" s="41">
        <v>7</v>
      </c>
      <c r="E64" s="41">
        <v>16</v>
      </c>
      <c r="F64" s="41">
        <v>1</v>
      </c>
      <c r="G64" s="46">
        <v>0</v>
      </c>
      <c r="M64" s="21">
        <v>1</v>
      </c>
    </row>
    <row r="65" spans="2:13" ht="18">
      <c r="B65" s="41">
        <v>17</v>
      </c>
      <c r="C65" s="41">
        <v>50</v>
      </c>
      <c r="D65" s="41">
        <v>7</v>
      </c>
      <c r="E65" s="41">
        <v>21</v>
      </c>
      <c r="F65" s="41">
        <v>4</v>
      </c>
      <c r="G65" s="46">
        <v>0</v>
      </c>
      <c r="M65" s="21">
        <v>1</v>
      </c>
    </row>
    <row r="66" spans="2:13" ht="18">
      <c r="B66" s="41">
        <v>17</v>
      </c>
      <c r="C66" s="41">
        <v>43</v>
      </c>
      <c r="D66" s="41">
        <v>4</v>
      </c>
      <c r="E66" s="41">
        <v>23</v>
      </c>
      <c r="F66" s="41">
        <v>23</v>
      </c>
      <c r="G66" s="46">
        <v>4</v>
      </c>
      <c r="M66" s="21">
        <v>1</v>
      </c>
    </row>
    <row r="67" spans="2:13" ht="18">
      <c r="B67" s="41">
        <v>17</v>
      </c>
      <c r="C67" s="41">
        <v>38</v>
      </c>
      <c r="D67" s="41">
        <v>4</v>
      </c>
      <c r="E67" s="41">
        <v>24</v>
      </c>
      <c r="F67" s="41">
        <v>10</v>
      </c>
      <c r="G67" s="46">
        <v>0</v>
      </c>
      <c r="M67" s="21">
        <v>1</v>
      </c>
    </row>
    <row r="68" spans="2:13" ht="18">
      <c r="B68" s="41">
        <v>17</v>
      </c>
      <c r="C68" s="41">
        <v>38</v>
      </c>
      <c r="D68" s="41">
        <v>2</v>
      </c>
      <c r="E68" s="41">
        <v>25</v>
      </c>
      <c r="F68" s="41">
        <v>13</v>
      </c>
      <c r="G68" s="46">
        <v>0</v>
      </c>
      <c r="M68" s="21">
        <v>1</v>
      </c>
    </row>
    <row r="69" spans="2:13" ht="18">
      <c r="B69" s="41">
        <v>17</v>
      </c>
      <c r="C69" s="41">
        <v>38</v>
      </c>
      <c r="D69" s="41">
        <v>3</v>
      </c>
      <c r="E69" s="41">
        <v>27</v>
      </c>
      <c r="F69" s="41">
        <v>11</v>
      </c>
      <c r="G69" s="46">
        <v>0</v>
      </c>
      <c r="M69" s="21">
        <v>1</v>
      </c>
    </row>
    <row r="70" spans="2:13" ht="18">
      <c r="B70" s="41">
        <v>17</v>
      </c>
      <c r="C70" s="41">
        <v>29</v>
      </c>
      <c r="D70" s="41">
        <v>5</v>
      </c>
      <c r="E70" s="41">
        <v>25</v>
      </c>
      <c r="F70" s="41">
        <v>1</v>
      </c>
      <c r="G70" s="46">
        <v>0</v>
      </c>
      <c r="M70" s="21">
        <v>1</v>
      </c>
    </row>
    <row r="71" spans="2:13" ht="18">
      <c r="B71" s="41">
        <v>17</v>
      </c>
      <c r="C71" s="41">
        <v>29</v>
      </c>
      <c r="D71" s="41">
        <v>6</v>
      </c>
      <c r="E71" s="41">
        <v>24</v>
      </c>
      <c r="F71" s="41">
        <v>0</v>
      </c>
      <c r="G71" s="46">
        <v>0</v>
      </c>
      <c r="M71" s="21">
        <v>1</v>
      </c>
    </row>
    <row r="72" spans="2:13" ht="18">
      <c r="B72" s="41">
        <v>17</v>
      </c>
      <c r="C72" s="41">
        <v>29</v>
      </c>
      <c r="D72" s="41">
        <v>7</v>
      </c>
      <c r="E72" s="41">
        <v>12</v>
      </c>
      <c r="F72" s="41">
        <v>0</v>
      </c>
      <c r="G72" s="46">
        <v>0</v>
      </c>
      <c r="M72" s="21">
        <v>1</v>
      </c>
    </row>
    <row r="73" spans="2:13" ht="18">
      <c r="B73" s="41">
        <v>17</v>
      </c>
      <c r="C73" s="41">
        <v>45</v>
      </c>
      <c r="D73" s="41">
        <v>1</v>
      </c>
      <c r="E73" s="41">
        <v>51</v>
      </c>
      <c r="F73" s="41">
        <v>53</v>
      </c>
      <c r="G73" s="46">
        <v>1</v>
      </c>
      <c r="M73" s="21">
        <v>1</v>
      </c>
    </row>
    <row r="74" spans="2:13" ht="18">
      <c r="B74" s="41">
        <v>17</v>
      </c>
      <c r="C74" s="41">
        <v>46</v>
      </c>
      <c r="D74" s="41">
        <v>7</v>
      </c>
      <c r="E74" s="41">
        <v>25</v>
      </c>
      <c r="F74" s="41">
        <v>6</v>
      </c>
      <c r="G74" s="46">
        <v>2</v>
      </c>
      <c r="M74" s="21">
        <v>1</v>
      </c>
    </row>
    <row r="75" spans="2:13" ht="18">
      <c r="B75" s="41">
        <v>17</v>
      </c>
      <c r="C75" s="41">
        <v>46</v>
      </c>
      <c r="D75" s="41">
        <v>6</v>
      </c>
      <c r="E75" s="41">
        <v>20</v>
      </c>
      <c r="F75" s="41">
        <v>17</v>
      </c>
      <c r="G75" s="46">
        <v>14</v>
      </c>
      <c r="M75" s="21">
        <v>1</v>
      </c>
    </row>
    <row r="76" spans="2:13" ht="18">
      <c r="B76" s="41">
        <v>17</v>
      </c>
      <c r="C76" s="41">
        <v>31</v>
      </c>
      <c r="D76" s="41">
        <v>1</v>
      </c>
      <c r="E76" s="41">
        <v>18</v>
      </c>
      <c r="F76" s="41">
        <v>7</v>
      </c>
      <c r="G76" s="46">
        <v>0</v>
      </c>
      <c r="M76" s="21">
        <v>1</v>
      </c>
    </row>
    <row r="77" spans="2:13" ht="18">
      <c r="B77" s="41">
        <v>17</v>
      </c>
      <c r="C77" s="41">
        <v>31</v>
      </c>
      <c r="D77" s="41">
        <v>2</v>
      </c>
      <c r="E77" s="41">
        <v>16</v>
      </c>
      <c r="F77" s="41">
        <v>9</v>
      </c>
      <c r="G77" s="46">
        <v>0</v>
      </c>
      <c r="M77" s="21">
        <v>1</v>
      </c>
    </row>
    <row r="78" spans="2:13" ht="18">
      <c r="B78" s="41">
        <v>17</v>
      </c>
      <c r="C78" s="41">
        <v>31</v>
      </c>
      <c r="D78" s="41">
        <v>3</v>
      </c>
      <c r="E78" s="41">
        <v>19</v>
      </c>
      <c r="F78" s="41">
        <v>6</v>
      </c>
      <c r="G78" s="46">
        <v>0</v>
      </c>
      <c r="M78" s="21">
        <v>1</v>
      </c>
    </row>
    <row r="79" spans="2:13" ht="18">
      <c r="B79" s="41">
        <v>17</v>
      </c>
      <c r="C79" s="41">
        <v>31</v>
      </c>
      <c r="D79" s="41">
        <v>4</v>
      </c>
      <c r="E79" s="41">
        <v>5</v>
      </c>
      <c r="F79" s="41">
        <v>20</v>
      </c>
      <c r="G79" s="46">
        <v>0</v>
      </c>
      <c r="M79" s="21">
        <v>1</v>
      </c>
    </row>
    <row r="80" spans="2:13" ht="18">
      <c r="B80" s="41">
        <v>17</v>
      </c>
      <c r="C80" s="41">
        <v>31</v>
      </c>
      <c r="D80" s="41">
        <v>5</v>
      </c>
      <c r="E80" s="41">
        <v>18</v>
      </c>
      <c r="F80" s="41">
        <v>7</v>
      </c>
      <c r="G80" s="46">
        <v>0</v>
      </c>
      <c r="M80" s="21">
        <v>1</v>
      </c>
    </row>
    <row r="81" spans="2:13" ht="18">
      <c r="B81" s="41">
        <v>17</v>
      </c>
      <c r="C81" s="41">
        <v>31</v>
      </c>
      <c r="D81" s="41">
        <v>6</v>
      </c>
      <c r="E81" s="41">
        <v>5</v>
      </c>
      <c r="F81" s="41">
        <v>20</v>
      </c>
      <c r="G81" s="46">
        <v>0</v>
      </c>
      <c r="M81" s="21">
        <v>1</v>
      </c>
    </row>
    <row r="82" spans="2:13" ht="18">
      <c r="B82" s="41">
        <v>17</v>
      </c>
      <c r="C82" s="41">
        <v>32</v>
      </c>
      <c r="D82" s="41">
        <v>4</v>
      </c>
      <c r="E82" s="41">
        <v>12</v>
      </c>
      <c r="F82" s="41">
        <v>10</v>
      </c>
      <c r="G82" s="46">
        <v>1</v>
      </c>
      <c r="M82" s="21">
        <v>1</v>
      </c>
    </row>
    <row r="83" spans="2:13" ht="18">
      <c r="B83" s="41">
        <v>17</v>
      </c>
      <c r="C83" s="41">
        <v>32</v>
      </c>
      <c r="D83" s="41">
        <v>5</v>
      </c>
      <c r="E83" s="41">
        <v>17</v>
      </c>
      <c r="F83" s="41">
        <v>1</v>
      </c>
      <c r="G83" s="46">
        <v>5</v>
      </c>
      <c r="M83" s="21">
        <v>1</v>
      </c>
    </row>
    <row r="84" spans="2:13" ht="18">
      <c r="B84" s="41">
        <v>17</v>
      </c>
      <c r="C84" s="41">
        <v>32</v>
      </c>
      <c r="D84" s="41">
        <v>6</v>
      </c>
      <c r="E84" s="41">
        <v>17</v>
      </c>
      <c r="F84" s="41">
        <v>2</v>
      </c>
      <c r="G84" s="46">
        <v>6</v>
      </c>
      <c r="M84" s="21">
        <v>1</v>
      </c>
    </row>
    <row r="85" spans="2:13" ht="18">
      <c r="B85" s="41">
        <v>17</v>
      </c>
      <c r="C85" s="41">
        <v>32</v>
      </c>
      <c r="D85" s="41">
        <v>7</v>
      </c>
      <c r="E85" s="41">
        <v>15</v>
      </c>
      <c r="F85" s="41">
        <v>5</v>
      </c>
      <c r="G85" s="46">
        <v>4</v>
      </c>
      <c r="M85" s="21">
        <v>1</v>
      </c>
    </row>
    <row r="86" spans="2:13" ht="18">
      <c r="B86" s="41">
        <v>17</v>
      </c>
      <c r="C86" s="41">
        <v>32</v>
      </c>
      <c r="D86" s="41">
        <v>8</v>
      </c>
      <c r="E86" s="41">
        <v>12</v>
      </c>
      <c r="F86" s="41">
        <v>7</v>
      </c>
      <c r="G86" s="46">
        <v>5</v>
      </c>
      <c r="M86" s="21">
        <v>1</v>
      </c>
    </row>
    <row r="87" spans="2:13" ht="18">
      <c r="B87" s="41">
        <v>17</v>
      </c>
      <c r="C87" s="41">
        <v>32</v>
      </c>
      <c r="D87" s="41">
        <v>9</v>
      </c>
      <c r="E87" s="41">
        <v>11</v>
      </c>
      <c r="F87" s="41">
        <v>4</v>
      </c>
      <c r="G87" s="46">
        <v>10</v>
      </c>
      <c r="M87" s="21">
        <v>1</v>
      </c>
    </row>
    <row r="88" spans="2:13" ht="18">
      <c r="B88" s="41">
        <v>17</v>
      </c>
      <c r="C88" s="41">
        <v>37</v>
      </c>
      <c r="D88" s="41">
        <v>3</v>
      </c>
      <c r="E88" s="41">
        <v>17</v>
      </c>
      <c r="F88" s="41">
        <v>9</v>
      </c>
      <c r="G88" s="46">
        <v>0</v>
      </c>
      <c r="M88" s="21">
        <v>1</v>
      </c>
    </row>
    <row r="89" spans="2:13" ht="18">
      <c r="B89" s="41">
        <v>17</v>
      </c>
      <c r="C89" s="41">
        <v>37</v>
      </c>
      <c r="D89" s="41">
        <v>4</v>
      </c>
      <c r="E89" s="41">
        <v>18</v>
      </c>
      <c r="F89" s="41">
        <v>15</v>
      </c>
      <c r="G89" s="46">
        <v>0</v>
      </c>
      <c r="M89" s="21">
        <v>1</v>
      </c>
    </row>
    <row r="90" spans="2:13" ht="18">
      <c r="B90" s="41">
        <v>17</v>
      </c>
      <c r="C90" s="41">
        <v>30</v>
      </c>
      <c r="D90" s="41">
        <v>5</v>
      </c>
      <c r="E90" s="41">
        <v>3</v>
      </c>
      <c r="F90" s="41">
        <v>22</v>
      </c>
      <c r="G90" s="46">
        <v>0</v>
      </c>
      <c r="M90" s="21">
        <v>1</v>
      </c>
    </row>
    <row r="91" spans="2:13" ht="18">
      <c r="B91" s="41">
        <v>17</v>
      </c>
      <c r="C91" s="41">
        <v>30</v>
      </c>
      <c r="D91" s="41">
        <v>6</v>
      </c>
      <c r="E91" s="41">
        <v>7</v>
      </c>
      <c r="F91" s="41">
        <v>18</v>
      </c>
      <c r="G91" s="46">
        <v>0</v>
      </c>
      <c r="M91" s="21">
        <v>1</v>
      </c>
    </row>
    <row r="92" spans="2:13" ht="18">
      <c r="B92" s="41">
        <v>17</v>
      </c>
      <c r="C92" s="41">
        <v>30</v>
      </c>
      <c r="D92" s="41">
        <v>7</v>
      </c>
      <c r="E92" s="41">
        <v>6</v>
      </c>
      <c r="F92" s="41">
        <v>19</v>
      </c>
      <c r="G92" s="46">
        <v>0</v>
      </c>
      <c r="M92" s="21">
        <v>1</v>
      </c>
    </row>
    <row r="93" spans="2:13" ht="18">
      <c r="B93" s="41">
        <v>17</v>
      </c>
      <c r="C93" s="41">
        <v>30</v>
      </c>
      <c r="D93" s="41">
        <v>8</v>
      </c>
      <c r="E93" s="41">
        <v>5</v>
      </c>
      <c r="F93" s="41">
        <v>20</v>
      </c>
      <c r="G93" s="46">
        <v>0</v>
      </c>
      <c r="M93" s="21">
        <v>1</v>
      </c>
    </row>
    <row r="94" spans="2:13" ht="18">
      <c r="B94" s="41">
        <v>17</v>
      </c>
      <c r="C94" s="41">
        <v>29</v>
      </c>
      <c r="D94" s="41">
        <v>1</v>
      </c>
      <c r="E94" s="41">
        <v>18</v>
      </c>
      <c r="F94" s="41">
        <v>7</v>
      </c>
      <c r="G94" s="46">
        <v>0</v>
      </c>
      <c r="M94" s="21">
        <v>1</v>
      </c>
    </row>
    <row r="95" spans="2:13" ht="18">
      <c r="B95" s="41">
        <v>17</v>
      </c>
      <c r="C95" s="41">
        <v>36</v>
      </c>
      <c r="D95" s="41">
        <v>8</v>
      </c>
      <c r="E95" s="41">
        <v>13</v>
      </c>
      <c r="F95" s="41">
        <v>8</v>
      </c>
      <c r="G95" s="46">
        <v>0</v>
      </c>
      <c r="M95" s="21">
        <v>1</v>
      </c>
    </row>
    <row r="96" spans="2:13" ht="18">
      <c r="B96" s="41">
        <v>17</v>
      </c>
      <c r="C96" s="41">
        <v>29</v>
      </c>
      <c r="D96" s="41">
        <v>2</v>
      </c>
      <c r="E96" s="41">
        <v>15</v>
      </c>
      <c r="F96" s="41">
        <v>10</v>
      </c>
      <c r="G96" s="46">
        <v>0</v>
      </c>
      <c r="M96" s="21">
        <v>1</v>
      </c>
    </row>
    <row r="97" spans="2:13" ht="18">
      <c r="B97" s="41">
        <v>17</v>
      </c>
      <c r="C97" s="41">
        <v>29</v>
      </c>
      <c r="D97" s="41">
        <v>3</v>
      </c>
      <c r="E97" s="41">
        <v>20</v>
      </c>
      <c r="F97" s="41">
        <v>5</v>
      </c>
      <c r="G97" s="46">
        <v>0</v>
      </c>
      <c r="M97" s="21">
        <v>1</v>
      </c>
    </row>
    <row r="98" spans="2:13" ht="18">
      <c r="B98" s="41">
        <v>17</v>
      </c>
      <c r="C98" s="41">
        <v>29</v>
      </c>
      <c r="D98" s="41">
        <v>4</v>
      </c>
      <c r="E98" s="41">
        <v>17</v>
      </c>
      <c r="F98" s="41">
        <v>8</v>
      </c>
      <c r="G98" s="46">
        <v>0</v>
      </c>
      <c r="M98" s="21">
        <v>1</v>
      </c>
    </row>
    <row r="99" spans="2:13" ht="18">
      <c r="B99" s="41">
        <v>17</v>
      </c>
      <c r="C99" s="41">
        <v>29</v>
      </c>
      <c r="D99" s="41">
        <v>5</v>
      </c>
      <c r="E99" s="41">
        <v>12</v>
      </c>
      <c r="F99" s="41">
        <v>9</v>
      </c>
      <c r="G99" s="46">
        <v>4</v>
      </c>
      <c r="M99" s="21">
        <v>1</v>
      </c>
    </row>
    <row r="100" spans="2:13" ht="18">
      <c r="B100" s="41">
        <v>17</v>
      </c>
      <c r="C100" s="41">
        <v>29</v>
      </c>
      <c r="D100" s="41">
        <v>6</v>
      </c>
      <c r="E100" s="41">
        <v>15</v>
      </c>
      <c r="F100" s="41">
        <v>10</v>
      </c>
      <c r="G100" s="46">
        <v>7</v>
      </c>
      <c r="M100" s="21">
        <v>1</v>
      </c>
    </row>
    <row r="101" spans="2:13" ht="18">
      <c r="B101" s="41">
        <v>17</v>
      </c>
      <c r="C101" s="41">
        <v>29</v>
      </c>
      <c r="D101" s="41">
        <v>7</v>
      </c>
      <c r="E101" s="41">
        <v>10</v>
      </c>
      <c r="F101" s="41">
        <v>10</v>
      </c>
      <c r="G101" s="46">
        <v>5</v>
      </c>
      <c r="M101" s="21">
        <v>1</v>
      </c>
    </row>
    <row r="102" spans="2:13" ht="18">
      <c r="B102" s="41">
        <v>17</v>
      </c>
      <c r="C102" s="41">
        <v>29</v>
      </c>
      <c r="D102" s="41">
        <v>8</v>
      </c>
      <c r="E102" s="41">
        <v>14</v>
      </c>
      <c r="F102" s="41">
        <v>11</v>
      </c>
      <c r="G102" s="46">
        <v>10</v>
      </c>
      <c r="M102" s="21">
        <v>1</v>
      </c>
    </row>
    <row r="103" spans="2:13" ht="18">
      <c r="B103" s="41">
        <v>17</v>
      </c>
      <c r="C103" s="41">
        <v>30</v>
      </c>
      <c r="D103" s="41">
        <v>1</v>
      </c>
      <c r="E103" s="41">
        <v>12</v>
      </c>
      <c r="F103" s="41">
        <v>7</v>
      </c>
      <c r="G103" s="46">
        <v>4</v>
      </c>
      <c r="M103" s="21">
        <v>1</v>
      </c>
    </row>
    <row r="104" spans="2:13" ht="18">
      <c r="B104" s="41">
        <v>17</v>
      </c>
      <c r="C104" s="41">
        <v>30</v>
      </c>
      <c r="D104" s="41">
        <v>2</v>
      </c>
      <c r="E104" s="41">
        <v>14</v>
      </c>
      <c r="F104" s="41">
        <v>13</v>
      </c>
      <c r="G104" s="46">
        <v>0</v>
      </c>
      <c r="M104" s="21">
        <v>1</v>
      </c>
    </row>
    <row r="105" spans="2:13" ht="18">
      <c r="B105" s="41">
        <v>17</v>
      </c>
      <c r="C105" s="41">
        <v>30</v>
      </c>
      <c r="D105" s="41">
        <v>3</v>
      </c>
      <c r="E105" s="41">
        <v>14</v>
      </c>
      <c r="F105" s="41">
        <v>13</v>
      </c>
      <c r="G105" s="46">
        <v>0</v>
      </c>
      <c r="M105" s="21">
        <v>1</v>
      </c>
    </row>
    <row r="106" spans="2:13" ht="18">
      <c r="B106" s="41">
        <v>17</v>
      </c>
      <c r="C106" s="41">
        <v>30</v>
      </c>
      <c r="D106" s="41">
        <v>4</v>
      </c>
      <c r="E106" s="41">
        <v>24</v>
      </c>
      <c r="F106" s="41">
        <v>1</v>
      </c>
      <c r="G106" s="46">
        <v>0</v>
      </c>
      <c r="M106" s="21">
        <v>1</v>
      </c>
    </row>
    <row r="107" spans="2:13" ht="18">
      <c r="B107" s="41">
        <v>17</v>
      </c>
      <c r="C107" s="41">
        <v>30</v>
      </c>
      <c r="D107" s="41">
        <v>5</v>
      </c>
      <c r="E107" s="41">
        <v>3</v>
      </c>
      <c r="F107" s="41">
        <v>22</v>
      </c>
      <c r="G107" s="46">
        <v>0</v>
      </c>
      <c r="M107" s="21">
        <v>1</v>
      </c>
    </row>
    <row r="108" spans="2:13" ht="18">
      <c r="B108" s="41">
        <v>17</v>
      </c>
      <c r="C108" s="41">
        <v>30</v>
      </c>
      <c r="D108" s="41">
        <v>6</v>
      </c>
      <c r="E108" s="41">
        <v>7</v>
      </c>
      <c r="F108" s="41">
        <v>18</v>
      </c>
      <c r="G108" s="46">
        <v>0</v>
      </c>
      <c r="M108" s="21">
        <v>1</v>
      </c>
    </row>
    <row r="109" spans="2:13" ht="18">
      <c r="B109" s="41">
        <v>17</v>
      </c>
      <c r="C109" s="41">
        <v>30</v>
      </c>
      <c r="D109" s="41">
        <v>7</v>
      </c>
      <c r="E109" s="41">
        <v>6</v>
      </c>
      <c r="F109" s="41">
        <v>19</v>
      </c>
      <c r="G109" s="46">
        <v>0</v>
      </c>
      <c r="M109" s="21">
        <v>1</v>
      </c>
    </row>
    <row r="110" spans="2:13" ht="18">
      <c r="B110" s="41">
        <v>17</v>
      </c>
      <c r="C110" s="41">
        <v>30</v>
      </c>
      <c r="D110" s="41">
        <v>8</v>
      </c>
      <c r="E110" s="41">
        <v>5</v>
      </c>
      <c r="F110" s="41">
        <v>20</v>
      </c>
      <c r="G110" s="46">
        <v>0</v>
      </c>
      <c r="M110" s="21">
        <v>1</v>
      </c>
    </row>
    <row r="111" spans="2:13" ht="18">
      <c r="B111" s="41">
        <v>17</v>
      </c>
      <c r="C111" s="41">
        <v>44</v>
      </c>
      <c r="D111" s="41">
        <v>8</v>
      </c>
      <c r="E111" s="41">
        <v>21</v>
      </c>
      <c r="F111" s="41">
        <v>3</v>
      </c>
      <c r="G111" s="46">
        <v>0</v>
      </c>
      <c r="M111" s="21">
        <v>1</v>
      </c>
    </row>
    <row r="112" spans="2:13" ht="18">
      <c r="B112" s="41">
        <v>17</v>
      </c>
      <c r="C112" s="41">
        <v>44</v>
      </c>
      <c r="D112" s="41">
        <v>6</v>
      </c>
      <c r="E112" s="41">
        <v>14</v>
      </c>
      <c r="F112" s="41">
        <v>2</v>
      </c>
      <c r="G112" s="46">
        <v>3</v>
      </c>
      <c r="M112" s="21">
        <v>1</v>
      </c>
    </row>
    <row r="113" spans="2:13" ht="18">
      <c r="B113" s="41">
        <v>17</v>
      </c>
      <c r="C113" s="41">
        <v>44</v>
      </c>
      <c r="D113" s="41">
        <v>4</v>
      </c>
      <c r="E113" s="41">
        <v>20</v>
      </c>
      <c r="F113" s="41">
        <v>7</v>
      </c>
      <c r="G113" s="46">
        <v>0</v>
      </c>
      <c r="M113" s="21">
        <v>1</v>
      </c>
    </row>
    <row r="114" spans="2:13" ht="18">
      <c r="B114" s="41">
        <v>17</v>
      </c>
      <c r="C114" s="41">
        <v>44</v>
      </c>
      <c r="D114" s="41">
        <v>3</v>
      </c>
      <c r="E114" s="41">
        <v>22</v>
      </c>
      <c r="F114" s="41">
        <v>3</v>
      </c>
      <c r="G114" s="46">
        <v>0</v>
      </c>
      <c r="M114" s="21">
        <v>1</v>
      </c>
    </row>
    <row r="115" spans="2:13" ht="18">
      <c r="B115" s="41">
        <v>17</v>
      </c>
      <c r="C115" s="41">
        <v>44</v>
      </c>
      <c r="D115" s="41">
        <v>2</v>
      </c>
      <c r="E115" s="41">
        <v>19</v>
      </c>
      <c r="F115" s="41">
        <v>6</v>
      </c>
      <c r="G115" s="46">
        <v>1</v>
      </c>
      <c r="M115" s="21">
        <v>1</v>
      </c>
    </row>
    <row r="116" spans="2:13" ht="18">
      <c r="B116" s="41">
        <v>17</v>
      </c>
      <c r="C116" s="41">
        <v>44</v>
      </c>
      <c r="D116" s="41">
        <v>1</v>
      </c>
      <c r="E116" s="41">
        <v>16</v>
      </c>
      <c r="F116" s="41">
        <v>4</v>
      </c>
      <c r="G116" s="46">
        <v>0</v>
      </c>
      <c r="M116" s="21">
        <v>1</v>
      </c>
    </row>
    <row r="117" spans="2:13" ht="18">
      <c r="B117" s="41">
        <v>17</v>
      </c>
      <c r="C117" s="41">
        <v>48</v>
      </c>
      <c r="D117" s="41">
        <v>8</v>
      </c>
      <c r="E117" s="41">
        <v>20</v>
      </c>
      <c r="F117" s="41">
        <v>5</v>
      </c>
      <c r="G117" s="46">
        <v>0</v>
      </c>
      <c r="M117" s="21">
        <v>1</v>
      </c>
    </row>
    <row r="118" spans="2:13" ht="18">
      <c r="B118" s="41">
        <v>17</v>
      </c>
      <c r="C118" s="41">
        <v>48</v>
      </c>
      <c r="D118" s="41">
        <v>9</v>
      </c>
      <c r="E118" s="41">
        <v>15</v>
      </c>
      <c r="F118" s="41">
        <v>3</v>
      </c>
      <c r="G118" s="46">
        <v>0</v>
      </c>
      <c r="M118" s="21">
        <v>1</v>
      </c>
    </row>
    <row r="119" spans="2:13" ht="18">
      <c r="B119" s="41">
        <v>17</v>
      </c>
      <c r="C119" s="41">
        <v>48</v>
      </c>
      <c r="D119" s="41">
        <v>7</v>
      </c>
      <c r="E119" s="41">
        <v>10</v>
      </c>
      <c r="F119" s="41">
        <v>9</v>
      </c>
      <c r="G119" s="46">
        <v>0</v>
      </c>
      <c r="M119" s="21">
        <v>1</v>
      </c>
    </row>
    <row r="120" spans="2:13" ht="18">
      <c r="B120" s="41">
        <v>17</v>
      </c>
      <c r="C120" s="41">
        <v>48</v>
      </c>
      <c r="D120" s="41">
        <v>6</v>
      </c>
      <c r="E120" s="41">
        <v>8</v>
      </c>
      <c r="F120" s="41">
        <v>8</v>
      </c>
      <c r="G120" s="46">
        <v>1</v>
      </c>
      <c r="M120" s="21">
        <v>1</v>
      </c>
    </row>
    <row r="121" spans="2:13" ht="18">
      <c r="B121" s="41">
        <v>17</v>
      </c>
      <c r="C121" s="41">
        <v>38</v>
      </c>
      <c r="D121" s="41">
        <v>5</v>
      </c>
      <c r="E121" s="41">
        <v>30</v>
      </c>
      <c r="F121" s="41">
        <v>16</v>
      </c>
      <c r="G121" s="46">
        <v>0</v>
      </c>
      <c r="M121" s="21">
        <v>1</v>
      </c>
    </row>
    <row r="122" spans="2:13" ht="18">
      <c r="B122" s="41">
        <v>17</v>
      </c>
      <c r="C122" s="41">
        <v>37</v>
      </c>
      <c r="D122" s="41">
        <v>5</v>
      </c>
      <c r="E122" s="41">
        <v>20</v>
      </c>
      <c r="F122" s="41">
        <v>12</v>
      </c>
      <c r="G122" s="46">
        <v>1</v>
      </c>
      <c r="M122" s="21">
        <v>1</v>
      </c>
    </row>
    <row r="123" spans="2:13" ht="18">
      <c r="B123" s="41">
        <v>17</v>
      </c>
      <c r="C123" s="41">
        <v>42</v>
      </c>
      <c r="D123" s="41">
        <v>9</v>
      </c>
      <c r="E123" s="41">
        <v>18</v>
      </c>
      <c r="F123" s="41">
        <v>1</v>
      </c>
      <c r="G123" s="46">
        <v>0</v>
      </c>
      <c r="M123" s="21">
        <v>1</v>
      </c>
    </row>
    <row r="124" spans="2:13" ht="18">
      <c r="B124" s="41">
        <v>17</v>
      </c>
      <c r="C124" s="41">
        <v>42</v>
      </c>
      <c r="D124" s="41">
        <v>8</v>
      </c>
      <c r="E124" s="41">
        <v>7</v>
      </c>
      <c r="F124" s="41">
        <v>1</v>
      </c>
      <c r="G124" s="46">
        <v>0</v>
      </c>
      <c r="M124" s="21">
        <v>1</v>
      </c>
    </row>
    <row r="125" spans="2:13" ht="18">
      <c r="B125" s="41">
        <v>17</v>
      </c>
      <c r="C125" s="41">
        <v>42</v>
      </c>
      <c r="D125" s="41">
        <v>7</v>
      </c>
      <c r="E125" s="41">
        <v>16</v>
      </c>
      <c r="F125" s="41">
        <v>1</v>
      </c>
      <c r="G125" s="46">
        <v>0</v>
      </c>
      <c r="M125" s="21">
        <v>1</v>
      </c>
    </row>
    <row r="126" spans="2:13" ht="18">
      <c r="B126" s="41">
        <v>17</v>
      </c>
      <c r="C126" s="41">
        <v>31</v>
      </c>
      <c r="D126" s="41">
        <v>7</v>
      </c>
      <c r="E126" s="41">
        <v>35</v>
      </c>
      <c r="F126" s="41">
        <v>2</v>
      </c>
      <c r="G126" s="46">
        <v>0</v>
      </c>
      <c r="M126" s="21">
        <v>1</v>
      </c>
    </row>
    <row r="127" spans="2:13" ht="18">
      <c r="B127" s="41">
        <v>17</v>
      </c>
      <c r="C127" s="41">
        <v>31</v>
      </c>
      <c r="D127" s="41">
        <v>8</v>
      </c>
      <c r="E127" s="41">
        <v>21</v>
      </c>
      <c r="F127" s="41">
        <v>3</v>
      </c>
      <c r="G127" s="46">
        <v>1</v>
      </c>
      <c r="M127" s="21">
        <v>1</v>
      </c>
    </row>
    <row r="128" spans="2:13" ht="18">
      <c r="B128" s="41">
        <v>17</v>
      </c>
      <c r="C128" s="41">
        <v>43</v>
      </c>
      <c r="D128" s="41">
        <v>5</v>
      </c>
      <c r="E128" s="41">
        <v>12</v>
      </c>
      <c r="F128" s="41">
        <v>35</v>
      </c>
      <c r="G128" s="46">
        <v>0</v>
      </c>
      <c r="M128" s="21">
        <v>1</v>
      </c>
    </row>
    <row r="129" spans="2:13" ht="18">
      <c r="B129" s="41">
        <v>17</v>
      </c>
      <c r="C129" s="41">
        <v>43</v>
      </c>
      <c r="D129" s="41">
        <v>6</v>
      </c>
      <c r="E129" s="41">
        <v>23</v>
      </c>
      <c r="F129" s="41">
        <v>23</v>
      </c>
      <c r="G129" s="46">
        <v>4</v>
      </c>
      <c r="M129" s="21">
        <v>1</v>
      </c>
    </row>
    <row r="130" spans="2:13" ht="18">
      <c r="B130" s="41">
        <v>17</v>
      </c>
      <c r="C130" s="41">
        <v>43</v>
      </c>
      <c r="D130" s="41">
        <v>7</v>
      </c>
      <c r="E130" s="41">
        <v>20</v>
      </c>
      <c r="F130" s="41">
        <v>30</v>
      </c>
      <c r="G130" s="46">
        <v>0</v>
      </c>
      <c r="M130" s="21">
        <v>1</v>
      </c>
    </row>
    <row r="131" spans="2:13" ht="18">
      <c r="B131" s="41">
        <v>17</v>
      </c>
      <c r="C131" s="41">
        <v>43</v>
      </c>
      <c r="D131" s="41">
        <v>8</v>
      </c>
      <c r="E131" s="41">
        <v>21</v>
      </c>
      <c r="F131" s="41">
        <v>30</v>
      </c>
      <c r="G131" s="46">
        <v>0</v>
      </c>
      <c r="M131" s="21">
        <v>1</v>
      </c>
    </row>
    <row r="132" spans="2:13" ht="18">
      <c r="B132" s="41">
        <v>17</v>
      </c>
      <c r="C132" s="41">
        <v>45</v>
      </c>
      <c r="D132" s="41">
        <v>1</v>
      </c>
      <c r="E132" s="41">
        <v>18</v>
      </c>
      <c r="F132" s="41">
        <v>14</v>
      </c>
      <c r="G132" s="46">
        <v>0</v>
      </c>
      <c r="M132" s="21">
        <v>1</v>
      </c>
    </row>
    <row r="133" spans="2:13" ht="18">
      <c r="B133" s="41">
        <v>17</v>
      </c>
      <c r="C133" s="41">
        <v>45</v>
      </c>
      <c r="D133" s="41">
        <v>2</v>
      </c>
      <c r="E133" s="41">
        <v>25</v>
      </c>
      <c r="F133" s="41">
        <v>29</v>
      </c>
      <c r="G133" s="46">
        <v>0</v>
      </c>
      <c r="M133" s="21">
        <v>1</v>
      </c>
    </row>
    <row r="134" spans="2:13" ht="18">
      <c r="B134" s="41">
        <v>17</v>
      </c>
      <c r="C134" s="41">
        <v>45</v>
      </c>
      <c r="D134" s="41">
        <v>3</v>
      </c>
      <c r="E134" s="41">
        <v>21</v>
      </c>
      <c r="F134" s="41">
        <v>16</v>
      </c>
      <c r="G134" s="46">
        <v>0</v>
      </c>
      <c r="M134" s="21">
        <v>1</v>
      </c>
    </row>
    <row r="135" spans="2:13" ht="18">
      <c r="B135" s="41">
        <v>17</v>
      </c>
      <c r="C135" s="41">
        <v>29</v>
      </c>
      <c r="D135" s="41">
        <v>9</v>
      </c>
      <c r="E135" s="41">
        <v>12</v>
      </c>
      <c r="F135" s="41">
        <v>0</v>
      </c>
      <c r="G135" s="46">
        <v>0</v>
      </c>
      <c r="M135" s="21">
        <v>1</v>
      </c>
    </row>
    <row r="136" spans="2:13" ht="18">
      <c r="B136" s="41">
        <v>17</v>
      </c>
      <c r="C136" s="41">
        <v>36</v>
      </c>
      <c r="D136" s="41">
        <v>8</v>
      </c>
      <c r="E136" s="41">
        <v>13</v>
      </c>
      <c r="F136" s="41">
        <v>8</v>
      </c>
      <c r="G136" s="46">
        <v>0</v>
      </c>
      <c r="M136" s="21">
        <v>1</v>
      </c>
    </row>
    <row r="137" spans="2:13" ht="18">
      <c r="B137" s="41">
        <v>17</v>
      </c>
      <c r="C137" s="41">
        <v>50</v>
      </c>
      <c r="D137" s="41">
        <v>8</v>
      </c>
      <c r="E137" s="41">
        <v>17</v>
      </c>
      <c r="F137" s="41">
        <v>8</v>
      </c>
      <c r="G137" s="46">
        <v>0</v>
      </c>
      <c r="M137" s="21">
        <v>1</v>
      </c>
    </row>
    <row r="138" spans="2:13" ht="18">
      <c r="B138" s="41">
        <v>17</v>
      </c>
      <c r="C138" s="41">
        <v>32</v>
      </c>
      <c r="D138" s="41">
        <v>9</v>
      </c>
      <c r="E138" s="41">
        <v>11</v>
      </c>
      <c r="F138" s="41">
        <v>4</v>
      </c>
      <c r="G138" s="46">
        <v>10</v>
      </c>
      <c r="M138" s="21">
        <v>1</v>
      </c>
    </row>
    <row r="139" spans="2:13" ht="18">
      <c r="B139" s="41">
        <v>17</v>
      </c>
      <c r="C139" s="41">
        <v>36</v>
      </c>
      <c r="D139" s="41">
        <v>9</v>
      </c>
      <c r="E139" s="41">
        <v>10</v>
      </c>
      <c r="F139" s="41">
        <v>13</v>
      </c>
      <c r="G139" s="46">
        <v>0</v>
      </c>
      <c r="M139" s="21">
        <v>1</v>
      </c>
    </row>
    <row r="140" spans="2:13" ht="18">
      <c r="B140" s="41">
        <v>17</v>
      </c>
      <c r="C140" s="41">
        <v>34</v>
      </c>
      <c r="D140" s="41">
        <v>7</v>
      </c>
      <c r="E140" s="41">
        <v>22</v>
      </c>
      <c r="F140" s="41">
        <v>3</v>
      </c>
      <c r="G140" s="46">
        <v>0</v>
      </c>
      <c r="M140" s="21">
        <v>1</v>
      </c>
    </row>
    <row r="141" spans="2:13" ht="18">
      <c r="B141" s="41">
        <v>17</v>
      </c>
      <c r="C141" s="41">
        <v>34</v>
      </c>
      <c r="D141" s="41">
        <v>6</v>
      </c>
      <c r="E141" s="41">
        <v>18</v>
      </c>
      <c r="F141" s="41">
        <v>6</v>
      </c>
      <c r="G141" s="46">
        <v>41</v>
      </c>
      <c r="M141" s="21">
        <v>1</v>
      </c>
    </row>
    <row r="142" spans="2:13" ht="18">
      <c r="B142" s="41">
        <v>17</v>
      </c>
      <c r="C142" s="41">
        <v>34</v>
      </c>
      <c r="D142" s="41">
        <v>4</v>
      </c>
      <c r="E142" s="41">
        <v>19</v>
      </c>
      <c r="F142" s="41">
        <v>96</v>
      </c>
      <c r="G142" s="46">
        <v>0</v>
      </c>
      <c r="M142" s="21">
        <v>1</v>
      </c>
    </row>
    <row r="143" spans="2:13" ht="18">
      <c r="B143" s="41">
        <v>17</v>
      </c>
      <c r="C143" s="41">
        <v>34</v>
      </c>
      <c r="D143" s="41">
        <v>5</v>
      </c>
      <c r="E143" s="41">
        <v>10</v>
      </c>
      <c r="F143" s="41">
        <v>15</v>
      </c>
      <c r="G143" s="46">
        <v>0</v>
      </c>
      <c r="M143" s="21">
        <v>1</v>
      </c>
    </row>
    <row r="144" spans="2:13" ht="18">
      <c r="B144" s="41">
        <v>17</v>
      </c>
      <c r="C144" s="41">
        <v>34</v>
      </c>
      <c r="D144" s="41">
        <v>3</v>
      </c>
      <c r="E144" s="41">
        <v>17</v>
      </c>
      <c r="F144" s="41">
        <v>8</v>
      </c>
      <c r="G144" s="46">
        <v>0</v>
      </c>
      <c r="M144" s="21">
        <v>1</v>
      </c>
    </row>
    <row r="145" spans="2:13" ht="18">
      <c r="B145" s="41">
        <v>17</v>
      </c>
      <c r="C145" s="41">
        <v>34</v>
      </c>
      <c r="D145" s="41">
        <v>2</v>
      </c>
      <c r="E145" s="41">
        <v>14</v>
      </c>
      <c r="F145" s="41">
        <v>11</v>
      </c>
      <c r="G145" s="46">
        <v>0</v>
      </c>
      <c r="M145" s="21">
        <v>1</v>
      </c>
    </row>
    <row r="146" spans="2:13" ht="18">
      <c r="B146" s="41">
        <v>17</v>
      </c>
      <c r="C146" s="41">
        <v>34</v>
      </c>
      <c r="D146" s="41">
        <v>1</v>
      </c>
      <c r="E146" s="41">
        <v>16</v>
      </c>
      <c r="F146" s="41">
        <v>9</v>
      </c>
      <c r="G146" s="46">
        <v>0</v>
      </c>
      <c r="M146" s="21">
        <v>1</v>
      </c>
    </row>
    <row r="147" spans="2:13" ht="18">
      <c r="B147" s="41">
        <v>17</v>
      </c>
      <c r="C147" s="41">
        <v>34</v>
      </c>
      <c r="D147" s="41">
        <v>8</v>
      </c>
      <c r="E147" s="41">
        <v>19</v>
      </c>
      <c r="F147" s="41">
        <v>6</v>
      </c>
      <c r="G147" s="46">
        <v>0</v>
      </c>
      <c r="M147" s="21">
        <v>1</v>
      </c>
    </row>
    <row r="148" spans="2:13" ht="18">
      <c r="B148" s="41">
        <v>17</v>
      </c>
      <c r="C148" s="41">
        <v>34</v>
      </c>
      <c r="D148" s="41">
        <v>9</v>
      </c>
      <c r="E148" s="41">
        <v>16</v>
      </c>
      <c r="F148" s="41">
        <v>9</v>
      </c>
      <c r="G148" s="46">
        <v>0</v>
      </c>
      <c r="M148" s="21">
        <v>1</v>
      </c>
    </row>
    <row r="149" spans="2:13" ht="18">
      <c r="B149" s="41">
        <v>17</v>
      </c>
      <c r="C149" s="41">
        <v>34</v>
      </c>
      <c r="D149" s="41">
        <v>10</v>
      </c>
      <c r="E149" s="41">
        <v>12</v>
      </c>
      <c r="F149" s="41">
        <v>10</v>
      </c>
      <c r="G149" s="46">
        <v>3</v>
      </c>
      <c r="M149" s="21">
        <v>1</v>
      </c>
    </row>
    <row r="150" spans="2:13" ht="18">
      <c r="B150" s="41">
        <v>17</v>
      </c>
      <c r="C150" s="41">
        <v>39</v>
      </c>
      <c r="D150" s="41">
        <v>1</v>
      </c>
      <c r="E150" s="41">
        <v>7</v>
      </c>
      <c r="F150" s="41">
        <v>3</v>
      </c>
      <c r="G150" s="46">
        <v>0</v>
      </c>
      <c r="M150" s="21">
        <v>1</v>
      </c>
    </row>
    <row r="151" spans="2:13" ht="18">
      <c r="B151" s="41">
        <v>17</v>
      </c>
      <c r="C151" s="41">
        <v>39</v>
      </c>
      <c r="D151" s="41">
        <v>11</v>
      </c>
      <c r="E151" s="41">
        <v>24</v>
      </c>
      <c r="F151" s="41">
        <v>5</v>
      </c>
      <c r="G151" s="46">
        <v>0</v>
      </c>
      <c r="M151" s="21">
        <v>1</v>
      </c>
    </row>
    <row r="152" spans="2:13" ht="18">
      <c r="B152" s="41">
        <v>17</v>
      </c>
      <c r="C152" s="41">
        <v>39</v>
      </c>
      <c r="D152" s="41">
        <v>10</v>
      </c>
      <c r="E152" s="41">
        <v>25</v>
      </c>
      <c r="F152" s="41">
        <v>3</v>
      </c>
      <c r="G152" s="46">
        <v>0</v>
      </c>
      <c r="M152" s="21">
        <v>1</v>
      </c>
    </row>
    <row r="153" spans="2:13" ht="18">
      <c r="B153" s="41">
        <v>17</v>
      </c>
      <c r="C153" s="41">
        <v>39</v>
      </c>
      <c r="D153" s="41">
        <v>9</v>
      </c>
      <c r="E153" s="41">
        <v>24</v>
      </c>
      <c r="F153" s="41">
        <v>7</v>
      </c>
      <c r="G153" s="46">
        <v>0</v>
      </c>
      <c r="M153" s="21">
        <v>1</v>
      </c>
    </row>
    <row r="154" spans="2:13" ht="18">
      <c r="B154" s="41">
        <v>17</v>
      </c>
      <c r="C154" s="41">
        <v>39</v>
      </c>
      <c r="D154" s="41">
        <v>8</v>
      </c>
      <c r="E154" s="41">
        <v>25</v>
      </c>
      <c r="F154" s="41">
        <v>14</v>
      </c>
      <c r="G154" s="46">
        <v>0</v>
      </c>
      <c r="M154" s="21">
        <v>1</v>
      </c>
    </row>
    <row r="155" spans="2:13" ht="18">
      <c r="B155" s="41">
        <v>17</v>
      </c>
      <c r="C155" s="41">
        <v>39</v>
      </c>
      <c r="D155" s="41">
        <v>7</v>
      </c>
      <c r="E155" s="41">
        <v>23</v>
      </c>
      <c r="F155" s="41">
        <v>10</v>
      </c>
      <c r="G155" s="46">
        <v>0</v>
      </c>
      <c r="M155" s="21">
        <v>1</v>
      </c>
    </row>
    <row r="156" spans="2:13" ht="18">
      <c r="B156" s="41">
        <v>17</v>
      </c>
      <c r="C156" s="41">
        <v>39</v>
      </c>
      <c r="D156" s="41">
        <v>6</v>
      </c>
      <c r="E156" s="41">
        <v>20</v>
      </c>
      <c r="F156" s="41">
        <v>8</v>
      </c>
      <c r="G156" s="46">
        <v>0</v>
      </c>
      <c r="M156" s="21">
        <v>1</v>
      </c>
    </row>
    <row r="157" spans="2:13" ht="18">
      <c r="B157" s="41">
        <v>17</v>
      </c>
      <c r="C157" s="41">
        <v>39</v>
      </c>
      <c r="D157" s="41">
        <v>6</v>
      </c>
      <c r="E157" s="41">
        <v>20</v>
      </c>
      <c r="F157" s="41">
        <v>8</v>
      </c>
      <c r="G157" s="46">
        <v>0</v>
      </c>
      <c r="M157" s="21">
        <v>1</v>
      </c>
    </row>
    <row r="158" spans="2:13" ht="18">
      <c r="B158" s="41">
        <v>17</v>
      </c>
      <c r="C158" s="41">
        <v>39</v>
      </c>
      <c r="D158" s="41">
        <v>5</v>
      </c>
      <c r="E158" s="41">
        <v>22</v>
      </c>
      <c r="F158" s="41">
        <v>5</v>
      </c>
      <c r="G158" s="46">
        <v>0</v>
      </c>
      <c r="M158" s="21">
        <v>1</v>
      </c>
    </row>
    <row r="159" spans="2:13" ht="18">
      <c r="B159" s="41">
        <v>17</v>
      </c>
      <c r="C159" s="41">
        <v>39</v>
      </c>
      <c r="D159" s="41">
        <v>4</v>
      </c>
      <c r="E159" s="41">
        <v>16</v>
      </c>
      <c r="F159" s="41">
        <v>7</v>
      </c>
      <c r="G159" s="46">
        <v>0</v>
      </c>
      <c r="M159" s="21">
        <v>1</v>
      </c>
    </row>
    <row r="160" spans="2:13" ht="18">
      <c r="B160" s="41">
        <v>17</v>
      </c>
      <c r="C160" s="41">
        <v>39</v>
      </c>
      <c r="D160" s="41">
        <v>3</v>
      </c>
      <c r="E160" s="41">
        <v>15</v>
      </c>
      <c r="F160" s="41">
        <v>2</v>
      </c>
      <c r="G160" s="46">
        <v>0</v>
      </c>
      <c r="M160" s="21">
        <v>1</v>
      </c>
    </row>
    <row r="161" spans="2:13" ht="18">
      <c r="B161" s="41">
        <v>17</v>
      </c>
      <c r="C161" s="41">
        <v>39</v>
      </c>
      <c r="D161" s="41">
        <v>2</v>
      </c>
      <c r="E161" s="41">
        <v>12</v>
      </c>
      <c r="F161" s="41">
        <v>5</v>
      </c>
      <c r="G161" s="46">
        <v>0</v>
      </c>
      <c r="M161" s="21">
        <v>1</v>
      </c>
    </row>
    <row r="162" spans="2:13" ht="18">
      <c r="B162" s="41">
        <v>17</v>
      </c>
      <c r="C162" s="41">
        <v>34</v>
      </c>
      <c r="D162" s="41">
        <v>11</v>
      </c>
      <c r="E162" s="41">
        <v>10</v>
      </c>
      <c r="F162" s="41">
        <v>12</v>
      </c>
      <c r="G162" s="46">
        <v>3</v>
      </c>
      <c r="M162" s="21">
        <v>1</v>
      </c>
    </row>
    <row r="163" spans="2:13" ht="18">
      <c r="B163" s="41">
        <v>17</v>
      </c>
      <c r="C163" s="41">
        <v>42</v>
      </c>
      <c r="D163" s="41">
        <v>10</v>
      </c>
      <c r="E163" s="41">
        <v>2</v>
      </c>
      <c r="F163" s="41">
        <v>3</v>
      </c>
      <c r="G163" s="46">
        <v>0</v>
      </c>
      <c r="M163" s="21">
        <v>1</v>
      </c>
    </row>
    <row r="164" spans="2:13" ht="18">
      <c r="B164" s="41">
        <v>17</v>
      </c>
      <c r="C164" s="41">
        <v>42</v>
      </c>
      <c r="D164" s="41">
        <v>11</v>
      </c>
      <c r="E164" s="41">
        <v>10</v>
      </c>
      <c r="F164" s="41">
        <v>5</v>
      </c>
      <c r="G164" s="46">
        <v>0</v>
      </c>
      <c r="M164" s="21">
        <v>1</v>
      </c>
    </row>
    <row r="165" spans="2:13" ht="18">
      <c r="B165" s="41">
        <v>17</v>
      </c>
      <c r="C165" s="41">
        <v>42</v>
      </c>
      <c r="D165" s="41">
        <v>11</v>
      </c>
      <c r="E165" s="41">
        <v>10</v>
      </c>
      <c r="F165" s="41">
        <v>5</v>
      </c>
      <c r="G165" s="46">
        <v>0</v>
      </c>
      <c r="M165" s="21">
        <v>1</v>
      </c>
    </row>
    <row r="166" spans="2:13" ht="18">
      <c r="B166" s="41">
        <v>17</v>
      </c>
      <c r="C166" s="41">
        <v>42</v>
      </c>
      <c r="D166" s="41">
        <v>12</v>
      </c>
      <c r="E166" s="41">
        <v>4</v>
      </c>
      <c r="F166" s="41">
        <v>3</v>
      </c>
      <c r="G166" s="46">
        <v>0</v>
      </c>
      <c r="M166" s="21">
        <v>1</v>
      </c>
    </row>
    <row r="167" spans="2:13" ht="18">
      <c r="B167" s="41">
        <v>17</v>
      </c>
      <c r="C167" s="41">
        <v>42</v>
      </c>
      <c r="D167" s="41">
        <v>13</v>
      </c>
      <c r="E167" s="41">
        <v>6</v>
      </c>
      <c r="F167" s="41">
        <v>4</v>
      </c>
      <c r="G167" s="46">
        <v>0</v>
      </c>
      <c r="M167" s="21">
        <v>1</v>
      </c>
    </row>
    <row r="168" spans="2:13" ht="18">
      <c r="B168" s="41">
        <v>17</v>
      </c>
      <c r="C168" s="41">
        <v>30</v>
      </c>
      <c r="D168" s="41">
        <v>9</v>
      </c>
      <c r="E168" s="41">
        <v>17</v>
      </c>
      <c r="F168" s="41">
        <v>9</v>
      </c>
      <c r="G168" s="46">
        <v>3</v>
      </c>
      <c r="M168" s="21">
        <v>1</v>
      </c>
    </row>
    <row r="169" spans="2:13" ht="18">
      <c r="B169" s="41">
        <v>17</v>
      </c>
      <c r="C169" s="41">
        <v>30</v>
      </c>
      <c r="D169" s="41">
        <v>10</v>
      </c>
      <c r="E169" s="41">
        <v>14</v>
      </c>
      <c r="F169" s="41">
        <v>15</v>
      </c>
      <c r="G169" s="46">
        <v>2</v>
      </c>
      <c r="M169" s="21">
        <v>1</v>
      </c>
    </row>
    <row r="170" spans="2:13" ht="18">
      <c r="B170" s="41">
        <v>17</v>
      </c>
      <c r="C170" s="41">
        <v>43</v>
      </c>
      <c r="D170" s="41">
        <v>9</v>
      </c>
      <c r="E170" s="41">
        <v>13</v>
      </c>
      <c r="F170" s="41">
        <v>37</v>
      </c>
      <c r="G170" s="46">
        <v>0</v>
      </c>
      <c r="M170" s="21">
        <v>1</v>
      </c>
    </row>
    <row r="171" spans="2:13" ht="18">
      <c r="B171" s="41">
        <v>17</v>
      </c>
      <c r="C171" s="41">
        <v>31</v>
      </c>
      <c r="D171" s="41">
        <v>9</v>
      </c>
      <c r="E171" s="41">
        <v>25</v>
      </c>
      <c r="F171" s="41">
        <v>0</v>
      </c>
      <c r="G171" s="46">
        <v>0</v>
      </c>
      <c r="M171" s="21">
        <v>1</v>
      </c>
    </row>
    <row r="172" spans="2:13" ht="18">
      <c r="B172" s="41">
        <v>17</v>
      </c>
      <c r="C172" s="41">
        <v>36</v>
      </c>
      <c r="D172" s="41">
        <v>10</v>
      </c>
      <c r="E172" s="41">
        <v>7</v>
      </c>
      <c r="F172" s="41">
        <v>2</v>
      </c>
      <c r="G172" s="46">
        <v>0</v>
      </c>
      <c r="M172" s="21">
        <v>1</v>
      </c>
    </row>
    <row r="173" spans="2:13" ht="18">
      <c r="B173" s="41">
        <v>17</v>
      </c>
      <c r="C173" s="41">
        <v>50</v>
      </c>
      <c r="D173" s="41">
        <v>9</v>
      </c>
      <c r="E173" s="41">
        <v>19</v>
      </c>
      <c r="F173" s="41">
        <v>6</v>
      </c>
      <c r="G173" s="46">
        <v>0</v>
      </c>
      <c r="M173" s="21">
        <v>1</v>
      </c>
    </row>
    <row r="174" spans="2:13" ht="18">
      <c r="B174" s="41">
        <v>17</v>
      </c>
      <c r="C174" s="41">
        <v>50</v>
      </c>
      <c r="D174" s="41">
        <v>10</v>
      </c>
      <c r="E174" s="41">
        <v>17</v>
      </c>
      <c r="F174" s="41">
        <v>8</v>
      </c>
      <c r="G174" s="46">
        <v>0</v>
      </c>
      <c r="M174" s="21">
        <v>1</v>
      </c>
    </row>
    <row r="175" spans="2:13" ht="18">
      <c r="B175" s="41">
        <v>17</v>
      </c>
      <c r="C175" s="41">
        <v>37</v>
      </c>
      <c r="D175" s="41">
        <v>6</v>
      </c>
      <c r="E175" s="41">
        <v>23</v>
      </c>
      <c r="F175" s="41">
        <v>15</v>
      </c>
      <c r="G175" s="46">
        <v>0</v>
      </c>
      <c r="M175" s="21">
        <v>1</v>
      </c>
    </row>
    <row r="176" spans="2:13" ht="18">
      <c r="B176" s="41">
        <v>17</v>
      </c>
      <c r="C176" s="41">
        <v>37</v>
      </c>
      <c r="D176" s="41">
        <v>7</v>
      </c>
      <c r="E176" s="41">
        <v>22</v>
      </c>
      <c r="F176" s="41">
        <v>18</v>
      </c>
      <c r="G176" s="46">
        <v>0</v>
      </c>
      <c r="M176" s="21">
        <v>1</v>
      </c>
    </row>
    <row r="177" spans="2:13" ht="18">
      <c r="B177" s="41">
        <v>17</v>
      </c>
      <c r="C177" s="41">
        <v>37</v>
      </c>
      <c r="D177" s="41">
        <v>8</v>
      </c>
      <c r="E177" s="41">
        <v>10</v>
      </c>
      <c r="F177" s="41">
        <v>20</v>
      </c>
      <c r="G177" s="46">
        <v>0</v>
      </c>
      <c r="M177" s="21">
        <v>1</v>
      </c>
    </row>
    <row r="178" spans="2:13" ht="18">
      <c r="B178" s="41">
        <v>17</v>
      </c>
      <c r="C178" s="41">
        <v>38</v>
      </c>
      <c r="D178" s="41">
        <v>6</v>
      </c>
      <c r="E178" s="41">
        <v>29</v>
      </c>
      <c r="F178" s="41">
        <v>16</v>
      </c>
      <c r="G178" s="46">
        <v>0</v>
      </c>
      <c r="M178" s="21">
        <v>1</v>
      </c>
    </row>
    <row r="179" spans="2:13" ht="18">
      <c r="B179" s="41">
        <v>17</v>
      </c>
      <c r="C179" s="41">
        <v>38</v>
      </c>
      <c r="D179" s="41">
        <v>8</v>
      </c>
      <c r="E179" s="41">
        <v>34</v>
      </c>
      <c r="F179" s="41">
        <v>13</v>
      </c>
      <c r="G179" s="46">
        <v>0</v>
      </c>
      <c r="M179" s="21">
        <v>1</v>
      </c>
    </row>
    <row r="180" spans="2:13" ht="18">
      <c r="B180" s="41">
        <v>17</v>
      </c>
      <c r="C180" s="41">
        <v>38</v>
      </c>
      <c r="D180" s="41">
        <v>9</v>
      </c>
      <c r="E180" s="41">
        <v>29</v>
      </c>
      <c r="F180" s="41">
        <v>13</v>
      </c>
      <c r="G180" s="46">
        <v>0</v>
      </c>
      <c r="M180" s="21">
        <v>1</v>
      </c>
    </row>
    <row r="181" spans="2:13" ht="18">
      <c r="B181" s="41">
        <v>17</v>
      </c>
      <c r="C181" s="41">
        <v>38</v>
      </c>
      <c r="D181" s="41">
        <v>7</v>
      </c>
      <c r="E181" s="41">
        <v>27</v>
      </c>
      <c r="F181" s="41">
        <v>18</v>
      </c>
      <c r="G181" s="46">
        <v>0</v>
      </c>
      <c r="M181" s="21">
        <v>1</v>
      </c>
    </row>
    <row r="182" spans="2:13" ht="18">
      <c r="B182" s="41">
        <v>17</v>
      </c>
      <c r="C182" s="41">
        <v>46</v>
      </c>
      <c r="D182" s="41">
        <v>9</v>
      </c>
      <c r="E182" s="41">
        <v>14</v>
      </c>
      <c r="F182" s="41">
        <v>12</v>
      </c>
      <c r="G182" s="46">
        <v>0</v>
      </c>
      <c r="M182" s="21">
        <v>1</v>
      </c>
    </row>
    <row r="183" spans="2:13" ht="18">
      <c r="B183" s="41">
        <v>17</v>
      </c>
      <c r="C183" s="41">
        <v>46</v>
      </c>
      <c r="D183" s="41">
        <v>10</v>
      </c>
      <c r="E183" s="41">
        <v>6</v>
      </c>
      <c r="F183" s="41">
        <v>6</v>
      </c>
      <c r="G183" s="46">
        <v>0</v>
      </c>
      <c r="M183" s="21">
        <v>1</v>
      </c>
    </row>
    <row r="184" spans="2:13" ht="18">
      <c r="B184" s="41">
        <v>17</v>
      </c>
      <c r="C184" s="41">
        <v>46</v>
      </c>
      <c r="D184" s="41">
        <v>8</v>
      </c>
      <c r="E184" s="41">
        <v>18</v>
      </c>
      <c r="F184" s="41">
        <v>11</v>
      </c>
      <c r="G184" s="46">
        <v>0</v>
      </c>
      <c r="M184" s="21">
        <v>1</v>
      </c>
    </row>
    <row r="185" spans="2:13" ht="18">
      <c r="B185" s="41">
        <v>17</v>
      </c>
      <c r="C185" s="41">
        <v>30</v>
      </c>
      <c r="D185" s="41">
        <v>10</v>
      </c>
      <c r="E185" s="41">
        <v>20</v>
      </c>
      <c r="F185" s="41">
        <v>5</v>
      </c>
      <c r="G185" s="46">
        <v>0</v>
      </c>
      <c r="M185" s="21">
        <v>1</v>
      </c>
    </row>
    <row r="186" spans="2:13" ht="18">
      <c r="B186" s="41">
        <v>17</v>
      </c>
      <c r="C186" s="41">
        <v>30</v>
      </c>
      <c r="D186" s="41">
        <v>11</v>
      </c>
      <c r="E186" s="41">
        <v>16</v>
      </c>
      <c r="F186" s="41">
        <v>11</v>
      </c>
      <c r="G186" s="46">
        <v>0</v>
      </c>
      <c r="M186" s="21">
        <v>1</v>
      </c>
    </row>
    <row r="187" spans="2:13" ht="18">
      <c r="B187" s="41">
        <v>17</v>
      </c>
      <c r="C187" s="41">
        <v>29</v>
      </c>
      <c r="D187" s="41">
        <v>10</v>
      </c>
      <c r="E187" s="41">
        <v>15</v>
      </c>
      <c r="F187" s="41">
        <v>4</v>
      </c>
      <c r="G187" s="46">
        <v>10</v>
      </c>
      <c r="M187" s="21">
        <v>1</v>
      </c>
    </row>
    <row r="188" spans="2:13" ht="18">
      <c r="B188" s="41">
        <v>17</v>
      </c>
      <c r="C188" s="41">
        <v>29</v>
      </c>
      <c r="D188" s="41">
        <v>11</v>
      </c>
      <c r="E188" s="41">
        <v>17</v>
      </c>
      <c r="F188" s="41">
        <v>6</v>
      </c>
      <c r="G188" s="46">
        <v>13</v>
      </c>
      <c r="M188" s="21">
        <v>1</v>
      </c>
    </row>
    <row r="189" spans="2:13" ht="18">
      <c r="B189" s="41">
        <v>17</v>
      </c>
      <c r="C189" s="41">
        <v>45</v>
      </c>
      <c r="D189" s="41">
        <v>10</v>
      </c>
      <c r="E189" s="41">
        <v>18</v>
      </c>
      <c r="F189" s="41">
        <v>21</v>
      </c>
      <c r="G189" s="46">
        <v>0</v>
      </c>
      <c r="M189" s="21">
        <v>1</v>
      </c>
    </row>
    <row r="190" spans="2:13" ht="18">
      <c r="B190" s="41">
        <v>17</v>
      </c>
      <c r="C190" s="41">
        <v>45</v>
      </c>
      <c r="D190" s="41">
        <v>9</v>
      </c>
      <c r="E190" s="41">
        <v>12</v>
      </c>
      <c r="F190" s="41">
        <v>16</v>
      </c>
      <c r="G190" s="46">
        <v>0</v>
      </c>
      <c r="M190" s="21">
        <v>1</v>
      </c>
    </row>
    <row r="191" spans="2:13" ht="18">
      <c r="B191" s="41">
        <v>17</v>
      </c>
      <c r="C191" s="41">
        <v>45</v>
      </c>
      <c r="D191" s="41">
        <v>8</v>
      </c>
      <c r="E191" s="41">
        <v>20</v>
      </c>
      <c r="F191" s="41">
        <v>22</v>
      </c>
      <c r="G191" s="46">
        <v>0</v>
      </c>
      <c r="M191" s="21">
        <v>1</v>
      </c>
    </row>
    <row r="192" spans="2:13" ht="18">
      <c r="B192" s="41">
        <v>17</v>
      </c>
      <c r="C192" s="41">
        <v>45</v>
      </c>
      <c r="D192" s="41">
        <v>11</v>
      </c>
      <c r="E192" s="41">
        <v>24</v>
      </c>
      <c r="F192" s="41">
        <v>16</v>
      </c>
      <c r="G192" s="46">
        <v>0</v>
      </c>
      <c r="M192" s="21">
        <v>1</v>
      </c>
    </row>
    <row r="193" spans="2:13" ht="18">
      <c r="B193" s="41">
        <v>17</v>
      </c>
      <c r="C193" s="41">
        <v>32</v>
      </c>
      <c r="D193" s="41">
        <v>11</v>
      </c>
      <c r="E193" s="41">
        <v>13</v>
      </c>
      <c r="F193" s="41">
        <v>2</v>
      </c>
      <c r="G193" s="46">
        <v>10</v>
      </c>
      <c r="M193" s="21">
        <v>1</v>
      </c>
    </row>
    <row r="194" spans="2:13" ht="18">
      <c r="B194" s="41">
        <v>17</v>
      </c>
      <c r="C194" s="41">
        <v>50</v>
      </c>
      <c r="D194" s="41">
        <v>11</v>
      </c>
      <c r="E194" s="41">
        <v>18</v>
      </c>
      <c r="F194" s="41">
        <v>6</v>
      </c>
      <c r="G194" s="46">
        <v>1</v>
      </c>
      <c r="M194" s="21">
        <v>1</v>
      </c>
    </row>
    <row r="195" spans="2:13" ht="18">
      <c r="B195" s="41">
        <v>17</v>
      </c>
      <c r="C195" s="41">
        <v>36</v>
      </c>
      <c r="D195" s="41">
        <v>11</v>
      </c>
      <c r="E195" s="41">
        <v>7</v>
      </c>
      <c r="F195" s="41">
        <v>3</v>
      </c>
      <c r="G195" s="46">
        <v>0</v>
      </c>
      <c r="M195" s="21">
        <v>1</v>
      </c>
    </row>
    <row r="196" spans="2:13" ht="18">
      <c r="B196" s="41">
        <v>17</v>
      </c>
      <c r="C196" s="41">
        <v>37</v>
      </c>
      <c r="D196" s="41">
        <v>9</v>
      </c>
      <c r="E196" s="41">
        <v>22</v>
      </c>
      <c r="F196" s="41">
        <v>12</v>
      </c>
      <c r="G196" s="46">
        <v>0</v>
      </c>
      <c r="M196" s="21">
        <v>1</v>
      </c>
    </row>
    <row r="197" spans="2:13" ht="18">
      <c r="B197" s="41">
        <v>17</v>
      </c>
      <c r="C197" s="41">
        <v>38</v>
      </c>
      <c r="D197" s="41">
        <v>10</v>
      </c>
      <c r="E197" s="41">
        <v>29</v>
      </c>
      <c r="F197" s="41">
        <v>14</v>
      </c>
      <c r="G197" s="46">
        <v>0</v>
      </c>
      <c r="M197" s="21">
        <v>1</v>
      </c>
    </row>
    <row r="198" spans="2:13" ht="18">
      <c r="B198" s="41">
        <v>17</v>
      </c>
      <c r="C198" s="41">
        <v>39</v>
      </c>
      <c r="D198" s="41">
        <v>7</v>
      </c>
      <c r="E198" s="41">
        <v>23</v>
      </c>
      <c r="F198" s="41">
        <v>10</v>
      </c>
      <c r="G198" s="46">
        <v>0</v>
      </c>
      <c r="M198" s="21">
        <v>1</v>
      </c>
    </row>
    <row r="199" spans="2:13" ht="18">
      <c r="B199" s="41">
        <v>17</v>
      </c>
      <c r="C199" s="41">
        <v>39</v>
      </c>
      <c r="D199" s="41">
        <v>8</v>
      </c>
      <c r="E199" s="41">
        <v>25</v>
      </c>
      <c r="F199" s="41">
        <v>14</v>
      </c>
      <c r="G199" s="46">
        <v>0</v>
      </c>
      <c r="M199" s="21">
        <v>1</v>
      </c>
    </row>
    <row r="200" spans="2:13" ht="18">
      <c r="B200" s="41">
        <v>17</v>
      </c>
      <c r="C200" s="41">
        <v>39</v>
      </c>
      <c r="D200" s="41">
        <v>9</v>
      </c>
      <c r="E200" s="41">
        <v>24</v>
      </c>
      <c r="F200" s="41">
        <v>7</v>
      </c>
      <c r="G200" s="46">
        <v>0</v>
      </c>
      <c r="M200" s="21">
        <v>1</v>
      </c>
    </row>
    <row r="201" spans="2:13" ht="18">
      <c r="B201" s="41">
        <v>17</v>
      </c>
      <c r="C201" s="41">
        <v>39</v>
      </c>
      <c r="D201" s="41">
        <v>10</v>
      </c>
      <c r="E201" s="41">
        <v>35</v>
      </c>
      <c r="F201" s="41">
        <v>3</v>
      </c>
      <c r="G201" s="46">
        <v>0</v>
      </c>
      <c r="M201" s="21">
        <v>1</v>
      </c>
    </row>
    <row r="202" spans="2:13" ht="18">
      <c r="B202" s="41">
        <v>17</v>
      </c>
      <c r="C202" s="41">
        <v>39</v>
      </c>
      <c r="D202" s="41">
        <v>11</v>
      </c>
      <c r="E202" s="41">
        <v>24</v>
      </c>
      <c r="F202" s="41">
        <v>5</v>
      </c>
      <c r="G202" s="46">
        <v>0</v>
      </c>
      <c r="M202" s="21">
        <v>1</v>
      </c>
    </row>
    <row r="203" spans="2:13" ht="18">
      <c r="B203" s="41">
        <v>17</v>
      </c>
      <c r="C203" s="41">
        <v>39</v>
      </c>
      <c r="D203" s="41">
        <v>12</v>
      </c>
      <c r="E203" s="41">
        <v>23</v>
      </c>
      <c r="F203" s="41">
        <v>0</v>
      </c>
      <c r="G203" s="46">
        <v>0</v>
      </c>
      <c r="M203" s="21">
        <v>1</v>
      </c>
    </row>
    <row r="204" spans="2:13" ht="18">
      <c r="B204" s="41">
        <v>17</v>
      </c>
      <c r="C204" s="41">
        <v>31</v>
      </c>
      <c r="D204" s="41">
        <v>10</v>
      </c>
      <c r="E204" s="41">
        <v>21</v>
      </c>
      <c r="F204" s="41">
        <v>3</v>
      </c>
      <c r="G204" s="46">
        <v>1</v>
      </c>
      <c r="M204" s="21">
        <v>1</v>
      </c>
    </row>
    <row r="205" spans="2:13" ht="18">
      <c r="B205" s="41">
        <v>17</v>
      </c>
      <c r="C205" s="41">
        <v>43</v>
      </c>
      <c r="D205" s="41">
        <v>10</v>
      </c>
      <c r="E205" s="41">
        <v>13</v>
      </c>
      <c r="F205" s="41">
        <v>14</v>
      </c>
      <c r="G205" s="46">
        <v>0</v>
      </c>
      <c r="M205" s="21">
        <v>1</v>
      </c>
    </row>
    <row r="206" spans="2:13" ht="18">
      <c r="B206" s="41">
        <v>17</v>
      </c>
      <c r="C206" s="41">
        <v>29</v>
      </c>
      <c r="D206" s="41">
        <v>11</v>
      </c>
      <c r="E206" s="41">
        <v>12</v>
      </c>
      <c r="F206" s="41">
        <v>0</v>
      </c>
      <c r="G206" s="46">
        <v>0</v>
      </c>
      <c r="M206" s="21">
        <v>1</v>
      </c>
    </row>
    <row r="207" spans="2:13" ht="18">
      <c r="B207" s="41">
        <v>17</v>
      </c>
      <c r="C207" s="41">
        <v>29</v>
      </c>
      <c r="D207" s="41">
        <v>12</v>
      </c>
      <c r="E207" s="41">
        <v>14</v>
      </c>
      <c r="F207" s="41">
        <v>1</v>
      </c>
      <c r="G207" s="46">
        <v>2</v>
      </c>
      <c r="M207" s="21">
        <v>1</v>
      </c>
    </row>
    <row r="208" spans="2:13" ht="18">
      <c r="B208" s="41">
        <v>17</v>
      </c>
      <c r="C208" s="41">
        <v>29</v>
      </c>
      <c r="D208" s="41">
        <v>10</v>
      </c>
      <c r="E208" s="41">
        <v>26</v>
      </c>
      <c r="F208" s="41">
        <v>0</v>
      </c>
      <c r="G208" s="46">
        <v>0</v>
      </c>
      <c r="M208" s="21">
        <v>1</v>
      </c>
    </row>
    <row r="209" spans="2:13" ht="18">
      <c r="B209" s="41">
        <v>17</v>
      </c>
      <c r="C209" s="41">
        <v>43</v>
      </c>
      <c r="D209" s="41">
        <v>11</v>
      </c>
      <c r="E209" s="41">
        <v>14</v>
      </c>
      <c r="F209" s="41">
        <v>31</v>
      </c>
      <c r="G209" s="46">
        <v>5</v>
      </c>
      <c r="M209" s="21">
        <v>1</v>
      </c>
    </row>
    <row r="210" spans="2:13" ht="18">
      <c r="B210" s="41">
        <v>17</v>
      </c>
      <c r="C210" s="41">
        <v>31</v>
      </c>
      <c r="D210" s="41">
        <v>10</v>
      </c>
      <c r="E210" s="41">
        <v>13</v>
      </c>
      <c r="F210" s="41">
        <v>12</v>
      </c>
      <c r="G210" s="46">
        <v>0</v>
      </c>
      <c r="M210" s="21">
        <v>1</v>
      </c>
    </row>
    <row r="211" spans="2:13" ht="18">
      <c r="B211" s="41">
        <v>17</v>
      </c>
      <c r="C211" s="41">
        <v>36</v>
      </c>
      <c r="D211" s="41">
        <v>12</v>
      </c>
      <c r="E211" s="41">
        <v>6</v>
      </c>
      <c r="F211" s="41">
        <v>4</v>
      </c>
      <c r="G211" s="46">
        <v>0</v>
      </c>
      <c r="M211" s="21">
        <v>1</v>
      </c>
    </row>
    <row r="212" spans="2:13" ht="18">
      <c r="B212" s="41">
        <v>17</v>
      </c>
      <c r="C212" s="41">
        <v>36</v>
      </c>
      <c r="D212" s="41">
        <v>13</v>
      </c>
      <c r="E212" s="41">
        <v>8</v>
      </c>
      <c r="F212" s="41">
        <v>5</v>
      </c>
      <c r="G212" s="46">
        <v>0</v>
      </c>
      <c r="M212" s="21">
        <v>1</v>
      </c>
    </row>
    <row r="213" spans="2:13" ht="18">
      <c r="B213" s="41">
        <v>17</v>
      </c>
      <c r="C213" s="41">
        <v>33</v>
      </c>
      <c r="D213" s="41">
        <v>1</v>
      </c>
      <c r="E213" s="41">
        <v>0</v>
      </c>
      <c r="F213" s="41">
        <v>0</v>
      </c>
      <c r="G213" s="46">
        <v>0</v>
      </c>
      <c r="M213" s="21">
        <v>1</v>
      </c>
    </row>
    <row r="214" spans="2:13" ht="18">
      <c r="B214" s="41">
        <v>17</v>
      </c>
      <c r="C214" s="41">
        <v>33</v>
      </c>
      <c r="D214" s="41">
        <v>2</v>
      </c>
      <c r="E214" s="41">
        <v>0</v>
      </c>
      <c r="F214" s="41">
        <v>0</v>
      </c>
      <c r="G214" s="46">
        <v>0</v>
      </c>
      <c r="M214" s="21">
        <v>1</v>
      </c>
    </row>
    <row r="215" spans="2:13" ht="18">
      <c r="B215" s="41">
        <v>17</v>
      </c>
      <c r="C215" s="41">
        <v>33</v>
      </c>
      <c r="D215" s="41">
        <v>3</v>
      </c>
      <c r="E215" s="41">
        <v>20</v>
      </c>
      <c r="F215" s="41">
        <v>5</v>
      </c>
      <c r="G215" s="46">
        <v>1</v>
      </c>
      <c r="M215" s="21">
        <v>1</v>
      </c>
    </row>
    <row r="216" spans="2:13" ht="18">
      <c r="B216" s="41">
        <v>17</v>
      </c>
      <c r="C216" s="41">
        <v>33</v>
      </c>
      <c r="D216" s="41">
        <v>4</v>
      </c>
      <c r="E216" s="41">
        <v>12</v>
      </c>
      <c r="F216" s="41">
        <v>3</v>
      </c>
      <c r="G216" s="46">
        <v>0</v>
      </c>
      <c r="M216" s="21">
        <v>1</v>
      </c>
    </row>
    <row r="217" spans="2:13" ht="18">
      <c r="B217" s="41">
        <v>17</v>
      </c>
      <c r="C217" s="41">
        <v>33</v>
      </c>
      <c r="D217" s="41">
        <v>5</v>
      </c>
      <c r="E217" s="41">
        <v>25</v>
      </c>
      <c r="F217" s="41">
        <v>0</v>
      </c>
      <c r="G217" s="46">
        <v>1</v>
      </c>
      <c r="M217" s="21">
        <v>1</v>
      </c>
    </row>
    <row r="218" spans="2:13" ht="18">
      <c r="B218" s="41">
        <v>17</v>
      </c>
      <c r="C218" s="41">
        <v>33</v>
      </c>
      <c r="D218" s="41">
        <v>6</v>
      </c>
      <c r="E218" s="41">
        <v>12</v>
      </c>
      <c r="F218" s="41">
        <v>8</v>
      </c>
      <c r="G218" s="46">
        <v>2</v>
      </c>
      <c r="M218" s="21">
        <v>1</v>
      </c>
    </row>
    <row r="219" spans="2:13" ht="18">
      <c r="B219" s="41">
        <v>17</v>
      </c>
      <c r="C219" s="41">
        <v>33</v>
      </c>
      <c r="D219" s="41">
        <v>7</v>
      </c>
      <c r="E219" s="41">
        <v>8</v>
      </c>
      <c r="F219" s="41">
        <v>3</v>
      </c>
      <c r="G219" s="46">
        <v>0</v>
      </c>
      <c r="M219" s="21">
        <v>1</v>
      </c>
    </row>
    <row r="220" spans="2:13" ht="18">
      <c r="B220" s="41">
        <v>17</v>
      </c>
      <c r="C220" s="41">
        <v>33</v>
      </c>
      <c r="D220" s="41">
        <v>9</v>
      </c>
      <c r="E220" s="41">
        <v>18</v>
      </c>
      <c r="F220" s="41">
        <v>12</v>
      </c>
      <c r="G220" s="46">
        <v>1</v>
      </c>
      <c r="M220" s="21">
        <v>1</v>
      </c>
    </row>
    <row r="221" spans="2:13" ht="18">
      <c r="B221" s="41">
        <v>17</v>
      </c>
      <c r="C221" s="41">
        <v>33</v>
      </c>
      <c r="D221" s="41">
        <v>8</v>
      </c>
      <c r="E221" s="41">
        <v>14</v>
      </c>
      <c r="F221" s="41">
        <v>7</v>
      </c>
      <c r="G221" s="46">
        <v>3</v>
      </c>
      <c r="M221" s="21">
        <v>1</v>
      </c>
    </row>
    <row r="222" spans="2:13" ht="18">
      <c r="B222" s="41">
        <v>17</v>
      </c>
      <c r="C222" s="41">
        <v>33</v>
      </c>
      <c r="D222" s="41">
        <v>10</v>
      </c>
      <c r="E222" s="41">
        <v>7</v>
      </c>
      <c r="F222" s="41">
        <v>2</v>
      </c>
      <c r="G222" s="46">
        <v>0</v>
      </c>
      <c r="M222" s="21">
        <v>1</v>
      </c>
    </row>
    <row r="223" spans="2:13" ht="18">
      <c r="B223" s="41">
        <v>17</v>
      </c>
      <c r="C223" s="41">
        <v>33</v>
      </c>
      <c r="D223" s="41">
        <v>11</v>
      </c>
      <c r="E223" s="41">
        <v>9</v>
      </c>
      <c r="F223" s="41">
        <v>12</v>
      </c>
      <c r="G223" s="46">
        <v>2</v>
      </c>
      <c r="M223" s="21">
        <v>1</v>
      </c>
    </row>
    <row r="224" spans="2:13" ht="18">
      <c r="B224" s="41">
        <v>17</v>
      </c>
      <c r="C224" s="41">
        <v>33</v>
      </c>
      <c r="D224" s="41">
        <v>12</v>
      </c>
      <c r="E224" s="41">
        <v>8</v>
      </c>
      <c r="F224" s="41">
        <v>3</v>
      </c>
      <c r="G224" s="46">
        <v>0</v>
      </c>
      <c r="M224" s="21">
        <v>1</v>
      </c>
    </row>
    <row r="225" spans="2:13" ht="18">
      <c r="B225" s="41">
        <v>17</v>
      </c>
      <c r="C225" s="41">
        <v>44</v>
      </c>
      <c r="D225" s="41">
        <v>12</v>
      </c>
      <c r="E225" s="41">
        <v>10</v>
      </c>
      <c r="F225" s="41">
        <v>2</v>
      </c>
      <c r="G225" s="46">
        <v>0</v>
      </c>
      <c r="M225" s="21">
        <v>1</v>
      </c>
    </row>
    <row r="226" spans="2:13" ht="18">
      <c r="B226" s="41">
        <v>17</v>
      </c>
      <c r="C226" s="41">
        <v>44</v>
      </c>
      <c r="D226" s="41">
        <v>13</v>
      </c>
      <c r="E226" s="41">
        <v>8</v>
      </c>
      <c r="F226" s="41">
        <v>2</v>
      </c>
      <c r="G226" s="46">
        <v>1</v>
      </c>
      <c r="M226" s="21">
        <v>1</v>
      </c>
    </row>
    <row r="227" spans="2:13" ht="18">
      <c r="B227" s="41">
        <v>17</v>
      </c>
      <c r="C227" s="41">
        <v>44</v>
      </c>
      <c r="D227" s="41">
        <v>10</v>
      </c>
      <c r="E227" s="41">
        <v>13</v>
      </c>
      <c r="F227" s="41">
        <v>4</v>
      </c>
      <c r="G227" s="46">
        <v>1</v>
      </c>
      <c r="M227" s="21">
        <v>1</v>
      </c>
    </row>
    <row r="228" spans="2:13" ht="18">
      <c r="B228" s="41">
        <v>17</v>
      </c>
      <c r="C228" s="41">
        <v>44</v>
      </c>
      <c r="D228" s="41">
        <v>11</v>
      </c>
      <c r="E228" s="41">
        <v>19</v>
      </c>
      <c r="F228" s="41">
        <v>8</v>
      </c>
      <c r="G228" s="46">
        <v>2</v>
      </c>
      <c r="M228" s="21">
        <v>1</v>
      </c>
    </row>
    <row r="229" spans="2:13" ht="18">
      <c r="B229" s="41">
        <v>17</v>
      </c>
      <c r="C229" s="41">
        <v>44</v>
      </c>
      <c r="D229" s="41">
        <v>8</v>
      </c>
      <c r="E229" s="41">
        <v>21</v>
      </c>
      <c r="F229" s="41">
        <v>3</v>
      </c>
      <c r="G229" s="46">
        <v>0</v>
      </c>
      <c r="M229" s="21">
        <v>1</v>
      </c>
    </row>
    <row r="230" spans="2:13" ht="18">
      <c r="B230" s="41">
        <v>17</v>
      </c>
      <c r="C230" s="41">
        <v>44</v>
      </c>
      <c r="D230" s="41">
        <v>9</v>
      </c>
      <c r="E230" s="41">
        <v>15</v>
      </c>
      <c r="F230" s="41">
        <v>6</v>
      </c>
      <c r="G230" s="46">
        <v>3</v>
      </c>
      <c r="M230" s="21">
        <v>1</v>
      </c>
    </row>
    <row r="231" spans="2:13" ht="18">
      <c r="B231" s="41">
        <v>17</v>
      </c>
      <c r="C231" s="41">
        <v>37</v>
      </c>
      <c r="D231" s="41">
        <v>10</v>
      </c>
      <c r="E231" s="41">
        <v>18</v>
      </c>
      <c r="F231" s="41">
        <v>12</v>
      </c>
      <c r="G231" s="46">
        <v>0</v>
      </c>
      <c r="M231" s="21">
        <v>1</v>
      </c>
    </row>
    <row r="232" spans="2:13" ht="18">
      <c r="B232" s="41">
        <v>17</v>
      </c>
      <c r="C232" s="41">
        <v>47</v>
      </c>
      <c r="D232" s="41">
        <v>6</v>
      </c>
      <c r="E232" s="41">
        <v>16</v>
      </c>
      <c r="F232" s="41">
        <v>9</v>
      </c>
      <c r="G232" s="46">
        <v>0</v>
      </c>
      <c r="M232" s="21">
        <v>1</v>
      </c>
    </row>
    <row r="233" spans="2:13" ht="18">
      <c r="B233" s="41">
        <v>17</v>
      </c>
      <c r="C233" s="41">
        <v>47</v>
      </c>
      <c r="D233" s="41">
        <v>4</v>
      </c>
      <c r="E233" s="41">
        <v>15</v>
      </c>
      <c r="F233" s="41">
        <v>5</v>
      </c>
      <c r="G233" s="46">
        <v>0</v>
      </c>
      <c r="M233" s="21">
        <v>1</v>
      </c>
    </row>
    <row r="234" spans="2:13" ht="18">
      <c r="B234" s="41">
        <v>17</v>
      </c>
      <c r="C234" s="41">
        <v>47</v>
      </c>
      <c r="D234" s="41">
        <v>7</v>
      </c>
      <c r="E234" s="41">
        <v>15</v>
      </c>
      <c r="F234" s="41">
        <v>7</v>
      </c>
      <c r="G234" s="46">
        <v>0</v>
      </c>
      <c r="M234" s="21">
        <v>1</v>
      </c>
    </row>
    <row r="235" spans="2:13" ht="18">
      <c r="B235" s="41">
        <v>17</v>
      </c>
      <c r="C235" s="41">
        <v>47</v>
      </c>
      <c r="D235" s="41">
        <v>8</v>
      </c>
      <c r="E235" s="41">
        <v>25</v>
      </c>
      <c r="F235" s="41">
        <v>13</v>
      </c>
      <c r="G235" s="46">
        <v>0</v>
      </c>
      <c r="M235" s="21">
        <v>1</v>
      </c>
    </row>
    <row r="236" spans="2:13" ht="18">
      <c r="B236" s="41">
        <v>17</v>
      </c>
      <c r="C236" s="41">
        <v>47</v>
      </c>
      <c r="D236" s="41">
        <v>3</v>
      </c>
      <c r="E236" s="41">
        <v>20</v>
      </c>
      <c r="F236" s="41">
        <v>5</v>
      </c>
      <c r="G236" s="46">
        <v>0</v>
      </c>
      <c r="M236" s="21">
        <v>1</v>
      </c>
    </row>
    <row r="237" spans="2:13" ht="18">
      <c r="B237" s="41">
        <v>17</v>
      </c>
      <c r="C237" s="41">
        <v>47</v>
      </c>
      <c r="D237" s="41">
        <v>10</v>
      </c>
      <c r="E237" s="41">
        <v>14</v>
      </c>
      <c r="F237" s="41">
        <v>15</v>
      </c>
      <c r="G237" s="46">
        <v>2</v>
      </c>
      <c r="M237" s="21">
        <v>1</v>
      </c>
    </row>
    <row r="238" spans="2:13" ht="18">
      <c r="B238" s="41">
        <v>17</v>
      </c>
      <c r="C238" s="41">
        <v>47</v>
      </c>
      <c r="D238" s="41">
        <v>9</v>
      </c>
      <c r="E238" s="41">
        <v>17</v>
      </c>
      <c r="F238" s="41">
        <v>9</v>
      </c>
      <c r="G238" s="46">
        <v>0</v>
      </c>
      <c r="M238" s="21">
        <v>1</v>
      </c>
    </row>
    <row r="239" spans="2:13" ht="18">
      <c r="B239" s="41">
        <v>17</v>
      </c>
      <c r="C239" s="41">
        <v>47</v>
      </c>
      <c r="D239" s="41">
        <v>11</v>
      </c>
      <c r="E239" s="41">
        <v>18</v>
      </c>
      <c r="F239" s="41">
        <v>12</v>
      </c>
      <c r="G239" s="46">
        <v>1</v>
      </c>
      <c r="M239" s="21">
        <v>1</v>
      </c>
    </row>
    <row r="240" spans="2:13" ht="18">
      <c r="B240" s="41">
        <v>17</v>
      </c>
      <c r="C240" s="41">
        <v>47</v>
      </c>
      <c r="D240" s="41">
        <v>2</v>
      </c>
      <c r="E240" s="41">
        <v>20</v>
      </c>
      <c r="F240" s="41">
        <v>10</v>
      </c>
      <c r="G240" s="46">
        <v>0</v>
      </c>
      <c r="M240" s="21">
        <v>1</v>
      </c>
    </row>
    <row r="241" spans="2:13" ht="18">
      <c r="B241" s="41">
        <v>17</v>
      </c>
      <c r="C241" s="41">
        <v>47</v>
      </c>
      <c r="D241" s="41">
        <v>1</v>
      </c>
      <c r="E241" s="41">
        <v>25</v>
      </c>
      <c r="F241" s="41">
        <v>0</v>
      </c>
      <c r="G241" s="46">
        <v>0</v>
      </c>
      <c r="M241" s="21">
        <v>1</v>
      </c>
    </row>
    <row r="242" spans="2:13" ht="18">
      <c r="B242" s="41">
        <v>17</v>
      </c>
      <c r="C242" s="41">
        <v>49</v>
      </c>
      <c r="D242" s="41">
        <v>8</v>
      </c>
      <c r="E242" s="41">
        <v>14</v>
      </c>
      <c r="F242" s="41">
        <v>11</v>
      </c>
      <c r="G242" s="46">
        <v>10</v>
      </c>
      <c r="M242" s="21">
        <v>1</v>
      </c>
    </row>
    <row r="243" spans="2:13" ht="18">
      <c r="B243" s="41">
        <v>17</v>
      </c>
      <c r="C243" s="41">
        <v>49</v>
      </c>
      <c r="D243" s="41">
        <v>9</v>
      </c>
      <c r="E243" s="41">
        <v>15</v>
      </c>
      <c r="F243" s="41">
        <v>10</v>
      </c>
      <c r="G243" s="46">
        <v>0</v>
      </c>
      <c r="M243" s="21">
        <v>1</v>
      </c>
    </row>
    <row r="244" spans="2:13" ht="18">
      <c r="B244" s="41">
        <v>17</v>
      </c>
      <c r="C244" s="41">
        <v>49</v>
      </c>
      <c r="D244" s="41">
        <v>10</v>
      </c>
      <c r="E244" s="41">
        <v>20</v>
      </c>
      <c r="F244" s="41">
        <v>5</v>
      </c>
      <c r="G244" s="46">
        <v>11</v>
      </c>
      <c r="M244" s="21">
        <v>1</v>
      </c>
    </row>
    <row r="245" spans="2:13" ht="18">
      <c r="B245" s="41">
        <v>17</v>
      </c>
      <c r="C245" s="41">
        <v>49</v>
      </c>
      <c r="D245" s="41">
        <v>7</v>
      </c>
      <c r="E245" s="41">
        <v>10</v>
      </c>
      <c r="F245" s="41">
        <v>10</v>
      </c>
      <c r="G245" s="46">
        <v>5</v>
      </c>
      <c r="M245" s="21">
        <v>1</v>
      </c>
    </row>
    <row r="246" spans="2:13" ht="18">
      <c r="B246" s="41">
        <v>17</v>
      </c>
      <c r="C246" s="41">
        <v>49</v>
      </c>
      <c r="D246" s="41">
        <v>6</v>
      </c>
      <c r="E246" s="41">
        <v>15</v>
      </c>
      <c r="F246" s="41">
        <v>10</v>
      </c>
      <c r="G246" s="46">
        <v>0</v>
      </c>
      <c r="M246" s="21">
        <v>1</v>
      </c>
    </row>
    <row r="247" spans="2:13" ht="18">
      <c r="B247" s="41">
        <v>17</v>
      </c>
      <c r="C247" s="41">
        <v>49</v>
      </c>
      <c r="D247" s="41">
        <v>5</v>
      </c>
      <c r="E247" s="41">
        <v>12</v>
      </c>
      <c r="F247" s="41">
        <v>9</v>
      </c>
      <c r="G247" s="46">
        <v>4</v>
      </c>
      <c r="M247" s="21">
        <v>1</v>
      </c>
    </row>
    <row r="248" spans="2:13" ht="18">
      <c r="B248" s="41">
        <v>17</v>
      </c>
      <c r="C248" s="41">
        <v>49</v>
      </c>
      <c r="D248" s="41">
        <v>4</v>
      </c>
      <c r="E248" s="41">
        <v>17</v>
      </c>
      <c r="F248" s="41">
        <v>8</v>
      </c>
      <c r="G248" s="46">
        <v>0</v>
      </c>
      <c r="M248" s="21">
        <v>1</v>
      </c>
    </row>
    <row r="249" spans="2:13" ht="18">
      <c r="B249" s="41">
        <v>17</v>
      </c>
      <c r="C249" s="41">
        <v>49</v>
      </c>
      <c r="D249" s="41">
        <v>3</v>
      </c>
      <c r="E249" s="41">
        <v>20</v>
      </c>
      <c r="F249" s="41">
        <v>5</v>
      </c>
      <c r="G249" s="46">
        <v>0</v>
      </c>
      <c r="M249" s="21">
        <v>1</v>
      </c>
    </row>
    <row r="250" spans="2:13" ht="18">
      <c r="B250" s="41">
        <v>17</v>
      </c>
      <c r="C250" s="41">
        <v>49</v>
      </c>
      <c r="D250" s="41">
        <v>2</v>
      </c>
      <c r="E250" s="41">
        <v>15</v>
      </c>
      <c r="F250" s="41">
        <v>10</v>
      </c>
      <c r="G250" s="46">
        <v>0</v>
      </c>
      <c r="M250" s="21">
        <v>1</v>
      </c>
    </row>
    <row r="251" spans="2:13" ht="18">
      <c r="B251" s="41">
        <v>17</v>
      </c>
      <c r="C251" s="41">
        <v>49</v>
      </c>
      <c r="D251" s="41">
        <v>1</v>
      </c>
      <c r="E251" s="41">
        <v>18</v>
      </c>
      <c r="F251" s="41">
        <v>7</v>
      </c>
      <c r="G251" s="46">
        <v>0</v>
      </c>
      <c r="M251" s="21">
        <v>1</v>
      </c>
    </row>
    <row r="252" spans="2:13" ht="18">
      <c r="B252" s="41">
        <v>17</v>
      </c>
      <c r="C252" s="41">
        <v>49</v>
      </c>
      <c r="D252" s="41">
        <v>13</v>
      </c>
      <c r="E252" s="41">
        <v>15</v>
      </c>
      <c r="F252" s="41">
        <v>10</v>
      </c>
      <c r="G252" s="46">
        <v>0</v>
      </c>
      <c r="M252" s="21">
        <v>1</v>
      </c>
    </row>
    <row r="253" spans="2:13" ht="18">
      <c r="B253" s="41">
        <v>17</v>
      </c>
      <c r="C253" s="41">
        <v>49</v>
      </c>
      <c r="D253" s="41">
        <v>11</v>
      </c>
      <c r="E253" s="41">
        <v>28</v>
      </c>
      <c r="F253" s="41">
        <v>14</v>
      </c>
      <c r="G253" s="46">
        <v>0</v>
      </c>
      <c r="M253" s="21">
        <v>1</v>
      </c>
    </row>
    <row r="254" spans="2:13" ht="18">
      <c r="B254" s="41">
        <v>17</v>
      </c>
      <c r="C254" s="41">
        <v>29</v>
      </c>
      <c r="D254" s="41">
        <v>13</v>
      </c>
      <c r="E254" s="41">
        <v>7</v>
      </c>
      <c r="F254" s="41">
        <v>2</v>
      </c>
      <c r="G254" s="46">
        <v>2</v>
      </c>
      <c r="M254" s="21">
        <v>1</v>
      </c>
    </row>
    <row r="255" spans="2:13" ht="18">
      <c r="B255" s="41">
        <v>17</v>
      </c>
      <c r="C255" s="41">
        <v>38</v>
      </c>
      <c r="D255" s="41">
        <v>11</v>
      </c>
      <c r="E255" s="41">
        <v>13</v>
      </c>
      <c r="F255" s="41">
        <v>16</v>
      </c>
      <c r="G255" s="46">
        <v>0</v>
      </c>
      <c r="M255" s="21">
        <v>1</v>
      </c>
    </row>
    <row r="256" spans="2:13" ht="18">
      <c r="B256" s="41">
        <v>17</v>
      </c>
      <c r="C256" s="41">
        <v>38</v>
      </c>
      <c r="D256" s="41">
        <v>12</v>
      </c>
      <c r="E256" s="41">
        <v>24</v>
      </c>
      <c r="F256" s="41">
        <v>11</v>
      </c>
      <c r="G256" s="46">
        <v>0</v>
      </c>
      <c r="M256" s="21">
        <v>1</v>
      </c>
    </row>
    <row r="257" spans="2:13" ht="18">
      <c r="B257" s="41">
        <v>17</v>
      </c>
      <c r="C257" s="41">
        <v>46</v>
      </c>
      <c r="D257" s="41">
        <v>11</v>
      </c>
      <c r="E257" s="41">
        <v>14</v>
      </c>
      <c r="F257" s="41">
        <v>11</v>
      </c>
      <c r="G257" s="46">
        <v>8</v>
      </c>
      <c r="M257" s="21">
        <v>1</v>
      </c>
    </row>
    <row r="258" spans="2:13" ht="18">
      <c r="B258" s="41">
        <v>17</v>
      </c>
      <c r="C258" s="41">
        <v>46</v>
      </c>
      <c r="D258" s="41">
        <v>12</v>
      </c>
      <c r="E258" s="41">
        <v>21</v>
      </c>
      <c r="F258" s="41">
        <v>12</v>
      </c>
      <c r="G258" s="46">
        <v>7</v>
      </c>
      <c r="M258" s="21">
        <v>1</v>
      </c>
    </row>
    <row r="259" spans="2:13" ht="18">
      <c r="B259" s="41">
        <v>17</v>
      </c>
      <c r="C259" s="41">
        <v>39</v>
      </c>
      <c r="D259" s="41">
        <v>12</v>
      </c>
      <c r="E259" s="41">
        <v>23</v>
      </c>
      <c r="F259" s="41">
        <v>0</v>
      </c>
      <c r="G259" s="46">
        <v>0</v>
      </c>
      <c r="M259" s="21">
        <v>1</v>
      </c>
    </row>
    <row r="260" spans="2:13" ht="18">
      <c r="B260" s="41">
        <v>17</v>
      </c>
      <c r="C260" s="41">
        <v>39</v>
      </c>
      <c r="D260" s="41">
        <v>13</v>
      </c>
      <c r="E260" s="41">
        <v>18</v>
      </c>
      <c r="F260" s="41">
        <v>3</v>
      </c>
      <c r="G260" s="46">
        <v>0</v>
      </c>
      <c r="M260" s="21">
        <v>1</v>
      </c>
    </row>
    <row r="261" spans="2:13" ht="18">
      <c r="B261" s="41">
        <v>17</v>
      </c>
      <c r="C261" s="41">
        <v>39</v>
      </c>
      <c r="D261" s="41">
        <v>14</v>
      </c>
      <c r="E261" s="41">
        <v>21</v>
      </c>
      <c r="F261" s="41">
        <v>7</v>
      </c>
      <c r="G261" s="46">
        <v>0</v>
      </c>
      <c r="M261" s="21">
        <v>1</v>
      </c>
    </row>
    <row r="262" spans="2:13" ht="18">
      <c r="B262" s="41">
        <v>17</v>
      </c>
      <c r="C262" s="41">
        <v>39</v>
      </c>
      <c r="D262" s="41">
        <v>15</v>
      </c>
      <c r="E262" s="41">
        <v>18</v>
      </c>
      <c r="F262" s="41">
        <v>5</v>
      </c>
      <c r="G262" s="46">
        <v>0</v>
      </c>
      <c r="M262" s="21">
        <v>1</v>
      </c>
    </row>
    <row r="263" spans="2:13" ht="18">
      <c r="B263" s="41">
        <v>17</v>
      </c>
      <c r="C263" s="41">
        <v>42</v>
      </c>
      <c r="D263" s="41">
        <v>16</v>
      </c>
      <c r="E263" s="41">
        <v>10</v>
      </c>
      <c r="F263" s="41">
        <v>3</v>
      </c>
      <c r="G263" s="46">
        <v>0</v>
      </c>
      <c r="M263" s="21">
        <v>1</v>
      </c>
    </row>
    <row r="264" spans="2:13" ht="18">
      <c r="B264" s="41">
        <v>17</v>
      </c>
      <c r="C264" s="41">
        <v>42</v>
      </c>
      <c r="D264" s="41">
        <v>14</v>
      </c>
      <c r="E264" s="41">
        <v>7</v>
      </c>
      <c r="F264" s="41">
        <v>4</v>
      </c>
      <c r="G264" s="46">
        <v>0</v>
      </c>
      <c r="M264" s="21">
        <v>1</v>
      </c>
    </row>
    <row r="265" spans="2:13" ht="18">
      <c r="B265" s="41">
        <v>17</v>
      </c>
      <c r="C265" s="41">
        <v>42</v>
      </c>
      <c r="D265" s="41">
        <v>15</v>
      </c>
      <c r="E265" s="41">
        <v>8</v>
      </c>
      <c r="F265" s="41">
        <v>5</v>
      </c>
      <c r="G265" s="46">
        <v>0</v>
      </c>
      <c r="M265" s="21">
        <v>1</v>
      </c>
    </row>
    <row r="266" spans="2:13" ht="18">
      <c r="B266" s="41">
        <v>17</v>
      </c>
      <c r="C266" s="41">
        <v>36</v>
      </c>
      <c r="D266" s="41">
        <v>14</v>
      </c>
      <c r="E266" s="41">
        <v>6</v>
      </c>
      <c r="F266" s="41">
        <v>3</v>
      </c>
      <c r="G266" s="46">
        <v>0</v>
      </c>
      <c r="M266" s="21">
        <v>1</v>
      </c>
    </row>
    <row r="267" spans="2:13" ht="18">
      <c r="B267" s="41">
        <v>17</v>
      </c>
      <c r="C267" s="41">
        <v>36</v>
      </c>
      <c r="D267" s="41">
        <v>15</v>
      </c>
      <c r="E267" s="41">
        <v>7</v>
      </c>
      <c r="F267" s="41">
        <v>4</v>
      </c>
      <c r="G267" s="46">
        <v>0</v>
      </c>
      <c r="M267" s="21">
        <v>1</v>
      </c>
    </row>
    <row r="268" spans="2:13" ht="18">
      <c r="B268" s="41">
        <v>17</v>
      </c>
      <c r="C268" s="41">
        <v>33</v>
      </c>
      <c r="D268" s="41">
        <v>13</v>
      </c>
      <c r="E268" s="41">
        <v>7</v>
      </c>
      <c r="F268" s="41">
        <v>3</v>
      </c>
      <c r="G268" s="46">
        <v>1</v>
      </c>
      <c r="M268" s="21">
        <v>1</v>
      </c>
    </row>
    <row r="269" spans="2:13" ht="18">
      <c r="B269" s="41">
        <v>17</v>
      </c>
      <c r="C269" s="41">
        <v>33</v>
      </c>
      <c r="D269" s="41">
        <v>14</v>
      </c>
      <c r="E269" s="41">
        <v>5</v>
      </c>
      <c r="F269" s="41">
        <v>7</v>
      </c>
      <c r="G269" s="46">
        <v>2</v>
      </c>
      <c r="M269" s="21">
        <v>1</v>
      </c>
    </row>
    <row r="270" spans="2:13" ht="18">
      <c r="B270" s="41">
        <v>17</v>
      </c>
      <c r="C270" s="41">
        <v>48</v>
      </c>
      <c r="D270" s="41">
        <v>10</v>
      </c>
      <c r="E270" s="41">
        <v>14</v>
      </c>
      <c r="F270" s="41">
        <v>4</v>
      </c>
      <c r="G270" s="46">
        <v>0</v>
      </c>
      <c r="M270" s="21">
        <v>1</v>
      </c>
    </row>
    <row r="271" spans="2:13" ht="18">
      <c r="B271" s="41">
        <v>17</v>
      </c>
      <c r="C271" s="41">
        <v>29</v>
      </c>
      <c r="D271" s="41">
        <v>9</v>
      </c>
      <c r="E271" s="41">
        <v>15</v>
      </c>
      <c r="F271" s="41">
        <v>10</v>
      </c>
      <c r="G271" s="46">
        <v>0</v>
      </c>
      <c r="M271" s="21">
        <v>1</v>
      </c>
    </row>
    <row r="272" spans="2:13" ht="18">
      <c r="B272" s="41">
        <v>17</v>
      </c>
      <c r="C272" s="41">
        <v>29</v>
      </c>
      <c r="D272" s="41">
        <v>18</v>
      </c>
      <c r="E272" s="41">
        <v>20</v>
      </c>
      <c r="F272" s="41">
        <v>5</v>
      </c>
      <c r="G272" s="46">
        <v>0</v>
      </c>
      <c r="M272" s="21">
        <v>1</v>
      </c>
    </row>
    <row r="273" spans="2:13" ht="18">
      <c r="B273" s="41">
        <v>17</v>
      </c>
      <c r="C273" s="41">
        <v>29</v>
      </c>
      <c r="D273" s="41">
        <v>11</v>
      </c>
      <c r="E273" s="41">
        <v>28</v>
      </c>
      <c r="F273" s="41">
        <v>14</v>
      </c>
      <c r="G273" s="46">
        <v>0</v>
      </c>
      <c r="M273" s="21">
        <v>1</v>
      </c>
    </row>
    <row r="274" spans="2:13" ht="18">
      <c r="B274" s="41">
        <v>17</v>
      </c>
      <c r="C274" s="41">
        <v>48</v>
      </c>
      <c r="D274" s="41">
        <v>10</v>
      </c>
      <c r="E274" s="41">
        <v>14</v>
      </c>
      <c r="F274" s="41">
        <v>4</v>
      </c>
      <c r="G274" s="46">
        <v>0</v>
      </c>
      <c r="M274" s="21">
        <v>1</v>
      </c>
    </row>
    <row r="275" spans="2:13" ht="18">
      <c r="B275" s="41">
        <v>17</v>
      </c>
      <c r="C275" s="41">
        <v>48</v>
      </c>
      <c r="D275" s="41">
        <v>11</v>
      </c>
      <c r="E275" s="41">
        <v>19</v>
      </c>
      <c r="F275" s="41">
        <v>10</v>
      </c>
      <c r="G275" s="46">
        <v>0</v>
      </c>
      <c r="M275" s="21">
        <v>1</v>
      </c>
    </row>
    <row r="276" spans="2:13" ht="18">
      <c r="B276" s="41">
        <v>17</v>
      </c>
      <c r="C276" s="41">
        <v>48</v>
      </c>
      <c r="D276" s="41">
        <v>12</v>
      </c>
      <c r="E276" s="41">
        <v>28</v>
      </c>
      <c r="F276" s="41">
        <v>14</v>
      </c>
      <c r="G276" s="46">
        <v>0</v>
      </c>
      <c r="M276" s="21">
        <v>1</v>
      </c>
    </row>
    <row r="277" spans="2:13" ht="18">
      <c r="B277" s="41">
        <v>17</v>
      </c>
      <c r="C277" s="41">
        <v>48</v>
      </c>
      <c r="D277" s="41">
        <v>13</v>
      </c>
      <c r="E277" s="41">
        <v>10</v>
      </c>
      <c r="F277" s="41">
        <v>2</v>
      </c>
      <c r="G277" s="46">
        <v>0</v>
      </c>
      <c r="M277" s="21">
        <v>1</v>
      </c>
    </row>
    <row r="278" spans="2:13" ht="18">
      <c r="B278" s="41">
        <v>17</v>
      </c>
      <c r="C278" s="41">
        <v>48</v>
      </c>
      <c r="D278" s="41">
        <v>14</v>
      </c>
      <c r="E278" s="41">
        <v>15</v>
      </c>
      <c r="F278" s="41">
        <v>17</v>
      </c>
      <c r="G278" s="46">
        <v>1</v>
      </c>
      <c r="M278" s="21">
        <v>1</v>
      </c>
    </row>
    <row r="279" spans="2:13" ht="18">
      <c r="B279" s="41">
        <v>17</v>
      </c>
      <c r="C279" s="41">
        <v>37</v>
      </c>
      <c r="D279" s="41">
        <v>11</v>
      </c>
      <c r="E279" s="41">
        <v>12</v>
      </c>
      <c r="F279" s="41">
        <v>8</v>
      </c>
      <c r="G279" s="46">
        <v>0</v>
      </c>
      <c r="M279" s="21">
        <v>1</v>
      </c>
    </row>
    <row r="280" spans="2:13" ht="18">
      <c r="B280" s="41">
        <v>17</v>
      </c>
      <c r="C280" s="41">
        <v>29</v>
      </c>
      <c r="D280" s="41">
        <v>12</v>
      </c>
      <c r="E280" s="41">
        <v>17</v>
      </c>
      <c r="F280" s="41">
        <v>19</v>
      </c>
      <c r="G280" s="46">
        <v>0</v>
      </c>
      <c r="M280" s="21">
        <v>1</v>
      </c>
    </row>
    <row r="281" spans="2:13" ht="18">
      <c r="B281" s="41">
        <v>17</v>
      </c>
      <c r="C281" s="41">
        <v>29</v>
      </c>
      <c r="D281" s="41">
        <v>13</v>
      </c>
      <c r="E281" s="41">
        <v>15</v>
      </c>
      <c r="F281" s="41">
        <v>10</v>
      </c>
      <c r="G281" s="46">
        <v>0</v>
      </c>
      <c r="M281" s="21">
        <v>1</v>
      </c>
    </row>
    <row r="282" spans="2:13" ht="18">
      <c r="B282" s="41"/>
      <c r="C282" s="41"/>
      <c r="D282" s="41"/>
      <c r="E282" s="41"/>
      <c r="F282" s="41"/>
      <c r="G282" s="46"/>
      <c r="M282" s="21">
        <v>1</v>
      </c>
    </row>
    <row r="283" spans="2:13" ht="18">
      <c r="B283" s="41"/>
      <c r="C283" s="41"/>
      <c r="D283" s="41"/>
      <c r="E283" s="41"/>
      <c r="F283" s="41"/>
      <c r="G283" s="46"/>
      <c r="M283" s="21">
        <v>1</v>
      </c>
    </row>
    <row r="284" spans="2:13" ht="18">
      <c r="B284" s="41"/>
      <c r="C284" s="41"/>
      <c r="D284" s="41"/>
      <c r="E284" s="41"/>
      <c r="F284" s="41"/>
      <c r="G284" s="46"/>
      <c r="M284" s="21">
        <v>1</v>
      </c>
    </row>
    <row r="285" spans="2:13" ht="18">
      <c r="B285" s="41"/>
      <c r="C285" s="41"/>
      <c r="D285" s="41"/>
      <c r="E285" s="41"/>
      <c r="F285" s="41"/>
      <c r="G285" s="46"/>
      <c r="M285" s="21">
        <v>1</v>
      </c>
    </row>
    <row r="286" spans="2:13" ht="18">
      <c r="B286" s="41"/>
      <c r="C286" s="41"/>
      <c r="D286" s="41"/>
      <c r="E286" s="41"/>
      <c r="F286" s="41"/>
      <c r="G286" s="46"/>
      <c r="M286" s="21">
        <v>1</v>
      </c>
    </row>
    <row r="287" spans="2:13" ht="18">
      <c r="B287" s="41"/>
      <c r="C287" s="41"/>
      <c r="D287" s="41"/>
      <c r="E287" s="41"/>
      <c r="F287" s="41"/>
      <c r="G287" s="46"/>
      <c r="M287" s="21">
        <v>1</v>
      </c>
    </row>
    <row r="288" spans="2:13" ht="18">
      <c r="B288" s="41"/>
      <c r="C288" s="41"/>
      <c r="D288" s="41"/>
      <c r="E288" s="41"/>
      <c r="F288" s="41"/>
      <c r="G288" s="46"/>
      <c r="M288" s="21">
        <v>1</v>
      </c>
    </row>
    <row r="289" spans="2:13" ht="18">
      <c r="B289" s="41"/>
      <c r="C289" s="41"/>
      <c r="D289" s="41"/>
      <c r="E289" s="41"/>
      <c r="F289" s="41"/>
      <c r="G289" s="46"/>
      <c r="M289" s="21">
        <v>1</v>
      </c>
    </row>
    <row r="290" spans="2:13" ht="18">
      <c r="B290" s="41"/>
      <c r="C290" s="41"/>
      <c r="D290" s="41"/>
      <c r="E290" s="41"/>
      <c r="F290" s="41"/>
      <c r="G290" s="46"/>
      <c r="M290" s="21">
        <v>1</v>
      </c>
    </row>
    <row r="291" spans="2:13" ht="18">
      <c r="B291" s="41"/>
      <c r="C291" s="41"/>
      <c r="D291" s="41"/>
      <c r="E291" s="41"/>
      <c r="F291" s="41"/>
      <c r="G291" s="46"/>
      <c r="M291" s="21">
        <v>1</v>
      </c>
    </row>
    <row r="292" spans="2:13" ht="18">
      <c r="B292" s="41"/>
      <c r="C292" s="41"/>
      <c r="D292" s="41"/>
      <c r="E292" s="41"/>
      <c r="F292" s="41"/>
      <c r="G292" s="46"/>
      <c r="M292" s="21">
        <v>1</v>
      </c>
    </row>
    <row r="293" spans="2:13" ht="18">
      <c r="B293" s="41"/>
      <c r="C293" s="41"/>
      <c r="D293" s="41"/>
      <c r="E293" s="41"/>
      <c r="F293" s="41"/>
      <c r="G293" s="46"/>
      <c r="M293" s="21">
        <v>1</v>
      </c>
    </row>
    <row r="294" spans="2:13" ht="18">
      <c r="B294" s="41"/>
      <c r="C294" s="41"/>
      <c r="D294" s="41"/>
      <c r="E294" s="41"/>
      <c r="F294" s="41"/>
      <c r="G294" s="46"/>
      <c r="M294" s="21">
        <v>1</v>
      </c>
    </row>
    <row r="295" spans="2:13" ht="18">
      <c r="B295" s="41"/>
      <c r="C295" s="41"/>
      <c r="D295" s="41"/>
      <c r="E295" s="41"/>
      <c r="F295" s="41"/>
      <c r="G295" s="46"/>
      <c r="M295" s="21">
        <v>1</v>
      </c>
    </row>
    <row r="296" spans="2:13" ht="18">
      <c r="B296" s="41"/>
      <c r="C296" s="41"/>
      <c r="D296" s="41"/>
      <c r="E296" s="41"/>
      <c r="F296" s="41"/>
      <c r="G296" s="46"/>
      <c r="M296" s="21">
        <v>1</v>
      </c>
    </row>
    <row r="297" spans="2:13" ht="18">
      <c r="B297" s="41"/>
      <c r="C297" s="41"/>
      <c r="D297" s="41"/>
      <c r="E297" s="41"/>
      <c r="F297" s="41"/>
      <c r="G297" s="46"/>
      <c r="M297" s="21">
        <v>1</v>
      </c>
    </row>
    <row r="298" spans="2:13" ht="18">
      <c r="B298" s="41"/>
      <c r="C298" s="41"/>
      <c r="D298" s="41"/>
      <c r="E298" s="41"/>
      <c r="F298" s="41"/>
      <c r="G298" s="46"/>
      <c r="M298" s="21">
        <v>1</v>
      </c>
    </row>
    <row r="299" spans="2:13" ht="18">
      <c r="B299" s="41"/>
      <c r="C299" s="41"/>
      <c r="D299" s="41"/>
      <c r="E299" s="41"/>
      <c r="F299" s="41"/>
      <c r="G299" s="46"/>
      <c r="M299" s="21">
        <v>1</v>
      </c>
    </row>
    <row r="300" spans="2:13" ht="18">
      <c r="B300" s="41"/>
      <c r="C300" s="41"/>
      <c r="D300" s="41"/>
      <c r="E300" s="41"/>
      <c r="F300" s="41"/>
      <c r="G300" s="46"/>
      <c r="M300" s="21">
        <v>1</v>
      </c>
    </row>
    <row r="301" spans="2:13" ht="18">
      <c r="B301" s="41"/>
      <c r="C301" s="41"/>
      <c r="D301" s="41"/>
      <c r="E301" s="41"/>
      <c r="F301" s="41"/>
      <c r="G301" s="46"/>
      <c r="M301" s="21">
        <v>1</v>
      </c>
    </row>
    <row r="302" spans="2:13" ht="18">
      <c r="B302" s="41"/>
      <c r="C302" s="41"/>
      <c r="D302" s="41"/>
      <c r="E302" s="41"/>
      <c r="F302" s="41"/>
      <c r="G302" s="46"/>
      <c r="M302" s="21">
        <v>1</v>
      </c>
    </row>
    <row r="303" spans="2:13" ht="18">
      <c r="B303" s="41"/>
      <c r="C303" s="41"/>
      <c r="D303" s="41"/>
      <c r="E303" s="41"/>
      <c r="F303" s="41"/>
      <c r="G303" s="46"/>
      <c r="M303" s="21">
        <v>1</v>
      </c>
    </row>
    <row r="304" spans="2:13" ht="18">
      <c r="B304" s="41"/>
      <c r="C304" s="41"/>
      <c r="D304" s="41"/>
      <c r="E304" s="41"/>
      <c r="F304" s="41"/>
      <c r="G304" s="46"/>
      <c r="M304" s="21">
        <v>1</v>
      </c>
    </row>
    <row r="305" spans="2:13" ht="18">
      <c r="B305" s="41"/>
      <c r="C305" s="41"/>
      <c r="D305" s="41"/>
      <c r="E305" s="41"/>
      <c r="F305" s="41"/>
      <c r="G305" s="46"/>
      <c r="M305" s="21">
        <v>1</v>
      </c>
    </row>
    <row r="306" spans="2:13" ht="18">
      <c r="B306" s="41"/>
      <c r="C306" s="41"/>
      <c r="D306" s="41"/>
      <c r="E306" s="41"/>
      <c r="F306" s="41"/>
      <c r="G306" s="46"/>
      <c r="M306" s="21">
        <v>1</v>
      </c>
    </row>
    <row r="307" spans="2:13" ht="18">
      <c r="B307" s="41"/>
      <c r="C307" s="41"/>
      <c r="D307" s="41"/>
      <c r="E307" s="41"/>
      <c r="F307" s="41"/>
      <c r="G307" s="46"/>
      <c r="M307" s="21">
        <v>1</v>
      </c>
    </row>
    <row r="308" spans="2:13" ht="18">
      <c r="B308" s="41"/>
      <c r="C308" s="41"/>
      <c r="D308" s="41"/>
      <c r="E308" s="41"/>
      <c r="F308" s="41"/>
      <c r="G308" s="46"/>
      <c r="M308" s="21">
        <v>1</v>
      </c>
    </row>
    <row r="309" spans="2:13" ht="18">
      <c r="B309" s="41"/>
      <c r="C309" s="41"/>
      <c r="D309" s="41"/>
      <c r="E309" s="41"/>
      <c r="F309" s="41"/>
      <c r="G309" s="46"/>
      <c r="M309" s="21">
        <v>1</v>
      </c>
    </row>
    <row r="310" spans="2:13" ht="18">
      <c r="B310" s="41"/>
      <c r="C310" s="41"/>
      <c r="D310" s="41"/>
      <c r="E310" s="41"/>
      <c r="F310" s="41"/>
      <c r="G310" s="46"/>
      <c r="M310" s="21">
        <v>1</v>
      </c>
    </row>
    <row r="311" spans="2:13" ht="18">
      <c r="B311" s="41"/>
      <c r="C311" s="41"/>
      <c r="D311" s="41"/>
      <c r="E311" s="41"/>
      <c r="F311" s="41"/>
      <c r="G311" s="46"/>
      <c r="M311" s="21">
        <v>1</v>
      </c>
    </row>
    <row r="312" spans="2:13" ht="18">
      <c r="B312" s="41"/>
      <c r="C312" s="41"/>
      <c r="D312" s="41"/>
      <c r="E312" s="41"/>
      <c r="F312" s="41"/>
      <c r="G312" s="46"/>
      <c r="M312" s="21">
        <v>1</v>
      </c>
    </row>
    <row r="313" spans="2:13" ht="18">
      <c r="B313" s="41"/>
      <c r="C313" s="41"/>
      <c r="D313" s="41"/>
      <c r="E313" s="41"/>
      <c r="F313" s="41"/>
      <c r="G313" s="46"/>
      <c r="M313" s="21">
        <v>1</v>
      </c>
    </row>
    <row r="314" spans="2:13" ht="18">
      <c r="B314" s="41"/>
      <c r="C314" s="41"/>
      <c r="D314" s="41"/>
      <c r="E314" s="41"/>
      <c r="F314" s="41"/>
      <c r="G314" s="46"/>
      <c r="M314" s="21">
        <v>1</v>
      </c>
    </row>
    <row r="315" spans="2:13" ht="18">
      <c r="B315" s="41"/>
      <c r="C315" s="41"/>
      <c r="D315" s="41"/>
      <c r="E315" s="41"/>
      <c r="F315" s="41"/>
      <c r="G315" s="46"/>
      <c r="M315" s="21">
        <v>1</v>
      </c>
    </row>
    <row r="316" spans="2:13" ht="18">
      <c r="B316" s="41"/>
      <c r="C316" s="41"/>
      <c r="D316" s="41"/>
      <c r="E316" s="41"/>
      <c r="F316" s="41"/>
      <c r="G316" s="46"/>
      <c r="M316" s="21">
        <v>1</v>
      </c>
    </row>
    <row r="317" spans="2:13" ht="18">
      <c r="B317" s="41"/>
      <c r="C317" s="41"/>
      <c r="D317" s="41"/>
      <c r="E317" s="41"/>
      <c r="F317" s="41"/>
      <c r="G317" s="46"/>
      <c r="M317" s="21">
        <v>1</v>
      </c>
    </row>
    <row r="318" spans="2:13" ht="18">
      <c r="B318" s="41"/>
      <c r="C318" s="41"/>
      <c r="D318" s="41"/>
      <c r="E318" s="41"/>
      <c r="F318" s="41"/>
      <c r="G318" s="46"/>
      <c r="M318" s="21">
        <v>1</v>
      </c>
    </row>
    <row r="319" spans="2:13" ht="18">
      <c r="B319" s="41"/>
      <c r="C319" s="41"/>
      <c r="D319" s="41"/>
      <c r="E319" s="41"/>
      <c r="F319" s="41"/>
      <c r="G319" s="46"/>
      <c r="M319" s="21">
        <v>1</v>
      </c>
    </row>
    <row r="320" spans="2:13" ht="18">
      <c r="B320" s="41"/>
      <c r="C320" s="41"/>
      <c r="D320" s="41"/>
      <c r="E320" s="41"/>
      <c r="F320" s="41"/>
      <c r="G320" s="46"/>
      <c r="M320" s="21">
        <v>1</v>
      </c>
    </row>
    <row r="321" spans="2:13" ht="18">
      <c r="B321" s="41"/>
      <c r="C321" s="41"/>
      <c r="D321" s="41"/>
      <c r="E321" s="41"/>
      <c r="F321" s="41"/>
      <c r="G321" s="46"/>
      <c r="M321" s="21">
        <v>1</v>
      </c>
    </row>
    <row r="322" spans="2:13" ht="18">
      <c r="B322" s="41"/>
      <c r="C322" s="41"/>
      <c r="D322" s="41"/>
      <c r="E322" s="41"/>
      <c r="F322" s="41"/>
      <c r="G322" s="46"/>
      <c r="M322" s="21">
        <v>1</v>
      </c>
    </row>
    <row r="323" spans="2:13" ht="18">
      <c r="B323" s="41"/>
      <c r="C323" s="41"/>
      <c r="D323" s="41"/>
      <c r="E323" s="41"/>
      <c r="F323" s="41"/>
      <c r="G323" s="46"/>
      <c r="M323" s="21">
        <v>1</v>
      </c>
    </row>
    <row r="324" spans="2:13" ht="18">
      <c r="B324" s="41"/>
      <c r="C324" s="41"/>
      <c r="D324" s="41"/>
      <c r="E324" s="41"/>
      <c r="F324" s="41"/>
      <c r="G324" s="46"/>
      <c r="M324" s="21">
        <v>1</v>
      </c>
    </row>
    <row r="325" spans="2:13" ht="18">
      <c r="B325" s="41"/>
      <c r="C325" s="41"/>
      <c r="D325" s="41"/>
      <c r="E325" s="41"/>
      <c r="F325" s="41"/>
      <c r="G325" s="46"/>
      <c r="M325" s="21">
        <v>1</v>
      </c>
    </row>
    <row r="326" spans="2:13" ht="18">
      <c r="B326" s="41"/>
      <c r="C326" s="41"/>
      <c r="D326" s="41"/>
      <c r="E326" s="41"/>
      <c r="F326" s="41"/>
      <c r="G326" s="46"/>
      <c r="M326" s="21">
        <v>1</v>
      </c>
    </row>
    <row r="327" spans="2:13" ht="18">
      <c r="B327" s="41"/>
      <c r="C327" s="41"/>
      <c r="D327" s="41"/>
      <c r="E327" s="41"/>
      <c r="F327" s="41"/>
      <c r="G327" s="46"/>
      <c r="M327" s="21">
        <v>1</v>
      </c>
    </row>
    <row r="328" spans="2:13" ht="18">
      <c r="B328" s="41"/>
      <c r="C328" s="41"/>
      <c r="D328" s="41"/>
      <c r="E328" s="41"/>
      <c r="F328" s="41"/>
      <c r="G328" s="46"/>
      <c r="M328" s="21">
        <v>1</v>
      </c>
    </row>
    <row r="329" spans="2:13" ht="18">
      <c r="B329" s="41"/>
      <c r="C329" s="41"/>
      <c r="D329" s="41"/>
      <c r="E329" s="41"/>
      <c r="F329" s="41"/>
      <c r="G329" s="46"/>
      <c r="M329" s="21">
        <v>1</v>
      </c>
    </row>
    <row r="330" spans="2:13" ht="18">
      <c r="B330" s="41"/>
      <c r="C330" s="41"/>
      <c r="D330" s="41"/>
      <c r="E330" s="41"/>
      <c r="F330" s="41"/>
      <c r="G330" s="46"/>
      <c r="M330" s="21">
        <v>1</v>
      </c>
    </row>
    <row r="331" spans="2:13" ht="18">
      <c r="B331" s="41"/>
      <c r="C331" s="41"/>
      <c r="D331" s="41"/>
      <c r="E331" s="41"/>
      <c r="F331" s="41"/>
      <c r="G331" s="46"/>
      <c r="M331" s="21">
        <v>1</v>
      </c>
    </row>
    <row r="332" spans="2:13" ht="18">
      <c r="B332" s="41"/>
      <c r="C332" s="41"/>
      <c r="D332" s="41"/>
      <c r="E332" s="41"/>
      <c r="F332" s="41"/>
      <c r="G332" s="46"/>
      <c r="M332" s="21">
        <v>1</v>
      </c>
    </row>
    <row r="333" spans="2:13" ht="18">
      <c r="B333" s="41"/>
      <c r="C333" s="41"/>
      <c r="D333" s="41"/>
      <c r="E333" s="41"/>
      <c r="F333" s="41"/>
      <c r="G333" s="46"/>
      <c r="M333" s="21">
        <v>1</v>
      </c>
    </row>
    <row r="334" spans="2:13" ht="18">
      <c r="B334" s="41"/>
      <c r="C334" s="41"/>
      <c r="D334" s="41"/>
      <c r="E334" s="41"/>
      <c r="F334" s="41"/>
      <c r="G334" s="46"/>
      <c r="M334" s="21">
        <v>1</v>
      </c>
    </row>
    <row r="335" spans="2:13" ht="18">
      <c r="B335" s="41"/>
      <c r="C335" s="41"/>
      <c r="D335" s="41"/>
      <c r="E335" s="41"/>
      <c r="F335" s="41"/>
      <c r="G335" s="46"/>
      <c r="M335" s="21">
        <v>1</v>
      </c>
    </row>
    <row r="336" spans="2:13" ht="18">
      <c r="B336" s="41"/>
      <c r="C336" s="41"/>
      <c r="D336" s="41"/>
      <c r="E336" s="41"/>
      <c r="F336" s="41"/>
      <c r="G336" s="46"/>
      <c r="M336" s="21">
        <v>1</v>
      </c>
    </row>
    <row r="337" spans="2:13" ht="18">
      <c r="B337" s="41"/>
      <c r="C337" s="41"/>
      <c r="D337" s="41"/>
      <c r="E337" s="41"/>
      <c r="F337" s="41"/>
      <c r="G337" s="46"/>
      <c r="M337" s="21">
        <v>1</v>
      </c>
    </row>
    <row r="338" spans="2:13" ht="18">
      <c r="B338" s="41"/>
      <c r="C338" s="41"/>
      <c r="D338" s="41"/>
      <c r="E338" s="41"/>
      <c r="F338" s="41"/>
      <c r="G338" s="46"/>
      <c r="M338" s="21">
        <v>1</v>
      </c>
    </row>
    <row r="339" spans="2:13" ht="18">
      <c r="B339" s="41"/>
      <c r="C339" s="41"/>
      <c r="D339" s="41"/>
      <c r="E339" s="41"/>
      <c r="F339" s="41"/>
      <c r="G339" s="46"/>
      <c r="M339" s="21">
        <v>1</v>
      </c>
    </row>
    <row r="340" spans="2:13" ht="18">
      <c r="B340" s="41"/>
      <c r="C340" s="41"/>
      <c r="D340" s="41"/>
      <c r="E340" s="41"/>
      <c r="F340" s="41"/>
      <c r="G340" s="46"/>
      <c r="M340" s="21">
        <v>1</v>
      </c>
    </row>
    <row r="341" spans="2:13" ht="18">
      <c r="B341" s="41"/>
      <c r="C341" s="41"/>
      <c r="D341" s="41"/>
      <c r="E341" s="41"/>
      <c r="F341" s="41"/>
      <c r="G341" s="46"/>
      <c r="M341" s="21">
        <v>1</v>
      </c>
    </row>
    <row r="342" spans="2:13" ht="18">
      <c r="B342" s="41"/>
      <c r="C342" s="41"/>
      <c r="D342" s="41"/>
      <c r="E342" s="41"/>
      <c r="F342" s="41"/>
      <c r="G342" s="46"/>
      <c r="M342" s="21">
        <v>1</v>
      </c>
    </row>
    <row r="343" spans="2:13" ht="18">
      <c r="B343" s="41"/>
      <c r="C343" s="41"/>
      <c r="D343" s="41"/>
      <c r="E343" s="41"/>
      <c r="F343" s="41"/>
      <c r="G343" s="46"/>
      <c r="M343" s="21">
        <v>1</v>
      </c>
    </row>
    <row r="344" spans="2:13" ht="18">
      <c r="B344" s="41"/>
      <c r="C344" s="41"/>
      <c r="D344" s="41"/>
      <c r="E344" s="41"/>
      <c r="F344" s="41"/>
      <c r="G344" s="46"/>
      <c r="M344" s="21">
        <v>1</v>
      </c>
    </row>
    <row r="345" spans="2:13" ht="18">
      <c r="B345" s="41"/>
      <c r="C345" s="41"/>
      <c r="D345" s="41"/>
      <c r="E345" s="41"/>
      <c r="F345" s="41"/>
      <c r="G345" s="46"/>
      <c r="M345" s="21">
        <v>1</v>
      </c>
    </row>
    <row r="346" spans="2:13" ht="18">
      <c r="B346" s="41"/>
      <c r="C346" s="41"/>
      <c r="D346" s="41"/>
      <c r="E346" s="41"/>
      <c r="F346" s="41"/>
      <c r="G346" s="46"/>
      <c r="M346" s="21">
        <v>1</v>
      </c>
    </row>
    <row r="347" spans="2:13" ht="18">
      <c r="B347" s="41"/>
      <c r="C347" s="41"/>
      <c r="D347" s="41"/>
      <c r="E347" s="41"/>
      <c r="F347" s="41"/>
      <c r="G347" s="46"/>
      <c r="M347" s="21">
        <v>1</v>
      </c>
    </row>
    <row r="348" spans="2:13" ht="18">
      <c r="B348" s="41"/>
      <c r="C348" s="41"/>
      <c r="D348" s="41"/>
      <c r="E348" s="41"/>
      <c r="F348" s="41"/>
      <c r="G348" s="46"/>
      <c r="M348" s="21">
        <v>1</v>
      </c>
    </row>
    <row r="349" spans="2:13" ht="18">
      <c r="B349" s="41"/>
      <c r="C349" s="41"/>
      <c r="D349" s="41"/>
      <c r="E349" s="41"/>
      <c r="F349" s="41"/>
      <c r="G349" s="46"/>
      <c r="M349" s="21">
        <v>1</v>
      </c>
    </row>
    <row r="350" spans="2:13" ht="18">
      <c r="B350" s="41"/>
      <c r="C350" s="41"/>
      <c r="D350" s="41"/>
      <c r="E350" s="41"/>
      <c r="F350" s="41"/>
      <c r="G350" s="46"/>
      <c r="M350" s="21">
        <v>1</v>
      </c>
    </row>
    <row r="351" spans="2:13" ht="18">
      <c r="B351" s="41"/>
      <c r="C351" s="41"/>
      <c r="D351" s="41"/>
      <c r="E351" s="41"/>
      <c r="F351" s="41"/>
      <c r="G351" s="46"/>
      <c r="M351" s="21">
        <v>1</v>
      </c>
    </row>
    <row r="352" spans="2:13" ht="18">
      <c r="B352" s="41"/>
      <c r="C352" s="41"/>
      <c r="D352" s="41"/>
      <c r="E352" s="41"/>
      <c r="F352" s="41"/>
      <c r="G352" s="46"/>
      <c r="M352" s="21">
        <v>1</v>
      </c>
    </row>
    <row r="353" spans="2:13" ht="18">
      <c r="B353" s="41"/>
      <c r="C353" s="41"/>
      <c r="D353" s="41"/>
      <c r="E353" s="41"/>
      <c r="F353" s="41"/>
      <c r="G353" s="46"/>
      <c r="M353" s="21">
        <v>1</v>
      </c>
    </row>
    <row r="354" spans="2:13" ht="18">
      <c r="B354" s="41"/>
      <c r="C354" s="41"/>
      <c r="D354" s="41"/>
      <c r="E354" s="41"/>
      <c r="F354" s="41"/>
      <c r="G354" s="46"/>
      <c r="M354" s="21">
        <v>1</v>
      </c>
    </row>
    <row r="355" spans="2:13" ht="18">
      <c r="B355" s="41"/>
      <c r="C355" s="41"/>
      <c r="D355" s="41"/>
      <c r="E355" s="41"/>
      <c r="F355" s="41"/>
      <c r="G355" s="46"/>
      <c r="M355" s="21">
        <v>1</v>
      </c>
    </row>
    <row r="356" spans="2:13" ht="18">
      <c r="B356" s="41"/>
      <c r="C356" s="41"/>
      <c r="D356" s="41"/>
      <c r="E356" s="41"/>
      <c r="F356" s="41"/>
      <c r="G356" s="46"/>
      <c r="M356" s="21">
        <v>1</v>
      </c>
    </row>
    <row r="357" spans="2:13" ht="18">
      <c r="B357" s="41"/>
      <c r="C357" s="41"/>
      <c r="D357" s="41"/>
      <c r="E357" s="41"/>
      <c r="F357" s="41"/>
      <c r="G357" s="46"/>
      <c r="M357" s="21">
        <v>1</v>
      </c>
    </row>
    <row r="358" spans="2:13" ht="18">
      <c r="B358" s="41"/>
      <c r="C358" s="41"/>
      <c r="D358" s="41"/>
      <c r="E358" s="41"/>
      <c r="F358" s="41"/>
      <c r="G358" s="46"/>
      <c r="M358" s="21">
        <v>1</v>
      </c>
    </row>
    <row r="359" spans="2:13" ht="18">
      <c r="B359" s="41"/>
      <c r="C359" s="41"/>
      <c r="D359" s="41"/>
      <c r="E359" s="41"/>
      <c r="F359" s="41"/>
      <c r="G359" s="46"/>
      <c r="M359" s="21">
        <v>1</v>
      </c>
    </row>
    <row r="360" spans="2:13" ht="18">
      <c r="B360" s="41"/>
      <c r="C360" s="41"/>
      <c r="D360" s="41"/>
      <c r="E360" s="41"/>
      <c r="F360" s="41"/>
      <c r="G360" s="46"/>
      <c r="M360" s="21">
        <v>1</v>
      </c>
    </row>
    <row r="361" spans="2:13" ht="18">
      <c r="B361" s="41"/>
      <c r="C361" s="41"/>
      <c r="D361" s="41"/>
      <c r="E361" s="41"/>
      <c r="F361" s="41"/>
      <c r="G361" s="46"/>
      <c r="M361" s="21">
        <v>1</v>
      </c>
    </row>
    <row r="362" spans="2:13" ht="18">
      <c r="B362" s="41"/>
      <c r="C362" s="41"/>
      <c r="D362" s="41"/>
      <c r="E362" s="41"/>
      <c r="F362" s="41"/>
      <c r="G362" s="46"/>
      <c r="M362" s="21">
        <v>1</v>
      </c>
    </row>
    <row r="363" spans="2:13" ht="18">
      <c r="B363" s="41"/>
      <c r="C363" s="41"/>
      <c r="D363" s="41"/>
      <c r="E363" s="41"/>
      <c r="F363" s="41"/>
      <c r="G363" s="46"/>
      <c r="M363" s="21">
        <v>1</v>
      </c>
    </row>
    <row r="364" spans="2:13" ht="18">
      <c r="B364" s="41"/>
      <c r="C364" s="41"/>
      <c r="D364" s="41"/>
      <c r="E364" s="41"/>
      <c r="F364" s="41"/>
      <c r="G364" s="46"/>
      <c r="M364" s="21">
        <v>1</v>
      </c>
    </row>
    <row r="365" spans="2:13" ht="18">
      <c r="B365" s="41"/>
      <c r="C365" s="41"/>
      <c r="D365" s="41"/>
      <c r="E365" s="41"/>
      <c r="F365" s="41"/>
      <c r="G365" s="46"/>
      <c r="M365" s="21">
        <v>1</v>
      </c>
    </row>
    <row r="366" spans="2:13" ht="18">
      <c r="B366" s="41"/>
      <c r="C366" s="41"/>
      <c r="D366" s="41"/>
      <c r="E366" s="41"/>
      <c r="F366" s="41"/>
      <c r="G366" s="46"/>
      <c r="M366" s="21">
        <v>1</v>
      </c>
    </row>
    <row r="367" spans="2:13" ht="18">
      <c r="B367" s="41"/>
      <c r="C367" s="41"/>
      <c r="D367" s="41"/>
      <c r="E367" s="41"/>
      <c r="F367" s="41"/>
      <c r="G367" s="46"/>
      <c r="M367" s="21">
        <v>1</v>
      </c>
    </row>
    <row r="368" spans="2:13" ht="18">
      <c r="B368" s="41"/>
      <c r="C368" s="41"/>
      <c r="D368" s="41"/>
      <c r="E368" s="41"/>
      <c r="F368" s="41"/>
      <c r="G368" s="46"/>
      <c r="M368" s="21">
        <v>1</v>
      </c>
    </row>
    <row r="369" spans="2:13" ht="18">
      <c r="B369" s="41"/>
      <c r="C369" s="41"/>
      <c r="D369" s="41"/>
      <c r="E369" s="41"/>
      <c r="F369" s="41"/>
      <c r="G369" s="46"/>
      <c r="M369" s="21">
        <v>1</v>
      </c>
    </row>
    <row r="370" spans="2:13" ht="18">
      <c r="B370" s="41"/>
      <c r="C370" s="41"/>
      <c r="D370" s="41"/>
      <c r="E370" s="41"/>
      <c r="F370" s="41"/>
      <c r="G370" s="46"/>
      <c r="M370" s="21">
        <v>1</v>
      </c>
    </row>
    <row r="371" spans="2:13" ht="18">
      <c r="B371" s="41"/>
      <c r="C371" s="41"/>
      <c r="D371" s="41"/>
      <c r="E371" s="41"/>
      <c r="F371" s="41"/>
      <c r="G371" s="46"/>
      <c r="M371" s="21">
        <v>1</v>
      </c>
    </row>
    <row r="372" spans="2:13" ht="18">
      <c r="B372" s="41"/>
      <c r="C372" s="41"/>
      <c r="D372" s="41"/>
      <c r="E372" s="41"/>
      <c r="F372" s="41"/>
      <c r="G372" s="46"/>
      <c r="M372" s="21">
        <v>1</v>
      </c>
    </row>
    <row r="373" spans="2:13" ht="18">
      <c r="B373" s="41"/>
      <c r="C373" s="41"/>
      <c r="D373" s="41"/>
      <c r="E373" s="41"/>
      <c r="F373" s="41"/>
      <c r="G373" s="46"/>
      <c r="M373" s="21">
        <v>1</v>
      </c>
    </row>
    <row r="374" spans="2:13" ht="18">
      <c r="B374" s="41"/>
      <c r="C374" s="41"/>
      <c r="D374" s="41"/>
      <c r="E374" s="41"/>
      <c r="F374" s="41"/>
      <c r="G374" s="46"/>
      <c r="M374" s="21">
        <v>1</v>
      </c>
    </row>
    <row r="375" spans="2:13" ht="18">
      <c r="B375" s="41"/>
      <c r="C375" s="41"/>
      <c r="D375" s="41"/>
      <c r="E375" s="41"/>
      <c r="F375" s="41"/>
      <c r="G375" s="46"/>
      <c r="M375" s="21">
        <v>1</v>
      </c>
    </row>
    <row r="376" spans="2:13" ht="18">
      <c r="B376" s="41"/>
      <c r="C376" s="41"/>
      <c r="D376" s="41"/>
      <c r="E376" s="41"/>
      <c r="F376" s="41"/>
      <c r="G376" s="46"/>
      <c r="M376" s="21">
        <v>1</v>
      </c>
    </row>
    <row r="377" spans="2:13" ht="18">
      <c r="B377" s="41"/>
      <c r="C377" s="41"/>
      <c r="D377" s="41"/>
      <c r="E377" s="41"/>
      <c r="F377" s="41"/>
      <c r="G377" s="46"/>
      <c r="M377" s="21">
        <v>1</v>
      </c>
    </row>
    <row r="378" spans="2:13" ht="18">
      <c r="B378" s="41"/>
      <c r="C378" s="41"/>
      <c r="D378" s="41"/>
      <c r="E378" s="41"/>
      <c r="F378" s="41"/>
      <c r="G378" s="46"/>
      <c r="M378" s="21">
        <v>1</v>
      </c>
    </row>
    <row r="379" spans="2:13" ht="18">
      <c r="B379" s="41"/>
      <c r="C379" s="41"/>
      <c r="D379" s="41"/>
      <c r="E379" s="41"/>
      <c r="F379" s="41"/>
      <c r="G379" s="46"/>
      <c r="M379" s="21">
        <v>1</v>
      </c>
    </row>
    <row r="380" spans="2:13" ht="18">
      <c r="B380" s="41"/>
      <c r="C380" s="41"/>
      <c r="D380" s="41"/>
      <c r="E380" s="41"/>
      <c r="F380" s="41"/>
      <c r="G380" s="46"/>
      <c r="M380" s="21">
        <v>1</v>
      </c>
    </row>
    <row r="381" spans="2:13" ht="18">
      <c r="B381" s="41"/>
      <c r="C381" s="41"/>
      <c r="D381" s="41"/>
      <c r="E381" s="41"/>
      <c r="F381" s="41"/>
      <c r="G381" s="46"/>
      <c r="M381" s="21">
        <v>1</v>
      </c>
    </row>
    <row r="382" spans="2:13" ht="18">
      <c r="B382" s="41"/>
      <c r="C382" s="41"/>
      <c r="D382" s="41"/>
      <c r="E382" s="41"/>
      <c r="F382" s="41"/>
      <c r="G382" s="46"/>
      <c r="M382" s="21">
        <v>1</v>
      </c>
    </row>
    <row r="383" spans="2:13" ht="18">
      <c r="B383" s="41"/>
      <c r="C383" s="41"/>
      <c r="D383" s="41"/>
      <c r="E383" s="41"/>
      <c r="F383" s="41"/>
      <c r="G383" s="46"/>
      <c r="M383" s="21">
        <v>1</v>
      </c>
    </row>
    <row r="384" spans="2:13" ht="18">
      <c r="B384" s="41"/>
      <c r="C384" s="41"/>
      <c r="D384" s="41"/>
      <c r="E384" s="41"/>
      <c r="F384" s="41"/>
      <c r="G384" s="46"/>
      <c r="M384" s="21">
        <v>1</v>
      </c>
    </row>
    <row r="385" spans="2:13" ht="18">
      <c r="B385" s="41"/>
      <c r="C385" s="41"/>
      <c r="D385" s="41"/>
      <c r="E385" s="41"/>
      <c r="F385" s="41"/>
      <c r="G385" s="46"/>
      <c r="M385" s="21">
        <v>1</v>
      </c>
    </row>
    <row r="386" spans="2:13" ht="18">
      <c r="B386" s="41"/>
      <c r="C386" s="41"/>
      <c r="D386" s="41"/>
      <c r="E386" s="41"/>
      <c r="F386" s="41"/>
      <c r="G386" s="46"/>
      <c r="M386" s="21">
        <v>1</v>
      </c>
    </row>
    <row r="387" spans="2:13" ht="18">
      <c r="B387" s="41"/>
      <c r="C387" s="41"/>
      <c r="D387" s="41"/>
      <c r="E387" s="41"/>
      <c r="F387" s="41"/>
      <c r="G387" s="46"/>
      <c r="M387" s="21">
        <v>1</v>
      </c>
    </row>
    <row r="388" spans="2:13" ht="18">
      <c r="B388" s="41"/>
      <c r="C388" s="41"/>
      <c r="D388" s="41"/>
      <c r="E388" s="41"/>
      <c r="F388" s="41"/>
      <c r="G388" s="46"/>
      <c r="M388" s="21">
        <v>1</v>
      </c>
    </row>
    <row r="389" spans="2:13" ht="18">
      <c r="B389" s="41"/>
      <c r="C389" s="41"/>
      <c r="D389" s="41"/>
      <c r="E389" s="41"/>
      <c r="F389" s="41"/>
      <c r="G389" s="46"/>
      <c r="M389" s="21">
        <v>1</v>
      </c>
    </row>
    <row r="390" spans="2:13" ht="18">
      <c r="B390" s="41"/>
      <c r="C390" s="41"/>
      <c r="D390" s="41"/>
      <c r="E390" s="41"/>
      <c r="F390" s="41"/>
      <c r="G390" s="46"/>
      <c r="M390" s="21">
        <v>1</v>
      </c>
    </row>
    <row r="391" spans="2:13" ht="18">
      <c r="B391" s="41"/>
      <c r="C391" s="41"/>
      <c r="D391" s="41"/>
      <c r="E391" s="41"/>
      <c r="F391" s="41"/>
      <c r="G391" s="46"/>
      <c r="M391" s="21">
        <v>1</v>
      </c>
    </row>
    <row r="392" spans="2:13" ht="18">
      <c r="B392" s="41"/>
      <c r="C392" s="41"/>
      <c r="D392" s="41"/>
      <c r="E392" s="41"/>
      <c r="F392" s="41"/>
      <c r="G392" s="46"/>
      <c r="M392" s="21">
        <v>1</v>
      </c>
    </row>
    <row r="393" spans="2:13" ht="18">
      <c r="B393" s="41"/>
      <c r="C393" s="41"/>
      <c r="D393" s="41"/>
      <c r="E393" s="41"/>
      <c r="F393" s="41"/>
      <c r="G393" s="46"/>
      <c r="M393" s="21">
        <v>1</v>
      </c>
    </row>
    <row r="394" spans="2:13" ht="18">
      <c r="B394" s="41"/>
      <c r="C394" s="41"/>
      <c r="D394" s="41"/>
      <c r="E394" s="41"/>
      <c r="F394" s="41"/>
      <c r="G394" s="46"/>
      <c r="M394" s="21">
        <v>1</v>
      </c>
    </row>
    <row r="395" spans="2:13" ht="18">
      <c r="B395" s="41"/>
      <c r="C395" s="41"/>
      <c r="D395" s="41"/>
      <c r="E395" s="41"/>
      <c r="F395" s="41"/>
      <c r="G395" s="46"/>
      <c r="M395" s="21">
        <v>1</v>
      </c>
    </row>
    <row r="396" spans="2:13" ht="18">
      <c r="B396" s="41"/>
      <c r="C396" s="41"/>
      <c r="D396" s="41"/>
      <c r="E396" s="41"/>
      <c r="F396" s="41"/>
      <c r="G396" s="46"/>
      <c r="M396" s="21">
        <v>1</v>
      </c>
    </row>
    <row r="397" spans="2:13" ht="18">
      <c r="B397" s="41"/>
      <c r="C397" s="41"/>
      <c r="D397" s="41"/>
      <c r="E397" s="41"/>
      <c r="F397" s="41"/>
      <c r="G397" s="46"/>
      <c r="M397" s="21">
        <v>1</v>
      </c>
    </row>
    <row r="398" spans="2:13" ht="18">
      <c r="B398" s="41"/>
      <c r="C398" s="41"/>
      <c r="D398" s="41"/>
      <c r="E398" s="41"/>
      <c r="F398" s="41"/>
      <c r="G398" s="46"/>
      <c r="M398" s="21">
        <v>1</v>
      </c>
    </row>
    <row r="399" spans="2:13" ht="18">
      <c r="B399" s="41"/>
      <c r="C399" s="41"/>
      <c r="D399" s="41"/>
      <c r="E399" s="41"/>
      <c r="F399" s="41"/>
      <c r="G399" s="46"/>
      <c r="M399" s="21">
        <v>1</v>
      </c>
    </row>
    <row r="400" spans="2:13" ht="18">
      <c r="B400" s="41"/>
      <c r="C400" s="41"/>
      <c r="D400" s="41"/>
      <c r="E400" s="41"/>
      <c r="F400" s="41"/>
      <c r="G400" s="46"/>
      <c r="M400" s="21">
        <v>1</v>
      </c>
    </row>
    <row r="401" spans="2:13" ht="18">
      <c r="B401" s="41"/>
      <c r="C401" s="41"/>
      <c r="D401" s="41"/>
      <c r="E401" s="41"/>
      <c r="F401" s="41"/>
      <c r="G401" s="46"/>
      <c r="M401" s="21">
        <v>1</v>
      </c>
    </row>
    <row r="402" spans="2:13" ht="18">
      <c r="B402" s="41"/>
      <c r="C402" s="41"/>
      <c r="D402" s="41"/>
      <c r="E402" s="41"/>
      <c r="F402" s="41"/>
      <c r="G402" s="46"/>
      <c r="M402" s="21">
        <v>1</v>
      </c>
    </row>
    <row r="403" spans="2:13" ht="18">
      <c r="B403" s="41"/>
      <c r="C403" s="41"/>
      <c r="D403" s="41"/>
      <c r="E403" s="41"/>
      <c r="F403" s="41"/>
      <c r="G403" s="46"/>
      <c r="M403" s="21">
        <v>1</v>
      </c>
    </row>
    <row r="404" spans="2:13" ht="18">
      <c r="B404" s="41"/>
      <c r="C404" s="41"/>
      <c r="D404" s="41"/>
      <c r="E404" s="41"/>
      <c r="F404" s="41"/>
      <c r="G404" s="46"/>
      <c r="M404" s="21">
        <v>1</v>
      </c>
    </row>
    <row r="405" spans="2:13" ht="18">
      <c r="B405" s="41"/>
      <c r="C405" s="41"/>
      <c r="D405" s="41"/>
      <c r="E405" s="41"/>
      <c r="F405" s="41"/>
      <c r="G405" s="46"/>
      <c r="M405" s="21">
        <v>1</v>
      </c>
    </row>
    <row r="406" spans="2:13" ht="18">
      <c r="B406" s="41"/>
      <c r="C406" s="41"/>
      <c r="D406" s="41"/>
      <c r="E406" s="41"/>
      <c r="F406" s="41"/>
      <c r="G406" s="46"/>
      <c r="M406" s="21">
        <v>1</v>
      </c>
    </row>
    <row r="407" spans="2:13" ht="18">
      <c r="B407" s="41"/>
      <c r="C407" s="41"/>
      <c r="D407" s="41"/>
      <c r="E407" s="41"/>
      <c r="F407" s="41"/>
      <c r="G407" s="46"/>
      <c r="M407" s="21">
        <v>1</v>
      </c>
    </row>
    <row r="408" spans="2:13" ht="18">
      <c r="B408" s="41"/>
      <c r="C408" s="41"/>
      <c r="D408" s="41"/>
      <c r="E408" s="41"/>
      <c r="F408" s="41"/>
      <c r="G408" s="46"/>
      <c r="M408" s="21">
        <v>1</v>
      </c>
    </row>
    <row r="409" spans="2:13" ht="18">
      <c r="B409" s="41"/>
      <c r="C409" s="41"/>
      <c r="D409" s="41"/>
      <c r="E409" s="41"/>
      <c r="F409" s="41"/>
      <c r="G409" s="46"/>
      <c r="M409" s="21">
        <v>1</v>
      </c>
    </row>
    <row r="410" spans="2:13" ht="18">
      <c r="B410" s="41"/>
      <c r="C410" s="41"/>
      <c r="D410" s="41"/>
      <c r="E410" s="41"/>
      <c r="F410" s="41"/>
      <c r="G410" s="46"/>
      <c r="M410" s="21">
        <v>1</v>
      </c>
    </row>
    <row r="411" spans="2:13" ht="18">
      <c r="B411" s="41"/>
      <c r="C411" s="41"/>
      <c r="D411" s="41"/>
      <c r="E411" s="41"/>
      <c r="F411" s="41"/>
      <c r="G411" s="46"/>
      <c r="M411" s="21">
        <v>1</v>
      </c>
    </row>
    <row r="412" spans="2:13" ht="18">
      <c r="B412" s="41"/>
      <c r="C412" s="41"/>
      <c r="D412" s="41"/>
      <c r="E412" s="41"/>
      <c r="F412" s="41"/>
      <c r="G412" s="46"/>
      <c r="M412" s="21">
        <v>1</v>
      </c>
    </row>
    <row r="413" spans="2:13" ht="18">
      <c r="B413" s="41"/>
      <c r="C413" s="41"/>
      <c r="D413" s="41"/>
      <c r="E413" s="41"/>
      <c r="F413" s="41"/>
      <c r="G413" s="46"/>
      <c r="M413" s="21">
        <v>1</v>
      </c>
    </row>
    <row r="414" spans="2:13" ht="18">
      <c r="B414" s="41"/>
      <c r="C414" s="41"/>
      <c r="D414" s="41"/>
      <c r="E414" s="41"/>
      <c r="F414" s="41"/>
      <c r="G414" s="46"/>
      <c r="M414" s="21">
        <v>1</v>
      </c>
    </row>
    <row r="415" spans="2:13" ht="18">
      <c r="B415" s="41"/>
      <c r="C415" s="41"/>
      <c r="D415" s="41"/>
      <c r="E415" s="41"/>
      <c r="F415" s="41"/>
      <c r="G415" s="46"/>
      <c r="M415" s="21">
        <v>1</v>
      </c>
    </row>
    <row r="416" spans="2:13" ht="18">
      <c r="B416" s="41"/>
      <c r="C416" s="41"/>
      <c r="D416" s="41"/>
      <c r="E416" s="41"/>
      <c r="F416" s="41"/>
      <c r="G416" s="46"/>
      <c r="M416" s="21">
        <v>1</v>
      </c>
    </row>
    <row r="417" spans="2:13" ht="18">
      <c r="B417" s="41"/>
      <c r="C417" s="41"/>
      <c r="D417" s="41"/>
      <c r="E417" s="41"/>
      <c r="F417" s="41"/>
      <c r="G417" s="46"/>
      <c r="M417" s="21">
        <v>1</v>
      </c>
    </row>
    <row r="418" spans="2:13" ht="18">
      <c r="B418" s="41"/>
      <c r="C418" s="41"/>
      <c r="D418" s="41"/>
      <c r="E418" s="41"/>
      <c r="F418" s="41"/>
      <c r="G418" s="46"/>
      <c r="M418" s="21">
        <v>1</v>
      </c>
    </row>
    <row r="419" spans="2:13" ht="18">
      <c r="B419" s="41"/>
      <c r="C419" s="41"/>
      <c r="D419" s="41"/>
      <c r="E419" s="41"/>
      <c r="F419" s="41"/>
      <c r="G419" s="46"/>
      <c r="M419" s="21">
        <v>1</v>
      </c>
    </row>
    <row r="420" spans="2:13" ht="18">
      <c r="B420" s="41"/>
      <c r="C420" s="41"/>
      <c r="D420" s="41"/>
      <c r="E420" s="41"/>
      <c r="F420" s="41"/>
      <c r="G420" s="46"/>
      <c r="M420" s="21">
        <v>1</v>
      </c>
    </row>
    <row r="421" spans="2:13" ht="18">
      <c r="B421" s="41"/>
      <c r="C421" s="41"/>
      <c r="D421" s="41"/>
      <c r="E421" s="41"/>
      <c r="F421" s="41"/>
      <c r="G421" s="46"/>
      <c r="M421" s="21">
        <v>1</v>
      </c>
    </row>
    <row r="422" spans="2:13" ht="18">
      <c r="B422" s="41"/>
      <c r="C422" s="41"/>
      <c r="D422" s="41"/>
      <c r="E422" s="41"/>
      <c r="F422" s="41"/>
      <c r="G422" s="46"/>
      <c r="M422" s="21">
        <v>1</v>
      </c>
    </row>
    <row r="423" spans="2:13" ht="18">
      <c r="B423" s="41"/>
      <c r="C423" s="41"/>
      <c r="D423" s="41"/>
      <c r="E423" s="41"/>
      <c r="F423" s="41"/>
      <c r="G423" s="46"/>
      <c r="M423" s="21">
        <v>1</v>
      </c>
    </row>
    <row r="424" spans="2:13" ht="18">
      <c r="B424" s="41"/>
      <c r="C424" s="41"/>
      <c r="D424" s="41"/>
      <c r="E424" s="41"/>
      <c r="F424" s="41"/>
      <c r="G424" s="46"/>
      <c r="M424" s="21">
        <v>1</v>
      </c>
    </row>
    <row r="425" spans="2:13" ht="18">
      <c r="B425" s="41"/>
      <c r="C425" s="41"/>
      <c r="D425" s="41"/>
      <c r="E425" s="41"/>
      <c r="F425" s="41"/>
      <c r="G425" s="46"/>
      <c r="M425" s="21">
        <v>1</v>
      </c>
    </row>
    <row r="426" spans="2:13" ht="18">
      <c r="B426" s="41"/>
      <c r="C426" s="41"/>
      <c r="D426" s="41"/>
      <c r="E426" s="41"/>
      <c r="F426" s="41"/>
      <c r="G426" s="46"/>
      <c r="M426" s="21">
        <v>1</v>
      </c>
    </row>
    <row r="427" spans="2:13" ht="18">
      <c r="B427" s="41"/>
      <c r="C427" s="41"/>
      <c r="D427" s="41"/>
      <c r="E427" s="41"/>
      <c r="F427" s="41"/>
      <c r="G427" s="46"/>
      <c r="M427" s="21">
        <v>1</v>
      </c>
    </row>
    <row r="428" spans="2:13" ht="18">
      <c r="B428" s="41"/>
      <c r="C428" s="41"/>
      <c r="D428" s="41"/>
      <c r="E428" s="41"/>
      <c r="F428" s="41"/>
      <c r="G428" s="46"/>
      <c r="M428" s="21">
        <v>1</v>
      </c>
    </row>
    <row r="429" spans="2:13" ht="18">
      <c r="B429" s="41"/>
      <c r="C429" s="41"/>
      <c r="D429" s="41"/>
      <c r="E429" s="41"/>
      <c r="F429" s="41"/>
      <c r="G429" s="46"/>
      <c r="M429" s="21">
        <v>1</v>
      </c>
    </row>
    <row r="430" spans="2:13" ht="18">
      <c r="B430" s="41"/>
      <c r="C430" s="41"/>
      <c r="D430" s="41"/>
      <c r="E430" s="41"/>
      <c r="F430" s="41"/>
      <c r="G430" s="46"/>
      <c r="M430" s="21">
        <v>1</v>
      </c>
    </row>
    <row r="431" spans="2:13" ht="18">
      <c r="B431" s="41"/>
      <c r="C431" s="41"/>
      <c r="D431" s="41"/>
      <c r="E431" s="41"/>
      <c r="F431" s="41"/>
      <c r="G431" s="46"/>
      <c r="M431" s="21">
        <v>1</v>
      </c>
    </row>
    <row r="432" spans="2:13" ht="18">
      <c r="B432" s="41"/>
      <c r="C432" s="41"/>
      <c r="D432" s="41"/>
      <c r="E432" s="41"/>
      <c r="F432" s="41"/>
      <c r="G432" s="46"/>
      <c r="M432" s="21">
        <v>1</v>
      </c>
    </row>
    <row r="433" spans="2:13" ht="18">
      <c r="B433" s="41"/>
      <c r="C433" s="41"/>
      <c r="D433" s="41"/>
      <c r="E433" s="41"/>
      <c r="F433" s="41"/>
      <c r="G433" s="46"/>
      <c r="M433" s="21">
        <v>1</v>
      </c>
    </row>
    <row r="434" spans="2:13" ht="18">
      <c r="B434" s="41"/>
      <c r="C434" s="41"/>
      <c r="D434" s="41"/>
      <c r="E434" s="41"/>
      <c r="F434" s="41"/>
      <c r="G434" s="46"/>
      <c r="M434" s="21">
        <v>1</v>
      </c>
    </row>
    <row r="435" spans="2:13" ht="18">
      <c r="B435" s="41"/>
      <c r="C435" s="41"/>
      <c r="D435" s="41"/>
      <c r="E435" s="41"/>
      <c r="F435" s="41"/>
      <c r="G435" s="46"/>
      <c r="M435" s="21">
        <v>1</v>
      </c>
    </row>
    <row r="436" spans="2:13" ht="18">
      <c r="B436" s="41"/>
      <c r="C436" s="41"/>
      <c r="D436" s="41"/>
      <c r="E436" s="41"/>
      <c r="F436" s="41"/>
      <c r="G436" s="46"/>
      <c r="M436" s="21">
        <v>1</v>
      </c>
    </row>
    <row r="437" spans="2:13" ht="18">
      <c r="B437" s="41"/>
      <c r="C437" s="41"/>
      <c r="D437" s="41"/>
      <c r="E437" s="41"/>
      <c r="F437" s="41"/>
      <c r="G437" s="46"/>
      <c r="M437" s="21">
        <v>1</v>
      </c>
    </row>
    <row r="438" spans="2:13" ht="18">
      <c r="B438" s="41"/>
      <c r="C438" s="41"/>
      <c r="D438" s="41"/>
      <c r="E438" s="41"/>
      <c r="F438" s="41"/>
      <c r="G438" s="46"/>
      <c r="M438" s="21">
        <v>1</v>
      </c>
    </row>
    <row r="439" spans="2:13" ht="18">
      <c r="B439" s="41"/>
      <c r="C439" s="41"/>
      <c r="D439" s="41"/>
      <c r="E439" s="41"/>
      <c r="F439" s="41"/>
      <c r="G439" s="46"/>
      <c r="M439" s="21">
        <v>1</v>
      </c>
    </row>
    <row r="440" spans="2:13" ht="18">
      <c r="B440" s="41"/>
      <c r="C440" s="41"/>
      <c r="D440" s="41"/>
      <c r="E440" s="41"/>
      <c r="F440" s="41"/>
      <c r="G440" s="46"/>
      <c r="M440" s="21">
        <v>1</v>
      </c>
    </row>
    <row r="441" spans="2:13" ht="18">
      <c r="B441" s="41"/>
      <c r="C441" s="41"/>
      <c r="D441" s="41"/>
      <c r="E441" s="41"/>
      <c r="F441" s="41"/>
      <c r="G441" s="46"/>
      <c r="M441" s="21">
        <v>1</v>
      </c>
    </row>
    <row r="442" spans="2:13" ht="18">
      <c r="B442" s="41"/>
      <c r="C442" s="41"/>
      <c r="D442" s="41"/>
      <c r="E442" s="41"/>
      <c r="F442" s="41"/>
      <c r="G442" s="46"/>
      <c r="M442" s="21">
        <v>1</v>
      </c>
    </row>
    <row r="443" spans="2:13" ht="18">
      <c r="B443" s="41"/>
      <c r="C443" s="41"/>
      <c r="D443" s="41"/>
      <c r="E443" s="41"/>
      <c r="F443" s="41"/>
      <c r="G443" s="46"/>
      <c r="M443" s="21">
        <v>1</v>
      </c>
    </row>
    <row r="444" spans="2:13" ht="18">
      <c r="B444" s="41"/>
      <c r="C444" s="41"/>
      <c r="D444" s="41"/>
      <c r="E444" s="41"/>
      <c r="F444" s="41"/>
      <c r="G444" s="46"/>
      <c r="M444" s="21">
        <v>1</v>
      </c>
    </row>
    <row r="445" spans="2:13" ht="18">
      <c r="B445" s="41"/>
      <c r="C445" s="41"/>
      <c r="D445" s="41"/>
      <c r="E445" s="41"/>
      <c r="F445" s="41"/>
      <c r="G445" s="46"/>
      <c r="M445" s="21">
        <v>1</v>
      </c>
    </row>
    <row r="446" spans="2:13" ht="18">
      <c r="B446" s="41"/>
      <c r="C446" s="41"/>
      <c r="D446" s="41"/>
      <c r="E446" s="41"/>
      <c r="F446" s="41"/>
      <c r="G446" s="46"/>
      <c r="M446" s="21">
        <v>1</v>
      </c>
    </row>
    <row r="447" spans="2:13" ht="18">
      <c r="B447" s="41"/>
      <c r="C447" s="41"/>
      <c r="D447" s="41"/>
      <c r="E447" s="41"/>
      <c r="F447" s="41"/>
      <c r="G447" s="46"/>
      <c r="M447" s="21">
        <v>1</v>
      </c>
    </row>
    <row r="448" spans="2:13" ht="18">
      <c r="B448" s="41"/>
      <c r="C448" s="41"/>
      <c r="D448" s="41"/>
      <c r="E448" s="41"/>
      <c r="F448" s="41"/>
      <c r="G448" s="46"/>
      <c r="M448" s="21">
        <v>1</v>
      </c>
    </row>
    <row r="449" spans="2:13" ht="27.75" thickBot="1">
      <c r="B449" s="42" t="s">
        <v>3</v>
      </c>
      <c r="C449" s="42" t="s">
        <v>3</v>
      </c>
      <c r="D449" s="42" t="s">
        <v>3</v>
      </c>
      <c r="E449" s="43" t="s">
        <v>3</v>
      </c>
      <c r="F449" s="43" t="s">
        <v>3</v>
      </c>
      <c r="G449" s="44" t="s">
        <v>3</v>
      </c>
      <c r="M449" s="21" t="s">
        <v>3</v>
      </c>
    </row>
    <row r="450" spans="2:13" ht="13.5" thickTop="1"/>
  </sheetData>
  <sheetProtection sheet="1" objects="1" scenarios="1" selectLockedCells="1"/>
  <customSheetViews>
    <customSheetView guid="{43751384-8D2C-4877-853C-4CE893CAF1E6}" showGridLines="0" showRowCol="0">
      <pane ySplit="8" topLeftCell="A267" activePane="bottomLeft" state="frozen"/>
      <selection pane="bottomLeft" activeCell="I4" sqref="I4"/>
      <pageMargins left="0.7" right="0.7" top="0.75" bottom="0.75" header="0.3" footer="0.3"/>
    </customSheetView>
    <customSheetView guid="{D80F4FD6-7D6D-4832-9A2E-4DEB1E783FB1}" showGridLines="0" showRowCol="0">
      <pane ySplit="8" topLeftCell="A87" activePane="bottomLeft" state="frozen"/>
      <selection pane="bottomLeft" activeCell="I3" sqref="I3"/>
      <pageMargins left="0.7" right="0.7" top="0.75" bottom="0.75" header="0.3" footer="0.3"/>
    </customSheetView>
    <customSheetView guid="{0A4EA429-3B60-4229-BB25-AADA8CCE0D84}" showGridLines="0" showRowCol="0">
      <pane ySplit="8" topLeftCell="A39" activePane="bottomLeft" state="frozen"/>
      <selection pane="bottomLeft" activeCell="C41" sqref="C41"/>
      <pageMargins left="0.7" right="0.7" top="0.75" bottom="0.75" header="0.3" footer="0.3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448">
      <formula1>$O$10:$O$29</formula1>
    </dataValidation>
    <dataValidation type="list" allowBlank="1" showDropDown="1" showInputMessage="1" showErrorMessage="1" sqref="C9:C448">
      <formula1>$O$32:$O$53</formula1>
    </dataValidation>
    <dataValidation type="list" allowBlank="1" showDropDown="1" showInputMessage="1" showErrorMessage="1" sqref="B9:B448">
      <formula1>$B$6</formula1>
    </dataValidation>
    <dataValidation allowBlank="1" showInputMessage="1" showErrorMessage="1" errorTitle="Dato no valido" error="El valor esta fuera de rango [0,30] o No es un numero" sqref="E9:G448"/>
  </dataValidations>
  <hyperlinks>
    <hyperlink ref="I2" location="PPrincipal!A1" display="* Pagina Principal"/>
    <hyperlink ref="I3" location="Anzoategui!A1" display="Anzoátegui"/>
    <hyperlink ref="I4" location="Monagas!A1" display="Monagas"/>
    <hyperlink ref="I5" location="'Nueva Esparta'!A1" display="Nueva Esparta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5" sqref="J5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6"/>
    </row>
    <row r="2" spans="1:11" ht="15" customHeight="1">
      <c r="J2" s="79" t="s">
        <v>7</v>
      </c>
      <c r="K2" s="108"/>
    </row>
    <row r="3" spans="1:11" ht="15" customHeight="1">
      <c r="J3" s="79" t="s">
        <v>78</v>
      </c>
      <c r="K3" s="108"/>
    </row>
    <row r="4" spans="1:11" ht="15" customHeight="1">
      <c r="J4" s="79" t="s">
        <v>79</v>
      </c>
      <c r="K4" s="108"/>
    </row>
    <row r="5" spans="1:11" ht="15" customHeight="1">
      <c r="G5" s="56"/>
      <c r="J5" s="79" t="s">
        <v>80</v>
      </c>
      <c r="K5" s="108"/>
    </row>
    <row r="6" spans="1:11" ht="15" customHeight="1">
      <c r="A6" s="185" t="s">
        <v>45</v>
      </c>
      <c r="B6" s="185"/>
      <c r="C6" s="185"/>
      <c r="D6" s="185"/>
      <c r="E6" s="185"/>
      <c r="F6" s="185"/>
      <c r="J6" s="79"/>
    </row>
    <row r="25" spans="2:7" ht="22.5" customHeight="1">
      <c r="B25" s="185"/>
      <c r="C25" s="185"/>
      <c r="D25" s="185"/>
      <c r="E25" s="185"/>
      <c r="F25" s="185"/>
      <c r="G25" s="185"/>
    </row>
    <row r="44" spans="7:7" ht="22.5" customHeight="1">
      <c r="G44" s="56"/>
    </row>
  </sheetData>
  <customSheetViews>
    <customSheetView guid="{43751384-8D2C-4877-853C-4CE893CAF1E6}" showGridLines="0" showRowCol="0">
      <selection activeCell="J5" sqref="J5"/>
      <pageMargins left="0.7" right="0.7" top="0.75" bottom="0.75" header="0.3" footer="0.3"/>
    </customSheetView>
    <customSheetView guid="{D80F4FD6-7D6D-4832-9A2E-4DEB1E783FB1}" showGridLines="0" showRowCol="0">
      <selection activeCell="J5" sqref="J5"/>
      <pageMargins left="0.7" right="0.7" top="0.75" bottom="0.75" header="0.3" footer="0.3"/>
    </customSheetView>
    <customSheetView guid="{0A4EA429-3B60-4229-BB25-AADA8CCE0D84}" scale="60" showPageBreaks="1" showGridLines="0" showRowCol="0" printArea="1" view="pageBreakPreview">
      <selection activeCell="J4" sqref="J4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Anzoategui!A1" display="Anzoátegui"/>
    <hyperlink ref="J4" location="GMonagas!A1" display="Monagas"/>
    <hyperlink ref="J5" location="'GNueva Esparta'!A1" display="Nueva Esparta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37"/>
  <sheetViews>
    <sheetView showGridLines="0" showRowColHeaders="0" workbookViewId="0">
      <selection activeCell="Y5" sqref="Y5"/>
    </sheetView>
  </sheetViews>
  <sheetFormatPr baseColWidth="10" defaultColWidth="5.85546875" defaultRowHeight="15" customHeight="1"/>
  <cols>
    <col min="1" max="1" width="1.140625" style="67" customWidth="1"/>
    <col min="2" max="2" width="7.28515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7.7109375" style="67" customWidth="1"/>
    <col min="25" max="25" width="12.85546875" style="67" customWidth="1"/>
    <col min="26" max="26" width="12.7109375" style="67" customWidth="1"/>
    <col min="27" max="27" width="10.42578125" style="67" customWidth="1"/>
    <col min="28" max="16384" width="5.85546875" style="67"/>
  </cols>
  <sheetData>
    <row r="1" spans="1:29" ht="31.5" customHeight="1">
      <c r="A1" s="67" t="s">
        <v>13</v>
      </c>
      <c r="B1" s="186" t="s">
        <v>8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9" ht="15" customHeight="1">
      <c r="C2" s="84"/>
      <c r="I2" s="78"/>
      <c r="J2" s="78"/>
      <c r="Y2" s="79" t="s">
        <v>7</v>
      </c>
      <c r="Z2" s="84"/>
      <c r="AA2" s="85"/>
      <c r="AB2" s="85"/>
      <c r="AC2" s="85"/>
    </row>
    <row r="3" spans="1:29" ht="15" customHeight="1">
      <c r="J3" s="78"/>
      <c r="Y3" s="79" t="s">
        <v>78</v>
      </c>
    </row>
    <row r="4" spans="1:29" ht="15" customHeight="1">
      <c r="C4" s="84"/>
      <c r="I4" s="78"/>
      <c r="J4" s="78"/>
      <c r="Y4" s="79" t="s">
        <v>79</v>
      </c>
      <c r="Z4" s="84"/>
      <c r="AA4" s="85"/>
      <c r="AB4" s="85"/>
      <c r="AC4" s="85"/>
    </row>
    <row r="5" spans="1:29" ht="15" customHeight="1">
      <c r="C5" s="84"/>
      <c r="I5" s="78"/>
      <c r="J5" s="78"/>
      <c r="Y5" s="79" t="s">
        <v>80</v>
      </c>
      <c r="Z5" s="84"/>
      <c r="AA5" s="85"/>
      <c r="AB5" s="85"/>
      <c r="AC5" s="85"/>
    </row>
    <row r="6" spans="1:29" s="1" customFormat="1" ht="30.7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Y6" s="79"/>
    </row>
    <row r="7" spans="1:29" s="65" customFormat="1" ht="15" customHeight="1">
      <c r="A7" s="58"/>
      <c r="B7" s="71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X7" s="197" t="s">
        <v>6</v>
      </c>
      <c r="Y7" s="197" t="s">
        <v>42</v>
      </c>
      <c r="Z7" s="197" t="s">
        <v>43</v>
      </c>
      <c r="AA7" s="197" t="s">
        <v>4</v>
      </c>
    </row>
    <row r="8" spans="1:29" ht="15" customHeight="1" thickBot="1">
      <c r="A8" s="66"/>
      <c r="B8" s="166" t="s">
        <v>2</v>
      </c>
      <c r="C8" s="167">
        <v>1</v>
      </c>
      <c r="D8" s="168">
        <v>2</v>
      </c>
      <c r="E8" s="168">
        <v>3</v>
      </c>
      <c r="F8" s="168">
        <v>4</v>
      </c>
      <c r="G8" s="168">
        <v>5</v>
      </c>
      <c r="H8" s="168">
        <v>6</v>
      </c>
      <c r="I8" s="168">
        <v>7</v>
      </c>
      <c r="J8" s="168">
        <v>8</v>
      </c>
      <c r="K8" s="168">
        <v>9</v>
      </c>
      <c r="L8" s="168">
        <v>10</v>
      </c>
      <c r="M8" s="168">
        <v>11</v>
      </c>
      <c r="N8" s="168">
        <v>12</v>
      </c>
      <c r="O8" s="168">
        <v>13</v>
      </c>
      <c r="P8" s="168">
        <v>14</v>
      </c>
      <c r="Q8" s="168">
        <v>15</v>
      </c>
      <c r="R8" s="168">
        <v>16</v>
      </c>
      <c r="S8" s="168">
        <v>17</v>
      </c>
      <c r="T8" s="168">
        <v>18</v>
      </c>
      <c r="U8" s="168">
        <v>19</v>
      </c>
      <c r="V8" s="169">
        <v>20</v>
      </c>
      <c r="X8" s="198"/>
      <c r="Y8" s="198"/>
      <c r="Z8" s="198"/>
      <c r="AA8" s="198"/>
    </row>
    <row r="9" spans="1:29" ht="15" customHeight="1">
      <c r="A9" s="66"/>
      <c r="B9" s="165">
        <v>29</v>
      </c>
      <c r="C9" s="70">
        <f t="shared" ref="C9:L24" si="0">SUMIFS(SumaSU,CentroSU,$B9,TurnoSU,C$8)</f>
        <v>3</v>
      </c>
      <c r="D9" s="70">
        <f t="shared" si="0"/>
        <v>2</v>
      </c>
      <c r="E9" s="70">
        <f t="shared" si="0"/>
        <v>2</v>
      </c>
      <c r="F9" s="70">
        <f t="shared" si="0"/>
        <v>2</v>
      </c>
      <c r="G9" s="70">
        <f t="shared" si="0"/>
        <v>2</v>
      </c>
      <c r="H9" s="70">
        <f t="shared" si="0"/>
        <v>2</v>
      </c>
      <c r="I9" s="70">
        <f t="shared" si="0"/>
        <v>2</v>
      </c>
      <c r="J9" s="70">
        <f t="shared" si="0"/>
        <v>1</v>
      </c>
      <c r="K9" s="70">
        <f t="shared" si="0"/>
        <v>2</v>
      </c>
      <c r="L9" s="70">
        <f t="shared" si="0"/>
        <v>2</v>
      </c>
      <c r="M9" s="70">
        <f t="shared" ref="M9:V24" si="1">SUMIFS(SumaSU,CentroSU,$B9,TurnoSU,M$8)</f>
        <v>3</v>
      </c>
      <c r="N9" s="70">
        <f t="shared" si="1"/>
        <v>2</v>
      </c>
      <c r="O9" s="70">
        <f t="shared" si="1"/>
        <v>2</v>
      </c>
      <c r="P9" s="70">
        <f t="shared" si="1"/>
        <v>0</v>
      </c>
      <c r="Q9" s="70">
        <f t="shared" si="1"/>
        <v>0</v>
      </c>
      <c r="R9" s="70">
        <f t="shared" si="1"/>
        <v>0</v>
      </c>
      <c r="S9" s="70">
        <f t="shared" si="1"/>
        <v>0</v>
      </c>
      <c r="T9" s="70">
        <f t="shared" si="1"/>
        <v>1</v>
      </c>
      <c r="U9" s="70">
        <f t="shared" si="1"/>
        <v>0</v>
      </c>
      <c r="V9" s="135">
        <f t="shared" si="1"/>
        <v>0</v>
      </c>
      <c r="X9" s="97" t="s">
        <v>23</v>
      </c>
      <c r="Y9" s="99">
        <f t="shared" ref="Y9:Y30" si="2">SUMIF(CentroSU,$B9,Enrique_Maestre)</f>
        <v>473</v>
      </c>
      <c r="Z9" s="99">
        <f t="shared" ref="Z9:Z30" si="3">SUMIF(CentroSU,$B9,Eduardo_Morales_Gil)</f>
        <v>146</v>
      </c>
      <c r="AA9" s="99">
        <f t="shared" ref="AA9:AA30" si="4">SUMIF(CentroSU,$B9,OtroSU)</f>
        <v>54</v>
      </c>
    </row>
    <row r="10" spans="1:29" ht="15" customHeight="1">
      <c r="A10" s="66"/>
      <c r="B10" s="143">
        <v>30</v>
      </c>
      <c r="C10" s="70">
        <f t="shared" si="0"/>
        <v>1</v>
      </c>
      <c r="D10" s="70">
        <f t="shared" si="0"/>
        <v>1</v>
      </c>
      <c r="E10" s="70">
        <f t="shared" si="0"/>
        <v>1</v>
      </c>
      <c r="F10" s="70">
        <f t="shared" si="0"/>
        <v>1</v>
      </c>
      <c r="G10" s="70">
        <f t="shared" si="0"/>
        <v>2</v>
      </c>
      <c r="H10" s="70">
        <f t="shared" si="0"/>
        <v>2</v>
      </c>
      <c r="I10" s="70">
        <f t="shared" si="0"/>
        <v>2</v>
      </c>
      <c r="J10" s="70">
        <f t="shared" si="0"/>
        <v>2</v>
      </c>
      <c r="K10" s="70">
        <f t="shared" si="0"/>
        <v>1</v>
      </c>
      <c r="L10" s="70">
        <f t="shared" si="0"/>
        <v>2</v>
      </c>
      <c r="M10" s="70">
        <f t="shared" si="1"/>
        <v>1</v>
      </c>
      <c r="N10" s="70">
        <f t="shared" si="1"/>
        <v>0</v>
      </c>
      <c r="O10" s="70">
        <f t="shared" si="1"/>
        <v>0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5">
        <f t="shared" si="1"/>
        <v>0</v>
      </c>
      <c r="X10" s="98" t="s">
        <v>23</v>
      </c>
      <c r="Y10" s="99">
        <f t="shared" si="2"/>
        <v>173</v>
      </c>
      <c r="Z10" s="99">
        <f t="shared" si="3"/>
        <v>232</v>
      </c>
      <c r="AA10" s="99">
        <f t="shared" si="4"/>
        <v>9</v>
      </c>
    </row>
    <row r="11" spans="1:29" ht="15" customHeight="1">
      <c r="A11" s="66"/>
      <c r="B11" s="143">
        <v>31</v>
      </c>
      <c r="C11" s="70">
        <f t="shared" si="0"/>
        <v>1</v>
      </c>
      <c r="D11" s="70">
        <f t="shared" si="0"/>
        <v>1</v>
      </c>
      <c r="E11" s="70">
        <f t="shared" si="0"/>
        <v>1</v>
      </c>
      <c r="F11" s="70">
        <f t="shared" si="0"/>
        <v>1</v>
      </c>
      <c r="G11" s="70">
        <f t="shared" si="0"/>
        <v>1</v>
      </c>
      <c r="H11" s="70">
        <f t="shared" si="0"/>
        <v>1</v>
      </c>
      <c r="I11" s="70">
        <f t="shared" si="0"/>
        <v>1</v>
      </c>
      <c r="J11" s="70">
        <f t="shared" si="0"/>
        <v>1</v>
      </c>
      <c r="K11" s="70">
        <f t="shared" si="0"/>
        <v>1</v>
      </c>
      <c r="L11" s="70">
        <f t="shared" si="0"/>
        <v>2</v>
      </c>
      <c r="M11" s="70">
        <f t="shared" si="1"/>
        <v>0</v>
      </c>
      <c r="N11" s="70">
        <f t="shared" si="1"/>
        <v>0</v>
      </c>
      <c r="O11" s="70">
        <f t="shared" si="1"/>
        <v>0</v>
      </c>
      <c r="P11" s="70">
        <f t="shared" si="1"/>
        <v>0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5">
        <f t="shared" si="1"/>
        <v>0</v>
      </c>
      <c r="X11" s="98" t="s">
        <v>46</v>
      </c>
      <c r="Y11" s="99">
        <f t="shared" si="2"/>
        <v>196</v>
      </c>
      <c r="Z11" s="99">
        <f t="shared" si="3"/>
        <v>89</v>
      </c>
      <c r="AA11" s="99">
        <f t="shared" si="4"/>
        <v>2</v>
      </c>
    </row>
    <row r="12" spans="1:29" ht="15" customHeight="1">
      <c r="A12" s="66"/>
      <c r="B12" s="143">
        <v>32</v>
      </c>
      <c r="C12" s="70">
        <f t="shared" si="0"/>
        <v>0</v>
      </c>
      <c r="D12" s="70">
        <f t="shared" si="0"/>
        <v>1</v>
      </c>
      <c r="E12" s="70">
        <f t="shared" si="0"/>
        <v>1</v>
      </c>
      <c r="F12" s="70">
        <f t="shared" si="0"/>
        <v>2</v>
      </c>
      <c r="G12" s="70">
        <f t="shared" si="0"/>
        <v>2</v>
      </c>
      <c r="H12" s="70">
        <f t="shared" si="0"/>
        <v>2</v>
      </c>
      <c r="I12" s="70">
        <f t="shared" si="0"/>
        <v>2</v>
      </c>
      <c r="J12" s="70">
        <f t="shared" si="0"/>
        <v>1</v>
      </c>
      <c r="K12" s="70">
        <f t="shared" si="0"/>
        <v>2</v>
      </c>
      <c r="L12" s="70">
        <f t="shared" si="0"/>
        <v>0</v>
      </c>
      <c r="M12" s="70">
        <f t="shared" si="1"/>
        <v>1</v>
      </c>
      <c r="N12" s="70">
        <f t="shared" si="1"/>
        <v>0</v>
      </c>
      <c r="O12" s="70">
        <f t="shared" si="1"/>
        <v>0</v>
      </c>
      <c r="P12" s="70">
        <f t="shared" si="1"/>
        <v>0</v>
      </c>
      <c r="Q12" s="70">
        <f t="shared" si="1"/>
        <v>0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135">
        <f t="shared" si="1"/>
        <v>0</v>
      </c>
      <c r="X12" s="98" t="s">
        <v>46</v>
      </c>
      <c r="Y12" s="99">
        <f t="shared" si="2"/>
        <v>190</v>
      </c>
      <c r="Z12" s="99">
        <f t="shared" si="3"/>
        <v>61</v>
      </c>
      <c r="AA12" s="99">
        <f t="shared" si="4"/>
        <v>75</v>
      </c>
    </row>
    <row r="13" spans="1:29" ht="15" customHeight="1">
      <c r="A13" s="66"/>
      <c r="B13" s="143">
        <v>33</v>
      </c>
      <c r="C13" s="70">
        <f t="shared" si="0"/>
        <v>1</v>
      </c>
      <c r="D13" s="70">
        <f t="shared" si="0"/>
        <v>1</v>
      </c>
      <c r="E13" s="70">
        <f t="shared" si="0"/>
        <v>1</v>
      </c>
      <c r="F13" s="70">
        <f t="shared" si="0"/>
        <v>1</v>
      </c>
      <c r="G13" s="70">
        <f t="shared" si="0"/>
        <v>1</v>
      </c>
      <c r="H13" s="70">
        <f t="shared" si="0"/>
        <v>1</v>
      </c>
      <c r="I13" s="70">
        <f t="shared" si="0"/>
        <v>1</v>
      </c>
      <c r="J13" s="70">
        <f t="shared" si="0"/>
        <v>1</v>
      </c>
      <c r="K13" s="70">
        <f t="shared" si="0"/>
        <v>1</v>
      </c>
      <c r="L13" s="70">
        <f t="shared" si="0"/>
        <v>1</v>
      </c>
      <c r="M13" s="70">
        <f t="shared" si="1"/>
        <v>1</v>
      </c>
      <c r="N13" s="70">
        <f t="shared" si="1"/>
        <v>1</v>
      </c>
      <c r="O13" s="70">
        <f t="shared" si="1"/>
        <v>1</v>
      </c>
      <c r="P13" s="70">
        <f t="shared" si="1"/>
        <v>1</v>
      </c>
      <c r="Q13" s="70">
        <f t="shared" si="1"/>
        <v>0</v>
      </c>
      <c r="R13" s="70">
        <f t="shared" si="1"/>
        <v>0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5">
        <f t="shared" si="1"/>
        <v>0</v>
      </c>
      <c r="X13" s="98" t="s">
        <v>46</v>
      </c>
      <c r="Y13" s="99">
        <f t="shared" si="2"/>
        <v>145</v>
      </c>
      <c r="Z13" s="99">
        <f t="shared" si="3"/>
        <v>65</v>
      </c>
      <c r="AA13" s="99">
        <f t="shared" si="4"/>
        <v>13</v>
      </c>
    </row>
    <row r="14" spans="1:29" ht="15" customHeight="1">
      <c r="B14" s="143">
        <v>34</v>
      </c>
      <c r="C14" s="70">
        <f t="shared" si="0"/>
        <v>1</v>
      </c>
      <c r="D14" s="70">
        <f t="shared" si="0"/>
        <v>1</v>
      </c>
      <c r="E14" s="70">
        <f t="shared" si="0"/>
        <v>1</v>
      </c>
      <c r="F14" s="70">
        <f t="shared" si="0"/>
        <v>1</v>
      </c>
      <c r="G14" s="70">
        <f t="shared" si="0"/>
        <v>1</v>
      </c>
      <c r="H14" s="70">
        <f t="shared" si="0"/>
        <v>1</v>
      </c>
      <c r="I14" s="70">
        <f t="shared" si="0"/>
        <v>1</v>
      </c>
      <c r="J14" s="70">
        <f t="shared" si="0"/>
        <v>1</v>
      </c>
      <c r="K14" s="70">
        <f t="shared" si="0"/>
        <v>1</v>
      </c>
      <c r="L14" s="70">
        <f t="shared" si="0"/>
        <v>1</v>
      </c>
      <c r="M14" s="70">
        <f t="shared" si="1"/>
        <v>1</v>
      </c>
      <c r="N14" s="70">
        <f t="shared" si="1"/>
        <v>0</v>
      </c>
      <c r="O14" s="70">
        <f t="shared" si="1"/>
        <v>0</v>
      </c>
      <c r="P14" s="70">
        <f t="shared" si="1"/>
        <v>0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5">
        <f t="shared" si="1"/>
        <v>0</v>
      </c>
      <c r="X14" s="98" t="s">
        <v>46</v>
      </c>
      <c r="Y14" s="99">
        <f t="shared" si="2"/>
        <v>173</v>
      </c>
      <c r="Z14" s="99">
        <f t="shared" si="3"/>
        <v>185</v>
      </c>
      <c r="AA14" s="99">
        <f t="shared" si="4"/>
        <v>47</v>
      </c>
    </row>
    <row r="15" spans="1:29" ht="15" customHeight="1">
      <c r="B15" s="143">
        <v>35</v>
      </c>
      <c r="C15" s="70">
        <f t="shared" si="0"/>
        <v>1</v>
      </c>
      <c r="D15" s="70">
        <f t="shared" si="0"/>
        <v>1</v>
      </c>
      <c r="E15" s="70">
        <f t="shared" si="0"/>
        <v>0</v>
      </c>
      <c r="F15" s="70">
        <f t="shared" si="0"/>
        <v>0</v>
      </c>
      <c r="G15" s="70">
        <f t="shared" si="0"/>
        <v>0</v>
      </c>
      <c r="H15" s="70">
        <f t="shared" si="0"/>
        <v>0</v>
      </c>
      <c r="I15" s="70">
        <f t="shared" si="0"/>
        <v>0</v>
      </c>
      <c r="J15" s="70">
        <f t="shared" si="0"/>
        <v>0</v>
      </c>
      <c r="K15" s="70">
        <f t="shared" si="0"/>
        <v>0</v>
      </c>
      <c r="L15" s="70">
        <f t="shared" si="0"/>
        <v>0</v>
      </c>
      <c r="M15" s="70">
        <f t="shared" si="1"/>
        <v>0</v>
      </c>
      <c r="N15" s="70">
        <f t="shared" si="1"/>
        <v>0</v>
      </c>
      <c r="O15" s="70">
        <f t="shared" si="1"/>
        <v>0</v>
      </c>
      <c r="P15" s="70">
        <f t="shared" si="1"/>
        <v>0</v>
      </c>
      <c r="Q15" s="70">
        <f t="shared" si="1"/>
        <v>0</v>
      </c>
      <c r="R15" s="70">
        <f t="shared" si="1"/>
        <v>0</v>
      </c>
      <c r="S15" s="70">
        <f t="shared" si="1"/>
        <v>0</v>
      </c>
      <c r="T15" s="70">
        <f t="shared" si="1"/>
        <v>0</v>
      </c>
      <c r="U15" s="70">
        <f t="shared" si="1"/>
        <v>0</v>
      </c>
      <c r="V15" s="135">
        <f t="shared" si="1"/>
        <v>0</v>
      </c>
      <c r="W15" s="68"/>
      <c r="X15" s="98" t="s">
        <v>46</v>
      </c>
      <c r="Y15" s="99">
        <f t="shared" si="2"/>
        <v>10</v>
      </c>
      <c r="Z15" s="99">
        <f t="shared" si="3"/>
        <v>8</v>
      </c>
      <c r="AA15" s="99">
        <f t="shared" si="4"/>
        <v>1</v>
      </c>
    </row>
    <row r="16" spans="1:29" ht="15" customHeight="1">
      <c r="B16" s="143">
        <v>36</v>
      </c>
      <c r="C16" s="70">
        <f t="shared" si="0"/>
        <v>0</v>
      </c>
      <c r="D16" s="70">
        <f t="shared" si="0"/>
        <v>1</v>
      </c>
      <c r="E16" s="70">
        <f t="shared" si="0"/>
        <v>0</v>
      </c>
      <c r="F16" s="70">
        <f t="shared" si="0"/>
        <v>1</v>
      </c>
      <c r="G16" s="70">
        <f t="shared" si="0"/>
        <v>1</v>
      </c>
      <c r="H16" s="70">
        <f t="shared" si="0"/>
        <v>1</v>
      </c>
      <c r="I16" s="70">
        <f t="shared" si="0"/>
        <v>0</v>
      </c>
      <c r="J16" s="70">
        <f t="shared" si="0"/>
        <v>2</v>
      </c>
      <c r="K16" s="70">
        <f t="shared" si="0"/>
        <v>1</v>
      </c>
      <c r="L16" s="70">
        <f t="shared" si="0"/>
        <v>1</v>
      </c>
      <c r="M16" s="70">
        <f t="shared" si="1"/>
        <v>1</v>
      </c>
      <c r="N16" s="70">
        <f t="shared" si="1"/>
        <v>1</v>
      </c>
      <c r="O16" s="70">
        <f t="shared" si="1"/>
        <v>1</v>
      </c>
      <c r="P16" s="70">
        <f t="shared" si="1"/>
        <v>1</v>
      </c>
      <c r="Q16" s="70">
        <f t="shared" si="1"/>
        <v>1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0</v>
      </c>
      <c r="V16" s="135">
        <f t="shared" si="1"/>
        <v>0</v>
      </c>
      <c r="W16" s="68"/>
      <c r="X16" s="98" t="s">
        <v>46</v>
      </c>
      <c r="Y16" s="99">
        <f t="shared" si="2"/>
        <v>125</v>
      </c>
      <c r="Z16" s="99">
        <f t="shared" si="3"/>
        <v>67</v>
      </c>
      <c r="AA16" s="99">
        <f t="shared" si="4"/>
        <v>1</v>
      </c>
    </row>
    <row r="17" spans="2:27" ht="15" customHeight="1">
      <c r="B17" s="143">
        <v>37</v>
      </c>
      <c r="C17" s="70">
        <f t="shared" si="0"/>
        <v>1</v>
      </c>
      <c r="D17" s="70">
        <f t="shared" si="0"/>
        <v>1</v>
      </c>
      <c r="E17" s="70">
        <f t="shared" si="0"/>
        <v>1</v>
      </c>
      <c r="F17" s="70">
        <f t="shared" si="0"/>
        <v>1</v>
      </c>
      <c r="G17" s="70">
        <f t="shared" si="0"/>
        <v>1</v>
      </c>
      <c r="H17" s="70">
        <f t="shared" si="0"/>
        <v>1</v>
      </c>
      <c r="I17" s="70">
        <f t="shared" si="0"/>
        <v>1</v>
      </c>
      <c r="J17" s="70">
        <f t="shared" si="0"/>
        <v>1</v>
      </c>
      <c r="K17" s="70">
        <f t="shared" si="0"/>
        <v>1</v>
      </c>
      <c r="L17" s="70">
        <f t="shared" si="0"/>
        <v>1</v>
      </c>
      <c r="M17" s="70">
        <f t="shared" si="1"/>
        <v>1</v>
      </c>
      <c r="N17" s="70">
        <f t="shared" si="1"/>
        <v>0</v>
      </c>
      <c r="O17" s="70">
        <f t="shared" si="1"/>
        <v>0</v>
      </c>
      <c r="P17" s="70">
        <f t="shared" si="1"/>
        <v>0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5">
        <f t="shared" si="1"/>
        <v>0</v>
      </c>
      <c r="W17" s="68"/>
      <c r="X17" s="98" t="s">
        <v>47</v>
      </c>
      <c r="Y17" s="99">
        <f t="shared" si="2"/>
        <v>193</v>
      </c>
      <c r="Z17" s="99">
        <f t="shared" si="3"/>
        <v>140</v>
      </c>
      <c r="AA17" s="99">
        <f t="shared" si="4"/>
        <v>1</v>
      </c>
    </row>
    <row r="18" spans="2:27" ht="15" customHeight="1">
      <c r="B18" s="143">
        <v>38</v>
      </c>
      <c r="C18" s="70">
        <f t="shared" si="0"/>
        <v>1</v>
      </c>
      <c r="D18" s="70">
        <f t="shared" si="0"/>
        <v>1</v>
      </c>
      <c r="E18" s="70">
        <f t="shared" si="0"/>
        <v>1</v>
      </c>
      <c r="F18" s="70">
        <f t="shared" si="0"/>
        <v>1</v>
      </c>
      <c r="G18" s="70">
        <f t="shared" si="0"/>
        <v>1</v>
      </c>
      <c r="H18" s="70">
        <f t="shared" si="0"/>
        <v>1</v>
      </c>
      <c r="I18" s="70">
        <f t="shared" si="0"/>
        <v>1</v>
      </c>
      <c r="J18" s="70">
        <f t="shared" si="0"/>
        <v>1</v>
      </c>
      <c r="K18" s="70">
        <f t="shared" si="0"/>
        <v>1</v>
      </c>
      <c r="L18" s="70">
        <f t="shared" si="0"/>
        <v>1</v>
      </c>
      <c r="M18" s="70">
        <f t="shared" si="1"/>
        <v>1</v>
      </c>
      <c r="N18" s="70">
        <f t="shared" si="1"/>
        <v>1</v>
      </c>
      <c r="O18" s="70">
        <f t="shared" si="1"/>
        <v>0</v>
      </c>
      <c r="P18" s="70">
        <f t="shared" si="1"/>
        <v>0</v>
      </c>
      <c r="Q18" s="70">
        <f t="shared" si="1"/>
        <v>0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5">
        <f t="shared" si="1"/>
        <v>0</v>
      </c>
      <c r="X18" s="98" t="s">
        <v>47</v>
      </c>
      <c r="Y18" s="99">
        <f t="shared" si="2"/>
        <v>312</v>
      </c>
      <c r="Z18" s="99">
        <f t="shared" si="3"/>
        <v>165</v>
      </c>
      <c r="AA18" s="99">
        <f t="shared" si="4"/>
        <v>0</v>
      </c>
    </row>
    <row r="19" spans="2:27" ht="15" customHeight="1">
      <c r="B19" s="143">
        <v>39</v>
      </c>
      <c r="C19" s="70">
        <f t="shared" si="0"/>
        <v>2</v>
      </c>
      <c r="D19" s="70">
        <f t="shared" si="0"/>
        <v>2</v>
      </c>
      <c r="E19" s="70">
        <f t="shared" si="0"/>
        <v>2</v>
      </c>
      <c r="F19" s="70">
        <f t="shared" si="0"/>
        <v>2</v>
      </c>
      <c r="G19" s="70">
        <f t="shared" si="0"/>
        <v>2</v>
      </c>
      <c r="H19" s="70">
        <f t="shared" si="0"/>
        <v>3</v>
      </c>
      <c r="I19" s="70">
        <f t="shared" si="0"/>
        <v>2</v>
      </c>
      <c r="J19" s="70">
        <f t="shared" si="0"/>
        <v>2</v>
      </c>
      <c r="K19" s="70">
        <f t="shared" si="0"/>
        <v>2</v>
      </c>
      <c r="L19" s="70">
        <f t="shared" si="0"/>
        <v>2</v>
      </c>
      <c r="M19" s="70">
        <f t="shared" si="1"/>
        <v>2</v>
      </c>
      <c r="N19" s="70">
        <f t="shared" si="1"/>
        <v>2</v>
      </c>
      <c r="O19" s="70">
        <f t="shared" si="1"/>
        <v>1</v>
      </c>
      <c r="P19" s="70">
        <f t="shared" si="1"/>
        <v>1</v>
      </c>
      <c r="Q19" s="70">
        <f t="shared" si="1"/>
        <v>1</v>
      </c>
      <c r="R19" s="70">
        <f t="shared" si="1"/>
        <v>0</v>
      </c>
      <c r="S19" s="70">
        <f t="shared" si="1"/>
        <v>0</v>
      </c>
      <c r="T19" s="70">
        <f t="shared" si="1"/>
        <v>0</v>
      </c>
      <c r="U19" s="70">
        <f t="shared" si="1"/>
        <v>0</v>
      </c>
      <c r="V19" s="135">
        <f t="shared" si="1"/>
        <v>0</v>
      </c>
      <c r="X19" s="98" t="s">
        <v>48</v>
      </c>
      <c r="Y19" s="99">
        <f t="shared" si="2"/>
        <v>566</v>
      </c>
      <c r="Z19" s="99">
        <f t="shared" si="3"/>
        <v>167</v>
      </c>
      <c r="AA19" s="99">
        <f t="shared" si="4"/>
        <v>0</v>
      </c>
    </row>
    <row r="20" spans="2:27" ht="15" customHeight="1">
      <c r="B20" s="143">
        <v>40</v>
      </c>
      <c r="C20" s="70">
        <f t="shared" si="0"/>
        <v>0</v>
      </c>
      <c r="D20" s="70">
        <f t="shared" si="0"/>
        <v>0</v>
      </c>
      <c r="E20" s="70">
        <f t="shared" si="0"/>
        <v>0</v>
      </c>
      <c r="F20" s="70">
        <f t="shared" si="0"/>
        <v>0</v>
      </c>
      <c r="G20" s="70">
        <f t="shared" si="0"/>
        <v>0</v>
      </c>
      <c r="H20" s="70">
        <f t="shared" si="0"/>
        <v>0</v>
      </c>
      <c r="I20" s="70">
        <f t="shared" si="0"/>
        <v>0</v>
      </c>
      <c r="J20" s="70">
        <f t="shared" si="0"/>
        <v>0</v>
      </c>
      <c r="K20" s="70">
        <f t="shared" si="0"/>
        <v>0</v>
      </c>
      <c r="L20" s="70">
        <f t="shared" si="0"/>
        <v>0</v>
      </c>
      <c r="M20" s="70">
        <f t="shared" si="1"/>
        <v>0</v>
      </c>
      <c r="N20" s="70">
        <f t="shared" si="1"/>
        <v>0</v>
      </c>
      <c r="O20" s="70">
        <f t="shared" si="1"/>
        <v>0</v>
      </c>
      <c r="P20" s="70">
        <f t="shared" si="1"/>
        <v>0</v>
      </c>
      <c r="Q20" s="70">
        <f t="shared" si="1"/>
        <v>0</v>
      </c>
      <c r="R20" s="70">
        <f t="shared" si="1"/>
        <v>0</v>
      </c>
      <c r="S20" s="70">
        <f t="shared" si="1"/>
        <v>0</v>
      </c>
      <c r="T20" s="70">
        <f t="shared" si="1"/>
        <v>0</v>
      </c>
      <c r="U20" s="70">
        <f t="shared" si="1"/>
        <v>0</v>
      </c>
      <c r="V20" s="135">
        <f t="shared" si="1"/>
        <v>0</v>
      </c>
      <c r="X20" s="98" t="s">
        <v>48</v>
      </c>
      <c r="Y20" s="99">
        <f t="shared" si="2"/>
        <v>0</v>
      </c>
      <c r="Z20" s="99">
        <f t="shared" si="3"/>
        <v>0</v>
      </c>
      <c r="AA20" s="99">
        <f t="shared" si="4"/>
        <v>0</v>
      </c>
    </row>
    <row r="21" spans="2:27" ht="15" customHeight="1">
      <c r="B21" s="143">
        <v>41</v>
      </c>
      <c r="C21" s="70">
        <f t="shared" si="0"/>
        <v>0</v>
      </c>
      <c r="D21" s="70">
        <f t="shared" si="0"/>
        <v>0</v>
      </c>
      <c r="E21" s="70">
        <f t="shared" si="0"/>
        <v>0</v>
      </c>
      <c r="F21" s="70">
        <f t="shared" si="0"/>
        <v>0</v>
      </c>
      <c r="G21" s="70">
        <f t="shared" si="0"/>
        <v>0</v>
      </c>
      <c r="H21" s="70">
        <f t="shared" si="0"/>
        <v>0</v>
      </c>
      <c r="I21" s="70">
        <f t="shared" si="0"/>
        <v>0</v>
      </c>
      <c r="J21" s="70">
        <f t="shared" si="0"/>
        <v>0</v>
      </c>
      <c r="K21" s="70">
        <f t="shared" si="0"/>
        <v>0</v>
      </c>
      <c r="L21" s="70">
        <f t="shared" si="0"/>
        <v>0</v>
      </c>
      <c r="M21" s="70">
        <f t="shared" si="1"/>
        <v>0</v>
      </c>
      <c r="N21" s="70">
        <f t="shared" si="1"/>
        <v>0</v>
      </c>
      <c r="O21" s="70">
        <f t="shared" si="1"/>
        <v>0</v>
      </c>
      <c r="P21" s="70">
        <f t="shared" si="1"/>
        <v>0</v>
      </c>
      <c r="Q21" s="70">
        <f t="shared" si="1"/>
        <v>0</v>
      </c>
      <c r="R21" s="70">
        <f t="shared" si="1"/>
        <v>0</v>
      </c>
      <c r="S21" s="70">
        <f t="shared" si="1"/>
        <v>0</v>
      </c>
      <c r="T21" s="70">
        <f t="shared" si="1"/>
        <v>0</v>
      </c>
      <c r="U21" s="70">
        <f t="shared" si="1"/>
        <v>0</v>
      </c>
      <c r="V21" s="135">
        <f t="shared" si="1"/>
        <v>0</v>
      </c>
      <c r="X21" s="98" t="s">
        <v>8</v>
      </c>
      <c r="Y21" s="99">
        <f t="shared" si="2"/>
        <v>0</v>
      </c>
      <c r="Z21" s="99">
        <f t="shared" si="3"/>
        <v>0</v>
      </c>
      <c r="AA21" s="99">
        <f t="shared" si="4"/>
        <v>0</v>
      </c>
    </row>
    <row r="22" spans="2:27" ht="15" customHeight="1">
      <c r="B22" s="143">
        <v>42</v>
      </c>
      <c r="C22" s="70">
        <f t="shared" si="0"/>
        <v>1</v>
      </c>
      <c r="D22" s="70">
        <f t="shared" si="0"/>
        <v>1</v>
      </c>
      <c r="E22" s="70">
        <f t="shared" si="0"/>
        <v>1</v>
      </c>
      <c r="F22" s="70">
        <f t="shared" si="0"/>
        <v>1</v>
      </c>
      <c r="G22" s="70">
        <f t="shared" si="0"/>
        <v>1</v>
      </c>
      <c r="H22" s="70">
        <f t="shared" si="0"/>
        <v>1</v>
      </c>
      <c r="I22" s="70">
        <f t="shared" si="0"/>
        <v>2</v>
      </c>
      <c r="J22" s="70">
        <f t="shared" si="0"/>
        <v>1</v>
      </c>
      <c r="K22" s="70">
        <f t="shared" si="0"/>
        <v>1</v>
      </c>
      <c r="L22" s="70">
        <f t="shared" si="0"/>
        <v>1</v>
      </c>
      <c r="M22" s="70">
        <f t="shared" si="1"/>
        <v>2</v>
      </c>
      <c r="N22" s="70">
        <f t="shared" si="1"/>
        <v>1</v>
      </c>
      <c r="O22" s="70">
        <f t="shared" si="1"/>
        <v>1</v>
      </c>
      <c r="P22" s="70">
        <f t="shared" si="1"/>
        <v>1</v>
      </c>
      <c r="Q22" s="70">
        <f t="shared" si="1"/>
        <v>1</v>
      </c>
      <c r="R22" s="70">
        <f t="shared" si="1"/>
        <v>1</v>
      </c>
      <c r="S22" s="70">
        <f t="shared" si="1"/>
        <v>0</v>
      </c>
      <c r="T22" s="70">
        <f t="shared" si="1"/>
        <v>0</v>
      </c>
      <c r="U22" s="70">
        <f t="shared" si="1"/>
        <v>0</v>
      </c>
      <c r="V22" s="135">
        <f t="shared" si="1"/>
        <v>0</v>
      </c>
      <c r="X22" s="98" t="s">
        <v>8</v>
      </c>
      <c r="Y22" s="99">
        <f t="shared" si="2"/>
        <v>148</v>
      </c>
      <c r="Z22" s="99">
        <f t="shared" si="3"/>
        <v>54</v>
      </c>
      <c r="AA22" s="99">
        <f t="shared" si="4"/>
        <v>3</v>
      </c>
    </row>
    <row r="23" spans="2:27" ht="15" customHeight="1">
      <c r="B23" s="143">
        <v>43</v>
      </c>
      <c r="C23" s="70">
        <f t="shared" si="0"/>
        <v>1</v>
      </c>
      <c r="D23" s="70">
        <f t="shared" si="0"/>
        <v>1</v>
      </c>
      <c r="E23" s="70">
        <f t="shared" si="0"/>
        <v>1</v>
      </c>
      <c r="F23" s="70">
        <f t="shared" si="0"/>
        <v>1</v>
      </c>
      <c r="G23" s="70">
        <f t="shared" si="0"/>
        <v>1</v>
      </c>
      <c r="H23" s="70">
        <f t="shared" si="0"/>
        <v>1</v>
      </c>
      <c r="I23" s="70">
        <f t="shared" si="0"/>
        <v>1</v>
      </c>
      <c r="J23" s="70">
        <f t="shared" si="0"/>
        <v>1</v>
      </c>
      <c r="K23" s="70">
        <f t="shared" si="0"/>
        <v>1</v>
      </c>
      <c r="L23" s="70">
        <f t="shared" si="0"/>
        <v>1</v>
      </c>
      <c r="M23" s="70">
        <f t="shared" si="1"/>
        <v>1</v>
      </c>
      <c r="N23" s="70">
        <f t="shared" si="1"/>
        <v>0</v>
      </c>
      <c r="O23" s="70">
        <f t="shared" si="1"/>
        <v>0</v>
      </c>
      <c r="P23" s="70">
        <f t="shared" si="1"/>
        <v>0</v>
      </c>
      <c r="Q23" s="70">
        <f t="shared" si="1"/>
        <v>0</v>
      </c>
      <c r="R23" s="70">
        <f t="shared" si="1"/>
        <v>0</v>
      </c>
      <c r="S23" s="70">
        <f t="shared" si="1"/>
        <v>0</v>
      </c>
      <c r="T23" s="70">
        <f t="shared" si="1"/>
        <v>0</v>
      </c>
      <c r="U23" s="70">
        <f t="shared" si="1"/>
        <v>0</v>
      </c>
      <c r="V23" s="135">
        <f t="shared" si="1"/>
        <v>0</v>
      </c>
      <c r="X23" s="98" t="s">
        <v>8</v>
      </c>
      <c r="Y23" s="99">
        <f t="shared" si="2"/>
        <v>187</v>
      </c>
      <c r="Z23" s="99">
        <f t="shared" si="3"/>
        <v>322</v>
      </c>
      <c r="AA23" s="99">
        <f t="shared" si="4"/>
        <v>13</v>
      </c>
    </row>
    <row r="24" spans="2:27" ht="15" customHeight="1">
      <c r="B24" s="143">
        <v>44</v>
      </c>
      <c r="C24" s="70">
        <f t="shared" si="0"/>
        <v>2</v>
      </c>
      <c r="D24" s="70">
        <f t="shared" si="0"/>
        <v>1</v>
      </c>
      <c r="E24" s="70">
        <f t="shared" si="0"/>
        <v>1</v>
      </c>
      <c r="F24" s="70">
        <f t="shared" si="0"/>
        <v>1</v>
      </c>
      <c r="G24" s="70">
        <f t="shared" si="0"/>
        <v>0</v>
      </c>
      <c r="H24" s="70">
        <f t="shared" si="0"/>
        <v>1</v>
      </c>
      <c r="I24" s="70">
        <f t="shared" si="0"/>
        <v>0</v>
      </c>
      <c r="J24" s="70">
        <f t="shared" si="0"/>
        <v>2</v>
      </c>
      <c r="K24" s="70">
        <f t="shared" si="0"/>
        <v>1</v>
      </c>
      <c r="L24" s="70">
        <f t="shared" si="0"/>
        <v>1</v>
      </c>
      <c r="M24" s="70">
        <f t="shared" si="1"/>
        <v>1</v>
      </c>
      <c r="N24" s="70">
        <f t="shared" si="1"/>
        <v>1</v>
      </c>
      <c r="O24" s="70">
        <f t="shared" si="1"/>
        <v>1</v>
      </c>
      <c r="P24" s="70">
        <f t="shared" si="1"/>
        <v>0</v>
      </c>
      <c r="Q24" s="70">
        <f t="shared" si="1"/>
        <v>0</v>
      </c>
      <c r="R24" s="70">
        <f t="shared" si="1"/>
        <v>0</v>
      </c>
      <c r="S24" s="70">
        <f t="shared" si="1"/>
        <v>0</v>
      </c>
      <c r="T24" s="70">
        <f t="shared" si="1"/>
        <v>0</v>
      </c>
      <c r="U24" s="70">
        <f t="shared" si="1"/>
        <v>0</v>
      </c>
      <c r="V24" s="135">
        <f t="shared" si="1"/>
        <v>0</v>
      </c>
      <c r="X24" s="98" t="s">
        <v>8</v>
      </c>
      <c r="Y24" s="99">
        <f t="shared" si="2"/>
        <v>214</v>
      </c>
      <c r="Z24" s="99">
        <f t="shared" si="3"/>
        <v>54</v>
      </c>
      <c r="AA24" s="99">
        <f t="shared" si="4"/>
        <v>11</v>
      </c>
    </row>
    <row r="25" spans="2:27" ht="15" customHeight="1">
      <c r="B25" s="143">
        <v>45</v>
      </c>
      <c r="C25" s="70">
        <f t="shared" ref="C25:R30" si="5">SUMIFS(SumaSU,CentroSU,$B25,TurnoSU,C$8)</f>
        <v>2</v>
      </c>
      <c r="D25" s="70">
        <f t="shared" si="5"/>
        <v>2</v>
      </c>
      <c r="E25" s="70">
        <f t="shared" si="5"/>
        <v>2</v>
      </c>
      <c r="F25" s="70">
        <f t="shared" si="5"/>
        <v>1</v>
      </c>
      <c r="G25" s="70">
        <f t="shared" si="5"/>
        <v>0</v>
      </c>
      <c r="H25" s="70">
        <f t="shared" si="5"/>
        <v>0</v>
      </c>
      <c r="I25" s="70">
        <f t="shared" si="5"/>
        <v>0</v>
      </c>
      <c r="J25" s="70">
        <f t="shared" si="5"/>
        <v>1</v>
      </c>
      <c r="K25" s="70">
        <f t="shared" si="5"/>
        <v>1</v>
      </c>
      <c r="L25" s="70">
        <f t="shared" si="5"/>
        <v>1</v>
      </c>
      <c r="M25" s="70">
        <f t="shared" si="5"/>
        <v>1</v>
      </c>
      <c r="N25" s="70">
        <f t="shared" si="5"/>
        <v>0</v>
      </c>
      <c r="O25" s="70">
        <f t="shared" si="5"/>
        <v>0</v>
      </c>
      <c r="P25" s="70">
        <f t="shared" si="5"/>
        <v>0</v>
      </c>
      <c r="Q25" s="70">
        <f t="shared" si="5"/>
        <v>0</v>
      </c>
      <c r="R25" s="70">
        <f t="shared" si="5"/>
        <v>0</v>
      </c>
      <c r="S25" s="70">
        <f t="shared" ref="M25:V30" si="6">SUMIFS(SumaSU,CentroSU,$B25,TurnoSU,S$8)</f>
        <v>0</v>
      </c>
      <c r="T25" s="70">
        <f t="shared" si="6"/>
        <v>0</v>
      </c>
      <c r="U25" s="70">
        <f t="shared" si="6"/>
        <v>0</v>
      </c>
      <c r="V25" s="135">
        <f t="shared" si="6"/>
        <v>0</v>
      </c>
      <c r="X25" s="98" t="s">
        <v>8</v>
      </c>
      <c r="Y25" s="99">
        <f t="shared" si="2"/>
        <v>239</v>
      </c>
      <c r="Z25" s="99">
        <f t="shared" si="3"/>
        <v>208</v>
      </c>
      <c r="AA25" s="99">
        <f t="shared" si="4"/>
        <v>5</v>
      </c>
    </row>
    <row r="26" spans="2:27" ht="15" customHeight="1">
      <c r="B26" s="143">
        <v>46</v>
      </c>
      <c r="C26" s="70">
        <f t="shared" si="5"/>
        <v>1</v>
      </c>
      <c r="D26" s="70">
        <f t="shared" si="5"/>
        <v>1</v>
      </c>
      <c r="E26" s="70">
        <f t="shared" si="5"/>
        <v>1</v>
      </c>
      <c r="F26" s="70">
        <f t="shared" si="5"/>
        <v>1</v>
      </c>
      <c r="G26" s="70">
        <f t="shared" si="5"/>
        <v>1</v>
      </c>
      <c r="H26" s="70">
        <f t="shared" si="5"/>
        <v>1</v>
      </c>
      <c r="I26" s="70">
        <f t="shared" si="5"/>
        <v>1</v>
      </c>
      <c r="J26" s="70">
        <f t="shared" si="5"/>
        <v>1</v>
      </c>
      <c r="K26" s="70">
        <f t="shared" si="5"/>
        <v>1</v>
      </c>
      <c r="L26" s="70">
        <f t="shared" si="5"/>
        <v>1</v>
      </c>
      <c r="M26" s="70">
        <f t="shared" si="6"/>
        <v>1</v>
      </c>
      <c r="N26" s="70">
        <f t="shared" si="6"/>
        <v>1</v>
      </c>
      <c r="O26" s="70">
        <f t="shared" si="6"/>
        <v>0</v>
      </c>
      <c r="P26" s="70">
        <f t="shared" si="6"/>
        <v>0</v>
      </c>
      <c r="Q26" s="70">
        <f t="shared" si="6"/>
        <v>0</v>
      </c>
      <c r="R26" s="70">
        <f t="shared" si="6"/>
        <v>0</v>
      </c>
      <c r="S26" s="70">
        <f t="shared" si="6"/>
        <v>0</v>
      </c>
      <c r="T26" s="70">
        <f t="shared" si="6"/>
        <v>0</v>
      </c>
      <c r="U26" s="70">
        <f t="shared" si="6"/>
        <v>0</v>
      </c>
      <c r="V26" s="135">
        <f t="shared" si="6"/>
        <v>0</v>
      </c>
      <c r="X26" s="98" t="s">
        <v>8</v>
      </c>
      <c r="Y26" s="99">
        <f t="shared" si="2"/>
        <v>158</v>
      </c>
      <c r="Z26" s="99">
        <f t="shared" si="3"/>
        <v>94</v>
      </c>
      <c r="AA26" s="99">
        <f t="shared" si="4"/>
        <v>32</v>
      </c>
    </row>
    <row r="27" spans="2:27" ht="15" customHeight="1">
      <c r="B27" s="143">
        <v>47</v>
      </c>
      <c r="C27" s="70">
        <f t="shared" si="5"/>
        <v>1</v>
      </c>
      <c r="D27" s="70">
        <f t="shared" si="5"/>
        <v>1</v>
      </c>
      <c r="E27" s="70">
        <f t="shared" si="5"/>
        <v>1</v>
      </c>
      <c r="F27" s="70">
        <f t="shared" si="5"/>
        <v>1</v>
      </c>
      <c r="G27" s="70">
        <f t="shared" si="5"/>
        <v>0</v>
      </c>
      <c r="H27" s="70">
        <f t="shared" si="5"/>
        <v>1</v>
      </c>
      <c r="I27" s="70">
        <f t="shared" si="5"/>
        <v>1</v>
      </c>
      <c r="J27" s="70">
        <f t="shared" si="5"/>
        <v>1</v>
      </c>
      <c r="K27" s="70">
        <f t="shared" si="5"/>
        <v>1</v>
      </c>
      <c r="L27" s="70">
        <f t="shared" si="5"/>
        <v>1</v>
      </c>
      <c r="M27" s="70">
        <f t="shared" si="6"/>
        <v>1</v>
      </c>
      <c r="N27" s="70">
        <f t="shared" si="6"/>
        <v>0</v>
      </c>
      <c r="O27" s="70">
        <f t="shared" si="6"/>
        <v>0</v>
      </c>
      <c r="P27" s="70">
        <f t="shared" si="6"/>
        <v>0</v>
      </c>
      <c r="Q27" s="70">
        <f t="shared" si="6"/>
        <v>0</v>
      </c>
      <c r="R27" s="70">
        <f t="shared" si="6"/>
        <v>0</v>
      </c>
      <c r="S27" s="70">
        <f t="shared" si="6"/>
        <v>0</v>
      </c>
      <c r="T27" s="70">
        <f t="shared" si="6"/>
        <v>0</v>
      </c>
      <c r="U27" s="70">
        <f t="shared" si="6"/>
        <v>0</v>
      </c>
      <c r="V27" s="135">
        <f t="shared" si="6"/>
        <v>0</v>
      </c>
      <c r="X27" s="98" t="s">
        <v>8</v>
      </c>
      <c r="Y27" s="99">
        <f t="shared" si="2"/>
        <v>185</v>
      </c>
      <c r="Z27" s="99">
        <f t="shared" si="3"/>
        <v>85</v>
      </c>
      <c r="AA27" s="99">
        <f t="shared" si="4"/>
        <v>3</v>
      </c>
    </row>
    <row r="28" spans="2:27" ht="15" customHeight="1">
      <c r="B28" s="161">
        <v>48</v>
      </c>
      <c r="C28" s="70">
        <f t="shared" si="5"/>
        <v>1</v>
      </c>
      <c r="D28" s="70">
        <f t="shared" si="5"/>
        <v>1</v>
      </c>
      <c r="E28" s="70">
        <f t="shared" si="5"/>
        <v>1</v>
      </c>
      <c r="F28" s="70">
        <f t="shared" si="5"/>
        <v>1</v>
      </c>
      <c r="G28" s="70">
        <f t="shared" si="5"/>
        <v>1</v>
      </c>
      <c r="H28" s="70">
        <f t="shared" si="5"/>
        <v>1</v>
      </c>
      <c r="I28" s="70">
        <f t="shared" si="5"/>
        <v>1</v>
      </c>
      <c r="J28" s="70">
        <f t="shared" si="5"/>
        <v>1</v>
      </c>
      <c r="K28" s="70">
        <f t="shared" si="5"/>
        <v>1</v>
      </c>
      <c r="L28" s="70">
        <f t="shared" si="5"/>
        <v>2</v>
      </c>
      <c r="M28" s="70">
        <f t="shared" si="6"/>
        <v>1</v>
      </c>
      <c r="N28" s="70">
        <f t="shared" si="6"/>
        <v>1</v>
      </c>
      <c r="O28" s="70">
        <f t="shared" si="6"/>
        <v>1</v>
      </c>
      <c r="P28" s="70">
        <f t="shared" si="6"/>
        <v>1</v>
      </c>
      <c r="Q28" s="70">
        <f t="shared" si="6"/>
        <v>0</v>
      </c>
      <c r="R28" s="70">
        <f t="shared" si="6"/>
        <v>0</v>
      </c>
      <c r="S28" s="70">
        <f t="shared" si="6"/>
        <v>0</v>
      </c>
      <c r="T28" s="70">
        <f t="shared" si="6"/>
        <v>0</v>
      </c>
      <c r="U28" s="70">
        <f t="shared" si="6"/>
        <v>0</v>
      </c>
      <c r="V28" s="135">
        <f t="shared" si="6"/>
        <v>0</v>
      </c>
      <c r="X28" s="98" t="s">
        <v>8</v>
      </c>
      <c r="Y28" s="99">
        <f t="shared" si="2"/>
        <v>176</v>
      </c>
      <c r="Z28" s="99">
        <f t="shared" si="3"/>
        <v>87</v>
      </c>
      <c r="AA28" s="99">
        <f t="shared" si="4"/>
        <v>3</v>
      </c>
    </row>
    <row r="29" spans="2:27" ht="15" customHeight="1">
      <c r="B29" s="161">
        <v>49</v>
      </c>
      <c r="C29" s="70">
        <f t="shared" si="5"/>
        <v>1</v>
      </c>
      <c r="D29" s="70">
        <f t="shared" si="5"/>
        <v>1</v>
      </c>
      <c r="E29" s="70">
        <f t="shared" si="5"/>
        <v>1</v>
      </c>
      <c r="F29" s="70">
        <f t="shared" si="5"/>
        <v>1</v>
      </c>
      <c r="G29" s="70">
        <f t="shared" si="5"/>
        <v>1</v>
      </c>
      <c r="H29" s="70">
        <f t="shared" si="5"/>
        <v>1</v>
      </c>
      <c r="I29" s="70">
        <f t="shared" si="5"/>
        <v>1</v>
      </c>
      <c r="J29" s="70">
        <f t="shared" si="5"/>
        <v>1</v>
      </c>
      <c r="K29" s="70">
        <f t="shared" si="5"/>
        <v>1</v>
      </c>
      <c r="L29" s="70">
        <f t="shared" si="5"/>
        <v>1</v>
      </c>
      <c r="M29" s="70">
        <f t="shared" si="6"/>
        <v>1</v>
      </c>
      <c r="N29" s="70">
        <f t="shared" si="6"/>
        <v>0</v>
      </c>
      <c r="O29" s="70">
        <f t="shared" si="6"/>
        <v>1</v>
      </c>
      <c r="P29" s="70">
        <f t="shared" si="6"/>
        <v>0</v>
      </c>
      <c r="Q29" s="70">
        <f t="shared" si="6"/>
        <v>0</v>
      </c>
      <c r="R29" s="70">
        <f t="shared" si="6"/>
        <v>0</v>
      </c>
      <c r="S29" s="70">
        <f t="shared" si="6"/>
        <v>0</v>
      </c>
      <c r="T29" s="70">
        <f t="shared" si="6"/>
        <v>0</v>
      </c>
      <c r="U29" s="70">
        <f t="shared" si="6"/>
        <v>0</v>
      </c>
      <c r="V29" s="135">
        <f t="shared" si="6"/>
        <v>0</v>
      </c>
      <c r="X29" s="98" t="s">
        <v>8</v>
      </c>
      <c r="Y29" s="99">
        <f t="shared" si="2"/>
        <v>199</v>
      </c>
      <c r="Z29" s="99">
        <f t="shared" si="3"/>
        <v>109</v>
      </c>
      <c r="AA29" s="99">
        <f t="shared" si="4"/>
        <v>30</v>
      </c>
    </row>
    <row r="30" spans="2:27" ht="15" customHeight="1" thickBot="1">
      <c r="B30" s="162">
        <v>50</v>
      </c>
      <c r="C30" s="163">
        <f t="shared" si="5"/>
        <v>1</v>
      </c>
      <c r="D30" s="163">
        <f t="shared" si="5"/>
        <v>1</v>
      </c>
      <c r="E30" s="163">
        <f t="shared" si="5"/>
        <v>1</v>
      </c>
      <c r="F30" s="163">
        <f t="shared" si="5"/>
        <v>1</v>
      </c>
      <c r="G30" s="163">
        <f t="shared" si="5"/>
        <v>1</v>
      </c>
      <c r="H30" s="163">
        <f t="shared" si="5"/>
        <v>1</v>
      </c>
      <c r="I30" s="163">
        <f t="shared" si="5"/>
        <v>1</v>
      </c>
      <c r="J30" s="163">
        <f t="shared" si="5"/>
        <v>1</v>
      </c>
      <c r="K30" s="163">
        <f t="shared" si="5"/>
        <v>1</v>
      </c>
      <c r="L30" s="163">
        <f t="shared" si="5"/>
        <v>1</v>
      </c>
      <c r="M30" s="163">
        <f t="shared" si="6"/>
        <v>1</v>
      </c>
      <c r="N30" s="163">
        <f t="shared" si="6"/>
        <v>0</v>
      </c>
      <c r="O30" s="163">
        <f t="shared" si="6"/>
        <v>0</v>
      </c>
      <c r="P30" s="163">
        <f t="shared" si="6"/>
        <v>0</v>
      </c>
      <c r="Q30" s="163">
        <f t="shared" si="6"/>
        <v>0</v>
      </c>
      <c r="R30" s="163">
        <f t="shared" si="6"/>
        <v>0</v>
      </c>
      <c r="S30" s="163">
        <f t="shared" si="6"/>
        <v>0</v>
      </c>
      <c r="T30" s="163">
        <f t="shared" si="6"/>
        <v>0</v>
      </c>
      <c r="U30" s="163">
        <f t="shared" si="6"/>
        <v>0</v>
      </c>
      <c r="V30" s="164">
        <f t="shared" si="6"/>
        <v>0</v>
      </c>
      <c r="X30" s="98" t="s">
        <v>8</v>
      </c>
      <c r="Y30" s="99">
        <f t="shared" si="2"/>
        <v>212</v>
      </c>
      <c r="Z30" s="99">
        <f t="shared" si="3"/>
        <v>63</v>
      </c>
      <c r="AA30" s="99">
        <f t="shared" si="4"/>
        <v>1</v>
      </c>
    </row>
    <row r="32" spans="2:27" ht="15" customHeight="1" thickBot="1"/>
    <row r="33" spans="24:27" ht="15" customHeight="1">
      <c r="X33" s="97" t="s">
        <v>23</v>
      </c>
      <c r="Y33" s="170">
        <f t="shared" ref="Y33:AA37" si="7">SUMIF(MunicipiosSU,$X33,Y$9:Y$30)</f>
        <v>646</v>
      </c>
      <c r="Z33" s="109">
        <f t="shared" si="7"/>
        <v>378</v>
      </c>
      <c r="AA33" s="110">
        <f t="shared" si="7"/>
        <v>63</v>
      </c>
    </row>
    <row r="34" spans="24:27" ht="15" customHeight="1">
      <c r="X34" s="98" t="s">
        <v>46</v>
      </c>
      <c r="Y34" s="171">
        <f t="shared" si="7"/>
        <v>839</v>
      </c>
      <c r="Z34" s="69">
        <f t="shared" si="7"/>
        <v>475</v>
      </c>
      <c r="AA34" s="83">
        <f t="shared" si="7"/>
        <v>139</v>
      </c>
    </row>
    <row r="35" spans="24:27" ht="15" customHeight="1">
      <c r="X35" s="98" t="s">
        <v>47</v>
      </c>
      <c r="Y35" s="171">
        <f t="shared" si="7"/>
        <v>505</v>
      </c>
      <c r="Z35" s="69">
        <f t="shared" si="7"/>
        <v>305</v>
      </c>
      <c r="AA35" s="83">
        <f t="shared" si="7"/>
        <v>1</v>
      </c>
    </row>
    <row r="36" spans="24:27" ht="15" customHeight="1">
      <c r="X36" s="98" t="s">
        <v>48</v>
      </c>
      <c r="Y36" s="171">
        <f t="shared" si="7"/>
        <v>566</v>
      </c>
      <c r="Z36" s="69">
        <f t="shared" si="7"/>
        <v>167</v>
      </c>
      <c r="AA36" s="83">
        <f t="shared" si="7"/>
        <v>0</v>
      </c>
    </row>
    <row r="37" spans="24:27" ht="15" customHeight="1" thickBot="1">
      <c r="X37" s="173" t="s">
        <v>8</v>
      </c>
      <c r="Y37" s="172">
        <f t="shared" si="7"/>
        <v>1307</v>
      </c>
      <c r="Z37" s="89">
        <f t="shared" si="7"/>
        <v>904</v>
      </c>
      <c r="AA37" s="90">
        <f t="shared" si="7"/>
        <v>70</v>
      </c>
    </row>
  </sheetData>
  <customSheetViews>
    <customSheetView guid="{43751384-8D2C-4877-853C-4CE893CAF1E6}" showGridLines="0" showRowCol="0">
      <selection activeCell="Y5" sqref="Y5"/>
      <pageMargins left="0.7" right="0.7" top="0.75" bottom="0.75" header="0.3" footer="0.3"/>
      <pageSetup paperSize="9" orientation="portrait" r:id="rId1"/>
    </customSheetView>
    <customSheetView guid="{D80F4FD6-7D6D-4832-9A2E-4DEB1E783FB1}" showGridLines="0" showRowCol="0">
      <selection activeCell="Y5" sqref="Y5"/>
      <pageMargins left="0.7" right="0.7" top="0.75" bottom="0.75" header="0.3" footer="0.3"/>
      <pageSetup paperSize="9" orientation="portrait" r:id="rId2"/>
    </customSheetView>
    <customSheetView guid="{0A4EA429-3B60-4229-BB25-AADA8CCE0D84}" showGridLines="0" showRowCol="0">
      <selection activeCell="Y3" sqref="Y3"/>
      <pageMargins left="0.7" right="0.7" top="0.75" bottom="0.75" header="0.3" footer="0.3"/>
      <pageSetup paperSize="9" orientation="portrait" r:id="rId3"/>
    </customSheetView>
  </customSheetViews>
  <mergeCells count="5">
    <mergeCell ref="AA7:AA8"/>
    <mergeCell ref="Y7:Y8"/>
    <mergeCell ref="Z7:Z8"/>
    <mergeCell ref="B1:V1"/>
    <mergeCell ref="X7:X8"/>
  </mergeCells>
  <conditionalFormatting sqref="C8:V8 B6:K6">
    <cfRule type="cellIs" dxfId="11" priority="4" stopIfTrue="1" operator="equal">
      <formula>"F"</formula>
    </cfRule>
    <cfRule type="cellIs" dxfId="10" priority="5" stopIfTrue="1" operator="equal">
      <formula>"C"</formula>
    </cfRule>
    <cfRule type="cellIs" dxfId="9" priority="6" stopIfTrue="1" operator="equal">
      <formula>"C"</formula>
    </cfRule>
  </conditionalFormatting>
  <conditionalFormatting sqref="C9:V30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3" location="CAnzoategui!A1" display="Anzoátegui"/>
    <hyperlink ref="Y4" location="CMonagas!A1" display="Monagas"/>
    <hyperlink ref="Y5" location="'CNueva Esparta'!A1" display="Nueva Esparta"/>
  </hyperlinks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A690"/>
  <sheetViews>
    <sheetView showGridLines="0" showRowColHeaders="0" workbookViewId="0">
      <pane ySplit="8" topLeftCell="A33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1" customWidth="1"/>
    <col min="14" max="34" width="13.7109375" customWidth="1"/>
  </cols>
  <sheetData>
    <row r="1" spans="2:27" s="13" customFormat="1">
      <c r="J1" s="111"/>
      <c r="M1" s="26"/>
      <c r="P1" s="60"/>
      <c r="Q1" s="60"/>
      <c r="R1" s="60"/>
    </row>
    <row r="2" spans="2:27" s="13" customFormat="1">
      <c r="I2" s="174" t="s">
        <v>7</v>
      </c>
      <c r="M2" s="26"/>
      <c r="P2" s="61" t="s">
        <v>50</v>
      </c>
      <c r="Q2" s="100">
        <f>R9</f>
        <v>0.51904985888993416</v>
      </c>
      <c r="R2" s="59"/>
    </row>
    <row r="3" spans="2:27" s="13" customFormat="1">
      <c r="I3" s="174" t="s">
        <v>79</v>
      </c>
      <c r="M3" s="26"/>
      <c r="P3" s="61" t="s">
        <v>51</v>
      </c>
      <c r="Q3" s="100">
        <f>U9</f>
        <v>0.36821887739103165</v>
      </c>
      <c r="R3" s="59"/>
    </row>
    <row r="4" spans="2:27" s="13" customFormat="1">
      <c r="I4" s="174" t="s">
        <v>80</v>
      </c>
      <c r="M4" s="26"/>
      <c r="P4" s="61" t="s">
        <v>52</v>
      </c>
      <c r="Q4" s="100">
        <f>X9</f>
        <v>0.10277516462841016</v>
      </c>
      <c r="R4" s="59"/>
    </row>
    <row r="5" spans="2:27" s="13" customFormat="1">
      <c r="I5" s="174" t="s">
        <v>81</v>
      </c>
      <c r="M5" s="26"/>
      <c r="P5" s="61" t="s">
        <v>4</v>
      </c>
      <c r="Q5" s="100">
        <f>AA9</f>
        <v>9.9560990906240199E-3</v>
      </c>
      <c r="R5" s="59"/>
    </row>
    <row r="6" spans="2:27" s="13" customFormat="1" ht="33">
      <c r="C6" s="15">
        <v>2</v>
      </c>
      <c r="D6" s="15" t="s">
        <v>82</v>
      </c>
      <c r="E6" s="14"/>
      <c r="F6" s="14"/>
      <c r="G6" s="14"/>
      <c r="H6" s="14"/>
      <c r="J6"/>
      <c r="M6" s="26"/>
    </row>
    <row r="7" spans="2:27" ht="13.5" thickBot="1"/>
    <row r="8" spans="2:27" ht="45.75" thickBot="1">
      <c r="B8" s="23" t="s">
        <v>1</v>
      </c>
      <c r="C8" s="24" t="s">
        <v>2</v>
      </c>
      <c r="D8" s="25" t="s">
        <v>0</v>
      </c>
      <c r="E8" s="12" t="s">
        <v>50</v>
      </c>
      <c r="F8" s="12" t="s">
        <v>51</v>
      </c>
      <c r="G8" s="12" t="s">
        <v>52</v>
      </c>
      <c r="H8" s="12" t="s">
        <v>4</v>
      </c>
      <c r="M8" s="55" t="s">
        <v>49</v>
      </c>
      <c r="P8" s="182" t="s">
        <v>50</v>
      </c>
      <c r="Q8" s="183"/>
      <c r="R8" s="184"/>
      <c r="S8" s="182" t="s">
        <v>51</v>
      </c>
      <c r="T8" s="183"/>
      <c r="U8" s="184"/>
      <c r="V8" s="182" t="s">
        <v>52</v>
      </c>
      <c r="W8" s="183"/>
      <c r="X8" s="184"/>
      <c r="Y8" s="182" t="s">
        <v>4</v>
      </c>
      <c r="Z8" s="183"/>
      <c r="AA8" s="184"/>
    </row>
    <row r="9" spans="2:27" ht="18">
      <c r="B9" s="51">
        <v>2</v>
      </c>
      <c r="C9" s="51">
        <v>1</v>
      </c>
      <c r="D9" s="51">
        <v>1</v>
      </c>
      <c r="E9" s="51">
        <v>1</v>
      </c>
      <c r="F9" s="51">
        <v>1</v>
      </c>
      <c r="G9" s="51">
        <v>1</v>
      </c>
      <c r="H9" s="51">
        <v>1</v>
      </c>
      <c r="M9" s="21">
        <v>1</v>
      </c>
      <c r="N9" s="180" t="s">
        <v>0</v>
      </c>
      <c r="O9" s="180"/>
      <c r="P9" s="31">
        <f>SUM(Tarek_Willians_Saab)</f>
        <v>6621</v>
      </c>
      <c r="Q9" s="32">
        <f>P9</f>
        <v>6621</v>
      </c>
      <c r="R9" s="33">
        <f>P9/($P$9+$S$9+$V$9+$Y$9)</f>
        <v>0.51904985888993416</v>
      </c>
      <c r="S9" s="31">
        <f>SUM(Gustavo_Marcano)</f>
        <v>4697</v>
      </c>
      <c r="T9" s="32">
        <f>S9</f>
        <v>4697</v>
      </c>
      <c r="U9" s="33">
        <f>S9/($P$9+$S$9+$V$9+$Y$9)</f>
        <v>0.36821887739103165</v>
      </c>
      <c r="V9" s="31">
        <f>SUM(Benjamin_Rausseo)</f>
        <v>1311</v>
      </c>
      <c r="W9" s="32">
        <f>V9</f>
        <v>1311</v>
      </c>
      <c r="X9" s="33">
        <f>V9/($P$9+$S$9+$V$9+$Y$9)</f>
        <v>0.10277516462841016</v>
      </c>
      <c r="Y9" s="31">
        <f>SUM(OtroAN)</f>
        <v>127</v>
      </c>
      <c r="Z9" s="32">
        <f>Y9</f>
        <v>127</v>
      </c>
      <c r="AA9" s="34">
        <f>Y9/($P$9+$S$9+$V$9+$Y$9)</f>
        <v>9.9560990906240199E-3</v>
      </c>
    </row>
    <row r="10" spans="2:27" ht="18">
      <c r="B10" s="51">
        <v>2</v>
      </c>
      <c r="C10" s="52">
        <v>2</v>
      </c>
      <c r="D10" s="52">
        <v>1</v>
      </c>
      <c r="E10" s="52">
        <v>7</v>
      </c>
      <c r="F10" s="52">
        <v>5</v>
      </c>
      <c r="G10" s="52">
        <v>6</v>
      </c>
      <c r="H10" s="52">
        <v>0</v>
      </c>
      <c r="J10" s="5"/>
      <c r="M10" s="21">
        <v>1</v>
      </c>
      <c r="N10" s="6">
        <v>0.3125</v>
      </c>
      <c r="O10" s="2">
        <v>1</v>
      </c>
      <c r="P10" s="4">
        <f t="shared" ref="P10:P29" si="0">SUMIF(TurnoAN,$O10,Tarek_Willians_Saab)</f>
        <v>387</v>
      </c>
      <c r="Q10" s="5">
        <f>P10</f>
        <v>387</v>
      </c>
      <c r="R10" s="10">
        <f>IF(P10&lt;&gt;0,Q10/($Q10+$T10+$W10+$Z10),LOOKUP(2121,$R$3:$R$6))</f>
        <v>0.53013698630136985</v>
      </c>
      <c r="S10" s="4">
        <f t="shared" ref="S10:S29" si="1">SUMIF(TurnoAN,$O10,Gustavo_Marcano)</f>
        <v>231</v>
      </c>
      <c r="T10" s="5">
        <f>S10</f>
        <v>231</v>
      </c>
      <c r="U10" s="10">
        <f>IF(S10&lt;&gt;0,T10/($Q10+$T10+$W10+$Z10),LOOKUP(2121,$R$3:$R$6))</f>
        <v>0.31643835616438354</v>
      </c>
      <c r="V10" s="4">
        <f t="shared" ref="V10:V29" si="2">SUMIF(TurnoAN,$O10,Benjamin_Rausseo)</f>
        <v>107</v>
      </c>
      <c r="W10" s="5">
        <f>V10</f>
        <v>107</v>
      </c>
      <c r="X10" s="10">
        <f>IF(V10&lt;&gt;0,W10/($Q10+$T10+$W10+$Z10),LOOKUP(2121,$R$3:$R$6))</f>
        <v>0.14657534246575343</v>
      </c>
      <c r="Y10" s="4">
        <f t="shared" ref="Y10:Y29" si="3">SUMIF(TurnoAN,$O10,OtroAN)</f>
        <v>5</v>
      </c>
      <c r="Z10" s="5">
        <f>Y10</f>
        <v>5</v>
      </c>
      <c r="AA10" s="3">
        <f>IF(Y10&lt;&gt;0,Z10/($Q10+$T10+$W10+$Z10),LOOKUP(2121,$R$3:$R$6))</f>
        <v>6.8493150684931503E-3</v>
      </c>
    </row>
    <row r="11" spans="2:27" ht="18">
      <c r="B11" s="51">
        <v>2</v>
      </c>
      <c r="C11" s="52">
        <v>20</v>
      </c>
      <c r="D11" s="52">
        <v>1</v>
      </c>
      <c r="E11" s="52">
        <v>18</v>
      </c>
      <c r="F11" s="52">
        <v>16</v>
      </c>
      <c r="G11" s="52">
        <v>13</v>
      </c>
      <c r="H11" s="52">
        <v>0</v>
      </c>
      <c r="M11" s="21">
        <v>1</v>
      </c>
      <c r="N11" s="6">
        <v>0.33333333333333298</v>
      </c>
      <c r="O11" s="2">
        <v>2</v>
      </c>
      <c r="P11" s="4">
        <f t="shared" si="0"/>
        <v>450</v>
      </c>
      <c r="Q11" s="5">
        <f>Q10+P11</f>
        <v>837</v>
      </c>
      <c r="R11" s="10">
        <f t="shared" ref="R11:R29" si="4">IF(P11&lt;&gt;0,Q11/($Q11+$T11+$W11+$Z11),LOOKUP(2121,$R$3:$R$6))</f>
        <v>0.52279825109306688</v>
      </c>
      <c r="S11" s="4">
        <f t="shared" si="1"/>
        <v>291</v>
      </c>
      <c r="T11" s="5">
        <f>T10+S11</f>
        <v>522</v>
      </c>
      <c r="U11" s="10">
        <f t="shared" ref="U11:U29" si="5">IF(S11&lt;&gt;0,T11/($Q11+$T11+$W11+$Z11),LOOKUP(2121,$R$3:$R$6))</f>
        <v>0.32604622111180515</v>
      </c>
      <c r="V11" s="4">
        <f t="shared" si="2"/>
        <v>124</v>
      </c>
      <c r="W11" s="5">
        <f>W10+V11</f>
        <v>231</v>
      </c>
      <c r="X11" s="10">
        <f t="shared" ref="X11:X29" si="6">IF(V11&lt;&gt;0,W11/($Q11+$T11+$W11+$Z11),LOOKUP(2121,$R$3:$R$6))</f>
        <v>0.14428482198625858</v>
      </c>
      <c r="Y11" s="4">
        <f t="shared" si="3"/>
        <v>6</v>
      </c>
      <c r="Z11" s="5">
        <f>Z10+Y11</f>
        <v>11</v>
      </c>
      <c r="AA11" s="3">
        <f t="shared" ref="AA11:AA29" si="7">IF(Y11&lt;&gt;0,Z11/($Q11+$T11+$W11+$Z11),LOOKUP(2121,$R$3:$R$6))</f>
        <v>6.8707058088694562E-3</v>
      </c>
    </row>
    <row r="12" spans="2:27" ht="18">
      <c r="B12" s="51">
        <v>2</v>
      </c>
      <c r="C12" s="52">
        <v>14</v>
      </c>
      <c r="D12" s="52">
        <v>3</v>
      </c>
      <c r="E12" s="52">
        <v>10</v>
      </c>
      <c r="F12" s="52">
        <v>3</v>
      </c>
      <c r="G12" s="52">
        <v>3</v>
      </c>
      <c r="H12" s="52">
        <v>0</v>
      </c>
      <c r="M12" s="21">
        <v>1</v>
      </c>
      <c r="N12" s="6">
        <v>0.35416666666666702</v>
      </c>
      <c r="O12" s="2">
        <v>3</v>
      </c>
      <c r="P12" s="4">
        <f t="shared" si="0"/>
        <v>496</v>
      </c>
      <c r="Q12" s="5">
        <f t="shared" ref="Q12:Q29" si="8">Q11+P12</f>
        <v>1333</v>
      </c>
      <c r="R12" s="10">
        <f t="shared" si="4"/>
        <v>0.53469715202567192</v>
      </c>
      <c r="S12" s="4">
        <f t="shared" si="1"/>
        <v>282</v>
      </c>
      <c r="T12" s="5">
        <f t="shared" ref="T12:T29" si="9">T11+S12</f>
        <v>804</v>
      </c>
      <c r="U12" s="10">
        <f t="shared" si="5"/>
        <v>0.32250300842358604</v>
      </c>
      <c r="V12" s="4">
        <f t="shared" si="2"/>
        <v>102</v>
      </c>
      <c r="W12" s="5">
        <f t="shared" ref="W12:W29" si="10">W11+V12</f>
        <v>333</v>
      </c>
      <c r="X12" s="10">
        <f t="shared" si="6"/>
        <v>0.13357400722021662</v>
      </c>
      <c r="Y12" s="4">
        <f t="shared" si="3"/>
        <v>12</v>
      </c>
      <c r="Z12" s="5">
        <f t="shared" ref="Z12:Z29" si="11">Z11+Y12</f>
        <v>23</v>
      </c>
      <c r="AA12" s="3">
        <f t="shared" si="7"/>
        <v>9.2258323305254714E-3</v>
      </c>
    </row>
    <row r="13" spans="2:27" ht="18">
      <c r="B13" s="51">
        <v>2</v>
      </c>
      <c r="C13" s="52">
        <v>14</v>
      </c>
      <c r="D13" s="52">
        <v>2</v>
      </c>
      <c r="E13" s="52">
        <v>3</v>
      </c>
      <c r="F13" s="52">
        <v>3</v>
      </c>
      <c r="G13" s="52">
        <v>5</v>
      </c>
      <c r="H13" s="52">
        <v>0</v>
      </c>
      <c r="M13" s="21">
        <v>1</v>
      </c>
      <c r="N13" s="6">
        <v>0.375</v>
      </c>
      <c r="O13" s="2">
        <v>4</v>
      </c>
      <c r="P13" s="4">
        <f t="shared" si="0"/>
        <v>548</v>
      </c>
      <c r="Q13" s="5">
        <f t="shared" si="8"/>
        <v>1881</v>
      </c>
      <c r="R13" s="10">
        <f t="shared" si="4"/>
        <v>0.558160237388724</v>
      </c>
      <c r="S13" s="4">
        <f t="shared" si="1"/>
        <v>249</v>
      </c>
      <c r="T13" s="5">
        <f t="shared" si="9"/>
        <v>1053</v>
      </c>
      <c r="U13" s="10">
        <f t="shared" si="5"/>
        <v>0.31246290801186943</v>
      </c>
      <c r="V13" s="4">
        <f t="shared" si="2"/>
        <v>74</v>
      </c>
      <c r="W13" s="5">
        <f t="shared" si="10"/>
        <v>407</v>
      </c>
      <c r="X13" s="10">
        <f t="shared" si="6"/>
        <v>0.12077151335311573</v>
      </c>
      <c r="Y13" s="4">
        <f t="shared" si="3"/>
        <v>6</v>
      </c>
      <c r="Z13" s="5">
        <f t="shared" si="11"/>
        <v>29</v>
      </c>
      <c r="AA13" s="3">
        <f t="shared" si="7"/>
        <v>8.605341246290801E-3</v>
      </c>
    </row>
    <row r="14" spans="2:27" ht="18">
      <c r="B14" s="51">
        <v>2</v>
      </c>
      <c r="C14" s="52">
        <v>11</v>
      </c>
      <c r="D14" s="52">
        <v>2</v>
      </c>
      <c r="E14" s="52">
        <v>5</v>
      </c>
      <c r="F14" s="52">
        <v>2</v>
      </c>
      <c r="G14" s="52">
        <v>1</v>
      </c>
      <c r="H14" s="52">
        <v>0</v>
      </c>
      <c r="M14" s="21">
        <v>1</v>
      </c>
      <c r="N14" s="6">
        <v>0.39583333333333298</v>
      </c>
      <c r="O14" s="2">
        <v>5</v>
      </c>
      <c r="P14" s="4">
        <f t="shared" si="0"/>
        <v>418</v>
      </c>
      <c r="Q14" s="5">
        <f t="shared" si="8"/>
        <v>2299</v>
      </c>
      <c r="R14" s="10">
        <f t="shared" si="4"/>
        <v>0.54947418738049714</v>
      </c>
      <c r="S14" s="4">
        <f t="shared" si="1"/>
        <v>306</v>
      </c>
      <c r="T14" s="5">
        <f t="shared" si="9"/>
        <v>1359</v>
      </c>
      <c r="U14" s="10">
        <f t="shared" si="5"/>
        <v>0.32480879541108987</v>
      </c>
      <c r="V14" s="4">
        <f t="shared" si="2"/>
        <v>83</v>
      </c>
      <c r="W14" s="5">
        <f t="shared" si="10"/>
        <v>490</v>
      </c>
      <c r="X14" s="10">
        <f t="shared" si="6"/>
        <v>0.11711281070745698</v>
      </c>
      <c r="Y14" s="4">
        <f t="shared" si="3"/>
        <v>7</v>
      </c>
      <c r="Z14" s="5">
        <f t="shared" si="11"/>
        <v>36</v>
      </c>
      <c r="AA14" s="3">
        <f t="shared" si="7"/>
        <v>8.6042065009560229E-3</v>
      </c>
    </row>
    <row r="15" spans="2:27" ht="18">
      <c r="B15" s="51">
        <v>2</v>
      </c>
      <c r="C15" s="52">
        <v>17</v>
      </c>
      <c r="D15" s="52">
        <v>3</v>
      </c>
      <c r="E15" s="52">
        <v>22</v>
      </c>
      <c r="F15" s="52">
        <v>17</v>
      </c>
      <c r="G15" s="52">
        <v>8</v>
      </c>
      <c r="H15" s="52">
        <v>0</v>
      </c>
      <c r="M15" s="21">
        <v>1</v>
      </c>
      <c r="N15" s="6">
        <v>0.41666666666666702</v>
      </c>
      <c r="O15" s="2">
        <v>6</v>
      </c>
      <c r="P15" s="4">
        <f t="shared" si="0"/>
        <v>426</v>
      </c>
      <c r="Q15" s="5">
        <f t="shared" si="8"/>
        <v>2725</v>
      </c>
      <c r="R15" s="10">
        <f t="shared" si="4"/>
        <v>0.54358667464592059</v>
      </c>
      <c r="S15" s="4">
        <f t="shared" si="1"/>
        <v>312</v>
      </c>
      <c r="T15" s="5">
        <f t="shared" si="9"/>
        <v>1671</v>
      </c>
      <c r="U15" s="10">
        <f t="shared" si="5"/>
        <v>0.33333333333333331</v>
      </c>
      <c r="V15" s="4">
        <f t="shared" si="2"/>
        <v>78</v>
      </c>
      <c r="W15" s="5">
        <f t="shared" si="10"/>
        <v>568</v>
      </c>
      <c r="X15" s="10">
        <f t="shared" si="6"/>
        <v>0.11330540594454419</v>
      </c>
      <c r="Y15" s="4">
        <f t="shared" si="3"/>
        <v>13</v>
      </c>
      <c r="Z15" s="5">
        <f t="shared" si="11"/>
        <v>49</v>
      </c>
      <c r="AA15" s="3">
        <f t="shared" si="7"/>
        <v>9.7745860762018747E-3</v>
      </c>
    </row>
    <row r="16" spans="2:27" ht="18">
      <c r="B16" s="51">
        <v>2</v>
      </c>
      <c r="C16" s="52">
        <v>17</v>
      </c>
      <c r="D16" s="52">
        <v>2</v>
      </c>
      <c r="E16" s="52">
        <v>25</v>
      </c>
      <c r="F16" s="52">
        <v>13</v>
      </c>
      <c r="G16" s="52">
        <v>8</v>
      </c>
      <c r="H16" s="52">
        <v>0</v>
      </c>
      <c r="M16" s="21">
        <v>1</v>
      </c>
      <c r="N16" s="6">
        <v>0.4375</v>
      </c>
      <c r="O16" s="2">
        <v>7</v>
      </c>
      <c r="P16" s="4">
        <f t="shared" si="0"/>
        <v>495</v>
      </c>
      <c r="Q16" s="5">
        <f t="shared" si="8"/>
        <v>3220</v>
      </c>
      <c r="R16" s="10">
        <f t="shared" si="4"/>
        <v>0.539815590947192</v>
      </c>
      <c r="S16" s="4">
        <f t="shared" si="1"/>
        <v>357</v>
      </c>
      <c r="T16" s="5">
        <f t="shared" si="9"/>
        <v>2028</v>
      </c>
      <c r="U16" s="10">
        <f t="shared" si="5"/>
        <v>0.33998323554065379</v>
      </c>
      <c r="V16" s="4">
        <f t="shared" si="2"/>
        <v>95</v>
      </c>
      <c r="W16" s="5">
        <f t="shared" si="10"/>
        <v>663</v>
      </c>
      <c r="X16" s="10">
        <f t="shared" si="6"/>
        <v>0.11114836546521374</v>
      </c>
      <c r="Y16" s="4">
        <f t="shared" si="3"/>
        <v>5</v>
      </c>
      <c r="Z16" s="5">
        <f t="shared" si="11"/>
        <v>54</v>
      </c>
      <c r="AA16" s="3">
        <f t="shared" si="7"/>
        <v>9.0528080469404869E-3</v>
      </c>
    </row>
    <row r="17" spans="2:27" ht="18">
      <c r="B17" s="52">
        <v>2</v>
      </c>
      <c r="C17" s="52">
        <v>4</v>
      </c>
      <c r="D17" s="52">
        <v>2</v>
      </c>
      <c r="E17" s="52">
        <v>22</v>
      </c>
      <c r="F17" s="52">
        <v>4</v>
      </c>
      <c r="G17" s="52">
        <v>0</v>
      </c>
      <c r="H17" s="52">
        <v>0</v>
      </c>
      <c r="M17" s="21">
        <v>1</v>
      </c>
      <c r="N17" s="6">
        <v>0.45833333333333298</v>
      </c>
      <c r="O17" s="2">
        <v>8</v>
      </c>
      <c r="P17" s="4">
        <f t="shared" si="0"/>
        <v>565</v>
      </c>
      <c r="Q17" s="5">
        <f t="shared" si="8"/>
        <v>3785</v>
      </c>
      <c r="R17" s="10">
        <f t="shared" si="4"/>
        <v>0.53810065396644868</v>
      </c>
      <c r="S17" s="4">
        <f t="shared" si="1"/>
        <v>406</v>
      </c>
      <c r="T17" s="5">
        <f t="shared" si="9"/>
        <v>2434</v>
      </c>
      <c r="U17" s="10">
        <f t="shared" si="5"/>
        <v>0.34603355132214958</v>
      </c>
      <c r="V17" s="4">
        <f t="shared" si="2"/>
        <v>86</v>
      </c>
      <c r="W17" s="5">
        <f t="shared" si="10"/>
        <v>749</v>
      </c>
      <c r="X17" s="10">
        <f t="shared" si="6"/>
        <v>0.10648279783906739</v>
      </c>
      <c r="Y17" s="4">
        <f t="shared" si="3"/>
        <v>12</v>
      </c>
      <c r="Z17" s="5">
        <f t="shared" si="11"/>
        <v>66</v>
      </c>
      <c r="AA17" s="3">
        <f t="shared" si="7"/>
        <v>9.382996872334376E-3</v>
      </c>
    </row>
    <row r="18" spans="2:27" ht="18">
      <c r="B18" s="52">
        <v>2</v>
      </c>
      <c r="C18" s="52">
        <v>14</v>
      </c>
      <c r="D18" s="52">
        <v>1</v>
      </c>
      <c r="E18" s="52">
        <v>6</v>
      </c>
      <c r="F18" s="52">
        <v>3</v>
      </c>
      <c r="G18" s="52">
        <v>5</v>
      </c>
      <c r="H18" s="52">
        <v>0</v>
      </c>
      <c r="M18" s="21">
        <v>1</v>
      </c>
      <c r="N18" s="6">
        <v>0.47916666666666702</v>
      </c>
      <c r="O18" s="2">
        <v>9</v>
      </c>
      <c r="P18" s="4">
        <f t="shared" si="0"/>
        <v>569</v>
      </c>
      <c r="Q18" s="5">
        <f t="shared" si="8"/>
        <v>4354</v>
      </c>
      <c r="R18" s="10">
        <f t="shared" si="4"/>
        <v>0.53912828132738977</v>
      </c>
      <c r="S18" s="4">
        <f t="shared" si="1"/>
        <v>363</v>
      </c>
      <c r="T18" s="5">
        <f t="shared" si="9"/>
        <v>2797</v>
      </c>
      <c r="U18" s="10">
        <f t="shared" si="5"/>
        <v>0.34633481921743436</v>
      </c>
      <c r="V18" s="4">
        <f t="shared" si="2"/>
        <v>104</v>
      </c>
      <c r="W18" s="5">
        <f t="shared" si="10"/>
        <v>853</v>
      </c>
      <c r="X18" s="10">
        <f t="shared" si="6"/>
        <v>0.10562159484893512</v>
      </c>
      <c r="Y18" s="4">
        <f t="shared" si="3"/>
        <v>6</v>
      </c>
      <c r="Z18" s="5">
        <f t="shared" si="11"/>
        <v>72</v>
      </c>
      <c r="AA18" s="3">
        <f t="shared" si="7"/>
        <v>8.9153046062407128E-3</v>
      </c>
    </row>
    <row r="19" spans="2:27" ht="18">
      <c r="B19" s="52">
        <v>2</v>
      </c>
      <c r="C19" s="52">
        <v>4</v>
      </c>
      <c r="D19" s="52">
        <v>1</v>
      </c>
      <c r="E19" s="52">
        <v>10</v>
      </c>
      <c r="F19" s="52">
        <v>2</v>
      </c>
      <c r="G19" s="52">
        <v>0</v>
      </c>
      <c r="H19" s="52">
        <v>0</v>
      </c>
      <c r="M19" s="21">
        <v>1</v>
      </c>
      <c r="N19" s="6">
        <v>0.5</v>
      </c>
      <c r="O19" s="2">
        <v>10</v>
      </c>
      <c r="P19" s="4">
        <f t="shared" si="0"/>
        <v>525</v>
      </c>
      <c r="Q19" s="5">
        <f t="shared" si="8"/>
        <v>4879</v>
      </c>
      <c r="R19" s="10">
        <f t="shared" si="4"/>
        <v>0.53733480176211457</v>
      </c>
      <c r="S19" s="4">
        <f t="shared" si="1"/>
        <v>387</v>
      </c>
      <c r="T19" s="5">
        <f t="shared" si="9"/>
        <v>3184</v>
      </c>
      <c r="U19" s="10">
        <f t="shared" si="5"/>
        <v>0.35066079295154184</v>
      </c>
      <c r="V19" s="4">
        <f t="shared" si="2"/>
        <v>80</v>
      </c>
      <c r="W19" s="5">
        <f t="shared" si="10"/>
        <v>933</v>
      </c>
      <c r="X19" s="10">
        <f t="shared" si="6"/>
        <v>0.10275330396475771</v>
      </c>
      <c r="Y19" s="4">
        <f t="shared" si="3"/>
        <v>12</v>
      </c>
      <c r="Z19" s="5">
        <f t="shared" si="11"/>
        <v>84</v>
      </c>
      <c r="AA19" s="3">
        <f t="shared" si="7"/>
        <v>9.2511013215859032E-3</v>
      </c>
    </row>
    <row r="20" spans="2:27" ht="18">
      <c r="B20" s="52">
        <v>2</v>
      </c>
      <c r="C20" s="52">
        <v>11</v>
      </c>
      <c r="D20" s="52">
        <v>1</v>
      </c>
      <c r="E20" s="52">
        <v>7</v>
      </c>
      <c r="F20" s="52">
        <v>5</v>
      </c>
      <c r="G20" s="52">
        <v>1</v>
      </c>
      <c r="H20" s="52">
        <v>0</v>
      </c>
      <c r="M20" s="21">
        <v>1</v>
      </c>
      <c r="N20" s="6">
        <v>0.52083333333333304</v>
      </c>
      <c r="O20" s="2">
        <v>11</v>
      </c>
      <c r="P20" s="4">
        <f t="shared" si="0"/>
        <v>446</v>
      </c>
      <c r="Q20" s="5">
        <f t="shared" si="8"/>
        <v>5325</v>
      </c>
      <c r="R20" s="10">
        <f t="shared" si="4"/>
        <v>0.534531218630797</v>
      </c>
      <c r="S20" s="4">
        <f t="shared" si="1"/>
        <v>343</v>
      </c>
      <c r="T20" s="5">
        <f t="shared" si="9"/>
        <v>3527</v>
      </c>
      <c r="U20" s="10">
        <f t="shared" si="5"/>
        <v>0.35404537241517769</v>
      </c>
      <c r="V20" s="4">
        <f t="shared" si="2"/>
        <v>83</v>
      </c>
      <c r="W20" s="5">
        <f t="shared" si="10"/>
        <v>1016</v>
      </c>
      <c r="X20" s="10">
        <f t="shared" si="6"/>
        <v>0.101987552700261</v>
      </c>
      <c r="Y20" s="4">
        <f t="shared" si="3"/>
        <v>10</v>
      </c>
      <c r="Z20" s="5">
        <f t="shared" si="11"/>
        <v>94</v>
      </c>
      <c r="AA20" s="3">
        <f t="shared" si="7"/>
        <v>9.4358562537643041E-3</v>
      </c>
    </row>
    <row r="21" spans="2:27" ht="18">
      <c r="B21" s="52">
        <v>2</v>
      </c>
      <c r="C21" s="52">
        <v>22</v>
      </c>
      <c r="D21" s="52">
        <v>1</v>
      </c>
      <c r="E21" s="52">
        <v>2</v>
      </c>
      <c r="F21" s="52">
        <v>6</v>
      </c>
      <c r="G21" s="52">
        <v>0</v>
      </c>
      <c r="H21" s="52">
        <v>0</v>
      </c>
      <c r="M21" s="21">
        <v>1</v>
      </c>
      <c r="N21" s="6">
        <v>4.1666666666666664E-2</v>
      </c>
      <c r="O21" s="2">
        <v>12</v>
      </c>
      <c r="P21" s="4">
        <f t="shared" si="0"/>
        <v>354</v>
      </c>
      <c r="Q21" s="5">
        <f t="shared" si="8"/>
        <v>5679</v>
      </c>
      <c r="R21" s="10">
        <f t="shared" si="4"/>
        <v>0.5303511393350766</v>
      </c>
      <c r="S21" s="4">
        <f t="shared" si="1"/>
        <v>303</v>
      </c>
      <c r="T21" s="5">
        <f t="shared" si="9"/>
        <v>3830</v>
      </c>
      <c r="U21" s="10">
        <f t="shared" si="5"/>
        <v>0.35767650354874858</v>
      </c>
      <c r="V21" s="4">
        <f t="shared" si="2"/>
        <v>80</v>
      </c>
      <c r="W21" s="5">
        <f t="shared" si="10"/>
        <v>1096</v>
      </c>
      <c r="X21" s="10">
        <f t="shared" si="6"/>
        <v>0.10235338064998133</v>
      </c>
      <c r="Y21" s="4">
        <f t="shared" si="3"/>
        <v>9</v>
      </c>
      <c r="Z21" s="5">
        <f t="shared" si="11"/>
        <v>103</v>
      </c>
      <c r="AA21" s="3">
        <f t="shared" si="7"/>
        <v>9.6189764661935E-3</v>
      </c>
    </row>
    <row r="22" spans="2:27" ht="18">
      <c r="B22" s="52">
        <v>2</v>
      </c>
      <c r="C22" s="52">
        <v>11</v>
      </c>
      <c r="D22" s="52">
        <v>1</v>
      </c>
      <c r="E22" s="52">
        <v>19</v>
      </c>
      <c r="F22" s="52">
        <v>11</v>
      </c>
      <c r="G22" s="52">
        <v>16</v>
      </c>
      <c r="H22" s="52">
        <v>0</v>
      </c>
      <c r="M22" s="21">
        <v>1</v>
      </c>
      <c r="N22" s="6">
        <v>6.25E-2</v>
      </c>
      <c r="O22" s="2">
        <v>13</v>
      </c>
      <c r="P22" s="4">
        <f t="shared" si="0"/>
        <v>371</v>
      </c>
      <c r="Q22" s="5">
        <f t="shared" si="8"/>
        <v>6050</v>
      </c>
      <c r="R22" s="10">
        <f t="shared" si="4"/>
        <v>0.52649899921677834</v>
      </c>
      <c r="S22" s="4">
        <f t="shared" si="1"/>
        <v>310</v>
      </c>
      <c r="T22" s="5">
        <f t="shared" si="9"/>
        <v>4140</v>
      </c>
      <c r="U22" s="10">
        <f t="shared" si="5"/>
        <v>0.36028195979462185</v>
      </c>
      <c r="V22" s="4">
        <f t="shared" si="2"/>
        <v>90</v>
      </c>
      <c r="W22" s="5">
        <f t="shared" si="10"/>
        <v>1186</v>
      </c>
      <c r="X22" s="10">
        <f t="shared" si="6"/>
        <v>0.10321120877208249</v>
      </c>
      <c r="Y22" s="4">
        <f t="shared" si="3"/>
        <v>12</v>
      </c>
      <c r="Z22" s="5">
        <f t="shared" si="11"/>
        <v>115</v>
      </c>
      <c r="AA22" s="3">
        <f t="shared" si="7"/>
        <v>1.0007832216517274E-2</v>
      </c>
    </row>
    <row r="23" spans="2:27" ht="18">
      <c r="B23" s="52">
        <v>2</v>
      </c>
      <c r="C23" s="52">
        <v>11</v>
      </c>
      <c r="D23" s="52">
        <v>2</v>
      </c>
      <c r="E23" s="52">
        <v>18</v>
      </c>
      <c r="F23" s="52">
        <v>23</v>
      </c>
      <c r="G23" s="52">
        <v>8</v>
      </c>
      <c r="H23" s="52">
        <v>0</v>
      </c>
      <c r="M23" s="21">
        <v>1</v>
      </c>
      <c r="N23" s="6">
        <v>8.3333333333333329E-2</v>
      </c>
      <c r="O23" s="2">
        <v>14</v>
      </c>
      <c r="P23" s="4">
        <f t="shared" si="0"/>
        <v>342</v>
      </c>
      <c r="Q23" s="5">
        <f t="shared" si="8"/>
        <v>6392</v>
      </c>
      <c r="R23" s="10">
        <f t="shared" si="4"/>
        <v>0.52247833905509233</v>
      </c>
      <c r="S23" s="4">
        <f t="shared" si="1"/>
        <v>314</v>
      </c>
      <c r="T23" s="5">
        <f t="shared" si="9"/>
        <v>4454</v>
      </c>
      <c r="U23" s="10">
        <f t="shared" si="5"/>
        <v>0.36406735327775053</v>
      </c>
      <c r="V23" s="4">
        <f t="shared" si="2"/>
        <v>80</v>
      </c>
      <c r="W23" s="5">
        <f t="shared" si="10"/>
        <v>1266</v>
      </c>
      <c r="X23" s="10">
        <f t="shared" si="6"/>
        <v>0.10348209906817067</v>
      </c>
      <c r="Y23" s="4">
        <f t="shared" si="3"/>
        <v>7</v>
      </c>
      <c r="Z23" s="5">
        <f t="shared" si="11"/>
        <v>122</v>
      </c>
      <c r="AA23" s="3">
        <f t="shared" si="7"/>
        <v>9.9722085989864314E-3</v>
      </c>
    </row>
    <row r="24" spans="2:27" ht="18">
      <c r="B24" s="52">
        <v>2</v>
      </c>
      <c r="C24" s="52">
        <v>23</v>
      </c>
      <c r="D24" s="52">
        <v>1</v>
      </c>
      <c r="E24" s="52">
        <v>8</v>
      </c>
      <c r="F24" s="52">
        <v>5</v>
      </c>
      <c r="G24" s="52">
        <v>1</v>
      </c>
      <c r="H24" s="52">
        <v>0</v>
      </c>
      <c r="M24" s="21">
        <v>1</v>
      </c>
      <c r="N24" s="6">
        <v>0.104166666666667</v>
      </c>
      <c r="O24" s="2">
        <v>15</v>
      </c>
      <c r="P24" s="4">
        <f t="shared" si="0"/>
        <v>171</v>
      </c>
      <c r="Q24" s="5">
        <f t="shared" si="8"/>
        <v>6563</v>
      </c>
      <c r="R24" s="10">
        <f t="shared" si="4"/>
        <v>0.51930685235005536</v>
      </c>
      <c r="S24" s="4">
        <f t="shared" si="1"/>
        <v>196</v>
      </c>
      <c r="T24" s="5">
        <f t="shared" si="9"/>
        <v>4650</v>
      </c>
      <c r="U24" s="10">
        <f t="shared" si="5"/>
        <v>0.36793796486785885</v>
      </c>
      <c r="V24" s="4">
        <f t="shared" si="2"/>
        <v>32</v>
      </c>
      <c r="W24" s="5">
        <f t="shared" si="10"/>
        <v>1298</v>
      </c>
      <c r="X24" s="10">
        <f t="shared" si="6"/>
        <v>0.10270612438677006</v>
      </c>
      <c r="Y24" s="4">
        <f t="shared" si="3"/>
        <v>5</v>
      </c>
      <c r="Z24" s="5">
        <f t="shared" si="11"/>
        <v>127</v>
      </c>
      <c r="AA24" s="3">
        <f t="shared" si="7"/>
        <v>1.0049058395315714E-2</v>
      </c>
    </row>
    <row r="25" spans="2:27" ht="18">
      <c r="B25" s="52">
        <v>2</v>
      </c>
      <c r="C25" s="52">
        <v>1</v>
      </c>
      <c r="D25" s="52">
        <v>1</v>
      </c>
      <c r="E25" s="52">
        <v>10</v>
      </c>
      <c r="F25" s="52">
        <v>7</v>
      </c>
      <c r="G25" s="52">
        <v>1</v>
      </c>
      <c r="H25" s="52">
        <v>0</v>
      </c>
      <c r="M25" s="21">
        <v>1</v>
      </c>
      <c r="N25" s="6">
        <v>0.125</v>
      </c>
      <c r="O25" s="2">
        <v>16</v>
      </c>
      <c r="P25" s="4">
        <f t="shared" si="0"/>
        <v>37</v>
      </c>
      <c r="Q25" s="5">
        <f t="shared" si="8"/>
        <v>6600</v>
      </c>
      <c r="R25" s="10">
        <f t="shared" si="4"/>
        <v>0.51878635434680087</v>
      </c>
      <c r="S25" s="4">
        <f t="shared" si="1"/>
        <v>36</v>
      </c>
      <c r="T25" s="5">
        <f t="shared" si="9"/>
        <v>4686</v>
      </c>
      <c r="U25" s="10">
        <f t="shared" si="5"/>
        <v>0.3683383115862286</v>
      </c>
      <c r="V25" s="4">
        <f t="shared" si="2"/>
        <v>11</v>
      </c>
      <c r="W25" s="5">
        <f t="shared" si="10"/>
        <v>1309</v>
      </c>
      <c r="X25" s="10">
        <f t="shared" si="6"/>
        <v>0.10289262694544883</v>
      </c>
      <c r="Y25" s="4">
        <f t="shared" si="3"/>
        <v>0</v>
      </c>
      <c r="Z25" s="5">
        <f t="shared" si="11"/>
        <v>127</v>
      </c>
      <c r="AA25" s="3" t="e">
        <f t="shared" si="7"/>
        <v>#N/A</v>
      </c>
    </row>
    <row r="26" spans="2:27" ht="18">
      <c r="B26" s="52">
        <v>2</v>
      </c>
      <c r="C26" s="52">
        <v>14</v>
      </c>
      <c r="D26" s="52">
        <v>1</v>
      </c>
      <c r="E26" s="52">
        <v>5</v>
      </c>
      <c r="F26" s="52">
        <v>4</v>
      </c>
      <c r="G26" s="52">
        <v>0</v>
      </c>
      <c r="H26" s="52">
        <v>0</v>
      </c>
      <c r="M26" s="21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8"/>
        <v>6600</v>
      </c>
      <c r="R26" s="10" t="e">
        <f t="shared" si="4"/>
        <v>#N/A</v>
      </c>
      <c r="S26" s="4">
        <f t="shared" si="1"/>
        <v>0</v>
      </c>
      <c r="T26" s="5">
        <f t="shared" si="9"/>
        <v>4686</v>
      </c>
      <c r="U26" s="10" t="e">
        <f t="shared" si="5"/>
        <v>#N/A</v>
      </c>
      <c r="V26" s="4">
        <f t="shared" si="2"/>
        <v>0</v>
      </c>
      <c r="W26" s="5">
        <f t="shared" si="10"/>
        <v>1309</v>
      </c>
      <c r="X26" s="10" t="e">
        <f t="shared" si="6"/>
        <v>#N/A</v>
      </c>
      <c r="Y26" s="4">
        <f t="shared" si="3"/>
        <v>0</v>
      </c>
      <c r="Z26" s="5">
        <f t="shared" si="11"/>
        <v>127</v>
      </c>
      <c r="AA26" s="3" t="e">
        <f t="shared" si="7"/>
        <v>#N/A</v>
      </c>
    </row>
    <row r="27" spans="2:27" ht="18">
      <c r="B27" s="52">
        <v>2</v>
      </c>
      <c r="C27" s="52">
        <v>34</v>
      </c>
      <c r="D27" s="52">
        <v>1</v>
      </c>
      <c r="E27" s="52">
        <v>5</v>
      </c>
      <c r="F27" s="52">
        <v>6</v>
      </c>
      <c r="G27" s="52">
        <v>0</v>
      </c>
      <c r="H27" s="52">
        <v>0</v>
      </c>
      <c r="M27" s="21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6600</v>
      </c>
      <c r="R27" s="10" t="e">
        <f t="shared" si="4"/>
        <v>#N/A</v>
      </c>
      <c r="S27" s="4">
        <f t="shared" si="1"/>
        <v>0</v>
      </c>
      <c r="T27" s="5">
        <f t="shared" si="9"/>
        <v>4686</v>
      </c>
      <c r="U27" s="10" t="e">
        <f t="shared" si="5"/>
        <v>#N/A</v>
      </c>
      <c r="V27" s="4">
        <f t="shared" si="2"/>
        <v>0</v>
      </c>
      <c r="W27" s="5">
        <f t="shared" si="10"/>
        <v>1309</v>
      </c>
      <c r="X27" s="10" t="e">
        <f t="shared" si="6"/>
        <v>#N/A</v>
      </c>
      <c r="Y27" s="4">
        <f t="shared" si="3"/>
        <v>0</v>
      </c>
      <c r="Z27" s="5">
        <f t="shared" si="11"/>
        <v>127</v>
      </c>
      <c r="AA27" s="3" t="e">
        <f t="shared" si="7"/>
        <v>#N/A</v>
      </c>
    </row>
    <row r="28" spans="2:27" ht="18">
      <c r="B28" s="52">
        <v>2</v>
      </c>
      <c r="C28" s="52">
        <v>8</v>
      </c>
      <c r="D28" s="52">
        <v>1</v>
      </c>
      <c r="E28" s="52">
        <v>11</v>
      </c>
      <c r="F28" s="52">
        <v>10</v>
      </c>
      <c r="G28" s="52">
        <v>1</v>
      </c>
      <c r="H28" s="52">
        <v>0</v>
      </c>
      <c r="M28" s="21">
        <v>1</v>
      </c>
      <c r="N28" s="6">
        <v>0.187499999999999</v>
      </c>
      <c r="O28" s="2">
        <v>19</v>
      </c>
      <c r="P28" s="4">
        <f t="shared" si="0"/>
        <v>21</v>
      </c>
      <c r="Q28" s="5">
        <f t="shared" si="8"/>
        <v>6621</v>
      </c>
      <c r="R28" s="10">
        <f t="shared" si="4"/>
        <v>0.51904985888993416</v>
      </c>
      <c r="S28" s="4">
        <f t="shared" si="1"/>
        <v>11</v>
      </c>
      <c r="T28" s="5">
        <f t="shared" si="9"/>
        <v>4697</v>
      </c>
      <c r="U28" s="10">
        <f t="shared" si="5"/>
        <v>0.36821887739103165</v>
      </c>
      <c r="V28" s="4">
        <f t="shared" si="2"/>
        <v>2</v>
      </c>
      <c r="W28" s="5">
        <f t="shared" si="10"/>
        <v>1311</v>
      </c>
      <c r="X28" s="10">
        <f t="shared" si="6"/>
        <v>0.10277516462841016</v>
      </c>
      <c r="Y28" s="4">
        <f t="shared" si="3"/>
        <v>0</v>
      </c>
      <c r="Z28" s="5">
        <f t="shared" si="11"/>
        <v>127</v>
      </c>
      <c r="AA28" s="3" t="e">
        <f t="shared" si="7"/>
        <v>#N/A</v>
      </c>
    </row>
    <row r="29" spans="2:27" ht="18.75" thickBot="1">
      <c r="B29" s="52">
        <v>2</v>
      </c>
      <c r="C29" s="52">
        <v>25</v>
      </c>
      <c r="D29" s="52">
        <v>1</v>
      </c>
      <c r="E29" s="52">
        <v>15</v>
      </c>
      <c r="F29" s="52">
        <v>5</v>
      </c>
      <c r="G29" s="52">
        <v>0</v>
      </c>
      <c r="H29" s="52">
        <v>0</v>
      </c>
      <c r="M29" s="21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6621</v>
      </c>
      <c r="R29" s="11" t="e">
        <f t="shared" si="4"/>
        <v>#N/A</v>
      </c>
      <c r="S29" s="7">
        <f t="shared" si="1"/>
        <v>0</v>
      </c>
      <c r="T29" s="8">
        <f t="shared" si="9"/>
        <v>4697</v>
      </c>
      <c r="U29" s="11" t="e">
        <f t="shared" si="5"/>
        <v>#N/A</v>
      </c>
      <c r="V29" s="7">
        <f t="shared" si="2"/>
        <v>0</v>
      </c>
      <c r="W29" s="8">
        <f t="shared" si="10"/>
        <v>1311</v>
      </c>
      <c r="X29" s="11" t="e">
        <f t="shared" si="6"/>
        <v>#N/A</v>
      </c>
      <c r="Y29" s="7">
        <f t="shared" si="3"/>
        <v>0</v>
      </c>
      <c r="Z29" s="8">
        <f t="shared" si="11"/>
        <v>127</v>
      </c>
      <c r="AA29" s="9" t="e">
        <f t="shared" si="7"/>
        <v>#N/A</v>
      </c>
    </row>
    <row r="30" spans="2:27" ht="18">
      <c r="B30" s="52">
        <v>2</v>
      </c>
      <c r="C30" s="52">
        <v>25</v>
      </c>
      <c r="D30" s="52">
        <v>2</v>
      </c>
      <c r="E30" s="52">
        <v>20</v>
      </c>
      <c r="F30" s="52">
        <v>5</v>
      </c>
      <c r="G30" s="52">
        <v>0</v>
      </c>
      <c r="H30" s="52">
        <v>0</v>
      </c>
      <c r="M30" s="21">
        <v>1</v>
      </c>
    </row>
    <row r="31" spans="2:27" ht="18">
      <c r="B31" s="52">
        <v>2</v>
      </c>
      <c r="C31" s="52">
        <v>25</v>
      </c>
      <c r="D31" s="52">
        <v>7</v>
      </c>
      <c r="E31" s="52">
        <v>15</v>
      </c>
      <c r="F31" s="52">
        <v>4</v>
      </c>
      <c r="G31" s="52">
        <v>0</v>
      </c>
      <c r="H31" s="52">
        <v>0</v>
      </c>
      <c r="M31" s="21">
        <v>1</v>
      </c>
    </row>
    <row r="32" spans="2:27" ht="18">
      <c r="B32" s="52">
        <v>2</v>
      </c>
      <c r="C32" s="52">
        <v>12</v>
      </c>
      <c r="D32" s="52">
        <v>2</v>
      </c>
      <c r="E32" s="52">
        <v>9</v>
      </c>
      <c r="F32" s="52">
        <v>6</v>
      </c>
      <c r="G32" s="52">
        <v>1</v>
      </c>
      <c r="H32" s="52">
        <v>1</v>
      </c>
      <c r="M32" s="21">
        <v>1</v>
      </c>
      <c r="O32" s="21">
        <v>1</v>
      </c>
    </row>
    <row r="33" spans="2:15" ht="18">
      <c r="B33" s="52">
        <v>2</v>
      </c>
      <c r="C33" s="52">
        <v>34</v>
      </c>
      <c r="D33" s="52">
        <v>4</v>
      </c>
      <c r="E33" s="52">
        <v>5</v>
      </c>
      <c r="F33" s="52">
        <v>1</v>
      </c>
      <c r="G33" s="52">
        <v>0</v>
      </c>
      <c r="H33" s="52">
        <v>0</v>
      </c>
      <c r="M33" s="21">
        <v>1</v>
      </c>
      <c r="O33" s="21">
        <v>2</v>
      </c>
    </row>
    <row r="34" spans="2:15" ht="18">
      <c r="B34" s="52">
        <v>2</v>
      </c>
      <c r="C34" s="52">
        <v>32</v>
      </c>
      <c r="D34" s="52">
        <v>5</v>
      </c>
      <c r="E34" s="52">
        <v>10</v>
      </c>
      <c r="F34" s="52">
        <v>12</v>
      </c>
      <c r="G34" s="52">
        <v>0</v>
      </c>
      <c r="H34" s="52">
        <v>0</v>
      </c>
      <c r="M34" s="21">
        <v>1</v>
      </c>
      <c r="O34" s="21">
        <v>3</v>
      </c>
    </row>
    <row r="35" spans="2:15" ht="18">
      <c r="B35" s="52">
        <v>2</v>
      </c>
      <c r="C35" s="52">
        <v>32</v>
      </c>
      <c r="D35" s="52">
        <v>4</v>
      </c>
      <c r="E35" s="52">
        <v>12</v>
      </c>
      <c r="F35" s="52">
        <v>4</v>
      </c>
      <c r="G35" s="52">
        <v>1</v>
      </c>
      <c r="H35" s="52">
        <v>0</v>
      </c>
      <c r="M35" s="21">
        <v>1</v>
      </c>
      <c r="O35" s="21">
        <v>4</v>
      </c>
    </row>
    <row r="36" spans="2:15" ht="18">
      <c r="B36" s="52">
        <v>2</v>
      </c>
      <c r="C36" s="52">
        <v>29</v>
      </c>
      <c r="D36" s="52">
        <v>5</v>
      </c>
      <c r="E36" s="52">
        <v>9</v>
      </c>
      <c r="F36" s="52">
        <v>10</v>
      </c>
      <c r="G36" s="52">
        <v>0</v>
      </c>
      <c r="H36" s="52">
        <v>0</v>
      </c>
      <c r="M36" s="21">
        <v>1</v>
      </c>
      <c r="O36" s="21">
        <v>5</v>
      </c>
    </row>
    <row r="37" spans="2:15" ht="18">
      <c r="B37" s="52">
        <v>2</v>
      </c>
      <c r="C37" s="52">
        <v>29</v>
      </c>
      <c r="D37" s="52">
        <v>4</v>
      </c>
      <c r="E37" s="52">
        <v>12</v>
      </c>
      <c r="F37" s="52">
        <v>7</v>
      </c>
      <c r="G37" s="52">
        <v>1</v>
      </c>
      <c r="H37" s="52">
        <v>0</v>
      </c>
      <c r="M37" s="21">
        <v>1</v>
      </c>
      <c r="O37" s="21">
        <v>6</v>
      </c>
    </row>
    <row r="38" spans="2:15" ht="18">
      <c r="B38" s="52">
        <v>2</v>
      </c>
      <c r="C38" s="52">
        <v>13</v>
      </c>
      <c r="D38" s="52">
        <v>4</v>
      </c>
      <c r="E38" s="52">
        <v>8</v>
      </c>
      <c r="F38" s="52">
        <v>2</v>
      </c>
      <c r="G38" s="52">
        <v>1</v>
      </c>
      <c r="H38" s="52">
        <v>0</v>
      </c>
      <c r="M38" s="21">
        <v>1</v>
      </c>
      <c r="O38" s="21">
        <v>7</v>
      </c>
    </row>
    <row r="39" spans="2:15" ht="18">
      <c r="B39" s="52">
        <v>2</v>
      </c>
      <c r="C39" s="52">
        <v>13</v>
      </c>
      <c r="D39" s="52">
        <v>3</v>
      </c>
      <c r="E39" s="52">
        <v>1</v>
      </c>
      <c r="F39" s="52">
        <v>5</v>
      </c>
      <c r="G39" s="52">
        <v>0</v>
      </c>
      <c r="H39" s="52">
        <v>0</v>
      </c>
      <c r="M39" s="21">
        <v>1</v>
      </c>
      <c r="O39" s="21">
        <v>8</v>
      </c>
    </row>
    <row r="40" spans="2:15" ht="18">
      <c r="B40" s="52">
        <v>2</v>
      </c>
      <c r="C40" s="52">
        <v>13</v>
      </c>
      <c r="D40" s="52">
        <v>2</v>
      </c>
      <c r="E40" s="52">
        <v>1</v>
      </c>
      <c r="F40" s="52">
        <v>2</v>
      </c>
      <c r="G40" s="52">
        <v>1</v>
      </c>
      <c r="H40" s="52">
        <v>1</v>
      </c>
      <c r="M40" s="21">
        <v>1</v>
      </c>
      <c r="O40" s="21">
        <v>9</v>
      </c>
    </row>
    <row r="41" spans="2:15" ht="18">
      <c r="B41" s="52">
        <v>2</v>
      </c>
      <c r="C41" s="52">
        <v>12</v>
      </c>
      <c r="D41" s="52">
        <v>3</v>
      </c>
      <c r="E41" s="52">
        <v>7</v>
      </c>
      <c r="F41" s="52">
        <v>3</v>
      </c>
      <c r="G41" s="52">
        <v>0</v>
      </c>
      <c r="H41" s="52">
        <v>0</v>
      </c>
      <c r="M41" s="21">
        <v>1</v>
      </c>
      <c r="O41" s="21">
        <v>10</v>
      </c>
    </row>
    <row r="42" spans="2:15" ht="18">
      <c r="B42" s="52">
        <v>2</v>
      </c>
      <c r="C42" s="52">
        <v>12</v>
      </c>
      <c r="D42" s="52">
        <v>4</v>
      </c>
      <c r="E42" s="52">
        <v>15</v>
      </c>
      <c r="F42" s="52">
        <v>11</v>
      </c>
      <c r="G42" s="52">
        <v>0</v>
      </c>
      <c r="H42" s="52">
        <v>0</v>
      </c>
      <c r="M42" s="21">
        <v>1</v>
      </c>
      <c r="O42" s="21">
        <v>11</v>
      </c>
    </row>
    <row r="43" spans="2:15" ht="18">
      <c r="B43" s="52">
        <v>2</v>
      </c>
      <c r="C43" s="52">
        <v>12</v>
      </c>
      <c r="D43" s="52">
        <v>5</v>
      </c>
      <c r="E43" s="52">
        <v>18</v>
      </c>
      <c r="F43" s="52">
        <v>12</v>
      </c>
      <c r="G43" s="52">
        <v>0</v>
      </c>
      <c r="H43" s="52">
        <v>0</v>
      </c>
      <c r="M43" s="21">
        <v>1</v>
      </c>
      <c r="O43" s="21">
        <v>12</v>
      </c>
    </row>
    <row r="44" spans="2:15" ht="18">
      <c r="B44" s="52">
        <v>2</v>
      </c>
      <c r="C44" s="52">
        <v>25</v>
      </c>
      <c r="D44" s="52">
        <v>3</v>
      </c>
      <c r="E44" s="52">
        <v>12</v>
      </c>
      <c r="F44" s="52">
        <v>6</v>
      </c>
      <c r="G44" s="52">
        <v>0</v>
      </c>
      <c r="H44" s="52">
        <v>0</v>
      </c>
      <c r="M44" s="21">
        <v>1</v>
      </c>
      <c r="O44" s="21">
        <v>13</v>
      </c>
    </row>
    <row r="45" spans="2:15" ht="18">
      <c r="B45" s="52">
        <v>2</v>
      </c>
      <c r="C45" s="52">
        <v>25</v>
      </c>
      <c r="D45" s="52">
        <v>5</v>
      </c>
      <c r="E45" s="52">
        <v>23</v>
      </c>
      <c r="F45" s="52">
        <v>12</v>
      </c>
      <c r="G45" s="52">
        <v>0</v>
      </c>
      <c r="H45" s="52">
        <v>0</v>
      </c>
      <c r="M45" s="21">
        <v>1</v>
      </c>
      <c r="O45" s="21">
        <v>14</v>
      </c>
    </row>
    <row r="46" spans="2:15" ht="18">
      <c r="B46" s="52">
        <v>2</v>
      </c>
      <c r="C46" s="52">
        <v>20</v>
      </c>
      <c r="D46" s="52">
        <v>3</v>
      </c>
      <c r="E46" s="52">
        <v>13</v>
      </c>
      <c r="F46" s="52">
        <v>11</v>
      </c>
      <c r="G46" s="52">
        <v>3</v>
      </c>
      <c r="H46" s="52">
        <v>2</v>
      </c>
      <c r="M46" s="21">
        <v>1</v>
      </c>
      <c r="O46" s="21">
        <v>15</v>
      </c>
    </row>
    <row r="47" spans="2:15" ht="18">
      <c r="B47" s="52">
        <v>2</v>
      </c>
      <c r="C47" s="52">
        <v>3</v>
      </c>
      <c r="D47" s="52">
        <v>1</v>
      </c>
      <c r="E47" s="52">
        <v>7</v>
      </c>
      <c r="F47" s="52">
        <v>8</v>
      </c>
      <c r="G47" s="52">
        <v>3</v>
      </c>
      <c r="H47" s="52">
        <v>0</v>
      </c>
      <c r="M47" s="21">
        <v>1</v>
      </c>
      <c r="O47" s="21">
        <v>16</v>
      </c>
    </row>
    <row r="48" spans="2:15" ht="18">
      <c r="B48" s="52">
        <v>2</v>
      </c>
      <c r="C48" s="52">
        <v>3</v>
      </c>
      <c r="D48" s="52">
        <v>2</v>
      </c>
      <c r="E48" s="52">
        <v>9</v>
      </c>
      <c r="F48" s="52">
        <v>7</v>
      </c>
      <c r="G48" s="52">
        <v>4</v>
      </c>
      <c r="H48" s="52">
        <v>0</v>
      </c>
      <c r="M48" s="21">
        <v>1</v>
      </c>
      <c r="O48" s="21">
        <v>17</v>
      </c>
    </row>
    <row r="49" spans="2:15" ht="18">
      <c r="B49" s="52">
        <v>2</v>
      </c>
      <c r="C49" s="52">
        <v>30</v>
      </c>
      <c r="D49" s="52">
        <v>1</v>
      </c>
      <c r="E49" s="52">
        <v>19</v>
      </c>
      <c r="F49" s="52">
        <v>4</v>
      </c>
      <c r="G49" s="52">
        <v>0</v>
      </c>
      <c r="H49" s="52">
        <v>0</v>
      </c>
      <c r="M49" s="21">
        <v>1</v>
      </c>
      <c r="O49" s="21">
        <v>18</v>
      </c>
    </row>
    <row r="50" spans="2:15" ht="18">
      <c r="B50" s="52">
        <v>2</v>
      </c>
      <c r="C50" s="52">
        <v>22</v>
      </c>
      <c r="D50" s="52">
        <v>3</v>
      </c>
      <c r="E50" s="52">
        <v>5</v>
      </c>
      <c r="F50" s="52">
        <v>3</v>
      </c>
      <c r="G50" s="52">
        <v>0</v>
      </c>
      <c r="H50" s="52">
        <v>0</v>
      </c>
      <c r="M50" s="21">
        <v>1</v>
      </c>
      <c r="O50" s="21">
        <v>19</v>
      </c>
    </row>
    <row r="51" spans="2:15" ht="18">
      <c r="B51" s="52">
        <v>2</v>
      </c>
      <c r="C51" s="52">
        <v>22</v>
      </c>
      <c r="D51" s="52">
        <v>4</v>
      </c>
      <c r="E51" s="52">
        <v>2</v>
      </c>
      <c r="F51" s="52">
        <v>2</v>
      </c>
      <c r="G51" s="52">
        <v>0</v>
      </c>
      <c r="H51" s="52">
        <v>0</v>
      </c>
      <c r="M51" s="21">
        <v>1</v>
      </c>
      <c r="O51" s="21">
        <v>20</v>
      </c>
    </row>
    <row r="52" spans="2:15" ht="18">
      <c r="B52" s="52">
        <v>2</v>
      </c>
      <c r="C52" s="52">
        <v>11</v>
      </c>
      <c r="D52" s="52">
        <v>1</v>
      </c>
      <c r="E52" s="52">
        <v>18</v>
      </c>
      <c r="F52" s="52">
        <v>9</v>
      </c>
      <c r="G52" s="52">
        <v>16</v>
      </c>
      <c r="H52" s="52">
        <v>0</v>
      </c>
      <c r="M52" s="21">
        <v>1</v>
      </c>
      <c r="O52" s="21">
        <v>21</v>
      </c>
    </row>
    <row r="53" spans="2:15" ht="18">
      <c r="B53" s="52">
        <v>2</v>
      </c>
      <c r="C53" s="52">
        <v>11</v>
      </c>
      <c r="D53" s="52">
        <v>3</v>
      </c>
      <c r="E53" s="52">
        <v>16</v>
      </c>
      <c r="F53" s="52">
        <v>11</v>
      </c>
      <c r="G53" s="52">
        <v>9</v>
      </c>
      <c r="H53" s="52">
        <v>0</v>
      </c>
      <c r="M53" s="21">
        <v>1</v>
      </c>
      <c r="O53" s="21">
        <v>22</v>
      </c>
    </row>
    <row r="54" spans="2:15" ht="18">
      <c r="B54" s="52">
        <v>2</v>
      </c>
      <c r="C54" s="52">
        <v>11</v>
      </c>
      <c r="D54" s="52">
        <v>2</v>
      </c>
      <c r="E54" s="52">
        <v>16</v>
      </c>
      <c r="F54" s="52">
        <v>12</v>
      </c>
      <c r="G54" s="52">
        <v>9</v>
      </c>
      <c r="H54" s="52">
        <v>0</v>
      </c>
      <c r="M54" s="21">
        <v>1</v>
      </c>
      <c r="O54" s="21">
        <v>23</v>
      </c>
    </row>
    <row r="55" spans="2:15" ht="18">
      <c r="B55" s="52">
        <v>2</v>
      </c>
      <c r="C55" s="52">
        <v>10</v>
      </c>
      <c r="D55" s="52">
        <v>2</v>
      </c>
      <c r="E55" s="52">
        <v>33</v>
      </c>
      <c r="F55" s="52">
        <v>11</v>
      </c>
      <c r="G55" s="52">
        <v>7</v>
      </c>
      <c r="H55" s="52">
        <v>0</v>
      </c>
      <c r="M55" s="21">
        <v>1</v>
      </c>
      <c r="O55" s="21">
        <v>24</v>
      </c>
    </row>
    <row r="56" spans="2:15" ht="18">
      <c r="B56" s="52">
        <v>2</v>
      </c>
      <c r="C56" s="52">
        <v>33</v>
      </c>
      <c r="D56" s="52">
        <v>2</v>
      </c>
      <c r="E56" s="52">
        <v>16</v>
      </c>
      <c r="F56" s="52">
        <v>20</v>
      </c>
      <c r="G56" s="52">
        <v>1</v>
      </c>
      <c r="H56" s="52">
        <v>0</v>
      </c>
      <c r="M56" s="21">
        <v>1</v>
      </c>
      <c r="O56" s="21">
        <v>25</v>
      </c>
    </row>
    <row r="57" spans="2:15" ht="18">
      <c r="B57" s="52">
        <v>2</v>
      </c>
      <c r="C57" s="52">
        <v>33</v>
      </c>
      <c r="D57" s="52">
        <v>3</v>
      </c>
      <c r="E57" s="52">
        <v>8</v>
      </c>
      <c r="F57" s="52">
        <v>5</v>
      </c>
      <c r="G57" s="52">
        <v>0</v>
      </c>
      <c r="H57" s="52">
        <v>0</v>
      </c>
      <c r="M57" s="21">
        <v>1</v>
      </c>
      <c r="O57" s="21">
        <v>26</v>
      </c>
    </row>
    <row r="58" spans="2:15" ht="18">
      <c r="B58" s="52">
        <v>2</v>
      </c>
      <c r="C58" s="52">
        <v>5</v>
      </c>
      <c r="D58" s="52">
        <v>2</v>
      </c>
      <c r="E58" s="52">
        <v>4</v>
      </c>
      <c r="F58" s="52">
        <v>2</v>
      </c>
      <c r="G58" s="52">
        <v>2</v>
      </c>
      <c r="H58" s="52">
        <v>0</v>
      </c>
      <c r="M58" s="21">
        <v>1</v>
      </c>
      <c r="O58" s="21">
        <v>27</v>
      </c>
    </row>
    <row r="59" spans="2:15" ht="18">
      <c r="B59" s="52">
        <v>2</v>
      </c>
      <c r="C59" s="52">
        <v>5</v>
      </c>
      <c r="D59" s="52">
        <v>1</v>
      </c>
      <c r="E59" s="52">
        <v>6</v>
      </c>
      <c r="F59" s="52">
        <v>4</v>
      </c>
      <c r="G59" s="52">
        <v>2</v>
      </c>
      <c r="H59" s="52">
        <v>1</v>
      </c>
      <c r="M59" s="21">
        <v>1</v>
      </c>
      <c r="O59" s="21">
        <v>28</v>
      </c>
    </row>
    <row r="60" spans="2:15" ht="18">
      <c r="B60" s="52">
        <v>2</v>
      </c>
      <c r="C60" s="52">
        <v>3</v>
      </c>
      <c r="D60" s="52">
        <v>1</v>
      </c>
      <c r="E60" s="52">
        <v>6</v>
      </c>
      <c r="F60" s="52">
        <v>5</v>
      </c>
      <c r="G60" s="52">
        <v>7</v>
      </c>
      <c r="H60" s="52">
        <v>0</v>
      </c>
      <c r="M60" s="21">
        <v>1</v>
      </c>
      <c r="O60" s="21">
        <v>29</v>
      </c>
    </row>
    <row r="61" spans="2:15" ht="18">
      <c r="B61" s="52">
        <v>2</v>
      </c>
      <c r="C61" s="52">
        <v>31</v>
      </c>
      <c r="D61" s="52">
        <v>1</v>
      </c>
      <c r="E61" s="52">
        <v>20</v>
      </c>
      <c r="F61" s="52">
        <v>5</v>
      </c>
      <c r="G61" s="52">
        <v>5</v>
      </c>
      <c r="H61" s="52">
        <v>0</v>
      </c>
      <c r="M61" s="21">
        <v>1</v>
      </c>
      <c r="O61" s="21">
        <v>30</v>
      </c>
    </row>
    <row r="62" spans="2:15" ht="18">
      <c r="B62" s="52">
        <v>2</v>
      </c>
      <c r="C62" s="52">
        <v>33</v>
      </c>
      <c r="D62" s="52">
        <v>1</v>
      </c>
      <c r="E62" s="52">
        <v>9</v>
      </c>
      <c r="F62" s="52">
        <v>15</v>
      </c>
      <c r="G62" s="52">
        <v>0</v>
      </c>
      <c r="H62" s="52">
        <v>0</v>
      </c>
      <c r="M62" s="21">
        <v>1</v>
      </c>
      <c r="O62" s="21">
        <v>31</v>
      </c>
    </row>
    <row r="63" spans="2:15" ht="18">
      <c r="B63" s="52">
        <v>2</v>
      </c>
      <c r="C63" s="52">
        <v>2</v>
      </c>
      <c r="D63" s="52">
        <v>2</v>
      </c>
      <c r="E63" s="52">
        <v>8</v>
      </c>
      <c r="F63" s="52">
        <v>7</v>
      </c>
      <c r="G63" s="52">
        <v>4</v>
      </c>
      <c r="H63" s="52">
        <v>0</v>
      </c>
      <c r="M63" s="21">
        <v>1</v>
      </c>
      <c r="O63" s="21">
        <v>32</v>
      </c>
    </row>
    <row r="64" spans="2:15" ht="18">
      <c r="B64" s="52">
        <v>2</v>
      </c>
      <c r="C64" s="52">
        <v>25</v>
      </c>
      <c r="D64" s="52">
        <v>4</v>
      </c>
      <c r="E64" s="52">
        <v>12</v>
      </c>
      <c r="F64" s="52">
        <v>6</v>
      </c>
      <c r="G64" s="52">
        <v>0</v>
      </c>
      <c r="H64" s="52">
        <v>0</v>
      </c>
      <c r="M64" s="21">
        <v>1</v>
      </c>
      <c r="O64" s="21">
        <v>33</v>
      </c>
    </row>
    <row r="65" spans="2:15" ht="18">
      <c r="B65" s="52">
        <v>2</v>
      </c>
      <c r="C65" s="52">
        <v>4</v>
      </c>
      <c r="D65" s="52">
        <v>3</v>
      </c>
      <c r="E65" s="52">
        <v>38</v>
      </c>
      <c r="F65" s="52">
        <v>6</v>
      </c>
      <c r="G65" s="52">
        <v>0</v>
      </c>
      <c r="H65" s="52">
        <v>0</v>
      </c>
      <c r="M65" s="21">
        <v>1</v>
      </c>
      <c r="O65" s="21">
        <v>34</v>
      </c>
    </row>
    <row r="66" spans="2:15" ht="18">
      <c r="B66" s="52">
        <v>2</v>
      </c>
      <c r="C66" s="52">
        <v>11</v>
      </c>
      <c r="D66" s="52">
        <v>3</v>
      </c>
      <c r="E66" s="52">
        <v>4</v>
      </c>
      <c r="F66" s="52">
        <v>11</v>
      </c>
      <c r="G66" s="52">
        <v>0</v>
      </c>
      <c r="H66" s="52">
        <v>0</v>
      </c>
      <c r="M66" s="21">
        <v>1</v>
      </c>
      <c r="O66" s="21"/>
    </row>
    <row r="67" spans="2:15" ht="18">
      <c r="B67" s="52">
        <v>2</v>
      </c>
      <c r="C67" s="52">
        <v>14</v>
      </c>
      <c r="D67" s="52">
        <v>4</v>
      </c>
      <c r="E67" s="52">
        <v>13</v>
      </c>
      <c r="F67" s="52">
        <v>9</v>
      </c>
      <c r="G67" s="52">
        <v>6</v>
      </c>
      <c r="H67" s="52">
        <v>0</v>
      </c>
      <c r="M67" s="21">
        <v>1</v>
      </c>
      <c r="O67" s="21"/>
    </row>
    <row r="68" spans="2:15" ht="18">
      <c r="B68" s="52">
        <v>2</v>
      </c>
      <c r="C68" s="52">
        <v>17</v>
      </c>
      <c r="D68" s="52">
        <v>4</v>
      </c>
      <c r="E68" s="52">
        <v>25</v>
      </c>
      <c r="F68" s="52">
        <v>14</v>
      </c>
      <c r="G68" s="52">
        <v>9</v>
      </c>
      <c r="H68" s="52">
        <v>0</v>
      </c>
      <c r="M68" s="21">
        <v>1</v>
      </c>
      <c r="O68" s="21"/>
    </row>
    <row r="69" spans="2:15" ht="18">
      <c r="B69" s="52">
        <v>2</v>
      </c>
      <c r="C69" s="52">
        <v>10</v>
      </c>
      <c r="D69" s="52">
        <v>3</v>
      </c>
      <c r="E69" s="52">
        <v>33</v>
      </c>
      <c r="F69" s="52">
        <v>11</v>
      </c>
      <c r="G69" s="52">
        <v>6</v>
      </c>
      <c r="H69" s="52">
        <v>0</v>
      </c>
      <c r="M69" s="21">
        <v>1</v>
      </c>
      <c r="O69" s="21"/>
    </row>
    <row r="70" spans="2:15" ht="18">
      <c r="B70" s="52">
        <v>2</v>
      </c>
      <c r="C70" s="52">
        <v>5</v>
      </c>
      <c r="D70" s="52">
        <v>5</v>
      </c>
      <c r="E70" s="52">
        <v>4</v>
      </c>
      <c r="F70" s="52">
        <v>5</v>
      </c>
      <c r="G70" s="52">
        <v>4</v>
      </c>
      <c r="H70" s="52">
        <v>3</v>
      </c>
      <c r="M70" s="21">
        <v>1</v>
      </c>
      <c r="O70" s="21"/>
    </row>
    <row r="71" spans="2:15" ht="18">
      <c r="B71" s="52">
        <v>2</v>
      </c>
      <c r="C71" s="52">
        <v>5</v>
      </c>
      <c r="D71" s="52">
        <v>4</v>
      </c>
      <c r="E71" s="52">
        <v>11</v>
      </c>
      <c r="F71" s="52">
        <v>1</v>
      </c>
      <c r="G71" s="52">
        <v>4</v>
      </c>
      <c r="H71" s="52">
        <v>2</v>
      </c>
      <c r="M71" s="21">
        <v>1</v>
      </c>
      <c r="O71" s="21"/>
    </row>
    <row r="72" spans="2:15" ht="18">
      <c r="B72" s="52">
        <v>2</v>
      </c>
      <c r="C72" s="52">
        <v>5</v>
      </c>
      <c r="D72" s="52">
        <v>2</v>
      </c>
      <c r="E72" s="52">
        <v>12</v>
      </c>
      <c r="F72" s="52">
        <v>12</v>
      </c>
      <c r="G72" s="52">
        <v>1</v>
      </c>
      <c r="H72" s="52">
        <v>0</v>
      </c>
      <c r="M72" s="21">
        <v>1</v>
      </c>
      <c r="O72" s="21"/>
    </row>
    <row r="73" spans="2:15" ht="18">
      <c r="B73" s="52">
        <v>2</v>
      </c>
      <c r="C73" s="52">
        <v>5</v>
      </c>
      <c r="D73" s="52">
        <v>3</v>
      </c>
      <c r="E73" s="52">
        <v>6</v>
      </c>
      <c r="F73" s="52">
        <v>2</v>
      </c>
      <c r="G73" s="52">
        <v>3</v>
      </c>
      <c r="H73" s="52">
        <v>1</v>
      </c>
      <c r="M73" s="21">
        <v>1</v>
      </c>
      <c r="O73" s="21"/>
    </row>
    <row r="74" spans="2:15" ht="18">
      <c r="B74" s="52">
        <v>2</v>
      </c>
      <c r="C74" s="52">
        <v>32</v>
      </c>
      <c r="D74" s="52">
        <v>3</v>
      </c>
      <c r="E74" s="52">
        <v>10</v>
      </c>
      <c r="F74" s="52">
        <v>3</v>
      </c>
      <c r="G74" s="52">
        <v>1</v>
      </c>
      <c r="H74" s="52">
        <v>0</v>
      </c>
      <c r="M74" s="21">
        <v>1</v>
      </c>
      <c r="O74" s="21"/>
    </row>
    <row r="75" spans="2:15" ht="18">
      <c r="B75" s="52">
        <v>2</v>
      </c>
      <c r="C75" s="52">
        <v>10</v>
      </c>
      <c r="D75" s="52">
        <v>1</v>
      </c>
      <c r="E75" s="52">
        <v>33</v>
      </c>
      <c r="F75" s="52">
        <v>10</v>
      </c>
      <c r="G75" s="52">
        <v>7</v>
      </c>
      <c r="H75" s="52">
        <v>0</v>
      </c>
      <c r="M75" s="21">
        <v>1</v>
      </c>
      <c r="O75" s="21"/>
    </row>
    <row r="76" spans="2:15" ht="18">
      <c r="B76" s="52">
        <v>2</v>
      </c>
      <c r="C76" s="52">
        <v>13</v>
      </c>
      <c r="D76" s="52">
        <v>2</v>
      </c>
      <c r="E76" s="52">
        <v>1</v>
      </c>
      <c r="F76" s="52">
        <v>2</v>
      </c>
      <c r="G76" s="52">
        <v>1</v>
      </c>
      <c r="H76" s="52">
        <v>1</v>
      </c>
      <c r="M76" s="21">
        <v>1</v>
      </c>
      <c r="O76" s="21"/>
    </row>
    <row r="77" spans="2:15" ht="18">
      <c r="B77" s="52">
        <v>2</v>
      </c>
      <c r="C77" s="52">
        <v>29</v>
      </c>
      <c r="D77" s="52">
        <v>4</v>
      </c>
      <c r="E77" s="52">
        <v>12</v>
      </c>
      <c r="F77" s="52">
        <v>7</v>
      </c>
      <c r="G77" s="52">
        <v>1</v>
      </c>
      <c r="H77" s="52">
        <v>0</v>
      </c>
      <c r="M77" s="21">
        <v>1</v>
      </c>
      <c r="O77" s="21"/>
    </row>
    <row r="78" spans="2:15" ht="18">
      <c r="B78" s="52">
        <v>2</v>
      </c>
      <c r="C78" s="52">
        <v>29</v>
      </c>
      <c r="D78" s="52">
        <v>5</v>
      </c>
      <c r="E78" s="52">
        <v>9</v>
      </c>
      <c r="F78" s="52">
        <v>10</v>
      </c>
      <c r="G78" s="52">
        <v>0</v>
      </c>
      <c r="H78" s="52">
        <v>0</v>
      </c>
      <c r="M78" s="21">
        <v>1</v>
      </c>
      <c r="O78" s="21"/>
    </row>
    <row r="79" spans="2:15" ht="18">
      <c r="B79" s="52">
        <v>2</v>
      </c>
      <c r="C79" s="52">
        <v>32</v>
      </c>
      <c r="D79" s="52">
        <v>4</v>
      </c>
      <c r="E79" s="52">
        <v>12</v>
      </c>
      <c r="F79" s="52">
        <v>4</v>
      </c>
      <c r="G79" s="52">
        <v>1</v>
      </c>
      <c r="H79" s="52">
        <v>0</v>
      </c>
      <c r="M79" s="21">
        <v>1</v>
      </c>
      <c r="O79" s="21"/>
    </row>
    <row r="80" spans="2:15" ht="18">
      <c r="B80" s="52">
        <v>2</v>
      </c>
      <c r="C80" s="52">
        <v>32</v>
      </c>
      <c r="D80" s="52">
        <v>5</v>
      </c>
      <c r="E80" s="52">
        <v>10</v>
      </c>
      <c r="F80" s="52">
        <v>12</v>
      </c>
      <c r="G80" s="52">
        <v>0</v>
      </c>
      <c r="H80" s="52">
        <v>0</v>
      </c>
      <c r="M80" s="21">
        <v>1</v>
      </c>
      <c r="O80" s="21"/>
    </row>
    <row r="81" spans="2:15" ht="18">
      <c r="B81" s="52">
        <v>2</v>
      </c>
      <c r="C81" s="52">
        <v>13</v>
      </c>
      <c r="D81" s="52">
        <v>3</v>
      </c>
      <c r="E81" s="52">
        <v>1</v>
      </c>
      <c r="F81" s="52">
        <v>5</v>
      </c>
      <c r="G81" s="52">
        <v>0</v>
      </c>
      <c r="H81" s="52">
        <v>0</v>
      </c>
      <c r="M81" s="21">
        <v>1</v>
      </c>
      <c r="O81" s="21"/>
    </row>
    <row r="82" spans="2:15" ht="18">
      <c r="B82" s="52">
        <v>2</v>
      </c>
      <c r="C82" s="52">
        <v>34</v>
      </c>
      <c r="D82" s="52">
        <v>4</v>
      </c>
      <c r="E82" s="52">
        <v>5</v>
      </c>
      <c r="F82" s="52">
        <v>1</v>
      </c>
      <c r="G82" s="52">
        <v>0</v>
      </c>
      <c r="H82" s="52">
        <v>0</v>
      </c>
      <c r="M82" s="21">
        <v>1</v>
      </c>
      <c r="O82" s="21"/>
    </row>
    <row r="83" spans="2:15" ht="18">
      <c r="B83" s="52">
        <v>2</v>
      </c>
      <c r="C83" s="52">
        <v>13</v>
      </c>
      <c r="D83" s="52">
        <v>4</v>
      </c>
      <c r="E83" s="52">
        <v>8</v>
      </c>
      <c r="F83" s="52">
        <v>2</v>
      </c>
      <c r="G83" s="52">
        <v>1</v>
      </c>
      <c r="H83" s="52">
        <v>0</v>
      </c>
      <c r="M83" s="21">
        <v>1</v>
      </c>
      <c r="O83" s="21"/>
    </row>
    <row r="84" spans="2:15" ht="18">
      <c r="B84" s="52">
        <v>2</v>
      </c>
      <c r="C84" s="52">
        <v>1</v>
      </c>
      <c r="D84" s="52">
        <v>3</v>
      </c>
      <c r="E84" s="52">
        <v>20</v>
      </c>
      <c r="F84" s="52">
        <v>3</v>
      </c>
      <c r="G84" s="52">
        <v>7</v>
      </c>
      <c r="H84" s="52">
        <v>0</v>
      </c>
      <c r="M84" s="21">
        <v>1</v>
      </c>
      <c r="O84" s="21"/>
    </row>
    <row r="85" spans="2:15" ht="18">
      <c r="B85" s="52">
        <v>2</v>
      </c>
      <c r="C85" s="52">
        <v>28</v>
      </c>
      <c r="D85" s="52">
        <v>5</v>
      </c>
      <c r="E85" s="52">
        <v>11</v>
      </c>
      <c r="F85" s="52">
        <v>10</v>
      </c>
      <c r="G85" s="52">
        <v>2</v>
      </c>
      <c r="H85" s="52">
        <v>0</v>
      </c>
      <c r="M85" s="21">
        <v>1</v>
      </c>
      <c r="O85" s="21"/>
    </row>
    <row r="86" spans="2:15" ht="18">
      <c r="B86" s="52">
        <v>2</v>
      </c>
      <c r="C86" s="52">
        <v>28</v>
      </c>
      <c r="D86" s="52">
        <v>3</v>
      </c>
      <c r="E86" s="52">
        <v>37</v>
      </c>
      <c r="F86" s="52">
        <v>12</v>
      </c>
      <c r="G86" s="52">
        <v>2</v>
      </c>
      <c r="H86" s="52">
        <v>0</v>
      </c>
      <c r="M86" s="21">
        <v>1</v>
      </c>
      <c r="O86" s="21"/>
    </row>
    <row r="87" spans="2:15" ht="18">
      <c r="B87" s="52">
        <v>2</v>
      </c>
      <c r="C87" s="52">
        <v>27</v>
      </c>
      <c r="D87" s="52">
        <v>2</v>
      </c>
      <c r="E87" s="52">
        <v>30</v>
      </c>
      <c r="F87" s="52">
        <v>5</v>
      </c>
      <c r="G87" s="52">
        <v>1</v>
      </c>
      <c r="H87" s="52">
        <v>0</v>
      </c>
      <c r="M87" s="21">
        <v>1</v>
      </c>
      <c r="O87" s="21"/>
    </row>
    <row r="88" spans="2:15" ht="18">
      <c r="B88" s="52">
        <v>2</v>
      </c>
      <c r="C88" s="52">
        <v>1</v>
      </c>
      <c r="D88" s="52">
        <v>2</v>
      </c>
      <c r="E88" s="52">
        <v>12</v>
      </c>
      <c r="F88" s="52">
        <v>8</v>
      </c>
      <c r="G88" s="52">
        <v>2</v>
      </c>
      <c r="H88" s="52">
        <v>0</v>
      </c>
      <c r="M88" s="21">
        <v>1</v>
      </c>
      <c r="O88" s="21"/>
    </row>
    <row r="89" spans="2:15" ht="18">
      <c r="B89" s="52">
        <v>2</v>
      </c>
      <c r="C89" s="52">
        <v>1</v>
      </c>
      <c r="D89" s="52">
        <v>3</v>
      </c>
      <c r="E89" s="52">
        <v>15</v>
      </c>
      <c r="F89" s="52">
        <v>9</v>
      </c>
      <c r="G89" s="52">
        <v>3</v>
      </c>
      <c r="H89" s="52">
        <v>0</v>
      </c>
      <c r="M89" s="21">
        <v>1</v>
      </c>
      <c r="O89" s="21"/>
    </row>
    <row r="90" spans="2:15" ht="18">
      <c r="B90" s="52">
        <v>2</v>
      </c>
      <c r="C90" s="52">
        <v>1</v>
      </c>
      <c r="D90" s="52">
        <v>4</v>
      </c>
      <c r="E90" s="52">
        <v>17</v>
      </c>
      <c r="F90" s="52">
        <v>8</v>
      </c>
      <c r="G90" s="52">
        <v>4</v>
      </c>
      <c r="H90" s="52">
        <v>0</v>
      </c>
      <c r="M90" s="21">
        <v>1</v>
      </c>
      <c r="O90" s="21"/>
    </row>
    <row r="91" spans="2:15" ht="18">
      <c r="B91" s="52">
        <v>2</v>
      </c>
      <c r="C91" s="52">
        <v>8</v>
      </c>
      <c r="D91" s="52">
        <v>2</v>
      </c>
      <c r="E91" s="52">
        <v>19</v>
      </c>
      <c r="F91" s="52">
        <v>19</v>
      </c>
      <c r="G91" s="52">
        <v>19</v>
      </c>
      <c r="H91" s="52">
        <v>0</v>
      </c>
      <c r="M91" s="21">
        <v>1</v>
      </c>
    </row>
    <row r="92" spans="2:15" ht="18">
      <c r="B92" s="52">
        <v>2</v>
      </c>
      <c r="C92" s="52">
        <v>28</v>
      </c>
      <c r="D92" s="52">
        <v>3</v>
      </c>
      <c r="E92" s="52">
        <v>20</v>
      </c>
      <c r="F92" s="52">
        <v>10</v>
      </c>
      <c r="G92" s="52">
        <v>5</v>
      </c>
      <c r="H92" s="52">
        <v>0</v>
      </c>
      <c r="M92" s="21">
        <v>1</v>
      </c>
    </row>
    <row r="93" spans="2:15" ht="18">
      <c r="B93" s="52">
        <v>2</v>
      </c>
      <c r="C93" s="52">
        <v>8</v>
      </c>
      <c r="D93" s="52">
        <v>2</v>
      </c>
      <c r="E93" s="52">
        <v>19</v>
      </c>
      <c r="F93" s="52">
        <v>19</v>
      </c>
      <c r="G93" s="52">
        <v>12</v>
      </c>
      <c r="H93" s="52">
        <v>0</v>
      </c>
      <c r="M93" s="21">
        <v>1</v>
      </c>
    </row>
    <row r="94" spans="2:15" ht="18">
      <c r="B94" s="52">
        <v>2</v>
      </c>
      <c r="C94" s="52">
        <v>8</v>
      </c>
      <c r="D94" s="52">
        <v>3</v>
      </c>
      <c r="E94" s="52">
        <v>12</v>
      </c>
      <c r="F94" s="52">
        <v>12</v>
      </c>
      <c r="G94" s="52">
        <v>9</v>
      </c>
      <c r="H94" s="52">
        <v>0</v>
      </c>
      <c r="M94" s="21">
        <v>1</v>
      </c>
    </row>
    <row r="95" spans="2:15" ht="18">
      <c r="B95" s="52">
        <v>2</v>
      </c>
      <c r="C95" s="52">
        <v>8</v>
      </c>
      <c r="D95" s="52">
        <v>4</v>
      </c>
      <c r="E95" s="52">
        <v>7</v>
      </c>
      <c r="F95" s="52">
        <v>8</v>
      </c>
      <c r="G95" s="52">
        <v>1</v>
      </c>
      <c r="H95" s="52">
        <v>0</v>
      </c>
      <c r="M95" s="21">
        <v>1</v>
      </c>
    </row>
    <row r="96" spans="2:15" ht="18">
      <c r="B96" s="52">
        <v>2</v>
      </c>
      <c r="C96" s="52">
        <v>18</v>
      </c>
      <c r="D96" s="52">
        <v>1</v>
      </c>
      <c r="E96" s="52">
        <v>27</v>
      </c>
      <c r="F96" s="52">
        <v>15</v>
      </c>
      <c r="G96" s="52">
        <v>6</v>
      </c>
      <c r="H96" s="52">
        <v>0</v>
      </c>
      <c r="M96" s="21">
        <v>1</v>
      </c>
    </row>
    <row r="97" spans="2:13" ht="18">
      <c r="B97" s="52">
        <v>2</v>
      </c>
      <c r="C97" s="52">
        <v>18</v>
      </c>
      <c r="D97" s="52">
        <v>2</v>
      </c>
      <c r="E97" s="52">
        <v>20</v>
      </c>
      <c r="F97" s="52">
        <v>12</v>
      </c>
      <c r="G97" s="52">
        <v>3</v>
      </c>
      <c r="H97" s="52">
        <v>0</v>
      </c>
      <c r="M97" s="21">
        <v>1</v>
      </c>
    </row>
    <row r="98" spans="2:13" ht="18">
      <c r="B98" s="52">
        <v>2</v>
      </c>
      <c r="C98" s="52">
        <v>18</v>
      </c>
      <c r="D98" s="52">
        <v>3</v>
      </c>
      <c r="E98" s="52">
        <v>12</v>
      </c>
      <c r="F98" s="52">
        <v>13</v>
      </c>
      <c r="G98" s="52">
        <v>5</v>
      </c>
      <c r="H98" s="52">
        <v>0</v>
      </c>
      <c r="M98" s="21">
        <v>1</v>
      </c>
    </row>
    <row r="99" spans="2:13" ht="18">
      <c r="B99" s="52">
        <v>2</v>
      </c>
      <c r="C99" s="52">
        <v>18</v>
      </c>
      <c r="D99" s="52">
        <v>4</v>
      </c>
      <c r="E99" s="52">
        <v>16</v>
      </c>
      <c r="F99" s="52">
        <v>19</v>
      </c>
      <c r="G99" s="52">
        <v>6</v>
      </c>
      <c r="H99" s="52">
        <v>0</v>
      </c>
      <c r="M99" s="21">
        <v>1</v>
      </c>
    </row>
    <row r="100" spans="2:13" ht="18">
      <c r="B100" s="52">
        <v>2</v>
      </c>
      <c r="C100" s="52">
        <v>10</v>
      </c>
      <c r="D100" s="52">
        <v>4</v>
      </c>
      <c r="E100" s="52">
        <v>46</v>
      </c>
      <c r="F100" s="52">
        <v>3</v>
      </c>
      <c r="G100" s="52">
        <v>1</v>
      </c>
      <c r="H100" s="52">
        <v>0</v>
      </c>
      <c r="M100" s="21">
        <v>1</v>
      </c>
    </row>
    <row r="101" spans="2:13" ht="18">
      <c r="B101" s="52">
        <v>2</v>
      </c>
      <c r="C101" s="52">
        <v>11</v>
      </c>
      <c r="D101" s="52">
        <v>4</v>
      </c>
      <c r="E101" s="52">
        <v>11</v>
      </c>
      <c r="F101" s="52">
        <v>12</v>
      </c>
      <c r="G101" s="52">
        <v>8</v>
      </c>
      <c r="H101" s="52">
        <v>0</v>
      </c>
      <c r="M101" s="21">
        <v>1</v>
      </c>
    </row>
    <row r="102" spans="2:13" ht="18">
      <c r="B102" s="52">
        <v>2</v>
      </c>
      <c r="C102" s="52">
        <v>2</v>
      </c>
      <c r="D102" s="52">
        <v>3</v>
      </c>
      <c r="E102" s="52">
        <v>9</v>
      </c>
      <c r="F102" s="52">
        <v>5</v>
      </c>
      <c r="G102" s="52">
        <v>3</v>
      </c>
      <c r="H102" s="52">
        <v>0</v>
      </c>
      <c r="M102" s="21">
        <v>1</v>
      </c>
    </row>
    <row r="103" spans="2:13" ht="18">
      <c r="B103" s="52">
        <v>2</v>
      </c>
      <c r="C103" s="52">
        <v>2</v>
      </c>
      <c r="D103" s="52">
        <v>4</v>
      </c>
      <c r="E103" s="52">
        <v>9</v>
      </c>
      <c r="F103" s="52">
        <v>4</v>
      </c>
      <c r="G103" s="52">
        <v>4</v>
      </c>
      <c r="H103" s="52">
        <v>0</v>
      </c>
      <c r="M103" s="21">
        <v>1</v>
      </c>
    </row>
    <row r="104" spans="2:13" ht="18">
      <c r="B104" s="52">
        <v>2</v>
      </c>
      <c r="C104" s="52">
        <v>9</v>
      </c>
      <c r="D104" s="52">
        <v>3</v>
      </c>
      <c r="E104" s="52">
        <v>22</v>
      </c>
      <c r="F104" s="52">
        <v>16</v>
      </c>
      <c r="G104" s="52">
        <v>3</v>
      </c>
      <c r="H104" s="52">
        <v>1</v>
      </c>
      <c r="M104" s="21">
        <v>1</v>
      </c>
    </row>
    <row r="105" spans="2:13" ht="18">
      <c r="B105" s="52">
        <v>2</v>
      </c>
      <c r="C105" s="52">
        <v>9</v>
      </c>
      <c r="D105" s="52">
        <v>1</v>
      </c>
      <c r="E105" s="52">
        <v>0</v>
      </c>
      <c r="F105" s="52">
        <v>0</v>
      </c>
      <c r="G105" s="52">
        <v>0</v>
      </c>
      <c r="H105" s="52">
        <v>0</v>
      </c>
      <c r="M105" s="21">
        <v>1</v>
      </c>
    </row>
    <row r="106" spans="2:13" ht="18">
      <c r="B106" s="52">
        <v>2</v>
      </c>
      <c r="C106" s="52">
        <v>3</v>
      </c>
      <c r="D106" s="52">
        <v>2</v>
      </c>
      <c r="E106" s="52">
        <v>8</v>
      </c>
      <c r="F106" s="52">
        <v>7</v>
      </c>
      <c r="G106" s="52">
        <v>4</v>
      </c>
      <c r="H106" s="52">
        <v>0</v>
      </c>
      <c r="M106" s="21">
        <v>1</v>
      </c>
    </row>
    <row r="107" spans="2:13" ht="18">
      <c r="B107" s="52">
        <v>2</v>
      </c>
      <c r="C107" s="52">
        <v>31</v>
      </c>
      <c r="D107" s="52">
        <v>2</v>
      </c>
      <c r="E107" s="52">
        <v>13</v>
      </c>
      <c r="F107" s="52">
        <v>7</v>
      </c>
      <c r="G107" s="52">
        <v>1</v>
      </c>
      <c r="H107" s="52">
        <v>0</v>
      </c>
      <c r="M107" s="21">
        <v>1</v>
      </c>
    </row>
    <row r="108" spans="2:13" ht="18">
      <c r="B108" s="52">
        <v>2</v>
      </c>
      <c r="C108" s="52">
        <v>31</v>
      </c>
      <c r="D108" s="52">
        <v>3</v>
      </c>
      <c r="E108" s="52">
        <v>33</v>
      </c>
      <c r="F108" s="52">
        <v>10</v>
      </c>
      <c r="G108" s="52">
        <v>0</v>
      </c>
      <c r="H108" s="52">
        <v>0</v>
      </c>
      <c r="M108" s="21">
        <v>1</v>
      </c>
    </row>
    <row r="109" spans="2:13" ht="18">
      <c r="B109" s="52">
        <v>2</v>
      </c>
      <c r="C109" s="52">
        <v>12</v>
      </c>
      <c r="D109" s="52">
        <v>1</v>
      </c>
      <c r="E109" s="52">
        <v>2</v>
      </c>
      <c r="F109" s="52">
        <v>1</v>
      </c>
      <c r="G109" s="52">
        <v>1</v>
      </c>
      <c r="H109" s="52">
        <v>0</v>
      </c>
      <c r="M109" s="21">
        <v>1</v>
      </c>
    </row>
    <row r="110" spans="2:13" ht="18">
      <c r="B110" s="52">
        <v>2</v>
      </c>
      <c r="C110" s="52">
        <v>34</v>
      </c>
      <c r="D110" s="52">
        <v>2</v>
      </c>
      <c r="E110" s="52">
        <v>2</v>
      </c>
      <c r="F110" s="52">
        <v>4</v>
      </c>
      <c r="G110" s="52">
        <v>0</v>
      </c>
      <c r="H110" s="52">
        <v>0</v>
      </c>
      <c r="M110" s="21">
        <v>1</v>
      </c>
    </row>
    <row r="111" spans="2:13" ht="18">
      <c r="B111" s="52">
        <v>2</v>
      </c>
      <c r="C111" s="52">
        <v>9</v>
      </c>
      <c r="D111" s="52">
        <v>1</v>
      </c>
      <c r="E111" s="52">
        <v>15</v>
      </c>
      <c r="F111" s="52">
        <v>12</v>
      </c>
      <c r="G111" s="52">
        <v>0</v>
      </c>
      <c r="H111" s="52">
        <v>0</v>
      </c>
      <c r="M111" s="21">
        <v>1</v>
      </c>
    </row>
    <row r="112" spans="2:13" ht="18">
      <c r="B112" s="52">
        <v>2</v>
      </c>
      <c r="C112" s="52">
        <v>29</v>
      </c>
      <c r="D112" s="52">
        <v>1</v>
      </c>
      <c r="E112" s="52">
        <v>15</v>
      </c>
      <c r="F112" s="52">
        <v>3</v>
      </c>
      <c r="G112" s="52">
        <v>1</v>
      </c>
      <c r="H112" s="52">
        <v>0</v>
      </c>
      <c r="M112" s="21">
        <v>1</v>
      </c>
    </row>
    <row r="113" spans="2:13" ht="18">
      <c r="B113" s="52">
        <v>2</v>
      </c>
      <c r="C113" s="52">
        <v>13</v>
      </c>
      <c r="D113" s="52">
        <v>1</v>
      </c>
      <c r="E113" s="52">
        <v>2</v>
      </c>
      <c r="F113" s="52">
        <v>1</v>
      </c>
      <c r="G113" s="52">
        <v>0</v>
      </c>
      <c r="H113" s="52">
        <v>0</v>
      </c>
      <c r="M113" s="21">
        <v>1</v>
      </c>
    </row>
    <row r="114" spans="2:13" ht="18">
      <c r="B114" s="52">
        <v>2</v>
      </c>
      <c r="C114" s="52">
        <v>32</v>
      </c>
      <c r="D114" s="52">
        <v>2</v>
      </c>
      <c r="E114" s="52">
        <v>13</v>
      </c>
      <c r="F114" s="52">
        <v>4</v>
      </c>
      <c r="G114" s="52">
        <v>1</v>
      </c>
      <c r="H114" s="52">
        <v>0</v>
      </c>
      <c r="M114" s="21">
        <v>1</v>
      </c>
    </row>
    <row r="115" spans="2:13" ht="18">
      <c r="B115" s="52">
        <v>2</v>
      </c>
      <c r="C115" s="52">
        <v>32</v>
      </c>
      <c r="D115" s="52">
        <v>1</v>
      </c>
      <c r="E115" s="52">
        <v>22</v>
      </c>
      <c r="F115" s="52">
        <v>5</v>
      </c>
      <c r="G115" s="52">
        <v>1</v>
      </c>
      <c r="H115" s="52">
        <v>0</v>
      </c>
      <c r="M115" s="21">
        <v>1</v>
      </c>
    </row>
    <row r="116" spans="2:13" ht="18">
      <c r="B116" s="52">
        <v>2</v>
      </c>
      <c r="C116" s="52">
        <v>29</v>
      </c>
      <c r="D116" s="52">
        <v>3</v>
      </c>
      <c r="E116" s="52">
        <v>5</v>
      </c>
      <c r="F116" s="52">
        <v>1</v>
      </c>
      <c r="G116" s="52">
        <v>0</v>
      </c>
      <c r="H116" s="52">
        <v>0</v>
      </c>
      <c r="M116" s="21">
        <v>1</v>
      </c>
    </row>
    <row r="117" spans="2:13" ht="18">
      <c r="B117" s="52">
        <v>2</v>
      </c>
      <c r="C117" s="52">
        <v>29</v>
      </c>
      <c r="D117" s="52">
        <v>2</v>
      </c>
      <c r="E117" s="52">
        <v>14</v>
      </c>
      <c r="F117" s="52">
        <v>6</v>
      </c>
      <c r="G117" s="52">
        <v>1</v>
      </c>
      <c r="H117" s="52">
        <v>0</v>
      </c>
      <c r="M117" s="21">
        <v>1</v>
      </c>
    </row>
    <row r="118" spans="2:13" ht="18">
      <c r="B118" s="52">
        <v>2</v>
      </c>
      <c r="C118" s="52">
        <v>17</v>
      </c>
      <c r="D118" s="52">
        <v>1</v>
      </c>
      <c r="E118" s="52">
        <v>18</v>
      </c>
      <c r="F118" s="52">
        <v>11</v>
      </c>
      <c r="G118" s="52">
        <v>5</v>
      </c>
      <c r="H118" s="52">
        <v>0</v>
      </c>
      <c r="M118" s="21">
        <v>1</v>
      </c>
    </row>
    <row r="119" spans="2:13" ht="18">
      <c r="B119" s="52">
        <v>2</v>
      </c>
      <c r="C119" s="52">
        <v>22</v>
      </c>
      <c r="D119" s="52">
        <v>2</v>
      </c>
      <c r="E119" s="52">
        <v>5</v>
      </c>
      <c r="F119" s="52">
        <v>3</v>
      </c>
      <c r="G119" s="52">
        <v>0</v>
      </c>
      <c r="H119" s="52">
        <v>0</v>
      </c>
      <c r="M119" s="21">
        <v>1</v>
      </c>
    </row>
    <row r="120" spans="2:13" ht="18">
      <c r="B120" s="52">
        <v>2</v>
      </c>
      <c r="C120" s="52">
        <v>20</v>
      </c>
      <c r="D120" s="52">
        <v>2</v>
      </c>
      <c r="E120" s="52">
        <v>20</v>
      </c>
      <c r="F120" s="52">
        <v>19</v>
      </c>
      <c r="G120" s="52">
        <v>9</v>
      </c>
      <c r="H120" s="52">
        <v>0</v>
      </c>
      <c r="M120" s="21">
        <v>1</v>
      </c>
    </row>
    <row r="121" spans="2:13" ht="18">
      <c r="B121" s="52">
        <v>2</v>
      </c>
      <c r="C121" s="52">
        <v>4</v>
      </c>
      <c r="D121" s="52">
        <v>4</v>
      </c>
      <c r="E121" s="52">
        <v>48</v>
      </c>
      <c r="F121" s="52">
        <v>11</v>
      </c>
      <c r="G121" s="52">
        <v>0</v>
      </c>
      <c r="H121" s="52">
        <v>0</v>
      </c>
      <c r="M121" s="21">
        <v>1</v>
      </c>
    </row>
    <row r="122" spans="2:13" ht="18">
      <c r="B122" s="52">
        <v>2</v>
      </c>
      <c r="C122" s="52">
        <v>30</v>
      </c>
      <c r="D122" s="52">
        <v>3</v>
      </c>
      <c r="E122" s="52">
        <v>15</v>
      </c>
      <c r="F122" s="52">
        <v>13</v>
      </c>
      <c r="G122" s="52">
        <v>1</v>
      </c>
      <c r="H122" s="52">
        <v>0</v>
      </c>
      <c r="M122" s="21">
        <v>1</v>
      </c>
    </row>
    <row r="123" spans="2:13" ht="18">
      <c r="B123" s="52">
        <v>2</v>
      </c>
      <c r="C123" s="52">
        <v>30</v>
      </c>
      <c r="D123" s="52">
        <v>4</v>
      </c>
      <c r="E123" s="52">
        <v>12</v>
      </c>
      <c r="F123" s="52">
        <v>16</v>
      </c>
      <c r="G123" s="52">
        <v>0</v>
      </c>
      <c r="H123" s="52">
        <v>0</v>
      </c>
      <c r="M123" s="21">
        <v>1</v>
      </c>
    </row>
    <row r="124" spans="2:13" ht="18">
      <c r="B124" s="52">
        <v>2</v>
      </c>
      <c r="C124" s="52">
        <v>17</v>
      </c>
      <c r="D124" s="52">
        <v>5</v>
      </c>
      <c r="E124" s="52">
        <v>12</v>
      </c>
      <c r="F124" s="52">
        <v>16</v>
      </c>
      <c r="G124" s="52">
        <v>15</v>
      </c>
      <c r="H124" s="52">
        <v>0</v>
      </c>
      <c r="M124" s="21">
        <v>1</v>
      </c>
    </row>
    <row r="125" spans="2:13" ht="18">
      <c r="B125" s="52">
        <v>2</v>
      </c>
      <c r="C125" s="52">
        <v>14</v>
      </c>
      <c r="D125" s="52">
        <v>5</v>
      </c>
      <c r="E125" s="52">
        <v>12</v>
      </c>
      <c r="F125" s="52">
        <v>7</v>
      </c>
      <c r="G125" s="52">
        <v>4</v>
      </c>
      <c r="H125" s="52">
        <v>0</v>
      </c>
      <c r="M125" s="21">
        <v>1</v>
      </c>
    </row>
    <row r="126" spans="2:13" ht="18">
      <c r="B126" s="52">
        <v>2</v>
      </c>
      <c r="C126" s="52">
        <v>11</v>
      </c>
      <c r="D126" s="52">
        <v>4</v>
      </c>
      <c r="E126" s="52">
        <v>8</v>
      </c>
      <c r="F126" s="52">
        <v>2</v>
      </c>
      <c r="G126" s="52">
        <v>0</v>
      </c>
      <c r="H126" s="52">
        <v>0</v>
      </c>
      <c r="M126" s="21">
        <v>1</v>
      </c>
    </row>
    <row r="127" spans="2:13" ht="18">
      <c r="B127" s="52">
        <v>2</v>
      </c>
      <c r="C127" s="52">
        <v>27</v>
      </c>
      <c r="D127" s="52">
        <v>1</v>
      </c>
      <c r="E127" s="52">
        <v>5</v>
      </c>
      <c r="F127" s="52">
        <v>8</v>
      </c>
      <c r="G127" s="52">
        <v>0</v>
      </c>
      <c r="H127" s="52">
        <v>0</v>
      </c>
      <c r="M127" s="21">
        <v>1</v>
      </c>
    </row>
    <row r="128" spans="2:13" ht="18">
      <c r="B128" s="52">
        <v>2</v>
      </c>
      <c r="C128" s="52">
        <v>27</v>
      </c>
      <c r="D128" s="52">
        <v>2</v>
      </c>
      <c r="E128" s="52">
        <v>5</v>
      </c>
      <c r="F128" s="52">
        <v>8</v>
      </c>
      <c r="G128" s="52">
        <v>0</v>
      </c>
      <c r="H128" s="52">
        <v>0</v>
      </c>
      <c r="M128" s="21">
        <v>1</v>
      </c>
    </row>
    <row r="129" spans="2:13" ht="18">
      <c r="B129" s="52">
        <v>2</v>
      </c>
      <c r="C129" s="52">
        <v>27</v>
      </c>
      <c r="D129" s="52">
        <v>3</v>
      </c>
      <c r="E129" s="52">
        <v>9</v>
      </c>
      <c r="F129" s="52">
        <v>5</v>
      </c>
      <c r="G129" s="52">
        <v>0</v>
      </c>
      <c r="H129" s="52">
        <v>0</v>
      </c>
      <c r="M129" s="21">
        <v>1</v>
      </c>
    </row>
    <row r="130" spans="2:13" ht="18">
      <c r="B130" s="52">
        <v>2</v>
      </c>
      <c r="C130" s="52">
        <v>34</v>
      </c>
      <c r="D130" s="52">
        <v>3</v>
      </c>
      <c r="E130" s="52">
        <v>5</v>
      </c>
      <c r="F130" s="52">
        <v>6</v>
      </c>
      <c r="G130" s="52">
        <v>0</v>
      </c>
      <c r="H130" s="52">
        <v>0</v>
      </c>
      <c r="M130" s="21">
        <v>1</v>
      </c>
    </row>
    <row r="131" spans="2:13" ht="18">
      <c r="B131" s="52">
        <v>2</v>
      </c>
      <c r="C131" s="52">
        <v>34</v>
      </c>
      <c r="D131" s="52">
        <v>5</v>
      </c>
      <c r="E131" s="52">
        <v>6</v>
      </c>
      <c r="F131" s="52">
        <v>24</v>
      </c>
      <c r="G131" s="52">
        <v>1</v>
      </c>
      <c r="H131" s="52">
        <v>0</v>
      </c>
      <c r="M131" s="21">
        <v>1</v>
      </c>
    </row>
    <row r="132" spans="2:13" ht="18">
      <c r="B132" s="52">
        <v>2</v>
      </c>
      <c r="C132" s="52">
        <v>34</v>
      </c>
      <c r="D132" s="52">
        <v>6</v>
      </c>
      <c r="E132" s="52">
        <v>3</v>
      </c>
      <c r="F132" s="52">
        <v>8</v>
      </c>
      <c r="G132" s="52">
        <v>0</v>
      </c>
      <c r="H132" s="52">
        <v>0</v>
      </c>
      <c r="M132" s="21">
        <v>1</v>
      </c>
    </row>
    <row r="133" spans="2:13" ht="18">
      <c r="B133" s="52">
        <v>2</v>
      </c>
      <c r="C133" s="52">
        <v>27</v>
      </c>
      <c r="D133" s="52">
        <v>4</v>
      </c>
      <c r="E133" s="52">
        <v>7</v>
      </c>
      <c r="F133" s="52">
        <v>7</v>
      </c>
      <c r="G133" s="52">
        <v>0</v>
      </c>
      <c r="H133" s="52">
        <v>0</v>
      </c>
      <c r="M133" s="21">
        <v>1</v>
      </c>
    </row>
    <row r="134" spans="2:13" ht="18">
      <c r="B134" s="52">
        <v>2</v>
      </c>
      <c r="C134" s="52">
        <v>27</v>
      </c>
      <c r="D134" s="52">
        <v>5</v>
      </c>
      <c r="E134" s="52">
        <v>11</v>
      </c>
      <c r="F134" s="52">
        <v>12</v>
      </c>
      <c r="G134" s="52">
        <v>0</v>
      </c>
      <c r="H134" s="52">
        <v>0</v>
      </c>
      <c r="M134" s="21">
        <v>1</v>
      </c>
    </row>
    <row r="135" spans="2:13" ht="18">
      <c r="B135" s="52">
        <v>2</v>
      </c>
      <c r="C135" s="52">
        <v>3</v>
      </c>
      <c r="D135" s="52">
        <v>3</v>
      </c>
      <c r="E135" s="52">
        <v>3</v>
      </c>
      <c r="F135" s="52">
        <v>9</v>
      </c>
      <c r="G135" s="52">
        <v>5</v>
      </c>
      <c r="H135" s="52">
        <v>0</v>
      </c>
      <c r="M135" s="21">
        <v>1</v>
      </c>
    </row>
    <row r="136" spans="2:13" ht="18">
      <c r="B136" s="52">
        <v>2</v>
      </c>
      <c r="C136" s="52">
        <v>12</v>
      </c>
      <c r="D136" s="52">
        <v>6</v>
      </c>
      <c r="E136" s="52">
        <v>14</v>
      </c>
      <c r="F136" s="52">
        <v>28</v>
      </c>
      <c r="G136" s="52">
        <v>0</v>
      </c>
      <c r="H136" s="52">
        <v>0</v>
      </c>
      <c r="M136" s="21">
        <v>1</v>
      </c>
    </row>
    <row r="137" spans="2:13" ht="18">
      <c r="B137" s="52">
        <v>2</v>
      </c>
      <c r="C137" s="52">
        <v>12</v>
      </c>
      <c r="D137" s="52">
        <v>7</v>
      </c>
      <c r="E137" s="52">
        <v>21</v>
      </c>
      <c r="F137" s="52">
        <v>32</v>
      </c>
      <c r="G137" s="52">
        <v>2</v>
      </c>
      <c r="H137" s="52">
        <v>0</v>
      </c>
      <c r="M137" s="21">
        <v>1</v>
      </c>
    </row>
    <row r="138" spans="2:13" ht="18">
      <c r="B138" s="52">
        <v>2</v>
      </c>
      <c r="C138" s="52">
        <v>3</v>
      </c>
      <c r="D138" s="52">
        <v>3</v>
      </c>
      <c r="E138" s="52">
        <v>3</v>
      </c>
      <c r="F138" s="52">
        <v>9</v>
      </c>
      <c r="G138" s="52">
        <v>5</v>
      </c>
      <c r="H138" s="52">
        <v>0</v>
      </c>
      <c r="M138" s="21">
        <v>1</v>
      </c>
    </row>
    <row r="139" spans="2:13" ht="18">
      <c r="B139" s="52">
        <v>2</v>
      </c>
      <c r="C139" s="52">
        <v>33</v>
      </c>
      <c r="D139" s="52">
        <v>4</v>
      </c>
      <c r="E139" s="52">
        <v>8</v>
      </c>
      <c r="F139" s="52">
        <v>16</v>
      </c>
      <c r="G139" s="52">
        <v>0</v>
      </c>
      <c r="H139" s="52">
        <v>0</v>
      </c>
      <c r="M139" s="21">
        <v>1</v>
      </c>
    </row>
    <row r="140" spans="2:13" ht="18">
      <c r="B140" s="52">
        <v>2</v>
      </c>
      <c r="C140" s="52">
        <v>33</v>
      </c>
      <c r="D140" s="52">
        <v>5</v>
      </c>
      <c r="E140" s="52">
        <v>14</v>
      </c>
      <c r="F140" s="52">
        <v>14</v>
      </c>
      <c r="G140" s="52">
        <v>0</v>
      </c>
      <c r="H140" s="52">
        <v>0</v>
      </c>
      <c r="M140" s="21">
        <v>1</v>
      </c>
    </row>
    <row r="141" spans="2:13" ht="18">
      <c r="B141" s="52">
        <v>2</v>
      </c>
      <c r="C141" s="52">
        <v>33</v>
      </c>
      <c r="D141" s="52">
        <v>6</v>
      </c>
      <c r="E141" s="52">
        <v>15</v>
      </c>
      <c r="F141" s="52">
        <v>33</v>
      </c>
      <c r="G141" s="52">
        <v>0</v>
      </c>
      <c r="H141" s="52">
        <v>0</v>
      </c>
      <c r="M141" s="21">
        <v>1</v>
      </c>
    </row>
    <row r="142" spans="2:13" ht="18">
      <c r="B142" s="52">
        <v>2</v>
      </c>
      <c r="C142" s="52">
        <v>32</v>
      </c>
      <c r="D142" s="52">
        <v>6</v>
      </c>
      <c r="E142" s="52">
        <v>15</v>
      </c>
      <c r="F142" s="52">
        <v>13</v>
      </c>
      <c r="G142" s="52">
        <v>1</v>
      </c>
      <c r="H142" s="52">
        <v>0</v>
      </c>
      <c r="M142" s="21">
        <v>1</v>
      </c>
    </row>
    <row r="143" spans="2:13" ht="18">
      <c r="B143" s="52">
        <v>2</v>
      </c>
      <c r="C143" s="52">
        <v>29</v>
      </c>
      <c r="D143" s="52">
        <v>5</v>
      </c>
      <c r="E143" s="52">
        <v>9</v>
      </c>
      <c r="F143" s="52">
        <v>10</v>
      </c>
      <c r="G143" s="52">
        <v>0</v>
      </c>
      <c r="H143" s="52">
        <v>0</v>
      </c>
      <c r="M143" s="21">
        <v>1</v>
      </c>
    </row>
    <row r="144" spans="2:13" ht="18">
      <c r="B144" s="52">
        <v>2</v>
      </c>
      <c r="C144" s="52">
        <v>2</v>
      </c>
      <c r="D144" s="52">
        <v>5</v>
      </c>
      <c r="E144" s="52">
        <v>7</v>
      </c>
      <c r="F144" s="52">
        <v>6</v>
      </c>
      <c r="G144" s="52">
        <v>6</v>
      </c>
      <c r="H144" s="52">
        <v>0</v>
      </c>
      <c r="M144" s="21">
        <v>1</v>
      </c>
    </row>
    <row r="145" spans="2:13" ht="18">
      <c r="B145" s="52">
        <v>2</v>
      </c>
      <c r="C145" s="52">
        <v>9</v>
      </c>
      <c r="D145" s="52">
        <v>4</v>
      </c>
      <c r="E145" s="52">
        <v>25</v>
      </c>
      <c r="F145" s="52">
        <v>18</v>
      </c>
      <c r="G145" s="52">
        <v>8</v>
      </c>
      <c r="H145" s="52">
        <v>1</v>
      </c>
      <c r="M145" s="21">
        <v>1</v>
      </c>
    </row>
    <row r="146" spans="2:13" ht="18">
      <c r="B146" s="52">
        <v>2</v>
      </c>
      <c r="C146" s="52">
        <v>9</v>
      </c>
      <c r="D146" s="52">
        <v>5</v>
      </c>
      <c r="E146" s="52">
        <v>30</v>
      </c>
      <c r="F146" s="52">
        <v>22</v>
      </c>
      <c r="G146" s="52">
        <v>10</v>
      </c>
      <c r="H146" s="52">
        <v>1</v>
      </c>
      <c r="M146" s="21">
        <v>1</v>
      </c>
    </row>
    <row r="147" spans="2:13" ht="18">
      <c r="B147" s="52">
        <v>2</v>
      </c>
      <c r="C147" s="52">
        <v>13</v>
      </c>
      <c r="D147" s="52">
        <v>5</v>
      </c>
      <c r="E147" s="52">
        <v>5</v>
      </c>
      <c r="F147" s="52">
        <v>8</v>
      </c>
      <c r="G147" s="52">
        <v>2</v>
      </c>
      <c r="H147" s="52">
        <v>1</v>
      </c>
      <c r="M147" s="21">
        <v>1</v>
      </c>
    </row>
    <row r="148" spans="2:13" ht="18">
      <c r="B148" s="52">
        <v>2</v>
      </c>
      <c r="C148" s="52">
        <v>13</v>
      </c>
      <c r="D148" s="52">
        <v>6</v>
      </c>
      <c r="E148" s="52">
        <v>9</v>
      </c>
      <c r="F148" s="52">
        <v>9</v>
      </c>
      <c r="G148" s="52">
        <v>2</v>
      </c>
      <c r="H148" s="52">
        <v>0</v>
      </c>
      <c r="M148" s="21">
        <v>1</v>
      </c>
    </row>
    <row r="149" spans="2:13" ht="18">
      <c r="B149" s="52">
        <v>2</v>
      </c>
      <c r="C149" s="52">
        <v>18</v>
      </c>
      <c r="D149" s="52">
        <v>2</v>
      </c>
      <c r="E149" s="52">
        <v>20</v>
      </c>
      <c r="F149" s="52">
        <v>12</v>
      </c>
      <c r="G149" s="52">
        <v>3</v>
      </c>
      <c r="H149" s="52">
        <v>0</v>
      </c>
      <c r="M149" s="21">
        <v>1</v>
      </c>
    </row>
    <row r="150" spans="2:13" ht="18">
      <c r="B150" s="52">
        <v>2</v>
      </c>
      <c r="C150" s="52">
        <v>25</v>
      </c>
      <c r="D150" s="52">
        <v>6</v>
      </c>
      <c r="E150" s="52">
        <v>4</v>
      </c>
      <c r="F150" s="52">
        <v>4</v>
      </c>
      <c r="G150" s="52">
        <v>0</v>
      </c>
      <c r="H150" s="52">
        <v>0</v>
      </c>
      <c r="M150" s="21">
        <v>1</v>
      </c>
    </row>
    <row r="151" spans="2:13" ht="18">
      <c r="B151" s="52">
        <v>2</v>
      </c>
      <c r="C151" s="52">
        <v>14</v>
      </c>
      <c r="D151" s="52">
        <v>2</v>
      </c>
      <c r="E151" s="52">
        <v>21</v>
      </c>
      <c r="F151" s="52">
        <v>13</v>
      </c>
      <c r="G151" s="52">
        <v>0</v>
      </c>
      <c r="H151" s="52">
        <v>0</v>
      </c>
      <c r="M151" s="21">
        <v>1</v>
      </c>
    </row>
    <row r="152" spans="2:13" ht="18">
      <c r="B152" s="52">
        <v>2</v>
      </c>
      <c r="C152" s="52">
        <v>14</v>
      </c>
      <c r="D152" s="52">
        <v>4</v>
      </c>
      <c r="E152" s="52">
        <v>31</v>
      </c>
      <c r="F152" s="52">
        <v>6</v>
      </c>
      <c r="G152" s="52">
        <v>1</v>
      </c>
      <c r="H152" s="52">
        <v>0</v>
      </c>
      <c r="M152" s="21">
        <v>1</v>
      </c>
    </row>
    <row r="153" spans="2:13" ht="18">
      <c r="B153" s="52">
        <v>2</v>
      </c>
      <c r="C153" s="52">
        <v>14</v>
      </c>
      <c r="D153" s="52">
        <v>3</v>
      </c>
      <c r="E153" s="52">
        <v>13</v>
      </c>
      <c r="F153" s="52">
        <v>3</v>
      </c>
      <c r="G153" s="52">
        <v>0</v>
      </c>
      <c r="H153" s="52">
        <v>0</v>
      </c>
      <c r="M153" s="21">
        <v>1</v>
      </c>
    </row>
    <row r="154" spans="2:13" ht="18">
      <c r="B154" s="52">
        <v>2</v>
      </c>
      <c r="C154" s="52">
        <v>4</v>
      </c>
      <c r="D154" s="52">
        <v>5</v>
      </c>
      <c r="E154" s="52">
        <v>63</v>
      </c>
      <c r="F154" s="52">
        <v>2</v>
      </c>
      <c r="G154" s="52">
        <v>0</v>
      </c>
      <c r="H154" s="52">
        <v>0</v>
      </c>
      <c r="M154" s="21">
        <v>1</v>
      </c>
    </row>
    <row r="155" spans="2:13" ht="18">
      <c r="B155" s="52">
        <v>2</v>
      </c>
      <c r="C155" s="52">
        <v>11</v>
      </c>
      <c r="D155" s="52">
        <v>5</v>
      </c>
      <c r="E155" s="52">
        <v>7</v>
      </c>
      <c r="F155" s="52">
        <v>5</v>
      </c>
      <c r="G155" s="52">
        <v>0</v>
      </c>
      <c r="H155" s="52">
        <v>0</v>
      </c>
      <c r="M155" s="21">
        <v>1</v>
      </c>
    </row>
    <row r="156" spans="2:13" ht="18">
      <c r="B156" s="52">
        <v>2</v>
      </c>
      <c r="C156" s="52">
        <v>6</v>
      </c>
      <c r="D156" s="52">
        <v>6</v>
      </c>
      <c r="E156" s="52">
        <v>13</v>
      </c>
      <c r="F156" s="52">
        <v>2</v>
      </c>
      <c r="G156" s="52">
        <v>4</v>
      </c>
      <c r="H156" s="52">
        <v>0</v>
      </c>
      <c r="M156" s="21">
        <v>1</v>
      </c>
    </row>
    <row r="157" spans="2:13" ht="18">
      <c r="B157" s="52">
        <v>2</v>
      </c>
      <c r="C157" s="52">
        <v>6</v>
      </c>
      <c r="D157" s="52">
        <v>5</v>
      </c>
      <c r="E157" s="52">
        <v>4</v>
      </c>
      <c r="F157" s="52">
        <v>2</v>
      </c>
      <c r="G157" s="52">
        <v>2</v>
      </c>
      <c r="H157" s="52">
        <v>0</v>
      </c>
      <c r="M157" s="21">
        <v>1</v>
      </c>
    </row>
    <row r="158" spans="2:13" ht="18">
      <c r="B158" s="52">
        <v>2</v>
      </c>
      <c r="C158" s="52">
        <v>6</v>
      </c>
      <c r="D158" s="52">
        <v>4</v>
      </c>
      <c r="E158" s="52">
        <v>11</v>
      </c>
      <c r="F158" s="52">
        <v>1</v>
      </c>
      <c r="G158" s="52">
        <v>4</v>
      </c>
      <c r="H158" s="52">
        <v>2</v>
      </c>
      <c r="M158" s="21">
        <v>1</v>
      </c>
    </row>
    <row r="159" spans="2:13" ht="18">
      <c r="B159" s="52">
        <v>2</v>
      </c>
      <c r="C159" s="52">
        <v>6</v>
      </c>
      <c r="D159" s="52">
        <v>3</v>
      </c>
      <c r="E159" s="52">
        <v>9</v>
      </c>
      <c r="F159" s="52">
        <v>4</v>
      </c>
      <c r="G159" s="52">
        <v>6</v>
      </c>
      <c r="H159" s="52">
        <v>1</v>
      </c>
      <c r="M159" s="21">
        <v>1</v>
      </c>
    </row>
    <row r="160" spans="2:13" ht="18">
      <c r="B160" s="52">
        <v>2</v>
      </c>
      <c r="C160" s="52">
        <v>6</v>
      </c>
      <c r="D160" s="52">
        <v>2</v>
      </c>
      <c r="E160" s="52">
        <v>5</v>
      </c>
      <c r="F160" s="52">
        <v>7</v>
      </c>
      <c r="G160" s="52">
        <v>5</v>
      </c>
      <c r="H160" s="52">
        <v>3</v>
      </c>
      <c r="M160" s="21">
        <v>1</v>
      </c>
    </row>
    <row r="161" spans="2:13" ht="18">
      <c r="B161" s="52">
        <v>2</v>
      </c>
      <c r="C161" s="52">
        <v>6</v>
      </c>
      <c r="D161" s="52">
        <v>1</v>
      </c>
      <c r="E161" s="52">
        <v>8</v>
      </c>
      <c r="F161" s="52">
        <v>5</v>
      </c>
      <c r="G161" s="52">
        <v>4</v>
      </c>
      <c r="H161" s="52">
        <v>2</v>
      </c>
      <c r="M161" s="21">
        <v>1</v>
      </c>
    </row>
    <row r="162" spans="2:13" ht="18">
      <c r="B162" s="52">
        <v>2</v>
      </c>
      <c r="C162" s="52">
        <v>2</v>
      </c>
      <c r="D162" s="52">
        <v>6</v>
      </c>
      <c r="E162" s="52">
        <v>9</v>
      </c>
      <c r="F162" s="52">
        <v>4</v>
      </c>
      <c r="G162" s="52">
        <v>4</v>
      </c>
      <c r="H162" s="52">
        <v>0</v>
      </c>
      <c r="M162" s="21">
        <v>1</v>
      </c>
    </row>
    <row r="163" spans="2:13" ht="18">
      <c r="B163" s="52">
        <v>2</v>
      </c>
      <c r="C163" s="52">
        <v>29</v>
      </c>
      <c r="D163" s="52">
        <v>7</v>
      </c>
      <c r="E163" s="52">
        <v>9</v>
      </c>
      <c r="F163" s="52">
        <v>13</v>
      </c>
      <c r="G163" s="52">
        <v>2</v>
      </c>
      <c r="H163" s="52">
        <v>0</v>
      </c>
      <c r="M163" s="21">
        <v>1</v>
      </c>
    </row>
    <row r="164" spans="2:13" ht="18">
      <c r="B164" s="52">
        <v>2</v>
      </c>
      <c r="C164" s="52">
        <v>29</v>
      </c>
      <c r="D164" s="52">
        <v>6</v>
      </c>
      <c r="E164" s="52">
        <v>15</v>
      </c>
      <c r="F164" s="52">
        <v>13</v>
      </c>
      <c r="G164" s="52">
        <v>1</v>
      </c>
      <c r="H164" s="52">
        <v>0</v>
      </c>
      <c r="M164" s="21">
        <v>1</v>
      </c>
    </row>
    <row r="165" spans="2:13" ht="18">
      <c r="B165" s="52">
        <v>2</v>
      </c>
      <c r="C165" s="52">
        <v>5</v>
      </c>
      <c r="D165" s="52">
        <v>6</v>
      </c>
      <c r="E165" s="52">
        <v>8</v>
      </c>
      <c r="F165" s="52">
        <v>12</v>
      </c>
      <c r="G165" s="52">
        <v>6</v>
      </c>
      <c r="H165" s="52">
        <v>6</v>
      </c>
      <c r="M165" s="21">
        <v>1</v>
      </c>
    </row>
    <row r="166" spans="2:13" ht="18">
      <c r="B166" s="52">
        <v>2</v>
      </c>
      <c r="C166" s="52">
        <v>5</v>
      </c>
      <c r="D166" s="52">
        <v>7</v>
      </c>
      <c r="E166" s="52">
        <v>4</v>
      </c>
      <c r="F166" s="52">
        <v>9</v>
      </c>
      <c r="G166" s="52">
        <v>3</v>
      </c>
      <c r="H166" s="52">
        <v>1</v>
      </c>
      <c r="M166" s="21">
        <v>1</v>
      </c>
    </row>
    <row r="167" spans="2:13" ht="18">
      <c r="B167" s="52">
        <v>2</v>
      </c>
      <c r="C167" s="52">
        <v>30</v>
      </c>
      <c r="D167" s="52">
        <v>5</v>
      </c>
      <c r="E167" s="52">
        <v>8</v>
      </c>
      <c r="F167" s="52">
        <v>10</v>
      </c>
      <c r="G167" s="52">
        <v>3</v>
      </c>
      <c r="H167" s="52">
        <v>0</v>
      </c>
      <c r="M167" s="21">
        <v>1</v>
      </c>
    </row>
    <row r="168" spans="2:13" ht="18">
      <c r="B168" s="52">
        <v>2</v>
      </c>
      <c r="C168" s="52">
        <v>30</v>
      </c>
      <c r="D168" s="52">
        <v>6</v>
      </c>
      <c r="E168" s="52">
        <v>10</v>
      </c>
      <c r="F168" s="52">
        <v>11</v>
      </c>
      <c r="G168" s="52">
        <v>0</v>
      </c>
      <c r="H168" s="52">
        <v>0</v>
      </c>
      <c r="M168" s="21">
        <v>1</v>
      </c>
    </row>
    <row r="169" spans="2:13" ht="18">
      <c r="B169" s="52">
        <v>2</v>
      </c>
      <c r="C169" s="52">
        <v>3</v>
      </c>
      <c r="D169" s="52">
        <v>5</v>
      </c>
      <c r="E169" s="52">
        <v>9</v>
      </c>
      <c r="F169" s="52">
        <v>4</v>
      </c>
      <c r="G169" s="52">
        <v>4</v>
      </c>
      <c r="H169" s="52">
        <v>0</v>
      </c>
      <c r="M169" s="21">
        <v>1</v>
      </c>
    </row>
    <row r="170" spans="2:13" ht="18">
      <c r="B170" s="52">
        <v>2</v>
      </c>
      <c r="C170" s="52">
        <v>33</v>
      </c>
      <c r="D170" s="52">
        <v>7</v>
      </c>
      <c r="E170" s="52">
        <v>20</v>
      </c>
      <c r="F170" s="52">
        <v>23</v>
      </c>
      <c r="G170" s="52">
        <v>6</v>
      </c>
      <c r="H170" s="52">
        <v>0</v>
      </c>
      <c r="M170" s="21">
        <v>1</v>
      </c>
    </row>
    <row r="171" spans="2:13" ht="18">
      <c r="B171" s="52">
        <v>2</v>
      </c>
      <c r="C171" s="52">
        <v>31</v>
      </c>
      <c r="D171" s="52">
        <v>4</v>
      </c>
      <c r="E171" s="52">
        <v>39</v>
      </c>
      <c r="F171" s="52">
        <v>15</v>
      </c>
      <c r="G171" s="52">
        <v>1</v>
      </c>
      <c r="H171" s="52">
        <v>0</v>
      </c>
      <c r="M171" s="21">
        <v>1</v>
      </c>
    </row>
    <row r="172" spans="2:13" ht="18">
      <c r="B172" s="52">
        <v>2</v>
      </c>
      <c r="C172" s="52">
        <v>17</v>
      </c>
      <c r="D172" s="52">
        <v>6</v>
      </c>
      <c r="E172" s="52">
        <v>14</v>
      </c>
      <c r="F172" s="52">
        <v>18</v>
      </c>
      <c r="G172" s="52">
        <v>10</v>
      </c>
      <c r="H172" s="52">
        <v>0</v>
      </c>
      <c r="M172" s="21">
        <v>1</v>
      </c>
    </row>
    <row r="173" spans="2:13" ht="18">
      <c r="B173" s="52">
        <v>2</v>
      </c>
      <c r="C173" s="52">
        <v>14</v>
      </c>
      <c r="D173" s="52">
        <v>6</v>
      </c>
      <c r="E173" s="52">
        <v>14</v>
      </c>
      <c r="F173" s="52">
        <v>6</v>
      </c>
      <c r="G173" s="52">
        <v>9</v>
      </c>
      <c r="H173" s="52">
        <v>0</v>
      </c>
      <c r="M173" s="21">
        <v>1</v>
      </c>
    </row>
    <row r="174" spans="2:13" ht="18">
      <c r="B174" s="52">
        <v>2</v>
      </c>
      <c r="C174" s="52">
        <v>11</v>
      </c>
      <c r="D174" s="52">
        <v>6</v>
      </c>
      <c r="E174" s="52">
        <v>12</v>
      </c>
      <c r="F174" s="52">
        <v>18</v>
      </c>
      <c r="G174" s="52">
        <v>0</v>
      </c>
      <c r="H174" s="52">
        <v>0</v>
      </c>
      <c r="M174" s="21">
        <v>1</v>
      </c>
    </row>
    <row r="175" spans="2:13" ht="18">
      <c r="B175" s="52">
        <v>2</v>
      </c>
      <c r="C175" s="52">
        <v>4</v>
      </c>
      <c r="D175" s="52">
        <v>6</v>
      </c>
      <c r="E175" s="52">
        <v>60</v>
      </c>
      <c r="F175" s="52">
        <v>14</v>
      </c>
      <c r="G175" s="52">
        <v>0</v>
      </c>
      <c r="H175" s="52">
        <v>0</v>
      </c>
      <c r="M175" s="21">
        <v>1</v>
      </c>
    </row>
    <row r="176" spans="2:13" ht="18">
      <c r="B176" s="52">
        <v>2</v>
      </c>
      <c r="C176" s="52">
        <v>33</v>
      </c>
      <c r="D176" s="52">
        <v>8</v>
      </c>
      <c r="E176" s="52">
        <v>17</v>
      </c>
      <c r="F176" s="52">
        <v>32</v>
      </c>
      <c r="G176" s="52">
        <v>0</v>
      </c>
      <c r="H176" s="52">
        <v>0</v>
      </c>
      <c r="M176" s="21">
        <v>1</v>
      </c>
    </row>
    <row r="177" spans="2:13" ht="18">
      <c r="B177" s="52">
        <v>2</v>
      </c>
      <c r="C177" s="52">
        <v>33</v>
      </c>
      <c r="D177" s="52">
        <v>9</v>
      </c>
      <c r="E177" s="52">
        <v>20</v>
      </c>
      <c r="F177" s="52">
        <v>30</v>
      </c>
      <c r="G177" s="52">
        <v>1</v>
      </c>
      <c r="H177" s="52">
        <v>0</v>
      </c>
      <c r="M177" s="21">
        <v>1</v>
      </c>
    </row>
    <row r="178" spans="2:13" ht="18">
      <c r="B178" s="52">
        <v>2</v>
      </c>
      <c r="C178" s="52">
        <v>8</v>
      </c>
      <c r="D178" s="52">
        <v>7</v>
      </c>
      <c r="E178" s="52">
        <v>12</v>
      </c>
      <c r="F178" s="52">
        <v>12</v>
      </c>
      <c r="G178" s="52">
        <v>3</v>
      </c>
      <c r="H178" s="52">
        <v>0</v>
      </c>
      <c r="M178" s="21">
        <v>1</v>
      </c>
    </row>
    <row r="179" spans="2:13" ht="18">
      <c r="B179" s="52">
        <v>2</v>
      </c>
      <c r="C179" s="52">
        <v>8</v>
      </c>
      <c r="D179" s="52">
        <v>6</v>
      </c>
      <c r="E179" s="52">
        <v>5</v>
      </c>
      <c r="F179" s="52">
        <v>3</v>
      </c>
      <c r="G179" s="52">
        <v>1</v>
      </c>
      <c r="H179" s="52">
        <v>0</v>
      </c>
      <c r="M179" s="21">
        <v>1</v>
      </c>
    </row>
    <row r="180" spans="2:13" ht="18">
      <c r="B180" s="52">
        <v>2</v>
      </c>
      <c r="C180" s="52">
        <v>16</v>
      </c>
      <c r="D180" s="52">
        <v>7</v>
      </c>
      <c r="E180" s="52">
        <v>22</v>
      </c>
      <c r="F180" s="52">
        <v>9</v>
      </c>
      <c r="G180" s="52">
        <v>15</v>
      </c>
      <c r="H180" s="52">
        <v>0</v>
      </c>
      <c r="M180" s="21">
        <v>1</v>
      </c>
    </row>
    <row r="181" spans="2:13" ht="18">
      <c r="B181" s="52">
        <v>2</v>
      </c>
      <c r="C181" s="52">
        <v>16</v>
      </c>
      <c r="D181" s="52">
        <v>6</v>
      </c>
      <c r="E181" s="52">
        <v>16</v>
      </c>
      <c r="F181" s="52">
        <v>7</v>
      </c>
      <c r="G181" s="52">
        <v>4</v>
      </c>
      <c r="H181" s="52">
        <v>0</v>
      </c>
      <c r="M181" s="21">
        <v>1</v>
      </c>
    </row>
    <row r="182" spans="2:13" ht="18">
      <c r="B182" s="52">
        <v>2</v>
      </c>
      <c r="C182" s="52">
        <v>16</v>
      </c>
      <c r="D182" s="52">
        <v>5</v>
      </c>
      <c r="E182" s="52">
        <v>14</v>
      </c>
      <c r="F182" s="52">
        <v>8</v>
      </c>
      <c r="G182" s="52">
        <v>12</v>
      </c>
      <c r="H182" s="52">
        <v>0</v>
      </c>
      <c r="M182" s="21">
        <v>1</v>
      </c>
    </row>
    <row r="183" spans="2:13" ht="18">
      <c r="B183" s="52">
        <v>2</v>
      </c>
      <c r="C183" s="52">
        <v>16</v>
      </c>
      <c r="D183" s="52">
        <v>4</v>
      </c>
      <c r="E183" s="52">
        <v>14</v>
      </c>
      <c r="F183" s="52">
        <v>5</v>
      </c>
      <c r="G183" s="52">
        <v>0</v>
      </c>
      <c r="H183" s="52">
        <v>0</v>
      </c>
      <c r="M183" s="21">
        <v>1</v>
      </c>
    </row>
    <row r="184" spans="2:13" ht="18">
      <c r="B184" s="52">
        <v>2</v>
      </c>
      <c r="C184" s="52">
        <v>16</v>
      </c>
      <c r="D184" s="52">
        <v>3</v>
      </c>
      <c r="E184" s="52">
        <v>14</v>
      </c>
      <c r="F184" s="52">
        <v>4</v>
      </c>
      <c r="G184" s="52">
        <v>2</v>
      </c>
      <c r="H184" s="52">
        <v>0</v>
      </c>
      <c r="M184" s="21">
        <v>1</v>
      </c>
    </row>
    <row r="185" spans="2:13" ht="18">
      <c r="B185" s="52">
        <v>2</v>
      </c>
      <c r="C185" s="52">
        <v>16</v>
      </c>
      <c r="D185" s="52">
        <v>2</v>
      </c>
      <c r="E185" s="52">
        <v>22</v>
      </c>
      <c r="F185" s="52">
        <v>7</v>
      </c>
      <c r="G185" s="52">
        <v>10</v>
      </c>
      <c r="H185" s="52">
        <v>0</v>
      </c>
      <c r="M185" s="21">
        <v>1</v>
      </c>
    </row>
    <row r="186" spans="2:13" ht="18">
      <c r="B186" s="52">
        <v>2</v>
      </c>
      <c r="C186" s="52">
        <v>16</v>
      </c>
      <c r="D186" s="52">
        <v>1</v>
      </c>
      <c r="E186" s="52">
        <v>11</v>
      </c>
      <c r="F186" s="52">
        <v>9</v>
      </c>
      <c r="G186" s="52">
        <v>2</v>
      </c>
      <c r="H186" s="52">
        <v>0</v>
      </c>
      <c r="M186" s="21">
        <v>1</v>
      </c>
    </row>
    <row r="187" spans="2:13" ht="18">
      <c r="B187" s="52">
        <v>2</v>
      </c>
      <c r="C187" s="52">
        <v>10</v>
      </c>
      <c r="D187" s="52">
        <v>5</v>
      </c>
      <c r="E187" s="52">
        <v>11</v>
      </c>
      <c r="F187" s="52">
        <v>10</v>
      </c>
      <c r="G187" s="52">
        <v>2</v>
      </c>
      <c r="H187" s="52">
        <v>0</v>
      </c>
      <c r="M187" s="21">
        <v>1</v>
      </c>
    </row>
    <row r="188" spans="2:13" ht="18">
      <c r="B188" s="52">
        <v>2</v>
      </c>
      <c r="C188" s="52">
        <v>22</v>
      </c>
      <c r="D188" s="52">
        <v>5</v>
      </c>
      <c r="E188" s="52">
        <v>4</v>
      </c>
      <c r="F188" s="52">
        <v>2</v>
      </c>
      <c r="G188" s="52">
        <v>0</v>
      </c>
      <c r="H188" s="52">
        <v>0</v>
      </c>
      <c r="M188" s="21">
        <v>1</v>
      </c>
    </row>
    <row r="189" spans="2:13" ht="18">
      <c r="B189" s="52">
        <v>2</v>
      </c>
      <c r="C189" s="52">
        <v>22</v>
      </c>
      <c r="D189" s="52">
        <v>6</v>
      </c>
      <c r="E189" s="52">
        <v>1</v>
      </c>
      <c r="F189" s="52">
        <v>4</v>
      </c>
      <c r="G189" s="52">
        <v>0</v>
      </c>
      <c r="H189" s="52">
        <v>0</v>
      </c>
      <c r="M189" s="21">
        <v>1</v>
      </c>
    </row>
    <row r="190" spans="2:13" ht="18">
      <c r="B190" s="52">
        <v>2</v>
      </c>
      <c r="C190" s="52">
        <v>11</v>
      </c>
      <c r="D190" s="52">
        <v>6</v>
      </c>
      <c r="E190" s="52">
        <v>14</v>
      </c>
      <c r="F190" s="52">
        <v>8</v>
      </c>
      <c r="G190" s="52">
        <v>4</v>
      </c>
      <c r="H190" s="52">
        <v>0</v>
      </c>
      <c r="M190" s="21">
        <v>1</v>
      </c>
    </row>
    <row r="191" spans="2:13" ht="18">
      <c r="B191" s="52">
        <v>2</v>
      </c>
      <c r="C191" s="52">
        <v>11</v>
      </c>
      <c r="D191" s="52">
        <v>5</v>
      </c>
      <c r="E191" s="52">
        <v>8</v>
      </c>
      <c r="F191" s="52">
        <v>7</v>
      </c>
      <c r="G191" s="52">
        <v>3</v>
      </c>
      <c r="H191" s="52">
        <v>0</v>
      </c>
      <c r="M191" s="21">
        <v>1</v>
      </c>
    </row>
    <row r="192" spans="2:13" ht="18">
      <c r="B192" s="52">
        <v>2</v>
      </c>
      <c r="C192" s="52">
        <v>31</v>
      </c>
      <c r="D192" s="52">
        <v>5</v>
      </c>
      <c r="E192" s="52">
        <v>32</v>
      </c>
      <c r="F192" s="52">
        <v>17</v>
      </c>
      <c r="G192" s="52">
        <v>1</v>
      </c>
      <c r="H192" s="52">
        <v>1</v>
      </c>
      <c r="M192" s="21">
        <v>1</v>
      </c>
    </row>
    <row r="193" spans="2:13" ht="18">
      <c r="B193" s="52">
        <v>2</v>
      </c>
      <c r="C193" s="52">
        <v>3</v>
      </c>
      <c r="D193" s="52">
        <v>7</v>
      </c>
      <c r="E193" s="52">
        <v>10</v>
      </c>
      <c r="F193" s="52">
        <v>5</v>
      </c>
      <c r="G193" s="52">
        <v>3</v>
      </c>
      <c r="H193" s="52">
        <v>0</v>
      </c>
      <c r="M193" s="21">
        <v>1</v>
      </c>
    </row>
    <row r="194" spans="2:13" ht="18">
      <c r="B194" s="52">
        <v>2</v>
      </c>
      <c r="C194" s="52">
        <v>5</v>
      </c>
      <c r="D194" s="52">
        <v>8</v>
      </c>
      <c r="E194" s="52">
        <v>17</v>
      </c>
      <c r="F194" s="52">
        <v>11</v>
      </c>
      <c r="G194" s="52">
        <v>8</v>
      </c>
      <c r="H194" s="52">
        <v>3</v>
      </c>
      <c r="M194" s="21">
        <v>1</v>
      </c>
    </row>
    <row r="195" spans="2:13" ht="18">
      <c r="B195" s="52">
        <v>2</v>
      </c>
      <c r="C195" s="52">
        <v>3</v>
      </c>
      <c r="D195" s="52">
        <v>6</v>
      </c>
      <c r="E195" s="52">
        <v>11</v>
      </c>
      <c r="F195" s="52">
        <v>2</v>
      </c>
      <c r="G195" s="52">
        <v>6</v>
      </c>
      <c r="H195" s="52">
        <v>0</v>
      </c>
      <c r="M195" s="21">
        <v>1</v>
      </c>
    </row>
    <row r="196" spans="2:13" ht="18">
      <c r="B196" s="52">
        <v>2</v>
      </c>
      <c r="C196" s="52">
        <v>30</v>
      </c>
      <c r="D196" s="52">
        <v>7</v>
      </c>
      <c r="E196" s="52">
        <v>13</v>
      </c>
      <c r="F196" s="52">
        <v>13</v>
      </c>
      <c r="G196" s="52">
        <v>1</v>
      </c>
      <c r="H196" s="52">
        <v>0</v>
      </c>
      <c r="M196" s="21">
        <v>1</v>
      </c>
    </row>
    <row r="197" spans="2:13" ht="18">
      <c r="B197" s="52">
        <v>2</v>
      </c>
      <c r="C197" s="52">
        <v>32</v>
      </c>
      <c r="D197" s="52">
        <v>8</v>
      </c>
      <c r="E197" s="52">
        <v>10</v>
      </c>
      <c r="F197" s="52">
        <v>11</v>
      </c>
      <c r="G197" s="52">
        <v>0</v>
      </c>
      <c r="H197" s="52">
        <v>0</v>
      </c>
      <c r="M197" s="21">
        <v>1</v>
      </c>
    </row>
    <row r="198" spans="2:13" ht="18">
      <c r="B198" s="52">
        <v>2</v>
      </c>
      <c r="C198" s="52">
        <v>32</v>
      </c>
      <c r="D198" s="52">
        <v>7</v>
      </c>
      <c r="E198" s="52">
        <v>12</v>
      </c>
      <c r="F198" s="52">
        <v>12</v>
      </c>
      <c r="G198" s="52">
        <v>2</v>
      </c>
      <c r="H198" s="52">
        <v>0</v>
      </c>
      <c r="M198" s="21">
        <v>1</v>
      </c>
    </row>
    <row r="199" spans="2:13" ht="18">
      <c r="B199" s="52">
        <v>2</v>
      </c>
      <c r="C199" s="52">
        <v>29</v>
      </c>
      <c r="D199" s="52">
        <v>8</v>
      </c>
      <c r="E199" s="52">
        <v>13</v>
      </c>
      <c r="F199" s="52">
        <v>12</v>
      </c>
      <c r="G199" s="52">
        <v>2</v>
      </c>
      <c r="H199" s="52">
        <v>0</v>
      </c>
      <c r="M199" s="21">
        <v>1</v>
      </c>
    </row>
    <row r="200" spans="2:13" ht="18">
      <c r="B200" s="52">
        <v>2</v>
      </c>
      <c r="C200" s="52">
        <v>13</v>
      </c>
      <c r="D200" s="52">
        <v>8</v>
      </c>
      <c r="E200" s="52">
        <v>19</v>
      </c>
      <c r="F200" s="52">
        <v>22</v>
      </c>
      <c r="G200" s="52">
        <v>3</v>
      </c>
      <c r="H200" s="52">
        <v>0</v>
      </c>
      <c r="M200" s="21">
        <v>1</v>
      </c>
    </row>
    <row r="201" spans="2:13" ht="18">
      <c r="B201" s="52">
        <v>2</v>
      </c>
      <c r="C201" s="52">
        <v>13</v>
      </c>
      <c r="D201" s="52">
        <v>7</v>
      </c>
      <c r="E201" s="52">
        <v>12</v>
      </c>
      <c r="F201" s="52">
        <v>17</v>
      </c>
      <c r="G201" s="52">
        <v>0</v>
      </c>
      <c r="H201" s="52">
        <v>0</v>
      </c>
      <c r="M201" s="21">
        <v>1</v>
      </c>
    </row>
    <row r="202" spans="2:13" ht="18">
      <c r="B202" s="52">
        <v>2</v>
      </c>
      <c r="C202" s="52">
        <v>2</v>
      </c>
      <c r="D202" s="52">
        <v>7</v>
      </c>
      <c r="E202" s="52">
        <v>10</v>
      </c>
      <c r="F202" s="52">
        <v>6</v>
      </c>
      <c r="G202" s="52">
        <v>2</v>
      </c>
      <c r="H202" s="52">
        <v>0</v>
      </c>
      <c r="M202" s="21">
        <v>1</v>
      </c>
    </row>
    <row r="203" spans="2:13" ht="18">
      <c r="B203" s="52">
        <v>2</v>
      </c>
      <c r="C203" s="52">
        <v>34</v>
      </c>
      <c r="D203" s="52">
        <v>7</v>
      </c>
      <c r="E203" s="52">
        <v>11</v>
      </c>
      <c r="F203" s="52">
        <v>8</v>
      </c>
      <c r="G203" s="52">
        <v>0</v>
      </c>
      <c r="H203" s="52">
        <v>0</v>
      </c>
      <c r="M203" s="21">
        <v>1</v>
      </c>
    </row>
    <row r="204" spans="2:13" ht="18">
      <c r="B204" s="52">
        <v>2</v>
      </c>
      <c r="C204" s="52">
        <v>34</v>
      </c>
      <c r="D204" s="52">
        <v>8</v>
      </c>
      <c r="E204" s="52">
        <v>8</v>
      </c>
      <c r="F204" s="52">
        <v>18</v>
      </c>
      <c r="G204" s="52">
        <v>0</v>
      </c>
      <c r="H204" s="52">
        <v>0</v>
      </c>
      <c r="M204" s="21">
        <v>1</v>
      </c>
    </row>
    <row r="205" spans="2:13" ht="18">
      <c r="B205" s="52">
        <v>2</v>
      </c>
      <c r="C205" s="52">
        <v>3</v>
      </c>
      <c r="D205" s="52">
        <v>3</v>
      </c>
      <c r="E205" s="52">
        <v>4</v>
      </c>
      <c r="F205" s="52">
        <v>6</v>
      </c>
      <c r="G205" s="52">
        <v>2</v>
      </c>
      <c r="H205" s="52">
        <v>0</v>
      </c>
      <c r="M205" s="21">
        <v>1</v>
      </c>
    </row>
    <row r="206" spans="2:13" ht="18">
      <c r="B206" s="52">
        <v>2</v>
      </c>
      <c r="C206" s="52">
        <v>3</v>
      </c>
      <c r="D206" s="52">
        <v>4</v>
      </c>
      <c r="E206" s="52">
        <v>8</v>
      </c>
      <c r="F206" s="52">
        <v>5</v>
      </c>
      <c r="G206" s="52">
        <v>7</v>
      </c>
      <c r="H206" s="52">
        <v>0</v>
      </c>
      <c r="M206" s="21">
        <v>1</v>
      </c>
    </row>
    <row r="207" spans="2:13" ht="18">
      <c r="B207" s="52">
        <v>2</v>
      </c>
      <c r="C207" s="52">
        <v>3</v>
      </c>
      <c r="D207" s="52">
        <v>5</v>
      </c>
      <c r="E207" s="52">
        <v>9</v>
      </c>
      <c r="F207" s="52">
        <v>11</v>
      </c>
      <c r="G207" s="52">
        <v>1</v>
      </c>
      <c r="H207" s="52">
        <v>0</v>
      </c>
      <c r="M207" s="21">
        <v>1</v>
      </c>
    </row>
    <row r="208" spans="2:13" ht="18">
      <c r="B208" s="52">
        <v>2</v>
      </c>
      <c r="C208" s="52">
        <v>12</v>
      </c>
      <c r="D208" s="52">
        <v>8</v>
      </c>
      <c r="E208" s="52">
        <v>19</v>
      </c>
      <c r="F208" s="52">
        <v>15</v>
      </c>
      <c r="G208" s="52">
        <v>3</v>
      </c>
      <c r="H208" s="52">
        <v>0</v>
      </c>
      <c r="M208" s="21">
        <v>1</v>
      </c>
    </row>
    <row r="209" spans="2:13" ht="18">
      <c r="B209" s="52">
        <v>2</v>
      </c>
      <c r="C209" s="52">
        <v>12</v>
      </c>
      <c r="D209" s="52">
        <v>9</v>
      </c>
      <c r="E209" s="52">
        <v>25</v>
      </c>
      <c r="F209" s="52">
        <v>18</v>
      </c>
      <c r="G209" s="52">
        <v>1</v>
      </c>
      <c r="H209" s="52">
        <v>0</v>
      </c>
      <c r="M209" s="21">
        <v>1</v>
      </c>
    </row>
    <row r="210" spans="2:13" ht="18">
      <c r="B210" s="52">
        <v>2</v>
      </c>
      <c r="C210" s="52">
        <v>31</v>
      </c>
      <c r="D210" s="52">
        <v>6</v>
      </c>
      <c r="E210" s="52">
        <v>32</v>
      </c>
      <c r="F210" s="52">
        <v>11</v>
      </c>
      <c r="G210" s="52">
        <v>3</v>
      </c>
      <c r="H210" s="52">
        <v>3</v>
      </c>
      <c r="M210" s="21">
        <v>1</v>
      </c>
    </row>
    <row r="211" spans="2:13" ht="18">
      <c r="B211" s="52">
        <v>2</v>
      </c>
      <c r="C211" s="52">
        <v>20</v>
      </c>
      <c r="D211" s="52">
        <v>7</v>
      </c>
      <c r="E211" s="52">
        <v>14</v>
      </c>
      <c r="F211" s="52">
        <v>9</v>
      </c>
      <c r="G211" s="52">
        <v>5</v>
      </c>
      <c r="H211" s="52">
        <v>2</v>
      </c>
      <c r="M211" s="21">
        <v>1</v>
      </c>
    </row>
    <row r="212" spans="2:13" ht="18">
      <c r="B212" s="52">
        <v>2</v>
      </c>
      <c r="C212" s="52">
        <v>20</v>
      </c>
      <c r="D212" s="52">
        <v>6</v>
      </c>
      <c r="E212" s="52">
        <v>12</v>
      </c>
      <c r="F212" s="52">
        <v>3</v>
      </c>
      <c r="G212" s="52">
        <v>3</v>
      </c>
      <c r="H212" s="52">
        <v>2</v>
      </c>
      <c r="M212" s="21">
        <v>1</v>
      </c>
    </row>
    <row r="213" spans="2:13" ht="18">
      <c r="B213" s="52">
        <v>2</v>
      </c>
      <c r="C213" s="52">
        <v>20</v>
      </c>
      <c r="D213" s="52">
        <v>5</v>
      </c>
      <c r="E213" s="52">
        <v>11</v>
      </c>
      <c r="F213" s="52">
        <v>9</v>
      </c>
      <c r="G213" s="52">
        <v>2</v>
      </c>
      <c r="H213" s="52">
        <v>0</v>
      </c>
      <c r="M213" s="21">
        <v>1</v>
      </c>
    </row>
    <row r="214" spans="2:13" ht="18">
      <c r="B214" s="52">
        <v>2</v>
      </c>
      <c r="C214" s="52">
        <v>20</v>
      </c>
      <c r="D214" s="52">
        <v>4</v>
      </c>
      <c r="E214" s="52">
        <v>15</v>
      </c>
      <c r="F214" s="52">
        <v>10</v>
      </c>
      <c r="G214" s="52">
        <v>2</v>
      </c>
      <c r="H214" s="52">
        <v>1</v>
      </c>
      <c r="M214" s="21">
        <v>1</v>
      </c>
    </row>
    <row r="215" spans="2:13" ht="18">
      <c r="B215" s="52">
        <v>2</v>
      </c>
      <c r="C215" s="52">
        <v>14</v>
      </c>
      <c r="D215" s="52">
        <v>8</v>
      </c>
      <c r="E215" s="52">
        <v>17</v>
      </c>
      <c r="F215" s="52">
        <v>8</v>
      </c>
      <c r="G215" s="52">
        <v>4</v>
      </c>
      <c r="H215" s="52">
        <v>0</v>
      </c>
      <c r="M215" s="21">
        <v>1</v>
      </c>
    </row>
    <row r="216" spans="2:13" ht="18">
      <c r="B216" s="52">
        <v>2</v>
      </c>
      <c r="C216" s="52">
        <v>14</v>
      </c>
      <c r="D216" s="52">
        <v>7</v>
      </c>
      <c r="E216" s="52">
        <v>11</v>
      </c>
      <c r="F216" s="52">
        <v>7</v>
      </c>
      <c r="G216" s="52">
        <v>5</v>
      </c>
      <c r="H216" s="52">
        <v>0</v>
      </c>
      <c r="M216" s="21">
        <v>1</v>
      </c>
    </row>
    <row r="217" spans="2:13" ht="18">
      <c r="B217" s="52">
        <v>2</v>
      </c>
      <c r="C217" s="52">
        <v>11</v>
      </c>
      <c r="D217" s="52">
        <v>8</v>
      </c>
      <c r="E217" s="52">
        <v>16</v>
      </c>
      <c r="F217" s="52">
        <v>7</v>
      </c>
      <c r="G217" s="52">
        <v>0</v>
      </c>
      <c r="H217" s="52">
        <v>0</v>
      </c>
      <c r="M217" s="21">
        <v>1</v>
      </c>
    </row>
    <row r="218" spans="2:13" ht="18">
      <c r="B218" s="52">
        <v>2</v>
      </c>
      <c r="C218" s="52">
        <v>11</v>
      </c>
      <c r="D218" s="52">
        <v>7</v>
      </c>
      <c r="E218" s="52">
        <v>6</v>
      </c>
      <c r="F218" s="52">
        <v>11</v>
      </c>
      <c r="G218" s="52">
        <v>0</v>
      </c>
      <c r="H218" s="52">
        <v>0</v>
      </c>
      <c r="M218" s="21">
        <v>1</v>
      </c>
    </row>
    <row r="219" spans="2:13" ht="18">
      <c r="B219" s="52">
        <v>2</v>
      </c>
      <c r="C219" s="52">
        <v>4</v>
      </c>
      <c r="D219" s="52">
        <v>7</v>
      </c>
      <c r="E219" s="52">
        <v>85</v>
      </c>
      <c r="F219" s="52">
        <v>22</v>
      </c>
      <c r="G219" s="52">
        <v>0</v>
      </c>
      <c r="H219" s="52">
        <v>0</v>
      </c>
      <c r="M219" s="21">
        <v>1</v>
      </c>
    </row>
    <row r="220" spans="2:13" ht="18">
      <c r="B220" s="52">
        <v>2</v>
      </c>
      <c r="C220" s="52">
        <v>17</v>
      </c>
      <c r="D220" s="52">
        <v>7</v>
      </c>
      <c r="E220" s="52">
        <v>11</v>
      </c>
      <c r="F220" s="52">
        <v>15</v>
      </c>
      <c r="G220" s="52">
        <v>11</v>
      </c>
      <c r="H220" s="52">
        <v>0</v>
      </c>
      <c r="M220" s="21">
        <v>1</v>
      </c>
    </row>
    <row r="221" spans="2:13" ht="18">
      <c r="B221" s="52">
        <v>2</v>
      </c>
      <c r="C221" s="52">
        <v>17</v>
      </c>
      <c r="D221" s="52">
        <v>8</v>
      </c>
      <c r="E221" s="52">
        <v>9</v>
      </c>
      <c r="F221" s="52">
        <v>9</v>
      </c>
      <c r="G221" s="52">
        <v>8</v>
      </c>
      <c r="H221" s="52">
        <v>0</v>
      </c>
      <c r="M221" s="21">
        <v>1</v>
      </c>
    </row>
    <row r="222" spans="2:13" ht="18">
      <c r="B222" s="52">
        <v>2</v>
      </c>
      <c r="C222" s="52">
        <v>22</v>
      </c>
      <c r="D222" s="52">
        <v>7</v>
      </c>
      <c r="E222" s="52">
        <v>4</v>
      </c>
      <c r="F222" s="52">
        <v>2</v>
      </c>
      <c r="G222" s="52">
        <v>0</v>
      </c>
      <c r="H222" s="52">
        <v>0</v>
      </c>
      <c r="M222" s="21">
        <v>1</v>
      </c>
    </row>
    <row r="223" spans="2:13" ht="18">
      <c r="B223" s="52">
        <v>2</v>
      </c>
      <c r="C223" s="52">
        <v>22</v>
      </c>
      <c r="D223" s="52">
        <v>8</v>
      </c>
      <c r="E223" s="52">
        <v>7</v>
      </c>
      <c r="F223" s="52">
        <v>13</v>
      </c>
      <c r="G223" s="52">
        <v>0</v>
      </c>
      <c r="H223" s="52">
        <v>0</v>
      </c>
      <c r="M223" s="21">
        <v>1</v>
      </c>
    </row>
    <row r="224" spans="2:13" ht="18">
      <c r="B224" s="52">
        <v>2</v>
      </c>
      <c r="C224" s="52">
        <v>10</v>
      </c>
      <c r="D224" s="52">
        <v>6</v>
      </c>
      <c r="E224" s="52">
        <v>27</v>
      </c>
      <c r="F224" s="52">
        <v>12</v>
      </c>
      <c r="G224" s="52">
        <v>4</v>
      </c>
      <c r="H224" s="52">
        <v>0</v>
      </c>
      <c r="M224" s="21">
        <v>1</v>
      </c>
    </row>
    <row r="225" spans="2:13" ht="18">
      <c r="B225" s="52">
        <v>2</v>
      </c>
      <c r="C225" s="52">
        <v>14</v>
      </c>
      <c r="D225" s="52">
        <v>7</v>
      </c>
      <c r="E225" s="52">
        <v>7</v>
      </c>
      <c r="F225" s="52">
        <v>3</v>
      </c>
      <c r="G225" s="52">
        <v>0</v>
      </c>
      <c r="H225" s="52">
        <v>0</v>
      </c>
      <c r="M225" s="21">
        <v>1</v>
      </c>
    </row>
    <row r="226" spans="2:13" ht="18">
      <c r="B226" s="52">
        <v>2</v>
      </c>
      <c r="C226" s="52">
        <v>14</v>
      </c>
      <c r="D226" s="52">
        <v>8</v>
      </c>
      <c r="E226" s="52">
        <v>19</v>
      </c>
      <c r="F226" s="52">
        <v>12</v>
      </c>
      <c r="G226" s="52">
        <v>0</v>
      </c>
      <c r="H226" s="52">
        <v>0</v>
      </c>
      <c r="M226" s="21">
        <v>1</v>
      </c>
    </row>
    <row r="227" spans="2:13" ht="18">
      <c r="B227" s="52">
        <v>2</v>
      </c>
      <c r="C227" s="52">
        <v>14</v>
      </c>
      <c r="D227" s="52">
        <v>9</v>
      </c>
      <c r="E227" s="52">
        <v>15</v>
      </c>
      <c r="F227" s="52">
        <v>11</v>
      </c>
      <c r="G227" s="52">
        <v>2</v>
      </c>
      <c r="H227" s="52">
        <v>0</v>
      </c>
      <c r="M227" s="21">
        <v>1</v>
      </c>
    </row>
    <row r="228" spans="2:13" ht="18">
      <c r="B228" s="52">
        <v>2</v>
      </c>
      <c r="C228" s="52">
        <v>2</v>
      </c>
      <c r="D228" s="52">
        <v>8</v>
      </c>
      <c r="E228" s="52">
        <v>9</v>
      </c>
      <c r="F228" s="52">
        <v>8</v>
      </c>
      <c r="G228" s="52">
        <v>4</v>
      </c>
      <c r="H228" s="52">
        <v>0</v>
      </c>
      <c r="M228" s="21">
        <v>1</v>
      </c>
    </row>
    <row r="229" spans="2:13" ht="18">
      <c r="B229" s="52">
        <v>2</v>
      </c>
      <c r="C229" s="52">
        <v>2</v>
      </c>
      <c r="D229" s="52">
        <v>9</v>
      </c>
      <c r="E229" s="52">
        <v>8</v>
      </c>
      <c r="F229" s="52">
        <v>7</v>
      </c>
      <c r="G229" s="52">
        <v>3</v>
      </c>
      <c r="H229" s="52">
        <v>0</v>
      </c>
      <c r="M229" s="21">
        <v>1</v>
      </c>
    </row>
    <row r="230" spans="2:13" ht="18">
      <c r="B230" s="52">
        <v>2</v>
      </c>
      <c r="C230" s="52">
        <v>9</v>
      </c>
      <c r="D230" s="52">
        <v>9</v>
      </c>
      <c r="E230" s="52">
        <v>47</v>
      </c>
      <c r="F230" s="52">
        <v>39</v>
      </c>
      <c r="G230" s="52">
        <v>11</v>
      </c>
      <c r="H230" s="52">
        <v>1</v>
      </c>
      <c r="M230" s="21">
        <v>1</v>
      </c>
    </row>
    <row r="231" spans="2:13" ht="18">
      <c r="B231" s="52">
        <v>2</v>
      </c>
      <c r="C231" s="52">
        <v>5</v>
      </c>
      <c r="D231" s="52">
        <v>9</v>
      </c>
      <c r="E231" s="52">
        <v>10</v>
      </c>
      <c r="F231" s="52">
        <v>3</v>
      </c>
      <c r="G231" s="52">
        <v>9</v>
      </c>
      <c r="H231" s="52">
        <v>1</v>
      </c>
      <c r="M231" s="21">
        <v>1</v>
      </c>
    </row>
    <row r="232" spans="2:13" ht="18">
      <c r="B232" s="52">
        <v>2</v>
      </c>
      <c r="C232" s="52">
        <v>13</v>
      </c>
      <c r="D232" s="52">
        <v>9</v>
      </c>
      <c r="E232" s="52">
        <v>26</v>
      </c>
      <c r="F232" s="52">
        <v>28</v>
      </c>
      <c r="G232" s="52">
        <v>1</v>
      </c>
      <c r="H232" s="52">
        <v>2</v>
      </c>
      <c r="M232" s="21">
        <v>1</v>
      </c>
    </row>
    <row r="233" spans="2:13" ht="18">
      <c r="B233" s="52">
        <v>2</v>
      </c>
      <c r="C233" s="52">
        <v>30</v>
      </c>
      <c r="D233" s="52">
        <v>8</v>
      </c>
      <c r="E233" s="52">
        <v>5</v>
      </c>
      <c r="F233" s="52">
        <v>6</v>
      </c>
      <c r="G233" s="52">
        <v>0</v>
      </c>
      <c r="H233" s="52">
        <v>0</v>
      </c>
      <c r="M233" s="21">
        <v>1</v>
      </c>
    </row>
    <row r="234" spans="2:13" ht="18">
      <c r="B234" s="52">
        <v>2</v>
      </c>
      <c r="C234" s="52">
        <v>30</v>
      </c>
      <c r="D234" s="52">
        <v>9</v>
      </c>
      <c r="E234" s="52">
        <v>8</v>
      </c>
      <c r="F234" s="52">
        <v>3</v>
      </c>
      <c r="G234" s="52">
        <v>0</v>
      </c>
      <c r="H234" s="52">
        <v>0</v>
      </c>
      <c r="M234" s="21">
        <v>1</v>
      </c>
    </row>
    <row r="235" spans="2:13" ht="18">
      <c r="B235" s="52">
        <v>2</v>
      </c>
      <c r="C235" s="52">
        <v>31</v>
      </c>
      <c r="D235" s="52">
        <v>7</v>
      </c>
      <c r="E235" s="52">
        <v>23</v>
      </c>
      <c r="F235" s="52">
        <v>9</v>
      </c>
      <c r="G235" s="52">
        <v>2</v>
      </c>
      <c r="H235" s="52">
        <v>0</v>
      </c>
      <c r="M235" s="21">
        <v>1</v>
      </c>
    </row>
    <row r="236" spans="2:13" ht="18">
      <c r="B236" s="52">
        <v>2</v>
      </c>
      <c r="C236" s="52">
        <v>33</v>
      </c>
      <c r="D236" s="52">
        <v>10</v>
      </c>
      <c r="E236" s="52">
        <v>26</v>
      </c>
      <c r="F236" s="52">
        <v>53</v>
      </c>
      <c r="G236" s="52">
        <v>0</v>
      </c>
      <c r="H236" s="52">
        <v>0</v>
      </c>
      <c r="M236" s="21">
        <v>1</v>
      </c>
    </row>
    <row r="237" spans="2:13" ht="18">
      <c r="B237" s="52">
        <v>2</v>
      </c>
      <c r="C237" s="52">
        <v>26</v>
      </c>
      <c r="D237" s="52">
        <v>1</v>
      </c>
      <c r="E237" s="52">
        <v>20</v>
      </c>
      <c r="F237" s="52">
        <v>15</v>
      </c>
      <c r="G237" s="52">
        <v>2</v>
      </c>
      <c r="H237" s="52">
        <v>1</v>
      </c>
      <c r="M237" s="21">
        <v>1</v>
      </c>
    </row>
    <row r="238" spans="2:13" ht="18">
      <c r="B238" s="52">
        <v>2</v>
      </c>
      <c r="C238" s="52">
        <v>26</v>
      </c>
      <c r="D238" s="52">
        <v>3</v>
      </c>
      <c r="E238" s="52">
        <v>25</v>
      </c>
      <c r="F238" s="52">
        <v>20</v>
      </c>
      <c r="G238" s="52">
        <v>8</v>
      </c>
      <c r="H238" s="52">
        <v>3</v>
      </c>
      <c r="M238" s="21">
        <v>1</v>
      </c>
    </row>
    <row r="239" spans="2:13" ht="18">
      <c r="B239" s="52">
        <v>2</v>
      </c>
      <c r="C239" s="52">
        <v>26</v>
      </c>
      <c r="D239" s="52">
        <v>3</v>
      </c>
      <c r="E239" s="52">
        <v>25</v>
      </c>
      <c r="F239" s="52">
        <v>10</v>
      </c>
      <c r="G239" s="52">
        <v>3</v>
      </c>
      <c r="H239" s="52">
        <v>4</v>
      </c>
      <c r="M239" s="21">
        <v>1</v>
      </c>
    </row>
    <row r="240" spans="2:13" ht="18">
      <c r="B240" s="52">
        <v>2</v>
      </c>
      <c r="C240" s="52">
        <v>26</v>
      </c>
      <c r="D240" s="52">
        <v>4</v>
      </c>
      <c r="E240" s="52">
        <v>48</v>
      </c>
      <c r="F240" s="52">
        <v>4</v>
      </c>
      <c r="G240" s="52">
        <v>0</v>
      </c>
      <c r="H240" s="52">
        <v>0</v>
      </c>
      <c r="M240" s="21">
        <v>1</v>
      </c>
    </row>
    <row r="241" spans="2:13" ht="18">
      <c r="B241" s="52">
        <v>2</v>
      </c>
      <c r="C241" s="52">
        <v>34</v>
      </c>
      <c r="D241" s="52">
        <v>7</v>
      </c>
      <c r="E241" s="52">
        <v>11</v>
      </c>
      <c r="F241" s="52">
        <v>8</v>
      </c>
      <c r="G241" s="52">
        <v>0</v>
      </c>
      <c r="H241" s="52">
        <v>0</v>
      </c>
      <c r="M241" s="21">
        <v>1</v>
      </c>
    </row>
    <row r="242" spans="2:13" ht="18">
      <c r="B242" s="52">
        <v>2</v>
      </c>
      <c r="C242" s="52">
        <v>34</v>
      </c>
      <c r="D242" s="52">
        <v>8</v>
      </c>
      <c r="E242" s="52">
        <v>8</v>
      </c>
      <c r="F242" s="52">
        <v>18</v>
      </c>
      <c r="G242" s="52">
        <v>0</v>
      </c>
      <c r="H242" s="52">
        <v>0</v>
      </c>
      <c r="M242" s="21">
        <v>1</v>
      </c>
    </row>
    <row r="243" spans="2:13" ht="18">
      <c r="B243" s="52">
        <v>2</v>
      </c>
      <c r="C243" s="52">
        <v>34</v>
      </c>
      <c r="D243" s="52">
        <v>9</v>
      </c>
      <c r="E243" s="52">
        <v>1</v>
      </c>
      <c r="F243" s="52">
        <v>9</v>
      </c>
      <c r="G243" s="52">
        <v>0</v>
      </c>
      <c r="H243" s="52">
        <v>0</v>
      </c>
      <c r="M243" s="21">
        <v>1</v>
      </c>
    </row>
    <row r="244" spans="2:13" ht="18">
      <c r="B244" s="52">
        <v>2</v>
      </c>
      <c r="C244" s="52">
        <v>25</v>
      </c>
      <c r="D244" s="52">
        <v>8</v>
      </c>
      <c r="E244" s="52">
        <v>23</v>
      </c>
      <c r="F244" s="52">
        <v>9</v>
      </c>
      <c r="G244" s="52">
        <v>2</v>
      </c>
      <c r="H244" s="52">
        <v>0</v>
      </c>
      <c r="M244" s="21">
        <v>1</v>
      </c>
    </row>
    <row r="245" spans="2:13" ht="18">
      <c r="B245" s="52">
        <v>2</v>
      </c>
      <c r="C245" s="52">
        <v>25</v>
      </c>
      <c r="D245" s="52">
        <v>9</v>
      </c>
      <c r="E245" s="52">
        <v>10</v>
      </c>
      <c r="F245" s="52">
        <v>2</v>
      </c>
      <c r="G245" s="52">
        <v>0</v>
      </c>
      <c r="H245" s="52">
        <v>0</v>
      </c>
      <c r="M245" s="21">
        <v>1</v>
      </c>
    </row>
    <row r="246" spans="2:13" ht="18">
      <c r="B246" s="52">
        <v>2</v>
      </c>
      <c r="C246" s="52">
        <v>20</v>
      </c>
      <c r="D246" s="52">
        <v>8</v>
      </c>
      <c r="E246" s="52">
        <v>11</v>
      </c>
      <c r="F246" s="52">
        <v>10</v>
      </c>
      <c r="G246" s="52">
        <v>8</v>
      </c>
      <c r="H246" s="52">
        <v>7</v>
      </c>
      <c r="M246" s="21">
        <v>1</v>
      </c>
    </row>
    <row r="247" spans="2:13" ht="18">
      <c r="B247" s="52">
        <v>2</v>
      </c>
      <c r="C247" s="52">
        <v>20</v>
      </c>
      <c r="D247" s="52">
        <v>9</v>
      </c>
      <c r="E247" s="52">
        <v>13</v>
      </c>
      <c r="F247" s="52">
        <v>10</v>
      </c>
      <c r="G247" s="52">
        <v>5</v>
      </c>
      <c r="H247" s="52">
        <v>2</v>
      </c>
      <c r="M247" s="21">
        <v>1</v>
      </c>
    </row>
    <row r="248" spans="2:13" ht="18">
      <c r="B248" s="52">
        <v>2</v>
      </c>
      <c r="C248" s="52">
        <v>20</v>
      </c>
      <c r="D248" s="52">
        <v>10</v>
      </c>
      <c r="E248" s="52">
        <v>17</v>
      </c>
      <c r="F248" s="52">
        <v>15</v>
      </c>
      <c r="G248" s="52">
        <v>7</v>
      </c>
      <c r="H248" s="52">
        <v>5</v>
      </c>
      <c r="M248" s="21">
        <v>1</v>
      </c>
    </row>
    <row r="249" spans="2:13" ht="18">
      <c r="B249" s="52">
        <v>2</v>
      </c>
      <c r="C249" s="52">
        <v>32</v>
      </c>
      <c r="D249" s="52">
        <v>10</v>
      </c>
      <c r="E249" s="52">
        <v>18</v>
      </c>
      <c r="F249" s="52">
        <v>7</v>
      </c>
      <c r="G249" s="52">
        <v>0</v>
      </c>
      <c r="H249" s="52">
        <v>0</v>
      </c>
      <c r="M249" s="21">
        <v>1</v>
      </c>
    </row>
    <row r="250" spans="2:13" ht="18">
      <c r="B250" s="52">
        <v>2</v>
      </c>
      <c r="C250" s="52">
        <v>32</v>
      </c>
      <c r="D250" s="52">
        <v>9</v>
      </c>
      <c r="E250" s="52">
        <v>10</v>
      </c>
      <c r="F250" s="52">
        <v>8</v>
      </c>
      <c r="G250" s="52">
        <v>2</v>
      </c>
      <c r="H250" s="52">
        <v>0</v>
      </c>
      <c r="M250" s="21">
        <v>1</v>
      </c>
    </row>
    <row r="251" spans="2:13" ht="18">
      <c r="B251" s="52">
        <v>2</v>
      </c>
      <c r="C251" s="52">
        <v>29</v>
      </c>
      <c r="D251" s="52">
        <v>9</v>
      </c>
      <c r="E251" s="52">
        <v>14</v>
      </c>
      <c r="F251" s="52">
        <v>6</v>
      </c>
      <c r="G251" s="52">
        <v>1</v>
      </c>
      <c r="H251" s="52">
        <v>0</v>
      </c>
      <c r="M251" s="21">
        <v>1</v>
      </c>
    </row>
    <row r="252" spans="2:13" ht="18">
      <c r="B252" s="52">
        <v>2</v>
      </c>
      <c r="C252" s="52">
        <v>8</v>
      </c>
      <c r="D252" s="52">
        <v>10</v>
      </c>
      <c r="E252" s="52">
        <v>12</v>
      </c>
      <c r="F252" s="52">
        <v>7</v>
      </c>
      <c r="G252" s="52">
        <v>0</v>
      </c>
      <c r="H252" s="52">
        <v>0</v>
      </c>
      <c r="M252" s="21">
        <v>1</v>
      </c>
    </row>
    <row r="253" spans="2:13" ht="18">
      <c r="B253" s="52">
        <v>2</v>
      </c>
      <c r="C253" s="52">
        <v>8</v>
      </c>
      <c r="D253" s="52">
        <v>9</v>
      </c>
      <c r="E253" s="52">
        <v>11</v>
      </c>
      <c r="F253" s="52">
        <v>9</v>
      </c>
      <c r="G253" s="52">
        <v>2</v>
      </c>
      <c r="H253" s="52">
        <v>0</v>
      </c>
      <c r="M253" s="21">
        <v>1</v>
      </c>
    </row>
    <row r="254" spans="2:13" ht="18">
      <c r="B254" s="52">
        <v>2</v>
      </c>
      <c r="C254" s="52">
        <v>8</v>
      </c>
      <c r="D254" s="52">
        <v>8</v>
      </c>
      <c r="E254" s="52">
        <v>8</v>
      </c>
      <c r="F254" s="52">
        <v>5</v>
      </c>
      <c r="G254" s="52">
        <v>1</v>
      </c>
      <c r="H254" s="52">
        <v>0</v>
      </c>
      <c r="M254" s="21">
        <v>1</v>
      </c>
    </row>
    <row r="255" spans="2:13" ht="18">
      <c r="B255" s="52">
        <v>2</v>
      </c>
      <c r="C255" s="52">
        <v>8</v>
      </c>
      <c r="D255" s="52">
        <v>7</v>
      </c>
      <c r="E255" s="52">
        <v>12</v>
      </c>
      <c r="F255" s="52">
        <v>12</v>
      </c>
      <c r="G255" s="52">
        <v>3</v>
      </c>
      <c r="H255" s="52">
        <v>0</v>
      </c>
      <c r="M255" s="21">
        <v>1</v>
      </c>
    </row>
    <row r="256" spans="2:13" ht="18">
      <c r="B256" s="52">
        <v>2</v>
      </c>
      <c r="C256" s="52">
        <v>8</v>
      </c>
      <c r="D256" s="52">
        <v>6</v>
      </c>
      <c r="E256" s="52">
        <v>5</v>
      </c>
      <c r="F256" s="52">
        <v>3</v>
      </c>
      <c r="G256" s="52">
        <v>1</v>
      </c>
      <c r="H256" s="52">
        <v>0</v>
      </c>
      <c r="M256" s="21">
        <v>1</v>
      </c>
    </row>
    <row r="257" spans="2:13" ht="18">
      <c r="B257" s="52">
        <v>2</v>
      </c>
      <c r="C257" s="52">
        <v>9</v>
      </c>
      <c r="D257" s="52">
        <v>6</v>
      </c>
      <c r="E257" s="52">
        <v>39</v>
      </c>
      <c r="F257" s="52">
        <v>27</v>
      </c>
      <c r="G257" s="52">
        <v>10</v>
      </c>
      <c r="H257" s="52">
        <v>1</v>
      </c>
      <c r="M257" s="21">
        <v>1</v>
      </c>
    </row>
    <row r="258" spans="2:13" ht="18">
      <c r="B258" s="52">
        <v>2</v>
      </c>
      <c r="C258" s="52">
        <v>9</v>
      </c>
      <c r="D258" s="52">
        <v>7</v>
      </c>
      <c r="E258" s="52">
        <v>40</v>
      </c>
      <c r="F258" s="52">
        <v>30</v>
      </c>
      <c r="G258" s="52">
        <v>10</v>
      </c>
      <c r="H258" s="52">
        <v>1</v>
      </c>
      <c r="M258" s="21">
        <v>1</v>
      </c>
    </row>
    <row r="259" spans="2:13" ht="18">
      <c r="B259" s="52">
        <v>2</v>
      </c>
      <c r="C259" s="52">
        <v>9</v>
      </c>
      <c r="D259" s="52">
        <v>8</v>
      </c>
      <c r="E259" s="52">
        <v>46</v>
      </c>
      <c r="F259" s="52">
        <v>35</v>
      </c>
      <c r="G259" s="52">
        <v>11</v>
      </c>
      <c r="H259" s="52">
        <v>1</v>
      </c>
      <c r="M259" s="21">
        <v>1</v>
      </c>
    </row>
    <row r="260" spans="2:13" ht="18">
      <c r="B260" s="52">
        <v>2</v>
      </c>
      <c r="C260" s="52">
        <v>4</v>
      </c>
      <c r="D260" s="52">
        <v>8</v>
      </c>
      <c r="E260" s="52">
        <v>91</v>
      </c>
      <c r="F260" s="52">
        <v>22</v>
      </c>
      <c r="G260" s="52">
        <v>0</v>
      </c>
      <c r="H260" s="52">
        <v>0</v>
      </c>
      <c r="M260" s="21">
        <v>1</v>
      </c>
    </row>
    <row r="261" spans="2:13" ht="18">
      <c r="B261" s="52">
        <v>2</v>
      </c>
      <c r="C261" s="52">
        <v>14</v>
      </c>
      <c r="D261" s="52">
        <v>9</v>
      </c>
      <c r="E261" s="52">
        <v>6</v>
      </c>
      <c r="F261" s="52">
        <v>2</v>
      </c>
      <c r="G261" s="52">
        <v>2</v>
      </c>
      <c r="H261" s="52">
        <v>0</v>
      </c>
      <c r="M261" s="21">
        <v>1</v>
      </c>
    </row>
    <row r="262" spans="2:13" ht="18">
      <c r="B262" s="52">
        <v>2</v>
      </c>
      <c r="C262" s="52">
        <v>22</v>
      </c>
      <c r="D262" s="52">
        <v>9</v>
      </c>
      <c r="E262" s="52">
        <v>4</v>
      </c>
      <c r="F262" s="52">
        <v>1</v>
      </c>
      <c r="G262" s="52">
        <v>0</v>
      </c>
      <c r="H262" s="52">
        <v>0</v>
      </c>
      <c r="M262" s="21">
        <v>1</v>
      </c>
    </row>
    <row r="263" spans="2:13" ht="18">
      <c r="B263" s="52">
        <v>2</v>
      </c>
      <c r="C263" s="52">
        <v>18</v>
      </c>
      <c r="D263" s="52">
        <v>9</v>
      </c>
      <c r="E263" s="52">
        <v>11</v>
      </c>
      <c r="F263" s="52">
        <v>14</v>
      </c>
      <c r="G263" s="52">
        <v>11</v>
      </c>
      <c r="H263" s="52">
        <v>0</v>
      </c>
      <c r="M263" s="21">
        <v>1</v>
      </c>
    </row>
    <row r="264" spans="2:13" ht="18">
      <c r="B264" s="52">
        <v>2</v>
      </c>
      <c r="C264" s="52">
        <v>11</v>
      </c>
      <c r="D264" s="52">
        <v>7</v>
      </c>
      <c r="E264" s="52">
        <v>7</v>
      </c>
      <c r="F264" s="52">
        <v>5</v>
      </c>
      <c r="G264" s="52">
        <v>5</v>
      </c>
      <c r="H264" s="52">
        <v>0</v>
      </c>
      <c r="M264" s="21">
        <v>1</v>
      </c>
    </row>
    <row r="265" spans="2:13" ht="18">
      <c r="B265" s="52">
        <v>2</v>
      </c>
      <c r="C265" s="52">
        <v>11</v>
      </c>
      <c r="D265" s="52">
        <v>8</v>
      </c>
      <c r="E265" s="52">
        <v>16</v>
      </c>
      <c r="F265" s="52">
        <v>14</v>
      </c>
      <c r="G265" s="52">
        <v>8</v>
      </c>
      <c r="H265" s="52">
        <v>0</v>
      </c>
      <c r="M265" s="21">
        <v>1</v>
      </c>
    </row>
    <row r="266" spans="2:13" ht="18">
      <c r="B266" s="52">
        <v>2</v>
      </c>
      <c r="C266" s="52">
        <v>25</v>
      </c>
      <c r="D266" s="52">
        <v>10</v>
      </c>
      <c r="E266" s="52">
        <v>12</v>
      </c>
      <c r="F266" s="52">
        <v>2</v>
      </c>
      <c r="G266" s="52">
        <v>0</v>
      </c>
      <c r="H266" s="52">
        <v>0</v>
      </c>
      <c r="M266" s="21">
        <v>1</v>
      </c>
    </row>
    <row r="267" spans="2:13" ht="18">
      <c r="B267" s="52">
        <v>2</v>
      </c>
      <c r="C267" s="52">
        <v>34</v>
      </c>
      <c r="D267" s="52">
        <v>10</v>
      </c>
      <c r="E267" s="52">
        <v>8</v>
      </c>
      <c r="F267" s="52">
        <v>19</v>
      </c>
      <c r="G267" s="52">
        <v>0</v>
      </c>
      <c r="H267" s="52">
        <v>0</v>
      </c>
      <c r="M267" s="21">
        <v>1</v>
      </c>
    </row>
    <row r="268" spans="2:13" ht="18">
      <c r="B268" s="52">
        <v>2</v>
      </c>
      <c r="C268" s="52">
        <v>2</v>
      </c>
      <c r="D268" s="52">
        <v>11</v>
      </c>
      <c r="E268" s="52">
        <v>7</v>
      </c>
      <c r="F268" s="52">
        <v>7</v>
      </c>
      <c r="G268" s="52">
        <v>6</v>
      </c>
      <c r="H268" s="52">
        <v>0</v>
      </c>
      <c r="M268" s="21">
        <v>1</v>
      </c>
    </row>
    <row r="269" spans="2:13" ht="18">
      <c r="B269" s="52">
        <v>2</v>
      </c>
      <c r="C269" s="52">
        <v>2</v>
      </c>
      <c r="D269" s="52">
        <v>10</v>
      </c>
      <c r="E269" s="52">
        <v>9</v>
      </c>
      <c r="F269" s="52">
        <v>5</v>
      </c>
      <c r="G269" s="52">
        <v>4</v>
      </c>
      <c r="H269" s="52">
        <v>0</v>
      </c>
      <c r="M269" s="21">
        <v>1</v>
      </c>
    </row>
    <row r="270" spans="2:13" ht="18">
      <c r="B270" s="52">
        <v>2</v>
      </c>
      <c r="C270" s="52">
        <v>9</v>
      </c>
      <c r="D270" s="52">
        <v>11</v>
      </c>
      <c r="E270" s="52">
        <v>67</v>
      </c>
      <c r="F270" s="52">
        <v>47</v>
      </c>
      <c r="G270" s="52">
        <v>13</v>
      </c>
      <c r="H270" s="52">
        <v>1</v>
      </c>
      <c r="M270" s="21">
        <v>1</v>
      </c>
    </row>
    <row r="271" spans="2:13" ht="18">
      <c r="B271" s="52">
        <v>2</v>
      </c>
      <c r="C271" s="52">
        <v>9</v>
      </c>
      <c r="D271" s="52">
        <v>10</v>
      </c>
      <c r="E271" s="52">
        <v>56</v>
      </c>
      <c r="F271" s="52">
        <v>43</v>
      </c>
      <c r="G271" s="52">
        <v>11</v>
      </c>
      <c r="H271" s="52">
        <v>1</v>
      </c>
      <c r="M271" s="21">
        <v>1</v>
      </c>
    </row>
    <row r="272" spans="2:13" ht="18">
      <c r="B272" s="52">
        <v>2</v>
      </c>
      <c r="C272" s="52">
        <v>1</v>
      </c>
      <c r="D272" s="52">
        <v>8</v>
      </c>
      <c r="E272" s="52">
        <v>12</v>
      </c>
      <c r="F272" s="52">
        <v>10</v>
      </c>
      <c r="G272" s="52">
        <v>1</v>
      </c>
      <c r="H272" s="52">
        <v>0</v>
      </c>
      <c r="M272" s="21">
        <v>1</v>
      </c>
    </row>
    <row r="273" spans="2:13" ht="18">
      <c r="B273" s="52">
        <v>2</v>
      </c>
      <c r="C273" s="52">
        <v>1</v>
      </c>
      <c r="D273" s="52">
        <v>9</v>
      </c>
      <c r="E273" s="52">
        <v>7</v>
      </c>
      <c r="F273" s="52">
        <v>5</v>
      </c>
      <c r="G273" s="52">
        <v>2</v>
      </c>
      <c r="H273" s="52">
        <v>0</v>
      </c>
      <c r="M273" s="21">
        <v>1</v>
      </c>
    </row>
    <row r="274" spans="2:13" ht="18">
      <c r="B274" s="52">
        <v>2</v>
      </c>
      <c r="C274" s="52">
        <v>1</v>
      </c>
      <c r="D274" s="52">
        <v>10</v>
      </c>
      <c r="E274" s="52">
        <v>9</v>
      </c>
      <c r="F274" s="52">
        <v>6</v>
      </c>
      <c r="G274" s="52">
        <v>5</v>
      </c>
      <c r="H274" s="52">
        <v>0</v>
      </c>
      <c r="M274" s="21">
        <v>1</v>
      </c>
    </row>
    <row r="275" spans="2:13" ht="18">
      <c r="B275" s="52">
        <v>2</v>
      </c>
      <c r="C275" s="52">
        <v>1</v>
      </c>
      <c r="D275" s="52">
        <v>11</v>
      </c>
      <c r="E275" s="52">
        <v>5</v>
      </c>
      <c r="F275" s="52">
        <v>1</v>
      </c>
      <c r="G275" s="52">
        <v>1</v>
      </c>
      <c r="H275" s="52">
        <v>0</v>
      </c>
      <c r="M275" s="21">
        <v>1</v>
      </c>
    </row>
    <row r="276" spans="2:13" ht="18">
      <c r="B276" s="52">
        <v>2</v>
      </c>
      <c r="C276" s="52">
        <v>1</v>
      </c>
      <c r="D276" s="52">
        <v>5</v>
      </c>
      <c r="E276" s="52">
        <v>3</v>
      </c>
      <c r="F276" s="52">
        <v>2</v>
      </c>
      <c r="G276" s="52">
        <v>2</v>
      </c>
      <c r="H276" s="52">
        <v>0</v>
      </c>
      <c r="M276" s="21">
        <v>1</v>
      </c>
    </row>
    <row r="277" spans="2:13" ht="18">
      <c r="B277" s="52">
        <v>2</v>
      </c>
      <c r="C277" s="52">
        <v>1</v>
      </c>
      <c r="D277" s="52">
        <v>6</v>
      </c>
      <c r="E277" s="52">
        <v>1</v>
      </c>
      <c r="F277" s="52">
        <v>5</v>
      </c>
      <c r="G277" s="52">
        <v>1</v>
      </c>
      <c r="H277" s="52">
        <v>0</v>
      </c>
      <c r="M277" s="21">
        <v>1</v>
      </c>
    </row>
    <row r="278" spans="2:13" ht="18">
      <c r="B278" s="52">
        <v>2</v>
      </c>
      <c r="C278" s="52">
        <v>33</v>
      </c>
      <c r="D278" s="52">
        <v>11</v>
      </c>
      <c r="E278" s="52">
        <v>33</v>
      </c>
      <c r="F278" s="52">
        <v>38</v>
      </c>
      <c r="G278" s="52">
        <v>0</v>
      </c>
      <c r="H278" s="52">
        <v>0</v>
      </c>
      <c r="M278" s="21">
        <v>1</v>
      </c>
    </row>
    <row r="279" spans="2:13" ht="18">
      <c r="B279" s="52">
        <v>2</v>
      </c>
      <c r="C279" s="52">
        <v>3</v>
      </c>
      <c r="D279" s="52">
        <v>8</v>
      </c>
      <c r="E279" s="52">
        <v>9</v>
      </c>
      <c r="F279" s="52">
        <v>8</v>
      </c>
      <c r="G279" s="52">
        <v>3</v>
      </c>
      <c r="H279" s="52">
        <v>0</v>
      </c>
      <c r="M279" s="21">
        <v>1</v>
      </c>
    </row>
    <row r="280" spans="2:13" ht="18">
      <c r="B280" s="52">
        <v>2</v>
      </c>
      <c r="C280" s="52">
        <v>3</v>
      </c>
      <c r="D280" s="52">
        <v>9</v>
      </c>
      <c r="E280" s="52">
        <v>7</v>
      </c>
      <c r="F280" s="52">
        <v>2</v>
      </c>
      <c r="G280" s="52">
        <v>8</v>
      </c>
      <c r="H280" s="52">
        <v>0</v>
      </c>
      <c r="M280" s="21">
        <v>1</v>
      </c>
    </row>
    <row r="281" spans="2:13" ht="18">
      <c r="B281" s="52">
        <v>2</v>
      </c>
      <c r="C281" s="52">
        <v>30</v>
      </c>
      <c r="D281" s="52">
        <v>10</v>
      </c>
      <c r="E281" s="52">
        <v>11</v>
      </c>
      <c r="F281" s="52">
        <v>10</v>
      </c>
      <c r="G281" s="52">
        <v>1</v>
      </c>
      <c r="H281" s="52">
        <v>0</v>
      </c>
      <c r="M281" s="21">
        <v>1</v>
      </c>
    </row>
    <row r="282" spans="2:13" ht="18">
      <c r="B282" s="52">
        <v>2</v>
      </c>
      <c r="C282" s="52">
        <v>5</v>
      </c>
      <c r="D282" s="52">
        <v>10</v>
      </c>
      <c r="E282" s="52">
        <v>8</v>
      </c>
      <c r="F282" s="52">
        <v>19</v>
      </c>
      <c r="G282" s="52">
        <v>0</v>
      </c>
      <c r="H282" s="52">
        <v>2</v>
      </c>
      <c r="M282" s="21">
        <v>1</v>
      </c>
    </row>
    <row r="283" spans="2:13" ht="18">
      <c r="B283" s="52">
        <v>2</v>
      </c>
      <c r="C283" s="52">
        <v>31</v>
      </c>
      <c r="D283" s="52">
        <v>8</v>
      </c>
      <c r="E283" s="52">
        <v>23</v>
      </c>
      <c r="F283" s="52">
        <v>9</v>
      </c>
      <c r="G283" s="52">
        <v>2</v>
      </c>
      <c r="H283" s="52">
        <v>0</v>
      </c>
      <c r="M283" s="21">
        <v>1</v>
      </c>
    </row>
    <row r="284" spans="2:13" ht="18">
      <c r="B284" s="52">
        <v>2</v>
      </c>
      <c r="C284" s="52">
        <v>3</v>
      </c>
      <c r="D284" s="52">
        <v>7</v>
      </c>
      <c r="E284" s="52">
        <v>3</v>
      </c>
      <c r="F284" s="52">
        <v>7</v>
      </c>
      <c r="G284" s="52">
        <v>1</v>
      </c>
      <c r="H284" s="52">
        <v>0</v>
      </c>
      <c r="M284" s="21">
        <v>1</v>
      </c>
    </row>
    <row r="285" spans="2:13" ht="18">
      <c r="B285" s="52">
        <v>2</v>
      </c>
      <c r="C285" s="52">
        <v>3</v>
      </c>
      <c r="D285" s="52">
        <v>8</v>
      </c>
      <c r="E285" s="52">
        <v>8</v>
      </c>
      <c r="F285" s="52">
        <v>7</v>
      </c>
      <c r="G285" s="52">
        <v>4</v>
      </c>
      <c r="H285" s="52">
        <v>0</v>
      </c>
      <c r="M285" s="21">
        <v>1</v>
      </c>
    </row>
    <row r="286" spans="2:13" ht="18">
      <c r="B286" s="52">
        <v>2</v>
      </c>
      <c r="C286" s="52">
        <v>33</v>
      </c>
      <c r="D286" s="52">
        <v>10</v>
      </c>
      <c r="E286" s="52">
        <v>18</v>
      </c>
      <c r="F286" s="52">
        <v>7</v>
      </c>
      <c r="G286" s="52">
        <v>0</v>
      </c>
      <c r="H286" s="52">
        <v>0</v>
      </c>
      <c r="M286" s="21">
        <v>1</v>
      </c>
    </row>
    <row r="287" spans="2:13" ht="18">
      <c r="B287" s="52">
        <v>2</v>
      </c>
      <c r="C287" s="52">
        <v>32</v>
      </c>
      <c r="D287" s="52">
        <v>9</v>
      </c>
      <c r="E287" s="52">
        <v>10</v>
      </c>
      <c r="F287" s="52">
        <v>8</v>
      </c>
      <c r="G287" s="52">
        <v>2</v>
      </c>
      <c r="H287" s="52">
        <v>0</v>
      </c>
      <c r="M287" s="21">
        <v>1</v>
      </c>
    </row>
    <row r="288" spans="2:13" ht="18">
      <c r="B288" s="52">
        <v>2</v>
      </c>
      <c r="C288" s="52">
        <v>29</v>
      </c>
      <c r="D288" s="52">
        <v>10</v>
      </c>
      <c r="E288" s="52">
        <v>15</v>
      </c>
      <c r="F288" s="52">
        <v>10</v>
      </c>
      <c r="G288" s="52">
        <v>0</v>
      </c>
      <c r="H288" s="52">
        <v>0</v>
      </c>
      <c r="M288" s="21">
        <v>1</v>
      </c>
    </row>
    <row r="289" spans="2:13" ht="18">
      <c r="B289" s="52">
        <v>2</v>
      </c>
      <c r="C289" s="52">
        <v>13</v>
      </c>
      <c r="D289" s="52">
        <v>10</v>
      </c>
      <c r="E289" s="52">
        <v>11</v>
      </c>
      <c r="F289" s="52">
        <v>17</v>
      </c>
      <c r="G289" s="52">
        <v>3</v>
      </c>
      <c r="H289" s="52">
        <v>0</v>
      </c>
      <c r="M289" s="21">
        <v>1</v>
      </c>
    </row>
    <row r="290" spans="2:13" ht="18">
      <c r="B290" s="52">
        <v>2</v>
      </c>
      <c r="C290" s="52">
        <v>13</v>
      </c>
      <c r="D290" s="52">
        <v>11</v>
      </c>
      <c r="E290" s="52">
        <v>20</v>
      </c>
      <c r="F290" s="52">
        <v>23</v>
      </c>
      <c r="G290" s="52">
        <v>0</v>
      </c>
      <c r="H290" s="52">
        <v>0</v>
      </c>
      <c r="M290" s="21">
        <v>1</v>
      </c>
    </row>
    <row r="291" spans="2:13" ht="18">
      <c r="B291" s="52">
        <v>2</v>
      </c>
      <c r="C291" s="52">
        <v>3</v>
      </c>
      <c r="D291" s="52">
        <v>10</v>
      </c>
      <c r="E291" s="52">
        <v>9</v>
      </c>
      <c r="F291" s="52">
        <v>4</v>
      </c>
      <c r="G291" s="52">
        <v>5</v>
      </c>
      <c r="H291" s="52">
        <v>0</v>
      </c>
      <c r="M291" s="21">
        <v>1</v>
      </c>
    </row>
    <row r="292" spans="2:13" ht="18">
      <c r="B292" s="52">
        <v>2</v>
      </c>
      <c r="C292" s="52">
        <v>3</v>
      </c>
      <c r="D292" s="52">
        <v>11</v>
      </c>
      <c r="E292" s="52">
        <v>11</v>
      </c>
      <c r="F292" s="52">
        <v>3</v>
      </c>
      <c r="G292" s="52">
        <v>3</v>
      </c>
      <c r="H292" s="52">
        <v>0</v>
      </c>
      <c r="M292" s="21">
        <v>1</v>
      </c>
    </row>
    <row r="293" spans="2:13" ht="18">
      <c r="B293" s="52">
        <v>2</v>
      </c>
      <c r="C293" s="52">
        <v>11</v>
      </c>
      <c r="D293" s="52">
        <v>10</v>
      </c>
      <c r="E293" s="52">
        <v>10</v>
      </c>
      <c r="F293" s="52">
        <v>5</v>
      </c>
      <c r="G293" s="52">
        <v>2</v>
      </c>
      <c r="H293" s="52">
        <v>0</v>
      </c>
      <c r="M293" s="21">
        <v>1</v>
      </c>
    </row>
    <row r="294" spans="2:13" ht="18">
      <c r="B294" s="52">
        <v>2</v>
      </c>
      <c r="C294" s="52">
        <v>11</v>
      </c>
      <c r="D294" s="52">
        <v>9</v>
      </c>
      <c r="E294" s="52">
        <v>13</v>
      </c>
      <c r="F294" s="52">
        <v>8</v>
      </c>
      <c r="G294" s="52">
        <v>3</v>
      </c>
      <c r="H294" s="52">
        <v>0</v>
      </c>
      <c r="M294" s="21">
        <v>1</v>
      </c>
    </row>
    <row r="295" spans="2:13" ht="18">
      <c r="B295" s="52">
        <v>2</v>
      </c>
      <c r="C295" s="52">
        <v>18</v>
      </c>
      <c r="D295" s="52">
        <v>10</v>
      </c>
      <c r="E295" s="52">
        <v>11</v>
      </c>
      <c r="F295" s="52">
        <v>14</v>
      </c>
      <c r="G295" s="52">
        <v>12</v>
      </c>
      <c r="H295" s="52">
        <v>0</v>
      </c>
      <c r="M295" s="21">
        <v>1</v>
      </c>
    </row>
    <row r="296" spans="2:13" ht="18">
      <c r="B296" s="52">
        <v>2</v>
      </c>
      <c r="C296" s="52">
        <v>22</v>
      </c>
      <c r="D296" s="52">
        <v>10</v>
      </c>
      <c r="E296" s="52">
        <v>3</v>
      </c>
      <c r="F296" s="52">
        <v>7</v>
      </c>
      <c r="G296" s="52">
        <v>0</v>
      </c>
      <c r="H296" s="52">
        <v>0</v>
      </c>
      <c r="M296" s="21">
        <v>1</v>
      </c>
    </row>
    <row r="297" spans="2:13" ht="18">
      <c r="B297" s="52">
        <v>2</v>
      </c>
      <c r="C297" s="52">
        <v>10</v>
      </c>
      <c r="D297" s="52">
        <v>7</v>
      </c>
      <c r="E297" s="52">
        <v>35</v>
      </c>
      <c r="F297" s="52">
        <v>8</v>
      </c>
      <c r="G297" s="52">
        <v>5</v>
      </c>
      <c r="H297" s="52">
        <v>0</v>
      </c>
      <c r="M297" s="21">
        <v>1</v>
      </c>
    </row>
    <row r="298" spans="2:13" ht="18">
      <c r="B298" s="52">
        <v>2</v>
      </c>
      <c r="C298" s="52">
        <v>17</v>
      </c>
      <c r="D298" s="52">
        <v>9</v>
      </c>
      <c r="E298" s="52">
        <v>13</v>
      </c>
      <c r="F298" s="52">
        <v>14</v>
      </c>
      <c r="G298" s="52">
        <v>7</v>
      </c>
      <c r="H298" s="52">
        <v>0</v>
      </c>
      <c r="M298" s="21">
        <v>1</v>
      </c>
    </row>
    <row r="299" spans="2:13" ht="18">
      <c r="B299" s="52">
        <v>2</v>
      </c>
      <c r="C299" s="52">
        <v>14</v>
      </c>
      <c r="D299" s="52">
        <v>10</v>
      </c>
      <c r="E299" s="52">
        <v>8</v>
      </c>
      <c r="F299" s="52">
        <v>4</v>
      </c>
      <c r="G299" s="52">
        <v>3</v>
      </c>
      <c r="H299" s="52">
        <v>0</v>
      </c>
      <c r="M299" s="21">
        <v>1</v>
      </c>
    </row>
    <row r="300" spans="2:13" ht="18">
      <c r="B300" s="52">
        <v>2</v>
      </c>
      <c r="C300" s="52">
        <v>11</v>
      </c>
      <c r="D300" s="52">
        <v>10</v>
      </c>
      <c r="E300" s="52">
        <v>18</v>
      </c>
      <c r="F300" s="52">
        <v>7</v>
      </c>
      <c r="G300" s="52">
        <v>0</v>
      </c>
      <c r="H300" s="52">
        <v>0</v>
      </c>
      <c r="M300" s="21">
        <v>1</v>
      </c>
    </row>
    <row r="301" spans="2:13" ht="18">
      <c r="B301" s="52">
        <v>2</v>
      </c>
      <c r="C301" s="52">
        <v>4</v>
      </c>
      <c r="D301" s="52">
        <v>9</v>
      </c>
      <c r="E301" s="52">
        <v>104</v>
      </c>
      <c r="F301" s="52">
        <v>32</v>
      </c>
      <c r="G301" s="52">
        <v>0</v>
      </c>
      <c r="H301" s="52">
        <v>0</v>
      </c>
      <c r="M301" s="21">
        <v>1</v>
      </c>
    </row>
    <row r="302" spans="2:13" ht="18">
      <c r="B302" s="52">
        <v>2</v>
      </c>
      <c r="C302" s="52">
        <v>11</v>
      </c>
      <c r="D302" s="52">
        <v>9</v>
      </c>
      <c r="E302" s="52">
        <v>12</v>
      </c>
      <c r="F302" s="52">
        <v>9</v>
      </c>
      <c r="G302" s="52">
        <v>0</v>
      </c>
      <c r="H302" s="52">
        <v>0</v>
      </c>
      <c r="M302" s="21">
        <v>1</v>
      </c>
    </row>
    <row r="303" spans="2:13" ht="18">
      <c r="B303" s="52">
        <v>2</v>
      </c>
      <c r="C303" s="52">
        <v>18</v>
      </c>
      <c r="D303" s="52">
        <v>11</v>
      </c>
      <c r="E303" s="52">
        <v>13</v>
      </c>
      <c r="F303" s="52">
        <v>12</v>
      </c>
      <c r="G303" s="52">
        <v>21</v>
      </c>
      <c r="H303" s="52">
        <v>0</v>
      </c>
      <c r="M303" s="21">
        <v>1</v>
      </c>
    </row>
    <row r="304" spans="2:13" ht="18">
      <c r="B304" s="52">
        <v>2</v>
      </c>
      <c r="C304" s="52">
        <v>31</v>
      </c>
      <c r="D304" s="52">
        <v>10</v>
      </c>
      <c r="E304" s="52">
        <v>32</v>
      </c>
      <c r="F304" s="52">
        <v>6</v>
      </c>
      <c r="G304" s="52">
        <v>0</v>
      </c>
      <c r="H304" s="52">
        <v>0</v>
      </c>
      <c r="M304" s="21">
        <v>1</v>
      </c>
    </row>
    <row r="305" spans="2:13" ht="18">
      <c r="B305" s="52">
        <v>2</v>
      </c>
      <c r="C305" s="52">
        <v>12</v>
      </c>
      <c r="D305" s="52">
        <v>11</v>
      </c>
      <c r="E305" s="52">
        <v>12</v>
      </c>
      <c r="F305" s="52">
        <v>23</v>
      </c>
      <c r="G305" s="52">
        <v>0</v>
      </c>
      <c r="H305" s="52">
        <v>0</v>
      </c>
      <c r="M305" s="21">
        <v>1</v>
      </c>
    </row>
    <row r="306" spans="2:13" ht="18">
      <c r="B306" s="52">
        <v>2</v>
      </c>
      <c r="C306" s="52">
        <v>34</v>
      </c>
      <c r="D306" s="52">
        <v>11</v>
      </c>
      <c r="E306" s="52">
        <v>5</v>
      </c>
      <c r="F306" s="52">
        <v>4</v>
      </c>
      <c r="G306" s="52">
        <v>1</v>
      </c>
      <c r="H306" s="52">
        <v>0</v>
      </c>
      <c r="M306" s="21">
        <v>1</v>
      </c>
    </row>
    <row r="307" spans="2:13" ht="18">
      <c r="B307" s="52">
        <v>2</v>
      </c>
      <c r="C307" s="52">
        <v>25</v>
      </c>
      <c r="D307" s="52">
        <v>11</v>
      </c>
      <c r="E307" s="52">
        <v>18</v>
      </c>
      <c r="F307" s="52">
        <v>4</v>
      </c>
      <c r="G307" s="52">
        <v>0</v>
      </c>
      <c r="H307" s="52">
        <v>0</v>
      </c>
      <c r="M307" s="21">
        <v>1</v>
      </c>
    </row>
    <row r="308" spans="2:13" ht="18">
      <c r="B308" s="52">
        <v>2</v>
      </c>
      <c r="C308" s="52">
        <v>3</v>
      </c>
      <c r="D308" s="52">
        <v>12</v>
      </c>
      <c r="E308" s="52">
        <v>8</v>
      </c>
      <c r="F308" s="52">
        <v>4</v>
      </c>
      <c r="G308" s="52">
        <v>6</v>
      </c>
      <c r="H308" s="52">
        <v>0</v>
      </c>
      <c r="M308" s="21">
        <v>1</v>
      </c>
    </row>
    <row r="309" spans="2:13" ht="18">
      <c r="B309" s="52">
        <v>2</v>
      </c>
      <c r="C309" s="52">
        <v>31</v>
      </c>
      <c r="D309" s="52">
        <v>9</v>
      </c>
      <c r="E309" s="52">
        <v>12</v>
      </c>
      <c r="F309" s="52">
        <v>23</v>
      </c>
      <c r="G309" s="52">
        <v>0</v>
      </c>
      <c r="H309" s="52">
        <v>0</v>
      </c>
      <c r="M309" s="21">
        <v>1</v>
      </c>
    </row>
    <row r="310" spans="2:13" ht="18">
      <c r="B310" s="52">
        <v>2</v>
      </c>
      <c r="C310" s="52">
        <v>30</v>
      </c>
      <c r="D310" s="52">
        <v>11</v>
      </c>
      <c r="E310" s="52">
        <v>15</v>
      </c>
      <c r="F310" s="52">
        <v>8</v>
      </c>
      <c r="G310" s="52">
        <v>2</v>
      </c>
      <c r="H310" s="52">
        <v>0</v>
      </c>
      <c r="M310" s="21">
        <v>1</v>
      </c>
    </row>
    <row r="311" spans="2:13" ht="18">
      <c r="B311" s="52">
        <v>2</v>
      </c>
      <c r="C311" s="52">
        <v>30</v>
      </c>
      <c r="D311" s="52">
        <v>10</v>
      </c>
      <c r="E311" s="52">
        <v>11</v>
      </c>
      <c r="F311" s="52">
        <v>10</v>
      </c>
      <c r="G311" s="52">
        <v>1</v>
      </c>
      <c r="H311" s="52">
        <v>0</v>
      </c>
      <c r="M311" s="21">
        <v>1</v>
      </c>
    </row>
    <row r="312" spans="2:13" ht="18">
      <c r="B312" s="52">
        <v>2</v>
      </c>
      <c r="C312" s="52">
        <v>5</v>
      </c>
      <c r="D312" s="52">
        <v>11</v>
      </c>
      <c r="E312" s="52">
        <v>9</v>
      </c>
      <c r="F312" s="52">
        <v>9</v>
      </c>
      <c r="G312" s="52">
        <v>5</v>
      </c>
      <c r="H312" s="52">
        <v>1</v>
      </c>
      <c r="M312" s="21">
        <v>1</v>
      </c>
    </row>
    <row r="313" spans="2:13" ht="18">
      <c r="B313" s="52">
        <v>2</v>
      </c>
      <c r="C313" s="52">
        <v>29</v>
      </c>
      <c r="D313" s="52">
        <v>11</v>
      </c>
      <c r="E313" s="52">
        <v>12</v>
      </c>
      <c r="F313" s="52">
        <v>13</v>
      </c>
      <c r="G313" s="52">
        <v>0</v>
      </c>
      <c r="H313" s="52">
        <v>0</v>
      </c>
      <c r="M313" s="21">
        <v>1</v>
      </c>
    </row>
    <row r="314" spans="2:13" ht="18">
      <c r="B314" s="52">
        <v>2</v>
      </c>
      <c r="C314" s="52">
        <v>32</v>
      </c>
      <c r="D314" s="52">
        <v>11</v>
      </c>
      <c r="E314" s="52">
        <v>10</v>
      </c>
      <c r="F314" s="52">
        <v>15</v>
      </c>
      <c r="G314" s="52">
        <v>0</v>
      </c>
      <c r="H314" s="52">
        <v>0</v>
      </c>
      <c r="M314" s="21">
        <v>1</v>
      </c>
    </row>
    <row r="315" spans="2:13" ht="18">
      <c r="B315" s="52">
        <v>2</v>
      </c>
      <c r="C315" s="52">
        <v>28</v>
      </c>
      <c r="D315" s="52">
        <v>10</v>
      </c>
      <c r="E315" s="52">
        <v>43</v>
      </c>
      <c r="F315" s="52">
        <v>22</v>
      </c>
      <c r="G315" s="52">
        <v>0</v>
      </c>
      <c r="H315" s="52">
        <v>0</v>
      </c>
      <c r="M315" s="21">
        <v>1</v>
      </c>
    </row>
    <row r="316" spans="2:13" ht="18">
      <c r="B316" s="52">
        <v>2</v>
      </c>
      <c r="C316" s="52">
        <v>28</v>
      </c>
      <c r="D316" s="52">
        <v>9</v>
      </c>
      <c r="E316" s="52">
        <v>30</v>
      </c>
      <c r="F316" s="52">
        <v>5</v>
      </c>
      <c r="G316" s="52">
        <v>1</v>
      </c>
      <c r="H316" s="52">
        <v>0</v>
      </c>
      <c r="M316" s="21">
        <v>1</v>
      </c>
    </row>
    <row r="317" spans="2:13" ht="18">
      <c r="B317" s="52">
        <v>2</v>
      </c>
      <c r="C317" s="52">
        <v>28</v>
      </c>
      <c r="D317" s="52">
        <v>8</v>
      </c>
      <c r="E317" s="52">
        <v>33</v>
      </c>
      <c r="F317" s="52">
        <v>25</v>
      </c>
      <c r="G317" s="52">
        <v>0</v>
      </c>
      <c r="H317" s="52">
        <v>0</v>
      </c>
      <c r="M317" s="21">
        <v>1</v>
      </c>
    </row>
    <row r="318" spans="2:13" ht="18">
      <c r="B318" s="52">
        <v>2</v>
      </c>
      <c r="C318" s="52">
        <v>28</v>
      </c>
      <c r="D318" s="52">
        <v>7</v>
      </c>
      <c r="E318" s="52">
        <v>18</v>
      </c>
      <c r="F318" s="52">
        <v>12</v>
      </c>
      <c r="G318" s="52">
        <v>0</v>
      </c>
      <c r="H318" s="52">
        <v>0</v>
      </c>
      <c r="M318" s="21">
        <v>1</v>
      </c>
    </row>
    <row r="319" spans="2:13" ht="18">
      <c r="B319" s="52">
        <v>2</v>
      </c>
      <c r="C319" s="52">
        <v>28</v>
      </c>
      <c r="D319" s="52">
        <v>5</v>
      </c>
      <c r="E319" s="52">
        <v>20</v>
      </c>
      <c r="F319" s="52">
        <v>10</v>
      </c>
      <c r="G319" s="52">
        <v>5</v>
      </c>
      <c r="H319" s="52">
        <v>0</v>
      </c>
      <c r="M319" s="21">
        <v>1</v>
      </c>
    </row>
    <row r="320" spans="2:13" ht="18">
      <c r="B320" s="52">
        <v>2</v>
      </c>
      <c r="C320" s="52">
        <v>28</v>
      </c>
      <c r="D320" s="52">
        <v>4</v>
      </c>
      <c r="E320" s="52">
        <v>16</v>
      </c>
      <c r="F320" s="52">
        <v>8</v>
      </c>
      <c r="G320" s="52">
        <v>2</v>
      </c>
      <c r="H320" s="52">
        <v>0</v>
      </c>
      <c r="M320" s="21">
        <v>1</v>
      </c>
    </row>
    <row r="321" spans="2:13" ht="18">
      <c r="B321" s="52">
        <v>2</v>
      </c>
      <c r="C321" s="52">
        <v>27</v>
      </c>
      <c r="D321" s="52">
        <v>11</v>
      </c>
      <c r="E321" s="52">
        <v>10</v>
      </c>
      <c r="F321" s="52">
        <v>11</v>
      </c>
      <c r="G321" s="52">
        <v>0</v>
      </c>
      <c r="H321" s="52">
        <v>0</v>
      </c>
      <c r="M321" s="21">
        <v>1</v>
      </c>
    </row>
    <row r="322" spans="2:13" ht="18">
      <c r="B322" s="52">
        <v>2</v>
      </c>
      <c r="C322" s="52">
        <v>27</v>
      </c>
      <c r="D322" s="52">
        <v>12</v>
      </c>
      <c r="E322" s="52">
        <v>26</v>
      </c>
      <c r="F322" s="52">
        <v>28</v>
      </c>
      <c r="G322" s="52">
        <v>3</v>
      </c>
      <c r="H322" s="52">
        <v>0</v>
      </c>
      <c r="M322" s="21">
        <v>1</v>
      </c>
    </row>
    <row r="323" spans="2:13" ht="18">
      <c r="B323" s="52">
        <v>2</v>
      </c>
      <c r="C323" s="52">
        <v>27</v>
      </c>
      <c r="D323" s="52">
        <v>10</v>
      </c>
      <c r="E323" s="52">
        <v>20</v>
      </c>
      <c r="F323" s="52">
        <v>8</v>
      </c>
      <c r="G323" s="52">
        <v>0</v>
      </c>
      <c r="H323" s="52">
        <v>0</v>
      </c>
      <c r="M323" s="21">
        <v>1</v>
      </c>
    </row>
    <row r="324" spans="2:13" ht="18">
      <c r="B324" s="52">
        <v>2</v>
      </c>
      <c r="C324" s="52">
        <v>27</v>
      </c>
      <c r="D324" s="52">
        <v>15</v>
      </c>
      <c r="E324" s="52">
        <v>9</v>
      </c>
      <c r="F324" s="52">
        <v>9</v>
      </c>
      <c r="G324" s="52">
        <v>0</v>
      </c>
      <c r="H324" s="52">
        <v>0</v>
      </c>
      <c r="M324" s="21">
        <v>1</v>
      </c>
    </row>
    <row r="325" spans="2:13" ht="18">
      <c r="B325" s="52">
        <v>2</v>
      </c>
      <c r="C325" s="52">
        <v>27</v>
      </c>
      <c r="D325" s="52">
        <v>8</v>
      </c>
      <c r="E325" s="52">
        <v>13</v>
      </c>
      <c r="F325" s="52">
        <v>7</v>
      </c>
      <c r="G325" s="52">
        <v>0</v>
      </c>
      <c r="H325" s="52">
        <v>0</v>
      </c>
      <c r="M325" s="21">
        <v>1</v>
      </c>
    </row>
    <row r="326" spans="2:13" ht="18">
      <c r="B326" s="52">
        <v>2</v>
      </c>
      <c r="C326" s="52">
        <v>27</v>
      </c>
      <c r="D326" s="52">
        <v>7</v>
      </c>
      <c r="E326" s="52">
        <v>9</v>
      </c>
      <c r="F326" s="52">
        <v>13</v>
      </c>
      <c r="G326" s="52">
        <v>0</v>
      </c>
      <c r="H326" s="52">
        <v>0</v>
      </c>
      <c r="M326" s="21">
        <v>1</v>
      </c>
    </row>
    <row r="327" spans="2:13" ht="18">
      <c r="B327" s="52">
        <v>2</v>
      </c>
      <c r="C327" s="52">
        <v>27</v>
      </c>
      <c r="D327" s="52">
        <v>6</v>
      </c>
      <c r="E327" s="52">
        <v>9</v>
      </c>
      <c r="F327" s="52">
        <v>11</v>
      </c>
      <c r="G327" s="52">
        <v>1</v>
      </c>
      <c r="H327" s="52">
        <v>1</v>
      </c>
      <c r="M327" s="21">
        <v>1</v>
      </c>
    </row>
    <row r="328" spans="2:13" ht="18">
      <c r="B328" s="52">
        <v>2</v>
      </c>
      <c r="C328" s="52">
        <v>26</v>
      </c>
      <c r="D328" s="52">
        <v>5</v>
      </c>
      <c r="E328" s="52">
        <v>15</v>
      </c>
      <c r="F328" s="52">
        <v>5</v>
      </c>
      <c r="G328" s="52">
        <v>2</v>
      </c>
      <c r="H328" s="52">
        <v>1</v>
      </c>
      <c r="M328" s="21">
        <v>1</v>
      </c>
    </row>
    <row r="329" spans="2:13" ht="18">
      <c r="B329" s="52">
        <v>2</v>
      </c>
      <c r="C329" s="52">
        <v>14</v>
      </c>
      <c r="D329" s="52">
        <v>12</v>
      </c>
      <c r="E329" s="52">
        <v>6</v>
      </c>
      <c r="F329" s="52">
        <v>3</v>
      </c>
      <c r="G329" s="52">
        <v>1</v>
      </c>
      <c r="H329" s="52">
        <v>0</v>
      </c>
      <c r="M329" s="21">
        <v>1</v>
      </c>
    </row>
    <row r="330" spans="2:13" ht="18">
      <c r="B330" s="52">
        <v>2</v>
      </c>
      <c r="C330" s="52">
        <v>14</v>
      </c>
      <c r="D330" s="52">
        <v>11</v>
      </c>
      <c r="E330" s="52">
        <v>16</v>
      </c>
      <c r="F330" s="52">
        <v>7</v>
      </c>
      <c r="G330" s="52">
        <v>4</v>
      </c>
      <c r="H330" s="52">
        <v>0</v>
      </c>
      <c r="M330" s="21">
        <v>1</v>
      </c>
    </row>
    <row r="331" spans="2:13" ht="18">
      <c r="B331" s="52">
        <v>2</v>
      </c>
      <c r="C331" s="52">
        <v>11</v>
      </c>
      <c r="D331" s="52">
        <v>10</v>
      </c>
      <c r="E331" s="52">
        <v>18</v>
      </c>
      <c r="F331" s="52">
        <v>6</v>
      </c>
      <c r="G331" s="52">
        <v>1</v>
      </c>
      <c r="H331" s="52">
        <v>1</v>
      </c>
      <c r="M331" s="21">
        <v>1</v>
      </c>
    </row>
    <row r="332" spans="2:13" ht="18">
      <c r="B332" s="52">
        <v>2</v>
      </c>
      <c r="C332" s="52">
        <v>4</v>
      </c>
      <c r="D332" s="52">
        <v>11</v>
      </c>
      <c r="E332" s="52">
        <v>15</v>
      </c>
      <c r="F332" s="52">
        <v>6</v>
      </c>
      <c r="G332" s="52">
        <v>2</v>
      </c>
      <c r="H332" s="52">
        <v>0</v>
      </c>
      <c r="M332" s="21">
        <v>1</v>
      </c>
    </row>
    <row r="333" spans="2:13" ht="18">
      <c r="B333" s="52">
        <v>2</v>
      </c>
      <c r="C333" s="52">
        <v>4</v>
      </c>
      <c r="D333" s="52">
        <v>10</v>
      </c>
      <c r="E333" s="52">
        <v>20</v>
      </c>
      <c r="F333" s="52">
        <v>11</v>
      </c>
      <c r="G333" s="52">
        <v>5</v>
      </c>
      <c r="H333" s="52">
        <v>0</v>
      </c>
      <c r="M333" s="21">
        <v>1</v>
      </c>
    </row>
    <row r="334" spans="2:13" ht="18">
      <c r="B334" s="52">
        <v>2</v>
      </c>
      <c r="C334" s="52">
        <v>6</v>
      </c>
      <c r="D334" s="52">
        <v>11</v>
      </c>
      <c r="E334" s="52">
        <v>7</v>
      </c>
      <c r="F334" s="52">
        <v>3</v>
      </c>
      <c r="G334" s="52">
        <v>3</v>
      </c>
      <c r="H334" s="52">
        <v>0</v>
      </c>
      <c r="M334" s="21">
        <v>1</v>
      </c>
    </row>
    <row r="335" spans="2:13" ht="18">
      <c r="B335" s="52">
        <v>2</v>
      </c>
      <c r="C335" s="52">
        <v>6</v>
      </c>
      <c r="D335" s="52">
        <v>10</v>
      </c>
      <c r="E335" s="52">
        <v>5</v>
      </c>
      <c r="F335" s="52">
        <v>2</v>
      </c>
      <c r="G335" s="52">
        <v>3</v>
      </c>
      <c r="H335" s="52">
        <v>1</v>
      </c>
      <c r="M335" s="21">
        <v>1</v>
      </c>
    </row>
    <row r="336" spans="2:13" ht="18">
      <c r="B336" s="52">
        <v>2</v>
      </c>
      <c r="C336" s="52">
        <v>6</v>
      </c>
      <c r="D336" s="52">
        <v>9</v>
      </c>
      <c r="E336" s="52">
        <v>14</v>
      </c>
      <c r="F336" s="52">
        <v>4</v>
      </c>
      <c r="G336" s="52">
        <v>4</v>
      </c>
      <c r="H336" s="52">
        <v>0</v>
      </c>
      <c r="M336" s="21">
        <v>1</v>
      </c>
    </row>
    <row r="337" spans="2:13" ht="18">
      <c r="B337" s="52">
        <v>2</v>
      </c>
      <c r="C337" s="52">
        <v>6</v>
      </c>
      <c r="D337" s="52">
        <v>8</v>
      </c>
      <c r="E337" s="52">
        <v>10</v>
      </c>
      <c r="F337" s="52">
        <v>3</v>
      </c>
      <c r="G337" s="52">
        <v>6</v>
      </c>
      <c r="H337" s="52">
        <v>1</v>
      </c>
      <c r="M337" s="21">
        <v>1</v>
      </c>
    </row>
    <row r="338" spans="2:13" ht="18">
      <c r="B338" s="52">
        <v>2</v>
      </c>
      <c r="C338" s="52">
        <v>14</v>
      </c>
      <c r="D338" s="52">
        <v>11</v>
      </c>
      <c r="E338" s="52">
        <v>6</v>
      </c>
      <c r="F338" s="52">
        <v>6</v>
      </c>
      <c r="G338" s="52">
        <v>0</v>
      </c>
      <c r="H338" s="52">
        <v>1</v>
      </c>
      <c r="M338" s="21">
        <v>1</v>
      </c>
    </row>
    <row r="339" spans="2:13" ht="18">
      <c r="B339" s="52">
        <v>2</v>
      </c>
      <c r="C339" s="52">
        <v>6</v>
      </c>
      <c r="D339" s="52">
        <v>7</v>
      </c>
      <c r="E339" s="52">
        <v>9</v>
      </c>
      <c r="F339" s="52">
        <v>5</v>
      </c>
      <c r="G339" s="52">
        <v>7</v>
      </c>
      <c r="H339" s="52">
        <v>0</v>
      </c>
      <c r="M339" s="21">
        <v>1</v>
      </c>
    </row>
    <row r="340" spans="2:13" ht="18">
      <c r="B340" s="52">
        <v>2</v>
      </c>
      <c r="C340" s="52">
        <v>14</v>
      </c>
      <c r="D340" s="52">
        <v>10</v>
      </c>
      <c r="E340" s="52">
        <v>7</v>
      </c>
      <c r="F340" s="52">
        <v>4</v>
      </c>
      <c r="G340" s="52">
        <v>0</v>
      </c>
      <c r="H340" s="52">
        <v>0</v>
      </c>
      <c r="M340" s="21">
        <v>1</v>
      </c>
    </row>
    <row r="341" spans="2:13" ht="18">
      <c r="B341" s="52">
        <v>2</v>
      </c>
      <c r="C341" s="52">
        <v>26</v>
      </c>
      <c r="D341" s="52">
        <v>8</v>
      </c>
      <c r="E341" s="52">
        <v>21</v>
      </c>
      <c r="F341" s="52">
        <v>12</v>
      </c>
      <c r="G341" s="52">
        <v>0</v>
      </c>
      <c r="H341" s="52">
        <v>0</v>
      </c>
      <c r="M341" s="21">
        <v>1</v>
      </c>
    </row>
    <row r="342" spans="2:13" ht="18">
      <c r="B342" s="52">
        <v>2</v>
      </c>
      <c r="C342" s="52">
        <v>26</v>
      </c>
      <c r="D342" s="52">
        <v>6</v>
      </c>
      <c r="E342" s="52">
        <v>30</v>
      </c>
      <c r="F342" s="52">
        <v>10</v>
      </c>
      <c r="G342" s="52">
        <v>3</v>
      </c>
      <c r="H342" s="52">
        <v>0</v>
      </c>
      <c r="M342" s="21">
        <v>1</v>
      </c>
    </row>
    <row r="343" spans="2:13" ht="18">
      <c r="B343" s="52">
        <v>2</v>
      </c>
      <c r="C343" s="52">
        <v>26</v>
      </c>
      <c r="D343" s="52">
        <v>7</v>
      </c>
      <c r="E343" s="52">
        <v>10</v>
      </c>
      <c r="F343" s="52">
        <v>5</v>
      </c>
      <c r="G343" s="52">
        <v>1</v>
      </c>
      <c r="H343" s="52">
        <v>0</v>
      </c>
      <c r="M343" s="21">
        <v>1</v>
      </c>
    </row>
    <row r="344" spans="2:13" ht="18">
      <c r="B344" s="52">
        <v>2</v>
      </c>
      <c r="C344" s="52">
        <v>14</v>
      </c>
      <c r="D344" s="52">
        <v>12</v>
      </c>
      <c r="E344" s="52">
        <v>11</v>
      </c>
      <c r="F344" s="52">
        <v>0</v>
      </c>
      <c r="G344" s="52">
        <v>0</v>
      </c>
      <c r="H344" s="52">
        <v>1</v>
      </c>
      <c r="M344" s="21">
        <v>1</v>
      </c>
    </row>
    <row r="345" spans="2:13" ht="18">
      <c r="B345" s="52">
        <v>2</v>
      </c>
      <c r="C345" s="52">
        <v>33</v>
      </c>
      <c r="D345" s="52">
        <v>12</v>
      </c>
      <c r="E345" s="52">
        <v>13</v>
      </c>
      <c r="F345" s="52">
        <v>21</v>
      </c>
      <c r="G345" s="52">
        <v>0</v>
      </c>
      <c r="H345" s="52">
        <v>0</v>
      </c>
      <c r="M345" s="21">
        <v>1</v>
      </c>
    </row>
    <row r="346" spans="2:13" ht="18">
      <c r="B346" s="52">
        <v>2</v>
      </c>
      <c r="C346" s="52">
        <v>31</v>
      </c>
      <c r="D346" s="52">
        <v>11</v>
      </c>
      <c r="E346" s="52">
        <v>19</v>
      </c>
      <c r="F346" s="52">
        <v>10</v>
      </c>
      <c r="G346" s="52">
        <v>0</v>
      </c>
      <c r="H346" s="52">
        <v>0</v>
      </c>
      <c r="M346" s="21">
        <v>1</v>
      </c>
    </row>
    <row r="347" spans="2:13" ht="18">
      <c r="B347" s="52">
        <v>2</v>
      </c>
      <c r="C347" s="52">
        <v>30</v>
      </c>
      <c r="D347" s="52">
        <v>12</v>
      </c>
      <c r="E347" s="52">
        <v>17</v>
      </c>
      <c r="F347" s="52">
        <v>21</v>
      </c>
      <c r="G347" s="52">
        <v>12</v>
      </c>
      <c r="H347" s="52">
        <v>0</v>
      </c>
      <c r="M347" s="21">
        <v>1</v>
      </c>
    </row>
    <row r="348" spans="2:13" ht="18">
      <c r="B348" s="52">
        <v>2</v>
      </c>
      <c r="C348" s="52">
        <v>30</v>
      </c>
      <c r="D348" s="52">
        <v>13</v>
      </c>
      <c r="E348" s="52">
        <v>23</v>
      </c>
      <c r="F348" s="52">
        <v>21</v>
      </c>
      <c r="G348" s="52">
        <v>3</v>
      </c>
      <c r="H348" s="52">
        <v>0</v>
      </c>
      <c r="M348" s="21">
        <v>1</v>
      </c>
    </row>
    <row r="349" spans="2:13" ht="18">
      <c r="B349" s="52">
        <v>2</v>
      </c>
      <c r="C349" s="52">
        <v>5</v>
      </c>
      <c r="D349" s="52">
        <v>12</v>
      </c>
      <c r="E349" s="52">
        <v>5</v>
      </c>
      <c r="F349" s="52">
        <v>2</v>
      </c>
      <c r="G349" s="52">
        <v>3</v>
      </c>
      <c r="H349" s="52">
        <v>0</v>
      </c>
      <c r="M349" s="21">
        <v>1</v>
      </c>
    </row>
    <row r="350" spans="2:13" ht="18">
      <c r="B350" s="52">
        <v>2</v>
      </c>
      <c r="C350" s="52">
        <v>17</v>
      </c>
      <c r="D350" s="52">
        <v>12</v>
      </c>
      <c r="E350" s="52">
        <v>19</v>
      </c>
      <c r="F350" s="52">
        <v>10</v>
      </c>
      <c r="G350" s="52">
        <v>4</v>
      </c>
      <c r="H350" s="52">
        <v>0</v>
      </c>
      <c r="M350" s="21">
        <v>1</v>
      </c>
    </row>
    <row r="351" spans="2:13" ht="18">
      <c r="B351" s="52">
        <v>2</v>
      </c>
      <c r="C351" s="52">
        <v>17</v>
      </c>
      <c r="D351" s="52">
        <v>11</v>
      </c>
      <c r="E351" s="52">
        <v>10</v>
      </c>
      <c r="F351" s="52">
        <v>13</v>
      </c>
      <c r="G351" s="52">
        <v>7</v>
      </c>
      <c r="H351" s="52">
        <v>0</v>
      </c>
      <c r="M351" s="21">
        <v>1</v>
      </c>
    </row>
    <row r="352" spans="2:13" ht="18">
      <c r="B352" s="52">
        <v>2</v>
      </c>
      <c r="C352" s="52">
        <v>17</v>
      </c>
      <c r="D352" s="52">
        <v>10</v>
      </c>
      <c r="E352" s="52">
        <v>8</v>
      </c>
      <c r="F352" s="52">
        <v>11</v>
      </c>
      <c r="G352" s="52">
        <v>5</v>
      </c>
      <c r="H352" s="52">
        <v>0</v>
      </c>
      <c r="M352" s="21">
        <v>1</v>
      </c>
    </row>
    <row r="353" spans="2:13" ht="18">
      <c r="B353" s="52">
        <v>2</v>
      </c>
      <c r="C353" s="52">
        <v>14</v>
      </c>
      <c r="D353" s="52">
        <v>13</v>
      </c>
      <c r="E353" s="52">
        <v>9</v>
      </c>
      <c r="F353" s="52">
        <v>5</v>
      </c>
      <c r="G353" s="52">
        <v>7</v>
      </c>
      <c r="H353" s="52">
        <v>0</v>
      </c>
      <c r="M353" s="21">
        <v>1</v>
      </c>
    </row>
    <row r="354" spans="2:13" ht="18">
      <c r="B354" s="52">
        <v>2</v>
      </c>
      <c r="C354" s="52">
        <v>11</v>
      </c>
      <c r="D354" s="52">
        <v>13</v>
      </c>
      <c r="E354" s="52">
        <v>6</v>
      </c>
      <c r="F354" s="52">
        <v>7</v>
      </c>
      <c r="G354" s="52">
        <v>0</v>
      </c>
      <c r="H354" s="52">
        <v>0</v>
      </c>
      <c r="M354" s="21">
        <v>1</v>
      </c>
    </row>
    <row r="355" spans="2:13" ht="18">
      <c r="B355" s="52">
        <v>2</v>
      </c>
      <c r="C355" s="52">
        <v>11</v>
      </c>
      <c r="D355" s="52">
        <v>12</v>
      </c>
      <c r="E355" s="52">
        <v>5</v>
      </c>
      <c r="F355" s="52">
        <v>3</v>
      </c>
      <c r="G355" s="52">
        <v>0</v>
      </c>
      <c r="H355" s="52">
        <v>0</v>
      </c>
      <c r="M355" s="21">
        <v>1</v>
      </c>
    </row>
    <row r="356" spans="2:13" ht="18">
      <c r="B356" s="52">
        <v>2</v>
      </c>
      <c r="C356" s="52">
        <v>11</v>
      </c>
      <c r="D356" s="52">
        <v>11</v>
      </c>
      <c r="E356" s="52">
        <v>18</v>
      </c>
      <c r="F356" s="52">
        <v>6</v>
      </c>
      <c r="G356" s="52">
        <v>0</v>
      </c>
      <c r="H356" s="52">
        <v>0</v>
      </c>
      <c r="M356" s="21">
        <v>1</v>
      </c>
    </row>
    <row r="357" spans="2:13" ht="18">
      <c r="B357" s="52">
        <v>2</v>
      </c>
      <c r="C357" s="52">
        <v>4</v>
      </c>
      <c r="D357" s="52">
        <v>13</v>
      </c>
      <c r="E357" s="52">
        <v>21</v>
      </c>
      <c r="F357" s="52">
        <v>13</v>
      </c>
      <c r="G357" s="52">
        <v>0</v>
      </c>
      <c r="H357" s="52">
        <v>0</v>
      </c>
      <c r="M357" s="21">
        <v>1</v>
      </c>
    </row>
    <row r="358" spans="2:13" ht="18">
      <c r="B358" s="52">
        <v>2</v>
      </c>
      <c r="C358" s="52">
        <v>4</v>
      </c>
      <c r="D358" s="52">
        <v>12</v>
      </c>
      <c r="E358" s="52">
        <v>7</v>
      </c>
      <c r="F358" s="52">
        <v>5</v>
      </c>
      <c r="G358" s="52">
        <v>0</v>
      </c>
      <c r="H358" s="52">
        <v>0</v>
      </c>
      <c r="M358" s="21">
        <v>1</v>
      </c>
    </row>
    <row r="359" spans="2:13" ht="18">
      <c r="B359" s="52">
        <v>2</v>
      </c>
      <c r="C359" s="52">
        <v>5</v>
      </c>
      <c r="D359" s="52">
        <v>13</v>
      </c>
      <c r="E359" s="52">
        <v>4</v>
      </c>
      <c r="F359" s="52">
        <v>7</v>
      </c>
      <c r="G359" s="52">
        <v>1</v>
      </c>
      <c r="H359" s="52">
        <v>2</v>
      </c>
      <c r="M359" s="21">
        <v>1</v>
      </c>
    </row>
    <row r="360" spans="2:13" ht="18">
      <c r="B360" s="52">
        <v>2</v>
      </c>
      <c r="C360" s="52">
        <v>2</v>
      </c>
      <c r="D360" s="52">
        <v>14</v>
      </c>
      <c r="E360" s="52">
        <v>8</v>
      </c>
      <c r="F360" s="52">
        <v>4</v>
      </c>
      <c r="G360" s="52">
        <v>6</v>
      </c>
      <c r="H360" s="52">
        <v>0</v>
      </c>
      <c r="M360" s="21">
        <v>1</v>
      </c>
    </row>
    <row r="361" spans="2:13" ht="18">
      <c r="B361" s="52">
        <v>2</v>
      </c>
      <c r="C361" s="52">
        <v>2</v>
      </c>
      <c r="D361" s="52">
        <v>12</v>
      </c>
      <c r="E361" s="52">
        <v>7</v>
      </c>
      <c r="F361" s="52">
        <v>2</v>
      </c>
      <c r="G361" s="52">
        <v>9</v>
      </c>
      <c r="H361" s="52">
        <v>0</v>
      </c>
      <c r="M361" s="21">
        <v>1</v>
      </c>
    </row>
    <row r="362" spans="2:13" ht="18">
      <c r="B362" s="52">
        <v>2</v>
      </c>
      <c r="C362" s="52">
        <v>9</v>
      </c>
      <c r="D362" s="52">
        <v>12</v>
      </c>
      <c r="E362" s="52">
        <v>16</v>
      </c>
      <c r="F362" s="52">
        <v>56</v>
      </c>
      <c r="G362" s="52">
        <v>13</v>
      </c>
      <c r="H362" s="52">
        <v>1</v>
      </c>
      <c r="M362" s="21">
        <v>1</v>
      </c>
    </row>
    <row r="363" spans="2:13" ht="18">
      <c r="B363" s="52">
        <v>2</v>
      </c>
      <c r="C363" s="52">
        <v>9</v>
      </c>
      <c r="D363" s="52">
        <v>13</v>
      </c>
      <c r="E363" s="52">
        <v>80</v>
      </c>
      <c r="F363" s="52">
        <v>61</v>
      </c>
      <c r="G363" s="52">
        <v>13</v>
      </c>
      <c r="H363" s="52">
        <v>1</v>
      </c>
      <c r="M363" s="21">
        <v>1</v>
      </c>
    </row>
    <row r="364" spans="2:13" ht="18">
      <c r="B364" s="52">
        <v>2</v>
      </c>
      <c r="C364" s="52">
        <v>27</v>
      </c>
      <c r="D364" s="52">
        <v>6</v>
      </c>
      <c r="E364" s="52">
        <v>9</v>
      </c>
      <c r="F364" s="52">
        <v>13</v>
      </c>
      <c r="G364" s="52">
        <v>0</v>
      </c>
      <c r="H364" s="52">
        <v>0</v>
      </c>
      <c r="M364" s="21">
        <v>1</v>
      </c>
    </row>
    <row r="365" spans="2:13" ht="18">
      <c r="B365" s="52">
        <v>2</v>
      </c>
      <c r="C365" s="52">
        <v>27</v>
      </c>
      <c r="D365" s="52">
        <v>10</v>
      </c>
      <c r="E365" s="52">
        <v>20</v>
      </c>
      <c r="F365" s="52">
        <v>8</v>
      </c>
      <c r="G365" s="52">
        <v>0</v>
      </c>
      <c r="H365" s="52">
        <v>0</v>
      </c>
      <c r="M365" s="21">
        <v>1</v>
      </c>
    </row>
    <row r="366" spans="2:13" ht="18">
      <c r="B366" s="52">
        <v>2</v>
      </c>
      <c r="C366" s="52">
        <v>27</v>
      </c>
      <c r="D366" s="52">
        <v>9</v>
      </c>
      <c r="E366" s="52">
        <v>15</v>
      </c>
      <c r="F366" s="52">
        <v>9</v>
      </c>
      <c r="G366" s="52">
        <v>0</v>
      </c>
      <c r="H366" s="52">
        <v>0</v>
      </c>
      <c r="M366" s="21">
        <v>1</v>
      </c>
    </row>
    <row r="367" spans="2:13" ht="18">
      <c r="B367" s="52">
        <v>2</v>
      </c>
      <c r="C367" s="52">
        <v>27</v>
      </c>
      <c r="D367" s="52">
        <v>8</v>
      </c>
      <c r="E367" s="52">
        <v>13</v>
      </c>
      <c r="F367" s="52">
        <v>7</v>
      </c>
      <c r="G367" s="52">
        <v>0</v>
      </c>
      <c r="H367" s="52">
        <v>0</v>
      </c>
      <c r="M367" s="21">
        <v>1</v>
      </c>
    </row>
    <row r="368" spans="2:13" ht="18">
      <c r="B368" s="52">
        <v>2</v>
      </c>
      <c r="C368" s="52">
        <v>27</v>
      </c>
      <c r="D368" s="52">
        <v>7</v>
      </c>
      <c r="E368" s="52">
        <v>9</v>
      </c>
      <c r="F368" s="52">
        <v>11</v>
      </c>
      <c r="G368" s="52">
        <v>1</v>
      </c>
      <c r="H368" s="52">
        <v>1</v>
      </c>
      <c r="M368" s="21">
        <v>1</v>
      </c>
    </row>
    <row r="369" spans="2:13" ht="18">
      <c r="B369" s="52">
        <v>2</v>
      </c>
      <c r="C369" s="52">
        <v>27</v>
      </c>
      <c r="D369" s="52">
        <v>12</v>
      </c>
      <c r="E369" s="52">
        <v>18</v>
      </c>
      <c r="F369" s="52">
        <v>13</v>
      </c>
      <c r="G369" s="52">
        <v>0</v>
      </c>
      <c r="H369" s="52">
        <v>1</v>
      </c>
      <c r="M369" s="21">
        <v>1</v>
      </c>
    </row>
    <row r="370" spans="2:13" ht="18">
      <c r="B370" s="52">
        <v>2</v>
      </c>
      <c r="C370" s="52">
        <v>27</v>
      </c>
      <c r="D370" s="52">
        <v>13</v>
      </c>
      <c r="E370" s="52">
        <v>13</v>
      </c>
      <c r="F370" s="52">
        <v>14</v>
      </c>
      <c r="G370" s="52">
        <v>3</v>
      </c>
      <c r="H370" s="52">
        <v>0</v>
      </c>
      <c r="M370" s="21">
        <v>1</v>
      </c>
    </row>
    <row r="371" spans="2:13" ht="18">
      <c r="B371" s="52">
        <v>2</v>
      </c>
      <c r="C371" s="52">
        <v>27</v>
      </c>
      <c r="D371" s="52">
        <v>11</v>
      </c>
      <c r="E371" s="52">
        <v>10</v>
      </c>
      <c r="F371" s="52">
        <v>11</v>
      </c>
      <c r="G371" s="52">
        <v>0</v>
      </c>
      <c r="H371" s="52">
        <v>0</v>
      </c>
      <c r="M371" s="21">
        <v>1</v>
      </c>
    </row>
    <row r="372" spans="2:13" ht="18">
      <c r="B372" s="52">
        <v>2</v>
      </c>
      <c r="C372" s="52">
        <v>10</v>
      </c>
      <c r="D372" s="52">
        <v>8</v>
      </c>
      <c r="E372" s="52">
        <v>25</v>
      </c>
      <c r="F372" s="52">
        <v>8</v>
      </c>
      <c r="G372" s="52">
        <v>5</v>
      </c>
      <c r="H372" s="52">
        <v>0</v>
      </c>
      <c r="M372" s="21">
        <v>1</v>
      </c>
    </row>
    <row r="373" spans="2:13" ht="18">
      <c r="B373" s="52">
        <v>2</v>
      </c>
      <c r="C373" s="52">
        <v>13</v>
      </c>
      <c r="D373" s="52">
        <v>12</v>
      </c>
      <c r="E373" s="52">
        <v>11</v>
      </c>
      <c r="F373" s="52">
        <v>7</v>
      </c>
      <c r="G373" s="52">
        <v>1</v>
      </c>
      <c r="H373" s="52">
        <v>3</v>
      </c>
      <c r="M373" s="21">
        <v>1</v>
      </c>
    </row>
    <row r="374" spans="2:13" ht="18">
      <c r="B374" s="52">
        <v>2</v>
      </c>
      <c r="C374" s="52">
        <v>13</v>
      </c>
      <c r="D374" s="52">
        <v>13</v>
      </c>
      <c r="E374" s="52">
        <v>15</v>
      </c>
      <c r="F374" s="52">
        <v>6</v>
      </c>
      <c r="G374" s="52">
        <v>3</v>
      </c>
      <c r="H374" s="52">
        <v>2</v>
      </c>
      <c r="M374" s="21">
        <v>1</v>
      </c>
    </row>
    <row r="375" spans="2:13" ht="18">
      <c r="B375" s="52">
        <v>2</v>
      </c>
      <c r="C375" s="52">
        <v>25</v>
      </c>
      <c r="D375" s="52">
        <v>12</v>
      </c>
      <c r="E375" s="52">
        <v>24</v>
      </c>
      <c r="F375" s="52">
        <v>0</v>
      </c>
      <c r="G375" s="52">
        <v>0</v>
      </c>
      <c r="H375" s="52">
        <v>0</v>
      </c>
      <c r="M375" s="21">
        <v>1</v>
      </c>
    </row>
    <row r="376" spans="2:13" ht="18">
      <c r="B376" s="52">
        <v>2</v>
      </c>
      <c r="C376" s="52">
        <v>25</v>
      </c>
      <c r="D376" s="52">
        <v>13</v>
      </c>
      <c r="E376" s="52">
        <v>23</v>
      </c>
      <c r="F376" s="52">
        <v>0</v>
      </c>
      <c r="G376" s="52">
        <v>0</v>
      </c>
      <c r="H376" s="52">
        <v>0</v>
      </c>
      <c r="M376" s="21">
        <v>1</v>
      </c>
    </row>
    <row r="377" spans="2:13" ht="18">
      <c r="B377" s="52">
        <v>2</v>
      </c>
      <c r="C377" s="52">
        <v>2</v>
      </c>
      <c r="D377" s="52">
        <v>13</v>
      </c>
      <c r="E377" s="52">
        <v>9</v>
      </c>
      <c r="F377" s="52">
        <v>2</v>
      </c>
      <c r="G377" s="52">
        <v>7</v>
      </c>
      <c r="H377" s="52">
        <v>0</v>
      </c>
      <c r="M377" s="21">
        <v>1</v>
      </c>
    </row>
    <row r="378" spans="2:13" ht="18">
      <c r="B378" s="52">
        <v>2</v>
      </c>
      <c r="C378" s="52">
        <v>22</v>
      </c>
      <c r="D378" s="52">
        <v>13</v>
      </c>
      <c r="E378" s="52">
        <v>3</v>
      </c>
      <c r="F378" s="52">
        <v>5</v>
      </c>
      <c r="G378" s="52">
        <v>1</v>
      </c>
      <c r="H378" s="52">
        <v>0</v>
      </c>
      <c r="M378" s="21">
        <v>1</v>
      </c>
    </row>
    <row r="379" spans="2:13" ht="18">
      <c r="B379" s="52">
        <v>2</v>
      </c>
      <c r="C379" s="52">
        <v>22</v>
      </c>
      <c r="D379" s="52">
        <v>12</v>
      </c>
      <c r="E379" s="52">
        <v>4</v>
      </c>
      <c r="F379" s="52">
        <v>7</v>
      </c>
      <c r="G379" s="52">
        <v>0</v>
      </c>
      <c r="H379" s="52">
        <v>0</v>
      </c>
      <c r="M379" s="21">
        <v>1</v>
      </c>
    </row>
    <row r="380" spans="2:13" ht="18">
      <c r="B380" s="52">
        <v>2</v>
      </c>
      <c r="C380" s="52">
        <v>22</v>
      </c>
      <c r="D380" s="52">
        <v>11</v>
      </c>
      <c r="E380" s="52">
        <v>3</v>
      </c>
      <c r="F380" s="52">
        <v>10</v>
      </c>
      <c r="G380" s="52">
        <v>0</v>
      </c>
      <c r="H380" s="52">
        <v>0</v>
      </c>
      <c r="M380" s="21">
        <v>1</v>
      </c>
    </row>
    <row r="381" spans="2:13" ht="18">
      <c r="B381" s="52">
        <v>2</v>
      </c>
      <c r="C381" s="52">
        <v>34</v>
      </c>
      <c r="D381" s="52">
        <v>12</v>
      </c>
      <c r="E381" s="52">
        <v>2</v>
      </c>
      <c r="F381" s="52">
        <v>16</v>
      </c>
      <c r="G381" s="52">
        <v>0</v>
      </c>
      <c r="H381" s="52">
        <v>0</v>
      </c>
      <c r="M381" s="21">
        <v>1</v>
      </c>
    </row>
    <row r="382" spans="2:13" ht="18">
      <c r="B382" s="52">
        <v>2</v>
      </c>
      <c r="C382" s="52">
        <v>34</v>
      </c>
      <c r="D382" s="52">
        <v>13</v>
      </c>
      <c r="E382" s="52">
        <v>3</v>
      </c>
      <c r="F382" s="52">
        <v>23</v>
      </c>
      <c r="G382" s="52">
        <v>0</v>
      </c>
      <c r="H382" s="52">
        <v>0</v>
      </c>
      <c r="M382" s="21">
        <v>1</v>
      </c>
    </row>
    <row r="383" spans="2:13" ht="18">
      <c r="B383" s="52">
        <v>2</v>
      </c>
      <c r="C383" s="52">
        <v>12</v>
      </c>
      <c r="D383" s="52">
        <v>13</v>
      </c>
      <c r="E383" s="52">
        <v>13</v>
      </c>
      <c r="F383" s="52">
        <v>25</v>
      </c>
      <c r="G383" s="52">
        <v>0</v>
      </c>
      <c r="H383" s="52">
        <v>0</v>
      </c>
      <c r="M383" s="21">
        <v>1</v>
      </c>
    </row>
    <row r="384" spans="2:13" ht="18">
      <c r="B384" s="52">
        <v>2</v>
      </c>
      <c r="C384" s="52">
        <v>12</v>
      </c>
      <c r="D384" s="52">
        <v>12</v>
      </c>
      <c r="E384" s="52">
        <v>17</v>
      </c>
      <c r="F384" s="52">
        <v>15</v>
      </c>
      <c r="G384" s="52">
        <v>0</v>
      </c>
      <c r="H384" s="52">
        <v>0</v>
      </c>
      <c r="M384" s="21">
        <v>1</v>
      </c>
    </row>
    <row r="385" spans="2:13" ht="18">
      <c r="B385" s="52">
        <v>2</v>
      </c>
      <c r="C385" s="52">
        <v>16</v>
      </c>
      <c r="D385" s="52">
        <v>8</v>
      </c>
      <c r="E385" s="52">
        <v>5</v>
      </c>
      <c r="F385" s="52">
        <v>4</v>
      </c>
      <c r="G385" s="52">
        <v>3</v>
      </c>
      <c r="H385" s="52">
        <v>0</v>
      </c>
      <c r="M385" s="21">
        <v>1</v>
      </c>
    </row>
    <row r="386" spans="2:13" ht="18">
      <c r="B386" s="52">
        <v>2</v>
      </c>
      <c r="C386" s="52">
        <v>16</v>
      </c>
      <c r="D386" s="52">
        <v>9</v>
      </c>
      <c r="E386" s="52">
        <v>11</v>
      </c>
      <c r="F386" s="52">
        <v>2</v>
      </c>
      <c r="G386" s="52">
        <v>5</v>
      </c>
      <c r="H386" s="52">
        <v>0</v>
      </c>
      <c r="M386" s="21">
        <v>1</v>
      </c>
    </row>
    <row r="387" spans="2:13" ht="18">
      <c r="B387" s="52">
        <v>2</v>
      </c>
      <c r="C387" s="52">
        <v>16</v>
      </c>
      <c r="D387" s="52">
        <v>10</v>
      </c>
      <c r="E387" s="52">
        <v>10</v>
      </c>
      <c r="F387" s="52">
        <v>10</v>
      </c>
      <c r="G387" s="52">
        <v>0</v>
      </c>
      <c r="H387" s="52">
        <v>0</v>
      </c>
      <c r="M387" s="21">
        <v>1</v>
      </c>
    </row>
    <row r="388" spans="2:13" ht="18">
      <c r="B388" s="52">
        <v>2</v>
      </c>
      <c r="C388" s="52">
        <v>16</v>
      </c>
      <c r="D388" s="52">
        <v>19</v>
      </c>
      <c r="E388" s="52">
        <v>5</v>
      </c>
      <c r="F388" s="52">
        <v>1</v>
      </c>
      <c r="G388" s="52">
        <v>1</v>
      </c>
      <c r="H388" s="52">
        <v>0</v>
      </c>
      <c r="M388" s="21">
        <v>1</v>
      </c>
    </row>
    <row r="389" spans="2:13" ht="18">
      <c r="B389" s="52">
        <v>2</v>
      </c>
      <c r="C389" s="52">
        <v>16</v>
      </c>
      <c r="D389" s="52">
        <v>12</v>
      </c>
      <c r="E389" s="52">
        <v>4</v>
      </c>
      <c r="F389" s="52">
        <v>3</v>
      </c>
      <c r="G389" s="52">
        <v>0</v>
      </c>
      <c r="H389" s="52">
        <v>0</v>
      </c>
      <c r="M389" s="21">
        <v>1</v>
      </c>
    </row>
    <row r="390" spans="2:13" ht="18">
      <c r="B390" s="52">
        <v>2</v>
      </c>
      <c r="C390" s="52">
        <v>16</v>
      </c>
      <c r="D390" s="52">
        <v>13</v>
      </c>
      <c r="E390" s="52">
        <v>2</v>
      </c>
      <c r="F390" s="52">
        <v>2</v>
      </c>
      <c r="G390" s="52">
        <v>3</v>
      </c>
      <c r="H390" s="52">
        <v>0</v>
      </c>
      <c r="M390" s="21">
        <v>1</v>
      </c>
    </row>
    <row r="391" spans="2:13" ht="18">
      <c r="B391" s="52">
        <v>2</v>
      </c>
      <c r="C391" s="52">
        <v>31</v>
      </c>
      <c r="D391" s="52">
        <v>12</v>
      </c>
      <c r="E391" s="52">
        <v>40</v>
      </c>
      <c r="F391" s="52">
        <v>18</v>
      </c>
      <c r="G391" s="52">
        <v>2</v>
      </c>
      <c r="H391" s="52">
        <v>0</v>
      </c>
      <c r="M391" s="21">
        <v>1</v>
      </c>
    </row>
    <row r="392" spans="2:13" ht="18">
      <c r="B392" s="52">
        <v>2</v>
      </c>
      <c r="C392" s="52">
        <v>5</v>
      </c>
      <c r="D392" s="52">
        <v>13</v>
      </c>
      <c r="E392" s="52">
        <v>4</v>
      </c>
      <c r="F392" s="52">
        <v>7</v>
      </c>
      <c r="G392" s="52">
        <v>1</v>
      </c>
      <c r="H392" s="52">
        <v>2</v>
      </c>
      <c r="M392" s="21">
        <v>1</v>
      </c>
    </row>
    <row r="393" spans="2:13" ht="18">
      <c r="B393" s="52">
        <v>2</v>
      </c>
      <c r="C393" s="52">
        <v>32</v>
      </c>
      <c r="D393" s="52">
        <v>13</v>
      </c>
      <c r="E393" s="52">
        <v>9</v>
      </c>
      <c r="F393" s="52">
        <v>15</v>
      </c>
      <c r="G393" s="52">
        <v>0</v>
      </c>
      <c r="H393" s="52">
        <v>0</v>
      </c>
      <c r="M393" s="21">
        <v>1</v>
      </c>
    </row>
    <row r="394" spans="2:13" ht="18">
      <c r="B394" s="52">
        <v>2</v>
      </c>
      <c r="C394" s="52">
        <v>32</v>
      </c>
      <c r="D394" s="52">
        <v>14</v>
      </c>
      <c r="E394" s="52">
        <v>7</v>
      </c>
      <c r="F394" s="52">
        <v>13</v>
      </c>
      <c r="G394" s="52">
        <v>0</v>
      </c>
      <c r="H394" s="52">
        <v>0</v>
      </c>
      <c r="M394" s="21">
        <v>1</v>
      </c>
    </row>
    <row r="395" spans="2:13" ht="18">
      <c r="B395" s="52">
        <v>2</v>
      </c>
      <c r="C395" s="52">
        <v>32</v>
      </c>
      <c r="D395" s="52">
        <v>12</v>
      </c>
      <c r="E395" s="52">
        <v>11</v>
      </c>
      <c r="F395" s="52">
        <v>14</v>
      </c>
      <c r="G395" s="52">
        <v>0</v>
      </c>
      <c r="H395" s="52">
        <v>0</v>
      </c>
      <c r="M395" s="21">
        <v>1</v>
      </c>
    </row>
    <row r="396" spans="2:13" ht="18">
      <c r="B396" s="52">
        <v>2</v>
      </c>
      <c r="C396" s="52">
        <v>3</v>
      </c>
      <c r="D396" s="52">
        <v>13</v>
      </c>
      <c r="E396" s="52">
        <v>10</v>
      </c>
      <c r="F396" s="52">
        <v>7</v>
      </c>
      <c r="G396" s="52">
        <v>1</v>
      </c>
      <c r="H396" s="52">
        <v>0</v>
      </c>
      <c r="M396" s="21">
        <v>1</v>
      </c>
    </row>
    <row r="397" spans="2:13" ht="18">
      <c r="B397" s="52">
        <v>2</v>
      </c>
      <c r="C397" s="52">
        <v>3</v>
      </c>
      <c r="D397" s="52">
        <v>12</v>
      </c>
      <c r="E397" s="52">
        <v>6</v>
      </c>
      <c r="F397" s="52">
        <v>6</v>
      </c>
      <c r="G397" s="52">
        <v>2</v>
      </c>
      <c r="H397" s="52">
        <v>0</v>
      </c>
      <c r="M397" s="21">
        <v>1</v>
      </c>
    </row>
    <row r="398" spans="2:13" ht="18">
      <c r="B398" s="52">
        <v>2</v>
      </c>
      <c r="C398" s="52">
        <v>3</v>
      </c>
      <c r="D398" s="52">
        <v>11</v>
      </c>
      <c r="E398" s="52">
        <v>11</v>
      </c>
      <c r="F398" s="52">
        <v>8</v>
      </c>
      <c r="G398" s="52">
        <v>3</v>
      </c>
      <c r="H398" s="52">
        <v>0</v>
      </c>
      <c r="M398" s="21">
        <v>1</v>
      </c>
    </row>
    <row r="399" spans="2:13" ht="18">
      <c r="B399" s="52">
        <v>2</v>
      </c>
      <c r="C399" s="52">
        <v>3</v>
      </c>
      <c r="D399" s="52">
        <v>10</v>
      </c>
      <c r="E399" s="52">
        <v>11</v>
      </c>
      <c r="F399" s="52">
        <v>8</v>
      </c>
      <c r="G399" s="52">
        <v>3</v>
      </c>
      <c r="H399" s="52">
        <v>0</v>
      </c>
      <c r="M399" s="21">
        <v>1</v>
      </c>
    </row>
    <row r="400" spans="2:13" ht="18">
      <c r="B400" s="52">
        <v>2</v>
      </c>
      <c r="C400" s="52">
        <v>3</v>
      </c>
      <c r="D400" s="52">
        <v>9</v>
      </c>
      <c r="E400" s="52">
        <v>20</v>
      </c>
      <c r="F400" s="52">
        <v>11</v>
      </c>
      <c r="G400" s="52">
        <v>3</v>
      </c>
      <c r="H400" s="52">
        <v>0</v>
      </c>
      <c r="M400" s="21">
        <v>1</v>
      </c>
    </row>
    <row r="401" spans="2:13" ht="18">
      <c r="B401" s="52">
        <v>2</v>
      </c>
      <c r="C401" s="52">
        <v>29</v>
      </c>
      <c r="D401" s="52">
        <v>13</v>
      </c>
      <c r="E401" s="52">
        <v>8</v>
      </c>
      <c r="F401" s="52">
        <v>16</v>
      </c>
      <c r="G401" s="52">
        <v>0</v>
      </c>
      <c r="H401" s="52">
        <v>0</v>
      </c>
      <c r="M401" s="21">
        <v>1</v>
      </c>
    </row>
    <row r="402" spans="2:13" ht="18">
      <c r="B402" s="52">
        <v>2</v>
      </c>
      <c r="C402" s="52">
        <v>29</v>
      </c>
      <c r="D402" s="52">
        <v>12</v>
      </c>
      <c r="E402" s="52">
        <v>14</v>
      </c>
      <c r="F402" s="52">
        <v>11</v>
      </c>
      <c r="G402" s="52">
        <v>0</v>
      </c>
      <c r="H402" s="52">
        <v>0</v>
      </c>
      <c r="M402" s="21">
        <v>1</v>
      </c>
    </row>
    <row r="403" spans="2:13" ht="18">
      <c r="B403" s="52">
        <v>2</v>
      </c>
      <c r="C403" s="52">
        <v>29</v>
      </c>
      <c r="D403" s="52">
        <v>14</v>
      </c>
      <c r="E403" s="52">
        <v>8</v>
      </c>
      <c r="F403" s="52">
        <v>12</v>
      </c>
      <c r="G403" s="52">
        <v>0</v>
      </c>
      <c r="H403" s="52">
        <v>0</v>
      </c>
      <c r="M403" s="21">
        <v>1</v>
      </c>
    </row>
    <row r="404" spans="2:13" ht="18">
      <c r="B404" s="52">
        <v>2</v>
      </c>
      <c r="C404" s="52">
        <v>20</v>
      </c>
      <c r="D404" s="52">
        <v>13</v>
      </c>
      <c r="E404" s="52">
        <v>19</v>
      </c>
      <c r="F404" s="52">
        <v>13</v>
      </c>
      <c r="G404" s="52">
        <v>8</v>
      </c>
      <c r="H404" s="52">
        <v>2</v>
      </c>
      <c r="M404" s="21">
        <v>1</v>
      </c>
    </row>
    <row r="405" spans="2:13" ht="18">
      <c r="B405" s="52">
        <v>2</v>
      </c>
      <c r="C405" s="52">
        <v>20</v>
      </c>
      <c r="D405" s="52">
        <v>12</v>
      </c>
      <c r="E405" s="52">
        <v>16</v>
      </c>
      <c r="F405" s="52">
        <v>10</v>
      </c>
      <c r="G405" s="52">
        <v>5</v>
      </c>
      <c r="H405" s="52">
        <v>3</v>
      </c>
      <c r="M405" s="21">
        <v>1</v>
      </c>
    </row>
    <row r="406" spans="2:13" ht="18">
      <c r="B406" s="52">
        <v>2</v>
      </c>
      <c r="C406" s="52">
        <v>20</v>
      </c>
      <c r="D406" s="52">
        <v>11</v>
      </c>
      <c r="E406" s="52">
        <v>18</v>
      </c>
      <c r="F406" s="52">
        <v>7</v>
      </c>
      <c r="G406" s="52">
        <v>10</v>
      </c>
      <c r="H406" s="52">
        <v>6</v>
      </c>
      <c r="M406" s="21">
        <v>1</v>
      </c>
    </row>
    <row r="407" spans="2:13" ht="18">
      <c r="B407" s="52">
        <v>2</v>
      </c>
      <c r="C407" s="52">
        <v>23</v>
      </c>
      <c r="D407" s="52">
        <v>13</v>
      </c>
      <c r="E407" s="52">
        <v>11</v>
      </c>
      <c r="F407" s="52">
        <v>10</v>
      </c>
      <c r="G407" s="52">
        <v>0</v>
      </c>
      <c r="H407" s="52">
        <v>0</v>
      </c>
      <c r="M407" s="21">
        <v>1</v>
      </c>
    </row>
    <row r="408" spans="2:13" ht="18">
      <c r="B408" s="52">
        <v>2</v>
      </c>
      <c r="C408" s="52">
        <v>23</v>
      </c>
      <c r="D408" s="52">
        <v>12</v>
      </c>
      <c r="E408" s="52">
        <v>1</v>
      </c>
      <c r="F408" s="52">
        <v>4</v>
      </c>
      <c r="G408" s="52">
        <v>1</v>
      </c>
      <c r="H408" s="52">
        <v>0</v>
      </c>
      <c r="M408" s="21">
        <v>1</v>
      </c>
    </row>
    <row r="409" spans="2:13" ht="18">
      <c r="B409" s="52">
        <v>2</v>
      </c>
      <c r="C409" s="52">
        <v>23</v>
      </c>
      <c r="D409" s="52">
        <v>11</v>
      </c>
      <c r="E409" s="52">
        <v>0</v>
      </c>
      <c r="F409" s="52">
        <v>2</v>
      </c>
      <c r="G409" s="52">
        <v>0</v>
      </c>
      <c r="H409" s="52">
        <v>0</v>
      </c>
      <c r="M409" s="21">
        <v>1</v>
      </c>
    </row>
    <row r="410" spans="2:13" ht="18">
      <c r="B410" s="52">
        <v>2</v>
      </c>
      <c r="C410" s="52">
        <v>23</v>
      </c>
      <c r="D410" s="52">
        <v>10</v>
      </c>
      <c r="E410" s="52">
        <v>3</v>
      </c>
      <c r="F410" s="52">
        <v>6</v>
      </c>
      <c r="G410" s="52">
        <v>1</v>
      </c>
      <c r="H410" s="52">
        <v>0</v>
      </c>
      <c r="M410" s="21">
        <v>1</v>
      </c>
    </row>
    <row r="411" spans="2:13" ht="18">
      <c r="B411" s="52">
        <v>2</v>
      </c>
      <c r="C411" s="52">
        <v>23</v>
      </c>
      <c r="D411" s="52">
        <v>9</v>
      </c>
      <c r="E411" s="52">
        <v>4</v>
      </c>
      <c r="F411" s="52">
        <v>7</v>
      </c>
      <c r="G411" s="52">
        <v>0</v>
      </c>
      <c r="H411" s="52">
        <v>0</v>
      </c>
      <c r="M411" s="21">
        <v>1</v>
      </c>
    </row>
    <row r="412" spans="2:13" ht="18">
      <c r="B412" s="52">
        <v>2</v>
      </c>
      <c r="C412" s="52">
        <v>23</v>
      </c>
      <c r="D412" s="52">
        <v>8</v>
      </c>
      <c r="E412" s="52">
        <v>5</v>
      </c>
      <c r="F412" s="52">
        <v>9</v>
      </c>
      <c r="G412" s="52">
        <v>0</v>
      </c>
      <c r="H412" s="52">
        <v>0</v>
      </c>
      <c r="M412" s="21">
        <v>1</v>
      </c>
    </row>
    <row r="413" spans="2:13" ht="18">
      <c r="B413" s="52">
        <v>2</v>
      </c>
      <c r="C413" s="52">
        <v>17</v>
      </c>
      <c r="D413" s="52">
        <v>13</v>
      </c>
      <c r="E413" s="52">
        <v>15</v>
      </c>
      <c r="F413" s="52">
        <v>14</v>
      </c>
      <c r="G413" s="52">
        <v>8</v>
      </c>
      <c r="H413" s="52">
        <v>0</v>
      </c>
      <c r="M413" s="21">
        <v>1</v>
      </c>
    </row>
    <row r="414" spans="2:13" ht="18">
      <c r="B414" s="52">
        <v>2</v>
      </c>
      <c r="C414" s="52">
        <v>17</v>
      </c>
      <c r="D414" s="52">
        <v>14</v>
      </c>
      <c r="E414" s="52">
        <v>8</v>
      </c>
      <c r="F414" s="52">
        <v>5</v>
      </c>
      <c r="G414" s="52">
        <v>2</v>
      </c>
      <c r="H414" s="52">
        <v>0</v>
      </c>
      <c r="M414" s="21">
        <v>1</v>
      </c>
    </row>
    <row r="415" spans="2:13" ht="18">
      <c r="B415" s="52">
        <v>2</v>
      </c>
      <c r="C415" s="52">
        <v>14</v>
      </c>
      <c r="D415" s="52">
        <v>14</v>
      </c>
      <c r="E415" s="52">
        <v>16</v>
      </c>
      <c r="F415" s="52">
        <v>7</v>
      </c>
      <c r="G415" s="52">
        <v>2</v>
      </c>
      <c r="H415" s="52">
        <v>0</v>
      </c>
      <c r="M415" s="21">
        <v>1</v>
      </c>
    </row>
    <row r="416" spans="2:13" ht="18">
      <c r="B416" s="52">
        <v>2</v>
      </c>
      <c r="C416" s="52">
        <v>6</v>
      </c>
      <c r="D416" s="52">
        <v>13</v>
      </c>
      <c r="E416" s="52">
        <v>8</v>
      </c>
      <c r="F416" s="52">
        <v>3</v>
      </c>
      <c r="G416" s="52">
        <v>9</v>
      </c>
      <c r="H416" s="52">
        <v>1</v>
      </c>
      <c r="M416" s="21">
        <v>1</v>
      </c>
    </row>
    <row r="417" spans="2:13" ht="18">
      <c r="B417" s="52">
        <v>2</v>
      </c>
      <c r="C417" s="52">
        <v>25</v>
      </c>
      <c r="D417" s="52">
        <v>14</v>
      </c>
      <c r="E417" s="52">
        <v>12</v>
      </c>
      <c r="F417" s="52">
        <v>0</v>
      </c>
      <c r="G417" s="52">
        <v>0</v>
      </c>
      <c r="H417" s="52">
        <v>0</v>
      </c>
      <c r="M417" s="21">
        <v>1</v>
      </c>
    </row>
    <row r="418" spans="2:13" ht="18">
      <c r="B418" s="52">
        <v>2</v>
      </c>
      <c r="C418" s="52">
        <v>34</v>
      </c>
      <c r="D418" s="52">
        <v>14</v>
      </c>
      <c r="E418" s="52">
        <v>5</v>
      </c>
      <c r="F418" s="52">
        <v>15</v>
      </c>
      <c r="G418" s="52">
        <v>0</v>
      </c>
      <c r="H418" s="52">
        <v>0</v>
      </c>
      <c r="M418" s="21">
        <v>1</v>
      </c>
    </row>
    <row r="419" spans="2:13" ht="18">
      <c r="B419" s="52">
        <v>2</v>
      </c>
      <c r="C419" s="52">
        <v>27</v>
      </c>
      <c r="D419" s="52">
        <v>14</v>
      </c>
      <c r="E419" s="52">
        <v>23</v>
      </c>
      <c r="F419" s="52">
        <v>27</v>
      </c>
      <c r="G419" s="52">
        <v>6</v>
      </c>
      <c r="H419" s="52">
        <v>0</v>
      </c>
      <c r="M419" s="21">
        <v>1</v>
      </c>
    </row>
    <row r="420" spans="2:13" ht="18">
      <c r="B420" s="52">
        <v>2</v>
      </c>
      <c r="C420" s="52">
        <v>12</v>
      </c>
      <c r="D420" s="52">
        <v>14</v>
      </c>
      <c r="E420" s="52">
        <v>23</v>
      </c>
      <c r="F420" s="52">
        <v>26</v>
      </c>
      <c r="G420" s="52">
        <v>0</v>
      </c>
      <c r="H420" s="52">
        <v>0</v>
      </c>
      <c r="M420" s="21">
        <v>1</v>
      </c>
    </row>
    <row r="421" spans="2:13" ht="18">
      <c r="B421" s="52">
        <v>2</v>
      </c>
      <c r="C421" s="52">
        <v>18</v>
      </c>
      <c r="D421" s="52">
        <v>14</v>
      </c>
      <c r="E421" s="52">
        <v>13</v>
      </c>
      <c r="F421" s="52">
        <v>12</v>
      </c>
      <c r="G421" s="52">
        <v>16</v>
      </c>
      <c r="H421" s="52">
        <v>0</v>
      </c>
      <c r="M421" s="21">
        <v>1</v>
      </c>
    </row>
    <row r="422" spans="2:13" ht="18">
      <c r="B422" s="52">
        <v>2</v>
      </c>
      <c r="C422" s="52">
        <v>10</v>
      </c>
      <c r="D422" s="52">
        <v>9</v>
      </c>
      <c r="E422" s="52">
        <v>27</v>
      </c>
      <c r="F422" s="52">
        <v>14</v>
      </c>
      <c r="G422" s="52">
        <v>9</v>
      </c>
      <c r="H422" s="52">
        <v>0</v>
      </c>
      <c r="M422" s="21">
        <v>1</v>
      </c>
    </row>
    <row r="423" spans="2:13" ht="18">
      <c r="B423" s="52">
        <v>2</v>
      </c>
      <c r="C423" s="52">
        <v>22</v>
      </c>
      <c r="D423" s="52">
        <v>14</v>
      </c>
      <c r="E423" s="52">
        <v>2</v>
      </c>
      <c r="F423" s="52">
        <v>6</v>
      </c>
      <c r="G423" s="52">
        <v>0</v>
      </c>
      <c r="H423" s="52">
        <v>0</v>
      </c>
      <c r="M423" s="21">
        <v>1</v>
      </c>
    </row>
    <row r="424" spans="2:13" ht="18">
      <c r="B424" s="52">
        <v>2</v>
      </c>
      <c r="C424" s="52">
        <v>6</v>
      </c>
      <c r="D424" s="52">
        <v>14</v>
      </c>
      <c r="E424" s="52">
        <v>7</v>
      </c>
      <c r="F424" s="52">
        <v>2</v>
      </c>
      <c r="G424" s="52">
        <v>5</v>
      </c>
      <c r="H424" s="52">
        <v>0</v>
      </c>
      <c r="M424" s="21">
        <v>1</v>
      </c>
    </row>
    <row r="425" spans="2:13" ht="18">
      <c r="B425" s="52">
        <v>2</v>
      </c>
      <c r="C425" s="52">
        <v>6</v>
      </c>
      <c r="D425" s="52">
        <v>15</v>
      </c>
      <c r="E425" s="52">
        <v>11</v>
      </c>
      <c r="F425" s="52">
        <v>5</v>
      </c>
      <c r="G425" s="52">
        <v>6</v>
      </c>
      <c r="H425" s="52">
        <v>1</v>
      </c>
      <c r="M425" s="21">
        <v>1</v>
      </c>
    </row>
    <row r="426" spans="2:13" ht="18">
      <c r="B426" s="52">
        <v>2</v>
      </c>
      <c r="C426" s="52">
        <v>5</v>
      </c>
      <c r="D426" s="52">
        <v>14</v>
      </c>
      <c r="E426" s="52">
        <v>12</v>
      </c>
      <c r="F426" s="52">
        <v>7</v>
      </c>
      <c r="G426" s="52">
        <v>7</v>
      </c>
      <c r="H426" s="52">
        <v>2</v>
      </c>
      <c r="M426" s="21">
        <v>1</v>
      </c>
    </row>
    <row r="427" spans="2:13" ht="18">
      <c r="B427" s="52">
        <v>2</v>
      </c>
      <c r="C427" s="52">
        <v>3</v>
      </c>
      <c r="D427" s="52">
        <v>13</v>
      </c>
      <c r="E427" s="52">
        <v>7</v>
      </c>
      <c r="F427" s="52">
        <v>9</v>
      </c>
      <c r="G427" s="52">
        <v>2</v>
      </c>
      <c r="H427" s="52">
        <v>0</v>
      </c>
      <c r="M427" s="21">
        <v>1</v>
      </c>
    </row>
    <row r="428" spans="2:13" ht="18">
      <c r="B428" s="52">
        <v>2</v>
      </c>
      <c r="C428" s="52">
        <v>3</v>
      </c>
      <c r="D428" s="52">
        <v>14</v>
      </c>
      <c r="E428" s="52">
        <v>6</v>
      </c>
      <c r="F428" s="52">
        <v>4</v>
      </c>
      <c r="G428" s="52">
        <v>5</v>
      </c>
      <c r="H428" s="52">
        <v>0</v>
      </c>
      <c r="M428" s="21">
        <v>1</v>
      </c>
    </row>
    <row r="429" spans="2:13" ht="18">
      <c r="B429" s="52">
        <v>2</v>
      </c>
      <c r="C429" s="52">
        <v>31</v>
      </c>
      <c r="D429" s="52">
        <v>13</v>
      </c>
      <c r="E429" s="52">
        <v>24</v>
      </c>
      <c r="F429" s="52">
        <v>10</v>
      </c>
      <c r="G429" s="52">
        <v>5</v>
      </c>
      <c r="H429" s="52">
        <v>2</v>
      </c>
      <c r="M429" s="21">
        <v>1</v>
      </c>
    </row>
    <row r="430" spans="2:13" ht="18">
      <c r="B430" s="52">
        <v>2</v>
      </c>
      <c r="C430" s="52">
        <v>31</v>
      </c>
      <c r="D430" s="52">
        <v>14</v>
      </c>
      <c r="E430" s="52">
        <v>15</v>
      </c>
      <c r="F430" s="52">
        <v>25</v>
      </c>
      <c r="G430" s="52">
        <v>5</v>
      </c>
      <c r="H430" s="52">
        <v>2</v>
      </c>
      <c r="M430" s="21">
        <v>1</v>
      </c>
    </row>
    <row r="431" spans="2:13" ht="18">
      <c r="B431" s="52">
        <v>2</v>
      </c>
      <c r="C431" s="52">
        <v>33</v>
      </c>
      <c r="D431" s="52">
        <v>14</v>
      </c>
      <c r="E431" s="52">
        <v>14</v>
      </c>
      <c r="F431" s="52">
        <v>22</v>
      </c>
      <c r="G431" s="52">
        <v>0</v>
      </c>
      <c r="H431" s="52">
        <v>0</v>
      </c>
      <c r="M431" s="21">
        <v>1</v>
      </c>
    </row>
    <row r="432" spans="2:13" ht="18">
      <c r="B432" s="52">
        <v>2</v>
      </c>
      <c r="C432" s="52">
        <v>33</v>
      </c>
      <c r="D432" s="52">
        <v>15</v>
      </c>
      <c r="E432" s="52">
        <v>15</v>
      </c>
      <c r="F432" s="52">
        <v>35</v>
      </c>
      <c r="G432" s="52">
        <v>0</v>
      </c>
      <c r="H432" s="52">
        <v>0</v>
      </c>
      <c r="M432" s="21">
        <v>1</v>
      </c>
    </row>
    <row r="433" spans="2:13" ht="18">
      <c r="B433" s="52">
        <v>2</v>
      </c>
      <c r="C433" s="52">
        <v>9</v>
      </c>
      <c r="D433" s="52">
        <v>14</v>
      </c>
      <c r="E433" s="52">
        <v>80</v>
      </c>
      <c r="F433" s="52">
        <v>61</v>
      </c>
      <c r="G433" s="52">
        <v>13</v>
      </c>
      <c r="H433" s="52">
        <v>1</v>
      </c>
      <c r="M433" s="21">
        <v>1</v>
      </c>
    </row>
    <row r="434" spans="2:13" ht="18">
      <c r="B434" s="52">
        <v>2</v>
      </c>
      <c r="C434" s="52">
        <v>13</v>
      </c>
      <c r="D434" s="52">
        <v>14</v>
      </c>
      <c r="E434" s="52">
        <v>17</v>
      </c>
      <c r="F434" s="52">
        <v>8</v>
      </c>
      <c r="G434" s="52">
        <v>6</v>
      </c>
      <c r="H434" s="52">
        <v>2</v>
      </c>
      <c r="M434" s="21">
        <v>1</v>
      </c>
    </row>
    <row r="435" spans="2:13" ht="18">
      <c r="B435" s="52">
        <v>2</v>
      </c>
      <c r="C435" s="52">
        <v>13</v>
      </c>
      <c r="D435" s="52">
        <v>15</v>
      </c>
      <c r="E435" s="52">
        <v>20</v>
      </c>
      <c r="F435" s="52">
        <v>18</v>
      </c>
      <c r="G435" s="52">
        <v>3</v>
      </c>
      <c r="H435" s="52">
        <v>2</v>
      </c>
      <c r="M435" s="21">
        <v>1</v>
      </c>
    </row>
    <row r="436" spans="2:13" ht="18">
      <c r="B436" s="52">
        <v>2</v>
      </c>
      <c r="C436" s="52">
        <v>29</v>
      </c>
      <c r="D436" s="52">
        <v>15</v>
      </c>
      <c r="E436" s="52">
        <v>13</v>
      </c>
      <c r="F436" s="52">
        <v>12</v>
      </c>
      <c r="G436" s="52">
        <v>0</v>
      </c>
      <c r="H436" s="52">
        <v>0</v>
      </c>
      <c r="M436" s="21">
        <v>1</v>
      </c>
    </row>
    <row r="437" spans="2:13" ht="18">
      <c r="B437" s="52">
        <v>2</v>
      </c>
      <c r="C437" s="52">
        <v>11</v>
      </c>
      <c r="D437" s="52">
        <v>14</v>
      </c>
      <c r="E437" s="52">
        <v>9</v>
      </c>
      <c r="F437" s="52">
        <v>6</v>
      </c>
      <c r="G437" s="52">
        <v>5</v>
      </c>
      <c r="H437" s="52">
        <v>0</v>
      </c>
      <c r="M437" s="21">
        <v>1</v>
      </c>
    </row>
    <row r="438" spans="2:13" ht="18">
      <c r="B438" s="52">
        <v>2</v>
      </c>
      <c r="C438" s="52">
        <v>11</v>
      </c>
      <c r="D438" s="52">
        <v>13</v>
      </c>
      <c r="E438" s="52">
        <v>2</v>
      </c>
      <c r="F438" s="52">
        <v>2</v>
      </c>
      <c r="G438" s="52">
        <v>1</v>
      </c>
      <c r="H438" s="52">
        <v>0</v>
      </c>
      <c r="M438" s="21">
        <v>1</v>
      </c>
    </row>
    <row r="439" spans="2:13" ht="18">
      <c r="B439" s="52">
        <v>2</v>
      </c>
      <c r="C439" s="52">
        <v>11</v>
      </c>
      <c r="D439" s="52">
        <v>12</v>
      </c>
      <c r="E439" s="52">
        <v>6</v>
      </c>
      <c r="F439" s="52">
        <v>3</v>
      </c>
      <c r="G439" s="52">
        <v>1</v>
      </c>
      <c r="H439" s="52">
        <v>0</v>
      </c>
      <c r="M439" s="21">
        <v>1</v>
      </c>
    </row>
    <row r="440" spans="2:13" ht="18">
      <c r="B440" s="52">
        <v>2</v>
      </c>
      <c r="C440" s="52">
        <v>8</v>
      </c>
      <c r="D440" s="52">
        <v>14</v>
      </c>
      <c r="E440" s="52">
        <v>12</v>
      </c>
      <c r="F440" s="52">
        <v>11</v>
      </c>
      <c r="G440" s="52">
        <v>1</v>
      </c>
      <c r="H440" s="52">
        <v>0</v>
      </c>
      <c r="M440" s="21">
        <v>1</v>
      </c>
    </row>
    <row r="441" spans="2:13" ht="18">
      <c r="B441" s="52">
        <v>2</v>
      </c>
      <c r="C441" s="52">
        <v>8</v>
      </c>
      <c r="D441" s="52">
        <v>19</v>
      </c>
      <c r="E441" s="52">
        <v>16</v>
      </c>
      <c r="F441" s="52">
        <v>10</v>
      </c>
      <c r="G441" s="52">
        <v>1</v>
      </c>
      <c r="H441" s="52">
        <v>0</v>
      </c>
      <c r="M441" s="21">
        <v>1</v>
      </c>
    </row>
    <row r="442" spans="2:13" ht="18">
      <c r="B442" s="52">
        <v>2</v>
      </c>
      <c r="C442" s="52">
        <v>8</v>
      </c>
      <c r="D442" s="52">
        <v>12</v>
      </c>
      <c r="E442" s="52">
        <v>14</v>
      </c>
      <c r="F442" s="52">
        <v>13</v>
      </c>
      <c r="G442" s="52">
        <v>2</v>
      </c>
      <c r="H442" s="52">
        <v>0</v>
      </c>
      <c r="M442" s="21">
        <v>1</v>
      </c>
    </row>
    <row r="443" spans="2:13" ht="18">
      <c r="B443" s="52">
        <v>2</v>
      </c>
      <c r="C443" s="52">
        <v>8</v>
      </c>
      <c r="D443" s="52">
        <v>11</v>
      </c>
      <c r="E443" s="52">
        <v>13</v>
      </c>
      <c r="F443" s="52">
        <v>10</v>
      </c>
      <c r="G443" s="52">
        <v>2</v>
      </c>
      <c r="H443" s="52">
        <v>0</v>
      </c>
      <c r="M443" s="21">
        <v>1</v>
      </c>
    </row>
    <row r="444" spans="2:13" ht="18">
      <c r="B444" s="52">
        <v>2</v>
      </c>
      <c r="C444" s="52">
        <v>28</v>
      </c>
      <c r="D444" s="52">
        <v>11</v>
      </c>
      <c r="E444" s="52">
        <v>43</v>
      </c>
      <c r="F444" s="52">
        <v>22</v>
      </c>
      <c r="G444" s="52">
        <v>0</v>
      </c>
      <c r="H444" s="52">
        <v>0</v>
      </c>
      <c r="M444" s="21">
        <v>1</v>
      </c>
    </row>
    <row r="445" spans="2:13" ht="18">
      <c r="B445" s="52">
        <v>2</v>
      </c>
      <c r="C445" s="52">
        <v>18</v>
      </c>
      <c r="D445" s="52">
        <v>12</v>
      </c>
      <c r="E445" s="52">
        <v>12</v>
      </c>
      <c r="F445" s="52">
        <v>5</v>
      </c>
      <c r="G445" s="52">
        <v>13</v>
      </c>
      <c r="H445" s="52">
        <v>0</v>
      </c>
      <c r="M445" s="21">
        <v>1</v>
      </c>
    </row>
    <row r="446" spans="2:13" ht="18">
      <c r="B446" s="52">
        <v>2</v>
      </c>
      <c r="C446" s="52">
        <v>18</v>
      </c>
      <c r="D446" s="52">
        <v>13</v>
      </c>
      <c r="E446" s="52">
        <v>10</v>
      </c>
      <c r="F446" s="52">
        <v>13</v>
      </c>
      <c r="G446" s="52">
        <v>14</v>
      </c>
      <c r="H446" s="52">
        <v>0</v>
      </c>
      <c r="M446" s="21">
        <v>1</v>
      </c>
    </row>
    <row r="447" spans="2:13" ht="18">
      <c r="B447" s="52">
        <v>2</v>
      </c>
      <c r="C447" s="52">
        <v>18</v>
      </c>
      <c r="D447" s="52">
        <v>15</v>
      </c>
      <c r="E447" s="52">
        <v>7</v>
      </c>
      <c r="F447" s="52">
        <v>8</v>
      </c>
      <c r="G447" s="52">
        <v>9</v>
      </c>
      <c r="H447" s="52">
        <v>0</v>
      </c>
      <c r="M447" s="21">
        <v>1</v>
      </c>
    </row>
    <row r="448" spans="2:13" ht="18">
      <c r="B448" s="52">
        <v>2</v>
      </c>
      <c r="C448" s="52">
        <v>25</v>
      </c>
      <c r="D448" s="52">
        <v>15</v>
      </c>
      <c r="E448" s="52">
        <v>18</v>
      </c>
      <c r="F448" s="52">
        <v>10</v>
      </c>
      <c r="G448" s="52">
        <v>0</v>
      </c>
      <c r="H448" s="52">
        <v>0</v>
      </c>
      <c r="M448" s="21">
        <v>1</v>
      </c>
    </row>
    <row r="449" spans="2:13" ht="18">
      <c r="B449" s="52">
        <v>2</v>
      </c>
      <c r="C449" s="52">
        <v>32</v>
      </c>
      <c r="D449" s="52">
        <v>15</v>
      </c>
      <c r="E449" s="52">
        <v>11</v>
      </c>
      <c r="F449" s="52">
        <v>14</v>
      </c>
      <c r="G449" s="52">
        <v>0</v>
      </c>
      <c r="H449" s="52">
        <v>0</v>
      </c>
      <c r="M449" s="21">
        <v>1</v>
      </c>
    </row>
    <row r="450" spans="2:13" ht="18">
      <c r="B450" s="52">
        <v>2</v>
      </c>
      <c r="C450" s="52">
        <v>22</v>
      </c>
      <c r="D450" s="52">
        <v>15</v>
      </c>
      <c r="E450" s="52">
        <v>2</v>
      </c>
      <c r="F450" s="52">
        <v>4</v>
      </c>
      <c r="G450" s="52">
        <v>0</v>
      </c>
      <c r="H450" s="52">
        <v>0</v>
      </c>
      <c r="M450" s="21">
        <v>1</v>
      </c>
    </row>
    <row r="451" spans="2:13" ht="18">
      <c r="B451" s="52">
        <v>2</v>
      </c>
      <c r="C451" s="52">
        <v>10</v>
      </c>
      <c r="D451" s="52">
        <v>9</v>
      </c>
      <c r="E451" s="52">
        <v>31</v>
      </c>
      <c r="F451" s="52">
        <v>10</v>
      </c>
      <c r="G451" s="52">
        <v>9</v>
      </c>
      <c r="H451" s="52">
        <v>0</v>
      </c>
      <c r="M451" s="21">
        <v>1</v>
      </c>
    </row>
    <row r="452" spans="2:13" ht="18">
      <c r="B452" s="52">
        <v>2</v>
      </c>
      <c r="C452" s="52">
        <v>10</v>
      </c>
      <c r="D452" s="52">
        <v>10</v>
      </c>
      <c r="E452" s="52">
        <v>13</v>
      </c>
      <c r="F452" s="52">
        <v>4</v>
      </c>
      <c r="G452" s="52">
        <v>5</v>
      </c>
      <c r="H452" s="52">
        <v>0</v>
      </c>
      <c r="M452" s="21">
        <v>1</v>
      </c>
    </row>
    <row r="453" spans="2:13" ht="18">
      <c r="B453" s="52">
        <v>2</v>
      </c>
      <c r="C453" s="52">
        <v>34</v>
      </c>
      <c r="D453" s="52">
        <v>15</v>
      </c>
      <c r="E453" s="52">
        <v>4</v>
      </c>
      <c r="F453" s="52">
        <v>20</v>
      </c>
      <c r="G453" s="52">
        <v>0</v>
      </c>
      <c r="H453" s="52">
        <v>0</v>
      </c>
      <c r="M453" s="21">
        <v>1</v>
      </c>
    </row>
    <row r="454" spans="2:13" ht="18">
      <c r="B454" s="52">
        <v>2</v>
      </c>
      <c r="C454" s="52">
        <v>17</v>
      </c>
      <c r="D454" s="52">
        <v>15</v>
      </c>
      <c r="E454" s="52">
        <v>5</v>
      </c>
      <c r="F454" s="52">
        <v>8</v>
      </c>
      <c r="G454" s="52">
        <v>4</v>
      </c>
      <c r="H454" s="52">
        <v>0</v>
      </c>
      <c r="M454" s="21">
        <v>1</v>
      </c>
    </row>
    <row r="455" spans="2:13" ht="18">
      <c r="B455" s="52">
        <v>2</v>
      </c>
      <c r="C455" s="52">
        <v>17</v>
      </c>
      <c r="D455" s="52">
        <v>16</v>
      </c>
      <c r="E455" s="52">
        <v>11</v>
      </c>
      <c r="F455" s="52">
        <v>7</v>
      </c>
      <c r="G455" s="52">
        <v>5</v>
      </c>
      <c r="H455" s="52">
        <v>0</v>
      </c>
      <c r="M455" s="21">
        <v>1</v>
      </c>
    </row>
    <row r="456" spans="2:13" ht="18">
      <c r="B456" s="52">
        <v>2</v>
      </c>
      <c r="C456" s="52">
        <v>12</v>
      </c>
      <c r="D456" s="52">
        <v>15</v>
      </c>
      <c r="E456" s="52">
        <v>16</v>
      </c>
      <c r="F456" s="52">
        <v>10</v>
      </c>
      <c r="G456" s="52">
        <v>0</v>
      </c>
      <c r="H456" s="52">
        <v>0</v>
      </c>
      <c r="M456" s="21">
        <v>1</v>
      </c>
    </row>
    <row r="457" spans="2:13" ht="18">
      <c r="B457" s="52">
        <v>2</v>
      </c>
      <c r="C457" s="52">
        <v>26</v>
      </c>
      <c r="D457" s="52">
        <v>15</v>
      </c>
      <c r="E457" s="52">
        <v>20</v>
      </c>
      <c r="F457" s="52">
        <v>11</v>
      </c>
      <c r="G457" s="52">
        <v>4</v>
      </c>
      <c r="H457" s="52">
        <v>2</v>
      </c>
      <c r="M457" s="21">
        <v>1</v>
      </c>
    </row>
    <row r="458" spans="2:13" ht="18">
      <c r="B458" s="52">
        <v>2</v>
      </c>
      <c r="C458" s="52">
        <v>26</v>
      </c>
      <c r="D458" s="52">
        <v>14</v>
      </c>
      <c r="E458" s="52">
        <v>15</v>
      </c>
      <c r="F458" s="52">
        <v>0</v>
      </c>
      <c r="G458" s="52">
        <v>0</v>
      </c>
      <c r="H458" s="52">
        <v>0</v>
      </c>
      <c r="M458" s="21">
        <v>1</v>
      </c>
    </row>
    <row r="459" spans="2:13" ht="18">
      <c r="B459" s="52">
        <v>2</v>
      </c>
      <c r="C459" s="52">
        <v>26</v>
      </c>
      <c r="D459" s="52">
        <v>13</v>
      </c>
      <c r="E459" s="52">
        <v>20</v>
      </c>
      <c r="F459" s="52">
        <v>0</v>
      </c>
      <c r="G459" s="52">
        <v>0</v>
      </c>
      <c r="H459" s="52">
        <v>0</v>
      </c>
      <c r="M459" s="21">
        <v>1</v>
      </c>
    </row>
    <row r="460" spans="2:13" ht="18">
      <c r="B460" s="52">
        <v>2</v>
      </c>
      <c r="C460" s="52">
        <v>26</v>
      </c>
      <c r="D460" s="52">
        <v>12</v>
      </c>
      <c r="E460" s="52">
        <v>14</v>
      </c>
      <c r="F460" s="52">
        <v>3</v>
      </c>
      <c r="G460" s="52">
        <v>2</v>
      </c>
      <c r="H460" s="52">
        <v>0</v>
      </c>
      <c r="M460" s="21">
        <v>1</v>
      </c>
    </row>
    <row r="461" spans="2:13" ht="18">
      <c r="B461" s="52">
        <v>2</v>
      </c>
      <c r="C461" s="52">
        <v>26</v>
      </c>
      <c r="D461" s="52">
        <v>11</v>
      </c>
      <c r="E461" s="52">
        <v>10</v>
      </c>
      <c r="F461" s="52">
        <v>4</v>
      </c>
      <c r="G461" s="52">
        <v>0</v>
      </c>
      <c r="H461" s="52">
        <v>1</v>
      </c>
      <c r="M461" s="21">
        <v>1</v>
      </c>
    </row>
    <row r="462" spans="2:13" ht="18">
      <c r="B462" s="52">
        <v>2</v>
      </c>
      <c r="C462" s="52">
        <v>26</v>
      </c>
      <c r="D462" s="52">
        <v>10</v>
      </c>
      <c r="E462" s="52">
        <v>15</v>
      </c>
      <c r="F462" s="52">
        <v>10</v>
      </c>
      <c r="G462" s="52">
        <v>3</v>
      </c>
      <c r="H462" s="52">
        <v>2</v>
      </c>
      <c r="M462" s="21">
        <v>1</v>
      </c>
    </row>
    <row r="463" spans="2:13" ht="18">
      <c r="B463" s="52">
        <v>2</v>
      </c>
      <c r="C463" s="52">
        <v>27</v>
      </c>
      <c r="D463" s="52">
        <v>14</v>
      </c>
      <c r="E463" s="52">
        <v>13</v>
      </c>
      <c r="F463" s="52">
        <v>18</v>
      </c>
      <c r="G463" s="52">
        <v>0</v>
      </c>
      <c r="H463" s="52">
        <v>0</v>
      </c>
      <c r="M463" s="21">
        <v>1</v>
      </c>
    </row>
    <row r="464" spans="2:13" ht="18">
      <c r="B464" s="52">
        <v>2</v>
      </c>
      <c r="C464" s="52">
        <v>27</v>
      </c>
      <c r="D464" s="52">
        <v>15</v>
      </c>
      <c r="E464" s="52">
        <v>10</v>
      </c>
      <c r="F464" s="52">
        <v>9</v>
      </c>
      <c r="G464" s="52">
        <v>6</v>
      </c>
      <c r="H464" s="52">
        <v>0</v>
      </c>
      <c r="M464" s="21">
        <v>1</v>
      </c>
    </row>
    <row r="465" spans="2:13" ht="18">
      <c r="B465" s="52">
        <v>2</v>
      </c>
      <c r="C465" s="52">
        <v>30</v>
      </c>
      <c r="D465" s="52">
        <v>15</v>
      </c>
      <c r="E465" s="52">
        <v>10</v>
      </c>
      <c r="F465" s="52">
        <v>23</v>
      </c>
      <c r="G465" s="52">
        <v>0</v>
      </c>
      <c r="H465" s="52">
        <v>0</v>
      </c>
      <c r="M465" s="21">
        <v>1</v>
      </c>
    </row>
    <row r="466" spans="2:13" ht="18">
      <c r="B466" s="52">
        <v>2</v>
      </c>
      <c r="C466" s="52">
        <v>30</v>
      </c>
      <c r="D466" s="52">
        <v>16</v>
      </c>
      <c r="E466" s="52">
        <v>26</v>
      </c>
      <c r="F466" s="52">
        <v>29</v>
      </c>
      <c r="G466" s="52">
        <v>6</v>
      </c>
      <c r="H466" s="52">
        <v>0</v>
      </c>
      <c r="M466" s="21">
        <v>1</v>
      </c>
    </row>
    <row r="467" spans="2:13" ht="18">
      <c r="B467" s="52">
        <v>2</v>
      </c>
      <c r="C467" s="52">
        <v>30</v>
      </c>
      <c r="D467" s="52">
        <v>14</v>
      </c>
      <c r="E467" s="52">
        <v>17</v>
      </c>
      <c r="F467" s="52">
        <v>23</v>
      </c>
      <c r="G467" s="52">
        <v>1</v>
      </c>
      <c r="H467" s="52">
        <v>0</v>
      </c>
      <c r="M467" s="21">
        <v>1</v>
      </c>
    </row>
    <row r="468" spans="2:13" ht="18">
      <c r="B468" s="52"/>
      <c r="C468" s="52"/>
      <c r="D468" s="52"/>
      <c r="E468" s="52"/>
      <c r="F468" s="52"/>
      <c r="G468" s="52"/>
      <c r="H468" s="52"/>
      <c r="M468" s="21">
        <v>1</v>
      </c>
    </row>
    <row r="469" spans="2:13" ht="18">
      <c r="B469" s="52"/>
      <c r="C469" s="52"/>
      <c r="D469" s="52"/>
      <c r="E469" s="52"/>
      <c r="F469" s="52"/>
      <c r="G469" s="52"/>
      <c r="H469" s="52"/>
      <c r="M469" s="21">
        <v>1</v>
      </c>
    </row>
    <row r="470" spans="2:13" ht="18">
      <c r="B470" s="52"/>
      <c r="C470" s="52"/>
      <c r="D470" s="52"/>
      <c r="E470" s="52"/>
      <c r="F470" s="52"/>
      <c r="G470" s="52"/>
      <c r="H470" s="52"/>
      <c r="M470" s="21">
        <v>1</v>
      </c>
    </row>
    <row r="471" spans="2:13" ht="18">
      <c r="B471" s="52"/>
      <c r="C471" s="52"/>
      <c r="D471" s="52"/>
      <c r="E471" s="52"/>
      <c r="F471" s="52"/>
      <c r="G471" s="52"/>
      <c r="H471" s="52"/>
      <c r="M471" s="21">
        <v>1</v>
      </c>
    </row>
    <row r="472" spans="2:13" ht="18">
      <c r="B472" s="52"/>
      <c r="C472" s="52"/>
      <c r="D472" s="52"/>
      <c r="E472" s="52"/>
      <c r="F472" s="52"/>
      <c r="G472" s="52"/>
      <c r="H472" s="52"/>
      <c r="M472" s="21">
        <v>1</v>
      </c>
    </row>
    <row r="473" spans="2:13" ht="18">
      <c r="B473" s="52"/>
      <c r="C473" s="52"/>
      <c r="D473" s="52"/>
      <c r="E473" s="52"/>
      <c r="F473" s="52"/>
      <c r="G473" s="52"/>
      <c r="H473" s="52"/>
      <c r="M473" s="21">
        <v>1</v>
      </c>
    </row>
    <row r="474" spans="2:13" ht="18">
      <c r="B474" s="52"/>
      <c r="C474" s="52"/>
      <c r="D474" s="52"/>
      <c r="E474" s="52"/>
      <c r="F474" s="52"/>
      <c r="G474" s="52"/>
      <c r="H474" s="52"/>
      <c r="M474" s="21">
        <v>1</v>
      </c>
    </row>
    <row r="475" spans="2:13" ht="18">
      <c r="B475" s="52"/>
      <c r="C475" s="52"/>
      <c r="D475" s="52"/>
      <c r="E475" s="52"/>
      <c r="F475" s="52"/>
      <c r="G475" s="52"/>
      <c r="H475" s="52"/>
      <c r="M475" s="21">
        <v>1</v>
      </c>
    </row>
    <row r="476" spans="2:13" ht="18">
      <c r="B476" s="52"/>
      <c r="C476" s="52"/>
      <c r="D476" s="52"/>
      <c r="E476" s="52"/>
      <c r="F476" s="52"/>
      <c r="G476" s="52"/>
      <c r="H476" s="52"/>
      <c r="M476" s="21">
        <v>1</v>
      </c>
    </row>
    <row r="477" spans="2:13" ht="18">
      <c r="B477" s="52"/>
      <c r="C477" s="52"/>
      <c r="D477" s="52"/>
      <c r="E477" s="52"/>
      <c r="F477" s="52"/>
      <c r="G477" s="52"/>
      <c r="H477" s="52"/>
      <c r="M477" s="21">
        <v>1</v>
      </c>
    </row>
    <row r="478" spans="2:13" ht="18">
      <c r="B478" s="52"/>
      <c r="C478" s="52"/>
      <c r="D478" s="52"/>
      <c r="E478" s="52"/>
      <c r="F478" s="52"/>
      <c r="G478" s="52"/>
      <c r="H478" s="52"/>
      <c r="M478" s="21">
        <v>1</v>
      </c>
    </row>
    <row r="479" spans="2:13" ht="18">
      <c r="B479" s="52"/>
      <c r="C479" s="52"/>
      <c r="D479" s="52"/>
      <c r="E479" s="52"/>
      <c r="F479" s="52"/>
      <c r="G479" s="52"/>
      <c r="H479" s="52"/>
      <c r="M479" s="21">
        <v>1</v>
      </c>
    </row>
    <row r="480" spans="2:13" ht="18">
      <c r="B480" s="52"/>
      <c r="C480" s="52"/>
      <c r="D480" s="52"/>
      <c r="E480" s="52"/>
      <c r="F480" s="52"/>
      <c r="G480" s="52"/>
      <c r="H480" s="52"/>
      <c r="M480" s="21">
        <v>1</v>
      </c>
    </row>
    <row r="481" spans="2:13" ht="18">
      <c r="B481" s="52"/>
      <c r="C481" s="52"/>
      <c r="D481" s="52"/>
      <c r="E481" s="52"/>
      <c r="F481" s="52"/>
      <c r="G481" s="52"/>
      <c r="H481" s="52"/>
      <c r="M481" s="21">
        <v>1</v>
      </c>
    </row>
    <row r="482" spans="2:13" ht="18">
      <c r="B482" s="52"/>
      <c r="C482" s="52"/>
      <c r="D482" s="52"/>
      <c r="E482" s="52"/>
      <c r="F482" s="52"/>
      <c r="G482" s="52"/>
      <c r="H482" s="52"/>
      <c r="M482" s="21">
        <v>1</v>
      </c>
    </row>
    <row r="483" spans="2:13" ht="18">
      <c r="B483" s="52"/>
      <c r="C483" s="52"/>
      <c r="D483" s="52"/>
      <c r="E483" s="52"/>
      <c r="F483" s="52"/>
      <c r="G483" s="52"/>
      <c r="H483" s="52"/>
      <c r="M483" s="21">
        <v>1</v>
      </c>
    </row>
    <row r="484" spans="2:13" ht="18">
      <c r="B484" s="52"/>
      <c r="C484" s="52"/>
      <c r="D484" s="52"/>
      <c r="E484" s="52"/>
      <c r="F484" s="52"/>
      <c r="G484" s="52"/>
      <c r="H484" s="52"/>
      <c r="M484" s="21">
        <v>1</v>
      </c>
    </row>
    <row r="485" spans="2:13" ht="18">
      <c r="B485" s="52"/>
      <c r="C485" s="52"/>
      <c r="D485" s="52"/>
      <c r="E485" s="52"/>
      <c r="F485" s="52"/>
      <c r="G485" s="52"/>
      <c r="H485" s="52"/>
      <c r="M485" s="21">
        <v>1</v>
      </c>
    </row>
    <row r="486" spans="2:13" ht="18">
      <c r="B486" s="52"/>
      <c r="C486" s="52"/>
      <c r="D486" s="52"/>
      <c r="E486" s="52"/>
      <c r="F486" s="52"/>
      <c r="G486" s="52"/>
      <c r="H486" s="52"/>
      <c r="M486" s="21">
        <v>1</v>
      </c>
    </row>
    <row r="487" spans="2:13" ht="18">
      <c r="B487" s="52"/>
      <c r="C487" s="52"/>
      <c r="D487" s="52"/>
      <c r="E487" s="52"/>
      <c r="F487" s="52"/>
      <c r="G487" s="52"/>
      <c r="H487" s="52"/>
      <c r="M487" s="21">
        <v>1</v>
      </c>
    </row>
    <row r="488" spans="2:13" ht="18">
      <c r="B488" s="52"/>
      <c r="C488" s="52"/>
      <c r="D488" s="52"/>
      <c r="E488" s="52"/>
      <c r="F488" s="52"/>
      <c r="G488" s="52"/>
      <c r="H488" s="52"/>
      <c r="M488" s="21">
        <v>1</v>
      </c>
    </row>
    <row r="489" spans="2:13" ht="18">
      <c r="B489" s="52"/>
      <c r="C489" s="52"/>
      <c r="D489" s="52"/>
      <c r="E489" s="52"/>
      <c r="F489" s="52"/>
      <c r="G489" s="52"/>
      <c r="H489" s="52"/>
      <c r="M489" s="21">
        <v>1</v>
      </c>
    </row>
    <row r="490" spans="2:13" ht="18">
      <c r="B490" s="52"/>
      <c r="C490" s="52"/>
      <c r="D490" s="52"/>
      <c r="E490" s="52"/>
      <c r="F490" s="52"/>
      <c r="G490" s="52"/>
      <c r="H490" s="52"/>
      <c r="M490" s="21">
        <v>1</v>
      </c>
    </row>
    <row r="491" spans="2:13" ht="18">
      <c r="B491" s="52"/>
      <c r="C491" s="52"/>
      <c r="D491" s="52"/>
      <c r="E491" s="52"/>
      <c r="F491" s="52"/>
      <c r="G491" s="52"/>
      <c r="H491" s="52"/>
      <c r="M491" s="21">
        <v>1</v>
      </c>
    </row>
    <row r="492" spans="2:13" ht="18">
      <c r="B492" s="52"/>
      <c r="C492" s="52"/>
      <c r="D492" s="52"/>
      <c r="E492" s="52"/>
      <c r="F492" s="52"/>
      <c r="G492" s="52"/>
      <c r="H492" s="52"/>
      <c r="M492" s="21">
        <v>1</v>
      </c>
    </row>
    <row r="493" spans="2:13" ht="18">
      <c r="B493" s="52"/>
      <c r="C493" s="52"/>
      <c r="D493" s="52"/>
      <c r="E493" s="52"/>
      <c r="F493" s="52"/>
      <c r="G493" s="52"/>
      <c r="H493" s="52"/>
      <c r="M493" s="21">
        <v>1</v>
      </c>
    </row>
    <row r="494" spans="2:13" ht="18">
      <c r="B494" s="52"/>
      <c r="C494" s="52"/>
      <c r="D494" s="52"/>
      <c r="E494" s="52"/>
      <c r="F494" s="52"/>
      <c r="G494" s="52"/>
      <c r="H494" s="52"/>
      <c r="M494" s="21">
        <v>1</v>
      </c>
    </row>
    <row r="495" spans="2:13" ht="18">
      <c r="B495" s="52"/>
      <c r="C495" s="52"/>
      <c r="D495" s="52"/>
      <c r="E495" s="52"/>
      <c r="F495" s="52"/>
      <c r="G495" s="52"/>
      <c r="H495" s="52"/>
      <c r="M495" s="21">
        <v>1</v>
      </c>
    </row>
    <row r="496" spans="2:13" ht="18">
      <c r="B496" s="52"/>
      <c r="C496" s="52"/>
      <c r="D496" s="52"/>
      <c r="E496" s="52"/>
      <c r="F496" s="52"/>
      <c r="G496" s="52"/>
      <c r="H496" s="52"/>
      <c r="M496" s="21">
        <v>1</v>
      </c>
    </row>
    <row r="497" spans="2:13" ht="18">
      <c r="B497" s="52"/>
      <c r="C497" s="52"/>
      <c r="D497" s="52"/>
      <c r="E497" s="52"/>
      <c r="F497" s="52"/>
      <c r="G497" s="52"/>
      <c r="H497" s="52"/>
      <c r="M497" s="21">
        <v>1</v>
      </c>
    </row>
    <row r="498" spans="2:13" ht="18">
      <c r="B498" s="52"/>
      <c r="C498" s="52"/>
      <c r="D498" s="52"/>
      <c r="E498" s="52"/>
      <c r="F498" s="52"/>
      <c r="G498" s="52"/>
      <c r="H498" s="52"/>
      <c r="M498" s="21">
        <v>1</v>
      </c>
    </row>
    <row r="499" spans="2:13" ht="18">
      <c r="B499" s="52"/>
      <c r="C499" s="52"/>
      <c r="D499" s="52"/>
      <c r="E499" s="52"/>
      <c r="F499" s="52"/>
      <c r="G499" s="52"/>
      <c r="H499" s="52"/>
      <c r="M499" s="21">
        <v>1</v>
      </c>
    </row>
    <row r="500" spans="2:13" ht="18">
      <c r="B500" s="52"/>
      <c r="C500" s="52"/>
      <c r="D500" s="52"/>
      <c r="E500" s="52"/>
      <c r="F500" s="52"/>
      <c r="G500" s="52"/>
      <c r="H500" s="52"/>
      <c r="M500" s="21">
        <v>1</v>
      </c>
    </row>
    <row r="501" spans="2:13" ht="18">
      <c r="B501" s="52"/>
      <c r="C501" s="52"/>
      <c r="D501" s="52"/>
      <c r="E501" s="52"/>
      <c r="F501" s="52"/>
      <c r="G501" s="52"/>
      <c r="H501" s="52"/>
      <c r="M501" s="21">
        <v>1</v>
      </c>
    </row>
    <row r="502" spans="2:13" ht="18">
      <c r="B502" s="52"/>
      <c r="C502" s="52"/>
      <c r="D502" s="52"/>
      <c r="E502" s="52"/>
      <c r="F502" s="52"/>
      <c r="G502" s="52"/>
      <c r="H502" s="52"/>
      <c r="M502" s="21">
        <v>1</v>
      </c>
    </row>
    <row r="503" spans="2:13" ht="18">
      <c r="B503" s="52"/>
      <c r="C503" s="52"/>
      <c r="D503" s="52"/>
      <c r="E503" s="52"/>
      <c r="F503" s="52"/>
      <c r="G503" s="52"/>
      <c r="H503" s="52"/>
      <c r="M503" s="21">
        <v>1</v>
      </c>
    </row>
    <row r="504" spans="2:13" ht="18">
      <c r="B504" s="52"/>
      <c r="C504" s="52"/>
      <c r="D504" s="52"/>
      <c r="E504" s="52"/>
      <c r="F504" s="52"/>
      <c r="G504" s="52"/>
      <c r="H504" s="52"/>
      <c r="M504" s="21">
        <v>1</v>
      </c>
    </row>
    <row r="505" spans="2:13" ht="18">
      <c r="B505" s="52"/>
      <c r="C505" s="52"/>
      <c r="D505" s="52"/>
      <c r="E505" s="52"/>
      <c r="F505" s="52"/>
      <c r="G505" s="52"/>
      <c r="H505" s="52"/>
      <c r="M505" s="21">
        <v>1</v>
      </c>
    </row>
    <row r="506" spans="2:13" ht="18">
      <c r="B506" s="52"/>
      <c r="C506" s="52"/>
      <c r="D506" s="52"/>
      <c r="E506" s="52"/>
      <c r="F506" s="52"/>
      <c r="G506" s="52"/>
      <c r="H506" s="52"/>
      <c r="M506" s="21">
        <v>1</v>
      </c>
    </row>
    <row r="507" spans="2:13" ht="18">
      <c r="B507" s="52"/>
      <c r="C507" s="52"/>
      <c r="D507" s="52"/>
      <c r="E507" s="52"/>
      <c r="F507" s="52"/>
      <c r="G507" s="52"/>
      <c r="H507" s="52"/>
      <c r="M507" s="21">
        <v>1</v>
      </c>
    </row>
    <row r="508" spans="2:13" ht="18">
      <c r="B508" s="52"/>
      <c r="C508" s="52"/>
      <c r="D508" s="52"/>
      <c r="E508" s="52"/>
      <c r="F508" s="52"/>
      <c r="G508" s="52"/>
      <c r="H508" s="52"/>
      <c r="M508" s="21">
        <v>1</v>
      </c>
    </row>
    <row r="509" spans="2:13" ht="18">
      <c r="B509" s="52"/>
      <c r="C509" s="52"/>
      <c r="D509" s="52"/>
      <c r="E509" s="52"/>
      <c r="F509" s="52"/>
      <c r="G509" s="52"/>
      <c r="H509" s="52"/>
      <c r="M509" s="21">
        <v>1</v>
      </c>
    </row>
    <row r="510" spans="2:13" ht="18">
      <c r="B510" s="52"/>
      <c r="C510" s="52"/>
      <c r="D510" s="52"/>
      <c r="E510" s="52"/>
      <c r="F510" s="52"/>
      <c r="G510" s="52"/>
      <c r="H510" s="52"/>
      <c r="M510" s="21">
        <v>1</v>
      </c>
    </row>
    <row r="511" spans="2:13" ht="18">
      <c r="B511" s="52"/>
      <c r="C511" s="52"/>
      <c r="D511" s="52"/>
      <c r="E511" s="52"/>
      <c r="F511" s="52"/>
      <c r="G511" s="52"/>
      <c r="H511" s="52"/>
      <c r="M511" s="21">
        <v>1</v>
      </c>
    </row>
    <row r="512" spans="2:13" ht="18">
      <c r="B512" s="52"/>
      <c r="C512" s="52"/>
      <c r="D512" s="52"/>
      <c r="E512" s="52"/>
      <c r="F512" s="52"/>
      <c r="G512" s="52"/>
      <c r="H512" s="52"/>
      <c r="M512" s="21">
        <v>1</v>
      </c>
    </row>
    <row r="513" spans="2:13" ht="18">
      <c r="B513" s="52"/>
      <c r="C513" s="52"/>
      <c r="D513" s="52"/>
      <c r="E513" s="52"/>
      <c r="F513" s="52"/>
      <c r="G513" s="52"/>
      <c r="H513" s="52"/>
      <c r="M513" s="21">
        <v>1</v>
      </c>
    </row>
    <row r="514" spans="2:13" ht="18">
      <c r="B514" s="52"/>
      <c r="C514" s="52"/>
      <c r="D514" s="52"/>
      <c r="E514" s="52"/>
      <c r="F514" s="52"/>
      <c r="G514" s="52"/>
      <c r="H514" s="52"/>
      <c r="M514" s="21">
        <v>1</v>
      </c>
    </row>
    <row r="515" spans="2:13" ht="18">
      <c r="B515" s="52"/>
      <c r="C515" s="52"/>
      <c r="D515" s="52"/>
      <c r="E515" s="52"/>
      <c r="F515" s="52"/>
      <c r="G515" s="52"/>
      <c r="H515" s="52"/>
      <c r="M515" s="21">
        <v>1</v>
      </c>
    </row>
    <row r="516" spans="2:13" ht="18">
      <c r="B516" s="52"/>
      <c r="C516" s="52"/>
      <c r="D516" s="52"/>
      <c r="E516" s="52"/>
      <c r="F516" s="52"/>
      <c r="G516" s="52"/>
      <c r="H516" s="52"/>
      <c r="M516" s="21">
        <v>1</v>
      </c>
    </row>
    <row r="517" spans="2:13" ht="18">
      <c r="B517" s="52"/>
      <c r="C517" s="52"/>
      <c r="D517" s="52"/>
      <c r="E517" s="52"/>
      <c r="F517" s="52"/>
      <c r="G517" s="52"/>
      <c r="H517" s="52"/>
      <c r="M517" s="21">
        <v>1</v>
      </c>
    </row>
    <row r="518" spans="2:13" ht="18">
      <c r="B518" s="52"/>
      <c r="C518" s="52"/>
      <c r="D518" s="52"/>
      <c r="E518" s="52"/>
      <c r="F518" s="52"/>
      <c r="G518" s="52"/>
      <c r="H518" s="52"/>
      <c r="M518" s="21">
        <v>1</v>
      </c>
    </row>
    <row r="519" spans="2:13" ht="18">
      <c r="B519" s="52"/>
      <c r="C519" s="52"/>
      <c r="D519" s="52"/>
      <c r="E519" s="52"/>
      <c r="F519" s="52"/>
      <c r="G519" s="52"/>
      <c r="H519" s="52"/>
      <c r="M519" s="21">
        <v>1</v>
      </c>
    </row>
    <row r="520" spans="2:13" ht="18">
      <c r="B520" s="52"/>
      <c r="C520" s="52"/>
      <c r="D520" s="52"/>
      <c r="E520" s="52"/>
      <c r="F520" s="52"/>
      <c r="G520" s="52"/>
      <c r="H520" s="52"/>
      <c r="M520" s="21">
        <v>1</v>
      </c>
    </row>
    <row r="521" spans="2:13" ht="18">
      <c r="B521" s="52"/>
      <c r="C521" s="52"/>
      <c r="D521" s="52"/>
      <c r="E521" s="52"/>
      <c r="F521" s="52"/>
      <c r="G521" s="52"/>
      <c r="H521" s="52"/>
      <c r="M521" s="21">
        <v>1</v>
      </c>
    </row>
    <row r="522" spans="2:13" ht="18">
      <c r="B522" s="52"/>
      <c r="C522" s="52"/>
      <c r="D522" s="52"/>
      <c r="E522" s="52"/>
      <c r="F522" s="52"/>
      <c r="G522" s="52"/>
      <c r="H522" s="52"/>
      <c r="M522" s="21">
        <v>1</v>
      </c>
    </row>
    <row r="523" spans="2:13" ht="18">
      <c r="B523" s="52"/>
      <c r="C523" s="52"/>
      <c r="D523" s="52"/>
      <c r="E523" s="52"/>
      <c r="F523" s="52"/>
      <c r="G523" s="52"/>
      <c r="H523" s="52"/>
      <c r="M523" s="21">
        <v>1</v>
      </c>
    </row>
    <row r="524" spans="2:13" ht="18">
      <c r="B524" s="52"/>
      <c r="C524" s="52"/>
      <c r="D524" s="52"/>
      <c r="E524" s="52"/>
      <c r="F524" s="52"/>
      <c r="G524" s="52"/>
      <c r="H524" s="52"/>
      <c r="M524" s="21">
        <v>1</v>
      </c>
    </row>
    <row r="525" spans="2:13" ht="18">
      <c r="B525" s="52"/>
      <c r="C525" s="52"/>
      <c r="D525" s="52"/>
      <c r="E525" s="52"/>
      <c r="F525" s="52"/>
      <c r="G525" s="52"/>
      <c r="H525" s="52"/>
      <c r="M525" s="21">
        <v>1</v>
      </c>
    </row>
    <row r="526" spans="2:13" ht="18">
      <c r="B526" s="52"/>
      <c r="C526" s="52"/>
      <c r="D526" s="52"/>
      <c r="E526" s="52"/>
      <c r="F526" s="52"/>
      <c r="G526" s="52"/>
      <c r="H526" s="52"/>
      <c r="M526" s="21">
        <v>1</v>
      </c>
    </row>
    <row r="527" spans="2:13" ht="18">
      <c r="B527" s="52"/>
      <c r="C527" s="52"/>
      <c r="D527" s="52"/>
      <c r="E527" s="52"/>
      <c r="F527" s="52"/>
      <c r="G527" s="52"/>
      <c r="H527" s="52"/>
      <c r="M527" s="21">
        <v>1</v>
      </c>
    </row>
    <row r="528" spans="2:13" ht="18">
      <c r="B528" s="52"/>
      <c r="C528" s="52"/>
      <c r="D528" s="52"/>
      <c r="E528" s="52"/>
      <c r="F528" s="52"/>
      <c r="G528" s="52"/>
      <c r="H528" s="52"/>
      <c r="M528" s="21">
        <v>1</v>
      </c>
    </row>
    <row r="529" spans="2:13" ht="18">
      <c r="B529" s="52"/>
      <c r="C529" s="52"/>
      <c r="D529" s="52"/>
      <c r="E529" s="52"/>
      <c r="F529" s="52"/>
      <c r="G529" s="52"/>
      <c r="H529" s="52"/>
      <c r="M529" s="21">
        <v>1</v>
      </c>
    </row>
    <row r="530" spans="2:13" ht="18">
      <c r="B530" s="52"/>
      <c r="C530" s="52"/>
      <c r="D530" s="52"/>
      <c r="E530" s="52"/>
      <c r="F530" s="52"/>
      <c r="G530" s="52"/>
      <c r="H530" s="52"/>
      <c r="M530" s="21">
        <v>1</v>
      </c>
    </row>
    <row r="531" spans="2:13" ht="18">
      <c r="B531" s="52"/>
      <c r="C531" s="52"/>
      <c r="D531" s="52"/>
      <c r="E531" s="52"/>
      <c r="F531" s="52"/>
      <c r="G531" s="52"/>
      <c r="H531" s="52"/>
      <c r="M531" s="21">
        <v>1</v>
      </c>
    </row>
    <row r="532" spans="2:13" ht="18">
      <c r="B532" s="52"/>
      <c r="C532" s="52"/>
      <c r="D532" s="52"/>
      <c r="E532" s="52"/>
      <c r="F532" s="52"/>
      <c r="G532" s="52"/>
      <c r="H532" s="52"/>
      <c r="M532" s="21">
        <v>1</v>
      </c>
    </row>
    <row r="533" spans="2:13" ht="18">
      <c r="B533" s="52"/>
      <c r="C533" s="52"/>
      <c r="D533" s="52"/>
      <c r="E533" s="52"/>
      <c r="F533" s="52"/>
      <c r="G533" s="52"/>
      <c r="H533" s="52"/>
      <c r="M533" s="21">
        <v>1</v>
      </c>
    </row>
    <row r="534" spans="2:13" ht="18">
      <c r="B534" s="52"/>
      <c r="C534" s="52"/>
      <c r="D534" s="52"/>
      <c r="E534" s="52"/>
      <c r="F534" s="52"/>
      <c r="G534" s="52"/>
      <c r="H534" s="52"/>
      <c r="M534" s="21">
        <v>1</v>
      </c>
    </row>
    <row r="535" spans="2:13" ht="18">
      <c r="B535" s="52"/>
      <c r="C535" s="52"/>
      <c r="D535" s="52"/>
      <c r="E535" s="52"/>
      <c r="F535" s="52"/>
      <c r="G535" s="52"/>
      <c r="H535" s="52"/>
      <c r="M535" s="21">
        <v>1</v>
      </c>
    </row>
    <row r="536" spans="2:13" ht="18">
      <c r="B536" s="52"/>
      <c r="C536" s="52"/>
      <c r="D536" s="52"/>
      <c r="E536" s="52"/>
      <c r="F536" s="52"/>
      <c r="G536" s="52"/>
      <c r="H536" s="52"/>
      <c r="M536" s="21">
        <v>1</v>
      </c>
    </row>
    <row r="537" spans="2:13" ht="18">
      <c r="B537" s="52"/>
      <c r="C537" s="52"/>
      <c r="D537" s="52"/>
      <c r="E537" s="52"/>
      <c r="F537" s="52"/>
      <c r="G537" s="52"/>
      <c r="H537" s="52"/>
      <c r="M537" s="21">
        <v>1</v>
      </c>
    </row>
    <row r="538" spans="2:13" ht="18">
      <c r="B538" s="52"/>
      <c r="C538" s="52"/>
      <c r="D538" s="52"/>
      <c r="E538" s="52"/>
      <c r="F538" s="52"/>
      <c r="G538" s="52"/>
      <c r="H538" s="52"/>
      <c r="M538" s="21">
        <v>1</v>
      </c>
    </row>
    <row r="539" spans="2:13" ht="18">
      <c r="B539" s="52"/>
      <c r="C539" s="52"/>
      <c r="D539" s="52"/>
      <c r="E539" s="52"/>
      <c r="F539" s="52"/>
      <c r="G539" s="52"/>
      <c r="H539" s="52"/>
      <c r="M539" s="21">
        <v>1</v>
      </c>
    </row>
    <row r="540" spans="2:13" ht="18">
      <c r="B540" s="52"/>
      <c r="C540" s="52"/>
      <c r="D540" s="52"/>
      <c r="E540" s="52"/>
      <c r="F540" s="52"/>
      <c r="G540" s="52"/>
      <c r="H540" s="52"/>
      <c r="M540" s="21">
        <v>1</v>
      </c>
    </row>
    <row r="541" spans="2:13" ht="18">
      <c r="B541" s="52"/>
      <c r="C541" s="52"/>
      <c r="D541" s="52"/>
      <c r="E541" s="52"/>
      <c r="F541" s="52"/>
      <c r="G541" s="52"/>
      <c r="H541" s="52"/>
      <c r="M541" s="21">
        <v>1</v>
      </c>
    </row>
    <row r="542" spans="2:13" ht="18">
      <c r="B542" s="52"/>
      <c r="C542" s="52"/>
      <c r="D542" s="52"/>
      <c r="E542" s="52"/>
      <c r="F542" s="52"/>
      <c r="G542" s="52"/>
      <c r="H542" s="52"/>
      <c r="M542" s="21">
        <v>1</v>
      </c>
    </row>
    <row r="543" spans="2:13" ht="18">
      <c r="B543" s="52"/>
      <c r="C543" s="52"/>
      <c r="D543" s="52"/>
      <c r="E543" s="52"/>
      <c r="F543" s="52"/>
      <c r="G543" s="52"/>
      <c r="H543" s="52"/>
      <c r="M543" s="21">
        <v>1</v>
      </c>
    </row>
    <row r="544" spans="2:13" ht="18">
      <c r="B544" s="52"/>
      <c r="C544" s="52"/>
      <c r="D544" s="52"/>
      <c r="E544" s="52"/>
      <c r="F544" s="52"/>
      <c r="G544" s="52"/>
      <c r="H544" s="52"/>
      <c r="M544" s="21">
        <v>1</v>
      </c>
    </row>
    <row r="545" spans="2:13" ht="18">
      <c r="B545" s="52"/>
      <c r="C545" s="52"/>
      <c r="D545" s="52"/>
      <c r="E545" s="52"/>
      <c r="F545" s="52"/>
      <c r="G545" s="52"/>
      <c r="H545" s="52"/>
      <c r="M545" s="21">
        <v>1</v>
      </c>
    </row>
    <row r="546" spans="2:13" ht="18">
      <c r="B546" s="52"/>
      <c r="C546" s="52"/>
      <c r="D546" s="52"/>
      <c r="E546" s="52"/>
      <c r="F546" s="52"/>
      <c r="G546" s="52"/>
      <c r="H546" s="52"/>
      <c r="M546" s="21">
        <v>1</v>
      </c>
    </row>
    <row r="547" spans="2:13" ht="18">
      <c r="B547" s="52"/>
      <c r="C547" s="52"/>
      <c r="D547" s="52"/>
      <c r="E547" s="52"/>
      <c r="F547" s="52"/>
      <c r="G547" s="52"/>
      <c r="H547" s="52"/>
      <c r="M547" s="21">
        <v>1</v>
      </c>
    </row>
    <row r="548" spans="2:13" ht="18">
      <c r="B548" s="52"/>
      <c r="C548" s="52"/>
      <c r="D548" s="52"/>
      <c r="E548" s="52"/>
      <c r="F548" s="52"/>
      <c r="G548" s="52"/>
      <c r="H548" s="52"/>
      <c r="M548" s="21">
        <v>1</v>
      </c>
    </row>
    <row r="549" spans="2:13" ht="18">
      <c r="B549" s="52"/>
      <c r="C549" s="52"/>
      <c r="D549" s="52"/>
      <c r="E549" s="52"/>
      <c r="F549" s="52"/>
      <c r="G549" s="52"/>
      <c r="H549" s="52"/>
      <c r="M549" s="21">
        <v>1</v>
      </c>
    </row>
    <row r="550" spans="2:13" ht="18">
      <c r="B550" s="52"/>
      <c r="C550" s="52"/>
      <c r="D550" s="52"/>
      <c r="E550" s="52"/>
      <c r="F550" s="52"/>
      <c r="G550" s="52"/>
      <c r="H550" s="52"/>
      <c r="M550" s="21">
        <v>1</v>
      </c>
    </row>
    <row r="551" spans="2:13" ht="18">
      <c r="B551" s="52"/>
      <c r="C551" s="52"/>
      <c r="D551" s="52"/>
      <c r="E551" s="52"/>
      <c r="F551" s="52"/>
      <c r="G551" s="52"/>
      <c r="H551" s="52"/>
      <c r="M551" s="21">
        <v>1</v>
      </c>
    </row>
    <row r="552" spans="2:13" ht="18">
      <c r="B552" s="52"/>
      <c r="C552" s="52"/>
      <c r="D552" s="52"/>
      <c r="E552" s="52"/>
      <c r="F552" s="52"/>
      <c r="G552" s="52"/>
      <c r="H552" s="52"/>
      <c r="M552" s="21">
        <v>1</v>
      </c>
    </row>
    <row r="553" spans="2:13" ht="18">
      <c r="B553" s="52"/>
      <c r="C553" s="52"/>
      <c r="D553" s="52"/>
      <c r="E553" s="52"/>
      <c r="F553" s="52"/>
      <c r="G553" s="52"/>
      <c r="H553" s="52"/>
      <c r="M553" s="21">
        <v>1</v>
      </c>
    </row>
    <row r="554" spans="2:13" ht="18">
      <c r="B554" s="52"/>
      <c r="C554" s="52"/>
      <c r="D554" s="52"/>
      <c r="E554" s="52"/>
      <c r="F554" s="52"/>
      <c r="G554" s="52"/>
      <c r="H554" s="52"/>
      <c r="M554" s="21">
        <v>1</v>
      </c>
    </row>
    <row r="555" spans="2:13" ht="18">
      <c r="B555" s="52"/>
      <c r="C555" s="52"/>
      <c r="D555" s="52"/>
      <c r="E555" s="52"/>
      <c r="F555" s="52"/>
      <c r="G555" s="52"/>
      <c r="H555" s="52"/>
      <c r="M555" s="21">
        <v>1</v>
      </c>
    </row>
    <row r="556" spans="2:13" ht="18">
      <c r="B556" s="52"/>
      <c r="C556" s="52"/>
      <c r="D556" s="52"/>
      <c r="E556" s="52"/>
      <c r="F556" s="52"/>
      <c r="G556" s="52"/>
      <c r="H556" s="52"/>
      <c r="M556" s="21">
        <v>1</v>
      </c>
    </row>
    <row r="557" spans="2:13" ht="18">
      <c r="B557" s="52"/>
      <c r="C557" s="52"/>
      <c r="D557" s="52"/>
      <c r="E557" s="52"/>
      <c r="F557" s="52"/>
      <c r="G557" s="52"/>
      <c r="H557" s="52"/>
      <c r="M557" s="21">
        <v>1</v>
      </c>
    </row>
    <row r="558" spans="2:13" ht="18">
      <c r="B558" s="52"/>
      <c r="C558" s="52"/>
      <c r="D558" s="52"/>
      <c r="E558" s="52"/>
      <c r="F558" s="52"/>
      <c r="G558" s="52"/>
      <c r="H558" s="52"/>
      <c r="M558" s="21">
        <v>1</v>
      </c>
    </row>
    <row r="559" spans="2:13" ht="18">
      <c r="B559" s="52"/>
      <c r="C559" s="52"/>
      <c r="D559" s="52"/>
      <c r="E559" s="52"/>
      <c r="F559" s="52"/>
      <c r="G559" s="52"/>
      <c r="H559" s="52"/>
      <c r="M559" s="21">
        <v>1</v>
      </c>
    </row>
    <row r="560" spans="2:13" ht="18">
      <c r="B560" s="52"/>
      <c r="C560" s="52"/>
      <c r="D560" s="52"/>
      <c r="E560" s="52"/>
      <c r="F560" s="52"/>
      <c r="G560" s="52"/>
      <c r="H560" s="52"/>
      <c r="M560" s="21">
        <v>1</v>
      </c>
    </row>
    <row r="561" spans="2:13" ht="18">
      <c r="B561" s="52"/>
      <c r="C561" s="52"/>
      <c r="D561" s="52"/>
      <c r="E561" s="52"/>
      <c r="F561" s="52"/>
      <c r="G561" s="52"/>
      <c r="H561" s="52"/>
      <c r="M561" s="21">
        <v>1</v>
      </c>
    </row>
    <row r="562" spans="2:13" ht="18">
      <c r="B562" s="52"/>
      <c r="C562" s="52"/>
      <c r="D562" s="52"/>
      <c r="E562" s="52"/>
      <c r="F562" s="52"/>
      <c r="G562" s="52"/>
      <c r="H562" s="52"/>
      <c r="M562" s="21">
        <v>1</v>
      </c>
    </row>
    <row r="563" spans="2:13" ht="18">
      <c r="B563" s="52"/>
      <c r="C563" s="52"/>
      <c r="D563" s="52"/>
      <c r="E563" s="52"/>
      <c r="F563" s="52"/>
      <c r="G563" s="52"/>
      <c r="H563" s="52"/>
      <c r="M563" s="21">
        <v>1</v>
      </c>
    </row>
    <row r="564" spans="2:13" ht="18">
      <c r="B564" s="52"/>
      <c r="C564" s="52"/>
      <c r="D564" s="52"/>
      <c r="E564" s="52"/>
      <c r="F564" s="52"/>
      <c r="G564" s="52"/>
      <c r="H564" s="52"/>
      <c r="M564" s="21">
        <v>1</v>
      </c>
    </row>
    <row r="565" spans="2:13" ht="18">
      <c r="B565" s="52"/>
      <c r="C565" s="52"/>
      <c r="D565" s="52"/>
      <c r="E565" s="52"/>
      <c r="F565" s="52"/>
      <c r="G565" s="52"/>
      <c r="H565" s="52"/>
      <c r="M565" s="21">
        <v>1</v>
      </c>
    </row>
    <row r="566" spans="2:13" ht="18">
      <c r="B566" s="52"/>
      <c r="C566" s="52"/>
      <c r="D566" s="52"/>
      <c r="E566" s="52"/>
      <c r="F566" s="52"/>
      <c r="G566" s="52"/>
      <c r="H566" s="52"/>
      <c r="M566" s="21">
        <v>1</v>
      </c>
    </row>
    <row r="567" spans="2:13" ht="18">
      <c r="B567" s="52"/>
      <c r="C567" s="52"/>
      <c r="D567" s="52"/>
      <c r="E567" s="52"/>
      <c r="F567" s="52"/>
      <c r="G567" s="52"/>
      <c r="H567" s="52"/>
      <c r="M567" s="21">
        <v>1</v>
      </c>
    </row>
    <row r="568" spans="2:13" ht="18">
      <c r="B568" s="52"/>
      <c r="C568" s="52"/>
      <c r="D568" s="52"/>
      <c r="E568" s="52"/>
      <c r="F568" s="52"/>
      <c r="G568" s="52"/>
      <c r="H568" s="52"/>
      <c r="M568" s="21">
        <v>1</v>
      </c>
    </row>
    <row r="569" spans="2:13" ht="18">
      <c r="B569" s="52"/>
      <c r="C569" s="52"/>
      <c r="D569" s="52"/>
      <c r="E569" s="52"/>
      <c r="F569" s="52"/>
      <c r="G569" s="52"/>
      <c r="H569" s="52"/>
      <c r="M569" s="21">
        <v>1</v>
      </c>
    </row>
    <row r="570" spans="2:13" ht="18">
      <c r="B570" s="52"/>
      <c r="C570" s="52"/>
      <c r="D570" s="52"/>
      <c r="E570" s="52"/>
      <c r="F570" s="52"/>
      <c r="G570" s="52"/>
      <c r="H570" s="52"/>
      <c r="M570" s="21">
        <v>1</v>
      </c>
    </row>
    <row r="571" spans="2:13" ht="18">
      <c r="B571" s="52"/>
      <c r="C571" s="52"/>
      <c r="D571" s="52"/>
      <c r="E571" s="52"/>
      <c r="F571" s="52"/>
      <c r="G571" s="52"/>
      <c r="H571" s="52"/>
      <c r="M571" s="21">
        <v>1</v>
      </c>
    </row>
    <row r="572" spans="2:13" ht="18">
      <c r="B572" s="52"/>
      <c r="C572" s="52"/>
      <c r="D572" s="52"/>
      <c r="E572" s="52"/>
      <c r="F572" s="52"/>
      <c r="G572" s="52"/>
      <c r="H572" s="52"/>
      <c r="M572" s="21">
        <v>1</v>
      </c>
    </row>
    <row r="573" spans="2:13" ht="18">
      <c r="B573" s="52"/>
      <c r="C573" s="52"/>
      <c r="D573" s="52"/>
      <c r="E573" s="52"/>
      <c r="F573" s="52"/>
      <c r="G573" s="52"/>
      <c r="H573" s="52"/>
      <c r="M573" s="21">
        <v>1</v>
      </c>
    </row>
    <row r="574" spans="2:13" ht="18">
      <c r="B574" s="52"/>
      <c r="C574" s="52"/>
      <c r="D574" s="52"/>
      <c r="E574" s="52"/>
      <c r="F574" s="52"/>
      <c r="G574" s="52"/>
      <c r="H574" s="52"/>
      <c r="M574" s="21">
        <v>1</v>
      </c>
    </row>
    <row r="575" spans="2:13" ht="18">
      <c r="B575" s="52"/>
      <c r="C575" s="52"/>
      <c r="D575" s="52"/>
      <c r="E575" s="52"/>
      <c r="F575" s="52"/>
      <c r="G575" s="52"/>
      <c r="H575" s="52"/>
      <c r="M575" s="21">
        <v>1</v>
      </c>
    </row>
    <row r="576" spans="2:13" ht="18">
      <c r="B576" s="52"/>
      <c r="C576" s="52"/>
      <c r="D576" s="52"/>
      <c r="E576" s="52"/>
      <c r="F576" s="52"/>
      <c r="G576" s="52"/>
      <c r="H576" s="52"/>
      <c r="M576" s="21">
        <v>1</v>
      </c>
    </row>
    <row r="577" spans="2:13" ht="18">
      <c r="B577" s="52"/>
      <c r="C577" s="52"/>
      <c r="D577" s="52"/>
      <c r="E577" s="52"/>
      <c r="F577" s="52"/>
      <c r="G577" s="52"/>
      <c r="H577" s="52"/>
      <c r="M577" s="21">
        <v>1</v>
      </c>
    </row>
    <row r="578" spans="2:13" ht="18">
      <c r="B578" s="52"/>
      <c r="C578" s="52"/>
      <c r="D578" s="52"/>
      <c r="E578" s="52"/>
      <c r="F578" s="52"/>
      <c r="G578" s="52"/>
      <c r="H578" s="52"/>
      <c r="M578" s="21">
        <v>1</v>
      </c>
    </row>
    <row r="579" spans="2:13" ht="18">
      <c r="B579" s="52"/>
      <c r="C579" s="52"/>
      <c r="D579" s="52"/>
      <c r="E579" s="52"/>
      <c r="F579" s="52"/>
      <c r="G579" s="52"/>
      <c r="H579" s="52"/>
      <c r="M579" s="21">
        <v>1</v>
      </c>
    </row>
    <row r="580" spans="2:13" ht="18">
      <c r="B580" s="52"/>
      <c r="C580" s="52"/>
      <c r="D580" s="52"/>
      <c r="E580" s="52"/>
      <c r="F580" s="52"/>
      <c r="G580" s="52"/>
      <c r="H580" s="52"/>
      <c r="M580" s="21">
        <v>1</v>
      </c>
    </row>
    <row r="581" spans="2:13" ht="18">
      <c r="B581" s="52"/>
      <c r="C581" s="52"/>
      <c r="D581" s="52"/>
      <c r="E581" s="52"/>
      <c r="F581" s="52"/>
      <c r="G581" s="52"/>
      <c r="H581" s="52"/>
      <c r="M581" s="21">
        <v>1</v>
      </c>
    </row>
    <row r="582" spans="2:13" ht="18">
      <c r="B582" s="52"/>
      <c r="C582" s="52"/>
      <c r="D582" s="52"/>
      <c r="E582" s="52"/>
      <c r="F582" s="52"/>
      <c r="G582" s="52"/>
      <c r="H582" s="52"/>
      <c r="M582" s="21">
        <v>1</v>
      </c>
    </row>
    <row r="583" spans="2:13" ht="18">
      <c r="B583" s="52"/>
      <c r="C583" s="52"/>
      <c r="D583" s="52"/>
      <c r="E583" s="52"/>
      <c r="F583" s="52"/>
      <c r="G583" s="52"/>
      <c r="H583" s="52"/>
      <c r="M583" s="21">
        <v>1</v>
      </c>
    </row>
    <row r="584" spans="2:13" ht="18">
      <c r="B584" s="52"/>
      <c r="C584" s="52"/>
      <c r="D584" s="52"/>
      <c r="E584" s="52"/>
      <c r="F584" s="52"/>
      <c r="G584" s="52"/>
      <c r="H584" s="52"/>
      <c r="M584" s="21">
        <v>1</v>
      </c>
    </row>
    <row r="585" spans="2:13" ht="18">
      <c r="B585" s="52"/>
      <c r="C585" s="52"/>
      <c r="D585" s="52"/>
      <c r="E585" s="52"/>
      <c r="F585" s="52"/>
      <c r="G585" s="52"/>
      <c r="H585" s="52"/>
      <c r="M585" s="21">
        <v>1</v>
      </c>
    </row>
    <row r="586" spans="2:13" ht="18">
      <c r="B586" s="52"/>
      <c r="C586" s="52"/>
      <c r="D586" s="52"/>
      <c r="E586" s="52"/>
      <c r="F586" s="52"/>
      <c r="G586" s="52"/>
      <c r="H586" s="52"/>
      <c r="M586" s="21">
        <v>1</v>
      </c>
    </row>
    <row r="587" spans="2:13" ht="18">
      <c r="B587" s="52"/>
      <c r="C587" s="52"/>
      <c r="D587" s="52"/>
      <c r="E587" s="52"/>
      <c r="F587" s="52"/>
      <c r="G587" s="52"/>
      <c r="H587" s="52"/>
      <c r="M587" s="21">
        <v>1</v>
      </c>
    </row>
    <row r="588" spans="2:13" ht="18">
      <c r="B588" s="52"/>
      <c r="C588" s="52"/>
      <c r="D588" s="52"/>
      <c r="E588" s="52"/>
      <c r="F588" s="52"/>
      <c r="G588" s="52"/>
      <c r="H588" s="52"/>
      <c r="M588" s="21">
        <v>1</v>
      </c>
    </row>
    <row r="589" spans="2:13" ht="18">
      <c r="B589" s="52"/>
      <c r="C589" s="52"/>
      <c r="D589" s="52"/>
      <c r="E589" s="52"/>
      <c r="F589" s="52"/>
      <c r="G589" s="52"/>
      <c r="H589" s="52"/>
      <c r="M589" s="21">
        <v>1</v>
      </c>
    </row>
    <row r="590" spans="2:13" ht="18">
      <c r="B590" s="52"/>
      <c r="C590" s="52"/>
      <c r="D590" s="52"/>
      <c r="E590" s="52"/>
      <c r="F590" s="52"/>
      <c r="G590" s="52"/>
      <c r="H590" s="52"/>
      <c r="M590" s="21">
        <v>1</v>
      </c>
    </row>
    <row r="591" spans="2:13" ht="18">
      <c r="B591" s="52"/>
      <c r="C591" s="52"/>
      <c r="D591" s="52"/>
      <c r="E591" s="52"/>
      <c r="F591" s="52"/>
      <c r="G591" s="52"/>
      <c r="H591" s="52"/>
      <c r="M591" s="21">
        <v>1</v>
      </c>
    </row>
    <row r="592" spans="2:13" ht="18">
      <c r="B592" s="52"/>
      <c r="C592" s="52"/>
      <c r="D592" s="52"/>
      <c r="E592" s="52"/>
      <c r="F592" s="52"/>
      <c r="G592" s="52"/>
      <c r="H592" s="52"/>
      <c r="M592" s="21">
        <v>1</v>
      </c>
    </row>
    <row r="593" spans="2:13" ht="18">
      <c r="B593" s="52"/>
      <c r="C593" s="52"/>
      <c r="D593" s="52"/>
      <c r="E593" s="52"/>
      <c r="F593" s="52"/>
      <c r="G593" s="52"/>
      <c r="H593" s="52"/>
      <c r="M593" s="21">
        <v>1</v>
      </c>
    </row>
    <row r="594" spans="2:13" ht="18">
      <c r="B594" s="52"/>
      <c r="C594" s="52"/>
      <c r="D594" s="52"/>
      <c r="E594" s="52"/>
      <c r="F594" s="52"/>
      <c r="G594" s="52"/>
      <c r="H594" s="52"/>
      <c r="M594" s="21">
        <v>1</v>
      </c>
    </row>
    <row r="595" spans="2:13" ht="18">
      <c r="B595" s="52"/>
      <c r="C595" s="52"/>
      <c r="D595" s="52"/>
      <c r="E595" s="52"/>
      <c r="F595" s="52"/>
      <c r="G595" s="52"/>
      <c r="H595" s="52"/>
      <c r="M595" s="21">
        <v>1</v>
      </c>
    </row>
    <row r="596" spans="2:13" ht="18">
      <c r="B596" s="52"/>
      <c r="C596" s="52"/>
      <c r="D596" s="52"/>
      <c r="E596" s="52"/>
      <c r="F596" s="52"/>
      <c r="G596" s="52"/>
      <c r="H596" s="52"/>
      <c r="M596" s="21">
        <v>1</v>
      </c>
    </row>
    <row r="597" spans="2:13" ht="18">
      <c r="B597" s="52"/>
      <c r="C597" s="52"/>
      <c r="D597" s="52"/>
      <c r="E597" s="52"/>
      <c r="F597" s="52"/>
      <c r="G597" s="52"/>
      <c r="H597" s="52"/>
      <c r="M597" s="21">
        <v>1</v>
      </c>
    </row>
    <row r="598" spans="2:13" ht="18">
      <c r="B598" s="52"/>
      <c r="C598" s="52"/>
      <c r="D598" s="52"/>
      <c r="E598" s="52"/>
      <c r="F598" s="52"/>
      <c r="G598" s="52"/>
      <c r="H598" s="52"/>
      <c r="M598" s="21">
        <v>1</v>
      </c>
    </row>
    <row r="599" spans="2:13" ht="18">
      <c r="B599" s="52"/>
      <c r="C599" s="52"/>
      <c r="D599" s="52"/>
      <c r="E599" s="52"/>
      <c r="F599" s="52"/>
      <c r="G599" s="52"/>
      <c r="H599" s="52"/>
      <c r="M599" s="21">
        <v>1</v>
      </c>
    </row>
    <row r="600" spans="2:13" ht="18">
      <c r="B600" s="52"/>
      <c r="C600" s="52"/>
      <c r="D600" s="52"/>
      <c r="E600" s="52"/>
      <c r="F600" s="52"/>
      <c r="G600" s="52"/>
      <c r="H600" s="52"/>
      <c r="M600" s="21">
        <v>1</v>
      </c>
    </row>
    <row r="601" spans="2:13" ht="18">
      <c r="B601" s="52"/>
      <c r="C601" s="52"/>
      <c r="D601" s="52"/>
      <c r="E601" s="52"/>
      <c r="F601" s="52"/>
      <c r="G601" s="52"/>
      <c r="H601" s="52"/>
      <c r="M601" s="21">
        <v>1</v>
      </c>
    </row>
    <row r="602" spans="2:13" ht="18">
      <c r="B602" s="52"/>
      <c r="C602" s="52"/>
      <c r="D602" s="52"/>
      <c r="E602" s="52"/>
      <c r="F602" s="52"/>
      <c r="G602" s="52"/>
      <c r="H602" s="52"/>
      <c r="M602" s="21">
        <v>1</v>
      </c>
    </row>
    <row r="603" spans="2:13" ht="18">
      <c r="B603" s="52"/>
      <c r="C603" s="52"/>
      <c r="D603" s="52"/>
      <c r="E603" s="52"/>
      <c r="F603" s="52"/>
      <c r="G603" s="52"/>
      <c r="H603" s="52"/>
      <c r="M603" s="21">
        <v>1</v>
      </c>
    </row>
    <row r="604" spans="2:13" ht="18">
      <c r="B604" s="52"/>
      <c r="C604" s="52"/>
      <c r="D604" s="52"/>
      <c r="E604" s="52"/>
      <c r="F604" s="52"/>
      <c r="G604" s="52"/>
      <c r="H604" s="52"/>
      <c r="M604" s="21">
        <v>1</v>
      </c>
    </row>
    <row r="605" spans="2:13" ht="18">
      <c r="B605" s="52"/>
      <c r="C605" s="52"/>
      <c r="D605" s="52"/>
      <c r="E605" s="52"/>
      <c r="F605" s="52"/>
      <c r="G605" s="52"/>
      <c r="H605" s="52"/>
      <c r="M605" s="21">
        <v>1</v>
      </c>
    </row>
    <row r="606" spans="2:13" ht="18">
      <c r="B606" s="52"/>
      <c r="C606" s="52"/>
      <c r="D606" s="52"/>
      <c r="E606" s="52"/>
      <c r="F606" s="52"/>
      <c r="G606" s="52"/>
      <c r="H606" s="52"/>
      <c r="M606" s="21">
        <v>1</v>
      </c>
    </row>
    <row r="607" spans="2:13" ht="18">
      <c r="B607" s="52"/>
      <c r="C607" s="52"/>
      <c r="D607" s="52"/>
      <c r="E607" s="52"/>
      <c r="F607" s="52"/>
      <c r="G607" s="52"/>
      <c r="H607" s="52"/>
      <c r="M607" s="21">
        <v>1</v>
      </c>
    </row>
    <row r="608" spans="2:13" ht="18">
      <c r="B608" s="52"/>
      <c r="C608" s="52"/>
      <c r="D608" s="52"/>
      <c r="E608" s="52"/>
      <c r="F608" s="52"/>
      <c r="G608" s="52"/>
      <c r="H608" s="52"/>
      <c r="M608" s="21">
        <v>1</v>
      </c>
    </row>
    <row r="609" spans="2:13" ht="18">
      <c r="B609" s="52"/>
      <c r="C609" s="52"/>
      <c r="D609" s="52"/>
      <c r="E609" s="52"/>
      <c r="F609" s="52"/>
      <c r="G609" s="52"/>
      <c r="H609" s="52"/>
      <c r="M609" s="21">
        <v>1</v>
      </c>
    </row>
    <row r="610" spans="2:13" ht="18">
      <c r="B610" s="52"/>
      <c r="C610" s="52"/>
      <c r="D610" s="52"/>
      <c r="E610" s="52"/>
      <c r="F610" s="52"/>
      <c r="G610" s="52"/>
      <c r="H610" s="52"/>
      <c r="M610" s="21">
        <v>1</v>
      </c>
    </row>
    <row r="611" spans="2:13" ht="18">
      <c r="B611" s="52"/>
      <c r="C611" s="52"/>
      <c r="D611" s="52"/>
      <c r="E611" s="52"/>
      <c r="F611" s="52"/>
      <c r="G611" s="52"/>
      <c r="H611" s="52"/>
      <c r="M611" s="21">
        <v>1</v>
      </c>
    </row>
    <row r="612" spans="2:13" ht="18">
      <c r="B612" s="52"/>
      <c r="C612" s="52"/>
      <c r="D612" s="52"/>
      <c r="E612" s="52"/>
      <c r="F612" s="52"/>
      <c r="G612" s="52"/>
      <c r="H612" s="52"/>
      <c r="M612" s="21">
        <v>1</v>
      </c>
    </row>
    <row r="613" spans="2:13" ht="18">
      <c r="B613" s="52"/>
      <c r="C613" s="52"/>
      <c r="D613" s="52"/>
      <c r="E613" s="52"/>
      <c r="F613" s="52"/>
      <c r="G613" s="52"/>
      <c r="H613" s="52"/>
      <c r="M613" s="21">
        <v>1</v>
      </c>
    </row>
    <row r="614" spans="2:13" ht="18">
      <c r="B614" s="52"/>
      <c r="C614" s="52"/>
      <c r="D614" s="52"/>
      <c r="E614" s="52"/>
      <c r="F614" s="52"/>
      <c r="G614" s="52"/>
      <c r="H614" s="52"/>
      <c r="M614" s="21">
        <v>1</v>
      </c>
    </row>
    <row r="615" spans="2:13" ht="18">
      <c r="B615" s="52"/>
      <c r="C615" s="52"/>
      <c r="D615" s="52"/>
      <c r="E615" s="52"/>
      <c r="F615" s="52"/>
      <c r="G615" s="52"/>
      <c r="H615" s="52"/>
      <c r="M615" s="21">
        <v>1</v>
      </c>
    </row>
    <row r="616" spans="2:13" ht="18">
      <c r="B616" s="52"/>
      <c r="C616" s="52"/>
      <c r="D616" s="52"/>
      <c r="E616" s="52"/>
      <c r="F616" s="52"/>
      <c r="G616" s="52"/>
      <c r="H616" s="52"/>
      <c r="M616" s="21">
        <v>1</v>
      </c>
    </row>
    <row r="617" spans="2:13" ht="18">
      <c r="B617" s="52"/>
      <c r="C617" s="52"/>
      <c r="D617" s="52"/>
      <c r="E617" s="52"/>
      <c r="F617" s="52"/>
      <c r="G617" s="52"/>
      <c r="H617" s="52"/>
      <c r="M617" s="21">
        <v>1</v>
      </c>
    </row>
    <row r="618" spans="2:13" ht="18">
      <c r="B618" s="52"/>
      <c r="C618" s="52"/>
      <c r="D618" s="52"/>
      <c r="E618" s="52"/>
      <c r="F618" s="52"/>
      <c r="G618" s="52"/>
      <c r="H618" s="52"/>
      <c r="M618" s="21">
        <v>1</v>
      </c>
    </row>
    <row r="619" spans="2:13" ht="18">
      <c r="B619" s="52"/>
      <c r="C619" s="52"/>
      <c r="D619" s="52"/>
      <c r="E619" s="52"/>
      <c r="F619" s="52"/>
      <c r="G619" s="52"/>
      <c r="H619" s="52"/>
      <c r="M619" s="21">
        <v>1</v>
      </c>
    </row>
    <row r="620" spans="2:13" ht="18">
      <c r="B620" s="52"/>
      <c r="C620" s="52"/>
      <c r="D620" s="52"/>
      <c r="E620" s="52"/>
      <c r="F620" s="52"/>
      <c r="G620" s="52"/>
      <c r="H620" s="52"/>
      <c r="M620" s="21">
        <v>1</v>
      </c>
    </row>
    <row r="621" spans="2:13" ht="18">
      <c r="B621" s="52"/>
      <c r="C621" s="52"/>
      <c r="D621" s="52"/>
      <c r="E621" s="52"/>
      <c r="F621" s="52"/>
      <c r="G621" s="52"/>
      <c r="H621" s="52"/>
      <c r="M621" s="21">
        <v>1</v>
      </c>
    </row>
    <row r="622" spans="2:13" ht="18">
      <c r="B622" s="52"/>
      <c r="C622" s="52"/>
      <c r="D622" s="52"/>
      <c r="E622" s="52"/>
      <c r="F622" s="52"/>
      <c r="G622" s="52"/>
      <c r="H622" s="52"/>
      <c r="M622" s="21">
        <v>1</v>
      </c>
    </row>
    <row r="623" spans="2:13" ht="18">
      <c r="B623" s="52"/>
      <c r="C623" s="52"/>
      <c r="D623" s="52"/>
      <c r="E623" s="52"/>
      <c r="F623" s="52"/>
      <c r="G623" s="52"/>
      <c r="H623" s="52"/>
      <c r="M623" s="21">
        <v>1</v>
      </c>
    </row>
    <row r="624" spans="2:13" ht="18">
      <c r="B624" s="52"/>
      <c r="C624" s="52"/>
      <c r="D624" s="52"/>
      <c r="E624" s="52"/>
      <c r="F624" s="52"/>
      <c r="G624" s="52"/>
      <c r="H624" s="52"/>
      <c r="M624" s="21">
        <v>1</v>
      </c>
    </row>
    <row r="625" spans="2:13" ht="18">
      <c r="B625" s="52"/>
      <c r="C625" s="52"/>
      <c r="D625" s="52"/>
      <c r="E625" s="52"/>
      <c r="F625" s="52"/>
      <c r="G625" s="52"/>
      <c r="H625" s="52"/>
      <c r="M625" s="21">
        <v>1</v>
      </c>
    </row>
    <row r="626" spans="2:13" ht="18">
      <c r="B626" s="52"/>
      <c r="C626" s="52"/>
      <c r="D626" s="52"/>
      <c r="E626" s="52"/>
      <c r="F626" s="52"/>
      <c r="G626" s="52"/>
      <c r="H626" s="52"/>
      <c r="M626" s="21">
        <v>1</v>
      </c>
    </row>
    <row r="627" spans="2:13" ht="18">
      <c r="B627" s="52"/>
      <c r="C627" s="52"/>
      <c r="D627" s="52"/>
      <c r="E627" s="52"/>
      <c r="F627" s="52"/>
      <c r="G627" s="52"/>
      <c r="H627" s="52"/>
      <c r="M627" s="21">
        <v>1</v>
      </c>
    </row>
    <row r="628" spans="2:13" ht="18">
      <c r="B628" s="52"/>
      <c r="C628" s="52"/>
      <c r="D628" s="52"/>
      <c r="E628" s="52"/>
      <c r="F628" s="52"/>
      <c r="G628" s="52"/>
      <c r="H628" s="52"/>
      <c r="M628" s="21">
        <v>1</v>
      </c>
    </row>
    <row r="629" spans="2:13" ht="18">
      <c r="B629" s="52"/>
      <c r="C629" s="52"/>
      <c r="D629" s="52"/>
      <c r="E629" s="52"/>
      <c r="F629" s="52"/>
      <c r="G629" s="52"/>
      <c r="H629" s="52"/>
      <c r="M629" s="21">
        <v>1</v>
      </c>
    </row>
    <row r="630" spans="2:13" ht="18">
      <c r="B630" s="52"/>
      <c r="C630" s="52"/>
      <c r="D630" s="52"/>
      <c r="E630" s="52"/>
      <c r="F630" s="52"/>
      <c r="G630" s="52"/>
      <c r="H630" s="52"/>
      <c r="M630" s="21">
        <v>1</v>
      </c>
    </row>
    <row r="631" spans="2:13" ht="18">
      <c r="B631" s="52"/>
      <c r="C631" s="52"/>
      <c r="D631" s="52"/>
      <c r="E631" s="52"/>
      <c r="F631" s="52"/>
      <c r="G631" s="52"/>
      <c r="H631" s="52"/>
      <c r="M631" s="21">
        <v>1</v>
      </c>
    </row>
    <row r="632" spans="2:13" ht="18">
      <c r="B632" s="52"/>
      <c r="C632" s="52"/>
      <c r="D632" s="52"/>
      <c r="E632" s="52"/>
      <c r="F632" s="52"/>
      <c r="G632" s="52"/>
      <c r="H632" s="52"/>
      <c r="M632" s="21">
        <v>1</v>
      </c>
    </row>
    <row r="633" spans="2:13" ht="18">
      <c r="B633" s="52"/>
      <c r="C633" s="52"/>
      <c r="D633" s="52"/>
      <c r="E633" s="52"/>
      <c r="F633" s="52"/>
      <c r="G633" s="52"/>
      <c r="H633" s="52"/>
      <c r="M633" s="21">
        <v>1</v>
      </c>
    </row>
    <row r="634" spans="2:13" ht="18">
      <c r="B634" s="52"/>
      <c r="C634" s="52"/>
      <c r="D634" s="52"/>
      <c r="E634" s="52"/>
      <c r="F634" s="52"/>
      <c r="G634" s="52"/>
      <c r="H634" s="52"/>
      <c r="M634" s="21">
        <v>1</v>
      </c>
    </row>
    <row r="635" spans="2:13" ht="18">
      <c r="B635" s="52"/>
      <c r="C635" s="52"/>
      <c r="D635" s="52"/>
      <c r="E635" s="52"/>
      <c r="F635" s="52"/>
      <c r="G635" s="52"/>
      <c r="H635" s="52"/>
      <c r="M635" s="21">
        <v>1</v>
      </c>
    </row>
    <row r="636" spans="2:13" ht="18">
      <c r="B636" s="52"/>
      <c r="C636" s="52"/>
      <c r="D636" s="52"/>
      <c r="E636" s="52"/>
      <c r="F636" s="52"/>
      <c r="G636" s="52"/>
      <c r="H636" s="52"/>
      <c r="M636" s="21">
        <v>1</v>
      </c>
    </row>
    <row r="637" spans="2:13" ht="18">
      <c r="B637" s="52"/>
      <c r="C637" s="52"/>
      <c r="D637" s="52"/>
      <c r="E637" s="52"/>
      <c r="F637" s="52"/>
      <c r="G637" s="52"/>
      <c r="H637" s="52"/>
      <c r="M637" s="21">
        <v>1</v>
      </c>
    </row>
    <row r="638" spans="2:13" ht="18">
      <c r="B638" s="52"/>
      <c r="C638" s="52"/>
      <c r="D638" s="52"/>
      <c r="E638" s="52"/>
      <c r="F638" s="52"/>
      <c r="G638" s="52"/>
      <c r="H638" s="52"/>
      <c r="M638" s="21">
        <v>1</v>
      </c>
    </row>
    <row r="639" spans="2:13" ht="18">
      <c r="B639" s="52"/>
      <c r="C639" s="52"/>
      <c r="D639" s="52"/>
      <c r="E639" s="52"/>
      <c r="F639" s="52"/>
      <c r="G639" s="52"/>
      <c r="H639" s="52"/>
      <c r="M639" s="21">
        <v>1</v>
      </c>
    </row>
    <row r="640" spans="2:13" ht="18">
      <c r="B640" s="52"/>
      <c r="C640" s="52"/>
      <c r="D640" s="52"/>
      <c r="E640" s="52"/>
      <c r="F640" s="52"/>
      <c r="G640" s="52"/>
      <c r="H640" s="52"/>
      <c r="M640" s="21">
        <v>1</v>
      </c>
    </row>
    <row r="641" spans="2:13" ht="18">
      <c r="B641" s="52"/>
      <c r="C641" s="52"/>
      <c r="D641" s="52"/>
      <c r="E641" s="52"/>
      <c r="F641" s="52"/>
      <c r="G641" s="52"/>
      <c r="H641" s="52"/>
      <c r="M641" s="21">
        <v>1</v>
      </c>
    </row>
    <row r="642" spans="2:13" ht="18">
      <c r="B642" s="52"/>
      <c r="C642" s="52"/>
      <c r="D642" s="52"/>
      <c r="E642" s="52"/>
      <c r="F642" s="52"/>
      <c r="G642" s="52"/>
      <c r="H642" s="52"/>
      <c r="M642" s="21">
        <v>1</v>
      </c>
    </row>
    <row r="643" spans="2:13" ht="18">
      <c r="B643" s="52"/>
      <c r="C643" s="52"/>
      <c r="D643" s="52"/>
      <c r="E643" s="52"/>
      <c r="F643" s="52"/>
      <c r="G643" s="52"/>
      <c r="H643" s="52"/>
      <c r="M643" s="21">
        <v>1</v>
      </c>
    </row>
    <row r="644" spans="2:13" ht="18">
      <c r="B644" s="52"/>
      <c r="C644" s="52"/>
      <c r="D644" s="52"/>
      <c r="E644" s="52"/>
      <c r="F644" s="52"/>
      <c r="G644" s="52"/>
      <c r="H644" s="52"/>
      <c r="M644" s="21">
        <v>1</v>
      </c>
    </row>
    <row r="645" spans="2:13" ht="18">
      <c r="B645" s="52"/>
      <c r="C645" s="52"/>
      <c r="D645" s="52"/>
      <c r="E645" s="52"/>
      <c r="F645" s="52"/>
      <c r="G645" s="52"/>
      <c r="H645" s="52"/>
      <c r="M645" s="21">
        <v>1</v>
      </c>
    </row>
    <row r="646" spans="2:13" ht="18">
      <c r="B646" s="52"/>
      <c r="C646" s="52"/>
      <c r="D646" s="52"/>
      <c r="E646" s="52"/>
      <c r="F646" s="52"/>
      <c r="G646" s="52"/>
      <c r="H646" s="52"/>
      <c r="M646" s="21">
        <v>1</v>
      </c>
    </row>
    <row r="647" spans="2:13" ht="18">
      <c r="B647" s="52"/>
      <c r="C647" s="52"/>
      <c r="D647" s="52"/>
      <c r="E647" s="52"/>
      <c r="F647" s="52"/>
      <c r="G647" s="52"/>
      <c r="H647" s="52"/>
      <c r="M647" s="21">
        <v>1</v>
      </c>
    </row>
    <row r="648" spans="2:13" ht="18">
      <c r="B648" s="52"/>
      <c r="C648" s="52"/>
      <c r="D648" s="52"/>
      <c r="E648" s="52"/>
      <c r="F648" s="52"/>
      <c r="G648" s="52"/>
      <c r="H648" s="52"/>
      <c r="M648" s="21">
        <v>1</v>
      </c>
    </row>
    <row r="649" spans="2:13" ht="18">
      <c r="B649" s="52"/>
      <c r="C649" s="52"/>
      <c r="D649" s="52"/>
      <c r="E649" s="52"/>
      <c r="F649" s="52"/>
      <c r="G649" s="52"/>
      <c r="H649" s="52"/>
      <c r="M649" s="21">
        <v>1</v>
      </c>
    </row>
    <row r="650" spans="2:13" ht="18">
      <c r="B650" s="52"/>
      <c r="C650" s="52"/>
      <c r="D650" s="52"/>
      <c r="E650" s="52"/>
      <c r="F650" s="52"/>
      <c r="G650" s="52"/>
      <c r="H650" s="52"/>
      <c r="M650" s="21">
        <v>1</v>
      </c>
    </row>
    <row r="651" spans="2:13" ht="18">
      <c r="B651" s="52"/>
      <c r="C651" s="52"/>
      <c r="D651" s="52"/>
      <c r="E651" s="52"/>
      <c r="F651" s="52"/>
      <c r="G651" s="52"/>
      <c r="H651" s="52"/>
      <c r="M651" s="21">
        <v>1</v>
      </c>
    </row>
    <row r="652" spans="2:13" ht="18">
      <c r="B652" s="52"/>
      <c r="C652" s="52"/>
      <c r="D652" s="52"/>
      <c r="E652" s="52"/>
      <c r="F652" s="52"/>
      <c r="G652" s="52"/>
      <c r="H652" s="52"/>
      <c r="M652" s="21">
        <v>1</v>
      </c>
    </row>
    <row r="653" spans="2:13" ht="18">
      <c r="B653" s="52"/>
      <c r="C653" s="52"/>
      <c r="D653" s="52"/>
      <c r="E653" s="52"/>
      <c r="F653" s="52"/>
      <c r="G653" s="52"/>
      <c r="H653" s="52"/>
      <c r="M653" s="21">
        <v>1</v>
      </c>
    </row>
    <row r="654" spans="2:13" ht="18">
      <c r="B654" s="52"/>
      <c r="C654" s="52"/>
      <c r="D654" s="52"/>
      <c r="E654" s="52"/>
      <c r="F654" s="52"/>
      <c r="G654" s="52"/>
      <c r="H654" s="52"/>
      <c r="M654" s="21">
        <v>1</v>
      </c>
    </row>
    <row r="655" spans="2:13" ht="18">
      <c r="B655" s="52"/>
      <c r="C655" s="52"/>
      <c r="D655" s="52"/>
      <c r="E655" s="52"/>
      <c r="F655" s="52"/>
      <c r="G655" s="52"/>
      <c r="H655" s="52"/>
      <c r="M655" s="21">
        <v>1</v>
      </c>
    </row>
    <row r="656" spans="2:13" ht="18">
      <c r="B656" s="52"/>
      <c r="C656" s="52"/>
      <c r="D656" s="52"/>
      <c r="E656" s="52"/>
      <c r="F656" s="52"/>
      <c r="G656" s="52"/>
      <c r="H656" s="52"/>
      <c r="M656" s="21">
        <v>1</v>
      </c>
    </row>
    <row r="657" spans="2:13" ht="18">
      <c r="B657" s="52"/>
      <c r="C657" s="52"/>
      <c r="D657" s="52"/>
      <c r="E657" s="52"/>
      <c r="F657" s="52"/>
      <c r="G657" s="52"/>
      <c r="H657" s="52"/>
      <c r="M657" s="21">
        <v>1</v>
      </c>
    </row>
    <row r="658" spans="2:13" ht="18">
      <c r="B658" s="52"/>
      <c r="C658" s="52"/>
      <c r="D658" s="52"/>
      <c r="E658" s="52"/>
      <c r="F658" s="52"/>
      <c r="G658" s="52"/>
      <c r="H658" s="52"/>
      <c r="M658" s="21">
        <v>1</v>
      </c>
    </row>
    <row r="659" spans="2:13" ht="18">
      <c r="B659" s="52"/>
      <c r="C659" s="52"/>
      <c r="D659" s="52"/>
      <c r="E659" s="52"/>
      <c r="F659" s="52"/>
      <c r="G659" s="52"/>
      <c r="H659" s="52"/>
      <c r="M659" s="21">
        <v>1</v>
      </c>
    </row>
    <row r="660" spans="2:13" ht="18">
      <c r="B660" s="52"/>
      <c r="C660" s="52"/>
      <c r="D660" s="52"/>
      <c r="E660" s="52"/>
      <c r="F660" s="52"/>
      <c r="G660" s="52"/>
      <c r="H660" s="52"/>
      <c r="M660" s="21">
        <v>1</v>
      </c>
    </row>
    <row r="661" spans="2:13" ht="18">
      <c r="B661" s="52"/>
      <c r="C661" s="52"/>
      <c r="D661" s="52"/>
      <c r="E661" s="52"/>
      <c r="F661" s="52"/>
      <c r="G661" s="52"/>
      <c r="H661" s="52"/>
      <c r="M661" s="21">
        <v>1</v>
      </c>
    </row>
    <row r="662" spans="2:13" ht="18">
      <c r="B662" s="52"/>
      <c r="C662" s="52"/>
      <c r="D662" s="52"/>
      <c r="E662" s="52"/>
      <c r="F662" s="52"/>
      <c r="G662" s="52"/>
      <c r="H662" s="52"/>
      <c r="M662" s="21">
        <v>1</v>
      </c>
    </row>
    <row r="663" spans="2:13" ht="18">
      <c r="B663" s="52"/>
      <c r="C663" s="52"/>
      <c r="D663" s="52"/>
      <c r="E663" s="52"/>
      <c r="F663" s="52"/>
      <c r="G663" s="52"/>
      <c r="H663" s="52"/>
      <c r="M663" s="21">
        <v>1</v>
      </c>
    </row>
    <row r="664" spans="2:13" ht="18">
      <c r="B664" s="52"/>
      <c r="C664" s="52"/>
      <c r="D664" s="52"/>
      <c r="E664" s="52"/>
      <c r="F664" s="52"/>
      <c r="G664" s="52"/>
      <c r="H664" s="52"/>
      <c r="M664" s="21">
        <v>1</v>
      </c>
    </row>
    <row r="665" spans="2:13" ht="18">
      <c r="B665" s="52"/>
      <c r="C665" s="52"/>
      <c r="D665" s="52"/>
      <c r="E665" s="52"/>
      <c r="F665" s="52"/>
      <c r="G665" s="52"/>
      <c r="H665" s="52"/>
      <c r="M665" s="21">
        <v>1</v>
      </c>
    </row>
    <row r="666" spans="2:13" ht="18">
      <c r="B666" s="52"/>
      <c r="C666" s="52"/>
      <c r="D666" s="52"/>
      <c r="E666" s="52"/>
      <c r="F666" s="52"/>
      <c r="G666" s="52"/>
      <c r="H666" s="52"/>
      <c r="M666" s="21">
        <v>1</v>
      </c>
    </row>
    <row r="667" spans="2:13" ht="18">
      <c r="B667" s="52"/>
      <c r="C667" s="52"/>
      <c r="D667" s="52"/>
      <c r="E667" s="52"/>
      <c r="F667" s="52"/>
      <c r="G667" s="52"/>
      <c r="H667" s="52"/>
      <c r="M667" s="21">
        <v>1</v>
      </c>
    </row>
    <row r="668" spans="2:13" ht="18">
      <c r="B668" s="52"/>
      <c r="C668" s="52"/>
      <c r="D668" s="52"/>
      <c r="E668" s="52"/>
      <c r="F668" s="52"/>
      <c r="G668" s="52"/>
      <c r="H668" s="52"/>
      <c r="M668" s="21">
        <v>1</v>
      </c>
    </row>
    <row r="669" spans="2:13" ht="18">
      <c r="B669" s="52"/>
      <c r="C669" s="52"/>
      <c r="D669" s="52"/>
      <c r="E669" s="52"/>
      <c r="F669" s="52"/>
      <c r="G669" s="52"/>
      <c r="H669" s="52"/>
      <c r="M669" s="21">
        <v>1</v>
      </c>
    </row>
    <row r="670" spans="2:13" ht="18">
      <c r="B670" s="52"/>
      <c r="C670" s="52"/>
      <c r="D670" s="52"/>
      <c r="E670" s="52"/>
      <c r="F670" s="52"/>
      <c r="G670" s="52"/>
      <c r="H670" s="52"/>
      <c r="M670" s="21">
        <v>1</v>
      </c>
    </row>
    <row r="671" spans="2:13" ht="18">
      <c r="B671" s="52"/>
      <c r="C671" s="52"/>
      <c r="D671" s="52"/>
      <c r="E671" s="52"/>
      <c r="F671" s="52"/>
      <c r="G671" s="52"/>
      <c r="H671" s="52"/>
      <c r="M671" s="21">
        <v>1</v>
      </c>
    </row>
    <row r="672" spans="2:13" ht="18">
      <c r="B672" s="52"/>
      <c r="C672" s="52"/>
      <c r="D672" s="52"/>
      <c r="E672" s="52"/>
      <c r="F672" s="52"/>
      <c r="G672" s="52"/>
      <c r="H672" s="52"/>
      <c r="M672" s="21">
        <v>1</v>
      </c>
    </row>
    <row r="673" spans="2:13" ht="18">
      <c r="B673" s="52"/>
      <c r="C673" s="52"/>
      <c r="D673" s="52"/>
      <c r="E673" s="52"/>
      <c r="F673" s="52"/>
      <c r="G673" s="52"/>
      <c r="H673" s="52"/>
      <c r="M673" s="21">
        <v>1</v>
      </c>
    </row>
    <row r="674" spans="2:13" ht="18">
      <c r="B674" s="52"/>
      <c r="C674" s="52"/>
      <c r="D674" s="52"/>
      <c r="E674" s="52"/>
      <c r="F674" s="52"/>
      <c r="G674" s="52"/>
      <c r="H674" s="52"/>
      <c r="M674" s="21">
        <v>1</v>
      </c>
    </row>
    <row r="675" spans="2:13" ht="18">
      <c r="B675" s="52"/>
      <c r="C675" s="52"/>
      <c r="D675" s="52"/>
      <c r="E675" s="52"/>
      <c r="F675" s="52"/>
      <c r="G675" s="52"/>
      <c r="H675" s="52"/>
      <c r="M675" s="21">
        <v>1</v>
      </c>
    </row>
    <row r="676" spans="2:13" ht="18">
      <c r="B676" s="52"/>
      <c r="C676" s="52"/>
      <c r="D676" s="52"/>
      <c r="E676" s="52"/>
      <c r="F676" s="52"/>
      <c r="G676" s="52"/>
      <c r="H676" s="52"/>
      <c r="M676" s="21">
        <v>1</v>
      </c>
    </row>
    <row r="677" spans="2:13" ht="18">
      <c r="B677" s="52"/>
      <c r="C677" s="52"/>
      <c r="D677" s="52"/>
      <c r="E677" s="52"/>
      <c r="F677" s="52"/>
      <c r="G677" s="52"/>
      <c r="H677" s="52"/>
      <c r="M677" s="21">
        <v>1</v>
      </c>
    </row>
    <row r="678" spans="2:13" ht="18">
      <c r="B678" s="52"/>
      <c r="C678" s="52"/>
      <c r="D678" s="52"/>
      <c r="E678" s="52"/>
      <c r="F678" s="52"/>
      <c r="G678" s="52"/>
      <c r="H678" s="52"/>
      <c r="M678" s="21">
        <v>1</v>
      </c>
    </row>
    <row r="679" spans="2:13" ht="18">
      <c r="B679" s="52"/>
      <c r="C679" s="52"/>
      <c r="D679" s="52"/>
      <c r="E679" s="52"/>
      <c r="F679" s="52"/>
      <c r="G679" s="52"/>
      <c r="H679" s="52"/>
      <c r="M679" s="21">
        <v>1</v>
      </c>
    </row>
    <row r="680" spans="2:13" ht="18">
      <c r="B680" s="52"/>
      <c r="C680" s="52"/>
      <c r="D680" s="52"/>
      <c r="E680" s="52"/>
      <c r="F680" s="52"/>
      <c r="G680" s="52"/>
      <c r="H680" s="52"/>
      <c r="M680" s="21">
        <v>1</v>
      </c>
    </row>
    <row r="681" spans="2:13" ht="18">
      <c r="B681" s="52"/>
      <c r="C681" s="52"/>
      <c r="D681" s="52"/>
      <c r="E681" s="52"/>
      <c r="F681" s="52"/>
      <c r="G681" s="52"/>
      <c r="H681" s="52"/>
      <c r="M681" s="21">
        <v>1</v>
      </c>
    </row>
    <row r="682" spans="2:13" ht="18">
      <c r="B682" s="52"/>
      <c r="C682" s="52"/>
      <c r="D682" s="52"/>
      <c r="E682" s="52"/>
      <c r="F682" s="52"/>
      <c r="G682" s="52"/>
      <c r="H682" s="52"/>
      <c r="M682" s="21">
        <v>1</v>
      </c>
    </row>
    <row r="683" spans="2:13" ht="18">
      <c r="B683" s="52"/>
      <c r="C683" s="52"/>
      <c r="D683" s="52"/>
      <c r="E683" s="52"/>
      <c r="F683" s="52"/>
      <c r="G683" s="52"/>
      <c r="H683" s="52"/>
      <c r="M683" s="21">
        <v>1</v>
      </c>
    </row>
    <row r="684" spans="2:13" ht="18">
      <c r="B684" s="52"/>
      <c r="C684" s="52"/>
      <c r="D684" s="52"/>
      <c r="E684" s="52"/>
      <c r="F684" s="52"/>
      <c r="G684" s="52"/>
      <c r="H684" s="52"/>
      <c r="M684" s="21">
        <v>1</v>
      </c>
    </row>
    <row r="685" spans="2:13" ht="18">
      <c r="B685" s="52"/>
      <c r="C685" s="52"/>
      <c r="D685" s="52"/>
      <c r="E685" s="52"/>
      <c r="F685" s="52"/>
      <c r="G685" s="52"/>
      <c r="H685" s="52"/>
      <c r="M685" s="21">
        <v>1</v>
      </c>
    </row>
    <row r="686" spans="2:13" ht="18">
      <c r="B686" s="52"/>
      <c r="C686" s="52"/>
      <c r="D686" s="52"/>
      <c r="E686" s="52"/>
      <c r="F686" s="52"/>
      <c r="G686" s="52"/>
      <c r="H686" s="52"/>
      <c r="M686" s="21">
        <v>1</v>
      </c>
    </row>
    <row r="687" spans="2:13" ht="18">
      <c r="B687" s="52"/>
      <c r="C687" s="52"/>
      <c r="D687" s="52"/>
      <c r="E687" s="52"/>
      <c r="F687" s="52"/>
      <c r="G687" s="52"/>
      <c r="H687" s="52"/>
      <c r="M687" s="21">
        <v>1</v>
      </c>
    </row>
    <row r="688" spans="2:13" ht="18">
      <c r="B688" s="52"/>
      <c r="C688" s="52"/>
      <c r="D688" s="52"/>
      <c r="E688" s="52"/>
      <c r="F688" s="52"/>
      <c r="G688" s="52"/>
      <c r="H688" s="52"/>
      <c r="M688" s="21">
        <v>1</v>
      </c>
    </row>
    <row r="689" spans="2:13" ht="27.75" thickBot="1">
      <c r="B689" s="27" t="s">
        <v>3</v>
      </c>
      <c r="C689" s="27" t="s">
        <v>3</v>
      </c>
      <c r="D689" s="27" t="s">
        <v>3</v>
      </c>
      <c r="E689" s="28" t="s">
        <v>3</v>
      </c>
      <c r="F689" s="28" t="s">
        <v>3</v>
      </c>
      <c r="G689" s="28" t="s">
        <v>3</v>
      </c>
      <c r="H689" s="28" t="s">
        <v>3</v>
      </c>
      <c r="M689" s="21" t="s">
        <v>3</v>
      </c>
    </row>
    <row r="690" spans="2:13" ht="13.5" thickTop="1"/>
  </sheetData>
  <sheetProtection sheet="1" objects="1" scenarios="1" selectLockedCells="1"/>
  <customSheetViews>
    <customSheetView guid="{43751384-8D2C-4877-853C-4CE893CAF1E6}" showGridLines="0" showRowCol="0">
      <pane ySplit="8" topLeftCell="A33" activePane="bottomLeft" state="frozen"/>
      <selection pane="bottomLeft" activeCell="I3" sqref="I3"/>
      <pageMargins left="0.7" right="0.7" top="0.75" bottom="0.75" header="0.3" footer="0.3"/>
    </customSheetView>
    <customSheetView guid="{D80F4FD6-7D6D-4832-9A2E-4DEB1E783FB1}" showGridLines="0" showRowCol="0">
      <pane ySplit="8" topLeftCell="A301" activePane="bottomLeft" state="frozen"/>
      <selection pane="bottomLeft" activeCell="B315" sqref="B315"/>
      <pageMargins left="0.7" right="0.7" top="0.75" bottom="0.75" header="0.3" footer="0.3"/>
    </customSheetView>
    <customSheetView guid="{0A4EA429-3B60-4229-BB25-AADA8CCE0D84}" showGridLines="0" showRowCol="0">
      <pane ySplit="7" topLeftCell="A9" activePane="bottomLeft" state="frozen"/>
      <selection pane="bottomLeft" activeCell="I3" sqref="I3"/>
      <pageMargins left="0.7" right="0.7" top="0.75" bottom="0.75" header="0.3" footer="0.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688">
      <formula1>$O$10:$O$29</formula1>
    </dataValidation>
    <dataValidation type="list" allowBlank="1" showDropDown="1" showInputMessage="1" showErrorMessage="1" sqref="C9:C688">
      <formula1>$O$32:$O$65</formula1>
    </dataValidation>
    <dataValidation type="list" allowBlank="1" showDropDown="1" showInputMessage="1" showErrorMessage="1" sqref="B9:B688">
      <formula1>$C$6</formula1>
    </dataValidation>
    <dataValidation allowBlank="1" showInputMessage="1" showErrorMessage="1" errorTitle="Dato no valido" error="El valor esta fuera de rango [0,30] o No es un numero" sqref="E9:H688"/>
  </dataValidations>
  <hyperlinks>
    <hyperlink ref="I2" location="PPrincipal!A1" display="* Pagina Principal"/>
    <hyperlink ref="I3" location="Monagas!A1" display="Monagas"/>
    <hyperlink ref="I4" location="'Nueva Esparta'!A1" display="Nueva Esparta"/>
    <hyperlink ref="I5" location="Sucre!A1" display="Sucre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4" sqref="J4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77"/>
    </row>
    <row r="2" spans="1:11" ht="15" customHeight="1">
      <c r="J2" s="79" t="s">
        <v>7</v>
      </c>
      <c r="K2" s="108"/>
    </row>
    <row r="3" spans="1:11" ht="15" customHeight="1">
      <c r="J3" s="79" t="s">
        <v>79</v>
      </c>
      <c r="K3" s="108"/>
    </row>
    <row r="4" spans="1:11" ht="15" customHeight="1">
      <c r="J4" s="79" t="s">
        <v>80</v>
      </c>
      <c r="K4" s="108"/>
    </row>
    <row r="5" spans="1:11" ht="15" customHeight="1">
      <c r="G5" s="56"/>
      <c r="J5" s="79" t="s">
        <v>81</v>
      </c>
      <c r="K5" s="108"/>
    </row>
    <row r="6" spans="1:11" ht="15" customHeight="1">
      <c r="A6" s="185" t="s">
        <v>53</v>
      </c>
      <c r="B6" s="185"/>
      <c r="C6" s="185"/>
      <c r="D6" s="185"/>
      <c r="E6" s="185"/>
      <c r="F6" s="185"/>
    </row>
    <row r="25" spans="2:7" ht="22.5" customHeight="1">
      <c r="B25" s="185"/>
      <c r="C25" s="185"/>
      <c r="D25" s="185"/>
      <c r="E25" s="185"/>
      <c r="F25" s="185"/>
      <c r="G25" s="185"/>
    </row>
    <row r="44" spans="7:7" ht="22.5" customHeight="1">
      <c r="G44" s="56"/>
    </row>
  </sheetData>
  <customSheetViews>
    <customSheetView guid="{43751384-8D2C-4877-853C-4CE893CAF1E6}" showGridLines="0" showRowCol="0">
      <selection activeCell="J4" sqref="J4"/>
      <pageMargins left="0.7" right="0.7" top="0.75" bottom="0.75" header="0.3" footer="0.3"/>
    </customSheetView>
    <customSheetView guid="{D80F4FD6-7D6D-4832-9A2E-4DEB1E783FB1}" showGridLines="0" showRowCol="0">
      <selection activeCell="J4" sqref="J4"/>
      <pageMargins left="0.7" right="0.7" top="0.75" bottom="0.75" header="0.3" footer="0.3"/>
    </customSheetView>
    <customSheetView guid="{0A4EA429-3B60-4229-BB25-AADA8CCE0D84}" scale="60" showPageBreaks="1" showGridLines="0" showRowCol="0" printArea="1" view="pageBreakPreview">
      <selection activeCell="J4" sqref="J4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Monagas!A1" display="Monagas"/>
    <hyperlink ref="J4" location="'GNueva Esparta'!A1" display="Nueva Esparta"/>
    <hyperlink ref="J5" location="GSucre!A1" display="Sucre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57"/>
  <sheetViews>
    <sheetView showGridLines="0" showRowColHeaders="0" topLeftCell="A49" workbookViewId="0">
      <selection activeCell="Y4" sqref="Y4"/>
    </sheetView>
  </sheetViews>
  <sheetFormatPr baseColWidth="10" defaultRowHeight="15" customHeight="1"/>
  <cols>
    <col min="1" max="1" width="0.85546875" style="67" customWidth="1"/>
    <col min="2" max="2" width="7.710937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3.7109375" style="67" customWidth="1"/>
    <col min="25" max="25" width="11.28515625" style="67" customWidth="1"/>
    <col min="26" max="26" width="13.140625" style="67" customWidth="1"/>
    <col min="27" max="27" width="11" style="67" customWidth="1"/>
    <col min="28" max="28" width="6.5703125" style="67" customWidth="1"/>
    <col min="29" max="44" width="5" style="67" customWidth="1"/>
    <col min="45" max="45" width="3.140625" style="67" customWidth="1"/>
    <col min="46" max="48" width="11.28515625" style="67" customWidth="1"/>
    <col min="49" max="16384" width="11.42578125" style="67"/>
  </cols>
  <sheetData>
    <row r="1" spans="1:36" ht="31.5" customHeight="1">
      <c r="B1" s="186" t="s">
        <v>15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36" ht="15" customHeight="1">
      <c r="X2" s="84"/>
      <c r="Y2" s="79" t="s">
        <v>7</v>
      </c>
      <c r="Z2" s="84"/>
      <c r="AA2" s="85"/>
      <c r="AB2" s="87"/>
    </row>
    <row r="3" spans="1:36" ht="15" customHeight="1">
      <c r="X3" s="84"/>
      <c r="Y3" s="79" t="s">
        <v>79</v>
      </c>
      <c r="AA3" s="85"/>
      <c r="AB3" s="87"/>
    </row>
    <row r="4" spans="1:36" ht="15" customHeight="1">
      <c r="M4" s="61"/>
      <c r="N4" s="61"/>
      <c r="O4" s="61"/>
      <c r="X4" s="84"/>
      <c r="Y4" s="79" t="s">
        <v>80</v>
      </c>
      <c r="Z4" s="84"/>
      <c r="AA4" s="85"/>
      <c r="AB4" s="87"/>
    </row>
    <row r="5" spans="1:36" ht="15" customHeight="1">
      <c r="X5" s="84"/>
      <c r="Y5" s="79" t="s">
        <v>81</v>
      </c>
      <c r="Z5" s="84"/>
      <c r="AA5" s="85"/>
      <c r="AB5" s="87"/>
    </row>
    <row r="6" spans="1:36" s="1" customFormat="1" ht="15" customHeight="1" thickBot="1">
      <c r="A6" s="57"/>
      <c r="B6" s="64"/>
      <c r="C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Z6" s="67"/>
      <c r="AA6" s="67"/>
      <c r="AB6" s="67"/>
      <c r="AC6" s="67"/>
      <c r="AD6" s="67"/>
      <c r="AE6" s="67"/>
    </row>
    <row r="7" spans="1:36" s="65" customFormat="1" ht="15" customHeight="1">
      <c r="A7" s="58"/>
      <c r="B7" s="113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W7" s="67"/>
      <c r="X7" s="189" t="s">
        <v>6</v>
      </c>
      <c r="Y7" s="189" t="s">
        <v>50</v>
      </c>
      <c r="Z7" s="189" t="s">
        <v>51</v>
      </c>
      <c r="AA7" s="189" t="s">
        <v>52</v>
      </c>
      <c r="AB7" s="191" t="s">
        <v>4</v>
      </c>
    </row>
    <row r="8" spans="1:36" ht="15" customHeight="1" thickBot="1">
      <c r="B8" s="145" t="s">
        <v>2</v>
      </c>
      <c r="C8" s="137">
        <v>1</v>
      </c>
      <c r="D8" s="138">
        <v>2</v>
      </c>
      <c r="E8" s="138">
        <v>3</v>
      </c>
      <c r="F8" s="138">
        <v>4</v>
      </c>
      <c r="G8" s="138">
        <v>5</v>
      </c>
      <c r="H8" s="138">
        <v>6</v>
      </c>
      <c r="I8" s="138">
        <v>7</v>
      </c>
      <c r="J8" s="138">
        <v>8</v>
      </c>
      <c r="K8" s="138">
        <v>9</v>
      </c>
      <c r="L8" s="138">
        <v>10</v>
      </c>
      <c r="M8" s="138">
        <v>11</v>
      </c>
      <c r="N8" s="138">
        <v>12</v>
      </c>
      <c r="O8" s="138">
        <v>13</v>
      </c>
      <c r="P8" s="138">
        <v>14</v>
      </c>
      <c r="Q8" s="138">
        <v>15</v>
      </c>
      <c r="R8" s="138">
        <v>16</v>
      </c>
      <c r="S8" s="138">
        <v>17</v>
      </c>
      <c r="T8" s="138">
        <v>18</v>
      </c>
      <c r="U8" s="138">
        <v>19</v>
      </c>
      <c r="V8" s="139">
        <v>20</v>
      </c>
      <c r="X8" s="195"/>
      <c r="Y8" s="195" t="s">
        <v>10</v>
      </c>
      <c r="Z8" s="195" t="s">
        <v>11</v>
      </c>
      <c r="AA8" s="195" t="s">
        <v>12</v>
      </c>
      <c r="AB8" s="196" t="s">
        <v>4</v>
      </c>
      <c r="AE8" s="68"/>
      <c r="AF8" s="68"/>
      <c r="AG8" s="68"/>
      <c r="AH8" s="68"/>
      <c r="AI8" s="68"/>
      <c r="AJ8" s="68"/>
    </row>
    <row r="9" spans="1:36" ht="15" customHeight="1">
      <c r="B9" s="140">
        <v>1</v>
      </c>
      <c r="C9" s="141">
        <f t="shared" ref="C9:L18" si="0">SUMIFS(SumaAN,CentroAN,$B9,TurnoAN,C$8)</f>
        <v>2</v>
      </c>
      <c r="D9" s="141">
        <f t="shared" si="0"/>
        <v>1</v>
      </c>
      <c r="E9" s="141">
        <f t="shared" si="0"/>
        <v>2</v>
      </c>
      <c r="F9" s="141">
        <f t="shared" si="0"/>
        <v>1</v>
      </c>
      <c r="G9" s="141">
        <f t="shared" si="0"/>
        <v>1</v>
      </c>
      <c r="H9" s="141">
        <f t="shared" si="0"/>
        <v>1</v>
      </c>
      <c r="I9" s="141">
        <f t="shared" si="0"/>
        <v>0</v>
      </c>
      <c r="J9" s="141">
        <f t="shared" si="0"/>
        <v>1</v>
      </c>
      <c r="K9" s="141">
        <f t="shared" si="0"/>
        <v>1</v>
      </c>
      <c r="L9" s="141">
        <f t="shared" si="0"/>
        <v>1</v>
      </c>
      <c r="M9" s="141">
        <f t="shared" ref="M9:V18" si="1">SUMIFS(SumaAN,CentroAN,$B9,TurnoAN,M$8)</f>
        <v>1</v>
      </c>
      <c r="N9" s="141">
        <f t="shared" si="1"/>
        <v>0</v>
      </c>
      <c r="O9" s="141">
        <f t="shared" si="1"/>
        <v>0</v>
      </c>
      <c r="P9" s="141">
        <f t="shared" si="1"/>
        <v>0</v>
      </c>
      <c r="Q9" s="141">
        <f t="shared" si="1"/>
        <v>0</v>
      </c>
      <c r="R9" s="141">
        <f t="shared" si="1"/>
        <v>0</v>
      </c>
      <c r="S9" s="141">
        <f t="shared" si="1"/>
        <v>0</v>
      </c>
      <c r="T9" s="141">
        <f t="shared" si="1"/>
        <v>0</v>
      </c>
      <c r="U9" s="141">
        <f t="shared" si="1"/>
        <v>0</v>
      </c>
      <c r="V9" s="142">
        <f t="shared" si="1"/>
        <v>0</v>
      </c>
      <c r="X9" s="130" t="s">
        <v>54</v>
      </c>
      <c r="Y9" s="114">
        <f t="shared" ref="Y9:Y42" si="2">SUMIF(CentroAN,$B9,Tarek_Willians_Saab)</f>
        <v>112</v>
      </c>
      <c r="Z9" s="114">
        <f t="shared" ref="Z9:Z42" si="3">SUMIF(CentroAN,$B9,Gustavo_Marcano)</f>
        <v>65</v>
      </c>
      <c r="AA9" s="114">
        <f t="shared" ref="AA9:AA42" si="4">SUMIF(CentroAN,$B9,Benjamin_Rausseo)</f>
        <v>30</v>
      </c>
      <c r="AB9" s="132">
        <f t="shared" ref="AB9:AB42" si="5">SUMIF(CentroAN,$B9,OtroAN)</f>
        <v>1</v>
      </c>
    </row>
    <row r="10" spans="1:36" ht="15" customHeight="1">
      <c r="B10" s="143">
        <v>2</v>
      </c>
      <c r="C10" s="70">
        <f t="shared" si="0"/>
        <v>1</v>
      </c>
      <c r="D10" s="70">
        <f t="shared" si="0"/>
        <v>1</v>
      </c>
      <c r="E10" s="70">
        <f t="shared" si="0"/>
        <v>1</v>
      </c>
      <c r="F10" s="70">
        <f t="shared" si="0"/>
        <v>1</v>
      </c>
      <c r="G10" s="70">
        <f t="shared" si="0"/>
        <v>1</v>
      </c>
      <c r="H10" s="70">
        <f t="shared" si="0"/>
        <v>1</v>
      </c>
      <c r="I10" s="70">
        <f t="shared" si="0"/>
        <v>1</v>
      </c>
      <c r="J10" s="70">
        <f t="shared" si="0"/>
        <v>1</v>
      </c>
      <c r="K10" s="70">
        <f t="shared" si="0"/>
        <v>1</v>
      </c>
      <c r="L10" s="70">
        <f t="shared" si="0"/>
        <v>1</v>
      </c>
      <c r="M10" s="70">
        <f t="shared" si="1"/>
        <v>1</v>
      </c>
      <c r="N10" s="70">
        <f t="shared" si="1"/>
        <v>1</v>
      </c>
      <c r="O10" s="70">
        <f t="shared" si="1"/>
        <v>1</v>
      </c>
      <c r="P10" s="70">
        <f t="shared" si="1"/>
        <v>1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5">
        <f t="shared" si="1"/>
        <v>0</v>
      </c>
      <c r="X10" s="130" t="s">
        <v>54</v>
      </c>
      <c r="Y10" s="114">
        <f t="shared" si="2"/>
        <v>116</v>
      </c>
      <c r="Z10" s="114">
        <f t="shared" si="3"/>
        <v>72</v>
      </c>
      <c r="AA10" s="114">
        <f t="shared" si="4"/>
        <v>68</v>
      </c>
      <c r="AB10" s="132">
        <f t="shared" si="5"/>
        <v>0</v>
      </c>
    </row>
    <row r="11" spans="1:36" ht="15" customHeight="1">
      <c r="B11" s="143">
        <v>3</v>
      </c>
      <c r="C11" s="70">
        <f t="shared" si="0"/>
        <v>2</v>
      </c>
      <c r="D11" s="70">
        <f t="shared" si="0"/>
        <v>2</v>
      </c>
      <c r="E11" s="70">
        <f t="shared" si="0"/>
        <v>3</v>
      </c>
      <c r="F11" s="70">
        <f t="shared" si="0"/>
        <v>1</v>
      </c>
      <c r="G11" s="70">
        <f t="shared" si="0"/>
        <v>2</v>
      </c>
      <c r="H11" s="70">
        <f t="shared" si="0"/>
        <v>1</v>
      </c>
      <c r="I11" s="70">
        <f t="shared" si="0"/>
        <v>2</v>
      </c>
      <c r="J11" s="70">
        <f t="shared" si="0"/>
        <v>2</v>
      </c>
      <c r="K11" s="70">
        <f t="shared" si="0"/>
        <v>2</v>
      </c>
      <c r="L11" s="70">
        <f t="shared" si="0"/>
        <v>2</v>
      </c>
      <c r="M11" s="70">
        <f t="shared" si="1"/>
        <v>2</v>
      </c>
      <c r="N11" s="70">
        <f t="shared" si="1"/>
        <v>2</v>
      </c>
      <c r="O11" s="70">
        <f t="shared" si="1"/>
        <v>2</v>
      </c>
      <c r="P11" s="70">
        <f t="shared" si="1"/>
        <v>1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5">
        <f t="shared" si="1"/>
        <v>0</v>
      </c>
      <c r="X11" s="130" t="s">
        <v>54</v>
      </c>
      <c r="Y11" s="114">
        <f t="shared" si="2"/>
        <v>213</v>
      </c>
      <c r="Z11" s="114">
        <f t="shared" si="3"/>
        <v>166</v>
      </c>
      <c r="AA11" s="114">
        <f t="shared" si="4"/>
        <v>100</v>
      </c>
      <c r="AB11" s="132">
        <f t="shared" si="5"/>
        <v>0</v>
      </c>
    </row>
    <row r="12" spans="1:36" ht="15" customHeight="1">
      <c r="B12" s="143">
        <v>4</v>
      </c>
      <c r="C12" s="70">
        <f t="shared" si="0"/>
        <v>1</v>
      </c>
      <c r="D12" s="70">
        <f t="shared" si="0"/>
        <v>1</v>
      </c>
      <c r="E12" s="70">
        <f t="shared" si="0"/>
        <v>1</v>
      </c>
      <c r="F12" s="70">
        <f t="shared" si="0"/>
        <v>1</v>
      </c>
      <c r="G12" s="70">
        <f t="shared" si="0"/>
        <v>1</v>
      </c>
      <c r="H12" s="70">
        <f t="shared" si="0"/>
        <v>1</v>
      </c>
      <c r="I12" s="70">
        <f t="shared" si="0"/>
        <v>1</v>
      </c>
      <c r="J12" s="70">
        <f t="shared" si="0"/>
        <v>1</v>
      </c>
      <c r="K12" s="70">
        <f t="shared" si="0"/>
        <v>1</v>
      </c>
      <c r="L12" s="70">
        <f t="shared" si="0"/>
        <v>1</v>
      </c>
      <c r="M12" s="70">
        <f t="shared" si="1"/>
        <v>1</v>
      </c>
      <c r="N12" s="70">
        <f t="shared" si="1"/>
        <v>1</v>
      </c>
      <c r="O12" s="70">
        <f t="shared" si="1"/>
        <v>1</v>
      </c>
      <c r="P12" s="70">
        <f t="shared" si="1"/>
        <v>0</v>
      </c>
      <c r="Q12" s="70">
        <f t="shared" si="1"/>
        <v>0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135">
        <f t="shared" si="1"/>
        <v>0</v>
      </c>
      <c r="X12" s="130" t="s">
        <v>55</v>
      </c>
      <c r="Y12" s="114">
        <f t="shared" si="2"/>
        <v>584</v>
      </c>
      <c r="Z12" s="114">
        <f t="shared" si="3"/>
        <v>150</v>
      </c>
      <c r="AA12" s="114">
        <f t="shared" si="4"/>
        <v>7</v>
      </c>
      <c r="AB12" s="132">
        <f t="shared" si="5"/>
        <v>0</v>
      </c>
    </row>
    <row r="13" spans="1:36" ht="15" customHeight="1">
      <c r="B13" s="143">
        <v>5</v>
      </c>
      <c r="C13" s="70">
        <f t="shared" si="0"/>
        <v>1</v>
      </c>
      <c r="D13" s="70">
        <f t="shared" si="0"/>
        <v>2</v>
      </c>
      <c r="E13" s="70">
        <f t="shared" si="0"/>
        <v>1</v>
      </c>
      <c r="F13" s="70">
        <f t="shared" si="0"/>
        <v>1</v>
      </c>
      <c r="G13" s="70">
        <f t="shared" si="0"/>
        <v>1</v>
      </c>
      <c r="H13" s="70">
        <f t="shared" si="0"/>
        <v>1</v>
      </c>
      <c r="I13" s="70">
        <f t="shared" si="0"/>
        <v>1</v>
      </c>
      <c r="J13" s="70">
        <f t="shared" si="0"/>
        <v>1</v>
      </c>
      <c r="K13" s="70">
        <f t="shared" si="0"/>
        <v>1</v>
      </c>
      <c r="L13" s="70">
        <f t="shared" si="0"/>
        <v>1</v>
      </c>
      <c r="M13" s="70">
        <f t="shared" si="1"/>
        <v>1</v>
      </c>
      <c r="N13" s="70">
        <f t="shared" si="1"/>
        <v>1</v>
      </c>
      <c r="O13" s="70">
        <f t="shared" si="1"/>
        <v>2</v>
      </c>
      <c r="P13" s="70">
        <f t="shared" si="1"/>
        <v>1</v>
      </c>
      <c r="Q13" s="70">
        <f t="shared" si="1"/>
        <v>0</v>
      </c>
      <c r="R13" s="70">
        <f t="shared" si="1"/>
        <v>0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5">
        <f t="shared" si="1"/>
        <v>0</v>
      </c>
      <c r="X13" s="130" t="s">
        <v>16</v>
      </c>
      <c r="Y13" s="114">
        <f t="shared" si="2"/>
        <v>124</v>
      </c>
      <c r="Z13" s="114">
        <f t="shared" si="3"/>
        <v>112</v>
      </c>
      <c r="AA13" s="114">
        <f t="shared" si="4"/>
        <v>59</v>
      </c>
      <c r="AB13" s="132">
        <f t="shared" si="5"/>
        <v>27</v>
      </c>
    </row>
    <row r="14" spans="1:36" ht="15" customHeight="1">
      <c r="B14" s="143">
        <v>6</v>
      </c>
      <c r="C14" s="70">
        <f t="shared" si="0"/>
        <v>1</v>
      </c>
      <c r="D14" s="70">
        <f t="shared" si="0"/>
        <v>1</v>
      </c>
      <c r="E14" s="70">
        <f t="shared" si="0"/>
        <v>1</v>
      </c>
      <c r="F14" s="70">
        <f t="shared" si="0"/>
        <v>1</v>
      </c>
      <c r="G14" s="70">
        <f t="shared" si="0"/>
        <v>1</v>
      </c>
      <c r="H14" s="70">
        <f t="shared" si="0"/>
        <v>1</v>
      </c>
      <c r="I14" s="70">
        <f t="shared" si="0"/>
        <v>1</v>
      </c>
      <c r="J14" s="70">
        <f t="shared" si="0"/>
        <v>1</v>
      </c>
      <c r="K14" s="70">
        <f t="shared" si="0"/>
        <v>1</v>
      </c>
      <c r="L14" s="70">
        <f t="shared" si="0"/>
        <v>1</v>
      </c>
      <c r="M14" s="70">
        <f t="shared" si="1"/>
        <v>1</v>
      </c>
      <c r="N14" s="70">
        <f t="shared" si="1"/>
        <v>0</v>
      </c>
      <c r="O14" s="70">
        <f t="shared" si="1"/>
        <v>1</v>
      </c>
      <c r="P14" s="70">
        <f t="shared" si="1"/>
        <v>1</v>
      </c>
      <c r="Q14" s="70">
        <f t="shared" si="1"/>
        <v>1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5">
        <f t="shared" si="1"/>
        <v>0</v>
      </c>
      <c r="X14" s="130" t="s">
        <v>16</v>
      </c>
      <c r="Y14" s="114">
        <f t="shared" si="2"/>
        <v>121</v>
      </c>
      <c r="Z14" s="114">
        <f t="shared" si="3"/>
        <v>48</v>
      </c>
      <c r="AA14" s="114">
        <f t="shared" si="4"/>
        <v>68</v>
      </c>
      <c r="AB14" s="132">
        <f t="shared" si="5"/>
        <v>12</v>
      </c>
    </row>
    <row r="15" spans="1:36" ht="15" customHeight="1">
      <c r="B15" s="143">
        <v>7</v>
      </c>
      <c r="C15" s="70">
        <f t="shared" si="0"/>
        <v>0</v>
      </c>
      <c r="D15" s="70">
        <f t="shared" si="0"/>
        <v>0</v>
      </c>
      <c r="E15" s="70">
        <f t="shared" si="0"/>
        <v>0</v>
      </c>
      <c r="F15" s="70">
        <f t="shared" si="0"/>
        <v>0</v>
      </c>
      <c r="G15" s="70">
        <f t="shared" si="0"/>
        <v>0</v>
      </c>
      <c r="H15" s="70">
        <f t="shared" si="0"/>
        <v>0</v>
      </c>
      <c r="I15" s="70">
        <f t="shared" si="0"/>
        <v>0</v>
      </c>
      <c r="J15" s="70">
        <f t="shared" si="0"/>
        <v>0</v>
      </c>
      <c r="K15" s="70">
        <f t="shared" si="0"/>
        <v>0</v>
      </c>
      <c r="L15" s="70">
        <f t="shared" si="0"/>
        <v>0</v>
      </c>
      <c r="M15" s="70">
        <f t="shared" si="1"/>
        <v>0</v>
      </c>
      <c r="N15" s="70">
        <f t="shared" si="1"/>
        <v>0</v>
      </c>
      <c r="O15" s="70">
        <f t="shared" si="1"/>
        <v>0</v>
      </c>
      <c r="P15" s="70">
        <f t="shared" si="1"/>
        <v>0</v>
      </c>
      <c r="Q15" s="70">
        <f t="shared" si="1"/>
        <v>0</v>
      </c>
      <c r="R15" s="70">
        <f t="shared" si="1"/>
        <v>0</v>
      </c>
      <c r="S15" s="70">
        <f t="shared" si="1"/>
        <v>0</v>
      </c>
      <c r="T15" s="70">
        <f t="shared" si="1"/>
        <v>0</v>
      </c>
      <c r="U15" s="70">
        <f t="shared" si="1"/>
        <v>0</v>
      </c>
      <c r="V15" s="135">
        <f t="shared" si="1"/>
        <v>0</v>
      </c>
      <c r="X15" s="130" t="s">
        <v>16</v>
      </c>
      <c r="Y15" s="114">
        <f t="shared" si="2"/>
        <v>0</v>
      </c>
      <c r="Z15" s="114">
        <f t="shared" si="3"/>
        <v>0</v>
      </c>
      <c r="AA15" s="114">
        <f t="shared" si="4"/>
        <v>0</v>
      </c>
      <c r="AB15" s="132">
        <f t="shared" si="5"/>
        <v>0</v>
      </c>
    </row>
    <row r="16" spans="1:36" ht="15" customHeight="1">
      <c r="B16" s="143">
        <v>8</v>
      </c>
      <c r="C16" s="70">
        <f t="shared" si="0"/>
        <v>1</v>
      </c>
      <c r="D16" s="70">
        <f t="shared" si="0"/>
        <v>2</v>
      </c>
      <c r="E16" s="70">
        <f t="shared" si="0"/>
        <v>1</v>
      </c>
      <c r="F16" s="70">
        <f t="shared" si="0"/>
        <v>1</v>
      </c>
      <c r="G16" s="70">
        <f t="shared" si="0"/>
        <v>0</v>
      </c>
      <c r="H16" s="70">
        <f t="shared" si="0"/>
        <v>2</v>
      </c>
      <c r="I16" s="70">
        <f t="shared" si="0"/>
        <v>2</v>
      </c>
      <c r="J16" s="70">
        <f t="shared" si="0"/>
        <v>1</v>
      </c>
      <c r="K16" s="70">
        <f t="shared" si="0"/>
        <v>1</v>
      </c>
      <c r="L16" s="70">
        <f t="shared" si="0"/>
        <v>1</v>
      </c>
      <c r="M16" s="70">
        <f t="shared" si="1"/>
        <v>1</v>
      </c>
      <c r="N16" s="70">
        <f t="shared" si="1"/>
        <v>1</v>
      </c>
      <c r="O16" s="70">
        <f t="shared" si="1"/>
        <v>0</v>
      </c>
      <c r="P16" s="70">
        <f t="shared" si="1"/>
        <v>1</v>
      </c>
      <c r="Q16" s="70">
        <f t="shared" si="1"/>
        <v>0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1</v>
      </c>
      <c r="V16" s="135">
        <f t="shared" si="1"/>
        <v>0</v>
      </c>
      <c r="X16" s="130" t="s">
        <v>16</v>
      </c>
      <c r="Y16" s="114">
        <f t="shared" si="2"/>
        <v>188</v>
      </c>
      <c r="Z16" s="114">
        <f t="shared" si="3"/>
        <v>163</v>
      </c>
      <c r="AA16" s="114">
        <f t="shared" si="4"/>
        <v>59</v>
      </c>
      <c r="AB16" s="132">
        <f t="shared" si="5"/>
        <v>0</v>
      </c>
    </row>
    <row r="17" spans="2:28" ht="15" customHeight="1">
      <c r="B17" s="143">
        <v>9</v>
      </c>
      <c r="C17" s="70">
        <f t="shared" si="0"/>
        <v>2</v>
      </c>
      <c r="D17" s="70">
        <f t="shared" si="0"/>
        <v>0</v>
      </c>
      <c r="E17" s="70">
        <f t="shared" si="0"/>
        <v>1</v>
      </c>
      <c r="F17" s="70">
        <f t="shared" si="0"/>
        <v>1</v>
      </c>
      <c r="G17" s="70">
        <f t="shared" si="0"/>
        <v>1</v>
      </c>
      <c r="H17" s="70">
        <f t="shared" si="0"/>
        <v>1</v>
      </c>
      <c r="I17" s="70">
        <f t="shared" si="0"/>
        <v>1</v>
      </c>
      <c r="J17" s="70">
        <f t="shared" si="0"/>
        <v>1</v>
      </c>
      <c r="K17" s="70">
        <f t="shared" si="0"/>
        <v>1</v>
      </c>
      <c r="L17" s="70">
        <f t="shared" si="0"/>
        <v>1</v>
      </c>
      <c r="M17" s="70">
        <f t="shared" si="1"/>
        <v>1</v>
      </c>
      <c r="N17" s="70">
        <f t="shared" si="1"/>
        <v>1</v>
      </c>
      <c r="O17" s="70">
        <f t="shared" si="1"/>
        <v>1</v>
      </c>
      <c r="P17" s="70">
        <f t="shared" si="1"/>
        <v>1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5">
        <f t="shared" si="1"/>
        <v>0</v>
      </c>
      <c r="X17" s="130" t="s">
        <v>16</v>
      </c>
      <c r="Y17" s="114">
        <f t="shared" si="2"/>
        <v>563</v>
      </c>
      <c r="Z17" s="114">
        <f t="shared" si="3"/>
        <v>467</v>
      </c>
      <c r="AA17" s="114">
        <f t="shared" si="4"/>
        <v>126</v>
      </c>
      <c r="AB17" s="132">
        <f t="shared" si="5"/>
        <v>12</v>
      </c>
    </row>
    <row r="18" spans="2:28" ht="15" customHeight="1">
      <c r="B18" s="143">
        <v>10</v>
      </c>
      <c r="C18" s="70">
        <f t="shared" si="0"/>
        <v>1</v>
      </c>
      <c r="D18" s="70">
        <f t="shared" si="0"/>
        <v>1</v>
      </c>
      <c r="E18" s="70">
        <f t="shared" si="0"/>
        <v>1</v>
      </c>
      <c r="F18" s="70">
        <f t="shared" si="0"/>
        <v>1</v>
      </c>
      <c r="G18" s="70">
        <f t="shared" si="0"/>
        <v>1</v>
      </c>
      <c r="H18" s="70">
        <f t="shared" si="0"/>
        <v>1</v>
      </c>
      <c r="I18" s="70">
        <f t="shared" si="0"/>
        <v>1</v>
      </c>
      <c r="J18" s="70">
        <f t="shared" si="0"/>
        <v>1</v>
      </c>
      <c r="K18" s="70">
        <f t="shared" si="0"/>
        <v>2</v>
      </c>
      <c r="L18" s="70">
        <f t="shared" si="0"/>
        <v>1</v>
      </c>
      <c r="M18" s="70">
        <f t="shared" si="1"/>
        <v>0</v>
      </c>
      <c r="N18" s="70">
        <f t="shared" si="1"/>
        <v>0</v>
      </c>
      <c r="O18" s="70">
        <f t="shared" si="1"/>
        <v>0</v>
      </c>
      <c r="P18" s="70">
        <f t="shared" si="1"/>
        <v>0</v>
      </c>
      <c r="Q18" s="70">
        <f t="shared" si="1"/>
        <v>0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5">
        <f t="shared" si="1"/>
        <v>0</v>
      </c>
      <c r="X18" s="130" t="s">
        <v>16</v>
      </c>
      <c r="Y18" s="114">
        <f t="shared" si="2"/>
        <v>314</v>
      </c>
      <c r="Z18" s="114">
        <f t="shared" si="3"/>
        <v>101</v>
      </c>
      <c r="AA18" s="114">
        <f t="shared" si="4"/>
        <v>60</v>
      </c>
      <c r="AB18" s="132">
        <f t="shared" si="5"/>
        <v>0</v>
      </c>
    </row>
    <row r="19" spans="2:28" ht="15" customHeight="1">
      <c r="B19" s="143">
        <v>11</v>
      </c>
      <c r="C19" s="70">
        <f t="shared" ref="C19:L34" si="6">SUMIFS(SumaAN,CentroAN,$B19,TurnoAN,C$8)</f>
        <v>3</v>
      </c>
      <c r="D19" s="70">
        <f t="shared" si="6"/>
        <v>3</v>
      </c>
      <c r="E19" s="70">
        <f t="shared" si="6"/>
        <v>2</v>
      </c>
      <c r="F19" s="70">
        <f t="shared" si="6"/>
        <v>2</v>
      </c>
      <c r="G19" s="70">
        <f t="shared" si="6"/>
        <v>2</v>
      </c>
      <c r="H19" s="70">
        <f t="shared" si="6"/>
        <v>2</v>
      </c>
      <c r="I19" s="70">
        <f t="shared" si="6"/>
        <v>2</v>
      </c>
      <c r="J19" s="70">
        <f t="shared" si="6"/>
        <v>2</v>
      </c>
      <c r="K19" s="70">
        <f t="shared" si="6"/>
        <v>2</v>
      </c>
      <c r="L19" s="70">
        <f t="shared" si="6"/>
        <v>3</v>
      </c>
      <c r="M19" s="70">
        <f t="shared" ref="M19:V34" si="7">SUMIFS(SumaAN,CentroAN,$B19,TurnoAN,M$8)</f>
        <v>1</v>
      </c>
      <c r="N19" s="70">
        <f t="shared" si="7"/>
        <v>2</v>
      </c>
      <c r="O19" s="70">
        <f t="shared" si="7"/>
        <v>2</v>
      </c>
      <c r="P19" s="70">
        <f t="shared" si="7"/>
        <v>1</v>
      </c>
      <c r="Q19" s="70">
        <f t="shared" si="7"/>
        <v>0</v>
      </c>
      <c r="R19" s="70">
        <f t="shared" si="7"/>
        <v>0</v>
      </c>
      <c r="S19" s="70">
        <f t="shared" si="7"/>
        <v>0</v>
      </c>
      <c r="T19" s="70">
        <f t="shared" si="7"/>
        <v>0</v>
      </c>
      <c r="U19" s="70">
        <f t="shared" si="7"/>
        <v>0</v>
      </c>
      <c r="V19" s="135">
        <f t="shared" si="7"/>
        <v>0</v>
      </c>
      <c r="X19" s="130" t="s">
        <v>16</v>
      </c>
      <c r="Y19" s="114">
        <f t="shared" si="2"/>
        <v>325</v>
      </c>
      <c r="Z19" s="114">
        <f t="shared" si="3"/>
        <v>235</v>
      </c>
      <c r="AA19" s="114">
        <f t="shared" si="4"/>
        <v>101</v>
      </c>
      <c r="AB19" s="132">
        <f t="shared" si="5"/>
        <v>1</v>
      </c>
    </row>
    <row r="20" spans="2:28" ht="15" customHeight="1">
      <c r="B20" s="143">
        <v>12</v>
      </c>
      <c r="C20" s="70">
        <f t="shared" si="6"/>
        <v>1</v>
      </c>
      <c r="D20" s="70">
        <f t="shared" si="6"/>
        <v>1</v>
      </c>
      <c r="E20" s="70">
        <f t="shared" si="6"/>
        <v>1</v>
      </c>
      <c r="F20" s="70">
        <f t="shared" si="6"/>
        <v>1</v>
      </c>
      <c r="G20" s="70">
        <f t="shared" si="6"/>
        <v>1</v>
      </c>
      <c r="H20" s="70">
        <f t="shared" si="6"/>
        <v>1</v>
      </c>
      <c r="I20" s="70">
        <f t="shared" si="6"/>
        <v>1</v>
      </c>
      <c r="J20" s="70">
        <f t="shared" si="6"/>
        <v>1</v>
      </c>
      <c r="K20" s="70">
        <f t="shared" si="6"/>
        <v>1</v>
      </c>
      <c r="L20" s="70">
        <f t="shared" si="6"/>
        <v>0</v>
      </c>
      <c r="M20" s="70">
        <f t="shared" si="7"/>
        <v>1</v>
      </c>
      <c r="N20" s="70">
        <f t="shared" si="7"/>
        <v>1</v>
      </c>
      <c r="O20" s="70">
        <f t="shared" si="7"/>
        <v>1</v>
      </c>
      <c r="P20" s="70">
        <f t="shared" si="7"/>
        <v>1</v>
      </c>
      <c r="Q20" s="70">
        <f t="shared" si="7"/>
        <v>1</v>
      </c>
      <c r="R20" s="70">
        <f t="shared" si="7"/>
        <v>0</v>
      </c>
      <c r="S20" s="70">
        <f t="shared" si="7"/>
        <v>0</v>
      </c>
      <c r="T20" s="70">
        <f t="shared" si="7"/>
        <v>0</v>
      </c>
      <c r="U20" s="70">
        <f t="shared" si="7"/>
        <v>0</v>
      </c>
      <c r="V20" s="135">
        <f t="shared" si="7"/>
        <v>0</v>
      </c>
      <c r="X20" s="130" t="s">
        <v>16</v>
      </c>
      <c r="Y20" s="114">
        <f t="shared" si="2"/>
        <v>211</v>
      </c>
      <c r="Z20" s="114">
        <f t="shared" si="3"/>
        <v>225</v>
      </c>
      <c r="AA20" s="114">
        <f t="shared" si="4"/>
        <v>8</v>
      </c>
      <c r="AB20" s="132">
        <f t="shared" si="5"/>
        <v>1</v>
      </c>
    </row>
    <row r="21" spans="2:28" ht="15" customHeight="1">
      <c r="B21" s="143">
        <v>13</v>
      </c>
      <c r="C21" s="70">
        <f t="shared" si="6"/>
        <v>1</v>
      </c>
      <c r="D21" s="70">
        <f t="shared" si="6"/>
        <v>2</v>
      </c>
      <c r="E21" s="70">
        <f t="shared" si="6"/>
        <v>2</v>
      </c>
      <c r="F21" s="70">
        <f t="shared" si="6"/>
        <v>2</v>
      </c>
      <c r="G21" s="70">
        <f t="shared" si="6"/>
        <v>1</v>
      </c>
      <c r="H21" s="70">
        <f t="shared" si="6"/>
        <v>1</v>
      </c>
      <c r="I21" s="70">
        <f t="shared" si="6"/>
        <v>1</v>
      </c>
      <c r="J21" s="70">
        <f t="shared" si="6"/>
        <v>1</v>
      </c>
      <c r="K21" s="70">
        <f t="shared" si="6"/>
        <v>1</v>
      </c>
      <c r="L21" s="70">
        <f t="shared" si="6"/>
        <v>1</v>
      </c>
      <c r="M21" s="70">
        <f t="shared" si="7"/>
        <v>1</v>
      </c>
      <c r="N21" s="70">
        <f t="shared" si="7"/>
        <v>1</v>
      </c>
      <c r="O21" s="70">
        <f t="shared" si="7"/>
        <v>1</v>
      </c>
      <c r="P21" s="70">
        <f t="shared" si="7"/>
        <v>1</v>
      </c>
      <c r="Q21" s="70">
        <f t="shared" si="7"/>
        <v>1</v>
      </c>
      <c r="R21" s="70">
        <f t="shared" si="7"/>
        <v>0</v>
      </c>
      <c r="S21" s="70">
        <f t="shared" si="7"/>
        <v>0</v>
      </c>
      <c r="T21" s="70">
        <f t="shared" si="7"/>
        <v>0</v>
      </c>
      <c r="U21" s="70">
        <f t="shared" si="7"/>
        <v>0</v>
      </c>
      <c r="V21" s="135">
        <f t="shared" si="7"/>
        <v>0</v>
      </c>
      <c r="X21" s="130" t="s">
        <v>16</v>
      </c>
      <c r="Y21" s="114">
        <f t="shared" si="2"/>
        <v>187</v>
      </c>
      <c r="Z21" s="114">
        <f t="shared" si="3"/>
        <v>182</v>
      </c>
      <c r="AA21" s="114">
        <f t="shared" si="4"/>
        <v>28</v>
      </c>
      <c r="AB21" s="132">
        <f t="shared" si="5"/>
        <v>14</v>
      </c>
    </row>
    <row r="22" spans="2:28" ht="15" customHeight="1">
      <c r="B22" s="143">
        <v>14</v>
      </c>
      <c r="C22" s="70">
        <f t="shared" si="6"/>
        <v>2</v>
      </c>
      <c r="D22" s="70">
        <f t="shared" si="6"/>
        <v>2</v>
      </c>
      <c r="E22" s="70">
        <f t="shared" si="6"/>
        <v>2</v>
      </c>
      <c r="F22" s="70">
        <f t="shared" si="6"/>
        <v>2</v>
      </c>
      <c r="G22" s="70">
        <f t="shared" si="6"/>
        <v>1</v>
      </c>
      <c r="H22" s="70">
        <f t="shared" si="6"/>
        <v>1</v>
      </c>
      <c r="I22" s="70">
        <f t="shared" si="6"/>
        <v>2</v>
      </c>
      <c r="J22" s="70">
        <f t="shared" si="6"/>
        <v>2</v>
      </c>
      <c r="K22" s="70">
        <f t="shared" si="6"/>
        <v>2</v>
      </c>
      <c r="L22" s="70">
        <f t="shared" si="6"/>
        <v>2</v>
      </c>
      <c r="M22" s="70">
        <f t="shared" si="7"/>
        <v>2</v>
      </c>
      <c r="N22" s="70">
        <f t="shared" si="7"/>
        <v>2</v>
      </c>
      <c r="O22" s="70">
        <f t="shared" si="7"/>
        <v>1</v>
      </c>
      <c r="P22" s="70">
        <f t="shared" si="7"/>
        <v>1</v>
      </c>
      <c r="Q22" s="70">
        <f t="shared" si="7"/>
        <v>0</v>
      </c>
      <c r="R22" s="70">
        <f t="shared" si="7"/>
        <v>0</v>
      </c>
      <c r="S22" s="70">
        <f t="shared" si="7"/>
        <v>0</v>
      </c>
      <c r="T22" s="70">
        <f t="shared" si="7"/>
        <v>0</v>
      </c>
      <c r="U22" s="70">
        <f t="shared" si="7"/>
        <v>0</v>
      </c>
      <c r="V22" s="135">
        <f t="shared" si="7"/>
        <v>0</v>
      </c>
      <c r="X22" s="130" t="s">
        <v>56</v>
      </c>
      <c r="Y22" s="114">
        <f t="shared" si="2"/>
        <v>282</v>
      </c>
      <c r="Z22" s="114">
        <f t="shared" si="3"/>
        <v>136</v>
      </c>
      <c r="AA22" s="114">
        <f t="shared" si="4"/>
        <v>63</v>
      </c>
      <c r="AB22" s="132">
        <f t="shared" si="5"/>
        <v>2</v>
      </c>
    </row>
    <row r="23" spans="2:28" ht="15" customHeight="1">
      <c r="B23" s="143">
        <v>15</v>
      </c>
      <c r="C23" s="70">
        <f t="shared" si="6"/>
        <v>0</v>
      </c>
      <c r="D23" s="70">
        <f t="shared" si="6"/>
        <v>0</v>
      </c>
      <c r="E23" s="70">
        <f t="shared" si="6"/>
        <v>0</v>
      </c>
      <c r="F23" s="70">
        <f t="shared" si="6"/>
        <v>0</v>
      </c>
      <c r="G23" s="70">
        <f t="shared" si="6"/>
        <v>0</v>
      </c>
      <c r="H23" s="70">
        <f t="shared" si="6"/>
        <v>0</v>
      </c>
      <c r="I23" s="70">
        <f t="shared" si="6"/>
        <v>0</v>
      </c>
      <c r="J23" s="70">
        <f t="shared" si="6"/>
        <v>0</v>
      </c>
      <c r="K23" s="70">
        <f t="shared" si="6"/>
        <v>0</v>
      </c>
      <c r="L23" s="70">
        <f t="shared" si="6"/>
        <v>0</v>
      </c>
      <c r="M23" s="70">
        <f t="shared" si="7"/>
        <v>0</v>
      </c>
      <c r="N23" s="70">
        <f t="shared" si="7"/>
        <v>0</v>
      </c>
      <c r="O23" s="70">
        <f t="shared" si="7"/>
        <v>0</v>
      </c>
      <c r="P23" s="70">
        <f t="shared" si="7"/>
        <v>0</v>
      </c>
      <c r="Q23" s="70">
        <f t="shared" si="7"/>
        <v>0</v>
      </c>
      <c r="R23" s="70">
        <f t="shared" si="7"/>
        <v>0</v>
      </c>
      <c r="S23" s="70">
        <f t="shared" si="7"/>
        <v>0</v>
      </c>
      <c r="T23" s="70">
        <f t="shared" si="7"/>
        <v>0</v>
      </c>
      <c r="U23" s="70">
        <f t="shared" si="7"/>
        <v>0</v>
      </c>
      <c r="V23" s="135">
        <f t="shared" si="7"/>
        <v>0</v>
      </c>
      <c r="X23" s="130" t="s">
        <v>57</v>
      </c>
      <c r="Y23" s="114">
        <f t="shared" si="2"/>
        <v>0</v>
      </c>
      <c r="Z23" s="114">
        <f t="shared" si="3"/>
        <v>0</v>
      </c>
      <c r="AA23" s="114">
        <f t="shared" si="4"/>
        <v>0</v>
      </c>
      <c r="AB23" s="132">
        <f t="shared" si="5"/>
        <v>0</v>
      </c>
    </row>
    <row r="24" spans="2:28" ht="15" customHeight="1">
      <c r="B24" s="143">
        <v>16</v>
      </c>
      <c r="C24" s="70">
        <f t="shared" si="6"/>
        <v>1</v>
      </c>
      <c r="D24" s="70">
        <f t="shared" si="6"/>
        <v>1</v>
      </c>
      <c r="E24" s="70">
        <f t="shared" si="6"/>
        <v>1</v>
      </c>
      <c r="F24" s="70">
        <f t="shared" si="6"/>
        <v>1</v>
      </c>
      <c r="G24" s="70">
        <f t="shared" si="6"/>
        <v>1</v>
      </c>
      <c r="H24" s="70">
        <f t="shared" si="6"/>
        <v>1</v>
      </c>
      <c r="I24" s="70">
        <f t="shared" si="6"/>
        <v>1</v>
      </c>
      <c r="J24" s="70">
        <f t="shared" si="6"/>
        <v>1</v>
      </c>
      <c r="K24" s="70">
        <f t="shared" si="6"/>
        <v>1</v>
      </c>
      <c r="L24" s="70">
        <f t="shared" si="6"/>
        <v>1</v>
      </c>
      <c r="M24" s="70">
        <f t="shared" si="7"/>
        <v>0</v>
      </c>
      <c r="N24" s="70">
        <f t="shared" si="7"/>
        <v>1</v>
      </c>
      <c r="O24" s="70">
        <f t="shared" si="7"/>
        <v>1</v>
      </c>
      <c r="P24" s="70">
        <f t="shared" si="7"/>
        <v>0</v>
      </c>
      <c r="Q24" s="70">
        <f t="shared" si="7"/>
        <v>0</v>
      </c>
      <c r="R24" s="70">
        <f t="shared" si="7"/>
        <v>0</v>
      </c>
      <c r="S24" s="70">
        <f t="shared" si="7"/>
        <v>0</v>
      </c>
      <c r="T24" s="70">
        <f t="shared" si="7"/>
        <v>0</v>
      </c>
      <c r="U24" s="70">
        <f t="shared" si="7"/>
        <v>1</v>
      </c>
      <c r="V24" s="135">
        <f t="shared" si="7"/>
        <v>0</v>
      </c>
      <c r="X24" s="130" t="s">
        <v>57</v>
      </c>
      <c r="Y24" s="114">
        <f t="shared" si="2"/>
        <v>150</v>
      </c>
      <c r="Z24" s="114">
        <f t="shared" si="3"/>
        <v>71</v>
      </c>
      <c r="AA24" s="114">
        <f t="shared" si="4"/>
        <v>57</v>
      </c>
      <c r="AB24" s="132">
        <f t="shared" si="5"/>
        <v>0</v>
      </c>
    </row>
    <row r="25" spans="2:28" ht="15" customHeight="1">
      <c r="B25" s="143">
        <v>17</v>
      </c>
      <c r="C25" s="70">
        <f t="shared" si="6"/>
        <v>1</v>
      </c>
      <c r="D25" s="70">
        <f t="shared" si="6"/>
        <v>1</v>
      </c>
      <c r="E25" s="70">
        <f t="shared" si="6"/>
        <v>1</v>
      </c>
      <c r="F25" s="70">
        <f t="shared" si="6"/>
        <v>1</v>
      </c>
      <c r="G25" s="70">
        <f t="shared" si="6"/>
        <v>1</v>
      </c>
      <c r="H25" s="70">
        <f t="shared" si="6"/>
        <v>1</v>
      </c>
      <c r="I25" s="70">
        <f t="shared" si="6"/>
        <v>1</v>
      </c>
      <c r="J25" s="70">
        <f t="shared" si="6"/>
        <v>1</v>
      </c>
      <c r="K25" s="70">
        <f t="shared" si="6"/>
        <v>1</v>
      </c>
      <c r="L25" s="70">
        <f t="shared" si="6"/>
        <v>1</v>
      </c>
      <c r="M25" s="70">
        <f t="shared" si="7"/>
        <v>1</v>
      </c>
      <c r="N25" s="70">
        <f t="shared" si="7"/>
        <v>1</v>
      </c>
      <c r="O25" s="70">
        <f t="shared" si="7"/>
        <v>1</v>
      </c>
      <c r="P25" s="70">
        <f t="shared" si="7"/>
        <v>1</v>
      </c>
      <c r="Q25" s="70">
        <f t="shared" si="7"/>
        <v>1</v>
      </c>
      <c r="R25" s="70">
        <f t="shared" si="7"/>
        <v>1</v>
      </c>
      <c r="S25" s="70">
        <f t="shared" si="7"/>
        <v>0</v>
      </c>
      <c r="T25" s="70">
        <f t="shared" si="7"/>
        <v>0</v>
      </c>
      <c r="U25" s="70">
        <f t="shared" si="7"/>
        <v>0</v>
      </c>
      <c r="V25" s="135">
        <f t="shared" si="7"/>
        <v>0</v>
      </c>
      <c r="X25" s="130" t="s">
        <v>58</v>
      </c>
      <c r="Y25" s="114">
        <f t="shared" si="2"/>
        <v>225</v>
      </c>
      <c r="Z25" s="114">
        <f t="shared" si="3"/>
        <v>195</v>
      </c>
      <c r="AA25" s="114">
        <f t="shared" si="4"/>
        <v>116</v>
      </c>
      <c r="AB25" s="132">
        <f t="shared" si="5"/>
        <v>0</v>
      </c>
    </row>
    <row r="26" spans="2:28" ht="15" customHeight="1">
      <c r="B26" s="143">
        <v>18</v>
      </c>
      <c r="C26" s="70">
        <f t="shared" si="6"/>
        <v>1</v>
      </c>
      <c r="D26" s="70">
        <f t="shared" si="6"/>
        <v>2</v>
      </c>
      <c r="E26" s="70">
        <f t="shared" si="6"/>
        <v>1</v>
      </c>
      <c r="F26" s="70">
        <f t="shared" si="6"/>
        <v>1</v>
      </c>
      <c r="G26" s="70">
        <f t="shared" si="6"/>
        <v>0</v>
      </c>
      <c r="H26" s="70">
        <f t="shared" si="6"/>
        <v>0</v>
      </c>
      <c r="I26" s="70">
        <f t="shared" si="6"/>
        <v>0</v>
      </c>
      <c r="J26" s="70">
        <f t="shared" si="6"/>
        <v>0</v>
      </c>
      <c r="K26" s="70">
        <f t="shared" si="6"/>
        <v>1</v>
      </c>
      <c r="L26" s="70">
        <f t="shared" si="6"/>
        <v>1</v>
      </c>
      <c r="M26" s="70">
        <f t="shared" si="7"/>
        <v>1</v>
      </c>
      <c r="N26" s="70">
        <f t="shared" si="7"/>
        <v>1</v>
      </c>
      <c r="O26" s="70">
        <f t="shared" si="7"/>
        <v>1</v>
      </c>
      <c r="P26" s="70">
        <f t="shared" si="7"/>
        <v>1</v>
      </c>
      <c r="Q26" s="70">
        <f t="shared" si="7"/>
        <v>1</v>
      </c>
      <c r="R26" s="70">
        <f t="shared" si="7"/>
        <v>0</v>
      </c>
      <c r="S26" s="70">
        <f t="shared" si="7"/>
        <v>0</v>
      </c>
      <c r="T26" s="70">
        <f t="shared" si="7"/>
        <v>0</v>
      </c>
      <c r="U26" s="70">
        <f t="shared" si="7"/>
        <v>0</v>
      </c>
      <c r="V26" s="135">
        <f t="shared" si="7"/>
        <v>0</v>
      </c>
      <c r="X26" s="130" t="s">
        <v>58</v>
      </c>
      <c r="Y26" s="114">
        <f t="shared" si="2"/>
        <v>172</v>
      </c>
      <c r="Z26" s="114">
        <f t="shared" si="3"/>
        <v>149</v>
      </c>
      <c r="AA26" s="114">
        <f t="shared" si="4"/>
        <v>119</v>
      </c>
      <c r="AB26" s="132">
        <f t="shared" si="5"/>
        <v>0</v>
      </c>
    </row>
    <row r="27" spans="2:28" ht="15" customHeight="1">
      <c r="B27" s="143">
        <v>19</v>
      </c>
      <c r="C27" s="70">
        <f t="shared" si="6"/>
        <v>0</v>
      </c>
      <c r="D27" s="70">
        <f t="shared" si="6"/>
        <v>0</v>
      </c>
      <c r="E27" s="70">
        <f t="shared" si="6"/>
        <v>0</v>
      </c>
      <c r="F27" s="70">
        <f t="shared" si="6"/>
        <v>0</v>
      </c>
      <c r="G27" s="70">
        <f t="shared" si="6"/>
        <v>0</v>
      </c>
      <c r="H27" s="70">
        <f t="shared" si="6"/>
        <v>0</v>
      </c>
      <c r="I27" s="70">
        <f t="shared" si="6"/>
        <v>0</v>
      </c>
      <c r="J27" s="70">
        <f t="shared" si="6"/>
        <v>0</v>
      </c>
      <c r="K27" s="70">
        <f t="shared" si="6"/>
        <v>0</v>
      </c>
      <c r="L27" s="70">
        <f t="shared" si="6"/>
        <v>0</v>
      </c>
      <c r="M27" s="70">
        <f t="shared" si="7"/>
        <v>0</v>
      </c>
      <c r="N27" s="70">
        <f t="shared" si="7"/>
        <v>0</v>
      </c>
      <c r="O27" s="70">
        <f t="shared" si="7"/>
        <v>0</v>
      </c>
      <c r="P27" s="70">
        <f t="shared" si="7"/>
        <v>0</v>
      </c>
      <c r="Q27" s="70">
        <f t="shared" si="7"/>
        <v>0</v>
      </c>
      <c r="R27" s="70">
        <f t="shared" si="7"/>
        <v>0</v>
      </c>
      <c r="S27" s="70">
        <f t="shared" si="7"/>
        <v>0</v>
      </c>
      <c r="T27" s="70">
        <f t="shared" si="7"/>
        <v>0</v>
      </c>
      <c r="U27" s="70">
        <f t="shared" si="7"/>
        <v>0</v>
      </c>
      <c r="V27" s="135">
        <f t="shared" si="7"/>
        <v>0</v>
      </c>
      <c r="X27" s="130" t="s">
        <v>59</v>
      </c>
      <c r="Y27" s="114">
        <f t="shared" si="2"/>
        <v>0</v>
      </c>
      <c r="Z27" s="114">
        <f t="shared" si="3"/>
        <v>0</v>
      </c>
      <c r="AA27" s="114">
        <f t="shared" si="4"/>
        <v>0</v>
      </c>
      <c r="AB27" s="132">
        <f t="shared" si="5"/>
        <v>0</v>
      </c>
    </row>
    <row r="28" spans="2:28" ht="15" customHeight="1">
      <c r="B28" s="143">
        <v>20</v>
      </c>
      <c r="C28" s="70">
        <f t="shared" si="6"/>
        <v>1</v>
      </c>
      <c r="D28" s="70">
        <f t="shared" si="6"/>
        <v>1</v>
      </c>
      <c r="E28" s="70">
        <f t="shared" si="6"/>
        <v>1</v>
      </c>
      <c r="F28" s="70">
        <f t="shared" si="6"/>
        <v>1</v>
      </c>
      <c r="G28" s="70">
        <f t="shared" si="6"/>
        <v>1</v>
      </c>
      <c r="H28" s="70">
        <f t="shared" si="6"/>
        <v>1</v>
      </c>
      <c r="I28" s="70">
        <f t="shared" si="6"/>
        <v>1</v>
      </c>
      <c r="J28" s="70">
        <f t="shared" si="6"/>
        <v>1</v>
      </c>
      <c r="K28" s="70">
        <f t="shared" si="6"/>
        <v>1</v>
      </c>
      <c r="L28" s="70">
        <f t="shared" si="6"/>
        <v>1</v>
      </c>
      <c r="M28" s="70">
        <f t="shared" si="7"/>
        <v>1</v>
      </c>
      <c r="N28" s="70">
        <f t="shared" si="7"/>
        <v>1</v>
      </c>
      <c r="O28" s="70">
        <f t="shared" si="7"/>
        <v>1</v>
      </c>
      <c r="P28" s="70">
        <f t="shared" si="7"/>
        <v>0</v>
      </c>
      <c r="Q28" s="70">
        <f t="shared" si="7"/>
        <v>0</v>
      </c>
      <c r="R28" s="70">
        <f t="shared" si="7"/>
        <v>0</v>
      </c>
      <c r="S28" s="70">
        <f t="shared" si="7"/>
        <v>0</v>
      </c>
      <c r="T28" s="70">
        <f t="shared" si="7"/>
        <v>0</v>
      </c>
      <c r="U28" s="70">
        <f t="shared" si="7"/>
        <v>0</v>
      </c>
      <c r="V28" s="135">
        <f t="shared" si="7"/>
        <v>0</v>
      </c>
      <c r="X28" s="130" t="s">
        <v>9</v>
      </c>
      <c r="Y28" s="114">
        <f t="shared" si="2"/>
        <v>197</v>
      </c>
      <c r="Z28" s="114">
        <f t="shared" si="3"/>
        <v>142</v>
      </c>
      <c r="AA28" s="114">
        <f t="shared" si="4"/>
        <v>80</v>
      </c>
      <c r="AB28" s="132">
        <f t="shared" si="5"/>
        <v>32</v>
      </c>
    </row>
    <row r="29" spans="2:28" ht="15" customHeight="1">
      <c r="B29" s="143">
        <v>21</v>
      </c>
      <c r="C29" s="70">
        <f t="shared" si="6"/>
        <v>0</v>
      </c>
      <c r="D29" s="70">
        <f t="shared" si="6"/>
        <v>0</v>
      </c>
      <c r="E29" s="70">
        <f t="shared" si="6"/>
        <v>0</v>
      </c>
      <c r="F29" s="70">
        <f t="shared" si="6"/>
        <v>0</v>
      </c>
      <c r="G29" s="70">
        <f t="shared" si="6"/>
        <v>0</v>
      </c>
      <c r="H29" s="70">
        <f t="shared" si="6"/>
        <v>0</v>
      </c>
      <c r="I29" s="70">
        <f t="shared" si="6"/>
        <v>0</v>
      </c>
      <c r="J29" s="70">
        <f t="shared" si="6"/>
        <v>0</v>
      </c>
      <c r="K29" s="70">
        <f t="shared" si="6"/>
        <v>0</v>
      </c>
      <c r="L29" s="70">
        <f t="shared" si="6"/>
        <v>0</v>
      </c>
      <c r="M29" s="70">
        <f t="shared" si="7"/>
        <v>0</v>
      </c>
      <c r="N29" s="70">
        <f t="shared" si="7"/>
        <v>0</v>
      </c>
      <c r="O29" s="70">
        <f t="shared" si="7"/>
        <v>0</v>
      </c>
      <c r="P29" s="70">
        <f t="shared" si="7"/>
        <v>0</v>
      </c>
      <c r="Q29" s="70">
        <f t="shared" si="7"/>
        <v>0</v>
      </c>
      <c r="R29" s="70">
        <f t="shared" si="7"/>
        <v>0</v>
      </c>
      <c r="S29" s="70">
        <f t="shared" si="7"/>
        <v>0</v>
      </c>
      <c r="T29" s="70">
        <f t="shared" si="7"/>
        <v>0</v>
      </c>
      <c r="U29" s="70">
        <f t="shared" si="7"/>
        <v>0</v>
      </c>
      <c r="V29" s="135">
        <f t="shared" si="7"/>
        <v>0</v>
      </c>
      <c r="X29" s="130" t="s">
        <v>60</v>
      </c>
      <c r="Y29" s="114">
        <f t="shared" si="2"/>
        <v>0</v>
      </c>
      <c r="Z29" s="114">
        <f t="shared" si="3"/>
        <v>0</v>
      </c>
      <c r="AA29" s="114">
        <f t="shared" si="4"/>
        <v>0</v>
      </c>
      <c r="AB29" s="132">
        <f t="shared" si="5"/>
        <v>0</v>
      </c>
    </row>
    <row r="30" spans="2:28" ht="15" customHeight="1">
      <c r="B30" s="143">
        <v>22</v>
      </c>
      <c r="C30" s="70">
        <f t="shared" si="6"/>
        <v>1</v>
      </c>
      <c r="D30" s="70">
        <f t="shared" si="6"/>
        <v>1</v>
      </c>
      <c r="E30" s="70">
        <f t="shared" si="6"/>
        <v>1</v>
      </c>
      <c r="F30" s="70">
        <f t="shared" si="6"/>
        <v>1</v>
      </c>
      <c r="G30" s="70">
        <f t="shared" si="6"/>
        <v>1</v>
      </c>
      <c r="H30" s="70">
        <f t="shared" si="6"/>
        <v>1</v>
      </c>
      <c r="I30" s="70">
        <f t="shared" si="6"/>
        <v>1</v>
      </c>
      <c r="J30" s="70">
        <f t="shared" si="6"/>
        <v>1</v>
      </c>
      <c r="K30" s="70">
        <f t="shared" si="6"/>
        <v>1</v>
      </c>
      <c r="L30" s="70">
        <f t="shared" si="6"/>
        <v>1</v>
      </c>
      <c r="M30" s="70">
        <f t="shared" si="7"/>
        <v>1</v>
      </c>
      <c r="N30" s="70">
        <f t="shared" si="7"/>
        <v>1</v>
      </c>
      <c r="O30" s="70">
        <f t="shared" si="7"/>
        <v>1</v>
      </c>
      <c r="P30" s="70">
        <f t="shared" si="7"/>
        <v>1</v>
      </c>
      <c r="Q30" s="70">
        <f t="shared" si="7"/>
        <v>1</v>
      </c>
      <c r="R30" s="70">
        <f t="shared" si="7"/>
        <v>0</v>
      </c>
      <c r="S30" s="70">
        <f t="shared" si="7"/>
        <v>0</v>
      </c>
      <c r="T30" s="70">
        <f t="shared" si="7"/>
        <v>0</v>
      </c>
      <c r="U30" s="70">
        <f t="shared" si="7"/>
        <v>0</v>
      </c>
      <c r="V30" s="135">
        <f t="shared" si="7"/>
        <v>0</v>
      </c>
      <c r="X30" s="130" t="s">
        <v>61</v>
      </c>
      <c r="Y30" s="114">
        <f t="shared" si="2"/>
        <v>51</v>
      </c>
      <c r="Z30" s="114">
        <f t="shared" si="3"/>
        <v>75</v>
      </c>
      <c r="AA30" s="114">
        <f t="shared" si="4"/>
        <v>1</v>
      </c>
      <c r="AB30" s="132">
        <f t="shared" si="5"/>
        <v>0</v>
      </c>
    </row>
    <row r="31" spans="2:28" ht="15" customHeight="1">
      <c r="B31" s="143">
        <v>23</v>
      </c>
      <c r="C31" s="70">
        <f t="shared" si="6"/>
        <v>1</v>
      </c>
      <c r="D31" s="70">
        <f t="shared" si="6"/>
        <v>0</v>
      </c>
      <c r="E31" s="70">
        <f t="shared" si="6"/>
        <v>0</v>
      </c>
      <c r="F31" s="70">
        <f t="shared" si="6"/>
        <v>0</v>
      </c>
      <c r="G31" s="70">
        <f t="shared" si="6"/>
        <v>0</v>
      </c>
      <c r="H31" s="70">
        <f t="shared" si="6"/>
        <v>0</v>
      </c>
      <c r="I31" s="70">
        <f t="shared" si="6"/>
        <v>0</v>
      </c>
      <c r="J31" s="70">
        <f t="shared" si="6"/>
        <v>1</v>
      </c>
      <c r="K31" s="70">
        <f t="shared" si="6"/>
        <v>1</v>
      </c>
      <c r="L31" s="70">
        <f t="shared" si="6"/>
        <v>1</v>
      </c>
      <c r="M31" s="70">
        <f t="shared" si="7"/>
        <v>1</v>
      </c>
      <c r="N31" s="70">
        <f t="shared" si="7"/>
        <v>1</v>
      </c>
      <c r="O31" s="70">
        <f t="shared" si="7"/>
        <v>1</v>
      </c>
      <c r="P31" s="70">
        <f t="shared" si="7"/>
        <v>0</v>
      </c>
      <c r="Q31" s="70">
        <f t="shared" si="7"/>
        <v>0</v>
      </c>
      <c r="R31" s="70">
        <f t="shared" si="7"/>
        <v>0</v>
      </c>
      <c r="S31" s="70">
        <f t="shared" si="7"/>
        <v>0</v>
      </c>
      <c r="T31" s="70">
        <f t="shared" si="7"/>
        <v>0</v>
      </c>
      <c r="U31" s="70">
        <f t="shared" si="7"/>
        <v>0</v>
      </c>
      <c r="V31" s="135">
        <f t="shared" si="7"/>
        <v>0</v>
      </c>
      <c r="X31" s="130" t="s">
        <v>62</v>
      </c>
      <c r="Y31" s="114">
        <f t="shared" si="2"/>
        <v>32</v>
      </c>
      <c r="Z31" s="114">
        <f t="shared" si="3"/>
        <v>43</v>
      </c>
      <c r="AA31" s="114">
        <f t="shared" si="4"/>
        <v>3</v>
      </c>
      <c r="AB31" s="132">
        <f t="shared" si="5"/>
        <v>0</v>
      </c>
    </row>
    <row r="32" spans="2:28" ht="15" customHeight="1">
      <c r="B32" s="143">
        <v>24</v>
      </c>
      <c r="C32" s="70">
        <f t="shared" si="6"/>
        <v>0</v>
      </c>
      <c r="D32" s="70">
        <f t="shared" si="6"/>
        <v>0</v>
      </c>
      <c r="E32" s="70">
        <f t="shared" si="6"/>
        <v>0</v>
      </c>
      <c r="F32" s="70">
        <f t="shared" si="6"/>
        <v>0</v>
      </c>
      <c r="G32" s="70">
        <f t="shared" si="6"/>
        <v>0</v>
      </c>
      <c r="H32" s="70">
        <f t="shared" si="6"/>
        <v>0</v>
      </c>
      <c r="I32" s="70">
        <f t="shared" si="6"/>
        <v>0</v>
      </c>
      <c r="J32" s="70">
        <f t="shared" si="6"/>
        <v>0</v>
      </c>
      <c r="K32" s="70">
        <f t="shared" si="6"/>
        <v>0</v>
      </c>
      <c r="L32" s="70">
        <f t="shared" si="6"/>
        <v>0</v>
      </c>
      <c r="M32" s="70">
        <f t="shared" si="7"/>
        <v>0</v>
      </c>
      <c r="N32" s="70">
        <f t="shared" si="7"/>
        <v>0</v>
      </c>
      <c r="O32" s="70">
        <f t="shared" si="7"/>
        <v>0</v>
      </c>
      <c r="P32" s="70">
        <f t="shared" si="7"/>
        <v>0</v>
      </c>
      <c r="Q32" s="70">
        <f t="shared" si="7"/>
        <v>0</v>
      </c>
      <c r="R32" s="70">
        <f t="shared" si="7"/>
        <v>0</v>
      </c>
      <c r="S32" s="70">
        <f t="shared" si="7"/>
        <v>0</v>
      </c>
      <c r="T32" s="70">
        <f t="shared" si="7"/>
        <v>0</v>
      </c>
      <c r="U32" s="70">
        <f t="shared" si="7"/>
        <v>0</v>
      </c>
      <c r="V32" s="135">
        <f t="shared" si="7"/>
        <v>0</v>
      </c>
      <c r="X32" s="130" t="s">
        <v>63</v>
      </c>
      <c r="Y32" s="114">
        <f t="shared" si="2"/>
        <v>0</v>
      </c>
      <c r="Z32" s="114">
        <f t="shared" si="3"/>
        <v>0</v>
      </c>
      <c r="AA32" s="114">
        <f t="shared" si="4"/>
        <v>0</v>
      </c>
      <c r="AB32" s="132">
        <f t="shared" si="5"/>
        <v>0</v>
      </c>
    </row>
    <row r="33" spans="2:28" ht="15" customHeight="1">
      <c r="B33" s="143">
        <v>25</v>
      </c>
      <c r="C33" s="70">
        <f t="shared" si="6"/>
        <v>1</v>
      </c>
      <c r="D33" s="70">
        <f t="shared" si="6"/>
        <v>1</v>
      </c>
      <c r="E33" s="70">
        <f t="shared" si="6"/>
        <v>1</v>
      </c>
      <c r="F33" s="70">
        <f t="shared" si="6"/>
        <v>1</v>
      </c>
      <c r="G33" s="70">
        <f t="shared" si="6"/>
        <v>1</v>
      </c>
      <c r="H33" s="70">
        <f t="shared" si="6"/>
        <v>1</v>
      </c>
      <c r="I33" s="70">
        <f t="shared" si="6"/>
        <v>1</v>
      </c>
      <c r="J33" s="70">
        <f t="shared" si="6"/>
        <v>1</v>
      </c>
      <c r="K33" s="70">
        <f t="shared" si="6"/>
        <v>1</v>
      </c>
      <c r="L33" s="70">
        <f t="shared" si="6"/>
        <v>1</v>
      </c>
      <c r="M33" s="70">
        <f t="shared" si="7"/>
        <v>1</v>
      </c>
      <c r="N33" s="70">
        <f t="shared" si="7"/>
        <v>1</v>
      </c>
      <c r="O33" s="70">
        <f t="shared" si="7"/>
        <v>1</v>
      </c>
      <c r="P33" s="70">
        <f t="shared" si="7"/>
        <v>1</v>
      </c>
      <c r="Q33" s="70">
        <f t="shared" si="7"/>
        <v>1</v>
      </c>
      <c r="R33" s="70">
        <f t="shared" si="7"/>
        <v>0</v>
      </c>
      <c r="S33" s="70">
        <f t="shared" si="7"/>
        <v>0</v>
      </c>
      <c r="T33" s="70">
        <f t="shared" si="7"/>
        <v>0</v>
      </c>
      <c r="U33" s="70">
        <f t="shared" si="7"/>
        <v>0</v>
      </c>
      <c r="V33" s="135">
        <f t="shared" si="7"/>
        <v>0</v>
      </c>
      <c r="X33" s="130" t="s">
        <v>64</v>
      </c>
      <c r="Y33" s="114">
        <f t="shared" si="2"/>
        <v>241</v>
      </c>
      <c r="Z33" s="114">
        <f t="shared" si="3"/>
        <v>69</v>
      </c>
      <c r="AA33" s="114">
        <f t="shared" si="4"/>
        <v>2</v>
      </c>
      <c r="AB33" s="132">
        <f t="shared" si="5"/>
        <v>0</v>
      </c>
    </row>
    <row r="34" spans="2:28" ht="15" customHeight="1">
      <c r="B34" s="143">
        <v>26</v>
      </c>
      <c r="C34" s="70">
        <f t="shared" si="6"/>
        <v>1</v>
      </c>
      <c r="D34" s="70">
        <f t="shared" si="6"/>
        <v>0</v>
      </c>
      <c r="E34" s="70">
        <f t="shared" si="6"/>
        <v>2</v>
      </c>
      <c r="F34" s="70">
        <f t="shared" si="6"/>
        <v>1</v>
      </c>
      <c r="G34" s="70">
        <f t="shared" si="6"/>
        <v>1</v>
      </c>
      <c r="H34" s="70">
        <f t="shared" si="6"/>
        <v>1</v>
      </c>
      <c r="I34" s="70">
        <f t="shared" si="6"/>
        <v>1</v>
      </c>
      <c r="J34" s="70">
        <f t="shared" si="6"/>
        <v>1</v>
      </c>
      <c r="K34" s="70">
        <f t="shared" si="6"/>
        <v>0</v>
      </c>
      <c r="L34" s="70">
        <f t="shared" si="6"/>
        <v>1</v>
      </c>
      <c r="M34" s="70">
        <f t="shared" si="7"/>
        <v>1</v>
      </c>
      <c r="N34" s="70">
        <f t="shared" si="7"/>
        <v>1</v>
      </c>
      <c r="O34" s="70">
        <f t="shared" si="7"/>
        <v>1</v>
      </c>
      <c r="P34" s="70">
        <f t="shared" si="7"/>
        <v>1</v>
      </c>
      <c r="Q34" s="70">
        <f t="shared" si="7"/>
        <v>1</v>
      </c>
      <c r="R34" s="70">
        <f t="shared" si="7"/>
        <v>0</v>
      </c>
      <c r="S34" s="70">
        <f t="shared" si="7"/>
        <v>0</v>
      </c>
      <c r="T34" s="70">
        <f t="shared" si="7"/>
        <v>0</v>
      </c>
      <c r="U34" s="70">
        <f t="shared" si="7"/>
        <v>0</v>
      </c>
      <c r="V34" s="135">
        <f t="shared" si="7"/>
        <v>0</v>
      </c>
      <c r="X34" s="130" t="s">
        <v>64</v>
      </c>
      <c r="Y34" s="114">
        <f t="shared" si="2"/>
        <v>288</v>
      </c>
      <c r="Z34" s="114">
        <f t="shared" si="3"/>
        <v>109</v>
      </c>
      <c r="AA34" s="114">
        <f t="shared" si="4"/>
        <v>28</v>
      </c>
      <c r="AB34" s="132">
        <f t="shared" si="5"/>
        <v>14</v>
      </c>
    </row>
    <row r="35" spans="2:28" ht="15" customHeight="1">
      <c r="B35" s="143">
        <v>27</v>
      </c>
      <c r="C35" s="70">
        <f t="shared" ref="C35:R42" si="8">SUMIFS(SumaAN,CentroAN,$B35,TurnoAN,C$8)</f>
        <v>1</v>
      </c>
      <c r="D35" s="70">
        <f t="shared" si="8"/>
        <v>2</v>
      </c>
      <c r="E35" s="70">
        <f t="shared" si="8"/>
        <v>1</v>
      </c>
      <c r="F35" s="70">
        <f t="shared" si="8"/>
        <v>1</v>
      </c>
      <c r="G35" s="70">
        <f t="shared" si="8"/>
        <v>1</v>
      </c>
      <c r="H35" s="70">
        <f t="shared" si="8"/>
        <v>2</v>
      </c>
      <c r="I35" s="70">
        <f t="shared" si="8"/>
        <v>2</v>
      </c>
      <c r="J35" s="70">
        <f t="shared" si="8"/>
        <v>2</v>
      </c>
      <c r="K35" s="70">
        <f t="shared" si="8"/>
        <v>1</v>
      </c>
      <c r="L35" s="70">
        <f t="shared" si="8"/>
        <v>2</v>
      </c>
      <c r="M35" s="70">
        <f t="shared" si="8"/>
        <v>2</v>
      </c>
      <c r="N35" s="70">
        <f t="shared" si="8"/>
        <v>2</v>
      </c>
      <c r="O35" s="70">
        <f t="shared" si="8"/>
        <v>1</v>
      </c>
      <c r="P35" s="70">
        <f t="shared" si="8"/>
        <v>2</v>
      </c>
      <c r="Q35" s="70">
        <f t="shared" si="8"/>
        <v>2</v>
      </c>
      <c r="R35" s="70">
        <f t="shared" si="8"/>
        <v>0</v>
      </c>
      <c r="S35" s="70">
        <f t="shared" ref="M35:V42" si="9">SUMIFS(SumaAN,CentroAN,$B35,TurnoAN,S$8)</f>
        <v>0</v>
      </c>
      <c r="T35" s="70">
        <f t="shared" si="9"/>
        <v>0</v>
      </c>
      <c r="U35" s="70">
        <f t="shared" si="9"/>
        <v>0</v>
      </c>
      <c r="V35" s="135">
        <f t="shared" si="9"/>
        <v>0</v>
      </c>
      <c r="X35" s="130" t="s">
        <v>64</v>
      </c>
      <c r="Y35" s="114">
        <f t="shared" si="2"/>
        <v>316</v>
      </c>
      <c r="Z35" s="114">
        <f t="shared" si="3"/>
        <v>272</v>
      </c>
      <c r="AA35" s="114">
        <f t="shared" si="4"/>
        <v>21</v>
      </c>
      <c r="AB35" s="132">
        <f t="shared" si="5"/>
        <v>3</v>
      </c>
    </row>
    <row r="36" spans="2:28" ht="15" customHeight="1">
      <c r="B36" s="143">
        <v>28</v>
      </c>
      <c r="C36" s="70">
        <f t="shared" si="8"/>
        <v>0</v>
      </c>
      <c r="D36" s="70">
        <f t="shared" si="8"/>
        <v>0</v>
      </c>
      <c r="E36" s="70">
        <f t="shared" si="8"/>
        <v>2</v>
      </c>
      <c r="F36" s="70">
        <f t="shared" si="8"/>
        <v>1</v>
      </c>
      <c r="G36" s="70">
        <f t="shared" si="8"/>
        <v>2</v>
      </c>
      <c r="H36" s="70">
        <f t="shared" si="8"/>
        <v>0</v>
      </c>
      <c r="I36" s="70">
        <f t="shared" si="8"/>
        <v>1</v>
      </c>
      <c r="J36" s="70">
        <f t="shared" si="8"/>
        <v>1</v>
      </c>
      <c r="K36" s="70">
        <f t="shared" si="8"/>
        <v>1</v>
      </c>
      <c r="L36" s="70">
        <f t="shared" si="8"/>
        <v>1</v>
      </c>
      <c r="M36" s="70">
        <f t="shared" si="9"/>
        <v>1</v>
      </c>
      <c r="N36" s="70">
        <f t="shared" si="9"/>
        <v>0</v>
      </c>
      <c r="O36" s="70">
        <f t="shared" si="9"/>
        <v>0</v>
      </c>
      <c r="P36" s="70">
        <f t="shared" si="9"/>
        <v>0</v>
      </c>
      <c r="Q36" s="70">
        <f t="shared" si="9"/>
        <v>0</v>
      </c>
      <c r="R36" s="70">
        <f t="shared" si="9"/>
        <v>0</v>
      </c>
      <c r="S36" s="70">
        <f t="shared" si="9"/>
        <v>0</v>
      </c>
      <c r="T36" s="70">
        <f t="shared" si="9"/>
        <v>0</v>
      </c>
      <c r="U36" s="70">
        <f t="shared" si="9"/>
        <v>0</v>
      </c>
      <c r="V36" s="135">
        <f t="shared" si="9"/>
        <v>0</v>
      </c>
      <c r="X36" s="130" t="s">
        <v>64</v>
      </c>
      <c r="Y36" s="114">
        <f t="shared" si="2"/>
        <v>271</v>
      </c>
      <c r="Z36" s="114">
        <f t="shared" si="3"/>
        <v>136</v>
      </c>
      <c r="AA36" s="114">
        <f t="shared" si="4"/>
        <v>17</v>
      </c>
      <c r="AB36" s="132">
        <f t="shared" si="5"/>
        <v>0</v>
      </c>
    </row>
    <row r="37" spans="2:28" ht="15" customHeight="1">
      <c r="B37" s="143">
        <v>29</v>
      </c>
      <c r="C37" s="70">
        <f t="shared" si="8"/>
        <v>1</v>
      </c>
      <c r="D37" s="70">
        <f t="shared" si="8"/>
        <v>1</v>
      </c>
      <c r="E37" s="70">
        <f t="shared" si="8"/>
        <v>1</v>
      </c>
      <c r="F37" s="70">
        <f t="shared" si="8"/>
        <v>2</v>
      </c>
      <c r="G37" s="70">
        <f t="shared" si="8"/>
        <v>3</v>
      </c>
      <c r="H37" s="70">
        <f t="shared" si="8"/>
        <v>1</v>
      </c>
      <c r="I37" s="70">
        <f t="shared" si="8"/>
        <v>1</v>
      </c>
      <c r="J37" s="70">
        <f t="shared" si="8"/>
        <v>1</v>
      </c>
      <c r="K37" s="70">
        <f t="shared" si="8"/>
        <v>1</v>
      </c>
      <c r="L37" s="70">
        <f t="shared" si="8"/>
        <v>1</v>
      </c>
      <c r="M37" s="70">
        <f t="shared" si="9"/>
        <v>1</v>
      </c>
      <c r="N37" s="70">
        <f t="shared" si="9"/>
        <v>1</v>
      </c>
      <c r="O37" s="70">
        <f t="shared" si="9"/>
        <v>1</v>
      </c>
      <c r="P37" s="70">
        <f t="shared" si="9"/>
        <v>1</v>
      </c>
      <c r="Q37" s="70">
        <f t="shared" si="9"/>
        <v>1</v>
      </c>
      <c r="R37" s="70">
        <f t="shared" si="9"/>
        <v>0</v>
      </c>
      <c r="S37" s="70">
        <f t="shared" si="9"/>
        <v>0</v>
      </c>
      <c r="T37" s="70">
        <f t="shared" si="9"/>
        <v>0</v>
      </c>
      <c r="U37" s="70">
        <f t="shared" si="9"/>
        <v>0</v>
      </c>
      <c r="V37" s="135">
        <f t="shared" si="9"/>
        <v>0</v>
      </c>
      <c r="X37" s="130" t="s">
        <v>65</v>
      </c>
      <c r="Y37" s="114">
        <f t="shared" si="2"/>
        <v>206</v>
      </c>
      <c r="Z37" s="114">
        <f t="shared" si="3"/>
        <v>172</v>
      </c>
      <c r="AA37" s="114">
        <f t="shared" si="4"/>
        <v>10</v>
      </c>
      <c r="AB37" s="132">
        <f t="shared" si="5"/>
        <v>0</v>
      </c>
    </row>
    <row r="38" spans="2:28" ht="15" customHeight="1">
      <c r="B38" s="143">
        <v>30</v>
      </c>
      <c r="C38" s="70">
        <f t="shared" si="8"/>
        <v>1</v>
      </c>
      <c r="D38" s="70">
        <f t="shared" si="8"/>
        <v>0</v>
      </c>
      <c r="E38" s="70">
        <f t="shared" si="8"/>
        <v>1</v>
      </c>
      <c r="F38" s="70">
        <f t="shared" si="8"/>
        <v>1</v>
      </c>
      <c r="G38" s="70">
        <f t="shared" si="8"/>
        <v>1</v>
      </c>
      <c r="H38" s="70">
        <f t="shared" si="8"/>
        <v>1</v>
      </c>
      <c r="I38" s="70">
        <f t="shared" si="8"/>
        <v>1</v>
      </c>
      <c r="J38" s="70">
        <f t="shared" si="8"/>
        <v>1</v>
      </c>
      <c r="K38" s="70">
        <f t="shared" si="8"/>
        <v>1</v>
      </c>
      <c r="L38" s="70">
        <f t="shared" si="8"/>
        <v>2</v>
      </c>
      <c r="M38" s="70">
        <f t="shared" si="9"/>
        <v>1</v>
      </c>
      <c r="N38" s="70">
        <f t="shared" si="9"/>
        <v>1</v>
      </c>
      <c r="O38" s="70">
        <f t="shared" si="9"/>
        <v>1</v>
      </c>
      <c r="P38" s="70">
        <f t="shared" si="9"/>
        <v>1</v>
      </c>
      <c r="Q38" s="70">
        <f t="shared" si="9"/>
        <v>1</v>
      </c>
      <c r="R38" s="70">
        <f t="shared" si="9"/>
        <v>1</v>
      </c>
      <c r="S38" s="70">
        <f t="shared" si="9"/>
        <v>0</v>
      </c>
      <c r="T38" s="70">
        <f t="shared" si="9"/>
        <v>0</v>
      </c>
      <c r="U38" s="70">
        <f t="shared" si="9"/>
        <v>0</v>
      </c>
      <c r="V38" s="135">
        <f t="shared" si="9"/>
        <v>0</v>
      </c>
      <c r="X38" s="130" t="s">
        <v>65</v>
      </c>
      <c r="Y38" s="114">
        <f t="shared" si="2"/>
        <v>220</v>
      </c>
      <c r="Z38" s="114">
        <f t="shared" si="3"/>
        <v>221</v>
      </c>
      <c r="AA38" s="114">
        <f t="shared" si="4"/>
        <v>31</v>
      </c>
      <c r="AB38" s="132">
        <f t="shared" si="5"/>
        <v>0</v>
      </c>
    </row>
    <row r="39" spans="2:28" ht="15" customHeight="1">
      <c r="B39" s="143">
        <v>31</v>
      </c>
      <c r="C39" s="70">
        <f t="shared" si="8"/>
        <v>1</v>
      </c>
      <c r="D39" s="70">
        <f t="shared" si="8"/>
        <v>1</v>
      </c>
      <c r="E39" s="70">
        <f t="shared" si="8"/>
        <v>1</v>
      </c>
      <c r="F39" s="70">
        <f t="shared" si="8"/>
        <v>1</v>
      </c>
      <c r="G39" s="70">
        <f t="shared" si="8"/>
        <v>1</v>
      </c>
      <c r="H39" s="70">
        <f t="shared" si="8"/>
        <v>1</v>
      </c>
      <c r="I39" s="70">
        <f t="shared" si="8"/>
        <v>1</v>
      </c>
      <c r="J39" s="70">
        <f t="shared" si="8"/>
        <v>1</v>
      </c>
      <c r="K39" s="70">
        <f t="shared" si="8"/>
        <v>1</v>
      </c>
      <c r="L39" s="70">
        <f t="shared" si="8"/>
        <v>1</v>
      </c>
      <c r="M39" s="70">
        <f t="shared" si="9"/>
        <v>1</v>
      </c>
      <c r="N39" s="70">
        <f t="shared" si="9"/>
        <v>1</v>
      </c>
      <c r="O39" s="70">
        <f t="shared" si="9"/>
        <v>1</v>
      </c>
      <c r="P39" s="70">
        <f t="shared" si="9"/>
        <v>1</v>
      </c>
      <c r="Q39" s="70">
        <f t="shared" si="9"/>
        <v>0</v>
      </c>
      <c r="R39" s="70">
        <f t="shared" si="9"/>
        <v>0</v>
      </c>
      <c r="S39" s="70">
        <f t="shared" si="9"/>
        <v>0</v>
      </c>
      <c r="T39" s="70">
        <f t="shared" si="9"/>
        <v>0</v>
      </c>
      <c r="U39" s="70">
        <f t="shared" si="9"/>
        <v>0</v>
      </c>
      <c r="V39" s="135">
        <f t="shared" si="9"/>
        <v>0</v>
      </c>
      <c r="X39" s="130" t="s">
        <v>65</v>
      </c>
      <c r="Y39" s="114">
        <f t="shared" si="2"/>
        <v>357</v>
      </c>
      <c r="Z39" s="114">
        <f t="shared" si="3"/>
        <v>175</v>
      </c>
      <c r="AA39" s="114">
        <f t="shared" si="4"/>
        <v>27</v>
      </c>
      <c r="AB39" s="132">
        <f t="shared" si="5"/>
        <v>8</v>
      </c>
    </row>
    <row r="40" spans="2:28" ht="15" customHeight="1">
      <c r="B40" s="143">
        <v>32</v>
      </c>
      <c r="C40" s="70">
        <f t="shared" si="8"/>
        <v>1</v>
      </c>
      <c r="D40" s="70">
        <f t="shared" si="8"/>
        <v>1</v>
      </c>
      <c r="E40" s="70">
        <f t="shared" si="8"/>
        <v>1</v>
      </c>
      <c r="F40" s="70">
        <f t="shared" si="8"/>
        <v>2</v>
      </c>
      <c r="G40" s="70">
        <f t="shared" si="8"/>
        <v>2</v>
      </c>
      <c r="H40" s="70">
        <f t="shared" si="8"/>
        <v>1</v>
      </c>
      <c r="I40" s="70">
        <f t="shared" si="8"/>
        <v>1</v>
      </c>
      <c r="J40" s="70">
        <f t="shared" si="8"/>
        <v>1</v>
      </c>
      <c r="K40" s="70">
        <f t="shared" si="8"/>
        <v>2</v>
      </c>
      <c r="L40" s="70">
        <f t="shared" si="8"/>
        <v>1</v>
      </c>
      <c r="M40" s="70">
        <f t="shared" si="9"/>
        <v>1</v>
      </c>
      <c r="N40" s="70">
        <f t="shared" si="9"/>
        <v>1</v>
      </c>
      <c r="O40" s="70">
        <f t="shared" si="9"/>
        <v>1</v>
      </c>
      <c r="P40" s="70">
        <f t="shared" si="9"/>
        <v>1</v>
      </c>
      <c r="Q40" s="70">
        <f t="shared" si="9"/>
        <v>1</v>
      </c>
      <c r="R40" s="70">
        <f t="shared" si="9"/>
        <v>0</v>
      </c>
      <c r="S40" s="70">
        <f t="shared" si="9"/>
        <v>0</v>
      </c>
      <c r="T40" s="70">
        <f t="shared" si="9"/>
        <v>0</v>
      </c>
      <c r="U40" s="70">
        <f t="shared" si="9"/>
        <v>0</v>
      </c>
      <c r="V40" s="135">
        <f t="shared" si="9"/>
        <v>0</v>
      </c>
      <c r="X40" s="130" t="s">
        <v>65</v>
      </c>
      <c r="Y40" s="114">
        <f t="shared" si="2"/>
        <v>212</v>
      </c>
      <c r="Z40" s="114">
        <f t="shared" si="3"/>
        <v>174</v>
      </c>
      <c r="AA40" s="114">
        <f t="shared" si="4"/>
        <v>12</v>
      </c>
      <c r="AB40" s="132">
        <f t="shared" si="5"/>
        <v>0</v>
      </c>
    </row>
    <row r="41" spans="2:28" ht="15" customHeight="1">
      <c r="B41" s="143">
        <v>33</v>
      </c>
      <c r="C41" s="70">
        <f t="shared" si="8"/>
        <v>1</v>
      </c>
      <c r="D41" s="70">
        <f t="shared" si="8"/>
        <v>1</v>
      </c>
      <c r="E41" s="70">
        <f t="shared" si="8"/>
        <v>1</v>
      </c>
      <c r="F41" s="70">
        <f t="shared" si="8"/>
        <v>1</v>
      </c>
      <c r="G41" s="70">
        <f t="shared" si="8"/>
        <v>1</v>
      </c>
      <c r="H41" s="70">
        <f t="shared" si="8"/>
        <v>1</v>
      </c>
      <c r="I41" s="70">
        <f t="shared" si="8"/>
        <v>1</v>
      </c>
      <c r="J41" s="70">
        <f t="shared" si="8"/>
        <v>1</v>
      </c>
      <c r="K41" s="70">
        <f t="shared" si="8"/>
        <v>1</v>
      </c>
      <c r="L41" s="70">
        <f t="shared" si="8"/>
        <v>2</v>
      </c>
      <c r="M41" s="70">
        <f t="shared" si="9"/>
        <v>1</v>
      </c>
      <c r="N41" s="70">
        <f t="shared" si="9"/>
        <v>1</v>
      </c>
      <c r="O41" s="70">
        <f t="shared" si="9"/>
        <v>0</v>
      </c>
      <c r="P41" s="70">
        <f t="shared" si="9"/>
        <v>1</v>
      </c>
      <c r="Q41" s="70">
        <f t="shared" si="9"/>
        <v>1</v>
      </c>
      <c r="R41" s="70">
        <f t="shared" si="9"/>
        <v>0</v>
      </c>
      <c r="S41" s="70">
        <f t="shared" si="9"/>
        <v>0</v>
      </c>
      <c r="T41" s="70">
        <f t="shared" si="9"/>
        <v>0</v>
      </c>
      <c r="U41" s="70">
        <f t="shared" si="9"/>
        <v>0</v>
      </c>
      <c r="V41" s="135">
        <f t="shared" si="9"/>
        <v>0</v>
      </c>
      <c r="X41" s="130" t="s">
        <v>65</v>
      </c>
      <c r="Y41" s="114">
        <f t="shared" si="2"/>
        <v>246</v>
      </c>
      <c r="Z41" s="114">
        <f t="shared" si="3"/>
        <v>364</v>
      </c>
      <c r="AA41" s="114">
        <f t="shared" si="4"/>
        <v>8</v>
      </c>
      <c r="AB41" s="132">
        <f t="shared" si="5"/>
        <v>0</v>
      </c>
    </row>
    <row r="42" spans="2:28" ht="15" customHeight="1" thickBot="1">
      <c r="B42" s="144">
        <v>34</v>
      </c>
      <c r="C42" s="163">
        <f t="shared" si="8"/>
        <v>1</v>
      </c>
      <c r="D42" s="163">
        <f t="shared" si="8"/>
        <v>1</v>
      </c>
      <c r="E42" s="163">
        <f t="shared" si="8"/>
        <v>1</v>
      </c>
      <c r="F42" s="163">
        <f t="shared" si="8"/>
        <v>2</v>
      </c>
      <c r="G42" s="163">
        <f t="shared" si="8"/>
        <v>1</v>
      </c>
      <c r="H42" s="163">
        <f t="shared" si="8"/>
        <v>1</v>
      </c>
      <c r="I42" s="163">
        <f t="shared" si="8"/>
        <v>2</v>
      </c>
      <c r="J42" s="163">
        <f t="shared" si="8"/>
        <v>2</v>
      </c>
      <c r="K42" s="163">
        <f t="shared" si="8"/>
        <v>1</v>
      </c>
      <c r="L42" s="163">
        <f t="shared" si="8"/>
        <v>1</v>
      </c>
      <c r="M42" s="163">
        <f t="shared" si="9"/>
        <v>1</v>
      </c>
      <c r="N42" s="163">
        <f t="shared" si="9"/>
        <v>1</v>
      </c>
      <c r="O42" s="163">
        <f t="shared" si="9"/>
        <v>1</v>
      </c>
      <c r="P42" s="163">
        <f t="shared" si="9"/>
        <v>1</v>
      </c>
      <c r="Q42" s="163">
        <f t="shared" si="9"/>
        <v>1</v>
      </c>
      <c r="R42" s="163">
        <f t="shared" si="9"/>
        <v>0</v>
      </c>
      <c r="S42" s="163">
        <f t="shared" si="9"/>
        <v>0</v>
      </c>
      <c r="T42" s="163">
        <f t="shared" si="9"/>
        <v>0</v>
      </c>
      <c r="U42" s="163">
        <f t="shared" si="9"/>
        <v>0</v>
      </c>
      <c r="V42" s="164">
        <f t="shared" si="9"/>
        <v>0</v>
      </c>
      <c r="X42" s="130" t="s">
        <v>65</v>
      </c>
      <c r="Y42" s="114">
        <f t="shared" si="2"/>
        <v>97</v>
      </c>
      <c r="Z42" s="114">
        <f t="shared" si="3"/>
        <v>208</v>
      </c>
      <c r="AA42" s="114">
        <f t="shared" si="4"/>
        <v>2</v>
      </c>
      <c r="AB42" s="132">
        <f t="shared" si="5"/>
        <v>0</v>
      </c>
    </row>
    <row r="44" spans="2:28" ht="15" customHeight="1" thickBot="1"/>
    <row r="45" spans="2:28" ht="15" customHeight="1">
      <c r="X45" s="133" t="s">
        <v>54</v>
      </c>
      <c r="Y45" s="109">
        <f t="shared" ref="Y45:AB57" si="10">SUMIF(MunicipioAN,$X45,Y$9:Y$42)</f>
        <v>441</v>
      </c>
      <c r="Z45" s="109">
        <f t="shared" si="10"/>
        <v>303</v>
      </c>
      <c r="AA45" s="109">
        <f t="shared" si="10"/>
        <v>198</v>
      </c>
      <c r="AB45" s="110">
        <f t="shared" si="10"/>
        <v>1</v>
      </c>
    </row>
    <row r="46" spans="2:28" ht="15" customHeight="1">
      <c r="X46" s="130" t="s">
        <v>55</v>
      </c>
      <c r="Y46" s="69">
        <f t="shared" si="10"/>
        <v>584</v>
      </c>
      <c r="Z46" s="69">
        <f t="shared" si="10"/>
        <v>150</v>
      </c>
      <c r="AA46" s="69">
        <f t="shared" si="10"/>
        <v>7</v>
      </c>
      <c r="AB46" s="83">
        <f t="shared" si="10"/>
        <v>0</v>
      </c>
    </row>
    <row r="47" spans="2:28" ht="15" customHeight="1">
      <c r="X47" s="130" t="s">
        <v>16</v>
      </c>
      <c r="Y47" s="69">
        <f t="shared" si="10"/>
        <v>2033</v>
      </c>
      <c r="Z47" s="69">
        <f t="shared" si="10"/>
        <v>1533</v>
      </c>
      <c r="AA47" s="69">
        <f t="shared" si="10"/>
        <v>509</v>
      </c>
      <c r="AB47" s="83">
        <f t="shared" si="10"/>
        <v>67</v>
      </c>
    </row>
    <row r="48" spans="2:28" ht="15" customHeight="1">
      <c r="X48" s="130" t="s">
        <v>56</v>
      </c>
      <c r="Y48" s="69">
        <f t="shared" si="10"/>
        <v>282</v>
      </c>
      <c r="Z48" s="69">
        <f t="shared" si="10"/>
        <v>136</v>
      </c>
      <c r="AA48" s="69">
        <f t="shared" si="10"/>
        <v>63</v>
      </c>
      <c r="AB48" s="83">
        <f t="shared" si="10"/>
        <v>2</v>
      </c>
    </row>
    <row r="49" spans="24:28" ht="15" customHeight="1">
      <c r="X49" s="130" t="s">
        <v>57</v>
      </c>
      <c r="Y49" s="69">
        <f t="shared" si="10"/>
        <v>150</v>
      </c>
      <c r="Z49" s="69">
        <f t="shared" si="10"/>
        <v>71</v>
      </c>
      <c r="AA49" s="69">
        <f t="shared" si="10"/>
        <v>57</v>
      </c>
      <c r="AB49" s="83">
        <f t="shared" si="10"/>
        <v>0</v>
      </c>
    </row>
    <row r="50" spans="24:28" ht="15" customHeight="1">
      <c r="X50" s="130" t="s">
        <v>59</v>
      </c>
      <c r="Y50" s="69">
        <f t="shared" si="10"/>
        <v>0</v>
      </c>
      <c r="Z50" s="69">
        <f t="shared" si="10"/>
        <v>0</v>
      </c>
      <c r="AA50" s="69">
        <f t="shared" si="10"/>
        <v>0</v>
      </c>
      <c r="AB50" s="83">
        <f t="shared" si="10"/>
        <v>0</v>
      </c>
    </row>
    <row r="51" spans="24:28" ht="15" customHeight="1">
      <c r="X51" s="130" t="s">
        <v>9</v>
      </c>
      <c r="Y51" s="69">
        <f t="shared" si="10"/>
        <v>197</v>
      </c>
      <c r="Z51" s="69">
        <f t="shared" si="10"/>
        <v>142</v>
      </c>
      <c r="AA51" s="69">
        <f t="shared" si="10"/>
        <v>80</v>
      </c>
      <c r="AB51" s="83">
        <f t="shared" si="10"/>
        <v>32</v>
      </c>
    </row>
    <row r="52" spans="24:28" ht="15" customHeight="1">
      <c r="X52" s="130" t="s">
        <v>60</v>
      </c>
      <c r="Y52" s="69">
        <f t="shared" si="10"/>
        <v>0</v>
      </c>
      <c r="Z52" s="69">
        <f t="shared" si="10"/>
        <v>0</v>
      </c>
      <c r="AA52" s="69">
        <f t="shared" si="10"/>
        <v>0</v>
      </c>
      <c r="AB52" s="83">
        <f t="shared" si="10"/>
        <v>0</v>
      </c>
    </row>
    <row r="53" spans="24:28" ht="15" customHeight="1">
      <c r="X53" s="130" t="s">
        <v>61</v>
      </c>
      <c r="Y53" s="69">
        <f t="shared" si="10"/>
        <v>51</v>
      </c>
      <c r="Z53" s="69">
        <f t="shared" si="10"/>
        <v>75</v>
      </c>
      <c r="AA53" s="69">
        <f t="shared" si="10"/>
        <v>1</v>
      </c>
      <c r="AB53" s="83">
        <f t="shared" si="10"/>
        <v>0</v>
      </c>
    </row>
    <row r="54" spans="24:28" ht="15" customHeight="1">
      <c r="X54" s="130" t="s">
        <v>62</v>
      </c>
      <c r="Y54" s="69">
        <f t="shared" si="10"/>
        <v>32</v>
      </c>
      <c r="Z54" s="69">
        <f t="shared" si="10"/>
        <v>43</v>
      </c>
      <c r="AA54" s="69">
        <f t="shared" si="10"/>
        <v>3</v>
      </c>
      <c r="AB54" s="83">
        <f t="shared" si="10"/>
        <v>0</v>
      </c>
    </row>
    <row r="55" spans="24:28" ht="15" customHeight="1">
      <c r="X55" s="130" t="s">
        <v>63</v>
      </c>
      <c r="Y55" s="69">
        <f t="shared" si="10"/>
        <v>0</v>
      </c>
      <c r="Z55" s="69">
        <f t="shared" si="10"/>
        <v>0</v>
      </c>
      <c r="AA55" s="69">
        <f t="shared" si="10"/>
        <v>0</v>
      </c>
      <c r="AB55" s="83">
        <f t="shared" si="10"/>
        <v>0</v>
      </c>
    </row>
    <row r="56" spans="24:28" ht="15" customHeight="1">
      <c r="X56" s="130" t="s">
        <v>64</v>
      </c>
      <c r="Y56" s="69">
        <f t="shared" si="10"/>
        <v>1116</v>
      </c>
      <c r="Z56" s="69">
        <f t="shared" si="10"/>
        <v>586</v>
      </c>
      <c r="AA56" s="69">
        <f t="shared" si="10"/>
        <v>68</v>
      </c>
      <c r="AB56" s="83">
        <f t="shared" si="10"/>
        <v>17</v>
      </c>
    </row>
    <row r="57" spans="24:28" ht="15" customHeight="1" thickBot="1">
      <c r="X57" s="131" t="s">
        <v>65</v>
      </c>
      <c r="Y57" s="89">
        <f t="shared" si="10"/>
        <v>1338</v>
      </c>
      <c r="Z57" s="89">
        <f t="shared" si="10"/>
        <v>1314</v>
      </c>
      <c r="AA57" s="89">
        <f t="shared" si="10"/>
        <v>90</v>
      </c>
      <c r="AB57" s="90">
        <f t="shared" si="10"/>
        <v>8</v>
      </c>
    </row>
  </sheetData>
  <customSheetViews>
    <customSheetView guid="{43751384-8D2C-4877-853C-4CE893CAF1E6}" showGridLines="0" showRowCol="0" topLeftCell="A49">
      <selection activeCell="Y4" sqref="Y4"/>
      <pageMargins left="0.7" right="0.7" top="0.75" bottom="0.75" header="0.3" footer="0.3"/>
    </customSheetView>
    <customSheetView guid="{D80F4FD6-7D6D-4832-9A2E-4DEB1E783FB1}" showGridLines="0" showRowCol="0">
      <selection activeCell="Y4" sqref="Y4"/>
      <pageMargins left="0.7" right="0.7" top="0.75" bottom="0.75" header="0.3" footer="0.3"/>
    </customSheetView>
    <customSheetView guid="{0A4EA429-3B60-4229-BB25-AADA8CCE0D84}" showGridLines="0" showRowCol="0">
      <selection activeCell="Y2" sqref="Y2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42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Monagas!A1" display="Monagas"/>
    <hyperlink ref="Y4" location="'CNueva Esparta'!A1" display="Nueva Esparta"/>
    <hyperlink ref="Y5" location="CSucre!A1" display="Sucr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29</vt:i4>
      </vt:variant>
    </vt:vector>
  </HeadingPairs>
  <TitlesOfParts>
    <vt:vector size="42" baseType="lpstr">
      <vt:lpstr>PPrincipal</vt:lpstr>
      <vt:lpstr>Nueva Esparta</vt:lpstr>
      <vt:lpstr>GNueva Esparta</vt:lpstr>
      <vt:lpstr>CNueva Esparta</vt:lpstr>
      <vt:lpstr>Monagas</vt:lpstr>
      <vt:lpstr>GMonagas</vt:lpstr>
      <vt:lpstr>CMonagas</vt:lpstr>
      <vt:lpstr>Sucre</vt:lpstr>
      <vt:lpstr>GSucre</vt:lpstr>
      <vt:lpstr>CSucre</vt:lpstr>
      <vt:lpstr>Anzoategui</vt:lpstr>
      <vt:lpstr>GAnzoategui</vt:lpstr>
      <vt:lpstr>CAnzoategui</vt:lpstr>
      <vt:lpstr>Benjamin_Rausseo</vt:lpstr>
      <vt:lpstr>CentroAN</vt:lpstr>
      <vt:lpstr>CentroMO</vt:lpstr>
      <vt:lpstr>CentroNA</vt:lpstr>
      <vt:lpstr>CentroSU</vt:lpstr>
      <vt:lpstr>Domingo_Urbina</vt:lpstr>
      <vt:lpstr>Eduardo_Morales_Gil</vt:lpstr>
      <vt:lpstr>Enrique_Maestre</vt:lpstr>
      <vt:lpstr>Gustavo_Marcano</vt:lpstr>
      <vt:lpstr>Jose_Gregorio_Briceño</vt:lpstr>
      <vt:lpstr>Morel_Rodriguez</vt:lpstr>
      <vt:lpstr>MunicipioAN</vt:lpstr>
      <vt:lpstr>MunicipioMO</vt:lpstr>
      <vt:lpstr>MunicipiosNA</vt:lpstr>
      <vt:lpstr>MunicipiosSU</vt:lpstr>
      <vt:lpstr>OtroAN</vt:lpstr>
      <vt:lpstr>OtroMO</vt:lpstr>
      <vt:lpstr>OtroNA</vt:lpstr>
      <vt:lpstr>OtroSU</vt:lpstr>
      <vt:lpstr>SumaAN</vt:lpstr>
      <vt:lpstr>SumaMO</vt:lpstr>
      <vt:lpstr>SumaNA</vt:lpstr>
      <vt:lpstr>SumaSU</vt:lpstr>
      <vt:lpstr>Tarek_Willians_Saab</vt:lpstr>
      <vt:lpstr>TurnoAN</vt:lpstr>
      <vt:lpstr>TurnoMO</vt:lpstr>
      <vt:lpstr>TurnoNA</vt:lpstr>
      <vt:lpstr>TurnoSU</vt:lpstr>
      <vt:lpstr>William_Fariñas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 </cp:lastModifiedBy>
  <cp:lastPrinted>2008-11-15T23:58:31Z</cp:lastPrinted>
  <dcterms:created xsi:type="dcterms:W3CDTF">2007-11-27T23:12:28Z</dcterms:created>
  <dcterms:modified xsi:type="dcterms:W3CDTF">2008-11-23T02:22:18Z</dcterms:modified>
</cp:coreProperties>
</file>